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crypto\crypto-project\stat_arb\"/>
    </mc:Choice>
  </mc:AlternateContent>
  <xr:revisionPtr revIDLastSave="0" documentId="13_ncr:1_{12DE1A75-8A3E-4FC0-992D-BEC7D40079A7}" xr6:coauthVersionLast="47" xr6:coauthVersionMax="47" xr10:uidLastSave="{00000000-0000-0000-0000-000000000000}"/>
  <bookViews>
    <workbookView xWindow="0" yWindow="360" windowWidth="29040" windowHeight="15720" xr2:uid="{DF251028-FDF5-4F44-B81F-09BB5B514D20}"/>
  </bookViews>
  <sheets>
    <sheet name="all_combine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<sst xmlns="http://schemas.openxmlformats.org/spreadsheetml/2006/main" count="71" uniqueCount="71">
  <si>
    <t>file_name</t>
  </si>
  <si>
    <t>first_parameter</t>
  </si>
  <si>
    <t>second_parameter</t>
  </si>
  <si>
    <t>number_of_days</t>
  </si>
  <si>
    <t>total_net_profit</t>
  </si>
  <si>
    <t>average_daily_investment</t>
  </si>
  <si>
    <t>peak_gross_investment</t>
  </si>
  <si>
    <t>average_daily_margin_capital</t>
  </si>
  <si>
    <t>p95_margin_capital</t>
  </si>
  <si>
    <t>p99_margin_capital</t>
  </si>
  <si>
    <t>peak_margin_capital</t>
  </si>
  <si>
    <t>annualized_return_on_avg_investment</t>
  </si>
  <si>
    <t>annualized_return_on_capital</t>
  </si>
  <si>
    <t>annualized_return_on_p95_capital</t>
  </si>
  <si>
    <t>annualized_return_on_peak_capital</t>
  </si>
  <si>
    <t>annualized_pnl_sharpe</t>
  </si>
  <si>
    <t>annualized_roc_sharpe</t>
  </si>
  <si>
    <t>max_drawdown</t>
  </si>
  <si>
    <t>max_drawdown_pct_capital</t>
  </si>
  <si>
    <t>return_to_drawdown</t>
  </si>
  <si>
    <t>number_days_invested</t>
  </si>
  <si>
    <t>percent_days_invested</t>
  </si>
  <si>
    <t>number_positive_days</t>
  </si>
  <si>
    <t>number_negative_days</t>
  </si>
  <si>
    <t>number_flat_days</t>
  </si>
  <si>
    <t>percent_positive_days</t>
  </si>
  <si>
    <t>percent_positive_active_days</t>
  </si>
  <si>
    <t>combined_analysis_2026_0.0002_0.0001.xlsx</t>
  </si>
  <si>
    <t>combined_analysis_2026_0.0002_0.0002.xlsx</t>
  </si>
  <si>
    <t>combined_analysis_2026_0.0003_0.0001.xlsx</t>
  </si>
  <si>
    <t>combined_analysis_2026_0.0003_0.0002.xlsx</t>
  </si>
  <si>
    <t>combined_analysis_2026_0.0003_0.0003.xlsx</t>
  </si>
  <si>
    <t>combined_analysis_2026_0.0004_0.0001.xlsx</t>
  </si>
  <si>
    <t>combined_analysis_2026_0.0004_0.0002.xlsx</t>
  </si>
  <si>
    <t>combined_analysis_2026_0.0004_0.0003.xlsx</t>
  </si>
  <si>
    <t>combined_analysis_2026_0.0004_0.0004.xlsx</t>
  </si>
  <si>
    <t>combined_analysis_2026_0.0005_0.0001.xlsx</t>
  </si>
  <si>
    <t>combined_analysis_2026_0.0005_0.0002.xlsx</t>
  </si>
  <si>
    <t>combined_analysis_2026_0.0005_0.0003.xlsx</t>
  </si>
  <si>
    <t>combined_analysis_2026_0.0005_0.0004.xlsx</t>
  </si>
  <si>
    <t>combined_analysis_2026_0.0005_0.0005.xlsx</t>
  </si>
  <si>
    <t>combined_analysis_2026_0.0006_0.0001.xlsx</t>
  </si>
  <si>
    <t>combined_analysis_2026_0.0006_0.0002.xlsx</t>
  </si>
  <si>
    <t>combined_analysis_2026_0.0006_0.0003.xlsx</t>
  </si>
  <si>
    <t>combined_analysis_2026_0.0006_0.0004.xlsx</t>
  </si>
  <si>
    <t>combined_analysis_2026_0.0006_0.0005.xlsx</t>
  </si>
  <si>
    <t>combined_analysis_2026_0.0006_0.0006.xlsx</t>
  </si>
  <si>
    <t>combined_analysis_2026_0.0007_0.0001.xlsx</t>
  </si>
  <si>
    <t>combined_analysis_2026_0.0007_0.0002.xlsx</t>
  </si>
  <si>
    <t>combined_analysis_2026_0.0007_0.0003.xlsx</t>
  </si>
  <si>
    <t>combined_analysis_2026_0.0007_0.0004.xlsx</t>
  </si>
  <si>
    <t>combined_analysis_2026_0.0007_0.0005.xlsx</t>
  </si>
  <si>
    <t>combined_analysis_2026_0.0007_0.0006.xlsx</t>
  </si>
  <si>
    <t>combined_analysis_2026_0.0007_0.0007.xlsx</t>
  </si>
  <si>
    <t>combined_analysis_2026_0.0008_0.0001.xlsx</t>
  </si>
  <si>
    <t>combined_analysis_2026_0.0008_0.0002.xlsx</t>
  </si>
  <si>
    <t>combined_analysis_2026_0.0008_0.0003.xlsx</t>
  </si>
  <si>
    <t>combined_analysis_2026_0.0008_0.0004.xlsx</t>
  </si>
  <si>
    <t>combined_analysis_2026_0.0008_0.0005.xlsx</t>
  </si>
  <si>
    <t>combined_analysis_2026_0.0008_0.0006.xlsx</t>
  </si>
  <si>
    <t>combined_analysis_2026_0.0008_0.0007.xlsx</t>
  </si>
  <si>
    <t>combined_analysis_2026_0.0008_0.0008.xlsx</t>
  </si>
  <si>
    <t>combined_analysis_2026_0.0009_0.0001.xlsx</t>
  </si>
  <si>
    <t>combined_analysis_2026_0.0009_0.0002.xlsx</t>
  </si>
  <si>
    <t>combined_analysis_2026_0.0009_0.0003.xlsx</t>
  </si>
  <si>
    <t>combined_analysis_2026_0.0009_0.0004.xlsx</t>
  </si>
  <si>
    <t>combined_analysis_2026_0.0009_0.0005.xlsx</t>
  </si>
  <si>
    <t>combined_analysis_2026_0.0009_0.0006.xlsx</t>
  </si>
  <si>
    <t>combined_analysis_2026_0.0009_0.0007.xlsx</t>
  </si>
  <si>
    <t>combined_analysis_2026_0.0009_0.0008.xlsx</t>
  </si>
  <si>
    <t>combined_analysis_2026_0.0009_0.0009.xlsx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</si>
</sst>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23">
    <xf numFmtId="0" fontId="0" fillId="0" borderId="0" xfId="0"/>
    <xf numFmtId="0" fontId="1" fillId="0" borderId="0" xfId="0" applyFont="1"/>
    <xf numFmtId="44" fontId="1" fillId="0" borderId="0" xfId="2" applyFont="1"/>
    <xf numFmtId="10" fontId="1" fillId="0" borderId="0" xfId="3" applyNumberFormat="1" applyFont="1"/>
    <xf numFmtId="43" fontId="1" fillId="0" borderId="0" xfId="1" applyFont="1"/>
    <xf numFmtId="9" fontId="1" fillId="0" borderId="0" xfId="3" applyFont="1"/>
    <xf numFmtId="10" fontId="1" fillId="0" borderId="0" xfId="0" applyNumberFormat="1" applyFont="1"/>
    <xf numFmtId="44" fontId="0" fillId="0" borderId="0" xfId="2" applyFont="1"/>
    <xf numFmtId="10" fontId="0" fillId="0" borderId="0" xfId="3" applyNumberFormat="1" applyFont="1"/>
    <xf numFmtId="43" fontId="0" fillId="0" borderId="0" xfId="1" applyFont="1"/>
    <xf numFmtId="9" fontId="0" fillId="0" borderId="0" xfId="3" applyFont="1"/>
    <xf numFmtId="43" fontId="0" fillId="0" borderId="0" xfId="0" applyNumberFormat="1"/>
    <xf numFmtId="0" fontId="3" fillId="0" borderId="0" xfId="0" applyFont="1"/>
    <xf numFmtId="44" fontId="3" fillId="0" borderId="0" xfId="2" applyFont="1"/>
    <xf numFmtId="10" fontId="3" fillId="0" borderId="0" xfId="3" applyNumberFormat="1" applyFont="1"/>
    <xf numFmtId="43" fontId="3" fillId="0" borderId="0" xfId="1" applyFont="1"/>
    <xf numFmtId="9" fontId="3" fillId="0" borderId="0" xfId="3" applyFont="1"/>
    <xf numFmtId="10" fontId="1" fillId="2" borderId="0" xfId="3" applyNumberFormat="1" applyFont="1" applyFill="1"/>
    <xf numFmtId="10" fontId="0" fillId="2" borderId="0" xfId="3" applyNumberFormat="1" applyFont="1" applyFill="1"/>
    <xf numFmtId="10" fontId="3" fillId="2" borderId="0" xfId="3" applyNumberFormat="1" applyFont="1" applyFill="1"/>
    <xf numFmtId="44" fontId="1" fillId="2" borderId="0" xfId="2" applyFont="1" applyFill="1"/>
    <xf numFmtId="44" fontId="0" fillId="2" borderId="0" xfId="2" applyFont="1" applyFill="1"/>
    <xf numFmtId="44" fontId="3" fillId="2" borderId="0" xfId="2" applyFont="1" applyFill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27917-5C79-48E6-AFE9-0AA938107D34}">
  <dimension ref="A1:AE45"/>
  <sheetViews>
    <sheetView tabSelected="1" topLeftCell="G1" workbookViewId="0">
      <pane ySplit="1" topLeftCell="A2" activePane="bottomLeft" state="frozen"/>
      <selection activeCell="D1" sqref="D1"/>
      <selection pane="bottomLeft" activeCell="M22" sqref="M22"/>
    </sheetView>
  </sheetViews>
  <sheetFormatPr defaultRowHeight="15" x14ac:dyDescent="0.25"/>
  <cols>
    <col min="1" max="1" width="40.7109375" bestFit="1" customWidth="1"/>
    <col min="2" max="2" width="15" bestFit="1" customWidth="1"/>
    <col min="3" max="3" width="18" bestFit="1" customWidth="1"/>
    <col min="4" max="4" width="15.85546875" bestFit="1" customWidth="1"/>
    <col min="5" max="5" width="15" style="7" bestFit="1" customWidth="1"/>
    <col min="6" max="6" width="24.7109375" style="7" bestFit="1" customWidth="1"/>
    <col min="7" max="7" width="22.5703125" style="7" bestFit="1" customWidth="1"/>
    <col min="8" max="8" width="27.5703125" style="21" bestFit="1" customWidth="1"/>
    <col min="9" max="10" width="18.28515625" style="7" bestFit="1" customWidth="1"/>
    <col min="11" max="11" width="19.42578125" style="7" bestFit="1" customWidth="1"/>
    <col min="12" max="12" width="31.85546875" style="8" bestFit="1" customWidth="1"/>
    <col min="13" max="13" width="36.140625" style="18" bestFit="1" customWidth="1"/>
    <col min="14" max="14" width="31.85546875" style="8" bestFit="1" customWidth="1"/>
    <col min="15" max="15" width="33" style="8" bestFit="1" customWidth="1"/>
    <col min="16" max="17" width="21.85546875" style="9" bestFit="1" customWidth="1"/>
    <col min="18" max="18" width="14.85546875" style="7" bestFit="1" customWidth="1"/>
    <col min="19" max="19" width="25.85546875" style="8" bestFit="1" customWidth="1"/>
    <col min="20" max="20" width="19.5703125" style="9" bestFit="1" customWidth="1"/>
    <col min="21" max="21" width="22.140625" bestFit="1" customWidth="1"/>
    <col min="22" max="22" width="22.140625" style="10" bestFit="1" customWidth="1"/>
    <col min="23" max="23" width="21.5703125" bestFit="1" customWidth="1"/>
    <col min="24" max="24" width="22" bestFit="1" customWidth="1"/>
    <col min="25" max="25" width="17" bestFit="1" customWidth="1"/>
    <col min="26" max="26" width="21.5703125" style="10" bestFit="1" customWidth="1"/>
    <col min="27" max="27" width="28" style="10" bestFit="1" customWidth="1"/>
  </cols>
  <sheetData>
    <row r="1" spans="1:3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0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17" t="s">
        <v>12</v>
      </c>
      <c r="N1" s="3" t="s">
        <v>13</v>
      </c>
      <c r="O1" s="3" t="s">
        <v>14</v>
      </c>
      <c r="P1" s="4" t="s">
        <v>15</v>
      </c>
      <c r="Q1" s="4" t="s">
        <v>16</v>
      </c>
      <c r="R1" s="2" t="s">
        <v>17</v>
      </c>
      <c r="S1" s="3" t="s">
        <v>18</v>
      </c>
      <c r="T1" s="4" t="s">
        <v>19</v>
      </c>
      <c r="U1" s="1" t="s">
        <v>20</v>
      </c>
      <c r="V1" s="5" t="s">
        <v>21</v>
      </c>
      <c r="W1" s="1" t="s">
        <v>22</v>
      </c>
      <c r="X1" s="1" t="s">
        <v>23</v>
      </c>
      <c r="Y1" s="1" t="s">
        <v>24</v>
      </c>
      <c r="Z1" s="5" t="s">
        <v>25</v>
      </c>
      <c r="AA1" s="5" t="s">
        <v>26</v>
      </c>
      <c r="AE1" s="6"/>
    </row>
    <row r="2" spans="1:31" x14ac:dyDescent="0.25">
      <c r="A2" t="s">
        <v>27</v>
      </c>
      <c r="B2">
        <v>2.0000000000000001E-4</v>
      </c>
      <c r="C2">
        <v>1E-4</v>
      </c>
      <c r="D2">
        <v>135</v>
      </c>
      <c r="E2" s="7">
        <v>2236.9950000002596</v>
      </c>
      <c r="F2" s="7">
        <v>543693.25748148153</v>
      </c>
      <c r="G2" s="7">
        <v>800288.36</v>
      </c>
      <c r="H2" s="21">
        <v>108938.33854444444</v>
      </c>
      <c r="I2" s="7">
        <v>154027.92559</v>
      </c>
      <c r="J2" s="7">
        <v>154050.88948700001</v>
      </c>
      <c r="K2" s="7">
        <v>154061.49605000002</v>
      </c>
      <c r="L2" s="8">
        <v>7.6802938836200516E-3</v>
      </c>
      <c r="M2" s="18">
        <v>3.8331078441194343E-2</v>
      </c>
      <c r="N2" s="8">
        <v>2.7110174885531187E-2</v>
      </c>
      <c r="O2" s="8">
        <v>2.7104267497475625E-2</v>
      </c>
      <c r="P2" s="9">
        <v>2.8821758070531565</v>
      </c>
      <c r="Q2" s="9">
        <v>2.5764281798559372</v>
      </c>
      <c r="R2" s="7">
        <v>-310.78499999994119</v>
      </c>
      <c r="S2" s="8">
        <v>-2.8528523947806287E-3</v>
      </c>
      <c r="T2" s="9">
        <v>13.436053863607558</v>
      </c>
      <c r="U2">
        <v>127</v>
      </c>
      <c r="V2" s="10">
        <v>0.94074074074074077</v>
      </c>
      <c r="W2">
        <v>79</v>
      </c>
      <c r="X2">
        <v>56</v>
      </c>
      <c r="Y2">
        <v>0</v>
      </c>
      <c r="Z2" s="10">
        <v>0.58518518518518514</v>
      </c>
      <c r="AA2" s="10">
        <v>0.58518518518518514</v>
      </c>
      <c r="AE2" s="11"/>
    </row>
    <row r="3" spans="1:31" x14ac:dyDescent="0.25">
      <c r="A3" t="s">
        <v>28</v>
      </c>
      <c r="B3">
        <v>2.0000000000000001E-4</v>
      </c>
      <c r="C3">
        <v>2.0000000000000001E-4</v>
      </c>
      <c r="D3">
        <v>135</v>
      </c>
      <c r="E3" s="7">
        <v>2126.6050000002697</v>
      </c>
      <c r="F3" s="7">
        <v>519991.28333333333</v>
      </c>
      <c r="G3" s="7">
        <v>800288.36</v>
      </c>
      <c r="H3" s="21">
        <v>104538.82394185185</v>
      </c>
      <c r="I3" s="7">
        <v>154022.51568000001</v>
      </c>
      <c r="J3" s="7">
        <v>154050.88948700001</v>
      </c>
      <c r="K3" s="7">
        <v>154061.49605000002</v>
      </c>
      <c r="L3" s="8">
        <v>7.6340946356257891E-3</v>
      </c>
      <c r="M3" s="18">
        <v>3.7973094750666368E-2</v>
      </c>
      <c r="N3" s="8">
        <v>2.577326210483806E-2</v>
      </c>
      <c r="O3" s="8">
        <v>2.5766740999184072E-2</v>
      </c>
      <c r="P3" s="9">
        <v>2.7572864467452387</v>
      </c>
      <c r="Q3" s="9">
        <v>2.0668512224024935</v>
      </c>
      <c r="R3" s="7">
        <v>-328.27999999995245</v>
      </c>
      <c r="S3" s="8">
        <v>-3.1402687309984782E-3</v>
      </c>
      <c r="T3" s="9">
        <v>12.09230737988225</v>
      </c>
      <c r="U3">
        <v>126</v>
      </c>
      <c r="V3" s="10">
        <v>0.93333333333333335</v>
      </c>
      <c r="W3">
        <v>75</v>
      </c>
      <c r="X3">
        <v>60</v>
      </c>
      <c r="Y3">
        <v>0</v>
      </c>
      <c r="Z3" s="10">
        <v>0.55555555555555558</v>
      </c>
      <c r="AA3" s="10">
        <v>0.55555555555555558</v>
      </c>
    </row>
    <row r="4" spans="1:31" x14ac:dyDescent="0.25">
      <c r="A4" t="s">
        <v>29</v>
      </c>
      <c r="B4">
        <v>2.9999999999999997E-4</v>
      </c>
      <c r="C4">
        <v>1E-4</v>
      </c>
      <c r="D4">
        <v>135</v>
      </c>
      <c r="E4" s="7">
        <v>2805.3700000001463</v>
      </c>
      <c r="F4" s="7">
        <v>466659.62644444447</v>
      </c>
      <c r="G4" s="7">
        <v>800333.02</v>
      </c>
      <c r="H4" s="21">
        <v>95087.110201111107</v>
      </c>
      <c r="I4" s="7">
        <v>154027.92559</v>
      </c>
      <c r="J4" s="7">
        <v>154045.84705400001</v>
      </c>
      <c r="K4" s="7">
        <v>154060.69470000002</v>
      </c>
      <c r="L4" s="8">
        <v>1.1221649291939261E-2</v>
      </c>
      <c r="M4" s="18">
        <v>5.5072560892756507E-2</v>
      </c>
      <c r="N4" s="8">
        <v>3.3998319763172365E-2</v>
      </c>
      <c r="O4" s="8">
        <v>3.3991088232233839E-2</v>
      </c>
      <c r="P4" s="9">
        <v>3.6281682301697389</v>
      </c>
      <c r="Q4" s="9">
        <v>3.7611745583938068</v>
      </c>
      <c r="R4" s="7">
        <v>-268.42000000000053</v>
      </c>
      <c r="S4" s="8">
        <v>-2.8228852410414717E-3</v>
      </c>
      <c r="T4" s="9">
        <v>19.509316245685604</v>
      </c>
      <c r="U4">
        <v>126</v>
      </c>
      <c r="V4" s="10">
        <v>0.93333333333333335</v>
      </c>
      <c r="W4">
        <v>76</v>
      </c>
      <c r="X4">
        <v>59</v>
      </c>
      <c r="Y4">
        <v>0</v>
      </c>
      <c r="Z4" s="10">
        <v>0.562962962962963</v>
      </c>
      <c r="AA4" s="10">
        <v>0.562962962962963</v>
      </c>
    </row>
    <row r="5" spans="1:31" x14ac:dyDescent="0.25">
      <c r="A5" t="s">
        <v>30</v>
      </c>
      <c r="B5">
        <v>2.9999999999999997E-4</v>
      </c>
      <c r="C5">
        <v>2.0000000000000001E-4</v>
      </c>
      <c r="D5">
        <v>135</v>
      </c>
      <c r="E5" s="7">
        <v>2742.6900000002288</v>
      </c>
      <c r="F5" s="7">
        <v>432588.09088888892</v>
      </c>
      <c r="G5" s="7">
        <v>800213.01</v>
      </c>
      <c r="H5" s="21">
        <v>88813.650790740736</v>
      </c>
      <c r="I5" s="7">
        <v>154004.41820499999</v>
      </c>
      <c r="J5" s="7">
        <v>154035.696738</v>
      </c>
      <c r="K5" s="7">
        <v>154045.59005</v>
      </c>
      <c r="L5" s="8">
        <v>1.1835018364653569E-2</v>
      </c>
      <c r="M5" s="18">
        <v>5.7645282616106353E-2</v>
      </c>
      <c r="N5" s="8">
        <v>3.3243773520740517E-2</v>
      </c>
      <c r="O5" s="8">
        <v>3.3234888440095443E-2</v>
      </c>
      <c r="P5" s="9">
        <v>3.5737300994765078</v>
      </c>
      <c r="Q5" s="9">
        <v>3.6145821677351857</v>
      </c>
      <c r="R5" s="7">
        <v>-267.24499999994487</v>
      </c>
      <c r="S5" s="8">
        <v>-3.0090531986982174E-3</v>
      </c>
      <c r="T5" s="9">
        <v>19.157282643272964</v>
      </c>
      <c r="U5">
        <v>124</v>
      </c>
      <c r="V5" s="10">
        <v>0.91851851851851851</v>
      </c>
      <c r="W5">
        <v>77</v>
      </c>
      <c r="X5">
        <v>58</v>
      </c>
      <c r="Y5">
        <v>0</v>
      </c>
      <c r="Z5" s="10">
        <v>0.57037037037037042</v>
      </c>
      <c r="AA5" s="10">
        <v>0.57037037037037042</v>
      </c>
    </row>
    <row r="6" spans="1:31" x14ac:dyDescent="0.25">
      <c r="A6" t="s">
        <v>31</v>
      </c>
      <c r="B6">
        <v>2.9999999999999997E-4</v>
      </c>
      <c r="C6">
        <v>2.9999999999999997E-4</v>
      </c>
      <c r="D6">
        <v>135</v>
      </c>
      <c r="E6" s="7">
        <v>2390.7800000002017</v>
      </c>
      <c r="F6" s="7">
        <v>405927.67133333336</v>
      </c>
      <c r="G6" s="7">
        <v>800213.01</v>
      </c>
      <c r="H6" s="21">
        <v>83925.990552962961</v>
      </c>
      <c r="I6" s="7">
        <v>154004.41820499999</v>
      </c>
      <c r="J6" s="7">
        <v>154035.696738</v>
      </c>
      <c r="K6" s="7">
        <v>154045.59005</v>
      </c>
      <c r="L6" s="8">
        <v>1.0994050537808806E-2</v>
      </c>
      <c r="M6" s="18">
        <v>5.3175295327820865E-2</v>
      </c>
      <c r="N6" s="8">
        <v>2.8978320137498615E-2</v>
      </c>
      <c r="O6" s="8">
        <v>2.8970575086798532E-2</v>
      </c>
      <c r="P6" s="9">
        <v>3.1224856475320495</v>
      </c>
      <c r="Q6" s="9">
        <v>2.7439468893272507</v>
      </c>
      <c r="R6" s="7">
        <v>-267.24499999994487</v>
      </c>
      <c r="S6" s="8">
        <v>-3.1842936644434984E-3</v>
      </c>
      <c r="T6" s="9">
        <v>16.699243515630339</v>
      </c>
      <c r="U6">
        <v>123</v>
      </c>
      <c r="V6" s="10">
        <v>0.91111111111111109</v>
      </c>
      <c r="W6">
        <v>70</v>
      </c>
      <c r="X6">
        <v>65</v>
      </c>
      <c r="Y6">
        <v>0</v>
      </c>
      <c r="Z6" s="10">
        <v>0.51851851851851849</v>
      </c>
      <c r="AA6" s="10">
        <v>0.51851851851851849</v>
      </c>
    </row>
    <row r="7" spans="1:31" x14ac:dyDescent="0.25">
      <c r="A7" t="s">
        <v>32</v>
      </c>
      <c r="B7">
        <v>4.0000000000000002E-4</v>
      </c>
      <c r="C7">
        <v>1E-4</v>
      </c>
      <c r="D7">
        <v>135</v>
      </c>
      <c r="E7" s="7">
        <v>2689.5600000002687</v>
      </c>
      <c r="F7" s="7">
        <v>405913.64600000001</v>
      </c>
      <c r="G7" s="7">
        <v>800213.85000000009</v>
      </c>
      <c r="H7" s="21">
        <v>84737.985627777787</v>
      </c>
      <c r="I7" s="7">
        <v>154003.17509500001</v>
      </c>
      <c r="J7" s="7">
        <v>154041.71709300001</v>
      </c>
      <c r="K7" s="7">
        <v>154045.97945000001</v>
      </c>
      <c r="L7" s="8">
        <v>1.2368423800170792E-2</v>
      </c>
      <c r="M7" s="18">
        <v>5.9247478716967963E-2</v>
      </c>
      <c r="N7" s="8">
        <v>3.2600055141093653E-2</v>
      </c>
      <c r="O7" s="8">
        <v>3.2590996648698974E-2</v>
      </c>
      <c r="P7" s="9">
        <v>3.5243376324436202</v>
      </c>
      <c r="Q7" s="9">
        <v>3.6073267661396491</v>
      </c>
      <c r="R7" s="7">
        <v>-335.43999999995401</v>
      </c>
      <c r="S7" s="8">
        <v>-3.9585552750028329E-3</v>
      </c>
      <c r="T7" s="9">
        <v>14.966944908183848</v>
      </c>
      <c r="U7">
        <v>124</v>
      </c>
      <c r="V7" s="10">
        <v>0.91851851851851851</v>
      </c>
      <c r="W7">
        <v>77</v>
      </c>
      <c r="X7">
        <v>58</v>
      </c>
      <c r="Y7">
        <v>0</v>
      </c>
      <c r="Z7" s="10">
        <v>0.57037037037037042</v>
      </c>
      <c r="AA7" s="10">
        <v>0.57037037037037042</v>
      </c>
    </row>
    <row r="8" spans="1:31" x14ac:dyDescent="0.25">
      <c r="A8" t="s">
        <v>33</v>
      </c>
      <c r="B8">
        <v>4.0000000000000002E-4</v>
      </c>
      <c r="C8">
        <v>2.0000000000000001E-4</v>
      </c>
      <c r="D8">
        <v>135</v>
      </c>
      <c r="E8" s="7">
        <v>2776.5300000003508</v>
      </c>
      <c r="F8" s="7">
        <v>368878.83577777777</v>
      </c>
      <c r="G8" s="7">
        <v>800213.01</v>
      </c>
      <c r="H8" s="21">
        <v>77649.711769259258</v>
      </c>
      <c r="I8" s="7">
        <v>153970.55014000001</v>
      </c>
      <c r="J8" s="7">
        <v>154029.70370700001</v>
      </c>
      <c r="K8" s="7">
        <v>154045.59005</v>
      </c>
      <c r="L8" s="8">
        <v>1.4050293747736024E-2</v>
      </c>
      <c r="M8" s="18">
        <v>6.6746622516794654E-2</v>
      </c>
      <c r="N8" s="8">
        <v>3.3661346246331297E-2</v>
      </c>
      <c r="O8" s="8">
        <v>3.3644948864283666E-2</v>
      </c>
      <c r="P8" s="9">
        <v>3.6979873519166571</v>
      </c>
      <c r="Q8" s="9">
        <v>2.9608294339218846</v>
      </c>
      <c r="R8" s="7">
        <v>-266.75999999996816</v>
      </c>
      <c r="S8" s="8">
        <v>-3.4354280772176124E-3</v>
      </c>
      <c r="T8" s="9">
        <v>19.428909881546236</v>
      </c>
      <c r="U8">
        <v>120</v>
      </c>
      <c r="V8" s="10">
        <v>0.88888888888888884</v>
      </c>
      <c r="W8">
        <v>76</v>
      </c>
      <c r="X8">
        <v>57</v>
      </c>
      <c r="Y8">
        <v>2</v>
      </c>
      <c r="Z8" s="10">
        <v>0.562962962962963</v>
      </c>
      <c r="AA8" s="10">
        <v>0.5714285714285714</v>
      </c>
    </row>
    <row r="9" spans="1:31" x14ac:dyDescent="0.25">
      <c r="A9" t="s">
        <v>34</v>
      </c>
      <c r="B9">
        <v>4.0000000000000002E-4</v>
      </c>
      <c r="C9">
        <v>2.9999999999999997E-4</v>
      </c>
      <c r="D9">
        <v>135</v>
      </c>
      <c r="E9" s="7">
        <v>2454.5600000003351</v>
      </c>
      <c r="F9" s="7">
        <v>343699.01044444443</v>
      </c>
      <c r="G9" s="7">
        <v>800213.01</v>
      </c>
      <c r="H9" s="21">
        <v>73006.349578148147</v>
      </c>
      <c r="I9" s="7">
        <v>153883.40968000001</v>
      </c>
      <c r="J9" s="7">
        <v>154029.70370700001</v>
      </c>
      <c r="K9" s="7">
        <v>154045.59005</v>
      </c>
      <c r="L9" s="8">
        <v>1.3330982033986883E-2</v>
      </c>
      <c r="M9" s="18">
        <v>6.2759545708136202E-2</v>
      </c>
      <c r="N9" s="8">
        <v>2.9774784317957926E-2</v>
      </c>
      <c r="O9" s="8">
        <v>2.97434371983436E-2</v>
      </c>
      <c r="P9" s="9">
        <v>3.2798691429431783</v>
      </c>
      <c r="Q9" s="9">
        <v>3.4219531400164613</v>
      </c>
      <c r="R9" s="7">
        <v>-280.7899999999488</v>
      </c>
      <c r="S9" s="8">
        <v>-3.8461038200435279E-3</v>
      </c>
      <c r="T9" s="9">
        <v>16.317694124914684</v>
      </c>
      <c r="U9">
        <v>117</v>
      </c>
      <c r="V9" s="10">
        <v>0.8666666666666667</v>
      </c>
      <c r="W9">
        <v>73</v>
      </c>
      <c r="X9">
        <v>60</v>
      </c>
      <c r="Y9">
        <v>2</v>
      </c>
      <c r="Z9" s="10">
        <v>0.54074074074074074</v>
      </c>
      <c r="AA9" s="10">
        <v>0.54887218045112784</v>
      </c>
    </row>
    <row r="10" spans="1:31" x14ac:dyDescent="0.25">
      <c r="A10" t="s">
        <v>35</v>
      </c>
      <c r="B10">
        <v>4.0000000000000002E-4</v>
      </c>
      <c r="C10">
        <v>4.0000000000000002E-4</v>
      </c>
      <c r="D10">
        <v>135</v>
      </c>
      <c r="E10" s="7">
        <v>2314.8000000002976</v>
      </c>
      <c r="F10" s="7">
        <v>321475.00029629626</v>
      </c>
      <c r="G10" s="7">
        <v>800152</v>
      </c>
      <c r="H10" s="21">
        <v>68524.476256296301</v>
      </c>
      <c r="I10" s="7">
        <v>121052.030715</v>
      </c>
      <c r="J10" s="7">
        <v>154013.810401</v>
      </c>
      <c r="K10" s="7">
        <v>154034.19900000002</v>
      </c>
      <c r="L10" s="8">
        <v>1.3441045169975968E-2</v>
      </c>
      <c r="M10" s="18">
        <v>6.3057176589562461E-2</v>
      </c>
      <c r="N10" s="8">
        <v>3.569506413464181E-2</v>
      </c>
      <c r="O10" s="8">
        <v>2.8051952281068146E-2</v>
      </c>
      <c r="P10" s="9">
        <v>3.1328785869013882</v>
      </c>
      <c r="Q10" s="9">
        <v>3.1514783877992927</v>
      </c>
      <c r="R10" s="7">
        <v>-321.68999999996129</v>
      </c>
      <c r="S10" s="8">
        <v>-4.6945269424135605E-3</v>
      </c>
      <c r="T10" s="9">
        <v>13.432061922972663</v>
      </c>
      <c r="U10">
        <v>112</v>
      </c>
      <c r="V10" s="10">
        <v>0.82962962962962961</v>
      </c>
      <c r="W10">
        <v>67</v>
      </c>
      <c r="X10">
        <v>64</v>
      </c>
      <c r="Y10">
        <v>4</v>
      </c>
      <c r="Z10" s="10">
        <v>0.49629629629629629</v>
      </c>
      <c r="AA10" s="10">
        <v>0.51145038167938928</v>
      </c>
    </row>
    <row r="11" spans="1:31" s="12" customFormat="1" x14ac:dyDescent="0.25">
      <c r="A11" s="12" t="s">
        <v>36</v>
      </c>
      <c r="B11" s="12">
        <v>5.0000000000000001E-4</v>
      </c>
      <c r="C11" s="12">
        <v>1E-4</v>
      </c>
      <c r="D11" s="12">
        <v>135</v>
      </c>
      <c r="E11" s="13">
        <v>3658.8200000001989</v>
      </c>
      <c r="F11" s="13">
        <v>367394.8627407407</v>
      </c>
      <c r="G11" s="13">
        <v>800241.4700000002</v>
      </c>
      <c r="H11" s="22">
        <v>77730.764006296304</v>
      </c>
      <c r="I11" s="13">
        <v>153884.57623000001</v>
      </c>
      <c r="J11" s="13">
        <v>154037.87582700001</v>
      </c>
      <c r="K11" s="13">
        <v>154045.59005</v>
      </c>
      <c r="L11" s="14">
        <v>1.8589800854546198E-2</v>
      </c>
      <c r="M11" s="19">
        <v>8.7864790995499292E-2</v>
      </c>
      <c r="N11" s="14">
        <v>4.4382598312684089E-2</v>
      </c>
      <c r="O11" s="14">
        <v>4.4336208073966245E-2</v>
      </c>
      <c r="P11" s="15">
        <v>4.4524523647806635</v>
      </c>
      <c r="Q11" s="15">
        <v>5.3090053186838775</v>
      </c>
      <c r="R11" s="13">
        <v>-234.94499999996719</v>
      </c>
      <c r="S11" s="14">
        <v>-3.0225484465962061E-3</v>
      </c>
      <c r="T11" s="15">
        <v>29.069770939303488</v>
      </c>
      <c r="U11" s="12">
        <v>120</v>
      </c>
      <c r="V11" s="16">
        <v>0.88888888888888884</v>
      </c>
      <c r="W11" s="12">
        <v>75</v>
      </c>
      <c r="X11" s="12">
        <v>60</v>
      </c>
      <c r="Y11" s="12">
        <v>0</v>
      </c>
      <c r="Z11" s="16">
        <v>0.55555555555555558</v>
      </c>
      <c r="AA11" s="16">
        <v>0.55555555555555558</v>
      </c>
    </row>
    <row r="12" spans="1:31" x14ac:dyDescent="0.25">
      <c r="A12" t="s">
        <v>37</v>
      </c>
      <c r="B12">
        <v>5.0000000000000001E-4</v>
      </c>
      <c r="C12">
        <v>2.0000000000000001E-4</v>
      </c>
      <c r="D12">
        <v>135</v>
      </c>
      <c r="E12" s="7">
        <v>3513.9200000002661</v>
      </c>
      <c r="F12" s="7">
        <v>318510.57014814817</v>
      </c>
      <c r="G12" s="7">
        <v>800213.01</v>
      </c>
      <c r="H12" s="21">
        <v>67546.459709259274</v>
      </c>
      <c r="I12" s="7">
        <v>121043.65553500001</v>
      </c>
      <c r="J12" s="7">
        <v>154019.58682000003</v>
      </c>
      <c r="K12" s="7">
        <v>154045.59005</v>
      </c>
      <c r="L12" s="8">
        <v>2.0593719480904219E-2</v>
      </c>
      <c r="M12" s="18">
        <v>9.7108232786250359E-2</v>
      </c>
      <c r="N12" s="8">
        <v>5.4189683088653837E-2</v>
      </c>
      <c r="O12" s="8">
        <v>4.2580364236358935E-2</v>
      </c>
      <c r="P12" s="9">
        <v>4.3333731912733544</v>
      </c>
      <c r="Q12" s="9">
        <v>5.1091285394473198</v>
      </c>
      <c r="R12" s="7">
        <v>-197.02999999999383</v>
      </c>
      <c r="S12" s="8">
        <v>-2.9169552460346776E-3</v>
      </c>
      <c r="T12" s="9">
        <v>33.290957383819908</v>
      </c>
      <c r="U12">
        <v>115</v>
      </c>
      <c r="V12" s="10">
        <v>0.85185185185185186</v>
      </c>
      <c r="W12">
        <v>77</v>
      </c>
      <c r="X12">
        <v>56</v>
      </c>
      <c r="Y12">
        <v>2</v>
      </c>
      <c r="Z12" s="10">
        <v>0.57037037037037042</v>
      </c>
      <c r="AA12" s="10">
        <v>0.57894736842105265</v>
      </c>
    </row>
    <row r="13" spans="1:31" x14ac:dyDescent="0.25">
      <c r="A13" t="s">
        <v>38</v>
      </c>
      <c r="B13">
        <v>5.0000000000000001E-4</v>
      </c>
      <c r="C13">
        <v>2.9999999999999997E-4</v>
      </c>
      <c r="D13">
        <v>135</v>
      </c>
      <c r="E13" s="7">
        <v>3217.5500000002257</v>
      </c>
      <c r="F13" s="7">
        <v>291847.66422222223</v>
      </c>
      <c r="G13" s="7">
        <v>800213.01</v>
      </c>
      <c r="H13" s="21">
        <v>62821.300850000014</v>
      </c>
      <c r="I13" s="7">
        <v>121030.29735500002</v>
      </c>
      <c r="J13" s="7">
        <v>154019.58682000003</v>
      </c>
      <c r="K13" s="7">
        <v>154045.59005</v>
      </c>
      <c r="L13" s="8">
        <v>2.0579549092298102E-2</v>
      </c>
      <c r="M13" s="18">
        <v>9.5606000704675842E-2</v>
      </c>
      <c r="N13" s="8">
        <v>4.9624709387575759E-2</v>
      </c>
      <c r="O13" s="8">
        <v>3.8989063766020834E-2</v>
      </c>
      <c r="P13" s="9">
        <v>4.0734934612359517</v>
      </c>
      <c r="Q13" s="9">
        <v>5.4903175906199415</v>
      </c>
      <c r="R13" s="7">
        <v>-197.02999999999386</v>
      </c>
      <c r="S13" s="8">
        <v>-3.1363565754623148E-3</v>
      </c>
      <c r="T13" s="9">
        <v>30.483141315200434</v>
      </c>
      <c r="U13">
        <v>112</v>
      </c>
      <c r="V13" s="10">
        <v>0.82962962962962961</v>
      </c>
      <c r="W13">
        <v>74</v>
      </c>
      <c r="X13">
        <v>59</v>
      </c>
      <c r="Y13">
        <v>2</v>
      </c>
      <c r="Z13" s="10">
        <v>0.54814814814814816</v>
      </c>
      <c r="AA13" s="10">
        <v>0.55639097744360899</v>
      </c>
    </row>
    <row r="14" spans="1:31" x14ac:dyDescent="0.25">
      <c r="A14" t="s">
        <v>39</v>
      </c>
      <c r="B14">
        <v>5.0000000000000001E-4</v>
      </c>
      <c r="C14">
        <v>4.0000000000000002E-4</v>
      </c>
      <c r="D14">
        <v>135</v>
      </c>
      <c r="E14" s="7">
        <v>3163.4900000002017</v>
      </c>
      <c r="F14" s="7">
        <v>269624.14266666665</v>
      </c>
      <c r="G14" s="7">
        <v>800152</v>
      </c>
      <c r="H14" s="21">
        <v>58339.527929629643</v>
      </c>
      <c r="I14" s="7">
        <v>121011.90738999999</v>
      </c>
      <c r="J14" s="7">
        <v>142793.29842799989</v>
      </c>
      <c r="K14" s="7">
        <v>154034.19900000002</v>
      </c>
      <c r="L14" s="8">
        <v>2.1901530311527851E-2</v>
      </c>
      <c r="M14" s="18">
        <v>0.10122093103764333</v>
      </c>
      <c r="N14" s="8">
        <v>4.8798349358318546E-2</v>
      </c>
      <c r="O14" s="8">
        <v>3.8336819820991241E-2</v>
      </c>
      <c r="P14" s="9">
        <v>4.0454905454014751</v>
      </c>
      <c r="Q14" s="9">
        <v>5.5193718552348381</v>
      </c>
      <c r="R14" s="7">
        <v>-197.02999999999383</v>
      </c>
      <c r="S14" s="8">
        <v>-3.3772984971296911E-3</v>
      </c>
      <c r="T14" s="9">
        <v>29.970975655148425</v>
      </c>
      <c r="U14">
        <v>104</v>
      </c>
      <c r="V14" s="10">
        <v>0.77037037037037037</v>
      </c>
      <c r="W14">
        <v>70</v>
      </c>
      <c r="X14">
        <v>57</v>
      </c>
      <c r="Y14">
        <v>8</v>
      </c>
      <c r="Z14" s="10">
        <v>0.51851851851851849</v>
      </c>
      <c r="AA14" s="10">
        <v>0.55118110236220474</v>
      </c>
    </row>
    <row r="15" spans="1:31" x14ac:dyDescent="0.25">
      <c r="A15" t="s">
        <v>40</v>
      </c>
      <c r="B15">
        <v>5.0000000000000001E-4</v>
      </c>
      <c r="C15">
        <v>5.0000000000000001E-4</v>
      </c>
      <c r="D15">
        <v>135</v>
      </c>
      <c r="E15" s="7">
        <v>2288.6200000002218</v>
      </c>
      <c r="F15" s="7">
        <v>253324.92555555559</v>
      </c>
      <c r="G15" s="7">
        <v>800152</v>
      </c>
      <c r="H15" s="21">
        <v>54672.252258148153</v>
      </c>
      <c r="I15" s="7">
        <v>120997.20473500002</v>
      </c>
      <c r="J15" s="7">
        <v>142793.29842799989</v>
      </c>
      <c r="K15" s="7">
        <v>154034.19900000002</v>
      </c>
      <c r="L15" s="8">
        <v>1.6864075484471767E-2</v>
      </c>
      <c r="M15" s="18">
        <v>7.8140016008401855E-2</v>
      </c>
      <c r="N15" s="8">
        <v>3.5307350083198429E-2</v>
      </c>
      <c r="O15" s="8">
        <v>2.7734689402754514E-2</v>
      </c>
      <c r="P15" s="9">
        <v>3.3829742554317765</v>
      </c>
      <c r="Q15" s="9">
        <v>4.722870607925536</v>
      </c>
      <c r="R15" s="7">
        <v>-197.02999999999383</v>
      </c>
      <c r="S15" s="8">
        <v>-3.6038390931778233E-3</v>
      </c>
      <c r="T15" s="9">
        <v>21.682437530666469</v>
      </c>
      <c r="U15">
        <v>99</v>
      </c>
      <c r="V15" s="10">
        <v>0.73333333333333328</v>
      </c>
      <c r="W15">
        <v>64</v>
      </c>
      <c r="X15">
        <v>59</v>
      </c>
      <c r="Y15">
        <v>12</v>
      </c>
      <c r="Z15" s="10">
        <v>0.47407407407407409</v>
      </c>
      <c r="AA15" s="10">
        <v>0.52032520325203258</v>
      </c>
    </row>
    <row r="16" spans="1:31" x14ac:dyDescent="0.25">
      <c r="A16" t="s">
        <v>41</v>
      </c>
      <c r="B16">
        <v>5.9999999999999995E-4</v>
      </c>
      <c r="C16">
        <v>1E-4</v>
      </c>
      <c r="D16">
        <v>135</v>
      </c>
      <c r="E16" s="7">
        <v>3321.3100000001432</v>
      </c>
      <c r="F16" s="7">
        <v>317027.06488888891</v>
      </c>
      <c r="G16" s="7">
        <v>800241.4700000002</v>
      </c>
      <c r="H16" s="21">
        <v>68605.544683703716</v>
      </c>
      <c r="I16" s="7">
        <v>121032.456435</v>
      </c>
      <c r="J16" s="7">
        <v>154022.625416</v>
      </c>
      <c r="K16" s="7">
        <v>154045.59005</v>
      </c>
      <c r="L16" s="8">
        <v>1.955599175370034E-2</v>
      </c>
      <c r="M16" s="18">
        <v>9.0368478163829882E-2</v>
      </c>
      <c r="N16" s="8">
        <v>5.1224100123891149E-2</v>
      </c>
      <c r="O16" s="8">
        <v>4.0246388518195259E-2</v>
      </c>
      <c r="P16" s="9">
        <v>4.0809715474224761</v>
      </c>
      <c r="Q16" s="9">
        <v>3.711883145671766</v>
      </c>
      <c r="R16" s="7">
        <v>-196.6300000000067</v>
      </c>
      <c r="S16" s="8">
        <v>-2.8660948747880636E-3</v>
      </c>
      <c r="T16" s="9">
        <v>31.530176812626369</v>
      </c>
      <c r="U16">
        <v>118</v>
      </c>
      <c r="V16" s="10">
        <v>0.87407407407407411</v>
      </c>
      <c r="W16">
        <v>69</v>
      </c>
      <c r="X16">
        <v>64</v>
      </c>
      <c r="Y16">
        <v>2</v>
      </c>
      <c r="Z16" s="10">
        <v>0.51111111111111107</v>
      </c>
      <c r="AA16" s="10">
        <v>0.51879699248120303</v>
      </c>
    </row>
    <row r="17" spans="1:27" x14ac:dyDescent="0.25">
      <c r="A17" t="s">
        <v>42</v>
      </c>
      <c r="B17">
        <v>5.9999999999999995E-4</v>
      </c>
      <c r="C17">
        <v>2.0000000000000001E-4</v>
      </c>
      <c r="D17">
        <v>135</v>
      </c>
      <c r="E17" s="7">
        <v>3544.2100000001537</v>
      </c>
      <c r="F17" s="7">
        <v>269626.56007407408</v>
      </c>
      <c r="G17" s="7">
        <v>800213.01</v>
      </c>
      <c r="H17" s="21">
        <v>58503.105682592592</v>
      </c>
      <c r="I17" s="7">
        <v>121028.12117000001</v>
      </c>
      <c r="J17" s="7">
        <v>142789.5264509999</v>
      </c>
      <c r="K17" s="7">
        <v>154045.59005</v>
      </c>
      <c r="L17" s="8">
        <v>2.4537117800447365E-2</v>
      </c>
      <c r="M17" s="18">
        <v>0.11308559758453098</v>
      </c>
      <c r="N17" s="8">
        <v>5.4663813688176688E-2</v>
      </c>
      <c r="O17" s="8">
        <v>4.2947407092404161E-2</v>
      </c>
      <c r="P17" s="9">
        <v>4.3546078136376112</v>
      </c>
      <c r="Q17" s="9">
        <v>4.9480488496720465</v>
      </c>
      <c r="R17" s="7">
        <v>-196.6300000000067</v>
      </c>
      <c r="S17" s="8">
        <v>-3.3610181494777179E-3</v>
      </c>
      <c r="T17" s="9">
        <v>33.646232348404247</v>
      </c>
      <c r="U17">
        <v>104</v>
      </c>
      <c r="V17" s="10">
        <v>0.77037037037037037</v>
      </c>
      <c r="W17">
        <v>69</v>
      </c>
      <c r="X17">
        <v>57</v>
      </c>
      <c r="Y17">
        <v>9</v>
      </c>
      <c r="Z17" s="10">
        <v>0.51111111111111107</v>
      </c>
      <c r="AA17" s="10">
        <v>0.54761904761904767</v>
      </c>
    </row>
    <row r="18" spans="1:27" x14ac:dyDescent="0.25">
      <c r="A18" t="s">
        <v>43</v>
      </c>
      <c r="B18">
        <v>5.9999999999999995E-4</v>
      </c>
      <c r="C18">
        <v>2.9999999999999997E-4</v>
      </c>
      <c r="D18">
        <v>135</v>
      </c>
      <c r="E18" s="7">
        <v>3511.9400000001397</v>
      </c>
      <c r="F18" s="7">
        <v>250371.22081481482</v>
      </c>
      <c r="G18" s="7">
        <v>800213.01</v>
      </c>
      <c r="H18" s="21">
        <v>55000.195323333341</v>
      </c>
      <c r="I18" s="7">
        <v>121025.58732000002</v>
      </c>
      <c r="J18" s="7">
        <v>142789.5264509999</v>
      </c>
      <c r="K18" s="7">
        <v>154045.59005</v>
      </c>
      <c r="L18" s="8">
        <v>2.6183605735510672E-2</v>
      </c>
      <c r="M18" s="18">
        <v>0.1191926918585402</v>
      </c>
      <c r="N18" s="8">
        <v>5.4167234206433372E-2</v>
      </c>
      <c r="O18" s="8">
        <v>4.2556371339197541E-2</v>
      </c>
      <c r="P18" s="9">
        <v>4.3827847271266922</v>
      </c>
      <c r="Q18" s="9">
        <v>5.2796893696591161</v>
      </c>
      <c r="R18" s="7">
        <v>-196.6300000000067</v>
      </c>
      <c r="S18" s="8">
        <v>-3.5750782127966043E-3</v>
      </c>
      <c r="T18" s="9">
        <v>33.339883707132032</v>
      </c>
      <c r="U18">
        <v>100</v>
      </c>
      <c r="V18" s="10">
        <v>0.7407407407407407</v>
      </c>
      <c r="W18">
        <v>70</v>
      </c>
      <c r="X18">
        <v>55</v>
      </c>
      <c r="Y18">
        <v>10</v>
      </c>
      <c r="Z18" s="10">
        <v>0.51851851851851849</v>
      </c>
      <c r="AA18" s="10">
        <v>0.56000000000000005</v>
      </c>
    </row>
    <row r="19" spans="1:27" x14ac:dyDescent="0.25">
      <c r="A19" t="s">
        <v>44</v>
      </c>
      <c r="B19">
        <v>5.9999999999999995E-4</v>
      </c>
      <c r="C19">
        <v>4.0000000000000002E-4</v>
      </c>
      <c r="D19">
        <v>135</v>
      </c>
      <c r="E19" s="7">
        <v>3518.8700000001054</v>
      </c>
      <c r="F19" s="7">
        <v>229629.60837037038</v>
      </c>
      <c r="G19" s="7">
        <v>799985.91</v>
      </c>
      <c r="H19" s="21">
        <v>50762.937406296303</v>
      </c>
      <c r="I19" s="7">
        <v>121011.23402500001</v>
      </c>
      <c r="J19" s="7">
        <v>121056.024573</v>
      </c>
      <c r="K19" s="7">
        <v>153989.34484999999</v>
      </c>
      <c r="L19" s="8">
        <v>2.8605010390206655E-2</v>
      </c>
      <c r="M19" s="18">
        <v>0.12939671478740725</v>
      </c>
      <c r="N19" s="8">
        <v>5.4280558216409189E-2</v>
      </c>
      <c r="O19" s="8">
        <v>4.2655921029678509E-2</v>
      </c>
      <c r="P19" s="9">
        <v>4.444761106473865</v>
      </c>
      <c r="Q19" s="9">
        <v>5.4093503046023459</v>
      </c>
      <c r="R19" s="7">
        <v>-147.11000000001536</v>
      </c>
      <c r="S19" s="8">
        <v>-2.8979804462964114E-3</v>
      </c>
      <c r="T19" s="9">
        <v>44.650651439962232</v>
      </c>
      <c r="U19">
        <v>93</v>
      </c>
      <c r="V19" s="10">
        <v>0.68888888888888888</v>
      </c>
      <c r="W19">
        <v>66</v>
      </c>
      <c r="X19">
        <v>53</v>
      </c>
      <c r="Y19">
        <v>16</v>
      </c>
      <c r="Z19" s="10">
        <v>0.48888888888888887</v>
      </c>
      <c r="AA19" s="10">
        <v>0.55462184873949583</v>
      </c>
    </row>
    <row r="20" spans="1:27" x14ac:dyDescent="0.25">
      <c r="A20" t="s">
        <v>45</v>
      </c>
      <c r="B20">
        <v>5.9999999999999995E-4</v>
      </c>
      <c r="C20">
        <v>5.0000000000000001E-4</v>
      </c>
      <c r="D20">
        <v>135</v>
      </c>
      <c r="E20" s="7">
        <v>2644.9400000001137</v>
      </c>
      <c r="F20" s="7">
        <v>213331.8348888889</v>
      </c>
      <c r="G20" s="7">
        <v>799985.91</v>
      </c>
      <c r="H20" s="21">
        <v>46932.892229259262</v>
      </c>
      <c r="I20" s="7">
        <v>120970.38052000002</v>
      </c>
      <c r="J20" s="7">
        <v>121049.761008</v>
      </c>
      <c r="K20" s="7">
        <v>153989.34484999999</v>
      </c>
      <c r="L20" s="8">
        <v>2.3143387558190894E-2</v>
      </c>
      <c r="M20" s="18">
        <v>0.10519746597367263</v>
      </c>
      <c r="N20" s="8">
        <v>4.0813472786565927E-2</v>
      </c>
      <c r="O20" s="8">
        <v>3.2062097141479881E-2</v>
      </c>
      <c r="P20" s="9">
        <v>3.9080845006855562</v>
      </c>
      <c r="Q20" s="9">
        <v>4.8818127514770593</v>
      </c>
      <c r="R20" s="7">
        <v>-155.79500000000826</v>
      </c>
      <c r="S20" s="8">
        <v>-3.3195269372911424E-3</v>
      </c>
      <c r="T20" s="9">
        <v>31.690499267199105</v>
      </c>
      <c r="U20">
        <v>90</v>
      </c>
      <c r="V20" s="10">
        <v>0.66666666666666663</v>
      </c>
      <c r="W20">
        <v>64</v>
      </c>
      <c r="X20">
        <v>52</v>
      </c>
      <c r="Y20">
        <v>19</v>
      </c>
      <c r="Z20" s="10">
        <v>0.47407407407407409</v>
      </c>
      <c r="AA20" s="10">
        <v>0.55172413793103448</v>
      </c>
    </row>
    <row r="21" spans="1:27" x14ac:dyDescent="0.25">
      <c r="A21" t="s">
        <v>46</v>
      </c>
      <c r="B21">
        <v>5.9999999999999995E-4</v>
      </c>
      <c r="C21">
        <v>5.9999999999999995E-4</v>
      </c>
      <c r="D21">
        <v>135</v>
      </c>
      <c r="E21" s="7">
        <v>2321.5000000001819</v>
      </c>
      <c r="F21" s="7">
        <v>186665.75000000003</v>
      </c>
      <c r="G21" s="7">
        <v>799985.91</v>
      </c>
      <c r="H21" s="21">
        <v>40414.667125555556</v>
      </c>
      <c r="I21" s="7">
        <v>120955.53382000001</v>
      </c>
      <c r="J21" s="7">
        <v>121049.761008</v>
      </c>
      <c r="K21" s="7">
        <v>153989.34484999999</v>
      </c>
      <c r="L21" s="8">
        <v>2.3215114002793795E-2</v>
      </c>
      <c r="M21" s="18">
        <v>0.10722509858127248</v>
      </c>
      <c r="N21" s="8">
        <v>3.5826940114338672E-2</v>
      </c>
      <c r="O21" s="8">
        <v>2.8141341018680269E-2</v>
      </c>
      <c r="P21" s="9">
        <v>3.6238171135986188</v>
      </c>
      <c r="Q21" s="9">
        <v>5.1395293069707337</v>
      </c>
      <c r="R21" s="7">
        <v>-151.73000000000678</v>
      </c>
      <c r="S21" s="8">
        <v>-3.754330068552335E-3</v>
      </c>
      <c r="T21" s="9">
        <v>28.56038137920525</v>
      </c>
      <c r="U21">
        <v>83</v>
      </c>
      <c r="V21" s="10">
        <v>0.61481481481481481</v>
      </c>
      <c r="W21">
        <v>58</v>
      </c>
      <c r="X21">
        <v>54</v>
      </c>
      <c r="Y21">
        <v>23</v>
      </c>
      <c r="Z21" s="10">
        <v>0.42962962962962964</v>
      </c>
      <c r="AA21" s="10">
        <v>0.5178571428571429</v>
      </c>
    </row>
    <row r="22" spans="1:27" s="12" customFormat="1" x14ac:dyDescent="0.25">
      <c r="A22" s="12" t="s">
        <v>47</v>
      </c>
      <c r="B22" s="12">
        <v>6.9999999999999999E-4</v>
      </c>
      <c r="C22" s="12">
        <v>1E-4</v>
      </c>
      <c r="D22" s="12">
        <v>135</v>
      </c>
      <c r="E22" s="13">
        <v>3412.5500000002012</v>
      </c>
      <c r="F22" s="13">
        <v>271096.82444444444</v>
      </c>
      <c r="G22" s="13">
        <v>600200.46</v>
      </c>
      <c r="H22" s="22">
        <v>59071.540016296298</v>
      </c>
      <c r="I22" s="13">
        <v>121011.23402500001</v>
      </c>
      <c r="J22" s="13">
        <v>121032.98060700002</v>
      </c>
      <c r="K22" s="13">
        <v>121043.4577</v>
      </c>
      <c r="L22" s="14">
        <v>2.349748414201408E-2</v>
      </c>
      <c r="M22" s="19">
        <v>0.10783692674300292</v>
      </c>
      <c r="N22" s="14">
        <v>5.2640512136399628E-2</v>
      </c>
      <c r="O22" s="14">
        <v>5.2626498402926151E-2</v>
      </c>
      <c r="P22" s="15">
        <v>4.5036392338024394</v>
      </c>
      <c r="Q22" s="15">
        <v>5.1217820406884433</v>
      </c>
      <c r="R22" s="13">
        <v>-228.20499999996809</v>
      </c>
      <c r="S22" s="14">
        <v>-3.8631970647288404E-3</v>
      </c>
      <c r="T22" s="15">
        <v>27.913907816807697</v>
      </c>
      <c r="U22" s="12">
        <v>107</v>
      </c>
      <c r="V22" s="16">
        <v>0.79259259259259263</v>
      </c>
      <c r="W22" s="12">
        <v>66</v>
      </c>
      <c r="X22" s="12">
        <v>55</v>
      </c>
      <c r="Y22" s="12">
        <v>14</v>
      </c>
      <c r="Z22" s="16">
        <v>0.48888888888888887</v>
      </c>
      <c r="AA22" s="16">
        <v>0.54545454545454541</v>
      </c>
    </row>
    <row r="23" spans="1:27" x14ac:dyDescent="0.25">
      <c r="A23" t="s">
        <v>48</v>
      </c>
      <c r="B23">
        <v>6.9999999999999999E-4</v>
      </c>
      <c r="C23">
        <v>2.0000000000000001E-4</v>
      </c>
      <c r="D23">
        <v>135</v>
      </c>
      <c r="E23" s="7">
        <v>3465.8700000001827</v>
      </c>
      <c r="F23" s="7">
        <v>220732.73444444445</v>
      </c>
      <c r="G23" s="7">
        <v>600200.46</v>
      </c>
      <c r="H23" s="21">
        <v>47502.320412962967</v>
      </c>
      <c r="I23" s="7">
        <v>121006.21604500001</v>
      </c>
      <c r="J23" s="7">
        <v>121032.98060700002</v>
      </c>
      <c r="K23" s="7">
        <v>121043.4577</v>
      </c>
      <c r="L23" s="8">
        <v>2.9309762397876971E-2</v>
      </c>
      <c r="M23" s="18">
        <v>0.13619595724496097</v>
      </c>
      <c r="N23" s="8">
        <v>5.3465220312272271E-2</v>
      </c>
      <c r="O23" s="8">
        <v>5.3448770573251238E-2</v>
      </c>
      <c r="P23" s="9">
        <v>4.5910475078882786</v>
      </c>
      <c r="Q23" s="9">
        <v>5.9729541171513061</v>
      </c>
      <c r="R23" s="7">
        <v>-172.81499999998823</v>
      </c>
      <c r="S23" s="8">
        <v>-3.6380328055054031E-3</v>
      </c>
      <c r="T23" s="9">
        <v>37.436703989820224</v>
      </c>
      <c r="U23">
        <v>87</v>
      </c>
      <c r="V23" s="10">
        <v>0.64444444444444449</v>
      </c>
      <c r="W23">
        <v>62</v>
      </c>
      <c r="X23">
        <v>46</v>
      </c>
      <c r="Y23">
        <v>27</v>
      </c>
      <c r="Z23" s="10">
        <v>0.45925925925925926</v>
      </c>
      <c r="AA23" s="10">
        <v>0.57407407407407407</v>
      </c>
    </row>
    <row r="24" spans="1:27" x14ac:dyDescent="0.25">
      <c r="A24" t="s">
        <v>49</v>
      </c>
      <c r="B24">
        <v>6.9999999999999999E-4</v>
      </c>
      <c r="C24">
        <v>2.9999999999999997E-4</v>
      </c>
      <c r="D24">
        <v>135</v>
      </c>
      <c r="E24" s="7">
        <v>3338.6500000001229</v>
      </c>
      <c r="F24" s="7">
        <v>195552.45866666664</v>
      </c>
      <c r="G24" s="7">
        <v>600200.46</v>
      </c>
      <c r="H24" s="21">
        <v>43021.729943703707</v>
      </c>
      <c r="I24" s="7">
        <v>121006.21604500001</v>
      </c>
      <c r="J24" s="7">
        <v>121032.98060700002</v>
      </c>
      <c r="K24" s="7">
        <v>121043.4577</v>
      </c>
      <c r="L24" s="8">
        <v>3.1869436514168514E-2</v>
      </c>
      <c r="M24" s="18">
        <v>0.14486043854633465</v>
      </c>
      <c r="N24" s="8">
        <v>5.1502698541943281E-2</v>
      </c>
      <c r="O24" s="8">
        <v>5.1486852615470979E-2</v>
      </c>
      <c r="P24" s="9">
        <v>4.444343219000797</v>
      </c>
      <c r="Q24" s="9">
        <v>5.7441083588857662</v>
      </c>
      <c r="R24" s="7">
        <v>-128.39999999999782</v>
      </c>
      <c r="S24" s="8">
        <v>-2.9845382825845509E-3</v>
      </c>
      <c r="T24" s="9">
        <v>48.536967808933042</v>
      </c>
      <c r="U24">
        <v>79</v>
      </c>
      <c r="V24" s="10">
        <v>0.58518518518518514</v>
      </c>
      <c r="W24">
        <v>57</v>
      </c>
      <c r="X24">
        <v>47</v>
      </c>
      <c r="Y24">
        <v>31</v>
      </c>
      <c r="Z24" s="10">
        <v>0.42222222222222222</v>
      </c>
      <c r="AA24" s="10">
        <v>0.54807692307692313</v>
      </c>
    </row>
    <row r="25" spans="1:27" x14ac:dyDescent="0.25">
      <c r="A25" t="s">
        <v>50</v>
      </c>
      <c r="B25">
        <v>6.9999999999999999E-4</v>
      </c>
      <c r="C25">
        <v>4.0000000000000002E-4</v>
      </c>
      <c r="D25">
        <v>135</v>
      </c>
      <c r="E25" s="7">
        <v>3376.6800000001126</v>
      </c>
      <c r="F25" s="7">
        <v>188146.742</v>
      </c>
      <c r="G25" s="7">
        <v>600140.46000000008</v>
      </c>
      <c r="H25" s="21">
        <v>41799.786693703703</v>
      </c>
      <c r="I25" s="7">
        <v>120964.46142000001</v>
      </c>
      <c r="J25" s="7">
        <v>121025.906133</v>
      </c>
      <c r="K25" s="7">
        <v>121034.37170000002</v>
      </c>
      <c r="L25" s="8">
        <v>3.350117006012366E-2</v>
      </c>
      <c r="M25" s="18">
        <v>0.15079349677517973</v>
      </c>
      <c r="N25" s="8">
        <v>5.2107337361798588E-2</v>
      </c>
      <c r="O25" s="8">
        <v>5.2077239807741399E-2</v>
      </c>
      <c r="P25" s="9">
        <v>4.5053603777860038</v>
      </c>
      <c r="Q25" s="9">
        <v>5.8036149904646654</v>
      </c>
      <c r="R25" s="7">
        <v>-128.39999999999782</v>
      </c>
      <c r="S25" s="8">
        <v>-3.071786010318055E-3</v>
      </c>
      <c r="T25" s="9">
        <v>49.089844236762595</v>
      </c>
      <c r="U25">
        <v>79</v>
      </c>
      <c r="V25" s="10">
        <v>0.58518518518518514</v>
      </c>
      <c r="W25">
        <v>58</v>
      </c>
      <c r="X25">
        <v>46</v>
      </c>
      <c r="Y25">
        <v>31</v>
      </c>
      <c r="Z25" s="10">
        <v>0.42962962962962964</v>
      </c>
      <c r="AA25" s="10">
        <v>0.55769230769230771</v>
      </c>
    </row>
    <row r="26" spans="1:27" x14ac:dyDescent="0.25">
      <c r="A26" t="s">
        <v>51</v>
      </c>
      <c r="B26">
        <v>6.9999999999999999E-4</v>
      </c>
      <c r="C26">
        <v>5.0000000000000001E-4</v>
      </c>
      <c r="D26">
        <v>135</v>
      </c>
      <c r="E26" s="7">
        <v>2362.1800000001267</v>
      </c>
      <c r="F26" s="7">
        <v>168885.61014814812</v>
      </c>
      <c r="G26" s="7">
        <v>600128.25</v>
      </c>
      <c r="H26" s="21">
        <v>37317.784692222223</v>
      </c>
      <c r="I26" s="7">
        <v>88050.380055000016</v>
      </c>
      <c r="J26" s="7">
        <v>120997.21422800001</v>
      </c>
      <c r="K26" s="7">
        <v>121030.28025000001</v>
      </c>
      <c r="L26" s="8">
        <v>2.6108812129102842E-2</v>
      </c>
      <c r="M26" s="18">
        <v>0.11815821070391436</v>
      </c>
      <c r="N26" s="8">
        <v>5.0078178696248699E-2</v>
      </c>
      <c r="O26" s="8">
        <v>3.6432227187765294E-2</v>
      </c>
      <c r="P26" s="9">
        <v>3.8157954557088964</v>
      </c>
      <c r="Q26" s="9">
        <v>5.2051721298283447</v>
      </c>
      <c r="R26" s="7">
        <v>-128.39999999999804</v>
      </c>
      <c r="S26" s="8">
        <v>-3.4407187098316472E-3</v>
      </c>
      <c r="T26" s="9">
        <v>34.341142263761455</v>
      </c>
      <c r="U26">
        <v>76</v>
      </c>
      <c r="V26" s="10">
        <v>0.562962962962963</v>
      </c>
      <c r="W26">
        <v>54</v>
      </c>
      <c r="X26">
        <v>47</v>
      </c>
      <c r="Y26">
        <v>34</v>
      </c>
      <c r="Z26" s="10">
        <v>0.4</v>
      </c>
      <c r="AA26" s="10">
        <v>0.53465346534653468</v>
      </c>
    </row>
    <row r="27" spans="1:27" x14ac:dyDescent="0.25">
      <c r="A27" t="s">
        <v>52</v>
      </c>
      <c r="B27">
        <v>6.9999999999999999E-4</v>
      </c>
      <c r="C27">
        <v>5.9999999999999995E-4</v>
      </c>
      <c r="D27">
        <v>135</v>
      </c>
      <c r="E27" s="7">
        <v>2130.4100000001845</v>
      </c>
      <c r="F27" s="7">
        <v>142218.19851851853</v>
      </c>
      <c r="G27" s="7">
        <v>600128.25</v>
      </c>
      <c r="H27" s="21">
        <v>30799.194734814817</v>
      </c>
      <c r="I27" s="7">
        <v>88034.462340000013</v>
      </c>
      <c r="J27" s="7">
        <v>120997.21422800001</v>
      </c>
      <c r="K27" s="7">
        <v>121030.28025000001</v>
      </c>
      <c r="L27" s="8">
        <v>2.7962422353534834E-2</v>
      </c>
      <c r="M27" s="18">
        <v>0.12911913339209544</v>
      </c>
      <c r="N27" s="8">
        <v>4.5172824682848819E-2</v>
      </c>
      <c r="O27" s="8">
        <v>3.2857606585056862E-2</v>
      </c>
      <c r="P27" s="9">
        <v>3.6346283289365302</v>
      </c>
      <c r="Q27" s="9">
        <v>5.2942058336163909</v>
      </c>
      <c r="R27" s="7">
        <v>-130.73499999998762</v>
      </c>
      <c r="S27" s="8">
        <v>-4.2447538361192055E-3</v>
      </c>
      <c r="T27" s="9">
        <v>30.418520926561779</v>
      </c>
      <c r="U27">
        <v>69</v>
      </c>
      <c r="V27" s="10">
        <v>0.51111111111111107</v>
      </c>
      <c r="W27">
        <v>48</v>
      </c>
      <c r="X27">
        <v>48</v>
      </c>
      <c r="Y27">
        <v>39</v>
      </c>
      <c r="Z27" s="10">
        <v>0.35555555555555557</v>
      </c>
      <c r="AA27" s="10">
        <v>0.5</v>
      </c>
    </row>
    <row r="28" spans="1:27" x14ac:dyDescent="0.25">
      <c r="A28" t="s">
        <v>53</v>
      </c>
      <c r="B28">
        <v>6.9999999999999999E-4</v>
      </c>
      <c r="C28">
        <v>6.9999999999999999E-4</v>
      </c>
      <c r="D28">
        <v>135</v>
      </c>
      <c r="E28" s="7">
        <v>2048.2100000001883</v>
      </c>
      <c r="F28" s="7">
        <v>134810.37000000002</v>
      </c>
      <c r="G28" s="7">
        <v>600128.25</v>
      </c>
      <c r="H28" s="21">
        <v>29414.001772222218</v>
      </c>
      <c r="I28" s="7">
        <v>88009.929204999993</v>
      </c>
      <c r="J28" s="7">
        <v>120989.54685400001</v>
      </c>
      <c r="K28" s="7">
        <v>121030.28025000001</v>
      </c>
      <c r="L28" s="8">
        <v>2.8360765817449236E-2</v>
      </c>
      <c r="M28" s="18">
        <v>0.12998317477985363</v>
      </c>
      <c r="N28" s="8">
        <v>4.3441977148147452E-2</v>
      </c>
      <c r="O28" s="8">
        <v>3.1589824673926466E-2</v>
      </c>
      <c r="P28" s="9">
        <v>3.4952473493986971</v>
      </c>
      <c r="Q28" s="9">
        <v>5.2660363245473309</v>
      </c>
      <c r="R28" s="7">
        <v>-130.73499999998762</v>
      </c>
      <c r="S28" s="8">
        <v>-4.4446519386372712E-3</v>
      </c>
      <c r="T28" s="9">
        <v>29.244848994791351</v>
      </c>
      <c r="U28">
        <v>68</v>
      </c>
      <c r="V28" s="10">
        <v>0.50370370370370365</v>
      </c>
      <c r="W28">
        <v>47</v>
      </c>
      <c r="X28">
        <v>49</v>
      </c>
      <c r="Y28">
        <v>39</v>
      </c>
      <c r="Z28" s="10">
        <v>0.34814814814814815</v>
      </c>
      <c r="AA28" s="10">
        <v>0.48958333333333331</v>
      </c>
    </row>
    <row r="29" spans="1:27" s="12" customFormat="1" x14ac:dyDescent="0.25">
      <c r="A29" s="12" t="s">
        <v>54</v>
      </c>
      <c r="B29" s="12">
        <v>8.0000000000000004E-4</v>
      </c>
      <c r="C29" s="12">
        <v>1E-4</v>
      </c>
      <c r="D29" s="12">
        <v>135</v>
      </c>
      <c r="E29" s="13">
        <v>3265.2900000001491</v>
      </c>
      <c r="F29" s="13">
        <v>210370.4771111111</v>
      </c>
      <c r="G29" s="13">
        <v>600151.96</v>
      </c>
      <c r="H29" s="22">
        <v>48236.996096666669</v>
      </c>
      <c r="I29" s="13">
        <v>120961.01374499999</v>
      </c>
      <c r="J29" s="13">
        <v>121031.98688900001</v>
      </c>
      <c r="K29" s="13">
        <v>121037.53419999999</v>
      </c>
      <c r="L29" s="14">
        <v>2.8973685298916637E-2</v>
      </c>
      <c r="M29" s="19">
        <v>0.1263596097025925</v>
      </c>
      <c r="N29" s="14">
        <v>5.0389855469049658E-2</v>
      </c>
      <c r="O29" s="14">
        <v>5.0357998783490406E-2</v>
      </c>
      <c r="P29" s="15">
        <v>4.2533721142380507</v>
      </c>
      <c r="Q29" s="15">
        <v>5.078274738144291</v>
      </c>
      <c r="R29" s="13">
        <v>-213.60499999995727</v>
      </c>
      <c r="S29" s="14">
        <v>-4.4282400913169227E-3</v>
      </c>
      <c r="T29" s="15">
        <v>28.534950024585086</v>
      </c>
      <c r="U29" s="12">
        <v>99</v>
      </c>
      <c r="V29" s="16">
        <v>0.73333333333333328</v>
      </c>
      <c r="W29" s="12">
        <v>65</v>
      </c>
      <c r="X29" s="12">
        <v>52</v>
      </c>
      <c r="Y29" s="12">
        <v>18</v>
      </c>
      <c r="Z29" s="16">
        <v>0.48148148148148145</v>
      </c>
      <c r="AA29" s="16">
        <v>0.55555555555555558</v>
      </c>
    </row>
    <row r="30" spans="1:27" x14ac:dyDescent="0.25">
      <c r="A30" t="s">
        <v>55</v>
      </c>
      <c r="B30">
        <v>8.0000000000000004E-4</v>
      </c>
      <c r="C30">
        <v>2.0000000000000001E-4</v>
      </c>
      <c r="D30">
        <v>135</v>
      </c>
      <c r="E30" s="7">
        <v>3121.1100000000961</v>
      </c>
      <c r="F30" s="7">
        <v>164448.78066666666</v>
      </c>
      <c r="G30" s="7">
        <v>600151.96</v>
      </c>
      <c r="H30" s="21">
        <v>36911.95290851852</v>
      </c>
      <c r="I30" s="7">
        <v>120961.01374499999</v>
      </c>
      <c r="J30" s="7">
        <v>121031.98688900001</v>
      </c>
      <c r="K30" s="7">
        <v>121037.53419999999</v>
      </c>
      <c r="L30" s="8">
        <v>3.5427882021268821E-2</v>
      </c>
      <c r="M30" s="18">
        <v>0.15783700240513804</v>
      </c>
      <c r="N30" s="8">
        <v>4.8164874116235691E-2</v>
      </c>
      <c r="O30" s="8">
        <v>4.8134424073554699E-2</v>
      </c>
      <c r="P30" s="9">
        <v>4.1550539562092101</v>
      </c>
      <c r="Q30" s="9">
        <v>4.7870257592509997</v>
      </c>
      <c r="R30" s="7">
        <v>-128.39999999999782</v>
      </c>
      <c r="S30" s="8">
        <v>-3.4785480009204752E-3</v>
      </c>
      <c r="T30" s="9">
        <v>45.374392523366659</v>
      </c>
      <c r="U30">
        <v>72</v>
      </c>
      <c r="V30" s="10">
        <v>0.53333333333333333</v>
      </c>
      <c r="W30">
        <v>51</v>
      </c>
      <c r="X30">
        <v>41</v>
      </c>
      <c r="Y30">
        <v>43</v>
      </c>
      <c r="Z30" s="10">
        <v>0.37777777777777777</v>
      </c>
      <c r="AA30" s="10">
        <v>0.55434782608695654</v>
      </c>
    </row>
    <row r="31" spans="1:27" x14ac:dyDescent="0.25">
      <c r="A31" t="s">
        <v>56</v>
      </c>
      <c r="B31">
        <v>8.0000000000000004E-4</v>
      </c>
      <c r="C31">
        <v>2.9999999999999997E-4</v>
      </c>
      <c r="D31">
        <v>135</v>
      </c>
      <c r="E31" s="7">
        <v>3061.9800000000864</v>
      </c>
      <c r="F31" s="7">
        <v>158524.70088888891</v>
      </c>
      <c r="G31" s="7">
        <v>600151.96</v>
      </c>
      <c r="H31" s="21">
        <v>35771.626130370372</v>
      </c>
      <c r="I31" s="7">
        <v>120961.01374499999</v>
      </c>
      <c r="J31" s="7">
        <v>121031.98688900001</v>
      </c>
      <c r="K31" s="7">
        <v>121037.53419999999</v>
      </c>
      <c r="L31" s="8">
        <v>3.605555454734044E-2</v>
      </c>
      <c r="M31" s="18">
        <v>0.15978295141431922</v>
      </c>
      <c r="N31" s="8">
        <v>4.7252381763677333E-2</v>
      </c>
      <c r="O31" s="8">
        <v>4.7222508602626188E-2</v>
      </c>
      <c r="P31" s="9">
        <v>4.076558164462134</v>
      </c>
      <c r="Q31" s="9">
        <v>4.8609043504458276</v>
      </c>
      <c r="R31" s="7">
        <v>-128.39999999999782</v>
      </c>
      <c r="S31" s="8">
        <v>-3.5894370452168312E-3</v>
      </c>
      <c r="T31" s="9">
        <v>44.5147663551422</v>
      </c>
      <c r="U31">
        <v>70</v>
      </c>
      <c r="V31" s="10">
        <v>0.51851851851851849</v>
      </c>
      <c r="W31">
        <v>50</v>
      </c>
      <c r="X31">
        <v>42</v>
      </c>
      <c r="Y31">
        <v>43</v>
      </c>
      <c r="Z31" s="10">
        <v>0.37037037037037035</v>
      </c>
      <c r="AA31" s="10">
        <v>0.54347826086956519</v>
      </c>
    </row>
    <row r="32" spans="1:27" x14ac:dyDescent="0.25">
      <c r="A32" t="s">
        <v>57</v>
      </c>
      <c r="B32">
        <v>8.0000000000000004E-4</v>
      </c>
      <c r="C32">
        <v>4.0000000000000002E-4</v>
      </c>
      <c r="D32">
        <v>135</v>
      </c>
      <c r="E32" s="7">
        <v>3118.3900000000867</v>
      </c>
      <c r="F32" s="7">
        <v>155562.29296296297</v>
      </c>
      <c r="G32" s="7">
        <v>600151.96</v>
      </c>
      <c r="H32" s="21">
        <v>35282.828822592601</v>
      </c>
      <c r="I32" s="7">
        <v>97924.736799999911</v>
      </c>
      <c r="J32" s="7">
        <v>121027.452513</v>
      </c>
      <c r="K32" s="7">
        <v>121037.53419999999</v>
      </c>
      <c r="L32" s="8">
        <v>3.7419059309267956E-2</v>
      </c>
      <c r="M32" s="18">
        <v>0.16498095138390603</v>
      </c>
      <c r="N32" s="8">
        <v>5.9443556928373935E-2</v>
      </c>
      <c r="O32" s="8">
        <v>4.8092475653447576E-2</v>
      </c>
      <c r="P32" s="9">
        <v>4.1759446206252848</v>
      </c>
      <c r="Q32" s="9">
        <v>4.9135266859729283</v>
      </c>
      <c r="R32" s="7">
        <v>-128.39999999999782</v>
      </c>
      <c r="S32" s="8">
        <v>-3.6391639866976775E-3</v>
      </c>
      <c r="T32" s="9">
        <v>45.33484942887015</v>
      </c>
      <c r="U32">
        <v>70</v>
      </c>
      <c r="V32" s="10">
        <v>0.51851851851851849</v>
      </c>
      <c r="W32">
        <v>50</v>
      </c>
      <c r="X32">
        <v>42</v>
      </c>
      <c r="Y32">
        <v>43</v>
      </c>
      <c r="Z32" s="10">
        <v>0.37037037037037035</v>
      </c>
      <c r="AA32" s="10">
        <v>0.54347826086956519</v>
      </c>
    </row>
    <row r="33" spans="1:27" x14ac:dyDescent="0.25">
      <c r="A33" t="s">
        <v>58</v>
      </c>
      <c r="B33">
        <v>8.0000000000000004E-4</v>
      </c>
      <c r="C33">
        <v>5.0000000000000001E-4</v>
      </c>
      <c r="D33">
        <v>135</v>
      </c>
      <c r="E33" s="7">
        <v>2087.180000000104</v>
      </c>
      <c r="F33" s="7">
        <v>134819.15081481481</v>
      </c>
      <c r="G33" s="7">
        <v>599899.82999999996</v>
      </c>
      <c r="H33" s="21">
        <v>30230.293231111111</v>
      </c>
      <c r="I33" s="7">
        <v>88034.333365000013</v>
      </c>
      <c r="J33" s="7">
        <v>109769.99769999989</v>
      </c>
      <c r="K33" s="7">
        <v>120975.14165000001</v>
      </c>
      <c r="L33" s="8">
        <v>2.889848593309343E-2</v>
      </c>
      <c r="M33" s="18">
        <v>0.12887964081419953</v>
      </c>
      <c r="N33" s="8">
        <v>4.4256248493187267E-2</v>
      </c>
      <c r="O33" s="8">
        <v>3.2205536444879439E-2</v>
      </c>
      <c r="P33" s="9">
        <v>3.3898022103621419</v>
      </c>
      <c r="Q33" s="9">
        <v>4.9129369609593807</v>
      </c>
      <c r="R33" s="7">
        <v>-128.39999999999804</v>
      </c>
      <c r="S33" s="8">
        <v>-4.247395121786542E-3</v>
      </c>
      <c r="T33" s="9">
        <v>30.343219106959396</v>
      </c>
      <c r="U33">
        <v>65</v>
      </c>
      <c r="V33" s="10">
        <v>0.48148148148148145</v>
      </c>
      <c r="W33">
        <v>47</v>
      </c>
      <c r="X33">
        <v>42</v>
      </c>
      <c r="Y33">
        <v>46</v>
      </c>
      <c r="Z33" s="10">
        <v>0.34814814814814815</v>
      </c>
      <c r="AA33" s="10">
        <v>0.5280898876404494</v>
      </c>
    </row>
    <row r="34" spans="1:27" x14ac:dyDescent="0.25">
      <c r="A34" t="s">
        <v>59</v>
      </c>
      <c r="B34">
        <v>8.0000000000000004E-4</v>
      </c>
      <c r="C34">
        <v>5.9999999999999995E-4</v>
      </c>
      <c r="D34">
        <v>135</v>
      </c>
      <c r="E34" s="7">
        <v>1761.7100000001308</v>
      </c>
      <c r="F34" s="7">
        <v>109630.13814814817</v>
      </c>
      <c r="G34" s="7">
        <v>599899.82999999996</v>
      </c>
      <c r="H34" s="21">
        <v>23955.404256666672</v>
      </c>
      <c r="I34" s="7">
        <v>87974.431655000008</v>
      </c>
      <c r="J34" s="7">
        <v>88047.601466000007</v>
      </c>
      <c r="K34" s="7">
        <v>120975.14165000001</v>
      </c>
      <c r="L34" s="8">
        <v>2.9996544644408315E-2</v>
      </c>
      <c r="M34" s="18">
        <v>0.13727697091224822</v>
      </c>
      <c r="N34" s="8">
        <v>3.738046693191311E-2</v>
      </c>
      <c r="O34" s="8">
        <v>2.7183479915632545E-2</v>
      </c>
      <c r="P34" s="9">
        <v>3.0195335204214011</v>
      </c>
      <c r="Q34" s="9">
        <v>4.5398411450015601</v>
      </c>
      <c r="R34" s="7">
        <v>-110.30499999996493</v>
      </c>
      <c r="S34" s="8">
        <v>-4.604597727432113E-3</v>
      </c>
      <c r="T34" s="9">
        <v>29.813021470782136</v>
      </c>
      <c r="U34">
        <v>57</v>
      </c>
      <c r="V34" s="10">
        <v>0.42222222222222222</v>
      </c>
      <c r="W34">
        <v>40</v>
      </c>
      <c r="X34">
        <v>41</v>
      </c>
      <c r="Y34">
        <v>54</v>
      </c>
      <c r="Z34" s="10">
        <v>0.29629629629629628</v>
      </c>
      <c r="AA34" s="10">
        <v>0.49382716049382713</v>
      </c>
    </row>
    <row r="35" spans="1:27" x14ac:dyDescent="0.25">
      <c r="A35" t="s">
        <v>60</v>
      </c>
      <c r="B35">
        <v>8.0000000000000004E-4</v>
      </c>
      <c r="C35">
        <v>6.9999999999999999E-4</v>
      </c>
      <c r="D35">
        <v>135</v>
      </c>
      <c r="E35" s="7">
        <v>1830.970000000133</v>
      </c>
      <c r="F35" s="7">
        <v>100740.32799999999</v>
      </c>
      <c r="G35" s="7">
        <v>400236.04000000004</v>
      </c>
      <c r="H35" s="21">
        <v>22325.684325185186</v>
      </c>
      <c r="I35" s="7">
        <v>87957.523115000004</v>
      </c>
      <c r="J35" s="7">
        <v>88025.913954000003</v>
      </c>
      <c r="K35" s="7">
        <v>88048.963200000013</v>
      </c>
      <c r="L35" s="8">
        <v>3.3926936059478732E-2</v>
      </c>
      <c r="M35" s="18">
        <v>0.15308873031100537</v>
      </c>
      <c r="N35" s="8">
        <v>3.8857513781945643E-2</v>
      </c>
      <c r="O35" s="8">
        <v>3.8817159708098806E-2</v>
      </c>
      <c r="P35" s="9">
        <v>3.1613248836534193</v>
      </c>
      <c r="Q35" s="9">
        <v>4.9817788617093886</v>
      </c>
      <c r="R35" s="7">
        <v>-122.24000000000507</v>
      </c>
      <c r="S35" s="8">
        <v>-5.4753080899790571E-3</v>
      </c>
      <c r="T35" s="9">
        <v>27.959838568936295</v>
      </c>
      <c r="U35">
        <v>54</v>
      </c>
      <c r="V35" s="10">
        <v>0.4</v>
      </c>
      <c r="W35">
        <v>40</v>
      </c>
      <c r="X35">
        <v>39</v>
      </c>
      <c r="Y35">
        <v>56</v>
      </c>
      <c r="Z35" s="10">
        <v>0.29629629629629628</v>
      </c>
      <c r="AA35" s="10">
        <v>0.50632911392405067</v>
      </c>
    </row>
    <row r="36" spans="1:27" x14ac:dyDescent="0.25">
      <c r="A36" t="s">
        <v>61</v>
      </c>
      <c r="B36">
        <v>8.0000000000000004E-4</v>
      </c>
      <c r="C36">
        <v>8.0000000000000004E-4</v>
      </c>
      <c r="D36">
        <v>135</v>
      </c>
      <c r="E36" s="7">
        <v>1830.1300000001183</v>
      </c>
      <c r="F36" s="7">
        <v>88888.99970370371</v>
      </c>
      <c r="G36" s="7">
        <v>400236.04000000004</v>
      </c>
      <c r="H36" s="21">
        <v>19718.558623703702</v>
      </c>
      <c r="I36" s="7">
        <v>72567.71147999994</v>
      </c>
      <c r="J36" s="7">
        <v>88019.605322000003</v>
      </c>
      <c r="K36" s="7">
        <v>88048.963200000013</v>
      </c>
      <c r="L36" s="8">
        <v>3.8432682087258814E-2</v>
      </c>
      <c r="M36" s="18">
        <v>0.1732501209576352</v>
      </c>
      <c r="N36" s="8">
        <v>4.707662122717516E-2</v>
      </c>
      <c r="O36" s="8">
        <v>3.8799351434803578E-2</v>
      </c>
      <c r="P36" s="9">
        <v>3.2080988899733693</v>
      </c>
      <c r="Q36" s="9">
        <v>5.0240138390771705</v>
      </c>
      <c r="R36" s="7">
        <v>-110.30499999996493</v>
      </c>
      <c r="S36" s="8">
        <v>-5.5939687126708723E-3</v>
      </c>
      <c r="T36" s="9">
        <v>30.970877717854798</v>
      </c>
      <c r="U36">
        <v>49</v>
      </c>
      <c r="V36" s="10">
        <v>0.36296296296296299</v>
      </c>
      <c r="W36">
        <v>39</v>
      </c>
      <c r="X36">
        <v>38</v>
      </c>
      <c r="Y36">
        <v>58</v>
      </c>
      <c r="Z36" s="10">
        <v>0.28888888888888886</v>
      </c>
      <c r="AA36" s="10">
        <v>0.50649350649350644</v>
      </c>
    </row>
    <row r="37" spans="1:27" s="12" customFormat="1" x14ac:dyDescent="0.25">
      <c r="A37" s="12" t="s">
        <v>62</v>
      </c>
      <c r="B37" s="12">
        <v>8.9999999999999998E-4</v>
      </c>
      <c r="C37" s="12">
        <v>1E-4</v>
      </c>
      <c r="D37" s="12">
        <v>135</v>
      </c>
      <c r="E37" s="13">
        <v>2125.3800000001302</v>
      </c>
      <c r="F37" s="13">
        <v>161486.87718518521</v>
      </c>
      <c r="G37" s="13">
        <v>600140.46000000008</v>
      </c>
      <c r="H37" s="22">
        <v>38704.726434814816</v>
      </c>
      <c r="I37" s="13">
        <v>88021.181380000009</v>
      </c>
      <c r="J37" s="13">
        <v>88063.322391000009</v>
      </c>
      <c r="K37" s="13">
        <v>121034.37170000002</v>
      </c>
      <c r="L37" s="14">
        <v>2.4567791941698464E-2</v>
      </c>
      <c r="M37" s="19">
        <v>0.10250365692887567</v>
      </c>
      <c r="N37" s="14">
        <v>4.5072969230809508E-2</v>
      </c>
      <c r="O37" s="14">
        <v>3.2778920105719374E-2</v>
      </c>
      <c r="P37" s="15">
        <v>3.5967234767843244</v>
      </c>
      <c r="Q37" s="15">
        <v>3.8385632215408143</v>
      </c>
      <c r="R37" s="13">
        <v>-186.6199999999576</v>
      </c>
      <c r="S37" s="14">
        <v>-4.8216333556641115E-3</v>
      </c>
      <c r="T37" s="15">
        <v>21.259114778700805</v>
      </c>
      <c r="U37" s="12">
        <v>86</v>
      </c>
      <c r="V37" s="16">
        <v>0.63703703703703707</v>
      </c>
      <c r="W37" s="12">
        <v>57</v>
      </c>
      <c r="X37" s="12">
        <v>47</v>
      </c>
      <c r="Y37" s="12">
        <v>31</v>
      </c>
      <c r="Z37" s="16">
        <v>0.42222222222222222</v>
      </c>
      <c r="AA37" s="16">
        <v>0.54807692307692313</v>
      </c>
    </row>
    <row r="38" spans="1:27" x14ac:dyDescent="0.25">
      <c r="A38" t="s">
        <v>63</v>
      </c>
      <c r="B38">
        <v>8.9999999999999998E-4</v>
      </c>
      <c r="C38">
        <v>2.0000000000000001E-4</v>
      </c>
      <c r="D38">
        <v>135</v>
      </c>
      <c r="E38" s="7">
        <v>1941.9400000001092</v>
      </c>
      <c r="F38" s="7">
        <v>125935.13162962966</v>
      </c>
      <c r="G38" s="7">
        <v>600140.46000000008</v>
      </c>
      <c r="H38" s="21">
        <v>29742.635392962966</v>
      </c>
      <c r="I38" s="7">
        <v>88021.181380000009</v>
      </c>
      <c r="J38" s="7">
        <v>88063.322391000009</v>
      </c>
      <c r="K38" s="7">
        <v>121034.37170000002</v>
      </c>
      <c r="L38" s="8">
        <v>2.8784300454997112E-2</v>
      </c>
      <c r="M38" s="18">
        <v>0.12187738641090715</v>
      </c>
      <c r="N38" s="8">
        <v>4.1182754080718628E-2</v>
      </c>
      <c r="O38" s="8">
        <v>2.994979538252E-2</v>
      </c>
      <c r="P38" s="9">
        <v>3.4413330480899216</v>
      </c>
      <c r="Q38" s="9">
        <v>3.8706679265421378</v>
      </c>
      <c r="R38" s="7">
        <v>-128.39999999999804</v>
      </c>
      <c r="S38" s="8">
        <v>-4.317035067792855E-3</v>
      </c>
      <c r="T38" s="9">
        <v>28.23173416407263</v>
      </c>
      <c r="U38">
        <v>64</v>
      </c>
      <c r="V38" s="10">
        <v>0.47407407407407409</v>
      </c>
      <c r="W38">
        <v>44</v>
      </c>
      <c r="X38">
        <v>37</v>
      </c>
      <c r="Y38">
        <v>54</v>
      </c>
      <c r="Z38" s="10">
        <v>0.32592592592592595</v>
      </c>
      <c r="AA38" s="10">
        <v>0.54320987654320985</v>
      </c>
    </row>
    <row r="39" spans="1:27" x14ac:dyDescent="0.25">
      <c r="A39" t="s">
        <v>64</v>
      </c>
      <c r="B39">
        <v>8.9999999999999998E-4</v>
      </c>
      <c r="C39">
        <v>2.9999999999999997E-4</v>
      </c>
      <c r="D39">
        <v>135</v>
      </c>
      <c r="E39" s="7">
        <v>1883.0600000000986</v>
      </c>
      <c r="F39" s="7">
        <v>117047.50933333335</v>
      </c>
      <c r="G39" s="7">
        <v>600140.46000000008</v>
      </c>
      <c r="H39" s="21">
        <v>27787.334422222222</v>
      </c>
      <c r="I39" s="7">
        <v>88017.747895000008</v>
      </c>
      <c r="J39" s="7">
        <v>88063.322391000009</v>
      </c>
      <c r="K39" s="7">
        <v>121034.37170000002</v>
      </c>
      <c r="L39" s="8">
        <v>3.0030928068048052E-2</v>
      </c>
      <c r="M39" s="18">
        <v>0.12649811169085901</v>
      </c>
      <c r="N39" s="8">
        <v>3.9935642724314643E-2</v>
      </c>
      <c r="O39" s="8">
        <v>2.9041711738265811E-2</v>
      </c>
      <c r="P39" s="9">
        <v>3.3430461673274214</v>
      </c>
      <c r="Q39" s="9">
        <v>3.8686225416637199</v>
      </c>
      <c r="R39" s="7">
        <v>-155.27999999999884</v>
      </c>
      <c r="S39" s="8">
        <v>-5.5881574547797415E-3</v>
      </c>
      <c r="T39" s="9">
        <v>22.636819508845598</v>
      </c>
      <c r="U39">
        <v>60</v>
      </c>
      <c r="V39" s="10">
        <v>0.44444444444444442</v>
      </c>
      <c r="W39">
        <v>42</v>
      </c>
      <c r="X39">
        <v>36</v>
      </c>
      <c r="Y39">
        <v>57</v>
      </c>
      <c r="Z39" s="10">
        <v>0.31111111111111112</v>
      </c>
      <c r="AA39" s="10">
        <v>0.53846153846153844</v>
      </c>
    </row>
    <row r="40" spans="1:27" x14ac:dyDescent="0.25">
      <c r="A40" t="s">
        <v>65</v>
      </c>
      <c r="B40">
        <v>8.9999999999999998E-4</v>
      </c>
      <c r="C40">
        <v>4.0000000000000002E-4</v>
      </c>
      <c r="D40">
        <v>135</v>
      </c>
      <c r="E40" s="7">
        <v>1883.0600000000986</v>
      </c>
      <c r="F40" s="7">
        <v>117047.50933333335</v>
      </c>
      <c r="G40" s="7">
        <v>600140.46000000008</v>
      </c>
      <c r="H40" s="21">
        <v>27787.334422222222</v>
      </c>
      <c r="I40" s="7">
        <v>88017.747895000008</v>
      </c>
      <c r="J40" s="7">
        <v>88063.322391000009</v>
      </c>
      <c r="K40" s="7">
        <v>121034.37170000002</v>
      </c>
      <c r="L40" s="8">
        <v>3.0030928068048052E-2</v>
      </c>
      <c r="M40" s="18">
        <v>0.12649811169085901</v>
      </c>
      <c r="N40" s="8">
        <v>3.9935642724314643E-2</v>
      </c>
      <c r="O40" s="8">
        <v>2.9041711738265811E-2</v>
      </c>
      <c r="P40" s="9">
        <v>3.3430461673274214</v>
      </c>
      <c r="Q40" s="9">
        <v>3.8686225416637199</v>
      </c>
      <c r="R40" s="7">
        <v>-155.27999999999884</v>
      </c>
      <c r="S40" s="8">
        <v>-5.5881574547797415E-3</v>
      </c>
      <c r="T40" s="9">
        <v>22.636819508845598</v>
      </c>
      <c r="U40">
        <v>60</v>
      </c>
      <c r="V40" s="10">
        <v>0.44444444444444442</v>
      </c>
      <c r="W40">
        <v>42</v>
      </c>
      <c r="X40">
        <v>36</v>
      </c>
      <c r="Y40">
        <v>57</v>
      </c>
      <c r="Z40" s="10">
        <v>0.31111111111111112</v>
      </c>
      <c r="AA40" s="10">
        <v>0.53846153846153844</v>
      </c>
    </row>
    <row r="41" spans="1:27" x14ac:dyDescent="0.25">
      <c r="A41" t="s">
        <v>66</v>
      </c>
      <c r="B41">
        <v>8.9999999999999998E-4</v>
      </c>
      <c r="C41">
        <v>5.0000000000000001E-4</v>
      </c>
      <c r="D41">
        <v>135</v>
      </c>
      <c r="E41" s="7">
        <v>1700.8600000001352</v>
      </c>
      <c r="F41" s="7">
        <v>99267.498592592601</v>
      </c>
      <c r="G41" s="7">
        <v>400324.39</v>
      </c>
      <c r="H41" s="21">
        <v>23060.830576666671</v>
      </c>
      <c r="I41" s="7">
        <v>87997.864625000002</v>
      </c>
      <c r="J41" s="7">
        <v>88047.343967000008</v>
      </c>
      <c r="K41" s="7">
        <v>88070.719550000009</v>
      </c>
      <c r="L41" s="8">
        <v>3.198366748110882E-2</v>
      </c>
      <c r="M41" s="18">
        <v>0.13767668324485133</v>
      </c>
      <c r="N41" s="8">
        <v>3.6079723981903594E-2</v>
      </c>
      <c r="O41" s="8">
        <v>3.6049877676591756E-2</v>
      </c>
      <c r="P41" s="9">
        <v>3.1489626848351313</v>
      </c>
      <c r="Q41" s="9">
        <v>4.2537780768908666</v>
      </c>
      <c r="R41" s="7">
        <v>-155.27999999999884</v>
      </c>
      <c r="S41" s="8">
        <v>-6.7334955470820601E-3</v>
      </c>
      <c r="T41" s="9">
        <v>20.446539584408445</v>
      </c>
      <c r="U41">
        <v>54</v>
      </c>
      <c r="V41" s="10">
        <v>0.4</v>
      </c>
      <c r="W41">
        <v>38</v>
      </c>
      <c r="X41">
        <v>36</v>
      </c>
      <c r="Y41">
        <v>61</v>
      </c>
      <c r="Z41" s="10">
        <v>0.2814814814814815</v>
      </c>
      <c r="AA41" s="10">
        <v>0.51351351351351349</v>
      </c>
    </row>
    <row r="42" spans="1:27" x14ac:dyDescent="0.25">
      <c r="A42" t="s">
        <v>67</v>
      </c>
      <c r="B42">
        <v>8.9999999999999998E-4</v>
      </c>
      <c r="C42">
        <v>5.9999999999999995E-4</v>
      </c>
      <c r="D42">
        <v>135</v>
      </c>
      <c r="E42" s="7">
        <v>1496.1000000001404</v>
      </c>
      <c r="F42" s="7">
        <v>80002.517407407417</v>
      </c>
      <c r="G42" s="7">
        <v>400236.04000000004</v>
      </c>
      <c r="H42" s="21">
        <v>18089.09176555556</v>
      </c>
      <c r="I42" s="7">
        <v>58330.308464999973</v>
      </c>
      <c r="J42" s="7">
        <v>88008.486632000015</v>
      </c>
      <c r="K42" s="7">
        <v>88048.963200000013</v>
      </c>
      <c r="L42" s="8">
        <v>3.4907901532379583E-2</v>
      </c>
      <c r="M42" s="18">
        <v>0.1543869662554333</v>
      </c>
      <c r="N42" s="8">
        <v>4.7877682691768765E-2</v>
      </c>
      <c r="O42" s="8">
        <v>3.1717806757777495E-2</v>
      </c>
      <c r="P42" s="9">
        <v>2.921813526977207</v>
      </c>
      <c r="Q42" s="9">
        <v>4.179254182502155</v>
      </c>
      <c r="R42" s="7">
        <v>-129.85000000000514</v>
      </c>
      <c r="S42" s="8">
        <v>-7.1783592942604064E-3</v>
      </c>
      <c r="T42" s="9">
        <v>21.507277628033517</v>
      </c>
      <c r="U42">
        <v>47</v>
      </c>
      <c r="V42" s="10">
        <v>0.34814814814814815</v>
      </c>
      <c r="W42">
        <v>32</v>
      </c>
      <c r="X42">
        <v>35</v>
      </c>
      <c r="Y42">
        <v>68</v>
      </c>
      <c r="Z42" s="10">
        <v>0.23703703703703705</v>
      </c>
      <c r="AA42" s="10">
        <v>0.47761194029850745</v>
      </c>
    </row>
    <row r="43" spans="1:27" x14ac:dyDescent="0.25">
      <c r="A43" t="s">
        <v>68</v>
      </c>
      <c r="B43">
        <v>8.9999999999999998E-4</v>
      </c>
      <c r="C43">
        <v>6.9999999999999999E-4</v>
      </c>
      <c r="D43">
        <v>135</v>
      </c>
      <c r="E43" s="7">
        <v>1560.2100000001415</v>
      </c>
      <c r="F43" s="7">
        <v>74074.016518518518</v>
      </c>
      <c r="G43" s="7">
        <v>400236.04000000004</v>
      </c>
      <c r="H43" s="21">
        <v>17110.889118888892</v>
      </c>
      <c r="I43" s="7">
        <v>55051.806975000007</v>
      </c>
      <c r="J43" s="7">
        <v>88008.486632000015</v>
      </c>
      <c r="K43" s="7">
        <v>88048.963200000013</v>
      </c>
      <c r="L43" s="8">
        <v>3.9317322549563181E-2</v>
      </c>
      <c r="M43" s="18">
        <v>0.17020693546457757</v>
      </c>
      <c r="N43" s="8">
        <v>5.290275033702041E-2</v>
      </c>
      <c r="O43" s="8">
        <v>3.3076959616036274E-2</v>
      </c>
      <c r="P43" s="9">
        <v>3.0549811033538674</v>
      </c>
      <c r="Q43" s="9">
        <v>4.6090501597956726</v>
      </c>
      <c r="R43" s="7">
        <v>-110.30499999996493</v>
      </c>
      <c r="S43" s="8">
        <v>-6.4464797377593941E-3</v>
      </c>
      <c r="T43" s="9">
        <v>26.403082362551018</v>
      </c>
      <c r="U43">
        <v>44</v>
      </c>
      <c r="V43" s="10">
        <v>0.32592592592592595</v>
      </c>
      <c r="W43">
        <v>32</v>
      </c>
      <c r="X43">
        <v>34</v>
      </c>
      <c r="Y43">
        <v>69</v>
      </c>
      <c r="Z43" s="10">
        <v>0.23703703703703705</v>
      </c>
      <c r="AA43" s="10">
        <v>0.48484848484848486</v>
      </c>
    </row>
    <row r="44" spans="1:27" x14ac:dyDescent="0.25">
      <c r="A44" t="s">
        <v>69</v>
      </c>
      <c r="B44">
        <v>8.9999999999999998E-4</v>
      </c>
      <c r="C44">
        <v>8.0000000000000004E-4</v>
      </c>
      <c r="D44">
        <v>135</v>
      </c>
      <c r="E44" s="7">
        <v>1558.670000000136</v>
      </c>
      <c r="F44" s="7">
        <v>65186.149333333335</v>
      </c>
      <c r="G44" s="7">
        <v>400236.04000000004</v>
      </c>
      <c r="H44" s="21">
        <v>14992.73450074074</v>
      </c>
      <c r="I44" s="7">
        <v>55044.940500000012</v>
      </c>
      <c r="J44" s="7">
        <v>88008.486632000015</v>
      </c>
      <c r="K44" s="7">
        <v>88048.963200000013</v>
      </c>
      <c r="L44" s="8">
        <v>4.4633980731943433E-2</v>
      </c>
      <c r="M44" s="18">
        <v>0.19406181928919225</v>
      </c>
      <c r="N44" s="8">
        <v>5.2857125594196738E-2</v>
      </c>
      <c r="O44" s="8">
        <v>3.3044311114995464E-2</v>
      </c>
      <c r="P44" s="9">
        <v>3.0779690001618096</v>
      </c>
      <c r="Q44" s="9">
        <v>4.5800908989803784</v>
      </c>
      <c r="R44" s="7">
        <v>-110.30499999996493</v>
      </c>
      <c r="S44" s="8">
        <v>-7.3572302633995914E-3</v>
      </c>
      <c r="T44" s="9">
        <v>26.377021289465684</v>
      </c>
      <c r="U44">
        <v>39</v>
      </c>
      <c r="V44" s="10">
        <v>0.28888888888888886</v>
      </c>
      <c r="W44">
        <v>31</v>
      </c>
      <c r="X44">
        <v>31</v>
      </c>
      <c r="Y44">
        <v>73</v>
      </c>
      <c r="Z44" s="10">
        <v>0.22962962962962963</v>
      </c>
      <c r="AA44" s="10">
        <v>0.5</v>
      </c>
    </row>
    <row r="45" spans="1:27" x14ac:dyDescent="0.25">
      <c r="A45" t="s">
        <v>70</v>
      </c>
      <c r="B45">
        <v>8.9999999999999998E-4</v>
      </c>
      <c r="C45">
        <v>8.9999999999999998E-4</v>
      </c>
      <c r="D45">
        <v>135</v>
      </c>
      <c r="E45" s="7">
        <v>1561.7200000001303</v>
      </c>
      <c r="F45" s="7">
        <v>63704.986074074084</v>
      </c>
      <c r="G45" s="7">
        <v>400236.04000000004</v>
      </c>
      <c r="H45" s="21">
        <v>14585.414604444446</v>
      </c>
      <c r="I45" s="7">
        <v>55041.030825000009</v>
      </c>
      <c r="J45" s="7">
        <v>87988.253649999999</v>
      </c>
      <c r="K45" s="7">
        <v>88048.963200000013</v>
      </c>
      <c r="L45" s="8">
        <v>4.5761106725260056E-2</v>
      </c>
      <c r="M45" s="18">
        <v>0.19987163517303042</v>
      </c>
      <c r="N45" s="8">
        <v>5.2964318127247015E-2</v>
      </c>
      <c r="O45" s="8">
        <v>3.3108972107316191E-2</v>
      </c>
      <c r="P45" s="9">
        <v>3.09378168331892</v>
      </c>
      <c r="Q45" s="9">
        <v>4.5408178260217138</v>
      </c>
      <c r="R45" s="7">
        <v>-110.30499999996493</v>
      </c>
      <c r="S45" s="8">
        <v>-7.5626921134180824E-3</v>
      </c>
      <c r="T45" s="9">
        <v>26.42863575239415</v>
      </c>
      <c r="U45">
        <v>39</v>
      </c>
      <c r="V45" s="10">
        <v>0.28888888888888886</v>
      </c>
      <c r="W45">
        <v>31</v>
      </c>
      <c r="X45">
        <v>31</v>
      </c>
      <c r="Y45">
        <v>73</v>
      </c>
      <c r="Z45" s="10">
        <v>0.22962962962962963</v>
      </c>
      <c r="AA45" s="10">
        <v>0.5</v>
      </c>
    </row>
  </sheetData>
  <conditionalFormatting sqref="P1:P1048576">
    <cfRule type="top10" dxfId="4" priority="3" rank="5"/>
  </conditionalFormatting>
  <conditionalFormatting sqref="M1:M1048576">
    <cfRule type="top10" dxfId="3" priority="2" rank="5"/>
  </conditionalFormatting>
  <conditionalFormatting sqref="E1:E1048576">
    <cfRule type="top10" dxfId="0" priority="1" rank="5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all_combined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Hyland</dc:creator>
  <cp:lastModifiedBy>Michael Hyland</cp:lastModifiedBy>
  <dcterms:created xsi:type="dcterms:W3CDTF">2026-08-09T02:37:22Z</dcterms:created>
  <dcterms:modified xsi:type="dcterms:W3CDTF">2026-08-09T02:55:46Z</dcterms:modified>
</cp:coreProperties>
</file>