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EE2E81E1-1BC7-4C68-8EB8-ECA3316AC34D}" xr6:coauthVersionLast="47" xr6:coauthVersionMax="47" xr10:uidLastSave="{00000000-0000-0000-0000-000000000000}"/>
  <bookViews>
    <workbookView xWindow="30555" yWindow="585" windowWidth="24180" windowHeight="14235" xr2:uid="{4D7E5A71-F2C0-46A8-9EDC-D84AC5B9A403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A13" i="1" s="1"/>
  <c r="AA14" i="1" s="1"/>
  <c r="AB12" i="1"/>
  <c r="AB13" i="1" s="1"/>
  <c r="AB14" i="1" s="1"/>
  <c r="AC12" i="1"/>
  <c r="AC13" i="1" s="1"/>
  <c r="AC14" i="1" s="1"/>
  <c r="AD12" i="1"/>
  <c r="AD13" i="1" s="1"/>
  <c r="AD14" i="1" s="1"/>
  <c r="AE12" i="1"/>
  <c r="AE13" i="1" s="1"/>
  <c r="AE14" i="1" s="1"/>
  <c r="AF12" i="1"/>
  <c r="AF13" i="1" s="1"/>
  <c r="AF14" i="1" s="1"/>
  <c r="AG12" i="1"/>
  <c r="AG13" i="1" s="1"/>
  <c r="AG14" i="1" s="1"/>
  <c r="AH12" i="1"/>
  <c r="AH13" i="1" s="1"/>
  <c r="AH14" i="1" s="1"/>
  <c r="AI12" i="1"/>
  <c r="AI13" i="1" s="1"/>
  <c r="AI14" i="1" s="1"/>
  <c r="AJ12" i="1"/>
  <c r="AJ13" i="1" s="1"/>
  <c r="AJ14" i="1" s="1"/>
  <c r="AK12" i="1"/>
  <c r="AK13" i="1" s="1"/>
  <c r="AK14" i="1" s="1"/>
  <c r="AL12" i="1"/>
  <c r="AL13" i="1" s="1"/>
  <c r="AL14" i="1" s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11" i="1"/>
  <c r="B12" i="1"/>
  <c r="B13" i="1" s="1"/>
  <c r="B14" i="1" s="1"/>
  <c r="C13" i="1"/>
  <c r="C14" i="1" s="1"/>
  <c r="D13" i="1"/>
  <c r="D14" i="1" s="1"/>
  <c r="AP13" i="1"/>
  <c r="AP14" i="1" s="1"/>
  <c r="F13" i="1"/>
  <c r="F14" i="1" s="1"/>
  <c r="G13" i="1"/>
  <c r="G14" i="1" s="1"/>
  <c r="H13" i="1"/>
  <c r="H14" i="1" s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X14" i="1" s="1"/>
  <c r="Y13" i="1"/>
  <c r="Y14" i="1" s="1"/>
  <c r="Z13" i="1"/>
  <c r="Z14" i="1" s="1"/>
  <c r="AM13" i="1"/>
  <c r="AM14" i="1" s="1"/>
  <c r="AN13" i="1"/>
  <c r="AN14" i="1" s="1"/>
  <c r="AO13" i="1"/>
  <c r="AO14" i="1" s="1"/>
  <c r="AQ13" i="1"/>
  <c r="AQ14" i="1" s="1"/>
  <c r="AR13" i="1"/>
  <c r="AR14" i="1" s="1"/>
  <c r="AS13" i="1"/>
  <c r="AS14" i="1" s="1"/>
  <c r="AT13" i="1"/>
  <c r="AT14" i="1" s="1"/>
  <c r="AU13" i="1"/>
  <c r="AU14" i="1" s="1"/>
  <c r="AV13" i="1"/>
  <c r="AV14" i="1" s="1"/>
  <c r="AW13" i="1"/>
  <c r="AW14" i="1" s="1"/>
  <c r="AX13" i="1"/>
  <c r="AX14" i="1" s="1"/>
  <c r="AY13" i="1"/>
  <c r="AY14" i="1" s="1"/>
  <c r="AZ13" i="1"/>
  <c r="AZ14" i="1" s="1"/>
  <c r="BA13" i="1"/>
  <c r="BA14" i="1" s="1"/>
  <c r="BB13" i="1"/>
  <c r="BB14" i="1" s="1"/>
  <c r="BC13" i="1"/>
  <c r="BC14" i="1" s="1"/>
  <c r="BD13" i="1"/>
  <c r="BD14" i="1" s="1"/>
  <c r="E13" i="1"/>
  <c r="E14" i="1" s="1"/>
  <c r="A14" i="1" l="1"/>
</calcChain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<sst xmlns="http://schemas.openxmlformats.org/spreadsheetml/2006/main" count="69" uniqueCount="65">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</sst>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10" fontId="2" fillId="0" borderId="0" xfId="2" applyNumberFormat="1" applyFont="1"/>
    <xf numFmtId="44" fontId="0" fillId="0" borderId="0" xfId="1" applyFont="1"/>
    <xf numFmtId="0" fontId="2" fillId="0" borderId="0" xfId="0" applyFont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'Results Table'!$A$6</c:f>
              <c:strCache>
                <c:ptCount val="1"/>
                <c:pt idx="0">
                  <c:v>Annualized return on avg investment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Table'!$B$4:$BD$4</c:f>
              <c:numCache>
                <c:formatCode>General</c:formatCode>
                <c:ptCount val="55"/>
                <c:pt idx="0">
                  <c:v>457.90999999999434</c:v>
                </c:pt>
                <c:pt idx="1">
                  <c:v>539.79999999992924</c:v>
                </c:pt>
                <c:pt idx="2">
                  <c:v>502.34999999994591</c:v>
                </c:pt>
                <c:pt idx="3">
                  <c:v>866.19999999998083</c:v>
                </c:pt>
                <c:pt idx="4">
                  <c:v>801.91999999996028</c:v>
                </c:pt>
                <c:pt idx="5">
                  <c:v>734.27999999996291</c:v>
                </c:pt>
                <c:pt idx="6">
                  <c:v>626.68000000002257</c:v>
                </c:pt>
                <c:pt idx="7">
                  <c:v>582.30000000001201</c:v>
                </c:pt>
                <c:pt idx="8">
                  <c:v>691.17000000000803</c:v>
                </c:pt>
                <c:pt idx="9">
                  <c:v>639.77999999996405</c:v>
                </c:pt>
                <c:pt idx="10">
                  <c:v>589.39000000002</c:v>
                </c:pt>
                <c:pt idx="11">
                  <c:v>486.4900000000124</c:v>
                </c:pt>
                <c:pt idx="12">
                  <c:v>502.01999999999344</c:v>
                </c:pt>
                <c:pt idx="13">
                  <c:v>483.84999999999053</c:v>
                </c:pt>
                <c:pt idx="14">
                  <c:v>466.82999999999913</c:v>
                </c:pt>
                <c:pt idx="15">
                  <c:v>403.22999999995068</c:v>
                </c:pt>
                <c:pt idx="16">
                  <c:v>324.71999999995103</c:v>
                </c:pt>
                <c:pt idx="17">
                  <c:v>418.41999999994755</c:v>
                </c:pt>
                <c:pt idx="18">
                  <c:v>424.60999999995738</c:v>
                </c:pt>
                <c:pt idx="19">
                  <c:v>420.31999999996151</c:v>
                </c:pt>
                <c:pt idx="20">
                  <c:v>322.44999999994826</c:v>
                </c:pt>
                <c:pt idx="21">
                  <c:v>293.85999999995255</c:v>
                </c:pt>
                <c:pt idx="22">
                  <c:v>332.70999999995763</c:v>
                </c:pt>
                <c:pt idx="23">
                  <c:v>364.41999999997176</c:v>
                </c:pt>
                <c:pt idx="24">
                  <c:v>326.9699999999724</c:v>
                </c:pt>
                <c:pt idx="25">
                  <c:v>322.67999999997653</c:v>
                </c:pt>
                <c:pt idx="26">
                  <c:v>258.11999999997408</c:v>
                </c:pt>
                <c:pt idx="27">
                  <c:v>241.43999999997021</c:v>
                </c:pt>
                <c:pt idx="28">
                  <c:v>267.45999999999657</c:v>
                </c:pt>
                <c:pt idx="29">
                  <c:v>306.31000000000165</c:v>
                </c:pt>
                <c:pt idx="30">
                  <c:v>271.67000000001804</c:v>
                </c:pt>
                <c:pt idx="31">
                  <c:v>271.67000000001804</c:v>
                </c:pt>
                <c:pt idx="32">
                  <c:v>283.31000000000472</c:v>
                </c:pt>
                <c:pt idx="33">
                  <c:v>283.31000000000472</c:v>
                </c:pt>
                <c:pt idx="34">
                  <c:v>283.31000000000472</c:v>
                </c:pt>
                <c:pt idx="35">
                  <c:v>257.22000000001282</c:v>
                </c:pt>
                <c:pt idx="36">
                  <c:v>311.80999999999767</c:v>
                </c:pt>
                <c:pt idx="37">
                  <c:v>320.48999999999944</c:v>
                </c:pt>
                <c:pt idx="38">
                  <c:v>320.48999999999944</c:v>
                </c:pt>
                <c:pt idx="39">
                  <c:v>320.48999999999944</c:v>
                </c:pt>
                <c:pt idx="40">
                  <c:v>320.48999999999944</c:v>
                </c:pt>
                <c:pt idx="41">
                  <c:v>320.48999999999944</c:v>
                </c:pt>
                <c:pt idx="42">
                  <c:v>320.48999999999944</c:v>
                </c:pt>
                <c:pt idx="43">
                  <c:v>320.48999999999944</c:v>
                </c:pt>
                <c:pt idx="44">
                  <c:v>320.48999999999944</c:v>
                </c:pt>
                <c:pt idx="45">
                  <c:v>311.80999999999767</c:v>
                </c:pt>
                <c:pt idx="46">
                  <c:v>320.48999999999944</c:v>
                </c:pt>
                <c:pt idx="47">
                  <c:v>320.48999999999944</c:v>
                </c:pt>
                <c:pt idx="48">
                  <c:v>320.48999999999944</c:v>
                </c:pt>
                <c:pt idx="49">
                  <c:v>320.48999999999944</c:v>
                </c:pt>
                <c:pt idx="50">
                  <c:v>320.48999999999944</c:v>
                </c:pt>
                <c:pt idx="51">
                  <c:v>320.48999999999944</c:v>
                </c:pt>
                <c:pt idx="52">
                  <c:v>320.48999999999944</c:v>
                </c:pt>
                <c:pt idx="53">
                  <c:v>320.48999999999944</c:v>
                </c:pt>
                <c:pt idx="54">
                  <c:v>320.48999999999944</c:v>
                </c:pt>
              </c:numCache>
            </c:numRef>
          </c:xVal>
          <c:yVal>
            <c:numRef>
              <c:f>'Results Table'!$B$6:$BD$6</c:f>
              <c:numCache>
                <c:formatCode>General</c:formatCode>
                <c:ptCount val="55"/>
                <c:pt idx="0">
                  <c:v>4.8948174773981038E-3</c:v>
                </c:pt>
                <c:pt idx="1">
                  <c:v>6.4914157403275167E-3</c:v>
                </c:pt>
                <c:pt idx="2">
                  <c:v>6.2204954111158492E-3</c:v>
                </c:pt>
                <c:pt idx="3">
                  <c:v>1.2744826354377658E-2</c:v>
                </c:pt>
                <c:pt idx="4">
                  <c:v>1.2857974239230423E-2</c:v>
                </c:pt>
                <c:pt idx="5">
                  <c:v>1.2934244631535027E-2</c:v>
                </c:pt>
                <c:pt idx="6">
                  <c:v>1.0178640530982292E-2</c:v>
                </c:pt>
                <c:pt idx="7">
                  <c:v>1.0554485134300908E-2</c:v>
                </c:pt>
                <c:pt idx="8">
                  <c:v>1.4651154735365476E-2</c:v>
                </c:pt>
                <c:pt idx="9">
                  <c:v>1.5387639563103192E-2</c:v>
                </c:pt>
                <c:pt idx="10">
                  <c:v>1.1889050896529077E-2</c:v>
                </c:pt>
                <c:pt idx="11">
                  <c:v>1.126728860193309E-2</c:v>
                </c:pt>
                <c:pt idx="12">
                  <c:v>1.4600973918432335E-2</c:v>
                </c:pt>
                <c:pt idx="13">
                  <c:v>1.6354742623332908E-2</c:v>
                </c:pt>
                <c:pt idx="14">
                  <c:v>1.8245081667848901E-2</c:v>
                </c:pt>
                <c:pt idx="15">
                  <c:v>1.0729014438403284E-2</c:v>
                </c:pt>
                <c:pt idx="16">
                  <c:v>1.0152080823761225E-2</c:v>
                </c:pt>
                <c:pt idx="17">
                  <c:v>1.6879592671263894E-2</c:v>
                </c:pt>
                <c:pt idx="18">
                  <c:v>2.2125769414453409E-2</c:v>
                </c:pt>
                <c:pt idx="19">
                  <c:v>2.503076744866032E-2</c:v>
                </c:pt>
                <c:pt idx="20">
                  <c:v>2.1224875908016215E-2</c:v>
                </c:pt>
                <c:pt idx="21">
                  <c:v>9.4230039271360946E-3</c:v>
                </c:pt>
                <c:pt idx="22">
                  <c:v>1.3003028383720305E-2</c:v>
                </c:pt>
                <c:pt idx="23">
                  <c:v>1.8989720512471331E-2</c:v>
                </c:pt>
                <c:pt idx="24">
                  <c:v>2.5558392693049884E-2</c:v>
                </c:pt>
                <c:pt idx="25">
                  <c:v>3.1043498827775524E-2</c:v>
                </c:pt>
                <c:pt idx="26">
                  <c:v>2.6903922699913308E-2</c:v>
                </c:pt>
                <c:pt idx="27">
                  <c:v>2.745463672366873E-2</c:v>
                </c:pt>
                <c:pt idx="28">
                  <c:v>2.090566290477798E-2</c:v>
                </c:pt>
                <c:pt idx="29">
                  <c:v>4.2570285069586503E-2</c:v>
                </c:pt>
                <c:pt idx="30">
                  <c:v>4.2475696695104398E-2</c:v>
                </c:pt>
                <c:pt idx="31">
                  <c:v>4.2475696695104398E-2</c:v>
                </c:pt>
                <c:pt idx="32">
                  <c:v>5.9061411559071332E-2</c:v>
                </c:pt>
                <c:pt idx="33">
                  <c:v>5.9061411559071332E-2</c:v>
                </c:pt>
                <c:pt idx="34">
                  <c:v>5.9061411559071332E-2</c:v>
                </c:pt>
                <c:pt idx="35">
                  <c:v>6.4346586468250047E-2</c:v>
                </c:pt>
                <c:pt idx="36">
                  <c:v>3.2493668426276705E-2</c:v>
                </c:pt>
                <c:pt idx="37">
                  <c:v>0.13360695861492872</c:v>
                </c:pt>
                <c:pt idx="38">
                  <c:v>0.13360695861492872</c:v>
                </c:pt>
                <c:pt idx="39">
                  <c:v>0.13360695861492872</c:v>
                </c:pt>
                <c:pt idx="40">
                  <c:v>0.13360695861492872</c:v>
                </c:pt>
                <c:pt idx="41">
                  <c:v>0.13360695861492872</c:v>
                </c:pt>
                <c:pt idx="42">
                  <c:v>0.13360695861492872</c:v>
                </c:pt>
                <c:pt idx="43">
                  <c:v>0.13360695861492872</c:v>
                </c:pt>
                <c:pt idx="44">
                  <c:v>0.13360695861492872</c:v>
                </c:pt>
                <c:pt idx="45">
                  <c:v>3.2493668426276705E-2</c:v>
                </c:pt>
                <c:pt idx="46">
                  <c:v>0.13360695861492872</c:v>
                </c:pt>
                <c:pt idx="47">
                  <c:v>0.13360695861492872</c:v>
                </c:pt>
                <c:pt idx="48">
                  <c:v>0.13360695861492872</c:v>
                </c:pt>
                <c:pt idx="49">
                  <c:v>0.13360695861492872</c:v>
                </c:pt>
                <c:pt idx="50">
                  <c:v>0.13360695861492872</c:v>
                </c:pt>
                <c:pt idx="51">
                  <c:v>0.13360695861492872</c:v>
                </c:pt>
                <c:pt idx="52">
                  <c:v>0.13360695861492872</c:v>
                </c:pt>
                <c:pt idx="53">
                  <c:v>0.13360695861492872</c:v>
                </c:pt>
                <c:pt idx="54">
                  <c:v>0.13360695861492872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D-43C4-85A2-F8B56DC96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09808"/>
        <c:axId val="1547200112"/>
      </c:scatterChart>
      <c:valAx>
        <c:axId val="6280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00112"/>
        <c:crosses val="autoZero"/>
        <c:crossBetween val="midCat"/>
      </c:valAx>
      <c:valAx>
        <c:axId val="15472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'Results Table'!$A$7</c:f>
              <c:strCache>
                <c:ptCount val="1"/>
                <c:pt idx="0">
                  <c:v>Annualized Sharpe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Table'!$B$4:$BD$4</c:f>
              <c:numCache>
                <c:formatCode>General</c:formatCode>
                <c:ptCount val="55"/>
                <c:pt idx="0">
                  <c:v>457.90999999999434</c:v>
                </c:pt>
                <c:pt idx="1">
                  <c:v>539.79999999992924</c:v>
                </c:pt>
                <c:pt idx="2">
                  <c:v>502.34999999994591</c:v>
                </c:pt>
                <c:pt idx="3">
                  <c:v>866.19999999998083</c:v>
                </c:pt>
                <c:pt idx="4">
                  <c:v>801.91999999996028</c:v>
                </c:pt>
                <c:pt idx="5">
                  <c:v>734.27999999996291</c:v>
                </c:pt>
                <c:pt idx="6">
                  <c:v>626.68000000002257</c:v>
                </c:pt>
                <c:pt idx="7">
                  <c:v>582.30000000001201</c:v>
                </c:pt>
                <c:pt idx="8">
                  <c:v>691.17000000000803</c:v>
                </c:pt>
                <c:pt idx="9">
                  <c:v>639.77999999996405</c:v>
                </c:pt>
                <c:pt idx="10">
                  <c:v>589.39000000002</c:v>
                </c:pt>
                <c:pt idx="11">
                  <c:v>486.4900000000124</c:v>
                </c:pt>
                <c:pt idx="12">
                  <c:v>502.01999999999344</c:v>
                </c:pt>
                <c:pt idx="13">
                  <c:v>483.84999999999053</c:v>
                </c:pt>
                <c:pt idx="14">
                  <c:v>466.82999999999913</c:v>
                </c:pt>
                <c:pt idx="15">
                  <c:v>403.22999999995068</c:v>
                </c:pt>
                <c:pt idx="16">
                  <c:v>324.71999999995103</c:v>
                </c:pt>
                <c:pt idx="17">
                  <c:v>418.41999999994755</c:v>
                </c:pt>
                <c:pt idx="18">
                  <c:v>424.60999999995738</c:v>
                </c:pt>
                <c:pt idx="19">
                  <c:v>420.31999999996151</c:v>
                </c:pt>
                <c:pt idx="20">
                  <c:v>322.44999999994826</c:v>
                </c:pt>
                <c:pt idx="21">
                  <c:v>293.85999999995255</c:v>
                </c:pt>
                <c:pt idx="22">
                  <c:v>332.70999999995763</c:v>
                </c:pt>
                <c:pt idx="23">
                  <c:v>364.41999999997176</c:v>
                </c:pt>
                <c:pt idx="24">
                  <c:v>326.9699999999724</c:v>
                </c:pt>
                <c:pt idx="25">
                  <c:v>322.67999999997653</c:v>
                </c:pt>
                <c:pt idx="26">
                  <c:v>258.11999999997408</c:v>
                </c:pt>
                <c:pt idx="27">
                  <c:v>241.43999999997021</c:v>
                </c:pt>
                <c:pt idx="28">
                  <c:v>267.45999999999657</c:v>
                </c:pt>
                <c:pt idx="29">
                  <c:v>306.31000000000165</c:v>
                </c:pt>
                <c:pt idx="30">
                  <c:v>271.67000000001804</c:v>
                </c:pt>
                <c:pt idx="31">
                  <c:v>271.67000000001804</c:v>
                </c:pt>
                <c:pt idx="32">
                  <c:v>283.31000000000472</c:v>
                </c:pt>
                <c:pt idx="33">
                  <c:v>283.31000000000472</c:v>
                </c:pt>
                <c:pt idx="34">
                  <c:v>283.31000000000472</c:v>
                </c:pt>
                <c:pt idx="35">
                  <c:v>257.22000000001282</c:v>
                </c:pt>
                <c:pt idx="36">
                  <c:v>311.80999999999767</c:v>
                </c:pt>
                <c:pt idx="37">
                  <c:v>320.48999999999944</c:v>
                </c:pt>
                <c:pt idx="38">
                  <c:v>320.48999999999944</c:v>
                </c:pt>
                <c:pt idx="39">
                  <c:v>320.48999999999944</c:v>
                </c:pt>
                <c:pt idx="40">
                  <c:v>320.48999999999944</c:v>
                </c:pt>
                <c:pt idx="41">
                  <c:v>320.48999999999944</c:v>
                </c:pt>
                <c:pt idx="42">
                  <c:v>320.48999999999944</c:v>
                </c:pt>
                <c:pt idx="43">
                  <c:v>320.48999999999944</c:v>
                </c:pt>
                <c:pt idx="44">
                  <c:v>320.48999999999944</c:v>
                </c:pt>
                <c:pt idx="45">
                  <c:v>311.80999999999767</c:v>
                </c:pt>
                <c:pt idx="46">
                  <c:v>320.48999999999944</c:v>
                </c:pt>
                <c:pt idx="47">
                  <c:v>320.48999999999944</c:v>
                </c:pt>
                <c:pt idx="48">
                  <c:v>320.48999999999944</c:v>
                </c:pt>
                <c:pt idx="49">
                  <c:v>320.48999999999944</c:v>
                </c:pt>
                <c:pt idx="50">
                  <c:v>320.48999999999944</c:v>
                </c:pt>
                <c:pt idx="51">
                  <c:v>320.48999999999944</c:v>
                </c:pt>
                <c:pt idx="52">
                  <c:v>320.48999999999944</c:v>
                </c:pt>
                <c:pt idx="53">
                  <c:v>320.48999999999944</c:v>
                </c:pt>
                <c:pt idx="54">
                  <c:v>320.48999999999944</c:v>
                </c:pt>
              </c:numCache>
            </c:numRef>
          </c:xVal>
          <c:yVal>
            <c:numRef>
              <c:f>'Results Table'!$B$7:$BD$7</c:f>
              <c:numCache>
                <c:formatCode>General</c:formatCode>
                <c:ptCount val="55"/>
                <c:pt idx="0">
                  <c:v>1.5726406081036397</c:v>
                </c:pt>
                <c:pt idx="1">
                  <c:v>1.7759461919897677</c:v>
                </c:pt>
                <c:pt idx="2">
                  <c:v>1.6562072981663052</c:v>
                </c:pt>
                <c:pt idx="3">
                  <c:v>2.8856542816857327</c:v>
                </c:pt>
                <c:pt idx="4">
                  <c:v>2.7637390484878313</c:v>
                </c:pt>
                <c:pt idx="5">
                  <c:v>2.5706300201155194</c:v>
                </c:pt>
                <c:pt idx="6">
                  <c:v>2.0404364195591507</c:v>
                </c:pt>
                <c:pt idx="7">
                  <c:v>1.9634607383992264</c:v>
                </c:pt>
                <c:pt idx="8">
                  <c:v>2.4318463361185358</c:v>
                </c:pt>
                <c:pt idx="9">
                  <c:v>2.3391566012507927</c:v>
                </c:pt>
                <c:pt idx="10">
                  <c:v>1.976944273674025</c:v>
                </c:pt>
                <c:pt idx="11">
                  <c:v>1.7018160796142801</c:v>
                </c:pt>
                <c:pt idx="12">
                  <c:v>1.9115239944523552</c:v>
                </c:pt>
                <c:pt idx="13">
                  <c:v>1.9232462670305055</c:v>
                </c:pt>
                <c:pt idx="14">
                  <c:v>1.9270218627055409</c:v>
                </c:pt>
                <c:pt idx="15">
                  <c:v>1.6078199367748498</c:v>
                </c:pt>
                <c:pt idx="16">
                  <c:v>1.3600130915919288</c:v>
                </c:pt>
                <c:pt idx="17">
                  <c:v>1.8475781215041671</c:v>
                </c:pt>
                <c:pt idx="18">
                  <c:v>1.9769936259951177</c:v>
                </c:pt>
                <c:pt idx="19">
                  <c:v>2.0243030963703164</c:v>
                </c:pt>
                <c:pt idx="20">
                  <c:v>1.5851310604127267</c:v>
                </c:pt>
                <c:pt idx="21">
                  <c:v>1.199874695818971</c:v>
                </c:pt>
                <c:pt idx="22">
                  <c:v>1.4170776899300357</c:v>
                </c:pt>
                <c:pt idx="23">
                  <c:v>1.6639535497736939</c:v>
                </c:pt>
                <c:pt idx="24">
                  <c:v>1.6515282187044056</c:v>
                </c:pt>
                <c:pt idx="25">
                  <c:v>1.6964991200282544</c:v>
                </c:pt>
                <c:pt idx="26">
                  <c:v>1.3818086700379109</c:v>
                </c:pt>
                <c:pt idx="27">
                  <c:v>1.3117047593717055</c:v>
                </c:pt>
                <c:pt idx="28">
                  <c:v>1.3836564547501544</c:v>
                </c:pt>
                <c:pt idx="29">
                  <c:v>1.6986589672928585</c:v>
                </c:pt>
                <c:pt idx="30">
                  <c:v>1.5057597699326708</c:v>
                </c:pt>
                <c:pt idx="31">
                  <c:v>1.5057597699326708</c:v>
                </c:pt>
                <c:pt idx="32">
                  <c:v>1.6213990285032254</c:v>
                </c:pt>
                <c:pt idx="33">
                  <c:v>1.6213990285032254</c:v>
                </c:pt>
                <c:pt idx="34">
                  <c:v>1.6213990285032254</c:v>
                </c:pt>
                <c:pt idx="35">
                  <c:v>1.4594990229863196</c:v>
                </c:pt>
                <c:pt idx="36">
                  <c:v>1.6875543563468418</c:v>
                </c:pt>
                <c:pt idx="37">
                  <c:v>1.8796442385075363</c:v>
                </c:pt>
                <c:pt idx="38">
                  <c:v>1.8796442385075363</c:v>
                </c:pt>
                <c:pt idx="39">
                  <c:v>1.8796442385075363</c:v>
                </c:pt>
                <c:pt idx="40">
                  <c:v>1.8796442385075363</c:v>
                </c:pt>
                <c:pt idx="41">
                  <c:v>1.8796442385075363</c:v>
                </c:pt>
                <c:pt idx="42">
                  <c:v>1.8796442385075363</c:v>
                </c:pt>
                <c:pt idx="43">
                  <c:v>1.8796442385075363</c:v>
                </c:pt>
                <c:pt idx="44">
                  <c:v>1.8796442385075363</c:v>
                </c:pt>
                <c:pt idx="45">
                  <c:v>1.6875543563468418</c:v>
                </c:pt>
                <c:pt idx="46">
                  <c:v>1.8796442385075363</c:v>
                </c:pt>
                <c:pt idx="47">
                  <c:v>1.8796442385075363</c:v>
                </c:pt>
                <c:pt idx="48">
                  <c:v>1.8796442385075363</c:v>
                </c:pt>
                <c:pt idx="49">
                  <c:v>1.8796442385075363</c:v>
                </c:pt>
                <c:pt idx="50">
                  <c:v>1.8796442385075363</c:v>
                </c:pt>
                <c:pt idx="51">
                  <c:v>1.8796442385075363</c:v>
                </c:pt>
                <c:pt idx="52">
                  <c:v>1.8796442385075363</c:v>
                </c:pt>
                <c:pt idx="53">
                  <c:v>1.8796442385075363</c:v>
                </c:pt>
                <c:pt idx="54">
                  <c:v>1.8796442385075363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48-48B1-81C1-839795C1C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60496"/>
        <c:axId val="1547237072"/>
      </c:scatterChart>
      <c:valAx>
        <c:axId val="2119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37072"/>
        <c:crosses val="autoZero"/>
        <c:crossBetween val="midCat"/>
      </c:valAx>
      <c:valAx>
        <c:axId val="154723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'Results Table'!$A$7</c:f>
              <c:strCache>
                <c:ptCount val="1"/>
                <c:pt idx="0">
                  <c:v>Annualized Sharpe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Table'!$B$6:$BD$6</c:f>
              <c:numCache>
                <c:formatCode>General</c:formatCode>
                <c:ptCount val="55"/>
                <c:pt idx="0">
                  <c:v>4.8948174773981038E-3</c:v>
                </c:pt>
                <c:pt idx="1">
                  <c:v>6.4914157403275167E-3</c:v>
                </c:pt>
                <c:pt idx="2">
                  <c:v>6.2204954111158492E-3</c:v>
                </c:pt>
                <c:pt idx="3">
                  <c:v>1.2744826354377658E-2</c:v>
                </c:pt>
                <c:pt idx="4">
                  <c:v>1.2857974239230423E-2</c:v>
                </c:pt>
                <c:pt idx="5">
                  <c:v>1.2934244631535027E-2</c:v>
                </c:pt>
                <c:pt idx="6">
                  <c:v>1.0178640530982292E-2</c:v>
                </c:pt>
                <c:pt idx="7">
                  <c:v>1.0554485134300908E-2</c:v>
                </c:pt>
                <c:pt idx="8">
                  <c:v>1.4651154735365476E-2</c:v>
                </c:pt>
                <c:pt idx="9">
                  <c:v>1.5387639563103192E-2</c:v>
                </c:pt>
                <c:pt idx="10">
                  <c:v>1.1889050896529077E-2</c:v>
                </c:pt>
                <c:pt idx="11">
                  <c:v>1.126728860193309E-2</c:v>
                </c:pt>
                <c:pt idx="12">
                  <c:v>1.4600973918432335E-2</c:v>
                </c:pt>
                <c:pt idx="13">
                  <c:v>1.6354742623332908E-2</c:v>
                </c:pt>
                <c:pt idx="14">
                  <c:v>1.8245081667848901E-2</c:v>
                </c:pt>
                <c:pt idx="15">
                  <c:v>1.0729014438403284E-2</c:v>
                </c:pt>
                <c:pt idx="16">
                  <c:v>1.0152080823761225E-2</c:v>
                </c:pt>
                <c:pt idx="17">
                  <c:v>1.6879592671263894E-2</c:v>
                </c:pt>
                <c:pt idx="18">
                  <c:v>2.2125769414453409E-2</c:v>
                </c:pt>
                <c:pt idx="19">
                  <c:v>2.503076744866032E-2</c:v>
                </c:pt>
                <c:pt idx="20">
                  <c:v>2.1224875908016215E-2</c:v>
                </c:pt>
                <c:pt idx="21">
                  <c:v>9.4230039271360946E-3</c:v>
                </c:pt>
                <c:pt idx="22">
                  <c:v>1.3003028383720305E-2</c:v>
                </c:pt>
                <c:pt idx="23">
                  <c:v>1.8989720512471331E-2</c:v>
                </c:pt>
                <c:pt idx="24">
                  <c:v>2.5558392693049884E-2</c:v>
                </c:pt>
                <c:pt idx="25">
                  <c:v>3.1043498827775524E-2</c:v>
                </c:pt>
                <c:pt idx="26">
                  <c:v>2.6903922699913308E-2</c:v>
                </c:pt>
                <c:pt idx="27">
                  <c:v>2.745463672366873E-2</c:v>
                </c:pt>
                <c:pt idx="28">
                  <c:v>2.090566290477798E-2</c:v>
                </c:pt>
                <c:pt idx="29">
                  <c:v>4.2570285069586503E-2</c:v>
                </c:pt>
                <c:pt idx="30">
                  <c:v>4.2475696695104398E-2</c:v>
                </c:pt>
                <c:pt idx="31">
                  <c:v>4.2475696695104398E-2</c:v>
                </c:pt>
                <c:pt idx="32">
                  <c:v>5.9061411559071332E-2</c:v>
                </c:pt>
                <c:pt idx="33">
                  <c:v>5.9061411559071332E-2</c:v>
                </c:pt>
                <c:pt idx="34">
                  <c:v>5.9061411559071332E-2</c:v>
                </c:pt>
                <c:pt idx="35">
                  <c:v>6.4346586468250047E-2</c:v>
                </c:pt>
                <c:pt idx="36">
                  <c:v>3.2493668426276705E-2</c:v>
                </c:pt>
                <c:pt idx="37">
                  <c:v>0.13360695861492872</c:v>
                </c:pt>
                <c:pt idx="38">
                  <c:v>0.13360695861492872</c:v>
                </c:pt>
                <c:pt idx="39">
                  <c:v>0.13360695861492872</c:v>
                </c:pt>
                <c:pt idx="40">
                  <c:v>0.13360695861492872</c:v>
                </c:pt>
                <c:pt idx="41">
                  <c:v>0.13360695861492872</c:v>
                </c:pt>
                <c:pt idx="42">
                  <c:v>0.13360695861492872</c:v>
                </c:pt>
                <c:pt idx="43">
                  <c:v>0.13360695861492872</c:v>
                </c:pt>
                <c:pt idx="44">
                  <c:v>0.13360695861492872</c:v>
                </c:pt>
                <c:pt idx="45">
                  <c:v>3.2493668426276705E-2</c:v>
                </c:pt>
                <c:pt idx="46">
                  <c:v>0.13360695861492872</c:v>
                </c:pt>
                <c:pt idx="47">
                  <c:v>0.13360695861492872</c:v>
                </c:pt>
                <c:pt idx="48">
                  <c:v>0.13360695861492872</c:v>
                </c:pt>
                <c:pt idx="49">
                  <c:v>0.13360695861492872</c:v>
                </c:pt>
                <c:pt idx="50">
                  <c:v>0.13360695861492872</c:v>
                </c:pt>
                <c:pt idx="51">
                  <c:v>0.13360695861492872</c:v>
                </c:pt>
                <c:pt idx="52">
                  <c:v>0.13360695861492872</c:v>
                </c:pt>
                <c:pt idx="53">
                  <c:v>0.13360695861492872</c:v>
                </c:pt>
                <c:pt idx="54">
                  <c:v>0.13360695861492872</c:v>
                </c:pt>
              </c:numCache>
            </c:numRef>
          </c:xVal>
          <c:yVal>
            <c:numRef>
              <c:f>'Results Table'!$B$7:$BD$7</c:f>
              <c:numCache>
                <c:formatCode>General</c:formatCode>
                <c:ptCount val="55"/>
                <c:pt idx="0">
                  <c:v>1.5726406081036397</c:v>
                </c:pt>
                <c:pt idx="1">
                  <c:v>1.7759461919897677</c:v>
                </c:pt>
                <c:pt idx="2">
                  <c:v>1.6562072981663052</c:v>
                </c:pt>
                <c:pt idx="3">
                  <c:v>2.8856542816857327</c:v>
                </c:pt>
                <c:pt idx="4">
                  <c:v>2.7637390484878313</c:v>
                </c:pt>
                <c:pt idx="5">
                  <c:v>2.5706300201155194</c:v>
                </c:pt>
                <c:pt idx="6">
                  <c:v>2.0404364195591507</c:v>
                </c:pt>
                <c:pt idx="7">
                  <c:v>1.9634607383992264</c:v>
                </c:pt>
                <c:pt idx="8">
                  <c:v>2.4318463361185358</c:v>
                </c:pt>
                <c:pt idx="9">
                  <c:v>2.3391566012507927</c:v>
                </c:pt>
                <c:pt idx="10">
                  <c:v>1.976944273674025</c:v>
                </c:pt>
                <c:pt idx="11">
                  <c:v>1.7018160796142801</c:v>
                </c:pt>
                <c:pt idx="12">
                  <c:v>1.9115239944523552</c:v>
                </c:pt>
                <c:pt idx="13">
                  <c:v>1.9232462670305055</c:v>
                </c:pt>
                <c:pt idx="14">
                  <c:v>1.9270218627055409</c:v>
                </c:pt>
                <c:pt idx="15">
                  <c:v>1.6078199367748498</c:v>
                </c:pt>
                <c:pt idx="16">
                  <c:v>1.3600130915919288</c:v>
                </c:pt>
                <c:pt idx="17">
                  <c:v>1.8475781215041671</c:v>
                </c:pt>
                <c:pt idx="18">
                  <c:v>1.9769936259951177</c:v>
                </c:pt>
                <c:pt idx="19">
                  <c:v>2.0243030963703164</c:v>
                </c:pt>
                <c:pt idx="20">
                  <c:v>1.5851310604127267</c:v>
                </c:pt>
                <c:pt idx="21">
                  <c:v>1.199874695818971</c:v>
                </c:pt>
                <c:pt idx="22">
                  <c:v>1.4170776899300357</c:v>
                </c:pt>
                <c:pt idx="23">
                  <c:v>1.6639535497736939</c:v>
                </c:pt>
                <c:pt idx="24">
                  <c:v>1.6515282187044056</c:v>
                </c:pt>
                <c:pt idx="25">
                  <c:v>1.6964991200282544</c:v>
                </c:pt>
                <c:pt idx="26">
                  <c:v>1.3818086700379109</c:v>
                </c:pt>
                <c:pt idx="27">
                  <c:v>1.3117047593717055</c:v>
                </c:pt>
                <c:pt idx="28">
                  <c:v>1.3836564547501544</c:v>
                </c:pt>
                <c:pt idx="29">
                  <c:v>1.6986589672928585</c:v>
                </c:pt>
                <c:pt idx="30">
                  <c:v>1.5057597699326708</c:v>
                </c:pt>
                <c:pt idx="31">
                  <c:v>1.5057597699326708</c:v>
                </c:pt>
                <c:pt idx="32">
                  <c:v>1.6213990285032254</c:v>
                </c:pt>
                <c:pt idx="33">
                  <c:v>1.6213990285032254</c:v>
                </c:pt>
                <c:pt idx="34">
                  <c:v>1.6213990285032254</c:v>
                </c:pt>
                <c:pt idx="35">
                  <c:v>1.4594990229863196</c:v>
                </c:pt>
                <c:pt idx="36">
                  <c:v>1.6875543563468418</c:v>
                </c:pt>
                <c:pt idx="37">
                  <c:v>1.8796442385075363</c:v>
                </c:pt>
                <c:pt idx="38">
                  <c:v>1.8796442385075363</c:v>
                </c:pt>
                <c:pt idx="39">
                  <c:v>1.8796442385075363</c:v>
                </c:pt>
                <c:pt idx="40">
                  <c:v>1.8796442385075363</c:v>
                </c:pt>
                <c:pt idx="41">
                  <c:v>1.8796442385075363</c:v>
                </c:pt>
                <c:pt idx="42">
                  <c:v>1.8796442385075363</c:v>
                </c:pt>
                <c:pt idx="43">
                  <c:v>1.8796442385075363</c:v>
                </c:pt>
                <c:pt idx="44">
                  <c:v>1.8796442385075363</c:v>
                </c:pt>
                <c:pt idx="45">
                  <c:v>1.6875543563468418</c:v>
                </c:pt>
                <c:pt idx="46">
                  <c:v>1.8796442385075363</c:v>
                </c:pt>
                <c:pt idx="47">
                  <c:v>1.8796442385075363</c:v>
                </c:pt>
                <c:pt idx="48">
                  <c:v>1.8796442385075363</c:v>
                </c:pt>
                <c:pt idx="49">
                  <c:v>1.8796442385075363</c:v>
                </c:pt>
                <c:pt idx="50">
                  <c:v>1.8796442385075363</c:v>
                </c:pt>
                <c:pt idx="51">
                  <c:v>1.8796442385075363</c:v>
                </c:pt>
                <c:pt idx="52">
                  <c:v>1.8796442385075363</c:v>
                </c:pt>
                <c:pt idx="53">
                  <c:v>1.8796442385075363</c:v>
                </c:pt>
                <c:pt idx="54">
                  <c:v>1.8796442385075363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F-41ED-BCAE-9C3876AC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5888"/>
        <c:axId val="1547214512"/>
      </c:scatterChart>
      <c:valAx>
        <c:axId val="627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14512"/>
        <c:crosses val="autoZero"/>
        <c:crossBetween val="midCat"/>
      </c:valAx>
      <c:valAx>
        <c:axId val="15472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16</xdr:row>
      <xdr:rowOff>166687</xdr:rowOff>
    </xdr:from>
    <xdr:to>
      <xdr:col>3</xdr:col>
      <xdr:colOff>1485900</xdr:colOff>
      <xdr:row>31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E0B42-334E-5C3F-D22C-FAFC0C63C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16</xdr:row>
      <xdr:rowOff>185737</xdr:rowOff>
    </xdr:from>
    <xdr:to>
      <xdr:col>6</xdr:col>
      <xdr:colOff>1419225</xdr:colOff>
      <xdr:row>31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E59FD9-B749-8177-FC23-24F9B1115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1466850</xdr:colOff>
      <xdr:row>17</xdr:row>
      <xdr:rowOff>4762</xdr:rowOff>
    </xdr:from>
    <xdr:to>
      <xdr:col>9</xdr:col>
      <xdr:colOff>1266825</xdr:colOff>
      <xdr:row>31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7A0077-2401-AF6E-188E-3DC10492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9BAA-1EF3-4A96-BAB7-EB74E86DF2D5}">
  <dimension ref="A1:BD14"/>
  <sheetViews>
    <sheetView tabSelected="1" workbookViewId="0">
      <pane xSplit="1" ySplit="1" topLeftCell="S2" activePane="bottomRight" state="frozenSplit"/>
      <selection pane="topRight" activeCell="B1" sqref="B1"/>
      <selection pane="bottomLeft" activeCell="A2" sqref="A2"/>
      <selection pane="bottomRight" activeCell="A11" sqref="A11:XFD14"/>
    </sheetView>
  </sheetViews>
  <sheetFormatPr defaultRowHeight="15" x14ac:dyDescent="0.25"/>
  <cols>
    <col min="1" max="1" width="33.42578125" bestFit="1" customWidth="1"/>
    <col min="2" max="20" width="23.85546875" bestFit="1" customWidth="1"/>
    <col min="21" max="21" width="23.85546875" style="7" bestFit="1" customWidth="1"/>
    <col min="2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7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 s="7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 s="7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457.90999999999434</v>
      </c>
      <c r="C4">
        <v>539.79999999992924</v>
      </c>
      <c r="D4">
        <v>502.34999999994591</v>
      </c>
      <c r="E4">
        <v>866.19999999998083</v>
      </c>
      <c r="F4">
        <v>801.91999999996028</v>
      </c>
      <c r="G4">
        <v>734.27999999996291</v>
      </c>
      <c r="H4">
        <v>626.68000000002257</v>
      </c>
      <c r="I4">
        <v>582.30000000001201</v>
      </c>
      <c r="J4">
        <v>691.17000000000803</v>
      </c>
      <c r="K4">
        <v>639.77999999996405</v>
      </c>
      <c r="L4">
        <v>589.39000000002</v>
      </c>
      <c r="M4">
        <v>486.4900000000124</v>
      </c>
      <c r="N4">
        <v>502.01999999999344</v>
      </c>
      <c r="O4">
        <v>483.84999999999053</v>
      </c>
      <c r="P4">
        <v>466.82999999999913</v>
      </c>
      <c r="Q4">
        <v>403.22999999995068</v>
      </c>
      <c r="R4">
        <v>324.71999999995103</v>
      </c>
      <c r="S4">
        <v>418.41999999994755</v>
      </c>
      <c r="T4">
        <v>424.60999999995738</v>
      </c>
      <c r="U4" s="7">
        <v>420.31999999996151</v>
      </c>
      <c r="V4">
        <v>322.44999999994826</v>
      </c>
      <c r="W4">
        <v>293.85999999995255</v>
      </c>
      <c r="X4">
        <v>332.70999999995763</v>
      </c>
      <c r="Y4">
        <v>364.41999999997176</v>
      </c>
      <c r="Z4">
        <v>326.9699999999724</v>
      </c>
      <c r="AA4">
        <v>322.67999999997653</v>
      </c>
      <c r="AB4">
        <v>258.11999999997408</v>
      </c>
      <c r="AC4">
        <v>241.43999999997021</v>
      </c>
      <c r="AD4">
        <v>267.45999999999657</v>
      </c>
      <c r="AE4">
        <v>306.31000000000165</v>
      </c>
      <c r="AF4">
        <v>271.67000000001804</v>
      </c>
      <c r="AG4">
        <v>271.67000000001804</v>
      </c>
      <c r="AH4">
        <v>283.31000000000472</v>
      </c>
      <c r="AI4">
        <v>283.31000000000472</v>
      </c>
      <c r="AJ4">
        <v>283.31000000000472</v>
      </c>
      <c r="AK4">
        <v>257.22000000001282</v>
      </c>
      <c r="AL4">
        <v>311.80999999999767</v>
      </c>
      <c r="AM4">
        <v>320.48999999999944</v>
      </c>
      <c r="AN4">
        <v>320.48999999999944</v>
      </c>
      <c r="AO4">
        <v>320.48999999999944</v>
      </c>
      <c r="AP4">
        <v>320.48999999999944</v>
      </c>
      <c r="AQ4">
        <v>320.48999999999944</v>
      </c>
      <c r="AR4">
        <v>320.48999999999944</v>
      </c>
      <c r="AS4">
        <v>320.48999999999944</v>
      </c>
      <c r="AT4">
        <v>320.48999999999944</v>
      </c>
      <c r="AU4">
        <v>311.80999999999767</v>
      </c>
      <c r="AV4">
        <v>320.48999999999944</v>
      </c>
      <c r="AW4">
        <v>320.48999999999944</v>
      </c>
      <c r="AX4">
        <v>320.48999999999944</v>
      </c>
      <c r="AY4">
        <v>320.48999999999944</v>
      </c>
      <c r="AZ4">
        <v>320.48999999999944</v>
      </c>
      <c r="BA4">
        <v>320.48999999999944</v>
      </c>
      <c r="BB4">
        <v>320.48999999999944</v>
      </c>
      <c r="BC4">
        <v>320.48999999999944</v>
      </c>
      <c r="BD4">
        <v>320.48999999999944</v>
      </c>
    </row>
    <row r="5" spans="1:56" x14ac:dyDescent="0.25">
      <c r="A5" t="s">
        <v>58</v>
      </c>
      <c r="B5">
        <v>174626.59992537313</v>
      </c>
      <c r="C5">
        <v>155224.48522388059</v>
      </c>
      <c r="D5">
        <v>150746.83574626868</v>
      </c>
      <c r="E5">
        <v>126867.68902985074</v>
      </c>
      <c r="F5">
        <v>116419.37567164178</v>
      </c>
      <c r="G5">
        <v>105971.08985074626</v>
      </c>
      <c r="H5">
        <v>114927.20104477613</v>
      </c>
      <c r="I5">
        <v>102985.60149253732</v>
      </c>
      <c r="J5">
        <v>88060.226194029834</v>
      </c>
      <c r="K5">
        <v>77611.383805970152</v>
      </c>
      <c r="L5">
        <v>92538.477313432828</v>
      </c>
      <c r="M5">
        <v>80597.444402985086</v>
      </c>
      <c r="N5">
        <v>64180.924179104477</v>
      </c>
      <c r="O5">
        <v>55224.75574626866</v>
      </c>
      <c r="P5">
        <v>47761.693582089545</v>
      </c>
      <c r="Q5">
        <v>70155.185671641782</v>
      </c>
      <c r="R5">
        <v>59706.380447761199</v>
      </c>
      <c r="S5">
        <v>46271.890671641791</v>
      </c>
      <c r="T5">
        <v>35822.724104477616</v>
      </c>
      <c r="U5" s="7">
        <v>31345.316716417907</v>
      </c>
      <c r="V5">
        <v>28358.548208955221</v>
      </c>
      <c r="W5">
        <v>58212.717611940308</v>
      </c>
      <c r="X5">
        <v>47762.617164179108</v>
      </c>
      <c r="Y5">
        <v>35822.047313432835</v>
      </c>
      <c r="Z5">
        <v>23880.374925373137</v>
      </c>
      <c r="AA5">
        <v>19402.967537313434</v>
      </c>
      <c r="AB5">
        <v>17909.061268656715</v>
      </c>
      <c r="AC5">
        <v>16415.733507462686</v>
      </c>
      <c r="AD5">
        <v>23881.503731343284</v>
      </c>
      <c r="AE5">
        <v>13431.403283582089</v>
      </c>
      <c r="AF5">
        <v>11938.999776119403</v>
      </c>
      <c r="AG5">
        <v>11938.999776119403</v>
      </c>
      <c r="AH5">
        <v>8954.160074626865</v>
      </c>
      <c r="AI5">
        <v>8954.160074626865</v>
      </c>
      <c r="AJ5">
        <v>8954.160074626865</v>
      </c>
      <c r="AK5">
        <v>7461.8410447761189</v>
      </c>
      <c r="AL5">
        <v>17912.576865671639</v>
      </c>
      <c r="AM5">
        <v>4477.6709701492528</v>
      </c>
      <c r="AN5">
        <v>4477.6709701492528</v>
      </c>
      <c r="AO5">
        <v>4477.6709701492528</v>
      </c>
      <c r="AP5">
        <v>4477.6709701492528</v>
      </c>
      <c r="AQ5">
        <v>4477.6709701492528</v>
      </c>
      <c r="AR5">
        <v>4477.6709701492528</v>
      </c>
      <c r="AS5">
        <v>4477.6709701492528</v>
      </c>
      <c r="AT5">
        <v>4477.6709701492528</v>
      </c>
      <c r="AU5">
        <v>17912.576865671639</v>
      </c>
      <c r="AV5">
        <v>4477.6709701492528</v>
      </c>
      <c r="AW5">
        <v>4477.6709701492528</v>
      </c>
      <c r="AX5">
        <v>4477.6709701492528</v>
      </c>
      <c r="AY5">
        <v>4477.6709701492528</v>
      </c>
      <c r="AZ5">
        <v>4477.6709701492528</v>
      </c>
      <c r="BA5">
        <v>4477.6709701492528</v>
      </c>
      <c r="BB5">
        <v>4477.6709701492528</v>
      </c>
      <c r="BC5">
        <v>4477.6709701492528</v>
      </c>
      <c r="BD5">
        <v>4477.6709701492528</v>
      </c>
    </row>
    <row r="6" spans="1:56" x14ac:dyDescent="0.25">
      <c r="A6" t="s">
        <v>59</v>
      </c>
      <c r="B6">
        <v>4.8948174773981038E-3</v>
      </c>
      <c r="C6">
        <v>6.4914157403275167E-3</v>
      </c>
      <c r="D6">
        <v>6.2204954111158492E-3</v>
      </c>
      <c r="E6">
        <v>1.2744826354377658E-2</v>
      </c>
      <c r="F6">
        <v>1.2857974239230423E-2</v>
      </c>
      <c r="G6">
        <v>1.2934244631535027E-2</v>
      </c>
      <c r="H6">
        <v>1.0178640530982292E-2</v>
      </c>
      <c r="I6">
        <v>1.0554485134300908E-2</v>
      </c>
      <c r="J6">
        <v>1.4651154735365476E-2</v>
      </c>
      <c r="K6">
        <v>1.5387639563103192E-2</v>
      </c>
      <c r="L6">
        <v>1.1889050896529077E-2</v>
      </c>
      <c r="M6">
        <v>1.126728860193309E-2</v>
      </c>
      <c r="N6">
        <v>1.4600973918432335E-2</v>
      </c>
      <c r="O6">
        <v>1.6354742623332908E-2</v>
      </c>
      <c r="P6">
        <v>1.8245081667848901E-2</v>
      </c>
      <c r="Q6">
        <v>1.0729014438403284E-2</v>
      </c>
      <c r="R6">
        <v>1.0152080823761225E-2</v>
      </c>
      <c r="S6">
        <v>1.6879592671263894E-2</v>
      </c>
      <c r="T6">
        <v>2.2125769414453409E-2</v>
      </c>
      <c r="U6" s="7">
        <v>2.503076744866032E-2</v>
      </c>
      <c r="V6">
        <v>2.1224875908016215E-2</v>
      </c>
      <c r="W6">
        <v>9.4230039271360946E-3</v>
      </c>
      <c r="X6">
        <v>1.3003028383720305E-2</v>
      </c>
      <c r="Y6">
        <v>1.8989720512471331E-2</v>
      </c>
      <c r="Z6">
        <v>2.5558392693049884E-2</v>
      </c>
      <c r="AA6">
        <v>3.1043498827775524E-2</v>
      </c>
      <c r="AB6">
        <v>2.6903922699913308E-2</v>
      </c>
      <c r="AC6">
        <v>2.745463672366873E-2</v>
      </c>
      <c r="AD6">
        <v>2.090566290477798E-2</v>
      </c>
      <c r="AE6">
        <v>4.2570285069586503E-2</v>
      </c>
      <c r="AF6">
        <v>4.2475696695104398E-2</v>
      </c>
      <c r="AG6">
        <v>4.2475696695104398E-2</v>
      </c>
      <c r="AH6">
        <v>5.9061411559071332E-2</v>
      </c>
      <c r="AI6">
        <v>5.9061411559071332E-2</v>
      </c>
      <c r="AJ6">
        <v>5.9061411559071332E-2</v>
      </c>
      <c r="AK6">
        <v>6.4346586468250047E-2</v>
      </c>
      <c r="AL6">
        <v>3.2493668426276705E-2</v>
      </c>
      <c r="AM6">
        <v>0.13360695861492872</v>
      </c>
      <c r="AN6">
        <v>0.13360695861492872</v>
      </c>
      <c r="AO6">
        <v>0.13360695861492872</v>
      </c>
      <c r="AP6">
        <v>0.13360695861492872</v>
      </c>
      <c r="AQ6">
        <v>0.13360695861492872</v>
      </c>
      <c r="AR6">
        <v>0.13360695861492872</v>
      </c>
      <c r="AS6">
        <v>0.13360695861492872</v>
      </c>
      <c r="AT6">
        <v>0.13360695861492872</v>
      </c>
      <c r="AU6">
        <v>3.2493668426276705E-2</v>
      </c>
      <c r="AV6">
        <v>0.13360695861492872</v>
      </c>
      <c r="AW6">
        <v>0.13360695861492872</v>
      </c>
      <c r="AX6">
        <v>0.13360695861492872</v>
      </c>
      <c r="AY6">
        <v>0.13360695861492872</v>
      </c>
      <c r="AZ6">
        <v>0.13360695861492872</v>
      </c>
      <c r="BA6">
        <v>0.13360695861492872</v>
      </c>
      <c r="BB6">
        <v>0.13360695861492872</v>
      </c>
      <c r="BC6">
        <v>0.13360695861492872</v>
      </c>
      <c r="BD6">
        <v>0.13360695861492872</v>
      </c>
    </row>
    <row r="7" spans="1:56" x14ac:dyDescent="0.25">
      <c r="A7" t="s">
        <v>60</v>
      </c>
      <c r="B7">
        <v>1.5726406081036397</v>
      </c>
      <c r="C7">
        <v>1.7759461919897677</v>
      </c>
      <c r="D7">
        <v>1.6562072981663052</v>
      </c>
      <c r="E7">
        <v>2.8856542816857327</v>
      </c>
      <c r="F7">
        <v>2.7637390484878313</v>
      </c>
      <c r="G7">
        <v>2.5706300201155194</v>
      </c>
      <c r="H7">
        <v>2.0404364195591507</v>
      </c>
      <c r="I7">
        <v>1.9634607383992264</v>
      </c>
      <c r="J7">
        <v>2.4318463361185358</v>
      </c>
      <c r="K7">
        <v>2.3391566012507927</v>
      </c>
      <c r="L7">
        <v>1.976944273674025</v>
      </c>
      <c r="M7">
        <v>1.7018160796142801</v>
      </c>
      <c r="N7">
        <v>1.9115239944523552</v>
      </c>
      <c r="O7">
        <v>1.9232462670305055</v>
      </c>
      <c r="P7">
        <v>1.9270218627055409</v>
      </c>
      <c r="Q7">
        <v>1.6078199367748498</v>
      </c>
      <c r="R7">
        <v>1.3600130915919288</v>
      </c>
      <c r="S7">
        <v>1.8475781215041671</v>
      </c>
      <c r="T7">
        <v>1.9769936259951177</v>
      </c>
      <c r="U7" s="7">
        <v>2.0243030963703164</v>
      </c>
      <c r="V7">
        <v>1.5851310604127267</v>
      </c>
      <c r="W7">
        <v>1.199874695818971</v>
      </c>
      <c r="X7">
        <v>1.4170776899300357</v>
      </c>
      <c r="Y7">
        <v>1.6639535497736939</v>
      </c>
      <c r="Z7">
        <v>1.6515282187044056</v>
      </c>
      <c r="AA7">
        <v>1.6964991200282544</v>
      </c>
      <c r="AB7">
        <v>1.3818086700379109</v>
      </c>
      <c r="AC7">
        <v>1.3117047593717055</v>
      </c>
      <c r="AD7">
        <v>1.3836564547501544</v>
      </c>
      <c r="AE7">
        <v>1.6986589672928585</v>
      </c>
      <c r="AF7">
        <v>1.5057597699326708</v>
      </c>
      <c r="AG7">
        <v>1.5057597699326708</v>
      </c>
      <c r="AH7">
        <v>1.6213990285032254</v>
      </c>
      <c r="AI7">
        <v>1.6213990285032254</v>
      </c>
      <c r="AJ7">
        <v>1.6213990285032254</v>
      </c>
      <c r="AK7">
        <v>1.4594990229863196</v>
      </c>
      <c r="AL7">
        <v>1.6875543563468418</v>
      </c>
      <c r="AM7">
        <v>1.8796442385075363</v>
      </c>
      <c r="AN7">
        <v>1.8796442385075363</v>
      </c>
      <c r="AO7">
        <v>1.8796442385075363</v>
      </c>
      <c r="AP7">
        <v>1.8796442385075363</v>
      </c>
      <c r="AQ7">
        <v>1.8796442385075363</v>
      </c>
      <c r="AR7">
        <v>1.8796442385075363</v>
      </c>
      <c r="AS7">
        <v>1.8796442385075363</v>
      </c>
      <c r="AT7">
        <v>1.8796442385075363</v>
      </c>
      <c r="AU7">
        <v>1.6875543563468418</v>
      </c>
      <c r="AV7">
        <v>1.8796442385075363</v>
      </c>
      <c r="AW7">
        <v>1.8796442385075363</v>
      </c>
      <c r="AX7">
        <v>1.8796442385075363</v>
      </c>
      <c r="AY7">
        <v>1.8796442385075363</v>
      </c>
      <c r="AZ7">
        <v>1.8796442385075363</v>
      </c>
      <c r="BA7">
        <v>1.8796442385075363</v>
      </c>
      <c r="BB7">
        <v>1.8796442385075363</v>
      </c>
      <c r="BC7">
        <v>1.8796442385075363</v>
      </c>
      <c r="BD7">
        <v>1.8796442385075363</v>
      </c>
    </row>
    <row r="8" spans="1:56" x14ac:dyDescent="0.25">
      <c r="A8" t="s">
        <v>61</v>
      </c>
      <c r="B8">
        <v>-161.64000000002915</v>
      </c>
      <c r="C8">
        <v>-135.76000000002347</v>
      </c>
      <c r="D8">
        <v>-135.76000000002347</v>
      </c>
      <c r="E8">
        <v>-75.299999999984948</v>
      </c>
      <c r="F8">
        <v>-72.884999999996353</v>
      </c>
      <c r="G8">
        <v>-106.70999999999286</v>
      </c>
      <c r="H8">
        <v>-146.56999999997814</v>
      </c>
      <c r="I8">
        <v>-119.5100000000146</v>
      </c>
      <c r="J8">
        <v>-108.97999999997735</v>
      </c>
      <c r="K8">
        <v>-120.86500000000991</v>
      </c>
      <c r="L8">
        <v>-155.63999999998154</v>
      </c>
      <c r="M8">
        <v>-127.37999999998667</v>
      </c>
      <c r="N8">
        <v>-120.74999999999488</v>
      </c>
      <c r="O8">
        <v>-120.74999999999488</v>
      </c>
      <c r="P8">
        <v>-150.47000000000102</v>
      </c>
      <c r="Q8">
        <v>-132.50999999999729</v>
      </c>
      <c r="R8">
        <v>-113.39999999999597</v>
      </c>
      <c r="S8">
        <v>-100.20000000001201</v>
      </c>
      <c r="T8">
        <v>-106.54000000002679</v>
      </c>
      <c r="U8" s="7">
        <v>-83.659999999988742</v>
      </c>
      <c r="V8">
        <v>-100.40000000000595</v>
      </c>
      <c r="W8">
        <v>-123.58999999999958</v>
      </c>
      <c r="X8">
        <v>-87.970000000008611</v>
      </c>
      <c r="Y8">
        <v>-81.180000000007226</v>
      </c>
      <c r="Z8">
        <v>-87.52000000002198</v>
      </c>
      <c r="AA8">
        <v>-61.129999999989991</v>
      </c>
      <c r="AB8">
        <v>-69.884999999998541</v>
      </c>
      <c r="AC8">
        <v>-86.565000000002527</v>
      </c>
      <c r="AD8">
        <v>-99.370000000005746</v>
      </c>
      <c r="AE8">
        <v>-42.215000000000373</v>
      </c>
      <c r="AF8">
        <v>-76.854999999983988</v>
      </c>
      <c r="AG8">
        <v>-76.854999999983988</v>
      </c>
      <c r="AH8">
        <v>-65.89500000000811</v>
      </c>
      <c r="AI8">
        <v>-65.89500000000811</v>
      </c>
      <c r="AJ8">
        <v>-65.89500000000811</v>
      </c>
      <c r="AK8">
        <v>-91.985000000000014</v>
      </c>
      <c r="AL8">
        <v>-74.10000000000133</v>
      </c>
      <c r="AM8">
        <v>-32.345000000000027</v>
      </c>
      <c r="AN8">
        <v>-32.345000000000027</v>
      </c>
      <c r="AO8">
        <v>-32.345000000000027</v>
      </c>
      <c r="AP8">
        <v>-32.345000000000027</v>
      </c>
      <c r="AQ8">
        <v>-32.345000000000027</v>
      </c>
      <c r="AR8">
        <v>-32.345000000000027</v>
      </c>
      <c r="AS8">
        <v>-32.345000000000027</v>
      </c>
      <c r="AT8">
        <v>-32.345000000000027</v>
      </c>
      <c r="AU8">
        <v>-74.10000000000133</v>
      </c>
      <c r="AV8">
        <v>-32.345000000000027</v>
      </c>
      <c r="AW8">
        <v>-32.345000000000027</v>
      </c>
      <c r="AX8">
        <v>-32.345000000000027</v>
      </c>
      <c r="AY8">
        <v>-32.345000000000027</v>
      </c>
      <c r="AZ8">
        <v>-32.345000000000027</v>
      </c>
      <c r="BA8">
        <v>-32.345000000000027</v>
      </c>
      <c r="BB8">
        <v>-32.345000000000027</v>
      </c>
      <c r="BC8">
        <v>-32.345000000000027</v>
      </c>
      <c r="BD8">
        <v>-32.345000000000027</v>
      </c>
    </row>
    <row r="9" spans="1:56" x14ac:dyDescent="0.25">
      <c r="A9" t="s">
        <v>62</v>
      </c>
      <c r="B9">
        <v>43</v>
      </c>
      <c r="C9">
        <v>64</v>
      </c>
      <c r="D9">
        <v>63</v>
      </c>
      <c r="E9">
        <v>79</v>
      </c>
      <c r="F9">
        <v>72</v>
      </c>
      <c r="G9">
        <v>65</v>
      </c>
      <c r="H9">
        <v>94</v>
      </c>
      <c r="I9">
        <v>87</v>
      </c>
      <c r="J9">
        <v>82</v>
      </c>
      <c r="K9">
        <v>75</v>
      </c>
      <c r="L9">
        <v>88</v>
      </c>
      <c r="M9">
        <v>79</v>
      </c>
      <c r="N9">
        <v>68</v>
      </c>
      <c r="O9">
        <v>62</v>
      </c>
      <c r="P9">
        <v>57</v>
      </c>
      <c r="Q9">
        <v>62</v>
      </c>
      <c r="R9">
        <v>54</v>
      </c>
      <c r="S9">
        <v>45</v>
      </c>
      <c r="T9">
        <v>42</v>
      </c>
      <c r="U9" s="7">
        <v>39</v>
      </c>
      <c r="V9">
        <v>37</v>
      </c>
      <c r="W9">
        <v>59</v>
      </c>
      <c r="X9">
        <v>49</v>
      </c>
      <c r="Y9">
        <v>39</v>
      </c>
      <c r="Z9">
        <v>33</v>
      </c>
      <c r="AA9">
        <v>30</v>
      </c>
      <c r="AB9">
        <v>29</v>
      </c>
      <c r="AC9">
        <v>29</v>
      </c>
      <c r="AD9">
        <v>32</v>
      </c>
      <c r="AE9">
        <v>22</v>
      </c>
      <c r="AF9">
        <v>21</v>
      </c>
      <c r="AG9">
        <v>21</v>
      </c>
      <c r="AH9">
        <v>19</v>
      </c>
      <c r="AI9">
        <v>19</v>
      </c>
      <c r="AJ9">
        <v>19</v>
      </c>
      <c r="AK9">
        <v>18</v>
      </c>
      <c r="AL9">
        <v>28</v>
      </c>
      <c r="AM9">
        <v>14</v>
      </c>
      <c r="AN9">
        <v>14</v>
      </c>
      <c r="AO9">
        <v>14</v>
      </c>
      <c r="AP9">
        <v>14</v>
      </c>
      <c r="AQ9">
        <v>14</v>
      </c>
      <c r="AR9">
        <v>14</v>
      </c>
      <c r="AS9">
        <v>14</v>
      </c>
      <c r="AT9">
        <v>14</v>
      </c>
      <c r="AU9">
        <v>28</v>
      </c>
      <c r="AV9">
        <v>14</v>
      </c>
      <c r="AW9">
        <v>14</v>
      </c>
      <c r="AX9">
        <v>14</v>
      </c>
      <c r="AY9">
        <v>14</v>
      </c>
      <c r="AZ9">
        <v>14</v>
      </c>
      <c r="BA9">
        <v>14</v>
      </c>
      <c r="BB9">
        <v>14</v>
      </c>
      <c r="BC9">
        <v>14</v>
      </c>
      <c r="BD9">
        <v>14</v>
      </c>
    </row>
    <row r="10" spans="1:56" x14ac:dyDescent="0.25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5</v>
      </c>
      <c r="H10">
        <v>6</v>
      </c>
      <c r="I10">
        <v>6</v>
      </c>
      <c r="J10">
        <v>5</v>
      </c>
      <c r="K10">
        <v>4</v>
      </c>
      <c r="L10">
        <v>5</v>
      </c>
      <c r="M10">
        <v>5</v>
      </c>
      <c r="N10">
        <v>5</v>
      </c>
      <c r="O10">
        <v>4</v>
      </c>
      <c r="P10">
        <v>2</v>
      </c>
      <c r="Q10">
        <v>4</v>
      </c>
      <c r="R10">
        <v>4</v>
      </c>
      <c r="S10">
        <v>3</v>
      </c>
      <c r="T10">
        <v>3</v>
      </c>
      <c r="U10" s="7">
        <v>2</v>
      </c>
      <c r="V10">
        <v>2</v>
      </c>
      <c r="W10">
        <v>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2</v>
      </c>
      <c r="AF10">
        <v>2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2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2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25">
      <c r="A11" s="8">
        <v>0.02</v>
      </c>
      <c r="B11" t="b">
        <f>B6&gt;$A11</f>
        <v>0</v>
      </c>
      <c r="C11" t="b">
        <f t="shared" ref="C11:BD11" si="0">C6&gt;$A11</f>
        <v>0</v>
      </c>
      <c r="D11" t="b">
        <f t="shared" si="0"/>
        <v>0</v>
      </c>
      <c r="E11" t="b">
        <f t="shared" si="0"/>
        <v>0</v>
      </c>
      <c r="F11" t="b">
        <f t="shared" si="0"/>
        <v>0</v>
      </c>
      <c r="G11" t="b">
        <f t="shared" si="0"/>
        <v>0</v>
      </c>
      <c r="H11" t="b">
        <f t="shared" si="0"/>
        <v>0</v>
      </c>
      <c r="I11" t="b">
        <f t="shared" si="0"/>
        <v>0</v>
      </c>
      <c r="J11" t="b">
        <f t="shared" si="0"/>
        <v>0</v>
      </c>
      <c r="K11" t="b">
        <f t="shared" si="0"/>
        <v>0</v>
      </c>
      <c r="L11" t="b">
        <f t="shared" si="0"/>
        <v>0</v>
      </c>
      <c r="M11" t="b">
        <f t="shared" si="0"/>
        <v>0</v>
      </c>
      <c r="N11" t="b">
        <f t="shared" si="0"/>
        <v>0</v>
      </c>
      <c r="O11" t="b">
        <f t="shared" si="0"/>
        <v>0</v>
      </c>
      <c r="P11" t="b">
        <f t="shared" si="0"/>
        <v>0</v>
      </c>
      <c r="Q11" t="b">
        <f t="shared" si="0"/>
        <v>0</v>
      </c>
      <c r="R11" t="b">
        <f t="shared" si="0"/>
        <v>0</v>
      </c>
      <c r="S11" t="b">
        <f t="shared" si="0"/>
        <v>0</v>
      </c>
      <c r="T11" t="b">
        <f t="shared" si="0"/>
        <v>1</v>
      </c>
      <c r="U11" t="b">
        <f t="shared" si="0"/>
        <v>1</v>
      </c>
      <c r="V11" t="b">
        <f t="shared" si="0"/>
        <v>1</v>
      </c>
      <c r="W11" t="b">
        <f t="shared" si="0"/>
        <v>0</v>
      </c>
      <c r="X11" t="b">
        <f t="shared" si="0"/>
        <v>0</v>
      </c>
      <c r="Y11" t="b">
        <f t="shared" si="0"/>
        <v>0</v>
      </c>
      <c r="Z11" t="b">
        <f t="shared" si="0"/>
        <v>1</v>
      </c>
      <c r="AA11" t="b">
        <f t="shared" si="0"/>
        <v>1</v>
      </c>
      <c r="AB11" t="b">
        <f t="shared" si="0"/>
        <v>1</v>
      </c>
      <c r="AC11" t="b">
        <f t="shared" si="0"/>
        <v>1</v>
      </c>
      <c r="AD11" t="b">
        <f t="shared" si="0"/>
        <v>1</v>
      </c>
      <c r="AE11" t="b">
        <f t="shared" si="0"/>
        <v>1</v>
      </c>
      <c r="AF11" t="b">
        <f t="shared" si="0"/>
        <v>1</v>
      </c>
      <c r="AG11" t="b">
        <f t="shared" si="0"/>
        <v>1</v>
      </c>
      <c r="AH11" t="b">
        <f t="shared" si="0"/>
        <v>1</v>
      </c>
      <c r="AI11" t="b">
        <f t="shared" si="0"/>
        <v>1</v>
      </c>
      <c r="AJ11" t="b">
        <f t="shared" si="0"/>
        <v>1</v>
      </c>
      <c r="AK11" t="b">
        <f t="shared" si="0"/>
        <v>1</v>
      </c>
      <c r="AL11" t="b">
        <f t="shared" si="0"/>
        <v>1</v>
      </c>
      <c r="AM11" t="b">
        <f t="shared" si="0"/>
        <v>1</v>
      </c>
      <c r="AN11" t="b">
        <f t="shared" si="0"/>
        <v>1</v>
      </c>
      <c r="AO11" t="b">
        <f t="shared" si="0"/>
        <v>1</v>
      </c>
      <c r="AP11" t="b">
        <f t="shared" si="0"/>
        <v>1</v>
      </c>
      <c r="AQ11" t="b">
        <f t="shared" si="0"/>
        <v>1</v>
      </c>
      <c r="AR11" t="b">
        <f t="shared" si="0"/>
        <v>1</v>
      </c>
      <c r="AS11" t="b">
        <f t="shared" si="0"/>
        <v>1</v>
      </c>
      <c r="AT11" t="b">
        <f t="shared" si="0"/>
        <v>1</v>
      </c>
      <c r="AU11" t="b">
        <f t="shared" si="0"/>
        <v>1</v>
      </c>
      <c r="AV11" t="b">
        <f t="shared" si="0"/>
        <v>1</v>
      </c>
      <c r="AW11" t="b">
        <f t="shared" si="0"/>
        <v>1</v>
      </c>
      <c r="AX11" t="b">
        <f t="shared" si="0"/>
        <v>1</v>
      </c>
      <c r="AY11" t="b">
        <f t="shared" si="0"/>
        <v>1</v>
      </c>
      <c r="AZ11" t="b">
        <f t="shared" si="0"/>
        <v>1</v>
      </c>
      <c r="BA11" t="b">
        <f t="shared" si="0"/>
        <v>1</v>
      </c>
      <c r="BB11" t="b">
        <f t="shared" si="0"/>
        <v>1</v>
      </c>
      <c r="BC11" t="b">
        <f t="shared" si="0"/>
        <v>1</v>
      </c>
      <c r="BD11" t="b">
        <f t="shared" si="0"/>
        <v>1</v>
      </c>
    </row>
    <row r="12" spans="1:56" x14ac:dyDescent="0.25">
      <c r="A12">
        <v>2</v>
      </c>
      <c r="B12" t="b">
        <f>B7&gt;$A12</f>
        <v>0</v>
      </c>
      <c r="C12" t="b">
        <f t="shared" ref="C12:BD12" si="1">C7&gt;$A12</f>
        <v>0</v>
      </c>
      <c r="D12" t="b">
        <f t="shared" si="1"/>
        <v>0</v>
      </c>
      <c r="E12" t="b">
        <f t="shared" si="1"/>
        <v>1</v>
      </c>
      <c r="F12" t="b">
        <f t="shared" si="1"/>
        <v>1</v>
      </c>
      <c r="G12" t="b">
        <f t="shared" si="1"/>
        <v>1</v>
      </c>
      <c r="H12" t="b">
        <f t="shared" si="1"/>
        <v>1</v>
      </c>
      <c r="I12" t="b">
        <f t="shared" si="1"/>
        <v>0</v>
      </c>
      <c r="J12" t="b">
        <f t="shared" si="1"/>
        <v>1</v>
      </c>
      <c r="K12" t="b">
        <f t="shared" si="1"/>
        <v>1</v>
      </c>
      <c r="L12" t="b">
        <f t="shared" si="1"/>
        <v>0</v>
      </c>
      <c r="M12" t="b">
        <f t="shared" si="1"/>
        <v>0</v>
      </c>
      <c r="N12" t="b">
        <f t="shared" si="1"/>
        <v>0</v>
      </c>
      <c r="O12" t="b">
        <f t="shared" si="1"/>
        <v>0</v>
      </c>
      <c r="P12" t="b">
        <f t="shared" si="1"/>
        <v>0</v>
      </c>
      <c r="Q12" t="b">
        <f t="shared" si="1"/>
        <v>0</v>
      </c>
      <c r="R12" t="b">
        <f t="shared" si="1"/>
        <v>0</v>
      </c>
      <c r="S12" t="b">
        <f t="shared" si="1"/>
        <v>0</v>
      </c>
      <c r="T12" t="b">
        <f t="shared" si="1"/>
        <v>0</v>
      </c>
      <c r="U12" t="b">
        <f t="shared" si="1"/>
        <v>1</v>
      </c>
      <c r="V12" t="b">
        <f t="shared" si="1"/>
        <v>0</v>
      </c>
      <c r="W12" t="b">
        <f t="shared" si="1"/>
        <v>0</v>
      </c>
      <c r="X12" t="b">
        <f t="shared" si="1"/>
        <v>0</v>
      </c>
      <c r="Y12" t="b">
        <f t="shared" si="1"/>
        <v>0</v>
      </c>
      <c r="Z12" t="b">
        <f t="shared" si="1"/>
        <v>0</v>
      </c>
      <c r="AA12" t="b">
        <f t="shared" si="1"/>
        <v>0</v>
      </c>
      <c r="AB12" t="b">
        <f t="shared" si="1"/>
        <v>0</v>
      </c>
      <c r="AC12" t="b">
        <f t="shared" si="1"/>
        <v>0</v>
      </c>
      <c r="AD12" t="b">
        <f t="shared" si="1"/>
        <v>0</v>
      </c>
      <c r="AE12" t="b">
        <f t="shared" si="1"/>
        <v>0</v>
      </c>
      <c r="AF12" t="b">
        <f t="shared" si="1"/>
        <v>0</v>
      </c>
      <c r="AG12" t="b">
        <f t="shared" si="1"/>
        <v>0</v>
      </c>
      <c r="AH12" t="b">
        <f t="shared" si="1"/>
        <v>0</v>
      </c>
      <c r="AI12" t="b">
        <f t="shared" si="1"/>
        <v>0</v>
      </c>
      <c r="AJ12" t="b">
        <f t="shared" si="1"/>
        <v>0</v>
      </c>
      <c r="AK12" t="b">
        <f t="shared" si="1"/>
        <v>0</v>
      </c>
      <c r="AL12" t="b">
        <f t="shared" si="1"/>
        <v>0</v>
      </c>
      <c r="AM12" t="b">
        <f t="shared" si="1"/>
        <v>0</v>
      </c>
      <c r="AN12" t="b">
        <f t="shared" si="1"/>
        <v>0</v>
      </c>
      <c r="AO12" t="b">
        <f t="shared" si="1"/>
        <v>0</v>
      </c>
      <c r="AP12" t="b">
        <f t="shared" si="1"/>
        <v>0</v>
      </c>
      <c r="AQ12" t="b">
        <f t="shared" si="1"/>
        <v>0</v>
      </c>
      <c r="AR12" t="b">
        <f t="shared" si="1"/>
        <v>0</v>
      </c>
      <c r="AS12" t="b">
        <f t="shared" si="1"/>
        <v>0</v>
      </c>
      <c r="AT12" t="b">
        <f t="shared" si="1"/>
        <v>0</v>
      </c>
      <c r="AU12" t="b">
        <f t="shared" si="1"/>
        <v>0</v>
      </c>
      <c r="AV12" t="b">
        <f t="shared" si="1"/>
        <v>0</v>
      </c>
      <c r="AW12" t="b">
        <f t="shared" si="1"/>
        <v>0</v>
      </c>
      <c r="AX12" t="b">
        <f t="shared" si="1"/>
        <v>0</v>
      </c>
      <c r="AY12" t="b">
        <f t="shared" si="1"/>
        <v>0</v>
      </c>
      <c r="AZ12" t="b">
        <f t="shared" si="1"/>
        <v>0</v>
      </c>
      <c r="BA12" t="b">
        <f t="shared" si="1"/>
        <v>0</v>
      </c>
      <c r="BB12" t="b">
        <f t="shared" si="1"/>
        <v>0</v>
      </c>
      <c r="BC12" t="b">
        <f t="shared" si="1"/>
        <v>0</v>
      </c>
      <c r="BD12" t="b">
        <f t="shared" si="1"/>
        <v>0</v>
      </c>
    </row>
    <row r="13" spans="1:56" x14ac:dyDescent="0.25">
      <c r="B13" t="b">
        <f t="shared" ref="B13:D13" si="2">AND(B11,B12)</f>
        <v>0</v>
      </c>
      <c r="C13" t="b">
        <f t="shared" si="2"/>
        <v>0</v>
      </c>
      <c r="D13" t="b">
        <f t="shared" si="2"/>
        <v>0</v>
      </c>
      <c r="E13" t="b">
        <f>AND(E11,E12)</f>
        <v>0</v>
      </c>
      <c r="F13" t="b">
        <f t="shared" ref="F13:BD13" si="3">AND(F11,F12)</f>
        <v>0</v>
      </c>
      <c r="G13" t="b">
        <f t="shared" si="3"/>
        <v>0</v>
      </c>
      <c r="H13" t="b">
        <f t="shared" si="3"/>
        <v>0</v>
      </c>
      <c r="I13" t="b">
        <f t="shared" si="3"/>
        <v>0</v>
      </c>
      <c r="J13" t="b">
        <f t="shared" si="3"/>
        <v>0</v>
      </c>
      <c r="K13" t="b">
        <f t="shared" si="3"/>
        <v>0</v>
      </c>
      <c r="L13" t="b">
        <f t="shared" si="3"/>
        <v>0</v>
      </c>
      <c r="M13" t="b">
        <f t="shared" si="3"/>
        <v>0</v>
      </c>
      <c r="N13" t="b">
        <f t="shared" si="3"/>
        <v>0</v>
      </c>
      <c r="O13" t="b">
        <f t="shared" si="3"/>
        <v>0</v>
      </c>
      <c r="P13" t="b">
        <f t="shared" si="3"/>
        <v>0</v>
      </c>
      <c r="Q13" t="b">
        <f t="shared" si="3"/>
        <v>0</v>
      </c>
      <c r="R13" t="b">
        <f t="shared" si="3"/>
        <v>0</v>
      </c>
      <c r="S13" t="b">
        <f t="shared" si="3"/>
        <v>0</v>
      </c>
      <c r="T13" t="b">
        <f t="shared" si="3"/>
        <v>0</v>
      </c>
      <c r="U13" s="7" t="b">
        <f t="shared" si="3"/>
        <v>1</v>
      </c>
      <c r="V13" t="b">
        <f t="shared" si="3"/>
        <v>0</v>
      </c>
      <c r="W13" t="b">
        <f t="shared" si="3"/>
        <v>0</v>
      </c>
      <c r="X13" t="b">
        <f t="shared" si="3"/>
        <v>0</v>
      </c>
      <c r="Y13" t="b">
        <f t="shared" si="3"/>
        <v>0</v>
      </c>
      <c r="Z13" t="b">
        <f t="shared" si="3"/>
        <v>0</v>
      </c>
      <c r="AA13" t="b">
        <f t="shared" si="3"/>
        <v>0</v>
      </c>
      <c r="AB13" t="b">
        <f t="shared" si="3"/>
        <v>0</v>
      </c>
      <c r="AC13" t="b">
        <f t="shared" si="3"/>
        <v>0</v>
      </c>
      <c r="AD13" t="b">
        <f t="shared" si="3"/>
        <v>0</v>
      </c>
      <c r="AE13" t="b">
        <f t="shared" si="3"/>
        <v>0</v>
      </c>
      <c r="AF13" t="b">
        <f t="shared" si="3"/>
        <v>0</v>
      </c>
      <c r="AG13" t="b">
        <f t="shared" si="3"/>
        <v>0</v>
      </c>
      <c r="AH13" t="b">
        <f t="shared" si="3"/>
        <v>0</v>
      </c>
      <c r="AI13" t="b">
        <f t="shared" si="3"/>
        <v>0</v>
      </c>
      <c r="AJ13" t="b">
        <f t="shared" si="3"/>
        <v>0</v>
      </c>
      <c r="AK13" t="b">
        <f t="shared" si="3"/>
        <v>0</v>
      </c>
      <c r="AL13" t="b">
        <f t="shared" si="3"/>
        <v>0</v>
      </c>
      <c r="AM13" t="b">
        <f t="shared" si="3"/>
        <v>0</v>
      </c>
      <c r="AN13" t="b">
        <f t="shared" si="3"/>
        <v>0</v>
      </c>
      <c r="AO13" t="b">
        <f t="shared" si="3"/>
        <v>0</v>
      </c>
      <c r="AP13" t="b">
        <f t="shared" si="3"/>
        <v>0</v>
      </c>
      <c r="AQ13" t="b">
        <f t="shared" si="3"/>
        <v>0</v>
      </c>
      <c r="AR13" t="b">
        <f t="shared" si="3"/>
        <v>0</v>
      </c>
      <c r="AS13" t="b">
        <f t="shared" si="3"/>
        <v>0</v>
      </c>
      <c r="AT13" t="b">
        <f t="shared" si="3"/>
        <v>0</v>
      </c>
      <c r="AU13" t="b">
        <f t="shared" si="3"/>
        <v>0</v>
      </c>
      <c r="AV13" t="b">
        <f t="shared" si="3"/>
        <v>0</v>
      </c>
      <c r="AW13" t="b">
        <f t="shared" si="3"/>
        <v>0</v>
      </c>
      <c r="AX13" t="b">
        <f t="shared" si="3"/>
        <v>0</v>
      </c>
      <c r="AY13" t="b">
        <f t="shared" si="3"/>
        <v>0</v>
      </c>
      <c r="AZ13" t="b">
        <f t="shared" si="3"/>
        <v>0</v>
      </c>
      <c r="BA13" t="b">
        <f t="shared" si="3"/>
        <v>0</v>
      </c>
      <c r="BB13" t="b">
        <f t="shared" si="3"/>
        <v>0</v>
      </c>
      <c r="BC13" t="b">
        <f t="shared" si="3"/>
        <v>0</v>
      </c>
      <c r="BD13" t="b">
        <f t="shared" si="3"/>
        <v>0</v>
      </c>
    </row>
    <row r="14" spans="1:56" x14ac:dyDescent="0.25">
      <c r="A14" s="6">
        <f>MAX(B14:BD14)</f>
        <v>420.31999999996151</v>
      </c>
      <c r="B14">
        <f t="shared" ref="B14:BD14" si="4">IF(B13,B4,0)</f>
        <v>0</v>
      </c>
      <c r="C14">
        <f t="shared" si="4"/>
        <v>0</v>
      </c>
      <c r="D14">
        <f t="shared" si="4"/>
        <v>0</v>
      </c>
      <c r="E14">
        <f t="shared" si="4"/>
        <v>0</v>
      </c>
      <c r="F14">
        <f t="shared" si="4"/>
        <v>0</v>
      </c>
      <c r="G14">
        <f t="shared" si="4"/>
        <v>0</v>
      </c>
      <c r="H14">
        <f t="shared" si="4"/>
        <v>0</v>
      </c>
      <c r="I14">
        <f t="shared" si="4"/>
        <v>0</v>
      </c>
      <c r="J14">
        <f t="shared" si="4"/>
        <v>0</v>
      </c>
      <c r="K14">
        <f t="shared" si="4"/>
        <v>0</v>
      </c>
      <c r="L14">
        <f t="shared" si="4"/>
        <v>0</v>
      </c>
      <c r="M14">
        <f t="shared" si="4"/>
        <v>0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 s="7">
        <f t="shared" si="4"/>
        <v>420.31999999996151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4"/>
        <v>0</v>
      </c>
      <c r="Z14">
        <f t="shared" si="4"/>
        <v>0</v>
      </c>
      <c r="AA14">
        <f t="shared" si="4"/>
        <v>0</v>
      </c>
      <c r="AB14">
        <f t="shared" si="4"/>
        <v>0</v>
      </c>
      <c r="AC14">
        <f t="shared" si="4"/>
        <v>0</v>
      </c>
      <c r="AD14">
        <f t="shared" si="4"/>
        <v>0</v>
      </c>
      <c r="AE14">
        <f t="shared" si="4"/>
        <v>0</v>
      </c>
      <c r="AF14">
        <f t="shared" si="4"/>
        <v>0</v>
      </c>
      <c r="AG14">
        <f t="shared" si="4"/>
        <v>0</v>
      </c>
      <c r="AH14">
        <f t="shared" si="4"/>
        <v>0</v>
      </c>
      <c r="AI14">
        <f t="shared" si="4"/>
        <v>0</v>
      </c>
      <c r="AJ14">
        <f t="shared" si="4"/>
        <v>0</v>
      </c>
      <c r="AK14">
        <f t="shared" si="4"/>
        <v>0</v>
      </c>
      <c r="AL14">
        <f t="shared" si="4"/>
        <v>0</v>
      </c>
      <c r="AM14">
        <f t="shared" si="4"/>
        <v>0</v>
      </c>
      <c r="AN14">
        <f t="shared" si="4"/>
        <v>0</v>
      </c>
      <c r="AO14">
        <f t="shared" si="4"/>
        <v>0</v>
      </c>
      <c r="AP14">
        <f t="shared" si="4"/>
        <v>0</v>
      </c>
      <c r="AQ14">
        <f t="shared" si="4"/>
        <v>0</v>
      </c>
      <c r="AR14">
        <f t="shared" si="4"/>
        <v>0</v>
      </c>
      <c r="AS14">
        <f t="shared" si="4"/>
        <v>0</v>
      </c>
      <c r="AT14">
        <f t="shared" si="4"/>
        <v>0</v>
      </c>
      <c r="AU14">
        <f t="shared" si="4"/>
        <v>0</v>
      </c>
      <c r="AV14">
        <f t="shared" si="4"/>
        <v>0</v>
      </c>
      <c r="AW14">
        <f t="shared" si="4"/>
        <v>0</v>
      </c>
      <c r="AX14">
        <f t="shared" si="4"/>
        <v>0</v>
      </c>
      <c r="AY14">
        <f t="shared" si="4"/>
        <v>0</v>
      </c>
      <c r="AZ14">
        <f t="shared" si="4"/>
        <v>0</v>
      </c>
      <c r="BA14">
        <f t="shared" si="4"/>
        <v>0</v>
      </c>
      <c r="BB14">
        <f t="shared" si="4"/>
        <v>0</v>
      </c>
      <c r="BC14">
        <f t="shared" si="4"/>
        <v>0</v>
      </c>
      <c r="BD14">
        <f t="shared" si="4"/>
        <v>0</v>
      </c>
    </row>
  </sheetData>
  <conditionalFormatting sqref="A14:XFD14">
    <cfRule type="top10" dxfId="0" priority="1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E926-0C6E-4C5D-A67F-09AA99B9A72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J15" sqref="J15"/>
    </sheetView>
  </sheetViews>
  <sheetFormatPr defaultRowHeight="15" x14ac:dyDescent="0.25"/>
  <cols>
    <col min="1" max="1" width="10" bestFit="1" customWidth="1"/>
    <col min="2" max="2" width="7.5703125" bestFit="1" customWidth="1"/>
    <col min="3" max="11" width="7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457.90999999999434</v>
      </c>
    </row>
    <row r="3" spans="1:11" x14ac:dyDescent="0.25">
      <c r="A3" s="1">
        <v>2.0000000000000001E-4</v>
      </c>
      <c r="B3" s="2">
        <v>539.79999999992924</v>
      </c>
      <c r="C3">
        <v>502.34999999994591</v>
      </c>
    </row>
    <row r="4" spans="1:11" x14ac:dyDescent="0.25">
      <c r="A4" s="1">
        <v>2.9999999999999997E-4</v>
      </c>
      <c r="B4" s="2">
        <v>866.19999999998083</v>
      </c>
      <c r="C4">
        <v>801.91999999996028</v>
      </c>
      <c r="D4">
        <v>734.27999999996291</v>
      </c>
    </row>
    <row r="5" spans="1:11" x14ac:dyDescent="0.25">
      <c r="A5" s="1">
        <v>4.0000000000000002E-4</v>
      </c>
      <c r="B5" s="2">
        <v>626.68000000002257</v>
      </c>
      <c r="C5">
        <v>582.30000000001201</v>
      </c>
      <c r="D5">
        <v>691.17000000000803</v>
      </c>
      <c r="E5">
        <v>639.77999999996405</v>
      </c>
    </row>
    <row r="6" spans="1:11" x14ac:dyDescent="0.25">
      <c r="A6" s="1">
        <v>5.0000000000000001E-4</v>
      </c>
      <c r="B6" s="2">
        <v>589.39000000002</v>
      </c>
      <c r="C6">
        <v>486.4900000000124</v>
      </c>
      <c r="D6">
        <v>502.01999999999344</v>
      </c>
      <c r="E6">
        <v>483.84999999999053</v>
      </c>
      <c r="F6">
        <v>466.82999999999913</v>
      </c>
    </row>
    <row r="7" spans="1:11" x14ac:dyDescent="0.25">
      <c r="A7" s="1">
        <v>5.9999999999999995E-4</v>
      </c>
      <c r="B7" s="2">
        <v>403.22999999995068</v>
      </c>
      <c r="C7">
        <v>324.71999999995103</v>
      </c>
      <c r="D7">
        <v>418.41999999994755</v>
      </c>
      <c r="E7">
        <v>424.60999999995698</v>
      </c>
      <c r="F7">
        <v>420.31999999996151</v>
      </c>
      <c r="G7">
        <v>322.44999999994826</v>
      </c>
    </row>
    <row r="8" spans="1:11" x14ac:dyDescent="0.25">
      <c r="A8" s="1">
        <v>6.9999999999999999E-4</v>
      </c>
      <c r="B8" s="2">
        <v>293.85999999995255</v>
      </c>
      <c r="C8">
        <v>332.70999999995763</v>
      </c>
      <c r="D8">
        <v>364.41999999997176</v>
      </c>
      <c r="E8">
        <v>326.9699999999724</v>
      </c>
      <c r="F8">
        <v>322.67999999997653</v>
      </c>
      <c r="G8">
        <v>258.11999999997408</v>
      </c>
      <c r="H8">
        <v>241.43999999997021</v>
      </c>
    </row>
    <row r="9" spans="1:11" x14ac:dyDescent="0.25">
      <c r="A9" s="1">
        <v>8.0000000000000004E-4</v>
      </c>
      <c r="B9" s="2">
        <v>267.45999999999657</v>
      </c>
      <c r="C9">
        <v>306.31000000000165</v>
      </c>
      <c r="D9">
        <v>271.67000000001804</v>
      </c>
      <c r="E9">
        <v>271.67000000001804</v>
      </c>
      <c r="F9">
        <v>283.31000000000472</v>
      </c>
      <c r="G9">
        <v>283.31000000000472</v>
      </c>
      <c r="H9">
        <v>283.31000000000472</v>
      </c>
      <c r="I9">
        <v>257.22000000001282</v>
      </c>
    </row>
    <row r="10" spans="1:11" x14ac:dyDescent="0.25">
      <c r="A10" s="1">
        <v>8.9999999999999998E-4</v>
      </c>
      <c r="B10" s="2">
        <v>311.80999999999767</v>
      </c>
      <c r="C10">
        <v>320.48999999999944</v>
      </c>
      <c r="D10">
        <v>320.48999999999944</v>
      </c>
      <c r="E10">
        <v>320.48999999999944</v>
      </c>
      <c r="F10">
        <v>320.48999999999944</v>
      </c>
      <c r="G10">
        <v>320.48999999999944</v>
      </c>
      <c r="H10">
        <v>320.48999999999944</v>
      </c>
      <c r="I10">
        <v>320.48999999999944</v>
      </c>
      <c r="J10">
        <v>320.48999999999944</v>
      </c>
    </row>
    <row r="11" spans="1:11" x14ac:dyDescent="0.25">
      <c r="A11" s="1">
        <v>1E-3</v>
      </c>
      <c r="B11" s="2">
        <v>311.80999999999767</v>
      </c>
      <c r="C11">
        <v>320.48999999999944</v>
      </c>
      <c r="D11">
        <v>320.48999999999944</v>
      </c>
      <c r="E11">
        <v>320.48999999999944</v>
      </c>
      <c r="F11">
        <v>320.48999999999944</v>
      </c>
      <c r="G11">
        <v>320.48999999999944</v>
      </c>
      <c r="H11">
        <v>320.48999999999944</v>
      </c>
      <c r="I11">
        <v>320.48999999999944</v>
      </c>
      <c r="J11">
        <v>320.48999999999944</v>
      </c>
      <c r="K11">
        <v>320.48999999999944</v>
      </c>
    </row>
  </sheetData>
  <conditionalFormatting sqref="B2:N13">
    <cfRule type="top10" dxfId="3" priority="2" rank="1"/>
  </conditionalFormatting>
  <conditionalFormatting sqref="E7:L12 B8:D11">
    <cfRule type="top10" dxfId="2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6518-5377-40D5-A328-9F638562808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9" width="12" bestFit="1" customWidth="1"/>
    <col min="10" max="11" width="11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174626.59992537313</v>
      </c>
    </row>
    <row r="3" spans="1:11" x14ac:dyDescent="0.25">
      <c r="A3" s="1">
        <v>2.0000000000000001E-4</v>
      </c>
      <c r="B3" s="2">
        <v>155224.48522388059</v>
      </c>
      <c r="C3">
        <v>150746.83574626868</v>
      </c>
    </row>
    <row r="4" spans="1:11" x14ac:dyDescent="0.25">
      <c r="A4" s="1">
        <v>2.9999999999999997E-4</v>
      </c>
      <c r="B4" s="2">
        <v>126867.68902985074</v>
      </c>
      <c r="C4">
        <v>116419.37567164178</v>
      </c>
      <c r="D4">
        <v>105971.08985074626</v>
      </c>
    </row>
    <row r="5" spans="1:11" x14ac:dyDescent="0.25">
      <c r="A5" s="1">
        <v>4.0000000000000002E-4</v>
      </c>
      <c r="B5" s="2">
        <v>114927.20104477613</v>
      </c>
      <c r="C5">
        <v>102985.60149253732</v>
      </c>
      <c r="D5">
        <v>88060.226194029834</v>
      </c>
      <c r="E5">
        <v>77611.383805970152</v>
      </c>
    </row>
    <row r="6" spans="1:11" x14ac:dyDescent="0.25">
      <c r="A6" s="1">
        <v>5.0000000000000001E-4</v>
      </c>
      <c r="B6" s="2">
        <v>92538.477313432828</v>
      </c>
      <c r="C6">
        <v>80597.444402985086</v>
      </c>
      <c r="D6">
        <v>64180.924179104477</v>
      </c>
      <c r="E6">
        <v>55224.75574626866</v>
      </c>
      <c r="F6">
        <v>47761.693582089545</v>
      </c>
    </row>
    <row r="7" spans="1:11" x14ac:dyDescent="0.25">
      <c r="A7" s="1">
        <v>5.9999999999999995E-4</v>
      </c>
      <c r="B7" s="2">
        <v>70155.185671641782</v>
      </c>
      <c r="C7">
        <v>59706.380447761199</v>
      </c>
      <c r="D7">
        <v>46271.890671641791</v>
      </c>
      <c r="E7">
        <v>35822.724104477616</v>
      </c>
      <c r="F7">
        <v>31345.316716417907</v>
      </c>
      <c r="G7">
        <v>28358.548208955221</v>
      </c>
    </row>
    <row r="8" spans="1:11" x14ac:dyDescent="0.25">
      <c r="A8" s="1">
        <v>6.9999999999999999E-4</v>
      </c>
      <c r="B8" s="2">
        <v>58212.717611940308</v>
      </c>
      <c r="C8">
        <v>47762.617164179108</v>
      </c>
      <c r="D8">
        <v>35822.047313432835</v>
      </c>
      <c r="E8">
        <v>23880.374925373137</v>
      </c>
      <c r="F8">
        <v>19402.967537313434</v>
      </c>
      <c r="G8">
        <v>17909.061268656715</v>
      </c>
      <c r="H8">
        <v>16415.733507462686</v>
      </c>
    </row>
    <row r="9" spans="1:11" x14ac:dyDescent="0.25">
      <c r="A9" s="1">
        <v>8.0000000000000004E-4</v>
      </c>
      <c r="B9" s="2">
        <v>23881.503731343284</v>
      </c>
      <c r="C9">
        <v>13431.403283582089</v>
      </c>
      <c r="D9">
        <v>11938.999776119403</v>
      </c>
      <c r="E9">
        <v>11938.999776119403</v>
      </c>
      <c r="F9">
        <v>8954.160074626865</v>
      </c>
      <c r="G9">
        <v>8954.160074626865</v>
      </c>
      <c r="H9">
        <v>8954.160074626865</v>
      </c>
      <c r="I9">
        <v>7461.8410447761189</v>
      </c>
    </row>
    <row r="10" spans="1:11" x14ac:dyDescent="0.25">
      <c r="A10" s="1">
        <v>8.9999999999999998E-4</v>
      </c>
      <c r="B10" s="2">
        <v>17912.576865671639</v>
      </c>
      <c r="C10">
        <v>4477.6709701492528</v>
      </c>
      <c r="D10">
        <v>4477.6709701492528</v>
      </c>
      <c r="E10">
        <v>4477.6709701492528</v>
      </c>
      <c r="F10">
        <v>4477.6709701492528</v>
      </c>
      <c r="G10">
        <v>4477.6709701492528</v>
      </c>
      <c r="H10">
        <v>4477.6709701492528</v>
      </c>
      <c r="I10">
        <v>4477.6709701492528</v>
      </c>
      <c r="J10">
        <v>4477.6709701492528</v>
      </c>
    </row>
    <row r="11" spans="1:11" x14ac:dyDescent="0.25">
      <c r="A11" s="1">
        <v>1E-3</v>
      </c>
      <c r="B11" s="2">
        <v>17912.576865671639</v>
      </c>
      <c r="C11">
        <v>4477.6709701492528</v>
      </c>
      <c r="D11">
        <v>4477.6709701492528</v>
      </c>
      <c r="E11">
        <v>4477.6709701492528</v>
      </c>
      <c r="F11">
        <v>4477.6709701492528</v>
      </c>
      <c r="G11">
        <v>4477.6709701492528</v>
      </c>
      <c r="H11">
        <v>4477.6709701492528</v>
      </c>
      <c r="I11">
        <v>4477.6709701492528</v>
      </c>
      <c r="J11">
        <v>4477.6709701492528</v>
      </c>
      <c r="K11">
        <v>4477.6709701492528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4962-73B6-481C-95E8-1EC9CC339776}">
  <dimension ref="A1:K1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P17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4">
        <v>4.8948174773981038E-3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1">
        <v>2.0000000000000001E-4</v>
      </c>
      <c r="B3" s="4">
        <v>6.4914157403275167E-3</v>
      </c>
      <c r="C3" s="4">
        <v>6.2204954111158492E-3</v>
      </c>
      <c r="D3" s="4"/>
      <c r="E3" s="4"/>
      <c r="F3" s="4"/>
      <c r="G3" s="4"/>
      <c r="H3" s="4"/>
      <c r="I3" s="4"/>
      <c r="J3" s="4"/>
      <c r="K3" s="4"/>
    </row>
    <row r="4" spans="1:11" x14ac:dyDescent="0.25">
      <c r="A4" s="1">
        <v>2.9999999999999997E-4</v>
      </c>
      <c r="B4" s="4">
        <v>1.2744826354377658E-2</v>
      </c>
      <c r="C4" s="4">
        <v>1.2857974239230423E-2</v>
      </c>
      <c r="D4" s="4">
        <v>1.2934244631535027E-2</v>
      </c>
      <c r="E4" s="4"/>
      <c r="F4" s="4"/>
      <c r="G4" s="4"/>
      <c r="H4" s="4"/>
      <c r="I4" s="4"/>
      <c r="J4" s="4"/>
      <c r="K4" s="4"/>
    </row>
    <row r="5" spans="1:11" x14ac:dyDescent="0.25">
      <c r="A5" s="1">
        <v>4.0000000000000002E-4</v>
      </c>
      <c r="B5" s="4">
        <v>1.0178640530982292E-2</v>
      </c>
      <c r="C5" s="4">
        <v>1.0554485134300908E-2</v>
      </c>
      <c r="D5" s="4">
        <v>1.4651154735365476E-2</v>
      </c>
      <c r="E5" s="4">
        <v>1.5387639563103192E-2</v>
      </c>
      <c r="F5" s="4"/>
      <c r="G5" s="4"/>
      <c r="H5" s="4"/>
      <c r="I5" s="4"/>
      <c r="J5" s="4"/>
      <c r="K5" s="4"/>
    </row>
    <row r="6" spans="1:11" x14ac:dyDescent="0.25">
      <c r="A6" s="1">
        <v>5.0000000000000001E-4</v>
      </c>
      <c r="B6" s="4">
        <v>1.1889050896529077E-2</v>
      </c>
      <c r="C6" s="4">
        <v>1.126728860193309E-2</v>
      </c>
      <c r="D6" s="4">
        <v>1.4600973918432335E-2</v>
      </c>
      <c r="E6" s="4">
        <v>1.6354742623332908E-2</v>
      </c>
      <c r="F6" s="4">
        <v>1.8245081667848901E-2</v>
      </c>
      <c r="G6" s="4"/>
      <c r="H6" s="4"/>
      <c r="I6" s="4"/>
      <c r="J6" s="4"/>
      <c r="K6" s="4"/>
    </row>
    <row r="7" spans="1:11" x14ac:dyDescent="0.25">
      <c r="A7" s="1">
        <v>5.9999999999999995E-4</v>
      </c>
      <c r="B7" s="4">
        <v>1.0729014438403284E-2</v>
      </c>
      <c r="C7" s="4">
        <v>1.0152080823761225E-2</v>
      </c>
      <c r="D7" s="4">
        <v>1.6879592671263894E-2</v>
      </c>
      <c r="E7" s="5">
        <v>2.2125769414453409E-2</v>
      </c>
      <c r="F7" s="4">
        <v>2.503076744866032E-2</v>
      </c>
      <c r="G7" s="4">
        <v>2.1224875908016215E-2</v>
      </c>
      <c r="H7" s="4"/>
      <c r="I7" s="4"/>
      <c r="J7" s="4"/>
      <c r="K7" s="4"/>
    </row>
    <row r="8" spans="1:11" x14ac:dyDescent="0.25">
      <c r="A8" s="1">
        <v>6.9999999999999999E-4</v>
      </c>
      <c r="B8" s="4">
        <v>9.4230039271360946E-3</v>
      </c>
      <c r="C8" s="4">
        <v>1.3003028383720305E-2</v>
      </c>
      <c r="D8" s="4">
        <v>1.8989720512471331E-2</v>
      </c>
      <c r="E8" s="4">
        <v>2.5558392693049884E-2</v>
      </c>
      <c r="F8" s="4">
        <v>3.1043498827775524E-2</v>
      </c>
      <c r="G8" s="4">
        <v>2.6903922699913308E-2</v>
      </c>
      <c r="H8" s="4">
        <v>2.745463672366873E-2</v>
      </c>
      <c r="I8" s="4"/>
      <c r="J8" s="4"/>
      <c r="K8" s="4"/>
    </row>
    <row r="9" spans="1:11" x14ac:dyDescent="0.25">
      <c r="A9" s="1">
        <v>8.0000000000000004E-4</v>
      </c>
      <c r="B9" s="4">
        <v>2.090566290477798E-2</v>
      </c>
      <c r="C9" s="4">
        <v>4.2570285069586503E-2</v>
      </c>
      <c r="D9" s="4">
        <v>4.2475696695104398E-2</v>
      </c>
      <c r="E9" s="4">
        <v>4.2475696695104398E-2</v>
      </c>
      <c r="F9" s="4">
        <v>5.9061411559071332E-2</v>
      </c>
      <c r="G9" s="4">
        <v>5.9061411559071332E-2</v>
      </c>
      <c r="H9" s="4">
        <v>5.9061411559071332E-2</v>
      </c>
      <c r="I9" s="4">
        <v>6.4346586468250047E-2</v>
      </c>
      <c r="J9" s="4"/>
      <c r="K9" s="4"/>
    </row>
    <row r="10" spans="1:11" x14ac:dyDescent="0.25">
      <c r="A10" s="1">
        <v>8.9999999999999998E-4</v>
      </c>
      <c r="B10" s="4">
        <v>3.2493668426276705E-2</v>
      </c>
      <c r="C10" s="4">
        <v>0.13360695861492872</v>
      </c>
      <c r="D10" s="4">
        <v>0.13360695861492872</v>
      </c>
      <c r="E10" s="4">
        <v>0.13360695861492872</v>
      </c>
      <c r="F10" s="4">
        <v>0.13360695861492872</v>
      </c>
      <c r="G10" s="4">
        <v>0.13360695861492872</v>
      </c>
      <c r="H10" s="4">
        <v>0.13360695861492872</v>
      </c>
      <c r="I10" s="4">
        <v>0.13360695861492872</v>
      </c>
      <c r="J10" s="4">
        <v>0.13360695861492872</v>
      </c>
      <c r="K10" s="4"/>
    </row>
    <row r="11" spans="1:11" x14ac:dyDescent="0.25">
      <c r="A11" s="1">
        <v>1E-3</v>
      </c>
      <c r="B11" s="4">
        <v>3.2493668426276705E-2</v>
      </c>
      <c r="C11" s="4">
        <v>0.13360695861492872</v>
      </c>
      <c r="D11" s="4">
        <v>0.13360695861492872</v>
      </c>
      <c r="E11" s="4">
        <v>0.13360695861492872</v>
      </c>
      <c r="F11" s="4">
        <v>0.13360695861492872</v>
      </c>
      <c r="G11" s="4">
        <v>0.13360695861492872</v>
      </c>
      <c r="H11" s="4">
        <v>0.13360695861492872</v>
      </c>
      <c r="I11" s="4">
        <v>0.13360695861492872</v>
      </c>
      <c r="J11" s="4">
        <v>0.13360695861492872</v>
      </c>
      <c r="K11" s="4">
        <v>0.13360695861492872</v>
      </c>
    </row>
    <row r="12" spans="1:11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</row>
  </sheetData>
  <conditionalFormatting sqref="B2:L15">
    <cfRule type="cellIs" dxfId="1" priority="1" operator="greaterThan">
      <formula>0.02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BF9C-8823-46D4-BDC8-EBDE34D7230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1.5726406081036397</v>
      </c>
    </row>
    <row r="3" spans="1:11" x14ac:dyDescent="0.25">
      <c r="A3" s="1">
        <v>2.0000000000000001E-4</v>
      </c>
      <c r="B3" s="3">
        <v>1.7759461919897677</v>
      </c>
      <c r="C3">
        <v>1.6562072981663052</v>
      </c>
    </row>
    <row r="4" spans="1:11" x14ac:dyDescent="0.25">
      <c r="A4" s="1">
        <v>2.9999999999999997E-4</v>
      </c>
      <c r="B4" s="3">
        <v>2.8856542816857327</v>
      </c>
      <c r="C4">
        <v>2.7637390484878313</v>
      </c>
      <c r="D4">
        <v>2.5706300201155194</v>
      </c>
    </row>
    <row r="5" spans="1:11" x14ac:dyDescent="0.25">
      <c r="A5" s="1">
        <v>4.0000000000000002E-4</v>
      </c>
      <c r="B5" s="3">
        <v>2.0404364195591507</v>
      </c>
      <c r="C5">
        <v>1.9634607383992264</v>
      </c>
      <c r="D5">
        <v>2.4318463361185358</v>
      </c>
      <c r="E5">
        <v>2.3391566012507927</v>
      </c>
    </row>
    <row r="6" spans="1:11" x14ac:dyDescent="0.25">
      <c r="A6" s="1">
        <v>5.0000000000000001E-4</v>
      </c>
      <c r="B6" s="3">
        <v>1.976944273674025</v>
      </c>
      <c r="C6">
        <v>1.7018160796142801</v>
      </c>
      <c r="D6">
        <v>1.9115239944523552</v>
      </c>
      <c r="E6">
        <v>1.9232462670305055</v>
      </c>
      <c r="F6">
        <v>1.9270218627055409</v>
      </c>
    </row>
    <row r="7" spans="1:11" x14ac:dyDescent="0.25">
      <c r="A7" s="1">
        <v>5.9999999999999995E-4</v>
      </c>
      <c r="B7" s="3">
        <v>1.6078199367748498</v>
      </c>
      <c r="C7">
        <v>1.3600130915919288</v>
      </c>
      <c r="D7">
        <v>1.8475781215041671</v>
      </c>
      <c r="E7">
        <v>1.9769936259951177</v>
      </c>
      <c r="F7">
        <v>2.0243030963703164</v>
      </c>
      <c r="G7">
        <v>1.5851310604127267</v>
      </c>
    </row>
    <row r="8" spans="1:11" x14ac:dyDescent="0.25">
      <c r="A8" s="1">
        <v>6.9999999999999999E-4</v>
      </c>
      <c r="B8" s="3">
        <v>1.199874695818971</v>
      </c>
      <c r="C8">
        <v>1.4170776899300357</v>
      </c>
      <c r="D8">
        <v>1.6639535497736939</v>
      </c>
      <c r="E8">
        <v>1.6515282187044056</v>
      </c>
      <c r="F8">
        <v>1.6964991200282544</v>
      </c>
      <c r="G8">
        <v>1.3818086700379109</v>
      </c>
      <c r="H8">
        <v>1.3117047593717055</v>
      </c>
    </row>
    <row r="9" spans="1:11" x14ac:dyDescent="0.25">
      <c r="A9" s="1">
        <v>8.0000000000000004E-4</v>
      </c>
      <c r="B9" s="3">
        <v>1.3836564547501544</v>
      </c>
      <c r="C9">
        <v>1.6986589672928585</v>
      </c>
      <c r="D9">
        <v>1.5057597699326708</v>
      </c>
      <c r="E9">
        <v>1.5057597699326708</v>
      </c>
      <c r="F9">
        <v>1.6213990285032254</v>
      </c>
      <c r="G9">
        <v>1.6213990285032254</v>
      </c>
      <c r="H9">
        <v>1.6213990285032254</v>
      </c>
      <c r="I9">
        <v>1.4594990229863196</v>
      </c>
    </row>
    <row r="10" spans="1:11" x14ac:dyDescent="0.25">
      <c r="A10" s="1">
        <v>8.9999999999999998E-4</v>
      </c>
      <c r="B10" s="3">
        <v>1.6875543563468418</v>
      </c>
      <c r="C10">
        <v>1.8796442385075363</v>
      </c>
      <c r="D10">
        <v>1.8796442385075363</v>
      </c>
      <c r="E10">
        <v>1.8796442385075363</v>
      </c>
      <c r="F10">
        <v>1.8796442385075363</v>
      </c>
      <c r="G10">
        <v>1.8796442385075363</v>
      </c>
      <c r="H10">
        <v>1.8796442385075363</v>
      </c>
      <c r="I10">
        <v>1.8796442385075363</v>
      </c>
      <c r="J10">
        <v>1.8796442385075363</v>
      </c>
    </row>
    <row r="11" spans="1:11" x14ac:dyDescent="0.25">
      <c r="A11" s="1">
        <v>1E-3</v>
      </c>
      <c r="B11" s="3">
        <v>1.6875543563468418</v>
      </c>
      <c r="C11">
        <v>1.8796442385075363</v>
      </c>
      <c r="D11">
        <v>1.8796442385075363</v>
      </c>
      <c r="E11">
        <v>1.8796442385075363</v>
      </c>
      <c r="F11">
        <v>1.8796442385075363</v>
      </c>
      <c r="G11">
        <v>1.8796442385075363</v>
      </c>
      <c r="H11">
        <v>1.8796442385075363</v>
      </c>
      <c r="I11">
        <v>1.8796442385075363</v>
      </c>
      <c r="J11">
        <v>1.8796442385075363</v>
      </c>
      <c r="K11">
        <v>1.8796442385075363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D89F-3DAA-4C02-8D4B-87CA4E04745E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8.28515625" bestFit="1" customWidth="1"/>
    <col min="3" max="4" width="7.7109375" bestFit="1" customWidth="1"/>
    <col min="5" max="5" width="8.7109375" bestFit="1" customWidth="1"/>
    <col min="6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-161.64000000002915</v>
      </c>
    </row>
    <row r="3" spans="1:11" x14ac:dyDescent="0.25">
      <c r="A3" s="1">
        <v>2.0000000000000001E-4</v>
      </c>
      <c r="B3" s="2">
        <v>-135.76000000002347</v>
      </c>
      <c r="C3">
        <v>-135.76000000002347</v>
      </c>
    </row>
    <row r="4" spans="1:11" x14ac:dyDescent="0.25">
      <c r="A4" s="1">
        <v>2.9999999999999997E-4</v>
      </c>
      <c r="B4" s="2">
        <v>-75.299999999984948</v>
      </c>
      <c r="C4">
        <v>-72.884999999996353</v>
      </c>
      <c r="D4">
        <v>-106.70999999999286</v>
      </c>
    </row>
    <row r="5" spans="1:11" x14ac:dyDescent="0.25">
      <c r="A5" s="1">
        <v>4.0000000000000002E-4</v>
      </c>
      <c r="B5" s="2">
        <v>-146.56999999997814</v>
      </c>
      <c r="C5">
        <v>-119.5100000000146</v>
      </c>
      <c r="D5">
        <v>-108.97999999997735</v>
      </c>
      <c r="E5">
        <v>-120.86500000000991</v>
      </c>
    </row>
    <row r="6" spans="1:11" x14ac:dyDescent="0.25">
      <c r="A6" s="1">
        <v>5.0000000000000001E-4</v>
      </c>
      <c r="B6" s="2">
        <v>-155.63999999998154</v>
      </c>
      <c r="C6">
        <v>-127.37999999998667</v>
      </c>
      <c r="D6">
        <v>-120.74999999999488</v>
      </c>
      <c r="E6">
        <v>-120.74999999999488</v>
      </c>
      <c r="F6">
        <v>-150.47000000000102</v>
      </c>
    </row>
    <row r="7" spans="1:11" x14ac:dyDescent="0.25">
      <c r="A7" s="1">
        <v>5.9999999999999995E-4</v>
      </c>
      <c r="B7" s="2">
        <v>-132.50999999999729</v>
      </c>
      <c r="C7">
        <v>-113.39999999999597</v>
      </c>
      <c r="D7">
        <v>-100.20000000001201</v>
      </c>
      <c r="E7">
        <v>-106.54000000002679</v>
      </c>
      <c r="F7">
        <v>-83.659999999988742</v>
      </c>
      <c r="G7">
        <v>-100.40000000000595</v>
      </c>
    </row>
    <row r="8" spans="1:11" x14ac:dyDescent="0.25">
      <c r="A8" s="1">
        <v>6.9999999999999999E-4</v>
      </c>
      <c r="B8" s="2">
        <v>-123.58999999999958</v>
      </c>
      <c r="C8">
        <v>-87.970000000008611</v>
      </c>
      <c r="D8">
        <v>-81.180000000007226</v>
      </c>
      <c r="E8">
        <v>-87.52000000002198</v>
      </c>
      <c r="F8">
        <v>-61.129999999989991</v>
      </c>
      <c r="G8">
        <v>-69.884999999998541</v>
      </c>
      <c r="H8">
        <v>-86.565000000002527</v>
      </c>
    </row>
    <row r="9" spans="1:11" x14ac:dyDescent="0.25">
      <c r="A9" s="1">
        <v>8.0000000000000004E-4</v>
      </c>
      <c r="B9" s="2">
        <v>-99.370000000005746</v>
      </c>
      <c r="C9">
        <v>-42.215000000000373</v>
      </c>
      <c r="D9">
        <v>-76.854999999983988</v>
      </c>
      <c r="E9">
        <v>-76.854999999983988</v>
      </c>
      <c r="F9">
        <v>-65.89500000000811</v>
      </c>
      <c r="G9">
        <v>-65.89500000000811</v>
      </c>
      <c r="H9">
        <v>-65.89500000000811</v>
      </c>
      <c r="I9">
        <v>-91.985000000000014</v>
      </c>
    </row>
    <row r="10" spans="1:11" x14ac:dyDescent="0.25">
      <c r="A10" s="1">
        <v>8.9999999999999998E-4</v>
      </c>
      <c r="B10" s="2">
        <v>-74.10000000000133</v>
      </c>
      <c r="C10">
        <v>-32.345000000000027</v>
      </c>
      <c r="D10">
        <v>-32.345000000000027</v>
      </c>
      <c r="E10">
        <v>-32.345000000000027</v>
      </c>
      <c r="F10">
        <v>-32.345000000000027</v>
      </c>
      <c r="G10">
        <v>-32.345000000000027</v>
      </c>
      <c r="H10">
        <v>-32.345000000000027</v>
      </c>
      <c r="I10">
        <v>-32.345000000000027</v>
      </c>
      <c r="J10">
        <v>-32.345000000000027</v>
      </c>
    </row>
    <row r="11" spans="1:11" x14ac:dyDescent="0.25">
      <c r="A11" s="1">
        <v>1E-3</v>
      </c>
      <c r="B11" s="2">
        <v>-74.10000000000133</v>
      </c>
      <c r="C11">
        <v>-32.345000000000027</v>
      </c>
      <c r="D11">
        <v>-32.345000000000027</v>
      </c>
      <c r="E11">
        <v>-32.345000000000027</v>
      </c>
      <c r="F11">
        <v>-32.345000000000027</v>
      </c>
      <c r="G11">
        <v>-32.345000000000027</v>
      </c>
      <c r="H11">
        <v>-32.345000000000027</v>
      </c>
      <c r="I11">
        <v>-32.345000000000027</v>
      </c>
      <c r="J11">
        <v>-32.345000000000027</v>
      </c>
      <c r="K11">
        <v>-32.345000000000027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2026-08-08T18:50:16Z</dcterms:created>
  <dcterms:modified xsi:type="dcterms:W3CDTF">2026-08-08T19:22:15Z</dcterms:modified>
</cp:coreProperties>
</file>