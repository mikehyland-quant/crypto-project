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13_ncr:1_{EC1CDD10-1AF7-40BC-AEE3-1903BFBEC8B2}" xr6:coauthVersionLast="47" xr6:coauthVersionMax="47" xr10:uidLastSave="{00000000-0000-0000-0000-000000000000}"/>
  <bookViews>
    <workbookView xWindow="0" yWindow="360" windowWidth="29040" windowHeight="15720" xr2:uid="{F82F7794-DE21-4292-BC44-130CA8279BA4}"/>
  </bookViews>
  <sheets>
    <sheet name="all_comb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2" i="1" l="1"/>
  <c r="AE1" i="1"/>
</calcChain>
</file>

<file path=xl/sharedStrings.xml><?xml version="1.0" encoding="utf-8"?>
<sst xmlns="http://schemas.openxmlformats.org/spreadsheetml/2006/main" count="73" uniqueCount="73">
  <si>
    <t>file_name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</si>
  <si>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</si>
  <si>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</si>
  <si>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</si>
  <si>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</si>
  <si>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</si>
  <si>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</si>
  <si>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</si>
  <si>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</si>
  <si>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</si>
  <si>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</si>
  <si>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</si>
  <si>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</si>
  <si>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</si>
  <si>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</si>
  <si>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</si>
  <si>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</si>
  <si>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</si>
  <si>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</si>
  <si>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</si>
  <si>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</si>
  <si>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</si>
  <si>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</si>
  <si>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</si>
  <si>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</si>
  <si>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</si>
  <si>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</si>
  <si>
    <t>combined_analysis_2025_0.0001_0.0001.xlsx</t>
  </si>
  <si>
    <t>combined_analysis_2026_0.0001_0.0001.xlsx</t>
  </si>
  <si>
    <t>combined_analysis_2025_0.0002_0.0001.xlsx</t>
  </si>
  <si>
    <t>combined_analysis_2025_0.0002_0.0002.xlsx</t>
  </si>
  <si>
    <t>combined_analysis_2025_0.0003_0.0001.xlsx</t>
  </si>
  <si>
    <t>combined_analysis_2025_0.0003_0.0002.xlsx</t>
  </si>
  <si>
    <t>combined_analysis_2025_0.0003_0.0003.xlsx</t>
  </si>
  <si>
    <t>combined_analysis_2025_0.0004_0.0001.xlsx</t>
  </si>
  <si>
    <t>combined_analysis_2025_0.0004_0.0002.xlsx</t>
  </si>
  <si>
    <t>combined_analysis_2025_0.0004_0.0003.xlsx</t>
  </si>
  <si>
    <t>combined_analysis_2025_0.0004_0.0004.xlsx</t>
  </si>
  <si>
    <t>combined_analysis_2025_0.0005_0.0001.xlsx</t>
  </si>
  <si>
    <t>combined_analysis_2025_0.0005_0.0002.xlsx</t>
  </si>
  <si>
    <t>combined_analysis_2025_0.0005_0.0003.xlsx</t>
  </si>
  <si>
    <t>combined_analysis_2025_0.0005_0.0004.xlsx</t>
  </si>
  <si>
    <t>combined_analysis_2025_0.0005_0.0005.xlsx</t>
  </si>
  <si>
    <t>combined_analysis_2025_0.0006_0.0001.xlsx</t>
  </si>
  <si>
    <t>combined_analysis_2025_0.0006_0.0002.xlsx</t>
  </si>
  <si>
    <t>combined_analysis_2025_0.0006_0.0003.xlsx</t>
  </si>
  <si>
    <t>combined_analysis_2025_0.0006_0.0004.xlsx</t>
  </si>
  <si>
    <t>combined_analysis_2025_0.0006_0.0005.xlsx</t>
  </si>
  <si>
    <t>combined_analysis_2025_0.0006_0.0006.xlsx</t>
  </si>
  <si>
    <t>combined_analysis_2025_0.0007_0.0001.xlsx</t>
  </si>
  <si>
    <t>combined_analysis_2025_0.0007_0.0002.xlsx</t>
  </si>
  <si>
    <t>combined_analysis_2025_0.0007_0.0003.xlsx</t>
  </si>
  <si>
    <t>combined_analysis_2025_0.0007_0.0004.xlsx</t>
  </si>
  <si>
    <t>combined_analysis_2025_0.0007_0.0005.xlsx</t>
  </si>
  <si>
    <t>combined_analysis_2025_0.0007_0.0006.xlsx</t>
  </si>
  <si>
    <t>combined_analysis_2025_0.0007_0.0007.xlsx</t>
  </si>
  <si>
    <t>combined_analysis_2025_0.0008_0.0001.xlsx</t>
  </si>
  <si>
    <t>combined_analysis_2025_0.0008_0.0002.xlsx</t>
  </si>
  <si>
    <t>combined_analysis_2025_0.0008_0.0003.xlsx</t>
  </si>
  <si>
    <t>combined_analysis_2025_0.0008_0.0004.xlsx</t>
  </si>
  <si>
    <t>combined_analysis_2025_0.0008_0.0005.xlsx</t>
  </si>
  <si>
    <t>combined_analysis_2025_0.0008_0.0006.xlsx</t>
  </si>
  <si>
    <t>combined_analysis_2025_0.0008_0.0007.xlsx</t>
  </si>
  <si>
    <t>combined_analysis_2025_0.0008_0.0008.xlsx</t>
  </si>
  <si>
    <t>combined_analysis_2025_0.0009_0.0001.xlsx</t>
  </si>
  <si>
    <t>combined_analysis_2025_0.0009_0.0002.xlsx</t>
  </si>
  <si>
    <t>combined_analysis_2025_0.0009_0.0003.xlsx</t>
  </si>
  <si>
    <t>combined_analysis_2025_0.0009_0.0004.xlsx</t>
  </si>
  <si>
    <t>combined_analysis_2025_0.0009_0.0005.xlsx</t>
  </si>
  <si>
    <t>combined_analysis_2025_0.0009_0.0006.xlsx</t>
  </si>
  <si>
    <t>combined_analysis_2025_0.0009_0.0007.xlsx</t>
  </si>
  <si>
    <t>combined_analysis_2025_0.0009_0.0008.xlsx</t>
  </si>
  <si>
    <t>combined_analysis_2025_0.0009_0.0009.xlsx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</si>
</sst>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44" fontId="1" fillId="0" borderId="0" xfId="2" applyFont="1"/>
    <xf numFmtId="44" fontId="0" fillId="0" borderId="0" xfId="2" applyFont="1"/>
    <xf numFmtId="9" fontId="1" fillId="0" borderId="0" xfId="3" applyFont="1"/>
    <xf numFmtId="9" fontId="0" fillId="0" borderId="0" xfId="3" applyFont="1"/>
    <xf numFmtId="10" fontId="1" fillId="0" borderId="0" xfId="3" applyNumberFormat="1" applyFont="1"/>
    <xf numFmtId="10" fontId="0" fillId="0" borderId="0" xfId="3" applyNumberFormat="1" applyFont="1"/>
    <xf numFmtId="43" fontId="1" fillId="0" borderId="0" xfId="1" applyFont="1"/>
    <xf numFmtId="43" fontId="0" fillId="0" borderId="0" xfId="1" applyFont="1"/>
    <xf numFmtId="10" fontId="1" fillId="0" borderId="0" xfId="0" applyNumberFormat="1" applyFont="1"/>
    <xf numFmtId="43" fontId="0" fillId="0" borderId="0" xfId="0" applyNumberFormat="1"/>
    <xf numFmtId="0" fontId="3" fillId="0" borderId="0" xfId="0" applyFont="1"/>
    <xf numFmtId="44" fontId="3" fillId="0" borderId="0" xfId="2" applyFont="1"/>
    <xf numFmtId="10" fontId="3" fillId="0" borderId="0" xfId="3" applyNumberFormat="1" applyFont="1"/>
    <xf numFmtId="43" fontId="3" fillId="0" borderId="0" xfId="1" applyFont="1"/>
    <xf numFmtId="9" fontId="3" fillId="0" borderId="0" xfId="3" applyFont="1"/>
    <xf numFmtId="0" fontId="4" fillId="0" borderId="0" xfId="0" applyFont="1"/>
    <xf numFmtId="44" fontId="4" fillId="0" borderId="0" xfId="2" applyFont="1"/>
    <xf numFmtId="10" fontId="4" fillId="0" borderId="0" xfId="3" applyNumberFormat="1" applyFont="1"/>
    <xf numFmtId="43" fontId="4" fillId="0" borderId="0" xfId="1" applyFont="1"/>
    <xf numFmtId="9" fontId="4" fillId="0" borderId="0" xfId="3" applyFont="1"/>
    <xf numFmtId="10" fontId="1" fillId="2" borderId="0" xfId="3" applyNumberFormat="1" applyFont="1" applyFill="1"/>
    <xf numFmtId="10" fontId="0" fillId="2" borderId="0" xfId="3" applyNumberFormat="1" applyFont="1" applyFill="1"/>
    <xf numFmtId="10" fontId="4" fillId="2" borderId="0" xfId="3" applyNumberFormat="1" applyFont="1" applyFill="1"/>
    <xf numFmtId="10" fontId="3" fillId="2" borderId="0" xfId="3" applyNumberFormat="1" applyFont="1" applyFill="1"/>
    <xf numFmtId="44" fontId="1" fillId="2" borderId="0" xfId="2" applyFont="1" applyFill="1"/>
    <xf numFmtId="44" fontId="0" fillId="2" borderId="0" xfId="2" applyFont="1" applyFill="1"/>
    <xf numFmtId="44" fontId="4" fillId="2" borderId="0" xfId="2" applyFont="1" applyFill="1"/>
    <xf numFmtId="44" fontId="3" fillId="2" borderId="0" xfId="2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3F80-605B-4585-9BCA-7B047A70A2AC}">
  <dimension ref="A1:AE47"/>
  <sheetViews>
    <sheetView tabSelected="1" workbookViewId="0">
      <pane ySplit="1" topLeftCell="A2" activePane="bottomLeft" state="frozen"/>
      <selection activeCell="F1" sqref="F1"/>
      <selection pane="bottomLeft" activeCell="A23" sqref="A23"/>
    </sheetView>
  </sheetViews>
  <sheetFormatPr defaultRowHeight="15" x14ac:dyDescent="0.25"/>
  <cols>
    <col min="1" max="1" width="40.7109375" bestFit="1" customWidth="1"/>
    <col min="2" max="2" width="15" bestFit="1" customWidth="1"/>
    <col min="3" max="3" width="18" bestFit="1" customWidth="1"/>
    <col min="4" max="4" width="15.85546875" bestFit="1" customWidth="1"/>
    <col min="5" max="5" width="15" style="3" bestFit="1" customWidth="1"/>
    <col min="6" max="6" width="24.7109375" style="3" bestFit="1" customWidth="1"/>
    <col min="7" max="7" width="22.5703125" style="3" bestFit="1" customWidth="1"/>
    <col min="8" max="8" width="27.5703125" style="27" bestFit="1" customWidth="1"/>
    <col min="9" max="10" width="18.28515625" style="3" bestFit="1" customWidth="1"/>
    <col min="11" max="11" width="19.42578125" style="3" bestFit="1" customWidth="1"/>
    <col min="12" max="12" width="31.85546875" style="7" bestFit="1" customWidth="1"/>
    <col min="13" max="13" width="36.140625" style="23" bestFit="1" customWidth="1"/>
    <col min="14" max="14" width="31.85546875" style="7" bestFit="1" customWidth="1"/>
    <col min="15" max="15" width="33" style="7" bestFit="1" customWidth="1"/>
    <col min="16" max="17" width="21.85546875" style="9" bestFit="1" customWidth="1"/>
    <col min="18" max="18" width="14.85546875" style="3" bestFit="1" customWidth="1"/>
    <col min="19" max="19" width="25.85546875" style="7" bestFit="1" customWidth="1"/>
    <col min="20" max="20" width="19.5703125" style="9" bestFit="1" customWidth="1"/>
    <col min="21" max="21" width="22.140625" bestFit="1" customWidth="1"/>
    <col min="22" max="22" width="22.140625" style="5" bestFit="1" customWidth="1"/>
    <col min="23" max="23" width="21.5703125" bestFit="1" customWidth="1"/>
    <col min="24" max="24" width="22" bestFit="1" customWidth="1"/>
    <col min="25" max="25" width="17" bestFit="1" customWidth="1"/>
    <col min="26" max="26" width="21.5703125" style="5" bestFit="1" customWidth="1"/>
    <col min="27" max="27" width="28" style="5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6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22" t="s">
        <v>12</v>
      </c>
      <c r="N1" s="6" t="s">
        <v>13</v>
      </c>
      <c r="O1" s="6" t="s">
        <v>14</v>
      </c>
      <c r="P1" s="8" t="s">
        <v>15</v>
      </c>
      <c r="Q1" s="8" t="s">
        <v>16</v>
      </c>
      <c r="R1" s="2" t="s">
        <v>17</v>
      </c>
      <c r="S1" s="6" t="s">
        <v>18</v>
      </c>
      <c r="T1" s="8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E1" s="10">
        <f>MAX(M:M)</f>
        <v>0.22987284862176727</v>
      </c>
    </row>
    <row r="2" spans="1:31" x14ac:dyDescent="0.25">
      <c r="A2" t="s">
        <v>27</v>
      </c>
      <c r="B2">
        <v>1E-4</v>
      </c>
      <c r="C2">
        <v>1E-4</v>
      </c>
      <c r="D2">
        <v>229</v>
      </c>
      <c r="E2" s="3">
        <v>8701.5149999998666</v>
      </c>
      <c r="F2" s="3">
        <v>643668.50318777293</v>
      </c>
      <c r="G2" s="3">
        <v>800376.15999999992</v>
      </c>
      <c r="H2" s="27">
        <v>126764.18219410481</v>
      </c>
      <c r="I2" s="3">
        <v>154047.6476</v>
      </c>
      <c r="J2" s="3">
        <v>154061.29523400002</v>
      </c>
      <c r="K2" s="3">
        <v>154084.40135</v>
      </c>
      <c r="L2" s="7">
        <v>1.4876394045672413E-2</v>
      </c>
      <c r="M2" s="23">
        <v>7.5537633126897347E-2</v>
      </c>
      <c r="N2" s="7">
        <v>6.215912048896137E-2</v>
      </c>
      <c r="O2" s="7">
        <v>6.2144293674860421E-2</v>
      </c>
      <c r="P2" s="9">
        <v>4.7480732063107371</v>
      </c>
      <c r="Q2" s="9">
        <v>4.8187740899199802</v>
      </c>
      <c r="R2" s="3">
        <v>-417.13500000001204</v>
      </c>
      <c r="S2" s="7">
        <v>-3.2906377241584176E-3</v>
      </c>
      <c r="T2" s="9">
        <v>22.955317315039942</v>
      </c>
      <c r="U2">
        <v>217</v>
      </c>
      <c r="V2" s="5">
        <v>0.94759825327510916</v>
      </c>
      <c r="W2">
        <v>136</v>
      </c>
      <c r="X2">
        <v>93</v>
      </c>
      <c r="Y2">
        <v>0</v>
      </c>
      <c r="Z2" s="5">
        <v>0.59388646288209612</v>
      </c>
      <c r="AA2" s="5">
        <v>0.59388646288209612</v>
      </c>
      <c r="AE2" s="11">
        <f>MAX(P:P)</f>
        <v>5.2041094488225985</v>
      </c>
    </row>
    <row r="3" spans="1:31" x14ac:dyDescent="0.25">
      <c r="A3" t="s">
        <v>28</v>
      </c>
      <c r="B3">
        <v>1E-4</v>
      </c>
      <c r="C3">
        <v>1E-4</v>
      </c>
      <c r="D3">
        <v>135</v>
      </c>
      <c r="E3" s="3">
        <v>1852.5300000003222</v>
      </c>
      <c r="F3" s="3">
        <v>602948.32629629644</v>
      </c>
      <c r="G3" s="3">
        <v>800333.02</v>
      </c>
      <c r="H3" s="27">
        <v>119530.31507592593</v>
      </c>
      <c r="I3" s="3">
        <v>154044.93439500002</v>
      </c>
      <c r="J3" s="3">
        <v>154061.22359100002</v>
      </c>
      <c r="K3" s="3">
        <v>154063.94025000004</v>
      </c>
      <c r="L3" s="7">
        <v>5.7352443802974737E-3</v>
      </c>
      <c r="M3" s="23">
        <v>2.8930367980742257E-2</v>
      </c>
      <c r="N3" s="7">
        <v>2.2448359068617595E-2</v>
      </c>
      <c r="O3" s="7">
        <v>2.2445589762206543E-2</v>
      </c>
      <c r="P3" s="9">
        <v>2.3817612611622194</v>
      </c>
      <c r="Q3" s="9">
        <v>1.6723227327545223</v>
      </c>
      <c r="R3" s="3">
        <v>-356.57499999994729</v>
      </c>
      <c r="S3" s="7">
        <v>-2.9831344439563306E-3</v>
      </c>
      <c r="T3" s="9">
        <v>9.6979765827697175</v>
      </c>
      <c r="U3">
        <v>128</v>
      </c>
      <c r="V3" s="5">
        <v>0.94814814814814818</v>
      </c>
      <c r="W3">
        <v>71</v>
      </c>
      <c r="X3">
        <v>64</v>
      </c>
      <c r="Y3">
        <v>0</v>
      </c>
      <c r="Z3" s="5">
        <v>0.52592592592592591</v>
      </c>
      <c r="AA3" s="5">
        <v>0.52592592592592591</v>
      </c>
    </row>
    <row r="4" spans="1:31" x14ac:dyDescent="0.25">
      <c r="A4" t="s">
        <v>29</v>
      </c>
      <c r="B4">
        <v>2.0000000000000001E-4</v>
      </c>
      <c r="C4">
        <v>1E-4</v>
      </c>
      <c r="D4">
        <v>229</v>
      </c>
      <c r="E4" s="3">
        <v>9171.8099999999376</v>
      </c>
      <c r="F4" s="3">
        <v>573797.47248908295</v>
      </c>
      <c r="G4" s="3">
        <v>800374.79</v>
      </c>
      <c r="H4" s="27">
        <v>114658.9742633188</v>
      </c>
      <c r="I4" s="3">
        <v>154043.77329000001</v>
      </c>
      <c r="J4" s="3">
        <v>154059.79945400002</v>
      </c>
      <c r="K4" s="3">
        <v>154084.40135</v>
      </c>
      <c r="L4" s="7">
        <v>1.7589823310692958E-2</v>
      </c>
      <c r="M4" s="23">
        <v>8.8026220555804141E-2</v>
      </c>
      <c r="N4" s="7">
        <v>6.552031245173591E-2</v>
      </c>
      <c r="O4" s="7">
        <v>6.550303644480604E-2</v>
      </c>
      <c r="P4" s="9">
        <v>4.9628556114807472</v>
      </c>
      <c r="Q4" s="9">
        <v>4.3312958380624478</v>
      </c>
      <c r="R4" s="3">
        <v>-428.15500000001884</v>
      </c>
      <c r="S4" s="7">
        <v>-3.7341603895456469E-3</v>
      </c>
      <c r="T4" s="9">
        <v>23.573229688324854</v>
      </c>
      <c r="U4">
        <v>217</v>
      </c>
      <c r="V4" s="5">
        <v>0.94759825327510916</v>
      </c>
      <c r="W4">
        <v>135</v>
      </c>
      <c r="X4">
        <v>94</v>
      </c>
      <c r="Y4">
        <v>0</v>
      </c>
      <c r="Z4" s="5">
        <v>0.58951965065502188</v>
      </c>
      <c r="AA4" s="5">
        <v>0.58951965065502188</v>
      </c>
    </row>
    <row r="5" spans="1:31" x14ac:dyDescent="0.25">
      <c r="A5" t="s">
        <v>30</v>
      </c>
      <c r="B5">
        <v>2.0000000000000001E-4</v>
      </c>
      <c r="C5">
        <v>2.0000000000000001E-4</v>
      </c>
      <c r="D5">
        <v>229</v>
      </c>
      <c r="E5" s="3">
        <v>9046.4399999999605</v>
      </c>
      <c r="F5" s="3">
        <v>542354.57253275102</v>
      </c>
      <c r="G5" s="3">
        <v>800374.79</v>
      </c>
      <c r="H5" s="27">
        <v>109278.71505873364</v>
      </c>
      <c r="I5" s="3">
        <v>154036.95274000001</v>
      </c>
      <c r="J5" s="3">
        <v>154059.79945400002</v>
      </c>
      <c r="K5" s="3">
        <v>154084.40135</v>
      </c>
      <c r="L5" s="7">
        <v>1.8355214309323731E-2</v>
      </c>
      <c r="M5" s="23">
        <v>9.1097652503781809E-2</v>
      </c>
      <c r="N5" s="7">
        <v>6.4627573016738882E-2</v>
      </c>
      <c r="O5" s="7">
        <v>6.4607671660855667E-2</v>
      </c>
      <c r="P5" s="9">
        <v>4.8923902890737399</v>
      </c>
      <c r="Q5" s="9">
        <v>4.2976143909720932</v>
      </c>
      <c r="R5" s="3">
        <v>-428.15500000001884</v>
      </c>
      <c r="S5" s="7">
        <v>-3.9180090996668469E-3</v>
      </c>
      <c r="T5" s="9">
        <v>23.251005851805694</v>
      </c>
      <c r="U5">
        <v>216</v>
      </c>
      <c r="V5" s="5">
        <v>0.94323144104803491</v>
      </c>
      <c r="W5">
        <v>136</v>
      </c>
      <c r="X5">
        <v>93</v>
      </c>
      <c r="Y5">
        <v>0</v>
      </c>
      <c r="Z5" s="5">
        <v>0.59388646288209612</v>
      </c>
      <c r="AA5" s="5">
        <v>0.59388646288209612</v>
      </c>
    </row>
    <row r="6" spans="1:31" s="17" customFormat="1" x14ac:dyDescent="0.25">
      <c r="A6" s="17" t="s">
        <v>31</v>
      </c>
      <c r="B6" s="17">
        <v>2.9999999999999997E-4</v>
      </c>
      <c r="C6" s="17">
        <v>1E-4</v>
      </c>
      <c r="D6" s="17">
        <v>229</v>
      </c>
      <c r="E6" s="18">
        <v>9563.2999999999211</v>
      </c>
      <c r="F6" s="18">
        <v>523143.69301310036</v>
      </c>
      <c r="G6" s="18">
        <v>800320.97</v>
      </c>
      <c r="H6" s="28">
        <v>105724.75955502182</v>
      </c>
      <c r="I6" s="18">
        <v>154024.82260000001</v>
      </c>
      <c r="J6" s="18">
        <v>154054.90353000004</v>
      </c>
      <c r="K6" s="18">
        <v>154061.33050000001</v>
      </c>
      <c r="L6" s="19">
        <v>2.0116473263634468E-2</v>
      </c>
      <c r="M6" s="24">
        <v>9.9539655212553868E-2</v>
      </c>
      <c r="N6" s="19">
        <v>6.8325390257823485E-2</v>
      </c>
      <c r="O6" s="19">
        <v>6.8309199196076212E-2</v>
      </c>
      <c r="P6" s="20">
        <v>5.2041094488225985</v>
      </c>
      <c r="Q6" s="20">
        <v>5.1950886231375764</v>
      </c>
      <c r="R6" s="18">
        <v>-428.15500000001884</v>
      </c>
      <c r="S6" s="19">
        <v>-4.0497136319065947E-3</v>
      </c>
      <c r="T6" s="20">
        <v>24.579430611662993</v>
      </c>
      <c r="U6" s="17">
        <v>215</v>
      </c>
      <c r="V6" s="21">
        <v>0.93886462882096067</v>
      </c>
      <c r="W6" s="17">
        <v>136</v>
      </c>
      <c r="X6" s="17">
        <v>93</v>
      </c>
      <c r="Y6" s="17">
        <v>0</v>
      </c>
      <c r="Z6" s="21">
        <v>0.59388646288209612</v>
      </c>
      <c r="AA6" s="21">
        <v>0.59388646288209612</v>
      </c>
    </row>
    <row r="7" spans="1:31" s="17" customFormat="1" x14ac:dyDescent="0.25">
      <c r="A7" s="17" t="s">
        <v>32</v>
      </c>
      <c r="B7" s="17">
        <v>2.9999999999999997E-4</v>
      </c>
      <c r="C7" s="17">
        <v>2.0000000000000001E-4</v>
      </c>
      <c r="D7" s="17">
        <v>229</v>
      </c>
      <c r="E7" s="18">
        <v>9491.4700000000303</v>
      </c>
      <c r="F7" s="18">
        <v>483837.455021834</v>
      </c>
      <c r="G7" s="18">
        <v>800320.97</v>
      </c>
      <c r="H7" s="28">
        <v>98662.677429694319</v>
      </c>
      <c r="I7" s="18">
        <v>154022.31900000002</v>
      </c>
      <c r="J7" s="18">
        <v>154054.90353000004</v>
      </c>
      <c r="K7" s="18">
        <v>154061.33050000001</v>
      </c>
      <c r="L7" s="19">
        <v>2.1587336073958116E-2</v>
      </c>
      <c r="M7" s="24">
        <v>0.10586335196678318</v>
      </c>
      <c r="N7" s="19">
        <v>6.7813300140773247E-2</v>
      </c>
      <c r="O7" s="19">
        <v>6.7796128417344309E-2</v>
      </c>
      <c r="P7" s="20">
        <v>5.1252718218400553</v>
      </c>
      <c r="Q7" s="20">
        <v>4.8074448086438304</v>
      </c>
      <c r="R7" s="18">
        <v>-428.15500000001884</v>
      </c>
      <c r="S7" s="19">
        <v>-4.3395842394923475E-3</v>
      </c>
      <c r="T7" s="20">
        <v>24.394814370320248</v>
      </c>
      <c r="U7" s="17">
        <v>215</v>
      </c>
      <c r="V7" s="21">
        <v>0.93886462882096067</v>
      </c>
      <c r="W7" s="17">
        <v>136</v>
      </c>
      <c r="X7" s="17">
        <v>93</v>
      </c>
      <c r="Y7" s="17">
        <v>0</v>
      </c>
      <c r="Z7" s="21">
        <v>0.59388646288209612</v>
      </c>
      <c r="AA7" s="21">
        <v>0.59388646288209612</v>
      </c>
    </row>
    <row r="8" spans="1:31" s="17" customFormat="1" x14ac:dyDescent="0.25">
      <c r="A8" s="17" t="s">
        <v>33</v>
      </c>
      <c r="B8" s="17">
        <v>2.9999999999999997E-4</v>
      </c>
      <c r="C8" s="17">
        <v>2.9999999999999997E-4</v>
      </c>
      <c r="D8" s="17">
        <v>229</v>
      </c>
      <c r="E8" s="18">
        <v>8950.7900000000136</v>
      </c>
      <c r="F8" s="18">
        <v>457633.52768558939</v>
      </c>
      <c r="G8" s="18">
        <v>800320.97</v>
      </c>
      <c r="H8" s="28">
        <v>93954.716645414854</v>
      </c>
      <c r="I8" s="18">
        <v>154013.21583999999</v>
      </c>
      <c r="J8" s="18">
        <v>154054.90353000004</v>
      </c>
      <c r="K8" s="18">
        <v>154061.33050000001</v>
      </c>
      <c r="L8" s="19">
        <v>2.1523286748099807E-2</v>
      </c>
      <c r="M8" s="24">
        <v>0.10483537169394569</v>
      </c>
      <c r="N8" s="19">
        <v>6.3954106718699194E-2</v>
      </c>
      <c r="O8" s="19">
        <v>6.3934133308821528E-2</v>
      </c>
      <c r="P8" s="20">
        <v>4.8796925741482005</v>
      </c>
      <c r="Q8" s="20">
        <v>4.6044265358502443</v>
      </c>
      <c r="R8" s="18">
        <v>-428.15500000001884</v>
      </c>
      <c r="S8" s="19">
        <v>-4.5570357219624855E-3</v>
      </c>
      <c r="T8" s="20">
        <v>23.005167852579039</v>
      </c>
      <c r="U8" s="17">
        <v>214</v>
      </c>
      <c r="V8" s="21">
        <v>0.93449781659388642</v>
      </c>
      <c r="W8" s="17">
        <v>132</v>
      </c>
      <c r="X8" s="17">
        <v>97</v>
      </c>
      <c r="Y8" s="17">
        <v>0</v>
      </c>
      <c r="Z8" s="21">
        <v>0.57641921397379914</v>
      </c>
      <c r="AA8" s="21">
        <v>0.57641921397379914</v>
      </c>
    </row>
    <row r="9" spans="1:31" s="17" customFormat="1" x14ac:dyDescent="0.25">
      <c r="A9" s="17" t="s">
        <v>34</v>
      </c>
      <c r="B9" s="17">
        <v>4.0000000000000002E-4</v>
      </c>
      <c r="C9" s="17">
        <v>1E-4</v>
      </c>
      <c r="D9" s="17">
        <v>229</v>
      </c>
      <c r="E9" s="18">
        <v>9426.9499999999334</v>
      </c>
      <c r="F9" s="18">
        <v>473357.71611353708</v>
      </c>
      <c r="G9" s="18">
        <v>800244.53</v>
      </c>
      <c r="H9" s="28">
        <v>97125.638492794766</v>
      </c>
      <c r="I9" s="18">
        <v>153999.15003000002</v>
      </c>
      <c r="J9" s="18">
        <v>154041.88852800001</v>
      </c>
      <c r="K9" s="18">
        <v>154054.67385000002</v>
      </c>
      <c r="L9" s="19">
        <v>2.1915268768037007E-2</v>
      </c>
      <c r="M9" s="24">
        <v>0.1068076538083392</v>
      </c>
      <c r="N9" s="19">
        <v>6.7362459922872653E-2</v>
      </c>
      <c r="O9" s="19">
        <v>6.7338181392361099E-2</v>
      </c>
      <c r="P9" s="20">
        <v>5.181506413501312</v>
      </c>
      <c r="Q9" s="20">
        <v>4.800931672181739</v>
      </c>
      <c r="R9" s="18">
        <v>-428.15500000001884</v>
      </c>
      <c r="S9" s="19">
        <v>-4.4082593087074679E-3</v>
      </c>
      <c r="T9" s="20">
        <v>24.228986166345997</v>
      </c>
      <c r="U9" s="17">
        <v>212</v>
      </c>
      <c r="V9" s="21">
        <v>0.92576419213973804</v>
      </c>
      <c r="W9" s="17">
        <v>136</v>
      </c>
      <c r="X9" s="17">
        <v>93</v>
      </c>
      <c r="Y9" s="17">
        <v>0</v>
      </c>
      <c r="Z9" s="21">
        <v>0.59388646288209612</v>
      </c>
      <c r="AA9" s="21">
        <v>0.59388646288209612</v>
      </c>
    </row>
    <row r="10" spans="1:31" s="17" customFormat="1" x14ac:dyDescent="0.25">
      <c r="A10" s="17" t="s">
        <v>35</v>
      </c>
      <c r="B10" s="17">
        <v>4.0000000000000002E-4</v>
      </c>
      <c r="C10" s="17">
        <v>2.0000000000000001E-4</v>
      </c>
      <c r="D10" s="17">
        <v>229</v>
      </c>
      <c r="E10" s="18">
        <v>9386.400000000076</v>
      </c>
      <c r="F10" s="18">
        <v>433178.35947598249</v>
      </c>
      <c r="G10" s="18">
        <v>800244.53</v>
      </c>
      <c r="H10" s="28">
        <v>90015.586383406117</v>
      </c>
      <c r="I10" s="18">
        <v>153997.14791999999</v>
      </c>
      <c r="J10" s="18">
        <v>154036.77300000002</v>
      </c>
      <c r="K10" s="18">
        <v>154054.67385000002</v>
      </c>
      <c r="L10" s="19">
        <v>2.3845002038246098E-2</v>
      </c>
      <c r="M10" s="24">
        <v>0.1147483372561024</v>
      </c>
      <c r="N10" s="19">
        <v>6.707357249236065E-2</v>
      </c>
      <c r="O10" s="19">
        <v>6.7048526386717627E-2</v>
      </c>
      <c r="P10" s="20">
        <v>5.1690420041544378</v>
      </c>
      <c r="Q10" s="20">
        <v>4.9386720671922824</v>
      </c>
      <c r="R10" s="18">
        <v>-428.15500000001884</v>
      </c>
      <c r="S10" s="19">
        <v>-4.7564540453734899E-3</v>
      </c>
      <c r="T10" s="20">
        <v>24.124765247698726</v>
      </c>
      <c r="U10" s="17">
        <v>210</v>
      </c>
      <c r="V10" s="21">
        <v>0.91703056768558955</v>
      </c>
      <c r="W10" s="17">
        <v>135</v>
      </c>
      <c r="X10" s="17">
        <v>93</v>
      </c>
      <c r="Y10" s="17">
        <v>1</v>
      </c>
      <c r="Z10" s="21">
        <v>0.58951965065502188</v>
      </c>
      <c r="AA10" s="21">
        <v>0.59210526315789469</v>
      </c>
    </row>
    <row r="11" spans="1:31" s="17" customFormat="1" x14ac:dyDescent="0.25">
      <c r="A11" s="17" t="s">
        <v>36</v>
      </c>
      <c r="B11" s="17">
        <v>4.0000000000000002E-4</v>
      </c>
      <c r="C11" s="17">
        <v>2.9999999999999997E-4</v>
      </c>
      <c r="D11" s="17">
        <v>229</v>
      </c>
      <c r="E11" s="18">
        <v>9217.5700000000834</v>
      </c>
      <c r="F11" s="18">
        <v>407848.06925764185</v>
      </c>
      <c r="G11" s="18">
        <v>800244.53</v>
      </c>
      <c r="H11" s="28">
        <v>85163.537175545847</v>
      </c>
      <c r="I11" s="18">
        <v>153996.40839000003</v>
      </c>
      <c r="J11" s="18">
        <v>154026.99910400002</v>
      </c>
      <c r="K11" s="18">
        <v>154054.67385000002</v>
      </c>
      <c r="L11" s="19">
        <v>2.4870418433513345E-2</v>
      </c>
      <c r="M11" s="24">
        <v>0.11910440167403805</v>
      </c>
      <c r="N11" s="19">
        <v>6.5867459155604283E-2</v>
      </c>
      <c r="O11" s="19">
        <v>6.584254723498012E-2</v>
      </c>
      <c r="P11" s="20">
        <v>5.1546374392391217</v>
      </c>
      <c r="Q11" s="20">
        <v>4.8906741681379025</v>
      </c>
      <c r="R11" s="18">
        <v>-428.15500000001884</v>
      </c>
      <c r="S11" s="19">
        <v>-5.0274450099162945E-3</v>
      </c>
      <c r="T11" s="20">
        <v>23.690841260145596</v>
      </c>
      <c r="U11" s="17">
        <v>209</v>
      </c>
      <c r="V11" s="21">
        <v>0.9126637554585153</v>
      </c>
      <c r="W11" s="17">
        <v>132</v>
      </c>
      <c r="X11" s="17">
        <v>96</v>
      </c>
      <c r="Y11" s="17">
        <v>1</v>
      </c>
      <c r="Z11" s="21">
        <v>0.57641921397379914</v>
      </c>
      <c r="AA11" s="21">
        <v>0.57894736842105265</v>
      </c>
    </row>
    <row r="12" spans="1:31" x14ac:dyDescent="0.25">
      <c r="A12" t="s">
        <v>37</v>
      </c>
      <c r="B12">
        <v>4.0000000000000002E-4</v>
      </c>
      <c r="C12">
        <v>4.0000000000000002E-4</v>
      </c>
      <c r="D12">
        <v>229</v>
      </c>
      <c r="E12" s="3">
        <v>8983.3000000000993</v>
      </c>
      <c r="F12" s="3">
        <v>391255.08148471615</v>
      </c>
      <c r="G12" s="3">
        <v>800244.53</v>
      </c>
      <c r="H12" s="27">
        <v>82137.515472489089</v>
      </c>
      <c r="I12" s="3">
        <v>153991.21276000002</v>
      </c>
      <c r="J12" s="3">
        <v>154026.99910400002</v>
      </c>
      <c r="K12" s="3">
        <v>154054.67385000002</v>
      </c>
      <c r="L12" s="7">
        <v>2.5266260570763279E-2</v>
      </c>
      <c r="M12" s="23">
        <v>0.12035368712533187</v>
      </c>
      <c r="N12" s="7">
        <v>6.4195564547147185E-2</v>
      </c>
      <c r="O12" s="7">
        <v>6.4169119906439351E-2</v>
      </c>
      <c r="P12" s="9">
        <v>5.0201506161745666</v>
      </c>
      <c r="Q12" s="9">
        <v>4.5570426150326648</v>
      </c>
      <c r="R12" s="3">
        <v>-438.98000000003412</v>
      </c>
      <c r="S12" s="7">
        <v>-5.3444518923519771E-3</v>
      </c>
      <c r="T12" s="9">
        <v>22.51936953489291</v>
      </c>
      <c r="U12">
        <v>209</v>
      </c>
      <c r="V12" s="5">
        <v>0.9126637554585153</v>
      </c>
      <c r="W12">
        <v>131</v>
      </c>
      <c r="X12">
        <v>97</v>
      </c>
      <c r="Y12">
        <v>1</v>
      </c>
      <c r="Z12" s="5">
        <v>0.57205240174672489</v>
      </c>
      <c r="AA12" s="5">
        <v>0.57456140350877194</v>
      </c>
    </row>
    <row r="13" spans="1:31" s="12" customFormat="1" x14ac:dyDescent="0.25">
      <c r="A13" s="12" t="s">
        <v>38</v>
      </c>
      <c r="B13" s="12">
        <v>5.0000000000000001E-4</v>
      </c>
      <c r="C13" s="12">
        <v>1E-4</v>
      </c>
      <c r="D13" s="12">
        <v>229</v>
      </c>
      <c r="E13" s="13">
        <v>8833.8400000000147</v>
      </c>
      <c r="F13" s="13">
        <v>417465.22288209602</v>
      </c>
      <c r="G13" s="13">
        <v>800239.74</v>
      </c>
      <c r="H13" s="29">
        <v>87711.291069868996</v>
      </c>
      <c r="I13" s="13">
        <v>121047.1097</v>
      </c>
      <c r="J13" s="13">
        <v>154029.34175200001</v>
      </c>
      <c r="K13" s="13">
        <v>154054.67385000002</v>
      </c>
      <c r="L13" s="14">
        <v>2.3285967403320507E-2</v>
      </c>
      <c r="M13" s="25">
        <v>0.11083044672445656</v>
      </c>
      <c r="N13" s="14">
        <v>8.03082502022964E-2</v>
      </c>
      <c r="O13" s="14">
        <v>6.3101503700677339E-2</v>
      </c>
      <c r="P13" s="15">
        <v>4.6320827284523922</v>
      </c>
      <c r="Q13" s="15">
        <v>4.5047611520242352</v>
      </c>
      <c r="R13" s="13">
        <v>-700.45500000001448</v>
      </c>
      <c r="S13" s="14">
        <v>-7.985915968812346E-3</v>
      </c>
      <c r="T13" s="15">
        <v>13.878238533599184</v>
      </c>
      <c r="U13" s="12">
        <v>212</v>
      </c>
      <c r="V13" s="16">
        <v>0.92576419213973804</v>
      </c>
      <c r="W13" s="12">
        <v>133</v>
      </c>
      <c r="X13" s="12">
        <v>96</v>
      </c>
      <c r="Y13" s="12">
        <v>0</v>
      </c>
      <c r="Z13" s="16">
        <v>0.58078602620087338</v>
      </c>
      <c r="AA13" s="16">
        <v>0.58078602620087338</v>
      </c>
    </row>
    <row r="14" spans="1:31" x14ac:dyDescent="0.25">
      <c r="A14" t="s">
        <v>39</v>
      </c>
      <c r="B14">
        <v>5.0000000000000001E-4</v>
      </c>
      <c r="C14">
        <v>2.0000000000000001E-4</v>
      </c>
      <c r="D14">
        <v>229</v>
      </c>
      <c r="E14" s="3">
        <v>8913.4600000002065</v>
      </c>
      <c r="F14" s="3">
        <v>370298.87174672488</v>
      </c>
      <c r="G14" s="3">
        <v>800217.25</v>
      </c>
      <c r="H14" s="27">
        <v>79160.274165283845</v>
      </c>
      <c r="I14" s="3">
        <v>121042.55228999999</v>
      </c>
      <c r="J14" s="3">
        <v>153988.39374600002</v>
      </c>
      <c r="K14" s="3">
        <v>154054.67385000002</v>
      </c>
      <c r="L14" s="7">
        <v>2.6488599045261157E-2</v>
      </c>
      <c r="M14" s="23">
        <v>0.12390935281668387</v>
      </c>
      <c r="N14" s="7">
        <v>8.1035124879979367E-2</v>
      </c>
      <c r="O14" s="7">
        <v>6.3670241839998407E-2</v>
      </c>
      <c r="P14" s="9">
        <v>4.7169305033935105</v>
      </c>
      <c r="Q14" s="9">
        <v>4.8093534899306682</v>
      </c>
      <c r="R14" s="3">
        <v>-700.45500000001448</v>
      </c>
      <c r="S14" s="7">
        <v>-8.8485671302437549E-3</v>
      </c>
      <c r="T14" s="9">
        <v>14.003324040247236</v>
      </c>
      <c r="U14">
        <v>206</v>
      </c>
      <c r="V14" s="5">
        <v>0.89956331877729256</v>
      </c>
      <c r="W14">
        <v>129</v>
      </c>
      <c r="X14">
        <v>97</v>
      </c>
      <c r="Y14">
        <v>3</v>
      </c>
      <c r="Z14" s="5">
        <v>0.5633187772925764</v>
      </c>
      <c r="AA14" s="5">
        <v>0.57079646017699115</v>
      </c>
    </row>
    <row r="15" spans="1:31" x14ac:dyDescent="0.25">
      <c r="A15" t="s">
        <v>40</v>
      </c>
      <c r="B15">
        <v>5.0000000000000001E-4</v>
      </c>
      <c r="C15">
        <v>2.9999999999999997E-4</v>
      </c>
      <c r="D15">
        <v>468</v>
      </c>
      <c r="E15" s="3">
        <v>8861.8900000001577</v>
      </c>
      <c r="F15" s="3">
        <v>168798.56551282053</v>
      </c>
      <c r="G15" s="3">
        <v>600192.24</v>
      </c>
      <c r="H15" s="27">
        <v>36313.179144658126</v>
      </c>
      <c r="I15" s="3">
        <v>120976.83573250001</v>
      </c>
      <c r="J15" s="3">
        <v>121038.31174600002</v>
      </c>
      <c r="K15" s="3">
        <v>121057.06525</v>
      </c>
      <c r="L15" s="7">
        <v>2.8269120111181177E-2</v>
      </c>
      <c r="M15" s="23">
        <v>0.13140647653205997</v>
      </c>
      <c r="N15" s="7">
        <v>3.9443806693937877E-2</v>
      </c>
      <c r="O15" s="7">
        <v>3.9417665653983858E-2</v>
      </c>
      <c r="P15" s="9">
        <v>3.3300833661778033</v>
      </c>
      <c r="Q15" s="9">
        <v>4.6698114177270345</v>
      </c>
      <c r="R15" s="3">
        <v>-700.45500000001448</v>
      </c>
      <c r="S15" s="7">
        <v>-1.9289277791119958E-2</v>
      </c>
      <c r="T15" s="9">
        <v>6.8124103947818337</v>
      </c>
      <c r="U15">
        <v>239</v>
      </c>
      <c r="V15" s="5">
        <v>0.51068376068376065</v>
      </c>
      <c r="W15">
        <v>155</v>
      </c>
      <c r="X15">
        <v>133</v>
      </c>
      <c r="Y15">
        <v>180</v>
      </c>
      <c r="Z15" s="5">
        <v>0.33119658119658119</v>
      </c>
      <c r="AA15" s="5">
        <v>0.53819444444444442</v>
      </c>
    </row>
    <row r="16" spans="1:31" x14ac:dyDescent="0.25">
      <c r="A16" t="s">
        <v>41</v>
      </c>
      <c r="B16">
        <v>5.0000000000000001E-4</v>
      </c>
      <c r="C16">
        <v>4.0000000000000002E-4</v>
      </c>
      <c r="D16">
        <v>229</v>
      </c>
      <c r="E16" s="3">
        <v>8623.7700000001751</v>
      </c>
      <c r="F16" s="3">
        <v>330121.68100436678</v>
      </c>
      <c r="G16" s="3">
        <v>800217.25</v>
      </c>
      <c r="H16" s="27">
        <v>71186.084898908302</v>
      </c>
      <c r="I16" s="3">
        <v>121038.81372000002</v>
      </c>
      <c r="J16" s="3">
        <v>144777.12614199996</v>
      </c>
      <c r="K16" s="3">
        <v>154054.67385000002</v>
      </c>
      <c r="L16" s="7">
        <v>2.8746711847449397E-2</v>
      </c>
      <c r="M16" s="23">
        <v>0.13331134661928395</v>
      </c>
      <c r="N16" s="7">
        <v>7.8403881753015409E-2</v>
      </c>
      <c r="O16" s="7">
        <v>6.1600940765148611E-2</v>
      </c>
      <c r="P16" s="9">
        <v>4.666664779439138</v>
      </c>
      <c r="Q16" s="9">
        <v>5.0436214163247302</v>
      </c>
      <c r="R16" s="3">
        <v>-700.45500000001448</v>
      </c>
      <c r="S16" s="7">
        <v>-9.839774177702482E-3</v>
      </c>
      <c r="T16" s="9">
        <v>13.548212002809521</v>
      </c>
      <c r="U16">
        <v>198</v>
      </c>
      <c r="V16" s="5">
        <v>0.86462882096069871</v>
      </c>
      <c r="W16">
        <v>128</v>
      </c>
      <c r="X16">
        <v>96</v>
      </c>
      <c r="Y16">
        <v>5</v>
      </c>
      <c r="Z16" s="5">
        <v>0.55895196506550215</v>
      </c>
      <c r="AA16" s="5">
        <v>0.5714285714285714</v>
      </c>
    </row>
    <row r="17" spans="1:27" x14ac:dyDescent="0.25">
      <c r="A17" t="s">
        <v>42</v>
      </c>
      <c r="B17">
        <v>5.0000000000000001E-4</v>
      </c>
      <c r="C17">
        <v>5.0000000000000001E-4</v>
      </c>
      <c r="D17">
        <v>229</v>
      </c>
      <c r="E17" s="3">
        <v>7860.3000000002166</v>
      </c>
      <c r="F17" s="3">
        <v>301302.82109170308</v>
      </c>
      <c r="G17" s="3">
        <v>800217.25</v>
      </c>
      <c r="H17" s="27">
        <v>64989.965793668132</v>
      </c>
      <c r="I17" s="3">
        <v>121035.71073000002</v>
      </c>
      <c r="J17" s="3">
        <v>144777.12614199996</v>
      </c>
      <c r="K17" s="3">
        <v>154054.67385000002</v>
      </c>
      <c r="L17" s="7">
        <v>2.8707870753000634E-2</v>
      </c>
      <c r="M17" s="23">
        <v>0.13309381440323542</v>
      </c>
      <c r="N17" s="7">
        <v>7.1464548712491235E-2</v>
      </c>
      <c r="O17" s="7">
        <v>5.614735489192095E-2</v>
      </c>
      <c r="P17" s="9">
        <v>4.471444972154103</v>
      </c>
      <c r="Q17" s="9">
        <v>3.4634260792246221</v>
      </c>
      <c r="R17" s="3">
        <v>-514.24000000002343</v>
      </c>
      <c r="S17" s="7">
        <v>-7.9126061034198152E-3</v>
      </c>
      <c r="T17" s="9">
        <v>16.820477686322903</v>
      </c>
      <c r="U17">
        <v>190</v>
      </c>
      <c r="V17" s="5">
        <v>0.82969432314410485</v>
      </c>
      <c r="W17">
        <v>123</v>
      </c>
      <c r="X17">
        <v>98</v>
      </c>
      <c r="Y17">
        <v>8</v>
      </c>
      <c r="Z17" s="5">
        <v>0.53711790393013104</v>
      </c>
      <c r="AA17" s="5">
        <v>0.5565610859728507</v>
      </c>
    </row>
    <row r="18" spans="1:27" x14ac:dyDescent="0.25">
      <c r="A18" t="s">
        <v>43</v>
      </c>
      <c r="B18">
        <v>5.9999999999999995E-4</v>
      </c>
      <c r="C18">
        <v>1E-4</v>
      </c>
      <c r="D18">
        <v>229</v>
      </c>
      <c r="E18" s="3">
        <v>8782.8799999999883</v>
      </c>
      <c r="F18" s="3">
        <v>371177.09628820961</v>
      </c>
      <c r="G18" s="3">
        <v>800239.74</v>
      </c>
      <c r="H18" s="27">
        <v>79305.38346091703</v>
      </c>
      <c r="I18" s="3">
        <v>121038.63728</v>
      </c>
      <c r="J18" s="3">
        <v>144777.20217399998</v>
      </c>
      <c r="K18" s="3">
        <v>154054.67385000002</v>
      </c>
      <c r="L18" s="7">
        <v>2.6038792305419216E-2</v>
      </c>
      <c r="M18" s="23">
        <v>0.12187070911195265</v>
      </c>
      <c r="N18" s="7">
        <v>7.9850562894384899E-2</v>
      </c>
      <c r="O18" s="7">
        <v>6.2737488433410996E-2</v>
      </c>
      <c r="P18" s="9">
        <v>4.6745185787488506</v>
      </c>
      <c r="Q18" s="9">
        <v>4.4191868736231772</v>
      </c>
      <c r="R18" s="3">
        <v>-609.69500000000789</v>
      </c>
      <c r="S18" s="7">
        <v>-7.6879396251891951E-3</v>
      </c>
      <c r="T18" s="9">
        <v>15.852193832616562</v>
      </c>
      <c r="U18">
        <v>207</v>
      </c>
      <c r="V18" s="5">
        <v>0.90393013100436681</v>
      </c>
      <c r="W18">
        <v>134</v>
      </c>
      <c r="X18">
        <v>94</v>
      </c>
      <c r="Y18">
        <v>1</v>
      </c>
      <c r="Z18" s="5">
        <v>0.58515283842794763</v>
      </c>
      <c r="AA18" s="5">
        <v>0.58771929824561409</v>
      </c>
    </row>
    <row r="19" spans="1:27" x14ac:dyDescent="0.25">
      <c r="A19" t="s">
        <v>44</v>
      </c>
      <c r="B19">
        <v>5.9999999999999995E-4</v>
      </c>
      <c r="C19">
        <v>2.0000000000000001E-4</v>
      </c>
      <c r="D19">
        <v>229</v>
      </c>
      <c r="E19" s="3">
        <v>9023.6100000001716</v>
      </c>
      <c r="F19" s="3">
        <v>315279.74973799125</v>
      </c>
      <c r="G19" s="3">
        <v>800217.25</v>
      </c>
      <c r="H19" s="27">
        <v>69025.584236899565</v>
      </c>
      <c r="I19" s="3">
        <v>121031.02154000002</v>
      </c>
      <c r="J19" s="3">
        <v>121064.54014600001</v>
      </c>
      <c r="K19" s="3">
        <v>154054.67385000002</v>
      </c>
      <c r="L19" s="7">
        <v>3.1495557355968262E-2</v>
      </c>
      <c r="M19" s="23">
        <v>0.14385841932127988</v>
      </c>
      <c r="N19" s="7">
        <v>8.2044349578314094E-2</v>
      </c>
      <c r="O19" s="7">
        <v>6.4457060554467704E-2</v>
      </c>
      <c r="P19" s="9">
        <v>4.8943486738207707</v>
      </c>
      <c r="Q19" s="9">
        <v>5.365385539299603</v>
      </c>
      <c r="R19" s="3">
        <v>-609.69500000000789</v>
      </c>
      <c r="S19" s="7">
        <v>-8.832884310076991E-3</v>
      </c>
      <c r="T19" s="9">
        <v>16.286686689325148</v>
      </c>
      <c r="U19">
        <v>199</v>
      </c>
      <c r="V19" s="5">
        <v>0.86899563318777295</v>
      </c>
      <c r="W19">
        <v>131</v>
      </c>
      <c r="X19">
        <v>95</v>
      </c>
      <c r="Y19">
        <v>3</v>
      </c>
      <c r="Z19" s="5">
        <v>0.57205240174672489</v>
      </c>
      <c r="AA19" s="5">
        <v>0.57964601769911506</v>
      </c>
    </row>
    <row r="20" spans="1:27" x14ac:dyDescent="0.25">
      <c r="A20" t="s">
        <v>45</v>
      </c>
      <c r="B20">
        <v>5.9999999999999995E-4</v>
      </c>
      <c r="C20">
        <v>2.9999999999999997E-4</v>
      </c>
      <c r="D20">
        <v>229</v>
      </c>
      <c r="E20" s="3">
        <v>8947.8000000001412</v>
      </c>
      <c r="F20" s="3">
        <v>290823.12004366808</v>
      </c>
      <c r="G20" s="3">
        <v>800217.25</v>
      </c>
      <c r="H20" s="27">
        <v>63837.287081877737</v>
      </c>
      <c r="I20" s="3">
        <v>121007.08928</v>
      </c>
      <c r="J20" s="3">
        <v>121064.54014600001</v>
      </c>
      <c r="K20" s="3">
        <v>154054.67385000002</v>
      </c>
      <c r="L20" s="7">
        <v>3.3857305893583059E-2</v>
      </c>
      <c r="M20" s="23">
        <v>0.15424351168958023</v>
      </c>
      <c r="N20" s="7">
        <v>8.137116093637102E-2</v>
      </c>
      <c r="O20" s="7">
        <v>6.3915537842311923E-2</v>
      </c>
      <c r="P20" s="9">
        <v>4.9015940370219342</v>
      </c>
      <c r="Q20" s="9">
        <v>5.6647155979944603</v>
      </c>
      <c r="R20" s="3">
        <v>-609.69500000000789</v>
      </c>
      <c r="S20" s="7">
        <v>-9.5507661410800995E-3</v>
      </c>
      <c r="T20" s="9">
        <v>16.149857447157299</v>
      </c>
      <c r="U20">
        <v>194</v>
      </c>
      <c r="V20" s="5">
        <v>0.84716157205240172</v>
      </c>
      <c r="W20">
        <v>130</v>
      </c>
      <c r="X20">
        <v>94</v>
      </c>
      <c r="Y20">
        <v>5</v>
      </c>
      <c r="Z20" s="5">
        <v>0.56768558951965065</v>
      </c>
      <c r="AA20" s="5">
        <v>0.5803571428571429</v>
      </c>
    </row>
    <row r="21" spans="1:27" x14ac:dyDescent="0.25">
      <c r="A21" t="s">
        <v>46</v>
      </c>
      <c r="B21">
        <v>5.9999999999999995E-4</v>
      </c>
      <c r="C21">
        <v>4.0000000000000002E-4</v>
      </c>
      <c r="D21">
        <v>229</v>
      </c>
      <c r="E21" s="3">
        <v>8814.3100000001468</v>
      </c>
      <c r="F21" s="3">
        <v>278596.33519650652</v>
      </c>
      <c r="G21" s="3">
        <v>800217.25</v>
      </c>
      <c r="H21" s="27">
        <v>61339.682108296955</v>
      </c>
      <c r="I21" s="3">
        <v>121007.08928</v>
      </c>
      <c r="J21" s="3">
        <v>121064.54014600001</v>
      </c>
      <c r="K21" s="3">
        <v>154054.67385000002</v>
      </c>
      <c r="L21" s="7">
        <v>3.4815928346030561E-2</v>
      </c>
      <c r="M21" s="23">
        <v>0.15812912148033928</v>
      </c>
      <c r="N21" s="7">
        <v>8.0157204849579236E-2</v>
      </c>
      <c r="O21" s="7">
        <v>6.2961997849624363E-2</v>
      </c>
      <c r="P21" s="9">
        <v>4.8908416702842583</v>
      </c>
      <c r="Q21" s="9">
        <v>5.780377429548472</v>
      </c>
      <c r="R21" s="3">
        <v>-609.69500000000789</v>
      </c>
      <c r="S21" s="7">
        <v>-9.9396504684125045E-3</v>
      </c>
      <c r="T21" s="9">
        <v>15.908921745574684</v>
      </c>
      <c r="U21">
        <v>188</v>
      </c>
      <c r="V21" s="5">
        <v>0.82096069868995636</v>
      </c>
      <c r="W21">
        <v>129</v>
      </c>
      <c r="X21">
        <v>92</v>
      </c>
      <c r="Y21">
        <v>8</v>
      </c>
      <c r="Z21" s="5">
        <v>0.5633187772925764</v>
      </c>
      <c r="AA21" s="5">
        <v>0.58371040723981904</v>
      </c>
    </row>
    <row r="22" spans="1:27" x14ac:dyDescent="0.25">
      <c r="A22" t="s">
        <v>47</v>
      </c>
      <c r="B22">
        <v>5.9999999999999995E-4</v>
      </c>
      <c r="C22">
        <v>5.0000000000000001E-4</v>
      </c>
      <c r="D22">
        <v>229</v>
      </c>
      <c r="E22" s="3">
        <v>8088.240000000168</v>
      </c>
      <c r="F22" s="3">
        <v>253269.86593886462</v>
      </c>
      <c r="G22" s="3">
        <v>800217.25</v>
      </c>
      <c r="H22" s="27">
        <v>55815.907366375555</v>
      </c>
      <c r="I22" s="3">
        <v>121002.14324000002</v>
      </c>
      <c r="J22" s="3">
        <v>121064.54014600001</v>
      </c>
      <c r="K22" s="3">
        <v>154054.67385000002</v>
      </c>
      <c r="L22" s="7">
        <v>3.5142735791084595E-2</v>
      </c>
      <c r="M22" s="23">
        <v>0.15946342902050187</v>
      </c>
      <c r="N22" s="7">
        <v>7.3557341582612901E-2</v>
      </c>
      <c r="O22" s="7">
        <v>5.7775566038322665E-2</v>
      </c>
      <c r="P22" s="9">
        <v>4.6369163754806824</v>
      </c>
      <c r="Q22" s="9">
        <v>4.1791648559723713</v>
      </c>
      <c r="R22" s="3">
        <v>-487.5000000000141</v>
      </c>
      <c r="S22" s="7">
        <v>-8.7340692466049974E-3</v>
      </c>
      <c r="T22" s="9">
        <v>18.257632784682418</v>
      </c>
      <c r="U22">
        <v>179</v>
      </c>
      <c r="V22" s="5">
        <v>0.78165938864628826</v>
      </c>
      <c r="W22">
        <v>119</v>
      </c>
      <c r="X22">
        <v>97</v>
      </c>
      <c r="Y22">
        <v>13</v>
      </c>
      <c r="Z22" s="5">
        <v>0.51965065502183405</v>
      </c>
      <c r="AA22" s="5">
        <v>0.55092592592592593</v>
      </c>
    </row>
    <row r="23" spans="1:27" x14ac:dyDescent="0.25">
      <c r="A23" t="s">
        <v>48</v>
      </c>
      <c r="B23">
        <v>5.9999999999999995E-4</v>
      </c>
      <c r="C23">
        <v>5.9999999999999995E-4</v>
      </c>
      <c r="D23">
        <v>229</v>
      </c>
      <c r="E23" s="3">
        <v>7172.9500000001999</v>
      </c>
      <c r="F23" s="3">
        <v>236676.10851528382</v>
      </c>
      <c r="G23" s="3">
        <v>800217.25</v>
      </c>
      <c r="H23" s="27">
        <v>52309.387633406113</v>
      </c>
      <c r="I23" s="3">
        <v>120996.27144000001</v>
      </c>
      <c r="J23" s="3">
        <v>121054.329132</v>
      </c>
      <c r="K23" s="3">
        <v>154054.67385000002</v>
      </c>
      <c r="L23" s="7">
        <v>3.3350967877971968E-2</v>
      </c>
      <c r="M23" s="23">
        <v>0.15089791048396303</v>
      </c>
      <c r="N23" s="7">
        <v>6.5236533313266856E-2</v>
      </c>
      <c r="O23" s="7">
        <v>5.1237506109436601E-2</v>
      </c>
      <c r="P23" s="9">
        <v>4.2315443376968895</v>
      </c>
      <c r="Q23" s="9">
        <v>3.9823896186043011</v>
      </c>
      <c r="R23" s="3">
        <v>-487.5000000000141</v>
      </c>
      <c r="S23" s="7">
        <v>-9.3195508885805453E-3</v>
      </c>
      <c r="T23" s="9">
        <v>16.191543164259301</v>
      </c>
      <c r="U23">
        <v>173</v>
      </c>
      <c r="V23" s="5">
        <v>0.75545851528384278</v>
      </c>
      <c r="W23">
        <v>114</v>
      </c>
      <c r="X23">
        <v>101</v>
      </c>
      <c r="Y23">
        <v>14</v>
      </c>
      <c r="Z23" s="5">
        <v>0.49781659388646288</v>
      </c>
      <c r="AA23" s="5">
        <v>0.53023255813953485</v>
      </c>
    </row>
    <row r="24" spans="1:27" s="12" customFormat="1" x14ac:dyDescent="0.25">
      <c r="A24" s="12" t="s">
        <v>49</v>
      </c>
      <c r="B24" s="12">
        <v>6.9999999999999999E-4</v>
      </c>
      <c r="C24" s="12">
        <v>1E-4</v>
      </c>
      <c r="D24" s="12">
        <v>229</v>
      </c>
      <c r="E24" s="13">
        <v>8059.429999999943</v>
      </c>
      <c r="F24" s="13">
        <v>337989.13943231443</v>
      </c>
      <c r="G24" s="13">
        <v>800239.74</v>
      </c>
      <c r="H24" s="29">
        <v>73541.259415502194</v>
      </c>
      <c r="I24" s="13">
        <v>121035.41956000001</v>
      </c>
      <c r="J24" s="13">
        <v>121060.114208</v>
      </c>
      <c r="K24" s="13">
        <v>154054.67385000002</v>
      </c>
      <c r="L24" s="14">
        <v>2.624016977777105E-2</v>
      </c>
      <c r="M24" s="25">
        <v>0.12059750502283532</v>
      </c>
      <c r="N24" s="14">
        <v>7.3275182041651454E-2</v>
      </c>
      <c r="O24" s="14">
        <v>5.7569771692757121E-2</v>
      </c>
      <c r="P24" s="15">
        <v>4.3012070661031707</v>
      </c>
      <c r="Q24" s="15">
        <v>4.1159530083735385</v>
      </c>
      <c r="R24" s="13">
        <v>-609.69500000000789</v>
      </c>
      <c r="S24" s="14">
        <v>-8.2905161652900208E-3</v>
      </c>
      <c r="T24" s="15">
        <v>14.546441092261782</v>
      </c>
      <c r="U24" s="12">
        <v>203</v>
      </c>
      <c r="V24" s="16">
        <v>0.88646288209606983</v>
      </c>
      <c r="W24" s="12">
        <v>133</v>
      </c>
      <c r="X24" s="12">
        <v>95</v>
      </c>
      <c r="Y24" s="12">
        <v>1</v>
      </c>
      <c r="Z24" s="16">
        <v>0.58078602620087338</v>
      </c>
      <c r="AA24" s="16">
        <v>0.58333333333333337</v>
      </c>
    </row>
    <row r="25" spans="1:27" x14ac:dyDescent="0.25">
      <c r="A25" t="s">
        <v>50</v>
      </c>
      <c r="B25">
        <v>6.9999999999999999E-4</v>
      </c>
      <c r="C25">
        <v>2.0000000000000001E-4</v>
      </c>
      <c r="D25">
        <v>229</v>
      </c>
      <c r="E25" s="3">
        <v>8435.4700000001176</v>
      </c>
      <c r="F25" s="3">
        <v>276851.81244541483</v>
      </c>
      <c r="G25" s="3">
        <v>800217.25</v>
      </c>
      <c r="H25" s="27">
        <v>62204.67054519651</v>
      </c>
      <c r="I25" s="3">
        <v>121016.18979999999</v>
      </c>
      <c r="J25" s="3">
        <v>121055.947518</v>
      </c>
      <c r="K25" s="3">
        <v>154054.67385000002</v>
      </c>
      <c r="L25" s="7">
        <v>3.3529491930575868E-2</v>
      </c>
      <c r="M25" s="23">
        <v>0.149228354237633</v>
      </c>
      <c r="N25" s="7">
        <v>7.6706270679114077E-2</v>
      </c>
      <c r="O25" s="7">
        <v>6.0255884351760866E-2</v>
      </c>
      <c r="P25" s="9">
        <v>4.5887027447769544</v>
      </c>
      <c r="Q25" s="9">
        <v>5.5811470371534089</v>
      </c>
      <c r="R25" s="3">
        <v>-609.69500000000789</v>
      </c>
      <c r="S25" s="7">
        <v>-9.8014344366154516E-3</v>
      </c>
      <c r="T25" s="9">
        <v>15.225154563107324</v>
      </c>
      <c r="U25">
        <v>190</v>
      </c>
      <c r="V25" s="5">
        <v>0.82969432314410485</v>
      </c>
      <c r="W25">
        <v>131</v>
      </c>
      <c r="X25">
        <v>94</v>
      </c>
      <c r="Y25">
        <v>4</v>
      </c>
      <c r="Z25" s="5">
        <v>0.57205240174672489</v>
      </c>
      <c r="AA25" s="5">
        <v>0.5822222222222222</v>
      </c>
    </row>
    <row r="26" spans="1:27" x14ac:dyDescent="0.25">
      <c r="A26" t="s">
        <v>51</v>
      </c>
      <c r="B26">
        <v>6.9999999999999999E-4</v>
      </c>
      <c r="C26">
        <v>2.9999999999999997E-4</v>
      </c>
      <c r="D26">
        <v>229</v>
      </c>
      <c r="E26" s="3">
        <v>8360.450000000088</v>
      </c>
      <c r="F26" s="3">
        <v>248029.08091703057</v>
      </c>
      <c r="G26" s="3">
        <v>800217.25</v>
      </c>
      <c r="H26" s="27">
        <v>55815.647091484716</v>
      </c>
      <c r="I26" s="3">
        <v>120991.50349000002</v>
      </c>
      <c r="J26" s="3">
        <v>121055.947518</v>
      </c>
      <c r="K26" s="3">
        <v>154054.67385000002</v>
      </c>
      <c r="L26" s="7">
        <v>3.7093012712513612E-2</v>
      </c>
      <c r="M26" s="23">
        <v>0.16483094492211062</v>
      </c>
      <c r="N26" s="7">
        <v>7.6039602667544962E-2</v>
      </c>
      <c r="O26" s="7">
        <v>5.9720004733426535E-2</v>
      </c>
      <c r="P26" s="9">
        <v>4.6112951007777712</v>
      </c>
      <c r="Q26" s="9">
        <v>5.7048706162706155</v>
      </c>
      <c r="R26" s="3">
        <v>-609.69500000000789</v>
      </c>
      <c r="S26" s="7">
        <v>-1.0923370627607102E-2</v>
      </c>
      <c r="T26" s="9">
        <v>15.089751189575709</v>
      </c>
      <c r="U26">
        <v>179</v>
      </c>
      <c r="V26" s="5">
        <v>0.78165938864628826</v>
      </c>
      <c r="W26">
        <v>123</v>
      </c>
      <c r="X26">
        <v>90</v>
      </c>
      <c r="Y26">
        <v>16</v>
      </c>
      <c r="Z26" s="5">
        <v>0.53711790393013104</v>
      </c>
      <c r="AA26" s="5">
        <v>0.57746478873239437</v>
      </c>
    </row>
    <row r="27" spans="1:27" x14ac:dyDescent="0.25">
      <c r="A27" t="s">
        <v>52</v>
      </c>
      <c r="B27">
        <v>6.9999999999999999E-4</v>
      </c>
      <c r="C27">
        <v>4.0000000000000002E-4</v>
      </c>
      <c r="D27">
        <v>229</v>
      </c>
      <c r="E27" s="3">
        <v>8500.5800000000727</v>
      </c>
      <c r="F27" s="3">
        <v>235802.39628820959</v>
      </c>
      <c r="G27" s="3">
        <v>800217.25</v>
      </c>
      <c r="H27" s="27">
        <v>53318.058653930129</v>
      </c>
      <c r="I27" s="3">
        <v>120989.41547000002</v>
      </c>
      <c r="J27" s="3">
        <v>121055.947518</v>
      </c>
      <c r="K27" s="3">
        <v>154054.67385000002</v>
      </c>
      <c r="L27" s="7">
        <v>3.9670292545436414E-2</v>
      </c>
      <c r="M27" s="23">
        <v>0.17544431061123572</v>
      </c>
      <c r="N27" s="7">
        <v>7.7315441250211378E-2</v>
      </c>
      <c r="O27" s="7">
        <v>6.0720975286841006E-2</v>
      </c>
      <c r="P27" s="9">
        <v>4.7115303675004281</v>
      </c>
      <c r="Q27" s="9">
        <v>5.8295636202451551</v>
      </c>
      <c r="R27" s="3">
        <v>-609.69500000000789</v>
      </c>
      <c r="S27" s="7">
        <v>-1.1435056252841769E-2</v>
      </c>
      <c r="T27" s="9">
        <v>15.342671407290663</v>
      </c>
      <c r="U27">
        <v>173</v>
      </c>
      <c r="V27" s="5">
        <v>0.75545851528384278</v>
      </c>
      <c r="W27">
        <v>121</v>
      </c>
      <c r="X27">
        <v>88</v>
      </c>
      <c r="Y27">
        <v>20</v>
      </c>
      <c r="Z27" s="5">
        <v>0.52838427947598254</v>
      </c>
      <c r="AA27" s="5">
        <v>0.57894736842105265</v>
      </c>
    </row>
    <row r="28" spans="1:27" x14ac:dyDescent="0.25">
      <c r="A28" t="s">
        <v>53</v>
      </c>
      <c r="B28">
        <v>6.9999999999999999E-4</v>
      </c>
      <c r="C28">
        <v>5.0000000000000001E-4</v>
      </c>
      <c r="D28">
        <v>229</v>
      </c>
      <c r="E28" s="3">
        <v>7989.2400000001071</v>
      </c>
      <c r="F28" s="3">
        <v>212222.25716157205</v>
      </c>
      <c r="G28" s="3">
        <v>800217.25</v>
      </c>
      <c r="H28" s="27">
        <v>48178.574805895209</v>
      </c>
      <c r="I28" s="3">
        <v>120972.02458</v>
      </c>
      <c r="J28" s="3">
        <v>121055.947518</v>
      </c>
      <c r="K28" s="3">
        <v>154054.67385000002</v>
      </c>
      <c r="L28" s="7">
        <v>4.1426629179607856E-2</v>
      </c>
      <c r="M28" s="23">
        <v>0.18248054838716526</v>
      </c>
      <c r="N28" s="7">
        <v>7.2675089812007015E-2</v>
      </c>
      <c r="O28" s="7">
        <v>5.7068393521459003E-2</v>
      </c>
      <c r="P28" s="9">
        <v>4.5797410356712991</v>
      </c>
      <c r="Q28" s="9">
        <v>4.5973651199306378</v>
      </c>
      <c r="R28" s="3">
        <v>-487.5000000000141</v>
      </c>
      <c r="S28" s="7">
        <v>-1.0118605665777453E-2</v>
      </c>
      <c r="T28" s="9">
        <v>18.034159489418599</v>
      </c>
      <c r="U28">
        <v>163</v>
      </c>
      <c r="V28" s="5">
        <v>0.71179039301310043</v>
      </c>
      <c r="W28">
        <v>111</v>
      </c>
      <c r="X28">
        <v>94</v>
      </c>
      <c r="Y28">
        <v>24</v>
      </c>
      <c r="Z28" s="5">
        <v>0.48471615720524019</v>
      </c>
      <c r="AA28" s="5">
        <v>0.54146341463414638</v>
      </c>
    </row>
    <row r="29" spans="1:27" x14ac:dyDescent="0.25">
      <c r="A29" t="s">
        <v>54</v>
      </c>
      <c r="B29">
        <v>6.9999999999999999E-4</v>
      </c>
      <c r="C29">
        <v>5.9999999999999995E-4</v>
      </c>
      <c r="D29">
        <v>229</v>
      </c>
      <c r="E29" s="3">
        <v>7331.9100000001299</v>
      </c>
      <c r="F29" s="3">
        <v>199121.96995633189</v>
      </c>
      <c r="G29" s="3">
        <v>800217.25</v>
      </c>
      <c r="H29" s="27">
        <v>45344.572371615723</v>
      </c>
      <c r="I29" s="3">
        <v>120971.97596000001</v>
      </c>
      <c r="J29" s="3">
        <v>121055.947518</v>
      </c>
      <c r="K29" s="3">
        <v>154054.67385000002</v>
      </c>
      <c r="L29" s="7">
        <v>4.0519399788949098E-2</v>
      </c>
      <c r="M29" s="23">
        <v>0.17793315242452759</v>
      </c>
      <c r="N29" s="7">
        <v>6.6695634616165553E-2</v>
      </c>
      <c r="O29" s="7">
        <v>5.2372982304189415E-2</v>
      </c>
      <c r="P29" s="9">
        <v>4.3519573552902298</v>
      </c>
      <c r="Q29" s="9">
        <v>4.5686103890424423</v>
      </c>
      <c r="R29" s="3">
        <v>-487.5000000000141</v>
      </c>
      <c r="S29" s="7">
        <v>-1.0751011080328851E-2</v>
      </c>
      <c r="T29" s="9">
        <v>16.550364528048185</v>
      </c>
      <c r="U29">
        <v>156</v>
      </c>
      <c r="V29" s="5">
        <v>0.68122270742358082</v>
      </c>
      <c r="W29">
        <v>107</v>
      </c>
      <c r="X29">
        <v>93</v>
      </c>
      <c r="Y29">
        <v>29</v>
      </c>
      <c r="Z29" s="5">
        <v>0.46724890829694321</v>
      </c>
      <c r="AA29" s="5">
        <v>0.53500000000000003</v>
      </c>
    </row>
    <row r="30" spans="1:27" x14ac:dyDescent="0.25">
      <c r="A30" t="s">
        <v>55</v>
      </c>
      <c r="B30">
        <v>6.9999999999999999E-4</v>
      </c>
      <c r="C30">
        <v>6.9999999999999999E-4</v>
      </c>
      <c r="D30">
        <v>229</v>
      </c>
      <c r="E30" s="3">
        <v>6884.4300000001258</v>
      </c>
      <c r="F30" s="3">
        <v>182526.95855895197</v>
      </c>
      <c r="G30" s="3">
        <v>800217.25</v>
      </c>
      <c r="H30" s="27">
        <v>41453.485788864629</v>
      </c>
      <c r="I30" s="3">
        <v>107782.16261999983</v>
      </c>
      <c r="J30" s="3">
        <v>121038.629558</v>
      </c>
      <c r="K30" s="3">
        <v>154054.67385000002</v>
      </c>
      <c r="L30" s="7">
        <v>4.150553628418318E-2</v>
      </c>
      <c r="M30" s="23">
        <v>0.18275614600654985</v>
      </c>
      <c r="N30" s="7">
        <v>7.0288803983456327E-2</v>
      </c>
      <c r="O30" s="7">
        <v>4.91765625279676E-2</v>
      </c>
      <c r="P30" s="9">
        <v>4.1374628765074739</v>
      </c>
      <c r="Q30" s="9">
        <v>4.3738366107119981</v>
      </c>
      <c r="R30" s="3">
        <v>-487.5000000000141</v>
      </c>
      <c r="S30" s="7">
        <v>-1.1760169035795969E-2</v>
      </c>
      <c r="T30" s="9">
        <v>15.540265233456338</v>
      </c>
      <c r="U30">
        <v>144</v>
      </c>
      <c r="V30" s="5">
        <v>0.62882096069868998</v>
      </c>
      <c r="W30">
        <v>98</v>
      </c>
      <c r="X30">
        <v>94</v>
      </c>
      <c r="Y30">
        <v>37</v>
      </c>
      <c r="Z30" s="5">
        <v>0.42794759825327511</v>
      </c>
      <c r="AA30" s="5">
        <v>0.51041666666666663</v>
      </c>
    </row>
    <row r="31" spans="1:27" s="12" customFormat="1" x14ac:dyDescent="0.25">
      <c r="A31" s="12" t="s">
        <v>56</v>
      </c>
      <c r="B31" s="12">
        <v>8.0000000000000004E-4</v>
      </c>
      <c r="C31" s="12">
        <v>1E-4</v>
      </c>
      <c r="D31" s="12">
        <v>229</v>
      </c>
      <c r="E31" s="13">
        <v>8335.4199999999</v>
      </c>
      <c r="F31" s="13">
        <v>294316.33213973802</v>
      </c>
      <c r="G31" s="13">
        <v>600314.75</v>
      </c>
      <c r="H31" s="29">
        <v>65278.589180786032</v>
      </c>
      <c r="I31" s="13">
        <v>121026.55389000001</v>
      </c>
      <c r="J31" s="13">
        <v>121045.793726</v>
      </c>
      <c r="K31" s="13">
        <v>121059.125</v>
      </c>
      <c r="L31" s="14">
        <v>3.1165793127111353E-2</v>
      </c>
      <c r="M31" s="25">
        <v>0.14051470836776472</v>
      </c>
      <c r="N31" s="14">
        <v>7.5789995059548407E-2</v>
      </c>
      <c r="O31" s="14">
        <v>7.5769603665954713E-2</v>
      </c>
      <c r="P31" s="15">
        <v>4.6148918487815438</v>
      </c>
      <c r="Q31" s="15">
        <v>4.9268917628211772</v>
      </c>
      <c r="R31" s="13">
        <v>-598.67500000000064</v>
      </c>
      <c r="S31" s="14">
        <v>-9.1710774928360963E-3</v>
      </c>
      <c r="T31" s="15">
        <v>15.321504858892155</v>
      </c>
      <c r="U31" s="12">
        <v>189</v>
      </c>
      <c r="V31" s="16">
        <v>0.8253275109170306</v>
      </c>
      <c r="W31" s="12">
        <v>128</v>
      </c>
      <c r="X31" s="12">
        <v>92</v>
      </c>
      <c r="Y31" s="12">
        <v>9</v>
      </c>
      <c r="Z31" s="16">
        <v>0.55895196506550215</v>
      </c>
      <c r="AA31" s="16">
        <v>0.58181818181818179</v>
      </c>
    </row>
    <row r="32" spans="1:27" x14ac:dyDescent="0.25">
      <c r="A32" t="s">
        <v>57</v>
      </c>
      <c r="B32">
        <v>8.0000000000000004E-4</v>
      </c>
      <c r="C32">
        <v>2.0000000000000001E-4</v>
      </c>
      <c r="D32">
        <v>229</v>
      </c>
      <c r="E32" s="3">
        <v>8587.0600000000813</v>
      </c>
      <c r="F32" s="3">
        <v>236676.48519650655</v>
      </c>
      <c r="G32" s="3">
        <v>600314.75</v>
      </c>
      <c r="H32" s="27">
        <v>54711.206905458523</v>
      </c>
      <c r="I32" s="3">
        <v>120987.07148000001</v>
      </c>
      <c r="J32" s="3">
        <v>121042.23516000001</v>
      </c>
      <c r="K32" s="3">
        <v>121057.06525</v>
      </c>
      <c r="L32" s="7">
        <v>3.9925875187873675E-2</v>
      </c>
      <c r="M32" s="23">
        <v>0.17271627409333526</v>
      </c>
      <c r="N32" s="7">
        <v>7.8103517113582016E-2</v>
      </c>
      <c r="O32" s="7">
        <v>7.8058358579449802E-2</v>
      </c>
      <c r="P32" s="9">
        <v>4.8413286062872993</v>
      </c>
      <c r="Q32" s="9">
        <v>5.8595227794583948</v>
      </c>
      <c r="R32" s="3">
        <v>-609.69500000000789</v>
      </c>
      <c r="S32" s="7">
        <v>-1.1143877726067468E-2</v>
      </c>
      <c r="T32" s="9">
        <v>15.498758900532609</v>
      </c>
      <c r="U32">
        <v>177</v>
      </c>
      <c r="V32" s="5">
        <v>0.77292576419213976</v>
      </c>
      <c r="W32">
        <v>126</v>
      </c>
      <c r="X32">
        <v>88</v>
      </c>
      <c r="Y32">
        <v>15</v>
      </c>
      <c r="Z32" s="5">
        <v>0.55021834061135366</v>
      </c>
      <c r="AA32" s="5">
        <v>0.58878504672897192</v>
      </c>
    </row>
    <row r="33" spans="1:27" x14ac:dyDescent="0.25">
      <c r="A33" t="s">
        <v>58</v>
      </c>
      <c r="B33">
        <v>8.0000000000000004E-4</v>
      </c>
      <c r="C33">
        <v>2.9999999999999997E-4</v>
      </c>
      <c r="D33">
        <v>229</v>
      </c>
      <c r="E33" s="3">
        <v>8443.8300000000527</v>
      </c>
      <c r="F33" s="3">
        <v>206110.02445414846</v>
      </c>
      <c r="G33" s="3">
        <v>600314.75</v>
      </c>
      <c r="H33" s="27">
        <v>47458.177127510928</v>
      </c>
      <c r="I33" s="3">
        <v>120940.3316</v>
      </c>
      <c r="J33" s="3">
        <v>121042.23516000001</v>
      </c>
      <c r="K33" s="3">
        <v>121057.06525</v>
      </c>
      <c r="L33" s="7">
        <v>4.5082233562472276E-2</v>
      </c>
      <c r="M33" s="23">
        <v>0.19579134354535482</v>
      </c>
      <c r="N33" s="7">
        <v>7.6830451339764572E-2</v>
      </c>
      <c r="O33" s="7">
        <v>7.6756364800515356E-2</v>
      </c>
      <c r="P33" s="9">
        <v>4.8212931003788633</v>
      </c>
      <c r="Q33" s="9">
        <v>5.8593209612350927</v>
      </c>
      <c r="R33" s="3">
        <v>-609.69500000000789</v>
      </c>
      <c r="S33" s="7">
        <v>-1.2846995752952658E-2</v>
      </c>
      <c r="T33" s="9">
        <v>15.240243502093133</v>
      </c>
      <c r="U33">
        <v>157</v>
      </c>
      <c r="V33" s="5">
        <v>0.68558951965065507</v>
      </c>
      <c r="W33">
        <v>114</v>
      </c>
      <c r="X33">
        <v>78</v>
      </c>
      <c r="Y33">
        <v>37</v>
      </c>
      <c r="Z33" s="5">
        <v>0.49781659388646288</v>
      </c>
      <c r="AA33" s="5">
        <v>0.59375</v>
      </c>
    </row>
    <row r="34" spans="1:27" x14ac:dyDescent="0.25">
      <c r="A34" t="s">
        <v>59</v>
      </c>
      <c r="B34">
        <v>8.0000000000000004E-4</v>
      </c>
      <c r="C34">
        <v>4.0000000000000002E-4</v>
      </c>
      <c r="D34">
        <v>229</v>
      </c>
      <c r="E34" s="3">
        <v>8522.8100000000304</v>
      </c>
      <c r="F34" s="3">
        <v>196503.14873362446</v>
      </c>
      <c r="G34" s="3">
        <v>600314.75</v>
      </c>
      <c r="H34" s="27">
        <v>45488.930962882099</v>
      </c>
      <c r="I34" s="3">
        <v>120932.00086</v>
      </c>
      <c r="J34" s="3">
        <v>121042.23516000001</v>
      </c>
      <c r="K34" s="3">
        <v>121057.06525</v>
      </c>
      <c r="L34" s="7">
        <v>4.772856217080499E-2</v>
      </c>
      <c r="M34" s="23">
        <v>0.2061779108140534</v>
      </c>
      <c r="N34" s="7">
        <v>7.7554432940784276E-2</v>
      </c>
      <c r="O34" s="7">
        <v>7.7474311240927241E-2</v>
      </c>
      <c r="P34" s="9">
        <v>4.8854021212552894</v>
      </c>
      <c r="Q34" s="9">
        <v>5.9104327425151251</v>
      </c>
      <c r="R34" s="3">
        <v>-609.69500000000789</v>
      </c>
      <c r="S34" s="7">
        <v>-1.3403150768645337E-2</v>
      </c>
      <c r="T34" s="9">
        <v>15.382794267775882</v>
      </c>
      <c r="U34">
        <v>152</v>
      </c>
      <c r="V34" s="5">
        <v>0.66375545851528384</v>
      </c>
      <c r="W34">
        <v>112</v>
      </c>
      <c r="X34">
        <v>76</v>
      </c>
      <c r="Y34">
        <v>41</v>
      </c>
      <c r="Z34" s="5">
        <v>0.48908296943231439</v>
      </c>
      <c r="AA34" s="5">
        <v>0.5957446808510638</v>
      </c>
    </row>
    <row r="35" spans="1:27" x14ac:dyDescent="0.25">
      <c r="A35" t="s">
        <v>60</v>
      </c>
      <c r="B35">
        <v>8.0000000000000004E-4</v>
      </c>
      <c r="C35">
        <v>5.0000000000000001E-4</v>
      </c>
      <c r="D35">
        <v>229</v>
      </c>
      <c r="E35" s="3">
        <v>8296.2100000000864</v>
      </c>
      <c r="F35" s="3">
        <v>176415.38716157203</v>
      </c>
      <c r="G35" s="3">
        <v>600314.75</v>
      </c>
      <c r="H35" s="27">
        <v>40925.600724454147</v>
      </c>
      <c r="I35" s="3">
        <v>88046.617340000012</v>
      </c>
      <c r="J35" s="3">
        <v>121041.26773200001</v>
      </c>
      <c r="K35" s="3">
        <v>121057.06525</v>
      </c>
      <c r="L35" s="7">
        <v>5.1749759167920087E-2</v>
      </c>
      <c r="M35" s="23">
        <v>0.22307439933732331</v>
      </c>
      <c r="N35" s="7">
        <v>0.10368886477344742</v>
      </c>
      <c r="O35" s="7">
        <v>7.5414464907712059E-2</v>
      </c>
      <c r="P35" s="9">
        <v>4.9444390608652453</v>
      </c>
      <c r="Q35" s="9">
        <v>4.9704380786955973</v>
      </c>
      <c r="R35" s="3">
        <v>-487.5000000000141</v>
      </c>
      <c r="S35" s="7">
        <v>-1.1911859358700134E-2</v>
      </c>
      <c r="T35" s="9">
        <v>18.72708471615686</v>
      </c>
      <c r="U35">
        <v>141</v>
      </c>
      <c r="V35" s="5">
        <v>0.61572052401746724</v>
      </c>
      <c r="W35">
        <v>103</v>
      </c>
      <c r="X35">
        <v>77</v>
      </c>
      <c r="Y35">
        <v>49</v>
      </c>
      <c r="Z35" s="5">
        <v>0.44978165938864628</v>
      </c>
      <c r="AA35" s="5">
        <v>0.57222222222222219</v>
      </c>
    </row>
    <row r="36" spans="1:27" x14ac:dyDescent="0.25">
      <c r="A36" t="s">
        <v>61</v>
      </c>
      <c r="B36">
        <v>8.0000000000000004E-4</v>
      </c>
      <c r="C36">
        <v>5.9999999999999995E-4</v>
      </c>
      <c r="D36">
        <v>229</v>
      </c>
      <c r="E36" s="3">
        <v>7651.490000000098</v>
      </c>
      <c r="F36" s="3">
        <v>165934.08144104804</v>
      </c>
      <c r="G36" s="3">
        <v>600314.75</v>
      </c>
      <c r="H36" s="27">
        <v>38715.766126419221</v>
      </c>
      <c r="I36" s="3">
        <v>88046.513940000004</v>
      </c>
      <c r="J36" s="3">
        <v>121041.26773200001</v>
      </c>
      <c r="K36" s="3">
        <v>121057.06525</v>
      </c>
      <c r="L36" s="7">
        <v>5.0742922664746462E-2</v>
      </c>
      <c r="M36" s="23">
        <v>0.21748194868506393</v>
      </c>
      <c r="N36" s="7">
        <v>9.563104642333374E-2</v>
      </c>
      <c r="O36" s="7">
        <v>6.9553811209782657E-2</v>
      </c>
      <c r="P36" s="9">
        <v>4.6588102621563463</v>
      </c>
      <c r="Q36" s="9">
        <v>4.9570197861362493</v>
      </c>
      <c r="R36" s="3">
        <v>-487.5000000000141</v>
      </c>
      <c r="S36" s="7">
        <v>-1.2591769420451928E-2</v>
      </c>
      <c r="T36" s="9">
        <v>17.27175438360738</v>
      </c>
      <c r="U36">
        <v>133</v>
      </c>
      <c r="V36" s="5">
        <v>0.58078602620087338</v>
      </c>
      <c r="W36">
        <v>98</v>
      </c>
      <c r="X36">
        <v>78</v>
      </c>
      <c r="Y36">
        <v>53</v>
      </c>
      <c r="Z36" s="5">
        <v>0.42794759825327511</v>
      </c>
      <c r="AA36" s="5">
        <v>0.55681818181818177</v>
      </c>
    </row>
    <row r="37" spans="1:27" x14ac:dyDescent="0.25">
      <c r="A37" t="s">
        <v>62</v>
      </c>
      <c r="B37">
        <v>8.0000000000000004E-4</v>
      </c>
      <c r="C37">
        <v>6.9999999999999999E-4</v>
      </c>
      <c r="D37">
        <v>229</v>
      </c>
      <c r="E37" s="3">
        <v>7224.1300000000938</v>
      </c>
      <c r="F37" s="3">
        <v>152834.13406113538</v>
      </c>
      <c r="G37" s="3">
        <v>600158.43000000005</v>
      </c>
      <c r="H37" s="27">
        <v>35497.515241921399</v>
      </c>
      <c r="I37" s="3">
        <v>88036.904450000002</v>
      </c>
      <c r="J37" s="3">
        <v>121033.870826</v>
      </c>
      <c r="K37" s="3">
        <v>121057.06525</v>
      </c>
      <c r="L37" s="7">
        <v>5.2015197329815938E-2</v>
      </c>
      <c r="M37" s="23">
        <v>0.22395081987409554</v>
      </c>
      <c r="N37" s="7">
        <v>9.029960437144266E-2</v>
      </c>
      <c r="O37" s="7">
        <v>6.5669010111093037E-2</v>
      </c>
      <c r="P37" s="9">
        <v>4.4209760904060502</v>
      </c>
      <c r="Q37" s="9">
        <v>4.8375881062945503</v>
      </c>
      <c r="R37" s="3">
        <v>-487.5000000000141</v>
      </c>
      <c r="S37" s="7">
        <v>-1.3733355607501581E-2</v>
      </c>
      <c r="T37" s="9">
        <v>16.307072085992349</v>
      </c>
      <c r="U37">
        <v>123</v>
      </c>
      <c r="V37" s="5">
        <v>0.53711790393013104</v>
      </c>
      <c r="W37">
        <v>92</v>
      </c>
      <c r="X37">
        <v>77</v>
      </c>
      <c r="Y37">
        <v>60</v>
      </c>
      <c r="Z37" s="5">
        <v>0.40174672489082969</v>
      </c>
      <c r="AA37" s="5">
        <v>0.54437869822485208</v>
      </c>
    </row>
    <row r="38" spans="1:27" x14ac:dyDescent="0.25">
      <c r="A38" t="s">
        <v>63</v>
      </c>
      <c r="B38">
        <v>8.0000000000000004E-4</v>
      </c>
      <c r="C38">
        <v>8.0000000000000004E-4</v>
      </c>
      <c r="D38">
        <v>229</v>
      </c>
      <c r="E38" s="3">
        <v>6652.9100000000835</v>
      </c>
      <c r="F38" s="3">
        <v>147594.338209607</v>
      </c>
      <c r="G38" s="3">
        <v>600158.43000000005</v>
      </c>
      <c r="H38" s="27">
        <v>34344.747153930133</v>
      </c>
      <c r="I38" s="3">
        <v>88032.045420000009</v>
      </c>
      <c r="J38" s="3">
        <v>121033.870826</v>
      </c>
      <c r="K38" s="3">
        <v>121057.06525</v>
      </c>
      <c r="L38" s="7">
        <v>4.9602893238874381E-2</v>
      </c>
      <c r="M38" s="23">
        <v>0.21316523799289891</v>
      </c>
      <c r="N38" s="7">
        <v>8.316410422982369E-2</v>
      </c>
      <c r="O38" s="7">
        <v>6.0476488387970852E-2</v>
      </c>
      <c r="P38" s="9">
        <v>4.1616544585067139</v>
      </c>
      <c r="Q38" s="9">
        <v>4.6343855505664022</v>
      </c>
      <c r="R38" s="3">
        <v>-487.5000000000141</v>
      </c>
      <c r="S38" s="7">
        <v>-1.4194310350141232E-2</v>
      </c>
      <c r="T38" s="9">
        <v>15.01765374538101</v>
      </c>
      <c r="U38">
        <v>120</v>
      </c>
      <c r="V38" s="5">
        <v>0.5240174672489083</v>
      </c>
      <c r="W38">
        <v>89</v>
      </c>
      <c r="X38">
        <v>78</v>
      </c>
      <c r="Y38">
        <v>62</v>
      </c>
      <c r="Z38" s="5">
        <v>0.388646288209607</v>
      </c>
      <c r="AA38" s="5">
        <v>0.53293413173652693</v>
      </c>
    </row>
    <row r="39" spans="1:27" s="12" customFormat="1" x14ac:dyDescent="0.25">
      <c r="A39" s="12" t="s">
        <v>64</v>
      </c>
      <c r="B39" s="12">
        <v>8.9999999999999998E-4</v>
      </c>
      <c r="C39" s="12">
        <v>1E-4</v>
      </c>
      <c r="D39" s="12">
        <v>229</v>
      </c>
      <c r="E39" s="13">
        <v>7682.8749999998981</v>
      </c>
      <c r="F39" s="13">
        <v>250649.19510917028</v>
      </c>
      <c r="G39" s="13">
        <v>600314.75</v>
      </c>
      <c r="H39" s="29">
        <v>57785.271946724897</v>
      </c>
      <c r="I39" s="13">
        <v>120932.00086</v>
      </c>
      <c r="J39" s="13">
        <v>121041.30962</v>
      </c>
      <c r="K39" s="13">
        <v>121057.06525</v>
      </c>
      <c r="L39" s="14">
        <v>3.3730479220435677E-2</v>
      </c>
      <c r="M39" s="25">
        <v>0.14630920963811392</v>
      </c>
      <c r="N39" s="14">
        <v>6.991133370096457E-2</v>
      </c>
      <c r="O39" s="14">
        <v>6.9839108108139064E-2</v>
      </c>
      <c r="P39" s="15">
        <v>4.4538430458722775</v>
      </c>
      <c r="Q39" s="15">
        <v>5.2608774136189487</v>
      </c>
      <c r="R39" s="13">
        <v>-609.69500000000789</v>
      </c>
      <c r="S39" s="14">
        <v>-1.0551044919579438E-2</v>
      </c>
      <c r="T39" s="15">
        <v>13.86679809945741</v>
      </c>
      <c r="U39" s="12">
        <v>183</v>
      </c>
      <c r="V39" s="16">
        <v>0.79912663755458513</v>
      </c>
      <c r="W39" s="12">
        <v>126</v>
      </c>
      <c r="X39" s="12">
        <v>91</v>
      </c>
      <c r="Y39" s="12">
        <v>12</v>
      </c>
      <c r="Z39" s="16">
        <v>0.55021834061135366</v>
      </c>
      <c r="AA39" s="16">
        <v>0.58064516129032262</v>
      </c>
    </row>
    <row r="40" spans="1:27" x14ac:dyDescent="0.25">
      <c r="A40" t="s">
        <v>65</v>
      </c>
      <c r="B40">
        <v>8.9999999999999998E-4</v>
      </c>
      <c r="C40">
        <v>2.0000000000000001E-4</v>
      </c>
      <c r="D40">
        <v>229</v>
      </c>
      <c r="E40" s="3">
        <v>7557.5750000000389</v>
      </c>
      <c r="F40" s="3">
        <v>213967.63462882096</v>
      </c>
      <c r="G40" s="3">
        <v>600314.75</v>
      </c>
      <c r="H40" s="27">
        <v>50579.928273580786</v>
      </c>
      <c r="I40" s="3">
        <v>88038.308050000007</v>
      </c>
      <c r="J40" s="3">
        <v>121033.03643200001</v>
      </c>
      <c r="K40" s="3">
        <v>121057.06525</v>
      </c>
      <c r="L40" s="7">
        <v>3.8868648361323303E-2</v>
      </c>
      <c r="M40" s="23">
        <v>0.16442555446318693</v>
      </c>
      <c r="N40" s="7">
        <v>9.4466067502892506E-2</v>
      </c>
      <c r="O40" s="7">
        <v>6.8700102170135377E-2</v>
      </c>
      <c r="P40" s="9">
        <v>4.4499770808256116</v>
      </c>
      <c r="Q40" s="9">
        <v>5.8526512146446326</v>
      </c>
      <c r="R40" s="3">
        <v>-609.69500000000789</v>
      </c>
      <c r="S40" s="7">
        <v>-1.2054089849677929E-2</v>
      </c>
      <c r="T40" s="9">
        <v>13.640644504369625</v>
      </c>
      <c r="U40">
        <v>172</v>
      </c>
      <c r="V40" s="5">
        <v>0.75109170305676853</v>
      </c>
      <c r="W40">
        <v>120</v>
      </c>
      <c r="X40">
        <v>90</v>
      </c>
      <c r="Y40">
        <v>19</v>
      </c>
      <c r="Z40" s="5">
        <v>0.5240174672489083</v>
      </c>
      <c r="AA40" s="5">
        <v>0.5714285714285714</v>
      </c>
    </row>
    <row r="41" spans="1:27" x14ac:dyDescent="0.25">
      <c r="A41" t="s">
        <v>66</v>
      </c>
      <c r="B41">
        <v>8.9999999999999998E-4</v>
      </c>
      <c r="C41">
        <v>2.9999999999999997E-4</v>
      </c>
      <c r="D41">
        <v>229</v>
      </c>
      <c r="E41" s="3">
        <v>7323.5550000000167</v>
      </c>
      <c r="F41" s="3">
        <v>182527.09113537119</v>
      </c>
      <c r="G41" s="3">
        <v>600314.75</v>
      </c>
      <c r="H41" s="27">
        <v>42990.462191484723</v>
      </c>
      <c r="I41" s="3">
        <v>88032.045420000009</v>
      </c>
      <c r="J41" s="3">
        <v>121033.03643200001</v>
      </c>
      <c r="K41" s="3">
        <v>121057.06525</v>
      </c>
      <c r="L41" s="7">
        <v>4.4152944687947428E-2</v>
      </c>
      <c r="M41" s="23">
        <v>0.18746271028805736</v>
      </c>
      <c r="N41" s="7">
        <v>9.1547441849181815E-2</v>
      </c>
      <c r="O41" s="7">
        <v>6.6572806323272268E-2</v>
      </c>
      <c r="P41" s="9">
        <v>4.3963472943124264</v>
      </c>
      <c r="Q41" s="9">
        <v>5.6530065239207632</v>
      </c>
      <c r="R41" s="3">
        <v>-609.69500000000789</v>
      </c>
      <c r="S41" s="7">
        <v>-1.4182099212712638E-2</v>
      </c>
      <c r="T41" s="9">
        <v>13.218262506584242</v>
      </c>
      <c r="U41">
        <v>150</v>
      </c>
      <c r="V41" s="5">
        <v>0.65502183406113534</v>
      </c>
      <c r="W41">
        <v>107</v>
      </c>
      <c r="X41">
        <v>75</v>
      </c>
      <c r="Y41">
        <v>47</v>
      </c>
      <c r="Z41" s="5">
        <v>0.46724890829694321</v>
      </c>
      <c r="AA41" s="5">
        <v>0.58791208791208793</v>
      </c>
    </row>
    <row r="42" spans="1:27" x14ac:dyDescent="0.25">
      <c r="A42" t="s">
        <v>67</v>
      </c>
      <c r="B42">
        <v>8.9999999999999998E-4</v>
      </c>
      <c r="C42">
        <v>4.0000000000000002E-4</v>
      </c>
      <c r="D42">
        <v>229</v>
      </c>
      <c r="E42" s="3">
        <v>7247.0550000000067</v>
      </c>
      <c r="F42" s="3">
        <v>172920.25729257643</v>
      </c>
      <c r="G42" s="3">
        <v>600314.75</v>
      </c>
      <c r="H42" s="27">
        <v>40829.055055021832</v>
      </c>
      <c r="I42" s="3">
        <v>88032.045420000009</v>
      </c>
      <c r="J42" s="3">
        <v>121033.03643200001</v>
      </c>
      <c r="K42" s="3">
        <v>121057.06525</v>
      </c>
      <c r="L42" s="7">
        <v>4.6119091410701966E-2</v>
      </c>
      <c r="M42" s="23">
        <v>0.19532475444487532</v>
      </c>
      <c r="N42" s="7">
        <v>9.0591160466511347E-2</v>
      </c>
      <c r="O42" s="7">
        <v>6.5877403655615507E-2</v>
      </c>
      <c r="P42" s="9">
        <v>4.3648306564458892</v>
      </c>
      <c r="Q42" s="9">
        <v>5.7227550123145772</v>
      </c>
      <c r="R42" s="3">
        <v>-609.69500000000789</v>
      </c>
      <c r="S42" s="7">
        <v>-1.4932870701474085E-2</v>
      </c>
      <c r="T42" s="9">
        <v>13.080187885480989</v>
      </c>
      <c r="U42">
        <v>143</v>
      </c>
      <c r="V42" s="5">
        <v>0.62445414847161573</v>
      </c>
      <c r="W42">
        <v>103</v>
      </c>
      <c r="X42">
        <v>74</v>
      </c>
      <c r="Y42">
        <v>52</v>
      </c>
      <c r="Z42" s="5">
        <v>0.44978165938864628</v>
      </c>
      <c r="AA42" s="5">
        <v>0.58192090395480223</v>
      </c>
    </row>
    <row r="43" spans="1:27" x14ac:dyDescent="0.25">
      <c r="A43" t="s">
        <v>68</v>
      </c>
      <c r="B43">
        <v>8.9999999999999998E-4</v>
      </c>
      <c r="C43">
        <v>5.0000000000000001E-4</v>
      </c>
      <c r="D43">
        <v>229</v>
      </c>
      <c r="E43" s="3">
        <v>7104.1850000000568</v>
      </c>
      <c r="F43" s="3">
        <v>155452.8722270742</v>
      </c>
      <c r="G43" s="3">
        <v>600314.75</v>
      </c>
      <c r="H43" s="27">
        <v>36698.087468558966</v>
      </c>
      <c r="I43" s="3">
        <v>88028.304870000007</v>
      </c>
      <c r="J43" s="3">
        <v>121033.03643200001</v>
      </c>
      <c r="K43" s="3">
        <v>121057.06525</v>
      </c>
      <c r="L43" s="7">
        <v>5.028987661786441E-2</v>
      </c>
      <c r="M43" s="23">
        <v>0.21302760725310305</v>
      </c>
      <c r="N43" s="7">
        <v>8.8809000420232695E-2</v>
      </c>
      <c r="O43" s="7">
        <v>6.4578682359823697E-2</v>
      </c>
      <c r="P43" s="9">
        <v>4.4553067826235582</v>
      </c>
      <c r="Q43" s="9">
        <v>4.6289324550086111</v>
      </c>
      <c r="R43" s="3">
        <v>-487.5000000000141</v>
      </c>
      <c r="S43" s="7">
        <v>-1.3284071013719149E-2</v>
      </c>
      <c r="T43" s="9">
        <v>16.036319516291233</v>
      </c>
      <c r="U43">
        <v>130</v>
      </c>
      <c r="V43" s="5">
        <v>0.56768558951965065</v>
      </c>
      <c r="W43">
        <v>94</v>
      </c>
      <c r="X43">
        <v>73</v>
      </c>
      <c r="Y43">
        <v>62</v>
      </c>
      <c r="Z43" s="5">
        <v>0.41048034934497818</v>
      </c>
      <c r="AA43" s="5">
        <v>0.56287425149700598</v>
      </c>
    </row>
    <row r="44" spans="1:27" x14ac:dyDescent="0.25">
      <c r="A44" t="s">
        <v>69</v>
      </c>
      <c r="B44">
        <v>8.9999999999999998E-4</v>
      </c>
      <c r="C44">
        <v>5.9999999999999995E-4</v>
      </c>
      <c r="D44">
        <v>229</v>
      </c>
      <c r="E44" s="3">
        <v>6779.0650000000642</v>
      </c>
      <c r="F44" s="3">
        <v>144097.52838427949</v>
      </c>
      <c r="G44" s="3">
        <v>600314.75</v>
      </c>
      <c r="H44" s="27">
        <v>34344.036580349348</v>
      </c>
      <c r="I44" s="3">
        <v>88025.733730000007</v>
      </c>
      <c r="J44" s="3">
        <v>121033.03643200001</v>
      </c>
      <c r="K44" s="3">
        <v>121057.06525</v>
      </c>
      <c r="L44" s="7">
        <v>5.1770019056114044E-2</v>
      </c>
      <c r="M44" s="23">
        <v>0.21721185198892543</v>
      </c>
      <c r="N44" s="7">
        <v>8.4747169654669621E-2</v>
      </c>
      <c r="O44" s="7">
        <v>6.1623266473437695E-2</v>
      </c>
      <c r="P44" s="9">
        <v>4.2672654875721294</v>
      </c>
      <c r="Q44" s="9">
        <v>4.5517004706930893</v>
      </c>
      <c r="R44" s="3">
        <v>-487.5000000000141</v>
      </c>
      <c r="S44" s="7">
        <v>-1.4194604028547633E-2</v>
      </c>
      <c r="T44" s="9">
        <v>15.302424185421266</v>
      </c>
      <c r="U44">
        <v>121</v>
      </c>
      <c r="V44" s="5">
        <v>0.52838427947598254</v>
      </c>
      <c r="W44">
        <v>88</v>
      </c>
      <c r="X44">
        <v>73</v>
      </c>
      <c r="Y44">
        <v>68</v>
      </c>
      <c r="Z44" s="5">
        <v>0.38427947598253276</v>
      </c>
      <c r="AA44" s="5">
        <v>0.54658385093167705</v>
      </c>
    </row>
    <row r="45" spans="1:27" x14ac:dyDescent="0.25">
      <c r="A45" t="s">
        <v>70</v>
      </c>
      <c r="B45">
        <v>8.9999999999999998E-4</v>
      </c>
      <c r="C45">
        <v>6.9999999999999999E-4</v>
      </c>
      <c r="D45">
        <v>229</v>
      </c>
      <c r="E45" s="3">
        <v>6431.6950000000461</v>
      </c>
      <c r="F45" s="3">
        <v>130124.15257641922</v>
      </c>
      <c r="G45" s="3">
        <v>600152.33000000007</v>
      </c>
      <c r="H45" s="27">
        <v>30789.513171615727</v>
      </c>
      <c r="I45" s="3">
        <v>88022.401940000011</v>
      </c>
      <c r="J45" s="3">
        <v>120997.680232</v>
      </c>
      <c r="K45" s="3">
        <v>121057.06525</v>
      </c>
      <c r="L45" s="7">
        <v>5.4391694088306637E-2</v>
      </c>
      <c r="M45" s="23">
        <v>0.22987284862176727</v>
      </c>
      <c r="N45" s="7">
        <v>8.0407634243623446E-2</v>
      </c>
      <c r="O45" s="7">
        <v>5.846559294841927E-2</v>
      </c>
      <c r="P45" s="9">
        <v>4.0822885723702358</v>
      </c>
      <c r="Q45" s="9">
        <v>4.4279572731543926</v>
      </c>
      <c r="R45" s="3">
        <v>-487.5000000000141</v>
      </c>
      <c r="S45" s="7">
        <v>-1.5833313027158583E-2</v>
      </c>
      <c r="T45" s="9">
        <v>14.518303795767235</v>
      </c>
      <c r="U45">
        <v>109</v>
      </c>
      <c r="V45" s="5">
        <v>0.4759825327510917</v>
      </c>
      <c r="W45">
        <v>81</v>
      </c>
      <c r="X45">
        <v>70</v>
      </c>
      <c r="Y45">
        <v>78</v>
      </c>
      <c r="Z45" s="5">
        <v>0.35371179039301309</v>
      </c>
      <c r="AA45" s="5">
        <v>0.53642384105960261</v>
      </c>
    </row>
    <row r="46" spans="1:27" x14ac:dyDescent="0.25">
      <c r="A46" t="s">
        <v>71</v>
      </c>
      <c r="B46">
        <v>8.9999999999999998E-4</v>
      </c>
      <c r="C46">
        <v>8.0000000000000004E-4</v>
      </c>
      <c r="D46">
        <v>229</v>
      </c>
      <c r="E46" s="3">
        <v>5927.2650000000676</v>
      </c>
      <c r="F46" s="3">
        <v>125756.75336244541</v>
      </c>
      <c r="G46" s="3">
        <v>600152.33000000007</v>
      </c>
      <c r="H46" s="27">
        <v>29684.552008296945</v>
      </c>
      <c r="I46" s="3">
        <v>88022.401940000011</v>
      </c>
      <c r="J46" s="3">
        <v>120997.680232</v>
      </c>
      <c r="K46" s="3">
        <v>121057.06525</v>
      </c>
      <c r="L46" s="7">
        <v>5.1866636589517866E-2</v>
      </c>
      <c r="M46" s="23">
        <v>0.21972977134721453</v>
      </c>
      <c r="N46" s="7">
        <v>7.4101361489472495E-2</v>
      </c>
      <c r="O46" s="7">
        <v>5.3880207750431862E-2</v>
      </c>
      <c r="P46" s="9">
        <v>3.807599958277756</v>
      </c>
      <c r="Q46" s="9">
        <v>4.1677091714140495</v>
      </c>
      <c r="R46" s="3">
        <v>-487.5000000000141</v>
      </c>
      <c r="S46" s="7">
        <v>-1.6422683416739994E-2</v>
      </c>
      <c r="T46" s="9">
        <v>13.379650923748505</v>
      </c>
      <c r="U46">
        <v>105</v>
      </c>
      <c r="V46" s="5">
        <v>0.45851528384279477</v>
      </c>
      <c r="W46">
        <v>78</v>
      </c>
      <c r="X46">
        <v>69</v>
      </c>
      <c r="Y46">
        <v>82</v>
      </c>
      <c r="Z46" s="5">
        <v>0.34061135371179041</v>
      </c>
      <c r="AA46" s="5">
        <v>0.53061224489795922</v>
      </c>
    </row>
    <row r="47" spans="1:27" x14ac:dyDescent="0.25">
      <c r="A47" t="s">
        <v>72</v>
      </c>
      <c r="B47">
        <v>8.9999999999999998E-4</v>
      </c>
      <c r="C47">
        <v>8.9999999999999998E-4</v>
      </c>
      <c r="D47">
        <v>229</v>
      </c>
      <c r="E47" s="3">
        <v>5627.6150000000598</v>
      </c>
      <c r="F47" s="3">
        <v>117897.35344978166</v>
      </c>
      <c r="G47" s="3">
        <v>600152.33000000007</v>
      </c>
      <c r="H47" s="27">
        <v>27907.446820960697</v>
      </c>
      <c r="I47" s="3">
        <v>88022.401940000011</v>
      </c>
      <c r="J47" s="3">
        <v>120997.680232</v>
      </c>
      <c r="K47" s="3">
        <v>121057.06525</v>
      </c>
      <c r="L47" s="7">
        <v>5.2527336641505086E-2</v>
      </c>
      <c r="M47" s="23">
        <v>0.2219061461813083</v>
      </c>
      <c r="N47" s="7">
        <v>7.0355203190439003E-2</v>
      </c>
      <c r="O47" s="7">
        <v>5.11563200463361E-2</v>
      </c>
      <c r="P47" s="9">
        <v>3.654910469634141</v>
      </c>
      <c r="Q47" s="9">
        <v>4.2138493786598783</v>
      </c>
      <c r="R47" s="3">
        <v>-487.5000000000141</v>
      </c>
      <c r="S47" s="7">
        <v>-1.7468455754034194E-2</v>
      </c>
      <c r="T47" s="9">
        <v>12.703249177023615</v>
      </c>
      <c r="U47">
        <v>101</v>
      </c>
      <c r="V47" s="5">
        <v>0.44104803493449779</v>
      </c>
      <c r="W47">
        <v>73</v>
      </c>
      <c r="X47">
        <v>72</v>
      </c>
      <c r="Y47">
        <v>84</v>
      </c>
      <c r="Z47" s="5">
        <v>0.31877729257641924</v>
      </c>
      <c r="AA47" s="5">
        <v>0.50344827586206897</v>
      </c>
    </row>
  </sheetData>
  <conditionalFormatting sqref="P1:P1048576">
    <cfRule type="top10" dxfId="4" priority="5" rank="5"/>
  </conditionalFormatting>
  <conditionalFormatting sqref="M1:M1048576">
    <cfRule type="top10" dxfId="2" priority="3" rank="5"/>
  </conditionalFormatting>
  <conditionalFormatting sqref="E1:E1048576">
    <cfRule type="top10" dxfId="0" priority="1" rank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2026-08-09T02:33:23Z</dcterms:created>
  <dcterms:modified xsi:type="dcterms:W3CDTF">2026-08-09T02:55:50Z</dcterms:modified>
</cp:coreProperties>
</file>