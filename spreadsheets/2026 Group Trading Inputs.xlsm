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348FB895-76B4-49BB-82CF-700F7A336B2A}" xr6:coauthVersionLast="47" xr6:coauthVersionMax="47" xr10:uidLastSave="{00000000-0000-0000-0000-000000000000}"/>
  <bookViews>
    <workbookView xWindow="28680" yWindow="-120" windowWidth="29040" windowHeight="15720" tabRatio="762" activeTab="4" xr2:uid="{7864433A-DFC4-4915-B0C9-D347D4BABFCE}"/>
  </bookViews>
  <sheets>
    <sheet name="ADMIN INPUTS" sheetId="15" r:id="rId1"/>
    <sheet name="ANCHOR INPUTS" sheetId="16" r:id="rId2"/>
    <sheet name="MKT DATA" sheetId="19" r:id="rId3"/>
    <sheet name="FIXED INCOME" sheetId="20" r:id="rId4"/>
    <sheet name="SECTORS" sheetId="23" r:id="rId5"/>
    <sheet name="SCALARS" sheetId="21" r:id="rId6"/>
    <sheet name="SCALAR OUTPUTS" sheetId="2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6" i="23" l="1"/>
  <c r="X36" i="23"/>
  <c r="W36" i="23"/>
  <c r="V36" i="23"/>
  <c r="Y34" i="23"/>
  <c r="X34" i="23"/>
  <c r="W34" i="23"/>
  <c r="V34" i="23"/>
  <c r="Y30" i="23"/>
  <c r="X30" i="23"/>
  <c r="W30" i="23"/>
  <c r="V30" i="23"/>
  <c r="Y26" i="23"/>
  <c r="X26" i="23"/>
  <c r="W26" i="23"/>
  <c r="V26" i="23"/>
  <c r="Y24" i="23"/>
  <c r="X24" i="23"/>
  <c r="W24" i="23"/>
  <c r="V24" i="23"/>
  <c r="Y22" i="23"/>
  <c r="X22" i="23"/>
  <c r="W22" i="23"/>
  <c r="V22" i="23"/>
  <c r="Y17" i="23"/>
  <c r="X17" i="23"/>
  <c r="W17" i="23"/>
  <c r="V17" i="23"/>
  <c r="Y15" i="23"/>
  <c r="X15" i="23"/>
  <c r="W15" i="23"/>
  <c r="V15" i="23"/>
  <c r="Y13" i="23"/>
  <c r="X13" i="23"/>
  <c r="W13" i="23"/>
  <c r="V13" i="23"/>
  <c r="Y11" i="23"/>
  <c r="X11" i="23"/>
  <c r="W11" i="23"/>
  <c r="V11" i="23"/>
  <c r="Y7" i="23"/>
  <c r="X7" i="23"/>
  <c r="W7" i="23"/>
  <c r="V7" i="23"/>
  <c r="W3" i="23"/>
  <c r="S21" i="23"/>
  <c r="R21" i="23"/>
  <c r="U21" i="23"/>
  <c r="T21" i="23"/>
  <c r="S20" i="23"/>
  <c r="R20" i="23"/>
  <c r="U20" i="23"/>
  <c r="T20" i="23"/>
  <c r="D37" i="23" a="1"/>
  <c r="C37" i="23" a="1"/>
  <c r="D36" i="23" a="1"/>
  <c r="C36" i="23" a="1"/>
  <c r="D35" i="23" a="1"/>
  <c r="C35" i="23" a="1"/>
  <c r="D34" i="23" a="1"/>
  <c r="C34" i="23" a="1"/>
  <c r="D33" i="23" a="1"/>
  <c r="C33" i="23" a="1"/>
  <c r="D32" i="23" a="1"/>
  <c r="C32" i="23" a="1"/>
  <c r="D31" i="23" a="1"/>
  <c r="C31" i="23" a="1"/>
  <c r="D30" i="23" a="1"/>
  <c r="C30" i="23" a="1"/>
  <c r="D29" i="23" a="1"/>
  <c r="C29" i="23" a="1"/>
  <c r="D28" i="23" a="1"/>
  <c r="C28" i="23" a="1"/>
  <c r="D27" i="23" a="1"/>
  <c r="C27" i="23" a="1"/>
  <c r="D26" i="23" a="1"/>
  <c r="C26" i="23" a="1"/>
  <c r="D25" i="23" a="1"/>
  <c r="C25" i="23" a="1"/>
  <c r="D24" i="23" a="1"/>
  <c r="C24" i="23" a="1"/>
  <c r="D23" i="23" a="1"/>
  <c r="C23" i="23" a="1"/>
  <c r="D22" i="23" a="1"/>
  <c r="C22" i="23" a="1"/>
  <c r="D18" i="23" a="1"/>
  <c r="C18" i="23" a="1"/>
  <c r="D17" i="23" a="1"/>
  <c r="C17" i="23" a="1"/>
  <c r="D16" i="23" a="1"/>
  <c r="C16" i="23" a="1"/>
  <c r="D15" i="23" a="1"/>
  <c r="C15" i="23" a="1"/>
  <c r="D14" i="23" a="1"/>
  <c r="C14" i="23" a="1"/>
  <c r="D13" i="23" a="1"/>
  <c r="C13" i="23" a="1"/>
  <c r="D12" i="23" a="1"/>
  <c r="C12" i="23" a="1"/>
  <c r="D11" i="23" a="1"/>
  <c r="C11" i="23" a="1"/>
  <c r="D10" i="23" a="1"/>
  <c r="C10" i="23" a="1"/>
  <c r="D9" i="23" a="1"/>
  <c r="C9" i="23" a="1"/>
  <c r="D8" i="23" a="1"/>
  <c r="C8" i="23" a="1"/>
  <c r="D7" i="23" a="1"/>
  <c r="C7" i="23" a="1"/>
  <c r="D6" i="23" a="1"/>
  <c r="C6" i="23" a="1"/>
  <c r="D5" i="23" a="1"/>
  <c r="C5" i="23" a="1"/>
  <c r="D4" i="23" a="1"/>
  <c r="C4" i="23" a="1"/>
  <c r="C3" i="23" a="1"/>
  <c r="D3" i="23" a="1"/>
  <c r="C45" i="20" a="1"/>
  <c r="C44" i="20" a="1"/>
  <c r="C43" i="20" a="1"/>
  <c r="C42" i="20" a="1"/>
  <c r="C41" i="20" a="1"/>
  <c r="C40" i="20" a="1"/>
  <c r="C39" i="20" a="1"/>
  <c r="C38" i="20" a="1"/>
  <c r="C37" i="20" a="1"/>
  <c r="C36" i="20" a="1"/>
  <c r="C35" i="20" a="1"/>
  <c r="C34" i="20" a="1"/>
  <c r="C33" i="20" a="1"/>
  <c r="C32" i="20" a="1"/>
  <c r="C31" i="20" a="1"/>
  <c r="C30" i="20" a="1"/>
  <c r="C29" i="20" a="1"/>
  <c r="C28" i="20" a="1"/>
  <c r="C27" i="20" a="1"/>
  <c r="C26" i="20" a="1"/>
  <c r="C25" i="20" a="1"/>
  <c r="C24" i="20" a="1"/>
  <c r="C23" i="20" a="1"/>
  <c r="C22" i="20" a="1"/>
  <c r="C21" i="20" a="1"/>
  <c r="C20" i="20" a="1"/>
  <c r="C16" i="20" a="1"/>
  <c r="C15" i="20" a="1"/>
  <c r="C14" i="20" a="1"/>
  <c r="C13" i="20" a="1"/>
  <c r="C12" i="20" a="1"/>
  <c r="C11" i="20" a="1"/>
  <c r="C10" i="20" a="1"/>
  <c r="C9" i="20" a="1"/>
  <c r="C8" i="20" a="1"/>
  <c r="C7" i="20" a="1"/>
  <c r="C6" i="20" a="1"/>
  <c r="C5" i="20" a="1"/>
  <c r="C4" i="20" a="1"/>
  <c r="C3" i="20" a="1"/>
  <c r="J3" i="20" a="1"/>
  <c r="L3" i="20" s="1"/>
  <c r="A19" i="23"/>
  <c r="P18" i="20"/>
  <c r="O18" i="20"/>
  <c r="M18" i="20"/>
  <c r="L18" i="20"/>
  <c r="K18" i="20"/>
  <c r="J18" i="20"/>
  <c r="I18" i="20"/>
  <c r="H18" i="20"/>
  <c r="G18" i="20"/>
  <c r="F18" i="20"/>
  <c r="B18" i="20"/>
  <c r="A18" i="20"/>
  <c r="P19" i="20"/>
  <c r="O19" i="20"/>
  <c r="N19" i="20"/>
  <c r="M19" i="20"/>
  <c r="L19" i="20"/>
  <c r="K19" i="20"/>
  <c r="J19" i="20"/>
  <c r="I19" i="20"/>
  <c r="H19" i="20"/>
  <c r="G19" i="20"/>
  <c r="F19" i="20"/>
  <c r="D19" i="20"/>
  <c r="C19" i="20"/>
  <c r="B19" i="20"/>
  <c r="A19" i="20"/>
  <c r="Y20" i="23"/>
  <c r="X20" i="23"/>
  <c r="W20" i="23"/>
  <c r="V20" i="23"/>
  <c r="Q20" i="23"/>
  <c r="P20" i="23"/>
  <c r="N20" i="23"/>
  <c r="M20" i="23"/>
  <c r="L20" i="23"/>
  <c r="K20" i="23"/>
  <c r="J20" i="23"/>
  <c r="I20" i="23"/>
  <c r="H20" i="23"/>
  <c r="G20" i="23"/>
  <c r="B20" i="23"/>
  <c r="A20" i="23"/>
  <c r="Y21" i="23"/>
  <c r="X21" i="23"/>
  <c r="W21" i="23"/>
  <c r="V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C21" i="23"/>
  <c r="B21" i="23"/>
  <c r="A21" i="23"/>
  <c r="D21" i="23"/>
  <c r="O37" i="23" a="1"/>
  <c r="O36" i="23" a="1"/>
  <c r="O35" i="23" a="1"/>
  <c r="O34" i="23" a="1"/>
  <c r="O31" i="23" a="1"/>
  <c r="O30" i="23" a="1"/>
  <c r="O27" i="23" a="1"/>
  <c r="O26" i="23" a="1"/>
  <c r="O25" i="23" a="1"/>
  <c r="O24" i="23" a="1"/>
  <c r="O23" i="23" a="1"/>
  <c r="O22" i="23" a="1"/>
  <c r="O18" i="23" a="1"/>
  <c r="O17" i="23" a="1"/>
  <c r="O16" i="23" a="1"/>
  <c r="O15" i="23" a="1"/>
  <c r="O14" i="23" a="1"/>
  <c r="O13" i="23" a="1"/>
  <c r="O12" i="23" a="1"/>
  <c r="O11" i="23" a="1"/>
  <c r="O8" i="23" a="1"/>
  <c r="O7" i="23" a="1"/>
  <c r="O4" i="23" a="1"/>
  <c r="O3" i="23" a="1"/>
  <c r="N45" i="20" a="1"/>
  <c r="N44" i="20" a="1"/>
  <c r="N43" i="20" a="1"/>
  <c r="N42" i="20" a="1"/>
  <c r="N41" i="20" a="1"/>
  <c r="N40" i="20" a="1"/>
  <c r="N39" i="20" a="1"/>
  <c r="N38" i="20" a="1"/>
  <c r="N37" i="20" a="1"/>
  <c r="N36" i="20" a="1"/>
  <c r="N35" i="20" a="1"/>
  <c r="N34" i="20" a="1"/>
  <c r="N33" i="20" a="1"/>
  <c r="N32" i="20" a="1"/>
  <c r="N31" i="20" a="1"/>
  <c r="N30" i="20" a="1"/>
  <c r="N29" i="20" a="1"/>
  <c r="N28" i="20" a="1"/>
  <c r="N27" i="20" a="1"/>
  <c r="N26" i="20" a="1"/>
  <c r="N25" i="20" a="1"/>
  <c r="N24" i="20" a="1"/>
  <c r="N23" i="20" a="1"/>
  <c r="N22" i="20" a="1"/>
  <c r="N21" i="20" a="1"/>
  <c r="N20" i="20" a="1"/>
  <c r="N16" i="20" a="1"/>
  <c r="N15" i="20" a="1"/>
  <c r="N14" i="20" a="1"/>
  <c r="N13" i="20" a="1"/>
  <c r="N12" i="20" a="1"/>
  <c r="N11" i="20" a="1"/>
  <c r="N10" i="20" a="1"/>
  <c r="N9" i="20" a="1"/>
  <c r="N8" i="20" a="1"/>
  <c r="N7" i="20" a="1"/>
  <c r="N6" i="20" a="1"/>
  <c r="N5" i="20" a="1"/>
  <c r="N4" i="20" a="1"/>
  <c r="N3" i="20" a="1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B36" i="23"/>
  <c r="A36" i="23"/>
  <c r="B35" i="23"/>
  <c r="A35" i="23"/>
  <c r="B34" i="23"/>
  <c r="A34" i="23"/>
  <c r="B31" i="23"/>
  <c r="A31" i="23"/>
  <c r="L30" i="23" a="1"/>
  <c r="N30" i="23" s="1"/>
  <c r="B30" i="23"/>
  <c r="A30" i="23"/>
  <c r="B27" i="23"/>
  <c r="A27" i="23"/>
  <c r="B26" i="23"/>
  <c r="A26" i="23"/>
  <c r="B25" i="23"/>
  <c r="A25" i="23"/>
  <c r="B24" i="23"/>
  <c r="A24" i="23"/>
  <c r="B23" i="23"/>
  <c r="A23" i="23"/>
  <c r="B22" i="23"/>
  <c r="A22" i="23"/>
  <c r="E71" i="16"/>
  <c r="B8" i="23"/>
  <c r="A8" i="23"/>
  <c r="B7" i="23"/>
  <c r="A7" i="23"/>
  <c r="B4" i="23"/>
  <c r="A4" i="23"/>
  <c r="Y3" i="23"/>
  <c r="X3" i="23"/>
  <c r="V3" i="23"/>
  <c r="B3" i="23"/>
  <c r="A3" i="23"/>
  <c r="B12" i="23"/>
  <c r="A12" i="23"/>
  <c r="B11" i="23"/>
  <c r="A11" i="23"/>
  <c r="B16" i="23"/>
  <c r="A16" i="23"/>
  <c r="B15" i="23"/>
  <c r="A15" i="23"/>
  <c r="B18" i="23"/>
  <c r="A18" i="23"/>
  <c r="B17" i="23"/>
  <c r="A17" i="23"/>
  <c r="B14" i="23"/>
  <c r="A14" i="23"/>
  <c r="B13" i="23"/>
  <c r="A13" i="23"/>
  <c r="F12" i="20" a="1"/>
  <c r="F11" i="20" a="1"/>
  <c r="V32" i="20"/>
  <c r="V27" i="20"/>
  <c r="V23" i="20"/>
  <c r="U32" i="20"/>
  <c r="U27" i="20"/>
  <c r="U23" i="20"/>
  <c r="V20" i="20"/>
  <c r="U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X11" i="20"/>
  <c r="W11" i="20"/>
  <c r="V11" i="20"/>
  <c r="U11" i="20"/>
  <c r="X9" i="20"/>
  <c r="W9" i="20"/>
  <c r="V9" i="20"/>
  <c r="U9" i="20"/>
  <c r="X7" i="20"/>
  <c r="W7" i="20"/>
  <c r="V7" i="20"/>
  <c r="U7" i="20"/>
  <c r="X5" i="20"/>
  <c r="W5" i="20"/>
  <c r="V5" i="20"/>
  <c r="U5" i="20"/>
  <c r="X3" i="20"/>
  <c r="W3" i="20"/>
  <c r="V3" i="20"/>
  <c r="U3" i="20"/>
  <c r="A17" i="20"/>
  <c r="K34" i="20" a="1"/>
  <c r="M34" i="20" s="1"/>
  <c r="K33" i="20" a="1"/>
  <c r="M33" i="20" s="1"/>
  <c r="K32" i="20" a="1"/>
  <c r="M32" i="20" s="1"/>
  <c r="K31" i="20" a="1"/>
  <c r="M31" i="20" s="1"/>
  <c r="K30" i="20" a="1"/>
  <c r="M30" i="20" s="1"/>
  <c r="K45" i="20" a="1"/>
  <c r="M45" i="20" s="1"/>
  <c r="K44" i="20" a="1"/>
  <c r="M44" i="20" s="1"/>
  <c r="K43" i="20" a="1"/>
  <c r="M43" i="20" s="1"/>
  <c r="K42" i="20" a="1"/>
  <c r="M42" i="20" s="1"/>
  <c r="K29" i="20" a="1"/>
  <c r="M29" i="20" s="1"/>
  <c r="K28" i="20" a="1"/>
  <c r="M28" i="20" s="1"/>
  <c r="K27" i="20" a="1"/>
  <c r="M27" i="20" s="1"/>
  <c r="K26" i="20" a="1"/>
  <c r="M26" i="20" s="1"/>
  <c r="K41" i="20" a="1"/>
  <c r="M41" i="20" s="1"/>
  <c r="K40" i="20" a="1"/>
  <c r="M40" i="20" s="1"/>
  <c r="K39" i="20" a="1"/>
  <c r="M39" i="20" s="1"/>
  <c r="K38" i="20" a="1"/>
  <c r="M38" i="20" s="1"/>
  <c r="K37" i="20" a="1"/>
  <c r="M37" i="20" s="1"/>
  <c r="K36" i="20" a="1"/>
  <c r="M36" i="20" s="1"/>
  <c r="K25" i="20" a="1"/>
  <c r="M25" i="20" s="1"/>
  <c r="K24" i="20" a="1"/>
  <c r="M24" i="20" s="1"/>
  <c r="K23" i="20" a="1"/>
  <c r="M23" i="20" s="1"/>
  <c r="K22" i="20" a="1"/>
  <c r="M22" i="20" s="1"/>
  <c r="K21" i="20" a="1"/>
  <c r="M21" i="20" s="1"/>
  <c r="K20" i="20" a="1"/>
  <c r="M20" i="20" s="1"/>
  <c r="K35" i="20" a="1"/>
  <c r="M35" i="20" s="1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F21" i="20" a="1"/>
  <c r="G21" i="20" s="1"/>
  <c r="F20" i="20" a="1"/>
  <c r="F22" i="20" a="1"/>
  <c r="G22" i="20" s="1"/>
  <c r="F23" i="20" a="1"/>
  <c r="F24" i="20" a="1"/>
  <c r="G24" i="20" s="1"/>
  <c r="F25" i="20" a="1"/>
  <c r="G25" i="20" s="1"/>
  <c r="F36" i="20" a="1"/>
  <c r="F37" i="20" a="1"/>
  <c r="G37" i="20" s="1"/>
  <c r="F38" i="20" a="1"/>
  <c r="G38" i="20" s="1"/>
  <c r="F39" i="20" a="1"/>
  <c r="F40" i="20" a="1"/>
  <c r="G40" i="20" s="1"/>
  <c r="F41" i="20" a="1"/>
  <c r="G41" i="20" s="1"/>
  <c r="F26" i="20" a="1"/>
  <c r="F27" i="20" a="1"/>
  <c r="G27" i="20" s="1"/>
  <c r="F28" i="20" a="1"/>
  <c r="G28" i="20" s="1"/>
  <c r="F29" i="20" a="1"/>
  <c r="G29" i="20" s="1"/>
  <c r="F42" i="20" a="1"/>
  <c r="F43" i="20" a="1"/>
  <c r="G43" i="20" s="1"/>
  <c r="F44" i="20" a="1"/>
  <c r="G44" i="20" s="1"/>
  <c r="F45" i="20" a="1"/>
  <c r="G45" i="20" s="1"/>
  <c r="F30" i="20" a="1"/>
  <c r="F31" i="20" a="1"/>
  <c r="G31" i="20" s="1"/>
  <c r="F32" i="20" a="1"/>
  <c r="G32" i="20" s="1"/>
  <c r="F33" i="20" a="1"/>
  <c r="G33" i="20" s="1"/>
  <c r="F34" i="20" a="1"/>
  <c r="G34" i="20" s="1"/>
  <c r="F35" i="20" a="1"/>
  <c r="G35" i="20" s="1"/>
  <c r="J34" i="20" a="1"/>
  <c r="L34" i="20" s="1"/>
  <c r="O34" i="20" s="1"/>
  <c r="J32" i="20" a="1"/>
  <c r="L32" i="20" s="1"/>
  <c r="O32" i="20" s="1"/>
  <c r="J33" i="20" a="1"/>
  <c r="L33" i="20" s="1"/>
  <c r="O33" i="20" s="1"/>
  <c r="J30" i="20" a="1"/>
  <c r="L30" i="20" s="1"/>
  <c r="O30" i="20" s="1"/>
  <c r="J31" i="20" a="1"/>
  <c r="L31" i="20" s="1"/>
  <c r="O31" i="20" s="1"/>
  <c r="J35" i="20" a="1"/>
  <c r="L35" i="20" s="1"/>
  <c r="O35" i="20" s="1"/>
  <c r="J24" i="20" a="1"/>
  <c r="L24" i="20" s="1"/>
  <c r="O24" i="20" s="1"/>
  <c r="J23" i="20" a="1"/>
  <c r="L23" i="20" s="1"/>
  <c r="O23" i="20" s="1"/>
  <c r="J25" i="20" a="1"/>
  <c r="L25" i="20" s="1"/>
  <c r="O25" i="20" s="1"/>
  <c r="J21" i="20" a="1"/>
  <c r="L21" i="20" s="1"/>
  <c r="O21" i="20" s="1"/>
  <c r="J20" i="20" a="1"/>
  <c r="L20" i="20" s="1"/>
  <c r="O20" i="20" s="1"/>
  <c r="J22" i="20" a="1"/>
  <c r="L22" i="20" s="1"/>
  <c r="O22" i="20" s="1"/>
  <c r="J41" i="20" a="1"/>
  <c r="L41" i="20" s="1"/>
  <c r="O41" i="20" s="1"/>
  <c r="J39" i="20" a="1"/>
  <c r="L39" i="20" s="1"/>
  <c r="O39" i="20" s="1"/>
  <c r="J40" i="20" a="1"/>
  <c r="L40" i="20" s="1"/>
  <c r="O40" i="20" s="1"/>
  <c r="J38" i="20" a="1"/>
  <c r="L38" i="20" s="1"/>
  <c r="O38" i="20" s="1"/>
  <c r="J36" i="20" a="1"/>
  <c r="L36" i="20" s="1"/>
  <c r="O36" i="20" s="1"/>
  <c r="J37" i="20" a="1"/>
  <c r="L37" i="20" s="1"/>
  <c r="O37" i="20" s="1"/>
  <c r="J28" i="20" a="1"/>
  <c r="L28" i="20" s="1"/>
  <c r="O28" i="20" s="1"/>
  <c r="J27" i="20" a="1"/>
  <c r="L27" i="20" s="1"/>
  <c r="O27" i="20" s="1"/>
  <c r="J26" i="20" a="1"/>
  <c r="L26" i="20" s="1"/>
  <c r="O26" i="20" s="1"/>
  <c r="J29" i="20" a="1"/>
  <c r="L29" i="20" s="1"/>
  <c r="O29" i="20" s="1"/>
  <c r="J44" i="20" a="1"/>
  <c r="L44" i="20" s="1"/>
  <c r="O44" i="20" s="1"/>
  <c r="J42" i="20" a="1"/>
  <c r="L42" i="20" s="1"/>
  <c r="O42" i="20" s="1"/>
  <c r="J43" i="20" a="1"/>
  <c r="L43" i="20" s="1"/>
  <c r="O43" i="20" s="1"/>
  <c r="J45" i="20" a="1"/>
  <c r="L45" i="20" s="1"/>
  <c r="O45" i="20" s="1"/>
  <c r="B4" i="15" a="1"/>
  <c r="B2" i="15" a="1"/>
  <c r="Q30" i="23" l="1"/>
  <c r="P45" i="20"/>
  <c r="P44" i="20"/>
  <c r="P43" i="20"/>
  <c r="P42" i="20"/>
  <c r="P41" i="20"/>
  <c r="P40" i="20"/>
  <c r="P39" i="20"/>
  <c r="P38" i="20"/>
  <c r="P37" i="20"/>
  <c r="P36" i="20"/>
  <c r="P35" i="20"/>
  <c r="P34" i="20"/>
  <c r="P33" i="20"/>
  <c r="P32" i="20"/>
  <c r="P31" i="20"/>
  <c r="P30" i="20"/>
  <c r="P29" i="20"/>
  <c r="P28" i="20"/>
  <c r="P27" i="20"/>
  <c r="P26" i="20"/>
  <c r="P25" i="20"/>
  <c r="P24" i="20"/>
  <c r="P23" i="20"/>
  <c r="P22" i="20"/>
  <c r="P21" i="20"/>
  <c r="P20" i="20"/>
  <c r="L37" i="23" a="1"/>
  <c r="K37" i="23" a="1"/>
  <c r="G37" i="23" a="1"/>
  <c r="L36" i="23" a="1"/>
  <c r="G36" i="23" a="1"/>
  <c r="K36" i="23" a="1"/>
  <c r="L35" i="23" a="1"/>
  <c r="G35" i="23" a="1"/>
  <c r="K35" i="23" a="1"/>
  <c r="L34" i="23" a="1"/>
  <c r="G34" i="23" a="1"/>
  <c r="K34" i="23" a="1"/>
  <c r="K31" i="23" a="1"/>
  <c r="G31" i="23" a="1"/>
  <c r="L31" i="23" a="1"/>
  <c r="K30" i="23" a="1"/>
  <c r="G30" i="23" a="1"/>
  <c r="L27" i="23" a="1"/>
  <c r="G27" i="23" a="1"/>
  <c r="K27" i="23" a="1"/>
  <c r="G26" i="23" a="1"/>
  <c r="K26" i="23" a="1"/>
  <c r="L26" i="23" a="1"/>
  <c r="K25" i="23" a="1"/>
  <c r="L25" i="23" a="1"/>
  <c r="G25" i="23" a="1"/>
  <c r="K24" i="23" a="1"/>
  <c r="L24" i="23" a="1"/>
  <c r="G24" i="23" a="1"/>
  <c r="K23" i="23" a="1"/>
  <c r="G23" i="23" a="1"/>
  <c r="L23" i="23" a="1"/>
  <c r="G22" i="23" a="1"/>
  <c r="K22" i="23" a="1"/>
  <c r="L22" i="23" a="1"/>
  <c r="L8" i="23" a="1"/>
  <c r="G8" i="23" a="1"/>
  <c r="K8" i="23" a="1"/>
  <c r="K7" i="23" a="1"/>
  <c r="G7" i="23" a="1"/>
  <c r="L7" i="23" a="1"/>
  <c r="L4" i="23" a="1"/>
  <c r="N4" i="23" s="1"/>
  <c r="Q4" i="23" s="1"/>
  <c r="K4" i="23" a="1"/>
  <c r="M4" i="23" s="1"/>
  <c r="G4" i="23" a="1"/>
  <c r="K3" i="23" a="1"/>
  <c r="M3" i="23" s="1"/>
  <c r="G3" i="23" a="1"/>
  <c r="L3" i="23" a="1"/>
  <c r="N3" i="23" s="1"/>
  <c r="Q3" i="23" s="1"/>
  <c r="K12" i="23" a="1"/>
  <c r="M12" i="23" s="1"/>
  <c r="L12" i="23" a="1"/>
  <c r="N12" i="23" s="1"/>
  <c r="Q12" i="23" s="1"/>
  <c r="G12" i="23" a="1"/>
  <c r="L11" i="23" a="1"/>
  <c r="N11" i="23" s="1"/>
  <c r="Q11" i="23" s="1"/>
  <c r="K11" i="23" a="1"/>
  <c r="M11" i="23" s="1"/>
  <c r="G11" i="23" a="1"/>
  <c r="G16" i="23" a="1"/>
  <c r="K16" i="23" a="1"/>
  <c r="M16" i="23" s="1"/>
  <c r="L16" i="23" a="1"/>
  <c r="N16" i="23" s="1"/>
  <c r="Q16" i="23" s="1"/>
  <c r="L15" i="23" a="1"/>
  <c r="N15" i="23" s="1"/>
  <c r="Q15" i="23" s="1"/>
  <c r="K15" i="23" a="1"/>
  <c r="M15" i="23" s="1"/>
  <c r="G15" i="23" a="1"/>
  <c r="G18" i="23" a="1"/>
  <c r="L18" i="23" a="1"/>
  <c r="N18" i="23" s="1"/>
  <c r="Q18" i="23" s="1"/>
  <c r="K18" i="23" a="1"/>
  <c r="M18" i="23" s="1"/>
  <c r="K17" i="23" a="1"/>
  <c r="M17" i="23" s="1"/>
  <c r="G17" i="23" a="1"/>
  <c r="L17" i="23" a="1"/>
  <c r="N17" i="23" s="1"/>
  <c r="Q17" i="23" s="1"/>
  <c r="K14" i="23" a="1"/>
  <c r="M14" i="23" s="1"/>
  <c r="G14" i="23" a="1"/>
  <c r="L14" i="23" a="1"/>
  <c r="N14" i="23" s="1"/>
  <c r="Q14" i="23" s="1"/>
  <c r="K13" i="23" a="1"/>
  <c r="M13" i="23" s="1"/>
  <c r="G13" i="23" a="1"/>
  <c r="L13" i="23" a="1"/>
  <c r="N13" i="23" s="1"/>
  <c r="Q13" i="23" s="1"/>
  <c r="G42" i="20"/>
  <c r="G39" i="20"/>
  <c r="G36" i="20"/>
  <c r="G30" i="20"/>
  <c r="G23" i="20"/>
  <c r="G20" i="20"/>
  <c r="G26" i="20"/>
  <c r="H21" i="20"/>
  <c r="H22" i="20"/>
  <c r="H23" i="20"/>
  <c r="H24" i="20"/>
  <c r="H25" i="20"/>
  <c r="H36" i="20"/>
  <c r="H37" i="20"/>
  <c r="H38" i="20"/>
  <c r="H39" i="20"/>
  <c r="H40" i="20"/>
  <c r="H41" i="20"/>
  <c r="H27" i="20"/>
  <c r="H28" i="20"/>
  <c r="H29" i="20"/>
  <c r="H42" i="20"/>
  <c r="H43" i="20"/>
  <c r="H44" i="20"/>
  <c r="H45" i="20"/>
  <c r="H30" i="20"/>
  <c r="H31" i="20"/>
  <c r="H32" i="20"/>
  <c r="H33" i="20"/>
  <c r="H34" i="20"/>
  <c r="H35" i="20"/>
  <c r="H20" i="20"/>
  <c r="F16" i="20" a="1"/>
  <c r="G16" i="20" s="1"/>
  <c r="K16" i="20" a="1"/>
  <c r="J16" i="20" a="1"/>
  <c r="K15" i="20" a="1"/>
  <c r="J15" i="20" a="1"/>
  <c r="F15" i="20" a="1"/>
  <c r="G15" i="20" s="1"/>
  <c r="J14" i="20" a="1"/>
  <c r="K14" i="20" a="1"/>
  <c r="F14" i="20" a="1"/>
  <c r="G14" i="20" s="1"/>
  <c r="F13" i="20" a="1"/>
  <c r="G13" i="20" s="1"/>
  <c r="J13" i="20" a="1"/>
  <c r="K13" i="20" a="1"/>
  <c r="J12" i="20" a="1"/>
  <c r="L12" i="20" s="1"/>
  <c r="K12" i="20" a="1"/>
  <c r="J11" i="20" a="1"/>
  <c r="L11" i="20" s="1"/>
  <c r="K11" i="20" a="1"/>
  <c r="J10" i="20" a="1"/>
  <c r="K10" i="20" a="1"/>
  <c r="F10" i="20" a="1"/>
  <c r="G10" i="20" s="1"/>
  <c r="F9" i="20" a="1"/>
  <c r="G9" i="20" s="1"/>
  <c r="K9" i="20" a="1"/>
  <c r="J9" i="20" a="1"/>
  <c r="K8" i="20" a="1"/>
  <c r="J8" i="20" a="1"/>
  <c r="F8" i="20" a="1"/>
  <c r="G8" i="20" s="1"/>
  <c r="F7" i="20" a="1"/>
  <c r="G7" i="20" s="1"/>
  <c r="J7" i="20" a="1"/>
  <c r="K7" i="20" a="1"/>
  <c r="K6" i="20" a="1"/>
  <c r="F6" i="20" a="1"/>
  <c r="G6" i="20" s="1"/>
  <c r="J6" i="20" a="1"/>
  <c r="F5" i="20" a="1"/>
  <c r="J5" i="20" a="1"/>
  <c r="K5" i="20" a="1"/>
  <c r="J4" i="20" a="1"/>
  <c r="F4" i="20" a="1"/>
  <c r="G4" i="20" s="1"/>
  <c r="K4" i="20" a="1"/>
  <c r="O3" i="20"/>
  <c r="F3" i="20" a="1"/>
  <c r="G3" i="20" s="1"/>
  <c r="K3" i="20" a="1"/>
  <c r="H26" i="20"/>
  <c r="Q30" i="20"/>
  <c r="Q42" i="20"/>
  <c r="Q26" i="20"/>
  <c r="Q39" i="20"/>
  <c r="Q36" i="20"/>
  <c r="Q23" i="20"/>
  <c r="Q20" i="20"/>
  <c r="N37" i="23" l="1"/>
  <c r="Q37" i="23" s="1"/>
  <c r="M37" i="23"/>
  <c r="P37" i="23" s="1"/>
  <c r="N36" i="23"/>
  <c r="Q36" i="23" s="1"/>
  <c r="M36" i="23"/>
  <c r="P36" i="23" s="1"/>
  <c r="T36" i="23" s="1"/>
  <c r="U36" i="23" s="1"/>
  <c r="N35" i="23"/>
  <c r="Q35" i="23" s="1"/>
  <c r="M35" i="23"/>
  <c r="P35" i="23" s="1"/>
  <c r="N34" i="23"/>
  <c r="Q34" i="23" s="1"/>
  <c r="M34" i="23"/>
  <c r="P34" i="23" s="1"/>
  <c r="M31" i="23"/>
  <c r="P31" i="23" s="1"/>
  <c r="R30" i="23" s="1"/>
  <c r="N31" i="23"/>
  <c r="Q31" i="23" s="1"/>
  <c r="M30" i="23"/>
  <c r="P30" i="23" s="1"/>
  <c r="N27" i="23"/>
  <c r="Q27" i="23" s="1"/>
  <c r="M27" i="23"/>
  <c r="P27" i="23" s="1"/>
  <c r="M26" i="23"/>
  <c r="P26" i="23" s="1"/>
  <c r="N26" i="23"/>
  <c r="Q26" i="23" s="1"/>
  <c r="M25" i="23"/>
  <c r="P25" i="23" s="1"/>
  <c r="N25" i="23"/>
  <c r="Q25" i="23" s="1"/>
  <c r="M24" i="23"/>
  <c r="P24" i="23" s="1"/>
  <c r="N24" i="23"/>
  <c r="Q24" i="23" s="1"/>
  <c r="M23" i="23"/>
  <c r="P23" i="23" s="1"/>
  <c r="N23" i="23"/>
  <c r="Q23" i="23" s="1"/>
  <c r="N22" i="23"/>
  <c r="Q22" i="23" s="1"/>
  <c r="M22" i="23"/>
  <c r="P22" i="23" s="1"/>
  <c r="P12" i="23"/>
  <c r="R11" i="23" s="1"/>
  <c r="S11" i="23" s="1"/>
  <c r="P11" i="23"/>
  <c r="T11" i="23" s="1"/>
  <c r="U11" i="23" s="1"/>
  <c r="P16" i="23"/>
  <c r="R15" i="23" s="1"/>
  <c r="S15" i="23" s="1"/>
  <c r="P15" i="23"/>
  <c r="T15" i="23" s="1"/>
  <c r="P18" i="23"/>
  <c r="R17" i="23" s="1"/>
  <c r="S17" i="23" s="1"/>
  <c r="P17" i="23"/>
  <c r="T17" i="23" s="1"/>
  <c r="P14" i="23"/>
  <c r="R13" i="23" s="1"/>
  <c r="S13" i="23" s="1"/>
  <c r="P13" i="23"/>
  <c r="T13" i="23" s="1"/>
  <c r="U13" i="23" s="1"/>
  <c r="N8" i="23"/>
  <c r="Q8" i="23" s="1"/>
  <c r="M8" i="23"/>
  <c r="P8" i="23" s="1"/>
  <c r="M7" i="23"/>
  <c r="P7" i="23" s="1"/>
  <c r="N7" i="23"/>
  <c r="Q7" i="23" s="1"/>
  <c r="P4" i="23"/>
  <c r="R3" i="23" s="1"/>
  <c r="S3" i="23" s="1"/>
  <c r="V4" i="23" s="1"/>
  <c r="P3" i="23"/>
  <c r="T3" i="23" s="1"/>
  <c r="U3" i="23" s="1"/>
  <c r="M16" i="20"/>
  <c r="P16" i="20" s="1"/>
  <c r="L16" i="20"/>
  <c r="O16" i="20" s="1"/>
  <c r="M15" i="20"/>
  <c r="P15" i="20" s="1"/>
  <c r="L15" i="20"/>
  <c r="O15" i="20" s="1"/>
  <c r="L14" i="20"/>
  <c r="O14" i="20" s="1"/>
  <c r="M14" i="20"/>
  <c r="P14" i="20" s="1"/>
  <c r="L13" i="20"/>
  <c r="O13" i="20" s="1"/>
  <c r="M13" i="20"/>
  <c r="P13" i="20" s="1"/>
  <c r="M12" i="20"/>
  <c r="P12" i="20" s="1"/>
  <c r="M11" i="20"/>
  <c r="P11" i="20" s="1"/>
  <c r="L10" i="20"/>
  <c r="O10" i="20" s="1"/>
  <c r="M10" i="20"/>
  <c r="P10" i="20" s="1"/>
  <c r="M9" i="20"/>
  <c r="P9" i="20" s="1"/>
  <c r="L9" i="20"/>
  <c r="O9" i="20" s="1"/>
  <c r="M8" i="20"/>
  <c r="P8" i="20" s="1"/>
  <c r="L8" i="20"/>
  <c r="O8" i="20" s="1"/>
  <c r="L7" i="20"/>
  <c r="O7" i="20" s="1"/>
  <c r="M7" i="20"/>
  <c r="P7" i="20" s="1"/>
  <c r="M6" i="20"/>
  <c r="P6" i="20" s="1"/>
  <c r="L6" i="20"/>
  <c r="O6" i="20" s="1"/>
  <c r="L5" i="20"/>
  <c r="O5" i="20" s="1"/>
  <c r="M5" i="20"/>
  <c r="P5" i="20" s="1"/>
  <c r="L4" i="20"/>
  <c r="O4" i="20" s="1"/>
  <c r="M4" i="20"/>
  <c r="P4" i="20" s="1"/>
  <c r="S3" i="20" s="1"/>
  <c r="M3" i="20"/>
  <c r="P3" i="20" s="1"/>
  <c r="H37" i="23"/>
  <c r="I37" i="23"/>
  <c r="H36" i="23"/>
  <c r="I36" i="23"/>
  <c r="H35" i="23"/>
  <c r="I35" i="23"/>
  <c r="H34" i="23"/>
  <c r="I34" i="23"/>
  <c r="H31" i="23"/>
  <c r="I31" i="23"/>
  <c r="H30" i="23"/>
  <c r="I30" i="23"/>
  <c r="H27" i="23"/>
  <c r="I27" i="23"/>
  <c r="H26" i="23"/>
  <c r="I26" i="23"/>
  <c r="H25" i="23"/>
  <c r="I25" i="23"/>
  <c r="I24" i="23"/>
  <c r="H24" i="23"/>
  <c r="I23" i="23"/>
  <c r="H23" i="23"/>
  <c r="H22" i="23"/>
  <c r="I22" i="23"/>
  <c r="H8" i="23"/>
  <c r="I8" i="23"/>
  <c r="H7" i="23"/>
  <c r="I7" i="23"/>
  <c r="H4" i="23"/>
  <c r="I4" i="23"/>
  <c r="H3" i="23"/>
  <c r="I3" i="23"/>
  <c r="H12" i="23"/>
  <c r="I12" i="23"/>
  <c r="H11" i="23"/>
  <c r="I11" i="23"/>
  <c r="H16" i="23"/>
  <c r="I16" i="23"/>
  <c r="H15" i="23"/>
  <c r="I15" i="23"/>
  <c r="I18" i="23"/>
  <c r="H18" i="23"/>
  <c r="I17" i="23"/>
  <c r="H17" i="23"/>
  <c r="H14" i="23"/>
  <c r="I14" i="23"/>
  <c r="H13" i="23"/>
  <c r="I13" i="23"/>
  <c r="I20" i="20"/>
  <c r="O12" i="20"/>
  <c r="G12" i="20"/>
  <c r="O11" i="20"/>
  <c r="G11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3" i="20"/>
  <c r="I36" i="20"/>
  <c r="I39" i="20"/>
  <c r="I42" i="20"/>
  <c r="I30" i="20"/>
  <c r="I26" i="20"/>
  <c r="R30" i="20"/>
  <c r="S30" i="20" s="1"/>
  <c r="T30" i="20" s="1"/>
  <c r="R42" i="20"/>
  <c r="S42" i="20" s="1"/>
  <c r="T42" i="20" s="1"/>
  <c r="R26" i="20"/>
  <c r="S26" i="20" s="1"/>
  <c r="T26" i="20" s="1"/>
  <c r="R39" i="20"/>
  <c r="S39" i="20" s="1"/>
  <c r="T39" i="20" s="1"/>
  <c r="R23" i="20"/>
  <c r="S23" i="20" s="1"/>
  <c r="T23" i="20" s="1"/>
  <c r="R36" i="20"/>
  <c r="S36" i="20" s="1"/>
  <c r="T36" i="20" s="1"/>
  <c r="R20" i="20"/>
  <c r="S20" i="20" s="1"/>
  <c r="T20" i="20" s="1"/>
  <c r="Y37" i="23" l="1"/>
  <c r="W37" i="23"/>
  <c r="X18" i="23"/>
  <c r="V18" i="23"/>
  <c r="X16" i="23"/>
  <c r="V16" i="23"/>
  <c r="X14" i="23"/>
  <c r="V14" i="23"/>
  <c r="Y14" i="23"/>
  <c r="W14" i="23"/>
  <c r="T22" i="23"/>
  <c r="X12" i="23"/>
  <c r="V12" i="23"/>
  <c r="Y12" i="23"/>
  <c r="W12" i="23"/>
  <c r="Y4" i="23"/>
  <c r="W4" i="23"/>
  <c r="U15" i="23"/>
  <c r="U17" i="23"/>
  <c r="T34" i="23"/>
  <c r="U34" i="23" s="1"/>
  <c r="T7" i="23"/>
  <c r="U7" i="23" s="1"/>
  <c r="R7" i="23"/>
  <c r="S7" i="23" s="1"/>
  <c r="S30" i="23"/>
  <c r="R36" i="23"/>
  <c r="S36" i="23" s="1"/>
  <c r="R34" i="23"/>
  <c r="S34" i="23" s="1"/>
  <c r="T30" i="23"/>
  <c r="U30" i="23" s="1"/>
  <c r="T24" i="23"/>
  <c r="U24" i="23" s="1"/>
  <c r="T26" i="23"/>
  <c r="U26" i="23" s="1"/>
  <c r="R26" i="23"/>
  <c r="S26" i="23" s="1"/>
  <c r="R24" i="23"/>
  <c r="S24" i="23" s="1"/>
  <c r="R22" i="23"/>
  <c r="S22" i="23" s="1"/>
  <c r="U22" i="23"/>
  <c r="J17" i="23"/>
  <c r="J13" i="23"/>
  <c r="S15" i="20"/>
  <c r="T15" i="20" s="1"/>
  <c r="S9" i="20"/>
  <c r="T9" i="20" s="1"/>
  <c r="Q13" i="20"/>
  <c r="R13" i="20" s="1"/>
  <c r="Q9" i="20"/>
  <c r="R9" i="20" s="1"/>
  <c r="S5" i="20"/>
  <c r="T5" i="20" s="1"/>
  <c r="S13" i="20"/>
  <c r="T13" i="20" s="1"/>
  <c r="Q15" i="20"/>
  <c r="R15" i="20" s="1"/>
  <c r="S7" i="20"/>
  <c r="T7" i="20" s="1"/>
  <c r="Q7" i="20"/>
  <c r="R7" i="20" s="1"/>
  <c r="Q5" i="20"/>
  <c r="R5" i="20" s="1"/>
  <c r="S11" i="20"/>
  <c r="T11" i="20" s="1"/>
  <c r="T3" i="20"/>
  <c r="Q11" i="20"/>
  <c r="R11" i="20" s="1"/>
  <c r="Q3" i="20"/>
  <c r="R3" i="20" s="1"/>
  <c r="J24" i="23"/>
  <c r="J36" i="23"/>
  <c r="J7" i="23"/>
  <c r="J3" i="23"/>
  <c r="J34" i="23"/>
  <c r="J30" i="23"/>
  <c r="J26" i="23"/>
  <c r="J22" i="23"/>
  <c r="J11" i="23"/>
  <c r="J15" i="23"/>
  <c r="I5" i="20"/>
  <c r="I9" i="20"/>
  <c r="I11" i="20"/>
  <c r="U33" i="20"/>
  <c r="V33" i="20" a="1"/>
  <c r="U28" i="20"/>
  <c r="V28" i="20" a="1"/>
  <c r="U24" i="20"/>
  <c r="V24" i="20" a="1"/>
  <c r="U21" i="20"/>
  <c r="V21" i="20" a="1"/>
  <c r="I7" i="20"/>
  <c r="I15" i="20"/>
  <c r="I13" i="20"/>
  <c r="I3" i="20"/>
  <c r="X37" i="23" l="1"/>
  <c r="V37" i="23"/>
  <c r="Y35" i="23"/>
  <c r="W35" i="23"/>
  <c r="X35" i="23"/>
  <c r="V35" i="23"/>
  <c r="X31" i="23"/>
  <c r="V31" i="23"/>
  <c r="Y31" i="23"/>
  <c r="W31" i="23"/>
  <c r="Y27" i="23"/>
  <c r="W27" i="23"/>
  <c r="X27" i="23"/>
  <c r="V27" i="23"/>
  <c r="Y25" i="23"/>
  <c r="W25" i="23"/>
  <c r="X25" i="23"/>
  <c r="V25" i="23"/>
  <c r="X23" i="23"/>
  <c r="V23" i="23"/>
  <c r="Y23" i="23"/>
  <c r="W23" i="23"/>
  <c r="Y18" i="23"/>
  <c r="W18" i="23"/>
  <c r="Y16" i="23"/>
  <c r="W16" i="23"/>
  <c r="Y8" i="23"/>
  <c r="W8" i="23"/>
  <c r="X8" i="23"/>
  <c r="V8" i="23"/>
  <c r="W12" i="20"/>
  <c r="U12" i="20"/>
  <c r="X10" i="20"/>
  <c r="V10" i="20"/>
  <c r="X4" i="23"/>
  <c r="X6" i="20"/>
  <c r="V6" i="20"/>
  <c r="U8" i="20"/>
  <c r="W8" i="20"/>
  <c r="U6" i="20"/>
  <c r="W6" i="20"/>
  <c r="U10" i="20"/>
  <c r="W10" i="20"/>
  <c r="U4" i="20"/>
  <c r="W4" i="20"/>
  <c r="X8" i="20"/>
  <c r="V8" i="20"/>
  <c r="X4" i="20"/>
  <c r="V4" i="20"/>
  <c r="X12" i="20"/>
  <c r="V12" i="20"/>
  <c r="E19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<sst xmlns="http://schemas.openxmlformats.org/spreadsheetml/2006/main" count="1212" uniqueCount="191">
  <si>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</si>
  <si>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</si>
  <si>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</si>
  <si>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</si>
  <si>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</si>
  <si>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</si>
  <si>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</si>
  <si>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</si>
  <si>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</si>
  <si>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</si>
  <si>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</si>
  <si>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</si>
  <si>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</si>
  <si>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</si>
  <si>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</si>
  <si>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</si>
  <si>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</si>
  <si>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</si>
  <si>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</si>
  <si>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</si>
  <si>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</si>
  <si>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</si>
  <si>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</si>
  <si>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</si>
  <si>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</si>
  <si>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</si>
  <si>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</si>
  <si>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</si>
  <si>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</si>
  <si>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</si>
  <si>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</si>
  <si>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</si>
  <si>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</si>
  <si>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</si>
  <si>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</si>
  <si>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</si>
  <si>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</si>
  <si>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</si>
  <si>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</si>
  <si>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</si>
  <si>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</si>
  <si>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</si>
  <si>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</si>
  <si>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</si>
  <si>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</si>
  <si>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</si>
  <si>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</si>
  <si>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</si>
  <si>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</si>
  <si>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</si>
  <si>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</si>
  <si>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</si>
  <si>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</si>
  <si>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</si>
  <si>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</si>
  <si>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</si>
  <si>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</si>
  <si>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</si>
  <si>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</si>
  <si>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</si>
  <si>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</si>
  <si>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</si>
  <si>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</si>
  <si>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</si>
  <si>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</si>
  <si>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</si>
  <si>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</si>
  <si>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</si>
  <si>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</si>
  <si>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</si>
  <si>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</si>
  <si>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</si>
  <si>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</si>
  <si>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</si>
  <si>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</si>
  <si>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</si>
  <si>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</si>
  <si>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</si>
  <si>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</si>
  <si>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</si>
  <si>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</si>
  <si>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trading_inputs_download_cell</t>
  </si>
  <si>
    <t>trading_inputs_upload_cell</t>
  </si>
  <si>
    <t>margin</t>
  </si>
  <si>
    <t xml:space="preserve">last trade date: </t>
  </si>
  <si>
    <t xml:space="preserve">closing prices: 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</si>
  <si>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</si>
  <si>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</si>
  <si>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</si>
  <si>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</si>
  <si>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</si>
  <si>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</si>
  <si>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</si>
  <si>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</si>
  <si>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</si>
  <si>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</si>
  <si>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</si>
  <si>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</si>
  <si>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</si>
  <si>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</si>
  <si>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</si>
  <si>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</si>
  <si>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</si>
  <si>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</si>
  <si>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</si>
  <si>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</si>
  <si>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</si>
  <si>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</si>
  <si>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</si>
  <si>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</si>
  <si>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</si>
  <si>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</si>
  <si>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</si>
  <si>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</si>
  <si>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</si>
  <si>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</si>
  <si>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</si>
  <si>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</si>
  <si>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</si>
  <si>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</si>
  <si>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</si>
  <si>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</si>
  <si>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</si>
  <si>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</si>
  <si>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</si>
  <si>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</si>
  <si>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</si>
  <si>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</si>
  <si>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</si>
  <si>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</si>
  <si>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</si>
  <si>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</si>
  <si>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</si>
  <si>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</si>
  <si>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</si>
  <si>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</si>
  <si>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</si>
  <si>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</si>
  <si>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</si>
  <si>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</si>
  <si>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Tsy</t>
  </si>
  <si>
    <t>Long Term Corps</t>
  </si>
  <si>
    <t>Calif Munis</t>
  </si>
  <si>
    <t>Consumer Staples</t>
  </si>
  <si>
    <t>Energy</t>
  </si>
  <si>
    <t>Financials</t>
  </si>
  <si>
    <t>Healthcare</t>
  </si>
  <si>
    <t>Industrials</t>
  </si>
  <si>
    <t>Real Estate</t>
  </si>
  <si>
    <t>Technology</t>
  </si>
  <si>
    <t>Utilities</t>
  </si>
  <si>
    <t>Fixed Income</t>
  </si>
  <si>
    <t>Sector</t>
  </si>
  <si>
    <t>staples</t>
  </si>
  <si>
    <t>utilities</t>
  </si>
  <si>
    <t>real estate</t>
  </si>
  <si>
    <t>energy</t>
  </si>
  <si>
    <t>healthcare</t>
  </si>
  <si>
    <t>financials</t>
  </si>
  <si>
    <t>add divs for first ex-date</t>
  </si>
  <si>
    <t>xlc</t>
  </si>
  <si>
    <t>xly</t>
  </si>
  <si>
    <t>materials</t>
  </si>
  <si>
    <t>xlb</t>
  </si>
  <si>
    <t>communications</t>
  </si>
  <si>
    <t>discretionary</t>
  </si>
  <si>
    <t>FNCL</t>
  </si>
  <si>
    <t>VIS</t>
  </si>
  <si>
    <t>IYJ</t>
  </si>
  <si>
    <t>IYK</t>
  </si>
  <si>
    <t>schh</t>
  </si>
  <si>
    <t>usrt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</si>
  <si>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</si>
  <si>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</si>
  <si>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</si>
  <si>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</si>
  <si>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</si>
  <si>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</si>
  <si>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</si>
  <si>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</si>
  <si>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</si>
  <si>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</si>
  <si>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</si>
  <si>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</si>
  <si>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</si>
  <si>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</si>
  <si>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</si>
  <si>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</si>
  <si>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</si>
  <si>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</si>
  <si>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2026-08-31_13-19-00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</si>
</sst>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06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6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5" fontId="0" fillId="0" borderId="0" xfId="3" applyNumberFormat="1" applyFont="1"/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6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6" fontId="0" fillId="0" borderId="0" xfId="0" applyNumberFormat="1"/>
    <xf numFmtId="0" fontId="8" fillId="0" borderId="0" xfId="0" applyFont="1" applyAlignment="1">
      <alignment horizontal="center"/>
    </xf>
    <xf numFmtId="166" fontId="10" fillId="0" borderId="0" xfId="1" applyNumberFormat="1" applyFont="1"/>
    <xf numFmtId="0" fontId="10" fillId="0" borderId="2" xfId="0" applyFont="1" applyBorder="1"/>
    <xf numFmtId="0" fontId="6" fillId="0" borderId="2" xfId="0" applyFont="1" applyBorder="1"/>
    <xf numFmtId="166" fontId="10" fillId="0" borderId="2" xfId="1" applyNumberFormat="1" applyFont="1" applyBorder="1"/>
    <xf numFmtId="166" fontId="0" fillId="0" borderId="2" xfId="1" applyNumberFormat="1" applyFont="1" applyBorder="1"/>
    <xf numFmtId="166" fontId="10" fillId="0" borderId="0" xfId="1" applyNumberFormat="1" applyFont="1" applyBorder="1"/>
    <xf numFmtId="166" fontId="0" fillId="0" borderId="0" xfId="1" applyNumberFormat="1" applyFont="1" applyBorder="1"/>
    <xf numFmtId="0" fontId="10" fillId="0" borderId="7" xfId="0" applyFont="1" applyBorder="1"/>
    <xf numFmtId="0" fontId="6" fillId="0" borderId="7" xfId="0" applyFont="1" applyBorder="1"/>
    <xf numFmtId="166" fontId="10" fillId="0" borderId="7" xfId="1" applyNumberFormat="1" applyFont="1" applyBorder="1"/>
    <xf numFmtId="166" fontId="0" fillId="0" borderId="7" xfId="1" applyNumberFormat="1" applyFont="1" applyBorder="1"/>
    <xf numFmtId="165" fontId="13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6" fillId="0" borderId="0" xfId="0" applyNumberFormat="1" applyFont="1"/>
    <xf numFmtId="0" fontId="16" fillId="0" borderId="0" xfId="0" applyFont="1"/>
    <xf numFmtId="165" fontId="16" fillId="0" borderId="2" xfId="3" applyNumberFormat="1" applyFont="1" applyBorder="1"/>
    <xf numFmtId="165" fontId="16" fillId="0" borderId="0" xfId="3" applyNumberFormat="1" applyFont="1" applyBorder="1"/>
    <xf numFmtId="165" fontId="16" fillId="0" borderId="7" xfId="3" applyNumberFormat="1" applyFont="1" applyBorder="1"/>
    <xf numFmtId="165" fontId="16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65" fontId="16" fillId="0" borderId="1" xfId="3" applyNumberFormat="1" applyFont="1" applyBorder="1"/>
    <xf numFmtId="165" fontId="16" fillId="0" borderId="4" xfId="3" applyNumberFormat="1" applyFont="1" applyBorder="1"/>
    <xf numFmtId="165" fontId="16" fillId="0" borderId="6" xfId="3" applyNumberFormat="1" applyFont="1" applyBorder="1"/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166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18" fillId="0" borderId="2" xfId="0" applyNumberFormat="1" applyFont="1" applyBorder="1"/>
    <xf numFmtId="164" fontId="6" fillId="0" borderId="11" xfId="3" applyNumberFormat="1" applyFont="1" applyBorder="1"/>
    <xf numFmtId="10" fontId="18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5" fontId="19" fillId="0" borderId="0" xfId="3" applyNumberFormat="1" applyFont="1" applyAlignment="1">
      <alignment horizontal="center"/>
    </xf>
    <xf numFmtId="165" fontId="20" fillId="0" borderId="0" xfId="3" applyNumberFormat="1" applyFont="1" applyAlignment="1">
      <alignment horizontal="center"/>
    </xf>
    <xf numFmtId="0" fontId="20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6" fillId="0" borderId="2" xfId="1" applyNumberFormat="1" applyFont="1" applyBorder="1"/>
    <xf numFmtId="169" fontId="16" fillId="0" borderId="0" xfId="1" applyNumberFormat="1" applyFont="1" applyBorder="1"/>
    <xf numFmtId="169" fontId="16" fillId="0" borderId="7" xfId="1" applyNumberFormat="1" applyFont="1" applyBorder="1"/>
    <xf numFmtId="169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9" fontId="15" fillId="0" borderId="7" xfId="1" applyNumberFormat="1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6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6" fontId="8" fillId="0" borderId="7" xfId="1" applyNumberFormat="1" applyFont="1" applyBorder="1" applyAlignment="1">
      <alignment horizontal="center"/>
    </xf>
    <xf numFmtId="166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6" fontId="8" fillId="0" borderId="4" xfId="1" applyNumberFormat="1" applyFont="1" applyFill="1" applyBorder="1" applyAlignment="1">
      <alignment horizontal="center"/>
    </xf>
    <xf numFmtId="166" fontId="8" fillId="0" borderId="5" xfId="1" applyNumberFormat="1" applyFont="1" applyFill="1" applyBorder="1" applyAlignment="1">
      <alignment horizontal="center"/>
    </xf>
    <xf numFmtId="10" fontId="18" fillId="0" borderId="1" xfId="0" applyNumberFormat="1" applyFont="1" applyBorder="1"/>
    <xf numFmtId="10" fontId="18" fillId="0" borderId="3" xfId="0" applyNumberFormat="1" applyFont="1" applyBorder="1"/>
    <xf numFmtId="10" fontId="18" fillId="0" borderId="6" xfId="0" applyNumberFormat="1" applyFont="1" applyBorder="1"/>
    <xf numFmtId="10" fontId="18" fillId="0" borderId="8" xfId="0" applyNumberFormat="1" applyFont="1" applyBorder="1"/>
    <xf numFmtId="165" fontId="15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1" fillId="0" borderId="2" xfId="0" applyFont="1" applyBorder="1"/>
    <xf numFmtId="0" fontId="22" fillId="0" borderId="2" xfId="0" applyFont="1" applyBorder="1"/>
    <xf numFmtId="165" fontId="24" fillId="0" borderId="2" xfId="3" applyNumberFormat="1" applyFont="1" applyBorder="1"/>
    <xf numFmtId="169" fontId="24" fillId="0" borderId="2" xfId="1" applyNumberFormat="1" applyFont="1" applyBorder="1"/>
    <xf numFmtId="44" fontId="23" fillId="0" borderId="1" xfId="1" applyFont="1" applyBorder="1"/>
    <xf numFmtId="44" fontId="23" fillId="0" borderId="3" xfId="1" applyFont="1" applyBorder="1"/>
    <xf numFmtId="166" fontId="21" fillId="0" borderId="2" xfId="1" applyNumberFormat="1" applyFont="1" applyBorder="1"/>
    <xf numFmtId="164" fontId="22" fillId="0" borderId="9" xfId="3" applyNumberFormat="1" applyFont="1" applyBorder="1"/>
    <xf numFmtId="166" fontId="23" fillId="0" borderId="2" xfId="1" applyNumberFormat="1" applyFont="1" applyBorder="1"/>
    <xf numFmtId="10" fontId="25" fillId="0" borderId="1" xfId="0" applyNumberFormat="1" applyFont="1" applyBorder="1"/>
    <xf numFmtId="10" fontId="25" fillId="0" borderId="2" xfId="0" applyNumberFormat="1" applyFont="1" applyBorder="1"/>
    <xf numFmtId="10" fontId="25" fillId="0" borderId="3" xfId="0" applyNumberFormat="1" applyFont="1" applyBorder="1"/>
    <xf numFmtId="0" fontId="23" fillId="0" borderId="0" xfId="0" applyFont="1"/>
    <xf numFmtId="10" fontId="23" fillId="2" borderId="0" xfId="0" applyNumberFormat="1" applyFont="1" applyFill="1"/>
    <xf numFmtId="10" fontId="23" fillId="2" borderId="0" xfId="2" applyNumberFormat="1" applyFont="1" applyFill="1"/>
    <xf numFmtId="10" fontId="23" fillId="0" borderId="0" xfId="2" applyNumberFormat="1" applyFont="1" applyFill="1"/>
    <xf numFmtId="0" fontId="21" fillId="0" borderId="7" xfId="0" applyFont="1" applyBorder="1"/>
    <xf numFmtId="0" fontId="22" fillId="0" borderId="7" xfId="0" applyFont="1" applyBorder="1"/>
    <xf numFmtId="165" fontId="24" fillId="0" borderId="7" xfId="3" applyNumberFormat="1" applyFont="1" applyBorder="1"/>
    <xf numFmtId="169" fontId="24" fillId="0" borderId="7" xfId="1" applyNumberFormat="1" applyFont="1" applyBorder="1"/>
    <xf numFmtId="44" fontId="23" fillId="0" borderId="6" xfId="1" applyFont="1" applyBorder="1"/>
    <xf numFmtId="44" fontId="23" fillId="0" borderId="8" xfId="1" applyFont="1" applyBorder="1"/>
    <xf numFmtId="166" fontId="21" fillId="0" borderId="7" xfId="1" applyNumberFormat="1" applyFont="1" applyBorder="1"/>
    <xf numFmtId="164" fontId="22" fillId="0" borderId="11" xfId="3" applyNumberFormat="1" applyFont="1" applyBorder="1"/>
    <xf numFmtId="166" fontId="23" fillId="0" borderId="7" xfId="1" applyNumberFormat="1" applyFont="1" applyBorder="1"/>
    <xf numFmtId="10" fontId="25" fillId="0" borderId="6" xfId="0" applyNumberFormat="1" applyFont="1" applyBorder="1"/>
    <xf numFmtId="10" fontId="25" fillId="0" borderId="7" xfId="0" applyNumberFormat="1" applyFont="1" applyBorder="1"/>
    <xf numFmtId="10" fontId="25" fillId="0" borderId="8" xfId="0" applyNumberFormat="1" applyFont="1" applyBorder="1"/>
    <xf numFmtId="0" fontId="24" fillId="0" borderId="0" xfId="0" applyFont="1"/>
    <xf numFmtId="0" fontId="23" fillId="0" borderId="0" xfId="0" applyFont="1" applyAlignment="1">
      <alignment horizontal="center"/>
    </xf>
    <xf numFmtId="0" fontId="21" fillId="0" borderId="0" xfId="0" applyFont="1"/>
    <xf numFmtId="0" fontId="22" fillId="0" borderId="0" xfId="0" applyFont="1"/>
    <xf numFmtId="165" fontId="24" fillId="0" borderId="0" xfId="3" applyNumberFormat="1" applyFont="1" applyBorder="1"/>
    <xf numFmtId="169" fontId="24" fillId="0" borderId="0" xfId="1" applyNumberFormat="1" applyFont="1" applyBorder="1"/>
    <xf numFmtId="44" fontId="23" fillId="0" borderId="4" xfId="1" applyFont="1" applyBorder="1"/>
    <xf numFmtId="44" fontId="23" fillId="0" borderId="5" xfId="1" applyFont="1" applyBorder="1"/>
    <xf numFmtId="166" fontId="21" fillId="0" borderId="0" xfId="1" applyNumberFormat="1" applyFont="1" applyBorder="1"/>
    <xf numFmtId="164" fontId="22" fillId="0" borderId="10" xfId="3" applyNumberFormat="1" applyFont="1" applyBorder="1"/>
    <xf numFmtId="166" fontId="23" fillId="0" borderId="0" xfId="1" applyNumberFormat="1" applyFont="1" applyBorder="1"/>
    <xf numFmtId="0" fontId="7" fillId="0" borderId="3" xfId="0" applyFont="1" applyBorder="1"/>
    <xf numFmtId="165" fontId="17" fillId="0" borderId="4" xfId="3" applyNumberFormat="1" applyFont="1" applyBorder="1"/>
    <xf numFmtId="0" fontId="17" fillId="0" borderId="5" xfId="0" applyFont="1" applyBorder="1"/>
    <xf numFmtId="0" fontId="16" fillId="0" borderId="5" xfId="0" applyFont="1" applyBorder="1"/>
    <xf numFmtId="165" fontId="24" fillId="0" borderId="4" xfId="3" applyNumberFormat="1" applyFont="1" applyBorder="1"/>
    <xf numFmtId="0" fontId="24" fillId="0" borderId="5" xfId="0" applyFont="1" applyBorder="1"/>
    <xf numFmtId="165" fontId="24" fillId="0" borderId="6" xfId="3" applyNumberFormat="1" applyFont="1" applyBorder="1"/>
    <xf numFmtId="0" fontId="24" fillId="0" borderId="8" xfId="0" applyFont="1" applyBorder="1"/>
    <xf numFmtId="10" fontId="23" fillId="0" borderId="9" xfId="2" applyNumberFormat="1" applyFont="1" applyFill="1" applyBorder="1"/>
    <xf numFmtId="10" fontId="23" fillId="0" borderId="10" xfId="2" applyNumberFormat="1" applyFont="1" applyFill="1" applyBorder="1"/>
    <xf numFmtId="10" fontId="23" fillId="0" borderId="11" xfId="2" applyNumberFormat="1" applyFont="1" applyFill="1" applyBorder="1"/>
    <xf numFmtId="0" fontId="16" fillId="0" borderId="3" xfId="0" applyFont="1" applyBorder="1"/>
    <xf numFmtId="0" fontId="16" fillId="0" borderId="8" xfId="0" applyFont="1" applyBorder="1"/>
    <xf numFmtId="10" fontId="18" fillId="0" borderId="4" xfId="0" applyNumberFormat="1" applyFont="1" applyBorder="1"/>
    <xf numFmtId="10" fontId="18" fillId="0" borderId="5" xfId="0" applyNumberFormat="1" applyFont="1" applyBorder="1"/>
    <xf numFmtId="0" fontId="27" fillId="3" borderId="9" xfId="0" applyFont="1" applyFill="1" applyBorder="1"/>
    <xf numFmtId="0" fontId="27" fillId="3" borderId="11" xfId="0" applyFont="1" applyFill="1" applyBorder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/>
    </xf>
    <xf numFmtId="170" fontId="0" fillId="0" borderId="0" xfId="0" applyNumberFormat="1"/>
    <xf numFmtId="0" fontId="9" fillId="0" borderId="7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28" fillId="0" borderId="2" xfId="0" applyFont="1" applyBorder="1"/>
    <xf numFmtId="0" fontId="28" fillId="0" borderId="7" xfId="0" applyFont="1" applyBorder="1"/>
    <xf numFmtId="0" fontId="28" fillId="0" borderId="0" xfId="0" applyFont="1"/>
    <xf numFmtId="165" fontId="16" fillId="4" borderId="0" xfId="3" applyNumberFormat="1" applyFont="1" applyFill="1" applyBorder="1"/>
    <xf numFmtId="169" fontId="16" fillId="4" borderId="0" xfId="1" applyNumberFormat="1" applyFont="1" applyFill="1" applyBorder="1"/>
    <xf numFmtId="43" fontId="16" fillId="4" borderId="5" xfId="0" applyNumberFormat="1" applyFont="1" applyFill="1" applyBorder="1" applyAlignment="1">
      <alignment horizontal="center" vertical="center"/>
    </xf>
    <xf numFmtId="44" fontId="0" fillId="4" borderId="4" xfId="1" applyFont="1" applyFill="1" applyBorder="1"/>
    <xf numFmtId="44" fontId="0" fillId="4" borderId="5" xfId="1" applyFont="1" applyFill="1" applyBorder="1"/>
    <xf numFmtId="166" fontId="10" fillId="4" borderId="0" xfId="1" applyNumberFormat="1" applyFont="1" applyFill="1" applyBorder="1"/>
    <xf numFmtId="164" fontId="6" fillId="4" borderId="10" xfId="3" applyNumberFormat="1" applyFont="1" applyFill="1" applyBorder="1"/>
    <xf numFmtId="166" fontId="0" fillId="4" borderId="0" xfId="1" applyNumberFormat="1" applyFont="1" applyFill="1" applyBorder="1"/>
    <xf numFmtId="0" fontId="0" fillId="4" borderId="4" xfId="0" applyFill="1" applyBorder="1" applyAlignment="1">
      <alignment vertical="center"/>
    </xf>
    <xf numFmtId="167" fontId="0" fillId="4" borderId="5" xfId="2" applyNumberFormat="1" applyFont="1" applyFill="1" applyBorder="1" applyAlignment="1">
      <alignment vertical="center"/>
    </xf>
    <xf numFmtId="10" fontId="18" fillId="4" borderId="4" xfId="0" applyNumberFormat="1" applyFont="1" applyFill="1" applyBorder="1"/>
    <xf numFmtId="10" fontId="18" fillId="4" borderId="0" xfId="0" applyNumberFormat="1" applyFont="1" applyFill="1"/>
    <xf numFmtId="10" fontId="18" fillId="4" borderId="5" xfId="0" applyNumberFormat="1" applyFont="1" applyFill="1" applyBorder="1"/>
    <xf numFmtId="164" fontId="13" fillId="0" borderId="11" xfId="3" applyNumberFormat="1" applyFont="1" applyBorder="1"/>
    <xf numFmtId="164" fontId="13" fillId="4" borderId="10" xfId="3" applyNumberFormat="1" applyFont="1" applyFill="1" applyBorder="1"/>
    <xf numFmtId="164" fontId="13" fillId="0" borderId="9" xfId="3" applyNumberFormat="1" applyFont="1" applyBorder="1"/>
    <xf numFmtId="0" fontId="10" fillId="0" borderId="9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4" xfId="0" applyFont="1" applyBorder="1"/>
    <xf numFmtId="0" fontId="9" fillId="0" borderId="5" xfId="0" applyFont="1" applyBorder="1"/>
    <xf numFmtId="0" fontId="10" fillId="0" borderId="1" xfId="0" applyFont="1" applyBorder="1"/>
    <xf numFmtId="0" fontId="10" fillId="0" borderId="3" xfId="0" applyFont="1" applyBorder="1"/>
    <xf numFmtId="0" fontId="10" fillId="0" borderId="6" xfId="0" applyFont="1" applyBorder="1"/>
    <xf numFmtId="0" fontId="10" fillId="0" borderId="8" xfId="0" applyFont="1" applyBorder="1"/>
    <xf numFmtId="0" fontId="10" fillId="0" borderId="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9" fillId="0" borderId="6" xfId="0" applyFont="1" applyBorder="1"/>
    <xf numFmtId="0" fontId="21" fillId="0" borderId="1" xfId="0" applyFont="1" applyBorder="1"/>
    <xf numFmtId="0" fontId="21" fillId="0" borderId="3" xfId="0" applyFont="1" applyBorder="1"/>
    <xf numFmtId="0" fontId="21" fillId="0" borderId="6" xfId="0" applyFont="1" applyBorder="1"/>
    <xf numFmtId="0" fontId="21" fillId="0" borderId="8" xfId="0" applyFont="1" applyBorder="1"/>
    <xf numFmtId="0" fontId="21" fillId="0" borderId="1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43" fontId="16" fillId="0" borderId="3" xfId="0" applyNumberFormat="1" applyFont="1" applyBorder="1" applyAlignment="1">
      <alignment horizontal="center" vertical="center"/>
    </xf>
    <xf numFmtId="43" fontId="16" fillId="0" borderId="8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166" fontId="0" fillId="0" borderId="6" xfId="0" applyNumberFormat="1" applyBorder="1" applyAlignment="1">
      <alignment vertical="center"/>
    </xf>
    <xf numFmtId="43" fontId="16" fillId="0" borderId="3" xfId="0" applyNumberFormat="1" applyFont="1" applyBorder="1" applyAlignment="1">
      <alignment vertical="center"/>
    </xf>
    <xf numFmtId="43" fontId="16" fillId="0" borderId="8" xfId="0" applyNumberFormat="1" applyFont="1" applyBorder="1" applyAlignment="1">
      <alignment vertical="center"/>
    </xf>
    <xf numFmtId="43" fontId="16" fillId="0" borderId="3" xfId="3" applyFont="1" applyBorder="1" applyAlignment="1">
      <alignment vertical="center"/>
    </xf>
    <xf numFmtId="43" fontId="16" fillId="0" borderId="8" xfId="3" applyFont="1" applyBorder="1" applyAlignment="1">
      <alignment vertical="center"/>
    </xf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5" fontId="19" fillId="0" borderId="0" xfId="3" applyNumberFormat="1" applyFont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5" fontId="14" fillId="0" borderId="2" xfId="3" applyNumberFormat="1" applyFont="1" applyBorder="1" applyAlignment="1">
      <alignment horizontal="center"/>
    </xf>
    <xf numFmtId="165" fontId="14" fillId="0" borderId="3" xfId="3" applyNumberFormat="1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8" fontId="11" fillId="0" borderId="2" xfId="1" applyNumberFormat="1" applyFont="1" applyBorder="1" applyAlignment="1">
      <alignment horizontal="center"/>
    </xf>
    <xf numFmtId="166" fontId="7" fillId="0" borderId="2" xfId="1" applyNumberFormat="1" applyFont="1" applyBorder="1" applyAlignment="1">
      <alignment horizontal="center"/>
    </xf>
    <xf numFmtId="0" fontId="12" fillId="0" borderId="2" xfId="0" applyFont="1" applyBorder="1"/>
    <xf numFmtId="167" fontId="23" fillId="0" borderId="3" xfId="2" applyNumberFormat="1" applyFont="1" applyFill="1" applyBorder="1" applyAlignment="1">
      <alignment vertical="center"/>
    </xf>
    <xf numFmtId="167" fontId="23" fillId="0" borderId="8" xfId="2" applyNumberFormat="1" applyFont="1" applyFill="1" applyBorder="1" applyAlignment="1">
      <alignment vertical="center"/>
    </xf>
    <xf numFmtId="166" fontId="23" fillId="0" borderId="1" xfId="0" applyNumberFormat="1" applyFont="1" applyBorder="1" applyAlignment="1">
      <alignment vertical="center"/>
    </xf>
    <xf numFmtId="0" fontId="23" fillId="0" borderId="6" xfId="0" applyFont="1" applyBorder="1" applyAlignment="1">
      <alignment vertical="center"/>
    </xf>
    <xf numFmtId="43" fontId="24" fillId="0" borderId="3" xfId="0" applyNumberFormat="1" applyFont="1" applyBorder="1" applyAlignment="1">
      <alignment horizontal="center" vertical="center"/>
    </xf>
    <xf numFmtId="43" fontId="24" fillId="0" borderId="8" xfId="0" applyNumberFormat="1" applyFont="1" applyBorder="1" applyAlignment="1">
      <alignment horizontal="center" vertical="center"/>
    </xf>
    <xf numFmtId="43" fontId="24" fillId="0" borderId="3" xfId="0" applyNumberFormat="1" applyFont="1" applyBorder="1" applyAlignment="1">
      <alignment vertical="center"/>
    </xf>
    <xf numFmtId="43" fontId="24" fillId="0" borderId="8" xfId="0" applyNumberFormat="1" applyFont="1" applyBorder="1" applyAlignment="1">
      <alignment vertical="center"/>
    </xf>
    <xf numFmtId="166" fontId="23" fillId="0" borderId="2" xfId="0" applyNumberFormat="1" applyFont="1" applyBorder="1" applyAlignment="1">
      <alignment vertical="center"/>
    </xf>
    <xf numFmtId="166" fontId="23" fillId="0" borderId="0" xfId="0" applyNumberFormat="1" applyFont="1" applyAlignment="1">
      <alignment vertical="center"/>
    </xf>
    <xf numFmtId="166" fontId="23" fillId="0" borderId="7" xfId="0" applyNumberFormat="1" applyFont="1" applyBorder="1" applyAlignment="1">
      <alignment vertical="center"/>
    </xf>
    <xf numFmtId="167" fontId="23" fillId="0" borderId="5" xfId="2" applyNumberFormat="1" applyFont="1" applyFill="1" applyBorder="1" applyAlignment="1">
      <alignment vertical="center"/>
    </xf>
    <xf numFmtId="43" fontId="16" fillId="0" borderId="5" xfId="0" applyNumberFormat="1" applyFont="1" applyBorder="1" applyAlignment="1">
      <alignment horizontal="center" vertical="center"/>
    </xf>
    <xf numFmtId="10" fontId="17" fillId="2" borderId="1" xfId="2" applyNumberFormat="1" applyFont="1" applyFill="1" applyBorder="1" applyAlignment="1">
      <alignment horizontal="center" vertical="center"/>
    </xf>
    <xf numFmtId="10" fontId="17" fillId="2" borderId="4" xfId="2" applyNumberFormat="1" applyFont="1" applyFill="1" applyBorder="1" applyAlignment="1">
      <alignment horizontal="center" vertical="center"/>
    </xf>
    <xf numFmtId="10" fontId="17" fillId="2" borderId="6" xfId="2" applyNumberFormat="1" applyFont="1" applyFill="1" applyBorder="1" applyAlignment="1">
      <alignment horizontal="center" vertical="center"/>
    </xf>
    <xf numFmtId="10" fontId="26" fillId="2" borderId="1" xfId="2" applyNumberFormat="1" applyFont="1" applyFill="1" applyBorder="1" applyAlignment="1">
      <alignment horizontal="center" vertical="center"/>
    </xf>
    <xf numFmtId="10" fontId="26" fillId="2" borderId="4" xfId="2" applyNumberFormat="1" applyFont="1" applyFill="1" applyBorder="1" applyAlignment="1">
      <alignment horizontal="center" vertical="center"/>
    </xf>
    <xf numFmtId="10" fontId="26" fillId="2" borderId="6" xfId="2" applyNumberFormat="1" applyFont="1" applyFill="1" applyBorder="1" applyAlignment="1">
      <alignment horizontal="center" vertical="center"/>
    </xf>
    <xf numFmtId="166" fontId="23" fillId="0" borderId="4" xfId="0" applyNumberFormat="1" applyFont="1" applyBorder="1" applyAlignment="1">
      <alignment vertical="center"/>
    </xf>
    <xf numFmtId="166" fontId="23" fillId="0" borderId="6" xfId="0" applyNumberFormat="1" applyFont="1" applyBorder="1" applyAlignment="1">
      <alignment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23" fillId="0" borderId="4" xfId="0" applyFont="1" applyBorder="1" applyAlignment="1">
      <alignment vertical="center"/>
    </xf>
    <xf numFmtId="43" fontId="24" fillId="0" borderId="3" xfId="3" applyFont="1" applyBorder="1" applyAlignment="1">
      <alignment vertical="center"/>
    </xf>
    <xf numFmtId="43" fontId="24" fillId="0" borderId="5" xfId="3" applyFont="1" applyBorder="1" applyAlignment="1">
      <alignment vertical="center"/>
    </xf>
    <xf numFmtId="43" fontId="24" fillId="0" borderId="8" xfId="3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0" fontId="12" fillId="0" borderId="2" xfId="0" applyFont="1" applyBorder="1" applyAlignment="1">
      <alignment horizontal="center"/>
    </xf>
    <xf numFmtId="166" fontId="0" fillId="0" borderId="4" xfId="0" applyNumberForma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0" fontId="26" fillId="2" borderId="3" xfId="2" applyNumberFormat="1" applyFont="1" applyFill="1" applyBorder="1" applyAlignment="1">
      <alignment horizontal="center" vertical="center"/>
    </xf>
    <xf numFmtId="10" fontId="26" fillId="2" borderId="5" xfId="2" applyNumberFormat="1" applyFont="1" applyFill="1" applyBorder="1" applyAlignment="1">
      <alignment horizontal="center" vertical="center"/>
    </xf>
    <xf numFmtId="10" fontId="26" fillId="2" borderId="8" xfId="2" applyNumberFormat="1" applyFont="1" applyFill="1" applyBorder="1" applyAlignment="1">
      <alignment horizontal="center" vertical="center"/>
    </xf>
    <xf numFmtId="10" fontId="17" fillId="2" borderId="3" xfId="2" applyNumberFormat="1" applyFont="1" applyFill="1" applyBorder="1" applyAlignment="1">
      <alignment horizontal="center" vertical="center"/>
    </xf>
    <xf numFmtId="10" fontId="17" fillId="2" borderId="5" xfId="2" applyNumberFormat="1" applyFont="1" applyFill="1" applyBorder="1" applyAlignment="1">
      <alignment horizontal="center" vertical="center"/>
    </xf>
    <xf numFmtId="10" fontId="17" fillId="2" borderId="8" xfId="2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43" fontId="24" fillId="0" borderId="5" xfId="0" applyNumberFormat="1" applyFont="1" applyBorder="1" applyAlignment="1">
      <alignment vertical="center"/>
    </xf>
    <xf numFmtId="43" fontId="16" fillId="0" borderId="5" xfId="3" applyFont="1" applyBorder="1" applyAlignment="1">
      <alignment vertical="center"/>
    </xf>
    <xf numFmtId="43" fontId="16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164" fontId="29" fillId="0" borderId="9" xfId="3" applyNumberFormat="1" applyFont="1" applyBorder="1"/>
    <xf numFmtId="164" fontId="29" fillId="0" borderId="11" xfId="3" applyNumberFormat="1" applyFont="1" applyBorder="1"/>
    <xf numFmtId="0" fontId="30" fillId="0" borderId="0" xfId="0" applyFont="1" applyFill="1" applyAlignment="1">
      <alignment horizontal="center"/>
    </xf>
    <xf numFmtId="0" fontId="29" fillId="0" borderId="2" xfId="0" applyFont="1" applyBorder="1"/>
    <xf numFmtId="0" fontId="29" fillId="0" borderId="7" xfId="0" applyFont="1" applyBorder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65" totalsRowShown="0">
  <autoFilter ref="A1:G65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82"/>
    <tableColumn id="2" xr3:uid="{F486AEE1-C7BF-4FB6-956C-83C2ABB71F18}" name="sector"/>
    <tableColumn id="1" xr3:uid="{4425B6E4-20BC-47CF-A149-57992AA900B4}" name="my_fi_name" dataDxfId="81"/>
    <tableColumn id="6" xr3:uid="{3FB674DC-28D9-413B-AEF2-94CC07DCB1E2}" name="my_pf_name" dataDxfId="80"/>
    <tableColumn id="5" xr3:uid="{1C677B6D-D63E-4271-8F12-49B31EA5C0F2}" name="anchor"/>
    <tableColumn id="3" xr3:uid="{B174390F-1C67-417C-A283-D8C2F19DC00A}" name="moving_avg_days" dataDxfId="79"/>
    <tableColumn id="7" xr3:uid="{C52E743F-9654-49BA-BB50-AD02E79E39CB}" name="div_trea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M24" sqref="M2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80</v>
      </c>
      <c r="B3" t="s">
        <v>172</v>
      </c>
    </row>
    <row r="4" spans="1:4" x14ac:dyDescent="0.25">
      <c r="A4" t="s">
        <v>34</v>
      </c>
      <c r="B4" t="str" cm="1">
        <f t="array" aca="1" ref="B4" ca="1">_xlfn.TEXTAFTER(CELL("filename",SCALARS!C1),"]")</f>
        <v>SCALARS</v>
      </c>
    </row>
    <row r="5" spans="1:4" x14ac:dyDescent="0.25">
      <c r="A5" t="s">
        <v>81</v>
      </c>
      <c r="B5" t="s">
        <v>35</v>
      </c>
    </row>
    <row r="6" spans="1:4" x14ac:dyDescent="0.25">
      <c r="A6" t="s">
        <v>82</v>
      </c>
      <c r="B6" t="s">
        <v>35</v>
      </c>
      <c r="D6" s="31">
        <v>46264.65247685185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1"/>
  <sheetViews>
    <sheetView topLeftCell="A28" workbookViewId="0">
      <selection activeCell="I59" sqref="I59"/>
    </sheetView>
  </sheetViews>
  <sheetFormatPr defaultRowHeight="15" customHeight="1" x14ac:dyDescent="0.25"/>
  <cols>
    <col min="1" max="2" width="18.28515625" bestFit="1" customWidth="1"/>
    <col min="3" max="3" width="14.5703125" style="11" bestFit="1" customWidth="1"/>
    <col min="4" max="4" width="18.85546875" style="1" bestFit="1" customWidth="1"/>
    <col min="5" max="5" width="16.42578125" style="1" bestFit="1" customWidth="1"/>
    <col min="6" max="6" width="16.42578125" style="1" customWidth="1"/>
    <col min="7" max="7" width="22.42578125" style="1" bestFit="1" customWidth="1"/>
  </cols>
  <sheetData>
    <row r="1" spans="1:9" ht="15" customHeight="1" x14ac:dyDescent="0.25">
      <c r="A1" t="s">
        <v>61</v>
      </c>
      <c r="B1" t="s">
        <v>128</v>
      </c>
      <c r="C1" s="11" t="s">
        <v>2</v>
      </c>
      <c r="D1" t="s">
        <v>1</v>
      </c>
      <c r="E1" t="s">
        <v>99</v>
      </c>
      <c r="F1" s="1" t="s">
        <v>9</v>
      </c>
      <c r="G1" t="s">
        <v>173</v>
      </c>
      <c r="H1" s="1"/>
      <c r="I1" s="1"/>
    </row>
    <row r="2" spans="1:9" ht="15" customHeight="1" x14ac:dyDescent="0.25">
      <c r="A2" t="s">
        <v>174</v>
      </c>
      <c r="B2" t="s">
        <v>175</v>
      </c>
      <c r="C2" s="11" t="s">
        <v>8</v>
      </c>
      <c r="D2" t="s">
        <v>0</v>
      </c>
      <c r="E2" t="s">
        <v>8</v>
      </c>
      <c r="F2" s="1">
        <v>20</v>
      </c>
      <c r="G2"/>
      <c r="H2" s="1"/>
      <c r="I2" s="1"/>
    </row>
    <row r="3" spans="1:9" ht="15" customHeight="1" x14ac:dyDescent="0.25">
      <c r="A3" t="s">
        <v>174</v>
      </c>
      <c r="B3" t="s">
        <v>175</v>
      </c>
      <c r="C3" s="11" t="s">
        <v>7</v>
      </c>
      <c r="D3" t="s">
        <v>0</v>
      </c>
      <c r="E3" t="s">
        <v>8</v>
      </c>
      <c r="F3" s="1">
        <v>20</v>
      </c>
      <c r="G3"/>
      <c r="H3" s="1"/>
      <c r="I3" s="1"/>
    </row>
    <row r="4" spans="1:9" ht="15" customHeight="1" x14ac:dyDescent="0.25">
      <c r="A4" t="s">
        <v>174</v>
      </c>
      <c r="B4" t="s">
        <v>175</v>
      </c>
      <c r="C4" s="11" t="s">
        <v>5</v>
      </c>
      <c r="D4" t="s">
        <v>0</v>
      </c>
      <c r="E4" t="s">
        <v>8</v>
      </c>
      <c r="F4" s="1">
        <v>20</v>
      </c>
      <c r="G4"/>
      <c r="H4" s="1"/>
      <c r="I4" s="1"/>
    </row>
    <row r="5" spans="1:9" ht="15" customHeight="1" x14ac:dyDescent="0.25">
      <c r="A5" t="s">
        <v>174</v>
      </c>
      <c r="B5" t="s">
        <v>175</v>
      </c>
      <c r="C5" s="11" t="s">
        <v>6</v>
      </c>
      <c r="D5" t="s">
        <v>0</v>
      </c>
      <c r="E5" t="s">
        <v>8</v>
      </c>
      <c r="F5" s="1">
        <v>20</v>
      </c>
      <c r="G5"/>
      <c r="H5" s="1"/>
      <c r="I5" s="1"/>
    </row>
    <row r="6" spans="1:9" ht="15" customHeight="1" x14ac:dyDescent="0.25">
      <c r="A6" t="s">
        <v>174</v>
      </c>
      <c r="B6" t="s">
        <v>176</v>
      </c>
      <c r="C6" s="11" t="s">
        <v>44</v>
      </c>
      <c r="D6" t="s">
        <v>0</v>
      </c>
      <c r="E6" t="s">
        <v>44</v>
      </c>
      <c r="F6" s="1">
        <v>20</v>
      </c>
      <c r="G6"/>
      <c r="H6" s="1"/>
      <c r="I6" s="1"/>
    </row>
    <row r="7" spans="1:9" ht="15" customHeight="1" x14ac:dyDescent="0.25">
      <c r="A7" t="s">
        <v>174</v>
      </c>
      <c r="B7" t="s">
        <v>176</v>
      </c>
      <c r="C7" s="11" t="s">
        <v>50</v>
      </c>
      <c r="D7" t="s">
        <v>0</v>
      </c>
      <c r="E7" t="s">
        <v>44</v>
      </c>
      <c r="F7" s="1">
        <v>20</v>
      </c>
      <c r="G7"/>
      <c r="H7" s="1"/>
      <c r="I7" s="1"/>
    </row>
    <row r="8" spans="1:9" ht="15" customHeight="1" x14ac:dyDescent="0.25">
      <c r="A8" t="s">
        <v>174</v>
      </c>
      <c r="B8" t="s">
        <v>177</v>
      </c>
      <c r="C8" s="11" t="s">
        <v>31</v>
      </c>
      <c r="D8" t="s">
        <v>0</v>
      </c>
      <c r="E8" t="s">
        <v>31</v>
      </c>
      <c r="F8" s="1">
        <v>20</v>
      </c>
      <c r="G8"/>
      <c r="H8" s="1"/>
      <c r="I8" s="1"/>
    </row>
    <row r="9" spans="1:9" ht="15" customHeight="1" x14ac:dyDescent="0.25">
      <c r="A9" t="s">
        <v>174</v>
      </c>
      <c r="B9" t="s">
        <v>177</v>
      </c>
      <c r="C9" s="11" t="s">
        <v>28</v>
      </c>
      <c r="D9" t="s">
        <v>0</v>
      </c>
      <c r="E9" t="s">
        <v>31</v>
      </c>
      <c r="F9" s="1">
        <v>20</v>
      </c>
      <c r="G9"/>
      <c r="H9" s="1"/>
      <c r="I9" s="1"/>
    </row>
    <row r="10" spans="1:9" ht="15" customHeight="1" x14ac:dyDescent="0.25">
      <c r="A10" t="s">
        <v>174</v>
      </c>
      <c r="B10" t="s">
        <v>177</v>
      </c>
      <c r="C10" s="11" t="s">
        <v>29</v>
      </c>
      <c r="D10" t="s">
        <v>0</v>
      </c>
      <c r="E10" t="s">
        <v>31</v>
      </c>
      <c r="F10" s="1">
        <v>20</v>
      </c>
      <c r="G10"/>
      <c r="H10" s="1"/>
      <c r="I10" s="1"/>
    </row>
    <row r="11" spans="1:9" ht="15" customHeight="1" x14ac:dyDescent="0.25">
      <c r="A11" t="s">
        <v>174</v>
      </c>
      <c r="B11" t="s">
        <v>177</v>
      </c>
      <c r="C11" s="11" t="s">
        <v>30</v>
      </c>
      <c r="D11" t="s">
        <v>0</v>
      </c>
      <c r="E11" t="s">
        <v>31</v>
      </c>
      <c r="F11" s="1">
        <v>20</v>
      </c>
      <c r="G11"/>
      <c r="H11" s="1"/>
      <c r="I11" s="1"/>
    </row>
    <row r="12" spans="1:9" ht="15" customHeight="1" x14ac:dyDescent="0.25">
      <c r="A12" t="s">
        <v>174</v>
      </c>
      <c r="B12" t="s">
        <v>178</v>
      </c>
      <c r="C12" s="11" t="s">
        <v>49</v>
      </c>
      <c r="D12" t="s">
        <v>0</v>
      </c>
      <c r="E12" t="s">
        <v>49</v>
      </c>
      <c r="F12" s="1">
        <v>20</v>
      </c>
      <c r="G12"/>
      <c r="H12" s="1"/>
      <c r="I12" s="1"/>
    </row>
    <row r="13" spans="1:9" ht="15" customHeight="1" x14ac:dyDescent="0.25">
      <c r="A13" t="s">
        <v>174</v>
      </c>
      <c r="B13" t="s">
        <v>178</v>
      </c>
      <c r="C13" s="11" t="s">
        <v>59</v>
      </c>
      <c r="D13" t="s">
        <v>0</v>
      </c>
      <c r="E13" t="s">
        <v>49</v>
      </c>
      <c r="F13" s="1">
        <v>20</v>
      </c>
      <c r="G13"/>
      <c r="H13" s="1"/>
      <c r="I13" s="1"/>
    </row>
    <row r="14" spans="1:9" ht="15" customHeight="1" x14ac:dyDescent="0.25">
      <c r="A14" t="s">
        <v>174</v>
      </c>
      <c r="B14" t="s">
        <v>179</v>
      </c>
      <c r="C14" s="11" t="s">
        <v>45</v>
      </c>
      <c r="D14" t="s">
        <v>0</v>
      </c>
      <c r="E14" t="s">
        <v>51</v>
      </c>
      <c r="F14" s="1">
        <v>20</v>
      </c>
      <c r="G14"/>
      <c r="H14" s="1"/>
      <c r="I14" s="1"/>
    </row>
    <row r="15" spans="1:9" ht="15" customHeight="1" x14ac:dyDescent="0.25">
      <c r="A15" t="s">
        <v>174</v>
      </c>
      <c r="B15" t="s">
        <v>179</v>
      </c>
      <c r="C15" s="11" t="s">
        <v>51</v>
      </c>
      <c r="D15" t="s">
        <v>0</v>
      </c>
      <c r="E15" t="s">
        <v>51</v>
      </c>
      <c r="F15" s="1">
        <v>20</v>
      </c>
      <c r="G15"/>
      <c r="H15" s="1"/>
      <c r="I15" s="1"/>
    </row>
    <row r="16" spans="1:9" ht="15" customHeight="1" x14ac:dyDescent="0.25">
      <c r="A16" t="s">
        <v>174</v>
      </c>
      <c r="B16" t="s">
        <v>180</v>
      </c>
      <c r="C16" s="11" t="s">
        <v>48</v>
      </c>
      <c r="D16" t="s">
        <v>0</v>
      </c>
      <c r="E16" t="s">
        <v>52</v>
      </c>
      <c r="F16" s="1">
        <v>20</v>
      </c>
      <c r="G16"/>
      <c r="H16" s="1"/>
      <c r="I16" s="1"/>
    </row>
    <row r="17" spans="1:9" ht="15" customHeight="1" x14ac:dyDescent="0.25">
      <c r="A17" t="s">
        <v>174</v>
      </c>
      <c r="B17" t="s">
        <v>180</v>
      </c>
      <c r="C17" s="11" t="s">
        <v>52</v>
      </c>
      <c r="D17" t="s">
        <v>0</v>
      </c>
      <c r="E17" t="s">
        <v>52</v>
      </c>
      <c r="F17" s="1">
        <v>20</v>
      </c>
      <c r="G17"/>
      <c r="H17" s="1"/>
      <c r="I17" s="1"/>
    </row>
    <row r="18" spans="1:9" ht="15" customHeight="1" x14ac:dyDescent="0.25">
      <c r="A18" t="s">
        <v>174</v>
      </c>
      <c r="B18" t="s">
        <v>181</v>
      </c>
      <c r="C18" s="11" t="s">
        <v>46</v>
      </c>
      <c r="D18" t="s">
        <v>0</v>
      </c>
      <c r="E18" t="s">
        <v>53</v>
      </c>
      <c r="F18" s="1">
        <v>20</v>
      </c>
      <c r="G18"/>
      <c r="H18" s="1"/>
      <c r="I18" s="1"/>
    </row>
    <row r="19" spans="1:9" ht="15" customHeight="1" x14ac:dyDescent="0.25">
      <c r="A19" t="s">
        <v>174</v>
      </c>
      <c r="B19" t="s">
        <v>181</v>
      </c>
      <c r="C19" s="11" t="s">
        <v>53</v>
      </c>
      <c r="D19" t="s">
        <v>0</v>
      </c>
      <c r="E19" t="s">
        <v>53</v>
      </c>
      <c r="F19" s="1">
        <v>20</v>
      </c>
      <c r="G19"/>
      <c r="H19" s="1"/>
      <c r="I19" s="1"/>
    </row>
    <row r="20" spans="1:9" ht="15" customHeight="1" x14ac:dyDescent="0.25">
      <c r="A20" t="s">
        <v>174</v>
      </c>
      <c r="B20" t="s">
        <v>182</v>
      </c>
      <c r="C20" s="11" t="s">
        <v>16</v>
      </c>
      <c r="D20" t="s">
        <v>0</v>
      </c>
      <c r="E20" t="s">
        <v>17</v>
      </c>
      <c r="F20" s="1">
        <v>20</v>
      </c>
      <c r="G20"/>
      <c r="H20" s="1"/>
      <c r="I20" s="1"/>
    </row>
    <row r="21" spans="1:9" ht="15" customHeight="1" x14ac:dyDescent="0.25">
      <c r="A21" t="s">
        <v>174</v>
      </c>
      <c r="B21" t="s">
        <v>182</v>
      </c>
      <c r="C21" s="11" t="s">
        <v>14</v>
      </c>
      <c r="D21" t="s">
        <v>0</v>
      </c>
      <c r="E21" t="s">
        <v>17</v>
      </c>
      <c r="F21" s="1">
        <v>20</v>
      </c>
      <c r="G21"/>
      <c r="H21" s="1"/>
      <c r="I21" s="1"/>
    </row>
    <row r="22" spans="1:9" ht="15" customHeight="1" x14ac:dyDescent="0.25">
      <c r="A22" t="s">
        <v>174</v>
      </c>
      <c r="B22" t="s">
        <v>182</v>
      </c>
      <c r="C22" s="11" t="s">
        <v>17</v>
      </c>
      <c r="D22" t="s">
        <v>0</v>
      </c>
      <c r="E22" t="s">
        <v>17</v>
      </c>
      <c r="F22" s="1">
        <v>20</v>
      </c>
      <c r="G22"/>
      <c r="H22" s="1"/>
      <c r="I22" s="1"/>
    </row>
    <row r="23" spans="1:9" ht="15" customHeight="1" x14ac:dyDescent="0.25">
      <c r="A23" t="s">
        <v>174</v>
      </c>
      <c r="B23" t="s">
        <v>182</v>
      </c>
      <c r="C23" s="11" t="s">
        <v>13</v>
      </c>
      <c r="D23" t="s">
        <v>0</v>
      </c>
      <c r="E23" t="s">
        <v>17</v>
      </c>
      <c r="F23" s="1">
        <v>20</v>
      </c>
      <c r="G23"/>
      <c r="H23" s="1"/>
      <c r="I23" s="1"/>
    </row>
    <row r="24" spans="1:9" ht="15" customHeight="1" x14ac:dyDescent="0.25">
      <c r="A24" t="s">
        <v>174</v>
      </c>
      <c r="B24" t="s">
        <v>182</v>
      </c>
      <c r="C24" s="11" t="s">
        <v>12</v>
      </c>
      <c r="D24" t="s">
        <v>0</v>
      </c>
      <c r="E24" t="s">
        <v>17</v>
      </c>
      <c r="F24" s="1">
        <v>20</v>
      </c>
      <c r="G24"/>
      <c r="H24" s="1"/>
      <c r="I24" s="1"/>
    </row>
    <row r="25" spans="1:9" ht="15" customHeight="1" x14ac:dyDescent="0.25">
      <c r="A25" t="s">
        <v>174</v>
      </c>
      <c r="B25" t="s">
        <v>182</v>
      </c>
      <c r="C25" s="11" t="s">
        <v>15</v>
      </c>
      <c r="D25" t="s">
        <v>0</v>
      </c>
      <c r="E25" t="s">
        <v>17</v>
      </c>
      <c r="F25" s="1">
        <v>20</v>
      </c>
      <c r="G25"/>
      <c r="H25" s="1"/>
      <c r="I25" s="1"/>
    </row>
    <row r="26" spans="1:9" ht="15" customHeight="1" x14ac:dyDescent="0.25">
      <c r="A26" t="s">
        <v>174</v>
      </c>
      <c r="B26" t="s">
        <v>183</v>
      </c>
      <c r="C26" s="11" t="s">
        <v>20</v>
      </c>
      <c r="D26" t="s">
        <v>0</v>
      </c>
      <c r="E26" t="s">
        <v>20</v>
      </c>
      <c r="F26" s="1">
        <v>20</v>
      </c>
      <c r="G26"/>
      <c r="H26" s="1"/>
      <c r="I26" s="1"/>
    </row>
    <row r="27" spans="1:9" ht="15" customHeight="1" x14ac:dyDescent="0.25">
      <c r="A27" t="s">
        <v>174</v>
      </c>
      <c r="B27" t="s">
        <v>183</v>
      </c>
      <c r="C27" s="11" t="s">
        <v>18</v>
      </c>
      <c r="D27" t="s">
        <v>0</v>
      </c>
      <c r="E27" t="s">
        <v>20</v>
      </c>
      <c r="F27" s="1">
        <v>20</v>
      </c>
      <c r="G27"/>
      <c r="H27" s="1"/>
      <c r="I27" s="1"/>
    </row>
    <row r="28" spans="1:9" ht="15" customHeight="1" x14ac:dyDescent="0.25">
      <c r="A28" t="s">
        <v>174</v>
      </c>
      <c r="B28" t="s">
        <v>183</v>
      </c>
      <c r="C28" s="11" t="s">
        <v>19</v>
      </c>
      <c r="D28" t="s">
        <v>0</v>
      </c>
      <c r="E28" t="s">
        <v>20</v>
      </c>
      <c r="F28" s="1">
        <v>20</v>
      </c>
      <c r="G28"/>
      <c r="H28" s="1"/>
      <c r="I28" s="1"/>
    </row>
    <row r="29" spans="1:9" ht="15" customHeight="1" x14ac:dyDescent="0.25">
      <c r="A29" t="s">
        <v>174</v>
      </c>
      <c r="B29" t="s">
        <v>184</v>
      </c>
      <c r="C29" s="11" t="s">
        <v>4</v>
      </c>
      <c r="D29" t="s">
        <v>0</v>
      </c>
      <c r="E29" t="s">
        <v>4</v>
      </c>
      <c r="F29" s="1">
        <v>20</v>
      </c>
      <c r="G29"/>
      <c r="H29" s="1"/>
      <c r="I29" s="1"/>
    </row>
    <row r="30" spans="1:9" ht="15" customHeight="1" x14ac:dyDescent="0.25">
      <c r="A30" t="s">
        <v>174</v>
      </c>
      <c r="B30" t="s">
        <v>184</v>
      </c>
      <c r="C30" s="11" t="s">
        <v>21</v>
      </c>
      <c r="D30" t="s">
        <v>0</v>
      </c>
      <c r="E30" t="s">
        <v>4</v>
      </c>
      <c r="F30" s="1">
        <v>20</v>
      </c>
      <c r="G30"/>
      <c r="H30" s="1"/>
      <c r="I30" s="1"/>
    </row>
    <row r="31" spans="1:9" ht="15" customHeight="1" x14ac:dyDescent="0.25">
      <c r="A31" t="s">
        <v>174</v>
      </c>
      <c r="B31" t="s">
        <v>184</v>
      </c>
      <c r="C31" s="11" t="s">
        <v>3</v>
      </c>
      <c r="D31" t="s">
        <v>0</v>
      </c>
      <c r="E31" t="s">
        <v>4</v>
      </c>
      <c r="F31" s="1">
        <v>20</v>
      </c>
      <c r="G31"/>
      <c r="H31" s="1"/>
      <c r="I31" s="1"/>
    </row>
    <row r="32" spans="1:9" ht="15" customHeight="1" x14ac:dyDescent="0.25">
      <c r="A32" t="s">
        <v>174</v>
      </c>
      <c r="B32" t="s">
        <v>185</v>
      </c>
      <c r="C32" s="11" t="s">
        <v>54</v>
      </c>
      <c r="D32" t="s">
        <v>0</v>
      </c>
      <c r="E32" t="s">
        <v>54</v>
      </c>
      <c r="F32" s="1">
        <v>20</v>
      </c>
      <c r="G32"/>
      <c r="H32" s="1"/>
      <c r="I32" s="1"/>
    </row>
    <row r="33" spans="1:18" ht="15" customHeight="1" x14ac:dyDescent="0.25">
      <c r="A33" t="s">
        <v>174</v>
      </c>
      <c r="B33" t="s">
        <v>185</v>
      </c>
      <c r="C33" s="11" t="s">
        <v>55</v>
      </c>
      <c r="D33" t="s">
        <v>0</v>
      </c>
      <c r="E33" t="s">
        <v>54</v>
      </c>
      <c r="F33" s="1">
        <v>20</v>
      </c>
      <c r="G33"/>
      <c r="H33" s="1"/>
      <c r="I33" s="1"/>
    </row>
    <row r="34" spans="1:18" ht="15" customHeight="1" x14ac:dyDescent="0.25">
      <c r="A34" t="s">
        <v>174</v>
      </c>
      <c r="B34" t="s">
        <v>186</v>
      </c>
      <c r="C34" s="11" t="s">
        <v>23</v>
      </c>
      <c r="D34" t="s">
        <v>0</v>
      </c>
      <c r="E34" t="s">
        <v>24</v>
      </c>
      <c r="F34" s="1">
        <v>20</v>
      </c>
      <c r="G34"/>
      <c r="H34" s="1"/>
      <c r="I34" s="1"/>
    </row>
    <row r="35" spans="1:18" ht="15" customHeight="1" x14ac:dyDescent="0.25">
      <c r="A35" t="s">
        <v>174</v>
      </c>
      <c r="B35" t="s">
        <v>186</v>
      </c>
      <c r="C35" s="11" t="s">
        <v>22</v>
      </c>
      <c r="D35" t="s">
        <v>0</v>
      </c>
      <c r="E35" t="s">
        <v>24</v>
      </c>
      <c r="F35" s="1">
        <v>20</v>
      </c>
      <c r="G35"/>
      <c r="H35" s="1"/>
      <c r="I35" s="1"/>
    </row>
    <row r="36" spans="1:18" ht="15" customHeight="1" x14ac:dyDescent="0.25">
      <c r="A36" t="s">
        <v>174</v>
      </c>
      <c r="B36" t="s">
        <v>186</v>
      </c>
      <c r="C36" s="11" t="s">
        <v>24</v>
      </c>
      <c r="D36" t="s">
        <v>0</v>
      </c>
      <c r="E36" t="s">
        <v>24</v>
      </c>
      <c r="F36" s="1">
        <v>20</v>
      </c>
      <c r="G36"/>
      <c r="H36" s="1"/>
      <c r="I36" s="1"/>
    </row>
    <row r="37" spans="1:18" ht="15" customHeight="1" x14ac:dyDescent="0.25">
      <c r="A37" t="s">
        <v>174</v>
      </c>
      <c r="B37" t="s">
        <v>187</v>
      </c>
      <c r="C37" s="11" t="s">
        <v>26</v>
      </c>
      <c r="D37" t="s">
        <v>0</v>
      </c>
      <c r="E37" t="s">
        <v>27</v>
      </c>
      <c r="F37" s="1">
        <v>20</v>
      </c>
      <c r="G37"/>
      <c r="H37" s="1"/>
      <c r="I37" s="1"/>
    </row>
    <row r="38" spans="1:18" ht="15" customHeight="1" x14ac:dyDescent="0.25">
      <c r="A38" t="s">
        <v>174</v>
      </c>
      <c r="B38" t="s">
        <v>187</v>
      </c>
      <c r="C38" s="11" t="s">
        <v>25</v>
      </c>
      <c r="D38" t="s">
        <v>0</v>
      </c>
      <c r="E38" t="s">
        <v>27</v>
      </c>
      <c r="F38" s="1">
        <v>20</v>
      </c>
      <c r="G38"/>
      <c r="H38" s="1"/>
      <c r="I38" s="1"/>
    </row>
    <row r="39" spans="1:18" ht="15" customHeight="1" x14ac:dyDescent="0.25">
      <c r="A39" t="s">
        <v>174</v>
      </c>
      <c r="B39" t="s">
        <v>187</v>
      </c>
      <c r="C39" s="11" t="s">
        <v>27</v>
      </c>
      <c r="D39" t="s">
        <v>0</v>
      </c>
      <c r="E39" t="s">
        <v>27</v>
      </c>
      <c r="F39" s="1">
        <v>20</v>
      </c>
      <c r="G39"/>
      <c r="H39" s="1"/>
      <c r="I39" s="1"/>
    </row>
    <row r="40" spans="1:18" ht="15" customHeight="1" x14ac:dyDescent="0.25">
      <c r="A40" t="s">
        <v>174</v>
      </c>
      <c r="B40" t="s">
        <v>188</v>
      </c>
      <c r="C40" s="11" t="s">
        <v>47</v>
      </c>
      <c r="D40" t="s">
        <v>0</v>
      </c>
      <c r="E40" t="s">
        <v>58</v>
      </c>
      <c r="F40" s="1">
        <v>20</v>
      </c>
      <c r="G40"/>
      <c r="H40" s="1"/>
      <c r="I40" s="1"/>
    </row>
    <row r="41" spans="1:18" ht="15" customHeight="1" x14ac:dyDescent="0.25">
      <c r="A41" t="s">
        <v>174</v>
      </c>
      <c r="B41" t="s">
        <v>188</v>
      </c>
      <c r="C41" s="11" t="s">
        <v>58</v>
      </c>
      <c r="D41" t="s">
        <v>0</v>
      </c>
      <c r="E41" t="s">
        <v>58</v>
      </c>
      <c r="F41" s="1">
        <v>20</v>
      </c>
      <c r="G41"/>
      <c r="H41" s="1"/>
      <c r="I41" s="1"/>
    </row>
    <row r="42" spans="1:18" ht="15" customHeight="1" x14ac:dyDescent="0.25">
      <c r="A42" t="s">
        <v>128</v>
      </c>
      <c r="B42" s="157" t="s">
        <v>153</v>
      </c>
      <c r="C42" s="11" t="s">
        <v>100</v>
      </c>
      <c r="D42" t="s">
        <v>0</v>
      </c>
      <c r="E42" t="s">
        <v>101</v>
      </c>
      <c r="F42" s="1">
        <v>20</v>
      </c>
      <c r="G42" t="s">
        <v>159</v>
      </c>
      <c r="H42" s="1"/>
      <c r="I42" s="1"/>
      <c r="L42" s="1"/>
      <c r="M42" s="1"/>
      <c r="N42" s="1"/>
      <c r="O42" s="1"/>
      <c r="P42" s="1"/>
      <c r="Q42" s="1"/>
      <c r="R42" s="1"/>
    </row>
    <row r="43" spans="1:18" ht="15" customHeight="1" x14ac:dyDescent="0.25">
      <c r="A43" t="s">
        <v>128</v>
      </c>
      <c r="B43" s="157" t="s">
        <v>153</v>
      </c>
      <c r="C43" s="11" t="s">
        <v>101</v>
      </c>
      <c r="D43" t="s">
        <v>0</v>
      </c>
      <c r="E43" t="s">
        <v>101</v>
      </c>
      <c r="F43" s="1">
        <v>20</v>
      </c>
      <c r="G43" t="s">
        <v>159</v>
      </c>
      <c r="H43" s="1"/>
      <c r="I43" s="1"/>
    </row>
    <row r="44" spans="1:18" ht="15" customHeight="1" x14ac:dyDescent="0.25">
      <c r="A44" t="s">
        <v>128</v>
      </c>
      <c r="B44" s="157" t="s">
        <v>156</v>
      </c>
      <c r="C44" s="11" t="s">
        <v>103</v>
      </c>
      <c r="D44" t="s">
        <v>0</v>
      </c>
      <c r="E44" t="s">
        <v>105</v>
      </c>
      <c r="F44" s="1">
        <v>20</v>
      </c>
      <c r="G44" t="s">
        <v>159</v>
      </c>
      <c r="H44" s="1"/>
      <c r="I44" s="1"/>
    </row>
    <row r="45" spans="1:18" ht="15" customHeight="1" x14ac:dyDescent="0.25">
      <c r="A45" t="s">
        <v>128</v>
      </c>
      <c r="B45" s="157" t="s">
        <v>156</v>
      </c>
      <c r="C45" s="11" t="s">
        <v>105</v>
      </c>
      <c r="D45" t="s">
        <v>0</v>
      </c>
      <c r="E45" t="s">
        <v>105</v>
      </c>
      <c r="F45" s="1">
        <v>20</v>
      </c>
      <c r="G45" t="s">
        <v>159</v>
      </c>
      <c r="H45" s="1"/>
      <c r="I45" s="1"/>
    </row>
    <row r="46" spans="1:18" ht="15" customHeight="1" x14ac:dyDescent="0.25">
      <c r="A46" t="s">
        <v>128</v>
      </c>
      <c r="B46" s="157" t="s">
        <v>157</v>
      </c>
      <c r="C46" s="11" t="s">
        <v>110</v>
      </c>
      <c r="D46" t="s">
        <v>0</v>
      </c>
      <c r="E46" t="s">
        <v>112</v>
      </c>
      <c r="F46" s="1">
        <v>20</v>
      </c>
      <c r="G46" t="s">
        <v>159</v>
      </c>
      <c r="H46" s="1"/>
      <c r="I46" s="1"/>
    </row>
    <row r="47" spans="1:18" ht="15" customHeight="1" x14ac:dyDescent="0.25">
      <c r="A47" t="s">
        <v>128</v>
      </c>
      <c r="B47" s="157" t="s">
        <v>157</v>
      </c>
      <c r="C47" s="11" t="s">
        <v>112</v>
      </c>
      <c r="D47" t="s">
        <v>0</v>
      </c>
      <c r="E47" t="s">
        <v>112</v>
      </c>
      <c r="F47" s="1">
        <v>20</v>
      </c>
      <c r="G47" t="s">
        <v>159</v>
      </c>
      <c r="H47" s="1"/>
      <c r="I47" s="1"/>
    </row>
    <row r="48" spans="1:18" ht="15" customHeight="1" x14ac:dyDescent="0.25">
      <c r="A48" t="s">
        <v>128</v>
      </c>
      <c r="B48" s="157" t="s">
        <v>155</v>
      </c>
      <c r="C48" s="11" t="s">
        <v>116</v>
      </c>
      <c r="D48" t="s">
        <v>0</v>
      </c>
      <c r="E48" t="s">
        <v>118</v>
      </c>
      <c r="F48" s="1">
        <v>20</v>
      </c>
      <c r="G48" t="s">
        <v>159</v>
      </c>
      <c r="H48" s="1"/>
      <c r="I48" s="1"/>
    </row>
    <row r="49" spans="1:9" ht="15" customHeight="1" x14ac:dyDescent="0.25">
      <c r="A49" t="s">
        <v>128</v>
      </c>
      <c r="B49" s="157" t="s">
        <v>155</v>
      </c>
      <c r="C49" s="11" t="s">
        <v>118</v>
      </c>
      <c r="D49" t="s">
        <v>0</v>
      </c>
      <c r="E49" t="s">
        <v>118</v>
      </c>
      <c r="F49" s="1">
        <v>20</v>
      </c>
      <c r="G49" t="s">
        <v>159</v>
      </c>
      <c r="H49" s="1"/>
      <c r="I49" s="1"/>
    </row>
    <row r="50" spans="1:9" ht="15" customHeight="1" x14ac:dyDescent="0.25">
      <c r="A50" t="s">
        <v>128</v>
      </c>
      <c r="B50" s="157" t="s">
        <v>189</v>
      </c>
      <c r="C50" s="11" t="s">
        <v>120</v>
      </c>
      <c r="D50" t="s">
        <v>0</v>
      </c>
      <c r="E50" t="s">
        <v>120</v>
      </c>
      <c r="F50" s="1">
        <v>20</v>
      </c>
      <c r="G50" t="s">
        <v>159</v>
      </c>
      <c r="H50" s="1"/>
      <c r="I50" s="1"/>
    </row>
    <row r="51" spans="1:9" ht="15" customHeight="1" x14ac:dyDescent="0.25">
      <c r="A51" t="s">
        <v>128</v>
      </c>
      <c r="B51" s="157" t="s">
        <v>189</v>
      </c>
      <c r="C51" s="11" t="s">
        <v>122</v>
      </c>
      <c r="D51" t="s">
        <v>0</v>
      </c>
      <c r="E51" t="s">
        <v>120</v>
      </c>
      <c r="F51" s="1">
        <v>20</v>
      </c>
      <c r="G51" t="s">
        <v>159</v>
      </c>
      <c r="H51" s="1"/>
      <c r="I51" s="1"/>
    </row>
    <row r="52" spans="1:9" ht="15" customHeight="1" x14ac:dyDescent="0.25">
      <c r="A52" t="s">
        <v>128</v>
      </c>
      <c r="B52" s="157" t="s">
        <v>154</v>
      </c>
      <c r="C52" s="11" t="s">
        <v>124</v>
      </c>
      <c r="D52" t="s">
        <v>0</v>
      </c>
      <c r="E52" t="s">
        <v>126</v>
      </c>
      <c r="F52" s="1">
        <v>20</v>
      </c>
      <c r="G52" t="s">
        <v>159</v>
      </c>
      <c r="H52" s="1"/>
      <c r="I52" s="1"/>
    </row>
    <row r="53" spans="1:9" ht="15" customHeight="1" x14ac:dyDescent="0.25">
      <c r="A53" t="s">
        <v>128</v>
      </c>
      <c r="B53" s="157" t="s">
        <v>154</v>
      </c>
      <c r="C53" s="11" t="s">
        <v>126</v>
      </c>
      <c r="D53" t="s">
        <v>0</v>
      </c>
      <c r="E53" t="s">
        <v>126</v>
      </c>
      <c r="F53" s="1">
        <v>20</v>
      </c>
      <c r="G53" t="s">
        <v>159</v>
      </c>
      <c r="H53" s="1"/>
      <c r="I53" s="1"/>
    </row>
    <row r="54" spans="1:9" ht="15" customHeight="1" x14ac:dyDescent="0.25">
      <c r="A54" t="s">
        <v>128</v>
      </c>
      <c r="B54" s="157" t="s">
        <v>156</v>
      </c>
      <c r="C54" s="11" t="s">
        <v>104</v>
      </c>
      <c r="D54" t="s">
        <v>0</v>
      </c>
      <c r="E54" t="s">
        <v>104</v>
      </c>
      <c r="F54" s="1">
        <v>20</v>
      </c>
      <c r="G54" t="s">
        <v>159</v>
      </c>
      <c r="H54" s="1"/>
      <c r="I54" s="1"/>
    </row>
    <row r="55" spans="1:9" ht="15" customHeight="1" x14ac:dyDescent="0.25">
      <c r="A55" t="s">
        <v>128</v>
      </c>
      <c r="B55" s="157" t="s">
        <v>156</v>
      </c>
      <c r="C55" s="11" t="s">
        <v>106</v>
      </c>
      <c r="D55" t="s">
        <v>0</v>
      </c>
      <c r="E55" t="s">
        <v>104</v>
      </c>
      <c r="F55" s="1">
        <v>20</v>
      </c>
      <c r="G55" t="s">
        <v>159</v>
      </c>
      <c r="H55" s="1"/>
      <c r="I55" s="1"/>
    </row>
    <row r="56" spans="1:9" ht="15" customHeight="1" x14ac:dyDescent="0.25">
      <c r="A56" t="s">
        <v>128</v>
      </c>
      <c r="B56" s="157" t="s">
        <v>158</v>
      </c>
      <c r="C56" s="11" t="s">
        <v>107</v>
      </c>
      <c r="D56" t="s">
        <v>0</v>
      </c>
      <c r="E56" t="s">
        <v>107</v>
      </c>
      <c r="F56" s="1">
        <v>20</v>
      </c>
      <c r="G56" t="s">
        <v>159</v>
      </c>
      <c r="H56" s="1"/>
      <c r="I56" s="1"/>
    </row>
    <row r="57" spans="1:9" ht="15" customHeight="1" x14ac:dyDescent="0.25">
      <c r="A57" t="s">
        <v>128</v>
      </c>
      <c r="B57" s="157" t="s">
        <v>158</v>
      </c>
      <c r="C57" s="11" t="s">
        <v>109</v>
      </c>
      <c r="D57" t="s">
        <v>0</v>
      </c>
      <c r="E57" t="s">
        <v>107</v>
      </c>
      <c r="F57" s="1">
        <v>20</v>
      </c>
      <c r="G57" t="s">
        <v>159</v>
      </c>
      <c r="H57" s="1"/>
      <c r="I57" s="1"/>
    </row>
    <row r="58" spans="1:9" ht="15" customHeight="1" x14ac:dyDescent="0.25">
      <c r="A58" t="s">
        <v>128</v>
      </c>
      <c r="B58" s="157" t="s">
        <v>157</v>
      </c>
      <c r="C58" s="11" t="s">
        <v>111</v>
      </c>
      <c r="D58" t="s">
        <v>0</v>
      </c>
      <c r="E58" t="s">
        <v>113</v>
      </c>
      <c r="F58" s="1">
        <v>20</v>
      </c>
      <c r="G58" t="s">
        <v>159</v>
      </c>
      <c r="H58" s="1"/>
      <c r="I58" s="1"/>
    </row>
    <row r="59" spans="1:9" ht="15" customHeight="1" x14ac:dyDescent="0.25">
      <c r="A59" t="s">
        <v>128</v>
      </c>
      <c r="B59" s="157" t="s">
        <v>157</v>
      </c>
      <c r="C59" s="11" t="s">
        <v>113</v>
      </c>
      <c r="D59" t="s">
        <v>0</v>
      </c>
      <c r="E59" t="s">
        <v>113</v>
      </c>
      <c r="F59" s="1">
        <v>20</v>
      </c>
      <c r="G59" t="s">
        <v>159</v>
      </c>
      <c r="H59" s="1"/>
      <c r="I59" s="1"/>
    </row>
    <row r="60" spans="1:9" ht="15" customHeight="1" x14ac:dyDescent="0.25">
      <c r="A60" t="s">
        <v>128</v>
      </c>
      <c r="B60" s="157" t="s">
        <v>155</v>
      </c>
      <c r="C60" s="11" t="s">
        <v>117</v>
      </c>
      <c r="D60" t="s">
        <v>0</v>
      </c>
      <c r="E60" t="s">
        <v>117</v>
      </c>
      <c r="F60" s="283">
        <v>10</v>
      </c>
      <c r="G60" t="s">
        <v>159</v>
      </c>
      <c r="H60" s="1"/>
      <c r="I60" s="1"/>
    </row>
    <row r="61" spans="1:9" ht="15" customHeight="1" x14ac:dyDescent="0.25">
      <c r="A61" t="s">
        <v>128</v>
      </c>
      <c r="B61" s="157" t="s">
        <v>155</v>
      </c>
      <c r="C61" s="11" t="s">
        <v>119</v>
      </c>
      <c r="D61" t="s">
        <v>0</v>
      </c>
      <c r="E61" t="s">
        <v>117</v>
      </c>
      <c r="F61" s="283">
        <v>10</v>
      </c>
      <c r="G61" t="s">
        <v>159</v>
      </c>
      <c r="H61" s="1"/>
      <c r="I61" s="1"/>
    </row>
    <row r="62" spans="1:9" ht="15" customHeight="1" x14ac:dyDescent="0.25">
      <c r="A62" t="s">
        <v>128</v>
      </c>
      <c r="B62" s="157" t="s">
        <v>189</v>
      </c>
      <c r="C62" s="11" t="s">
        <v>121</v>
      </c>
      <c r="D62" t="s">
        <v>0</v>
      </c>
      <c r="E62" t="s">
        <v>121</v>
      </c>
      <c r="F62" s="283">
        <v>10</v>
      </c>
      <c r="G62" t="s">
        <v>159</v>
      </c>
      <c r="H62" s="1"/>
      <c r="I62" s="1"/>
    </row>
    <row r="63" spans="1:9" ht="15" customHeight="1" x14ac:dyDescent="0.25">
      <c r="A63" t="s">
        <v>128</v>
      </c>
      <c r="B63" s="157" t="s">
        <v>189</v>
      </c>
      <c r="C63" s="11" t="s">
        <v>123</v>
      </c>
      <c r="D63" t="s">
        <v>0</v>
      </c>
      <c r="E63" t="s">
        <v>121</v>
      </c>
      <c r="F63" s="283">
        <v>10</v>
      </c>
      <c r="G63" t="s">
        <v>159</v>
      </c>
      <c r="H63" s="1"/>
      <c r="I63" s="1"/>
    </row>
    <row r="64" spans="1:9" ht="15" customHeight="1" x14ac:dyDescent="0.25">
      <c r="A64" t="s">
        <v>128</v>
      </c>
      <c r="B64" s="157" t="s">
        <v>154</v>
      </c>
      <c r="C64" s="11" t="s">
        <v>125</v>
      </c>
      <c r="D64" t="s">
        <v>0</v>
      </c>
      <c r="E64" t="s">
        <v>125</v>
      </c>
      <c r="F64" s="1">
        <v>20</v>
      </c>
      <c r="G64" t="s">
        <v>159</v>
      </c>
      <c r="H64" s="1"/>
      <c r="I64" s="1"/>
    </row>
    <row r="65" spans="1:9" ht="15" customHeight="1" x14ac:dyDescent="0.25">
      <c r="A65" t="s">
        <v>128</v>
      </c>
      <c r="B65" s="157" t="s">
        <v>154</v>
      </c>
      <c r="C65" s="11" t="s">
        <v>127</v>
      </c>
      <c r="D65" t="s">
        <v>0</v>
      </c>
      <c r="E65" t="s">
        <v>125</v>
      </c>
      <c r="F65" s="1">
        <v>20</v>
      </c>
      <c r="G65" t="s">
        <v>159</v>
      </c>
      <c r="H65" s="1"/>
      <c r="I65" s="1"/>
    </row>
    <row r="66" spans="1:9" ht="15" customHeight="1" x14ac:dyDescent="0.25">
      <c r="A66" s="157"/>
      <c r="D66" s="157"/>
      <c r="H66" s="1"/>
      <c r="I66" s="1"/>
    </row>
    <row r="67" spans="1:9" ht="15" customHeight="1" x14ac:dyDescent="0.25">
      <c r="A67" s="157"/>
      <c r="D67" s="157"/>
      <c r="H67" s="1"/>
      <c r="I67" s="1"/>
    </row>
    <row r="68" spans="1:9" ht="15" customHeight="1" x14ac:dyDescent="0.25">
      <c r="A68" s="157" t="s">
        <v>152</v>
      </c>
      <c r="B68" s="157" t="s">
        <v>147</v>
      </c>
      <c r="C68" s="11" t="s">
        <v>114</v>
      </c>
      <c r="D68" s="157" t="s">
        <v>0</v>
      </c>
      <c r="E68" t="s">
        <v>115</v>
      </c>
      <c r="F68" s="1">
        <v>20</v>
      </c>
      <c r="G68" t="s">
        <v>159</v>
      </c>
      <c r="H68" s="1"/>
      <c r="I68" s="1"/>
    </row>
    <row r="69" spans="1:9" ht="15" customHeight="1" x14ac:dyDescent="0.25">
      <c r="A69" s="157" t="s">
        <v>152</v>
      </c>
      <c r="B69" s="157" t="s">
        <v>145</v>
      </c>
      <c r="C69" s="11" t="s">
        <v>108</v>
      </c>
      <c r="D69" s="157" t="s">
        <v>0</v>
      </c>
      <c r="E69" t="s">
        <v>108</v>
      </c>
      <c r="F69" s="1">
        <v>20</v>
      </c>
      <c r="G69" t="s">
        <v>159</v>
      </c>
      <c r="H69" s="1"/>
      <c r="I69" s="1"/>
    </row>
    <row r="70" spans="1:9" ht="15" customHeight="1" x14ac:dyDescent="0.25">
      <c r="A70" t="s">
        <v>152</v>
      </c>
      <c r="B70" s="157" t="s">
        <v>143</v>
      </c>
      <c r="C70" s="11" t="s">
        <v>102</v>
      </c>
      <c r="D70" t="s">
        <v>0</v>
      </c>
      <c r="E70" t="s">
        <v>101</v>
      </c>
      <c r="F70" s="1">
        <v>20</v>
      </c>
      <c r="G70" t="s">
        <v>159</v>
      </c>
    </row>
    <row r="71" spans="1:9" ht="15" customHeight="1" x14ac:dyDescent="0.25">
      <c r="A71" t="s">
        <v>152</v>
      </c>
      <c r="B71" s="157" t="s">
        <v>147</v>
      </c>
      <c r="C71" s="11" t="s">
        <v>115</v>
      </c>
      <c r="D71" t="s">
        <v>0</v>
      </c>
      <c r="E71" t="str">
        <f>C60</f>
        <v>IYR</v>
      </c>
      <c r="F71" s="1">
        <v>20</v>
      </c>
      <c r="G71" t="s">
        <v>159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71"/>
  <sheetViews>
    <sheetView workbookViewId="0">
      <selection activeCell="F39" sqref="F3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t="s">
        <v>42</v>
      </c>
    </row>
    <row r="2" spans="1:10" x14ac:dyDescent="0.25">
      <c r="A2" t="s">
        <v>43</v>
      </c>
      <c r="B2" t="s">
        <v>8</v>
      </c>
      <c r="C2" t="s">
        <v>0</v>
      </c>
      <c r="D2" s="6">
        <v>19300</v>
      </c>
      <c r="E2" s="2">
        <v>97.36</v>
      </c>
      <c r="F2" s="2">
        <v>97.37</v>
      </c>
      <c r="G2" s="6">
        <v>68100</v>
      </c>
      <c r="H2" s="2">
        <v>97.489998</v>
      </c>
      <c r="I2" s="6">
        <v>0</v>
      </c>
      <c r="J2" t="s">
        <v>190</v>
      </c>
    </row>
    <row r="3" spans="1:10" x14ac:dyDescent="0.25">
      <c r="A3" t="s">
        <v>43</v>
      </c>
      <c r="B3" t="s">
        <v>44</v>
      </c>
      <c r="C3" t="s">
        <v>0</v>
      </c>
      <c r="D3" s="6">
        <v>15200</v>
      </c>
      <c r="E3" s="2">
        <v>28.99</v>
      </c>
      <c r="F3" s="2">
        <v>29</v>
      </c>
      <c r="G3" s="6">
        <v>14100</v>
      </c>
      <c r="H3" s="2">
        <v>29.030000999999999</v>
      </c>
      <c r="I3" s="6">
        <v>0</v>
      </c>
      <c r="J3" t="s">
        <v>190</v>
      </c>
    </row>
    <row r="4" spans="1:10" x14ac:dyDescent="0.25">
      <c r="A4" t="s">
        <v>43</v>
      </c>
      <c r="B4" t="s">
        <v>7</v>
      </c>
      <c r="C4" t="s">
        <v>0</v>
      </c>
      <c r="D4" s="6">
        <v>49800</v>
      </c>
      <c r="E4" s="2">
        <v>72.2</v>
      </c>
      <c r="F4" s="2">
        <v>72.209999999999994</v>
      </c>
      <c r="G4" s="6">
        <v>52000</v>
      </c>
      <c r="H4" s="2">
        <v>72.309997999999993</v>
      </c>
      <c r="I4" s="6">
        <v>0</v>
      </c>
      <c r="J4" t="s">
        <v>190</v>
      </c>
    </row>
    <row r="5" spans="1:10" x14ac:dyDescent="0.25">
      <c r="A5" t="s">
        <v>43</v>
      </c>
      <c r="B5" t="s">
        <v>45</v>
      </c>
      <c r="C5" t="s">
        <v>0</v>
      </c>
      <c r="D5" s="6">
        <v>33000</v>
      </c>
      <c r="E5" s="2">
        <v>47.54</v>
      </c>
      <c r="F5" s="2">
        <v>47.55</v>
      </c>
      <c r="G5" s="6">
        <v>33100</v>
      </c>
      <c r="H5" s="2">
        <v>47.599997999999999</v>
      </c>
      <c r="I5" s="6">
        <v>0</v>
      </c>
      <c r="J5" t="s">
        <v>190</v>
      </c>
    </row>
    <row r="6" spans="1:10" x14ac:dyDescent="0.25">
      <c r="A6" t="s">
        <v>43</v>
      </c>
      <c r="B6" t="s">
        <v>46</v>
      </c>
      <c r="C6" t="s">
        <v>0</v>
      </c>
      <c r="D6" s="6">
        <v>32400</v>
      </c>
      <c r="E6" s="2">
        <v>21.81</v>
      </c>
      <c r="F6" s="2">
        <v>21.82</v>
      </c>
      <c r="G6" s="6">
        <v>10400</v>
      </c>
      <c r="H6" s="2">
        <v>21.799999</v>
      </c>
      <c r="I6" s="6">
        <v>0</v>
      </c>
      <c r="J6" t="s">
        <v>190</v>
      </c>
    </row>
    <row r="7" spans="1:10" x14ac:dyDescent="0.25">
      <c r="A7" t="s">
        <v>43</v>
      </c>
      <c r="B7" t="s">
        <v>47</v>
      </c>
      <c r="C7" t="s">
        <v>0</v>
      </c>
      <c r="D7" s="6">
        <v>6200</v>
      </c>
      <c r="E7" s="2">
        <v>56.16</v>
      </c>
      <c r="F7" s="2">
        <v>56.17</v>
      </c>
      <c r="G7" s="6">
        <v>1300</v>
      </c>
      <c r="H7" s="2">
        <v>56.275002000000001</v>
      </c>
      <c r="I7" s="6">
        <v>0</v>
      </c>
      <c r="J7" t="s">
        <v>190</v>
      </c>
    </row>
    <row r="8" spans="1:10" x14ac:dyDescent="0.25">
      <c r="A8" t="s">
        <v>43</v>
      </c>
      <c r="B8" t="s">
        <v>31</v>
      </c>
      <c r="C8" t="s">
        <v>0</v>
      </c>
      <c r="D8" s="6">
        <v>400</v>
      </c>
      <c r="E8" s="2">
        <v>94.93</v>
      </c>
      <c r="F8" s="2">
        <v>94.96</v>
      </c>
      <c r="G8" s="6">
        <v>1100</v>
      </c>
      <c r="H8" s="2">
        <v>95.088997000000006</v>
      </c>
      <c r="I8" s="6">
        <v>0</v>
      </c>
      <c r="J8" t="s">
        <v>190</v>
      </c>
    </row>
    <row r="9" spans="1:10" x14ac:dyDescent="0.25">
      <c r="A9" t="s">
        <v>43</v>
      </c>
      <c r="B9" t="s">
        <v>48</v>
      </c>
      <c r="C9" t="s">
        <v>0</v>
      </c>
      <c r="D9" s="6">
        <v>500</v>
      </c>
      <c r="E9" s="2">
        <v>101.89</v>
      </c>
      <c r="F9" s="2">
        <v>101.96</v>
      </c>
      <c r="G9" s="6">
        <v>500</v>
      </c>
      <c r="H9" s="2">
        <v>102.459999</v>
      </c>
      <c r="I9" s="6">
        <v>0</v>
      </c>
      <c r="J9" t="s">
        <v>190</v>
      </c>
    </row>
    <row r="10" spans="1:10" x14ac:dyDescent="0.25">
      <c r="A10" t="s">
        <v>43</v>
      </c>
      <c r="B10" t="s">
        <v>49</v>
      </c>
      <c r="C10" t="s">
        <v>0</v>
      </c>
      <c r="D10" s="6">
        <v>9500</v>
      </c>
      <c r="E10" s="2">
        <v>94.74</v>
      </c>
      <c r="F10" s="2">
        <v>94.75</v>
      </c>
      <c r="G10" s="6">
        <v>10500</v>
      </c>
      <c r="H10" s="2">
        <v>94.889999000000003</v>
      </c>
      <c r="I10" s="6">
        <v>0</v>
      </c>
      <c r="J10" t="s">
        <v>190</v>
      </c>
    </row>
    <row r="11" spans="1:10" x14ac:dyDescent="0.25">
      <c r="A11" t="s">
        <v>43</v>
      </c>
      <c r="B11" t="s">
        <v>50</v>
      </c>
      <c r="C11" t="s">
        <v>0</v>
      </c>
      <c r="D11" s="6">
        <v>11200</v>
      </c>
      <c r="E11" s="2">
        <v>27</v>
      </c>
      <c r="F11" s="2">
        <v>27.01</v>
      </c>
      <c r="G11" s="6">
        <v>7400</v>
      </c>
      <c r="H11" s="2">
        <v>27.030000999999999</v>
      </c>
      <c r="I11" s="6">
        <v>0</v>
      </c>
      <c r="J11" t="s">
        <v>190</v>
      </c>
    </row>
    <row r="12" spans="1:10" x14ac:dyDescent="0.25">
      <c r="A12" t="s">
        <v>43</v>
      </c>
      <c r="B12" t="s">
        <v>16</v>
      </c>
      <c r="C12" t="s">
        <v>0</v>
      </c>
      <c r="D12" s="6">
        <v>94100</v>
      </c>
      <c r="E12" s="2">
        <v>79.72</v>
      </c>
      <c r="F12" s="2">
        <v>79.73</v>
      </c>
      <c r="G12" s="6">
        <v>113000</v>
      </c>
      <c r="H12" s="2">
        <v>79.739998</v>
      </c>
      <c r="I12" s="6">
        <v>0</v>
      </c>
      <c r="J12" t="s">
        <v>190</v>
      </c>
    </row>
    <row r="13" spans="1:10" x14ac:dyDescent="0.25">
      <c r="A13" t="s">
        <v>43</v>
      </c>
      <c r="B13" t="s">
        <v>14</v>
      </c>
      <c r="C13" t="s">
        <v>0</v>
      </c>
      <c r="D13" s="6">
        <v>15800</v>
      </c>
      <c r="E13" s="2">
        <v>36.39</v>
      </c>
      <c r="F13" s="2">
        <v>36.4</v>
      </c>
      <c r="G13" s="6">
        <v>11000</v>
      </c>
      <c r="H13" s="2">
        <v>36.369999</v>
      </c>
      <c r="I13" s="6">
        <v>0</v>
      </c>
      <c r="J13" t="s">
        <v>190</v>
      </c>
    </row>
    <row r="14" spans="1:10" x14ac:dyDescent="0.25">
      <c r="A14" t="s">
        <v>43</v>
      </c>
      <c r="B14" t="s">
        <v>51</v>
      </c>
      <c r="C14" t="s">
        <v>0</v>
      </c>
      <c r="D14" s="6">
        <v>3600</v>
      </c>
      <c r="E14" s="2">
        <v>49.7</v>
      </c>
      <c r="F14" s="2">
        <v>49.71</v>
      </c>
      <c r="G14" s="6">
        <v>25200</v>
      </c>
      <c r="H14" s="2">
        <v>49.740001999999997</v>
      </c>
      <c r="I14" s="6">
        <v>0</v>
      </c>
      <c r="J14" t="s">
        <v>190</v>
      </c>
    </row>
    <row r="15" spans="1:10" x14ac:dyDescent="0.25">
      <c r="A15" t="s">
        <v>43</v>
      </c>
      <c r="B15" t="s">
        <v>52</v>
      </c>
      <c r="C15" t="s">
        <v>0</v>
      </c>
      <c r="D15" s="6">
        <v>600</v>
      </c>
      <c r="E15" s="2">
        <v>113.54</v>
      </c>
      <c r="F15" s="2">
        <v>113.62</v>
      </c>
      <c r="G15" s="6">
        <v>2400</v>
      </c>
      <c r="H15" s="2">
        <v>114.25</v>
      </c>
      <c r="I15" s="6">
        <v>0</v>
      </c>
      <c r="J15" t="s">
        <v>190</v>
      </c>
    </row>
    <row r="16" spans="1:10" x14ac:dyDescent="0.25">
      <c r="A16" t="s">
        <v>43</v>
      </c>
      <c r="B16" t="s">
        <v>23</v>
      </c>
      <c r="C16" t="s">
        <v>0</v>
      </c>
      <c r="D16" s="6">
        <v>15000</v>
      </c>
      <c r="E16" s="2">
        <v>48.01</v>
      </c>
      <c r="F16" s="2">
        <v>48.02</v>
      </c>
      <c r="G16" s="6">
        <v>36500</v>
      </c>
      <c r="H16" s="2">
        <v>48.209999000000003</v>
      </c>
      <c r="I16" s="6">
        <v>0</v>
      </c>
      <c r="J16" t="s">
        <v>190</v>
      </c>
    </row>
    <row r="17" spans="1:10" x14ac:dyDescent="0.25">
      <c r="A17" t="s">
        <v>43</v>
      </c>
      <c r="B17" t="s">
        <v>53</v>
      </c>
      <c r="C17" t="s">
        <v>0</v>
      </c>
      <c r="D17" s="6">
        <v>500</v>
      </c>
      <c r="E17" s="2">
        <v>41.23</v>
      </c>
      <c r="F17" s="2">
        <v>41.25</v>
      </c>
      <c r="G17" s="6">
        <v>2100</v>
      </c>
      <c r="H17" s="2">
        <v>41.201098999999999</v>
      </c>
      <c r="I17" s="6">
        <v>0</v>
      </c>
      <c r="J17" t="s">
        <v>190</v>
      </c>
    </row>
    <row r="18" spans="1:10" x14ac:dyDescent="0.25">
      <c r="A18" t="s">
        <v>43</v>
      </c>
      <c r="B18" t="s">
        <v>17</v>
      </c>
      <c r="C18" t="s">
        <v>0</v>
      </c>
      <c r="D18" s="6">
        <v>5600</v>
      </c>
      <c r="E18" s="2">
        <v>95.99</v>
      </c>
      <c r="F18" s="2">
        <v>96</v>
      </c>
      <c r="G18" s="6">
        <v>24500</v>
      </c>
      <c r="H18" s="2">
        <v>95.970000999999996</v>
      </c>
      <c r="I18" s="6">
        <v>0</v>
      </c>
      <c r="J18" t="s">
        <v>190</v>
      </c>
    </row>
    <row r="19" spans="1:10" x14ac:dyDescent="0.25">
      <c r="A19" t="s">
        <v>43</v>
      </c>
      <c r="B19" t="s">
        <v>20</v>
      </c>
      <c r="C19" t="s">
        <v>0</v>
      </c>
      <c r="D19" s="6">
        <v>7000</v>
      </c>
      <c r="E19" s="2">
        <v>93.03</v>
      </c>
      <c r="F19" s="2">
        <v>93.04</v>
      </c>
      <c r="G19" s="6">
        <v>5900</v>
      </c>
      <c r="H19" s="2">
        <v>93.169998000000007</v>
      </c>
      <c r="I19" s="6">
        <v>0</v>
      </c>
      <c r="J19" t="s">
        <v>190</v>
      </c>
    </row>
    <row r="20" spans="1:10" x14ac:dyDescent="0.25">
      <c r="A20" t="s">
        <v>43</v>
      </c>
      <c r="B20" t="s">
        <v>4</v>
      </c>
      <c r="C20" t="s">
        <v>0</v>
      </c>
      <c r="D20" s="6">
        <v>4100</v>
      </c>
      <c r="E20" s="2">
        <v>105.05</v>
      </c>
      <c r="F20" s="2">
        <v>105.06</v>
      </c>
      <c r="G20" s="6">
        <v>3900</v>
      </c>
      <c r="H20" s="2">
        <v>105.220001</v>
      </c>
      <c r="I20" s="6">
        <v>-2000</v>
      </c>
      <c r="J20" t="s">
        <v>190</v>
      </c>
    </row>
    <row r="21" spans="1:10" x14ac:dyDescent="0.25">
      <c r="A21" t="s">
        <v>43</v>
      </c>
      <c r="B21" t="s">
        <v>54</v>
      </c>
      <c r="C21" t="s">
        <v>0</v>
      </c>
      <c r="D21" s="6">
        <v>82600</v>
      </c>
      <c r="E21" s="2">
        <v>30.35</v>
      </c>
      <c r="F21" s="2">
        <v>30.36</v>
      </c>
      <c r="G21" s="6">
        <v>21200</v>
      </c>
      <c r="H21" s="2">
        <v>30.540001</v>
      </c>
      <c r="I21" s="6">
        <v>-9000</v>
      </c>
      <c r="J21" t="s">
        <v>190</v>
      </c>
    </row>
    <row r="22" spans="1:10" x14ac:dyDescent="0.25">
      <c r="A22" t="s">
        <v>43</v>
      </c>
      <c r="B22" t="s">
        <v>55</v>
      </c>
      <c r="C22" t="s">
        <v>0</v>
      </c>
      <c r="D22" s="6">
        <v>12800</v>
      </c>
      <c r="E22" s="2">
        <v>18.260000000000002</v>
      </c>
      <c r="F22" s="2">
        <v>18.27</v>
      </c>
      <c r="G22" s="6">
        <v>22900</v>
      </c>
      <c r="H22" s="2">
        <v>18.41</v>
      </c>
      <c r="I22" s="6">
        <v>14845</v>
      </c>
      <c r="J22" t="s">
        <v>190</v>
      </c>
    </row>
    <row r="23" spans="1:10" x14ac:dyDescent="0.25">
      <c r="A23" t="s">
        <v>43</v>
      </c>
      <c r="B23" t="s">
        <v>26</v>
      </c>
      <c r="C23" t="s">
        <v>0</v>
      </c>
      <c r="D23" s="6">
        <v>17200</v>
      </c>
      <c r="E23" s="2">
        <v>30.01</v>
      </c>
      <c r="F23" s="2">
        <v>30.02</v>
      </c>
      <c r="G23" s="6">
        <v>42000</v>
      </c>
      <c r="H23" s="2">
        <v>30.17</v>
      </c>
      <c r="I23" s="6">
        <v>0</v>
      </c>
      <c r="J23" t="s">
        <v>190</v>
      </c>
    </row>
    <row r="24" spans="1:10" x14ac:dyDescent="0.25">
      <c r="A24" t="s">
        <v>43</v>
      </c>
      <c r="B24" t="s">
        <v>5</v>
      </c>
      <c r="C24" t="s">
        <v>0</v>
      </c>
      <c r="D24" s="6">
        <v>95700</v>
      </c>
      <c r="E24" s="2">
        <v>22.75</v>
      </c>
      <c r="F24" s="2">
        <v>22.76</v>
      </c>
      <c r="G24" s="6">
        <v>139800</v>
      </c>
      <c r="H24" s="2">
        <v>22.790001</v>
      </c>
      <c r="I24" s="6">
        <v>0</v>
      </c>
      <c r="J24" t="s">
        <v>190</v>
      </c>
    </row>
    <row r="25" spans="1:10" x14ac:dyDescent="0.25">
      <c r="A25" t="s">
        <v>43</v>
      </c>
      <c r="B25" t="s">
        <v>13</v>
      </c>
      <c r="C25" t="s">
        <v>0</v>
      </c>
      <c r="D25" s="6">
        <v>20200</v>
      </c>
      <c r="E25" s="2">
        <v>26.06</v>
      </c>
      <c r="F25" s="2">
        <v>26.07</v>
      </c>
      <c r="G25" s="6">
        <v>13000</v>
      </c>
      <c r="H25" s="2">
        <v>26.07</v>
      </c>
      <c r="I25" s="6">
        <v>0</v>
      </c>
      <c r="J25" t="s">
        <v>190</v>
      </c>
    </row>
    <row r="26" spans="1:10" x14ac:dyDescent="0.25">
      <c r="A26" t="s">
        <v>43</v>
      </c>
      <c r="B26" t="s">
        <v>6</v>
      </c>
      <c r="C26" t="s">
        <v>0</v>
      </c>
      <c r="D26" s="6">
        <v>164600</v>
      </c>
      <c r="E26" s="2">
        <v>25.09</v>
      </c>
      <c r="F26" s="2">
        <v>25.1</v>
      </c>
      <c r="G26" s="6">
        <v>223300</v>
      </c>
      <c r="H26" s="2">
        <v>25.120000999999998</v>
      </c>
      <c r="I26" s="6">
        <v>0</v>
      </c>
      <c r="J26" t="s">
        <v>190</v>
      </c>
    </row>
    <row r="27" spans="1:10" x14ac:dyDescent="0.25">
      <c r="A27" t="s">
        <v>43</v>
      </c>
      <c r="B27" t="s">
        <v>28</v>
      </c>
      <c r="C27" t="s">
        <v>0</v>
      </c>
      <c r="D27" s="6">
        <v>84600</v>
      </c>
      <c r="E27" s="2">
        <v>28.41</v>
      </c>
      <c r="F27" s="2">
        <v>28.42</v>
      </c>
      <c r="G27" s="6">
        <v>64500</v>
      </c>
      <c r="H27" s="2">
        <v>28.450001</v>
      </c>
      <c r="I27" s="6">
        <v>0</v>
      </c>
      <c r="J27" t="s">
        <v>190</v>
      </c>
    </row>
    <row r="28" spans="1:10" x14ac:dyDescent="0.25">
      <c r="A28" t="s">
        <v>43</v>
      </c>
      <c r="B28" t="s">
        <v>12</v>
      </c>
      <c r="C28" t="s">
        <v>0</v>
      </c>
      <c r="D28" s="6">
        <v>239300</v>
      </c>
      <c r="E28" s="2">
        <v>23.32</v>
      </c>
      <c r="F28" s="2">
        <v>23.33</v>
      </c>
      <c r="G28" s="6">
        <v>107300</v>
      </c>
      <c r="H28" s="2">
        <v>23.33</v>
      </c>
      <c r="I28" s="6">
        <v>0</v>
      </c>
      <c r="J28" t="s">
        <v>190</v>
      </c>
    </row>
    <row r="29" spans="1:10" x14ac:dyDescent="0.25">
      <c r="A29" t="s">
        <v>43</v>
      </c>
      <c r="B29" t="s">
        <v>22</v>
      </c>
      <c r="C29" t="s">
        <v>0</v>
      </c>
      <c r="D29" s="6">
        <v>196300</v>
      </c>
      <c r="E29" s="2">
        <v>21.43</v>
      </c>
      <c r="F29" s="2">
        <v>21.44</v>
      </c>
      <c r="G29" s="6">
        <v>138500</v>
      </c>
      <c r="H29" s="2">
        <v>21.530000999999999</v>
      </c>
      <c r="I29" s="6">
        <v>0</v>
      </c>
      <c r="J29" t="s">
        <v>190</v>
      </c>
    </row>
    <row r="30" spans="1:10" x14ac:dyDescent="0.25">
      <c r="A30" t="s">
        <v>43</v>
      </c>
      <c r="B30" t="s">
        <v>18</v>
      </c>
      <c r="C30" t="s">
        <v>0</v>
      </c>
      <c r="D30" s="6">
        <v>20000</v>
      </c>
      <c r="E30" s="2">
        <v>21.95</v>
      </c>
      <c r="F30" s="2">
        <v>21.96</v>
      </c>
      <c r="G30" s="6">
        <v>35700</v>
      </c>
      <c r="H30" s="2">
        <v>21.99</v>
      </c>
      <c r="I30" s="6">
        <v>0</v>
      </c>
      <c r="J30" t="s">
        <v>190</v>
      </c>
    </row>
    <row r="31" spans="1:10" x14ac:dyDescent="0.25">
      <c r="A31" t="s">
        <v>43</v>
      </c>
      <c r="B31" t="s">
        <v>25</v>
      </c>
      <c r="C31" t="s">
        <v>0</v>
      </c>
      <c r="D31" s="6">
        <v>357100</v>
      </c>
      <c r="E31" s="2">
        <v>25.15</v>
      </c>
      <c r="F31" s="2">
        <v>25.16</v>
      </c>
      <c r="G31" s="6">
        <v>254400</v>
      </c>
      <c r="H31" s="2">
        <v>25.290001</v>
      </c>
      <c r="I31" s="6">
        <v>0</v>
      </c>
      <c r="J31" t="s">
        <v>190</v>
      </c>
    </row>
    <row r="32" spans="1:10" x14ac:dyDescent="0.25">
      <c r="A32" t="s">
        <v>43</v>
      </c>
      <c r="B32" t="s">
        <v>21</v>
      </c>
      <c r="C32" t="s">
        <v>0</v>
      </c>
      <c r="H32" s="2">
        <v>44.700001</v>
      </c>
      <c r="I32" s="6">
        <v>0</v>
      </c>
      <c r="J32" t="s">
        <v>190</v>
      </c>
    </row>
    <row r="33" spans="1:10" x14ac:dyDescent="0.25">
      <c r="A33" t="s">
        <v>43</v>
      </c>
      <c r="B33" t="s">
        <v>15</v>
      </c>
      <c r="C33" t="s">
        <v>0</v>
      </c>
      <c r="D33" s="6">
        <v>322300</v>
      </c>
      <c r="E33" s="2">
        <v>36.880000000000003</v>
      </c>
      <c r="F33" s="2">
        <v>36.89</v>
      </c>
      <c r="G33" s="6">
        <v>141900</v>
      </c>
      <c r="H33" s="2">
        <v>36.869999</v>
      </c>
      <c r="I33" s="6">
        <v>0</v>
      </c>
      <c r="J33" t="s">
        <v>190</v>
      </c>
    </row>
    <row r="34" spans="1:10" x14ac:dyDescent="0.25">
      <c r="A34" t="s">
        <v>43</v>
      </c>
      <c r="B34" t="s">
        <v>29</v>
      </c>
      <c r="C34" t="s">
        <v>0</v>
      </c>
      <c r="D34" s="6">
        <v>16700</v>
      </c>
      <c r="E34" s="2">
        <v>50.25</v>
      </c>
      <c r="F34" s="2">
        <v>50.26</v>
      </c>
      <c r="G34" s="6">
        <v>71200</v>
      </c>
      <c r="H34" s="2">
        <v>50.32</v>
      </c>
      <c r="I34" s="6">
        <v>0</v>
      </c>
      <c r="J34" t="s">
        <v>190</v>
      </c>
    </row>
    <row r="35" spans="1:10" x14ac:dyDescent="0.25">
      <c r="A35" t="s">
        <v>43</v>
      </c>
      <c r="B35" t="s">
        <v>24</v>
      </c>
      <c r="C35" t="s">
        <v>0</v>
      </c>
      <c r="D35" s="6">
        <v>10800</v>
      </c>
      <c r="E35" s="2">
        <v>72.06</v>
      </c>
      <c r="F35" s="2">
        <v>72.069999999999993</v>
      </c>
      <c r="G35" s="6">
        <v>24900</v>
      </c>
      <c r="H35" s="2">
        <v>72.349997999999999</v>
      </c>
      <c r="I35" s="6">
        <v>0</v>
      </c>
      <c r="J35" t="s">
        <v>190</v>
      </c>
    </row>
    <row r="36" spans="1:10" x14ac:dyDescent="0.25">
      <c r="A36" t="s">
        <v>43</v>
      </c>
      <c r="B36" t="s">
        <v>27</v>
      </c>
      <c r="C36" t="s">
        <v>0</v>
      </c>
      <c r="D36" s="6">
        <v>20000</v>
      </c>
      <c r="E36" s="2">
        <v>52.89</v>
      </c>
      <c r="F36" s="2">
        <v>52.9</v>
      </c>
      <c r="G36" s="6">
        <v>31500</v>
      </c>
      <c r="H36" s="2">
        <v>53.18</v>
      </c>
      <c r="I36" s="6">
        <v>0</v>
      </c>
      <c r="J36" t="s">
        <v>190</v>
      </c>
    </row>
    <row r="37" spans="1:10" x14ac:dyDescent="0.25">
      <c r="A37" t="s">
        <v>43</v>
      </c>
      <c r="B37" t="s">
        <v>19</v>
      </c>
      <c r="C37" t="s">
        <v>0</v>
      </c>
      <c r="D37" s="6">
        <v>11000</v>
      </c>
      <c r="E37" s="2">
        <v>46.09</v>
      </c>
      <c r="F37" s="2">
        <v>46.1</v>
      </c>
      <c r="G37" s="6">
        <v>19200</v>
      </c>
      <c r="H37" s="2">
        <v>46.18</v>
      </c>
      <c r="I37" s="6">
        <v>0</v>
      </c>
      <c r="J37" t="s">
        <v>190</v>
      </c>
    </row>
    <row r="38" spans="1:10" x14ac:dyDescent="0.25">
      <c r="A38" t="s">
        <v>43</v>
      </c>
      <c r="B38" t="s">
        <v>30</v>
      </c>
      <c r="C38" t="s">
        <v>0</v>
      </c>
      <c r="D38" s="6">
        <v>3100</v>
      </c>
      <c r="E38" s="2">
        <v>75.150000000000006</v>
      </c>
      <c r="F38" s="2">
        <v>75.17</v>
      </c>
      <c r="G38" s="6">
        <v>1500</v>
      </c>
      <c r="H38" s="2">
        <v>75.302498</v>
      </c>
      <c r="I38" s="6">
        <v>0</v>
      </c>
      <c r="J38" t="s">
        <v>190</v>
      </c>
    </row>
    <row r="39" spans="1:10" x14ac:dyDescent="0.25">
      <c r="A39" t="s">
        <v>43</v>
      </c>
      <c r="B39" t="s">
        <v>3</v>
      </c>
      <c r="C39" t="s">
        <v>0</v>
      </c>
      <c r="D39" s="6">
        <v>22800</v>
      </c>
      <c r="E39" s="2">
        <v>49.31</v>
      </c>
      <c r="F39" s="2">
        <v>49.32</v>
      </c>
      <c r="G39" s="6">
        <v>72400</v>
      </c>
      <c r="H39" s="2">
        <v>49.400002000000001</v>
      </c>
      <c r="I39" s="6">
        <v>4260</v>
      </c>
      <c r="J39" t="s">
        <v>190</v>
      </c>
    </row>
    <row r="40" spans="1:10" x14ac:dyDescent="0.25">
      <c r="A40" t="s">
        <v>43</v>
      </c>
      <c r="B40" t="s">
        <v>58</v>
      </c>
      <c r="C40" t="s">
        <v>0</v>
      </c>
      <c r="D40" s="6">
        <v>1800</v>
      </c>
      <c r="E40" s="2">
        <v>98.1</v>
      </c>
      <c r="F40" s="2">
        <v>98.11</v>
      </c>
      <c r="G40" s="6">
        <v>9900</v>
      </c>
      <c r="H40" s="2">
        <v>98.305000000000007</v>
      </c>
      <c r="I40" s="6">
        <v>0</v>
      </c>
      <c r="J40" t="s">
        <v>190</v>
      </c>
    </row>
    <row r="41" spans="1:10" x14ac:dyDescent="0.25">
      <c r="A41" t="s">
        <v>43</v>
      </c>
      <c r="B41" t="s">
        <v>59</v>
      </c>
      <c r="C41" t="s">
        <v>0</v>
      </c>
      <c r="D41" s="6">
        <v>700</v>
      </c>
      <c r="E41" s="2">
        <v>65.89</v>
      </c>
      <c r="F41" s="2">
        <v>65.900000000000006</v>
      </c>
      <c r="G41" s="6">
        <v>4600</v>
      </c>
      <c r="H41" s="2">
        <v>66.010002</v>
      </c>
      <c r="I41" s="6">
        <v>0</v>
      </c>
      <c r="J41" t="s">
        <v>190</v>
      </c>
    </row>
    <row r="42" spans="1:10" x14ac:dyDescent="0.25">
      <c r="A42" t="s">
        <v>43</v>
      </c>
      <c r="B42" t="s">
        <v>103</v>
      </c>
      <c r="C42" t="s">
        <v>0</v>
      </c>
      <c r="D42" s="6">
        <v>20800</v>
      </c>
      <c r="E42" s="2">
        <v>35.15</v>
      </c>
      <c r="F42" s="2">
        <v>35.159999999999997</v>
      </c>
      <c r="G42" s="6">
        <v>11500</v>
      </c>
      <c r="H42" s="2">
        <v>34.729999999999997</v>
      </c>
      <c r="I42" s="6">
        <v>0</v>
      </c>
      <c r="J42" t="s">
        <v>190</v>
      </c>
    </row>
    <row r="43" spans="1:10" x14ac:dyDescent="0.25">
      <c r="A43" t="s">
        <v>43</v>
      </c>
      <c r="B43" t="s">
        <v>110</v>
      </c>
      <c r="C43" t="s">
        <v>0</v>
      </c>
      <c r="D43" s="6">
        <v>1400</v>
      </c>
      <c r="E43" s="2">
        <v>82.67</v>
      </c>
      <c r="F43" s="2">
        <v>82.69</v>
      </c>
      <c r="G43" s="6">
        <v>900</v>
      </c>
      <c r="H43" s="2">
        <v>83</v>
      </c>
      <c r="I43" s="6">
        <v>0</v>
      </c>
      <c r="J43" t="s">
        <v>190</v>
      </c>
    </row>
    <row r="44" spans="1:10" x14ac:dyDescent="0.25">
      <c r="A44" t="s">
        <v>43</v>
      </c>
      <c r="B44" t="s">
        <v>114</v>
      </c>
      <c r="C44" t="s">
        <v>0</v>
      </c>
      <c r="D44" s="6">
        <v>1800</v>
      </c>
      <c r="E44" s="2">
        <v>92.76</v>
      </c>
      <c r="F44" s="2">
        <v>92.79</v>
      </c>
      <c r="G44" s="6">
        <v>1200</v>
      </c>
      <c r="H44" s="2">
        <v>93.779999000000004</v>
      </c>
      <c r="I44" s="6">
        <v>0</v>
      </c>
      <c r="J44" t="s">
        <v>190</v>
      </c>
    </row>
    <row r="45" spans="1:10" x14ac:dyDescent="0.25">
      <c r="A45" t="s">
        <v>43</v>
      </c>
      <c r="B45" t="s">
        <v>116</v>
      </c>
      <c r="C45" t="s">
        <v>0</v>
      </c>
      <c r="D45" s="6">
        <v>2500</v>
      </c>
      <c r="E45" s="2">
        <v>29.18</v>
      </c>
      <c r="F45" s="2">
        <v>29.19</v>
      </c>
      <c r="G45" s="6">
        <v>16700</v>
      </c>
      <c r="H45" s="2">
        <v>29.530000999999999</v>
      </c>
      <c r="I45" s="6">
        <v>0</v>
      </c>
      <c r="J45" t="s">
        <v>190</v>
      </c>
    </row>
    <row r="46" spans="1:10" x14ac:dyDescent="0.25">
      <c r="A46" t="s">
        <v>43</v>
      </c>
      <c r="B46" t="s">
        <v>100</v>
      </c>
      <c r="C46" t="s">
        <v>0</v>
      </c>
      <c r="D46" s="6">
        <v>100</v>
      </c>
      <c r="E46" s="2">
        <v>53.44</v>
      </c>
      <c r="F46" s="2">
        <v>53.45</v>
      </c>
      <c r="G46" s="6">
        <v>1100</v>
      </c>
      <c r="H46" s="2">
        <v>53.68</v>
      </c>
      <c r="I46" s="6">
        <v>0</v>
      </c>
      <c r="J46" t="s">
        <v>190</v>
      </c>
    </row>
    <row r="47" spans="1:10" x14ac:dyDescent="0.25">
      <c r="A47" t="s">
        <v>43</v>
      </c>
      <c r="B47" t="s">
        <v>120</v>
      </c>
      <c r="C47" t="s">
        <v>0</v>
      </c>
      <c r="D47" s="6">
        <v>300</v>
      </c>
      <c r="E47" s="2">
        <v>286.39</v>
      </c>
      <c r="F47" s="2">
        <v>286.48</v>
      </c>
      <c r="G47" s="6">
        <v>600</v>
      </c>
      <c r="H47" s="2">
        <v>286.60000600000001</v>
      </c>
      <c r="I47" s="6">
        <v>0</v>
      </c>
      <c r="J47" t="s">
        <v>190</v>
      </c>
    </row>
    <row r="48" spans="1:10" x14ac:dyDescent="0.25">
      <c r="A48" t="s">
        <v>43</v>
      </c>
      <c r="B48" t="s">
        <v>124</v>
      </c>
      <c r="C48" t="s">
        <v>0</v>
      </c>
      <c r="D48" s="6">
        <v>3500</v>
      </c>
      <c r="E48" s="2">
        <v>54.49</v>
      </c>
      <c r="F48" s="2">
        <v>54.51</v>
      </c>
      <c r="G48" s="6">
        <v>1900</v>
      </c>
      <c r="H48" s="2">
        <v>55.139999000000003</v>
      </c>
      <c r="I48" s="6">
        <v>0</v>
      </c>
      <c r="J48" t="s">
        <v>190</v>
      </c>
    </row>
    <row r="49" spans="1:10" x14ac:dyDescent="0.25">
      <c r="A49" t="s">
        <v>43</v>
      </c>
      <c r="B49" t="s">
        <v>125</v>
      </c>
      <c r="C49" t="s">
        <v>0</v>
      </c>
      <c r="D49" s="6">
        <v>800</v>
      </c>
      <c r="E49" s="2">
        <v>107.51</v>
      </c>
      <c r="F49" s="2">
        <v>107.54</v>
      </c>
      <c r="G49" s="6">
        <v>400</v>
      </c>
      <c r="H49" s="2">
        <v>108.66999800000001</v>
      </c>
      <c r="I49" s="6">
        <v>0</v>
      </c>
      <c r="J49" t="s">
        <v>190</v>
      </c>
    </row>
    <row r="50" spans="1:10" x14ac:dyDescent="0.25">
      <c r="A50" t="s">
        <v>43</v>
      </c>
      <c r="B50" t="s">
        <v>104</v>
      </c>
      <c r="C50" t="s">
        <v>0</v>
      </c>
      <c r="D50" s="6">
        <v>1000</v>
      </c>
      <c r="E50" s="2">
        <v>67.06</v>
      </c>
      <c r="F50" s="2">
        <v>67.069999999999993</v>
      </c>
      <c r="G50" s="6">
        <v>2900</v>
      </c>
      <c r="H50" s="2">
        <v>66.25</v>
      </c>
      <c r="I50" s="6">
        <v>0</v>
      </c>
      <c r="J50" t="s">
        <v>190</v>
      </c>
    </row>
    <row r="51" spans="1:10" x14ac:dyDescent="0.25">
      <c r="A51" t="s">
        <v>43</v>
      </c>
      <c r="B51" t="s">
        <v>107</v>
      </c>
      <c r="C51" t="s">
        <v>0</v>
      </c>
      <c r="D51" s="6">
        <v>500</v>
      </c>
      <c r="E51" s="2">
        <v>136.58000000000001</v>
      </c>
      <c r="F51" s="2">
        <v>136.6</v>
      </c>
      <c r="G51" s="6">
        <v>200</v>
      </c>
      <c r="H51" s="2">
        <v>137.33999600000001</v>
      </c>
      <c r="I51" s="6">
        <v>0</v>
      </c>
      <c r="J51" t="s">
        <v>190</v>
      </c>
    </row>
    <row r="52" spans="1:10" x14ac:dyDescent="0.25">
      <c r="A52" t="s">
        <v>43</v>
      </c>
      <c r="B52" t="s">
        <v>111</v>
      </c>
      <c r="C52" t="s">
        <v>0</v>
      </c>
      <c r="D52" s="6">
        <v>900</v>
      </c>
      <c r="E52" s="2">
        <v>72.06</v>
      </c>
      <c r="F52" s="2">
        <v>72.069999999999993</v>
      </c>
      <c r="G52" s="6">
        <v>2000</v>
      </c>
      <c r="H52" s="2">
        <v>72.309997999999993</v>
      </c>
      <c r="I52" s="6">
        <v>0</v>
      </c>
      <c r="J52" t="s">
        <v>190</v>
      </c>
    </row>
    <row r="53" spans="1:10" x14ac:dyDescent="0.25">
      <c r="A53" t="s">
        <v>43</v>
      </c>
      <c r="B53" t="s">
        <v>117</v>
      </c>
      <c r="C53" t="s">
        <v>0</v>
      </c>
      <c r="D53" s="6">
        <v>2500</v>
      </c>
      <c r="E53" s="2">
        <v>102.27</v>
      </c>
      <c r="F53" s="2">
        <v>102.28</v>
      </c>
      <c r="G53" s="6">
        <v>3100</v>
      </c>
      <c r="H53" s="2">
        <v>103.43</v>
      </c>
      <c r="I53" s="6">
        <v>0</v>
      </c>
      <c r="J53" t="s">
        <v>190</v>
      </c>
    </row>
    <row r="54" spans="1:10" x14ac:dyDescent="0.25">
      <c r="A54" t="s">
        <v>43</v>
      </c>
      <c r="B54" t="s">
        <v>121</v>
      </c>
      <c r="C54" t="s">
        <v>0</v>
      </c>
      <c r="D54" s="6">
        <v>200</v>
      </c>
      <c r="E54" s="2">
        <v>250.42</v>
      </c>
      <c r="F54" s="2">
        <v>250.45</v>
      </c>
      <c r="G54" s="6">
        <v>200</v>
      </c>
      <c r="H54" s="2">
        <v>251.199997</v>
      </c>
      <c r="I54" s="6">
        <v>0</v>
      </c>
      <c r="J54" t="s">
        <v>190</v>
      </c>
    </row>
    <row r="55" spans="1:10" x14ac:dyDescent="0.25">
      <c r="A55" t="s">
        <v>43</v>
      </c>
      <c r="B55" t="s">
        <v>56</v>
      </c>
      <c r="C55" t="s">
        <v>0</v>
      </c>
      <c r="D55" s="6">
        <v>319800</v>
      </c>
      <c r="E55" s="2">
        <v>23.47</v>
      </c>
      <c r="F55" s="2">
        <v>23.48</v>
      </c>
      <c r="G55" s="6">
        <v>63500</v>
      </c>
      <c r="H55" s="2">
        <v>23.74</v>
      </c>
      <c r="I55" s="6">
        <v>0</v>
      </c>
      <c r="J55" t="s">
        <v>190</v>
      </c>
    </row>
    <row r="56" spans="1:10" x14ac:dyDescent="0.25">
      <c r="A56" t="s">
        <v>43</v>
      </c>
      <c r="B56" t="s">
        <v>57</v>
      </c>
      <c r="C56" t="s">
        <v>0</v>
      </c>
      <c r="D56" s="6">
        <v>1200</v>
      </c>
      <c r="E56" s="2">
        <v>65.37</v>
      </c>
      <c r="F56" s="2">
        <v>65.39</v>
      </c>
      <c r="G56" s="6">
        <v>1900</v>
      </c>
      <c r="H56" s="2">
        <v>66.129997000000003</v>
      </c>
      <c r="I56" s="6">
        <v>0</v>
      </c>
      <c r="J56" t="s">
        <v>190</v>
      </c>
    </row>
    <row r="57" spans="1:10" x14ac:dyDescent="0.25">
      <c r="A57" t="s">
        <v>43</v>
      </c>
      <c r="B57" t="s">
        <v>101</v>
      </c>
      <c r="C57" t="s">
        <v>0</v>
      </c>
      <c r="D57" s="6">
        <v>100</v>
      </c>
      <c r="E57" s="2">
        <v>229.31</v>
      </c>
      <c r="F57" s="2">
        <v>229.43</v>
      </c>
      <c r="G57" s="6">
        <v>600</v>
      </c>
      <c r="H57" s="2">
        <v>230.35000600000001</v>
      </c>
      <c r="I57" s="6">
        <v>0</v>
      </c>
      <c r="J57" t="s">
        <v>190</v>
      </c>
    </row>
    <row r="58" spans="1:10" x14ac:dyDescent="0.25">
      <c r="A58" t="s">
        <v>43</v>
      </c>
      <c r="B58" t="s">
        <v>105</v>
      </c>
      <c r="C58" t="s">
        <v>0</v>
      </c>
      <c r="D58" s="6">
        <v>600</v>
      </c>
      <c r="E58" s="2">
        <v>178.69</v>
      </c>
      <c r="F58" s="2">
        <v>178.73</v>
      </c>
      <c r="G58" s="6">
        <v>600</v>
      </c>
      <c r="H58" s="2">
        <v>176.55999800000001</v>
      </c>
      <c r="I58" s="6">
        <v>0</v>
      </c>
      <c r="J58" t="s">
        <v>190</v>
      </c>
    </row>
    <row r="59" spans="1:10" x14ac:dyDescent="0.25">
      <c r="A59" t="s">
        <v>43</v>
      </c>
      <c r="B59" t="s">
        <v>108</v>
      </c>
      <c r="C59" t="s">
        <v>0</v>
      </c>
      <c r="D59" s="6">
        <v>300</v>
      </c>
      <c r="E59" s="2">
        <v>141.07</v>
      </c>
      <c r="F59" s="2">
        <v>141.09</v>
      </c>
      <c r="G59" s="6">
        <v>300</v>
      </c>
      <c r="H59" s="2">
        <v>142</v>
      </c>
      <c r="I59" s="6">
        <v>0</v>
      </c>
      <c r="J59" t="s">
        <v>190</v>
      </c>
    </row>
    <row r="60" spans="1:10" x14ac:dyDescent="0.25">
      <c r="A60" t="s">
        <v>43</v>
      </c>
      <c r="B60" t="s">
        <v>122</v>
      </c>
      <c r="C60" t="s">
        <v>0</v>
      </c>
      <c r="D60" s="6">
        <v>600</v>
      </c>
      <c r="E60" s="2">
        <v>120.01</v>
      </c>
      <c r="F60" s="2">
        <v>120.02</v>
      </c>
      <c r="G60" s="6">
        <v>7900</v>
      </c>
      <c r="H60" s="2">
        <v>120.07</v>
      </c>
      <c r="I60" s="6">
        <v>0</v>
      </c>
      <c r="J60" t="s">
        <v>190</v>
      </c>
    </row>
    <row r="61" spans="1:10" x14ac:dyDescent="0.25">
      <c r="A61" t="s">
        <v>43</v>
      </c>
      <c r="B61" t="s">
        <v>112</v>
      </c>
      <c r="C61" t="s">
        <v>0</v>
      </c>
      <c r="D61" s="6">
        <v>900</v>
      </c>
      <c r="E61" s="2">
        <v>319.83</v>
      </c>
      <c r="F61" s="2">
        <v>319.89</v>
      </c>
      <c r="G61" s="6">
        <v>300</v>
      </c>
      <c r="H61" s="2">
        <v>320.959991</v>
      </c>
      <c r="I61" s="6">
        <v>0</v>
      </c>
      <c r="J61" t="s">
        <v>190</v>
      </c>
    </row>
    <row r="62" spans="1:10" x14ac:dyDescent="0.25">
      <c r="A62" t="s">
        <v>43</v>
      </c>
      <c r="B62" t="s">
        <v>118</v>
      </c>
      <c r="C62" t="s">
        <v>0</v>
      </c>
      <c r="D62" s="6">
        <v>200</v>
      </c>
      <c r="E62" s="2">
        <v>96.13</v>
      </c>
      <c r="F62" s="2">
        <v>96.14</v>
      </c>
      <c r="G62" s="6">
        <v>6200</v>
      </c>
      <c r="H62" s="2">
        <v>97.239998</v>
      </c>
      <c r="I62" s="6">
        <v>0</v>
      </c>
      <c r="J62" t="s">
        <v>190</v>
      </c>
    </row>
    <row r="63" spans="1:10" x14ac:dyDescent="0.25">
      <c r="A63" t="s">
        <v>43</v>
      </c>
      <c r="B63" t="s">
        <v>126</v>
      </c>
      <c r="C63" t="s">
        <v>0</v>
      </c>
      <c r="D63" s="6">
        <v>100</v>
      </c>
      <c r="E63" s="2">
        <v>182.55</v>
      </c>
      <c r="F63" s="2">
        <v>182.62</v>
      </c>
      <c r="G63" s="6">
        <v>300</v>
      </c>
      <c r="H63" s="2">
        <v>184.759995</v>
      </c>
      <c r="I63" s="6">
        <v>0</v>
      </c>
      <c r="J63" t="s">
        <v>190</v>
      </c>
    </row>
    <row r="64" spans="1:10" x14ac:dyDescent="0.25">
      <c r="A64" t="s">
        <v>43</v>
      </c>
      <c r="B64" t="s">
        <v>106</v>
      </c>
      <c r="C64" t="s">
        <v>0</v>
      </c>
      <c r="D64" s="6">
        <v>32200</v>
      </c>
      <c r="E64" s="2">
        <v>63.43</v>
      </c>
      <c r="F64" s="2">
        <v>63.44</v>
      </c>
      <c r="G64" s="6">
        <v>7800</v>
      </c>
      <c r="H64" s="2">
        <v>62.68</v>
      </c>
      <c r="I64" s="6">
        <v>0</v>
      </c>
      <c r="J64" t="s">
        <v>190</v>
      </c>
    </row>
    <row r="65" spans="1:10" x14ac:dyDescent="0.25">
      <c r="A65" t="s">
        <v>43</v>
      </c>
      <c r="B65" t="s">
        <v>109</v>
      </c>
      <c r="C65" t="s">
        <v>0</v>
      </c>
      <c r="D65" s="6">
        <v>7200</v>
      </c>
      <c r="E65" s="2">
        <v>57.76</v>
      </c>
      <c r="F65" s="2">
        <v>57.77</v>
      </c>
      <c r="G65" s="6">
        <v>122300</v>
      </c>
      <c r="H65" s="2">
        <v>58.099997999999999</v>
      </c>
      <c r="I65" s="6">
        <v>0</v>
      </c>
      <c r="J65" t="s">
        <v>190</v>
      </c>
    </row>
    <row r="66" spans="1:10" x14ac:dyDescent="0.25">
      <c r="A66" t="s">
        <v>43</v>
      </c>
      <c r="B66" t="s">
        <v>115</v>
      </c>
      <c r="C66" t="s">
        <v>0</v>
      </c>
      <c r="D66" s="6">
        <v>600</v>
      </c>
      <c r="E66" s="2">
        <v>175.04</v>
      </c>
      <c r="F66" s="2">
        <v>175.05</v>
      </c>
      <c r="G66" s="6">
        <v>1000</v>
      </c>
      <c r="H66" s="2">
        <v>177.13999899999999</v>
      </c>
      <c r="I66" s="6">
        <v>0</v>
      </c>
      <c r="J66" t="s">
        <v>190</v>
      </c>
    </row>
    <row r="67" spans="1:10" x14ac:dyDescent="0.25">
      <c r="A67" t="s">
        <v>43</v>
      </c>
      <c r="B67" t="s">
        <v>123</v>
      </c>
      <c r="C67" t="s">
        <v>0</v>
      </c>
      <c r="D67" s="6">
        <v>2800</v>
      </c>
      <c r="E67" s="2">
        <v>185.72</v>
      </c>
      <c r="F67" s="2">
        <v>185.74</v>
      </c>
      <c r="G67" s="6">
        <v>1600</v>
      </c>
      <c r="H67" s="2">
        <v>185.69000199999999</v>
      </c>
      <c r="I67" s="6">
        <v>0</v>
      </c>
      <c r="J67" t="s">
        <v>190</v>
      </c>
    </row>
    <row r="68" spans="1:10" x14ac:dyDescent="0.25">
      <c r="A68" t="s">
        <v>43</v>
      </c>
      <c r="B68" t="s">
        <v>102</v>
      </c>
      <c r="C68" t="s">
        <v>0</v>
      </c>
      <c r="D68" s="6">
        <v>5300</v>
      </c>
      <c r="E68" s="2">
        <v>84.96</v>
      </c>
      <c r="F68" s="2">
        <v>84.97</v>
      </c>
      <c r="G68" s="6">
        <v>13700</v>
      </c>
      <c r="H68" s="2">
        <v>85.449996999999996</v>
      </c>
      <c r="I68" s="6">
        <v>0</v>
      </c>
      <c r="J68" t="s">
        <v>190</v>
      </c>
    </row>
    <row r="69" spans="1:10" x14ac:dyDescent="0.25">
      <c r="A69" t="s">
        <v>43</v>
      </c>
      <c r="B69" t="s">
        <v>119</v>
      </c>
      <c r="C69" t="s">
        <v>0</v>
      </c>
      <c r="D69" s="6">
        <v>24600</v>
      </c>
      <c r="E69" s="2">
        <v>43.96</v>
      </c>
      <c r="F69" s="2">
        <v>43.97</v>
      </c>
      <c r="G69" s="6">
        <v>22900</v>
      </c>
      <c r="H69" s="2">
        <v>44.48</v>
      </c>
      <c r="I69" s="6">
        <v>0</v>
      </c>
      <c r="J69" t="s">
        <v>190</v>
      </c>
    </row>
    <row r="70" spans="1:10" x14ac:dyDescent="0.25">
      <c r="A70" t="s">
        <v>43</v>
      </c>
      <c r="B70" t="s">
        <v>127</v>
      </c>
      <c r="C70" t="s">
        <v>0</v>
      </c>
      <c r="D70" s="6">
        <v>41100</v>
      </c>
      <c r="E70" s="2">
        <v>42.16</v>
      </c>
      <c r="F70" s="2">
        <v>42.17</v>
      </c>
      <c r="G70" s="6">
        <v>100100</v>
      </c>
      <c r="H70" s="2">
        <v>42.73</v>
      </c>
      <c r="I70" s="6">
        <v>0</v>
      </c>
      <c r="J70" t="s">
        <v>190</v>
      </c>
    </row>
    <row r="71" spans="1:10" x14ac:dyDescent="0.25">
      <c r="A71" t="s">
        <v>43</v>
      </c>
      <c r="B71" t="s">
        <v>113</v>
      </c>
      <c r="C71" t="s">
        <v>0</v>
      </c>
      <c r="D71" s="6">
        <v>900</v>
      </c>
      <c r="E71" s="2">
        <v>170.64</v>
      </c>
      <c r="F71" s="2">
        <v>170.65</v>
      </c>
      <c r="G71" s="6">
        <v>400</v>
      </c>
      <c r="H71" s="2">
        <v>171.16000399999999</v>
      </c>
      <c r="I71" s="6">
        <v>0</v>
      </c>
      <c r="J71" t="s">
        <v>190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7"/>
  <sheetViews>
    <sheetView zoomScale="85" zoomScaleNormal="85" workbookViewId="0">
      <selection activeCell="M11" sqref="M11"/>
    </sheetView>
  </sheetViews>
  <sheetFormatPr defaultRowHeight="15" x14ac:dyDescent="0.25"/>
  <cols>
    <col min="1" max="1" width="7" style="13" bestFit="1" customWidth="1"/>
    <col min="2" max="2" width="9.42578125" style="13" bestFit="1" customWidth="1"/>
    <col min="3" max="3" width="6.85546875" style="13" bestFit="1" customWidth="1"/>
    <col min="4" max="4" width="7.85546875" style="11" bestFit="1" customWidth="1"/>
    <col min="5" max="5" width="7.7109375" style="11" bestFit="1" customWidth="1"/>
    <col min="6" max="6" width="8" style="11" bestFit="1" customWidth="1"/>
    <col min="7" max="7" width="10.7109375" style="72" bestFit="1" customWidth="1"/>
    <col min="8" max="8" width="7.7109375" style="11" bestFit="1" customWidth="1"/>
    <col min="9" max="9" width="10.28515625" style="11" bestFit="1" customWidth="1"/>
    <col min="10" max="11" width="9" style="2" bestFit="1" customWidth="1"/>
    <col min="12" max="12" width="14.28515625" style="16" bestFit="1" customWidth="1"/>
    <col min="13" max="13" width="14.5703125" style="16" bestFit="1" customWidth="1"/>
    <col min="14" max="14" width="8.5703125" style="62" bestFit="1" customWidth="1"/>
    <col min="15" max="15" width="10" style="10" bestFit="1" customWidth="1"/>
    <col min="16" max="16" width="10.7109375" style="10" bestFit="1" customWidth="1"/>
    <col min="17" max="17" width="10" bestFit="1" customWidth="1"/>
    <col min="18" max="18" width="14.140625" bestFit="1" customWidth="1"/>
    <col min="19" max="19" width="11" style="14" bestFit="1" customWidth="1"/>
    <col min="20" max="20" width="14.140625" bestFit="1" customWidth="1"/>
    <col min="21" max="21" width="9.7109375" style="37" bestFit="1" customWidth="1"/>
    <col min="22" max="22" width="9.5703125" style="33" bestFit="1" customWidth="1"/>
    <col min="23" max="23" width="9.7109375" style="33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225" t="s">
        <v>70</v>
      </c>
      <c r="B1" s="226"/>
      <c r="C1" s="73"/>
      <c r="D1" s="74"/>
      <c r="E1" s="94"/>
      <c r="F1" s="227" t="s">
        <v>76</v>
      </c>
      <c r="G1" s="227"/>
      <c r="H1" s="227"/>
      <c r="I1" s="228"/>
      <c r="J1" s="229" t="s">
        <v>72</v>
      </c>
      <c r="K1" s="230"/>
      <c r="L1" s="231">
        <v>5.0000000000000001E-3</v>
      </c>
      <c r="M1" s="231"/>
      <c r="N1" s="46"/>
      <c r="O1" s="232" t="s">
        <v>75</v>
      </c>
      <c r="P1" s="221"/>
      <c r="Q1" s="220" t="s">
        <v>90</v>
      </c>
      <c r="R1" s="221"/>
      <c r="S1" s="222" t="s">
        <v>91</v>
      </c>
      <c r="T1" s="223"/>
      <c r="U1" s="52" t="s">
        <v>88</v>
      </c>
      <c r="V1" s="54" t="s">
        <v>89</v>
      </c>
      <c r="W1" s="54" t="s">
        <v>89</v>
      </c>
      <c r="X1" s="53" t="s">
        <v>88</v>
      </c>
      <c r="Z1" s="224" t="s">
        <v>92</v>
      </c>
      <c r="AA1" s="224"/>
      <c r="AB1" s="63"/>
    </row>
    <row r="2" spans="1:28" ht="15.75" thickBot="1" x14ac:dyDescent="0.3">
      <c r="A2" s="186" t="s">
        <v>69</v>
      </c>
      <c r="B2" s="187" t="s">
        <v>71</v>
      </c>
      <c r="C2" s="197" t="s">
        <v>99</v>
      </c>
      <c r="D2" s="76" t="s">
        <v>62</v>
      </c>
      <c r="E2" s="95" t="s">
        <v>83</v>
      </c>
      <c r="F2" s="93" t="s">
        <v>77</v>
      </c>
      <c r="G2" s="77" t="s">
        <v>96</v>
      </c>
      <c r="H2" s="78" t="s">
        <v>95</v>
      </c>
      <c r="I2" s="79" t="s">
        <v>78</v>
      </c>
      <c r="J2" s="80" t="s">
        <v>73</v>
      </c>
      <c r="K2" s="81" t="s">
        <v>74</v>
      </c>
      <c r="L2" s="82" t="s">
        <v>64</v>
      </c>
      <c r="M2" s="82" t="s">
        <v>65</v>
      </c>
      <c r="N2" s="83" t="s">
        <v>63</v>
      </c>
      <c r="O2" s="84" t="s">
        <v>67</v>
      </c>
      <c r="P2" s="85" t="s">
        <v>68</v>
      </c>
      <c r="Q2" s="47" t="s">
        <v>86</v>
      </c>
      <c r="R2" s="55" t="s">
        <v>32</v>
      </c>
      <c r="S2" s="47" t="s">
        <v>86</v>
      </c>
      <c r="T2" s="55" t="s">
        <v>32</v>
      </c>
      <c r="U2" s="87" t="s">
        <v>93</v>
      </c>
      <c r="V2" s="56" t="s">
        <v>94</v>
      </c>
      <c r="W2" s="56" t="s">
        <v>93</v>
      </c>
      <c r="X2" s="88" t="s">
        <v>94</v>
      </c>
      <c r="Z2" s="64" t="s">
        <v>90</v>
      </c>
      <c r="AA2" s="65" t="s">
        <v>91</v>
      </c>
      <c r="AB2" s="65"/>
    </row>
    <row r="3" spans="1:28" x14ac:dyDescent="0.25">
      <c r="A3" s="188">
        <f>MATCH(D3,SCALARS!C:C,0)</f>
        <v>16</v>
      </c>
      <c r="B3" s="189">
        <f>MATCH(D3,'MKT DATA'!B:B,0)</f>
        <v>9</v>
      </c>
      <c r="C3" s="17" t="str" cm="1">
        <f t="array" aca="1" ref="C3" ca="1">INDIRECT(ADDRESS($A3,5,,,"ANCHOR INPUTS"))</f>
        <v>ICVT</v>
      </c>
      <c r="D3" s="18" t="s">
        <v>48</v>
      </c>
      <c r="E3" s="98">
        <v>0.16500000000000001</v>
      </c>
      <c r="F3" s="34" cm="1">
        <f t="array" aca="1" ref="F3" ca="1">INDIRECT(ADDRESS($B3,9,,,"mkt data"))</f>
        <v>0</v>
      </c>
      <c r="G3" s="69">
        <f ca="1">F3*AVERAGE(J3:K3)</f>
        <v>0</v>
      </c>
      <c r="H3" s="34">
        <f t="shared" ref="H3:H16" ca="1" si="0">F3/N3</f>
        <v>0</v>
      </c>
      <c r="I3" s="218">
        <f ca="1">SUM(H3:H4)</f>
        <v>0</v>
      </c>
      <c r="J3" s="40" cm="1">
        <f t="array" aca="1" ref="J3" ca="1">INDIRECT(ADDRESS($B3,5,,,"mkt data"))</f>
        <v>101.89</v>
      </c>
      <c r="K3" s="41" cm="1">
        <f t="array" aca="1" ref="K3" ca="1">INDIRECT(ADDRESS($B3,6,,,"mkt data"))</f>
        <v>101.96</v>
      </c>
      <c r="L3" s="19">
        <f ca="1">J3-L$1</f>
        <v>101.88500000000001</v>
      </c>
      <c r="M3" s="19">
        <f ca="1">K3+L$1</f>
        <v>101.96499999999999</v>
      </c>
      <c r="N3" s="57" cm="1">
        <f t="array" aca="1" ref="N3" ca="1">INDIRECT(ADDRESS($A3,6,,,"scalars"))</f>
        <v>1.1150777012812187</v>
      </c>
      <c r="O3" s="20">
        <f ca="1">L3*N3</f>
        <v>113.60969159503698</v>
      </c>
      <c r="P3" s="20">
        <f t="shared" ref="P3:P16" ca="1" si="1">N3*M3</f>
        <v>113.69889781113946</v>
      </c>
      <c r="Q3" s="211">
        <f ca="1">P3+O4</f>
        <v>227.23389781113946</v>
      </c>
      <c r="R3" s="213">
        <f ca="1">Q3/AVERAGE(O4,-P4)</f>
        <v>-5049.6421735814829</v>
      </c>
      <c r="S3" s="211">
        <f ca="1">O3+P4</f>
        <v>227.23469159503696</v>
      </c>
      <c r="T3" s="213">
        <f ca="1">S3/AVERAGE(O4,-P4)</f>
        <v>-5049.6598132236495</v>
      </c>
      <c r="U3" s="89">
        <f>Z3</f>
        <v>2E-3</v>
      </c>
      <c r="V3" s="58">
        <f>Z4</f>
        <v>1.5E-3</v>
      </c>
      <c r="W3" s="58">
        <f>AA4</f>
        <v>1.5E-3</v>
      </c>
      <c r="X3" s="90">
        <f>AA3</f>
        <v>2E-3</v>
      </c>
      <c r="Z3" s="66">
        <v>2E-3</v>
      </c>
      <c r="AA3" s="67">
        <v>2E-3</v>
      </c>
      <c r="AB3" s="68" t="s">
        <v>88</v>
      </c>
    </row>
    <row r="4" spans="1:28" ht="15.75" thickBot="1" x14ac:dyDescent="0.3">
      <c r="A4" s="190">
        <f>MATCH(D4,SCALARS!C:C,0)</f>
        <v>17</v>
      </c>
      <c r="B4" s="191">
        <f>MATCH(D4,'MKT DATA'!B:B,0)</f>
        <v>15</v>
      </c>
      <c r="C4" s="23" t="str" cm="1">
        <f t="array" aca="1" ref="C4" ca="1">INDIRECT(ADDRESS($A4,5,,,"ANCHOR INPUTS"))</f>
        <v>ICVT</v>
      </c>
      <c r="D4" s="24" t="s">
        <v>52</v>
      </c>
      <c r="E4" s="99">
        <v>0.16500000000000001</v>
      </c>
      <c r="F4" s="36" cm="1">
        <f t="array" aca="1" ref="F4" ca="1">INDIRECT(ADDRESS($B4,9,,,"mkt data"))</f>
        <v>0</v>
      </c>
      <c r="G4" s="71">
        <f t="shared" ref="G4:G16" ca="1" si="2">F4*AVERAGE(J4:K4)</f>
        <v>0</v>
      </c>
      <c r="H4" s="36">
        <f t="shared" ca="1" si="0"/>
        <v>0</v>
      </c>
      <c r="I4" s="219"/>
      <c r="J4" s="44" cm="1">
        <f t="array" aca="1" ref="J4" ca="1">INDIRECT(ADDRESS($B4,5,,,"mkt data"))</f>
        <v>113.54</v>
      </c>
      <c r="K4" s="45" cm="1">
        <f t="array" aca="1" ref="K4" ca="1">INDIRECT(ADDRESS($B4,6,,,"mkt data"))</f>
        <v>113.62</v>
      </c>
      <c r="L4" s="25">
        <f t="shared" ref="L4:L16" ca="1" si="3">J4-L$1</f>
        <v>113.53500000000001</v>
      </c>
      <c r="M4" s="25">
        <f t="shared" ref="M4:M16" ca="1" si="4">K4+L$1</f>
        <v>113.625</v>
      </c>
      <c r="N4" s="59" cm="1">
        <f t="array" aca="1" ref="N4" ca="1">INDIRECT(ADDRESS($A4,6,,,"scalars"))</f>
        <v>1</v>
      </c>
      <c r="O4" s="26">
        <f ca="1">L4*N4</f>
        <v>113.53500000000001</v>
      </c>
      <c r="P4" s="26">
        <f t="shared" ca="1" si="1"/>
        <v>113.625</v>
      </c>
      <c r="Q4" s="212"/>
      <c r="R4" s="214"/>
      <c r="S4" s="212"/>
      <c r="T4" s="214"/>
      <c r="U4" s="91" t="b">
        <f ca="1">IF(R3&gt;U3,TRUE,FALSE)</f>
        <v>0</v>
      </c>
      <c r="V4" s="60" t="b">
        <f ca="1">AND(IF(T3&gt;-V3,TRUE,FALSE),IF(F3&gt;0,TRUE,FALSE))</f>
        <v>0</v>
      </c>
      <c r="W4" s="60" t="b">
        <f ca="1">AND(IF(R3&gt;-W3,TRUE,FALSE),IF(F3&lt;0,TRUE,FALSE))</f>
        <v>0</v>
      </c>
      <c r="X4" s="92" t="b">
        <f ca="1">IF(T3&gt;X3,TRUE,FALSE)</f>
        <v>0</v>
      </c>
      <c r="Z4" s="67">
        <v>1.5E-3</v>
      </c>
      <c r="AA4" s="67">
        <v>1.5E-3</v>
      </c>
      <c r="AB4" s="68" t="s">
        <v>89</v>
      </c>
    </row>
    <row r="5" spans="1:28" x14ac:dyDescent="0.25">
      <c r="A5" s="188">
        <f>MATCH(D5,SCALARS!C:C,0)</f>
        <v>18</v>
      </c>
      <c r="B5" s="189">
        <f>MATCH(D5,'MKT DATA'!B:B,0)</f>
        <v>6</v>
      </c>
      <c r="C5" s="17" t="str" cm="1">
        <f t="array" aca="1" ref="C5" ca="1">INDIRECT(ADDRESS($A5,5,,,"ANCHOR INPUTS"))</f>
        <v>IGOV</v>
      </c>
      <c r="D5" s="18" t="s">
        <v>46</v>
      </c>
      <c r="E5" s="98">
        <v>0.16500000000000001</v>
      </c>
      <c r="F5" s="34" cm="1">
        <f t="array" aca="1" ref="F5" ca="1">INDIRECT(ADDRESS($B5,9,,,"mkt data"))</f>
        <v>0</v>
      </c>
      <c r="G5" s="69">
        <f t="shared" ca="1" si="2"/>
        <v>0</v>
      </c>
      <c r="H5" s="34">
        <f t="shared" ca="1" si="0"/>
        <v>0</v>
      </c>
      <c r="I5" s="216">
        <f ca="1">SUM(H5:H6)</f>
        <v>0</v>
      </c>
      <c r="J5" s="40" cm="1">
        <f t="array" aca="1" ref="J5" ca="1">INDIRECT(ADDRESS($B5,5,,,"mkt data"))</f>
        <v>21.81</v>
      </c>
      <c r="K5" s="41" cm="1">
        <f t="array" aca="1" ref="K5" ca="1">INDIRECT(ADDRESS($B5,6,,,"mkt data"))</f>
        <v>21.82</v>
      </c>
      <c r="L5" s="19">
        <f t="shared" ca="1" si="3"/>
        <v>21.805</v>
      </c>
      <c r="M5" s="19">
        <f t="shared" ca="1" si="4"/>
        <v>21.824999999999999</v>
      </c>
      <c r="N5" s="57" cm="1">
        <f t="array" aca="1" ref="N5" ca="1">INDIRECT(ADDRESS($A5,6,,,"scalars"))</f>
        <v>1.8903769307382716</v>
      </c>
      <c r="O5" s="20">
        <f ca="1">L5*N5</f>
        <v>41.219668974748011</v>
      </c>
      <c r="P5" s="20">
        <f t="shared" ca="1" si="1"/>
        <v>41.257476513362775</v>
      </c>
      <c r="Q5" s="211">
        <f ca="1">P5+O6</f>
        <v>82.482476513362769</v>
      </c>
      <c r="R5" s="213">
        <f ca="1">Q5/AVERAGE(O6,-P6)</f>
        <v>-5498.8317675560074</v>
      </c>
      <c r="S5" s="211">
        <f ca="1">O5+P6</f>
        <v>82.474668974748013</v>
      </c>
      <c r="T5" s="213">
        <f ca="1">S5/AVERAGE(O6,-P6)</f>
        <v>-5498.3112649816903</v>
      </c>
      <c r="U5" s="89">
        <f>Z5</f>
        <v>4.0000000000000001E-3</v>
      </c>
      <c r="V5" s="58">
        <f>Z6</f>
        <v>3.0000000000000001E-3</v>
      </c>
      <c r="W5" s="58">
        <f>AA6</f>
        <v>2E-3</v>
      </c>
      <c r="X5" s="90">
        <f>AA5</f>
        <v>2E-3</v>
      </c>
      <c r="Z5" s="66">
        <v>4.0000000000000001E-3</v>
      </c>
      <c r="AA5" s="67">
        <v>2E-3</v>
      </c>
      <c r="AB5" s="68" t="s">
        <v>88</v>
      </c>
    </row>
    <row r="6" spans="1:28" ht="15.75" thickBot="1" x14ac:dyDescent="0.3">
      <c r="A6" s="190">
        <f>MATCH(D6,SCALARS!C:C,0)</f>
        <v>19</v>
      </c>
      <c r="B6" s="191">
        <f>MATCH(D6,'MKT DATA'!B:B,0)</f>
        <v>17</v>
      </c>
      <c r="C6" s="23" t="str" cm="1">
        <f t="array" aca="1" ref="C6" ca="1">INDIRECT(ADDRESS($A6,5,,,"ANCHOR INPUTS"))</f>
        <v>IGOV</v>
      </c>
      <c r="D6" s="24" t="s">
        <v>53</v>
      </c>
      <c r="E6" s="99">
        <v>0.16500000000000001</v>
      </c>
      <c r="F6" s="36" cm="1">
        <f t="array" aca="1" ref="F6" ca="1">INDIRECT(ADDRESS($B6,9,,,"mkt data"))</f>
        <v>0</v>
      </c>
      <c r="G6" s="71">
        <f t="shared" ca="1" si="2"/>
        <v>0</v>
      </c>
      <c r="H6" s="36">
        <f t="shared" ca="1" si="0"/>
        <v>0</v>
      </c>
      <c r="I6" s="217"/>
      <c r="J6" s="44" cm="1">
        <f t="array" aca="1" ref="J6" ca="1">INDIRECT(ADDRESS($B6,5,,,"mkt data"))</f>
        <v>41.23</v>
      </c>
      <c r="K6" s="45" cm="1">
        <f t="array" aca="1" ref="K6" ca="1">INDIRECT(ADDRESS($B6,6,,,"mkt data"))</f>
        <v>41.25</v>
      </c>
      <c r="L6" s="25">
        <f t="shared" ca="1" si="3"/>
        <v>41.224999999999994</v>
      </c>
      <c r="M6" s="25">
        <f t="shared" ca="1" si="4"/>
        <v>41.255000000000003</v>
      </c>
      <c r="N6" s="59" cm="1">
        <f t="array" aca="1" ref="N6" ca="1">INDIRECT(ADDRESS($A6,6,,,"scalars"))</f>
        <v>1</v>
      </c>
      <c r="O6" s="26">
        <f ca="1">L6*N6</f>
        <v>41.224999999999994</v>
      </c>
      <c r="P6" s="26">
        <f t="shared" ca="1" si="1"/>
        <v>41.255000000000003</v>
      </c>
      <c r="Q6" s="212"/>
      <c r="R6" s="214"/>
      <c r="S6" s="212"/>
      <c r="T6" s="214"/>
      <c r="U6" s="91" t="b">
        <f ca="1">IF(R5&gt;U5,TRUE,FALSE)</f>
        <v>0</v>
      </c>
      <c r="V6" s="60" t="b">
        <f ca="1">AND(IF(T5&gt;-V5,TRUE,FALSE),IF(F5&gt;0,TRUE,FALSE))</f>
        <v>0</v>
      </c>
      <c r="W6" s="60" t="b">
        <f ca="1">AND(IF(R5&gt;-W5,TRUE,FALSE),IF(F5&lt;0,TRUE,FALSE))</f>
        <v>0</v>
      </c>
      <c r="X6" s="92" t="b">
        <f ca="1">IF(T5&gt;X5,TRUE,FALSE)</f>
        <v>0</v>
      </c>
      <c r="Z6" s="67">
        <v>3.0000000000000001E-3</v>
      </c>
      <c r="AA6" s="67">
        <v>2E-3</v>
      </c>
      <c r="AB6" s="68" t="s">
        <v>89</v>
      </c>
    </row>
    <row r="7" spans="1:28" x14ac:dyDescent="0.25">
      <c r="A7" s="188">
        <f>MATCH(D7,SCALARS!C:C,0)</f>
        <v>13</v>
      </c>
      <c r="B7" s="189">
        <f>MATCH(D7,'MKT DATA'!B:B,0)</f>
        <v>41</v>
      </c>
      <c r="C7" s="17" t="str" cm="1">
        <f t="array" aca="1" ref="C7" ca="1">INDIRECT(ADDRESS($A7,5,,,"ANCHOR INPUTS"))</f>
        <v>EMB</v>
      </c>
      <c r="D7" s="18" t="s">
        <v>59</v>
      </c>
      <c r="E7" s="98">
        <v>0.16500000000000001</v>
      </c>
      <c r="F7" s="34" cm="1">
        <f t="array" aca="1" ref="F7" ca="1">INDIRECT(ADDRESS($B7,9,,,"mkt data"))</f>
        <v>0</v>
      </c>
      <c r="G7" s="69">
        <f t="shared" ca="1" si="2"/>
        <v>0</v>
      </c>
      <c r="H7" s="34">
        <f t="shared" ca="1" si="0"/>
        <v>0</v>
      </c>
      <c r="I7" s="218">
        <f ca="1">SUM(H7:H8)</f>
        <v>0</v>
      </c>
      <c r="J7" s="40" cm="1">
        <f t="array" aca="1" ref="J7" ca="1">INDIRECT(ADDRESS($B7,5,,,"mkt data"))</f>
        <v>65.89</v>
      </c>
      <c r="K7" s="41" cm="1">
        <f t="array" aca="1" ref="K7" ca="1">INDIRECT(ADDRESS($B7,6,,,"mkt data"))</f>
        <v>65.900000000000006</v>
      </c>
      <c r="L7" s="19">
        <f t="shared" ca="1" si="3"/>
        <v>65.885000000000005</v>
      </c>
      <c r="M7" s="19">
        <f t="shared" ca="1" si="4"/>
        <v>65.905000000000001</v>
      </c>
      <c r="N7" s="57" cm="1">
        <f t="array" aca="1" ref="N7" ca="1">INDIRECT(ADDRESS($A7,6,,,"scalars"))</f>
        <v>1.438092788218694</v>
      </c>
      <c r="O7" s="20">
        <f ca="1">L7*N7</f>
        <v>94.748743351788661</v>
      </c>
      <c r="P7" s="20">
        <f t="shared" ca="1" si="1"/>
        <v>94.777505207553034</v>
      </c>
      <c r="Q7" s="211">
        <f ca="1">P7+O8</f>
        <v>189.51250520755303</v>
      </c>
      <c r="R7" s="213">
        <f ca="1">Q7/AVERAGE(O8,-P8)</f>
        <v>-18951.250520759073</v>
      </c>
      <c r="S7" s="211">
        <f ca="1">O7+P8</f>
        <v>189.50374335178867</v>
      </c>
      <c r="T7" s="213">
        <f ca="1">S7/AVERAGE(O8,-P8)</f>
        <v>-18950.374335182638</v>
      </c>
      <c r="U7" s="89">
        <f>Z7</f>
        <v>1E-3</v>
      </c>
      <c r="V7" s="58">
        <f>Z8</f>
        <v>1E-3</v>
      </c>
      <c r="W7" s="58">
        <f>AA8</f>
        <v>1E-3</v>
      </c>
      <c r="X7" s="90">
        <f>AA7</f>
        <v>1E-3</v>
      </c>
      <c r="Z7" s="67">
        <v>1E-3</v>
      </c>
      <c r="AA7" s="67">
        <v>1E-3</v>
      </c>
      <c r="AB7" s="68" t="s">
        <v>88</v>
      </c>
    </row>
    <row r="8" spans="1:28" ht="15.75" thickBot="1" x14ac:dyDescent="0.3">
      <c r="A8" s="190">
        <f>MATCH(D8,SCALARS!C:C,0)</f>
        <v>12</v>
      </c>
      <c r="B8" s="191">
        <f>MATCH(D8,'MKT DATA'!B:B,0)</f>
        <v>10</v>
      </c>
      <c r="C8" s="23" t="str" cm="1">
        <f t="array" aca="1" ref="C8" ca="1">INDIRECT(ADDRESS($A8,5,,,"ANCHOR INPUTS"))</f>
        <v>EMB</v>
      </c>
      <c r="D8" s="24" t="s">
        <v>49</v>
      </c>
      <c r="E8" s="99">
        <v>0.16500000000000001</v>
      </c>
      <c r="F8" s="36" cm="1">
        <f t="array" aca="1" ref="F8" ca="1">INDIRECT(ADDRESS($B8,9,,,"mkt data"))</f>
        <v>0</v>
      </c>
      <c r="G8" s="71">
        <f t="shared" ca="1" si="2"/>
        <v>0</v>
      </c>
      <c r="H8" s="36">
        <f t="shared" ca="1" si="0"/>
        <v>0</v>
      </c>
      <c r="I8" s="219"/>
      <c r="J8" s="44" cm="1">
        <f t="array" aca="1" ref="J8" ca="1">INDIRECT(ADDRESS($B8,5,,,"mkt data"))</f>
        <v>94.74</v>
      </c>
      <c r="K8" s="45" cm="1">
        <f t="array" aca="1" ref="K8" ca="1">INDIRECT(ADDRESS($B8,6,,,"mkt data"))</f>
        <v>94.75</v>
      </c>
      <c r="L8" s="25">
        <f t="shared" ca="1" si="3"/>
        <v>94.734999999999999</v>
      </c>
      <c r="M8" s="25">
        <f t="shared" ca="1" si="4"/>
        <v>94.754999999999995</v>
      </c>
      <c r="N8" s="59" cm="1">
        <f t="array" aca="1" ref="N8" ca="1">INDIRECT(ADDRESS($A8,6,,,"scalars"))</f>
        <v>1</v>
      </c>
      <c r="O8" s="26">
        <f t="shared" ref="O8:O10" ca="1" si="5">L8*N8</f>
        <v>94.734999999999999</v>
      </c>
      <c r="P8" s="26">
        <f t="shared" ca="1" si="1"/>
        <v>94.754999999999995</v>
      </c>
      <c r="Q8" s="212"/>
      <c r="R8" s="214"/>
      <c r="S8" s="212"/>
      <c r="T8" s="214"/>
      <c r="U8" s="91" t="b">
        <f ca="1">IF(R7&gt;U7,TRUE,FALSE)</f>
        <v>0</v>
      </c>
      <c r="V8" s="60" t="b">
        <f ca="1">AND(IF(T7&gt;-V7,TRUE,FALSE),IF(F7&gt;0,TRUE,FALSE))</f>
        <v>0</v>
      </c>
      <c r="W8" s="60" t="b">
        <f ca="1">AND(IF(R7&gt;-W7,TRUE,FALSE),IF(F7&lt;0,TRUE,FALSE))</f>
        <v>0</v>
      </c>
      <c r="X8" s="92" t="b">
        <f ca="1">IF(T7&gt;X7,TRUE,FALSE)</f>
        <v>0</v>
      </c>
      <c r="Z8" s="67">
        <v>1E-3</v>
      </c>
      <c r="AA8" s="67">
        <v>1E-3</v>
      </c>
      <c r="AB8" s="68" t="s">
        <v>89</v>
      </c>
    </row>
    <row r="9" spans="1:28" x14ac:dyDescent="0.25">
      <c r="A9" s="188">
        <f>MATCH(D9,SCALARS!C:C,0)</f>
        <v>40</v>
      </c>
      <c r="B9" s="189">
        <f>MATCH(D9,'MKT DATA'!B:B,0)</f>
        <v>7</v>
      </c>
      <c r="C9" s="17" t="str" cm="1">
        <f t="array" aca="1" ref="C9" ca="1">INDIRECT(ADDRESS($A9,5,,,"ANCHOR INPUTS"))</f>
        <v>VTEC</v>
      </c>
      <c r="D9" s="18" t="s">
        <v>47</v>
      </c>
      <c r="E9" s="98">
        <v>0.1002</v>
      </c>
      <c r="F9" s="34" cm="1">
        <f t="array" aca="1" ref="F9" ca="1">INDIRECT(ADDRESS($B9,9,,,"mkt data"))</f>
        <v>0</v>
      </c>
      <c r="G9" s="69">
        <f t="shared" ca="1" si="2"/>
        <v>0</v>
      </c>
      <c r="H9" s="34">
        <f t="shared" ca="1" si="0"/>
        <v>0</v>
      </c>
      <c r="I9" s="209">
        <f ca="1">SUM(H9:H10)</f>
        <v>0</v>
      </c>
      <c r="J9" s="40" cm="1">
        <f t="array" aca="1" ref="J9" ca="1">INDIRECT(ADDRESS($B9,5,,,"mkt data"))</f>
        <v>56.16</v>
      </c>
      <c r="K9" s="41" cm="1">
        <f t="array" aca="1" ref="K9" ca="1">INDIRECT(ADDRESS($B9,6,,,"mkt data"))</f>
        <v>56.17</v>
      </c>
      <c r="L9" s="19">
        <f t="shared" ca="1" si="3"/>
        <v>56.154999999999994</v>
      </c>
      <c r="M9" s="19">
        <f t="shared" ca="1" si="4"/>
        <v>56.175000000000004</v>
      </c>
      <c r="N9" s="57" cm="1">
        <f t="array" aca="1" ref="N9" ca="1">INDIRECT(ADDRESS($A9,6,,,"scalars"))</f>
        <v>1.7448327043613721</v>
      </c>
      <c r="O9" s="20">
        <f t="shared" ca="1" si="5"/>
        <v>97.981080513412834</v>
      </c>
      <c r="P9" s="20">
        <f t="shared" ca="1" si="1"/>
        <v>98.015977167500083</v>
      </c>
      <c r="Q9" s="211">
        <f ca="1">P9+O10</f>
        <v>196.1109771675001</v>
      </c>
      <c r="R9" s="213">
        <f ca="1">Q9/AVERAGE(O10,-P10)</f>
        <v>-19611.097716753909</v>
      </c>
      <c r="S9" s="211">
        <f ca="1">O9+P10</f>
        <v>196.09608051341283</v>
      </c>
      <c r="T9" s="213">
        <f ca="1">S9/AVERAGE(O10,-P10)</f>
        <v>-19609.608051345185</v>
      </c>
      <c r="U9" s="89">
        <f>Z9</f>
        <v>1E-3</v>
      </c>
      <c r="V9" s="58">
        <f>Z10</f>
        <v>1E-3</v>
      </c>
      <c r="W9" s="58">
        <f>AA10</f>
        <v>1E-3</v>
      </c>
      <c r="X9" s="90">
        <f>AA9</f>
        <v>1E-3</v>
      </c>
      <c r="Z9" s="67">
        <v>1E-3</v>
      </c>
      <c r="AA9" s="67">
        <v>1E-3</v>
      </c>
      <c r="AB9" s="68" t="s">
        <v>88</v>
      </c>
    </row>
    <row r="10" spans="1:28" ht="15.75" thickBot="1" x14ac:dyDescent="0.3">
      <c r="A10" s="190">
        <f>MATCH(D10,SCALARS!C:C,0)</f>
        <v>41</v>
      </c>
      <c r="B10" s="191">
        <f>MATCH(D10,'MKT DATA'!B:B,0)</f>
        <v>40</v>
      </c>
      <c r="C10" s="23" t="str" cm="1">
        <f t="array" aca="1" ref="C10" ca="1">INDIRECT(ADDRESS($A10,5,,,"ANCHOR INPUTS"))</f>
        <v>VTEC</v>
      </c>
      <c r="D10" s="24" t="s">
        <v>58</v>
      </c>
      <c r="E10" s="99">
        <v>0.1002</v>
      </c>
      <c r="F10" s="36" cm="1">
        <f t="array" aca="1" ref="F10" ca="1">INDIRECT(ADDRESS($B10,9,,,"mkt data"))</f>
        <v>0</v>
      </c>
      <c r="G10" s="71">
        <f t="shared" ca="1" si="2"/>
        <v>0</v>
      </c>
      <c r="H10" s="36">
        <f t="shared" ca="1" si="0"/>
        <v>0</v>
      </c>
      <c r="I10" s="210"/>
      <c r="J10" s="44" cm="1">
        <f t="array" aca="1" ref="J10" ca="1">INDIRECT(ADDRESS($B10,5,,,"mkt data"))</f>
        <v>98.1</v>
      </c>
      <c r="K10" s="45" cm="1">
        <f t="array" aca="1" ref="K10" ca="1">INDIRECT(ADDRESS($B10,6,,,"mkt data"))</f>
        <v>98.11</v>
      </c>
      <c r="L10" s="25">
        <f t="shared" ca="1" si="3"/>
        <v>98.094999999999999</v>
      </c>
      <c r="M10" s="25">
        <f t="shared" ca="1" si="4"/>
        <v>98.114999999999995</v>
      </c>
      <c r="N10" s="59" cm="1">
        <f t="array" aca="1" ref="N10" ca="1">INDIRECT(ADDRESS($A10,6,,,"scalars"))</f>
        <v>1</v>
      </c>
      <c r="O10" s="26">
        <f t="shared" ca="1" si="5"/>
        <v>98.094999999999999</v>
      </c>
      <c r="P10" s="26">
        <f t="shared" ca="1" si="1"/>
        <v>98.114999999999995</v>
      </c>
      <c r="Q10" s="212"/>
      <c r="R10" s="214"/>
      <c r="S10" s="212"/>
      <c r="T10" s="214"/>
      <c r="U10" s="91" t="b">
        <f ca="1">IF(R9&gt;U9,TRUE,FALSE)</f>
        <v>0</v>
      </c>
      <c r="V10" s="60" t="b">
        <f ca="1">AND(IF(T9&gt;-V9,TRUE,FALSE),IF(F9&gt;0,TRUE,FALSE))</f>
        <v>0</v>
      </c>
      <c r="W10" s="60" t="b">
        <f ca="1">AND(IF(R9&gt;-W9,TRUE,FALSE),IF(F9&lt;0,TRUE,FALSE))</f>
        <v>0</v>
      </c>
      <c r="X10" s="92" t="b">
        <f ca="1">IF(T9&gt;X9,TRUE,FALSE)</f>
        <v>0</v>
      </c>
      <c r="Z10" s="67">
        <v>1E-3</v>
      </c>
      <c r="AA10" s="67">
        <v>1E-3</v>
      </c>
      <c r="AB10" s="68" t="s">
        <v>89</v>
      </c>
    </row>
    <row r="11" spans="1:28" x14ac:dyDescent="0.25">
      <c r="A11" s="188">
        <f>MATCH(D11,SCALARS!C:C,0)</f>
        <v>33</v>
      </c>
      <c r="B11" s="189">
        <f>MATCH(D11,'MKT DATA'!B:B,0)</f>
        <v>22</v>
      </c>
      <c r="C11" s="17" t="str" cm="1">
        <f t="array" aca="1" ref="C11" ca="1">INDIRECT(ADDRESS($A11,5,,,"ANCHOR INPUTS"))</f>
        <v>PFF</v>
      </c>
      <c r="D11" s="18" t="s">
        <v>55</v>
      </c>
      <c r="E11" s="98">
        <v>0.16500000000000001</v>
      </c>
      <c r="F11" s="34" cm="1">
        <f t="array" aca="1" ref="F11" ca="1">INDIRECT(ADDRESS($B11,9,,,"mkt data"))</f>
        <v>14845</v>
      </c>
      <c r="G11" s="69">
        <f t="shared" ca="1" si="2"/>
        <v>271143.92499999999</v>
      </c>
      <c r="H11" s="34">
        <f t="shared" ca="1" si="0"/>
        <v>8983.7360395646447</v>
      </c>
      <c r="I11" s="209">
        <f ca="1">SUM(H11:H12)</f>
        <v>-16.26396043535533</v>
      </c>
      <c r="J11" s="40" cm="1">
        <f t="array" aca="1" ref="J11" ca="1">INDIRECT(ADDRESS($B11,5,,,"mkt data"))</f>
        <v>18.260000000000002</v>
      </c>
      <c r="K11" s="41" cm="1">
        <f t="array" aca="1" ref="K11" ca="1">INDIRECT(ADDRESS($B11,6,,,"mkt data"))</f>
        <v>18.27</v>
      </c>
      <c r="L11" s="19">
        <f t="shared" ca="1" si="3"/>
        <v>18.255000000000003</v>
      </c>
      <c r="M11" s="19">
        <f t="shared" ca="1" si="4"/>
        <v>18.274999999999999</v>
      </c>
      <c r="N11" s="57" cm="1">
        <f t="array" aca="1" ref="N11" ca="1">INDIRECT(ADDRESS($A11,6,,,"scalars"))</f>
        <v>1.6524305628106362</v>
      </c>
      <c r="O11" s="20">
        <f ca="1">L11*N11</f>
        <v>30.165119924108168</v>
      </c>
      <c r="P11" s="20">
        <f t="shared" ca="1" si="1"/>
        <v>30.198168535364374</v>
      </c>
      <c r="Q11" s="211">
        <f ca="1">P11+O12</f>
        <v>60.543168535364373</v>
      </c>
      <c r="R11" s="213">
        <f ca="1">Q11/AVERAGE(O12,-P12)</f>
        <v>-6054.3168535376417</v>
      </c>
      <c r="S11" s="211">
        <f ca="1">O11+P12</f>
        <v>60.530119924108163</v>
      </c>
      <c r="T11" s="213">
        <f ca="1">S11/AVERAGE(O12,-P12)</f>
        <v>-6053.0119924120208</v>
      </c>
      <c r="U11" s="89">
        <f>Z11</f>
        <v>5.0000000000000001E-3</v>
      </c>
      <c r="V11" s="58">
        <f>Z12</f>
        <v>4.0000000000000001E-3</v>
      </c>
      <c r="W11" s="58">
        <f>AA12</f>
        <v>2E-3</v>
      </c>
      <c r="X11" s="90">
        <f>AA11</f>
        <v>3.0000000000000001E-3</v>
      </c>
      <c r="Z11" s="66">
        <v>5.0000000000000001E-3</v>
      </c>
      <c r="AA11" s="67">
        <v>3.0000000000000001E-3</v>
      </c>
      <c r="AB11" s="68" t="s">
        <v>88</v>
      </c>
    </row>
    <row r="12" spans="1:28" ht="15.75" thickBot="1" x14ac:dyDescent="0.3">
      <c r="A12" s="190">
        <f>MATCH(D12,SCALARS!C:C,0)</f>
        <v>32</v>
      </c>
      <c r="B12" s="191">
        <f>MATCH(D12,'MKT DATA'!B:B,0)</f>
        <v>21</v>
      </c>
      <c r="C12" s="23" t="str" cm="1">
        <f t="array" aca="1" ref="C12" ca="1">INDIRECT(ADDRESS($A12,5,,,"ANCHOR INPUTS"))</f>
        <v>PFF</v>
      </c>
      <c r="D12" s="24" t="s">
        <v>54</v>
      </c>
      <c r="E12" s="99">
        <v>0.16500000000000001</v>
      </c>
      <c r="F12" s="36" cm="1">
        <f t="array" aca="1" ref="F12" ca="1">INDIRECT(ADDRESS($B12,9,,,"mkt data"))</f>
        <v>-9000</v>
      </c>
      <c r="G12" s="71">
        <f t="shared" ca="1" si="2"/>
        <v>-273195</v>
      </c>
      <c r="H12" s="36">
        <f t="shared" ca="1" si="0"/>
        <v>-9000</v>
      </c>
      <c r="I12" s="210"/>
      <c r="J12" s="44" cm="1">
        <f t="array" aca="1" ref="J12" ca="1">INDIRECT(ADDRESS($B12,5,,,"mkt data"))</f>
        <v>30.35</v>
      </c>
      <c r="K12" s="45" cm="1">
        <f t="array" aca="1" ref="K12" ca="1">INDIRECT(ADDRESS($B12,6,,,"mkt data"))</f>
        <v>30.36</v>
      </c>
      <c r="L12" s="25">
        <f t="shared" ca="1" si="3"/>
        <v>30.345000000000002</v>
      </c>
      <c r="M12" s="25">
        <f t="shared" ca="1" si="4"/>
        <v>30.364999999999998</v>
      </c>
      <c r="N12" s="59" cm="1">
        <f t="array" aca="1" ref="N12" ca="1">INDIRECT(ADDRESS($A12,6,,,"scalars"))</f>
        <v>1</v>
      </c>
      <c r="O12" s="26">
        <f t="shared" ref="O12:O13" ca="1" si="6">L12*N12</f>
        <v>30.345000000000002</v>
      </c>
      <c r="P12" s="26">
        <f t="shared" ca="1" si="1"/>
        <v>30.364999999999998</v>
      </c>
      <c r="Q12" s="212"/>
      <c r="R12" s="214"/>
      <c r="S12" s="212"/>
      <c r="T12" s="214"/>
      <c r="U12" s="91" t="b">
        <f ca="1">IF(R11&gt;U11,TRUE,FALSE)</f>
        <v>0</v>
      </c>
      <c r="V12" s="60" t="b">
        <f ca="1">AND(IF(T11&gt;-V11,TRUE,FALSE),IF(F11&gt;0,TRUE,FALSE))</f>
        <v>0</v>
      </c>
      <c r="W12" s="60" t="b">
        <f ca="1">AND(IF(R11&gt;-W11,TRUE,FALSE),IF(F11&lt;0,TRUE,FALSE))</f>
        <v>0</v>
      </c>
      <c r="X12" s="92" t="b">
        <f ca="1">IF(T11&gt;X11,TRUE,FALSE)</f>
        <v>0</v>
      </c>
      <c r="Z12" s="67">
        <v>4.0000000000000001E-3</v>
      </c>
      <c r="AA12" s="67">
        <v>2E-3</v>
      </c>
      <c r="AB12" s="68" t="s">
        <v>89</v>
      </c>
    </row>
    <row r="13" spans="1:28" s="113" customFormat="1" x14ac:dyDescent="0.25">
      <c r="A13" s="198">
        <f>MATCH(D13,SCALARS!C:C,0)</f>
        <v>14</v>
      </c>
      <c r="B13" s="199">
        <f>MATCH(D13,'MKT DATA'!B:B,0)</f>
        <v>5</v>
      </c>
      <c r="C13" s="101" t="str" cm="1">
        <f t="array" aca="1" ref="C13" ca="1">INDIRECT(ADDRESS($A13,5,,,"ANCHOR INPUTS"))</f>
        <v>IAGG</v>
      </c>
      <c r="D13" s="102" t="s">
        <v>45</v>
      </c>
      <c r="E13" s="148"/>
      <c r="F13" s="103" cm="1">
        <f t="array" aca="1" ref="F13" ca="1">INDIRECT(ADDRESS($B13,9,,,"mkt data"))</f>
        <v>0</v>
      </c>
      <c r="G13" s="104">
        <f t="shared" ca="1" si="2"/>
        <v>0</v>
      </c>
      <c r="H13" s="103">
        <f t="shared" ca="1" si="0"/>
        <v>0</v>
      </c>
      <c r="I13" s="240">
        <f ca="1">SUM(H13:H14)</f>
        <v>0</v>
      </c>
      <c r="J13" s="105" cm="1">
        <f t="array" aca="1" ref="J13" ca="1">INDIRECT(ADDRESS($B13,5,,,"mkt data"))</f>
        <v>47.54</v>
      </c>
      <c r="K13" s="106" cm="1">
        <f t="array" aca="1" ref="K13" ca="1">INDIRECT(ADDRESS($B13,6,,,"mkt data"))</f>
        <v>47.55</v>
      </c>
      <c r="L13" s="107">
        <f t="shared" ca="1" si="3"/>
        <v>47.534999999999997</v>
      </c>
      <c r="M13" s="107">
        <f t="shared" ca="1" si="4"/>
        <v>47.555</v>
      </c>
      <c r="N13" s="108" cm="1">
        <f t="array" aca="1" ref="N13" ca="1">INDIRECT(ADDRESS($A13,6,,,"scalars"))</f>
        <v>1.0439719578091577</v>
      </c>
      <c r="O13" s="109">
        <f t="shared" ca="1" si="6"/>
        <v>49.625207014458312</v>
      </c>
      <c r="P13" s="109">
        <f t="shared" ca="1" si="1"/>
        <v>49.646086453614494</v>
      </c>
      <c r="Q13" s="236">
        <f ca="1">P13+O14</f>
        <v>99.341086453614494</v>
      </c>
      <c r="R13" s="234">
        <f ca="1">Q13/AVERAGE(O14,-P14)</f>
        <v>-9934.1086453598964</v>
      </c>
      <c r="S13" s="236">
        <f ca="1">O13+P14</f>
        <v>99.340207014458315</v>
      </c>
      <c r="T13" s="234">
        <f ca="1">S13/AVERAGE(O14,-P14)</f>
        <v>-9934.0207014442785</v>
      </c>
      <c r="U13" s="110"/>
      <c r="V13" s="111"/>
      <c r="W13" s="111"/>
      <c r="X13" s="112"/>
      <c r="Z13" s="114">
        <v>0.01</v>
      </c>
      <c r="AA13" s="115">
        <v>0.01</v>
      </c>
      <c r="AB13" s="116" t="s">
        <v>88</v>
      </c>
    </row>
    <row r="14" spans="1:28" s="113" customFormat="1" ht="15.75" thickBot="1" x14ac:dyDescent="0.3">
      <c r="A14" s="200">
        <f>MATCH(D14,SCALARS!C:C,0)</f>
        <v>15</v>
      </c>
      <c r="B14" s="201">
        <f>MATCH(D14,'MKT DATA'!B:B,0)</f>
        <v>14</v>
      </c>
      <c r="C14" s="117" t="str" cm="1">
        <f t="array" aca="1" ref="C14" ca="1">INDIRECT(ADDRESS($A14,5,,,"ANCHOR INPUTS"))</f>
        <v>IAGG</v>
      </c>
      <c r="D14" s="118" t="s">
        <v>51</v>
      </c>
      <c r="E14" s="150"/>
      <c r="F14" s="119" cm="1">
        <f t="array" aca="1" ref="F14" ca="1">INDIRECT(ADDRESS($B14,9,,,"mkt data"))</f>
        <v>0</v>
      </c>
      <c r="G14" s="120">
        <f t="shared" ca="1" si="2"/>
        <v>0</v>
      </c>
      <c r="H14" s="119">
        <f t="shared" ca="1" si="0"/>
        <v>0</v>
      </c>
      <c r="I14" s="241"/>
      <c r="J14" s="121" cm="1">
        <f t="array" aca="1" ref="J14" ca="1">INDIRECT(ADDRESS($B14,5,,,"mkt data"))</f>
        <v>49.7</v>
      </c>
      <c r="K14" s="122" cm="1">
        <f t="array" aca="1" ref="K14" ca="1">INDIRECT(ADDRESS($B14,6,,,"mkt data"))</f>
        <v>49.71</v>
      </c>
      <c r="L14" s="123">
        <f t="shared" ca="1" si="3"/>
        <v>49.695</v>
      </c>
      <c r="M14" s="123">
        <f t="shared" ca="1" si="4"/>
        <v>49.715000000000003</v>
      </c>
      <c r="N14" s="124" cm="1">
        <f t="array" aca="1" ref="N14" ca="1">INDIRECT(ADDRESS($A14,6,,,"scalars"))</f>
        <v>1</v>
      </c>
      <c r="O14" s="125">
        <f ca="1">L14*N14</f>
        <v>49.695</v>
      </c>
      <c r="P14" s="125">
        <f t="shared" ca="1" si="1"/>
        <v>49.715000000000003</v>
      </c>
      <c r="Q14" s="237"/>
      <c r="R14" s="235"/>
      <c r="S14" s="237"/>
      <c r="T14" s="235"/>
      <c r="U14" s="126"/>
      <c r="V14" s="127"/>
      <c r="W14" s="127"/>
      <c r="X14" s="128"/>
      <c r="Z14" s="115">
        <v>0.01</v>
      </c>
      <c r="AA14" s="115">
        <v>0.01</v>
      </c>
      <c r="AB14" s="116" t="s">
        <v>89</v>
      </c>
    </row>
    <row r="15" spans="1:28" s="113" customFormat="1" x14ac:dyDescent="0.25">
      <c r="A15" s="198">
        <f>MATCH(D15,SCALARS!C:C,0)</f>
        <v>7</v>
      </c>
      <c r="B15" s="199">
        <f>MATCH(D15,'MKT DATA'!B:B,0)</f>
        <v>11</v>
      </c>
      <c r="C15" s="101" t="str" cm="1">
        <f t="array" aca="1" ref="C15" ca="1">INDIRECT(ADDRESS($A15,5,,,"ANCHOR INPUTS"))</f>
        <v>ANGL</v>
      </c>
      <c r="D15" s="102" t="s">
        <v>50</v>
      </c>
      <c r="E15" s="148"/>
      <c r="F15" s="103" cm="1">
        <f t="array" aca="1" ref="F15" ca="1">INDIRECT(ADDRESS($B15,9,,,"mkt data"))</f>
        <v>0</v>
      </c>
      <c r="G15" s="104">
        <f t="shared" ca="1" si="2"/>
        <v>0</v>
      </c>
      <c r="H15" s="103">
        <f t="shared" ca="1" si="0"/>
        <v>0</v>
      </c>
      <c r="I15" s="238">
        <f ca="1">SUM(H15:H16)</f>
        <v>0</v>
      </c>
      <c r="J15" s="105" cm="1">
        <f t="array" aca="1" ref="J15" ca="1">INDIRECT(ADDRESS($B15,5,,,"mkt data"))</f>
        <v>27</v>
      </c>
      <c r="K15" s="106" cm="1">
        <f t="array" aca="1" ref="K15" ca="1">INDIRECT(ADDRESS($B15,6,,,"mkt data"))</f>
        <v>27.01</v>
      </c>
      <c r="L15" s="107">
        <f t="shared" ca="1" si="3"/>
        <v>26.995000000000001</v>
      </c>
      <c r="M15" s="107">
        <f t="shared" ca="1" si="4"/>
        <v>27.015000000000001</v>
      </c>
      <c r="N15" s="108" cm="1">
        <f t="array" aca="1" ref="N15" ca="1">INDIRECT(ADDRESS($A15,6,,,"scalars"))</f>
        <v>1.0738004000014407</v>
      </c>
      <c r="O15" s="109">
        <f ca="1">L15*N15</f>
        <v>28.987241798038895</v>
      </c>
      <c r="P15" s="109">
        <f t="shared" ca="1" si="1"/>
        <v>29.008717806038923</v>
      </c>
      <c r="Q15" s="236">
        <f ca="1">P15+O16</f>
        <v>57.993717806038923</v>
      </c>
      <c r="R15" s="234">
        <f ca="1">Q15/AVERAGE(O16,-P16)</f>
        <v>-5799.3717806040158</v>
      </c>
      <c r="S15" s="236">
        <f ca="1">O15+P16</f>
        <v>57.99224179803889</v>
      </c>
      <c r="T15" s="234">
        <f ca="1">S15/AVERAGE(O16,-P16)</f>
        <v>-5799.2241798040122</v>
      </c>
      <c r="U15" s="110"/>
      <c r="V15" s="111"/>
      <c r="W15" s="111"/>
      <c r="X15" s="112"/>
      <c r="Z15" s="114">
        <v>0.01</v>
      </c>
      <c r="AA15" s="115">
        <v>0.01</v>
      </c>
      <c r="AB15" s="116" t="s">
        <v>88</v>
      </c>
    </row>
    <row r="16" spans="1:28" s="113" customFormat="1" ht="15.75" thickBot="1" x14ac:dyDescent="0.3">
      <c r="A16" s="200">
        <f>MATCH(D16,SCALARS!C:C,0)</f>
        <v>6</v>
      </c>
      <c r="B16" s="201">
        <f>MATCH(D16,'MKT DATA'!B:B,0)</f>
        <v>3</v>
      </c>
      <c r="C16" s="117" t="str" cm="1">
        <f t="array" aca="1" ref="C16" ca="1">INDIRECT(ADDRESS($A16,5,,,"ANCHOR INPUTS"))</f>
        <v>ANGL</v>
      </c>
      <c r="D16" s="118" t="s">
        <v>44</v>
      </c>
      <c r="E16" s="150"/>
      <c r="F16" s="119" cm="1">
        <f t="array" aca="1" ref="F16" ca="1">INDIRECT(ADDRESS($B16,9,,,"mkt data"))</f>
        <v>0</v>
      </c>
      <c r="G16" s="120">
        <f t="shared" ca="1" si="2"/>
        <v>0</v>
      </c>
      <c r="H16" s="119">
        <f t="shared" ca="1" si="0"/>
        <v>0</v>
      </c>
      <c r="I16" s="239"/>
      <c r="J16" s="121" cm="1">
        <f t="array" aca="1" ref="J16" ca="1">INDIRECT(ADDRESS($B16,5,,,"mkt data"))</f>
        <v>28.99</v>
      </c>
      <c r="K16" s="122" cm="1">
        <f t="array" aca="1" ref="K16" ca="1">INDIRECT(ADDRESS($B16,6,,,"mkt data"))</f>
        <v>29</v>
      </c>
      <c r="L16" s="123">
        <f t="shared" ca="1" si="3"/>
        <v>28.984999999999999</v>
      </c>
      <c r="M16" s="123">
        <f t="shared" ca="1" si="4"/>
        <v>29.004999999999999</v>
      </c>
      <c r="N16" s="124" cm="1">
        <f t="array" aca="1" ref="N16" ca="1">INDIRECT(ADDRESS($A16,6,,,"scalars"))</f>
        <v>1</v>
      </c>
      <c r="O16" s="125">
        <f ca="1">L16*N16</f>
        <v>28.984999999999999</v>
      </c>
      <c r="P16" s="125">
        <f t="shared" ca="1" si="1"/>
        <v>29.004999999999999</v>
      </c>
      <c r="Q16" s="237"/>
      <c r="R16" s="235"/>
      <c r="S16" s="237"/>
      <c r="T16" s="235"/>
      <c r="U16" s="126"/>
      <c r="V16" s="127"/>
      <c r="W16" s="127"/>
      <c r="X16" s="128"/>
      <c r="Z16" s="115">
        <v>0.01</v>
      </c>
      <c r="AA16" s="115">
        <v>0.01</v>
      </c>
      <c r="AB16" s="116" t="s">
        <v>89</v>
      </c>
    </row>
    <row r="17" spans="1:34" ht="15.75" thickBot="1" x14ac:dyDescent="0.3">
      <c r="A17" s="265" t="str">
        <f>'MKT DATA'!J2</f>
        <v>2026-08-31_13-19-00</v>
      </c>
      <c r="B17" s="265"/>
      <c r="C17" s="265"/>
      <c r="M17" s="10"/>
      <c r="N17" s="10"/>
    </row>
    <row r="18" spans="1:34" s="12" customFormat="1" x14ac:dyDescent="0.25">
      <c r="A18" s="225" t="str">
        <f>A1</f>
        <v>rows</v>
      </c>
      <c r="B18" s="226">
        <f t="shared" ref="B18:P19" si="7">B1</f>
        <v>0</v>
      </c>
      <c r="C18" s="86"/>
      <c r="D18" s="74"/>
      <c r="E18" s="94"/>
      <c r="F18" s="227" t="str">
        <f t="shared" si="7"/>
        <v>current position</v>
      </c>
      <c r="G18" s="227">
        <f t="shared" si="7"/>
        <v>0</v>
      </c>
      <c r="H18" s="227">
        <f t="shared" si="7"/>
        <v>0</v>
      </c>
      <c r="I18" s="228">
        <f t="shared" si="7"/>
        <v>0</v>
      </c>
      <c r="J18" s="229" t="str">
        <f t="shared" si="7"/>
        <v>mkt prices</v>
      </c>
      <c r="K18" s="230">
        <f t="shared" si="7"/>
        <v>0</v>
      </c>
      <c r="L18" s="231">
        <f t="shared" si="7"/>
        <v>5.0000000000000001E-3</v>
      </c>
      <c r="M18" s="231">
        <f t="shared" si="7"/>
        <v>0</v>
      </c>
      <c r="N18" s="46"/>
      <c r="O18" s="232" t="str">
        <f t="shared" si="7"/>
        <v>unit cf</v>
      </c>
      <c r="P18" s="221">
        <f t="shared" si="7"/>
        <v>0</v>
      </c>
      <c r="Q18" s="222" t="s">
        <v>66</v>
      </c>
      <c r="R18" s="280"/>
      <c r="S18" s="280"/>
      <c r="T18" s="223"/>
      <c r="U18" s="73"/>
      <c r="V18" s="140"/>
      <c r="Z18" s="276" t="s">
        <v>87</v>
      </c>
      <c r="AA18" s="276"/>
      <c r="AB18"/>
      <c r="AC18"/>
      <c r="AD18" s="27" t="s">
        <v>84</v>
      </c>
      <c r="AE18" s="28">
        <v>46233</v>
      </c>
      <c r="AF18" s="29"/>
      <c r="AG18" s="27" t="s">
        <v>84</v>
      </c>
      <c r="AH18" s="28">
        <v>46232</v>
      </c>
    </row>
    <row r="19" spans="1:34" s="15" customFormat="1" ht="15.75" thickBot="1" x14ac:dyDescent="0.3">
      <c r="A19" s="38" t="str">
        <f>A2</f>
        <v>admin</v>
      </c>
      <c r="B19" s="39" t="str">
        <f t="shared" si="7"/>
        <v>mkt data</v>
      </c>
      <c r="C19" s="75" t="str">
        <f t="shared" si="7"/>
        <v>anchor</v>
      </c>
      <c r="D19" s="76" t="str">
        <f t="shared" si="7"/>
        <v>symbol</v>
      </c>
      <c r="E19" s="95" t="str">
        <f t="shared" si="7"/>
        <v>margin</v>
      </c>
      <c r="F19" s="93" t="str">
        <f t="shared" si="7"/>
        <v>shs</v>
      </c>
      <c r="G19" s="77" t="str">
        <f t="shared" si="7"/>
        <v>$val</v>
      </c>
      <c r="H19" s="78" t="str">
        <f t="shared" si="7"/>
        <v>units</v>
      </c>
      <c r="I19" s="79" t="str">
        <f t="shared" si="7"/>
        <v>net units</v>
      </c>
      <c r="J19" s="80" t="str">
        <f t="shared" si="7"/>
        <v>bid</v>
      </c>
      <c r="K19" s="81" t="str">
        <f t="shared" si="7"/>
        <v>ask</v>
      </c>
      <c r="L19" s="82" t="str">
        <f t="shared" si="7"/>
        <v>bid w/ comm</v>
      </c>
      <c r="M19" s="82" t="str">
        <f t="shared" si="7"/>
        <v>ask w/ comm</v>
      </c>
      <c r="N19" s="83" t="str">
        <f t="shared" si="7"/>
        <v>scalar</v>
      </c>
      <c r="O19" s="84" t="str">
        <f t="shared" si="7"/>
        <v>hit bid</v>
      </c>
      <c r="P19" s="85" t="str">
        <f t="shared" si="7"/>
        <v>lift ask</v>
      </c>
      <c r="Q19" s="47" t="s">
        <v>67</v>
      </c>
      <c r="R19" s="15" t="s">
        <v>68</v>
      </c>
      <c r="S19" s="48" t="s">
        <v>86</v>
      </c>
      <c r="T19" s="55" t="s">
        <v>32</v>
      </c>
      <c r="U19" s="47" t="s">
        <v>88</v>
      </c>
      <c r="V19" s="55" t="s">
        <v>89</v>
      </c>
      <c r="Z19" s="15" t="s">
        <v>88</v>
      </c>
      <c r="AA19" s="15" t="s">
        <v>89</v>
      </c>
      <c r="AB19"/>
      <c r="AC19"/>
      <c r="AD19" s="27" t="s">
        <v>85</v>
      </c>
      <c r="AE19" s="30" t="b">
        <v>1</v>
      </c>
      <c r="AF19" s="29"/>
      <c r="AG19" s="27" t="s">
        <v>85</v>
      </c>
      <c r="AH19" s="30" t="b">
        <v>1</v>
      </c>
    </row>
    <row r="20" spans="1:34" x14ac:dyDescent="0.25">
      <c r="A20" s="192">
        <f>MATCH(D20,SCALARS!C:C,0)</f>
        <v>30</v>
      </c>
      <c r="B20" s="193">
        <f>MATCH(D20,'MKT DATA'!B:B,0)</f>
        <v>32</v>
      </c>
      <c r="C20" s="17" t="str" cm="1">
        <f t="array" aca="1" ref="C20" ca="1">INDIRECT(ADDRESS($A20,5,,,"ANCHOR INPUTS"))</f>
        <v>MUB</v>
      </c>
      <c r="D20" s="18" t="s">
        <v>21</v>
      </c>
      <c r="E20" s="98">
        <v>0.1002</v>
      </c>
      <c r="F20" s="34" cm="1">
        <f t="array" aca="1" ref="F20" ca="1">INDIRECT(ADDRESS($B20,9,,,"mkt data"))</f>
        <v>0</v>
      </c>
      <c r="G20" s="69">
        <f ca="1">F20*AVERAGE(J20:K20)</f>
        <v>0</v>
      </c>
      <c r="H20" s="34">
        <f t="shared" ref="H20:H45" ca="1" si="8">F20/N20</f>
        <v>0</v>
      </c>
      <c r="I20" s="218">
        <f ca="1">SUM(H20:H22)</f>
        <v>1.8882067473052757</v>
      </c>
      <c r="J20" s="40" cm="1">
        <f t="array" aca="1" ref="J20" ca="1">INDIRECT(ADDRESS($B20,5,,,"mkt data"))</f>
        <v>0</v>
      </c>
      <c r="K20" s="41" cm="1">
        <f t="array" aca="1" ref="K20" ca="1">INDIRECT(ADDRESS($B20,6,,,"mkt data"))</f>
        <v>0</v>
      </c>
      <c r="L20" s="19">
        <f t="shared" ref="L20:L45" ca="1" si="9">J20-L$18</f>
        <v>-5.0000000000000001E-3</v>
      </c>
      <c r="M20" s="19">
        <f t="shared" ref="M20:M45" ca="1" si="10">K20+L$18</f>
        <v>5.0000000000000001E-3</v>
      </c>
      <c r="N20" s="57" cm="1">
        <f t="array" aca="1" ref="N20" ca="1">INDIRECT(ADDRESS($A20,6,,,"scalars"))</f>
        <v>2.3512778566696642</v>
      </c>
      <c r="O20" s="20">
        <f t="shared" ref="O20:O37" ca="1" si="11">L20*N20</f>
        <v>-1.1756389283348321E-2</v>
      </c>
      <c r="P20" s="20">
        <f t="shared" ref="P20:P45" ca="1" si="12">N20*M20</f>
        <v>1.1756389283348321E-2</v>
      </c>
      <c r="Q20" s="211">
        <f ca="1">MAX(O20:O22)</f>
        <v>105.045</v>
      </c>
      <c r="R20" s="255">
        <f ca="1">MAX(P20:P22)</f>
        <v>105.065</v>
      </c>
      <c r="S20" s="255">
        <f ca="1">Q20+R20</f>
        <v>210.11</v>
      </c>
      <c r="T20" s="213">
        <f ca="1">S20/AVERAGE(ABS(Q20),ABS(R20))</f>
        <v>2</v>
      </c>
      <c r="U20" s="89">
        <f>Z20</f>
        <v>1E-3</v>
      </c>
      <c r="V20" s="90">
        <f>AA20</f>
        <v>1E-3</v>
      </c>
      <c r="Z20" s="247">
        <v>1E-3</v>
      </c>
      <c r="AA20" s="273">
        <v>1E-3</v>
      </c>
    </row>
    <row r="21" spans="1:34" x14ac:dyDescent="0.25">
      <c r="A21" s="196">
        <f>MATCH(D21,SCALARS!C:C,0)</f>
        <v>31</v>
      </c>
      <c r="B21" s="206">
        <f>MATCH(D21,'MKT DATA'!B:B,0)</f>
        <v>39</v>
      </c>
      <c r="C21" s="13" t="str" cm="1">
        <f t="array" aca="1" ref="C21" ca="1">INDIRECT(ADDRESS($A21,5,,,"ANCHOR INPUTS"))</f>
        <v>MUB</v>
      </c>
      <c r="D21" s="11" t="s">
        <v>3</v>
      </c>
      <c r="E21" s="96">
        <v>0.1002</v>
      </c>
      <c r="F21" s="35" cm="1">
        <f t="array" aca="1" ref="F21" ca="1">INDIRECT(ADDRESS($B21,9,,,"mkt data"))</f>
        <v>4260</v>
      </c>
      <c r="G21" s="70">
        <f t="shared" ref="G21:G45" ca="1" si="13">F21*AVERAGE(J21:K21)</f>
        <v>210081.9</v>
      </c>
      <c r="H21" s="35">
        <f t="shared" ca="1" si="8"/>
        <v>2001.8882067473053</v>
      </c>
      <c r="I21" s="278"/>
      <c r="J21" s="42" cm="1">
        <f t="array" aca="1" ref="J21" ca="1">INDIRECT(ADDRESS($B21,5,,,"mkt data"))</f>
        <v>49.31</v>
      </c>
      <c r="K21" s="43" cm="1">
        <f t="array" aca="1" ref="K21" ca="1">INDIRECT(ADDRESS($B21,6,,,"mkt data"))</f>
        <v>49.32</v>
      </c>
      <c r="L21" s="21">
        <f t="shared" ca="1" si="9"/>
        <v>49.305</v>
      </c>
      <c r="M21" s="21">
        <f t="shared" ca="1" si="10"/>
        <v>49.325000000000003</v>
      </c>
      <c r="N21" s="61" cm="1">
        <f t="array" aca="1" ref="N21" ca="1">INDIRECT(ADDRESS($A21,6,,,"scalars"))</f>
        <v>2.1279909565588104</v>
      </c>
      <c r="O21" s="22">
        <f t="shared" ca="1" si="11"/>
        <v>104.92059411313215</v>
      </c>
      <c r="P21" s="22">
        <f t="shared" ca="1" si="12"/>
        <v>104.96315393226332</v>
      </c>
      <c r="Q21" s="269"/>
      <c r="R21" s="262"/>
      <c r="S21" s="256"/>
      <c r="T21" s="264"/>
      <c r="U21" s="141" t="b">
        <f ca="1">IF(T20&gt;Z20,TRUE,FALSE)</f>
        <v>1</v>
      </c>
      <c r="V21" s="142" t="b" cm="1">
        <f t="array" aca="1" ref="V21" ca="1">AND(IF(SUM(ABS(F20:F22)),TRUE,FALSE),IF(T20&lt;V20,TRUE,FALSE))</f>
        <v>0</v>
      </c>
      <c r="Z21" s="248"/>
      <c r="AA21" s="274"/>
    </row>
    <row r="22" spans="1:34" ht="15.75" thickBot="1" x14ac:dyDescent="0.3">
      <c r="A22" s="194">
        <f>MATCH(D22,SCALARS!C:C,0)</f>
        <v>29</v>
      </c>
      <c r="B22" s="195">
        <f>MATCH(D22,'MKT DATA'!B:B,0)</f>
        <v>20</v>
      </c>
      <c r="C22" s="23" t="str" cm="1">
        <f t="array" aca="1" ref="C22" ca="1">INDIRECT(ADDRESS($A22,5,,,"ANCHOR INPUTS"))</f>
        <v>MUB</v>
      </c>
      <c r="D22" s="24" t="s">
        <v>4</v>
      </c>
      <c r="E22" s="97">
        <v>0.1002</v>
      </c>
      <c r="F22" s="36" cm="1">
        <f t="array" aca="1" ref="F22" ca="1">INDIRECT(ADDRESS($B22,9,,,"mkt data"))</f>
        <v>-2000</v>
      </c>
      <c r="G22" s="71">
        <f t="shared" ca="1" si="13"/>
        <v>-210110</v>
      </c>
      <c r="H22" s="36">
        <f t="shared" ca="1" si="8"/>
        <v>-2000</v>
      </c>
      <c r="I22" s="219"/>
      <c r="J22" s="44" cm="1">
        <f t="array" aca="1" ref="J22" ca="1">INDIRECT(ADDRESS($B22,5,,,"mkt data"))</f>
        <v>105.05</v>
      </c>
      <c r="K22" s="45" cm="1">
        <f t="array" aca="1" ref="K22" ca="1">INDIRECT(ADDRESS($B22,6,,,"mkt data"))</f>
        <v>105.06</v>
      </c>
      <c r="L22" s="25">
        <f t="shared" ca="1" si="9"/>
        <v>105.045</v>
      </c>
      <c r="M22" s="25">
        <f t="shared" ca="1" si="10"/>
        <v>105.065</v>
      </c>
      <c r="N22" s="59" cm="1">
        <f t="array" aca="1" ref="N22" ca="1">INDIRECT(ADDRESS($A22,6,,,"scalars"))</f>
        <v>1</v>
      </c>
      <c r="O22" s="26">
        <f t="shared" ca="1" si="11"/>
        <v>105.045</v>
      </c>
      <c r="P22" s="26">
        <f t="shared" ca="1" si="12"/>
        <v>105.065</v>
      </c>
      <c r="Q22" s="212"/>
      <c r="R22" s="263"/>
      <c r="S22" s="257"/>
      <c r="T22" s="214"/>
      <c r="U22" s="50"/>
      <c r="V22" s="143"/>
      <c r="Z22" s="249"/>
      <c r="AA22" s="275"/>
    </row>
    <row r="23" spans="1:34" x14ac:dyDescent="0.25">
      <c r="A23" s="192">
        <f>MATCH(D23,SCALARS!C:C,0)</f>
        <v>27</v>
      </c>
      <c r="B23" s="193">
        <f>MATCH(D23,'MKT DATA'!B:B,0)</f>
        <v>30</v>
      </c>
      <c r="C23" s="17" t="str" cm="1">
        <f t="array" aca="1" ref="C23" ca="1">INDIRECT(ADDRESS($A23,5,,,"ANCHOR INPUTS"))</f>
        <v>MBB</v>
      </c>
      <c r="D23" s="18" t="s">
        <v>18</v>
      </c>
      <c r="E23" s="98">
        <v>0.16500000000000001</v>
      </c>
      <c r="F23" s="34" cm="1">
        <f t="array" aca="1" ref="F23" ca="1">INDIRECT(ADDRESS($B23,9,,,"mkt data"))</f>
        <v>0</v>
      </c>
      <c r="G23" s="69">
        <f t="shared" ca="1" si="13"/>
        <v>0</v>
      </c>
      <c r="H23" s="34">
        <f t="shared" ca="1" si="8"/>
        <v>0</v>
      </c>
      <c r="I23" s="218">
        <f ca="1">SUM(H23:H25)</f>
        <v>0</v>
      </c>
      <c r="J23" s="40" cm="1">
        <f t="array" aca="1" ref="J23" ca="1">INDIRECT(ADDRESS($B23,5,,,"mkt data"))</f>
        <v>21.95</v>
      </c>
      <c r="K23" s="41" cm="1">
        <f t="array" aca="1" ref="K23" ca="1">INDIRECT(ADDRESS($B23,6,,,"mkt data"))</f>
        <v>21.96</v>
      </c>
      <c r="L23" s="19">
        <f t="shared" ca="1" si="9"/>
        <v>21.945</v>
      </c>
      <c r="M23" s="19">
        <f t="shared" ca="1" si="10"/>
        <v>21.965</v>
      </c>
      <c r="N23" s="57" cm="1">
        <f t="array" aca="1" ref="N23" ca="1">INDIRECT(ADDRESS($A23,6,,,"scalars"))</f>
        <v>4.2371499394329808</v>
      </c>
      <c r="O23" s="20">
        <f t="shared" ca="1" si="11"/>
        <v>92.984255420856769</v>
      </c>
      <c r="P23" s="20">
        <f t="shared" ca="1" si="12"/>
        <v>93.068998419645425</v>
      </c>
      <c r="Q23" s="211">
        <f ca="1">MAX(O23:O25)</f>
        <v>93.025000000000006</v>
      </c>
      <c r="R23" s="255">
        <f ca="1">MAX(P23:P25)</f>
        <v>93.068998419645425</v>
      </c>
      <c r="S23" s="255">
        <f ca="1">Q23+R23</f>
        <v>186.09399841964543</v>
      </c>
      <c r="T23" s="213">
        <f ca="1">S23/AVERAGE(ABS(Q23),ABS(R23))</f>
        <v>2</v>
      </c>
      <c r="U23" s="89">
        <f>Z23</f>
        <v>8.0000000000000004E-4</v>
      </c>
      <c r="V23" s="90">
        <f>AA23</f>
        <v>8.0000000000000004E-4</v>
      </c>
      <c r="Z23" s="247">
        <v>8.0000000000000004E-4</v>
      </c>
      <c r="AA23" s="273">
        <v>8.0000000000000004E-4</v>
      </c>
    </row>
    <row r="24" spans="1:34" x14ac:dyDescent="0.25">
      <c r="A24" s="196">
        <f>MATCH(D24,SCALARS!C:C,0)</f>
        <v>28</v>
      </c>
      <c r="B24" s="206">
        <f>MATCH(D24,'MKT DATA'!B:B,0)</f>
        <v>37</v>
      </c>
      <c r="C24" s="13" t="str" cm="1">
        <f t="array" aca="1" ref="C24" ca="1">INDIRECT(ADDRESS($A24,5,,,"ANCHOR INPUTS"))</f>
        <v>MBB</v>
      </c>
      <c r="D24" s="11" t="s">
        <v>19</v>
      </c>
      <c r="E24" s="100">
        <v>0.16500000000000001</v>
      </c>
      <c r="F24" s="35" cm="1">
        <f t="array" aca="1" ref="F24" ca="1">INDIRECT(ADDRESS($B24,9,,,"mkt data"))</f>
        <v>0</v>
      </c>
      <c r="G24" s="70">
        <f t="shared" ca="1" si="13"/>
        <v>0</v>
      </c>
      <c r="H24" s="35">
        <f t="shared" ca="1" si="8"/>
        <v>0</v>
      </c>
      <c r="I24" s="278"/>
      <c r="J24" s="42" cm="1">
        <f t="array" aca="1" ref="J24" ca="1">INDIRECT(ADDRESS($B24,5,,,"mkt data"))</f>
        <v>46.09</v>
      </c>
      <c r="K24" s="43" cm="1">
        <f t="array" aca="1" ref="K24" ca="1">INDIRECT(ADDRESS($B24,6,,,"mkt data"))</f>
        <v>46.1</v>
      </c>
      <c r="L24" s="21">
        <f t="shared" ca="1" si="9"/>
        <v>46.085000000000001</v>
      </c>
      <c r="M24" s="21">
        <f t="shared" ca="1" si="10"/>
        <v>46.105000000000004</v>
      </c>
      <c r="N24" s="61" cm="1">
        <f t="array" aca="1" ref="N24" ca="1">INDIRECT(ADDRESS($A24,6,,,"scalars"))</f>
        <v>2.0177212023152391</v>
      </c>
      <c r="O24" s="22">
        <f t="shared" ca="1" si="11"/>
        <v>92.986681608697793</v>
      </c>
      <c r="P24" s="22">
        <f t="shared" ca="1" si="12"/>
        <v>93.027036032744107</v>
      </c>
      <c r="Q24" s="269"/>
      <c r="R24" s="262"/>
      <c r="S24" s="256"/>
      <c r="T24" s="264"/>
      <c r="U24" s="141" t="b">
        <f ca="1">IF(T23&gt;Z23,TRUE,FALSE)</f>
        <v>1</v>
      </c>
      <c r="V24" s="142" t="b" cm="1">
        <f t="array" aca="1" ref="V24" ca="1">AND(IF(SUM(ABS(F23:F25)),TRUE,FALSE),IF(T23&lt;V23,TRUE,FALSE))</f>
        <v>0</v>
      </c>
      <c r="Z24" s="248"/>
      <c r="AA24" s="274"/>
    </row>
    <row r="25" spans="1:34" ht="15.75" thickBot="1" x14ac:dyDescent="0.3">
      <c r="A25" s="194">
        <f>MATCH(D25,SCALARS!C:C,0)</f>
        <v>26</v>
      </c>
      <c r="B25" s="195">
        <f>MATCH(D25,'MKT DATA'!B:B,0)</f>
        <v>19</v>
      </c>
      <c r="C25" s="23" t="str" cm="1">
        <f t="array" aca="1" ref="C25" ca="1">INDIRECT(ADDRESS($A25,5,,,"ANCHOR INPUTS"))</f>
        <v>MBB</v>
      </c>
      <c r="D25" s="24" t="s">
        <v>20</v>
      </c>
      <c r="E25" s="99">
        <v>0.16500000000000001</v>
      </c>
      <c r="F25" s="36" cm="1">
        <f t="array" aca="1" ref="F25" ca="1">INDIRECT(ADDRESS($B25,9,,,"mkt data"))</f>
        <v>0</v>
      </c>
      <c r="G25" s="71">
        <f t="shared" ca="1" si="13"/>
        <v>0</v>
      </c>
      <c r="H25" s="36">
        <f t="shared" ca="1" si="8"/>
        <v>0</v>
      </c>
      <c r="I25" s="219"/>
      <c r="J25" s="44" cm="1">
        <f t="array" aca="1" ref="J25" ca="1">INDIRECT(ADDRESS($B25,5,,,"mkt data"))</f>
        <v>93.03</v>
      </c>
      <c r="K25" s="45" cm="1">
        <f t="array" aca="1" ref="K25" ca="1">INDIRECT(ADDRESS($B25,6,,,"mkt data"))</f>
        <v>93.04</v>
      </c>
      <c r="L25" s="25">
        <f t="shared" ca="1" si="9"/>
        <v>93.025000000000006</v>
      </c>
      <c r="M25" s="25">
        <f t="shared" ca="1" si="10"/>
        <v>93.045000000000002</v>
      </c>
      <c r="N25" s="59" cm="1">
        <f t="array" aca="1" ref="N25" ca="1">INDIRECT(ADDRESS($A25,6,,,"scalars"))</f>
        <v>1</v>
      </c>
      <c r="O25" s="26">
        <f t="shared" ca="1" si="11"/>
        <v>93.025000000000006</v>
      </c>
      <c r="P25" s="26">
        <f t="shared" ca="1" si="12"/>
        <v>93.045000000000002</v>
      </c>
      <c r="Q25" s="212"/>
      <c r="R25" s="263"/>
      <c r="S25" s="257"/>
      <c r="T25" s="214"/>
      <c r="U25" s="50"/>
      <c r="V25" s="143"/>
      <c r="Z25" s="249"/>
      <c r="AA25" s="275"/>
    </row>
    <row r="26" spans="1:34" x14ac:dyDescent="0.25">
      <c r="A26" s="192">
        <f>MATCH(D26,SCALARS!C:C,0)</f>
        <v>9</v>
      </c>
      <c r="B26" s="193">
        <f>MATCH(D26,'MKT DATA'!B:B,0)</f>
        <v>27</v>
      </c>
      <c r="C26" s="17" t="str" cm="1">
        <f t="array" aca="1" ref="C26" ca="1">INDIRECT(ADDRESS($A26,5,,,"ANCHOR INPUTS"))</f>
        <v>CORP</v>
      </c>
      <c r="D26" s="18" t="s">
        <v>28</v>
      </c>
      <c r="E26" s="98">
        <v>0.16500000000000001</v>
      </c>
      <c r="F26" s="34" cm="1">
        <f t="array" aca="1" ref="F26" ca="1">INDIRECT(ADDRESS($B26,9,,,"mkt data"))</f>
        <v>0</v>
      </c>
      <c r="G26" s="69">
        <f t="shared" ca="1" si="13"/>
        <v>0</v>
      </c>
      <c r="H26" s="34">
        <f t="shared" ca="1" si="8"/>
        <v>0</v>
      </c>
      <c r="I26" s="216">
        <f ca="1">SUM(H26:H29)</f>
        <v>0</v>
      </c>
      <c r="J26" s="40" cm="1">
        <f t="array" aca="1" ref="J26" ca="1">INDIRECT(ADDRESS($B26,5,,,"mkt data"))</f>
        <v>28.41</v>
      </c>
      <c r="K26" s="41" cm="1">
        <f t="array" aca="1" ref="K26" ca="1">INDIRECT(ADDRESS($B26,6,,,"mkt data"))</f>
        <v>28.42</v>
      </c>
      <c r="L26" s="19">
        <f t="shared" ref="L26:L35" ca="1" si="14">J26-L$18</f>
        <v>28.405000000000001</v>
      </c>
      <c r="M26" s="19">
        <f t="shared" ref="M26:M35" ca="1" si="15">K26+L$18</f>
        <v>28.425000000000001</v>
      </c>
      <c r="N26" s="57" cm="1">
        <f t="array" aca="1" ref="N26" ca="1">INDIRECT(ADDRESS($A26,6,,,"scalars"))</f>
        <v>3.3417625906895205</v>
      </c>
      <c r="O26" s="20">
        <f t="shared" ref="O26:O28" ca="1" si="16">L26*N26</f>
        <v>94.922766388535834</v>
      </c>
      <c r="P26" s="20">
        <f t="shared" ca="1" si="12"/>
        <v>94.989601640349619</v>
      </c>
      <c r="Q26" s="211">
        <f ca="1">MAX(O26:O29)</f>
        <v>94.961272157822592</v>
      </c>
      <c r="R26" s="255">
        <f ca="1">MAX(P26:P29)</f>
        <v>94.999071450153309</v>
      </c>
      <c r="S26" s="255">
        <f ca="1">Q26+R26</f>
        <v>189.96034360797591</v>
      </c>
      <c r="T26" s="213">
        <f ca="1">S26/AVERAGE(ABS(Q26),ABS(R26))</f>
        <v>2</v>
      </c>
      <c r="U26" s="49"/>
      <c r="V26" s="151"/>
      <c r="Z26" s="247">
        <v>1E-3</v>
      </c>
      <c r="AA26" s="273">
        <v>8.0000000000000004E-4</v>
      </c>
    </row>
    <row r="27" spans="1:34" x14ac:dyDescent="0.25">
      <c r="A27" s="196">
        <f>MATCH(D27,SCALARS!C:C,0)</f>
        <v>10</v>
      </c>
      <c r="B27" s="206">
        <f>MATCH(D27,'MKT DATA'!B:B,0)</f>
        <v>34</v>
      </c>
      <c r="C27" s="13" t="str" cm="1">
        <f t="array" aca="1" ref="C27" ca="1">INDIRECT(ADDRESS($A27,5,,,"ANCHOR INPUTS"))</f>
        <v>CORP</v>
      </c>
      <c r="D27" s="11" t="s">
        <v>29</v>
      </c>
      <c r="E27" s="100">
        <v>0.16500000000000001</v>
      </c>
      <c r="F27" s="35" cm="1">
        <f t="array" aca="1" ref="F27" ca="1">INDIRECT(ADDRESS($B27,9,,,"mkt data"))</f>
        <v>0</v>
      </c>
      <c r="G27" s="70">
        <f t="shared" ca="1" si="13"/>
        <v>0</v>
      </c>
      <c r="H27" s="35">
        <f t="shared" ca="1" si="8"/>
        <v>0</v>
      </c>
      <c r="I27" s="279"/>
      <c r="J27" s="42" cm="1">
        <f t="array" aca="1" ref="J27" ca="1">INDIRECT(ADDRESS($B27,5,,,"mkt data"))</f>
        <v>50.25</v>
      </c>
      <c r="K27" s="43" cm="1">
        <f t="array" aca="1" ref="K27" ca="1">INDIRECT(ADDRESS($B27,6,,,"mkt data"))</f>
        <v>50.26</v>
      </c>
      <c r="L27" s="21">
        <f t="shared" ca="1" si="14"/>
        <v>50.244999999999997</v>
      </c>
      <c r="M27" s="21">
        <f t="shared" ca="1" si="15"/>
        <v>50.265000000000001</v>
      </c>
      <c r="N27" s="61" cm="1">
        <f t="array" aca="1" ref="N27" ca="1">INDIRECT(ADDRESS($A27,6,,,"scalars"))</f>
        <v>1.8899646165354285</v>
      </c>
      <c r="O27" s="22">
        <f t="shared" ca="1" si="16"/>
        <v>94.961272157822592</v>
      </c>
      <c r="P27" s="22">
        <f t="shared" ca="1" si="12"/>
        <v>94.999071450153309</v>
      </c>
      <c r="Q27" s="266"/>
      <c r="R27" s="256"/>
      <c r="S27" s="256"/>
      <c r="T27" s="264"/>
      <c r="U27" s="153">
        <f>Z26</f>
        <v>1E-3</v>
      </c>
      <c r="V27" s="154">
        <f>AA26</f>
        <v>8.0000000000000004E-4</v>
      </c>
      <c r="W27" s="14"/>
      <c r="Z27" s="248"/>
      <c r="AA27" s="274"/>
    </row>
    <row r="28" spans="1:34" x14ac:dyDescent="0.25">
      <c r="A28" s="196">
        <f>MATCH(D28,SCALARS!C:C,0)</f>
        <v>11</v>
      </c>
      <c r="B28" s="206">
        <f>MATCH(D28,'MKT DATA'!B:B,0)</f>
        <v>38</v>
      </c>
      <c r="C28" s="13" t="str" cm="1">
        <f t="array" aca="1" ref="C28" ca="1">INDIRECT(ADDRESS($A28,5,,,"ANCHOR INPUTS"))</f>
        <v>CORP</v>
      </c>
      <c r="D28" s="11" t="s">
        <v>30</v>
      </c>
      <c r="E28" s="100">
        <v>0.16500000000000001</v>
      </c>
      <c r="F28" s="35" cm="1">
        <f t="array" aca="1" ref="F28" ca="1">INDIRECT(ADDRESS($B28,9,,,"mkt data"))</f>
        <v>0</v>
      </c>
      <c r="G28" s="70">
        <f t="shared" ca="1" si="13"/>
        <v>0</v>
      </c>
      <c r="H28" s="35">
        <f t="shared" ca="1" si="8"/>
        <v>0</v>
      </c>
      <c r="I28" s="279"/>
      <c r="J28" s="42" cm="1">
        <f t="array" aca="1" ref="J28" ca="1">INDIRECT(ADDRESS($B28,5,,,"mkt data"))</f>
        <v>75.150000000000006</v>
      </c>
      <c r="K28" s="43" cm="1">
        <f t="array" aca="1" ref="K28" ca="1">INDIRECT(ADDRESS($B28,6,,,"mkt data"))</f>
        <v>75.17</v>
      </c>
      <c r="L28" s="21">
        <f t="shared" ca="1" si="14"/>
        <v>75.14500000000001</v>
      </c>
      <c r="M28" s="21">
        <f t="shared" ca="1" si="15"/>
        <v>75.174999999999997</v>
      </c>
      <c r="N28" s="61" cm="1">
        <f t="array" aca="1" ref="N28" ca="1">INDIRECT(ADDRESS($A28,6,,,"scalars"))</f>
        <v>1.263437382973696</v>
      </c>
      <c r="O28" s="22">
        <f t="shared" ca="1" si="16"/>
        <v>94.941002143558393</v>
      </c>
      <c r="P28" s="22">
        <f t="shared" ca="1" si="12"/>
        <v>94.978905265047601</v>
      </c>
      <c r="Q28" s="266"/>
      <c r="R28" s="256"/>
      <c r="S28" s="256"/>
      <c r="T28" s="264"/>
      <c r="U28" s="141" t="b">
        <f ca="1">IF(T26&gt;Z26,TRUE,FALSE)</f>
        <v>1</v>
      </c>
      <c r="V28" s="142" t="b" cm="1">
        <f t="array" aca="1" ref="V28" ca="1">AND(IF(SUM(ABS(F26:F28)),TRUE,FALSE),IF(T26&lt;V27,TRUE,FALSE))</f>
        <v>0</v>
      </c>
      <c r="Z28" s="248"/>
      <c r="AA28" s="274"/>
    </row>
    <row r="29" spans="1:34" ht="15.75" thickBot="1" x14ac:dyDescent="0.3">
      <c r="A29" s="194">
        <f>MATCH(D29,SCALARS!C:C,0)</f>
        <v>8</v>
      </c>
      <c r="B29" s="195">
        <f>MATCH(D29,'MKT DATA'!B:B,0)</f>
        <v>8</v>
      </c>
      <c r="C29" s="23" t="str" cm="1">
        <f t="array" aca="1" ref="C29" ca="1">INDIRECT(ADDRESS($A29,5,,,"ANCHOR INPUTS"))</f>
        <v>CORP</v>
      </c>
      <c r="D29" s="24" t="s">
        <v>31</v>
      </c>
      <c r="E29" s="99">
        <v>0.16500000000000001</v>
      </c>
      <c r="F29" s="36" cm="1">
        <f t="array" aca="1" ref="F29" ca="1">INDIRECT(ADDRESS($B29,9,,,"mkt data"))</f>
        <v>0</v>
      </c>
      <c r="G29" s="71">
        <f t="shared" ca="1" si="13"/>
        <v>0</v>
      </c>
      <c r="H29" s="36">
        <f t="shared" ca="1" si="8"/>
        <v>0</v>
      </c>
      <c r="I29" s="217"/>
      <c r="J29" s="44" cm="1">
        <f t="array" aca="1" ref="J29" ca="1">INDIRECT(ADDRESS($B29,5,,,"mkt data"))</f>
        <v>94.93</v>
      </c>
      <c r="K29" s="45" cm="1">
        <f t="array" aca="1" ref="K29" ca="1">INDIRECT(ADDRESS($B29,6,,,"mkt data"))</f>
        <v>94.96</v>
      </c>
      <c r="L29" s="25">
        <f t="shared" ca="1" si="14"/>
        <v>94.925000000000011</v>
      </c>
      <c r="M29" s="25">
        <f t="shared" ca="1" si="15"/>
        <v>94.964999999999989</v>
      </c>
      <c r="N29" s="59" cm="1">
        <f t="array" aca="1" ref="N29" ca="1">INDIRECT(ADDRESS($A29,6,,,"scalars"))</f>
        <v>1</v>
      </c>
      <c r="O29" s="26">
        <f ca="1">L29*N29</f>
        <v>94.925000000000011</v>
      </c>
      <c r="P29" s="26">
        <f t="shared" ca="1" si="12"/>
        <v>94.964999999999989</v>
      </c>
      <c r="Q29" s="215"/>
      <c r="R29" s="257"/>
      <c r="S29" s="257"/>
      <c r="T29" s="214"/>
      <c r="U29" s="50"/>
      <c r="V29" s="143"/>
      <c r="Z29" s="249"/>
      <c r="AA29" s="275"/>
    </row>
    <row r="30" spans="1:34" x14ac:dyDescent="0.25">
      <c r="A30" s="192">
        <f>MATCH(D30,SCALARS!C:C,0)</f>
        <v>24</v>
      </c>
      <c r="B30" s="193">
        <f>MATCH(D30,'MKT DATA'!B:B,0)</f>
        <v>28</v>
      </c>
      <c r="C30" s="17" t="str" cm="1">
        <f t="array" aca="1" ref="C30" ca="1">INDIRECT(ADDRESS($A30,5,,,"ANCHOR INPUTS"))</f>
        <v>JNK</v>
      </c>
      <c r="D30" s="18" t="s">
        <v>12</v>
      </c>
      <c r="E30" s="98">
        <v>0.27500000000000002</v>
      </c>
      <c r="F30" s="34" cm="1">
        <f t="array" aca="1" ref="F30" ca="1">INDIRECT(ADDRESS($B30,9,,,"mkt data"))</f>
        <v>0</v>
      </c>
      <c r="G30" s="69">
        <f t="shared" ca="1" si="13"/>
        <v>0</v>
      </c>
      <c r="H30" s="34">
        <f t="shared" ca="1" si="8"/>
        <v>0</v>
      </c>
      <c r="I30" s="209">
        <f ca="1">SUM(H30:H35)</f>
        <v>0</v>
      </c>
      <c r="J30" s="40" cm="1">
        <f t="array" aca="1" ref="J30" ca="1">INDIRECT(ADDRESS($B30,5,,,"mkt data"))</f>
        <v>23.32</v>
      </c>
      <c r="K30" s="41" cm="1">
        <f t="array" aca="1" ref="K30" ca="1">INDIRECT(ADDRESS($B30,6,,,"mkt data"))</f>
        <v>23.33</v>
      </c>
      <c r="L30" s="19">
        <f t="shared" ca="1" si="14"/>
        <v>23.315000000000001</v>
      </c>
      <c r="M30" s="19">
        <f t="shared" ca="1" si="15"/>
        <v>23.334999999999997</v>
      </c>
      <c r="N30" s="57" cm="1">
        <f t="array" aca="1" ref="N30" ca="1">INDIRECT(ADDRESS($A30,6,,,"scalars"))</f>
        <v>4.1152939142539511</v>
      </c>
      <c r="O30" s="20">
        <f t="shared" ref="O30:O35" ca="1" si="17">L30*N30</f>
        <v>95.948077610830879</v>
      </c>
      <c r="P30" s="20">
        <f t="shared" ca="1" si="12"/>
        <v>96.030383489115934</v>
      </c>
      <c r="Q30" s="211">
        <f ca="1">MAX(O30:O35)</f>
        <v>95.991343737392782</v>
      </c>
      <c r="R30" s="255">
        <f ca="1">MAX(P30:P35)</f>
        <v>96.044107977457315</v>
      </c>
      <c r="S30" s="255">
        <f ca="1">Q30+R30</f>
        <v>192.0354517148501</v>
      </c>
      <c r="T30" s="213">
        <f ca="1">S30/AVERAGE(ABS(Q30),ABS(R30))</f>
        <v>2</v>
      </c>
      <c r="U30" s="49"/>
      <c r="V30" s="151"/>
      <c r="Z30" s="247">
        <v>1E-3</v>
      </c>
      <c r="AA30" s="273">
        <v>8.0000000000000004E-4</v>
      </c>
    </row>
    <row r="31" spans="1:34" x14ac:dyDescent="0.25">
      <c r="A31" s="196">
        <f>MATCH(D31,SCALARS!C:C,0)</f>
        <v>23</v>
      </c>
      <c r="B31" s="206">
        <f>MATCH(D31,'MKT DATA'!B:B,0)</f>
        <v>25</v>
      </c>
      <c r="C31" s="13" t="str" cm="1">
        <f t="array" aca="1" ref="C31" ca="1">INDIRECT(ADDRESS($A31,5,,,"ANCHOR INPUTS"))</f>
        <v>JNK</v>
      </c>
      <c r="D31" s="11" t="s">
        <v>13</v>
      </c>
      <c r="E31" s="100">
        <v>0.27500000000000002</v>
      </c>
      <c r="F31" s="35" cm="1">
        <f t="array" aca="1" ref="F31" ca="1">INDIRECT(ADDRESS($B31,9,,,"mkt data"))</f>
        <v>0</v>
      </c>
      <c r="G31" s="70">
        <f t="shared" ca="1" si="13"/>
        <v>0</v>
      </c>
      <c r="H31" s="35">
        <f t="shared" ca="1" si="8"/>
        <v>0</v>
      </c>
      <c r="I31" s="246"/>
      <c r="J31" s="42" cm="1">
        <f t="array" aca="1" ref="J31" ca="1">INDIRECT(ADDRESS($B31,5,,,"mkt data"))</f>
        <v>26.06</v>
      </c>
      <c r="K31" s="43" cm="1">
        <f t="array" aca="1" ref="K31" ca="1">INDIRECT(ADDRESS($B31,6,,,"mkt data"))</f>
        <v>26.07</v>
      </c>
      <c r="L31" s="21">
        <f t="shared" ca="1" si="14"/>
        <v>26.055</v>
      </c>
      <c r="M31" s="21">
        <f t="shared" ca="1" si="15"/>
        <v>26.074999999999999</v>
      </c>
      <c r="N31" s="61" cm="1">
        <f t="array" aca="1" ref="N31" ca="1">INDIRECT(ADDRESS($A31,6,,,"scalars"))</f>
        <v>3.6827827249692797</v>
      </c>
      <c r="O31" s="22">
        <f t="shared" ca="1" si="17"/>
        <v>95.95490389907458</v>
      </c>
      <c r="P31" s="22">
        <f t="shared" ca="1" si="12"/>
        <v>96.02855955357397</v>
      </c>
      <c r="Q31" s="266"/>
      <c r="R31" s="256"/>
      <c r="S31" s="256"/>
      <c r="T31" s="264"/>
      <c r="U31" s="50"/>
      <c r="V31" s="143"/>
      <c r="Z31" s="248"/>
      <c r="AA31" s="274"/>
    </row>
    <row r="32" spans="1:34" x14ac:dyDescent="0.25">
      <c r="A32" s="196">
        <f>MATCH(D32,SCALARS!C:C,0)</f>
        <v>21</v>
      </c>
      <c r="B32" s="206">
        <f>MATCH(D32,'MKT DATA'!B:B,0)</f>
        <v>13</v>
      </c>
      <c r="C32" s="13" t="str" cm="1">
        <f t="array" aca="1" ref="C32" ca="1">INDIRECT(ADDRESS($A32,5,,,"ANCHOR INPUTS"))</f>
        <v>JNK</v>
      </c>
      <c r="D32" s="11" t="s">
        <v>14</v>
      </c>
      <c r="E32" s="100">
        <v>0.27500000000000002</v>
      </c>
      <c r="F32" s="35" cm="1">
        <f t="array" aca="1" ref="F32" ca="1">INDIRECT(ADDRESS($B32,9,,,"mkt data"))</f>
        <v>0</v>
      </c>
      <c r="G32" s="70">
        <f t="shared" ca="1" si="13"/>
        <v>0</v>
      </c>
      <c r="H32" s="35">
        <f t="shared" ca="1" si="8"/>
        <v>0</v>
      </c>
      <c r="I32" s="246"/>
      <c r="J32" s="42" cm="1">
        <f t="array" aca="1" ref="J32" ca="1">INDIRECT(ADDRESS($B32,5,,,"mkt data"))</f>
        <v>36.39</v>
      </c>
      <c r="K32" s="43" cm="1">
        <f t="array" aca="1" ref="K32" ca="1">INDIRECT(ADDRESS($B32,6,,,"mkt data"))</f>
        <v>36.4</v>
      </c>
      <c r="L32" s="21">
        <f t="shared" ca="1" si="14"/>
        <v>36.384999999999998</v>
      </c>
      <c r="M32" s="21">
        <f t="shared" ca="1" si="15"/>
        <v>36.405000000000001</v>
      </c>
      <c r="N32" s="61" cm="1">
        <f t="array" aca="1" ref="N32" ca="1">INDIRECT(ADDRESS($A32,6,,,"scalars"))</f>
        <v>2.638212003226406</v>
      </c>
      <c r="O32" s="22">
        <f t="shared" ca="1" si="17"/>
        <v>95.991343737392782</v>
      </c>
      <c r="P32" s="22">
        <f t="shared" ca="1" si="12"/>
        <v>96.044107977457315</v>
      </c>
      <c r="Q32" s="266"/>
      <c r="R32" s="256"/>
      <c r="S32" s="256"/>
      <c r="T32" s="264"/>
      <c r="U32" s="153">
        <f>Z30</f>
        <v>1E-3</v>
      </c>
      <c r="V32" s="154">
        <f>AA30</f>
        <v>8.0000000000000004E-4</v>
      </c>
      <c r="Z32" s="248"/>
      <c r="AA32" s="274"/>
    </row>
    <row r="33" spans="1:27" x14ac:dyDescent="0.25">
      <c r="A33" s="196">
        <f>MATCH(D33,SCALARS!C:C,0)</f>
        <v>25</v>
      </c>
      <c r="B33" s="206">
        <f>MATCH(D33,'MKT DATA'!B:B,0)</f>
        <v>33</v>
      </c>
      <c r="C33" s="13" t="str" cm="1">
        <f t="array" aca="1" ref="C33" ca="1">INDIRECT(ADDRESS($A33,5,,,"ANCHOR INPUTS"))</f>
        <v>JNK</v>
      </c>
      <c r="D33" s="11" t="s">
        <v>15</v>
      </c>
      <c r="E33" s="100">
        <v>0.27500000000000002</v>
      </c>
      <c r="F33" s="35" cm="1">
        <f t="array" aca="1" ref="F33" ca="1">INDIRECT(ADDRESS($B33,9,,,"mkt data"))</f>
        <v>0</v>
      </c>
      <c r="G33" s="70">
        <f t="shared" ca="1" si="13"/>
        <v>0</v>
      </c>
      <c r="H33" s="35">
        <f t="shared" ca="1" si="8"/>
        <v>0</v>
      </c>
      <c r="I33" s="246"/>
      <c r="J33" s="42" cm="1">
        <f t="array" aca="1" ref="J33" ca="1">INDIRECT(ADDRESS($B33,5,,,"mkt data"))</f>
        <v>36.880000000000003</v>
      </c>
      <c r="K33" s="43" cm="1">
        <f t="array" aca="1" ref="K33" ca="1">INDIRECT(ADDRESS($B33,6,,,"mkt data"))</f>
        <v>36.89</v>
      </c>
      <c r="L33" s="21">
        <f t="shared" ca="1" si="14"/>
        <v>36.875</v>
      </c>
      <c r="M33" s="21">
        <f t="shared" ca="1" si="15"/>
        <v>36.895000000000003</v>
      </c>
      <c r="N33" s="61" cm="1">
        <f t="array" aca="1" ref="N33" ca="1">INDIRECT(ADDRESS($A33,6,,,"scalars"))</f>
        <v>2.6024347233041571</v>
      </c>
      <c r="O33" s="22">
        <f t="shared" ca="1" si="17"/>
        <v>95.9647804218408</v>
      </c>
      <c r="P33" s="22">
        <f t="shared" ca="1" si="12"/>
        <v>96.01682911630688</v>
      </c>
      <c r="Q33" s="266"/>
      <c r="R33" s="256"/>
      <c r="S33" s="256"/>
      <c r="T33" s="264"/>
      <c r="U33" s="141" t="b">
        <f ca="1">IF(T30&gt;Z30,TRUE,FALSE)</f>
        <v>1</v>
      </c>
      <c r="V33" s="142" t="b" cm="1">
        <f t="array" aca="1" ref="V33" ca="1">AND(IF(SUM(ABS(F30:F32)),TRUE,FALSE),IF(T30&lt;V32,TRUE,FALSE))</f>
        <v>0</v>
      </c>
      <c r="Z33" s="248"/>
      <c r="AA33" s="274"/>
    </row>
    <row r="34" spans="1:27" x14ac:dyDescent="0.25">
      <c r="A34" s="196">
        <f>MATCH(D34,SCALARS!C:C,0)</f>
        <v>20</v>
      </c>
      <c r="B34" s="206">
        <f>MATCH(D34,'MKT DATA'!B:B,0)</f>
        <v>12</v>
      </c>
      <c r="C34" s="13" t="str" cm="1">
        <f t="array" aca="1" ref="C34" ca="1">INDIRECT(ADDRESS($A34,5,,,"ANCHOR INPUTS"))</f>
        <v>JNK</v>
      </c>
      <c r="D34" s="11" t="s">
        <v>16</v>
      </c>
      <c r="E34" s="100">
        <v>0.27500000000000002</v>
      </c>
      <c r="F34" s="35" cm="1">
        <f t="array" aca="1" ref="F34" ca="1">INDIRECT(ADDRESS($B34,9,,,"mkt data"))</f>
        <v>0</v>
      </c>
      <c r="G34" s="70">
        <f t="shared" ca="1" si="13"/>
        <v>0</v>
      </c>
      <c r="H34" s="35">
        <f t="shared" ca="1" si="8"/>
        <v>0</v>
      </c>
      <c r="I34" s="246"/>
      <c r="J34" s="42" cm="1">
        <f t="array" aca="1" ref="J34" ca="1">INDIRECT(ADDRESS($B34,5,,,"mkt data"))</f>
        <v>79.72</v>
      </c>
      <c r="K34" s="43" cm="1">
        <f t="array" aca="1" ref="K34" ca="1">INDIRECT(ADDRESS($B34,6,,,"mkt data"))</f>
        <v>79.73</v>
      </c>
      <c r="L34" s="21">
        <f t="shared" ca="1" si="14"/>
        <v>79.715000000000003</v>
      </c>
      <c r="M34" s="21">
        <f t="shared" ca="1" si="15"/>
        <v>79.734999999999999</v>
      </c>
      <c r="N34" s="61" cm="1">
        <f t="array" aca="1" ref="N34" ca="1">INDIRECT(ADDRESS($A34,6,,,"scalars"))</f>
        <v>1.2036854068171792</v>
      </c>
      <c r="O34" s="22">
        <f t="shared" ca="1" si="17"/>
        <v>95.951782204431439</v>
      </c>
      <c r="P34" s="22">
        <f t="shared" ca="1" si="12"/>
        <v>95.975855912567781</v>
      </c>
      <c r="Q34" s="266"/>
      <c r="R34" s="256"/>
      <c r="S34" s="256"/>
      <c r="T34" s="264"/>
      <c r="U34" s="50"/>
      <c r="V34" s="143"/>
      <c r="Z34" s="248"/>
      <c r="AA34" s="274"/>
    </row>
    <row r="35" spans="1:27" ht="15.75" thickBot="1" x14ac:dyDescent="0.3">
      <c r="A35" s="194">
        <f>MATCH(D35,SCALARS!C:C,0)</f>
        <v>22</v>
      </c>
      <c r="B35" s="195">
        <f>MATCH(D35,'MKT DATA'!B:B,0)</f>
        <v>18</v>
      </c>
      <c r="C35" s="23" t="str" cm="1">
        <f t="array" aca="1" ref="C35" ca="1">INDIRECT(ADDRESS($A35,5,,,"ANCHOR INPUTS"))</f>
        <v>JNK</v>
      </c>
      <c r="D35" s="24" t="s">
        <v>17</v>
      </c>
      <c r="E35" s="99">
        <v>0.27500000000000002</v>
      </c>
      <c r="F35" s="36" cm="1">
        <f t="array" aca="1" ref="F35" ca="1">INDIRECT(ADDRESS($B35,9,,,"mkt data"))</f>
        <v>0</v>
      </c>
      <c r="G35" s="71">
        <f t="shared" ca="1" si="13"/>
        <v>0</v>
      </c>
      <c r="H35" s="36">
        <f t="shared" ca="1" si="8"/>
        <v>0</v>
      </c>
      <c r="I35" s="210"/>
      <c r="J35" s="44" cm="1">
        <f t="array" aca="1" ref="J35" ca="1">INDIRECT(ADDRESS($B35,5,,,"mkt data"))</f>
        <v>95.99</v>
      </c>
      <c r="K35" s="45" cm="1">
        <f t="array" aca="1" ref="K35" ca="1">INDIRECT(ADDRESS($B35,6,,,"mkt data"))</f>
        <v>96</v>
      </c>
      <c r="L35" s="25">
        <f t="shared" ca="1" si="14"/>
        <v>95.984999999999999</v>
      </c>
      <c r="M35" s="25">
        <f t="shared" ca="1" si="15"/>
        <v>96.004999999999995</v>
      </c>
      <c r="N35" s="59" cm="1">
        <f t="array" aca="1" ref="N35" ca="1">INDIRECT(ADDRESS($A35,6,,,"scalars"))</f>
        <v>1</v>
      </c>
      <c r="O35" s="26">
        <f t="shared" ca="1" si="17"/>
        <v>95.984999999999999</v>
      </c>
      <c r="P35" s="26">
        <f t="shared" ca="1" si="12"/>
        <v>96.004999999999995</v>
      </c>
      <c r="Q35" s="215"/>
      <c r="R35" s="257"/>
      <c r="S35" s="257"/>
      <c r="T35" s="214"/>
      <c r="U35" s="51"/>
      <c r="V35" s="152"/>
      <c r="Z35" s="249"/>
      <c r="AA35" s="275"/>
    </row>
    <row r="36" spans="1:27" s="113" customFormat="1" x14ac:dyDescent="0.25">
      <c r="A36" s="202">
        <f>MATCH(D36,SCALARS!C:C,0)</f>
        <v>38</v>
      </c>
      <c r="B36" s="203">
        <f>MATCH(D36,'MKT DATA'!B:B,0)</f>
        <v>31</v>
      </c>
      <c r="C36" s="101" t="str" cm="1">
        <f t="array" aca="1" ref="C36" ca="1">INDIRECT(ADDRESS($A36,5,,,"ANCHOR INPUTS"))</f>
        <v>VGLT</v>
      </c>
      <c r="D36" s="102" t="s">
        <v>25</v>
      </c>
      <c r="E36" s="148"/>
      <c r="F36" s="103" cm="1">
        <f t="array" aca="1" ref="F36" ca="1">INDIRECT(ADDRESS($B36,9,,,"mkt data"))</f>
        <v>0</v>
      </c>
      <c r="G36" s="104">
        <f t="shared" ca="1" si="13"/>
        <v>0</v>
      </c>
      <c r="H36" s="103">
        <f t="shared" ca="1" si="8"/>
        <v>0</v>
      </c>
      <c r="I36" s="259">
        <f ca="1">SUM(H36:H38)</f>
        <v>0</v>
      </c>
      <c r="J36" s="105" cm="1">
        <f t="array" aca="1" ref="J36" ca="1">INDIRECT(ADDRESS($B36,5,,,"mkt data"))</f>
        <v>25.15</v>
      </c>
      <c r="K36" s="106" cm="1">
        <f t="array" aca="1" ref="K36" ca="1">INDIRECT(ADDRESS($B36,6,,,"mkt data"))</f>
        <v>25.16</v>
      </c>
      <c r="L36" s="107">
        <f t="shared" ca="1" si="9"/>
        <v>25.145</v>
      </c>
      <c r="M36" s="107">
        <f t="shared" ca="1" si="10"/>
        <v>25.164999999999999</v>
      </c>
      <c r="N36" s="108" cm="1">
        <f t="array" aca="1" ref="N36" ca="1">INDIRECT(ADDRESS($A36,6,,,"scalars"))</f>
        <v>2.1025871897427599</v>
      </c>
      <c r="O36" s="109">
        <f t="shared" ca="1" si="11"/>
        <v>52.869554886081694</v>
      </c>
      <c r="P36" s="109">
        <f t="shared" ca="1" si="12"/>
        <v>52.911606629876552</v>
      </c>
      <c r="Q36" s="236">
        <f ca="1">MAX(O36:O38)</f>
        <v>52.891964258163455</v>
      </c>
      <c r="R36" s="242">
        <f ca="1">MAX(P36:P38)</f>
        <v>52.927219691763291</v>
      </c>
      <c r="S36" s="242">
        <f ca="1">Q36+R36</f>
        <v>105.81918394992675</v>
      </c>
      <c r="T36" s="234">
        <f ca="1">S36/AVERAGE(ABS(Q36),ABS(R36))</f>
        <v>2</v>
      </c>
      <c r="U36" s="89"/>
      <c r="V36" s="90"/>
      <c r="W36" s="129"/>
      <c r="X36" s="130"/>
      <c r="Z36" s="250">
        <v>0.01</v>
      </c>
      <c r="AA36" s="270">
        <v>0.01</v>
      </c>
    </row>
    <row r="37" spans="1:27" s="113" customFormat="1" x14ac:dyDescent="0.25">
      <c r="A37" s="207">
        <f>MATCH(D37,SCALARS!C:C,0)</f>
        <v>37</v>
      </c>
      <c r="B37" s="208">
        <f>MATCH(D37,'MKT DATA'!B:B,0)</f>
        <v>23</v>
      </c>
      <c r="C37" s="131" t="str" cm="1">
        <f t="array" aca="1" ref="C37" ca="1">INDIRECT(ADDRESS($A37,5,,,"ANCHOR INPUTS"))</f>
        <v>VGLT</v>
      </c>
      <c r="D37" s="132" t="s">
        <v>26</v>
      </c>
      <c r="E37" s="149"/>
      <c r="F37" s="133" cm="1">
        <f t="array" aca="1" ref="F37" ca="1">INDIRECT(ADDRESS($B37,9,,,"mkt data"))</f>
        <v>0</v>
      </c>
      <c r="G37" s="134">
        <f t="shared" ca="1" si="13"/>
        <v>0</v>
      </c>
      <c r="H37" s="133">
        <f t="shared" ca="1" si="8"/>
        <v>0</v>
      </c>
      <c r="I37" s="260"/>
      <c r="J37" s="135" cm="1">
        <f t="array" aca="1" ref="J37" ca="1">INDIRECT(ADDRESS($B37,5,,,"mkt data"))</f>
        <v>30.01</v>
      </c>
      <c r="K37" s="136" cm="1">
        <f t="array" aca="1" ref="K37" ca="1">INDIRECT(ADDRESS($B37,6,,,"mkt data"))</f>
        <v>30.02</v>
      </c>
      <c r="L37" s="137">
        <f t="shared" ca="1" si="9"/>
        <v>30.005000000000003</v>
      </c>
      <c r="M37" s="137">
        <f t="shared" ca="1" si="10"/>
        <v>30.024999999999999</v>
      </c>
      <c r="N37" s="138" cm="1">
        <f t="array" aca="1" ref="N37" ca="1">INDIRECT(ADDRESS($A37,6,,,"scalars"))</f>
        <v>1.7627716799921163</v>
      </c>
      <c r="O37" s="139">
        <f t="shared" ca="1" si="11"/>
        <v>52.891964258163455</v>
      </c>
      <c r="P37" s="139">
        <f t="shared" ca="1" si="12"/>
        <v>52.927219691763291</v>
      </c>
      <c r="Q37" s="258"/>
      <c r="R37" s="267"/>
      <c r="S37" s="243"/>
      <c r="T37" s="245"/>
      <c r="U37" s="141"/>
      <c r="V37" s="142"/>
      <c r="W37" s="129"/>
      <c r="X37" s="130"/>
      <c r="Z37" s="251"/>
      <c r="AA37" s="271"/>
    </row>
    <row r="38" spans="1:27" s="113" customFormat="1" ht="15.75" thickBot="1" x14ac:dyDescent="0.3">
      <c r="A38" s="204">
        <f>MATCH(D38,SCALARS!C:C,0)</f>
        <v>39</v>
      </c>
      <c r="B38" s="205">
        <f>MATCH(D38,'MKT DATA'!B:B,0)</f>
        <v>36</v>
      </c>
      <c r="C38" s="117" t="str" cm="1">
        <f t="array" aca="1" ref="C38" ca="1">INDIRECT(ADDRESS($A38,5,,,"ANCHOR INPUTS"))</f>
        <v>VGLT</v>
      </c>
      <c r="D38" s="118" t="s">
        <v>27</v>
      </c>
      <c r="E38" s="150"/>
      <c r="F38" s="119" cm="1">
        <f t="array" aca="1" ref="F38" ca="1">INDIRECT(ADDRESS($B38,9,,,"mkt data"))</f>
        <v>0</v>
      </c>
      <c r="G38" s="120">
        <f t="shared" ca="1" si="13"/>
        <v>0</v>
      </c>
      <c r="H38" s="119">
        <f t="shared" ca="1" si="8"/>
        <v>0</v>
      </c>
      <c r="I38" s="261"/>
      <c r="J38" s="121" cm="1">
        <f t="array" aca="1" ref="J38" ca="1">INDIRECT(ADDRESS($B38,5,,,"mkt data"))</f>
        <v>52.89</v>
      </c>
      <c r="K38" s="122" cm="1">
        <f t="array" aca="1" ref="K38" ca="1">INDIRECT(ADDRESS($B38,6,,,"mkt data"))</f>
        <v>52.9</v>
      </c>
      <c r="L38" s="123">
        <f t="shared" ca="1" si="9"/>
        <v>52.884999999999998</v>
      </c>
      <c r="M38" s="123">
        <f t="shared" ca="1" si="10"/>
        <v>52.905000000000001</v>
      </c>
      <c r="N38" s="124" cm="1">
        <f t="array" aca="1" ref="N38" ca="1">INDIRECT(ADDRESS($A38,6,,,"scalars"))</f>
        <v>1</v>
      </c>
      <c r="O38" s="125">
        <f t="shared" ref="O38" ca="1" si="18">L38*N38</f>
        <v>52.884999999999998</v>
      </c>
      <c r="P38" s="125">
        <f t="shared" ca="1" si="12"/>
        <v>52.905000000000001</v>
      </c>
      <c r="Q38" s="237"/>
      <c r="R38" s="268"/>
      <c r="S38" s="244"/>
      <c r="T38" s="235"/>
      <c r="U38" s="144"/>
      <c r="V38" s="145"/>
      <c r="W38" s="129"/>
      <c r="X38" s="130"/>
      <c r="Z38" s="252"/>
      <c r="AA38" s="272"/>
    </row>
    <row r="39" spans="1:27" s="113" customFormat="1" x14ac:dyDescent="0.25">
      <c r="A39" s="202">
        <f>MATCH(D39,SCALARS!C:C,0)</f>
        <v>35</v>
      </c>
      <c r="B39" s="203">
        <f>MATCH(D39,'MKT DATA'!B:B,0)</f>
        <v>29</v>
      </c>
      <c r="C39" s="101" t="str" cm="1">
        <f t="array" aca="1" ref="C39" ca="1">INDIRECT(ADDRESS($A39,5,,,"ANCHOR INPUTS"))</f>
        <v>VCLT</v>
      </c>
      <c r="D39" s="102" t="s">
        <v>22</v>
      </c>
      <c r="E39" s="148"/>
      <c r="F39" s="103" cm="1">
        <f t="array" aca="1" ref="F39" ca="1">INDIRECT(ADDRESS($B39,9,,,"mkt data"))</f>
        <v>0</v>
      </c>
      <c r="G39" s="104">
        <f t="shared" ca="1" si="13"/>
        <v>0</v>
      </c>
      <c r="H39" s="103">
        <f t="shared" ca="1" si="8"/>
        <v>0</v>
      </c>
      <c r="I39" s="259">
        <f ca="1">SUM(H39:H41)</f>
        <v>0</v>
      </c>
      <c r="J39" s="105" cm="1">
        <f t="array" aca="1" ref="J39" ca="1">INDIRECT(ADDRESS($B39,5,,,"mkt data"))</f>
        <v>21.43</v>
      </c>
      <c r="K39" s="106" cm="1">
        <f t="array" aca="1" ref="K39" ca="1">INDIRECT(ADDRESS($B39,6,,,"mkt data"))</f>
        <v>21.44</v>
      </c>
      <c r="L39" s="107">
        <f t="shared" ca="1" si="9"/>
        <v>21.425000000000001</v>
      </c>
      <c r="M39" s="107">
        <f t="shared" ca="1" si="10"/>
        <v>21.445</v>
      </c>
      <c r="N39" s="108" cm="1">
        <f t="array" aca="1" ref="N39" ca="1">INDIRECT(ADDRESS($A39,6,,,"scalars"))</f>
        <v>3.3610045625781595</v>
      </c>
      <c r="O39" s="109">
        <f ca="1">L39*N39</f>
        <v>72.009522753237064</v>
      </c>
      <c r="P39" s="109">
        <f t="shared" ca="1" si="12"/>
        <v>72.076742844488635</v>
      </c>
      <c r="Q39" s="236">
        <f ca="1">MAX(O39:O41)</f>
        <v>72.055000000000007</v>
      </c>
      <c r="R39" s="242">
        <f ca="1">MAX(P39:P41)</f>
        <v>72.076742844488635</v>
      </c>
      <c r="S39" s="242">
        <f ca="1">Q39+R39</f>
        <v>144.13174284448866</v>
      </c>
      <c r="T39" s="234">
        <f ca="1">S39/AVERAGE(ABS(Q39),ABS(R39))</f>
        <v>2</v>
      </c>
      <c r="U39" s="89"/>
      <c r="V39" s="90"/>
      <c r="W39" s="129"/>
      <c r="X39" s="130"/>
      <c r="Z39" s="250">
        <v>0.01</v>
      </c>
      <c r="AA39" s="270">
        <v>0.01</v>
      </c>
    </row>
    <row r="40" spans="1:27" s="113" customFormat="1" x14ac:dyDescent="0.25">
      <c r="A40" s="207">
        <f>MATCH(D40,SCALARS!C:C,0)</f>
        <v>34</v>
      </c>
      <c r="B40" s="208">
        <f>MATCH(D40,'MKT DATA'!B:B,0)</f>
        <v>16</v>
      </c>
      <c r="C40" s="131" t="str" cm="1">
        <f t="array" aca="1" ref="C40" ca="1">INDIRECT(ADDRESS($A40,5,,,"ANCHOR INPUTS"))</f>
        <v>VCLT</v>
      </c>
      <c r="D40" s="132" t="s">
        <v>23</v>
      </c>
      <c r="E40" s="149"/>
      <c r="F40" s="133" cm="1">
        <f t="array" aca="1" ref="F40" ca="1">INDIRECT(ADDRESS($B40,9,,,"mkt data"))</f>
        <v>0</v>
      </c>
      <c r="G40" s="134">
        <f t="shared" ca="1" si="13"/>
        <v>0</v>
      </c>
      <c r="H40" s="133">
        <f t="shared" ca="1" si="8"/>
        <v>0</v>
      </c>
      <c r="I40" s="260"/>
      <c r="J40" s="135" cm="1">
        <f t="array" aca="1" ref="J40" ca="1">INDIRECT(ADDRESS($B40,5,,,"mkt data"))</f>
        <v>48.01</v>
      </c>
      <c r="K40" s="136" cm="1">
        <f t="array" aca="1" ref="K40" ca="1">INDIRECT(ADDRESS($B40,6,,,"mkt data"))</f>
        <v>48.02</v>
      </c>
      <c r="L40" s="137">
        <f t="shared" ca="1" si="9"/>
        <v>48.004999999999995</v>
      </c>
      <c r="M40" s="137">
        <f t="shared" ca="1" si="10"/>
        <v>48.025000000000006</v>
      </c>
      <c r="N40" s="138" cm="1">
        <f t="array" aca="1" ref="N40" ca="1">INDIRECT(ADDRESS($A40,6,,,"scalars"))</f>
        <v>1.5006174179998575</v>
      </c>
      <c r="O40" s="139">
        <f t="shared" ref="O40:O41" ca="1" si="19">L40*N40</f>
        <v>72.037139151083153</v>
      </c>
      <c r="P40" s="139">
        <f t="shared" ca="1" si="12"/>
        <v>72.06715149944317</v>
      </c>
      <c r="Q40" s="258"/>
      <c r="R40" s="267"/>
      <c r="S40" s="243"/>
      <c r="T40" s="245"/>
      <c r="U40" s="141"/>
      <c r="V40" s="142"/>
      <c r="W40" s="129"/>
      <c r="X40" s="130"/>
      <c r="Z40" s="251"/>
      <c r="AA40" s="271"/>
    </row>
    <row r="41" spans="1:27" s="113" customFormat="1" ht="15.75" thickBot="1" x14ac:dyDescent="0.3">
      <c r="A41" s="204">
        <f>MATCH(D41,SCALARS!C:C,0)</f>
        <v>36</v>
      </c>
      <c r="B41" s="205">
        <f>MATCH(D41,'MKT DATA'!B:B,0)</f>
        <v>35</v>
      </c>
      <c r="C41" s="117" t="str" cm="1">
        <f t="array" aca="1" ref="C41" ca="1">INDIRECT(ADDRESS($A41,5,,,"ANCHOR INPUTS"))</f>
        <v>VCLT</v>
      </c>
      <c r="D41" s="118" t="s">
        <v>24</v>
      </c>
      <c r="E41" s="150"/>
      <c r="F41" s="119" cm="1">
        <f t="array" aca="1" ref="F41" ca="1">INDIRECT(ADDRESS($B41,9,,,"mkt data"))</f>
        <v>0</v>
      </c>
      <c r="G41" s="120">
        <f t="shared" ca="1" si="13"/>
        <v>0</v>
      </c>
      <c r="H41" s="119">
        <f t="shared" ca="1" si="8"/>
        <v>0</v>
      </c>
      <c r="I41" s="261"/>
      <c r="J41" s="121" cm="1">
        <f t="array" aca="1" ref="J41" ca="1">INDIRECT(ADDRESS($B41,5,,,"mkt data"))</f>
        <v>72.06</v>
      </c>
      <c r="K41" s="122" cm="1">
        <f t="array" aca="1" ref="K41" ca="1">INDIRECT(ADDRESS($B41,6,,,"mkt data"))</f>
        <v>72.069999999999993</v>
      </c>
      <c r="L41" s="123">
        <f t="shared" ca="1" si="9"/>
        <v>72.055000000000007</v>
      </c>
      <c r="M41" s="123">
        <f t="shared" ca="1" si="10"/>
        <v>72.074999999999989</v>
      </c>
      <c r="N41" s="124" cm="1">
        <f t="array" aca="1" ref="N41" ca="1">INDIRECT(ADDRESS($A41,6,,,"scalars"))</f>
        <v>1</v>
      </c>
      <c r="O41" s="125">
        <f t="shared" ca="1" si="19"/>
        <v>72.055000000000007</v>
      </c>
      <c r="P41" s="125">
        <f t="shared" ca="1" si="12"/>
        <v>72.074999999999989</v>
      </c>
      <c r="Q41" s="237"/>
      <c r="R41" s="268"/>
      <c r="S41" s="244"/>
      <c r="T41" s="235"/>
      <c r="U41" s="144"/>
      <c r="V41" s="145"/>
      <c r="W41" s="129"/>
      <c r="X41" s="130"/>
      <c r="Z41" s="252"/>
      <c r="AA41" s="272"/>
    </row>
    <row r="42" spans="1:27" s="113" customFormat="1" x14ac:dyDescent="0.25">
      <c r="A42" s="202">
        <f>MATCH(D42,SCALARS!C:C,0)</f>
        <v>4</v>
      </c>
      <c r="B42" s="203">
        <f>MATCH(D42,'MKT DATA'!B:B,0)</f>
        <v>24</v>
      </c>
      <c r="C42" s="101" t="str" cm="1">
        <f t="array" aca="1" ref="C42" ca="1">INDIRECT(ADDRESS($A42,5,,,"ANCHOR INPUTS"))</f>
        <v>AGG</v>
      </c>
      <c r="D42" s="102" t="s">
        <v>5</v>
      </c>
      <c r="E42" s="148"/>
      <c r="F42" s="103" cm="1">
        <f t="array" aca="1" ref="F42" ca="1">INDIRECT(ADDRESS($B42,9,,,"mkt data"))</f>
        <v>0</v>
      </c>
      <c r="G42" s="104">
        <f t="shared" ca="1" si="13"/>
        <v>0</v>
      </c>
      <c r="H42" s="103">
        <f t="shared" ca="1" si="8"/>
        <v>0</v>
      </c>
      <c r="I42" s="240">
        <f ca="1">SUM(H42:H45)</f>
        <v>0</v>
      </c>
      <c r="J42" s="105" cm="1">
        <f t="array" aca="1" ref="J42" ca="1">INDIRECT(ADDRESS($B42,5,,,"mkt data"))</f>
        <v>22.75</v>
      </c>
      <c r="K42" s="106" cm="1">
        <f t="array" aca="1" ref="K42" ca="1">INDIRECT(ADDRESS($B42,6,,,"mkt data"))</f>
        <v>22.76</v>
      </c>
      <c r="L42" s="107">
        <f t="shared" ca="1" si="9"/>
        <v>22.745000000000001</v>
      </c>
      <c r="M42" s="107">
        <f t="shared" ca="1" si="10"/>
        <v>22.765000000000001</v>
      </c>
      <c r="N42" s="108" cm="1">
        <f t="array" aca="1" ref="N42" ca="1">INDIRECT(ADDRESS($A42,6,,,"scalars"))</f>
        <v>4.2776436478568458</v>
      </c>
      <c r="O42" s="109">
        <f ca="1">L42*N42</f>
        <v>97.295004770503965</v>
      </c>
      <c r="P42" s="109">
        <f t="shared" ca="1" si="12"/>
        <v>97.380557643461103</v>
      </c>
      <c r="Q42" s="236">
        <f ca="1">MAX(O42:O45)</f>
        <v>97.355000000000004</v>
      </c>
      <c r="R42" s="242">
        <f ca="1">MAX(P42:P45)</f>
        <v>97.407109081094717</v>
      </c>
      <c r="S42" s="242">
        <f ca="1">Q42+R42</f>
        <v>194.76210908109471</v>
      </c>
      <c r="T42" s="234">
        <f ca="1">S42/AVERAGE(ABS(Q42),ABS(R42))</f>
        <v>2</v>
      </c>
      <c r="U42" s="89"/>
      <c r="V42" s="90"/>
      <c r="W42" s="129"/>
      <c r="X42" s="130"/>
      <c r="Z42" s="250">
        <v>0.01</v>
      </c>
      <c r="AA42" s="270">
        <v>0.01</v>
      </c>
    </row>
    <row r="43" spans="1:27" s="113" customFormat="1" x14ac:dyDescent="0.25">
      <c r="A43" s="207">
        <f>MATCH(D43,SCALARS!C:C,0)</f>
        <v>5</v>
      </c>
      <c r="B43" s="208">
        <f>MATCH(D43,'MKT DATA'!B:B,0)</f>
        <v>26</v>
      </c>
      <c r="C43" s="131" t="str" cm="1">
        <f t="array" aca="1" ref="C43" ca="1">INDIRECT(ADDRESS($A43,5,,,"ANCHOR INPUTS"))</f>
        <v>AGG</v>
      </c>
      <c r="D43" s="132" t="s">
        <v>6</v>
      </c>
      <c r="E43" s="149"/>
      <c r="F43" s="133" cm="1">
        <f t="array" aca="1" ref="F43" ca="1">INDIRECT(ADDRESS($B43,9,,,"mkt data"))</f>
        <v>0</v>
      </c>
      <c r="G43" s="134">
        <f t="shared" ca="1" si="13"/>
        <v>0</v>
      </c>
      <c r="H43" s="133">
        <f t="shared" ca="1" si="8"/>
        <v>0</v>
      </c>
      <c r="I43" s="277"/>
      <c r="J43" s="135" cm="1">
        <f t="array" aca="1" ref="J43" ca="1">INDIRECT(ADDRESS($B43,5,,,"mkt data"))</f>
        <v>25.09</v>
      </c>
      <c r="K43" s="136" cm="1">
        <f t="array" aca="1" ref="K43" ca="1">INDIRECT(ADDRESS($B43,6,,,"mkt data"))</f>
        <v>25.1</v>
      </c>
      <c r="L43" s="137">
        <f t="shared" ca="1" si="9"/>
        <v>25.085000000000001</v>
      </c>
      <c r="M43" s="137">
        <f t="shared" ca="1" si="10"/>
        <v>25.105</v>
      </c>
      <c r="N43" s="138" cm="1">
        <f t="array" aca="1" ref="N43" ca="1">INDIRECT(ADDRESS($A43,6,,,"scalars"))</f>
        <v>3.8799884119137511</v>
      </c>
      <c r="O43" s="139">
        <f ca="1">L43*N43</f>
        <v>97.329509312856445</v>
      </c>
      <c r="P43" s="139">
        <f t="shared" ca="1" si="12"/>
        <v>97.407109081094717</v>
      </c>
      <c r="Q43" s="253"/>
      <c r="R43" s="243"/>
      <c r="S43" s="243"/>
      <c r="T43" s="245"/>
      <c r="U43" s="141"/>
      <c r="V43" s="142"/>
      <c r="W43" s="129"/>
      <c r="X43" s="130"/>
      <c r="Z43" s="251"/>
      <c r="AA43" s="271"/>
    </row>
    <row r="44" spans="1:27" s="113" customFormat="1" x14ac:dyDescent="0.25">
      <c r="A44" s="207">
        <f>MATCH(D44,SCALARS!C:C,0)</f>
        <v>3</v>
      </c>
      <c r="B44" s="208">
        <f>MATCH(D44,'MKT DATA'!B:B,0)</f>
        <v>4</v>
      </c>
      <c r="C44" s="131" t="str" cm="1">
        <f t="array" aca="1" ref="C44" ca="1">INDIRECT(ADDRESS($A44,5,,,"ANCHOR INPUTS"))</f>
        <v>AGG</v>
      </c>
      <c r="D44" s="132" t="s">
        <v>7</v>
      </c>
      <c r="E44" s="149"/>
      <c r="F44" s="133" cm="1">
        <f t="array" aca="1" ref="F44" ca="1">INDIRECT(ADDRESS($B44,9,,,"mkt data"))</f>
        <v>0</v>
      </c>
      <c r="G44" s="134">
        <f t="shared" ca="1" si="13"/>
        <v>0</v>
      </c>
      <c r="H44" s="133">
        <f t="shared" ca="1" si="8"/>
        <v>0</v>
      </c>
      <c r="I44" s="277"/>
      <c r="J44" s="135" cm="1">
        <f t="array" aca="1" ref="J44" ca="1">INDIRECT(ADDRESS($B44,5,,,"mkt data"))</f>
        <v>72.2</v>
      </c>
      <c r="K44" s="136" cm="1">
        <f t="array" aca="1" ref="K44" ca="1">INDIRECT(ADDRESS($B44,6,,,"mkt data"))</f>
        <v>72.209999999999994</v>
      </c>
      <c r="L44" s="137">
        <f t="shared" ca="1" si="9"/>
        <v>72.195000000000007</v>
      </c>
      <c r="M44" s="137">
        <f t="shared" ca="1" si="10"/>
        <v>72.214999999999989</v>
      </c>
      <c r="N44" s="138" cm="1">
        <f t="array" aca="1" ref="N44" ca="1">INDIRECT(ADDRESS($A44,6,,,"scalars"))</f>
        <v>1.3480795585488226</v>
      </c>
      <c r="O44" s="139">
        <f ca="1">L44*N44</f>
        <v>97.324603729432255</v>
      </c>
      <c r="P44" s="139">
        <f t="shared" ca="1" si="12"/>
        <v>97.3515653206032</v>
      </c>
      <c r="Q44" s="253"/>
      <c r="R44" s="243"/>
      <c r="S44" s="243"/>
      <c r="T44" s="245"/>
      <c r="U44" s="144"/>
      <c r="V44" s="145"/>
      <c r="W44" s="129"/>
      <c r="X44" s="130"/>
      <c r="Z44" s="251"/>
      <c r="AA44" s="271"/>
    </row>
    <row r="45" spans="1:27" s="113" customFormat="1" ht="15.75" thickBot="1" x14ac:dyDescent="0.3">
      <c r="A45" s="204">
        <f>MATCH(D45,SCALARS!C:C,0)</f>
        <v>2</v>
      </c>
      <c r="B45" s="205">
        <f>MATCH(D45,'MKT DATA'!B:B,0)</f>
        <v>2</v>
      </c>
      <c r="C45" s="117" t="str" cm="1">
        <f t="array" aca="1" ref="C45" ca="1">INDIRECT(ADDRESS($A45,5,,,"ANCHOR INPUTS"))</f>
        <v>AGG</v>
      </c>
      <c r="D45" s="118" t="s">
        <v>8</v>
      </c>
      <c r="E45" s="150"/>
      <c r="F45" s="119" cm="1">
        <f t="array" aca="1" ref="F45" ca="1">INDIRECT(ADDRESS($B45,9,,,"mkt data"))</f>
        <v>0</v>
      </c>
      <c r="G45" s="120">
        <f t="shared" ca="1" si="13"/>
        <v>0</v>
      </c>
      <c r="H45" s="119">
        <f t="shared" ca="1" si="8"/>
        <v>0</v>
      </c>
      <c r="I45" s="241"/>
      <c r="J45" s="121" cm="1">
        <f t="array" aca="1" ref="J45" ca="1">INDIRECT(ADDRESS($B45,5,,,"mkt data"))</f>
        <v>97.36</v>
      </c>
      <c r="K45" s="122" cm="1">
        <f t="array" aca="1" ref="K45" ca="1">INDIRECT(ADDRESS($B45,6,,,"mkt data"))</f>
        <v>97.37</v>
      </c>
      <c r="L45" s="123">
        <f t="shared" ca="1" si="9"/>
        <v>97.355000000000004</v>
      </c>
      <c r="M45" s="123">
        <f t="shared" ca="1" si="10"/>
        <v>97.375</v>
      </c>
      <c r="N45" s="124" cm="1">
        <f t="array" aca="1" ref="N45" ca="1">INDIRECT(ADDRESS($A45,6,,,"scalars"))</f>
        <v>1</v>
      </c>
      <c r="O45" s="125">
        <f ca="1">L45*N45</f>
        <v>97.355000000000004</v>
      </c>
      <c r="P45" s="125">
        <f t="shared" ca="1" si="12"/>
        <v>97.375</v>
      </c>
      <c r="Q45" s="254"/>
      <c r="R45" s="244"/>
      <c r="S45" s="244"/>
      <c r="T45" s="235"/>
      <c r="U45" s="146"/>
      <c r="V45" s="147"/>
      <c r="W45" s="129"/>
      <c r="X45" s="130"/>
      <c r="Z45" s="252"/>
      <c r="AA45" s="272"/>
    </row>
    <row r="46" spans="1:27" x14ac:dyDescent="0.25">
      <c r="E46" s="72"/>
      <c r="F46" s="72"/>
      <c r="W46" s="32"/>
    </row>
    <row r="47" spans="1:27" x14ac:dyDescent="0.25">
      <c r="E47" s="72"/>
      <c r="F47" s="72"/>
    </row>
  </sheetData>
  <mergeCells count="100">
    <mergeCell ref="Z18:AA18"/>
    <mergeCell ref="I42:I45"/>
    <mergeCell ref="F18:I18"/>
    <mergeCell ref="I20:I22"/>
    <mergeCell ref="I23:I25"/>
    <mergeCell ref="S26:S29"/>
    <mergeCell ref="T26:T29"/>
    <mergeCell ref="S39:S41"/>
    <mergeCell ref="T39:T41"/>
    <mergeCell ref="S20:S22"/>
    <mergeCell ref="T20:T22"/>
    <mergeCell ref="I39:I41"/>
    <mergeCell ref="I26:I29"/>
    <mergeCell ref="Q18:T18"/>
    <mergeCell ref="AA20:AA22"/>
    <mergeCell ref="AA23:AA25"/>
    <mergeCell ref="AA36:AA38"/>
    <mergeCell ref="AA39:AA41"/>
    <mergeCell ref="Z39:Z41"/>
    <mergeCell ref="AA26:AA29"/>
    <mergeCell ref="AA42:AA45"/>
    <mergeCell ref="AA30:AA35"/>
    <mergeCell ref="Z30:Z35"/>
    <mergeCell ref="A17:C17"/>
    <mergeCell ref="Q30:Q35"/>
    <mergeCell ref="R39:R41"/>
    <mergeCell ref="Q20:Q22"/>
    <mergeCell ref="R20:R22"/>
    <mergeCell ref="Q23:Q25"/>
    <mergeCell ref="R30:R35"/>
    <mergeCell ref="A18:B18"/>
    <mergeCell ref="J18:K18"/>
    <mergeCell ref="O18:P18"/>
    <mergeCell ref="Q36:Q38"/>
    <mergeCell ref="R36:R38"/>
    <mergeCell ref="L18:M18"/>
    <mergeCell ref="Q26:Q29"/>
    <mergeCell ref="Z20:Z22"/>
    <mergeCell ref="Z23:Z25"/>
    <mergeCell ref="I36:I38"/>
    <mergeCell ref="R23:R25"/>
    <mergeCell ref="S23:S25"/>
    <mergeCell ref="T23:T25"/>
    <mergeCell ref="S36:S38"/>
    <mergeCell ref="T30:T35"/>
    <mergeCell ref="T36:T38"/>
    <mergeCell ref="S30:S35"/>
    <mergeCell ref="S42:S45"/>
    <mergeCell ref="T42:T45"/>
    <mergeCell ref="I30:I35"/>
    <mergeCell ref="Z26:Z29"/>
    <mergeCell ref="Z42:Z45"/>
    <mergeCell ref="Q42:Q45"/>
    <mergeCell ref="R42:R45"/>
    <mergeCell ref="Z36:Z38"/>
    <mergeCell ref="R26:R29"/>
    <mergeCell ref="Q39:Q41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5:T6"/>
    <mergeCell ref="I5:I6"/>
    <mergeCell ref="T9:T10"/>
    <mergeCell ref="I9:I10"/>
    <mergeCell ref="Q7:Q8"/>
    <mergeCell ref="R7:R8"/>
    <mergeCell ref="S7:S8"/>
    <mergeCell ref="T7:T8"/>
    <mergeCell ref="I7:I8"/>
    <mergeCell ref="I11:I12"/>
    <mergeCell ref="I15:I16"/>
    <mergeCell ref="Q15:Q16"/>
    <mergeCell ref="R15:R16"/>
    <mergeCell ref="S15:S16"/>
    <mergeCell ref="I13:I14"/>
    <mergeCell ref="T15:T16"/>
    <mergeCell ref="Z1:AA1"/>
    <mergeCell ref="Q13:Q14"/>
    <mergeCell ref="R13:R14"/>
    <mergeCell ref="S13:S14"/>
    <mergeCell ref="T13:T14"/>
    <mergeCell ref="Q11:Q12"/>
    <mergeCell ref="R11:R12"/>
    <mergeCell ref="S11:S12"/>
    <mergeCell ref="T11:T12"/>
    <mergeCell ref="Q9:Q10"/>
    <mergeCell ref="R9:R10"/>
    <mergeCell ref="S9:S10"/>
    <mergeCell ref="Q5:Q6"/>
    <mergeCell ref="R5:R6"/>
    <mergeCell ref="S5:S6"/>
  </mergeCells>
  <conditionalFormatting sqref="O20:O22">
    <cfRule type="top10" dxfId="78" priority="40" rank="1"/>
  </conditionalFormatting>
  <conditionalFormatting sqref="O23:O25">
    <cfRule type="top10" dxfId="77" priority="39" rank="1"/>
  </conditionalFormatting>
  <conditionalFormatting sqref="O36:O38">
    <cfRule type="top10" dxfId="76" priority="38" rank="1"/>
  </conditionalFormatting>
  <conditionalFormatting sqref="O39:O41">
    <cfRule type="top10" dxfId="75" priority="37" rank="1"/>
  </conditionalFormatting>
  <conditionalFormatting sqref="P20:P22">
    <cfRule type="top10" dxfId="74" priority="35" rank="1"/>
  </conditionalFormatting>
  <conditionalFormatting sqref="P23:P25">
    <cfRule type="top10" dxfId="73" priority="34" rank="1"/>
  </conditionalFormatting>
  <conditionalFormatting sqref="P36:P38">
    <cfRule type="top10" dxfId="72" priority="33" rank="1"/>
  </conditionalFormatting>
  <conditionalFormatting sqref="P39:P41">
    <cfRule type="top10" dxfId="71" priority="32" rank="1"/>
  </conditionalFormatting>
  <conditionalFormatting sqref="O42:O45">
    <cfRule type="top10" dxfId="70" priority="29" rank="1"/>
  </conditionalFormatting>
  <conditionalFormatting sqref="P42:P45">
    <cfRule type="top10" dxfId="69" priority="28" rank="1"/>
  </conditionalFormatting>
  <conditionalFormatting sqref="O30:O35">
    <cfRule type="top10" dxfId="68" priority="27" rank="1"/>
  </conditionalFormatting>
  <conditionalFormatting sqref="P30:P35">
    <cfRule type="top10" dxfId="67" priority="26" rank="1"/>
  </conditionalFormatting>
  <conditionalFormatting sqref="O26:O29">
    <cfRule type="top10" dxfId="66" priority="41" rank="1"/>
  </conditionalFormatting>
  <conditionalFormatting sqref="P26:P29">
    <cfRule type="top10" dxfId="65" priority="42" rank="1"/>
  </conditionalFormatting>
  <conditionalFormatting sqref="W27">
    <cfRule type="cellIs" dxfId="64" priority="22" operator="greaterThan">
      <formula>0</formula>
    </cfRule>
  </conditionalFormatting>
  <conditionalFormatting sqref="O13:O14">
    <cfRule type="top10" dxfId="63" priority="18" rank="1"/>
  </conditionalFormatting>
  <conditionalFormatting sqref="P13:P14">
    <cfRule type="top10" dxfId="62" priority="19" rank="1"/>
  </conditionalFormatting>
  <conditionalFormatting sqref="O15:O16">
    <cfRule type="top10" dxfId="61" priority="16" rank="1"/>
  </conditionalFormatting>
  <conditionalFormatting sqref="P15:P16">
    <cfRule type="top10" dxfId="60" priority="17" rank="1"/>
  </conditionalFormatting>
  <conditionalFormatting sqref="O11:O12">
    <cfRule type="top10" dxfId="59" priority="14" rank="1"/>
  </conditionalFormatting>
  <conditionalFormatting sqref="P11:P12">
    <cfRule type="top10" dxfId="58" priority="15" rank="1"/>
  </conditionalFormatting>
  <conditionalFormatting sqref="O5:O6">
    <cfRule type="top10" dxfId="57" priority="12" rank="1"/>
  </conditionalFormatting>
  <conditionalFormatting sqref="P5:P6">
    <cfRule type="top10" dxfId="56" priority="13" rank="1"/>
  </conditionalFormatting>
  <conditionalFormatting sqref="O7:O8">
    <cfRule type="top10" dxfId="55" priority="10" rank="1"/>
  </conditionalFormatting>
  <conditionalFormatting sqref="P7:P8">
    <cfRule type="top10" dxfId="54" priority="11" rank="1"/>
  </conditionalFormatting>
  <conditionalFormatting sqref="O9:O10">
    <cfRule type="top10" dxfId="53" priority="8" rank="1"/>
  </conditionalFormatting>
  <conditionalFormatting sqref="P9:P10">
    <cfRule type="top10" dxfId="52" priority="9" rank="1"/>
  </conditionalFormatting>
  <conditionalFormatting sqref="O3:O4">
    <cfRule type="top10" dxfId="51" priority="6" rank="1"/>
  </conditionalFormatting>
  <conditionalFormatting sqref="P3:P4">
    <cfRule type="top10" dxfId="50" priority="7" rank="1"/>
  </conditionalFormatting>
  <conditionalFormatting sqref="U4 U6 U8 U10 U12 U14 U16 X4 X6 X8 X10 X12 X14 X16">
    <cfRule type="cellIs" dxfId="49" priority="5" operator="equal">
      <formula>TRUE</formula>
    </cfRule>
  </conditionalFormatting>
  <conditionalFormatting sqref="V4:W4 V6:W6 V8:W8 V10:W10 V12:W12 V14:W14 V16:W16">
    <cfRule type="cellIs" dxfId="48" priority="4" operator="equal">
      <formula>TRUE</formula>
    </cfRule>
  </conditionalFormatting>
  <conditionalFormatting sqref="U21 U24 U28 U33 U37 U40 U43">
    <cfRule type="cellIs" dxfId="47" priority="3" operator="equal">
      <formula>TRUE</formula>
    </cfRule>
  </conditionalFormatting>
  <conditionalFormatting sqref="V21 V24 V28 V33 V37 V40 V43">
    <cfRule type="cellIs" dxfId="46" priority="2" operator="equal">
      <formula>TRUE</formula>
    </cfRule>
  </conditionalFormatting>
  <conditionalFormatting sqref="T20:T45 R3:R16 T3:T16">
    <cfRule type="cellIs" dxfId="45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C47"/>
  <sheetViews>
    <sheetView tabSelected="1" zoomScale="85" zoomScaleNormal="85" workbookViewId="0">
      <selection activeCell="S43" sqref="S43"/>
    </sheetView>
  </sheetViews>
  <sheetFormatPr defaultRowHeight="15" x14ac:dyDescent="0.25"/>
  <cols>
    <col min="1" max="1" width="7" bestFit="1" customWidth="1"/>
    <col min="2" max="2" width="9.42578125" bestFit="1" customWidth="1"/>
    <col min="3" max="3" width="12.7109375" style="1" customWidth="1"/>
    <col min="4" max="4" width="8" bestFit="1" customWidth="1"/>
    <col min="5" max="5" width="7.85546875" bestFit="1" customWidth="1"/>
    <col min="6" max="6" width="7.7109375" bestFit="1" customWidth="1"/>
    <col min="7" max="10" width="11" customWidth="1"/>
    <col min="11" max="21" width="12.5703125" customWidth="1"/>
    <col min="22" max="22" width="9.7109375" bestFit="1" customWidth="1"/>
    <col min="23" max="23" width="9.5703125" bestFit="1" customWidth="1"/>
    <col min="24" max="24" width="9.7109375" bestFit="1" customWidth="1"/>
    <col min="25" max="25" width="9.5703125" bestFit="1" customWidth="1"/>
    <col min="27" max="27" width="19" bestFit="1" customWidth="1"/>
    <col min="28" max="28" width="17.42578125" bestFit="1" customWidth="1"/>
    <col min="29" max="29" width="5.5703125" bestFit="1" customWidth="1"/>
  </cols>
  <sheetData>
    <row r="1" spans="1:29" x14ac:dyDescent="0.25">
      <c r="A1" s="225" t="s">
        <v>70</v>
      </c>
      <c r="B1" s="226"/>
      <c r="C1" s="161"/>
      <c r="D1" s="74"/>
      <c r="E1" s="74"/>
      <c r="F1" s="94"/>
      <c r="G1" s="227" t="s">
        <v>76</v>
      </c>
      <c r="H1" s="227"/>
      <c r="I1" s="227"/>
      <c r="J1" s="228"/>
      <c r="K1" s="229" t="s">
        <v>72</v>
      </c>
      <c r="L1" s="230"/>
      <c r="M1" s="231">
        <v>5.0000000000000001E-3</v>
      </c>
      <c r="N1" s="231"/>
      <c r="O1" s="46"/>
      <c r="P1" s="232" t="s">
        <v>75</v>
      </c>
      <c r="Q1" s="221"/>
      <c r="R1" s="220" t="s">
        <v>90</v>
      </c>
      <c r="S1" s="221"/>
      <c r="T1" s="222" t="s">
        <v>91</v>
      </c>
      <c r="U1" s="223"/>
      <c r="V1" s="52" t="s">
        <v>88</v>
      </c>
      <c r="W1" s="54" t="s">
        <v>89</v>
      </c>
      <c r="X1" s="54" t="s">
        <v>89</v>
      </c>
      <c r="Y1" s="53" t="s">
        <v>88</v>
      </c>
      <c r="AA1" s="224" t="s">
        <v>92</v>
      </c>
      <c r="AB1" s="224"/>
      <c r="AC1" s="63"/>
    </row>
    <row r="2" spans="1:29" ht="15.75" thickBot="1" x14ac:dyDescent="0.3">
      <c r="A2" s="38" t="s">
        <v>69</v>
      </c>
      <c r="B2" s="39" t="s">
        <v>71</v>
      </c>
      <c r="C2" s="162" t="s">
        <v>128</v>
      </c>
      <c r="D2" s="160" t="s">
        <v>99</v>
      </c>
      <c r="E2" s="76" t="s">
        <v>62</v>
      </c>
      <c r="F2" s="95" t="s">
        <v>83</v>
      </c>
      <c r="G2" s="93" t="s">
        <v>77</v>
      </c>
      <c r="H2" s="77" t="s">
        <v>96</v>
      </c>
      <c r="I2" s="78" t="s">
        <v>95</v>
      </c>
      <c r="J2" s="79" t="s">
        <v>78</v>
      </c>
      <c r="K2" s="80" t="s">
        <v>73</v>
      </c>
      <c r="L2" s="81" t="s">
        <v>74</v>
      </c>
      <c r="M2" s="82" t="s">
        <v>64</v>
      </c>
      <c r="N2" s="82" t="s">
        <v>65</v>
      </c>
      <c r="O2" s="83" t="s">
        <v>63</v>
      </c>
      <c r="P2" s="84" t="s">
        <v>67</v>
      </c>
      <c r="Q2" s="85" t="s">
        <v>68</v>
      </c>
      <c r="R2" s="47" t="s">
        <v>86</v>
      </c>
      <c r="S2" s="55" t="s">
        <v>32</v>
      </c>
      <c r="T2" s="47" t="s">
        <v>86</v>
      </c>
      <c r="U2" s="55" t="s">
        <v>32</v>
      </c>
      <c r="V2" s="87" t="s">
        <v>93</v>
      </c>
      <c r="W2" s="56" t="s">
        <v>94</v>
      </c>
      <c r="X2" s="56" t="s">
        <v>93</v>
      </c>
      <c r="Y2" s="88" t="s">
        <v>94</v>
      </c>
      <c r="AA2" s="64" t="s">
        <v>90</v>
      </c>
      <c r="AB2" s="65" t="s">
        <v>91</v>
      </c>
      <c r="AC2" s="65"/>
    </row>
    <row r="3" spans="1:29" x14ac:dyDescent="0.25">
      <c r="A3" s="192">
        <f>MATCH(E3,SCALARS!C:C,0)</f>
        <v>44</v>
      </c>
      <c r="B3" s="193">
        <f>MATCH(E3,'MKT DATA'!B:B,0)</f>
        <v>42</v>
      </c>
      <c r="C3" s="182" t="str" cm="1">
        <f t="array" aca="1" ref="C3" ca="1">INDIRECT(ADDRESS($A3,2,,,"ANCHOR INPUTS"))</f>
        <v>energy</v>
      </c>
      <c r="D3" s="17" t="str" cm="1">
        <f t="array" aca="1" ref="D3" ca="1">INDIRECT(ADDRESS($A3,5,,,"ANCHOR INPUTS"))</f>
        <v>VDE</v>
      </c>
      <c r="E3" s="18" t="s">
        <v>103</v>
      </c>
      <c r="F3" s="98"/>
      <c r="G3" s="34" cm="1">
        <f t="array" aca="1" ref="G3" ca="1">INDIRECT(ADDRESS($B3,9,,,"mkt data"))</f>
        <v>0</v>
      </c>
      <c r="H3" s="69">
        <f ca="1">G3*AVERAGE(K3:L3)</f>
        <v>0</v>
      </c>
      <c r="I3" s="34">
        <f ca="1">G3/O3</f>
        <v>0</v>
      </c>
      <c r="J3" s="209">
        <f ca="1">SUM(I3:I4)</f>
        <v>0</v>
      </c>
      <c r="K3" s="40" cm="1">
        <f t="array" aca="1" ref="K3" ca="1">INDIRECT(ADDRESS($B3,5,,,"mkt data"))</f>
        <v>35.15</v>
      </c>
      <c r="L3" s="41" cm="1">
        <f t="array" aca="1" ref="L3" ca="1">INDIRECT(ADDRESS($B3,6,,,"mkt data"))</f>
        <v>35.159999999999997</v>
      </c>
      <c r="M3" s="19">
        <f ca="1">K3-M$1</f>
        <v>35.144999999999996</v>
      </c>
      <c r="N3" s="19">
        <f ca="1">L3+M$1</f>
        <v>35.164999999999999</v>
      </c>
      <c r="O3" s="57" cm="1">
        <f t="array" aca="1" ref="O3" ca="1">INDIRECT(ADDRESS($A3,6,,,"scalars"))</f>
        <v>5.0831105035414215</v>
      </c>
      <c r="P3" s="20">
        <f ca="1">M3*O3</f>
        <v>178.64591864696322</v>
      </c>
      <c r="Q3" s="20">
        <f ca="1">O3*N3</f>
        <v>178.74758085703408</v>
      </c>
      <c r="R3" s="211">
        <f ca="1">P4-Q3</f>
        <v>-6.2580857034078008E-2</v>
      </c>
      <c r="S3" s="213">
        <f ca="1">R3/AVERAGE(P4,Q4)</f>
        <v>-3.5018105888913893E-4</v>
      </c>
      <c r="T3" s="211">
        <f ca="1">P3-Q4</f>
        <v>-8.9081353036760902E-2</v>
      </c>
      <c r="U3" s="213">
        <f ca="1">T3/AVERAGE(P4,Q4)</f>
        <v>-4.9846876524403173E-4</v>
      </c>
      <c r="V3" s="89">
        <f>AA3</f>
        <v>1E-3</v>
      </c>
      <c r="W3" s="58">
        <f>AA4</f>
        <v>0</v>
      </c>
      <c r="X3" s="58">
        <f>AB4</f>
        <v>0</v>
      </c>
      <c r="Y3" s="90">
        <f>AB3</f>
        <v>1E-3</v>
      </c>
      <c r="AA3" s="66">
        <v>1E-3</v>
      </c>
      <c r="AB3" s="67">
        <v>1E-3</v>
      </c>
      <c r="AC3" s="68" t="s">
        <v>88</v>
      </c>
    </row>
    <row r="4" spans="1:29" ht="15.75" thickBot="1" x14ac:dyDescent="0.3">
      <c r="A4" s="194">
        <f>MATCH(E4,SCALARS!C:C,0)</f>
        <v>45</v>
      </c>
      <c r="B4" s="195">
        <f>MATCH(E4,'MKT DATA'!B:B,0)</f>
        <v>58</v>
      </c>
      <c r="C4" s="183" t="str" cm="1">
        <f t="array" aca="1" ref="C4" ca="1">INDIRECT(ADDRESS($A4,2,,,"ANCHOR INPUTS"))</f>
        <v>energy</v>
      </c>
      <c r="D4" s="23" t="str" cm="1">
        <f t="array" aca="1" ref="D4" ca="1">INDIRECT(ADDRESS($A4,5,,,"ANCHOR INPUTS"))</f>
        <v>VDE</v>
      </c>
      <c r="E4" s="24" t="s">
        <v>105</v>
      </c>
      <c r="F4" s="99"/>
      <c r="G4" s="36" cm="1">
        <f t="array" aca="1" ref="G4" ca="1">INDIRECT(ADDRESS($B4,9,,,"mkt data"))</f>
        <v>0</v>
      </c>
      <c r="H4" s="71">
        <f ca="1">G4*AVERAGE(K4:L4)</f>
        <v>0</v>
      </c>
      <c r="I4" s="36">
        <f ca="1">G4/O4</f>
        <v>0</v>
      </c>
      <c r="J4" s="210"/>
      <c r="K4" s="44" cm="1">
        <f t="array" aca="1" ref="K4" ca="1">INDIRECT(ADDRESS($B4,5,,,"mkt data"))</f>
        <v>178.69</v>
      </c>
      <c r="L4" s="45" cm="1">
        <f t="array" aca="1" ref="L4" ca="1">INDIRECT(ADDRESS($B4,6,,,"mkt data"))</f>
        <v>178.73</v>
      </c>
      <c r="M4" s="25">
        <f ca="1">K4-M$1</f>
        <v>178.685</v>
      </c>
      <c r="N4" s="25">
        <f ca="1">L4+M$1</f>
        <v>178.73499999999999</v>
      </c>
      <c r="O4" s="59" cm="1">
        <f t="array" aca="1" ref="O4" ca="1">INDIRECT(ADDRESS($A4,6,,,"scalars"))</f>
        <v>1</v>
      </c>
      <c r="P4" s="26">
        <f ca="1">M4*O4</f>
        <v>178.685</v>
      </c>
      <c r="Q4" s="26">
        <f ca="1">O4*N4</f>
        <v>178.73499999999999</v>
      </c>
      <c r="R4" s="212"/>
      <c r="S4" s="214"/>
      <c r="T4" s="212"/>
      <c r="U4" s="214"/>
      <c r="V4" s="91" t="b">
        <f ca="1">IF(S3&gt;V3,TRUE,FALSE)</f>
        <v>0</v>
      </c>
      <c r="W4" s="60" t="b">
        <f ca="1">AND(IF(U3&gt;-W3,TRUE,FALSE),IF(G3&gt;0,TRUE,FALSE))</f>
        <v>0</v>
      </c>
      <c r="X4" s="60" t="b">
        <f ca="1">AND(IF(S3&gt;-X3,TRUE,FALSE),IF(G3&lt;0,TRUE,FALSE))</f>
        <v>0</v>
      </c>
      <c r="Y4" s="92" t="b">
        <f ca="1">IF(U3&gt;Y3,TRUE,FALSE)</f>
        <v>0</v>
      </c>
      <c r="AA4" s="67">
        <v>0</v>
      </c>
      <c r="AB4" s="67">
        <v>0</v>
      </c>
      <c r="AC4" s="68" t="s">
        <v>89</v>
      </c>
    </row>
    <row r="5" spans="1:29" x14ac:dyDescent="0.25">
      <c r="A5" s="196" t="e">
        <f>MATCH(E5,SCALARS!C:C,0)</f>
        <v>#N/A</v>
      </c>
      <c r="B5" s="193" t="e">
        <f>MATCH(E5,'MKT DATA'!B:B,0)</f>
        <v>#N/A</v>
      </c>
      <c r="C5" s="182" t="e" cm="1">
        <f t="array" aca="1" ref="C5" ca="1">INDIRECT(ADDRESS($A5,2,,,"ANCHOR INPUTS"))</f>
        <v>#N/A</v>
      </c>
      <c r="D5" s="13" t="e" cm="1">
        <f t="array" aca="1" ref="D5" ca="1">INDIRECT(ADDRESS($A5,5,,,"ANCHOR INPUTS"))</f>
        <v>#N/A</v>
      </c>
      <c r="E5" s="165" t="s">
        <v>166</v>
      </c>
      <c r="F5" s="100"/>
      <c r="G5" s="166"/>
      <c r="H5" s="167"/>
      <c r="I5" s="166"/>
      <c r="J5" s="168"/>
      <c r="K5" s="169"/>
      <c r="L5" s="170"/>
      <c r="M5" s="171"/>
      <c r="N5" s="171"/>
      <c r="O5" s="172"/>
      <c r="P5" s="173"/>
      <c r="Q5" s="173"/>
      <c r="R5" s="174"/>
      <c r="S5" s="175"/>
      <c r="T5" s="174"/>
      <c r="U5" s="175"/>
      <c r="V5" s="176"/>
      <c r="W5" s="177"/>
      <c r="X5" s="177"/>
      <c r="Y5" s="178"/>
      <c r="AA5" s="67"/>
      <c r="AB5" s="67"/>
      <c r="AC5" s="68"/>
    </row>
    <row r="6" spans="1:29" ht="15.75" thickBot="1" x14ac:dyDescent="0.3">
      <c r="A6" s="196" t="e">
        <f>MATCH(E6,SCALARS!C:C,0)</f>
        <v>#N/A</v>
      </c>
      <c r="B6" s="195">
        <f>MATCH(E6,'MKT DATA'!B:B,0)</f>
        <v>59</v>
      </c>
      <c r="C6" s="183" t="e" cm="1">
        <f t="array" aca="1" ref="C6" ca="1">INDIRECT(ADDRESS($A6,2,,,"ANCHOR INPUTS"))</f>
        <v>#N/A</v>
      </c>
      <c r="D6" s="13" t="e" cm="1">
        <f t="array" aca="1" ref="D6" ca="1">INDIRECT(ADDRESS($A6,5,,,"ANCHOR INPUTS"))</f>
        <v>#N/A</v>
      </c>
      <c r="E6" s="165" t="s">
        <v>108</v>
      </c>
      <c r="F6" s="100"/>
      <c r="G6" s="166"/>
      <c r="H6" s="167"/>
      <c r="I6" s="166"/>
      <c r="J6" s="168"/>
      <c r="K6" s="169"/>
      <c r="L6" s="170"/>
      <c r="M6" s="171"/>
      <c r="N6" s="171"/>
      <c r="O6" s="172"/>
      <c r="P6" s="173"/>
      <c r="Q6" s="173"/>
      <c r="R6" s="174"/>
      <c r="S6" s="175"/>
      <c r="T6" s="174"/>
      <c r="U6" s="175"/>
      <c r="V6" s="176"/>
      <c r="W6" s="177"/>
      <c r="X6" s="177"/>
      <c r="Y6" s="178"/>
      <c r="AA6" s="67"/>
      <c r="AB6" s="67"/>
      <c r="AC6" s="68"/>
    </row>
    <row r="7" spans="1:29" x14ac:dyDescent="0.25">
      <c r="A7" s="192">
        <f>MATCH(E7,SCALARS!C:C,0)</f>
        <v>46</v>
      </c>
      <c r="B7" s="193">
        <f>MATCH(E7,'MKT DATA'!B:B,0)</f>
        <v>43</v>
      </c>
      <c r="C7" s="182" t="str" cm="1">
        <f t="array" aca="1" ref="C7" ca="1">INDIRECT(ADDRESS($A7,2,,,"ANCHOR INPUTS"))</f>
        <v>healthcare</v>
      </c>
      <c r="D7" s="17" t="str" cm="1">
        <f t="array" aca="1" ref="D7" ca="1">INDIRECT(ADDRESS($A7,5,,,"ANCHOR INPUTS"))</f>
        <v>VHT</v>
      </c>
      <c r="E7" s="18" t="s">
        <v>110</v>
      </c>
      <c r="F7" s="98"/>
      <c r="G7" s="34" cm="1">
        <f t="array" aca="1" ref="G7" ca="1">INDIRECT(ADDRESS($B7,9,,,"mkt data"))</f>
        <v>0</v>
      </c>
      <c r="H7" s="69">
        <f ca="1">G7*AVERAGE(K7:L7)</f>
        <v>0</v>
      </c>
      <c r="I7" s="34">
        <f ca="1">G7/O7</f>
        <v>0</v>
      </c>
      <c r="J7" s="209">
        <f ca="1">SUM(I7:I8)</f>
        <v>0</v>
      </c>
      <c r="K7" s="40" cm="1">
        <f t="array" aca="1" ref="K7" ca="1">INDIRECT(ADDRESS($B7,5,,,"mkt data"))</f>
        <v>82.67</v>
      </c>
      <c r="L7" s="41" cm="1">
        <f t="array" aca="1" ref="L7" ca="1">INDIRECT(ADDRESS($B7,6,,,"mkt data"))</f>
        <v>82.69</v>
      </c>
      <c r="M7" s="19">
        <f ca="1">K7-M$1</f>
        <v>82.665000000000006</v>
      </c>
      <c r="N7" s="19">
        <f ca="1">L7+M$1</f>
        <v>82.694999999999993</v>
      </c>
      <c r="O7" s="57" cm="1">
        <f t="array" aca="1" ref="O7" ca="1">INDIRECT(ADDRESS($A7,6,,,"scalars"))</f>
        <v>3.8689166530293781</v>
      </c>
      <c r="P7" s="20">
        <f t="shared" ref="P7:P8" ca="1" si="0">M7*O7</f>
        <v>319.82399512267358</v>
      </c>
      <c r="Q7" s="20">
        <f ca="1">O7*N7</f>
        <v>319.94006262226441</v>
      </c>
      <c r="R7" s="211">
        <f ca="1">P8-Q7</f>
        <v>-0.11506262226441777</v>
      </c>
      <c r="S7" s="213">
        <f ca="1">R7/AVERAGE(P8,Q8)</f>
        <v>-3.5972807560938461E-4</v>
      </c>
      <c r="T7" s="211">
        <f ca="1">P7-Q8</f>
        <v>-7.1004877326402038E-2</v>
      </c>
      <c r="U7" s="213">
        <f ca="1">T7/AVERAGE(P8,Q8)</f>
        <v>-2.219873611154944E-4</v>
      </c>
      <c r="V7" s="89">
        <f>AA7</f>
        <v>1E-3</v>
      </c>
      <c r="W7" s="58">
        <f>AA8</f>
        <v>0</v>
      </c>
      <c r="X7" s="58">
        <f>AB8</f>
        <v>0</v>
      </c>
      <c r="Y7" s="90">
        <f>AB7</f>
        <v>1E-3</v>
      </c>
      <c r="AA7" s="66">
        <v>1E-3</v>
      </c>
      <c r="AB7" s="67">
        <v>1E-3</v>
      </c>
      <c r="AC7" s="68" t="s">
        <v>88</v>
      </c>
    </row>
    <row r="8" spans="1:29" ht="15.75" thickBot="1" x14ac:dyDescent="0.3">
      <c r="A8" s="194">
        <f>MATCH(E8,SCALARS!C:C,0)</f>
        <v>47</v>
      </c>
      <c r="B8" s="195">
        <f>MATCH(E8,'MKT DATA'!B:B,0)</f>
        <v>61</v>
      </c>
      <c r="C8" s="183" t="str" cm="1">
        <f t="array" aca="1" ref="C8" ca="1">INDIRECT(ADDRESS($A8,2,,,"ANCHOR INPUTS"))</f>
        <v>healthcare</v>
      </c>
      <c r="D8" s="23" t="str" cm="1">
        <f t="array" aca="1" ref="D8" ca="1">INDIRECT(ADDRESS($A8,5,,,"ANCHOR INPUTS"))</f>
        <v>VHT</v>
      </c>
      <c r="E8" s="24" t="s">
        <v>112</v>
      </c>
      <c r="F8" s="99"/>
      <c r="G8" s="36" cm="1">
        <f t="array" aca="1" ref="G8" ca="1">INDIRECT(ADDRESS($B8,9,,,"mkt data"))</f>
        <v>0</v>
      </c>
      <c r="H8" s="71">
        <f ca="1">G8*AVERAGE(K8:L8)</f>
        <v>0</v>
      </c>
      <c r="I8" s="36">
        <f ca="1">G8/O8</f>
        <v>0</v>
      </c>
      <c r="J8" s="210"/>
      <c r="K8" s="44" cm="1">
        <f t="array" aca="1" ref="K8" ca="1">INDIRECT(ADDRESS($B8,5,,,"mkt data"))</f>
        <v>319.83</v>
      </c>
      <c r="L8" s="45" cm="1">
        <f t="array" aca="1" ref="L8" ca="1">INDIRECT(ADDRESS($B8,6,,,"mkt data"))</f>
        <v>319.89</v>
      </c>
      <c r="M8" s="25">
        <f ca="1">K8-M$1</f>
        <v>319.82499999999999</v>
      </c>
      <c r="N8" s="25">
        <f ca="1">L8+M$1</f>
        <v>319.89499999999998</v>
      </c>
      <c r="O8" s="59" cm="1">
        <f t="array" aca="1" ref="O8" ca="1">INDIRECT(ADDRESS($A8,6,,,"scalars"))</f>
        <v>1</v>
      </c>
      <c r="P8" s="26">
        <f t="shared" ca="1" si="0"/>
        <v>319.82499999999999</v>
      </c>
      <c r="Q8" s="26">
        <f ca="1">O8*N8</f>
        <v>319.89499999999998</v>
      </c>
      <c r="R8" s="212"/>
      <c r="S8" s="214"/>
      <c r="T8" s="212"/>
      <c r="U8" s="214"/>
      <c r="V8" s="91" t="b">
        <f ca="1">IF(S7&gt;V7,TRUE,FALSE)</f>
        <v>0</v>
      </c>
      <c r="W8" s="60" t="b">
        <f ca="1">AND(IF(U7&gt;-W7,TRUE,FALSE),IF(G7&gt;0,TRUE,FALSE))</f>
        <v>0</v>
      </c>
      <c r="X8" s="60" t="b">
        <f ca="1">AND(IF(S7&gt;-X7,TRUE,FALSE),IF(G7&lt;0,TRUE,FALSE))</f>
        <v>0</v>
      </c>
      <c r="Y8" s="92" t="b">
        <f ca="1">IF(U7&gt;Y7,TRUE,FALSE)</f>
        <v>0</v>
      </c>
      <c r="AA8" s="67">
        <v>0</v>
      </c>
      <c r="AB8" s="67">
        <v>0</v>
      </c>
      <c r="AC8" s="68" t="s">
        <v>89</v>
      </c>
    </row>
    <row r="9" spans="1:29" x14ac:dyDescent="0.25">
      <c r="A9" s="196" t="e">
        <f>MATCH(E9,SCALARS!C:C,0)</f>
        <v>#N/A</v>
      </c>
      <c r="B9" s="193">
        <f>MATCH(E9,'MKT DATA'!B:B,0)</f>
        <v>44</v>
      </c>
      <c r="C9" s="184" t="e" cm="1">
        <f t="array" aca="1" ref="C9" ca="1">INDIRECT(ADDRESS($A9,2,,,"ANCHOR INPUTS"))</f>
        <v>#N/A</v>
      </c>
      <c r="D9" s="13" t="e" cm="1">
        <f t="array" aca="1" ref="D9" ca="1">INDIRECT(ADDRESS($A9,5,,,"ANCHOR INPUTS"))</f>
        <v>#N/A</v>
      </c>
      <c r="E9" s="163" t="s">
        <v>114</v>
      </c>
      <c r="F9" s="100"/>
      <c r="G9" s="166"/>
      <c r="H9" s="167"/>
      <c r="I9" s="166"/>
      <c r="J9" s="168"/>
      <c r="K9" s="169"/>
      <c r="L9" s="170"/>
      <c r="M9" s="171"/>
      <c r="N9" s="171"/>
      <c r="O9" s="172"/>
      <c r="P9" s="173"/>
      <c r="Q9" s="173"/>
      <c r="R9" s="174"/>
      <c r="S9" s="175"/>
      <c r="T9" s="174"/>
      <c r="U9" s="175"/>
      <c r="V9" s="176"/>
      <c r="W9" s="177"/>
      <c r="X9" s="177"/>
      <c r="Y9" s="178"/>
      <c r="AA9" s="67"/>
      <c r="AB9" s="67"/>
      <c r="AC9" s="68"/>
    </row>
    <row r="10" spans="1:29" ht="15.75" thickBot="1" x14ac:dyDescent="0.3">
      <c r="A10" s="196" t="e">
        <f>MATCH(E10,SCALARS!C:C,0)</f>
        <v>#N/A</v>
      </c>
      <c r="B10" s="195" t="e">
        <f>MATCH(E10,'MKT DATA'!B:B,0)</f>
        <v>#N/A</v>
      </c>
      <c r="C10" s="184" t="e" cm="1">
        <f t="array" aca="1" ref="C10" ca="1">INDIRECT(ADDRESS($A10,2,,,"ANCHOR INPUTS"))</f>
        <v>#N/A</v>
      </c>
      <c r="D10" s="13" t="e" cm="1">
        <f t="array" aca="1" ref="D10" ca="1">INDIRECT(ADDRESS($A10,5,,,"ANCHOR INPUTS"))</f>
        <v>#N/A</v>
      </c>
      <c r="E10" s="164" t="s">
        <v>167</v>
      </c>
      <c r="F10" s="100"/>
      <c r="G10" s="166"/>
      <c r="H10" s="167"/>
      <c r="I10" s="166"/>
      <c r="J10" s="168"/>
      <c r="K10" s="169"/>
      <c r="L10" s="170"/>
      <c r="M10" s="171"/>
      <c r="N10" s="171"/>
      <c r="O10" s="172"/>
      <c r="P10" s="173"/>
      <c r="Q10" s="173"/>
      <c r="R10" s="174"/>
      <c r="S10" s="175"/>
      <c r="T10" s="174"/>
      <c r="U10" s="175"/>
      <c r="V10" s="176"/>
      <c r="W10" s="177"/>
      <c r="X10" s="177"/>
      <c r="Y10" s="178"/>
      <c r="AA10" s="67"/>
      <c r="AB10" s="67"/>
      <c r="AC10" s="68"/>
    </row>
    <row r="11" spans="1:29" x14ac:dyDescent="0.25">
      <c r="A11" s="192">
        <f>MATCH(E11,SCALARS!C:C,0)</f>
        <v>48</v>
      </c>
      <c r="B11" s="193">
        <f>MATCH(E11,'MKT DATA'!B:B,0)</f>
        <v>45</v>
      </c>
      <c r="C11" s="182" t="str" cm="1">
        <f t="array" aca="1" ref="C11" ca="1">INDIRECT(ADDRESS($A11,2,,,"ANCHOR INPUTS"))</f>
        <v>real estate</v>
      </c>
      <c r="D11" s="17" t="str" cm="1">
        <f t="array" aca="1" ref="D11" ca="1">INDIRECT(ADDRESS($A11,5,,,"ANCHOR INPUTS"))</f>
        <v>VNQ</v>
      </c>
      <c r="E11" s="18" t="s">
        <v>116</v>
      </c>
      <c r="F11" s="98"/>
      <c r="G11" s="34" cm="1">
        <f t="array" aca="1" ref="G11" ca="1">INDIRECT(ADDRESS($B11,9,,,"mkt data"))</f>
        <v>0</v>
      </c>
      <c r="H11" s="69">
        <f ca="1">G11*AVERAGE(K11:L11)</f>
        <v>0</v>
      </c>
      <c r="I11" s="34">
        <f ca="1">G11/O11</f>
        <v>0</v>
      </c>
      <c r="J11" s="209">
        <f ca="1">SUM(I11:I12)</f>
        <v>0</v>
      </c>
      <c r="K11" s="40" cm="1">
        <f t="array" aca="1" ref="K11" ca="1">INDIRECT(ADDRESS($B11,5,,,"mkt data"))</f>
        <v>29.18</v>
      </c>
      <c r="L11" s="41" cm="1">
        <f t="array" aca="1" ref="L11" ca="1">INDIRECT(ADDRESS($B11,6,,,"mkt data"))</f>
        <v>29.19</v>
      </c>
      <c r="M11" s="19">
        <f t="shared" ref="M11:M18" ca="1" si="1">K11-M$1</f>
        <v>29.175000000000001</v>
      </c>
      <c r="N11" s="19">
        <f t="shared" ref="N11:N18" ca="1" si="2">L11+M$1</f>
        <v>29.195</v>
      </c>
      <c r="O11" s="57" cm="1">
        <f t="array" aca="1" ref="O11" ca="1">INDIRECT(ADDRESS($A11,6,,,"scalars"))</f>
        <v>3.2928041606683984</v>
      </c>
      <c r="P11" s="20">
        <f ca="1">M11*O11</f>
        <v>96.067561387500533</v>
      </c>
      <c r="Q11" s="20">
        <f t="shared" ref="Q11:Q18" ca="1" si="3">O11*N11</f>
        <v>96.133417470713894</v>
      </c>
      <c r="R11" s="211">
        <f t="shared" ref="R11" ca="1" si="4">P12-Q11</f>
        <v>-8.417470713894204E-3</v>
      </c>
      <c r="S11" s="213">
        <f t="shared" ref="S11" ca="1" si="5">R11/AVERAGE(P12,Q12)</f>
        <v>-8.755885696046398E-5</v>
      </c>
      <c r="T11" s="211">
        <f t="shared" ref="T11:T18" ca="1" si="6">P11-Q12</f>
        <v>-7.7438612499463488E-2</v>
      </c>
      <c r="U11" s="213">
        <f t="shared" ref="U11" ca="1" si="7">T11/AVERAGE(P12,Q12)</f>
        <v>-8.0551945180697452E-4</v>
      </c>
      <c r="V11" s="89">
        <f>AA11</f>
        <v>1E-3</v>
      </c>
      <c r="W11" s="58">
        <f>AA12</f>
        <v>0</v>
      </c>
      <c r="X11" s="58">
        <f>AB12</f>
        <v>0</v>
      </c>
      <c r="Y11" s="90">
        <f>AB11</f>
        <v>1E-3</v>
      </c>
      <c r="AA11" s="66">
        <v>1E-3</v>
      </c>
      <c r="AB11" s="67">
        <v>1E-3</v>
      </c>
      <c r="AC11" s="68" t="s">
        <v>88</v>
      </c>
    </row>
    <row r="12" spans="1:29" ht="15.75" thickBot="1" x14ac:dyDescent="0.3">
      <c r="A12" s="194">
        <f>MATCH(E12,SCALARS!C:C,0)</f>
        <v>49</v>
      </c>
      <c r="B12" s="195">
        <f>MATCH(E12,'MKT DATA'!B:B,0)</f>
        <v>62</v>
      </c>
      <c r="C12" s="183" t="str" cm="1">
        <f t="array" aca="1" ref="C12" ca="1">INDIRECT(ADDRESS($A12,2,,,"ANCHOR INPUTS"))</f>
        <v>real estate</v>
      </c>
      <c r="D12" s="23" t="str" cm="1">
        <f t="array" aca="1" ref="D12" ca="1">INDIRECT(ADDRESS($A12,5,,,"ANCHOR INPUTS"))</f>
        <v>VNQ</v>
      </c>
      <c r="E12" s="24" t="s">
        <v>118</v>
      </c>
      <c r="F12" s="99"/>
      <c r="G12" s="36" cm="1">
        <f t="array" aca="1" ref="G12" ca="1">INDIRECT(ADDRESS($B12,9,,,"mkt data"))</f>
        <v>0</v>
      </c>
      <c r="H12" s="71">
        <f ca="1">G12*AVERAGE(K12:L12)</f>
        <v>0</v>
      </c>
      <c r="I12" s="36">
        <f ca="1">G12/O12</f>
        <v>0</v>
      </c>
      <c r="J12" s="210"/>
      <c r="K12" s="44" cm="1">
        <f t="array" aca="1" ref="K12" ca="1">INDIRECT(ADDRESS($B12,5,,,"mkt data"))</f>
        <v>96.13</v>
      </c>
      <c r="L12" s="45" cm="1">
        <f t="array" aca="1" ref="L12" ca="1">INDIRECT(ADDRESS($B12,6,,,"mkt data"))</f>
        <v>96.14</v>
      </c>
      <c r="M12" s="25">
        <f t="shared" ca="1" si="1"/>
        <v>96.125</v>
      </c>
      <c r="N12" s="25">
        <f t="shared" ca="1" si="2"/>
        <v>96.144999999999996</v>
      </c>
      <c r="O12" s="59" cm="1">
        <f t="array" aca="1" ref="O12" ca="1">INDIRECT(ADDRESS($A12,6,,,"scalars"))</f>
        <v>1</v>
      </c>
      <c r="P12" s="26">
        <f ca="1">M12*O12</f>
        <v>96.125</v>
      </c>
      <c r="Q12" s="26">
        <f t="shared" ca="1" si="3"/>
        <v>96.144999999999996</v>
      </c>
      <c r="R12" s="212"/>
      <c r="S12" s="214"/>
      <c r="T12" s="212"/>
      <c r="U12" s="214"/>
      <c r="V12" s="91" t="b">
        <f ca="1">IF(S11&gt;V11,TRUE,FALSE)</f>
        <v>0</v>
      </c>
      <c r="W12" s="60" t="b">
        <f ca="1">AND(IF(U11&gt;-W11,TRUE,FALSE),IF(G11&gt;0,TRUE,FALSE))</f>
        <v>0</v>
      </c>
      <c r="X12" s="60" t="b">
        <f ca="1">AND(IF(S11&gt;-X11,TRUE,FALSE),IF(G11&lt;0,TRUE,FALSE))</f>
        <v>0</v>
      </c>
      <c r="Y12" s="92" t="b">
        <f ca="1">IF(U11&gt;Y11,TRUE,FALSE)</f>
        <v>0</v>
      </c>
      <c r="AA12" s="67">
        <v>0</v>
      </c>
      <c r="AB12" s="67">
        <v>0</v>
      </c>
      <c r="AC12" s="68" t="s">
        <v>89</v>
      </c>
    </row>
    <row r="13" spans="1:29" x14ac:dyDescent="0.25">
      <c r="A13" s="192">
        <f>MATCH(E13,SCALARS!C:C,0)</f>
        <v>42</v>
      </c>
      <c r="B13" s="193">
        <f>MATCH(E13,'MKT DATA'!B:B,0)</f>
        <v>46</v>
      </c>
      <c r="C13" s="182" t="str" cm="1">
        <f t="array" aca="1" ref="C13" ca="1">INDIRECT(ADDRESS($A13,2,,,"ANCHOR INPUTS"))</f>
        <v>staples</v>
      </c>
      <c r="D13" s="17" t="str" cm="1">
        <f t="array" aca="1" ref="D13" ca="1">INDIRECT(ADDRESS($A13,5,,,"ANCHOR INPUTS"))</f>
        <v>VDC</v>
      </c>
      <c r="E13" s="18" t="s">
        <v>100</v>
      </c>
      <c r="F13" s="98"/>
      <c r="G13" s="34" cm="1">
        <f t="array" aca="1" ref="G13" ca="1">INDIRECT(ADDRESS($B13,9,,,"mkt data"))</f>
        <v>0</v>
      </c>
      <c r="H13" s="69">
        <f ca="1">G13*AVERAGE(K13:L13)</f>
        <v>0</v>
      </c>
      <c r="I13" s="34">
        <f t="shared" ref="I13:I14" ca="1" si="8">G13/O13</f>
        <v>0</v>
      </c>
      <c r="J13" s="218">
        <f ca="1">SUM(I13:I14)</f>
        <v>0</v>
      </c>
      <c r="K13" s="40" cm="1">
        <f t="array" aca="1" ref="K13" ca="1">INDIRECT(ADDRESS($B13,5,,,"mkt data"))</f>
        <v>53.44</v>
      </c>
      <c r="L13" s="41" cm="1">
        <f t="array" aca="1" ref="L13" ca="1">INDIRECT(ADDRESS($B13,6,,,"mkt data"))</f>
        <v>53.45</v>
      </c>
      <c r="M13" s="19">
        <f t="shared" ca="1" si="1"/>
        <v>53.434999999999995</v>
      </c>
      <c r="N13" s="19">
        <f t="shared" ca="1" si="2"/>
        <v>53.455000000000005</v>
      </c>
      <c r="O13" s="57" cm="1">
        <f t="array" aca="1" ref="O13" ca="1">INDIRECT(ADDRESS($A13,6,,,"scalars"))</f>
        <v>4.2920474102760364</v>
      </c>
      <c r="P13" s="20">
        <f ca="1">M13*O13</f>
        <v>229.34555336809998</v>
      </c>
      <c r="Q13" s="20">
        <f t="shared" ca="1" si="3"/>
        <v>229.43139431630556</v>
      </c>
      <c r="R13" s="211">
        <f t="shared" ref="R13" ca="1" si="9">P14-Q13</f>
        <v>-0.12639431630555009</v>
      </c>
      <c r="S13" s="213">
        <f t="shared" ref="S13" ca="1" si="10">R13/AVERAGE(P14,Q14)</f>
        <v>-5.5104990323734621E-4</v>
      </c>
      <c r="T13" s="211">
        <f t="shared" ref="T13:T18" ca="1" si="11">P13-Q14</f>
        <v>-8.9446631900017337E-2</v>
      </c>
      <c r="U13" s="213">
        <f t="shared" ref="U13" ca="1" si="12">T13/AVERAGE(P14,Q14)</f>
        <v>-3.8996656886261207E-4</v>
      </c>
      <c r="V13" s="89">
        <f>AA13</f>
        <v>1E-3</v>
      </c>
      <c r="W13" s="58">
        <f>AA14</f>
        <v>0</v>
      </c>
      <c r="X13" s="58">
        <f>AB14</f>
        <v>0</v>
      </c>
      <c r="Y13" s="90">
        <f>AB13</f>
        <v>1E-3</v>
      </c>
      <c r="AA13" s="66">
        <v>1E-3</v>
      </c>
      <c r="AB13" s="67">
        <v>1E-3</v>
      </c>
      <c r="AC13" s="68" t="s">
        <v>88</v>
      </c>
    </row>
    <row r="14" spans="1:29" ht="15.75" thickBot="1" x14ac:dyDescent="0.3">
      <c r="A14" s="194">
        <f>MATCH(E14,SCALARS!C:C,0)</f>
        <v>43</v>
      </c>
      <c r="B14" s="195">
        <f>MATCH(E14,'MKT DATA'!B:B,0)</f>
        <v>57</v>
      </c>
      <c r="C14" s="183" t="str" cm="1">
        <f t="array" aca="1" ref="C14" ca="1">INDIRECT(ADDRESS($A14,2,,,"ANCHOR INPUTS"))</f>
        <v>staples</v>
      </c>
      <c r="D14" s="23" t="str" cm="1">
        <f t="array" aca="1" ref="D14" ca="1">INDIRECT(ADDRESS($A14,5,,,"ANCHOR INPUTS"))</f>
        <v>VDC</v>
      </c>
      <c r="E14" s="24" t="s">
        <v>101</v>
      </c>
      <c r="F14" s="99"/>
      <c r="G14" s="36" cm="1">
        <f t="array" aca="1" ref="G14" ca="1">INDIRECT(ADDRESS($B14,9,,,"mkt data"))</f>
        <v>0</v>
      </c>
      <c r="H14" s="71">
        <f t="shared" ref="H14" ca="1" si="13">G14*AVERAGE(K14:L14)</f>
        <v>0</v>
      </c>
      <c r="I14" s="36">
        <f t="shared" ca="1" si="8"/>
        <v>0</v>
      </c>
      <c r="J14" s="219"/>
      <c r="K14" s="44" cm="1">
        <f t="array" aca="1" ref="K14" ca="1">INDIRECT(ADDRESS($B14,5,,,"mkt data"))</f>
        <v>229.31</v>
      </c>
      <c r="L14" s="45" cm="1">
        <f t="array" aca="1" ref="L14" ca="1">INDIRECT(ADDRESS($B14,6,,,"mkt data"))</f>
        <v>229.43</v>
      </c>
      <c r="M14" s="25">
        <f t="shared" ca="1" si="1"/>
        <v>229.30500000000001</v>
      </c>
      <c r="N14" s="25">
        <f t="shared" ca="1" si="2"/>
        <v>229.435</v>
      </c>
      <c r="O14" s="59" cm="1">
        <f t="array" aca="1" ref="O14" ca="1">INDIRECT(ADDRESS($A14,6,,,"scalars"))</f>
        <v>1</v>
      </c>
      <c r="P14" s="26">
        <f ca="1">M14*O14</f>
        <v>229.30500000000001</v>
      </c>
      <c r="Q14" s="26">
        <f t="shared" ca="1" si="3"/>
        <v>229.435</v>
      </c>
      <c r="R14" s="212"/>
      <c r="S14" s="214"/>
      <c r="T14" s="212"/>
      <c r="U14" s="214"/>
      <c r="V14" s="91" t="b">
        <f ca="1">IF(S13&gt;V13,TRUE,FALSE)</f>
        <v>0</v>
      </c>
      <c r="W14" s="60" t="b">
        <f ca="1">AND(IF(U13&gt;-W13,TRUE,FALSE),IF(G13&gt;0,TRUE,FALSE))</f>
        <v>0</v>
      </c>
      <c r="X14" s="60" t="b">
        <f ca="1">AND(IF(S13&gt;-X13,TRUE,FALSE),IF(G13&lt;0,TRUE,FALSE))</f>
        <v>0</v>
      </c>
      <c r="Y14" s="92" t="b">
        <f ca="1">IF(U13&gt;Y13,TRUE,FALSE)</f>
        <v>0</v>
      </c>
      <c r="AA14" s="67">
        <v>0</v>
      </c>
      <c r="AB14" s="67">
        <v>0</v>
      </c>
      <c r="AC14" s="68" t="s">
        <v>89</v>
      </c>
    </row>
    <row r="15" spans="1:29" x14ac:dyDescent="0.25">
      <c r="A15" s="192">
        <f>MATCH(E15,SCALARS!C:C,0)</f>
        <v>51</v>
      </c>
      <c r="B15" s="193">
        <f>MATCH(E15,'MKT DATA'!B:B,0)</f>
        <v>60</v>
      </c>
      <c r="C15" s="182" t="str" cm="1">
        <f t="array" aca="1" ref="C15" ca="1">INDIRECT(ADDRESS($A15,2,,,"ANCHOR INPUTS"))</f>
        <v>technology</v>
      </c>
      <c r="D15" s="17" t="str" cm="1">
        <f t="array" aca="1" ref="D15" ca="1">INDIRECT(ADDRESS($A15,5,,,"ANCHOR INPUTS"))</f>
        <v>FTEC</v>
      </c>
      <c r="E15" s="284" t="s">
        <v>122</v>
      </c>
      <c r="F15" s="98"/>
      <c r="G15" s="34" cm="1">
        <f t="array" aca="1" ref="G15" ca="1">INDIRECT(ADDRESS($B15,9,,,"mkt data"))</f>
        <v>0</v>
      </c>
      <c r="H15" s="69">
        <f ca="1">G15*AVERAGE(K15:L15)</f>
        <v>0</v>
      </c>
      <c r="I15" s="34">
        <f ca="1">G15/O15</f>
        <v>0</v>
      </c>
      <c r="J15" s="218">
        <f ca="1">SUM(I15:I16)</f>
        <v>0</v>
      </c>
      <c r="K15" s="40" cm="1">
        <f t="array" aca="1" ref="K15" ca="1">INDIRECT(ADDRESS($B15,5,,,"mkt data"))</f>
        <v>120.01</v>
      </c>
      <c r="L15" s="41" cm="1">
        <f t="array" aca="1" ref="L15" ca="1">INDIRECT(ADDRESS($B15,6,,,"mkt data"))</f>
        <v>120.02</v>
      </c>
      <c r="M15" s="19">
        <f t="shared" ca="1" si="1"/>
        <v>120.00500000000001</v>
      </c>
      <c r="N15" s="19">
        <f t="shared" ca="1" si="2"/>
        <v>120.02499999999999</v>
      </c>
      <c r="O15" s="281" cm="1">
        <f t="array" aca="1" ref="O15" ca="1">INDIRECT(ADDRESS($A15,6,,,"scalars"))</f>
        <v>2.3864540201772053</v>
      </c>
      <c r="P15" s="20">
        <f ca="1">M15*O15</f>
        <v>286.38641469136553</v>
      </c>
      <c r="Q15" s="20">
        <f t="shared" ca="1" si="3"/>
        <v>286.43414377176907</v>
      </c>
      <c r="R15" s="211">
        <f t="shared" ref="R15" ca="1" si="14">P16-Q15</f>
        <v>-4.9143771769081468E-2</v>
      </c>
      <c r="S15" s="213">
        <f t="shared" ref="S15" ca="1" si="15">R15/AVERAGE(P16,Q16)</f>
        <v>-1.7157041482040067E-4</v>
      </c>
      <c r="T15" s="211">
        <f t="shared" ref="T15:T18" ca="1" si="16">P15-Q16</f>
        <v>-9.8585308634483226E-2</v>
      </c>
      <c r="U15" s="213">
        <f t="shared" ref="U15" ca="1" si="17">T15/AVERAGE(P16,Q16)</f>
        <v>-3.4418038519902673E-4</v>
      </c>
      <c r="V15" s="89">
        <f>AA15</f>
        <v>1E-3</v>
      </c>
      <c r="W15" s="58">
        <f>AA16</f>
        <v>0</v>
      </c>
      <c r="X15" s="58">
        <f>AB16</f>
        <v>0</v>
      </c>
      <c r="Y15" s="90">
        <f>AB15</f>
        <v>1E-3</v>
      </c>
      <c r="AA15" s="66">
        <v>1E-3</v>
      </c>
      <c r="AB15" s="67">
        <v>1E-3</v>
      </c>
      <c r="AC15" s="68" t="s">
        <v>88</v>
      </c>
    </row>
    <row r="16" spans="1:29" ht="15.75" thickBot="1" x14ac:dyDescent="0.3">
      <c r="A16" s="194">
        <f>MATCH(E16,SCALARS!C:C,0)</f>
        <v>50</v>
      </c>
      <c r="B16" s="195">
        <f>MATCH(E16,'MKT DATA'!B:B,0)</f>
        <v>47</v>
      </c>
      <c r="C16" s="183" t="str" cm="1">
        <f t="array" aca="1" ref="C16" ca="1">INDIRECT(ADDRESS($A16,2,,,"ANCHOR INPUTS"))</f>
        <v>technology</v>
      </c>
      <c r="D16" s="23" t="str" cm="1">
        <f t="array" aca="1" ref="D16" ca="1">INDIRECT(ADDRESS($A16,5,,,"ANCHOR INPUTS"))</f>
        <v>FTEC</v>
      </c>
      <c r="E16" s="285" t="s">
        <v>120</v>
      </c>
      <c r="F16" s="99"/>
      <c r="G16" s="36" cm="1">
        <f t="array" aca="1" ref="G16" ca="1">INDIRECT(ADDRESS($B16,9,,,"mkt data"))</f>
        <v>0</v>
      </c>
      <c r="H16" s="71">
        <f ca="1">G16*AVERAGE(K16:L16)</f>
        <v>0</v>
      </c>
      <c r="I16" s="36">
        <f ca="1">G16/O16</f>
        <v>0</v>
      </c>
      <c r="J16" s="219"/>
      <c r="K16" s="44" cm="1">
        <f t="array" aca="1" ref="K16" ca="1">INDIRECT(ADDRESS($B16,5,,,"mkt data"))</f>
        <v>286.39</v>
      </c>
      <c r="L16" s="45" cm="1">
        <f t="array" aca="1" ref="L16" ca="1">INDIRECT(ADDRESS($B16,6,,,"mkt data"))</f>
        <v>286.48</v>
      </c>
      <c r="M16" s="25">
        <f t="shared" ca="1" si="1"/>
        <v>286.38499999999999</v>
      </c>
      <c r="N16" s="25">
        <f t="shared" ca="1" si="2"/>
        <v>286.48500000000001</v>
      </c>
      <c r="O16" s="282" cm="1">
        <f t="array" aca="1" ref="O16" ca="1">INDIRECT(ADDRESS($A16,6,,,"scalars"))</f>
        <v>1</v>
      </c>
      <c r="P16" s="26">
        <f t="shared" ref="P16" ca="1" si="18">M16*O16</f>
        <v>286.38499999999999</v>
      </c>
      <c r="Q16" s="26">
        <f t="shared" ca="1" si="3"/>
        <v>286.48500000000001</v>
      </c>
      <c r="R16" s="212"/>
      <c r="S16" s="214"/>
      <c r="T16" s="212"/>
      <c r="U16" s="214"/>
      <c r="V16" s="91" t="b">
        <f ca="1">IF(S15&gt;V15,TRUE,FALSE)</f>
        <v>0</v>
      </c>
      <c r="W16" s="60" t="b">
        <f ca="1">AND(IF(U15&gt;-W15,TRUE,FALSE),IF(G15&gt;0,TRUE,FALSE))</f>
        <v>0</v>
      </c>
      <c r="X16" s="60" t="b">
        <f ca="1">AND(IF(S15&gt;-X15,TRUE,FALSE),IF(G15&lt;0,TRUE,FALSE))</f>
        <v>0</v>
      </c>
      <c r="Y16" s="92" t="b">
        <f ca="1">IF(U15&gt;Y15,TRUE,FALSE)</f>
        <v>0</v>
      </c>
      <c r="AA16" s="67">
        <v>0</v>
      </c>
      <c r="AB16" s="67">
        <v>0</v>
      </c>
      <c r="AC16" s="68" t="s">
        <v>89</v>
      </c>
    </row>
    <row r="17" spans="1:29" x14ac:dyDescent="0.25">
      <c r="A17" s="192">
        <f>MATCH(E17,SCALARS!C:C,0)</f>
        <v>52</v>
      </c>
      <c r="B17" s="193">
        <f>MATCH(E17,'MKT DATA'!B:B,0)</f>
        <v>48</v>
      </c>
      <c r="C17" s="182" t="str" cm="1">
        <f t="array" aca="1" ref="C17" ca="1">INDIRECT(ADDRESS($A17,2,,,"ANCHOR INPUTS"))</f>
        <v>utilities</v>
      </c>
      <c r="D17" s="17" t="str" cm="1">
        <f t="array" aca="1" ref="D17" ca="1">INDIRECT(ADDRESS($A17,5,,,"ANCHOR INPUTS"))</f>
        <v>VPU</v>
      </c>
      <c r="E17" s="18" t="s">
        <v>124</v>
      </c>
      <c r="F17" s="98"/>
      <c r="G17" s="34" cm="1">
        <f t="array" aca="1" ref="G17" ca="1">INDIRECT(ADDRESS($B17,9,,,"mkt data"))</f>
        <v>0</v>
      </c>
      <c r="H17" s="69">
        <f ca="1">G17*AVERAGE(K17:L17)</f>
        <v>0</v>
      </c>
      <c r="I17" s="34">
        <f ca="1">G17/O17</f>
        <v>0</v>
      </c>
      <c r="J17" s="216">
        <f ca="1">SUM(I17:I18)</f>
        <v>0</v>
      </c>
      <c r="K17" s="40" cm="1">
        <f t="array" aca="1" ref="K17" ca="1">INDIRECT(ADDRESS($B17,5,,,"mkt data"))</f>
        <v>54.49</v>
      </c>
      <c r="L17" s="41" cm="1">
        <f t="array" aca="1" ref="L17" ca="1">INDIRECT(ADDRESS($B17,6,,,"mkt data"))</f>
        <v>54.51</v>
      </c>
      <c r="M17" s="19">
        <f t="shared" ca="1" si="1"/>
        <v>54.484999999999999</v>
      </c>
      <c r="N17" s="19">
        <f t="shared" ca="1" si="2"/>
        <v>54.515000000000001</v>
      </c>
      <c r="O17" s="57" cm="1">
        <f t="array" aca="1" ref="O17" ca="1">INDIRECT(ADDRESS($A17,6,,,"scalars"))</f>
        <v>3.3502147342316126</v>
      </c>
      <c r="P17" s="20">
        <f ca="1">M17*O17</f>
        <v>182.53644979460941</v>
      </c>
      <c r="Q17" s="20">
        <f t="shared" ca="1" si="3"/>
        <v>182.63695623663637</v>
      </c>
      <c r="R17" s="211">
        <f t="shared" ref="R17" ca="1" si="19">P18-Q17</f>
        <v>-9.1956236636349331E-2</v>
      </c>
      <c r="S17" s="213">
        <f t="shared" ref="S17" ca="1" si="20">R17/AVERAGE(P18,Q18)</f>
        <v>-5.0363521995974107E-4</v>
      </c>
      <c r="T17" s="211">
        <f t="shared" ref="T17:T18" ca="1" si="21">P17-Q18</f>
        <v>-8.8550205390589554E-2</v>
      </c>
      <c r="U17" s="213">
        <f t="shared" ref="U17" ca="1" si="22">T17/AVERAGE(P18,Q18)</f>
        <v>-4.8498072344710434E-4</v>
      </c>
      <c r="V17" s="89">
        <f>AA17</f>
        <v>1E-3</v>
      </c>
      <c r="W17" s="58">
        <f>AA18</f>
        <v>0</v>
      </c>
      <c r="X17" s="58">
        <f>AB18</f>
        <v>0</v>
      </c>
      <c r="Y17" s="90">
        <f>AB17</f>
        <v>1E-3</v>
      </c>
      <c r="AA17" s="66">
        <v>1E-3</v>
      </c>
      <c r="AB17" s="67">
        <v>1E-3</v>
      </c>
      <c r="AC17" s="68" t="s">
        <v>88</v>
      </c>
    </row>
    <row r="18" spans="1:29" ht="15.75" thickBot="1" x14ac:dyDescent="0.3">
      <c r="A18" s="194">
        <f>MATCH(E18,SCALARS!C:C,0)</f>
        <v>53</v>
      </c>
      <c r="B18" s="195">
        <f>MATCH(E18,'MKT DATA'!B:B,0)</f>
        <v>63</v>
      </c>
      <c r="C18" s="183" t="str" cm="1">
        <f t="array" aca="1" ref="C18" ca="1">INDIRECT(ADDRESS($A18,2,,,"ANCHOR INPUTS"))</f>
        <v>utilities</v>
      </c>
      <c r="D18" s="23" t="str" cm="1">
        <f t="array" aca="1" ref="D18" ca="1">INDIRECT(ADDRESS($A18,5,,,"ANCHOR INPUTS"))</f>
        <v>VPU</v>
      </c>
      <c r="E18" s="24" t="s">
        <v>126</v>
      </c>
      <c r="F18" s="99"/>
      <c r="G18" s="36" cm="1">
        <f t="array" aca="1" ref="G18" ca="1">INDIRECT(ADDRESS($B18,9,,,"mkt data"))</f>
        <v>0</v>
      </c>
      <c r="H18" s="71">
        <f ca="1">G18*AVERAGE(K18:L18)</f>
        <v>0</v>
      </c>
      <c r="I18" s="36">
        <f ca="1">G18/O18</f>
        <v>0</v>
      </c>
      <c r="J18" s="217"/>
      <c r="K18" s="44" cm="1">
        <f t="array" aca="1" ref="K18" ca="1">INDIRECT(ADDRESS($B18,5,,,"mkt data"))</f>
        <v>182.55</v>
      </c>
      <c r="L18" s="45" cm="1">
        <f t="array" aca="1" ref="L18" ca="1">INDIRECT(ADDRESS($B18,6,,,"mkt data"))</f>
        <v>182.62</v>
      </c>
      <c r="M18" s="25">
        <f t="shared" ca="1" si="1"/>
        <v>182.54500000000002</v>
      </c>
      <c r="N18" s="25">
        <f t="shared" ca="1" si="2"/>
        <v>182.625</v>
      </c>
      <c r="O18" s="59" cm="1">
        <f t="array" aca="1" ref="O18" ca="1">INDIRECT(ADDRESS($A18,6,,,"scalars"))</f>
        <v>1</v>
      </c>
      <c r="P18" s="26">
        <f ca="1">M18*O18</f>
        <v>182.54500000000002</v>
      </c>
      <c r="Q18" s="26">
        <f t="shared" ca="1" si="3"/>
        <v>182.625</v>
      </c>
      <c r="R18" s="212"/>
      <c r="S18" s="214"/>
      <c r="T18" s="212"/>
      <c r="U18" s="214"/>
      <c r="V18" s="91" t="b">
        <f ca="1">IF(S17&gt;V17,TRUE,FALSE)</f>
        <v>0</v>
      </c>
      <c r="W18" s="60" t="b">
        <f ca="1">AND(IF(U17&gt;-W17,TRUE,FALSE),IF(G17&gt;0,TRUE,FALSE))</f>
        <v>0</v>
      </c>
      <c r="X18" s="60" t="b">
        <f ca="1">AND(IF(S17&gt;-X17,TRUE,FALSE),IF(G17&lt;0,TRUE,FALSE))</f>
        <v>0</v>
      </c>
      <c r="Y18" s="92" t="b">
        <f ca="1">IF(U17&gt;Y17,TRUE,FALSE)</f>
        <v>0</v>
      </c>
      <c r="AA18" s="67">
        <v>0</v>
      </c>
      <c r="AB18" s="67">
        <v>0</v>
      </c>
      <c r="AC18" s="68" t="s">
        <v>89</v>
      </c>
    </row>
    <row r="19" spans="1:29" ht="15.75" thickBot="1" x14ac:dyDescent="0.3">
      <c r="A19" s="233" t="str">
        <f>'MKT DATA'!J2</f>
        <v>2026-08-31_13-19-00</v>
      </c>
      <c r="B19" s="233"/>
      <c r="C19" s="233"/>
    </row>
    <row r="20" spans="1:29" x14ac:dyDescent="0.25">
      <c r="A20" s="225" t="str">
        <f>A1</f>
        <v>rows</v>
      </c>
      <c r="B20" s="226">
        <f>B1</f>
        <v>0</v>
      </c>
      <c r="C20" s="161"/>
      <c r="D20" s="74"/>
      <c r="E20" s="74"/>
      <c r="F20" s="94"/>
      <c r="G20" s="227" t="str">
        <f t="shared" ref="G20:N20" si="23">G1</f>
        <v>current position</v>
      </c>
      <c r="H20" s="227">
        <f t="shared" si="23"/>
        <v>0</v>
      </c>
      <c r="I20" s="227">
        <f t="shared" si="23"/>
        <v>0</v>
      </c>
      <c r="J20" s="228">
        <f t="shared" si="23"/>
        <v>0</v>
      </c>
      <c r="K20" s="229" t="str">
        <f t="shared" si="23"/>
        <v>mkt prices</v>
      </c>
      <c r="L20" s="230">
        <f t="shared" si="23"/>
        <v>0</v>
      </c>
      <c r="M20" s="231">
        <f t="shared" si="23"/>
        <v>5.0000000000000001E-3</v>
      </c>
      <c r="N20" s="231">
        <f t="shared" si="23"/>
        <v>0</v>
      </c>
      <c r="O20" s="46"/>
      <c r="P20" s="232" t="str">
        <f t="shared" ref="P20:Y20" si="24">P1</f>
        <v>unit cf</v>
      </c>
      <c r="Q20" s="221">
        <f t="shared" si="24"/>
        <v>0</v>
      </c>
      <c r="R20" s="220" t="str">
        <f>R1</f>
        <v>lift top/hit bottom</v>
      </c>
      <c r="S20" s="221">
        <f>S1</f>
        <v>0</v>
      </c>
      <c r="T20" s="222" t="str">
        <f>T1</f>
        <v>hit top/lift bottom</v>
      </c>
      <c r="U20" s="223">
        <f>U1</f>
        <v>0</v>
      </c>
      <c r="V20" s="52" t="str">
        <f t="shared" si="24"/>
        <v>enter</v>
      </c>
      <c r="W20" s="54" t="str">
        <f t="shared" si="24"/>
        <v>exit</v>
      </c>
      <c r="X20" s="54" t="str">
        <f t="shared" si="24"/>
        <v>exit</v>
      </c>
      <c r="Y20" s="53" t="str">
        <f t="shared" si="24"/>
        <v>enter</v>
      </c>
      <c r="AA20" s="224" t="s">
        <v>92</v>
      </c>
      <c r="AB20" s="224"/>
      <c r="AC20" s="63"/>
    </row>
    <row r="21" spans="1:29" ht="15.75" thickBot="1" x14ac:dyDescent="0.3">
      <c r="A21" s="38" t="str">
        <f t="shared" ref="A21:C21" si="25">A2</f>
        <v>admin</v>
      </c>
      <c r="B21" s="39" t="str">
        <f t="shared" si="25"/>
        <v>mkt data</v>
      </c>
      <c r="C21" s="162" t="str">
        <f t="shared" si="25"/>
        <v>sector</v>
      </c>
      <c r="D21" s="160" t="str">
        <f>D2</f>
        <v>anchor</v>
      </c>
      <c r="E21" s="76" t="str">
        <f t="shared" ref="E21:Y21" si="26">E2</f>
        <v>symbol</v>
      </c>
      <c r="F21" s="95" t="str">
        <f t="shared" si="26"/>
        <v>margin</v>
      </c>
      <c r="G21" s="93" t="str">
        <f t="shared" si="26"/>
        <v>shs</v>
      </c>
      <c r="H21" s="77" t="str">
        <f t="shared" si="26"/>
        <v>$val</v>
      </c>
      <c r="I21" s="78" t="str">
        <f t="shared" si="26"/>
        <v>units</v>
      </c>
      <c r="J21" s="79" t="str">
        <f t="shared" si="26"/>
        <v>net units</v>
      </c>
      <c r="K21" s="80" t="str">
        <f t="shared" si="26"/>
        <v>bid</v>
      </c>
      <c r="L21" s="81" t="str">
        <f t="shared" si="26"/>
        <v>ask</v>
      </c>
      <c r="M21" s="82" t="str">
        <f t="shared" si="26"/>
        <v>bid w/ comm</v>
      </c>
      <c r="N21" s="82" t="str">
        <f t="shared" si="26"/>
        <v>ask w/ comm</v>
      </c>
      <c r="O21" s="83" t="str">
        <f t="shared" si="26"/>
        <v>scalar</v>
      </c>
      <c r="P21" s="84" t="str">
        <f t="shared" si="26"/>
        <v>hit bid</v>
      </c>
      <c r="Q21" s="85" t="str">
        <f t="shared" si="26"/>
        <v>lift ask</v>
      </c>
      <c r="R21" s="47" t="str">
        <f>R2</f>
        <v>net price</v>
      </c>
      <c r="S21" s="55" t="str">
        <f>S2</f>
        <v>pct</v>
      </c>
      <c r="T21" s="47" t="str">
        <f>T2</f>
        <v>net price</v>
      </c>
      <c r="U21" s="55" t="str">
        <f>U2</f>
        <v>pct</v>
      </c>
      <c r="V21" s="87" t="str">
        <f t="shared" si="26"/>
        <v>buy top</v>
      </c>
      <c r="W21" s="56" t="str">
        <f t="shared" si="26"/>
        <v>sell top</v>
      </c>
      <c r="X21" s="56" t="str">
        <f t="shared" si="26"/>
        <v>buy top</v>
      </c>
      <c r="Y21" s="88" t="str">
        <f t="shared" si="26"/>
        <v>sell top</v>
      </c>
      <c r="AA21" s="64" t="s">
        <v>90</v>
      </c>
      <c r="AB21" s="65" t="s">
        <v>91</v>
      </c>
      <c r="AC21" s="65"/>
    </row>
    <row r="22" spans="1:29" x14ac:dyDescent="0.25">
      <c r="A22" s="192">
        <f>MATCH(E22,SCALARS!C:C,0)</f>
        <v>55</v>
      </c>
      <c r="B22" s="193">
        <f>MATCH(E22,'MKT DATA'!B:B,0)</f>
        <v>64</v>
      </c>
      <c r="C22" s="182" t="str" cm="1">
        <f t="array" aca="1" ref="C22" ca="1">INDIRECT(ADDRESS($A22,2,,,"ANCHOR INPUTS"))</f>
        <v>energy</v>
      </c>
      <c r="D22" s="17" t="str" cm="1">
        <f t="array" aca="1" ref="D22" ca="1">INDIRECT(ADDRESS($A22,5,,,"ANCHOR INPUTS"))</f>
        <v>IYE</v>
      </c>
      <c r="E22" s="18" t="s">
        <v>106</v>
      </c>
      <c r="F22" s="98"/>
      <c r="G22" s="34" cm="1">
        <f t="array" aca="1" ref="G22" ca="1">INDIRECT(ADDRESS($B22,9,,,"mkt data"))</f>
        <v>0</v>
      </c>
      <c r="H22" s="69">
        <f t="shared" ref="H22:H27" ca="1" si="27">G22*AVERAGE(K22:L22)</f>
        <v>0</v>
      </c>
      <c r="I22" s="34">
        <f t="shared" ref="I22:I27" ca="1" si="28">G22/O22</f>
        <v>0</v>
      </c>
      <c r="J22" s="218">
        <f ca="1">SUM(I22:I23)</f>
        <v>0</v>
      </c>
      <c r="K22" s="40" cm="1">
        <f t="array" aca="1" ref="K22" ca="1">INDIRECT(ADDRESS($B22,5,,,"mkt data"))</f>
        <v>63.43</v>
      </c>
      <c r="L22" s="41" cm="1">
        <f t="array" aca="1" ref="L22" ca="1">INDIRECT(ADDRESS($B22,6,,,"mkt data"))</f>
        <v>63.44</v>
      </c>
      <c r="M22" s="19">
        <f ca="1">K22-M$20</f>
        <v>63.424999999999997</v>
      </c>
      <c r="N22" s="19">
        <f ca="1">L22+M$20</f>
        <v>63.445</v>
      </c>
      <c r="O22" s="57" cm="1">
        <f t="array" aca="1" ref="O22" ca="1">INDIRECT(ADDRESS($A22,6,,,"scalars"))</f>
        <v>1.0604279724367778</v>
      </c>
      <c r="P22" s="20">
        <f t="shared" ref="P22:P27" ca="1" si="29">M22*O22</f>
        <v>67.257644151802623</v>
      </c>
      <c r="Q22" s="20">
        <f t="shared" ref="Q22:Q27" ca="1" si="30">O22*N22</f>
        <v>67.278852711251361</v>
      </c>
      <c r="R22" s="211">
        <f ca="1">P23-Q22</f>
        <v>-0.22385271125135375</v>
      </c>
      <c r="S22" s="213">
        <f ca="1">R22/AVERAGE(P23,Q23)</f>
        <v>-3.3378470327496274E-3</v>
      </c>
      <c r="T22" s="211">
        <f ca="1">P22-Q23</f>
        <v>0.18264415180263427</v>
      </c>
      <c r="U22" s="213">
        <f ca="1">T22/AVERAGE(P23,Q23)</f>
        <v>2.7233900216600952E-3</v>
      </c>
      <c r="V22" s="89">
        <f>AA22</f>
        <v>2E-3</v>
      </c>
      <c r="W22" s="58">
        <f>AA23</f>
        <v>0</v>
      </c>
      <c r="X22" s="58">
        <f>AB23</f>
        <v>0</v>
      </c>
      <c r="Y22" s="90">
        <f>AB22</f>
        <v>2E-3</v>
      </c>
      <c r="AA22" s="66">
        <v>2E-3</v>
      </c>
      <c r="AB22" s="67">
        <v>2E-3</v>
      </c>
      <c r="AC22" s="68" t="s">
        <v>88</v>
      </c>
    </row>
    <row r="23" spans="1:29" ht="15.75" thickBot="1" x14ac:dyDescent="0.3">
      <c r="A23" s="194">
        <f>MATCH(E23,SCALARS!C:C,0)</f>
        <v>54</v>
      </c>
      <c r="B23" s="195">
        <f>MATCH(E23,'MKT DATA'!B:B,0)</f>
        <v>50</v>
      </c>
      <c r="C23" s="183" t="str" cm="1">
        <f t="array" aca="1" ref="C23" ca="1">INDIRECT(ADDRESS($A23,2,,,"ANCHOR INPUTS"))</f>
        <v>energy</v>
      </c>
      <c r="D23" s="23" t="str" cm="1">
        <f t="array" aca="1" ref="D23" ca="1">INDIRECT(ADDRESS($A23,5,,,"ANCHOR INPUTS"))</f>
        <v>IYE</v>
      </c>
      <c r="E23" s="24" t="s">
        <v>104</v>
      </c>
      <c r="F23" s="99"/>
      <c r="G23" s="36" cm="1">
        <f t="array" aca="1" ref="G23" ca="1">INDIRECT(ADDRESS($B23,9,,,"mkt data"))</f>
        <v>0</v>
      </c>
      <c r="H23" s="71">
        <f t="shared" ca="1" si="27"/>
        <v>0</v>
      </c>
      <c r="I23" s="36">
        <f t="shared" ca="1" si="28"/>
        <v>0</v>
      </c>
      <c r="J23" s="219"/>
      <c r="K23" s="44" cm="1">
        <f t="array" aca="1" ref="K23" ca="1">INDIRECT(ADDRESS($B23,5,,,"mkt data"))</f>
        <v>67.06</v>
      </c>
      <c r="L23" s="45" cm="1">
        <f t="array" aca="1" ref="L23" ca="1">INDIRECT(ADDRESS($B23,6,,,"mkt data"))</f>
        <v>67.069999999999993</v>
      </c>
      <c r="M23" s="25">
        <f t="shared" ref="M23:M27" ca="1" si="31">K23-M$20</f>
        <v>67.055000000000007</v>
      </c>
      <c r="N23" s="25">
        <f t="shared" ref="N23:N27" ca="1" si="32">L23+M$20</f>
        <v>67.074999999999989</v>
      </c>
      <c r="O23" s="59" cm="1">
        <f t="array" aca="1" ref="O23" ca="1">INDIRECT(ADDRESS($A23,6,,,"scalars"))</f>
        <v>1</v>
      </c>
      <c r="P23" s="26">
        <f t="shared" ca="1" si="29"/>
        <v>67.055000000000007</v>
      </c>
      <c r="Q23" s="26">
        <f t="shared" ca="1" si="30"/>
        <v>67.074999999999989</v>
      </c>
      <c r="R23" s="212"/>
      <c r="S23" s="214"/>
      <c r="T23" s="212"/>
      <c r="U23" s="214"/>
      <c r="V23" s="91" t="b">
        <f ca="1">IF(S22&gt;V22,TRUE,FALSE)</f>
        <v>0</v>
      </c>
      <c r="W23" s="60" t="b">
        <f ca="1">AND(IF(U22&gt;-W22,TRUE,FALSE),IF(G22&gt;0,TRUE,FALSE))</f>
        <v>0</v>
      </c>
      <c r="X23" s="60" t="b">
        <f ca="1">AND(IF(S22&gt;-X22,TRUE,FALSE),IF(G22&lt;0,TRUE,FALSE))</f>
        <v>0</v>
      </c>
      <c r="Y23" s="92" t="b">
        <f ca="1">IF(U22&gt;Y22,TRUE,FALSE)</f>
        <v>1</v>
      </c>
      <c r="AA23" s="67">
        <v>0</v>
      </c>
      <c r="AB23" s="67">
        <v>0</v>
      </c>
      <c r="AC23" s="68" t="s">
        <v>89</v>
      </c>
    </row>
    <row r="24" spans="1:29" x14ac:dyDescent="0.25">
      <c r="A24" s="192">
        <f>MATCH(E24,SCALARS!C:C,0)</f>
        <v>57</v>
      </c>
      <c r="B24" s="193">
        <f>MATCH(E24,'MKT DATA'!B:B,0)</f>
        <v>65</v>
      </c>
      <c r="C24" s="182" t="str" cm="1">
        <f t="array" aca="1" ref="C24" ca="1">INDIRECT(ADDRESS($A24,2,,,"ANCHOR INPUTS"))</f>
        <v>financials</v>
      </c>
      <c r="D24" s="17" t="str" cm="1">
        <f t="array" aca="1" ref="D24" ca="1">INDIRECT(ADDRESS($A24,5,,,"ANCHOR INPUTS"))</f>
        <v>IYF</v>
      </c>
      <c r="E24" s="18" t="s">
        <v>109</v>
      </c>
      <c r="F24" s="98"/>
      <c r="G24" s="34" cm="1">
        <f t="array" aca="1" ref="G24" ca="1">INDIRECT(ADDRESS($B24,9,,,"mkt data"))</f>
        <v>0</v>
      </c>
      <c r="H24" s="69">
        <f t="shared" ca="1" si="27"/>
        <v>0</v>
      </c>
      <c r="I24" s="34">
        <f t="shared" ca="1" si="28"/>
        <v>0</v>
      </c>
      <c r="J24" s="216">
        <f ca="1">SUM(I24:I25)</f>
        <v>0</v>
      </c>
      <c r="K24" s="40" cm="1">
        <f t="array" aca="1" ref="K24" ca="1">INDIRECT(ADDRESS($B24,5,,,"mkt data"))</f>
        <v>57.76</v>
      </c>
      <c r="L24" s="41" cm="1">
        <f t="array" aca="1" ref="L24" ca="1">INDIRECT(ADDRESS($B24,6,,,"mkt data"))</f>
        <v>57.77</v>
      </c>
      <c r="M24" s="19">
        <f t="shared" ca="1" si="31"/>
        <v>57.754999999999995</v>
      </c>
      <c r="N24" s="19">
        <f t="shared" ca="1" si="32"/>
        <v>57.775000000000006</v>
      </c>
      <c r="O24" s="57" cm="1">
        <f t="array" aca="1" ref="O24" ca="1">INDIRECT(ADDRESS($A24,6,,,"scalars"))</f>
        <v>2.3700711935210492</v>
      </c>
      <c r="P24" s="20">
        <f t="shared" ca="1" si="29"/>
        <v>136.88346178180819</v>
      </c>
      <c r="Q24" s="20">
        <f t="shared" ca="1" si="30"/>
        <v>136.93086320567863</v>
      </c>
      <c r="R24" s="211">
        <f ca="1">P25-Q24</f>
        <v>-0.35586320567861662</v>
      </c>
      <c r="S24" s="213">
        <f ca="1">R24/AVERAGE(P25,Q25)</f>
        <v>-2.6053386461572341E-3</v>
      </c>
      <c r="T24" s="211">
        <f ca="1">P24-Q25</f>
        <v>0.27846178180820402</v>
      </c>
      <c r="U24" s="213">
        <f ca="1">T24/AVERAGE(P25,Q25)</f>
        <v>2.0386688762589061E-3</v>
      </c>
      <c r="V24" s="89">
        <f>AA24</f>
        <v>4.0000000000000001E-3</v>
      </c>
      <c r="W24" s="58">
        <f>AA25</f>
        <v>0</v>
      </c>
      <c r="X24" s="58">
        <f>AB25</f>
        <v>0</v>
      </c>
      <c r="Y24" s="90">
        <f>AB24</f>
        <v>4.0000000000000001E-3</v>
      </c>
      <c r="AA24" s="66">
        <v>4.0000000000000001E-3</v>
      </c>
      <c r="AB24" s="67">
        <v>4.0000000000000001E-3</v>
      </c>
      <c r="AC24" s="68" t="s">
        <v>88</v>
      </c>
    </row>
    <row r="25" spans="1:29" ht="15.75" thickBot="1" x14ac:dyDescent="0.3">
      <c r="A25" s="194">
        <f>MATCH(E25,SCALARS!C:C,0)</f>
        <v>56</v>
      </c>
      <c r="B25" s="195">
        <f>MATCH(E25,'MKT DATA'!B:B,0)</f>
        <v>51</v>
      </c>
      <c r="C25" s="183" t="str" cm="1">
        <f t="array" aca="1" ref="C25" ca="1">INDIRECT(ADDRESS($A25,2,,,"ANCHOR INPUTS"))</f>
        <v>financials</v>
      </c>
      <c r="D25" s="23" t="str" cm="1">
        <f t="array" aca="1" ref="D25" ca="1">INDIRECT(ADDRESS($A25,5,,,"ANCHOR INPUTS"))</f>
        <v>IYF</v>
      </c>
      <c r="E25" s="24" t="s">
        <v>107</v>
      </c>
      <c r="F25" s="99"/>
      <c r="G25" s="36" cm="1">
        <f t="array" aca="1" ref="G25" ca="1">INDIRECT(ADDRESS($B25,9,,,"mkt data"))</f>
        <v>0</v>
      </c>
      <c r="H25" s="71">
        <f t="shared" ca="1" si="27"/>
        <v>0</v>
      </c>
      <c r="I25" s="36">
        <f t="shared" ca="1" si="28"/>
        <v>0</v>
      </c>
      <c r="J25" s="217"/>
      <c r="K25" s="44" cm="1">
        <f t="array" aca="1" ref="K25" ca="1">INDIRECT(ADDRESS($B25,5,,,"mkt data"))</f>
        <v>136.58000000000001</v>
      </c>
      <c r="L25" s="45" cm="1">
        <f t="array" aca="1" ref="L25" ca="1">INDIRECT(ADDRESS($B25,6,,,"mkt data"))</f>
        <v>136.6</v>
      </c>
      <c r="M25" s="25">
        <f t="shared" ca="1" si="31"/>
        <v>136.57500000000002</v>
      </c>
      <c r="N25" s="25">
        <f t="shared" ca="1" si="32"/>
        <v>136.60499999999999</v>
      </c>
      <c r="O25" s="59" cm="1">
        <f t="array" aca="1" ref="O25" ca="1">INDIRECT(ADDRESS($A25,6,,,"scalars"))</f>
        <v>1</v>
      </c>
      <c r="P25" s="26">
        <f t="shared" ca="1" si="29"/>
        <v>136.57500000000002</v>
      </c>
      <c r="Q25" s="26">
        <f t="shared" ca="1" si="30"/>
        <v>136.60499999999999</v>
      </c>
      <c r="R25" s="212"/>
      <c r="S25" s="214"/>
      <c r="T25" s="212"/>
      <c r="U25" s="214"/>
      <c r="V25" s="91" t="b">
        <f ca="1">IF(S24&gt;V24,TRUE,FALSE)</f>
        <v>0</v>
      </c>
      <c r="W25" s="60" t="b">
        <f ca="1">AND(IF(U24&gt;-W24,TRUE,FALSE),IF(G24&gt;0,TRUE,FALSE))</f>
        <v>0</v>
      </c>
      <c r="X25" s="60" t="b">
        <f ca="1">AND(IF(S24&gt;-X24,TRUE,FALSE),IF(G24&lt;0,TRUE,FALSE))</f>
        <v>0</v>
      </c>
      <c r="Y25" s="92" t="b">
        <f ca="1">IF(U24&gt;Y24,TRUE,FALSE)</f>
        <v>0</v>
      </c>
      <c r="AA25" s="67">
        <v>0</v>
      </c>
      <c r="AB25" s="67">
        <v>0</v>
      </c>
      <c r="AC25" s="68" t="s">
        <v>89</v>
      </c>
    </row>
    <row r="26" spans="1:29" x14ac:dyDescent="0.25">
      <c r="A26" s="192">
        <f>MATCH(E26,SCALARS!C:C,0)</f>
        <v>58</v>
      </c>
      <c r="B26" s="193">
        <f>MATCH(E26,'MKT DATA'!B:B,0)</f>
        <v>52</v>
      </c>
      <c r="C26" s="182" t="str" cm="1">
        <f t="array" aca="1" ref="C26" ca="1">INDIRECT(ADDRESS($A26,2,,,"ANCHOR INPUTS"))</f>
        <v>healthcare</v>
      </c>
      <c r="D26" s="17" t="str" cm="1">
        <f t="array" aca="1" ref="D26" ca="1">INDIRECT(ADDRESS($A26,5,,,"ANCHOR INPUTS"))</f>
        <v>XLV</v>
      </c>
      <c r="E26" s="284" t="s">
        <v>111</v>
      </c>
      <c r="F26" s="98"/>
      <c r="G26" s="34" cm="1">
        <f t="array" aca="1" ref="G26" ca="1">INDIRECT(ADDRESS($B26,9,,,"mkt data"))</f>
        <v>0</v>
      </c>
      <c r="H26" s="69">
        <f t="shared" ca="1" si="27"/>
        <v>0</v>
      </c>
      <c r="I26" s="34">
        <f t="shared" ca="1" si="28"/>
        <v>0</v>
      </c>
      <c r="J26" s="218">
        <f ca="1">SUM(I26:I27)</f>
        <v>0</v>
      </c>
      <c r="K26" s="40" cm="1">
        <f t="array" aca="1" ref="K26" ca="1">INDIRECT(ADDRESS($B26,5,,,"mkt data"))</f>
        <v>72.06</v>
      </c>
      <c r="L26" s="41" cm="1">
        <f t="array" aca="1" ref="L26" ca="1">INDIRECT(ADDRESS($B26,6,,,"mkt data"))</f>
        <v>72.069999999999993</v>
      </c>
      <c r="M26" s="19">
        <f t="shared" ca="1" si="31"/>
        <v>72.055000000000007</v>
      </c>
      <c r="N26" s="19">
        <f t="shared" ca="1" si="32"/>
        <v>72.074999999999989</v>
      </c>
      <c r="O26" s="281" cm="1">
        <f t="array" aca="1" ref="O26" ca="1">INDIRECT(ADDRESS($A26,6,,,"scalars"))</f>
        <v>2.36797218592503</v>
      </c>
      <c r="P26" s="20">
        <f t="shared" ca="1" si="29"/>
        <v>170.62423585682805</v>
      </c>
      <c r="Q26" s="20">
        <f t="shared" ca="1" si="30"/>
        <v>170.6715953005465</v>
      </c>
      <c r="R26" s="211">
        <f ca="1">P27-Q26</f>
        <v>-3.6595300546508724E-2</v>
      </c>
      <c r="S26" s="213">
        <f ca="1">R26/AVERAGE(P27,Q27)</f>
        <v>-2.1445281459467742E-4</v>
      </c>
      <c r="T26" s="211">
        <f ca="1">P26-Q27</f>
        <v>-3.0764143171950309E-2</v>
      </c>
      <c r="U26" s="213">
        <f ca="1">T26/AVERAGE(P27,Q27)</f>
        <v>-1.8028153870286451E-4</v>
      </c>
      <c r="V26" s="89">
        <f>AA26</f>
        <v>5.0000000000000001E-3</v>
      </c>
      <c r="W26" s="58">
        <f>AA27</f>
        <v>0</v>
      </c>
      <c r="X26" s="58">
        <f>AB27</f>
        <v>0</v>
      </c>
      <c r="Y26" s="90">
        <f>AB26</f>
        <v>5.0000000000000001E-3</v>
      </c>
      <c r="AA26" s="66">
        <v>5.0000000000000001E-3</v>
      </c>
      <c r="AB26" s="67">
        <v>5.0000000000000001E-3</v>
      </c>
      <c r="AC26" s="68" t="s">
        <v>88</v>
      </c>
    </row>
    <row r="27" spans="1:29" ht="15.75" thickBot="1" x14ac:dyDescent="0.3">
      <c r="A27" s="194">
        <f>MATCH(E27,SCALARS!C:C,0)</f>
        <v>59</v>
      </c>
      <c r="B27" s="195">
        <f>MATCH(E27,'MKT DATA'!B:B,0)</f>
        <v>71</v>
      </c>
      <c r="C27" s="183" t="str" cm="1">
        <f t="array" aca="1" ref="C27" ca="1">INDIRECT(ADDRESS($A27,2,,,"ANCHOR INPUTS"))</f>
        <v>healthcare</v>
      </c>
      <c r="D27" s="23" t="str" cm="1">
        <f t="array" aca="1" ref="D27" ca="1">INDIRECT(ADDRESS($A27,5,,,"ANCHOR INPUTS"))</f>
        <v>XLV</v>
      </c>
      <c r="E27" s="285" t="s">
        <v>113</v>
      </c>
      <c r="F27" s="99"/>
      <c r="G27" s="36" cm="1">
        <f t="array" aca="1" ref="G27" ca="1">INDIRECT(ADDRESS($B27,9,,,"mkt data"))</f>
        <v>0</v>
      </c>
      <c r="H27" s="71">
        <f t="shared" ca="1" si="27"/>
        <v>0</v>
      </c>
      <c r="I27" s="36">
        <f t="shared" ca="1" si="28"/>
        <v>0</v>
      </c>
      <c r="J27" s="219"/>
      <c r="K27" s="44" cm="1">
        <f t="array" aca="1" ref="K27" ca="1">INDIRECT(ADDRESS($B27,5,,,"mkt data"))</f>
        <v>170.64</v>
      </c>
      <c r="L27" s="45" cm="1">
        <f t="array" aca="1" ref="L27" ca="1">INDIRECT(ADDRESS($B27,6,,,"mkt data"))</f>
        <v>170.65</v>
      </c>
      <c r="M27" s="25">
        <f t="shared" ca="1" si="31"/>
        <v>170.63499999999999</v>
      </c>
      <c r="N27" s="25">
        <f t="shared" ca="1" si="32"/>
        <v>170.655</v>
      </c>
      <c r="O27" s="282" cm="1">
        <f t="array" aca="1" ref="O27" ca="1">INDIRECT(ADDRESS($A27,6,,,"scalars"))</f>
        <v>1</v>
      </c>
      <c r="P27" s="26">
        <f t="shared" ca="1" si="29"/>
        <v>170.63499999999999</v>
      </c>
      <c r="Q27" s="26">
        <f t="shared" ca="1" si="30"/>
        <v>170.655</v>
      </c>
      <c r="R27" s="212"/>
      <c r="S27" s="214"/>
      <c r="T27" s="212"/>
      <c r="U27" s="214"/>
      <c r="V27" s="91" t="b">
        <f ca="1">IF(S26&gt;V26,TRUE,FALSE)</f>
        <v>0</v>
      </c>
      <c r="W27" s="60" t="b">
        <f ca="1">AND(IF(U26&gt;-W26,TRUE,FALSE),IF(G26&gt;0,TRUE,FALSE))</f>
        <v>0</v>
      </c>
      <c r="X27" s="60" t="b">
        <f ca="1">AND(IF(S26&gt;-X26,TRUE,FALSE),IF(G26&lt;0,TRUE,FALSE))</f>
        <v>0</v>
      </c>
      <c r="Y27" s="92" t="b">
        <f ca="1">IF(U26&gt;Y26,TRUE,FALSE)</f>
        <v>0</v>
      </c>
      <c r="AA27" s="67">
        <v>0</v>
      </c>
      <c r="AB27" s="67">
        <v>0</v>
      </c>
      <c r="AC27" s="68" t="s">
        <v>89</v>
      </c>
    </row>
    <row r="28" spans="1:29" x14ac:dyDescent="0.25">
      <c r="A28" s="196" t="e">
        <f>MATCH(E28,SCALARS!C:C,0)</f>
        <v>#N/A</v>
      </c>
      <c r="B28" s="193">
        <f>MATCH(E28,'MKT DATA'!B:B,0)</f>
        <v>66</v>
      </c>
      <c r="C28" s="184" t="e" cm="1">
        <f t="array" aca="1" ref="C28" ca="1">INDIRECT(ADDRESS($A28,2,,,"ANCHOR INPUTS"))</f>
        <v>#N/A</v>
      </c>
      <c r="D28" s="13" t="e" cm="1">
        <f t="array" aca="1" ref="D28" ca="1">INDIRECT(ADDRESS($A28,5,,,"ANCHOR INPUTS"))</f>
        <v>#N/A</v>
      </c>
      <c r="E28" s="163" t="s">
        <v>115</v>
      </c>
      <c r="F28" s="100"/>
      <c r="G28" s="166"/>
      <c r="H28" s="167"/>
      <c r="I28" s="166"/>
      <c r="J28" s="168"/>
      <c r="K28" s="169"/>
      <c r="L28" s="170"/>
      <c r="M28" s="171"/>
      <c r="N28" s="171"/>
      <c r="O28" s="172"/>
      <c r="P28" s="173"/>
      <c r="Q28" s="173"/>
      <c r="R28" s="174"/>
      <c r="S28" s="175"/>
      <c r="T28" s="174"/>
      <c r="U28" s="175"/>
      <c r="V28" s="176"/>
      <c r="W28" s="177"/>
      <c r="X28" s="177"/>
      <c r="Y28" s="178"/>
      <c r="AA28" s="67"/>
      <c r="AB28" s="67"/>
      <c r="AC28" s="68"/>
    </row>
    <row r="29" spans="1:29" ht="15.75" thickBot="1" x14ac:dyDescent="0.3">
      <c r="A29" s="196" t="e">
        <f>MATCH(E29,SCALARS!C:C,0)</f>
        <v>#N/A</v>
      </c>
      <c r="B29" s="195" t="e">
        <f>MATCH(E29,'MKT DATA'!B:B,0)</f>
        <v>#N/A</v>
      </c>
      <c r="C29" s="184" t="e" cm="1">
        <f t="array" aca="1" ref="C29" ca="1">INDIRECT(ADDRESS($A29,2,,,"ANCHOR INPUTS"))</f>
        <v>#N/A</v>
      </c>
      <c r="D29" s="13" t="e" cm="1">
        <f t="array" aca="1" ref="D29" ca="1">INDIRECT(ADDRESS($A29,5,,,"ANCHOR INPUTS"))</f>
        <v>#N/A</v>
      </c>
      <c r="E29" s="164" t="s">
        <v>168</v>
      </c>
      <c r="F29" s="100"/>
      <c r="G29" s="166"/>
      <c r="H29" s="167"/>
      <c r="I29" s="166"/>
      <c r="J29" s="168"/>
      <c r="K29" s="169"/>
      <c r="L29" s="170"/>
      <c r="M29" s="171"/>
      <c r="N29" s="171"/>
      <c r="O29" s="172"/>
      <c r="P29" s="173"/>
      <c r="Q29" s="173"/>
      <c r="R29" s="174"/>
      <c r="S29" s="175"/>
      <c r="T29" s="174"/>
      <c r="U29" s="175"/>
      <c r="V29" s="176"/>
      <c r="W29" s="177"/>
      <c r="X29" s="177"/>
      <c r="Y29" s="178"/>
      <c r="AA29" s="67"/>
      <c r="AB29" s="67"/>
      <c r="AC29" s="68"/>
    </row>
    <row r="30" spans="1:29" x14ac:dyDescent="0.25">
      <c r="A30" s="192">
        <f>MATCH(E30,SCALARS!C:C,0)</f>
        <v>61</v>
      </c>
      <c r="B30" s="193">
        <f>MATCH(E30,'MKT DATA'!B:B,0)</f>
        <v>69</v>
      </c>
      <c r="C30" s="182" t="str" cm="1">
        <f t="array" aca="1" ref="C30" ca="1">INDIRECT(ADDRESS($A30,2,,,"ANCHOR INPUTS"))</f>
        <v>real estate</v>
      </c>
      <c r="D30" s="17" t="str" cm="1">
        <f t="array" aca="1" ref="D30" ca="1">INDIRECT(ADDRESS($A30,5,,,"ANCHOR INPUTS"))</f>
        <v>IYR</v>
      </c>
      <c r="E30" s="18" t="s">
        <v>119</v>
      </c>
      <c r="F30" s="98"/>
      <c r="G30" s="34" cm="1">
        <f t="array" aca="1" ref="G30" ca="1">INDIRECT(ADDRESS($B30,9,,,"mkt data"))</f>
        <v>0</v>
      </c>
      <c r="H30" s="69">
        <f t="shared" ref="H30:H31" ca="1" si="33">G30*AVERAGE(K30:L30)</f>
        <v>0</v>
      </c>
      <c r="I30" s="34">
        <f t="shared" ref="I30:I31" ca="1" si="34">G30/O30</f>
        <v>0</v>
      </c>
      <c r="J30" s="209">
        <f ca="1">SUM(I30:I31)</f>
        <v>0</v>
      </c>
      <c r="K30" s="40" cm="1">
        <f t="array" aca="1" ref="K30" ca="1">INDIRECT(ADDRESS($B30,5,,,"mkt data"))</f>
        <v>43.96</v>
      </c>
      <c r="L30" s="41" cm="1">
        <f t="array" aca="1" ref="L30" ca="1">INDIRECT(ADDRESS($B30,6,,,"mkt data"))</f>
        <v>43.97</v>
      </c>
      <c r="M30" s="19">
        <f t="shared" ref="M30:M31" ca="1" si="35">K30-M$20</f>
        <v>43.954999999999998</v>
      </c>
      <c r="N30" s="19">
        <f t="shared" ref="N30:N31" ca="1" si="36">L30+M$20</f>
        <v>43.975000000000001</v>
      </c>
      <c r="O30" s="57" cm="1">
        <f t="array" aca="1" ref="O30" ca="1">INDIRECT(ADDRESS($A30,6,,,"scalars"))</f>
        <v>2.3254325613779532</v>
      </c>
      <c r="P30" s="20">
        <f t="shared" ref="P30:P31" ca="1" si="37">M30*O30</f>
        <v>102.21438823536793</v>
      </c>
      <c r="Q30" s="20">
        <f ca="1">O30*N30</f>
        <v>102.26089688659549</v>
      </c>
      <c r="R30" s="211">
        <f ca="1">P31-Q30</f>
        <v>4.1031134045113049E-3</v>
      </c>
      <c r="S30" s="213">
        <f ca="1">R30/AVERAGE(P31,Q31)</f>
        <v>4.0118439545453967E-5</v>
      </c>
      <c r="T30" s="211">
        <f ca="1">P30-Q31</f>
        <v>-7.0611764632062091E-2</v>
      </c>
      <c r="U30" s="213">
        <f ca="1">T30/AVERAGE(P31,Q31)</f>
        <v>-6.9041080060681579E-4</v>
      </c>
      <c r="V30" s="89">
        <f>AA30</f>
        <v>5.0000000000000001E-3</v>
      </c>
      <c r="W30" s="58">
        <f>AA31</f>
        <v>0</v>
      </c>
      <c r="X30" s="58">
        <f>AB31</f>
        <v>0</v>
      </c>
      <c r="Y30" s="90">
        <f>AB30</f>
        <v>3.0000000000000001E-3</v>
      </c>
      <c r="AA30" s="66">
        <v>5.0000000000000001E-3</v>
      </c>
      <c r="AB30" s="67">
        <v>3.0000000000000001E-3</v>
      </c>
      <c r="AC30" s="68" t="s">
        <v>88</v>
      </c>
    </row>
    <row r="31" spans="1:29" ht="15.75" thickBot="1" x14ac:dyDescent="0.3">
      <c r="A31" s="194">
        <f>MATCH(E31,SCALARS!C:C,0)</f>
        <v>60</v>
      </c>
      <c r="B31" s="195">
        <f>MATCH(E31,'MKT DATA'!B:B,0)</f>
        <v>53</v>
      </c>
      <c r="C31" s="183" t="str" cm="1">
        <f t="array" aca="1" ref="C31" ca="1">INDIRECT(ADDRESS($A31,2,,,"ANCHOR INPUTS"))</f>
        <v>real estate</v>
      </c>
      <c r="D31" s="23" t="str" cm="1">
        <f t="array" aca="1" ref="D31" ca="1">INDIRECT(ADDRESS($A31,5,,,"ANCHOR INPUTS"))</f>
        <v>IYR</v>
      </c>
      <c r="E31" s="24" t="s">
        <v>117</v>
      </c>
      <c r="F31" s="99"/>
      <c r="G31" s="36" cm="1">
        <f t="array" aca="1" ref="G31" ca="1">INDIRECT(ADDRESS($B31,9,,,"mkt data"))</f>
        <v>0</v>
      </c>
      <c r="H31" s="71">
        <f t="shared" ca="1" si="33"/>
        <v>0</v>
      </c>
      <c r="I31" s="36">
        <f t="shared" ca="1" si="34"/>
        <v>0</v>
      </c>
      <c r="J31" s="210"/>
      <c r="K31" s="44" cm="1">
        <f t="array" aca="1" ref="K31" ca="1">INDIRECT(ADDRESS($B31,5,,,"mkt data"))</f>
        <v>102.27</v>
      </c>
      <c r="L31" s="45" cm="1">
        <f t="array" aca="1" ref="L31" ca="1">INDIRECT(ADDRESS($B31,6,,,"mkt data"))</f>
        <v>102.28</v>
      </c>
      <c r="M31" s="25">
        <f t="shared" ca="1" si="35"/>
        <v>102.265</v>
      </c>
      <c r="N31" s="25">
        <f t="shared" ca="1" si="36"/>
        <v>102.285</v>
      </c>
      <c r="O31" s="179" cm="1">
        <f t="array" aca="1" ref="O31" ca="1">INDIRECT(ADDRESS($A31,6,,,"scalars"))</f>
        <v>1</v>
      </c>
      <c r="P31" s="26">
        <f t="shared" ca="1" si="37"/>
        <v>102.265</v>
      </c>
      <c r="Q31" s="26">
        <f ca="1">O31*N31</f>
        <v>102.285</v>
      </c>
      <c r="R31" s="212"/>
      <c r="S31" s="214"/>
      <c r="T31" s="212"/>
      <c r="U31" s="214"/>
      <c r="V31" s="91" t="b">
        <f ca="1">IF(S30&gt;V30,TRUE,FALSE)</f>
        <v>0</v>
      </c>
      <c r="W31" s="60" t="b">
        <f ca="1">AND(IF(U30&gt;-W30,TRUE,FALSE),IF(G30&gt;0,TRUE,FALSE))</f>
        <v>0</v>
      </c>
      <c r="X31" s="60" t="b">
        <f ca="1">AND(IF(S30&gt;-X30,TRUE,FALSE),IF(G30&lt;0,TRUE,FALSE))</f>
        <v>0</v>
      </c>
      <c r="Y31" s="92" t="b">
        <f ca="1">IF(U30&gt;Y30,TRUE,FALSE)</f>
        <v>0</v>
      </c>
      <c r="AA31" s="67">
        <v>0</v>
      </c>
      <c r="AB31" s="67">
        <v>0</v>
      </c>
      <c r="AC31" s="68" t="s">
        <v>89</v>
      </c>
    </row>
    <row r="32" spans="1:29" x14ac:dyDescent="0.25">
      <c r="A32" s="192" t="e">
        <f>MATCH(E32,SCALARS!C:C,0)</f>
        <v>#N/A</v>
      </c>
      <c r="B32" s="193">
        <f>MATCH(E32,'MKT DATA'!B:B,0)</f>
        <v>68</v>
      </c>
      <c r="C32" s="182" t="e" cm="1">
        <f t="array" aca="1" ref="C32" ca="1">INDIRECT(ADDRESS($A32,2,,,"ANCHOR INPUTS"))</f>
        <v>#N/A</v>
      </c>
      <c r="D32" s="13" t="e" cm="1">
        <f t="array" aca="1" ref="D32" ca="1">INDIRECT(ADDRESS($A32,5,,,"ANCHOR INPUTS"))</f>
        <v>#N/A</v>
      </c>
      <c r="E32" s="163" t="s">
        <v>102</v>
      </c>
      <c r="F32" s="98"/>
      <c r="G32" s="166"/>
      <c r="H32" s="167"/>
      <c r="I32" s="166"/>
      <c r="J32" s="168"/>
      <c r="K32" s="169"/>
      <c r="L32" s="170"/>
      <c r="M32" s="171"/>
      <c r="N32" s="171"/>
      <c r="O32" s="180"/>
      <c r="P32" s="173"/>
      <c r="Q32" s="173"/>
      <c r="R32" s="174"/>
      <c r="S32" s="175"/>
      <c r="T32" s="174"/>
      <c r="U32" s="175"/>
      <c r="V32" s="176"/>
      <c r="W32" s="177"/>
      <c r="X32" s="177"/>
      <c r="Y32" s="178"/>
      <c r="AA32" s="66"/>
      <c r="AB32" s="67"/>
      <c r="AC32" s="68"/>
    </row>
    <row r="33" spans="1:29" ht="15.75" thickBot="1" x14ac:dyDescent="0.3">
      <c r="A33" s="194" t="e">
        <f>MATCH(E33,SCALARS!C:C,0)</f>
        <v>#N/A</v>
      </c>
      <c r="B33" s="195" t="e">
        <f>MATCH(E33,'MKT DATA'!B:B,0)</f>
        <v>#N/A</v>
      </c>
      <c r="C33" s="183" t="e" cm="1">
        <f t="array" aca="1" ref="C33" ca="1">INDIRECT(ADDRESS($A33,2,,,"ANCHOR INPUTS"))</f>
        <v>#N/A</v>
      </c>
      <c r="D33" s="13" t="e" cm="1">
        <f t="array" aca="1" ref="D33" ca="1">INDIRECT(ADDRESS($A33,5,,,"ANCHOR INPUTS"))</f>
        <v>#N/A</v>
      </c>
      <c r="E33" s="164" t="s">
        <v>169</v>
      </c>
      <c r="F33" s="99"/>
      <c r="G33" s="166"/>
      <c r="H33" s="167"/>
      <c r="I33" s="166"/>
      <c r="J33" s="168"/>
      <c r="K33" s="169"/>
      <c r="L33" s="170"/>
      <c r="M33" s="171"/>
      <c r="N33" s="171"/>
      <c r="O33" s="180"/>
      <c r="P33" s="173"/>
      <c r="Q33" s="173"/>
      <c r="R33" s="174"/>
      <c r="S33" s="175"/>
      <c r="T33" s="174"/>
      <c r="U33" s="175"/>
      <c r="V33" s="176"/>
      <c r="W33" s="177"/>
      <c r="X33" s="177"/>
      <c r="Y33" s="178"/>
      <c r="AA33" s="67"/>
      <c r="AB33" s="67"/>
      <c r="AC33" s="68"/>
    </row>
    <row r="34" spans="1:29" x14ac:dyDescent="0.25">
      <c r="A34" s="192">
        <f>MATCH(E34,SCALARS!C:C,0)</f>
        <v>63</v>
      </c>
      <c r="B34" s="193">
        <f>MATCH(E34,'MKT DATA'!B:B,0)</f>
        <v>67</v>
      </c>
      <c r="C34" s="182" t="str" cm="1">
        <f t="array" aca="1" ref="C34" ca="1">INDIRECT(ADDRESS($A34,2,,,"ANCHOR INPUTS"))</f>
        <v>technology</v>
      </c>
      <c r="D34" s="17" t="str" cm="1">
        <f t="array" aca="1" ref="D34" ca="1">INDIRECT(ADDRESS($A34,5,,,"ANCHOR INPUTS"))</f>
        <v>IYW</v>
      </c>
      <c r="E34" s="18" t="s">
        <v>123</v>
      </c>
      <c r="F34" s="98"/>
      <c r="G34" s="34" cm="1">
        <f t="array" aca="1" ref="G34" ca="1">INDIRECT(ADDRESS($B34,9,,,"mkt data"))</f>
        <v>0</v>
      </c>
      <c r="H34" s="69">
        <f ca="1">G34*AVERAGE(K34:L34)</f>
        <v>0</v>
      </c>
      <c r="I34" s="34">
        <f ca="1">G34/O34</f>
        <v>0</v>
      </c>
      <c r="J34" s="209">
        <f ca="1">SUM(I34:I35)</f>
        <v>0</v>
      </c>
      <c r="K34" s="40" cm="1">
        <f t="array" aca="1" ref="K34" ca="1">INDIRECT(ADDRESS($B34,5,,,"mkt data"))</f>
        <v>185.72</v>
      </c>
      <c r="L34" s="41" cm="1">
        <f t="array" aca="1" ref="L34" ca="1">INDIRECT(ADDRESS($B34,6,,,"mkt data"))</f>
        <v>185.74</v>
      </c>
      <c r="M34" s="19">
        <f t="shared" ref="M34:M37" ca="1" si="38">K34-M$20</f>
        <v>185.715</v>
      </c>
      <c r="N34" s="19">
        <f t="shared" ref="N34:N37" ca="1" si="39">L34+M$20</f>
        <v>185.745</v>
      </c>
      <c r="O34" s="181" cm="1">
        <f t="array" aca="1" ref="O34" ca="1">INDIRECT(ADDRESS($A34,6,,,"scalars"))</f>
        <v>1.3500153925828009</v>
      </c>
      <c r="P34" s="20">
        <f ca="1">M34*O34</f>
        <v>250.71810863351487</v>
      </c>
      <c r="Q34" s="20">
        <f ca="1">O34*N34</f>
        <v>250.75860909529237</v>
      </c>
      <c r="R34" s="211">
        <f ca="1">P35-Q34</f>
        <v>-0.34360909529237915</v>
      </c>
      <c r="S34" s="213">
        <f ca="1">R34/AVERAGE(P35,Q35)</f>
        <v>-1.3720490158818821E-3</v>
      </c>
      <c r="T34" s="211">
        <f ca="1">P34-Q35</f>
        <v>0.26310863351488933</v>
      </c>
      <c r="U34" s="213">
        <f ca="1">T34/AVERAGE(P35,Q35)</f>
        <v>1.050606478786469E-3</v>
      </c>
      <c r="V34" s="89">
        <f>AA34</f>
        <v>2E-3</v>
      </c>
      <c r="W34" s="58">
        <f>AA35</f>
        <v>0</v>
      </c>
      <c r="X34" s="58">
        <f>AB35</f>
        <v>0</v>
      </c>
      <c r="Y34" s="90">
        <f>AB34</f>
        <v>2E-3</v>
      </c>
      <c r="AA34" s="66">
        <v>2E-3</v>
      </c>
      <c r="AB34" s="67">
        <v>2E-3</v>
      </c>
      <c r="AC34" s="68" t="s">
        <v>88</v>
      </c>
    </row>
    <row r="35" spans="1:29" ht="15.75" thickBot="1" x14ac:dyDescent="0.3">
      <c r="A35" s="194">
        <f>MATCH(E35,SCALARS!C:C,0)</f>
        <v>62</v>
      </c>
      <c r="B35" s="195">
        <f>MATCH(E35,'MKT DATA'!B:B,0)</f>
        <v>54</v>
      </c>
      <c r="C35" s="183" t="str" cm="1">
        <f t="array" aca="1" ref="C35" ca="1">INDIRECT(ADDRESS($A35,2,,,"ANCHOR INPUTS"))</f>
        <v>technology</v>
      </c>
      <c r="D35" s="23" t="str" cm="1">
        <f t="array" aca="1" ref="D35" ca="1">INDIRECT(ADDRESS($A35,5,,,"ANCHOR INPUTS"))</f>
        <v>IYW</v>
      </c>
      <c r="E35" s="24" t="s">
        <v>121</v>
      </c>
      <c r="F35" s="99"/>
      <c r="G35" s="36" cm="1">
        <f t="array" aca="1" ref="G35" ca="1">INDIRECT(ADDRESS($B35,9,,,"mkt data"))</f>
        <v>0</v>
      </c>
      <c r="H35" s="71">
        <f ca="1">G35*AVERAGE(K35:L35)</f>
        <v>0</v>
      </c>
      <c r="I35" s="36">
        <f ca="1">G35/O35</f>
        <v>0</v>
      </c>
      <c r="J35" s="210"/>
      <c r="K35" s="44" cm="1">
        <f t="array" aca="1" ref="K35" ca="1">INDIRECT(ADDRESS($B35,5,,,"mkt data"))</f>
        <v>250.42</v>
      </c>
      <c r="L35" s="45" cm="1">
        <f t="array" aca="1" ref="L35" ca="1">INDIRECT(ADDRESS($B35,6,,,"mkt data"))</f>
        <v>250.45</v>
      </c>
      <c r="M35" s="25">
        <f t="shared" ca="1" si="38"/>
        <v>250.41499999999999</v>
      </c>
      <c r="N35" s="25">
        <f t="shared" ca="1" si="39"/>
        <v>250.45499999999998</v>
      </c>
      <c r="O35" s="179" cm="1">
        <f t="array" aca="1" ref="O35" ca="1">INDIRECT(ADDRESS($A35,6,,,"scalars"))</f>
        <v>1</v>
      </c>
      <c r="P35" s="26">
        <f t="shared" ref="P35" ca="1" si="40">M35*O35</f>
        <v>250.41499999999999</v>
      </c>
      <c r="Q35" s="26">
        <f ca="1">O35*N35</f>
        <v>250.45499999999998</v>
      </c>
      <c r="R35" s="212"/>
      <c r="S35" s="214"/>
      <c r="T35" s="212"/>
      <c r="U35" s="214"/>
      <c r="V35" s="91" t="b">
        <f ca="1">IF(S34&gt;V34,TRUE,FALSE)</f>
        <v>0</v>
      </c>
      <c r="W35" s="60" t="b">
        <f ca="1">AND(IF(U34&gt;-W34,TRUE,FALSE),IF(G34&gt;0,TRUE,FALSE))</f>
        <v>0</v>
      </c>
      <c r="X35" s="60" t="b">
        <f ca="1">AND(IF(S34&gt;-X34,TRUE,FALSE),IF(G34&lt;0,TRUE,FALSE))</f>
        <v>0</v>
      </c>
      <c r="Y35" s="92" t="b">
        <f ca="1">IF(U34&gt;Y34,TRUE,FALSE)</f>
        <v>0</v>
      </c>
      <c r="AA35" s="67">
        <v>0</v>
      </c>
      <c r="AB35" s="67">
        <v>0</v>
      </c>
      <c r="AC35" s="68" t="s">
        <v>89</v>
      </c>
    </row>
    <row r="36" spans="1:29" x14ac:dyDescent="0.25">
      <c r="A36" s="192">
        <f>MATCH(E36,SCALARS!C:C,0)</f>
        <v>65</v>
      </c>
      <c r="B36" s="193">
        <f>MATCH(E36,'MKT DATA'!B:B,0)</f>
        <v>70</v>
      </c>
      <c r="C36" s="182" t="str" cm="1">
        <f t="array" aca="1" ref="C36" ca="1">INDIRECT(ADDRESS($A36,2,,,"ANCHOR INPUTS"))</f>
        <v>utilities</v>
      </c>
      <c r="D36" s="17" t="str" cm="1">
        <f t="array" aca="1" ref="D36" ca="1">INDIRECT(ADDRESS($A36,5,,,"ANCHOR INPUTS"))</f>
        <v>IDU</v>
      </c>
      <c r="E36" s="18" t="s">
        <v>127</v>
      </c>
      <c r="F36" s="98"/>
      <c r="G36" s="34" cm="1">
        <f t="array" aca="1" ref="G36" ca="1">INDIRECT(ADDRESS($B36,9,,,"mkt data"))</f>
        <v>0</v>
      </c>
      <c r="H36" s="69">
        <f ca="1">G36*AVERAGE(K36:L36)</f>
        <v>0</v>
      </c>
      <c r="I36" s="34">
        <f ca="1">G36/O36</f>
        <v>0</v>
      </c>
      <c r="J36" s="209">
        <f ca="1">SUM(I36:I37)</f>
        <v>0</v>
      </c>
      <c r="K36" s="40" cm="1">
        <f t="array" aca="1" ref="K36" ca="1">INDIRECT(ADDRESS($B36,5,,,"mkt data"))</f>
        <v>42.16</v>
      </c>
      <c r="L36" s="41" cm="1">
        <f t="array" aca="1" ref="L36" ca="1">INDIRECT(ADDRESS($B36,6,,,"mkt data"))</f>
        <v>42.17</v>
      </c>
      <c r="M36" s="19">
        <f t="shared" ca="1" si="38"/>
        <v>42.154999999999994</v>
      </c>
      <c r="N36" s="19">
        <f t="shared" ca="1" si="39"/>
        <v>42.175000000000004</v>
      </c>
      <c r="O36" s="181" cm="1">
        <f t="array" aca="1" ref="O36" ca="1">INDIRECT(ADDRESS($A36,6,,,"scalars"))</f>
        <v>2.5410770043654538</v>
      </c>
      <c r="P36" s="20">
        <f ca="1">M36*O36</f>
        <v>107.11910111902569</v>
      </c>
      <c r="Q36" s="20">
        <f ca="1">O36*N36</f>
        <v>107.16992265911303</v>
      </c>
      <c r="R36" s="211">
        <f ca="1">P37-Q36</f>
        <v>0.33507734088698271</v>
      </c>
      <c r="S36" s="213">
        <f ca="1">R36/AVERAGE(P37,Q37)</f>
        <v>3.1162738050405274E-3</v>
      </c>
      <c r="T36" s="211">
        <f ca="1">P36-Q37</f>
        <v>-0.42589888097431583</v>
      </c>
      <c r="U36" s="213">
        <f ca="1">T36/AVERAGE(P37,Q37)</f>
        <v>-3.9609289093170503E-3</v>
      </c>
      <c r="V36" s="89">
        <f>AA36</f>
        <v>3.0000000000000001E-3</v>
      </c>
      <c r="W36" s="58">
        <f>AA37</f>
        <v>0</v>
      </c>
      <c r="X36" s="58">
        <f>AB37</f>
        <v>0</v>
      </c>
      <c r="Y36" s="90">
        <f>AB36</f>
        <v>2E-3</v>
      </c>
      <c r="AA36" s="66">
        <v>3.0000000000000001E-3</v>
      </c>
      <c r="AB36" s="67">
        <v>2E-3</v>
      </c>
      <c r="AC36" s="68" t="s">
        <v>88</v>
      </c>
    </row>
    <row r="37" spans="1:29" ht="15.75" thickBot="1" x14ac:dyDescent="0.3">
      <c r="A37" s="194">
        <f>MATCH(E37,SCALARS!C:C,0)</f>
        <v>64</v>
      </c>
      <c r="B37" s="195">
        <f>MATCH(E37,'MKT DATA'!B:B,0)</f>
        <v>49</v>
      </c>
      <c r="C37" s="183" t="str" cm="1">
        <f t="array" aca="1" ref="C37" ca="1">INDIRECT(ADDRESS($A37,2,,,"ANCHOR INPUTS"))</f>
        <v>utilities</v>
      </c>
      <c r="D37" s="23" t="str" cm="1">
        <f t="array" aca="1" ref="D37" ca="1">INDIRECT(ADDRESS($A37,5,,,"ANCHOR INPUTS"))</f>
        <v>IDU</v>
      </c>
      <c r="E37" s="24" t="s">
        <v>125</v>
      </c>
      <c r="F37" s="99"/>
      <c r="G37" s="36" cm="1">
        <f t="array" aca="1" ref="G37" ca="1">INDIRECT(ADDRESS($B37,9,,,"mkt data"))</f>
        <v>0</v>
      </c>
      <c r="H37" s="71">
        <f ca="1">G37*AVERAGE(K37:L37)</f>
        <v>0</v>
      </c>
      <c r="I37" s="36">
        <f ca="1">G37/O37</f>
        <v>0</v>
      </c>
      <c r="J37" s="210"/>
      <c r="K37" s="44" cm="1">
        <f t="array" aca="1" ref="K37" ca="1">INDIRECT(ADDRESS($B37,5,,,"mkt data"))</f>
        <v>107.51</v>
      </c>
      <c r="L37" s="45" cm="1">
        <f t="array" aca="1" ref="L37" ca="1">INDIRECT(ADDRESS($B37,6,,,"mkt data"))</f>
        <v>107.54</v>
      </c>
      <c r="M37" s="25">
        <f t="shared" ca="1" si="38"/>
        <v>107.50500000000001</v>
      </c>
      <c r="N37" s="25">
        <f t="shared" ca="1" si="39"/>
        <v>107.545</v>
      </c>
      <c r="O37" s="179" cm="1">
        <f t="array" aca="1" ref="O37" ca="1">INDIRECT(ADDRESS($A37,6,,,"scalars"))</f>
        <v>1</v>
      </c>
      <c r="P37" s="26">
        <f ca="1">M37*O37</f>
        <v>107.50500000000001</v>
      </c>
      <c r="Q37" s="26">
        <f ca="1">O37*N37</f>
        <v>107.545</v>
      </c>
      <c r="R37" s="212"/>
      <c r="S37" s="214"/>
      <c r="T37" s="212"/>
      <c r="U37" s="214"/>
      <c r="V37" s="91" t="b">
        <f ca="1">IF(S36&gt;V36,TRUE,FALSE)</f>
        <v>1</v>
      </c>
      <c r="W37" s="60" t="b">
        <f ca="1">AND(IF(U36&gt;-W36,TRUE,FALSE),IF(G36&gt;0,TRUE,FALSE))</f>
        <v>0</v>
      </c>
      <c r="X37" s="60" t="b">
        <f ca="1">AND(IF(S36&gt;-X36,TRUE,FALSE),IF(G36&lt;0,TRUE,FALSE))</f>
        <v>0</v>
      </c>
      <c r="Y37" s="92" t="b">
        <f ca="1">IF(U36&gt;Y36,TRUE,FALSE)</f>
        <v>0</v>
      </c>
      <c r="AA37" s="67">
        <v>0</v>
      </c>
      <c r="AB37" s="67">
        <v>0</v>
      </c>
      <c r="AC37" s="68" t="s">
        <v>89</v>
      </c>
    </row>
    <row r="39" spans="1:29" x14ac:dyDescent="0.25">
      <c r="C39" s="185"/>
    </row>
    <row r="41" spans="1:29" x14ac:dyDescent="0.25">
      <c r="C41" s="185" t="s">
        <v>164</v>
      </c>
      <c r="E41" t="s">
        <v>160</v>
      </c>
    </row>
    <row r="42" spans="1:29" x14ac:dyDescent="0.25">
      <c r="C42" s="185" t="s">
        <v>165</v>
      </c>
      <c r="E42" t="s">
        <v>161</v>
      </c>
    </row>
    <row r="43" spans="1:29" x14ac:dyDescent="0.25">
      <c r="C43" s="185" t="s">
        <v>162</v>
      </c>
      <c r="E43" t="s">
        <v>163</v>
      </c>
    </row>
    <row r="46" spans="1:29" x14ac:dyDescent="0.25">
      <c r="E46" t="s">
        <v>170</v>
      </c>
    </row>
    <row r="47" spans="1:29" x14ac:dyDescent="0.25">
      <c r="E47" t="s">
        <v>171</v>
      </c>
    </row>
  </sheetData>
  <mergeCells count="77">
    <mergeCell ref="A19:C19"/>
    <mergeCell ref="A1:B1"/>
    <mergeCell ref="G1:J1"/>
    <mergeCell ref="K1:L1"/>
    <mergeCell ref="M1:N1"/>
    <mergeCell ref="J15:J16"/>
    <mergeCell ref="P1:Q1"/>
    <mergeCell ref="T1:U1"/>
    <mergeCell ref="AA1:AB1"/>
    <mergeCell ref="J13:J14"/>
    <mergeCell ref="R13:R14"/>
    <mergeCell ref="S13:S14"/>
    <mergeCell ref="T13:T14"/>
    <mergeCell ref="U13:U14"/>
    <mergeCell ref="R1:S1"/>
    <mergeCell ref="J3:J4"/>
    <mergeCell ref="R3:R4"/>
    <mergeCell ref="S3:S4"/>
    <mergeCell ref="T3:T4"/>
    <mergeCell ref="U3:U4"/>
    <mergeCell ref="J11:J12"/>
    <mergeCell ref="R11:R12"/>
    <mergeCell ref="R15:R16"/>
    <mergeCell ref="S15:S16"/>
    <mergeCell ref="T15:T16"/>
    <mergeCell ref="U15:U16"/>
    <mergeCell ref="J17:J18"/>
    <mergeCell ref="R17:R18"/>
    <mergeCell ref="S17:S18"/>
    <mergeCell ref="T17:T18"/>
    <mergeCell ref="U17:U18"/>
    <mergeCell ref="S11:S12"/>
    <mergeCell ref="T11:T12"/>
    <mergeCell ref="U11:U12"/>
    <mergeCell ref="J7:J8"/>
    <mergeCell ref="R7:R8"/>
    <mergeCell ref="S7:S8"/>
    <mergeCell ref="T7:T8"/>
    <mergeCell ref="U7:U8"/>
    <mergeCell ref="A20:B20"/>
    <mergeCell ref="G20:J20"/>
    <mergeCell ref="K20:L20"/>
    <mergeCell ref="M20:N20"/>
    <mergeCell ref="P20:Q20"/>
    <mergeCell ref="R20:S20"/>
    <mergeCell ref="T20:U20"/>
    <mergeCell ref="AA20:AB20"/>
    <mergeCell ref="J22:J23"/>
    <mergeCell ref="T22:T23"/>
    <mergeCell ref="U22:U23"/>
    <mergeCell ref="R22:R23"/>
    <mergeCell ref="S22:S23"/>
    <mergeCell ref="J26:J27"/>
    <mergeCell ref="T26:T27"/>
    <mergeCell ref="U26:U27"/>
    <mergeCell ref="R26:R27"/>
    <mergeCell ref="S26:S27"/>
    <mergeCell ref="J24:J25"/>
    <mergeCell ref="T24:T25"/>
    <mergeCell ref="U24:U25"/>
    <mergeCell ref="R24:R25"/>
    <mergeCell ref="S24:S25"/>
    <mergeCell ref="J34:J35"/>
    <mergeCell ref="T34:T35"/>
    <mergeCell ref="U34:U35"/>
    <mergeCell ref="R34:R35"/>
    <mergeCell ref="S34:S35"/>
    <mergeCell ref="J30:J31"/>
    <mergeCell ref="T30:T31"/>
    <mergeCell ref="U30:U31"/>
    <mergeCell ref="R30:R31"/>
    <mergeCell ref="S30:S31"/>
    <mergeCell ref="J36:J37"/>
    <mergeCell ref="T36:T37"/>
    <mergeCell ref="U36:U37"/>
    <mergeCell ref="R36:R37"/>
    <mergeCell ref="S36:S37"/>
  </mergeCells>
  <conditionalFormatting sqref="P7:P8">
    <cfRule type="top10" dxfId="44" priority="51" rank="1"/>
  </conditionalFormatting>
  <conditionalFormatting sqref="Q7:Q8">
    <cfRule type="top10" dxfId="43" priority="52" rank="1"/>
  </conditionalFormatting>
  <conditionalFormatting sqref="P3:P6">
    <cfRule type="top10" dxfId="42" priority="45" rank="1"/>
  </conditionalFormatting>
  <conditionalFormatting sqref="Q3:Q6">
    <cfRule type="top10" dxfId="41" priority="46" rank="1"/>
  </conditionalFormatting>
  <conditionalFormatting sqref="P17:P18">
    <cfRule type="top10" dxfId="40" priority="43" rank="1"/>
  </conditionalFormatting>
  <conditionalFormatting sqref="Q17:Q18">
    <cfRule type="top10" dxfId="39" priority="44" rank="1"/>
  </conditionalFormatting>
  <conditionalFormatting sqref="P15:P16">
    <cfRule type="top10" dxfId="38" priority="41" rank="1"/>
  </conditionalFormatting>
  <conditionalFormatting sqref="Q15:Q16">
    <cfRule type="top10" dxfId="37" priority="42" rank="1"/>
  </conditionalFormatting>
  <conditionalFormatting sqref="P11:P12">
    <cfRule type="top10" dxfId="36" priority="39" rank="1"/>
  </conditionalFormatting>
  <conditionalFormatting sqref="Q11:Q12">
    <cfRule type="top10" dxfId="35" priority="40" rank="1"/>
  </conditionalFormatting>
  <conditionalFormatting sqref="P13:P14">
    <cfRule type="top10" dxfId="34" priority="37" rank="1"/>
  </conditionalFormatting>
  <conditionalFormatting sqref="Q13:Q14">
    <cfRule type="top10" dxfId="33" priority="38" rank="1"/>
  </conditionalFormatting>
  <conditionalFormatting sqref="V4:V6 Y4:Y6 V8:V10 Y8:Y10 V12 Y12 V14 Y14 V16 Y16 V18 Y18 V31:V33 Y31:Y33 V35 Y35 V37 Y37">
    <cfRule type="cellIs" dxfId="32" priority="36" operator="equal">
      <formula>TRUE</formula>
    </cfRule>
  </conditionalFormatting>
  <conditionalFormatting sqref="W4:X6 W8:X10 W12:X12 W14:X14 W16:X16 W18:X18 W35:X35 W37:X37">
    <cfRule type="cellIs" dxfId="31" priority="35" operator="equal">
      <formula>TRUE</formula>
    </cfRule>
  </conditionalFormatting>
  <conditionalFormatting sqref="U22:U37 S22:S37 U3:U18 S3:S18">
    <cfRule type="cellIs" dxfId="30" priority="34" operator="greaterThan">
      <formula>0</formula>
    </cfRule>
  </conditionalFormatting>
  <conditionalFormatting sqref="P36:P37">
    <cfRule type="top10" dxfId="29" priority="32" rank="1"/>
  </conditionalFormatting>
  <conditionalFormatting sqref="Q36:Q37">
    <cfRule type="top10" dxfId="28" priority="33" rank="1"/>
  </conditionalFormatting>
  <conditionalFormatting sqref="P34:P35">
    <cfRule type="top10" dxfId="27" priority="30" rank="1"/>
  </conditionalFormatting>
  <conditionalFormatting sqref="Q34:Q35">
    <cfRule type="top10" dxfId="26" priority="31" rank="1"/>
  </conditionalFormatting>
  <conditionalFormatting sqref="P24:P25">
    <cfRule type="top10" dxfId="25" priority="28" rank="1"/>
  </conditionalFormatting>
  <conditionalFormatting sqref="Q24:Q25">
    <cfRule type="top10" dxfId="24" priority="29" rank="1"/>
  </conditionalFormatting>
  <conditionalFormatting sqref="P26:P27">
    <cfRule type="top10" dxfId="23" priority="26" rank="1"/>
  </conditionalFormatting>
  <conditionalFormatting sqref="Q26:Q27">
    <cfRule type="top10" dxfId="22" priority="27" rank="1"/>
  </conditionalFormatting>
  <conditionalFormatting sqref="P30:P31">
    <cfRule type="top10" dxfId="21" priority="24" rank="1"/>
  </conditionalFormatting>
  <conditionalFormatting sqref="Q30:Q31">
    <cfRule type="top10" dxfId="20" priority="25" rank="1"/>
  </conditionalFormatting>
  <conditionalFormatting sqref="P22:P23">
    <cfRule type="top10" dxfId="19" priority="22" rank="1"/>
  </conditionalFormatting>
  <conditionalFormatting sqref="Q22:Q23">
    <cfRule type="top10" dxfId="18" priority="23" rank="1"/>
  </conditionalFormatting>
  <conditionalFormatting sqref="P9:P10">
    <cfRule type="top10" dxfId="15" priority="15" rank="1"/>
  </conditionalFormatting>
  <conditionalFormatting sqref="Q9:Q10">
    <cfRule type="top10" dxfId="14" priority="16" rank="1"/>
  </conditionalFormatting>
  <conditionalFormatting sqref="P28:P29">
    <cfRule type="top10" dxfId="13" priority="13" rank="1"/>
  </conditionalFormatting>
  <conditionalFormatting sqref="Q28:Q29">
    <cfRule type="top10" dxfId="12" priority="14" rank="1"/>
  </conditionalFormatting>
  <conditionalFormatting sqref="V28:V29 Y28:Y29">
    <cfRule type="cellIs" dxfId="11" priority="12" operator="equal">
      <formula>TRUE</formula>
    </cfRule>
  </conditionalFormatting>
  <conditionalFormatting sqref="W28:X29">
    <cfRule type="cellIs" dxfId="10" priority="11" operator="equal">
      <formula>TRUE</formula>
    </cfRule>
  </conditionalFormatting>
  <conditionalFormatting sqref="P32:P33">
    <cfRule type="top10" dxfId="9" priority="9" rank="1"/>
  </conditionalFormatting>
  <conditionalFormatting sqref="Q32:Q33">
    <cfRule type="top10" dxfId="8" priority="10" rank="1"/>
  </conditionalFormatting>
  <conditionalFormatting sqref="W32:X33">
    <cfRule type="cellIs" dxfId="7" priority="8" operator="equal">
      <formula>TRUE</formula>
    </cfRule>
  </conditionalFormatting>
  <conditionalFormatting sqref="V23 Y23">
    <cfRule type="cellIs" dxfId="6" priority="7" operator="equal">
      <formula>TRUE</formula>
    </cfRule>
  </conditionalFormatting>
  <conditionalFormatting sqref="W23:X23">
    <cfRule type="cellIs" dxfId="5" priority="6" operator="equal">
      <formula>TRUE</formula>
    </cfRule>
  </conditionalFormatting>
  <conditionalFormatting sqref="V25 Y25">
    <cfRule type="cellIs" dxfId="4" priority="5" operator="equal">
      <formula>TRUE</formula>
    </cfRule>
  </conditionalFormatting>
  <conditionalFormatting sqref="W25:X25">
    <cfRule type="cellIs" dxfId="3" priority="4" operator="equal">
      <formula>TRUE</formula>
    </cfRule>
  </conditionalFormatting>
  <conditionalFormatting sqref="V27 Y27">
    <cfRule type="cellIs" dxfId="2" priority="3" operator="equal">
      <formula>TRUE</formula>
    </cfRule>
  </conditionalFormatting>
  <conditionalFormatting sqref="W27:X27">
    <cfRule type="cellIs" dxfId="1" priority="2" operator="equal">
      <formula>TRUE</formula>
    </cfRule>
  </conditionalFormatting>
  <conditionalFormatting sqref="W31:X3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65"/>
  <sheetViews>
    <sheetView topLeftCell="A36" zoomScale="90" zoomScaleNormal="90" workbookViewId="0">
      <selection activeCell="I29" sqref="I29"/>
    </sheetView>
  </sheetViews>
  <sheetFormatPr defaultRowHeight="15" x14ac:dyDescent="0.25"/>
  <cols>
    <col min="1" max="1" width="11.7109375" bestFit="1" customWidth="1"/>
    <col min="2" max="2" width="17" bestFit="1" customWidth="1"/>
    <col min="3" max="3" width="11.7109375" bestFit="1" customWidth="1"/>
    <col min="4" max="4" width="12.28515625" bestFit="1" customWidth="1"/>
    <col min="5" max="5" width="9.28515625" bestFit="1" customWidth="1"/>
    <col min="6" max="6" width="23.85546875" style="4" bestFit="1" customWidth="1"/>
    <col min="7" max="7" width="18.7109375" style="9" bestFit="1" customWidth="1"/>
    <col min="8" max="8" width="34.42578125" style="4" bestFit="1" customWidth="1"/>
  </cols>
  <sheetData>
    <row r="1" spans="1:15" s="3" customFormat="1" ht="15.75" x14ac:dyDescent="0.25">
      <c r="A1" s="5" t="s">
        <v>61</v>
      </c>
      <c r="B1" s="5" t="s">
        <v>128</v>
      </c>
      <c r="C1" s="5" t="s">
        <v>2</v>
      </c>
      <c r="D1" s="5" t="s">
        <v>1</v>
      </c>
      <c r="E1" s="5" t="s">
        <v>99</v>
      </c>
      <c r="F1" s="158" t="s">
        <v>33</v>
      </c>
      <c r="G1" s="7"/>
      <c r="H1" s="155" t="s">
        <v>97</v>
      </c>
    </row>
    <row r="2" spans="1:15" ht="16.5" thickBot="1" x14ac:dyDescent="0.3">
      <c r="A2" t="s">
        <v>151</v>
      </c>
      <c r="B2" t="s">
        <v>129</v>
      </c>
      <c r="C2" t="s">
        <v>8</v>
      </c>
      <c r="D2" t="s">
        <v>0</v>
      </c>
      <c r="E2" t="s">
        <v>8</v>
      </c>
      <c r="F2" s="4">
        <v>1</v>
      </c>
      <c r="G2" s="8"/>
      <c r="H2" s="156" t="s">
        <v>98</v>
      </c>
    </row>
    <row r="3" spans="1:15" x14ac:dyDescent="0.25">
      <c r="A3" t="s">
        <v>151</v>
      </c>
      <c r="B3" t="s">
        <v>129</v>
      </c>
      <c r="C3" t="s">
        <v>7</v>
      </c>
      <c r="D3" t="s">
        <v>0</v>
      </c>
      <c r="E3" t="s">
        <v>8</v>
      </c>
      <c r="F3" s="4">
        <v>1.3480795585488226</v>
      </c>
      <c r="G3" s="8"/>
    </row>
    <row r="4" spans="1:15" x14ac:dyDescent="0.25">
      <c r="A4" t="s">
        <v>151</v>
      </c>
      <c r="B4" t="s">
        <v>129</v>
      </c>
      <c r="C4" t="s">
        <v>5</v>
      </c>
      <c r="D4" t="s">
        <v>0</v>
      </c>
      <c r="E4" t="s">
        <v>8</v>
      </c>
      <c r="F4" s="4">
        <v>4.2776436478568458</v>
      </c>
      <c r="G4" s="8"/>
    </row>
    <row r="5" spans="1:15" x14ac:dyDescent="0.25">
      <c r="A5" t="s">
        <v>151</v>
      </c>
      <c r="B5" t="s">
        <v>129</v>
      </c>
      <c r="C5" t="s">
        <v>6</v>
      </c>
      <c r="D5" t="s">
        <v>0</v>
      </c>
      <c r="E5" t="s">
        <v>8</v>
      </c>
      <c r="F5" s="4">
        <v>3.8799884119137511</v>
      </c>
      <c r="G5" s="8"/>
    </row>
    <row r="6" spans="1:15" x14ac:dyDescent="0.25">
      <c r="A6" t="s">
        <v>151</v>
      </c>
      <c r="B6" t="s">
        <v>130</v>
      </c>
      <c r="C6" t="s">
        <v>44</v>
      </c>
      <c r="D6" t="s">
        <v>0</v>
      </c>
      <c r="E6" t="s">
        <v>44</v>
      </c>
      <c r="F6" s="4">
        <v>1</v>
      </c>
      <c r="G6" s="8"/>
    </row>
    <row r="7" spans="1:15" x14ac:dyDescent="0.25">
      <c r="A7" t="s">
        <v>151</v>
      </c>
      <c r="B7" t="s">
        <v>130</v>
      </c>
      <c r="C7" t="s">
        <v>50</v>
      </c>
      <c r="D7" t="s">
        <v>0</v>
      </c>
      <c r="E7" t="s">
        <v>44</v>
      </c>
      <c r="F7" s="4">
        <v>1.0738004000014407</v>
      </c>
      <c r="G7" s="8"/>
      <c r="H7"/>
      <c r="J7" s="11"/>
      <c r="M7" s="1"/>
      <c r="O7" s="1"/>
    </row>
    <row r="8" spans="1:15" x14ac:dyDescent="0.25">
      <c r="A8" t="s">
        <v>151</v>
      </c>
      <c r="B8" t="s">
        <v>131</v>
      </c>
      <c r="C8" t="s">
        <v>31</v>
      </c>
      <c r="D8" t="s">
        <v>0</v>
      </c>
      <c r="E8" t="s">
        <v>31</v>
      </c>
      <c r="F8" s="4">
        <v>1</v>
      </c>
      <c r="G8" s="8"/>
    </row>
    <row r="9" spans="1:15" x14ac:dyDescent="0.25">
      <c r="A9" t="s">
        <v>151</v>
      </c>
      <c r="B9" t="s">
        <v>131</v>
      </c>
      <c r="C9" t="s">
        <v>28</v>
      </c>
      <c r="D9" t="s">
        <v>0</v>
      </c>
      <c r="E9" t="s">
        <v>31</v>
      </c>
      <c r="F9" s="4">
        <v>3.3417625906895205</v>
      </c>
      <c r="G9" s="8"/>
    </row>
    <row r="10" spans="1:15" x14ac:dyDescent="0.25">
      <c r="A10" t="s">
        <v>151</v>
      </c>
      <c r="B10" t="s">
        <v>131</v>
      </c>
      <c r="C10" t="s">
        <v>29</v>
      </c>
      <c r="D10" t="s">
        <v>0</v>
      </c>
      <c r="E10" t="s">
        <v>31</v>
      </c>
      <c r="F10" s="4">
        <v>1.8899646165354285</v>
      </c>
      <c r="G10" s="8"/>
    </row>
    <row r="11" spans="1:15" x14ac:dyDescent="0.25">
      <c r="A11" t="s">
        <v>151</v>
      </c>
      <c r="B11" t="s">
        <v>131</v>
      </c>
      <c r="C11" t="s">
        <v>30</v>
      </c>
      <c r="D11" t="s">
        <v>0</v>
      </c>
      <c r="E11" t="s">
        <v>31</v>
      </c>
      <c r="F11" s="4">
        <v>1.263437382973696</v>
      </c>
      <c r="G11" s="8"/>
    </row>
    <row r="12" spans="1:15" x14ac:dyDescent="0.25">
      <c r="A12" t="s">
        <v>151</v>
      </c>
      <c r="B12" t="s">
        <v>132</v>
      </c>
      <c r="C12" t="s">
        <v>49</v>
      </c>
      <c r="D12" t="s">
        <v>0</v>
      </c>
      <c r="E12" t="s">
        <v>49</v>
      </c>
      <c r="F12" s="4">
        <v>1</v>
      </c>
      <c r="G12" s="8"/>
    </row>
    <row r="13" spans="1:15" x14ac:dyDescent="0.25">
      <c r="A13" t="s">
        <v>151</v>
      </c>
      <c r="B13" t="s">
        <v>132</v>
      </c>
      <c r="C13" t="s">
        <v>59</v>
      </c>
      <c r="D13" t="s">
        <v>0</v>
      </c>
      <c r="E13" t="s">
        <v>49</v>
      </c>
      <c r="F13" s="4">
        <v>1.438092788218694</v>
      </c>
      <c r="G13" s="8"/>
    </row>
    <row r="14" spans="1:15" x14ac:dyDescent="0.25">
      <c r="A14" t="s">
        <v>151</v>
      </c>
      <c r="B14" t="s">
        <v>133</v>
      </c>
      <c r="C14" t="s">
        <v>45</v>
      </c>
      <c r="D14" t="s">
        <v>0</v>
      </c>
      <c r="E14" t="s">
        <v>51</v>
      </c>
      <c r="F14" s="4">
        <v>1.0439719578091577</v>
      </c>
      <c r="G14" s="8"/>
    </row>
    <row r="15" spans="1:15" x14ac:dyDescent="0.25">
      <c r="A15" t="s">
        <v>151</v>
      </c>
      <c r="B15" t="s">
        <v>133</v>
      </c>
      <c r="C15" t="s">
        <v>51</v>
      </c>
      <c r="D15" t="s">
        <v>0</v>
      </c>
      <c r="E15" t="s">
        <v>51</v>
      </c>
      <c r="F15" s="4">
        <v>1</v>
      </c>
      <c r="G15" s="8"/>
    </row>
    <row r="16" spans="1:15" x14ac:dyDescent="0.25">
      <c r="A16" t="s">
        <v>151</v>
      </c>
      <c r="B16" t="s">
        <v>134</v>
      </c>
      <c r="C16" t="s">
        <v>48</v>
      </c>
      <c r="D16" t="s">
        <v>0</v>
      </c>
      <c r="E16" t="s">
        <v>52</v>
      </c>
      <c r="F16" s="4">
        <v>1.1150777012812187</v>
      </c>
      <c r="G16" s="8"/>
    </row>
    <row r="17" spans="1:7" x14ac:dyDescent="0.25">
      <c r="A17" t="s">
        <v>151</v>
      </c>
      <c r="B17" t="s">
        <v>134</v>
      </c>
      <c r="C17" t="s">
        <v>52</v>
      </c>
      <c r="D17" t="s">
        <v>0</v>
      </c>
      <c r="E17" t="s">
        <v>52</v>
      </c>
      <c r="F17" s="4">
        <v>1</v>
      </c>
      <c r="G17" s="8"/>
    </row>
    <row r="18" spans="1:7" x14ac:dyDescent="0.25">
      <c r="A18" t="s">
        <v>151</v>
      </c>
      <c r="B18" t="s">
        <v>135</v>
      </c>
      <c r="C18" t="s">
        <v>46</v>
      </c>
      <c r="D18" t="s">
        <v>0</v>
      </c>
      <c r="E18" t="s">
        <v>53</v>
      </c>
      <c r="F18" s="4">
        <v>1.8903769307382716</v>
      </c>
      <c r="G18" s="8"/>
    </row>
    <row r="19" spans="1:7" x14ac:dyDescent="0.25">
      <c r="A19" t="s">
        <v>151</v>
      </c>
      <c r="B19" t="s">
        <v>135</v>
      </c>
      <c r="C19" t="s">
        <v>53</v>
      </c>
      <c r="D19" t="s">
        <v>0</v>
      </c>
      <c r="E19" t="s">
        <v>53</v>
      </c>
      <c r="F19" s="4">
        <v>1</v>
      </c>
      <c r="G19" s="8"/>
    </row>
    <row r="20" spans="1:7" x14ac:dyDescent="0.25">
      <c r="A20" t="s">
        <v>151</v>
      </c>
      <c r="B20" t="s">
        <v>136</v>
      </c>
      <c r="C20" t="s">
        <v>16</v>
      </c>
      <c r="D20" t="s">
        <v>0</v>
      </c>
      <c r="E20" t="s">
        <v>17</v>
      </c>
      <c r="F20" s="4">
        <v>1.2036854068171792</v>
      </c>
      <c r="G20" s="8"/>
    </row>
    <row r="21" spans="1:7" x14ac:dyDescent="0.25">
      <c r="A21" t="s">
        <v>151</v>
      </c>
      <c r="B21" t="s">
        <v>136</v>
      </c>
      <c r="C21" t="s">
        <v>14</v>
      </c>
      <c r="D21" t="s">
        <v>0</v>
      </c>
      <c r="E21" t="s">
        <v>17</v>
      </c>
      <c r="F21" s="4">
        <v>2.638212003226406</v>
      </c>
      <c r="G21" s="8"/>
    </row>
    <row r="22" spans="1:7" x14ac:dyDescent="0.25">
      <c r="A22" t="s">
        <v>151</v>
      </c>
      <c r="B22" t="s">
        <v>136</v>
      </c>
      <c r="C22" t="s">
        <v>17</v>
      </c>
      <c r="D22" t="s">
        <v>0</v>
      </c>
      <c r="E22" t="s">
        <v>17</v>
      </c>
      <c r="F22" s="4">
        <v>1</v>
      </c>
      <c r="G22" s="8"/>
    </row>
    <row r="23" spans="1:7" x14ac:dyDescent="0.25">
      <c r="A23" t="s">
        <v>151</v>
      </c>
      <c r="B23" t="s">
        <v>136</v>
      </c>
      <c r="C23" t="s">
        <v>13</v>
      </c>
      <c r="D23" t="s">
        <v>0</v>
      </c>
      <c r="E23" t="s">
        <v>17</v>
      </c>
      <c r="F23" s="4">
        <v>3.6827827249692797</v>
      </c>
      <c r="G23" s="8"/>
    </row>
    <row r="24" spans="1:7" x14ac:dyDescent="0.25">
      <c r="A24" t="s">
        <v>151</v>
      </c>
      <c r="B24" t="s">
        <v>136</v>
      </c>
      <c r="C24" t="s">
        <v>12</v>
      </c>
      <c r="D24" t="s">
        <v>0</v>
      </c>
      <c r="E24" t="s">
        <v>17</v>
      </c>
      <c r="F24" s="4">
        <v>4.1152939142539511</v>
      </c>
      <c r="G24" s="8"/>
    </row>
    <row r="25" spans="1:7" x14ac:dyDescent="0.25">
      <c r="A25" t="s">
        <v>151</v>
      </c>
      <c r="B25" t="s">
        <v>136</v>
      </c>
      <c r="C25" t="s">
        <v>15</v>
      </c>
      <c r="D25" t="s">
        <v>0</v>
      </c>
      <c r="E25" t="s">
        <v>17</v>
      </c>
      <c r="F25" s="4">
        <v>2.6024347233041571</v>
      </c>
      <c r="G25" s="8"/>
    </row>
    <row r="26" spans="1:7" x14ac:dyDescent="0.25">
      <c r="A26" t="s">
        <v>151</v>
      </c>
      <c r="B26" t="s">
        <v>137</v>
      </c>
      <c r="C26" t="s">
        <v>20</v>
      </c>
      <c r="D26" t="s">
        <v>0</v>
      </c>
      <c r="E26" t="s">
        <v>20</v>
      </c>
      <c r="F26" s="4">
        <v>1</v>
      </c>
      <c r="G26" s="8"/>
    </row>
    <row r="27" spans="1:7" x14ac:dyDescent="0.25">
      <c r="A27" t="s">
        <v>151</v>
      </c>
      <c r="B27" t="s">
        <v>137</v>
      </c>
      <c r="C27" t="s">
        <v>18</v>
      </c>
      <c r="D27" t="s">
        <v>0</v>
      </c>
      <c r="E27" t="s">
        <v>20</v>
      </c>
      <c r="F27" s="4">
        <v>4.2371499394329808</v>
      </c>
      <c r="G27" s="8"/>
    </row>
    <row r="28" spans="1:7" x14ac:dyDescent="0.25">
      <c r="A28" t="s">
        <v>151</v>
      </c>
      <c r="B28" t="s">
        <v>137</v>
      </c>
      <c r="C28" t="s">
        <v>19</v>
      </c>
      <c r="D28" t="s">
        <v>0</v>
      </c>
      <c r="E28" t="s">
        <v>20</v>
      </c>
      <c r="F28" s="4">
        <v>2.0177212023152391</v>
      </c>
      <c r="G28" s="8"/>
    </row>
    <row r="29" spans="1:7" x14ac:dyDescent="0.25">
      <c r="A29" t="s">
        <v>151</v>
      </c>
      <c r="B29" t="s">
        <v>138</v>
      </c>
      <c r="C29" t="s">
        <v>4</v>
      </c>
      <c r="D29" t="s">
        <v>0</v>
      </c>
      <c r="E29" t="s">
        <v>4</v>
      </c>
      <c r="F29" s="4">
        <v>1</v>
      </c>
    </row>
    <row r="30" spans="1:7" x14ac:dyDescent="0.25">
      <c r="A30" t="s">
        <v>151</v>
      </c>
      <c r="B30" t="s">
        <v>138</v>
      </c>
      <c r="C30" t="s">
        <v>21</v>
      </c>
      <c r="D30" t="s">
        <v>0</v>
      </c>
      <c r="E30" t="s">
        <v>4</v>
      </c>
      <c r="F30" s="4">
        <v>2.3512778566696642</v>
      </c>
    </row>
    <row r="31" spans="1:7" x14ac:dyDescent="0.25">
      <c r="A31" t="s">
        <v>151</v>
      </c>
      <c r="B31" t="s">
        <v>138</v>
      </c>
      <c r="C31" t="s">
        <v>3</v>
      </c>
      <c r="D31" t="s">
        <v>0</v>
      </c>
      <c r="E31" t="s">
        <v>4</v>
      </c>
      <c r="F31" s="4">
        <v>2.1279909565588104</v>
      </c>
    </row>
    <row r="32" spans="1:7" x14ac:dyDescent="0.25">
      <c r="A32" t="s">
        <v>151</v>
      </c>
      <c r="B32" t="s">
        <v>139</v>
      </c>
      <c r="C32" t="s">
        <v>54</v>
      </c>
      <c r="D32" t="s">
        <v>0</v>
      </c>
      <c r="E32" t="s">
        <v>54</v>
      </c>
      <c r="F32" s="4">
        <v>1</v>
      </c>
    </row>
    <row r="33" spans="1:8" x14ac:dyDescent="0.25">
      <c r="A33" t="s">
        <v>151</v>
      </c>
      <c r="B33" t="s">
        <v>139</v>
      </c>
      <c r="C33" t="s">
        <v>55</v>
      </c>
      <c r="D33" t="s">
        <v>0</v>
      </c>
      <c r="E33" t="s">
        <v>54</v>
      </c>
      <c r="F33" s="4">
        <v>1.6524305628106362</v>
      </c>
    </row>
    <row r="34" spans="1:8" x14ac:dyDescent="0.25">
      <c r="A34" t="s">
        <v>151</v>
      </c>
      <c r="B34" t="s">
        <v>141</v>
      </c>
      <c r="C34" t="s">
        <v>23</v>
      </c>
      <c r="D34" t="s">
        <v>0</v>
      </c>
      <c r="E34" t="s">
        <v>24</v>
      </c>
      <c r="F34" s="4">
        <v>1.5006174179998575</v>
      </c>
    </row>
    <row r="35" spans="1:8" x14ac:dyDescent="0.25">
      <c r="A35" t="s">
        <v>151</v>
      </c>
      <c r="B35" t="s">
        <v>141</v>
      </c>
      <c r="C35" t="s">
        <v>22</v>
      </c>
      <c r="D35" t="s">
        <v>0</v>
      </c>
      <c r="E35" t="s">
        <v>24</v>
      </c>
      <c r="F35" s="4">
        <v>3.3610045625781595</v>
      </c>
    </row>
    <row r="36" spans="1:8" x14ac:dyDescent="0.25">
      <c r="A36" t="s">
        <v>151</v>
      </c>
      <c r="B36" t="s">
        <v>141</v>
      </c>
      <c r="C36" t="s">
        <v>24</v>
      </c>
      <c r="D36" t="s">
        <v>0</v>
      </c>
      <c r="E36" t="s">
        <v>24</v>
      </c>
      <c r="F36" s="4">
        <v>1</v>
      </c>
    </row>
    <row r="37" spans="1:8" x14ac:dyDescent="0.25">
      <c r="A37" t="s">
        <v>151</v>
      </c>
      <c r="B37" t="s">
        <v>140</v>
      </c>
      <c r="C37" t="s">
        <v>26</v>
      </c>
      <c r="D37" t="s">
        <v>0</v>
      </c>
      <c r="E37" t="s">
        <v>27</v>
      </c>
      <c r="F37" s="4">
        <v>1.7627716799921163</v>
      </c>
    </row>
    <row r="38" spans="1:8" x14ac:dyDescent="0.25">
      <c r="A38" t="s">
        <v>151</v>
      </c>
      <c r="B38" t="s">
        <v>140</v>
      </c>
      <c r="C38" t="s">
        <v>25</v>
      </c>
      <c r="D38" t="s">
        <v>0</v>
      </c>
      <c r="E38" t="s">
        <v>27</v>
      </c>
      <c r="F38" s="4">
        <v>2.1025871897427599</v>
      </c>
    </row>
    <row r="39" spans="1:8" x14ac:dyDescent="0.25">
      <c r="A39" t="s">
        <v>151</v>
      </c>
      <c r="B39" t="s">
        <v>140</v>
      </c>
      <c r="C39" t="s">
        <v>27</v>
      </c>
      <c r="D39" t="s">
        <v>0</v>
      </c>
      <c r="E39" t="s">
        <v>27</v>
      </c>
      <c r="F39" s="4">
        <v>1</v>
      </c>
    </row>
    <row r="40" spans="1:8" x14ac:dyDescent="0.25">
      <c r="A40" t="s">
        <v>151</v>
      </c>
      <c r="B40" t="s">
        <v>142</v>
      </c>
      <c r="C40" t="s">
        <v>47</v>
      </c>
      <c r="D40" t="s">
        <v>0</v>
      </c>
      <c r="E40" t="s">
        <v>58</v>
      </c>
      <c r="F40" s="4">
        <v>1.7448327043613721</v>
      </c>
    </row>
    <row r="41" spans="1:8" x14ac:dyDescent="0.25">
      <c r="A41" t="s">
        <v>151</v>
      </c>
      <c r="B41" t="s">
        <v>142</v>
      </c>
      <c r="C41" t="s">
        <v>58</v>
      </c>
      <c r="D41" t="s">
        <v>0</v>
      </c>
      <c r="E41" t="s">
        <v>58</v>
      </c>
      <c r="F41" s="4">
        <v>1</v>
      </c>
    </row>
    <row r="42" spans="1:8" x14ac:dyDescent="0.25">
      <c r="A42" t="s">
        <v>152</v>
      </c>
      <c r="B42" t="s">
        <v>143</v>
      </c>
      <c r="C42" t="s">
        <v>100</v>
      </c>
      <c r="D42" t="s">
        <v>0</v>
      </c>
      <c r="E42" t="s">
        <v>101</v>
      </c>
      <c r="F42" s="4">
        <v>4.2920474102760364</v>
      </c>
      <c r="G42" s="4"/>
      <c r="H42"/>
    </row>
    <row r="43" spans="1:8" x14ac:dyDescent="0.25">
      <c r="A43" t="s">
        <v>152</v>
      </c>
      <c r="B43" t="s">
        <v>143</v>
      </c>
      <c r="C43" t="s">
        <v>101</v>
      </c>
      <c r="D43" t="s">
        <v>0</v>
      </c>
      <c r="E43" t="s">
        <v>101</v>
      </c>
      <c r="F43" s="4">
        <v>1</v>
      </c>
      <c r="G43" s="4"/>
      <c r="H43"/>
    </row>
    <row r="44" spans="1:8" x14ac:dyDescent="0.25">
      <c r="A44" t="s">
        <v>152</v>
      </c>
      <c r="B44" t="s">
        <v>144</v>
      </c>
      <c r="C44" t="s">
        <v>103</v>
      </c>
      <c r="D44" t="s">
        <v>0</v>
      </c>
      <c r="E44" t="s">
        <v>105</v>
      </c>
      <c r="F44" s="4">
        <v>5.0831105035414215</v>
      </c>
      <c r="G44" s="4"/>
      <c r="H44"/>
    </row>
    <row r="45" spans="1:8" x14ac:dyDescent="0.25">
      <c r="A45" t="s">
        <v>152</v>
      </c>
      <c r="B45" t="s">
        <v>144</v>
      </c>
      <c r="C45" t="s">
        <v>105</v>
      </c>
      <c r="D45" t="s">
        <v>0</v>
      </c>
      <c r="E45" t="s">
        <v>105</v>
      </c>
      <c r="F45" s="4">
        <v>1</v>
      </c>
    </row>
    <row r="46" spans="1:8" x14ac:dyDescent="0.25">
      <c r="A46" t="s">
        <v>152</v>
      </c>
      <c r="B46" t="s">
        <v>146</v>
      </c>
      <c r="C46" t="s">
        <v>110</v>
      </c>
      <c r="D46" t="s">
        <v>0</v>
      </c>
      <c r="E46" t="s">
        <v>112</v>
      </c>
      <c r="F46" s="4">
        <v>3.8689166530293781</v>
      </c>
    </row>
    <row r="47" spans="1:8" x14ac:dyDescent="0.25">
      <c r="A47" t="s">
        <v>152</v>
      </c>
      <c r="B47" t="s">
        <v>146</v>
      </c>
      <c r="C47" t="s">
        <v>112</v>
      </c>
      <c r="D47" t="s">
        <v>0</v>
      </c>
      <c r="E47" t="s">
        <v>112</v>
      </c>
      <c r="F47" s="4">
        <v>1</v>
      </c>
    </row>
    <row r="48" spans="1:8" x14ac:dyDescent="0.25">
      <c r="A48" t="s">
        <v>152</v>
      </c>
      <c r="B48" t="s">
        <v>148</v>
      </c>
      <c r="C48" t="s">
        <v>116</v>
      </c>
      <c r="D48" t="s">
        <v>0</v>
      </c>
      <c r="E48" t="s">
        <v>118</v>
      </c>
      <c r="F48" s="4">
        <v>3.2928041606683984</v>
      </c>
    </row>
    <row r="49" spans="1:8" x14ac:dyDescent="0.25">
      <c r="A49" t="s">
        <v>152</v>
      </c>
      <c r="B49" t="s">
        <v>148</v>
      </c>
      <c r="C49" t="s">
        <v>118</v>
      </c>
      <c r="D49" t="s">
        <v>0</v>
      </c>
      <c r="E49" t="s">
        <v>118</v>
      </c>
      <c r="F49" s="4">
        <v>1</v>
      </c>
    </row>
    <row r="50" spans="1:8" x14ac:dyDescent="0.25">
      <c r="A50" t="s">
        <v>152</v>
      </c>
      <c r="B50" t="s">
        <v>149</v>
      </c>
      <c r="C50" t="s">
        <v>120</v>
      </c>
      <c r="D50" t="s">
        <v>0</v>
      </c>
      <c r="E50" t="s">
        <v>120</v>
      </c>
      <c r="F50" s="4">
        <v>1</v>
      </c>
    </row>
    <row r="51" spans="1:8" x14ac:dyDescent="0.25">
      <c r="A51" t="s">
        <v>152</v>
      </c>
      <c r="B51" t="s">
        <v>149</v>
      </c>
      <c r="C51" t="s">
        <v>122</v>
      </c>
      <c r="D51" t="s">
        <v>0</v>
      </c>
      <c r="E51" t="s">
        <v>120</v>
      </c>
      <c r="F51" s="4">
        <v>2.3864540201772053</v>
      </c>
    </row>
    <row r="52" spans="1:8" x14ac:dyDescent="0.25">
      <c r="A52" t="s">
        <v>152</v>
      </c>
      <c r="B52" t="s">
        <v>150</v>
      </c>
      <c r="C52" t="s">
        <v>124</v>
      </c>
      <c r="D52" t="s">
        <v>0</v>
      </c>
      <c r="E52" t="s">
        <v>126</v>
      </c>
      <c r="F52" s="4">
        <v>3.3502147342316126</v>
      </c>
    </row>
    <row r="53" spans="1:8" x14ac:dyDescent="0.25">
      <c r="A53" t="s">
        <v>152</v>
      </c>
      <c r="B53" t="s">
        <v>150</v>
      </c>
      <c r="C53" t="s">
        <v>126</v>
      </c>
      <c r="D53" t="s">
        <v>0</v>
      </c>
      <c r="E53" t="s">
        <v>126</v>
      </c>
      <c r="F53" s="4">
        <v>1</v>
      </c>
    </row>
    <row r="54" spans="1:8" x14ac:dyDescent="0.25">
      <c r="A54" t="s">
        <v>152</v>
      </c>
      <c r="B54" t="s">
        <v>144</v>
      </c>
      <c r="C54" t="s">
        <v>104</v>
      </c>
      <c r="D54" t="s">
        <v>0</v>
      </c>
      <c r="E54" t="s">
        <v>104</v>
      </c>
      <c r="F54" s="4">
        <v>1</v>
      </c>
    </row>
    <row r="55" spans="1:8" x14ac:dyDescent="0.25">
      <c r="A55" t="s">
        <v>152</v>
      </c>
      <c r="B55" t="s">
        <v>144</v>
      </c>
      <c r="C55" t="s">
        <v>106</v>
      </c>
      <c r="D55" t="s">
        <v>0</v>
      </c>
      <c r="E55" t="s">
        <v>104</v>
      </c>
      <c r="F55" s="4">
        <v>1.0604279724367778</v>
      </c>
    </row>
    <row r="56" spans="1:8" x14ac:dyDescent="0.25">
      <c r="A56" t="s">
        <v>152</v>
      </c>
      <c r="B56" t="s">
        <v>145</v>
      </c>
      <c r="C56" t="s">
        <v>107</v>
      </c>
      <c r="D56" t="s">
        <v>0</v>
      </c>
      <c r="E56" t="s">
        <v>107</v>
      </c>
      <c r="F56" s="4">
        <v>1</v>
      </c>
    </row>
    <row r="57" spans="1:8" x14ac:dyDescent="0.25">
      <c r="A57" t="s">
        <v>152</v>
      </c>
      <c r="B57" t="s">
        <v>145</v>
      </c>
      <c r="C57" t="s">
        <v>109</v>
      </c>
      <c r="D57" t="s">
        <v>0</v>
      </c>
      <c r="E57" t="s">
        <v>107</v>
      </c>
      <c r="F57" s="4">
        <v>2.3700711935210492</v>
      </c>
    </row>
    <row r="58" spans="1:8" x14ac:dyDescent="0.25">
      <c r="A58" t="s">
        <v>152</v>
      </c>
      <c r="B58" t="s">
        <v>146</v>
      </c>
      <c r="C58" t="s">
        <v>111</v>
      </c>
      <c r="D58" t="s">
        <v>0</v>
      </c>
      <c r="E58" t="s">
        <v>113</v>
      </c>
      <c r="F58" s="4">
        <v>2.36797218592503</v>
      </c>
      <c r="G58" s="4"/>
      <c r="H58"/>
    </row>
    <row r="59" spans="1:8" x14ac:dyDescent="0.25">
      <c r="A59" t="s">
        <v>152</v>
      </c>
      <c r="B59" t="s">
        <v>146</v>
      </c>
      <c r="C59" t="s">
        <v>113</v>
      </c>
      <c r="D59" t="s">
        <v>0</v>
      </c>
      <c r="E59" t="s">
        <v>113</v>
      </c>
      <c r="F59" s="4">
        <v>1</v>
      </c>
      <c r="G59" s="4"/>
      <c r="H59"/>
    </row>
    <row r="60" spans="1:8" x14ac:dyDescent="0.25">
      <c r="A60" t="s">
        <v>152</v>
      </c>
      <c r="B60" t="s">
        <v>148</v>
      </c>
      <c r="C60" t="s">
        <v>117</v>
      </c>
      <c r="D60" t="s">
        <v>0</v>
      </c>
      <c r="E60" t="s">
        <v>117</v>
      </c>
      <c r="F60" s="4">
        <v>1</v>
      </c>
      <c r="G60" s="4"/>
      <c r="H60"/>
    </row>
    <row r="61" spans="1:8" x14ac:dyDescent="0.25">
      <c r="A61" t="s">
        <v>152</v>
      </c>
      <c r="B61" t="s">
        <v>148</v>
      </c>
      <c r="C61" t="s">
        <v>119</v>
      </c>
      <c r="D61" t="s">
        <v>0</v>
      </c>
      <c r="E61" t="s">
        <v>117</v>
      </c>
      <c r="F61" s="4">
        <v>2.3254325613779532</v>
      </c>
      <c r="G61" s="4"/>
      <c r="H61"/>
    </row>
    <row r="62" spans="1:8" x14ac:dyDescent="0.25">
      <c r="A62" t="s">
        <v>152</v>
      </c>
      <c r="B62" t="s">
        <v>149</v>
      </c>
      <c r="C62" t="s">
        <v>121</v>
      </c>
      <c r="D62" t="s">
        <v>0</v>
      </c>
      <c r="E62" t="s">
        <v>121</v>
      </c>
      <c r="F62" s="4">
        <v>1</v>
      </c>
    </row>
    <row r="63" spans="1:8" x14ac:dyDescent="0.25">
      <c r="A63" t="s">
        <v>152</v>
      </c>
      <c r="B63" t="s">
        <v>149</v>
      </c>
      <c r="C63" t="s">
        <v>123</v>
      </c>
      <c r="D63" t="s">
        <v>0</v>
      </c>
      <c r="E63" t="s">
        <v>121</v>
      </c>
      <c r="F63" s="4">
        <v>1.3500153925828009</v>
      </c>
    </row>
    <row r="64" spans="1:8" x14ac:dyDescent="0.25">
      <c r="A64" t="s">
        <v>152</v>
      </c>
      <c r="B64" t="s">
        <v>150</v>
      </c>
      <c r="C64" t="s">
        <v>125</v>
      </c>
      <c r="D64" t="s">
        <v>0</v>
      </c>
      <c r="E64" t="s">
        <v>125</v>
      </c>
      <c r="F64" s="4">
        <v>1</v>
      </c>
    </row>
    <row r="65" spans="1:6" x14ac:dyDescent="0.25">
      <c r="A65" t="s">
        <v>152</v>
      </c>
      <c r="B65" t="s">
        <v>150</v>
      </c>
      <c r="C65" t="s">
        <v>127</v>
      </c>
      <c r="D65" t="s">
        <v>0</v>
      </c>
      <c r="E65" t="s">
        <v>125</v>
      </c>
      <c r="F65" s="4">
        <v>2.5410770043654538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7A2F-6D5A-468C-B619-BE310FA8D72E}">
  <dimension ref="F2:L57"/>
  <sheetViews>
    <sheetView workbookViewId="0">
      <selection activeCell="J20" sqref="J20"/>
    </sheetView>
  </sheetViews>
  <sheetFormatPr defaultRowHeight="15" x14ac:dyDescent="0.25"/>
  <cols>
    <col min="2" max="2" width="17" bestFit="1" customWidth="1"/>
    <col min="3" max="3" width="7.42578125" bestFit="1" customWidth="1"/>
    <col min="4" max="4" width="12" bestFit="1" customWidth="1"/>
    <col min="5" max="5" width="7.28515625" bestFit="1" customWidth="1"/>
    <col min="6" max="6" width="11.28515625" bestFit="1" customWidth="1"/>
    <col min="7" max="7" width="9.5703125" bestFit="1" customWidth="1"/>
    <col min="8" max="8" width="11.28515625" bestFit="1" customWidth="1"/>
    <col min="9" max="9" width="9.5703125" bestFit="1" customWidth="1"/>
    <col min="11" max="11" width="12" bestFit="1" customWidth="1"/>
  </cols>
  <sheetData>
    <row r="2" spans="6:9" x14ac:dyDescent="0.25">
      <c r="F2" s="2"/>
      <c r="G2" s="4"/>
      <c r="H2" s="2"/>
      <c r="I2" s="4"/>
    </row>
    <row r="3" spans="6:9" x14ac:dyDescent="0.25">
      <c r="F3" s="2"/>
      <c r="G3" s="4"/>
      <c r="H3" s="2"/>
      <c r="I3" s="4"/>
    </row>
    <row r="4" spans="6:9" x14ac:dyDescent="0.25">
      <c r="F4" s="2"/>
      <c r="G4" s="4"/>
      <c r="H4" s="2"/>
      <c r="I4" s="4"/>
    </row>
    <row r="5" spans="6:9" x14ac:dyDescent="0.25">
      <c r="F5" s="2"/>
      <c r="G5" s="4"/>
      <c r="H5" s="2"/>
      <c r="I5" s="4"/>
    </row>
    <row r="6" spans="6:9" x14ac:dyDescent="0.25">
      <c r="F6" s="2"/>
      <c r="G6" s="4"/>
      <c r="H6" s="2"/>
      <c r="I6" s="4"/>
    </row>
    <row r="7" spans="6:9" x14ac:dyDescent="0.25">
      <c r="F7" s="2"/>
      <c r="G7" s="4"/>
      <c r="H7" s="2"/>
      <c r="I7" s="4"/>
    </row>
    <row r="8" spans="6:9" x14ac:dyDescent="0.25">
      <c r="F8" s="2"/>
      <c r="G8" s="4"/>
      <c r="H8" s="2"/>
      <c r="I8" s="4"/>
    </row>
    <row r="9" spans="6:9" x14ac:dyDescent="0.25">
      <c r="F9" s="2"/>
      <c r="G9" s="4"/>
      <c r="H9" s="2"/>
      <c r="I9" s="4"/>
    </row>
    <row r="10" spans="6:9" x14ac:dyDescent="0.25">
      <c r="F10" s="2"/>
      <c r="G10" s="4"/>
      <c r="H10" s="2"/>
      <c r="I10" s="4"/>
    </row>
    <row r="11" spans="6:9" x14ac:dyDescent="0.25">
      <c r="F11" s="2"/>
      <c r="G11" s="4"/>
      <c r="H11" s="2"/>
      <c r="I11" s="4"/>
    </row>
    <row r="12" spans="6:9" x14ac:dyDescent="0.25">
      <c r="F12" s="2"/>
      <c r="G12" s="4"/>
      <c r="H12" s="2"/>
      <c r="I12" s="4"/>
    </row>
    <row r="13" spans="6:9" x14ac:dyDescent="0.25">
      <c r="F13" s="2"/>
      <c r="G13" s="4"/>
      <c r="H13" s="2"/>
      <c r="I13" s="4"/>
    </row>
    <row r="14" spans="6:9" x14ac:dyDescent="0.25">
      <c r="F14" s="2"/>
      <c r="G14" s="4"/>
      <c r="H14" s="2"/>
      <c r="I14" s="4"/>
    </row>
    <row r="15" spans="6:9" x14ac:dyDescent="0.25">
      <c r="F15" s="2"/>
      <c r="G15" s="4"/>
      <c r="H15" s="2"/>
      <c r="I15" s="4"/>
    </row>
    <row r="16" spans="6:9" x14ac:dyDescent="0.25">
      <c r="F16" s="2"/>
      <c r="G16" s="4"/>
      <c r="H16" s="2"/>
      <c r="I16" s="4"/>
    </row>
    <row r="17" spans="6:12" x14ac:dyDescent="0.25">
      <c r="F17" s="2"/>
      <c r="G17" s="4"/>
      <c r="H17" s="2"/>
      <c r="I17" s="4"/>
    </row>
    <row r="18" spans="6:12" x14ac:dyDescent="0.25">
      <c r="F18" s="2"/>
      <c r="G18" s="4"/>
      <c r="H18" s="2"/>
      <c r="I18" s="4"/>
    </row>
    <row r="19" spans="6:12" x14ac:dyDescent="0.25">
      <c r="F19" s="2"/>
      <c r="G19" s="4"/>
      <c r="H19" s="2"/>
      <c r="I19" s="4"/>
    </row>
    <row r="20" spans="6:12" x14ac:dyDescent="0.25">
      <c r="F20" s="2"/>
      <c r="G20" s="4"/>
      <c r="H20" s="2"/>
      <c r="I20" s="4"/>
    </row>
    <row r="21" spans="6:12" x14ac:dyDescent="0.25">
      <c r="F21" s="2"/>
      <c r="G21" s="4"/>
      <c r="H21" s="2"/>
      <c r="I21" s="4"/>
    </row>
    <row r="22" spans="6:12" x14ac:dyDescent="0.25">
      <c r="F22" s="2"/>
      <c r="G22" s="4"/>
      <c r="H22" s="2"/>
      <c r="I22" s="4"/>
    </row>
    <row r="23" spans="6:12" x14ac:dyDescent="0.25">
      <c r="F23" s="2"/>
      <c r="G23" s="4"/>
      <c r="H23" s="2"/>
      <c r="I23" s="4"/>
    </row>
    <row r="24" spans="6:12" x14ac:dyDescent="0.25">
      <c r="F24" s="2"/>
      <c r="G24" s="4"/>
      <c r="H24" s="2"/>
      <c r="I24" s="4"/>
    </row>
    <row r="25" spans="6:12" x14ac:dyDescent="0.25">
      <c r="F25" s="2"/>
      <c r="G25" s="4"/>
      <c r="H25" s="2"/>
      <c r="I25" s="4"/>
    </row>
    <row r="26" spans="6:12" x14ac:dyDescent="0.25">
      <c r="F26" s="2"/>
      <c r="G26" s="4"/>
      <c r="H26" s="2"/>
      <c r="I26" s="4"/>
    </row>
    <row r="27" spans="6:12" x14ac:dyDescent="0.25">
      <c r="F27" s="2"/>
      <c r="G27" s="4"/>
      <c r="H27" s="2"/>
      <c r="I27" s="4"/>
    </row>
    <row r="28" spans="6:12" x14ac:dyDescent="0.25">
      <c r="F28" s="2"/>
      <c r="G28" s="4"/>
      <c r="H28" s="2"/>
      <c r="I28" s="4"/>
    </row>
    <row r="29" spans="6:12" x14ac:dyDescent="0.25">
      <c r="F29" s="2"/>
      <c r="G29" s="4"/>
      <c r="H29" s="2"/>
      <c r="I29" s="4"/>
    </row>
    <row r="30" spans="6:12" x14ac:dyDescent="0.25">
      <c r="F30" s="2"/>
      <c r="G30" s="159"/>
      <c r="H30" s="2"/>
      <c r="I30" s="159"/>
      <c r="K30" s="159"/>
      <c r="L30" s="159"/>
    </row>
    <row r="31" spans="6:12" x14ac:dyDescent="0.25">
      <c r="F31" s="2"/>
      <c r="G31" s="159"/>
      <c r="H31" s="2"/>
      <c r="I31" s="159"/>
      <c r="K31" s="159"/>
      <c r="L31" s="159"/>
    </row>
    <row r="32" spans="6:12" x14ac:dyDescent="0.25">
      <c r="F32" s="2"/>
      <c r="G32" s="159"/>
      <c r="H32" s="2"/>
      <c r="I32" s="159"/>
      <c r="K32" s="159"/>
      <c r="L32" s="159"/>
    </row>
    <row r="33" spans="6:12" x14ac:dyDescent="0.25">
      <c r="F33" s="2"/>
      <c r="G33" s="159"/>
      <c r="H33" s="2"/>
      <c r="I33" s="159"/>
      <c r="K33" s="159"/>
      <c r="L33" s="159"/>
    </row>
    <row r="34" spans="6:12" x14ac:dyDescent="0.25">
      <c r="F34" s="2"/>
      <c r="G34" s="159"/>
      <c r="H34" s="2"/>
      <c r="I34" s="159"/>
      <c r="K34" s="159"/>
      <c r="L34" s="159"/>
    </row>
    <row r="35" spans="6:12" x14ac:dyDescent="0.25">
      <c r="F35" s="2"/>
      <c r="G35" s="159"/>
      <c r="H35" s="2"/>
      <c r="I35" s="159"/>
      <c r="K35" s="159"/>
      <c r="L35" s="159"/>
    </row>
    <row r="36" spans="6:12" x14ac:dyDescent="0.25">
      <c r="F36" s="2"/>
      <c r="G36" s="159"/>
      <c r="H36" s="2"/>
      <c r="I36" s="159"/>
      <c r="K36" s="159"/>
      <c r="L36" s="159"/>
    </row>
    <row r="37" spans="6:12" x14ac:dyDescent="0.25">
      <c r="F37" s="2"/>
      <c r="G37" s="159"/>
      <c r="H37" s="2"/>
      <c r="I37" s="159"/>
      <c r="K37" s="159"/>
      <c r="L37" s="159"/>
    </row>
    <row r="38" spans="6:12" x14ac:dyDescent="0.25">
      <c r="F38" s="2"/>
      <c r="G38" s="159"/>
      <c r="H38" s="2"/>
      <c r="I38" s="159"/>
      <c r="K38" s="159"/>
      <c r="L38" s="159"/>
    </row>
    <row r="39" spans="6:12" x14ac:dyDescent="0.25">
      <c r="F39" s="2"/>
      <c r="G39" s="159"/>
      <c r="H39" s="2"/>
      <c r="I39" s="159"/>
      <c r="K39" s="159"/>
      <c r="L39" s="159"/>
    </row>
    <row r="40" spans="6:12" x14ac:dyDescent="0.25">
      <c r="F40" s="2"/>
      <c r="G40" s="159"/>
      <c r="H40" s="2"/>
      <c r="I40" s="159"/>
      <c r="K40" s="159"/>
      <c r="L40" s="159"/>
    </row>
    <row r="41" spans="6:12" x14ac:dyDescent="0.25">
      <c r="F41" s="2"/>
      <c r="G41" s="159"/>
      <c r="H41" s="2"/>
      <c r="I41" s="159"/>
      <c r="K41" s="159"/>
      <c r="L41" s="159"/>
    </row>
    <row r="42" spans="6:12" x14ac:dyDescent="0.25">
      <c r="F42" s="2"/>
      <c r="G42" s="159"/>
      <c r="H42" s="2"/>
      <c r="I42" s="159"/>
      <c r="K42" s="159"/>
      <c r="L42" s="159"/>
    </row>
    <row r="43" spans="6:12" x14ac:dyDescent="0.25">
      <c r="F43" s="2"/>
      <c r="G43" s="159"/>
      <c r="H43" s="2"/>
      <c r="I43" s="159"/>
      <c r="K43" s="159"/>
      <c r="L43" s="159"/>
    </row>
    <row r="44" spans="6:12" x14ac:dyDescent="0.25">
      <c r="F44" s="2"/>
      <c r="G44" s="159"/>
      <c r="H44" s="2"/>
      <c r="I44" s="159"/>
      <c r="K44" s="159"/>
      <c r="L44" s="159"/>
    </row>
    <row r="45" spans="6:12" x14ac:dyDescent="0.25">
      <c r="F45" s="2"/>
      <c r="G45" s="159"/>
      <c r="H45" s="2"/>
      <c r="I45" s="159"/>
      <c r="K45" s="159"/>
      <c r="L45" s="159"/>
    </row>
    <row r="46" spans="6:12" x14ac:dyDescent="0.25">
      <c r="F46" s="2"/>
      <c r="G46" s="159"/>
      <c r="H46" s="2"/>
      <c r="I46" s="159"/>
      <c r="K46" s="159"/>
      <c r="L46" s="159"/>
    </row>
    <row r="47" spans="6:12" x14ac:dyDescent="0.25">
      <c r="F47" s="2"/>
      <c r="G47" s="159"/>
      <c r="H47" s="2"/>
      <c r="I47" s="159"/>
      <c r="K47" s="159"/>
      <c r="L47" s="159"/>
    </row>
    <row r="48" spans="6:12" x14ac:dyDescent="0.25">
      <c r="F48" s="2"/>
      <c r="G48" s="159"/>
      <c r="H48" s="2"/>
      <c r="I48" s="159"/>
      <c r="K48" s="159"/>
      <c r="L48" s="159"/>
    </row>
    <row r="49" spans="6:12" x14ac:dyDescent="0.25">
      <c r="F49" s="2"/>
      <c r="G49" s="159"/>
      <c r="H49" s="2"/>
      <c r="I49" s="159"/>
      <c r="K49" s="159"/>
      <c r="L49" s="159"/>
    </row>
    <row r="50" spans="6:12" x14ac:dyDescent="0.25">
      <c r="F50" s="2"/>
      <c r="G50" s="159"/>
      <c r="H50" s="2"/>
      <c r="I50" s="159"/>
      <c r="K50" s="159"/>
      <c r="L50" s="159"/>
    </row>
    <row r="51" spans="6:12" x14ac:dyDescent="0.25">
      <c r="F51" s="2"/>
      <c r="G51" s="159"/>
      <c r="H51" s="2"/>
      <c r="I51" s="159"/>
      <c r="K51" s="159"/>
      <c r="L51" s="159"/>
    </row>
    <row r="52" spans="6:12" x14ac:dyDescent="0.25">
      <c r="F52" s="2"/>
      <c r="G52" s="159"/>
      <c r="H52" s="2"/>
      <c r="I52" s="159"/>
      <c r="K52" s="159"/>
      <c r="L52" s="159"/>
    </row>
    <row r="53" spans="6:12" x14ac:dyDescent="0.25">
      <c r="F53" s="2"/>
      <c r="G53" s="159"/>
      <c r="H53" s="2"/>
      <c r="I53" s="159"/>
      <c r="K53" s="159"/>
      <c r="L53" s="159"/>
    </row>
    <row r="54" spans="6:12" x14ac:dyDescent="0.25">
      <c r="F54" s="2"/>
      <c r="G54" s="159"/>
      <c r="H54" s="2"/>
      <c r="I54" s="159"/>
      <c r="K54" s="159"/>
      <c r="L54" s="159"/>
    </row>
    <row r="55" spans="6:12" x14ac:dyDescent="0.25">
      <c r="F55" s="2"/>
      <c r="G55" s="159"/>
      <c r="H55" s="2"/>
      <c r="I55" s="159"/>
      <c r="K55" s="159"/>
      <c r="L55" s="159"/>
    </row>
    <row r="56" spans="6:12" x14ac:dyDescent="0.25">
      <c r="F56" s="2"/>
      <c r="G56" s="159"/>
      <c r="H56" s="2"/>
      <c r="I56" s="159"/>
      <c r="K56" s="159"/>
      <c r="L56" s="159"/>
    </row>
    <row r="57" spans="6:12" x14ac:dyDescent="0.25">
      <c r="F57" s="2"/>
      <c r="G57" s="159"/>
      <c r="H57" s="2"/>
      <c r="I57" s="159"/>
      <c r="K57" s="159"/>
      <c r="L57" s="1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MKT DATA</vt:lpstr>
      <vt:lpstr>FIXED INCOME</vt:lpstr>
      <vt:lpstr>SECTORS</vt:lpstr>
      <vt:lpstr>SCALARS</vt:lpstr>
      <vt:lpstr>SCALAR OUTPUTS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2026-08-31T17:32:44Z</dcterms:modified>
</cp:coreProperties>
</file>