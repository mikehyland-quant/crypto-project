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icha\git-projects\trading\spreadsheets\"/>
    </mc:Choice>
  </mc:AlternateContent>
  <xr:revisionPtr revIDLastSave="0" documentId="13_ncr:1_{EFFBB564-963F-4CE4-BCEE-F695475D2AD6}" xr6:coauthVersionLast="47" xr6:coauthVersionMax="47" xr10:uidLastSave="{00000000-0000-0000-0000-000000000000}"/>
  <bookViews>
    <workbookView xWindow="31215" yWindow="0" windowWidth="22035" windowHeight="15585" tabRatio="762" activeTab="3" xr2:uid="{7864433A-DFC4-4915-B0C9-D347D4BABFCE}"/>
  </bookViews>
  <sheets>
    <sheet name="ADMIN INPUTS" sheetId="15" r:id="rId1"/>
    <sheet name="FI INPUTS" sheetId="16" r:id="rId2"/>
    <sheet name="MKT DATA" sheetId="19" r:id="rId3"/>
    <sheet name="WATCH SCREEN" sheetId="20" r:id="rId4"/>
    <sheet name="TRADING INPUTS" sheetId="21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2" i="20" l="1" a="1"/>
  <c r="F11" i="20" a="1"/>
  <c r="H16" i="21"/>
  <c r="V34" i="20"/>
  <c r="V29" i="20"/>
  <c r="V25" i="20"/>
  <c r="U34" i="20"/>
  <c r="U29" i="20"/>
  <c r="U25" i="20"/>
  <c r="V22" i="20"/>
  <c r="U22" i="20"/>
  <c r="E2" i="20"/>
  <c r="B18" i="20"/>
  <c r="B17" i="20"/>
  <c r="B16" i="20"/>
  <c r="B15" i="20"/>
  <c r="B14" i="20"/>
  <c r="B13" i="20"/>
  <c r="B12" i="20"/>
  <c r="B11" i="20"/>
  <c r="B10" i="20"/>
  <c r="B9" i="20"/>
  <c r="B8" i="20"/>
  <c r="B7" i="20"/>
  <c r="B6" i="20"/>
  <c r="B5" i="20"/>
  <c r="B4" i="20"/>
  <c r="B3" i="20"/>
  <c r="A18" i="20"/>
  <c r="A17" i="20"/>
  <c r="A16" i="20"/>
  <c r="A15" i="20"/>
  <c r="A14" i="20"/>
  <c r="A13" i="20"/>
  <c r="A12" i="20"/>
  <c r="A11" i="20"/>
  <c r="A10" i="20"/>
  <c r="A9" i="20"/>
  <c r="A8" i="20"/>
  <c r="A7" i="20"/>
  <c r="A6" i="20"/>
  <c r="A5" i="20"/>
  <c r="A4" i="20"/>
  <c r="A3" i="20"/>
  <c r="N18" i="20" a="1"/>
  <c r="N17" i="20" a="1"/>
  <c r="N16" i="20" a="1"/>
  <c r="N15" i="20" a="1"/>
  <c r="N14" i="20" a="1"/>
  <c r="X13" i="20"/>
  <c r="W13" i="20"/>
  <c r="V13" i="20"/>
  <c r="U13" i="20"/>
  <c r="N13" i="20" a="1"/>
  <c r="N12" i="20" a="1"/>
  <c r="X11" i="20"/>
  <c r="W11" i="20"/>
  <c r="V11" i="20"/>
  <c r="U11" i="20"/>
  <c r="N11" i="20" a="1"/>
  <c r="N10" i="20" a="1"/>
  <c r="X9" i="20"/>
  <c r="W9" i="20"/>
  <c r="V9" i="20"/>
  <c r="U9" i="20"/>
  <c r="N9" i="20" a="1"/>
  <c r="N8" i="20" a="1"/>
  <c r="X7" i="20"/>
  <c r="W7" i="20"/>
  <c r="V7" i="20"/>
  <c r="U7" i="20"/>
  <c r="N7" i="20" a="1"/>
  <c r="N6" i="20" a="1"/>
  <c r="X5" i="20"/>
  <c r="W5" i="20"/>
  <c r="V5" i="20"/>
  <c r="U5" i="20"/>
  <c r="N5" i="20" a="1"/>
  <c r="N4" i="20" a="1"/>
  <c r="X3" i="20"/>
  <c r="W3" i="20"/>
  <c r="V3" i="20"/>
  <c r="U3" i="20"/>
  <c r="N3" i="20" a="1"/>
  <c r="A19" i="20"/>
  <c r="N23" i="20" a="1"/>
  <c r="N24" i="20" a="1"/>
  <c r="N25" i="20" a="1"/>
  <c r="N26" i="20" a="1"/>
  <c r="N27" i="20" a="1"/>
  <c r="N38" i="20" a="1"/>
  <c r="N39" i="20" a="1"/>
  <c r="N40" i="20" a="1"/>
  <c r="N41" i="20" a="1"/>
  <c r="N42" i="20" a="1"/>
  <c r="N43" i="20" a="1"/>
  <c r="N28" i="20" a="1"/>
  <c r="N29" i="20" a="1"/>
  <c r="N30" i="20" a="1"/>
  <c r="N31" i="20" a="1"/>
  <c r="N44" i="20" a="1"/>
  <c r="N45" i="20" a="1"/>
  <c r="N46" i="20" a="1"/>
  <c r="N47" i="20" a="1"/>
  <c r="N32" i="20" a="1"/>
  <c r="N33" i="20" a="1"/>
  <c r="N34" i="20" a="1"/>
  <c r="N35" i="20" a="1"/>
  <c r="N36" i="20" a="1"/>
  <c r="N37" i="20" a="1"/>
  <c r="N22" i="20" a="1"/>
  <c r="K36" i="20" a="1"/>
  <c r="M36" i="20" s="1"/>
  <c r="K35" i="20" a="1"/>
  <c r="M35" i="20" s="1"/>
  <c r="K34" i="20" a="1"/>
  <c r="M34" i="20" s="1"/>
  <c r="K33" i="20" a="1"/>
  <c r="M33" i="20" s="1"/>
  <c r="K32" i="20" a="1"/>
  <c r="M32" i="20" s="1"/>
  <c r="K47" i="20" a="1"/>
  <c r="M47" i="20" s="1"/>
  <c r="K46" i="20" a="1"/>
  <c r="M46" i="20" s="1"/>
  <c r="K45" i="20" a="1"/>
  <c r="M45" i="20" s="1"/>
  <c r="K44" i="20" a="1"/>
  <c r="M44" i="20" s="1"/>
  <c r="K31" i="20" a="1"/>
  <c r="M31" i="20" s="1"/>
  <c r="K30" i="20" a="1"/>
  <c r="M30" i="20" s="1"/>
  <c r="K29" i="20" a="1"/>
  <c r="M29" i="20" s="1"/>
  <c r="K28" i="20" a="1"/>
  <c r="M28" i="20" s="1"/>
  <c r="K43" i="20" a="1"/>
  <c r="M43" i="20" s="1"/>
  <c r="K42" i="20" a="1"/>
  <c r="M42" i="20" s="1"/>
  <c r="K41" i="20" a="1"/>
  <c r="M41" i="20" s="1"/>
  <c r="K40" i="20" a="1"/>
  <c r="M40" i="20" s="1"/>
  <c r="K39" i="20" a="1"/>
  <c r="M39" i="20" s="1"/>
  <c r="K38" i="20" a="1"/>
  <c r="M38" i="20" s="1"/>
  <c r="K27" i="20" a="1"/>
  <c r="M27" i="20" s="1"/>
  <c r="K26" i="20" a="1"/>
  <c r="M26" i="20" s="1"/>
  <c r="K25" i="20" a="1"/>
  <c r="M25" i="20" s="1"/>
  <c r="K24" i="20" a="1"/>
  <c r="M24" i="20" s="1"/>
  <c r="K23" i="20" a="1"/>
  <c r="M23" i="20" s="1"/>
  <c r="K22" i="20" a="1"/>
  <c r="M22" i="20" s="1"/>
  <c r="K37" i="20" a="1"/>
  <c r="M37" i="20" s="1"/>
  <c r="A23" i="20"/>
  <c r="B23" i="20"/>
  <c r="A24" i="20"/>
  <c r="B24" i="20"/>
  <c r="A25" i="20"/>
  <c r="B25" i="20"/>
  <c r="A26" i="20"/>
  <c r="B26" i="20"/>
  <c r="A27" i="20"/>
  <c r="B27" i="20"/>
  <c r="A38" i="20"/>
  <c r="B38" i="20"/>
  <c r="A39" i="20"/>
  <c r="B39" i="20"/>
  <c r="A40" i="20"/>
  <c r="B40" i="20"/>
  <c r="A41" i="20"/>
  <c r="B41" i="20"/>
  <c r="A42" i="20"/>
  <c r="B42" i="20"/>
  <c r="A43" i="20"/>
  <c r="B43" i="20"/>
  <c r="A28" i="20"/>
  <c r="B28" i="20"/>
  <c r="A29" i="20"/>
  <c r="B29" i="20"/>
  <c r="A30" i="20"/>
  <c r="B30" i="20"/>
  <c r="A31" i="20"/>
  <c r="B31" i="20"/>
  <c r="A44" i="20"/>
  <c r="B44" i="20"/>
  <c r="A45" i="20"/>
  <c r="B45" i="20"/>
  <c r="A46" i="20"/>
  <c r="B46" i="20"/>
  <c r="A47" i="20"/>
  <c r="B47" i="20"/>
  <c r="A32" i="20"/>
  <c r="B32" i="20"/>
  <c r="A33" i="20"/>
  <c r="B33" i="20"/>
  <c r="A34" i="20"/>
  <c r="B34" i="20"/>
  <c r="A35" i="20"/>
  <c r="B35" i="20"/>
  <c r="A36" i="20"/>
  <c r="B36" i="20"/>
  <c r="A37" i="20"/>
  <c r="B37" i="20"/>
  <c r="B22" i="20"/>
  <c r="A22" i="20"/>
  <c r="F23" i="20" a="1"/>
  <c r="G23" i="20" s="1"/>
  <c r="F22" i="20" a="1"/>
  <c r="F24" i="20" a="1"/>
  <c r="G24" i="20" s="1"/>
  <c r="F25" i="20" a="1"/>
  <c r="F26" i="20" a="1"/>
  <c r="G26" i="20" s="1"/>
  <c r="F27" i="20" a="1"/>
  <c r="G27" i="20" s="1"/>
  <c r="F38" i="20" a="1"/>
  <c r="F39" i="20" a="1"/>
  <c r="G39" i="20" s="1"/>
  <c r="F40" i="20" a="1"/>
  <c r="G40" i="20" s="1"/>
  <c r="F41" i="20" a="1"/>
  <c r="F42" i="20" a="1"/>
  <c r="G42" i="20" s="1"/>
  <c r="F43" i="20" a="1"/>
  <c r="G43" i="20" s="1"/>
  <c r="F28" i="20" a="1"/>
  <c r="F29" i="20" a="1"/>
  <c r="G29" i="20" s="1"/>
  <c r="F30" i="20" a="1"/>
  <c r="G30" i="20" s="1"/>
  <c r="F31" i="20" a="1"/>
  <c r="G31" i="20" s="1"/>
  <c r="F44" i="20" a="1"/>
  <c r="F45" i="20" a="1"/>
  <c r="G45" i="20" s="1"/>
  <c r="F46" i="20" a="1"/>
  <c r="G46" i="20" s="1"/>
  <c r="F47" i="20" a="1"/>
  <c r="G47" i="20" s="1"/>
  <c r="F32" i="20" a="1"/>
  <c r="F33" i="20" a="1"/>
  <c r="G33" i="20" s="1"/>
  <c r="F34" i="20" a="1"/>
  <c r="G34" i="20" s="1"/>
  <c r="F35" i="20" a="1"/>
  <c r="G35" i="20" s="1"/>
  <c r="F36" i="20" a="1"/>
  <c r="G36" i="20" s="1"/>
  <c r="F37" i="20" a="1"/>
  <c r="G37" i="20" s="1"/>
  <c r="J36" i="20" a="1"/>
  <c r="L36" i="20" s="1"/>
  <c r="O36" i="20" s="1"/>
  <c r="J34" i="20" a="1"/>
  <c r="L34" i="20" s="1"/>
  <c r="O34" i="20" s="1"/>
  <c r="J35" i="20" a="1"/>
  <c r="L35" i="20" s="1"/>
  <c r="O35" i="20" s="1"/>
  <c r="J32" i="20" a="1"/>
  <c r="L32" i="20" s="1"/>
  <c r="O32" i="20" s="1"/>
  <c r="J33" i="20" a="1"/>
  <c r="L33" i="20" s="1"/>
  <c r="O33" i="20" s="1"/>
  <c r="J37" i="20" a="1"/>
  <c r="L37" i="20" s="1"/>
  <c r="O37" i="20" s="1"/>
  <c r="J26" i="20" a="1"/>
  <c r="L26" i="20" s="1"/>
  <c r="O26" i="20" s="1"/>
  <c r="J25" i="20" a="1"/>
  <c r="L25" i="20" s="1"/>
  <c r="O25" i="20" s="1"/>
  <c r="J27" i="20" a="1"/>
  <c r="L27" i="20" s="1"/>
  <c r="O27" i="20" s="1"/>
  <c r="J23" i="20" a="1"/>
  <c r="L23" i="20" s="1"/>
  <c r="O23" i="20" s="1"/>
  <c r="J22" i="20" a="1"/>
  <c r="L22" i="20" s="1"/>
  <c r="O22" i="20" s="1"/>
  <c r="J24" i="20" a="1"/>
  <c r="L24" i="20" s="1"/>
  <c r="O24" i="20" s="1"/>
  <c r="J43" i="20" a="1"/>
  <c r="L43" i="20" s="1"/>
  <c r="O43" i="20" s="1"/>
  <c r="J41" i="20" a="1"/>
  <c r="L41" i="20" s="1"/>
  <c r="O41" i="20" s="1"/>
  <c r="J42" i="20" a="1"/>
  <c r="L42" i="20" s="1"/>
  <c r="O42" i="20" s="1"/>
  <c r="J40" i="20" a="1"/>
  <c r="L40" i="20" s="1"/>
  <c r="O40" i="20" s="1"/>
  <c r="J38" i="20" a="1"/>
  <c r="L38" i="20" s="1"/>
  <c r="O38" i="20" s="1"/>
  <c r="J39" i="20" a="1"/>
  <c r="L39" i="20" s="1"/>
  <c r="O39" i="20" s="1"/>
  <c r="J30" i="20" a="1"/>
  <c r="L30" i="20" s="1"/>
  <c r="O30" i="20" s="1"/>
  <c r="J29" i="20" a="1"/>
  <c r="L29" i="20" s="1"/>
  <c r="O29" i="20" s="1"/>
  <c r="J28" i="20" a="1"/>
  <c r="L28" i="20" s="1"/>
  <c r="O28" i="20" s="1"/>
  <c r="J31" i="20" a="1"/>
  <c r="L31" i="20" s="1"/>
  <c r="O31" i="20" s="1"/>
  <c r="J46" i="20" a="1"/>
  <c r="L46" i="20" s="1"/>
  <c r="O46" i="20" s="1"/>
  <c r="J44" i="20" a="1"/>
  <c r="L44" i="20" s="1"/>
  <c r="O44" i="20" s="1"/>
  <c r="J45" i="20" a="1"/>
  <c r="L45" i="20" s="1"/>
  <c r="O45" i="20" s="1"/>
  <c r="J47" i="20" a="1"/>
  <c r="L47" i="20" s="1"/>
  <c r="O47" i="20" s="1"/>
  <c r="B4" i="15" a="1"/>
  <c r="B2" i="15" a="1"/>
  <c r="G44" i="20" l="1"/>
  <c r="G41" i="20"/>
  <c r="G38" i="20"/>
  <c r="G32" i="20"/>
  <c r="G25" i="20"/>
  <c r="G22" i="20"/>
  <c r="G28" i="20"/>
  <c r="H23" i="20"/>
  <c r="H24" i="20"/>
  <c r="H25" i="20"/>
  <c r="H26" i="20"/>
  <c r="H27" i="20"/>
  <c r="H38" i="20"/>
  <c r="H39" i="20"/>
  <c r="H40" i="20"/>
  <c r="H41" i="20"/>
  <c r="H42" i="20"/>
  <c r="H43" i="20"/>
  <c r="H29" i="20"/>
  <c r="H30" i="20"/>
  <c r="H31" i="20"/>
  <c r="H44" i="20"/>
  <c r="H45" i="20"/>
  <c r="H46" i="20"/>
  <c r="H47" i="20"/>
  <c r="H32" i="20"/>
  <c r="H33" i="20"/>
  <c r="H34" i="20"/>
  <c r="H35" i="20"/>
  <c r="H36" i="20"/>
  <c r="H37" i="20"/>
  <c r="H22" i="20"/>
  <c r="I22" i="20" s="1"/>
  <c r="F18" i="20" a="1"/>
  <c r="G18" i="20" s="1"/>
  <c r="K18" i="20" a="1"/>
  <c r="M18" i="20" s="1"/>
  <c r="P18" i="20" s="1"/>
  <c r="J18" i="20" a="1"/>
  <c r="L18" i="20" s="1"/>
  <c r="O18" i="20" s="1"/>
  <c r="K17" i="20" a="1"/>
  <c r="M17" i="20" s="1"/>
  <c r="P17" i="20" s="1"/>
  <c r="J17" i="20" a="1"/>
  <c r="L17" i="20" s="1"/>
  <c r="O17" i="20" s="1"/>
  <c r="F17" i="20" a="1"/>
  <c r="G17" i="20" s="1"/>
  <c r="J16" i="20" a="1"/>
  <c r="L16" i="20" s="1"/>
  <c r="O16" i="20" s="1"/>
  <c r="K16" i="20" a="1"/>
  <c r="M16" i="20" s="1"/>
  <c r="P16" i="20" s="1"/>
  <c r="F16" i="20" a="1"/>
  <c r="G16" i="20" s="1"/>
  <c r="F15" i="20" a="1"/>
  <c r="G15" i="20" s="1"/>
  <c r="J15" i="20" a="1"/>
  <c r="L15" i="20" s="1"/>
  <c r="O15" i="20" s="1"/>
  <c r="K15" i="20" a="1"/>
  <c r="M15" i="20" s="1"/>
  <c r="P15" i="20" s="1"/>
  <c r="J14" i="20" a="1"/>
  <c r="L14" i="20" s="1"/>
  <c r="O14" i="20" s="1"/>
  <c r="K14" i="20" a="1"/>
  <c r="M14" i="20" s="1"/>
  <c r="P14" i="20" s="1"/>
  <c r="F14" i="20" a="1"/>
  <c r="G14" i="20" s="1"/>
  <c r="F13" i="20" a="1"/>
  <c r="G13" i="20" s="1"/>
  <c r="J13" i="20" a="1"/>
  <c r="L13" i="20" s="1"/>
  <c r="O13" i="20" s="1"/>
  <c r="K13" i="20" a="1"/>
  <c r="M13" i="20" s="1"/>
  <c r="P13" i="20" s="1"/>
  <c r="J12" i="20" a="1"/>
  <c r="K12" i="20" a="1"/>
  <c r="M12" i="20" s="1"/>
  <c r="P12" i="20" s="1"/>
  <c r="J11" i="20" a="1"/>
  <c r="K11" i="20" a="1"/>
  <c r="M11" i="20" s="1"/>
  <c r="P11" i="20" s="1"/>
  <c r="J10" i="20" a="1"/>
  <c r="L10" i="20" s="1"/>
  <c r="O10" i="20" s="1"/>
  <c r="K10" i="20" a="1"/>
  <c r="M10" i="20" s="1"/>
  <c r="P10" i="20" s="1"/>
  <c r="F10" i="20" a="1"/>
  <c r="G10" i="20" s="1"/>
  <c r="F9" i="20" a="1"/>
  <c r="G9" i="20" s="1"/>
  <c r="K9" i="20" a="1"/>
  <c r="M9" i="20" s="1"/>
  <c r="P9" i="20" s="1"/>
  <c r="J9" i="20" a="1"/>
  <c r="L9" i="20" s="1"/>
  <c r="O9" i="20" s="1"/>
  <c r="K8" i="20" a="1"/>
  <c r="M8" i="20" s="1"/>
  <c r="P8" i="20" s="1"/>
  <c r="J8" i="20" a="1"/>
  <c r="L8" i="20" s="1"/>
  <c r="O8" i="20" s="1"/>
  <c r="F8" i="20" a="1"/>
  <c r="G8" i="20" s="1"/>
  <c r="F7" i="20" a="1"/>
  <c r="G7" i="20" s="1"/>
  <c r="J7" i="20" a="1"/>
  <c r="L7" i="20" s="1"/>
  <c r="O7" i="20" s="1"/>
  <c r="K7" i="20" a="1"/>
  <c r="M7" i="20" s="1"/>
  <c r="P7" i="20" s="1"/>
  <c r="K6" i="20" a="1"/>
  <c r="M6" i="20" s="1"/>
  <c r="P6" i="20" s="1"/>
  <c r="F6" i="20" a="1"/>
  <c r="G6" i="20" s="1"/>
  <c r="J6" i="20" a="1"/>
  <c r="L6" i="20" s="1"/>
  <c r="O6" i="20" s="1"/>
  <c r="F5" i="20" a="1"/>
  <c r="J5" i="20" a="1"/>
  <c r="L5" i="20" s="1"/>
  <c r="O5" i="20" s="1"/>
  <c r="K5" i="20" a="1"/>
  <c r="M5" i="20" s="1"/>
  <c r="P5" i="20" s="1"/>
  <c r="J4" i="20" a="1"/>
  <c r="L4" i="20" s="1"/>
  <c r="O4" i="20" s="1"/>
  <c r="F4" i="20" a="1"/>
  <c r="G4" i="20" s="1"/>
  <c r="K4" i="20" a="1"/>
  <c r="M4" i="20" s="1"/>
  <c r="P4" i="20" s="1"/>
  <c r="J3" i="20" a="1"/>
  <c r="L3" i="20" s="1"/>
  <c r="O3" i="20" s="1"/>
  <c r="F3" i="20" a="1"/>
  <c r="G3" i="20" s="1"/>
  <c r="K3" i="20" a="1"/>
  <c r="M3" i="20" s="1"/>
  <c r="P3" i="20" s="1"/>
  <c r="H28" i="20"/>
  <c r="Q32" i="20"/>
  <c r="Q44" i="20"/>
  <c r="Q28" i="20"/>
  <c r="Q41" i="20"/>
  <c r="Q38" i="20"/>
  <c r="Q25" i="20"/>
  <c r="Q22" i="20"/>
  <c r="P34" i="20"/>
  <c r="P36" i="20"/>
  <c r="P35" i="20"/>
  <c r="P32" i="20"/>
  <c r="P33" i="20"/>
  <c r="P37" i="20"/>
  <c r="P26" i="20"/>
  <c r="P25" i="20"/>
  <c r="P27" i="20"/>
  <c r="P23" i="20"/>
  <c r="P22" i="20"/>
  <c r="P24" i="20"/>
  <c r="P43" i="20"/>
  <c r="P41" i="20"/>
  <c r="P42" i="20"/>
  <c r="P40" i="20"/>
  <c r="P38" i="20"/>
  <c r="P39" i="20"/>
  <c r="P30" i="20"/>
  <c r="P29" i="20"/>
  <c r="P28" i="20"/>
  <c r="P31" i="20"/>
  <c r="P44" i="20"/>
  <c r="P45" i="20"/>
  <c r="P46" i="20"/>
  <c r="P47" i="20"/>
  <c r="L12" i="20" l="1"/>
  <c r="O12" i="20" s="1"/>
  <c r="G12" i="20"/>
  <c r="L11" i="20"/>
  <c r="O11" i="20" s="1"/>
  <c r="S11" i="20" s="1"/>
  <c r="T11" i="20" s="1"/>
  <c r="G11" i="20"/>
  <c r="S7" i="20"/>
  <c r="T7" i="20" s="1"/>
  <c r="Q11" i="20"/>
  <c r="R11" i="20" s="1"/>
  <c r="Q7" i="20"/>
  <c r="R7" i="20" s="1"/>
  <c r="Q15" i="20"/>
  <c r="R15" i="20" s="1"/>
  <c r="Q13" i="20"/>
  <c r="R13" i="20" s="1"/>
  <c r="S3" i="20"/>
  <c r="T3" i="20" s="1"/>
  <c r="S9" i="20"/>
  <c r="T9" i="20" s="1"/>
  <c r="Q9" i="20"/>
  <c r="R9" i="20" s="1"/>
  <c r="S5" i="20"/>
  <c r="T5" i="20" s="1"/>
  <c r="Q5" i="20"/>
  <c r="R5" i="20" s="1"/>
  <c r="S17" i="20"/>
  <c r="T17" i="20" s="1"/>
  <c r="H18" i="20"/>
  <c r="H17" i="20"/>
  <c r="H16" i="20"/>
  <c r="H15" i="20"/>
  <c r="H14" i="20"/>
  <c r="H13" i="20"/>
  <c r="H12" i="20"/>
  <c r="H11" i="20"/>
  <c r="H10" i="20"/>
  <c r="H9" i="20"/>
  <c r="H8" i="20"/>
  <c r="H7" i="20"/>
  <c r="H6" i="20"/>
  <c r="H5" i="20"/>
  <c r="G5" i="20"/>
  <c r="H4" i="20"/>
  <c r="H3" i="20"/>
  <c r="I25" i="20"/>
  <c r="I38" i="20"/>
  <c r="I41" i="20"/>
  <c r="I44" i="20"/>
  <c r="I32" i="20"/>
  <c r="I28" i="20"/>
  <c r="S15" i="20"/>
  <c r="T15" i="20" s="1"/>
  <c r="S13" i="20"/>
  <c r="T13" i="20" s="1"/>
  <c r="Q17" i="20"/>
  <c r="R17" i="20" s="1"/>
  <c r="Q3" i="20"/>
  <c r="R3" i="20" s="1"/>
  <c r="R32" i="20"/>
  <c r="S32" i="20" s="1"/>
  <c r="T32" i="20" s="1"/>
  <c r="R44" i="20"/>
  <c r="S44" i="20" s="1"/>
  <c r="T44" i="20" s="1"/>
  <c r="R28" i="20"/>
  <c r="S28" i="20" s="1"/>
  <c r="T28" i="20" s="1"/>
  <c r="R41" i="20"/>
  <c r="S41" i="20" s="1"/>
  <c r="T41" i="20" s="1"/>
  <c r="R25" i="20"/>
  <c r="S25" i="20" s="1"/>
  <c r="T25" i="20" s="1"/>
  <c r="R38" i="20"/>
  <c r="S38" i="20" s="1"/>
  <c r="T38" i="20" s="1"/>
  <c r="R22" i="20"/>
  <c r="S22" i="20" s="1"/>
  <c r="T22" i="20" s="1"/>
  <c r="X6" i="20" l="1"/>
  <c r="V6" i="20"/>
  <c r="U6" i="20"/>
  <c r="W6" i="20"/>
  <c r="I5" i="20"/>
  <c r="I9" i="20"/>
  <c r="U12" i="20"/>
  <c r="W12" i="20"/>
  <c r="U8" i="20"/>
  <c r="W8" i="20"/>
  <c r="I11" i="20"/>
  <c r="U10" i="20"/>
  <c r="W10" i="20"/>
  <c r="U4" i="20"/>
  <c r="W4" i="20"/>
  <c r="X8" i="20"/>
  <c r="V8" i="20"/>
  <c r="U35" i="20"/>
  <c r="V35" i="20" a="1"/>
  <c r="U30" i="20"/>
  <c r="V30" i="20" a="1"/>
  <c r="U26" i="20"/>
  <c r="V26" i="20" a="1"/>
  <c r="U23" i="20"/>
  <c r="V23" i="20" a="1"/>
  <c r="W14" i="20"/>
  <c r="U14" i="20"/>
  <c r="X10" i="20"/>
  <c r="V10" i="20"/>
  <c r="I13" i="20"/>
  <c r="X4" i="20"/>
  <c r="V4" i="20"/>
  <c r="I7" i="20"/>
  <c r="I17" i="20"/>
  <c r="I15" i="20"/>
  <c r="V12" i="20"/>
  <c r="X12" i="20"/>
  <c r="I3" i="20"/>
  <c r="V14" i="20"/>
  <c r="X14" i="2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<sst xmlns="http://schemas.openxmlformats.org/spreadsheetml/2006/main" count="703" uniqueCount="121">
  <si>
    <t>IBKR</t>
  </si>
  <si>
    <t>my_pf_name</t>
  </si>
  <si>
    <t>my_fi_name</t>
  </si>
  <si>
    <t>VTEB</t>
  </si>
  <si>
    <t>MUB</t>
  </si>
  <si>
    <t>TRUE/FALSE</t>
  </si>
  <si>
    <t>SCHZ</t>
  </si>
  <si>
    <t>SPAB</t>
  </si>
  <si>
    <t>IUSB</t>
  </si>
  <si>
    <t>BND</t>
  </si>
  <si>
    <t>AGG</t>
  </si>
  <si>
    <t>moving_avg_days</t>
  </si>
  <si>
    <t>Keys</t>
  </si>
  <si>
    <t>Values</t>
  </si>
  <si>
    <t>anchor_fi</t>
  </si>
  <si>
    <t>SPHY</t>
  </si>
  <si>
    <t>SCYB</t>
  </si>
  <si>
    <t>HYLB</t>
  </si>
  <si>
    <t>USHY</t>
  </si>
  <si>
    <t>HYG</t>
  </si>
  <si>
    <t>JNK</t>
  </si>
  <si>
    <t>SPMB</t>
  </si>
  <si>
    <t>VMBS</t>
  </si>
  <si>
    <t>MBB</t>
  </si>
  <si>
    <t>TFI</t>
  </si>
  <si>
    <t>SPLB</t>
  </si>
  <si>
    <t>IGLB</t>
  </si>
  <si>
    <t>VCLT</t>
  </si>
  <si>
    <t>SPTL</t>
  </si>
  <si>
    <t>SCHQ</t>
  </si>
  <si>
    <t>TLT</t>
  </si>
  <si>
    <t>VGLT</t>
  </si>
  <si>
    <t>SPBO</t>
  </si>
  <si>
    <t>USIG</t>
  </si>
  <si>
    <t>VTC</t>
  </si>
  <si>
    <t>CORP</t>
  </si>
  <si>
    <t>pct</t>
  </si>
  <si>
    <t>multiplier</t>
  </si>
  <si>
    <t>trading_inputs_sheet</t>
  </si>
  <si>
    <t>$A$1</t>
  </si>
  <si>
    <t>my_prod_type</t>
  </si>
  <si>
    <t>size_screen_bid</t>
  </si>
  <si>
    <t>price_screen_bid</t>
  </si>
  <si>
    <t>price_screen_ask</t>
  </si>
  <si>
    <t>size_screen_ask</t>
  </si>
  <si>
    <t>price_screen_close</t>
  </si>
  <si>
    <t>time</t>
  </si>
  <si>
    <t>equity</t>
  </si>
  <si>
    <t>ANGL</t>
  </si>
  <si>
    <t>BNDX</t>
  </si>
  <si>
    <t>BWX</t>
  </si>
  <si>
    <t>CMF</t>
  </si>
  <si>
    <t>CWB</t>
  </si>
  <si>
    <t>EMB</t>
  </si>
  <si>
    <t>EMLC</t>
  </si>
  <si>
    <t>FALN</t>
  </si>
  <si>
    <t>IAGG</t>
  </si>
  <si>
    <t>ICVT</t>
  </si>
  <si>
    <t>IGOV</t>
  </si>
  <si>
    <t>LQD</t>
  </si>
  <si>
    <t>PCY</t>
  </si>
  <si>
    <t>PFF</t>
  </si>
  <si>
    <t>PFFD</t>
  </si>
  <si>
    <t>SCHH</t>
  </si>
  <si>
    <t>USRT</t>
  </si>
  <si>
    <t>VTEC</t>
  </si>
  <si>
    <t>VWOB</t>
  </si>
  <si>
    <t>position</t>
  </si>
  <si>
    <t>group</t>
  </si>
  <si>
    <t>symbol</t>
  </si>
  <si>
    <t>scalar</t>
  </si>
  <si>
    <t>bid w/ comm</t>
  </si>
  <si>
    <t>ask w/ comm</t>
  </si>
  <si>
    <t>best_unit_cf</t>
  </si>
  <si>
    <t>hit bid</t>
  </si>
  <si>
    <t>lift ask</t>
  </si>
  <si>
    <t>admin</t>
  </si>
  <si>
    <t>rows</t>
  </si>
  <si>
    <t>mkt data</t>
  </si>
  <si>
    <t>mkt prices</t>
  </si>
  <si>
    <t>bid</t>
  </si>
  <si>
    <t>ask</t>
  </si>
  <si>
    <t>unit cf</t>
  </si>
  <si>
    <t>current position</t>
  </si>
  <si>
    <t>shs</t>
  </si>
  <si>
    <t>net units</t>
  </si>
  <si>
    <t>buy_size</t>
  </si>
  <si>
    <t>sell_size</t>
  </si>
  <si>
    <t>profit_margin</t>
  </si>
  <si>
    <t>FIs_sheet</t>
  </si>
  <si>
    <t>FIs_table</t>
  </si>
  <si>
    <t>fi_inputs</t>
  </si>
  <si>
    <t>trading_inputs_download_cell</t>
  </si>
  <si>
    <t>$B$1</t>
  </si>
  <si>
    <t>trading_inputs_upload_cell</t>
  </si>
  <si>
    <t>margin</t>
  </si>
  <si>
    <t xml:space="preserve">last trade date: </t>
  </si>
  <si>
    <t xml:space="preserve">closing prices: </t>
  </si>
  <si>
    <t>2026-08-17_10-00-42</t>
  </si>
  <si>
    <t>net price</t>
  </si>
  <si>
    <t>research hurdles</t>
  </si>
  <si>
    <t>enter</t>
  </si>
  <si>
    <t>exit</t>
  </si>
  <si>
    <t>lift top/hit bottom</t>
  </si>
  <si>
    <t>hit top/lift bottom</t>
  </si>
  <si>
    <t>thresholds</t>
  </si>
  <si>
    <t>pair</t>
  </si>
  <si>
    <t>buy top</t>
  </si>
  <si>
    <t>sell top</t>
  </si>
  <si>
    <t>units</t>
  </si>
  <si>
    <t>$ val</t>
  </si>
  <si>
    <t>$val</t>
  </si>
  <si>
    <t>GROUP</t>
  </si>
  <si>
    <t>PAIR</t>
  </si>
  <si>
    <t>BUY</t>
  </si>
  <si>
    <t>SELL</t>
  </si>
  <si>
    <t>g_or_p</t>
  </si>
  <si>
    <t>buy_or_sell</t>
  </si>
  <si>
    <t>cd git-projects\trading\stat_arb</t>
  </si>
  <si>
    <t>python App_StatArb_Trade.py</t>
  </si>
  <si>
    <t>2026-08-25_17-02-18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</si>
</sst>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7" formatCode="&quot;$&quot;#,##0.00_);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.0000_);_(* \(#,##0.0000\);_(* &quot;-&quot;??_);_(@_)"/>
    <numFmt numFmtId="165" formatCode="_(&quot;$&quot;* #,##0.0000_);_(&quot;$&quot;* \(#,##0.0000\);_(&quot;$&quot;* &quot;-&quot;??_);_(@_)"/>
    <numFmt numFmtId="166" formatCode="_(* #,##0_);_(* \(#,##0\);_(* &quot;-&quot;??_);_(@_)"/>
    <numFmt numFmtId="167" formatCode="_(&quot;$&quot;* #,##0.000_);_(&quot;$&quot;* \(#,##0.000\);_(&quot;$&quot;* &quot;-&quot;??_);_(@_)"/>
    <numFmt numFmtId="168" formatCode="0.000%"/>
    <numFmt numFmtId="169" formatCode="&quot;$&quot;#,##0.000"/>
    <numFmt numFmtId="170" formatCode="_(* #,##0.0000_);_(* \(#,##0.0000\);_(* &quot;-&quot;????_);_(@_)"/>
    <numFmt numFmtId="171" formatCode="_(&quot;$&quot;* #,##0_);_(&quot;$&quot;* \(#,##0\);_(&quot;$&quot;* &quot;-&quot;??_);_(@_)"/>
  </numFmts>
  <fonts count="30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u/>
      <sz val="11"/>
      <color theme="1"/>
      <name val="Aptos Narrow"/>
      <family val="2"/>
      <scheme val="minor"/>
    </font>
    <font>
      <b/>
      <u/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  <font>
      <b/>
      <u/>
      <sz val="9"/>
      <color theme="1"/>
      <name val="Aptos Narrow"/>
      <family val="2"/>
      <scheme val="minor"/>
    </font>
    <font>
      <b/>
      <u/>
      <sz val="9"/>
      <color theme="0" tint="-0.499984740745262"/>
      <name val="Aptos Narrow"/>
      <family val="2"/>
      <scheme val="minor"/>
    </font>
    <font>
      <sz val="11"/>
      <color theme="0" tint="-0.499984740745262"/>
      <name val="Aptos Narrow"/>
      <family val="2"/>
      <scheme val="minor"/>
    </font>
    <font>
      <b/>
      <sz val="9"/>
      <color theme="0" tint="-0.499984740745262"/>
      <name val="Aptos Narrow"/>
      <family val="2"/>
      <scheme val="minor"/>
    </font>
    <font>
      <b/>
      <sz val="9"/>
      <color rgb="FFFF0000"/>
      <name val="Aptos Narrow"/>
      <family val="2"/>
      <scheme val="minor"/>
    </font>
    <font>
      <b/>
      <u/>
      <sz val="11"/>
      <color theme="8"/>
      <name val="Aptos Narrow"/>
      <family val="2"/>
      <scheme val="minor"/>
    </font>
    <font>
      <b/>
      <sz val="11"/>
      <color theme="8"/>
      <name val="Aptos Narrow"/>
      <family val="2"/>
      <scheme val="minor"/>
    </font>
    <font>
      <b/>
      <sz val="11"/>
      <name val="Aptos Narrow"/>
      <family val="2"/>
      <scheme val="minor"/>
    </font>
    <font>
      <b/>
      <sz val="9"/>
      <color rgb="FF7030A0"/>
      <name val="Aptos Narrow"/>
      <family val="2"/>
      <scheme val="minor"/>
    </font>
    <font>
      <b/>
      <u/>
      <sz val="9"/>
      <color rgb="FF7030A0"/>
      <name val="Aptos Narrow"/>
      <family val="2"/>
      <scheme val="minor"/>
    </font>
    <font>
      <b/>
      <sz val="11"/>
      <color rgb="FF7030A0"/>
      <name val="Aptos Narrow"/>
      <family val="2"/>
      <scheme val="minor"/>
    </font>
    <font>
      <sz val="11"/>
      <name val="Aptos Narrow"/>
      <family val="2"/>
      <scheme val="minor"/>
    </font>
    <font>
      <sz val="9"/>
      <color theme="1"/>
      <name val="Aptos Narrow"/>
      <family val="2"/>
      <scheme val="minor"/>
    </font>
    <font>
      <b/>
      <sz val="9"/>
      <color theme="5" tint="-0.499984740745262"/>
      <name val="Aptos Narrow"/>
      <family val="2"/>
      <scheme val="minor"/>
    </font>
    <font>
      <b/>
      <u/>
      <sz val="9"/>
      <color theme="5" tint="-0.499984740745262"/>
      <name val="Aptos Narrow"/>
      <family val="2"/>
      <scheme val="minor"/>
    </font>
    <font>
      <strike/>
      <sz val="11"/>
      <color theme="0" tint="-0.499984740745262"/>
      <name val="Aptos Narrow"/>
      <family val="2"/>
      <scheme val="minor"/>
    </font>
    <font>
      <b/>
      <strike/>
      <sz val="11"/>
      <color theme="1"/>
      <name val="Aptos Narrow"/>
      <family val="2"/>
      <scheme val="minor"/>
    </font>
    <font>
      <strike/>
      <sz val="11"/>
      <color theme="1"/>
      <name val="Aptos Narrow"/>
      <family val="2"/>
      <scheme val="minor"/>
    </font>
    <font>
      <b/>
      <strike/>
      <sz val="11"/>
      <color rgb="FF7030A0"/>
      <name val="Aptos Narrow"/>
      <family val="2"/>
      <scheme val="minor"/>
    </font>
    <font>
      <strike/>
      <sz val="9"/>
      <color theme="1"/>
      <name val="Aptos Narrow"/>
      <family val="2"/>
      <scheme val="minor"/>
    </font>
    <font>
      <strike/>
      <sz val="11"/>
      <name val="Aptos Narrow"/>
      <family val="2"/>
      <scheme val="minor"/>
    </font>
    <font>
      <sz val="12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255">
    <xf numFmtId="0" fontId="0" fillId="0" borderId="0" xfId="0"/>
    <xf numFmtId="0" fontId="0" fillId="0" borderId="0" xfId="0" applyAlignment="1">
      <alignment horizontal="center"/>
    </xf>
    <xf numFmtId="44" fontId="0" fillId="0" borderId="0" xfId="1" applyFont="1"/>
    <xf numFmtId="0" fontId="4" fillId="0" borderId="0" xfId="0" applyFont="1"/>
    <xf numFmtId="164" fontId="0" fillId="0" borderId="0" xfId="3" applyNumberFormat="1" applyFont="1"/>
    <xf numFmtId="0" fontId="4" fillId="0" borderId="0" xfId="0" applyFont="1" applyAlignment="1">
      <alignment horizontal="left"/>
    </xf>
    <xf numFmtId="166" fontId="0" fillId="0" borderId="0" xfId="3" applyNumberFormat="1" applyFont="1"/>
    <xf numFmtId="0" fontId="4" fillId="0" borderId="0" xfId="1" applyNumberFormat="1" applyFont="1" applyAlignment="1">
      <alignment horizontal="right"/>
    </xf>
    <xf numFmtId="0" fontId="5" fillId="0" borderId="0" xfId="0" applyFont="1"/>
    <xf numFmtId="7" fontId="3" fillId="0" borderId="0" xfId="0" applyNumberFormat="1" applyFont="1"/>
    <xf numFmtId="0" fontId="3" fillId="0" borderId="0" xfId="0" applyFont="1"/>
    <xf numFmtId="167" fontId="0" fillId="0" borderId="0" xfId="1" applyNumberFormat="1" applyFont="1"/>
    <xf numFmtId="0" fontId="6" fillId="0" borderId="0" xfId="0" applyFont="1"/>
    <xf numFmtId="0" fontId="7" fillId="0" borderId="0" xfId="0" applyFont="1"/>
    <xf numFmtId="0" fontId="10" fillId="0" borderId="0" xfId="0" applyFont="1"/>
    <xf numFmtId="167" fontId="0" fillId="0" borderId="0" xfId="0" applyNumberFormat="1"/>
    <xf numFmtId="0" fontId="8" fillId="0" borderId="0" xfId="0" applyFont="1" applyAlignment="1">
      <alignment horizontal="center"/>
    </xf>
    <xf numFmtId="167" fontId="10" fillId="0" borderId="0" xfId="1" applyNumberFormat="1" applyFont="1"/>
    <xf numFmtId="0" fontId="13" fillId="2" borderId="0" xfId="3" applyNumberFormat="1" applyFont="1" applyFill="1" applyAlignment="1">
      <alignment horizontal="center"/>
    </xf>
    <xf numFmtId="43" fontId="14" fillId="2" borderId="0" xfId="3" applyFont="1" applyFill="1" applyAlignment="1">
      <alignment horizontal="center"/>
    </xf>
    <xf numFmtId="0" fontId="10" fillId="0" borderId="1" xfId="0" applyFont="1" applyBorder="1"/>
    <xf numFmtId="0" fontId="10" fillId="0" borderId="2" xfId="0" applyFont="1" applyBorder="1"/>
    <xf numFmtId="0" fontId="6" fillId="0" borderId="2" xfId="0" applyFont="1" applyBorder="1"/>
    <xf numFmtId="167" fontId="10" fillId="0" borderId="2" xfId="1" applyNumberFormat="1" applyFont="1" applyBorder="1"/>
    <xf numFmtId="167" fontId="0" fillId="0" borderId="2" xfId="1" applyNumberFormat="1" applyFont="1" applyBorder="1"/>
    <xf numFmtId="0" fontId="10" fillId="0" borderId="4" xfId="0" applyFont="1" applyBorder="1"/>
    <xf numFmtId="167" fontId="10" fillId="0" borderId="0" xfId="1" applyNumberFormat="1" applyFont="1" applyBorder="1"/>
    <xf numFmtId="167" fontId="0" fillId="0" borderId="0" xfId="1" applyNumberFormat="1" applyFont="1" applyBorder="1"/>
    <xf numFmtId="0" fontId="10" fillId="0" borderId="6" xfId="0" applyFont="1" applyBorder="1"/>
    <xf numFmtId="0" fontId="10" fillId="0" borderId="7" xfId="0" applyFont="1" applyBorder="1"/>
    <xf numFmtId="0" fontId="6" fillId="0" borderId="7" xfId="0" applyFont="1" applyBorder="1"/>
    <xf numFmtId="167" fontId="10" fillId="0" borderId="7" xfId="1" applyNumberFormat="1" applyFont="1" applyBorder="1"/>
    <xf numFmtId="167" fontId="0" fillId="0" borderId="7" xfId="1" applyNumberFormat="1" applyFont="1" applyBorder="1"/>
    <xf numFmtId="0" fontId="4" fillId="2" borderId="0" xfId="1" applyNumberFormat="1" applyFont="1" applyFill="1" applyAlignment="1">
      <alignment horizontal="right"/>
    </xf>
    <xf numFmtId="165" fontId="0" fillId="2" borderId="0" xfId="1" applyNumberFormat="1" applyFont="1" applyFill="1"/>
    <xf numFmtId="166" fontId="15" fillId="0" borderId="0" xfId="3" applyNumberFormat="1" applyFont="1" applyAlignment="1">
      <alignment horizontal="right" vertical="center"/>
    </xf>
    <xf numFmtId="14" fontId="6" fillId="2" borderId="0" xfId="1" applyNumberFormat="1" applyFont="1" applyFill="1" applyAlignment="1">
      <alignment vertical="center"/>
    </xf>
    <xf numFmtId="0" fontId="15" fillId="0" borderId="0" xfId="0" applyFont="1" applyAlignment="1">
      <alignment horizontal="center" vertical="center"/>
    </xf>
    <xf numFmtId="0" fontId="6" fillId="2" borderId="0" xfId="0" applyFont="1" applyFill="1" applyAlignment="1">
      <alignment vertical="center"/>
    </xf>
    <xf numFmtId="22" fontId="0" fillId="0" borderId="0" xfId="0" applyNumberFormat="1" applyAlignment="1">
      <alignment horizontal="center"/>
    </xf>
    <xf numFmtId="43" fontId="18" fillId="0" borderId="0" xfId="0" applyNumberFormat="1" applyFont="1"/>
    <xf numFmtId="0" fontId="18" fillId="0" borderId="0" xfId="0" applyFont="1"/>
    <xf numFmtId="166" fontId="18" fillId="0" borderId="2" xfId="3" applyNumberFormat="1" applyFont="1" applyBorder="1"/>
    <xf numFmtId="166" fontId="18" fillId="0" borderId="0" xfId="3" applyNumberFormat="1" applyFont="1" applyBorder="1"/>
    <xf numFmtId="166" fontId="18" fillId="0" borderId="7" xfId="3" applyNumberFormat="1" applyFont="1" applyBorder="1"/>
    <xf numFmtId="166" fontId="18" fillId="0" borderId="0" xfId="3" applyNumberFormat="1" applyFont="1"/>
    <xf numFmtId="170" fontId="0" fillId="0" borderId="0" xfId="0" applyNumberFormat="1"/>
    <xf numFmtId="0" fontId="9" fillId="0" borderId="4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10" fillId="0" borderId="3" xfId="0" applyFont="1" applyBorder="1"/>
    <xf numFmtId="0" fontId="10" fillId="0" borderId="5" xfId="0" applyFont="1" applyBorder="1"/>
    <xf numFmtId="0" fontId="10" fillId="0" borderId="8" xfId="0" applyFont="1" applyBorder="1"/>
    <xf numFmtId="44" fontId="0" fillId="0" borderId="1" xfId="1" applyFont="1" applyBorder="1"/>
    <xf numFmtId="44" fontId="0" fillId="0" borderId="3" xfId="1" applyFont="1" applyBorder="1"/>
    <xf numFmtId="44" fontId="0" fillId="0" borderId="4" xfId="1" applyFont="1" applyBorder="1"/>
    <xf numFmtId="44" fontId="0" fillId="0" borderId="5" xfId="1" applyFont="1" applyBorder="1"/>
    <xf numFmtId="44" fontId="0" fillId="0" borderId="6" xfId="1" applyFont="1" applyBorder="1"/>
    <xf numFmtId="44" fontId="0" fillId="0" borderId="8" xfId="1" applyFont="1" applyBorder="1"/>
    <xf numFmtId="164" fontId="7" fillId="0" borderId="9" xfId="3" applyNumberFormat="1" applyFont="1" applyBorder="1"/>
    <xf numFmtId="0" fontId="8" fillId="0" borderId="4" xfId="0" applyFont="1" applyBorder="1" applyAlignment="1">
      <alignment horizontal="center"/>
    </xf>
    <xf numFmtId="167" fontId="8" fillId="0" borderId="0" xfId="0" applyNumberFormat="1" applyFont="1" applyAlignment="1">
      <alignment horizontal="center"/>
    </xf>
    <xf numFmtId="166" fontId="18" fillId="0" borderId="1" xfId="3" applyNumberFormat="1" applyFont="1" applyBorder="1"/>
    <xf numFmtId="166" fontId="18" fillId="0" borderId="4" xfId="3" applyNumberFormat="1" applyFont="1" applyBorder="1"/>
    <xf numFmtId="166" fontId="18" fillId="0" borderId="6" xfId="3" applyNumberFormat="1" applyFont="1" applyBorder="1"/>
    <xf numFmtId="167" fontId="7" fillId="0" borderId="1" xfId="1" applyNumberFormat="1" applyFont="1" applyBorder="1" applyAlignment="1">
      <alignment horizontal="center"/>
    </xf>
    <xf numFmtId="167" fontId="7" fillId="0" borderId="3" xfId="1" applyNumberFormat="1" applyFont="1" applyBorder="1" applyAlignment="1">
      <alignment horizontal="center"/>
    </xf>
    <xf numFmtId="167" fontId="7" fillId="0" borderId="2" xfId="1" applyNumberFormat="1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167" fontId="8" fillId="0" borderId="0" xfId="1" applyNumberFormat="1" applyFont="1" applyFill="1" applyBorder="1" applyAlignment="1">
      <alignment horizontal="center"/>
    </xf>
    <xf numFmtId="164" fontId="6" fillId="0" borderId="9" xfId="3" applyNumberFormat="1" applyFont="1" applyBorder="1"/>
    <xf numFmtId="10" fontId="20" fillId="0" borderId="2" xfId="0" applyNumberFormat="1" applyFont="1" applyBorder="1"/>
    <xf numFmtId="164" fontId="6" fillId="0" borderId="11" xfId="3" applyNumberFormat="1" applyFont="1" applyBorder="1"/>
    <xf numFmtId="10" fontId="20" fillId="0" borderId="7" xfId="0" applyNumberFormat="1" applyFont="1" applyBorder="1"/>
    <xf numFmtId="164" fontId="6" fillId="0" borderId="10" xfId="3" applyNumberFormat="1" applyFont="1" applyBorder="1"/>
    <xf numFmtId="164" fontId="6" fillId="0" borderId="0" xfId="3" applyNumberFormat="1" applyFont="1"/>
    <xf numFmtId="166" fontId="21" fillId="0" borderId="0" xfId="3" applyNumberFormat="1" applyFont="1" applyAlignment="1">
      <alignment horizontal="center"/>
    </xf>
    <xf numFmtId="166" fontId="22" fillId="0" borderId="0" xfId="3" applyNumberFormat="1" applyFont="1" applyAlignment="1">
      <alignment horizontal="center"/>
    </xf>
    <xf numFmtId="0" fontId="22" fillId="0" borderId="0" xfId="0" applyFont="1" applyAlignment="1">
      <alignment horizontal="center"/>
    </xf>
    <xf numFmtId="10" fontId="0" fillId="2" borderId="0" xfId="0" applyNumberFormat="1" applyFill="1"/>
    <xf numFmtId="10" fontId="0" fillId="2" borderId="0" xfId="2" applyNumberFormat="1" applyFont="1" applyFill="1"/>
    <xf numFmtId="10" fontId="0" fillId="0" borderId="0" xfId="2" applyNumberFormat="1" applyFont="1" applyFill="1"/>
    <xf numFmtId="171" fontId="18" fillId="0" borderId="2" xfId="1" applyNumberFormat="1" applyFont="1" applyBorder="1"/>
    <xf numFmtId="171" fontId="18" fillId="0" borderId="0" xfId="1" applyNumberFormat="1" applyFont="1" applyBorder="1"/>
    <xf numFmtId="171" fontId="18" fillId="0" borderId="7" xfId="1" applyNumberFormat="1" applyFont="1" applyBorder="1"/>
    <xf numFmtId="171" fontId="6" fillId="0" borderId="0" xfId="1" applyNumberFormat="1" applyFont="1"/>
    <xf numFmtId="0" fontId="7" fillId="0" borderId="1" xfId="0" applyFont="1" applyBorder="1"/>
    <xf numFmtId="0" fontId="7" fillId="0" borderId="2" xfId="0" applyFont="1" applyBorder="1"/>
    <xf numFmtId="0" fontId="9" fillId="0" borderId="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171" fontId="17" fillId="0" borderId="7" xfId="1" applyNumberFormat="1" applyFont="1" applyBorder="1" applyAlignment="1">
      <alignment horizontal="center"/>
    </xf>
    <xf numFmtId="0" fontId="17" fillId="0" borderId="7" xfId="0" applyFont="1" applyBorder="1" applyAlignment="1">
      <alignment horizontal="center"/>
    </xf>
    <xf numFmtId="0" fontId="17" fillId="0" borderId="8" xfId="0" applyFont="1" applyBorder="1" applyAlignment="1">
      <alignment horizontal="center"/>
    </xf>
    <xf numFmtId="44" fontId="8" fillId="0" borderId="6" xfId="1" applyFont="1" applyBorder="1" applyAlignment="1">
      <alignment horizontal="center"/>
    </xf>
    <xf numFmtId="44" fontId="8" fillId="0" borderId="8" xfId="1" applyFont="1" applyBorder="1" applyAlignment="1">
      <alignment horizontal="center"/>
    </xf>
    <xf numFmtId="167" fontId="9" fillId="0" borderId="7" xfId="1" applyNumberFormat="1" applyFont="1" applyBorder="1" applyAlignment="1">
      <alignment horizontal="center"/>
    </xf>
    <xf numFmtId="164" fontId="8" fillId="0" borderId="11" xfId="3" applyNumberFormat="1" applyFont="1" applyBorder="1" applyAlignment="1">
      <alignment horizontal="center"/>
    </xf>
    <xf numFmtId="167" fontId="8" fillId="0" borderId="7" xfId="1" applyNumberFormat="1" applyFont="1" applyBorder="1" applyAlignment="1">
      <alignment horizontal="center"/>
    </xf>
    <xf numFmtId="167" fontId="8" fillId="0" borderId="8" xfId="1" applyNumberFormat="1" applyFont="1" applyBorder="1" applyAlignment="1">
      <alignment horizontal="center"/>
    </xf>
    <xf numFmtId="0" fontId="11" fillId="0" borderId="1" xfId="0" applyFont="1" applyBorder="1"/>
    <xf numFmtId="167" fontId="8" fillId="0" borderId="4" xfId="1" applyNumberFormat="1" applyFont="1" applyFill="1" applyBorder="1" applyAlignment="1">
      <alignment horizontal="center"/>
    </xf>
    <xf numFmtId="167" fontId="8" fillId="0" borderId="5" xfId="1" applyNumberFormat="1" applyFont="1" applyFill="1" applyBorder="1" applyAlignment="1">
      <alignment horizontal="center"/>
    </xf>
    <xf numFmtId="10" fontId="20" fillId="0" borderId="1" xfId="0" applyNumberFormat="1" applyFont="1" applyBorder="1"/>
    <xf numFmtId="10" fontId="20" fillId="0" borderId="3" xfId="0" applyNumberFormat="1" applyFont="1" applyBorder="1"/>
    <xf numFmtId="10" fontId="20" fillId="0" borderId="6" xfId="0" applyNumberFormat="1" applyFont="1" applyBorder="1"/>
    <xf numFmtId="10" fontId="20" fillId="0" borderId="8" xfId="0" applyNumberFormat="1" applyFont="1" applyBorder="1"/>
    <xf numFmtId="166" fontId="17" fillId="0" borderId="7" xfId="3" applyNumberFormat="1" applyFont="1" applyBorder="1" applyAlignment="1">
      <alignment horizontal="center"/>
    </xf>
    <xf numFmtId="0" fontId="7" fillId="0" borderId="9" xfId="0" applyFont="1" applyBorder="1"/>
    <xf numFmtId="0" fontId="8" fillId="0" borderId="11" xfId="0" applyFont="1" applyBorder="1" applyAlignment="1">
      <alignment horizontal="center"/>
    </xf>
    <xf numFmtId="10" fontId="1" fillId="2" borderId="10" xfId="2" applyNumberFormat="1" applyFont="1" applyFill="1" applyBorder="1"/>
    <xf numFmtId="10" fontId="1" fillId="2" borderId="11" xfId="2" applyNumberFormat="1" applyFont="1" applyFill="1" applyBorder="1"/>
    <xf numFmtId="10" fontId="0" fillId="2" borderId="9" xfId="2" applyNumberFormat="1" applyFont="1" applyFill="1" applyBorder="1"/>
    <xf numFmtId="10" fontId="0" fillId="2" borderId="11" xfId="2" applyNumberFormat="1" applyFont="1" applyFill="1" applyBorder="1"/>
    <xf numFmtId="10" fontId="0" fillId="2" borderId="10" xfId="2" applyNumberFormat="1" applyFont="1" applyFill="1" applyBorder="1"/>
    <xf numFmtId="0" fontId="23" fillId="0" borderId="1" xfId="0" applyFont="1" applyBorder="1"/>
    <xf numFmtId="0" fontId="23" fillId="0" borderId="3" xfId="0" applyFont="1" applyBorder="1"/>
    <xf numFmtId="0" fontId="23" fillId="0" borderId="2" xfId="0" applyFont="1" applyBorder="1"/>
    <xf numFmtId="0" fontId="24" fillId="0" borderId="2" xfId="0" applyFont="1" applyBorder="1"/>
    <xf numFmtId="166" fontId="26" fillId="0" borderId="2" xfId="3" applyNumberFormat="1" applyFont="1" applyBorder="1"/>
    <xf numFmtId="171" fontId="26" fillId="0" borderId="2" xfId="1" applyNumberFormat="1" applyFont="1" applyBorder="1"/>
    <xf numFmtId="44" fontId="25" fillId="0" borderId="1" xfId="1" applyFont="1" applyBorder="1"/>
    <xf numFmtId="44" fontId="25" fillId="0" borderId="3" xfId="1" applyFont="1" applyBorder="1"/>
    <xf numFmtId="167" fontId="23" fillId="0" borderId="2" xfId="1" applyNumberFormat="1" applyFont="1" applyBorder="1"/>
    <xf numFmtId="164" fontId="24" fillId="0" borderId="9" xfId="3" applyNumberFormat="1" applyFont="1" applyBorder="1"/>
    <xf numFmtId="167" fontId="25" fillId="0" borderId="2" xfId="1" applyNumberFormat="1" applyFont="1" applyBorder="1"/>
    <xf numFmtId="10" fontId="27" fillId="0" borderId="1" xfId="0" applyNumberFormat="1" applyFont="1" applyBorder="1"/>
    <xf numFmtId="10" fontId="27" fillId="0" borderId="2" xfId="0" applyNumberFormat="1" applyFont="1" applyBorder="1"/>
    <xf numFmtId="10" fontId="27" fillId="0" borderId="3" xfId="0" applyNumberFormat="1" applyFont="1" applyBorder="1"/>
    <xf numFmtId="0" fontId="25" fillId="0" borderId="0" xfId="0" applyFont="1"/>
    <xf numFmtId="10" fontId="25" fillId="2" borderId="0" xfId="0" applyNumberFormat="1" applyFont="1" applyFill="1"/>
    <xf numFmtId="10" fontId="25" fillId="2" borderId="0" xfId="2" applyNumberFormat="1" applyFont="1" applyFill="1"/>
    <xf numFmtId="10" fontId="25" fillId="0" borderId="0" xfId="2" applyNumberFormat="1" applyFont="1" applyFill="1"/>
    <xf numFmtId="0" fontId="23" fillId="0" borderId="6" xfId="0" applyFont="1" applyBorder="1"/>
    <xf numFmtId="0" fontId="23" fillId="0" borderId="8" xfId="0" applyFont="1" applyBorder="1"/>
    <xf numFmtId="0" fontId="23" fillId="0" borderId="7" xfId="0" applyFont="1" applyBorder="1"/>
    <xf numFmtId="0" fontId="24" fillId="0" borderId="7" xfId="0" applyFont="1" applyBorder="1"/>
    <xf numFmtId="166" fontId="26" fillId="0" borderId="7" xfId="3" applyNumberFormat="1" applyFont="1" applyBorder="1"/>
    <xf numFmtId="171" fontId="26" fillId="0" borderId="7" xfId="1" applyNumberFormat="1" applyFont="1" applyBorder="1"/>
    <xf numFmtId="44" fontId="25" fillId="0" borderId="6" xfId="1" applyFont="1" applyBorder="1"/>
    <xf numFmtId="44" fontId="25" fillId="0" borderId="8" xfId="1" applyFont="1" applyBorder="1"/>
    <xf numFmtId="167" fontId="23" fillId="0" borderId="7" xfId="1" applyNumberFormat="1" applyFont="1" applyBorder="1"/>
    <xf numFmtId="164" fontId="24" fillId="0" borderId="11" xfId="3" applyNumberFormat="1" applyFont="1" applyBorder="1"/>
    <xf numFmtId="167" fontId="25" fillId="0" borderId="7" xfId="1" applyNumberFormat="1" applyFont="1" applyBorder="1"/>
    <xf numFmtId="10" fontId="27" fillId="0" borderId="6" xfId="0" applyNumberFormat="1" applyFont="1" applyBorder="1"/>
    <xf numFmtId="10" fontId="27" fillId="0" borderId="7" xfId="0" applyNumberFormat="1" applyFont="1" applyBorder="1"/>
    <xf numFmtId="10" fontId="27" fillId="0" borderId="8" xfId="0" applyNumberFormat="1" applyFont="1" applyBorder="1"/>
    <xf numFmtId="0" fontId="26" fillId="0" borderId="0" xfId="0" applyFont="1"/>
    <xf numFmtId="0" fontId="25" fillId="0" borderId="0" xfId="0" applyFont="1" applyAlignment="1">
      <alignment horizontal="center"/>
    </xf>
    <xf numFmtId="0" fontId="23" fillId="0" borderId="4" xfId="0" applyFont="1" applyBorder="1"/>
    <xf numFmtId="0" fontId="23" fillId="0" borderId="5" xfId="0" applyFont="1" applyBorder="1"/>
    <xf numFmtId="0" fontId="23" fillId="0" borderId="0" xfId="0" applyFont="1"/>
    <xf numFmtId="0" fontId="24" fillId="0" borderId="0" xfId="0" applyFont="1"/>
    <xf numFmtId="166" fontId="26" fillId="0" borderId="0" xfId="3" applyNumberFormat="1" applyFont="1" applyBorder="1"/>
    <xf numFmtId="171" fontId="26" fillId="0" borderId="0" xfId="1" applyNumberFormat="1" applyFont="1" applyBorder="1"/>
    <xf numFmtId="44" fontId="25" fillId="0" borderId="4" xfId="1" applyFont="1" applyBorder="1"/>
    <xf numFmtId="44" fontId="25" fillId="0" borderId="5" xfId="1" applyFont="1" applyBorder="1"/>
    <xf numFmtId="167" fontId="23" fillId="0" borderId="0" xfId="1" applyNumberFormat="1" applyFont="1" applyBorder="1"/>
    <xf numFmtId="164" fontId="24" fillId="0" borderId="10" xfId="3" applyNumberFormat="1" applyFont="1" applyBorder="1"/>
    <xf numFmtId="167" fontId="25" fillId="0" borderId="0" xfId="1" applyNumberFormat="1" applyFont="1" applyBorder="1"/>
    <xf numFmtId="0" fontId="7" fillId="0" borderId="3" xfId="0" applyFont="1" applyBorder="1"/>
    <xf numFmtId="166" fontId="19" fillId="0" borderId="4" xfId="3" applyNumberFormat="1" applyFont="1" applyBorder="1"/>
    <xf numFmtId="0" fontId="19" fillId="0" borderId="5" xfId="0" applyFont="1" applyBorder="1"/>
    <xf numFmtId="0" fontId="18" fillId="0" borderId="5" xfId="0" applyFont="1" applyBorder="1"/>
    <xf numFmtId="166" fontId="26" fillId="0" borderId="4" xfId="3" applyNumberFormat="1" applyFont="1" applyBorder="1"/>
    <xf numFmtId="0" fontId="26" fillId="0" borderId="5" xfId="0" applyFont="1" applyBorder="1"/>
    <xf numFmtId="166" fontId="26" fillId="0" borderId="6" xfId="3" applyNumberFormat="1" applyFont="1" applyBorder="1"/>
    <xf numFmtId="0" fontId="26" fillId="0" borderId="8" xfId="0" applyFont="1" applyBorder="1"/>
    <xf numFmtId="10" fontId="0" fillId="0" borderId="0" xfId="2" applyNumberFormat="1" applyFont="1" applyAlignment="1">
      <alignment horizontal="center"/>
    </xf>
    <xf numFmtId="10" fontId="25" fillId="0" borderId="9" xfId="2" applyNumberFormat="1" applyFont="1" applyFill="1" applyBorder="1"/>
    <xf numFmtId="10" fontId="25" fillId="0" borderId="10" xfId="2" applyNumberFormat="1" applyFont="1" applyFill="1" applyBorder="1"/>
    <xf numFmtId="10" fontId="25" fillId="0" borderId="11" xfId="2" applyNumberFormat="1" applyFont="1" applyFill="1" applyBorder="1"/>
    <xf numFmtId="0" fontId="18" fillId="0" borderId="3" xfId="0" applyFont="1" applyBorder="1"/>
    <xf numFmtId="0" fontId="18" fillId="0" borderId="8" xfId="0" applyFont="1" applyBorder="1"/>
    <xf numFmtId="10" fontId="20" fillId="0" borderId="4" xfId="0" applyNumberFormat="1" applyFont="1" applyBorder="1"/>
    <xf numFmtId="10" fontId="20" fillId="0" borderId="5" xfId="0" applyNumberFormat="1" applyFont="1" applyBorder="1"/>
    <xf numFmtId="0" fontId="4" fillId="2" borderId="0" xfId="1" applyNumberFormat="1" applyFont="1" applyFill="1" applyAlignment="1">
      <alignment horizontal="center"/>
    </xf>
    <xf numFmtId="165" fontId="0" fillId="2" borderId="0" xfId="1" applyNumberFormat="1" applyFont="1" applyFill="1" applyAlignment="1">
      <alignment horizontal="center"/>
    </xf>
    <xf numFmtId="43" fontId="4" fillId="2" borderId="0" xfId="3" applyFont="1" applyFill="1" applyAlignment="1">
      <alignment horizontal="center"/>
    </xf>
    <xf numFmtId="43" fontId="0" fillId="2" borderId="0" xfId="3" applyFont="1" applyFill="1" applyAlignment="1">
      <alignment horizontal="center"/>
    </xf>
    <xf numFmtId="0" fontId="0" fillId="2" borderId="0" xfId="0" applyFill="1" applyAlignment="1">
      <alignment horizontal="center"/>
    </xf>
    <xf numFmtId="43" fontId="18" fillId="0" borderId="3" xfId="0" applyNumberFormat="1" applyFont="1" applyBorder="1" applyAlignment="1">
      <alignment horizontal="center" vertical="center"/>
    </xf>
    <xf numFmtId="43" fontId="18" fillId="0" borderId="8" xfId="0" applyNumberFormat="1" applyFont="1" applyBorder="1" applyAlignment="1">
      <alignment horizontal="center" vertical="center"/>
    </xf>
    <xf numFmtId="43" fontId="26" fillId="0" borderId="3" xfId="0" applyNumberFormat="1" applyFont="1" applyBorder="1" applyAlignment="1">
      <alignment horizontal="center" vertical="center"/>
    </xf>
    <xf numFmtId="43" fontId="26" fillId="0" borderId="8" xfId="0" applyNumberFormat="1" applyFont="1" applyBorder="1" applyAlignment="1">
      <alignment horizontal="center" vertical="center"/>
    </xf>
    <xf numFmtId="167" fontId="25" fillId="0" borderId="1" xfId="0" applyNumberFormat="1" applyFont="1" applyBorder="1" applyAlignment="1">
      <alignment vertical="center"/>
    </xf>
    <xf numFmtId="0" fontId="25" fillId="0" borderId="6" xfId="0" applyFont="1" applyBorder="1" applyAlignment="1">
      <alignment vertical="center"/>
    </xf>
    <xf numFmtId="168" fontId="25" fillId="0" borderId="3" xfId="2" applyNumberFormat="1" applyFont="1" applyFill="1" applyBorder="1" applyAlignment="1">
      <alignment vertical="center"/>
    </xf>
    <xf numFmtId="168" fontId="25" fillId="0" borderId="8" xfId="2" applyNumberFormat="1" applyFont="1" applyFill="1" applyBorder="1" applyAlignment="1">
      <alignment vertical="center"/>
    </xf>
    <xf numFmtId="166" fontId="21" fillId="0" borderId="0" xfId="3" applyNumberFormat="1" applyFont="1" applyAlignment="1">
      <alignment horizontal="center"/>
    </xf>
    <xf numFmtId="43" fontId="26" fillId="0" borderId="3" xfId="0" applyNumberFormat="1" applyFont="1" applyBorder="1" applyAlignment="1">
      <alignment vertical="center"/>
    </xf>
    <xf numFmtId="43" fontId="26" fillId="0" borderId="8" xfId="0" applyNumberFormat="1" applyFont="1" applyBorder="1" applyAlignment="1">
      <alignment vertical="center"/>
    </xf>
    <xf numFmtId="167" fontId="0" fillId="0" borderId="1" xfId="0" applyNumberFormat="1" applyBorder="1" applyAlignment="1">
      <alignment vertical="center"/>
    </xf>
    <xf numFmtId="0" fontId="0" fillId="0" borderId="6" xfId="0" applyBorder="1" applyAlignment="1">
      <alignment vertical="center"/>
    </xf>
    <xf numFmtId="168" fontId="0" fillId="0" borderId="3" xfId="2" applyNumberFormat="1" applyFont="1" applyFill="1" applyBorder="1" applyAlignment="1">
      <alignment vertical="center"/>
    </xf>
    <xf numFmtId="168" fontId="0" fillId="0" borderId="8" xfId="2" applyNumberFormat="1" applyFont="1" applyFill="1" applyBorder="1" applyAlignment="1">
      <alignment vertical="center"/>
    </xf>
    <xf numFmtId="43" fontId="18" fillId="0" borderId="3" xfId="3" applyFont="1" applyBorder="1" applyAlignment="1">
      <alignment vertical="center"/>
    </xf>
    <xf numFmtId="43" fontId="18" fillId="0" borderId="8" xfId="3" applyFont="1" applyBorder="1" applyAlignment="1">
      <alignment vertical="center"/>
    </xf>
    <xf numFmtId="43" fontId="18" fillId="0" borderId="3" xfId="0" applyNumberFormat="1" applyFont="1" applyBorder="1" applyAlignment="1">
      <alignment vertical="center"/>
    </xf>
    <xf numFmtId="43" fontId="18" fillId="0" borderId="8" xfId="0" applyNumberFormat="1" applyFont="1" applyBorder="1" applyAlignment="1">
      <alignment vertical="center"/>
    </xf>
    <xf numFmtId="0" fontId="7" fillId="0" borderId="1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166" fontId="16" fillId="0" borderId="2" xfId="3" applyNumberFormat="1" applyFont="1" applyBorder="1" applyAlignment="1">
      <alignment horizontal="center"/>
    </xf>
    <xf numFmtId="166" fontId="16" fillId="0" borderId="3" xfId="3" applyNumberFormat="1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44" fontId="7" fillId="0" borderId="1" xfId="1" applyFont="1" applyBorder="1" applyAlignment="1">
      <alignment horizontal="center"/>
    </xf>
    <xf numFmtId="44" fontId="7" fillId="0" borderId="3" xfId="1" applyFont="1" applyBorder="1" applyAlignment="1">
      <alignment horizontal="center"/>
    </xf>
    <xf numFmtId="169" fontId="11" fillId="0" borderId="2" xfId="1" applyNumberFormat="1" applyFont="1" applyBorder="1" applyAlignment="1">
      <alignment horizontal="center"/>
    </xf>
    <xf numFmtId="167" fontId="7" fillId="0" borderId="2" xfId="1" applyNumberFormat="1" applyFont="1" applyBorder="1" applyAlignment="1">
      <alignment horizontal="center"/>
    </xf>
    <xf numFmtId="167" fontId="7" fillId="0" borderId="3" xfId="1" applyNumberFormat="1" applyFont="1" applyBorder="1" applyAlignment="1">
      <alignment horizontal="center"/>
    </xf>
    <xf numFmtId="167" fontId="7" fillId="0" borderId="1" xfId="1" applyNumberFormat="1" applyFont="1" applyBorder="1" applyAlignment="1">
      <alignment horizontal="center"/>
    </xf>
    <xf numFmtId="10" fontId="19" fillId="2" borderId="3" xfId="2" applyNumberFormat="1" applyFont="1" applyFill="1" applyBorder="1" applyAlignment="1">
      <alignment horizontal="center" vertical="center"/>
    </xf>
    <xf numFmtId="10" fontId="19" fillId="2" borderId="5" xfId="2" applyNumberFormat="1" applyFont="1" applyFill="1" applyBorder="1" applyAlignment="1">
      <alignment horizontal="center" vertical="center"/>
    </xf>
    <xf numFmtId="10" fontId="19" fillId="2" borderId="8" xfId="2" applyNumberFormat="1" applyFont="1" applyFill="1" applyBorder="1" applyAlignment="1">
      <alignment horizontal="center" vertical="center"/>
    </xf>
    <xf numFmtId="10" fontId="28" fillId="2" borderId="3" xfId="2" applyNumberFormat="1" applyFont="1" applyFill="1" applyBorder="1" applyAlignment="1">
      <alignment horizontal="center" vertical="center"/>
    </xf>
    <xf numFmtId="10" fontId="28" fillId="2" borderId="5" xfId="2" applyNumberFormat="1" applyFont="1" applyFill="1" applyBorder="1" applyAlignment="1">
      <alignment horizontal="center" vertical="center"/>
    </xf>
    <xf numFmtId="10" fontId="28" fillId="2" borderId="8" xfId="2" applyNumberFormat="1" applyFont="1" applyFill="1" applyBorder="1" applyAlignment="1">
      <alignment horizontal="center" vertical="center"/>
    </xf>
    <xf numFmtId="43" fontId="26" fillId="0" borderId="3" xfId="3" applyFont="1" applyBorder="1" applyAlignment="1">
      <alignment vertical="center"/>
    </xf>
    <xf numFmtId="43" fontId="26" fillId="0" borderId="5" xfId="3" applyFont="1" applyBorder="1" applyAlignment="1">
      <alignment vertical="center"/>
    </xf>
    <xf numFmtId="43" fontId="26" fillId="0" borderId="8" xfId="3" applyFont="1" applyBorder="1" applyAlignment="1">
      <alignment vertical="center"/>
    </xf>
    <xf numFmtId="167" fontId="0" fillId="0" borderId="2" xfId="0" applyNumberFormat="1" applyBorder="1" applyAlignment="1">
      <alignment vertical="center"/>
    </xf>
    <xf numFmtId="0" fontId="0" fillId="0" borderId="0" xfId="0" applyAlignment="1">
      <alignment vertical="center"/>
    </xf>
    <xf numFmtId="0" fontId="0" fillId="0" borderId="7" xfId="0" applyBorder="1" applyAlignment="1">
      <alignment vertical="center"/>
    </xf>
    <xf numFmtId="167" fontId="0" fillId="0" borderId="0" xfId="0" applyNumberFormat="1" applyAlignment="1">
      <alignment vertical="center"/>
    </xf>
    <xf numFmtId="167" fontId="0" fillId="0" borderId="7" xfId="0" applyNumberFormat="1" applyBorder="1" applyAlignment="1">
      <alignment vertical="center"/>
    </xf>
    <xf numFmtId="168" fontId="0" fillId="0" borderId="5" xfId="2" applyNumberFormat="1" applyFont="1" applyFill="1" applyBorder="1" applyAlignment="1">
      <alignment vertical="center"/>
    </xf>
    <xf numFmtId="167" fontId="25" fillId="0" borderId="2" xfId="0" applyNumberFormat="1" applyFont="1" applyBorder="1" applyAlignment="1">
      <alignment vertical="center"/>
    </xf>
    <xf numFmtId="167" fontId="25" fillId="0" borderId="0" xfId="0" applyNumberFormat="1" applyFont="1" applyAlignment="1">
      <alignment vertical="center"/>
    </xf>
    <xf numFmtId="167" fontId="25" fillId="0" borderId="7" xfId="0" applyNumberFormat="1" applyFont="1" applyBorder="1" applyAlignment="1">
      <alignment vertical="center"/>
    </xf>
    <xf numFmtId="168" fontId="25" fillId="0" borderId="5" xfId="2" applyNumberFormat="1" applyFont="1" applyFill="1" applyBorder="1" applyAlignment="1">
      <alignment vertical="center"/>
    </xf>
    <xf numFmtId="43" fontId="18" fillId="0" borderId="5" xfId="0" applyNumberFormat="1" applyFont="1" applyBorder="1" applyAlignment="1">
      <alignment horizontal="center" vertical="center"/>
    </xf>
    <xf numFmtId="10" fontId="19" fillId="2" borderId="1" xfId="2" applyNumberFormat="1" applyFont="1" applyFill="1" applyBorder="1" applyAlignment="1">
      <alignment horizontal="center" vertical="center"/>
    </xf>
    <xf numFmtId="10" fontId="19" fillId="2" borderId="4" xfId="2" applyNumberFormat="1" applyFont="1" applyFill="1" applyBorder="1" applyAlignment="1">
      <alignment horizontal="center" vertical="center"/>
    </xf>
    <xf numFmtId="10" fontId="19" fillId="2" borderId="6" xfId="2" applyNumberFormat="1" applyFont="1" applyFill="1" applyBorder="1" applyAlignment="1">
      <alignment horizontal="center" vertical="center"/>
    </xf>
    <xf numFmtId="10" fontId="28" fillId="2" borderId="1" xfId="2" applyNumberFormat="1" applyFont="1" applyFill="1" applyBorder="1" applyAlignment="1">
      <alignment horizontal="center" vertical="center"/>
    </xf>
    <xf numFmtId="10" fontId="28" fillId="2" borderId="4" xfId="2" applyNumberFormat="1" applyFont="1" applyFill="1" applyBorder="1" applyAlignment="1">
      <alignment horizontal="center" vertical="center"/>
    </xf>
    <xf numFmtId="10" fontId="28" fillId="2" borderId="6" xfId="2" applyNumberFormat="1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/>
    </xf>
    <xf numFmtId="167" fontId="0" fillId="0" borderId="4" xfId="0" applyNumberFormat="1" applyBorder="1" applyAlignment="1">
      <alignment vertical="center"/>
    </xf>
    <xf numFmtId="167" fontId="0" fillId="0" borderId="6" xfId="0" applyNumberFormat="1" applyBorder="1" applyAlignment="1">
      <alignment vertical="center"/>
    </xf>
    <xf numFmtId="0" fontId="25" fillId="0" borderId="0" xfId="0" applyFont="1" applyAlignment="1">
      <alignment vertical="center"/>
    </xf>
    <xf numFmtId="0" fontId="25" fillId="0" borderId="7" xfId="0" applyFont="1" applyBorder="1" applyAlignment="1">
      <alignment vertical="center"/>
    </xf>
    <xf numFmtId="0" fontId="0" fillId="0" borderId="4" xfId="0" applyBorder="1" applyAlignment="1">
      <alignment vertical="center"/>
    </xf>
    <xf numFmtId="167" fontId="25" fillId="0" borderId="4" xfId="0" applyNumberFormat="1" applyFont="1" applyBorder="1" applyAlignment="1">
      <alignment vertical="center"/>
    </xf>
    <xf numFmtId="167" fontId="25" fillId="0" borderId="6" xfId="0" applyNumberFormat="1" applyFont="1" applyBorder="1" applyAlignment="1">
      <alignment vertical="center"/>
    </xf>
    <xf numFmtId="0" fontId="25" fillId="0" borderId="4" xfId="0" applyFont="1" applyBorder="1" applyAlignment="1">
      <alignment vertical="center"/>
    </xf>
    <xf numFmtId="0" fontId="8" fillId="0" borderId="0" xfId="0" applyFont="1" applyAlignment="1">
      <alignment horizontal="center"/>
    </xf>
    <xf numFmtId="43" fontId="26" fillId="0" borderId="5" xfId="0" applyNumberFormat="1" applyFont="1" applyBorder="1" applyAlignment="1">
      <alignment vertical="center"/>
    </xf>
    <xf numFmtId="43" fontId="18" fillId="0" borderId="5" xfId="3" applyFont="1" applyBorder="1" applyAlignment="1">
      <alignment vertical="center"/>
    </xf>
    <xf numFmtId="43" fontId="18" fillId="0" borderId="5" xfId="0" applyNumberFormat="1" applyFont="1" applyBorder="1" applyAlignment="1">
      <alignment vertical="center"/>
    </xf>
    <xf numFmtId="0" fontId="7" fillId="0" borderId="2" xfId="0" applyFont="1" applyBorder="1" applyAlignment="1">
      <alignment horizontal="center"/>
    </xf>
    <xf numFmtId="0" fontId="29" fillId="3" borderId="9" xfId="0" applyFont="1" applyFill="1" applyBorder="1"/>
    <xf numFmtId="0" fontId="29" fillId="3" borderId="11" xfId="0" applyFont="1" applyFill="1" applyBorder="1"/>
    <xf numFmtId="166" fontId="4" fillId="2" borderId="0" xfId="3" applyNumberFormat="1" applyFont="1" applyFill="1" applyAlignment="1">
      <alignment horizontal="right"/>
    </xf>
    <xf numFmtId="166" fontId="0" fillId="2" borderId="0" xfId="3" applyNumberFormat="1" applyFont="1" applyFill="1"/>
    <xf numFmtId="166" fontId="0" fillId="2" borderId="0" xfId="0" applyNumberFormat="1" applyFill="1"/>
  </cellXfs>
  <cellStyles count="4">
    <cellStyle name="Comma" xfId="3" builtinId="3"/>
    <cellStyle name="Currency" xfId="1" builtinId="4"/>
    <cellStyle name="Normal" xfId="0" builtinId="0"/>
    <cellStyle name="Percent" xfId="2" builtinId="5"/>
  </cellStyles>
  <dxfs count="39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200025</xdr:colOff>
      <xdr:row>0</xdr:row>
      <xdr:rowOff>161925</xdr:rowOff>
    </xdr:from>
    <xdr:to>
      <xdr:col>3</xdr:col>
      <xdr:colOff>1114425</xdr:colOff>
      <xdr:row>4</xdr:row>
      <xdr:rowOff>85725</xdr:rowOff>
    </xdr:to>
    <xdr:sp macro="[0]!UpdateMultipliersGroup" textlink="">
      <xdr:nvSpPr>
        <xdr:cNvPr id="2" name="Rectangle 1">
          <a:extLst>
            <a:ext uri="{FF2B5EF4-FFF2-40B4-BE49-F238E27FC236}">
              <a16:creationId xmlns:a16="http://schemas.microsoft.com/office/drawing/2014/main" id="{677D85F0-62B1-2EFC-2A3C-1AC9205685BF}"/>
            </a:ext>
          </a:extLst>
        </xdr:cNvPr>
        <xdr:cNvSpPr/>
      </xdr:nvSpPr>
      <xdr:spPr>
        <a:xfrm>
          <a:off x="3895725" y="161925"/>
          <a:ext cx="914400" cy="6858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Update Multipliers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E913BC0-E3D8-4CCA-950F-A7509FC6B526}" name="admin_inputs" displayName="admin_inputs" ref="A1:B6" totalsRowShown="0">
  <autoFilter ref="A1:B6" xr:uid="{7E913BC0-E3D8-4CCA-950F-A7509FC6B526}"/>
  <tableColumns count="2">
    <tableColumn id="1" xr3:uid="{DBCC28E9-5CC8-4346-8F1B-B8CC81979271}" name="Keys"/>
    <tableColumn id="2" xr3:uid="{BC9C663B-3B3C-4AB3-A127-6F36C4D9E41D}" name="Value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1E0AE69-AE86-439F-8B86-A6C16D189F1B}" name="fi_inputs" displayName="fi_inputs" ref="A1:D44" totalsRowShown="0">
  <autoFilter ref="A1:D44" xr:uid="{41E0AE69-AE86-439F-8B86-A6C16D189F1B}"/>
  <sortState xmlns:xlrd2="http://schemas.microsoft.com/office/spreadsheetml/2017/richdata2" ref="A2:D44">
    <sortCondition ref="C1:C44"/>
  </sortState>
  <tableColumns count="4">
    <tableColumn id="1" xr3:uid="{4425B6E4-20BC-47CF-A149-57992AA900B4}" name="my_fi_name"/>
    <tableColumn id="2" xr3:uid="{37DFEB1C-D09E-4AD1-B1A8-D6941BD84D2E}" name="my_pf_name"/>
    <tableColumn id="5" xr3:uid="{1C677B6D-D63E-4271-8F12-49B31EA5C0F2}" name="anchor_fi"/>
    <tableColumn id="3" xr3:uid="{B174390F-1C67-417C-A283-D8C2F19DC00A}" name="moving_avg_days" dataDxfId="3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223B66-DD64-4B52-A1F6-E049BD827304}">
  <sheetPr codeName="Sheet1"/>
  <dimension ref="A1:D6"/>
  <sheetViews>
    <sheetView workbookViewId="0">
      <selection activeCell="C29" sqref="C29"/>
    </sheetView>
  </sheetViews>
  <sheetFormatPr defaultRowHeight="15" x14ac:dyDescent="0.25"/>
  <cols>
    <col min="1" max="1" width="28" bestFit="1" customWidth="1"/>
    <col min="2" max="2" width="15.85546875" bestFit="1" customWidth="1"/>
    <col min="3" max="3" width="11.5703125" bestFit="1" customWidth="1"/>
    <col min="4" max="4" width="19.42578125" customWidth="1"/>
    <col min="13" max="13" width="17" customWidth="1"/>
    <col min="14" max="14" width="17.140625" customWidth="1"/>
  </cols>
  <sheetData>
    <row r="1" spans="1:4" x14ac:dyDescent="0.25">
      <c r="A1" t="s">
        <v>12</v>
      </c>
      <c r="B1" t="s">
        <v>13</v>
      </c>
    </row>
    <row r="2" spans="1:4" x14ac:dyDescent="0.25">
      <c r="A2" t="s">
        <v>89</v>
      </c>
      <c r="B2" t="str" cm="1">
        <f t="array" aca="1" ref="B2" ca="1">_xlfn.TEXTAFTER(CELL("filename",'FI INPUTS'!A1),"]")</f>
        <v>FI INPUTS</v>
      </c>
    </row>
    <row r="3" spans="1:4" x14ac:dyDescent="0.25">
      <c r="A3" t="s">
        <v>90</v>
      </c>
      <c r="B3" t="s">
        <v>91</v>
      </c>
    </row>
    <row r="4" spans="1:4" x14ac:dyDescent="0.25">
      <c r="A4" t="s">
        <v>38</v>
      </c>
      <c r="B4" t="str" cm="1">
        <f t="array" aca="1" ref="B4" ca="1">_xlfn.TEXTAFTER(CELL("filename",'TRADING INPUTS'!B1),"]")</f>
        <v>TRADING INPUTS</v>
      </c>
    </row>
    <row r="5" spans="1:4" x14ac:dyDescent="0.25">
      <c r="A5" t="s">
        <v>92</v>
      </c>
      <c r="B5" t="s">
        <v>93</v>
      </c>
    </row>
    <row r="6" spans="1:4" x14ac:dyDescent="0.25">
      <c r="A6" t="s">
        <v>94</v>
      </c>
      <c r="B6" t="s">
        <v>39</v>
      </c>
      <c r="D6" s="39">
        <v>46259.358969907407</v>
      </c>
    </row>
  </sheetData>
  <phoneticPr fontId="2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4A0C6A-C81F-4362-A841-5F39AFD14BA6}">
  <sheetPr codeName="Sheet2"/>
  <dimension ref="A1:D44"/>
  <sheetViews>
    <sheetView workbookViewId="0">
      <selection activeCell="F11" sqref="F11"/>
    </sheetView>
  </sheetViews>
  <sheetFormatPr defaultRowHeight="15" x14ac:dyDescent="0.25"/>
  <cols>
    <col min="1" max="1" width="14" bestFit="1" customWidth="1"/>
    <col min="2" max="2" width="14.5703125" bestFit="1" customWidth="1"/>
    <col min="3" max="3" width="11.5703125" bestFit="1" customWidth="1"/>
    <col min="4" max="4" width="18.85546875" style="1" bestFit="1" customWidth="1"/>
    <col min="5" max="5" width="16.42578125" bestFit="1" customWidth="1"/>
  </cols>
  <sheetData>
    <row r="1" spans="1:4" x14ac:dyDescent="0.25">
      <c r="A1" t="s">
        <v>2</v>
      </c>
      <c r="B1" t="s">
        <v>1</v>
      </c>
      <c r="C1" t="s">
        <v>14</v>
      </c>
      <c r="D1" s="1" t="s">
        <v>11</v>
      </c>
    </row>
    <row r="2" spans="1:4" x14ac:dyDescent="0.25">
      <c r="A2" t="s">
        <v>10</v>
      </c>
      <c r="B2" t="s">
        <v>0</v>
      </c>
      <c r="C2" t="s">
        <v>10</v>
      </c>
      <c r="D2" s="1">
        <v>20</v>
      </c>
    </row>
    <row r="3" spans="1:4" x14ac:dyDescent="0.25">
      <c r="A3" t="s">
        <v>9</v>
      </c>
      <c r="B3" t="s">
        <v>0</v>
      </c>
      <c r="C3" t="s">
        <v>10</v>
      </c>
      <c r="D3" s="1">
        <v>20</v>
      </c>
    </row>
    <row r="4" spans="1:4" x14ac:dyDescent="0.25">
      <c r="A4" t="s">
        <v>6</v>
      </c>
      <c r="B4" t="s">
        <v>0</v>
      </c>
      <c r="C4" t="s">
        <v>10</v>
      </c>
      <c r="D4" s="1">
        <v>20</v>
      </c>
    </row>
    <row r="5" spans="1:4" x14ac:dyDescent="0.25">
      <c r="A5" t="s">
        <v>7</v>
      </c>
      <c r="B5" t="s">
        <v>0</v>
      </c>
      <c r="C5" t="s">
        <v>10</v>
      </c>
      <c r="D5" s="1">
        <v>20</v>
      </c>
    </row>
    <row r="6" spans="1:4" x14ac:dyDescent="0.25">
      <c r="A6" t="s">
        <v>48</v>
      </c>
      <c r="B6" t="s">
        <v>0</v>
      </c>
      <c r="C6" t="s">
        <v>48</v>
      </c>
      <c r="D6" s="1">
        <v>20</v>
      </c>
    </row>
    <row r="7" spans="1:4" x14ac:dyDescent="0.25">
      <c r="A7" t="s">
        <v>55</v>
      </c>
      <c r="B7" t="s">
        <v>0</v>
      </c>
      <c r="C7" t="s">
        <v>48</v>
      </c>
      <c r="D7" s="1">
        <v>20</v>
      </c>
    </row>
    <row r="8" spans="1:4" x14ac:dyDescent="0.25">
      <c r="A8" t="s">
        <v>35</v>
      </c>
      <c r="B8" t="s">
        <v>0</v>
      </c>
      <c r="C8" t="s">
        <v>35</v>
      </c>
      <c r="D8" s="1">
        <v>20</v>
      </c>
    </row>
    <row r="9" spans="1:4" x14ac:dyDescent="0.25">
      <c r="A9" t="s">
        <v>32</v>
      </c>
      <c r="B9" t="s">
        <v>0</v>
      </c>
      <c r="C9" t="s">
        <v>35</v>
      </c>
      <c r="D9" s="1">
        <v>20</v>
      </c>
    </row>
    <row r="10" spans="1:4" x14ac:dyDescent="0.25">
      <c r="A10" t="s">
        <v>33</v>
      </c>
      <c r="B10" t="s">
        <v>0</v>
      </c>
      <c r="C10" t="s">
        <v>35</v>
      </c>
      <c r="D10" s="1">
        <v>20</v>
      </c>
    </row>
    <row r="11" spans="1:4" x14ac:dyDescent="0.25">
      <c r="A11" t="s">
        <v>34</v>
      </c>
      <c r="B11" t="s">
        <v>0</v>
      </c>
      <c r="C11" t="s">
        <v>35</v>
      </c>
      <c r="D11" s="1">
        <v>20</v>
      </c>
    </row>
    <row r="12" spans="1:4" x14ac:dyDescent="0.25">
      <c r="A12" t="s">
        <v>53</v>
      </c>
      <c r="B12" t="s">
        <v>0</v>
      </c>
      <c r="C12" t="s">
        <v>53</v>
      </c>
      <c r="D12" s="1">
        <v>20</v>
      </c>
    </row>
    <row r="13" spans="1:4" x14ac:dyDescent="0.25">
      <c r="A13" t="s">
        <v>66</v>
      </c>
      <c r="B13" t="s">
        <v>0</v>
      </c>
      <c r="C13" t="s">
        <v>53</v>
      </c>
      <c r="D13" s="1">
        <v>20</v>
      </c>
    </row>
    <row r="14" spans="1:4" x14ac:dyDescent="0.25">
      <c r="A14" t="s">
        <v>49</v>
      </c>
      <c r="B14" t="s">
        <v>0</v>
      </c>
      <c r="C14" t="s">
        <v>56</v>
      </c>
      <c r="D14" s="1">
        <v>20</v>
      </c>
    </row>
    <row r="15" spans="1:4" x14ac:dyDescent="0.25">
      <c r="A15" t="s">
        <v>56</v>
      </c>
      <c r="B15" t="s">
        <v>0</v>
      </c>
      <c r="C15" t="s">
        <v>56</v>
      </c>
      <c r="D15" s="1">
        <v>20</v>
      </c>
    </row>
    <row r="16" spans="1:4" x14ac:dyDescent="0.25">
      <c r="A16" t="s">
        <v>52</v>
      </c>
      <c r="B16" t="s">
        <v>0</v>
      </c>
      <c r="C16" t="s">
        <v>57</v>
      </c>
      <c r="D16" s="1">
        <v>20</v>
      </c>
    </row>
    <row r="17" spans="1:4" x14ac:dyDescent="0.25">
      <c r="A17" t="s">
        <v>57</v>
      </c>
      <c r="B17" t="s">
        <v>0</v>
      </c>
      <c r="C17" t="s">
        <v>57</v>
      </c>
      <c r="D17" s="1">
        <v>20</v>
      </c>
    </row>
    <row r="18" spans="1:4" x14ac:dyDescent="0.25">
      <c r="A18" t="s">
        <v>50</v>
      </c>
      <c r="B18" t="s">
        <v>0</v>
      </c>
      <c r="C18" t="s">
        <v>58</v>
      </c>
      <c r="D18" s="1">
        <v>20</v>
      </c>
    </row>
    <row r="19" spans="1:4" x14ac:dyDescent="0.25">
      <c r="A19" t="s">
        <v>58</v>
      </c>
      <c r="B19" t="s">
        <v>0</v>
      </c>
      <c r="C19" t="s">
        <v>58</v>
      </c>
      <c r="D19" s="1">
        <v>20</v>
      </c>
    </row>
    <row r="20" spans="1:4" x14ac:dyDescent="0.25">
      <c r="A20" t="s">
        <v>19</v>
      </c>
      <c r="B20" t="s">
        <v>0</v>
      </c>
      <c r="C20" t="s">
        <v>20</v>
      </c>
      <c r="D20" s="1">
        <v>20</v>
      </c>
    </row>
    <row r="21" spans="1:4" x14ac:dyDescent="0.25">
      <c r="A21" t="s">
        <v>17</v>
      </c>
      <c r="B21" t="s">
        <v>0</v>
      </c>
      <c r="C21" t="s">
        <v>20</v>
      </c>
      <c r="D21" s="1">
        <v>20</v>
      </c>
    </row>
    <row r="22" spans="1:4" x14ac:dyDescent="0.25">
      <c r="A22" t="s">
        <v>20</v>
      </c>
      <c r="B22" t="s">
        <v>0</v>
      </c>
      <c r="C22" t="s">
        <v>20</v>
      </c>
      <c r="D22" s="1">
        <v>20</v>
      </c>
    </row>
    <row r="23" spans="1:4" x14ac:dyDescent="0.25">
      <c r="A23" t="s">
        <v>16</v>
      </c>
      <c r="B23" t="s">
        <v>0</v>
      </c>
      <c r="C23" t="s">
        <v>20</v>
      </c>
      <c r="D23" s="1">
        <v>20</v>
      </c>
    </row>
    <row r="24" spans="1:4" x14ac:dyDescent="0.25">
      <c r="A24" t="s">
        <v>15</v>
      </c>
      <c r="B24" t="s">
        <v>0</v>
      </c>
      <c r="C24" t="s">
        <v>20</v>
      </c>
      <c r="D24" s="1">
        <v>20</v>
      </c>
    </row>
    <row r="25" spans="1:4" x14ac:dyDescent="0.25">
      <c r="A25" t="s">
        <v>18</v>
      </c>
      <c r="B25" t="s">
        <v>0</v>
      </c>
      <c r="C25" t="s">
        <v>20</v>
      </c>
      <c r="D25" s="1">
        <v>20</v>
      </c>
    </row>
    <row r="26" spans="1:4" x14ac:dyDescent="0.25">
      <c r="A26" t="s">
        <v>23</v>
      </c>
      <c r="B26" t="s">
        <v>0</v>
      </c>
      <c r="C26" t="s">
        <v>23</v>
      </c>
      <c r="D26" s="1">
        <v>20</v>
      </c>
    </row>
    <row r="27" spans="1:4" x14ac:dyDescent="0.25">
      <c r="A27" t="s">
        <v>21</v>
      </c>
      <c r="B27" t="s">
        <v>0</v>
      </c>
      <c r="C27" t="s">
        <v>23</v>
      </c>
      <c r="D27" s="1">
        <v>20</v>
      </c>
    </row>
    <row r="28" spans="1:4" x14ac:dyDescent="0.25">
      <c r="A28" t="s">
        <v>22</v>
      </c>
      <c r="B28" t="s">
        <v>0</v>
      </c>
      <c r="C28" t="s">
        <v>23</v>
      </c>
      <c r="D28" s="1">
        <v>20</v>
      </c>
    </row>
    <row r="29" spans="1:4" x14ac:dyDescent="0.25">
      <c r="A29" t="s">
        <v>4</v>
      </c>
      <c r="B29" t="s">
        <v>0</v>
      </c>
      <c r="C29" t="s">
        <v>4</v>
      </c>
      <c r="D29" s="1">
        <v>20</v>
      </c>
    </row>
    <row r="30" spans="1:4" x14ac:dyDescent="0.25">
      <c r="A30" t="s">
        <v>24</v>
      </c>
      <c r="B30" t="s">
        <v>0</v>
      </c>
      <c r="C30" t="s">
        <v>4</v>
      </c>
      <c r="D30" s="1">
        <v>20</v>
      </c>
    </row>
    <row r="31" spans="1:4" x14ac:dyDescent="0.25">
      <c r="A31" t="s">
        <v>3</v>
      </c>
      <c r="B31" t="s">
        <v>0</v>
      </c>
      <c r="C31" t="s">
        <v>4</v>
      </c>
      <c r="D31" s="1">
        <v>20</v>
      </c>
    </row>
    <row r="32" spans="1:4" x14ac:dyDescent="0.25">
      <c r="A32" t="s">
        <v>61</v>
      </c>
      <c r="B32" t="s">
        <v>0</v>
      </c>
      <c r="C32" t="s">
        <v>61</v>
      </c>
      <c r="D32" s="1">
        <v>20</v>
      </c>
    </row>
    <row r="33" spans="1:4" x14ac:dyDescent="0.25">
      <c r="A33" t="s">
        <v>62</v>
      </c>
      <c r="B33" t="s">
        <v>0</v>
      </c>
      <c r="C33" t="s">
        <v>61</v>
      </c>
      <c r="D33" s="1">
        <v>20</v>
      </c>
    </row>
    <row r="34" spans="1:4" x14ac:dyDescent="0.25">
      <c r="A34" t="s">
        <v>63</v>
      </c>
      <c r="B34" t="s">
        <v>0</v>
      </c>
      <c r="C34" t="s">
        <v>64</v>
      </c>
      <c r="D34" s="1">
        <v>20</v>
      </c>
    </row>
    <row r="35" spans="1:4" x14ac:dyDescent="0.25">
      <c r="A35" t="s">
        <v>64</v>
      </c>
      <c r="B35" t="s">
        <v>0</v>
      </c>
      <c r="C35" t="s">
        <v>64</v>
      </c>
      <c r="D35" s="1">
        <v>20</v>
      </c>
    </row>
    <row r="36" spans="1:4" x14ac:dyDescent="0.25">
      <c r="A36" t="s">
        <v>26</v>
      </c>
      <c r="B36" t="s">
        <v>0</v>
      </c>
      <c r="C36" t="s">
        <v>27</v>
      </c>
      <c r="D36" s="1">
        <v>20</v>
      </c>
    </row>
    <row r="37" spans="1:4" x14ac:dyDescent="0.25">
      <c r="A37" t="s">
        <v>25</v>
      </c>
      <c r="B37" t="s">
        <v>0</v>
      </c>
      <c r="C37" t="s">
        <v>27</v>
      </c>
      <c r="D37" s="1">
        <v>20</v>
      </c>
    </row>
    <row r="38" spans="1:4" x14ac:dyDescent="0.25">
      <c r="A38" t="s">
        <v>27</v>
      </c>
      <c r="B38" t="s">
        <v>0</v>
      </c>
      <c r="C38" t="s">
        <v>27</v>
      </c>
      <c r="D38" s="1">
        <v>20</v>
      </c>
    </row>
    <row r="39" spans="1:4" x14ac:dyDescent="0.25">
      <c r="A39" t="s">
        <v>29</v>
      </c>
      <c r="B39" t="s">
        <v>0</v>
      </c>
      <c r="C39" t="s">
        <v>31</v>
      </c>
      <c r="D39" s="1">
        <v>20</v>
      </c>
    </row>
    <row r="40" spans="1:4" x14ac:dyDescent="0.25">
      <c r="A40" t="s">
        <v>28</v>
      </c>
      <c r="B40" t="s">
        <v>0</v>
      </c>
      <c r="C40" t="s">
        <v>31</v>
      </c>
      <c r="D40" s="1">
        <v>20</v>
      </c>
    </row>
    <row r="41" spans="1:4" x14ac:dyDescent="0.25">
      <c r="A41" t="s">
        <v>30</v>
      </c>
      <c r="B41" t="s">
        <v>0</v>
      </c>
      <c r="C41" t="s">
        <v>31</v>
      </c>
      <c r="D41" s="1">
        <v>20</v>
      </c>
    </row>
    <row r="42" spans="1:4" x14ac:dyDescent="0.25">
      <c r="A42" t="s">
        <v>31</v>
      </c>
      <c r="B42" t="s">
        <v>0</v>
      </c>
      <c r="C42" t="s">
        <v>31</v>
      </c>
      <c r="D42" s="1">
        <v>20</v>
      </c>
    </row>
    <row r="43" spans="1:4" x14ac:dyDescent="0.25">
      <c r="A43" t="s">
        <v>51</v>
      </c>
      <c r="B43" t="s">
        <v>0</v>
      </c>
      <c r="C43" t="s">
        <v>65</v>
      </c>
      <c r="D43" s="1">
        <v>20</v>
      </c>
    </row>
    <row r="44" spans="1:4" x14ac:dyDescent="0.25">
      <c r="A44" t="s">
        <v>65</v>
      </c>
      <c r="B44" t="s">
        <v>0</v>
      </c>
      <c r="C44" t="s">
        <v>65</v>
      </c>
      <c r="D44" s="1">
        <v>20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1F6C1-E4F3-4B42-9841-0C92920A773A}">
  <sheetPr codeName="Sheet3"/>
  <dimension ref="A1:J49"/>
  <sheetViews>
    <sheetView workbookViewId="0">
      <selection activeCell="M20" sqref="M20"/>
    </sheetView>
  </sheetViews>
  <sheetFormatPr defaultRowHeight="15" x14ac:dyDescent="0.25"/>
  <cols>
    <col min="1" max="1" width="13.140625" bestFit="1" customWidth="1"/>
    <col min="2" max="2" width="11.42578125" bestFit="1" customWidth="1"/>
    <col min="3" max="3" width="12" bestFit="1" customWidth="1"/>
    <col min="4" max="4" width="15" style="6" bestFit="1" customWidth="1"/>
    <col min="5" max="5" width="16" style="2" bestFit="1" customWidth="1"/>
    <col min="6" max="6" width="16.28515625" style="2" bestFit="1" customWidth="1"/>
    <col min="7" max="7" width="15.28515625" style="6" bestFit="1" customWidth="1"/>
    <col min="8" max="8" width="19" style="2" bestFit="1" customWidth="1"/>
    <col min="9" max="9" width="10.28515625" style="6" bestFit="1" customWidth="1"/>
    <col min="11" max="11" width="11.42578125" bestFit="1" customWidth="1"/>
  </cols>
  <sheetData>
    <row r="1" spans="1:10" x14ac:dyDescent="0.25">
      <c r="A1" t="s">
        <v>40</v>
      </c>
      <c r="B1" t="s">
        <v>2</v>
      </c>
      <c r="C1" t="s">
        <v>1</v>
      </c>
      <c r="D1" s="6" t="s">
        <v>41</v>
      </c>
      <c r="E1" s="2" t="s">
        <v>42</v>
      </c>
      <c r="F1" s="2" t="s">
        <v>43</v>
      </c>
      <c r="G1" s="6" t="s">
        <v>44</v>
      </c>
      <c r="H1" s="2" t="s">
        <v>45</v>
      </c>
      <c r="I1" s="6" t="s">
        <v>67</v>
      </c>
      <c r="J1" t="s">
        <v>46</v>
      </c>
    </row>
    <row r="2" spans="1:10" x14ac:dyDescent="0.25">
      <c r="A2" t="s">
        <v>47</v>
      </c>
      <c r="B2" t="s">
        <v>10</v>
      </c>
      <c r="C2" t="s">
        <v>0</v>
      </c>
      <c r="D2" s="6">
        <v>100</v>
      </c>
      <c r="E2" s="2">
        <v>97.78</v>
      </c>
      <c r="F2" s="2">
        <v>98.1</v>
      </c>
      <c r="G2" s="6">
        <v>500</v>
      </c>
      <c r="H2" s="2">
        <v>97.550003000000004</v>
      </c>
      <c r="I2" s="6">
        <v>0</v>
      </c>
      <c r="J2" t="s">
        <v>120</v>
      </c>
    </row>
    <row r="3" spans="1:10" x14ac:dyDescent="0.25">
      <c r="A3" t="s">
        <v>47</v>
      </c>
      <c r="B3" t="s">
        <v>48</v>
      </c>
      <c r="C3" t="s">
        <v>0</v>
      </c>
      <c r="D3" s="6">
        <v>100</v>
      </c>
      <c r="E3" s="2">
        <v>28.9</v>
      </c>
      <c r="F3" s="2">
        <v>29.13</v>
      </c>
      <c r="G3" s="6">
        <v>100</v>
      </c>
      <c r="H3" s="2">
        <v>29.030000999999999</v>
      </c>
      <c r="I3" s="6">
        <v>0</v>
      </c>
      <c r="J3" t="s">
        <v>120</v>
      </c>
    </row>
    <row r="4" spans="1:10" x14ac:dyDescent="0.25">
      <c r="A4" t="s">
        <v>47</v>
      </c>
      <c r="B4" t="s">
        <v>9</v>
      </c>
      <c r="C4" t="s">
        <v>0</v>
      </c>
      <c r="D4" s="6">
        <v>200</v>
      </c>
      <c r="E4" s="2">
        <v>72.650000000000006</v>
      </c>
      <c r="F4" s="2">
        <v>72.7</v>
      </c>
      <c r="G4" s="6">
        <v>700</v>
      </c>
      <c r="H4" s="2">
        <v>72.370002999999997</v>
      </c>
      <c r="I4" s="6">
        <v>0</v>
      </c>
      <c r="J4" t="s">
        <v>120</v>
      </c>
    </row>
    <row r="5" spans="1:10" x14ac:dyDescent="0.25">
      <c r="A5" t="s">
        <v>47</v>
      </c>
      <c r="B5" t="s">
        <v>49</v>
      </c>
      <c r="C5" t="s">
        <v>0</v>
      </c>
      <c r="D5" s="6">
        <v>200</v>
      </c>
      <c r="E5" s="2">
        <v>47.5</v>
      </c>
      <c r="F5" s="2">
        <v>48.06</v>
      </c>
      <c r="G5" s="6">
        <v>100</v>
      </c>
      <c r="H5" s="2">
        <v>47.68</v>
      </c>
      <c r="I5" s="6">
        <v>0</v>
      </c>
      <c r="J5" t="s">
        <v>120</v>
      </c>
    </row>
    <row r="6" spans="1:10" x14ac:dyDescent="0.25">
      <c r="A6" t="s">
        <v>47</v>
      </c>
      <c r="B6" t="s">
        <v>50</v>
      </c>
      <c r="C6" t="s">
        <v>0</v>
      </c>
      <c r="D6" s="6">
        <v>100</v>
      </c>
      <c r="E6" s="2">
        <v>21.94</v>
      </c>
      <c r="F6" s="2">
        <v>22.42</v>
      </c>
      <c r="G6" s="6">
        <v>100</v>
      </c>
      <c r="H6" s="2">
        <v>21.950001</v>
      </c>
      <c r="I6" s="6">
        <v>0</v>
      </c>
      <c r="J6" t="s">
        <v>120</v>
      </c>
    </row>
    <row r="7" spans="1:10" x14ac:dyDescent="0.25">
      <c r="A7" t="s">
        <v>47</v>
      </c>
      <c r="B7" t="s">
        <v>51</v>
      </c>
      <c r="C7" t="s">
        <v>0</v>
      </c>
      <c r="D7" s="6">
        <v>2000</v>
      </c>
      <c r="E7" s="2">
        <v>56.45</v>
      </c>
      <c r="F7" s="2">
        <v>56.63</v>
      </c>
      <c r="G7" s="6">
        <v>2500</v>
      </c>
      <c r="H7" s="2">
        <v>56.525002000000001</v>
      </c>
      <c r="I7" s="6">
        <v>0</v>
      </c>
      <c r="J7" t="s">
        <v>120</v>
      </c>
    </row>
    <row r="8" spans="1:10" x14ac:dyDescent="0.25">
      <c r="A8" t="s">
        <v>47</v>
      </c>
      <c r="B8" t="s">
        <v>35</v>
      </c>
      <c r="C8" t="s">
        <v>0</v>
      </c>
      <c r="D8" s="6">
        <v>1000</v>
      </c>
      <c r="E8" s="2">
        <v>90.33</v>
      </c>
      <c r="F8" s="2">
        <v>100.92</v>
      </c>
      <c r="G8" s="6">
        <v>100</v>
      </c>
      <c r="H8" s="2">
        <v>95.029999000000004</v>
      </c>
      <c r="I8" s="6">
        <v>0</v>
      </c>
      <c r="J8" t="s">
        <v>120</v>
      </c>
    </row>
    <row r="9" spans="1:10" x14ac:dyDescent="0.25">
      <c r="A9" t="s">
        <v>47</v>
      </c>
      <c r="B9" t="s">
        <v>52</v>
      </c>
      <c r="C9" t="s">
        <v>0</v>
      </c>
      <c r="D9" s="6">
        <v>100</v>
      </c>
      <c r="E9" s="2">
        <v>97.82</v>
      </c>
      <c r="F9" s="2">
        <v>103.96</v>
      </c>
      <c r="G9" s="6">
        <v>100</v>
      </c>
      <c r="H9" s="2">
        <v>102.660004</v>
      </c>
      <c r="I9" s="6">
        <v>223</v>
      </c>
      <c r="J9" t="s">
        <v>120</v>
      </c>
    </row>
    <row r="10" spans="1:10" x14ac:dyDescent="0.25">
      <c r="A10" t="s">
        <v>47</v>
      </c>
      <c r="B10" t="s">
        <v>53</v>
      </c>
      <c r="C10" t="s">
        <v>0</v>
      </c>
      <c r="D10" s="6">
        <v>100</v>
      </c>
      <c r="E10" s="2">
        <v>94.25</v>
      </c>
      <c r="F10" s="2">
        <v>95.84</v>
      </c>
      <c r="G10" s="6">
        <v>2000</v>
      </c>
      <c r="H10" s="2">
        <v>94.849997999999999</v>
      </c>
      <c r="I10" s="6">
        <v>0</v>
      </c>
      <c r="J10" t="s">
        <v>120</v>
      </c>
    </row>
    <row r="11" spans="1:10" x14ac:dyDescent="0.25">
      <c r="A11" t="s">
        <v>47</v>
      </c>
      <c r="B11" t="s">
        <v>54</v>
      </c>
      <c r="C11" t="s">
        <v>0</v>
      </c>
      <c r="D11" s="6">
        <v>5000</v>
      </c>
      <c r="E11" s="2">
        <v>25.75</v>
      </c>
      <c r="F11" s="2">
        <v>26</v>
      </c>
      <c r="G11" s="6">
        <v>6600</v>
      </c>
      <c r="H11" s="2">
        <v>25.82</v>
      </c>
      <c r="I11" s="6">
        <v>0</v>
      </c>
      <c r="J11" t="s">
        <v>120</v>
      </c>
    </row>
    <row r="12" spans="1:10" x14ac:dyDescent="0.25">
      <c r="A12" t="s">
        <v>47</v>
      </c>
      <c r="B12" t="s">
        <v>55</v>
      </c>
      <c r="C12" t="s">
        <v>0</v>
      </c>
      <c r="D12" s="6">
        <v>100</v>
      </c>
      <c r="E12" s="2">
        <v>26.75</v>
      </c>
      <c r="F12" s="2">
        <v>27.27</v>
      </c>
      <c r="G12" s="6">
        <v>4000</v>
      </c>
      <c r="H12" s="2">
        <v>27.030000999999999</v>
      </c>
      <c r="I12" s="6">
        <v>0</v>
      </c>
      <c r="J12" t="s">
        <v>120</v>
      </c>
    </row>
    <row r="13" spans="1:10" x14ac:dyDescent="0.25">
      <c r="A13" t="s">
        <v>47</v>
      </c>
      <c r="B13" t="s">
        <v>19</v>
      </c>
      <c r="C13" t="s">
        <v>0</v>
      </c>
      <c r="D13" s="6">
        <v>1000</v>
      </c>
      <c r="E13" s="2">
        <v>79.83</v>
      </c>
      <c r="F13" s="2">
        <v>79.91</v>
      </c>
      <c r="G13" s="6">
        <v>100</v>
      </c>
      <c r="H13" s="2">
        <v>79.699996999999996</v>
      </c>
      <c r="I13" s="6">
        <v>0</v>
      </c>
      <c r="J13" t="s">
        <v>120</v>
      </c>
    </row>
    <row r="14" spans="1:10" x14ac:dyDescent="0.25">
      <c r="A14" t="s">
        <v>47</v>
      </c>
      <c r="B14" t="s">
        <v>17</v>
      </c>
      <c r="C14" t="s">
        <v>0</v>
      </c>
      <c r="D14" s="6">
        <v>500</v>
      </c>
      <c r="E14" s="2">
        <v>36.200000000000003</v>
      </c>
      <c r="F14" s="2">
        <v>37.119999999999997</v>
      </c>
      <c r="G14" s="6">
        <v>200</v>
      </c>
      <c r="H14" s="2">
        <v>36.360000999999997</v>
      </c>
      <c r="I14" s="6">
        <v>0</v>
      </c>
      <c r="J14" t="s">
        <v>120</v>
      </c>
    </row>
    <row r="15" spans="1:10" x14ac:dyDescent="0.25">
      <c r="A15" t="s">
        <v>47</v>
      </c>
      <c r="B15" t="s">
        <v>56</v>
      </c>
      <c r="C15" t="s">
        <v>0</v>
      </c>
      <c r="D15" s="6">
        <v>200</v>
      </c>
      <c r="E15" s="2">
        <v>49.5</v>
      </c>
      <c r="F15" s="2">
        <v>52.78</v>
      </c>
      <c r="G15" s="6">
        <v>300</v>
      </c>
      <c r="H15" s="2">
        <v>49.810001</v>
      </c>
      <c r="I15" s="6">
        <v>0</v>
      </c>
      <c r="J15" t="s">
        <v>120</v>
      </c>
    </row>
    <row r="16" spans="1:10" x14ac:dyDescent="0.25">
      <c r="A16" t="s">
        <v>47</v>
      </c>
      <c r="B16" t="s">
        <v>57</v>
      </c>
      <c r="C16" t="s">
        <v>0</v>
      </c>
      <c r="D16" s="6">
        <v>100</v>
      </c>
      <c r="E16" s="2">
        <v>109.7</v>
      </c>
      <c r="F16" s="2">
        <v>121.3</v>
      </c>
      <c r="G16" s="6">
        <v>300</v>
      </c>
      <c r="H16" s="2">
        <v>114.720001</v>
      </c>
      <c r="I16" s="6">
        <v>-200</v>
      </c>
      <c r="J16" t="s">
        <v>120</v>
      </c>
    </row>
    <row r="17" spans="1:10" x14ac:dyDescent="0.25">
      <c r="A17" t="s">
        <v>47</v>
      </c>
      <c r="B17" t="s">
        <v>26</v>
      </c>
      <c r="C17" t="s">
        <v>0</v>
      </c>
      <c r="D17" s="6">
        <v>100</v>
      </c>
      <c r="E17" s="2">
        <v>47.51</v>
      </c>
      <c r="F17" s="2">
        <v>49.95</v>
      </c>
      <c r="G17" s="6">
        <v>100</v>
      </c>
      <c r="H17" s="2">
        <v>47.98</v>
      </c>
      <c r="I17" s="6">
        <v>0</v>
      </c>
      <c r="J17" t="s">
        <v>120</v>
      </c>
    </row>
    <row r="18" spans="1:10" x14ac:dyDescent="0.25">
      <c r="A18" t="s">
        <v>47</v>
      </c>
      <c r="B18" t="s">
        <v>58</v>
      </c>
      <c r="C18" t="s">
        <v>0</v>
      </c>
      <c r="D18" s="6">
        <v>100</v>
      </c>
      <c r="E18" s="2">
        <v>39.700000000000003</v>
      </c>
      <c r="F18" s="2">
        <v>41.83</v>
      </c>
      <c r="G18" s="6">
        <v>200</v>
      </c>
      <c r="H18" s="2">
        <v>41.470001000000003</v>
      </c>
      <c r="I18" s="6">
        <v>0</v>
      </c>
      <c r="J18" t="s">
        <v>120</v>
      </c>
    </row>
    <row r="19" spans="1:10" x14ac:dyDescent="0.25">
      <c r="A19" t="s">
        <v>47</v>
      </c>
      <c r="B19" t="s">
        <v>8</v>
      </c>
      <c r="C19" t="s">
        <v>0</v>
      </c>
      <c r="D19" s="6">
        <v>100</v>
      </c>
      <c r="E19" s="2">
        <v>45.2</v>
      </c>
      <c r="F19" s="2">
        <v>46</v>
      </c>
      <c r="G19" s="6">
        <v>100</v>
      </c>
      <c r="H19" s="2">
        <v>45.509998000000003</v>
      </c>
      <c r="I19" s="6">
        <v>0</v>
      </c>
      <c r="J19" t="s">
        <v>120</v>
      </c>
    </row>
    <row r="20" spans="1:10" x14ac:dyDescent="0.25">
      <c r="A20" t="s">
        <v>47</v>
      </c>
      <c r="B20" t="s">
        <v>20</v>
      </c>
      <c r="C20" t="s">
        <v>0</v>
      </c>
      <c r="D20" s="6">
        <v>1000</v>
      </c>
      <c r="E20" s="2">
        <v>95.64</v>
      </c>
      <c r="F20" s="2">
        <v>96.23</v>
      </c>
      <c r="G20" s="6">
        <v>300</v>
      </c>
      <c r="H20" s="2">
        <v>95.949996999999996</v>
      </c>
      <c r="I20" s="6">
        <v>0</v>
      </c>
      <c r="J20" t="s">
        <v>120</v>
      </c>
    </row>
    <row r="21" spans="1:10" x14ac:dyDescent="0.25">
      <c r="A21" t="s">
        <v>47</v>
      </c>
      <c r="B21" t="s">
        <v>59</v>
      </c>
      <c r="C21" t="s">
        <v>0</v>
      </c>
      <c r="D21" s="6">
        <v>5000</v>
      </c>
      <c r="E21" s="2">
        <v>106.71</v>
      </c>
      <c r="F21" s="2">
        <v>106.91</v>
      </c>
      <c r="G21" s="6">
        <v>1000</v>
      </c>
      <c r="H21" s="2">
        <v>106.18</v>
      </c>
      <c r="I21" s="6">
        <v>0</v>
      </c>
      <c r="J21" t="s">
        <v>120</v>
      </c>
    </row>
    <row r="22" spans="1:10" x14ac:dyDescent="0.25">
      <c r="A22" t="s">
        <v>47</v>
      </c>
      <c r="B22" t="s">
        <v>23</v>
      </c>
      <c r="C22" t="s">
        <v>0</v>
      </c>
      <c r="D22" s="6">
        <v>100</v>
      </c>
      <c r="E22" s="2">
        <v>91.58</v>
      </c>
      <c r="F22" s="2">
        <v>96.5</v>
      </c>
      <c r="G22" s="6">
        <v>300</v>
      </c>
      <c r="H22" s="2">
        <v>93.309997999999993</v>
      </c>
      <c r="I22" s="6">
        <v>0</v>
      </c>
      <c r="J22" t="s">
        <v>120</v>
      </c>
    </row>
    <row r="23" spans="1:10" x14ac:dyDescent="0.25">
      <c r="A23" t="s">
        <v>47</v>
      </c>
      <c r="B23" t="s">
        <v>4</v>
      </c>
      <c r="C23" t="s">
        <v>0</v>
      </c>
      <c r="D23" s="6">
        <v>1000</v>
      </c>
      <c r="E23" s="2">
        <v>105.4</v>
      </c>
      <c r="F23" s="2">
        <v>106.75</v>
      </c>
      <c r="G23" s="6">
        <v>200</v>
      </c>
      <c r="H23" s="2">
        <v>105.410004</v>
      </c>
      <c r="I23" s="6">
        <v>0</v>
      </c>
      <c r="J23" t="s">
        <v>120</v>
      </c>
    </row>
    <row r="24" spans="1:10" x14ac:dyDescent="0.25">
      <c r="A24" t="s">
        <v>47</v>
      </c>
      <c r="B24" t="s">
        <v>60</v>
      </c>
      <c r="C24" t="s">
        <v>0</v>
      </c>
      <c r="D24" s="6">
        <v>100</v>
      </c>
      <c r="E24" s="2">
        <v>20.89</v>
      </c>
      <c r="F24" s="2">
        <v>21.19</v>
      </c>
      <c r="G24" s="6">
        <v>1500</v>
      </c>
      <c r="H24" s="2">
        <v>21.02</v>
      </c>
      <c r="I24" s="6">
        <v>0</v>
      </c>
      <c r="J24" t="s">
        <v>120</v>
      </c>
    </row>
    <row r="25" spans="1:10" x14ac:dyDescent="0.25">
      <c r="A25" t="s">
        <v>47</v>
      </c>
      <c r="B25" t="s">
        <v>61</v>
      </c>
      <c r="C25" t="s">
        <v>0</v>
      </c>
      <c r="D25" s="6">
        <v>100</v>
      </c>
      <c r="E25" s="2">
        <v>30.66</v>
      </c>
      <c r="F25" s="2">
        <v>30.69</v>
      </c>
      <c r="G25" s="6">
        <v>200</v>
      </c>
      <c r="H25" s="2">
        <v>30.51</v>
      </c>
      <c r="I25" s="6">
        <v>-9000</v>
      </c>
      <c r="J25" t="s">
        <v>120</v>
      </c>
    </row>
    <row r="26" spans="1:10" x14ac:dyDescent="0.25">
      <c r="A26" t="s">
        <v>47</v>
      </c>
      <c r="B26" t="s">
        <v>62</v>
      </c>
      <c r="C26" t="s">
        <v>0</v>
      </c>
      <c r="D26" s="6">
        <v>400</v>
      </c>
      <c r="E26" s="2">
        <v>18.420000000000002</v>
      </c>
      <c r="F26" s="2">
        <v>18.600000000000001</v>
      </c>
      <c r="G26" s="6">
        <v>200</v>
      </c>
      <c r="H26" s="2">
        <v>18.399999999999999</v>
      </c>
      <c r="I26" s="6">
        <v>14845</v>
      </c>
      <c r="J26" t="s">
        <v>120</v>
      </c>
    </row>
    <row r="27" spans="1:10" x14ac:dyDescent="0.25">
      <c r="A27" t="s">
        <v>47</v>
      </c>
      <c r="B27" t="s">
        <v>63</v>
      </c>
      <c r="C27" t="s">
        <v>0</v>
      </c>
      <c r="D27" s="6">
        <v>9800</v>
      </c>
      <c r="E27" s="2">
        <v>24.02</v>
      </c>
      <c r="F27" s="2">
        <v>24.55</v>
      </c>
      <c r="G27" s="6">
        <v>11000</v>
      </c>
      <c r="H27" s="2">
        <v>24.18</v>
      </c>
      <c r="I27" s="6">
        <v>0</v>
      </c>
      <c r="J27" t="s">
        <v>120</v>
      </c>
    </row>
    <row r="28" spans="1:10" x14ac:dyDescent="0.25">
      <c r="A28" t="s">
        <v>47</v>
      </c>
      <c r="B28" t="s">
        <v>29</v>
      </c>
      <c r="C28" t="s">
        <v>0</v>
      </c>
      <c r="D28" s="6">
        <v>1000</v>
      </c>
      <c r="E28" s="2">
        <v>30.3</v>
      </c>
      <c r="F28" s="2">
        <v>30.5</v>
      </c>
      <c r="G28" s="6">
        <v>1000</v>
      </c>
      <c r="H28" s="2">
        <v>30.09</v>
      </c>
      <c r="I28" s="6">
        <v>0</v>
      </c>
      <c r="J28" t="s">
        <v>120</v>
      </c>
    </row>
    <row r="29" spans="1:10" x14ac:dyDescent="0.25">
      <c r="A29" t="s">
        <v>47</v>
      </c>
      <c r="B29" t="s">
        <v>6</v>
      </c>
      <c r="C29" t="s">
        <v>0</v>
      </c>
      <c r="D29" s="6">
        <v>18600</v>
      </c>
      <c r="E29" s="2">
        <v>22.73</v>
      </c>
      <c r="F29" s="2">
        <v>22.97</v>
      </c>
      <c r="G29" s="6">
        <v>6100</v>
      </c>
      <c r="H29" s="2">
        <v>22.809999000000001</v>
      </c>
      <c r="I29" s="6">
        <v>0</v>
      </c>
      <c r="J29" t="s">
        <v>120</v>
      </c>
    </row>
    <row r="30" spans="1:10" x14ac:dyDescent="0.25">
      <c r="A30" t="s">
        <v>47</v>
      </c>
      <c r="B30" t="s">
        <v>16</v>
      </c>
      <c r="C30" t="s">
        <v>0</v>
      </c>
      <c r="D30" s="6">
        <v>500</v>
      </c>
      <c r="E30" s="2">
        <v>26.03</v>
      </c>
      <c r="F30" s="2">
        <v>26.1</v>
      </c>
      <c r="G30" s="6">
        <v>15400</v>
      </c>
      <c r="H30" s="2">
        <v>26.040001</v>
      </c>
      <c r="I30" s="6">
        <v>0</v>
      </c>
      <c r="J30" t="s">
        <v>120</v>
      </c>
    </row>
    <row r="31" spans="1:10" x14ac:dyDescent="0.25">
      <c r="A31" t="s">
        <v>47</v>
      </c>
      <c r="B31" t="s">
        <v>7</v>
      </c>
      <c r="C31" t="s">
        <v>0</v>
      </c>
      <c r="D31" s="6">
        <v>100</v>
      </c>
      <c r="E31" s="2">
        <v>25.25</v>
      </c>
      <c r="F31" s="2">
        <v>25.8</v>
      </c>
      <c r="G31" s="6">
        <v>1600</v>
      </c>
      <c r="H31" s="2">
        <v>25.15</v>
      </c>
      <c r="I31" s="6">
        <v>0</v>
      </c>
      <c r="J31" t="s">
        <v>120</v>
      </c>
    </row>
    <row r="32" spans="1:10" x14ac:dyDescent="0.25">
      <c r="A32" t="s">
        <v>47</v>
      </c>
      <c r="B32" t="s">
        <v>32</v>
      </c>
      <c r="C32" t="s">
        <v>0</v>
      </c>
      <c r="D32" s="6">
        <v>200</v>
      </c>
      <c r="E32" s="2">
        <v>28.58</v>
      </c>
      <c r="F32" s="2">
        <v>29.82</v>
      </c>
      <c r="G32" s="6">
        <v>200</v>
      </c>
      <c r="H32" s="2">
        <v>28.450001</v>
      </c>
      <c r="I32" s="6">
        <v>0</v>
      </c>
      <c r="J32" t="s">
        <v>120</v>
      </c>
    </row>
    <row r="33" spans="1:10" x14ac:dyDescent="0.25">
      <c r="A33" t="s">
        <v>47</v>
      </c>
      <c r="B33" t="s">
        <v>15</v>
      </c>
      <c r="C33" t="s">
        <v>0</v>
      </c>
      <c r="D33" s="6">
        <v>500</v>
      </c>
      <c r="E33" s="2">
        <v>23.34</v>
      </c>
      <c r="F33" s="2">
        <v>23.37</v>
      </c>
      <c r="G33" s="6">
        <v>100</v>
      </c>
      <c r="H33" s="2">
        <v>23.309999000000001</v>
      </c>
      <c r="I33" s="6">
        <v>0</v>
      </c>
      <c r="J33" t="s">
        <v>120</v>
      </c>
    </row>
    <row r="34" spans="1:10" x14ac:dyDescent="0.25">
      <c r="A34" t="s">
        <v>47</v>
      </c>
      <c r="B34" t="s">
        <v>25</v>
      </c>
      <c r="C34" t="s">
        <v>0</v>
      </c>
      <c r="D34" s="6">
        <v>200</v>
      </c>
      <c r="E34" s="2">
        <v>16.190000000000001</v>
      </c>
      <c r="F34" s="2">
        <v>22.19</v>
      </c>
      <c r="G34" s="6">
        <v>5000</v>
      </c>
      <c r="H34" s="2">
        <v>21.42</v>
      </c>
      <c r="I34" s="6">
        <v>0</v>
      </c>
      <c r="J34" t="s">
        <v>120</v>
      </c>
    </row>
    <row r="35" spans="1:10" x14ac:dyDescent="0.25">
      <c r="A35" t="s">
        <v>47</v>
      </c>
      <c r="B35" t="s">
        <v>21</v>
      </c>
      <c r="C35" t="s">
        <v>0</v>
      </c>
      <c r="D35" s="6">
        <v>100</v>
      </c>
      <c r="E35" s="2">
        <v>21.26</v>
      </c>
      <c r="F35" s="2">
        <v>22.5</v>
      </c>
      <c r="G35" s="6">
        <v>100</v>
      </c>
      <c r="H35" s="2">
        <v>22.02</v>
      </c>
      <c r="I35" s="6">
        <v>0</v>
      </c>
      <c r="J35" t="s">
        <v>120</v>
      </c>
    </row>
    <row r="36" spans="1:10" x14ac:dyDescent="0.25">
      <c r="A36" t="s">
        <v>47</v>
      </c>
      <c r="B36" t="s">
        <v>28</v>
      </c>
      <c r="C36" t="s">
        <v>0</v>
      </c>
      <c r="D36" s="6">
        <v>1100</v>
      </c>
      <c r="E36" s="2">
        <v>25.29</v>
      </c>
      <c r="F36" s="2">
        <v>25.5</v>
      </c>
      <c r="G36" s="6">
        <v>100</v>
      </c>
      <c r="H36" s="2">
        <v>25.23</v>
      </c>
      <c r="I36" s="6">
        <v>0</v>
      </c>
      <c r="J36" t="s">
        <v>120</v>
      </c>
    </row>
    <row r="37" spans="1:10" x14ac:dyDescent="0.25">
      <c r="A37" t="s">
        <v>47</v>
      </c>
      <c r="B37" t="s">
        <v>24</v>
      </c>
      <c r="C37" t="s">
        <v>0</v>
      </c>
      <c r="D37" s="6">
        <v>100</v>
      </c>
      <c r="E37" s="2">
        <v>40.56</v>
      </c>
      <c r="F37" s="2">
        <v>45.99</v>
      </c>
      <c r="G37" s="6">
        <v>400</v>
      </c>
      <c r="H37" s="2">
        <v>44.841000000000001</v>
      </c>
      <c r="I37" s="6">
        <v>0</v>
      </c>
      <c r="J37" t="s">
        <v>120</v>
      </c>
    </row>
    <row r="38" spans="1:10" x14ac:dyDescent="0.25">
      <c r="A38" t="s">
        <v>47</v>
      </c>
      <c r="B38" t="s">
        <v>30</v>
      </c>
      <c r="C38" t="s">
        <v>0</v>
      </c>
      <c r="D38" s="6">
        <v>100</v>
      </c>
      <c r="E38" s="2">
        <v>83.4</v>
      </c>
      <c r="F38" s="2">
        <v>83.45</v>
      </c>
      <c r="G38" s="6">
        <v>500</v>
      </c>
      <c r="H38" s="2">
        <v>82.559997999999993</v>
      </c>
      <c r="I38" s="6">
        <v>2414</v>
      </c>
      <c r="J38" t="s">
        <v>120</v>
      </c>
    </row>
    <row r="39" spans="1:10" x14ac:dyDescent="0.25">
      <c r="A39" t="s">
        <v>47</v>
      </c>
      <c r="B39" t="s">
        <v>18</v>
      </c>
      <c r="C39" t="s">
        <v>0</v>
      </c>
      <c r="D39" s="6">
        <v>3300</v>
      </c>
      <c r="E39" s="2">
        <v>36.89</v>
      </c>
      <c r="F39" s="2">
        <v>36.979999999999997</v>
      </c>
      <c r="G39" s="6">
        <v>1000</v>
      </c>
      <c r="H39" s="2">
        <v>36.860000999999997</v>
      </c>
      <c r="I39" s="6">
        <v>0</v>
      </c>
      <c r="J39" t="s">
        <v>120</v>
      </c>
    </row>
    <row r="40" spans="1:10" x14ac:dyDescent="0.25">
      <c r="A40" t="s">
        <v>47</v>
      </c>
      <c r="B40" t="s">
        <v>33</v>
      </c>
      <c r="C40" t="s">
        <v>0</v>
      </c>
      <c r="D40" s="6">
        <v>200</v>
      </c>
      <c r="E40" s="2">
        <v>37.86</v>
      </c>
      <c r="F40" s="2">
        <v>51.77</v>
      </c>
      <c r="G40" s="6">
        <v>800</v>
      </c>
      <c r="H40" s="2">
        <v>50.294998</v>
      </c>
      <c r="I40" s="6">
        <v>0</v>
      </c>
      <c r="J40" t="s">
        <v>120</v>
      </c>
    </row>
    <row r="41" spans="1:10" x14ac:dyDescent="0.25">
      <c r="A41" t="s">
        <v>47</v>
      </c>
      <c r="B41" t="s">
        <v>64</v>
      </c>
      <c r="C41" t="s">
        <v>0</v>
      </c>
      <c r="D41" s="6">
        <v>4500</v>
      </c>
      <c r="E41" s="2">
        <v>66.7</v>
      </c>
      <c r="F41" s="2">
        <v>68.22</v>
      </c>
      <c r="G41" s="6">
        <v>4400</v>
      </c>
      <c r="H41" s="2">
        <v>67.529999000000004</v>
      </c>
      <c r="I41" s="6">
        <v>0</v>
      </c>
      <c r="J41" t="s">
        <v>120</v>
      </c>
    </row>
    <row r="42" spans="1:10" x14ac:dyDescent="0.25">
      <c r="A42" t="s">
        <v>47</v>
      </c>
      <c r="B42" t="s">
        <v>27</v>
      </c>
      <c r="C42" t="s">
        <v>0</v>
      </c>
      <c r="D42" s="6">
        <v>100</v>
      </c>
      <c r="E42" s="2">
        <v>72.05</v>
      </c>
      <c r="F42" s="2">
        <v>73</v>
      </c>
      <c r="G42" s="6">
        <v>200</v>
      </c>
      <c r="H42" s="2">
        <v>72</v>
      </c>
      <c r="I42" s="6">
        <v>0</v>
      </c>
      <c r="J42" t="s">
        <v>120</v>
      </c>
    </row>
    <row r="43" spans="1:10" x14ac:dyDescent="0.25">
      <c r="A43" t="s">
        <v>47</v>
      </c>
      <c r="B43" t="s">
        <v>31</v>
      </c>
      <c r="C43" t="s">
        <v>0</v>
      </c>
      <c r="D43" s="6">
        <v>3000</v>
      </c>
      <c r="E43" s="2">
        <v>53.37</v>
      </c>
      <c r="F43" s="2">
        <v>53.64</v>
      </c>
      <c r="G43" s="6">
        <v>100</v>
      </c>
      <c r="H43" s="2">
        <v>53.049999</v>
      </c>
      <c r="I43" s="6">
        <v>-3764</v>
      </c>
      <c r="J43" t="s">
        <v>120</v>
      </c>
    </row>
    <row r="44" spans="1:10" x14ac:dyDescent="0.25">
      <c r="A44" t="s">
        <v>47</v>
      </c>
      <c r="B44" t="s">
        <v>22</v>
      </c>
      <c r="C44" t="s">
        <v>0</v>
      </c>
      <c r="D44" s="6">
        <v>100</v>
      </c>
      <c r="E44" s="2">
        <v>46.37</v>
      </c>
      <c r="F44" s="2">
        <v>47.35</v>
      </c>
      <c r="G44" s="6">
        <v>200</v>
      </c>
      <c r="H44" s="2">
        <v>46.25</v>
      </c>
      <c r="I44" s="6">
        <v>0</v>
      </c>
      <c r="J44" t="s">
        <v>120</v>
      </c>
    </row>
    <row r="45" spans="1:10" x14ac:dyDescent="0.25">
      <c r="A45" t="s">
        <v>47</v>
      </c>
      <c r="B45" t="s">
        <v>34</v>
      </c>
      <c r="C45" t="s">
        <v>0</v>
      </c>
      <c r="D45" s="6">
        <v>100</v>
      </c>
      <c r="E45" s="2">
        <v>75.400000000000006</v>
      </c>
      <c r="F45" s="2">
        <v>75.7</v>
      </c>
      <c r="G45" s="6">
        <v>100</v>
      </c>
      <c r="H45" s="2">
        <v>75.199996999999996</v>
      </c>
      <c r="I45" s="6">
        <v>0</v>
      </c>
      <c r="J45" t="s">
        <v>120</v>
      </c>
    </row>
    <row r="46" spans="1:10" x14ac:dyDescent="0.25">
      <c r="A46" t="s">
        <v>47</v>
      </c>
      <c r="B46" t="s">
        <v>3</v>
      </c>
      <c r="C46" t="s">
        <v>0</v>
      </c>
      <c r="D46" s="6">
        <v>200</v>
      </c>
      <c r="E46" s="2">
        <v>49.57</v>
      </c>
      <c r="F46" s="2">
        <v>49.6</v>
      </c>
      <c r="G46" s="6">
        <v>200</v>
      </c>
      <c r="H46" s="2">
        <v>49.540000999999997</v>
      </c>
      <c r="I46" s="6">
        <v>0</v>
      </c>
      <c r="J46" t="s">
        <v>120</v>
      </c>
    </row>
    <row r="47" spans="1:10" x14ac:dyDescent="0.25">
      <c r="A47" t="s">
        <v>47</v>
      </c>
      <c r="B47" t="s">
        <v>65</v>
      </c>
      <c r="C47" t="s">
        <v>0</v>
      </c>
      <c r="D47" s="6">
        <v>200</v>
      </c>
      <c r="E47" s="2">
        <v>98.46</v>
      </c>
      <c r="F47" s="2">
        <v>99.05</v>
      </c>
      <c r="G47" s="6">
        <v>500</v>
      </c>
      <c r="H47" s="2">
        <v>98.625</v>
      </c>
      <c r="I47" s="6">
        <v>0</v>
      </c>
      <c r="J47" t="s">
        <v>120</v>
      </c>
    </row>
    <row r="48" spans="1:10" x14ac:dyDescent="0.25">
      <c r="A48" t="s">
        <v>47</v>
      </c>
      <c r="B48" t="s">
        <v>66</v>
      </c>
      <c r="C48" t="s">
        <v>0</v>
      </c>
      <c r="D48" s="6">
        <v>200</v>
      </c>
      <c r="E48" s="2">
        <v>65.650000000000006</v>
      </c>
      <c r="F48" s="2">
        <v>66.599999999999994</v>
      </c>
      <c r="G48" s="6">
        <v>100</v>
      </c>
      <c r="H48" s="2">
        <v>65.989998</v>
      </c>
      <c r="I48" s="6">
        <v>0</v>
      </c>
      <c r="J48" t="s">
        <v>120</v>
      </c>
    </row>
    <row r="49" spans="1:10" x14ac:dyDescent="0.25">
      <c r="A49" t="s">
        <v>47</v>
      </c>
      <c r="B49" t="s">
        <v>66</v>
      </c>
      <c r="C49" t="s">
        <v>0</v>
      </c>
      <c r="D49" s="6">
        <v>900</v>
      </c>
      <c r="E49" s="2">
        <v>65.97</v>
      </c>
      <c r="F49" s="2">
        <v>65.989999999999995</v>
      </c>
      <c r="G49" s="6">
        <v>900</v>
      </c>
      <c r="H49" s="2">
        <v>66.129997000000003</v>
      </c>
      <c r="I49" s="6">
        <v>0</v>
      </c>
      <c r="J49" t="s">
        <v>98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93CA3-6BAF-4DE9-9A96-345BF7575CFF}">
  <sheetPr codeName="Sheet4"/>
  <dimension ref="A1:AH49"/>
  <sheetViews>
    <sheetView tabSelected="1" zoomScale="85" zoomScaleNormal="85" workbookViewId="0">
      <selection activeCell="K34" sqref="K34"/>
    </sheetView>
  </sheetViews>
  <sheetFormatPr defaultRowHeight="15" x14ac:dyDescent="0.25"/>
  <cols>
    <col min="1" max="1" width="7" style="14" bestFit="1" customWidth="1"/>
    <col min="2" max="2" width="9.42578125" style="14" bestFit="1" customWidth="1"/>
    <col min="3" max="3" width="6.85546875" style="14" bestFit="1" customWidth="1"/>
    <col min="4" max="4" width="7.85546875" style="12" bestFit="1" customWidth="1"/>
    <col min="5" max="5" width="7.7109375" style="12" bestFit="1" customWidth="1"/>
    <col min="6" max="6" width="8" style="12" bestFit="1" customWidth="1"/>
    <col min="7" max="7" width="10.7109375" style="84" bestFit="1" customWidth="1"/>
    <col min="8" max="8" width="7.7109375" style="12" bestFit="1" customWidth="1"/>
    <col min="9" max="9" width="10.28515625" style="12" bestFit="1" customWidth="1"/>
    <col min="10" max="11" width="9" style="2" bestFit="1" customWidth="1"/>
    <col min="12" max="12" width="14.28515625" style="17" bestFit="1" customWidth="1"/>
    <col min="13" max="13" width="14.5703125" style="17" bestFit="1" customWidth="1"/>
    <col min="14" max="14" width="8.5703125" style="74" bestFit="1" customWidth="1"/>
    <col min="15" max="15" width="10" style="11" bestFit="1" customWidth="1"/>
    <col min="16" max="16" width="10.7109375" style="11" bestFit="1" customWidth="1"/>
    <col min="17" max="17" width="10" bestFit="1" customWidth="1"/>
    <col min="18" max="18" width="10.7109375" bestFit="1" customWidth="1"/>
    <col min="19" max="19" width="11" style="15" bestFit="1" customWidth="1"/>
    <col min="20" max="20" width="7.85546875" bestFit="1" customWidth="1"/>
    <col min="21" max="21" width="9.7109375" style="45" bestFit="1" customWidth="1"/>
    <col min="22" max="22" width="9.5703125" style="41" bestFit="1" customWidth="1"/>
    <col min="23" max="23" width="9.7109375" style="41" bestFit="1" customWidth="1"/>
    <col min="24" max="24" width="9.5703125" style="1" bestFit="1" customWidth="1"/>
    <col min="25" max="25" width="6.42578125" bestFit="1" customWidth="1"/>
    <col min="26" max="26" width="19" bestFit="1" customWidth="1"/>
    <col min="27" max="27" width="17.42578125" bestFit="1" customWidth="1"/>
    <col min="28" max="28" width="5.5703125" bestFit="1" customWidth="1"/>
    <col min="30" max="30" width="16.42578125" bestFit="1" customWidth="1"/>
    <col min="31" max="31" width="9.5703125" bestFit="1" customWidth="1"/>
    <col min="33" max="33" width="16.42578125" bestFit="1" customWidth="1"/>
    <col min="34" max="34" width="9.5703125" bestFit="1" customWidth="1"/>
  </cols>
  <sheetData>
    <row r="1" spans="1:28" x14ac:dyDescent="0.25">
      <c r="A1" s="202" t="s">
        <v>77</v>
      </c>
      <c r="B1" s="203"/>
      <c r="C1" s="85"/>
      <c r="D1" s="86"/>
      <c r="E1" s="106"/>
      <c r="F1" s="200" t="s">
        <v>83</v>
      </c>
      <c r="G1" s="200"/>
      <c r="H1" s="200"/>
      <c r="I1" s="201"/>
      <c r="J1" s="204" t="s">
        <v>79</v>
      </c>
      <c r="K1" s="205"/>
      <c r="L1" s="206">
        <v>5.0000000000000001E-3</v>
      </c>
      <c r="M1" s="206"/>
      <c r="N1" s="58"/>
      <c r="O1" s="207" t="s">
        <v>82</v>
      </c>
      <c r="P1" s="208"/>
      <c r="Q1" s="209" t="s">
        <v>103</v>
      </c>
      <c r="R1" s="208"/>
      <c r="S1" s="198" t="s">
        <v>104</v>
      </c>
      <c r="T1" s="199"/>
      <c r="U1" s="64" t="s">
        <v>101</v>
      </c>
      <c r="V1" s="66" t="s">
        <v>102</v>
      </c>
      <c r="W1" s="66" t="s">
        <v>102</v>
      </c>
      <c r="X1" s="65" t="s">
        <v>101</v>
      </c>
      <c r="Z1" s="187" t="s">
        <v>105</v>
      </c>
      <c r="AA1" s="187"/>
      <c r="AB1" s="75"/>
    </row>
    <row r="2" spans="1:28" ht="15.75" thickBot="1" x14ac:dyDescent="0.3">
      <c r="A2" s="47" t="s">
        <v>76</v>
      </c>
      <c r="B2" s="48" t="s">
        <v>78</v>
      </c>
      <c r="C2" s="87" t="s">
        <v>106</v>
      </c>
      <c r="D2" s="88" t="s">
        <v>69</v>
      </c>
      <c r="E2" s="107" t="str">
        <f>E21</f>
        <v>margin</v>
      </c>
      <c r="F2" s="105" t="s">
        <v>84</v>
      </c>
      <c r="G2" s="89" t="s">
        <v>111</v>
      </c>
      <c r="H2" s="90" t="s">
        <v>109</v>
      </c>
      <c r="I2" s="91" t="s">
        <v>85</v>
      </c>
      <c r="J2" s="92" t="s">
        <v>80</v>
      </c>
      <c r="K2" s="93" t="s">
        <v>81</v>
      </c>
      <c r="L2" s="94" t="s">
        <v>71</v>
      </c>
      <c r="M2" s="94" t="s">
        <v>72</v>
      </c>
      <c r="N2" s="95" t="s">
        <v>70</v>
      </c>
      <c r="O2" s="96" t="s">
        <v>74</v>
      </c>
      <c r="P2" s="97" t="s">
        <v>75</v>
      </c>
      <c r="Q2" s="59" t="s">
        <v>99</v>
      </c>
      <c r="R2" s="67" t="s">
        <v>36</v>
      </c>
      <c r="S2" s="59" t="s">
        <v>99</v>
      </c>
      <c r="T2" s="67" t="s">
        <v>36</v>
      </c>
      <c r="U2" s="99" t="s">
        <v>107</v>
      </c>
      <c r="V2" s="68" t="s">
        <v>108</v>
      </c>
      <c r="W2" s="68" t="s">
        <v>107</v>
      </c>
      <c r="X2" s="100" t="s">
        <v>108</v>
      </c>
      <c r="Z2" s="76" t="s">
        <v>103</v>
      </c>
      <c r="AA2" s="77" t="s">
        <v>104</v>
      </c>
      <c r="AB2" s="77"/>
    </row>
    <row r="3" spans="1:28" x14ac:dyDescent="0.25">
      <c r="A3" s="20">
        <f>MATCH(D3,'TRADING INPUTS'!B:B,0)</f>
        <v>16</v>
      </c>
      <c r="B3" s="49">
        <f>MATCH(D3,'MKT DATA'!B:B,0)</f>
        <v>9</v>
      </c>
      <c r="C3" s="21" t="s">
        <v>57</v>
      </c>
      <c r="D3" s="22" t="s">
        <v>52</v>
      </c>
      <c r="E3" s="110">
        <v>0.16500000000000001</v>
      </c>
      <c r="F3" s="42" cm="1">
        <f t="array" aca="1" ref="F3" ca="1">INDIRECT(ADDRESS($B3,9,,,"mkt data"))</f>
        <v>223</v>
      </c>
      <c r="G3" s="81">
        <f ca="1">F3*AVERAGE(J3:K3)</f>
        <v>22498.469999999998</v>
      </c>
      <c r="H3" s="42">
        <f t="shared" ref="H3:H18" ca="1" si="0">F3/N3</f>
        <v>200.01672045861133</v>
      </c>
      <c r="I3" s="194">
        <f ca="1">SUM(H3:H4)</f>
        <v>1.6720458611331424E-2</v>
      </c>
      <c r="J3" s="52" cm="1">
        <f t="array" aca="1" ref="J3" ca="1">INDIRECT(ADDRESS($B3,5,,,"mkt data"))</f>
        <v>97.82</v>
      </c>
      <c r="K3" s="53" cm="1">
        <f t="array" aca="1" ref="K3" ca="1">INDIRECT(ADDRESS($B3,6,,,"mkt data"))</f>
        <v>103.96</v>
      </c>
      <c r="L3" s="23">
        <f ca="1">J3-L$20</f>
        <v>97.814999999999998</v>
      </c>
      <c r="M3" s="23">
        <f ca="1">K3+L$20</f>
        <v>103.96499999999999</v>
      </c>
      <c r="N3" s="69" cm="1">
        <f t="array" aca="1" ref="N3" ca="1">INDIRECT(ADDRESS($A3,5,,,"trading inputs"))</f>
        <v>1.1149067912357082</v>
      </c>
      <c r="O3" s="24">
        <f ca="1">L3*N3</f>
        <v>109.0546077847208</v>
      </c>
      <c r="P3" s="24">
        <f ca="1">-N3*M3</f>
        <v>-115.9112845508204</v>
      </c>
      <c r="Q3" s="190">
        <f ca="1">P3+O4</f>
        <v>-6.2162845508203901</v>
      </c>
      <c r="R3" s="192">
        <f ca="1">Q3/AVERAGE(O4,-P4)</f>
        <v>-5.38206454616484E-2</v>
      </c>
      <c r="S3" s="190">
        <f ca="1">O3+P4</f>
        <v>-12.250392215279192</v>
      </c>
      <c r="T3" s="192">
        <f ca="1">S3/AVERAGE(O4,-P4)</f>
        <v>-0.1060640018638891</v>
      </c>
      <c r="U3" s="101">
        <f>Z3</f>
        <v>2E-3</v>
      </c>
      <c r="V3" s="70">
        <f>Z4</f>
        <v>1.5E-3</v>
      </c>
      <c r="W3" s="70">
        <f>AA4</f>
        <v>1.5E-3</v>
      </c>
      <c r="X3" s="102">
        <f>AA3</f>
        <v>2E-3</v>
      </c>
      <c r="Z3" s="78">
        <v>2E-3</v>
      </c>
      <c r="AA3" s="79">
        <v>2E-3</v>
      </c>
      <c r="AB3" s="80" t="s">
        <v>101</v>
      </c>
    </row>
    <row r="4" spans="1:28" ht="15.75" thickBot="1" x14ac:dyDescent="0.3">
      <c r="A4" s="28">
        <f>MATCH(D4,'TRADING INPUTS'!B:B,0)</f>
        <v>17</v>
      </c>
      <c r="B4" s="51">
        <f>MATCH(D4,'MKT DATA'!B:B,0)</f>
        <v>16</v>
      </c>
      <c r="C4" s="29" t="s">
        <v>57</v>
      </c>
      <c r="D4" s="30" t="s">
        <v>57</v>
      </c>
      <c r="E4" s="111">
        <v>0.16500000000000001</v>
      </c>
      <c r="F4" s="44" cm="1">
        <f t="array" aca="1" ref="F4" ca="1">INDIRECT(ADDRESS($B4,9,,,"mkt data"))</f>
        <v>-200</v>
      </c>
      <c r="G4" s="83">
        <f t="shared" ref="G4:G18" ca="1" si="1">F4*AVERAGE(J4:K4)</f>
        <v>-23100</v>
      </c>
      <c r="H4" s="44">
        <f t="shared" ca="1" si="0"/>
        <v>-200</v>
      </c>
      <c r="I4" s="195"/>
      <c r="J4" s="56" cm="1">
        <f t="array" aca="1" ref="J4" ca="1">INDIRECT(ADDRESS($B4,5,,,"mkt data"))</f>
        <v>109.7</v>
      </c>
      <c r="K4" s="57" cm="1">
        <f t="array" aca="1" ref="K4" ca="1">INDIRECT(ADDRESS($B4,6,,,"mkt data"))</f>
        <v>121.3</v>
      </c>
      <c r="L4" s="31">
        <f ca="1">J4-L$20</f>
        <v>109.69500000000001</v>
      </c>
      <c r="M4" s="31">
        <f ca="1">K4+L$20</f>
        <v>121.30499999999999</v>
      </c>
      <c r="N4" s="71" cm="1">
        <f t="array" aca="1" ref="N4" ca="1">INDIRECT(ADDRESS($A4,5,,,"trading inputs"))</f>
        <v>1</v>
      </c>
      <c r="O4" s="32">
        <f ca="1">L4*N4</f>
        <v>109.69500000000001</v>
      </c>
      <c r="P4" s="32">
        <f ca="1">-N4*M4</f>
        <v>-121.30499999999999</v>
      </c>
      <c r="Q4" s="191"/>
      <c r="R4" s="193"/>
      <c r="S4" s="191"/>
      <c r="T4" s="193"/>
      <c r="U4" s="103" t="b">
        <f ca="1">IF(R3&gt;U3,TRUE,FALSE)</f>
        <v>0</v>
      </c>
      <c r="V4" s="72" t="b">
        <f ca="1">AND(IF(T3&gt;-V3,TRUE,FALSE),IF(F3&gt;0,TRUE,FALSE))</f>
        <v>0</v>
      </c>
      <c r="W4" s="72" t="b">
        <f ca="1">AND(IF(R3&gt;-W3,TRUE,FALSE),IF(F3&lt;0,TRUE,FALSE))</f>
        <v>0</v>
      </c>
      <c r="X4" s="104" t="b">
        <f ca="1">IF(T3&gt;X3,TRUE,FALSE)</f>
        <v>0</v>
      </c>
      <c r="Z4" s="79">
        <v>1.5E-3</v>
      </c>
      <c r="AA4" s="79">
        <v>1.5E-3</v>
      </c>
      <c r="AB4" s="80" t="s">
        <v>102</v>
      </c>
    </row>
    <row r="5" spans="1:28" x14ac:dyDescent="0.25">
      <c r="A5" s="20">
        <f>MATCH(D5,'TRADING INPUTS'!B:B,0)</f>
        <v>18</v>
      </c>
      <c r="B5" s="49">
        <f>MATCH(D5,'MKT DATA'!B:B,0)</f>
        <v>6</v>
      </c>
      <c r="C5" s="21" t="s">
        <v>58</v>
      </c>
      <c r="D5" s="22" t="s">
        <v>50</v>
      </c>
      <c r="E5" s="110">
        <v>0.16500000000000001</v>
      </c>
      <c r="F5" s="42" cm="1">
        <f t="array" aca="1" ref="F5" ca="1">INDIRECT(ADDRESS($B5,9,,,"mkt data"))</f>
        <v>0</v>
      </c>
      <c r="G5" s="81">
        <f t="shared" ca="1" si="1"/>
        <v>0</v>
      </c>
      <c r="H5" s="42">
        <f t="shared" ca="1" si="0"/>
        <v>0</v>
      </c>
      <c r="I5" s="196">
        <f ca="1">SUM(H5:H6)</f>
        <v>0</v>
      </c>
      <c r="J5" s="52" cm="1">
        <f t="array" aca="1" ref="J5" ca="1">INDIRECT(ADDRESS($B5,5,,,"mkt data"))</f>
        <v>21.94</v>
      </c>
      <c r="K5" s="53" cm="1">
        <f t="array" aca="1" ref="K5" ca="1">INDIRECT(ADDRESS($B5,6,,,"mkt data"))</f>
        <v>22.42</v>
      </c>
      <c r="L5" s="23">
        <f ca="1">J5-L$20</f>
        <v>21.935000000000002</v>
      </c>
      <c r="M5" s="23">
        <f ca="1">K5+L$20</f>
        <v>22.425000000000001</v>
      </c>
      <c r="N5" s="69" cm="1">
        <f t="array" aca="1" ref="N5" ca="1">INDIRECT(ADDRESS($A5,5,,,"trading inputs"))</f>
        <v>1.8903277164951522</v>
      </c>
      <c r="O5" s="24">
        <f ca="1">L5*N5</f>
        <v>41.464338461321169</v>
      </c>
      <c r="P5" s="24">
        <f ca="1">-N5*M5</f>
        <v>-42.390599042403792</v>
      </c>
      <c r="Q5" s="190">
        <f ca="1">P5+O6</f>
        <v>-2.6955990424037921</v>
      </c>
      <c r="R5" s="192">
        <f ca="1">Q5/AVERAGE(O6,-P6)</f>
        <v>-6.612532914028682E-2</v>
      </c>
      <c r="S5" s="190">
        <f ca="1">O5+P6</f>
        <v>-0.37066153867883145</v>
      </c>
      <c r="T5" s="192">
        <f ca="1">S5/AVERAGE(O6,-P6)</f>
        <v>-9.092641694562283E-3</v>
      </c>
      <c r="U5" s="101">
        <f>Z5</f>
        <v>4.0000000000000001E-3</v>
      </c>
      <c r="V5" s="70">
        <f>Z6</f>
        <v>3.0000000000000001E-3</v>
      </c>
      <c r="W5" s="70">
        <f>AA6</f>
        <v>2E-3</v>
      </c>
      <c r="X5" s="102">
        <f>AA5</f>
        <v>2E-3</v>
      </c>
      <c r="Z5" s="78">
        <v>4.0000000000000001E-3</v>
      </c>
      <c r="AA5" s="79">
        <v>2E-3</v>
      </c>
      <c r="AB5" s="80" t="s">
        <v>101</v>
      </c>
    </row>
    <row r="6" spans="1:28" ht="15.75" thickBot="1" x14ac:dyDescent="0.3">
      <c r="A6" s="28">
        <f>MATCH(D6,'TRADING INPUTS'!B:B,0)</f>
        <v>19</v>
      </c>
      <c r="B6" s="51">
        <f>MATCH(D6,'MKT DATA'!B:B,0)</f>
        <v>18</v>
      </c>
      <c r="C6" s="29" t="s">
        <v>58</v>
      </c>
      <c r="D6" s="30" t="s">
        <v>58</v>
      </c>
      <c r="E6" s="111">
        <v>0.16500000000000001</v>
      </c>
      <c r="F6" s="44" cm="1">
        <f t="array" aca="1" ref="F6" ca="1">INDIRECT(ADDRESS($B6,9,,,"mkt data"))</f>
        <v>0</v>
      </c>
      <c r="G6" s="83">
        <f t="shared" ca="1" si="1"/>
        <v>0</v>
      </c>
      <c r="H6" s="44">
        <f t="shared" ca="1" si="0"/>
        <v>0</v>
      </c>
      <c r="I6" s="197"/>
      <c r="J6" s="56" cm="1">
        <f t="array" aca="1" ref="J6" ca="1">INDIRECT(ADDRESS($B6,5,,,"mkt data"))</f>
        <v>39.700000000000003</v>
      </c>
      <c r="K6" s="57" cm="1">
        <f t="array" aca="1" ref="K6" ca="1">INDIRECT(ADDRESS($B6,6,,,"mkt data"))</f>
        <v>41.83</v>
      </c>
      <c r="L6" s="31">
        <f ca="1">J6-L$20</f>
        <v>39.695</v>
      </c>
      <c r="M6" s="31">
        <f ca="1">K6+L$20</f>
        <v>41.835000000000001</v>
      </c>
      <c r="N6" s="71" cm="1">
        <f t="array" aca="1" ref="N6" ca="1">INDIRECT(ADDRESS($A6,5,,,"trading inputs"))</f>
        <v>1</v>
      </c>
      <c r="O6" s="32">
        <f ca="1">L6*N6</f>
        <v>39.695</v>
      </c>
      <c r="P6" s="32">
        <f ca="1">-N6*M6</f>
        <v>-41.835000000000001</v>
      </c>
      <c r="Q6" s="191"/>
      <c r="R6" s="193"/>
      <c r="S6" s="191"/>
      <c r="T6" s="193"/>
      <c r="U6" s="103" t="b">
        <f ca="1">IF(R5&gt;U5,TRUE,FALSE)</f>
        <v>0</v>
      </c>
      <c r="V6" s="72" t="b">
        <f ca="1">AND(IF(T5&gt;-V5,TRUE,FALSE),IF(F5&gt;0,TRUE,FALSE))</f>
        <v>0</v>
      </c>
      <c r="W6" s="72" t="b">
        <f ca="1">AND(IF(R5&gt;-W5,TRUE,FALSE),IF(F5&lt;0,TRUE,FALSE))</f>
        <v>0</v>
      </c>
      <c r="X6" s="104" t="b">
        <f ca="1">IF(T5&gt;X5,TRUE,FALSE)</f>
        <v>0</v>
      </c>
      <c r="Z6" s="79">
        <v>3.0000000000000001E-3</v>
      </c>
      <c r="AA6" s="79">
        <v>2E-3</v>
      </c>
      <c r="AB6" s="80" t="s">
        <v>102</v>
      </c>
    </row>
    <row r="7" spans="1:28" x14ac:dyDescent="0.25">
      <c r="A7" s="20">
        <f>MATCH(D7,'TRADING INPUTS'!B:B,0)</f>
        <v>13</v>
      </c>
      <c r="B7" s="49">
        <f>MATCH(D7,'MKT DATA'!B:B,0)</f>
        <v>48</v>
      </c>
      <c r="C7" s="21" t="s">
        <v>53</v>
      </c>
      <c r="D7" s="22" t="s">
        <v>66</v>
      </c>
      <c r="E7" s="110">
        <v>0.16500000000000001</v>
      </c>
      <c r="F7" s="42" cm="1">
        <f t="array" aca="1" ref="F7" ca="1">INDIRECT(ADDRESS($B7,9,,,"mkt data"))</f>
        <v>0</v>
      </c>
      <c r="G7" s="81">
        <f t="shared" ca="1" si="1"/>
        <v>0</v>
      </c>
      <c r="H7" s="42">
        <f t="shared" ca="1" si="0"/>
        <v>0</v>
      </c>
      <c r="I7" s="194">
        <f ca="1">SUM(H7:H8)</f>
        <v>0</v>
      </c>
      <c r="J7" s="52" cm="1">
        <f t="array" aca="1" ref="J7" ca="1">INDIRECT(ADDRESS($B7,5,,,"mkt data"))</f>
        <v>65.650000000000006</v>
      </c>
      <c r="K7" s="53" cm="1">
        <f t="array" aca="1" ref="K7" ca="1">INDIRECT(ADDRESS($B7,6,,,"mkt data"))</f>
        <v>66.599999999999994</v>
      </c>
      <c r="L7" s="23">
        <f ca="1">J7-L$20</f>
        <v>65.64500000000001</v>
      </c>
      <c r="M7" s="23">
        <f ca="1">K7+L$20</f>
        <v>66.60499999999999</v>
      </c>
      <c r="N7" s="69" cm="1">
        <f t="array" aca="1" ref="N7" ca="1">INDIRECT(ADDRESS($A7,5,,,"trading inputs"))</f>
        <v>1.4382344348607017</v>
      </c>
      <c r="O7" s="24">
        <f ca="1">L7*N7</f>
        <v>94.412899476430781</v>
      </c>
      <c r="P7" s="24">
        <f ca="1">-N7*M7</f>
        <v>-95.793604533897025</v>
      </c>
      <c r="Q7" s="190">
        <f ca="1">P7+O8</f>
        <v>-1.54860453389702</v>
      </c>
      <c r="R7" s="192">
        <f ca="1">Q7/AVERAGE(O8,-P8)</f>
        <v>-1.6293382438813404E-2</v>
      </c>
      <c r="S7" s="190">
        <f ca="1">O7+P8</f>
        <v>-1.4321005235692184</v>
      </c>
      <c r="T7" s="192">
        <f ca="1">S7/AVERAGE(O8,-P8)</f>
        <v>-1.5067605066749628E-2</v>
      </c>
      <c r="U7" s="101">
        <f>Z7</f>
        <v>1E-3</v>
      </c>
      <c r="V7" s="70">
        <f>Z8</f>
        <v>1E-3</v>
      </c>
      <c r="W7" s="70">
        <f>AA8</f>
        <v>1E-3</v>
      </c>
      <c r="X7" s="102">
        <f>AA7</f>
        <v>1E-3</v>
      </c>
      <c r="Z7" s="79">
        <v>1E-3</v>
      </c>
      <c r="AA7" s="79">
        <v>1E-3</v>
      </c>
      <c r="AB7" s="80" t="s">
        <v>101</v>
      </c>
    </row>
    <row r="8" spans="1:28" ht="15.75" thickBot="1" x14ac:dyDescent="0.3">
      <c r="A8" s="28">
        <f>MATCH(D8,'TRADING INPUTS'!B:B,0)</f>
        <v>12</v>
      </c>
      <c r="B8" s="51">
        <f>MATCH(D8,'MKT DATA'!B:B,0)</f>
        <v>10</v>
      </c>
      <c r="C8" s="29" t="s">
        <v>53</v>
      </c>
      <c r="D8" s="30" t="s">
        <v>53</v>
      </c>
      <c r="E8" s="111">
        <v>0.16500000000000001</v>
      </c>
      <c r="F8" s="44" cm="1">
        <f t="array" aca="1" ref="F8" ca="1">INDIRECT(ADDRESS($B8,9,,,"mkt data"))</f>
        <v>0</v>
      </c>
      <c r="G8" s="83">
        <f t="shared" ca="1" si="1"/>
        <v>0</v>
      </c>
      <c r="H8" s="44">
        <f t="shared" ca="1" si="0"/>
        <v>0</v>
      </c>
      <c r="I8" s="195"/>
      <c r="J8" s="56" cm="1">
        <f t="array" aca="1" ref="J8" ca="1">INDIRECT(ADDRESS($B8,5,,,"mkt data"))</f>
        <v>94.25</v>
      </c>
      <c r="K8" s="57" cm="1">
        <f t="array" aca="1" ref="K8" ca="1">INDIRECT(ADDRESS($B8,6,,,"mkt data"))</f>
        <v>95.84</v>
      </c>
      <c r="L8" s="31">
        <f ca="1">J8-L$20</f>
        <v>94.245000000000005</v>
      </c>
      <c r="M8" s="31">
        <f ca="1">K8+L$20</f>
        <v>95.844999999999999</v>
      </c>
      <c r="N8" s="71" cm="1">
        <f t="array" aca="1" ref="N8" ca="1">INDIRECT(ADDRESS($A8,5,,,"trading inputs"))</f>
        <v>1</v>
      </c>
      <c r="O8" s="32">
        <f t="shared" ref="O8:O10" ca="1" si="2">L8*N8</f>
        <v>94.245000000000005</v>
      </c>
      <c r="P8" s="32">
        <f t="shared" ref="P8:P10" ca="1" si="3">-N8*M8</f>
        <v>-95.844999999999999</v>
      </c>
      <c r="Q8" s="191"/>
      <c r="R8" s="193"/>
      <c r="S8" s="191"/>
      <c r="T8" s="193"/>
      <c r="U8" s="103" t="b">
        <f ca="1">IF(R7&gt;U7,TRUE,FALSE)</f>
        <v>0</v>
      </c>
      <c r="V8" s="72" t="b">
        <f ca="1">AND(IF(T7&gt;-V7,TRUE,FALSE),IF(F7&gt;0,TRUE,FALSE))</f>
        <v>0</v>
      </c>
      <c r="W8" s="72" t="b">
        <f ca="1">AND(IF(R7&gt;-W7,TRUE,FALSE),IF(F7&lt;0,TRUE,FALSE))</f>
        <v>0</v>
      </c>
      <c r="X8" s="104" t="b">
        <f ca="1">IF(T7&gt;X7,TRUE,FALSE)</f>
        <v>0</v>
      </c>
      <c r="Z8" s="79">
        <v>1E-3</v>
      </c>
      <c r="AA8" s="79">
        <v>1E-3</v>
      </c>
      <c r="AB8" s="80" t="s">
        <v>102</v>
      </c>
    </row>
    <row r="9" spans="1:28" x14ac:dyDescent="0.25">
      <c r="A9" s="20">
        <f>MATCH(D9,'TRADING INPUTS'!B:B,0)</f>
        <v>43</v>
      </c>
      <c r="B9" s="49">
        <f>MATCH(D9,'MKT DATA'!B:B,0)</f>
        <v>7</v>
      </c>
      <c r="C9" s="21" t="s">
        <v>65</v>
      </c>
      <c r="D9" s="22" t="s">
        <v>51</v>
      </c>
      <c r="E9" s="110">
        <v>0.1002</v>
      </c>
      <c r="F9" s="42" cm="1">
        <f t="array" aca="1" ref="F9" ca="1">INDIRECT(ADDRESS($B9,9,,,"mkt data"))</f>
        <v>0</v>
      </c>
      <c r="G9" s="81">
        <f t="shared" ca="1" si="1"/>
        <v>0</v>
      </c>
      <c r="H9" s="42">
        <f t="shared" ca="1" si="0"/>
        <v>0</v>
      </c>
      <c r="I9" s="179">
        <f ca="1">SUM(H9:H10)</f>
        <v>0</v>
      </c>
      <c r="J9" s="52" cm="1">
        <f t="array" aca="1" ref="J9" ca="1">INDIRECT(ADDRESS($B9,5,,,"mkt data"))</f>
        <v>56.45</v>
      </c>
      <c r="K9" s="53" cm="1">
        <f t="array" aca="1" ref="K9" ca="1">INDIRECT(ADDRESS($B9,6,,,"mkt data"))</f>
        <v>56.63</v>
      </c>
      <c r="L9" s="23">
        <f ca="1">J9-L$20</f>
        <v>56.445</v>
      </c>
      <c r="M9" s="23">
        <f ca="1">K9+L$20</f>
        <v>56.635000000000005</v>
      </c>
      <c r="N9" s="69" cm="1">
        <f t="array" aca="1" ref="N9" ca="1">INDIRECT(ADDRESS($A9,5,,,"trading inputs"))</f>
        <v>1.7448909809582596</v>
      </c>
      <c r="O9" s="24">
        <f t="shared" ca="1" si="2"/>
        <v>98.490371420188964</v>
      </c>
      <c r="P9" s="24">
        <f t="shared" ca="1" si="3"/>
        <v>-98.821900706571043</v>
      </c>
      <c r="Q9" s="190">
        <f ca="1">P9+O10</f>
        <v>-0.36690070657104457</v>
      </c>
      <c r="R9" s="192">
        <f ca="1">Q9/AVERAGE(O10,-P10)</f>
        <v>-3.7152620785888772E-3</v>
      </c>
      <c r="S9" s="190">
        <f ca="1">O9+P10</f>
        <v>-0.56462857981102843</v>
      </c>
      <c r="T9" s="192">
        <f ca="1">S9/AVERAGE(O10,-P10)</f>
        <v>-5.7174682781735448E-3</v>
      </c>
      <c r="U9" s="101">
        <f>Z9</f>
        <v>1E-3</v>
      </c>
      <c r="V9" s="70">
        <f>Z10</f>
        <v>1E-3</v>
      </c>
      <c r="W9" s="70">
        <f>AA10</f>
        <v>1E-3</v>
      </c>
      <c r="X9" s="102">
        <f>AA9</f>
        <v>1E-3</v>
      </c>
      <c r="Z9" s="79">
        <v>1E-3</v>
      </c>
      <c r="AA9" s="79">
        <v>1E-3</v>
      </c>
      <c r="AB9" s="80" t="s">
        <v>101</v>
      </c>
    </row>
    <row r="10" spans="1:28" ht="15.75" thickBot="1" x14ac:dyDescent="0.3">
      <c r="A10" s="28">
        <f>MATCH(D10,'TRADING INPUTS'!B:B,0)</f>
        <v>44</v>
      </c>
      <c r="B10" s="51">
        <f>MATCH(D10,'MKT DATA'!B:B,0)</f>
        <v>47</v>
      </c>
      <c r="C10" s="29" t="s">
        <v>65</v>
      </c>
      <c r="D10" s="30" t="s">
        <v>65</v>
      </c>
      <c r="E10" s="111">
        <v>0.1002</v>
      </c>
      <c r="F10" s="44" cm="1">
        <f t="array" aca="1" ref="F10" ca="1">INDIRECT(ADDRESS($B10,9,,,"mkt data"))</f>
        <v>0</v>
      </c>
      <c r="G10" s="83">
        <f t="shared" ca="1" si="1"/>
        <v>0</v>
      </c>
      <c r="H10" s="44">
        <f t="shared" ca="1" si="0"/>
        <v>0</v>
      </c>
      <c r="I10" s="180"/>
      <c r="J10" s="56" cm="1">
        <f t="array" aca="1" ref="J10" ca="1">INDIRECT(ADDRESS($B10,5,,,"mkt data"))</f>
        <v>98.46</v>
      </c>
      <c r="K10" s="57" cm="1">
        <f t="array" aca="1" ref="K10" ca="1">INDIRECT(ADDRESS($B10,6,,,"mkt data"))</f>
        <v>99.05</v>
      </c>
      <c r="L10" s="31">
        <f ca="1">J10-L$20</f>
        <v>98.454999999999998</v>
      </c>
      <c r="M10" s="31">
        <f ca="1">K10+L$20</f>
        <v>99.054999999999993</v>
      </c>
      <c r="N10" s="71" cm="1">
        <f t="array" aca="1" ref="N10" ca="1">INDIRECT(ADDRESS($A10,5,,,"trading inputs"))</f>
        <v>1</v>
      </c>
      <c r="O10" s="32">
        <f t="shared" ca="1" si="2"/>
        <v>98.454999999999998</v>
      </c>
      <c r="P10" s="32">
        <f t="shared" ca="1" si="3"/>
        <v>-99.054999999999993</v>
      </c>
      <c r="Q10" s="191"/>
      <c r="R10" s="193"/>
      <c r="S10" s="191"/>
      <c r="T10" s="193"/>
      <c r="U10" s="103" t="b">
        <f ca="1">IF(R9&gt;U9,TRUE,FALSE)</f>
        <v>0</v>
      </c>
      <c r="V10" s="72" t="b">
        <f ca="1">AND(IF(T9&gt;-V9,TRUE,FALSE),IF(F9&gt;0,TRUE,FALSE))</f>
        <v>0</v>
      </c>
      <c r="W10" s="72" t="b">
        <f ca="1">AND(IF(R9&gt;-W9,TRUE,FALSE),IF(F9&lt;0,TRUE,FALSE))</f>
        <v>0</v>
      </c>
      <c r="X10" s="104" t="b">
        <f ca="1">IF(T9&gt;X9,TRUE,FALSE)</f>
        <v>0</v>
      </c>
      <c r="Z10" s="79">
        <v>1E-3</v>
      </c>
      <c r="AA10" s="79">
        <v>1E-3</v>
      </c>
      <c r="AB10" s="80" t="s">
        <v>102</v>
      </c>
    </row>
    <row r="11" spans="1:28" x14ac:dyDescent="0.25">
      <c r="A11" s="20">
        <f>MATCH(D11,'TRADING INPUTS'!B:B,0)</f>
        <v>33</v>
      </c>
      <c r="B11" s="49">
        <f>MATCH(D11,'MKT DATA'!B:B,0)</f>
        <v>26</v>
      </c>
      <c r="C11" s="21" t="s">
        <v>61</v>
      </c>
      <c r="D11" s="22" t="s">
        <v>62</v>
      </c>
      <c r="E11" s="110">
        <v>0.16500000000000001</v>
      </c>
      <c r="F11" s="42" cm="1">
        <f t="array" aca="1" ref="F11" ca="1">INDIRECT(ADDRESS($B11,9,,,"mkt data"))</f>
        <v>14845</v>
      </c>
      <c r="G11" s="81">
        <f t="shared" ca="1" si="1"/>
        <v>274780.95</v>
      </c>
      <c r="H11" s="42">
        <f t="shared" ca="1" si="0"/>
        <v>9000.4096584329982</v>
      </c>
      <c r="I11" s="179">
        <f ca="1">SUM(H11:H12)</f>
        <v>0.40965843299818516</v>
      </c>
      <c r="J11" s="52" cm="1">
        <f t="array" aca="1" ref="J11" ca="1">INDIRECT(ADDRESS($B11,5,,,"mkt data"))</f>
        <v>18.420000000000002</v>
      </c>
      <c r="K11" s="53" cm="1">
        <f t="array" aca="1" ref="K11" ca="1">INDIRECT(ADDRESS($B11,6,,,"mkt data"))</f>
        <v>18.600000000000001</v>
      </c>
      <c r="L11" s="23">
        <f ca="1">J11-L$20</f>
        <v>18.415000000000003</v>
      </c>
      <c r="M11" s="23">
        <f ca="1">K11+L$20</f>
        <v>18.605</v>
      </c>
      <c r="N11" s="69" cm="1">
        <f t="array" aca="1" ref="N11" ca="1">INDIRECT(ADDRESS($A11,5,,,"trading inputs"))</f>
        <v>1.6493693691032021</v>
      </c>
      <c r="O11" s="24">
        <f ca="1">L11*N11</f>
        <v>30.373136932035472</v>
      </c>
      <c r="P11" s="24">
        <f ca="1">-N11*M11</f>
        <v>-30.686517112165074</v>
      </c>
      <c r="Q11" s="190">
        <f ca="1">P11+O12</f>
        <v>-3.1517112165072803E-2</v>
      </c>
      <c r="R11" s="192">
        <f ca="1">Q11/AVERAGE(O12,-P12)</f>
        <v>-1.0274527193177767E-3</v>
      </c>
      <c r="S11" s="190">
        <f ca="1">O11+P12</f>
        <v>-0.32186306796452868</v>
      </c>
      <c r="T11" s="192">
        <f ca="1">S11/AVERAGE(O12,-P12)</f>
        <v>-1.0492683552225874E-2</v>
      </c>
      <c r="U11" s="101">
        <f>Z11</f>
        <v>5.0000000000000001E-3</v>
      </c>
      <c r="V11" s="70">
        <f>Z12</f>
        <v>4.0000000000000001E-3</v>
      </c>
      <c r="W11" s="70">
        <f>AA12</f>
        <v>2E-3</v>
      </c>
      <c r="X11" s="102">
        <f>AA11</f>
        <v>3.0000000000000001E-3</v>
      </c>
      <c r="Z11" s="78">
        <v>5.0000000000000001E-3</v>
      </c>
      <c r="AA11" s="79">
        <v>3.0000000000000001E-3</v>
      </c>
      <c r="AB11" s="80" t="s">
        <v>101</v>
      </c>
    </row>
    <row r="12" spans="1:28" ht="15.75" thickBot="1" x14ac:dyDescent="0.3">
      <c r="A12" s="28">
        <f>MATCH(D12,'TRADING INPUTS'!B:B,0)</f>
        <v>32</v>
      </c>
      <c r="B12" s="51">
        <f>MATCH(D12,'MKT DATA'!B:B,0)</f>
        <v>25</v>
      </c>
      <c r="C12" s="29" t="s">
        <v>61</v>
      </c>
      <c r="D12" s="30" t="s">
        <v>61</v>
      </c>
      <c r="E12" s="111">
        <v>0.16500000000000001</v>
      </c>
      <c r="F12" s="44" cm="1">
        <f t="array" aca="1" ref="F12" ca="1">INDIRECT(ADDRESS($B12,9,,,"mkt data"))</f>
        <v>-9000</v>
      </c>
      <c r="G12" s="83">
        <f t="shared" ca="1" si="1"/>
        <v>-276075</v>
      </c>
      <c r="H12" s="44">
        <f t="shared" ca="1" si="0"/>
        <v>-9000</v>
      </c>
      <c r="I12" s="180"/>
      <c r="J12" s="56" cm="1">
        <f t="array" aca="1" ref="J12" ca="1">INDIRECT(ADDRESS($B12,5,,,"mkt data"))</f>
        <v>30.66</v>
      </c>
      <c r="K12" s="57" cm="1">
        <f t="array" aca="1" ref="K12" ca="1">INDIRECT(ADDRESS($B12,6,,,"mkt data"))</f>
        <v>30.69</v>
      </c>
      <c r="L12" s="31">
        <f ca="1">J12-L$20</f>
        <v>30.655000000000001</v>
      </c>
      <c r="M12" s="31">
        <f ca="1">K12+L$20</f>
        <v>30.695</v>
      </c>
      <c r="N12" s="71" cm="1">
        <f t="array" aca="1" ref="N12" ca="1">INDIRECT(ADDRESS($A12,5,,,"trading inputs"))</f>
        <v>1</v>
      </c>
      <c r="O12" s="32">
        <f t="shared" ref="O12:O15" ca="1" si="4">L12*N12</f>
        <v>30.655000000000001</v>
      </c>
      <c r="P12" s="32">
        <f t="shared" ref="P12:P15" ca="1" si="5">-N12*M12</f>
        <v>-30.695</v>
      </c>
      <c r="Q12" s="191"/>
      <c r="R12" s="193"/>
      <c r="S12" s="191"/>
      <c r="T12" s="193"/>
      <c r="U12" s="103" t="b">
        <f ca="1">IF(R11&gt;U11,TRUE,FALSE)</f>
        <v>0</v>
      </c>
      <c r="V12" s="72" t="b">
        <f ca="1">AND(IF(T11&gt;-V11,TRUE,FALSE),IF(F11&gt;0,TRUE,FALSE))</f>
        <v>0</v>
      </c>
      <c r="W12" s="72" t="b">
        <f ca="1">AND(IF(R11&gt;-W11,TRUE,FALSE),IF(F11&lt;0,TRUE,FALSE))</f>
        <v>0</v>
      </c>
      <c r="X12" s="104" t="b">
        <f ca="1">IF(T11&gt;X11,TRUE,FALSE)</f>
        <v>0</v>
      </c>
      <c r="Z12" s="79">
        <v>4.0000000000000001E-3</v>
      </c>
      <c r="AA12" s="79">
        <v>2E-3</v>
      </c>
      <c r="AB12" s="80" t="s">
        <v>102</v>
      </c>
    </row>
    <row r="13" spans="1:28" x14ac:dyDescent="0.25">
      <c r="A13" s="20">
        <f>MATCH(D13,'TRADING INPUTS'!B:B,0)</f>
        <v>34</v>
      </c>
      <c r="B13" s="49">
        <f>MATCH(D13,'MKT DATA'!B:B,0)</f>
        <v>27</v>
      </c>
      <c r="C13" s="21" t="s">
        <v>64</v>
      </c>
      <c r="D13" s="22" t="s">
        <v>63</v>
      </c>
      <c r="E13" s="110">
        <v>0.16500000000000001</v>
      </c>
      <c r="F13" s="42" cm="1">
        <f t="array" aca="1" ref="F13" ca="1">INDIRECT(ADDRESS($B13,9,,,"mkt data"))</f>
        <v>0</v>
      </c>
      <c r="G13" s="81">
        <f t="shared" ca="1" si="1"/>
        <v>0</v>
      </c>
      <c r="H13" s="42">
        <f t="shared" ca="1" si="0"/>
        <v>0</v>
      </c>
      <c r="I13" s="179">
        <f ca="1">SUM(H13:H14)</f>
        <v>0</v>
      </c>
      <c r="J13" s="52" cm="1">
        <f t="array" aca="1" ref="J13" ca="1">INDIRECT(ADDRESS($B13,5,,,"mkt data"))</f>
        <v>24.02</v>
      </c>
      <c r="K13" s="53" cm="1">
        <f t="array" aca="1" ref="K13" ca="1">INDIRECT(ADDRESS($B13,6,,,"mkt data"))</f>
        <v>24.55</v>
      </c>
      <c r="L13" s="23">
        <f ca="1">J13-L$20</f>
        <v>24.015000000000001</v>
      </c>
      <c r="M13" s="23">
        <f ca="1">K13+L$20</f>
        <v>24.555</v>
      </c>
      <c r="N13" s="69" cm="1">
        <f t="array" aca="1" ref="N13" ca="1">INDIRECT(ADDRESS($A13,5,,,"trading inputs"))</f>
        <v>2.7951857870561998</v>
      </c>
      <c r="O13" s="24">
        <f t="shared" ca="1" si="4"/>
        <v>67.126386676154638</v>
      </c>
      <c r="P13" s="24">
        <f t="shared" ca="1" si="5"/>
        <v>-68.635787001164985</v>
      </c>
      <c r="Q13" s="190">
        <f ca="1">P13+O14</f>
        <v>-1.9407870011649777</v>
      </c>
      <c r="R13" s="192">
        <f ca="1">Q13/AVERAGE(O14,-P14)</f>
        <v>-2.876944857938004E-2</v>
      </c>
      <c r="S13" s="190">
        <f ca="1">O13+P14</f>
        <v>-1.0986133238453561</v>
      </c>
      <c r="T13" s="192">
        <f ca="1">S13/AVERAGE(O14,-P14)</f>
        <v>-1.6285403555371419E-2</v>
      </c>
      <c r="U13" s="101">
        <f>Z13</f>
        <v>5.0000000000000001E-3</v>
      </c>
      <c r="V13" s="70">
        <f>Z14</f>
        <v>3.0000000000000001E-3</v>
      </c>
      <c r="W13" s="70">
        <f>AA14</f>
        <v>1E-3</v>
      </c>
      <c r="X13" s="102">
        <f>AA13</f>
        <v>2E-3</v>
      </c>
      <c r="Z13" s="78">
        <v>5.0000000000000001E-3</v>
      </c>
      <c r="AA13" s="79">
        <v>2E-3</v>
      </c>
      <c r="AB13" s="80" t="s">
        <v>101</v>
      </c>
    </row>
    <row r="14" spans="1:28" ht="15.75" thickBot="1" x14ac:dyDescent="0.3">
      <c r="A14" s="28">
        <f>MATCH(D14,'TRADING INPUTS'!B:B,0)</f>
        <v>35</v>
      </c>
      <c r="B14" s="51">
        <f>MATCH(D14,'MKT DATA'!B:B,0)</f>
        <v>41</v>
      </c>
      <c r="C14" s="29" t="s">
        <v>64</v>
      </c>
      <c r="D14" s="30" t="s">
        <v>64</v>
      </c>
      <c r="E14" s="111">
        <v>0.16500000000000001</v>
      </c>
      <c r="F14" s="44" cm="1">
        <f t="array" aca="1" ref="F14" ca="1">INDIRECT(ADDRESS($B14,9,,,"mkt data"))</f>
        <v>0</v>
      </c>
      <c r="G14" s="83">
        <f t="shared" ca="1" si="1"/>
        <v>0</v>
      </c>
      <c r="H14" s="44">
        <f t="shared" ca="1" si="0"/>
        <v>0</v>
      </c>
      <c r="I14" s="180"/>
      <c r="J14" s="56" cm="1">
        <f t="array" aca="1" ref="J14" ca="1">INDIRECT(ADDRESS($B14,5,,,"mkt data"))</f>
        <v>66.7</v>
      </c>
      <c r="K14" s="57" cm="1">
        <f t="array" aca="1" ref="K14" ca="1">INDIRECT(ADDRESS($B14,6,,,"mkt data"))</f>
        <v>68.22</v>
      </c>
      <c r="L14" s="31">
        <f ca="1">J14-L$20</f>
        <v>66.695000000000007</v>
      </c>
      <c r="M14" s="31">
        <f ca="1">K14+L$20</f>
        <v>68.224999999999994</v>
      </c>
      <c r="N14" s="71" cm="1">
        <f t="array" aca="1" ref="N14" ca="1">INDIRECT(ADDRESS($A14,5,,,"trading inputs"))</f>
        <v>1</v>
      </c>
      <c r="O14" s="32">
        <f t="shared" ca="1" si="4"/>
        <v>66.695000000000007</v>
      </c>
      <c r="P14" s="32">
        <f t="shared" ca="1" si="5"/>
        <v>-68.224999999999994</v>
      </c>
      <c r="Q14" s="191"/>
      <c r="R14" s="193"/>
      <c r="S14" s="191"/>
      <c r="T14" s="193"/>
      <c r="U14" s="103" t="b">
        <f ca="1">IF(R13&gt;U13,TRUE,FALSE)</f>
        <v>0</v>
      </c>
      <c r="V14" s="72" t="b">
        <f ca="1">AND(IF(T13&gt;-V13,TRUE,FALSE),IF(F13&gt;0,TRUE,FALSE))</f>
        <v>0</v>
      </c>
      <c r="W14" s="72" t="b">
        <f ca="1">AND(IF(R13&gt;-W13,TRUE,FALSE),IF(F13&lt;0,TRUE,FALSE))</f>
        <v>0</v>
      </c>
      <c r="X14" s="104" t="b">
        <f ca="1">IF(T13&gt;X13,TRUE,FALSE)</f>
        <v>0</v>
      </c>
      <c r="Z14" s="79">
        <v>3.0000000000000001E-3</v>
      </c>
      <c r="AA14" s="79">
        <v>1E-3</v>
      </c>
      <c r="AB14" s="80" t="s">
        <v>102</v>
      </c>
    </row>
    <row r="15" spans="1:28" s="127" customFormat="1" x14ac:dyDescent="0.25">
      <c r="A15" s="113">
        <f>MATCH(D15,'TRADING INPUTS'!B:B,0)</f>
        <v>14</v>
      </c>
      <c r="B15" s="114">
        <f>MATCH(D15,'MKT DATA'!B:B,0)</f>
        <v>5</v>
      </c>
      <c r="C15" s="115" t="s">
        <v>56</v>
      </c>
      <c r="D15" s="116" t="s">
        <v>49</v>
      </c>
      <c r="E15" s="167"/>
      <c r="F15" s="117" cm="1">
        <f t="array" aca="1" ref="F15" ca="1">INDIRECT(ADDRESS($B15,9,,,"mkt data"))</f>
        <v>0</v>
      </c>
      <c r="G15" s="118">
        <f t="shared" ca="1" si="1"/>
        <v>0</v>
      </c>
      <c r="H15" s="117">
        <f t="shared" ca="1" si="0"/>
        <v>0</v>
      </c>
      <c r="I15" s="188">
        <f ca="1">SUM(H15:H16)</f>
        <v>0</v>
      </c>
      <c r="J15" s="119" cm="1">
        <f t="array" aca="1" ref="J15" ca="1">INDIRECT(ADDRESS($B15,5,,,"mkt data"))</f>
        <v>47.5</v>
      </c>
      <c r="K15" s="120" cm="1">
        <f t="array" aca="1" ref="K15" ca="1">INDIRECT(ADDRESS($B15,6,,,"mkt data"))</f>
        <v>48.06</v>
      </c>
      <c r="L15" s="121">
        <f ca="1">J15-L$20</f>
        <v>47.494999999999997</v>
      </c>
      <c r="M15" s="121">
        <f ca="1">K15+L$20</f>
        <v>48.065000000000005</v>
      </c>
      <c r="N15" s="122" cm="1">
        <f t="array" aca="1" ref="N15" ca="1">INDIRECT(ADDRESS($A15,5,,,"trading inputs"))</f>
        <v>1.043397092324057</v>
      </c>
      <c r="O15" s="123">
        <f t="shared" ca="1" si="4"/>
        <v>49.556144899931084</v>
      </c>
      <c r="P15" s="123">
        <f t="shared" ca="1" si="5"/>
        <v>-50.150881242555805</v>
      </c>
      <c r="Q15" s="183">
        <f ca="1">P15+O16</f>
        <v>-0.65588124255580738</v>
      </c>
      <c r="R15" s="185">
        <f ca="1">Q15/AVERAGE(O16,-P16)</f>
        <v>-1.2825210061709178E-2</v>
      </c>
      <c r="S15" s="183">
        <f ca="1">O15+P16</f>
        <v>-3.2288551000689196</v>
      </c>
      <c r="T15" s="185">
        <f ca="1">S15/AVERAGE(O16,-P16)</f>
        <v>-6.3137565507800544E-2</v>
      </c>
      <c r="U15" s="124"/>
      <c r="V15" s="125"/>
      <c r="W15" s="125"/>
      <c r="X15" s="126"/>
      <c r="Z15" s="128">
        <v>0.01</v>
      </c>
      <c r="AA15" s="129">
        <v>0.01</v>
      </c>
      <c r="AB15" s="130" t="s">
        <v>101</v>
      </c>
    </row>
    <row r="16" spans="1:28" s="127" customFormat="1" ht="15.75" thickBot="1" x14ac:dyDescent="0.3">
      <c r="A16" s="131">
        <f>MATCH(D16,'TRADING INPUTS'!B:B,0)</f>
        <v>15</v>
      </c>
      <c r="B16" s="132">
        <f>MATCH(D16,'MKT DATA'!B:B,0)</f>
        <v>15</v>
      </c>
      <c r="C16" s="133" t="s">
        <v>56</v>
      </c>
      <c r="D16" s="134" t="s">
        <v>56</v>
      </c>
      <c r="E16" s="169"/>
      <c r="F16" s="135" cm="1">
        <f t="array" aca="1" ref="F16" ca="1">INDIRECT(ADDRESS($B16,9,,,"mkt data"))</f>
        <v>0</v>
      </c>
      <c r="G16" s="136">
        <f t="shared" ca="1" si="1"/>
        <v>0</v>
      </c>
      <c r="H16" s="135">
        <f t="shared" ca="1" si="0"/>
        <v>0</v>
      </c>
      <c r="I16" s="189"/>
      <c r="J16" s="137" cm="1">
        <f t="array" aca="1" ref="J16" ca="1">INDIRECT(ADDRESS($B16,5,,,"mkt data"))</f>
        <v>49.5</v>
      </c>
      <c r="K16" s="138" cm="1">
        <f t="array" aca="1" ref="K16" ca="1">INDIRECT(ADDRESS($B16,6,,,"mkt data"))</f>
        <v>52.78</v>
      </c>
      <c r="L16" s="139">
        <f ca="1">J16-L$20</f>
        <v>49.494999999999997</v>
      </c>
      <c r="M16" s="139">
        <f ca="1">K16+L$20</f>
        <v>52.785000000000004</v>
      </c>
      <c r="N16" s="140" cm="1">
        <f t="array" aca="1" ref="N16" ca="1">INDIRECT(ADDRESS($A16,5,,,"trading inputs"))</f>
        <v>1</v>
      </c>
      <c r="O16" s="141">
        <f ca="1">L16*N16</f>
        <v>49.494999999999997</v>
      </c>
      <c r="P16" s="141">
        <f ca="1">-N16*M16</f>
        <v>-52.785000000000004</v>
      </c>
      <c r="Q16" s="184"/>
      <c r="R16" s="186"/>
      <c r="S16" s="184"/>
      <c r="T16" s="186"/>
      <c r="U16" s="142"/>
      <c r="V16" s="143"/>
      <c r="W16" s="143"/>
      <c r="X16" s="144"/>
      <c r="Z16" s="129">
        <v>0.01</v>
      </c>
      <c r="AA16" s="129">
        <v>0.01</v>
      </c>
      <c r="AB16" s="130" t="s">
        <v>102</v>
      </c>
    </row>
    <row r="17" spans="1:34" s="127" customFormat="1" x14ac:dyDescent="0.25">
      <c r="A17" s="113">
        <f>MATCH(D17,'TRADING INPUTS'!B:B,0)</f>
        <v>7</v>
      </c>
      <c r="B17" s="114">
        <f>MATCH(D17,'MKT DATA'!B:B,0)</f>
        <v>12</v>
      </c>
      <c r="C17" s="115" t="s">
        <v>48</v>
      </c>
      <c r="D17" s="116" t="s">
        <v>55</v>
      </c>
      <c r="E17" s="167"/>
      <c r="F17" s="117" cm="1">
        <f t="array" aca="1" ref="F17" ca="1">INDIRECT(ADDRESS($B17,9,,,"mkt data"))</f>
        <v>0</v>
      </c>
      <c r="G17" s="118">
        <f t="shared" ca="1" si="1"/>
        <v>0</v>
      </c>
      <c r="H17" s="117">
        <f t="shared" ca="1" si="0"/>
        <v>0</v>
      </c>
      <c r="I17" s="181">
        <f ca="1">SUM(H17:H18)</f>
        <v>0</v>
      </c>
      <c r="J17" s="119" cm="1">
        <f t="array" aca="1" ref="J17" ca="1">INDIRECT(ADDRESS($B17,5,,,"mkt data"))</f>
        <v>26.75</v>
      </c>
      <c r="K17" s="120" cm="1">
        <f t="array" aca="1" ref="K17" ca="1">INDIRECT(ADDRESS($B17,6,,,"mkt data"))</f>
        <v>27.27</v>
      </c>
      <c r="L17" s="121">
        <f ca="1">J17-L$20</f>
        <v>26.745000000000001</v>
      </c>
      <c r="M17" s="121">
        <f ca="1">K17+L$20</f>
        <v>27.274999999999999</v>
      </c>
      <c r="N17" s="122" cm="1">
        <f t="array" aca="1" ref="N17" ca="1">INDIRECT(ADDRESS($A17,5,,,"trading inputs"))</f>
        <v>1.0737410900908801</v>
      </c>
      <c r="O17" s="123">
        <f ca="1">L17*N17</f>
        <v>28.717205454480592</v>
      </c>
      <c r="P17" s="123">
        <f ca="1">-N17*M17</f>
        <v>-29.286288232228756</v>
      </c>
      <c r="Q17" s="183">
        <f ca="1">P17+O18</f>
        <v>-0.39128823222875653</v>
      </c>
      <c r="R17" s="185">
        <f ca="1">Q17/AVERAGE(O18,-P18)</f>
        <v>-1.3485722289462572E-2</v>
      </c>
      <c r="S17" s="183">
        <f ca="1">O17+P18</f>
        <v>-0.41779454551940631</v>
      </c>
      <c r="T17" s="185">
        <f ca="1">S17/AVERAGE(O18,-P18)</f>
        <v>-1.4399260572786707E-2</v>
      </c>
      <c r="U17" s="124"/>
      <c r="V17" s="125"/>
      <c r="W17" s="125"/>
      <c r="X17" s="126"/>
      <c r="Z17" s="128">
        <v>0.01</v>
      </c>
      <c r="AA17" s="129">
        <v>0.01</v>
      </c>
      <c r="AB17" s="130" t="s">
        <v>101</v>
      </c>
    </row>
    <row r="18" spans="1:34" s="127" customFormat="1" ht="15.75" thickBot="1" x14ac:dyDescent="0.3">
      <c r="A18" s="131">
        <f>MATCH(D18,'TRADING INPUTS'!B:B,0)</f>
        <v>6</v>
      </c>
      <c r="B18" s="132">
        <f>MATCH(D18,'MKT DATA'!B:B,0)</f>
        <v>3</v>
      </c>
      <c r="C18" s="133" t="s">
        <v>48</v>
      </c>
      <c r="D18" s="134" t="s">
        <v>48</v>
      </c>
      <c r="E18" s="169"/>
      <c r="F18" s="135" cm="1">
        <f t="array" aca="1" ref="F18" ca="1">INDIRECT(ADDRESS($B18,9,,,"mkt data"))</f>
        <v>0</v>
      </c>
      <c r="G18" s="136">
        <f t="shared" ca="1" si="1"/>
        <v>0</v>
      </c>
      <c r="H18" s="135">
        <f t="shared" ca="1" si="0"/>
        <v>0</v>
      </c>
      <c r="I18" s="182"/>
      <c r="J18" s="137" cm="1">
        <f t="array" aca="1" ref="J18" ca="1">INDIRECT(ADDRESS($B18,5,,,"mkt data"))</f>
        <v>28.9</v>
      </c>
      <c r="K18" s="138" cm="1">
        <f t="array" aca="1" ref="K18" ca="1">INDIRECT(ADDRESS($B18,6,,,"mkt data"))</f>
        <v>29.13</v>
      </c>
      <c r="L18" s="139">
        <f ca="1">J18-L$20</f>
        <v>28.895</v>
      </c>
      <c r="M18" s="139">
        <f ca="1">K18+L$20</f>
        <v>29.134999999999998</v>
      </c>
      <c r="N18" s="140" cm="1">
        <f t="array" aca="1" ref="N18" ca="1">INDIRECT(ADDRESS($A18,5,,,"trading inputs"))</f>
        <v>1</v>
      </c>
      <c r="O18" s="141">
        <f ca="1">L18*N18</f>
        <v>28.895</v>
      </c>
      <c r="P18" s="141">
        <f ca="1">-N18*M18</f>
        <v>-29.134999999999998</v>
      </c>
      <c r="Q18" s="184"/>
      <c r="R18" s="186"/>
      <c r="S18" s="184"/>
      <c r="T18" s="186"/>
      <c r="U18" s="142"/>
      <c r="V18" s="143"/>
      <c r="W18" s="143"/>
      <c r="X18" s="144"/>
      <c r="Z18" s="129">
        <v>0.01</v>
      </c>
      <c r="AA18" s="129">
        <v>0.01</v>
      </c>
      <c r="AB18" s="130" t="s">
        <v>102</v>
      </c>
    </row>
    <row r="19" spans="1:34" ht="15.75" thickBot="1" x14ac:dyDescent="0.3">
      <c r="A19" s="236" t="str">
        <f>'MKT DATA'!J2</f>
        <v>2026-08-25_17-02-18</v>
      </c>
      <c r="B19" s="236"/>
      <c r="C19" s="236"/>
    </row>
    <row r="20" spans="1:34" s="13" customFormat="1" x14ac:dyDescent="0.25">
      <c r="A20" s="202" t="s">
        <v>77</v>
      </c>
      <c r="B20" s="203"/>
      <c r="C20" s="98"/>
      <c r="D20" s="86"/>
      <c r="E20" s="106"/>
      <c r="F20" s="200" t="s">
        <v>83</v>
      </c>
      <c r="G20" s="200"/>
      <c r="H20" s="200"/>
      <c r="I20" s="201"/>
      <c r="J20" s="204" t="s">
        <v>79</v>
      </c>
      <c r="K20" s="205"/>
      <c r="L20" s="206">
        <v>5.0000000000000001E-3</v>
      </c>
      <c r="M20" s="206"/>
      <c r="N20" s="58"/>
      <c r="O20" s="207" t="s">
        <v>82</v>
      </c>
      <c r="P20" s="208"/>
      <c r="Q20" s="198" t="s">
        <v>73</v>
      </c>
      <c r="R20" s="249"/>
      <c r="S20" s="249"/>
      <c r="T20" s="199"/>
      <c r="U20" s="85"/>
      <c r="V20" s="158"/>
      <c r="Z20" s="245" t="s">
        <v>100</v>
      </c>
      <c r="AA20" s="245"/>
      <c r="AB20"/>
      <c r="AC20"/>
      <c r="AD20" s="35" t="s">
        <v>96</v>
      </c>
      <c r="AE20" s="36">
        <v>46233</v>
      </c>
      <c r="AF20" s="37"/>
      <c r="AG20" s="35" t="s">
        <v>96</v>
      </c>
      <c r="AH20" s="36">
        <v>46232</v>
      </c>
    </row>
    <row r="21" spans="1:34" s="16" customFormat="1" ht="15.75" thickBot="1" x14ac:dyDescent="0.3">
      <c r="A21" s="47" t="s">
        <v>76</v>
      </c>
      <c r="B21" s="48" t="s">
        <v>78</v>
      </c>
      <c r="C21" s="87" t="s">
        <v>68</v>
      </c>
      <c r="D21" s="88" t="s">
        <v>69</v>
      </c>
      <c r="E21" s="107" t="s">
        <v>95</v>
      </c>
      <c r="F21" s="105" t="s">
        <v>84</v>
      </c>
      <c r="G21" s="89" t="s">
        <v>110</v>
      </c>
      <c r="H21" s="90" t="s">
        <v>109</v>
      </c>
      <c r="I21" s="91" t="s">
        <v>85</v>
      </c>
      <c r="J21" s="92" t="s">
        <v>80</v>
      </c>
      <c r="K21" s="93" t="s">
        <v>81</v>
      </c>
      <c r="L21" s="94" t="s">
        <v>71</v>
      </c>
      <c r="M21" s="94" t="s">
        <v>72</v>
      </c>
      <c r="N21" s="95" t="s">
        <v>70</v>
      </c>
      <c r="O21" s="96" t="s">
        <v>74</v>
      </c>
      <c r="P21" s="97" t="s">
        <v>75</v>
      </c>
      <c r="Q21" s="59" t="s">
        <v>74</v>
      </c>
      <c r="R21" s="16" t="s">
        <v>75</v>
      </c>
      <c r="S21" s="60" t="s">
        <v>99</v>
      </c>
      <c r="T21" s="67" t="s">
        <v>36</v>
      </c>
      <c r="U21" s="59" t="s">
        <v>101</v>
      </c>
      <c r="V21" s="67" t="s">
        <v>102</v>
      </c>
      <c r="Z21" s="16" t="s">
        <v>101</v>
      </c>
      <c r="AA21" s="16" t="s">
        <v>102</v>
      </c>
      <c r="AB21"/>
      <c r="AC21"/>
      <c r="AD21" s="35" t="s">
        <v>97</v>
      </c>
      <c r="AE21" s="38" t="b">
        <v>1</v>
      </c>
      <c r="AF21" s="37"/>
      <c r="AG21" s="35" t="s">
        <v>97</v>
      </c>
      <c r="AH21" s="38" t="b">
        <v>1</v>
      </c>
    </row>
    <row r="22" spans="1:34" x14ac:dyDescent="0.25">
      <c r="A22" s="20">
        <f>MATCH(D22,'TRADING INPUTS'!B:B,0)</f>
        <v>30</v>
      </c>
      <c r="B22" s="49">
        <f>MATCH(D22,'MKT DATA'!B:B,0)</f>
        <v>37</v>
      </c>
      <c r="C22" s="21" t="s">
        <v>4</v>
      </c>
      <c r="D22" s="22" t="s">
        <v>24</v>
      </c>
      <c r="E22" s="110">
        <v>0.1002</v>
      </c>
      <c r="F22" s="42" cm="1">
        <f t="array" aca="1" ref="F22" ca="1">INDIRECT(ADDRESS($B22,9,,,"mkt data"))</f>
        <v>0</v>
      </c>
      <c r="G22" s="81">
        <f ca="1">F22*AVERAGE(J22:K22)</f>
        <v>0</v>
      </c>
      <c r="H22" s="42">
        <f t="shared" ref="H22:H47" ca="1" si="6">F22/N22</f>
        <v>0</v>
      </c>
      <c r="I22" s="194">
        <f ca="1">SUM(H22:H24)</f>
        <v>0</v>
      </c>
      <c r="J22" s="52" cm="1">
        <f t="array" aca="1" ref="J22" ca="1">INDIRECT(ADDRESS($B22,5,,,"mkt data"))</f>
        <v>40.56</v>
      </c>
      <c r="K22" s="53" cm="1">
        <f t="array" aca="1" ref="K22" ca="1">INDIRECT(ADDRESS($B22,6,,,"mkt data"))</f>
        <v>45.99</v>
      </c>
      <c r="L22" s="23">
        <f t="shared" ref="L22:L47" ca="1" si="7">J22-L$20</f>
        <v>40.555</v>
      </c>
      <c r="M22" s="23">
        <f t="shared" ref="M22:M47" ca="1" si="8">K22+L$20</f>
        <v>45.995000000000005</v>
      </c>
      <c r="N22" s="69" cm="1">
        <f t="array" aca="1" ref="N22" ca="1">INDIRECT(ADDRESS($A22,5,,,"trading inputs"))</f>
        <v>2.3507550213933195</v>
      </c>
      <c r="O22" s="24">
        <f t="shared" ref="O22:O39" ca="1" si="9">L22*N22</f>
        <v>95.334869892606065</v>
      </c>
      <c r="P22" s="24">
        <f t="shared" ref="P22:P39" ca="1" si="10">-N22*M22</f>
        <v>-108.12297720898574</v>
      </c>
      <c r="Q22" s="190">
        <f ca="1">MAX(O22:O24)</f>
        <v>105.47051151837692</v>
      </c>
      <c r="R22" s="219">
        <f ca="1">MAX(P22:P24)</f>
        <v>-105.55562844485198</v>
      </c>
      <c r="S22" s="219">
        <f ca="1">Q22+R22</f>
        <v>-8.5116926475052423E-2</v>
      </c>
      <c r="T22" s="192">
        <f ca="1">S22/AVERAGE(ABS(Q22),ABS(R22))</f>
        <v>-8.066955732582131E-4</v>
      </c>
      <c r="U22" s="101">
        <f>Z22</f>
        <v>1E-3</v>
      </c>
      <c r="V22" s="102">
        <f>AA22</f>
        <v>1E-3</v>
      </c>
      <c r="Z22" s="230">
        <v>1E-3</v>
      </c>
      <c r="AA22" s="210">
        <v>1E-3</v>
      </c>
    </row>
    <row r="23" spans="1:34" x14ac:dyDescent="0.25">
      <c r="A23" s="25">
        <f>MATCH(D23,'TRADING INPUTS'!B:B,0)</f>
        <v>31</v>
      </c>
      <c r="B23" s="50">
        <f>MATCH(D23,'MKT DATA'!B:B,0)</f>
        <v>46</v>
      </c>
      <c r="C23" s="14" t="s">
        <v>4</v>
      </c>
      <c r="D23" s="12" t="s">
        <v>3</v>
      </c>
      <c r="E23" s="108">
        <v>0.1002</v>
      </c>
      <c r="F23" s="43" cm="1">
        <f t="array" aca="1" ref="F23" ca="1">INDIRECT(ADDRESS($B23,9,,,"mkt data"))</f>
        <v>0</v>
      </c>
      <c r="G23" s="82">
        <f t="shared" ref="G23:G47" ca="1" si="11">F23*AVERAGE(J23:K23)</f>
        <v>0</v>
      </c>
      <c r="H23" s="43">
        <f t="shared" ca="1" si="6"/>
        <v>0</v>
      </c>
      <c r="I23" s="247"/>
      <c r="J23" s="54" cm="1">
        <f t="array" aca="1" ref="J23" ca="1">INDIRECT(ADDRESS($B23,5,,,"mkt data"))</f>
        <v>49.57</v>
      </c>
      <c r="K23" s="55" cm="1">
        <f t="array" aca="1" ref="K23" ca="1">INDIRECT(ADDRESS($B23,6,,,"mkt data"))</f>
        <v>49.6</v>
      </c>
      <c r="L23" s="26">
        <f t="shared" ca="1" si="7"/>
        <v>49.564999999999998</v>
      </c>
      <c r="M23" s="26">
        <f t="shared" ca="1" si="8"/>
        <v>49.605000000000004</v>
      </c>
      <c r="N23" s="73" cm="1">
        <f t="array" aca="1" ref="N23" ca="1">INDIRECT(ADDRESS($A23,5,,,"trading inputs"))</f>
        <v>2.1279231618758585</v>
      </c>
      <c r="O23" s="27">
        <f t="shared" ca="1" si="9"/>
        <v>105.47051151837692</v>
      </c>
      <c r="P23" s="27">
        <f t="shared" ca="1" si="10"/>
        <v>-105.55562844485198</v>
      </c>
      <c r="Q23" s="241"/>
      <c r="R23" s="220"/>
      <c r="S23" s="222"/>
      <c r="T23" s="224"/>
      <c r="U23" s="159" t="b">
        <f ca="1">IF(T22&gt;Z22,TRUE,FALSE)</f>
        <v>0</v>
      </c>
      <c r="V23" s="160" t="b" cm="1">
        <f t="array" aca="1" ref="V23" ca="1">AND(IF(SUM(ABS(F22:F24)),TRUE,FALSE),IF(T22&lt;V22,TRUE,FALSE))</f>
        <v>0</v>
      </c>
      <c r="Z23" s="231"/>
      <c r="AA23" s="211"/>
    </row>
    <row r="24" spans="1:34" ht="15.75" thickBot="1" x14ac:dyDescent="0.3">
      <c r="A24" s="28">
        <f>MATCH(D24,'TRADING INPUTS'!B:B,0)</f>
        <v>29</v>
      </c>
      <c r="B24" s="51">
        <f>MATCH(D24,'MKT DATA'!B:B,0)</f>
        <v>23</v>
      </c>
      <c r="C24" s="29" t="s">
        <v>4</v>
      </c>
      <c r="D24" s="30" t="s">
        <v>4</v>
      </c>
      <c r="E24" s="109">
        <v>0.1002</v>
      </c>
      <c r="F24" s="44" cm="1">
        <f t="array" aca="1" ref="F24" ca="1">INDIRECT(ADDRESS($B24,9,,,"mkt data"))</f>
        <v>0</v>
      </c>
      <c r="G24" s="83">
        <f t="shared" ca="1" si="11"/>
        <v>0</v>
      </c>
      <c r="H24" s="44">
        <f t="shared" ca="1" si="6"/>
        <v>0</v>
      </c>
      <c r="I24" s="195"/>
      <c r="J24" s="56" cm="1">
        <f t="array" aca="1" ref="J24" ca="1">INDIRECT(ADDRESS($B24,5,,,"mkt data"))</f>
        <v>105.4</v>
      </c>
      <c r="K24" s="57" cm="1">
        <f t="array" aca="1" ref="K24" ca="1">INDIRECT(ADDRESS($B24,6,,,"mkt data"))</f>
        <v>106.75</v>
      </c>
      <c r="L24" s="31">
        <f t="shared" ca="1" si="7"/>
        <v>105.39500000000001</v>
      </c>
      <c r="M24" s="31">
        <f t="shared" ca="1" si="8"/>
        <v>106.755</v>
      </c>
      <c r="N24" s="71" cm="1">
        <f t="array" aca="1" ref="N24" ca="1">INDIRECT(ADDRESS($A24,5,,,"trading inputs"))</f>
        <v>1</v>
      </c>
      <c r="O24" s="32">
        <f t="shared" ca="1" si="9"/>
        <v>105.39500000000001</v>
      </c>
      <c r="P24" s="32">
        <f t="shared" ca="1" si="10"/>
        <v>-106.755</v>
      </c>
      <c r="Q24" s="191"/>
      <c r="R24" s="221"/>
      <c r="S24" s="223"/>
      <c r="T24" s="193"/>
      <c r="U24" s="62"/>
      <c r="V24" s="161"/>
      <c r="Z24" s="232"/>
      <c r="AA24" s="212"/>
    </row>
    <row r="25" spans="1:34" x14ac:dyDescent="0.25">
      <c r="A25" s="20">
        <f>MATCH(D25,'TRADING INPUTS'!B:B,0)</f>
        <v>27</v>
      </c>
      <c r="B25" s="49">
        <f>MATCH(D25,'MKT DATA'!B:B,0)</f>
        <v>35</v>
      </c>
      <c r="C25" s="21" t="s">
        <v>23</v>
      </c>
      <c r="D25" s="22" t="s">
        <v>21</v>
      </c>
      <c r="E25" s="110">
        <v>0.16500000000000001</v>
      </c>
      <c r="F25" s="42" cm="1">
        <f t="array" aca="1" ref="F25" ca="1">INDIRECT(ADDRESS($B25,9,,,"mkt data"))</f>
        <v>0</v>
      </c>
      <c r="G25" s="81">
        <f t="shared" ca="1" si="11"/>
        <v>0</v>
      </c>
      <c r="H25" s="42">
        <f t="shared" ca="1" si="6"/>
        <v>0</v>
      </c>
      <c r="I25" s="194">
        <f ca="1">SUM(H25:H27)</f>
        <v>0</v>
      </c>
      <c r="J25" s="52" cm="1">
        <f t="array" aca="1" ref="J25" ca="1">INDIRECT(ADDRESS($B25,5,,,"mkt data"))</f>
        <v>21.26</v>
      </c>
      <c r="K25" s="53" cm="1">
        <f t="array" aca="1" ref="K25" ca="1">INDIRECT(ADDRESS($B25,6,,,"mkt data"))</f>
        <v>22.5</v>
      </c>
      <c r="L25" s="23">
        <f t="shared" ca="1" si="7"/>
        <v>21.255000000000003</v>
      </c>
      <c r="M25" s="23">
        <f t="shared" ca="1" si="8"/>
        <v>22.504999999999999</v>
      </c>
      <c r="N25" s="69" cm="1">
        <f t="array" aca="1" ref="N25" ca="1">INDIRECT(ADDRESS($A25,5,,,"trading inputs"))</f>
        <v>4.2368674112252762</v>
      </c>
      <c r="O25" s="24">
        <f t="shared" ca="1" si="9"/>
        <v>90.054616825593257</v>
      </c>
      <c r="P25" s="24">
        <f t="shared" ca="1" si="10"/>
        <v>-95.350701089624835</v>
      </c>
      <c r="Q25" s="190">
        <f ca="1">MAX(O25:O27)</f>
        <v>93.55053853999685</v>
      </c>
      <c r="R25" s="219">
        <f ca="1">MAX(P25:P27)</f>
        <v>-95.350701089624835</v>
      </c>
      <c r="S25" s="219">
        <f ca="1">Q25+R25</f>
        <v>-1.8001625496279843</v>
      </c>
      <c r="T25" s="192">
        <f ca="1">S25/AVERAGE(ABS(Q25),ABS(R25))</f>
        <v>-1.9059298426601749E-2</v>
      </c>
      <c r="U25" s="101">
        <f>Z25</f>
        <v>8.0000000000000004E-4</v>
      </c>
      <c r="V25" s="102">
        <f>AA25</f>
        <v>8.0000000000000004E-4</v>
      </c>
      <c r="Z25" s="230">
        <v>8.0000000000000004E-4</v>
      </c>
      <c r="AA25" s="210">
        <v>8.0000000000000004E-4</v>
      </c>
    </row>
    <row r="26" spans="1:34" x14ac:dyDescent="0.25">
      <c r="A26" s="25">
        <f>MATCH(D26,'TRADING INPUTS'!B:B,0)</f>
        <v>28</v>
      </c>
      <c r="B26" s="50">
        <f>MATCH(D26,'MKT DATA'!B:B,0)</f>
        <v>44</v>
      </c>
      <c r="C26" s="14" t="s">
        <v>23</v>
      </c>
      <c r="D26" s="12" t="s">
        <v>22</v>
      </c>
      <c r="E26" s="112">
        <v>0.16500000000000001</v>
      </c>
      <c r="F26" s="43" cm="1">
        <f t="array" aca="1" ref="F26" ca="1">INDIRECT(ADDRESS($B26,9,,,"mkt data"))</f>
        <v>0</v>
      </c>
      <c r="G26" s="82">
        <f t="shared" ca="1" si="11"/>
        <v>0</v>
      </c>
      <c r="H26" s="43">
        <f t="shared" ca="1" si="6"/>
        <v>0</v>
      </c>
      <c r="I26" s="247"/>
      <c r="J26" s="54" cm="1">
        <f t="array" aca="1" ref="J26" ca="1">INDIRECT(ADDRESS($B26,5,,,"mkt data"))</f>
        <v>46.37</v>
      </c>
      <c r="K26" s="55" cm="1">
        <f t="array" aca="1" ref="K26" ca="1">INDIRECT(ADDRESS($B26,6,,,"mkt data"))</f>
        <v>47.35</v>
      </c>
      <c r="L26" s="26">
        <f t="shared" ca="1" si="7"/>
        <v>46.364999999999995</v>
      </c>
      <c r="M26" s="26">
        <f t="shared" ca="1" si="8"/>
        <v>47.355000000000004</v>
      </c>
      <c r="N26" s="73" cm="1">
        <f t="array" aca="1" ref="N26" ca="1">INDIRECT(ADDRESS($A26,5,,,"trading inputs"))</f>
        <v>2.017697369567494</v>
      </c>
      <c r="O26" s="27">
        <f t="shared" ca="1" si="9"/>
        <v>93.55053853999685</v>
      </c>
      <c r="P26" s="27">
        <f t="shared" ca="1" si="10"/>
        <v>-95.548058935868681</v>
      </c>
      <c r="Q26" s="241"/>
      <c r="R26" s="220"/>
      <c r="S26" s="222"/>
      <c r="T26" s="224"/>
      <c r="U26" s="159" t="b">
        <f ca="1">IF(T25&gt;Z25,TRUE,FALSE)</f>
        <v>0</v>
      </c>
      <c r="V26" s="160" t="b" cm="1">
        <f t="array" aca="1" ref="V26" ca="1">AND(IF(SUM(ABS(F25:F27)),TRUE,FALSE),IF(T25&lt;V25,TRUE,FALSE))</f>
        <v>0</v>
      </c>
      <c r="Z26" s="231"/>
      <c r="AA26" s="211"/>
    </row>
    <row r="27" spans="1:34" ht="15.75" thickBot="1" x14ac:dyDescent="0.3">
      <c r="A27" s="28">
        <f>MATCH(D27,'TRADING INPUTS'!B:B,0)</f>
        <v>26</v>
      </c>
      <c r="B27" s="51">
        <f>MATCH(D27,'MKT DATA'!B:B,0)</f>
        <v>22</v>
      </c>
      <c r="C27" s="29" t="s">
        <v>23</v>
      </c>
      <c r="D27" s="30" t="s">
        <v>23</v>
      </c>
      <c r="E27" s="111">
        <v>0.16500000000000001</v>
      </c>
      <c r="F27" s="44" cm="1">
        <f t="array" aca="1" ref="F27" ca="1">INDIRECT(ADDRESS($B27,9,,,"mkt data"))</f>
        <v>0</v>
      </c>
      <c r="G27" s="83">
        <f t="shared" ca="1" si="11"/>
        <v>0</v>
      </c>
      <c r="H27" s="44">
        <f t="shared" ca="1" si="6"/>
        <v>0</v>
      </c>
      <c r="I27" s="195"/>
      <c r="J27" s="56" cm="1">
        <f t="array" aca="1" ref="J27" ca="1">INDIRECT(ADDRESS($B27,5,,,"mkt data"))</f>
        <v>91.58</v>
      </c>
      <c r="K27" s="57" cm="1">
        <f t="array" aca="1" ref="K27" ca="1">INDIRECT(ADDRESS($B27,6,,,"mkt data"))</f>
        <v>96.5</v>
      </c>
      <c r="L27" s="31">
        <f t="shared" ca="1" si="7"/>
        <v>91.575000000000003</v>
      </c>
      <c r="M27" s="31">
        <f t="shared" ca="1" si="8"/>
        <v>96.504999999999995</v>
      </c>
      <c r="N27" s="71" cm="1">
        <f t="array" aca="1" ref="N27" ca="1">INDIRECT(ADDRESS($A27,5,,,"trading inputs"))</f>
        <v>1</v>
      </c>
      <c r="O27" s="32">
        <f t="shared" ca="1" si="9"/>
        <v>91.575000000000003</v>
      </c>
      <c r="P27" s="32">
        <f t="shared" ca="1" si="10"/>
        <v>-96.504999999999995</v>
      </c>
      <c r="Q27" s="191"/>
      <c r="R27" s="221"/>
      <c r="S27" s="223"/>
      <c r="T27" s="193"/>
      <c r="U27" s="62"/>
      <c r="V27" s="161"/>
      <c r="Z27" s="232"/>
      <c r="AA27" s="212"/>
    </row>
    <row r="28" spans="1:34" x14ac:dyDescent="0.25">
      <c r="A28" s="20">
        <f>MATCH(D28,'TRADING INPUTS'!B:B,0)</f>
        <v>9</v>
      </c>
      <c r="B28" s="49">
        <f>MATCH(D28,'MKT DATA'!B:B,0)</f>
        <v>32</v>
      </c>
      <c r="C28" s="21" t="s">
        <v>35</v>
      </c>
      <c r="D28" s="22" t="s">
        <v>32</v>
      </c>
      <c r="E28" s="110">
        <v>0.16500000000000001</v>
      </c>
      <c r="F28" s="42" cm="1">
        <f t="array" aca="1" ref="F28" ca="1">INDIRECT(ADDRESS($B28,9,,,"mkt data"))</f>
        <v>0</v>
      </c>
      <c r="G28" s="81">
        <f t="shared" ca="1" si="11"/>
        <v>0</v>
      </c>
      <c r="H28" s="42">
        <f t="shared" ca="1" si="6"/>
        <v>0</v>
      </c>
      <c r="I28" s="196">
        <f ca="1">SUM(H28:H31)</f>
        <v>0</v>
      </c>
      <c r="J28" s="52" cm="1">
        <f t="array" aca="1" ref="J28" ca="1">INDIRECT(ADDRESS($B28,5,,,"mkt data"))</f>
        <v>28.58</v>
      </c>
      <c r="K28" s="53" cm="1">
        <f t="array" aca="1" ref="K28" ca="1">INDIRECT(ADDRESS($B28,6,,,"mkt data"))</f>
        <v>29.82</v>
      </c>
      <c r="L28" s="23">
        <f t="shared" ref="L28:L37" ca="1" si="12">J28-L$20</f>
        <v>28.574999999999999</v>
      </c>
      <c r="M28" s="23">
        <f t="shared" ref="M28:M37" ca="1" si="13">K28+L$20</f>
        <v>29.824999999999999</v>
      </c>
      <c r="N28" s="69" cm="1">
        <f t="array" aca="1" ref="N28" ca="1">INDIRECT(ADDRESS($A28,5,,,"trading inputs"))</f>
        <v>3.3419939175743822</v>
      </c>
      <c r="O28" s="24">
        <f t="shared" ref="O28:O30" ca="1" si="14">L28*N28</f>
        <v>95.497476194687977</v>
      </c>
      <c r="P28" s="24">
        <f t="shared" ref="P28:P30" ca="1" si="15">-N28*M28</f>
        <v>-99.674968591655954</v>
      </c>
      <c r="Q28" s="190">
        <f ca="1">MAX(O28:O31)</f>
        <v>95.497476194687977</v>
      </c>
      <c r="R28" s="219">
        <f ca="1">MAX(P28:P31)</f>
        <v>-95.646556476722068</v>
      </c>
      <c r="S28" s="219">
        <f ca="1">Q28+R28</f>
        <v>-0.14908028203409174</v>
      </c>
      <c r="T28" s="192">
        <f ca="1">S28/AVERAGE(ABS(Q28),ABS(R28))</f>
        <v>-1.5598737763409141E-3</v>
      </c>
      <c r="U28" s="61"/>
      <c r="V28" s="170"/>
      <c r="Z28" s="230">
        <v>1E-3</v>
      </c>
      <c r="AA28" s="210">
        <v>8.0000000000000004E-4</v>
      </c>
    </row>
    <row r="29" spans="1:34" x14ac:dyDescent="0.25">
      <c r="A29" s="25">
        <f>MATCH(D29,'TRADING INPUTS'!B:B,0)</f>
        <v>10</v>
      </c>
      <c r="B29" s="50">
        <f>MATCH(D29,'MKT DATA'!B:B,0)</f>
        <v>40</v>
      </c>
      <c r="C29" s="14" t="s">
        <v>35</v>
      </c>
      <c r="D29" s="12" t="s">
        <v>33</v>
      </c>
      <c r="E29" s="112">
        <v>0.16500000000000001</v>
      </c>
      <c r="F29" s="43" cm="1">
        <f t="array" aca="1" ref="F29" ca="1">INDIRECT(ADDRESS($B29,9,,,"mkt data"))</f>
        <v>0</v>
      </c>
      <c r="G29" s="82">
        <f t="shared" ca="1" si="11"/>
        <v>0</v>
      </c>
      <c r="H29" s="43">
        <f t="shared" ca="1" si="6"/>
        <v>0</v>
      </c>
      <c r="I29" s="248"/>
      <c r="J29" s="54" cm="1">
        <f t="array" aca="1" ref="J29" ca="1">INDIRECT(ADDRESS($B29,5,,,"mkt data"))</f>
        <v>37.86</v>
      </c>
      <c r="K29" s="55" cm="1">
        <f t="array" aca="1" ref="K29" ca="1">INDIRECT(ADDRESS($B29,6,,,"mkt data"))</f>
        <v>51.77</v>
      </c>
      <c r="L29" s="26">
        <f t="shared" ca="1" si="12"/>
        <v>37.854999999999997</v>
      </c>
      <c r="M29" s="26">
        <f t="shared" ca="1" si="13"/>
        <v>51.775000000000006</v>
      </c>
      <c r="N29" s="73" cm="1">
        <f t="array" aca="1" ref="N29" ca="1">INDIRECT(ADDRESS($A29,5,,,"trading inputs"))</f>
        <v>1.8900741836734043</v>
      </c>
      <c r="O29" s="27">
        <f t="shared" ca="1" si="14"/>
        <v>71.548758222956707</v>
      </c>
      <c r="P29" s="27">
        <f t="shared" ca="1" si="15"/>
        <v>-97.858590859690523</v>
      </c>
      <c r="Q29" s="237"/>
      <c r="R29" s="222"/>
      <c r="S29" s="222"/>
      <c r="T29" s="224"/>
      <c r="U29" s="172">
        <f>Z28</f>
        <v>1E-3</v>
      </c>
      <c r="V29" s="173">
        <f>AA28</f>
        <v>8.0000000000000004E-4</v>
      </c>
      <c r="W29" s="15"/>
      <c r="X29" s="166"/>
      <c r="Z29" s="231"/>
      <c r="AA29" s="211"/>
    </row>
    <row r="30" spans="1:34" x14ac:dyDescent="0.25">
      <c r="A30" s="25">
        <f>MATCH(D30,'TRADING INPUTS'!B:B,0)</f>
        <v>11</v>
      </c>
      <c r="B30" s="50">
        <f>MATCH(D30,'MKT DATA'!B:B,0)</f>
        <v>45</v>
      </c>
      <c r="C30" s="14" t="s">
        <v>35</v>
      </c>
      <c r="D30" s="12" t="s">
        <v>34</v>
      </c>
      <c r="E30" s="112">
        <v>0.16500000000000001</v>
      </c>
      <c r="F30" s="43" cm="1">
        <f t="array" aca="1" ref="F30" ca="1">INDIRECT(ADDRESS($B30,9,,,"mkt data"))</f>
        <v>0</v>
      </c>
      <c r="G30" s="82">
        <f t="shared" ca="1" si="11"/>
        <v>0</v>
      </c>
      <c r="H30" s="43">
        <f t="shared" ca="1" si="6"/>
        <v>0</v>
      </c>
      <c r="I30" s="248"/>
      <c r="J30" s="54" cm="1">
        <f t="array" aca="1" ref="J30" ca="1">INDIRECT(ADDRESS($B30,5,,,"mkt data"))</f>
        <v>75.400000000000006</v>
      </c>
      <c r="K30" s="55" cm="1">
        <f t="array" aca="1" ref="K30" ca="1">INDIRECT(ADDRESS($B30,6,,,"mkt data"))</f>
        <v>75.7</v>
      </c>
      <c r="L30" s="26">
        <f t="shared" ca="1" si="12"/>
        <v>75.39500000000001</v>
      </c>
      <c r="M30" s="26">
        <f t="shared" ca="1" si="13"/>
        <v>75.704999999999998</v>
      </c>
      <c r="N30" s="73" cm="1">
        <f t="array" aca="1" ref="N30" ca="1">INDIRECT(ADDRESS($A30,5,,,"trading inputs"))</f>
        <v>1.2634113529716937</v>
      </c>
      <c r="O30" s="27">
        <f t="shared" ca="1" si="14"/>
        <v>95.254898957300867</v>
      </c>
      <c r="P30" s="27">
        <f t="shared" ca="1" si="15"/>
        <v>-95.646556476722068</v>
      </c>
      <c r="Q30" s="237"/>
      <c r="R30" s="222"/>
      <c r="S30" s="222"/>
      <c r="T30" s="224"/>
      <c r="U30" s="159" t="b">
        <f ca="1">IF(T28&gt;Z28,TRUE,FALSE)</f>
        <v>0</v>
      </c>
      <c r="V30" s="160" t="b" cm="1">
        <f t="array" aca="1" ref="V30" ca="1">AND(IF(SUM(ABS(F28:F30)),TRUE,FALSE),IF(T28&lt;V29,TRUE,FALSE))</f>
        <v>0</v>
      </c>
      <c r="Z30" s="231"/>
      <c r="AA30" s="211"/>
    </row>
    <row r="31" spans="1:34" ht="15.75" thickBot="1" x14ac:dyDescent="0.3">
      <c r="A31" s="28">
        <f>MATCH(D31,'TRADING INPUTS'!B:B,0)</f>
        <v>8</v>
      </c>
      <c r="B31" s="51">
        <f>MATCH(D31,'MKT DATA'!B:B,0)</f>
        <v>8</v>
      </c>
      <c r="C31" s="29" t="s">
        <v>35</v>
      </c>
      <c r="D31" s="30" t="s">
        <v>35</v>
      </c>
      <c r="E31" s="111">
        <v>0.16500000000000001</v>
      </c>
      <c r="F31" s="44" cm="1">
        <f t="array" aca="1" ref="F31" ca="1">INDIRECT(ADDRESS($B31,9,,,"mkt data"))</f>
        <v>0</v>
      </c>
      <c r="G31" s="83">
        <f t="shared" ca="1" si="11"/>
        <v>0</v>
      </c>
      <c r="H31" s="44">
        <f t="shared" ca="1" si="6"/>
        <v>0</v>
      </c>
      <c r="I31" s="197"/>
      <c r="J31" s="56" cm="1">
        <f t="array" aca="1" ref="J31" ca="1">INDIRECT(ADDRESS($B31,5,,,"mkt data"))</f>
        <v>90.33</v>
      </c>
      <c r="K31" s="57" cm="1">
        <f t="array" aca="1" ref="K31" ca="1">INDIRECT(ADDRESS($B31,6,,,"mkt data"))</f>
        <v>100.92</v>
      </c>
      <c r="L31" s="31">
        <f t="shared" ca="1" si="12"/>
        <v>90.325000000000003</v>
      </c>
      <c r="M31" s="31">
        <f t="shared" ca="1" si="13"/>
        <v>100.925</v>
      </c>
      <c r="N31" s="71" cm="1">
        <f t="array" aca="1" ref="N31" ca="1">INDIRECT(ADDRESS($A31,5,,,"trading inputs"))</f>
        <v>1</v>
      </c>
      <c r="O31" s="32">
        <f ca="1">L31*N31</f>
        <v>90.325000000000003</v>
      </c>
      <c r="P31" s="32">
        <f ca="1">-N31*M31</f>
        <v>-100.925</v>
      </c>
      <c r="Q31" s="238"/>
      <c r="R31" s="223"/>
      <c r="S31" s="223"/>
      <c r="T31" s="193"/>
      <c r="U31" s="62"/>
      <c r="V31" s="161"/>
      <c r="Z31" s="232"/>
      <c r="AA31" s="212"/>
    </row>
    <row r="32" spans="1:34" x14ac:dyDescent="0.25">
      <c r="A32" s="20">
        <f>MATCH(D32,'TRADING INPUTS'!B:B,0)</f>
        <v>24</v>
      </c>
      <c r="B32" s="49">
        <f>MATCH(D32,'MKT DATA'!B:B,0)</f>
        <v>33</v>
      </c>
      <c r="C32" s="21" t="s">
        <v>20</v>
      </c>
      <c r="D32" s="22" t="s">
        <v>15</v>
      </c>
      <c r="E32" s="110">
        <v>0.27500000000000002</v>
      </c>
      <c r="F32" s="42" cm="1">
        <f t="array" aca="1" ref="F32" ca="1">INDIRECT(ADDRESS($B32,9,,,"mkt data"))</f>
        <v>0</v>
      </c>
      <c r="G32" s="81">
        <f t="shared" ca="1" si="11"/>
        <v>0</v>
      </c>
      <c r="H32" s="42">
        <f t="shared" ca="1" si="6"/>
        <v>0</v>
      </c>
      <c r="I32" s="179">
        <f ca="1">SUM(H32:H37)</f>
        <v>0</v>
      </c>
      <c r="J32" s="52" cm="1">
        <f t="array" aca="1" ref="J32" ca="1">INDIRECT(ADDRESS($B32,5,,,"mkt data"))</f>
        <v>23.34</v>
      </c>
      <c r="K32" s="53" cm="1">
        <f t="array" aca="1" ref="K32" ca="1">INDIRECT(ADDRESS($B32,6,,,"mkt data"))</f>
        <v>23.37</v>
      </c>
      <c r="L32" s="23">
        <f t="shared" ca="1" si="12"/>
        <v>23.335000000000001</v>
      </c>
      <c r="M32" s="23">
        <f t="shared" ca="1" si="13"/>
        <v>23.375</v>
      </c>
      <c r="N32" s="69" cm="1">
        <f t="array" aca="1" ref="N32" ca="1">INDIRECT(ADDRESS($A32,5,,,"trading inputs"))</f>
        <v>4.1148512656838907</v>
      </c>
      <c r="O32" s="24">
        <f t="shared" ref="O32:O37" ca="1" si="16">L32*N32</f>
        <v>96.02005428473359</v>
      </c>
      <c r="P32" s="24">
        <f t="shared" ref="P32:P37" ca="1" si="17">-N32*M32</f>
        <v>-96.184648335360947</v>
      </c>
      <c r="Q32" s="190">
        <f ca="1">MAX(O32:O37)</f>
        <v>96.086733890177655</v>
      </c>
      <c r="R32" s="219">
        <f ca="1">MAX(P32:P37)</f>
        <v>-96.124071414743256</v>
      </c>
      <c r="S32" s="219">
        <f ca="1">Q32+R32</f>
        <v>-3.7337524565600688E-2</v>
      </c>
      <c r="T32" s="192">
        <f ca="1">S32/AVERAGE(ABS(Q32),ABS(R32))</f>
        <v>-3.8850598962289229E-4</v>
      </c>
      <c r="U32" s="61"/>
      <c r="V32" s="170"/>
      <c r="Z32" s="230">
        <v>1E-3</v>
      </c>
      <c r="AA32" s="210">
        <v>8.0000000000000004E-4</v>
      </c>
    </row>
    <row r="33" spans="1:27" x14ac:dyDescent="0.25">
      <c r="A33" s="25">
        <f>MATCH(D33,'TRADING INPUTS'!B:B,0)</f>
        <v>23</v>
      </c>
      <c r="B33" s="50">
        <f>MATCH(D33,'MKT DATA'!B:B,0)</f>
        <v>30</v>
      </c>
      <c r="C33" s="14" t="s">
        <v>20</v>
      </c>
      <c r="D33" s="12" t="s">
        <v>16</v>
      </c>
      <c r="E33" s="112">
        <v>0.27500000000000002</v>
      </c>
      <c r="F33" s="43" cm="1">
        <f t="array" aca="1" ref="F33" ca="1">INDIRECT(ADDRESS($B33,9,,,"mkt data"))</f>
        <v>0</v>
      </c>
      <c r="G33" s="82">
        <f t="shared" ca="1" si="11"/>
        <v>0</v>
      </c>
      <c r="H33" s="43">
        <f t="shared" ca="1" si="6"/>
        <v>0</v>
      </c>
      <c r="I33" s="229"/>
      <c r="J33" s="54" cm="1">
        <f t="array" aca="1" ref="J33" ca="1">INDIRECT(ADDRESS($B33,5,,,"mkt data"))</f>
        <v>26.03</v>
      </c>
      <c r="K33" s="55" cm="1">
        <f t="array" aca="1" ref="K33" ca="1">INDIRECT(ADDRESS($B33,6,,,"mkt data"))</f>
        <v>26.1</v>
      </c>
      <c r="L33" s="26">
        <f t="shared" ca="1" si="12"/>
        <v>26.025000000000002</v>
      </c>
      <c r="M33" s="26">
        <f t="shared" ca="1" si="13"/>
        <v>26.105</v>
      </c>
      <c r="N33" s="73" cm="1">
        <f t="array" aca="1" ref="N33" ca="1">INDIRECT(ADDRESS($A33,5,,,"trading inputs"))</f>
        <v>3.6822092095285677</v>
      </c>
      <c r="O33" s="27">
        <f t="shared" ca="1" si="16"/>
        <v>95.829494677980975</v>
      </c>
      <c r="P33" s="27">
        <f t="shared" ca="1" si="17"/>
        <v>-96.124071414743256</v>
      </c>
      <c r="Q33" s="237"/>
      <c r="R33" s="222"/>
      <c r="S33" s="222"/>
      <c r="T33" s="224"/>
      <c r="U33" s="62"/>
      <c r="V33" s="161"/>
      <c r="Z33" s="231"/>
      <c r="AA33" s="211"/>
    </row>
    <row r="34" spans="1:27" x14ac:dyDescent="0.25">
      <c r="A34" s="25">
        <f>MATCH(D34,'TRADING INPUTS'!B:B,0)</f>
        <v>21</v>
      </c>
      <c r="B34" s="50">
        <f>MATCH(D34,'MKT DATA'!B:B,0)</f>
        <v>14</v>
      </c>
      <c r="C34" s="14" t="s">
        <v>20</v>
      </c>
      <c r="D34" s="12" t="s">
        <v>17</v>
      </c>
      <c r="E34" s="112">
        <v>0.27500000000000002</v>
      </c>
      <c r="F34" s="43" cm="1">
        <f t="array" aca="1" ref="F34" ca="1">INDIRECT(ADDRESS($B34,9,,,"mkt data"))</f>
        <v>0</v>
      </c>
      <c r="G34" s="82">
        <f t="shared" ca="1" si="11"/>
        <v>0</v>
      </c>
      <c r="H34" s="43">
        <f t="shared" ca="1" si="6"/>
        <v>0</v>
      </c>
      <c r="I34" s="229"/>
      <c r="J34" s="54" cm="1">
        <f t="array" aca="1" ref="J34" ca="1">INDIRECT(ADDRESS($B34,5,,,"mkt data"))</f>
        <v>36.200000000000003</v>
      </c>
      <c r="K34" s="55" cm="1">
        <f t="array" aca="1" ref="K34" ca="1">INDIRECT(ADDRESS($B34,6,,,"mkt data"))</f>
        <v>37.119999999999997</v>
      </c>
      <c r="L34" s="26">
        <f t="shared" ca="1" si="12"/>
        <v>36.195</v>
      </c>
      <c r="M34" s="26">
        <f t="shared" ca="1" si="13"/>
        <v>37.125</v>
      </c>
      <c r="N34" s="73" cm="1">
        <f t="array" aca="1" ref="N34" ca="1">INDIRECT(ADDRESS($A34,5,,,"trading inputs"))</f>
        <v>2.6377356069340507</v>
      </c>
      <c r="O34" s="27">
        <f t="shared" ca="1" si="16"/>
        <v>95.472840292977963</v>
      </c>
      <c r="P34" s="27">
        <f t="shared" ca="1" si="17"/>
        <v>-97.925934407426638</v>
      </c>
      <c r="Q34" s="237"/>
      <c r="R34" s="222"/>
      <c r="S34" s="222"/>
      <c r="T34" s="224"/>
      <c r="U34" s="172">
        <f>Z32</f>
        <v>1E-3</v>
      </c>
      <c r="V34" s="173">
        <f>AA32</f>
        <v>8.0000000000000004E-4</v>
      </c>
      <c r="Z34" s="231"/>
      <c r="AA34" s="211"/>
    </row>
    <row r="35" spans="1:27" x14ac:dyDescent="0.25">
      <c r="A35" s="25">
        <f>MATCH(D35,'TRADING INPUTS'!B:B,0)</f>
        <v>25</v>
      </c>
      <c r="B35" s="50">
        <f>MATCH(D35,'MKT DATA'!B:B,0)</f>
        <v>39</v>
      </c>
      <c r="C35" s="14" t="s">
        <v>20</v>
      </c>
      <c r="D35" s="12" t="s">
        <v>18</v>
      </c>
      <c r="E35" s="112">
        <v>0.27500000000000002</v>
      </c>
      <c r="F35" s="43" cm="1">
        <f t="array" aca="1" ref="F35" ca="1">INDIRECT(ADDRESS($B35,9,,,"mkt data"))</f>
        <v>0</v>
      </c>
      <c r="G35" s="82">
        <f t="shared" ca="1" si="11"/>
        <v>0</v>
      </c>
      <c r="H35" s="43">
        <f t="shared" ca="1" si="6"/>
        <v>0</v>
      </c>
      <c r="I35" s="229"/>
      <c r="J35" s="54" cm="1">
        <f t="array" aca="1" ref="J35" ca="1">INDIRECT(ADDRESS($B35,5,,,"mkt data"))</f>
        <v>36.89</v>
      </c>
      <c r="K35" s="55" cm="1">
        <f t="array" aca="1" ref="K35" ca="1">INDIRECT(ADDRESS($B35,6,,,"mkt data"))</f>
        <v>36.979999999999997</v>
      </c>
      <c r="L35" s="26">
        <f t="shared" ca="1" si="12"/>
        <v>36.884999999999998</v>
      </c>
      <c r="M35" s="26">
        <f t="shared" ca="1" si="13"/>
        <v>36.984999999999999</v>
      </c>
      <c r="N35" s="73" cm="1">
        <f t="array" aca="1" ref="N35" ca="1">INDIRECT(ADDRESS($A35,5,,,"trading inputs"))</f>
        <v>2.602143640254015</v>
      </c>
      <c r="O35" s="27">
        <f t="shared" ca="1" si="16"/>
        <v>95.980068170769343</v>
      </c>
      <c r="P35" s="27">
        <f t="shared" ca="1" si="17"/>
        <v>-96.240282534794744</v>
      </c>
      <c r="Q35" s="237"/>
      <c r="R35" s="222"/>
      <c r="S35" s="222"/>
      <c r="T35" s="224"/>
      <c r="U35" s="159" t="b">
        <f ca="1">IF(T32&gt;Z32,TRUE,FALSE)</f>
        <v>0</v>
      </c>
      <c r="V35" s="160" t="b" cm="1">
        <f t="array" aca="1" ref="V35" ca="1">AND(IF(SUM(ABS(F32:F34)),TRUE,FALSE),IF(T32&lt;V34,TRUE,FALSE))</f>
        <v>0</v>
      </c>
      <c r="Z35" s="231"/>
      <c r="AA35" s="211"/>
    </row>
    <row r="36" spans="1:27" x14ac:dyDescent="0.25">
      <c r="A36" s="25">
        <f>MATCH(D36,'TRADING INPUTS'!B:B,0)</f>
        <v>20</v>
      </c>
      <c r="B36" s="50">
        <f>MATCH(D36,'MKT DATA'!B:B,0)</f>
        <v>13</v>
      </c>
      <c r="C36" s="14" t="s">
        <v>20</v>
      </c>
      <c r="D36" s="12" t="s">
        <v>19</v>
      </c>
      <c r="E36" s="112">
        <v>0.27500000000000002</v>
      </c>
      <c r="F36" s="43" cm="1">
        <f t="array" aca="1" ref="F36" ca="1">INDIRECT(ADDRESS($B36,9,,,"mkt data"))</f>
        <v>0</v>
      </c>
      <c r="G36" s="82">
        <f t="shared" ca="1" si="11"/>
        <v>0</v>
      </c>
      <c r="H36" s="43">
        <f t="shared" ca="1" si="6"/>
        <v>0</v>
      </c>
      <c r="I36" s="229"/>
      <c r="J36" s="54" cm="1">
        <f t="array" aca="1" ref="J36" ca="1">INDIRECT(ADDRESS($B36,5,,,"mkt data"))</f>
        <v>79.83</v>
      </c>
      <c r="K36" s="55" cm="1">
        <f t="array" aca="1" ref="K36" ca="1">INDIRECT(ADDRESS($B36,6,,,"mkt data"))</f>
        <v>79.91</v>
      </c>
      <c r="L36" s="26">
        <f t="shared" ca="1" si="12"/>
        <v>79.825000000000003</v>
      </c>
      <c r="M36" s="26">
        <f t="shared" ca="1" si="13"/>
        <v>79.914999999999992</v>
      </c>
      <c r="N36" s="73" cm="1">
        <f t="array" aca="1" ref="N36" ca="1">INDIRECT(ADDRESS($A36,5,,,"trading inputs"))</f>
        <v>1.2037173052324166</v>
      </c>
      <c r="O36" s="27">
        <f t="shared" ca="1" si="16"/>
        <v>96.086733890177655</v>
      </c>
      <c r="P36" s="27">
        <f t="shared" ca="1" si="17"/>
        <v>-96.195068447648566</v>
      </c>
      <c r="Q36" s="237"/>
      <c r="R36" s="222"/>
      <c r="S36" s="222"/>
      <c r="T36" s="224"/>
      <c r="U36" s="62"/>
      <c r="V36" s="161"/>
      <c r="Z36" s="231"/>
      <c r="AA36" s="211"/>
    </row>
    <row r="37" spans="1:27" ht="15.75" thickBot="1" x14ac:dyDescent="0.3">
      <c r="A37" s="28">
        <f>MATCH(D37,'TRADING INPUTS'!B:B,0)</f>
        <v>22</v>
      </c>
      <c r="B37" s="51">
        <f>MATCH(D37,'MKT DATA'!B:B,0)</f>
        <v>20</v>
      </c>
      <c r="C37" s="29" t="s">
        <v>20</v>
      </c>
      <c r="D37" s="30" t="s">
        <v>20</v>
      </c>
      <c r="E37" s="111">
        <v>0.27500000000000002</v>
      </c>
      <c r="F37" s="44" cm="1">
        <f t="array" aca="1" ref="F37" ca="1">INDIRECT(ADDRESS($B37,9,,,"mkt data"))</f>
        <v>0</v>
      </c>
      <c r="G37" s="83">
        <f t="shared" ca="1" si="11"/>
        <v>0</v>
      </c>
      <c r="H37" s="44">
        <f t="shared" ca="1" si="6"/>
        <v>0</v>
      </c>
      <c r="I37" s="180"/>
      <c r="J37" s="56" cm="1">
        <f t="array" aca="1" ref="J37" ca="1">INDIRECT(ADDRESS($B37,5,,,"mkt data"))</f>
        <v>95.64</v>
      </c>
      <c r="K37" s="57" cm="1">
        <f t="array" aca="1" ref="K37" ca="1">INDIRECT(ADDRESS($B37,6,,,"mkt data"))</f>
        <v>96.23</v>
      </c>
      <c r="L37" s="31">
        <f t="shared" ca="1" si="12"/>
        <v>95.635000000000005</v>
      </c>
      <c r="M37" s="31">
        <f t="shared" ca="1" si="13"/>
        <v>96.234999999999999</v>
      </c>
      <c r="N37" s="71" cm="1">
        <f t="array" aca="1" ref="N37" ca="1">INDIRECT(ADDRESS($A37,5,,,"trading inputs"))</f>
        <v>1</v>
      </c>
      <c r="O37" s="32">
        <f t="shared" ca="1" si="16"/>
        <v>95.635000000000005</v>
      </c>
      <c r="P37" s="32">
        <f t="shared" ca="1" si="17"/>
        <v>-96.234999999999999</v>
      </c>
      <c r="Q37" s="238"/>
      <c r="R37" s="223"/>
      <c r="S37" s="223"/>
      <c r="T37" s="193"/>
      <c r="U37" s="63"/>
      <c r="V37" s="171"/>
      <c r="Z37" s="232"/>
      <c r="AA37" s="212"/>
    </row>
    <row r="38" spans="1:27" s="127" customFormat="1" x14ac:dyDescent="0.25">
      <c r="A38" s="113">
        <f>MATCH(D38,'TRADING INPUTS'!B:B,0)</f>
        <v>40</v>
      </c>
      <c r="B38" s="114">
        <f>MATCH(D38,'MKT DATA'!B:B,0)</f>
        <v>36</v>
      </c>
      <c r="C38" s="115" t="s">
        <v>31</v>
      </c>
      <c r="D38" s="116" t="s">
        <v>28</v>
      </c>
      <c r="E38" s="167"/>
      <c r="F38" s="117" cm="1">
        <f t="array" aca="1" ref="F38" ca="1">INDIRECT(ADDRESS($B38,9,,,"mkt data"))</f>
        <v>0</v>
      </c>
      <c r="G38" s="118">
        <f t="shared" ca="1" si="11"/>
        <v>0</v>
      </c>
      <c r="H38" s="117">
        <f t="shared" ca="1" si="6"/>
        <v>0</v>
      </c>
      <c r="I38" s="216">
        <f ca="1">SUM(H38:H40)</f>
        <v>-3764</v>
      </c>
      <c r="J38" s="119" cm="1">
        <f t="array" aca="1" ref="J38" ca="1">INDIRECT(ADDRESS($B38,5,,,"mkt data"))</f>
        <v>25.29</v>
      </c>
      <c r="K38" s="120" cm="1">
        <f t="array" aca="1" ref="K38" ca="1">INDIRECT(ADDRESS($B38,6,,,"mkt data"))</f>
        <v>25.5</v>
      </c>
      <c r="L38" s="121">
        <f t="shared" ca="1" si="7"/>
        <v>25.285</v>
      </c>
      <c r="M38" s="121">
        <f t="shared" ca="1" si="8"/>
        <v>25.504999999999999</v>
      </c>
      <c r="N38" s="122" cm="1">
        <f t="array" aca="1" ref="N38" ca="1">INDIRECT(ADDRESS($A38,5,,,"trading inputs"))</f>
        <v>2.1026526941945911</v>
      </c>
      <c r="O38" s="123">
        <f t="shared" ca="1" si="9"/>
        <v>53.165573372710234</v>
      </c>
      <c r="P38" s="123">
        <f t="shared" ca="1" si="10"/>
        <v>-53.628156965433043</v>
      </c>
      <c r="Q38" s="183">
        <f ca="1">MAX(O38:O40)</f>
        <v>53.399362080772953</v>
      </c>
      <c r="R38" s="225">
        <f ca="1">MAX(P38:P40)</f>
        <v>-53.628156965433043</v>
      </c>
      <c r="S38" s="225">
        <f ca="1">Q38+R38</f>
        <v>-0.22879488466008979</v>
      </c>
      <c r="T38" s="185">
        <f ca="1">S38/AVERAGE(ABS(Q38),ABS(R38))</f>
        <v>-4.275440311034666E-3</v>
      </c>
      <c r="U38" s="101"/>
      <c r="V38" s="102"/>
      <c r="W38" s="145"/>
      <c r="X38" s="146"/>
      <c r="Z38" s="233">
        <v>0.01</v>
      </c>
      <c r="AA38" s="213">
        <v>0.01</v>
      </c>
    </row>
    <row r="39" spans="1:27" s="127" customFormat="1" x14ac:dyDescent="0.25">
      <c r="A39" s="147">
        <f>MATCH(D39,'TRADING INPUTS'!B:B,0)</f>
        <v>39</v>
      </c>
      <c r="B39" s="148">
        <f>MATCH(D39,'MKT DATA'!B:B,0)</f>
        <v>28</v>
      </c>
      <c r="C39" s="149" t="s">
        <v>31</v>
      </c>
      <c r="D39" s="150" t="s">
        <v>29</v>
      </c>
      <c r="E39" s="168"/>
      <c r="F39" s="151" cm="1">
        <f t="array" aca="1" ref="F39" ca="1">INDIRECT(ADDRESS($B39,9,,,"mkt data"))</f>
        <v>0</v>
      </c>
      <c r="G39" s="152">
        <f t="shared" ca="1" si="11"/>
        <v>0</v>
      </c>
      <c r="H39" s="151">
        <f t="shared" ca="1" si="6"/>
        <v>0</v>
      </c>
      <c r="I39" s="217"/>
      <c r="J39" s="153" cm="1">
        <f t="array" aca="1" ref="J39" ca="1">INDIRECT(ADDRESS($B39,5,,,"mkt data"))</f>
        <v>30.3</v>
      </c>
      <c r="K39" s="154" cm="1">
        <f t="array" aca="1" ref="K39" ca="1">INDIRECT(ADDRESS($B39,6,,,"mkt data"))</f>
        <v>30.5</v>
      </c>
      <c r="L39" s="155">
        <f t="shared" ca="1" si="7"/>
        <v>30.295000000000002</v>
      </c>
      <c r="M39" s="155">
        <f t="shared" ca="1" si="8"/>
        <v>30.504999999999999</v>
      </c>
      <c r="N39" s="156" cm="1">
        <f t="array" aca="1" ref="N39" ca="1">INDIRECT(ADDRESS($A39,5,,,"trading inputs"))</f>
        <v>1.7626460498687226</v>
      </c>
      <c r="O39" s="157">
        <f t="shared" ca="1" si="9"/>
        <v>53.399362080772953</v>
      </c>
      <c r="P39" s="157">
        <f t="shared" ca="1" si="10"/>
        <v>-53.769517751245381</v>
      </c>
      <c r="Q39" s="244"/>
      <c r="R39" s="239"/>
      <c r="S39" s="226"/>
      <c r="T39" s="228"/>
      <c r="U39" s="159"/>
      <c r="V39" s="160"/>
      <c r="W39" s="145"/>
      <c r="X39" s="146"/>
      <c r="Z39" s="234"/>
      <c r="AA39" s="214"/>
    </row>
    <row r="40" spans="1:27" s="127" customFormat="1" ht="15.75" thickBot="1" x14ac:dyDescent="0.3">
      <c r="A40" s="131">
        <f>MATCH(D40,'TRADING INPUTS'!B:B,0)</f>
        <v>42</v>
      </c>
      <c r="B40" s="132">
        <f>MATCH(D40,'MKT DATA'!B:B,0)</f>
        <v>43</v>
      </c>
      <c r="C40" s="133" t="s">
        <v>31</v>
      </c>
      <c r="D40" s="134" t="s">
        <v>31</v>
      </c>
      <c r="E40" s="169"/>
      <c r="F40" s="135" cm="1">
        <f t="array" aca="1" ref="F40" ca="1">INDIRECT(ADDRESS($B40,9,,,"mkt data"))</f>
        <v>-3764</v>
      </c>
      <c r="G40" s="136">
        <f t="shared" ca="1" si="11"/>
        <v>-201392.81999999998</v>
      </c>
      <c r="H40" s="135">
        <f t="shared" ca="1" si="6"/>
        <v>-3764</v>
      </c>
      <c r="I40" s="218"/>
      <c r="J40" s="137" cm="1">
        <f t="array" aca="1" ref="J40" ca="1">INDIRECT(ADDRESS($B40,5,,,"mkt data"))</f>
        <v>53.37</v>
      </c>
      <c r="K40" s="138" cm="1">
        <f t="array" aca="1" ref="K40" ca="1">INDIRECT(ADDRESS($B40,6,,,"mkt data"))</f>
        <v>53.64</v>
      </c>
      <c r="L40" s="139">
        <f t="shared" ca="1" si="7"/>
        <v>53.364999999999995</v>
      </c>
      <c r="M40" s="139">
        <f t="shared" ca="1" si="8"/>
        <v>53.645000000000003</v>
      </c>
      <c r="N40" s="140" cm="1">
        <f t="array" aca="1" ref="N40" ca="1">INDIRECT(ADDRESS($A40,5,,,"trading inputs"))</f>
        <v>1</v>
      </c>
      <c r="O40" s="141">
        <f t="shared" ref="O40" ca="1" si="18">L40*N40</f>
        <v>53.364999999999995</v>
      </c>
      <c r="P40" s="141">
        <f t="shared" ref="P40" ca="1" si="19">-N40*M40</f>
        <v>-53.645000000000003</v>
      </c>
      <c r="Q40" s="184"/>
      <c r="R40" s="240"/>
      <c r="S40" s="227"/>
      <c r="T40" s="186"/>
      <c r="U40" s="162"/>
      <c r="V40" s="163"/>
      <c r="W40" s="145"/>
      <c r="X40" s="146"/>
      <c r="Z40" s="235"/>
      <c r="AA40" s="215"/>
    </row>
    <row r="41" spans="1:27" s="127" customFormat="1" x14ac:dyDescent="0.25">
      <c r="A41" s="113">
        <f>MATCH(D41,'TRADING INPUTS'!B:B,0)</f>
        <v>37</v>
      </c>
      <c r="B41" s="114">
        <f>MATCH(D41,'MKT DATA'!B:B,0)</f>
        <v>34</v>
      </c>
      <c r="C41" s="115" t="s">
        <v>27</v>
      </c>
      <c r="D41" s="116" t="s">
        <v>25</v>
      </c>
      <c r="E41" s="167"/>
      <c r="F41" s="117" cm="1">
        <f t="array" aca="1" ref="F41" ca="1">INDIRECT(ADDRESS($B41,9,,,"mkt data"))</f>
        <v>0</v>
      </c>
      <c r="G41" s="118">
        <f t="shared" ca="1" si="11"/>
        <v>0</v>
      </c>
      <c r="H41" s="117">
        <f t="shared" ca="1" si="6"/>
        <v>0</v>
      </c>
      <c r="I41" s="216">
        <f ca="1">SUM(H41:H43)</f>
        <v>0</v>
      </c>
      <c r="J41" s="119" cm="1">
        <f t="array" aca="1" ref="J41" ca="1">INDIRECT(ADDRESS($B41,5,,,"mkt data"))</f>
        <v>16.190000000000001</v>
      </c>
      <c r="K41" s="120" cm="1">
        <f t="array" aca="1" ref="K41" ca="1">INDIRECT(ADDRESS($B41,6,,,"mkt data"))</f>
        <v>22.19</v>
      </c>
      <c r="L41" s="121">
        <f t="shared" ca="1" si="7"/>
        <v>16.185000000000002</v>
      </c>
      <c r="M41" s="121">
        <f t="shared" ca="1" si="8"/>
        <v>22.195</v>
      </c>
      <c r="N41" s="122" cm="1">
        <f t="array" aca="1" ref="N41" ca="1">INDIRECT(ADDRESS($A41,5,,,"trading inputs"))</f>
        <v>3.3611547973960874</v>
      </c>
      <c r="O41" s="123">
        <f ca="1">L41*N41</f>
        <v>54.400290395855684</v>
      </c>
      <c r="P41" s="123">
        <f ca="1">-N41*M41</f>
        <v>-74.600830728206162</v>
      </c>
      <c r="Q41" s="183">
        <f ca="1">MAX(O41:O43)</f>
        <v>72.045000000000002</v>
      </c>
      <c r="R41" s="225">
        <f ca="1">MAX(P41:P43)</f>
        <v>-73.004999999999995</v>
      </c>
      <c r="S41" s="225">
        <f ca="1">Q41+R41</f>
        <v>-0.95999999999999375</v>
      </c>
      <c r="T41" s="185">
        <f ca="1">S41/AVERAGE(ABS(Q41),ABS(R41))</f>
        <v>-1.3236814891416666E-2</v>
      </c>
      <c r="U41" s="101"/>
      <c r="V41" s="102"/>
      <c r="W41" s="145"/>
      <c r="X41" s="146"/>
      <c r="Z41" s="233">
        <v>0.01</v>
      </c>
      <c r="AA41" s="213">
        <v>0.01</v>
      </c>
    </row>
    <row r="42" spans="1:27" s="127" customFormat="1" x14ac:dyDescent="0.25">
      <c r="A42" s="147">
        <f>MATCH(D42,'TRADING INPUTS'!B:B,0)</f>
        <v>36</v>
      </c>
      <c r="B42" s="148">
        <f>MATCH(D42,'MKT DATA'!B:B,0)</f>
        <v>17</v>
      </c>
      <c r="C42" s="149" t="s">
        <v>27</v>
      </c>
      <c r="D42" s="150" t="s">
        <v>26</v>
      </c>
      <c r="E42" s="168"/>
      <c r="F42" s="151" cm="1">
        <f t="array" aca="1" ref="F42" ca="1">INDIRECT(ADDRESS($B42,9,,,"mkt data"))</f>
        <v>0</v>
      </c>
      <c r="G42" s="152">
        <f t="shared" ca="1" si="11"/>
        <v>0</v>
      </c>
      <c r="H42" s="151">
        <f t="shared" ca="1" si="6"/>
        <v>0</v>
      </c>
      <c r="I42" s="217"/>
      <c r="J42" s="153" cm="1">
        <f t="array" aca="1" ref="J42" ca="1">INDIRECT(ADDRESS($B42,5,,,"mkt data"))</f>
        <v>47.51</v>
      </c>
      <c r="K42" s="154" cm="1">
        <f t="array" aca="1" ref="K42" ca="1">INDIRECT(ADDRESS($B42,6,,,"mkt data"))</f>
        <v>49.95</v>
      </c>
      <c r="L42" s="155">
        <f t="shared" ca="1" si="7"/>
        <v>47.504999999999995</v>
      </c>
      <c r="M42" s="155">
        <f t="shared" ca="1" si="8"/>
        <v>49.955000000000005</v>
      </c>
      <c r="N42" s="156" cm="1">
        <f t="array" aca="1" ref="N42" ca="1">INDIRECT(ADDRESS($A42,5,,,"trading inputs"))</f>
        <v>1.500862258775687</v>
      </c>
      <c r="O42" s="157">
        <f t="shared" ref="O42:O43" ca="1" si="20">L42*N42</f>
        <v>71.298461603139003</v>
      </c>
      <c r="P42" s="157">
        <f t="shared" ref="P42:P43" ca="1" si="21">-N42*M42</f>
        <v>-74.975574137139446</v>
      </c>
      <c r="Q42" s="244"/>
      <c r="R42" s="239"/>
      <c r="S42" s="226"/>
      <c r="T42" s="228"/>
      <c r="U42" s="159"/>
      <c r="V42" s="160"/>
      <c r="W42" s="145"/>
      <c r="X42" s="146"/>
      <c r="Z42" s="234"/>
      <c r="AA42" s="214"/>
    </row>
    <row r="43" spans="1:27" s="127" customFormat="1" ht="15.75" thickBot="1" x14ac:dyDescent="0.3">
      <c r="A43" s="131">
        <f>MATCH(D43,'TRADING INPUTS'!B:B,0)</f>
        <v>38</v>
      </c>
      <c r="B43" s="132">
        <f>MATCH(D43,'MKT DATA'!B:B,0)</f>
        <v>42</v>
      </c>
      <c r="C43" s="133" t="s">
        <v>27</v>
      </c>
      <c r="D43" s="134" t="s">
        <v>27</v>
      </c>
      <c r="E43" s="169"/>
      <c r="F43" s="135" cm="1">
        <f t="array" aca="1" ref="F43" ca="1">INDIRECT(ADDRESS($B43,9,,,"mkt data"))</f>
        <v>0</v>
      </c>
      <c r="G43" s="136">
        <f t="shared" ca="1" si="11"/>
        <v>0</v>
      </c>
      <c r="H43" s="135">
        <f t="shared" ca="1" si="6"/>
        <v>0</v>
      </c>
      <c r="I43" s="218"/>
      <c r="J43" s="137" cm="1">
        <f t="array" aca="1" ref="J43" ca="1">INDIRECT(ADDRESS($B43,5,,,"mkt data"))</f>
        <v>72.05</v>
      </c>
      <c r="K43" s="138" cm="1">
        <f t="array" aca="1" ref="K43" ca="1">INDIRECT(ADDRESS($B43,6,,,"mkt data"))</f>
        <v>73</v>
      </c>
      <c r="L43" s="139">
        <f t="shared" ca="1" si="7"/>
        <v>72.045000000000002</v>
      </c>
      <c r="M43" s="139">
        <f t="shared" ca="1" si="8"/>
        <v>73.004999999999995</v>
      </c>
      <c r="N43" s="140" cm="1">
        <f t="array" aca="1" ref="N43" ca="1">INDIRECT(ADDRESS($A43,5,,,"trading inputs"))</f>
        <v>1</v>
      </c>
      <c r="O43" s="141">
        <f t="shared" ca="1" si="20"/>
        <v>72.045000000000002</v>
      </c>
      <c r="P43" s="141">
        <f t="shared" ca="1" si="21"/>
        <v>-73.004999999999995</v>
      </c>
      <c r="Q43" s="184"/>
      <c r="R43" s="240"/>
      <c r="S43" s="227"/>
      <c r="T43" s="186"/>
      <c r="U43" s="162"/>
      <c r="V43" s="163"/>
      <c r="W43" s="145"/>
      <c r="X43" s="146"/>
      <c r="Z43" s="235"/>
      <c r="AA43" s="215"/>
    </row>
    <row r="44" spans="1:27" s="127" customFormat="1" x14ac:dyDescent="0.25">
      <c r="A44" s="113">
        <f>MATCH(D44,'TRADING INPUTS'!B:B,0)</f>
        <v>4</v>
      </c>
      <c r="B44" s="114">
        <f>MATCH(D44,'MKT DATA'!B:B,0)</f>
        <v>29</v>
      </c>
      <c r="C44" s="115" t="s">
        <v>10</v>
      </c>
      <c r="D44" s="116" t="s">
        <v>6</v>
      </c>
      <c r="E44" s="167"/>
      <c r="F44" s="117" cm="1">
        <f t="array" aca="1" ref="F44" ca="1">INDIRECT(ADDRESS($B44,9,,,"mkt data"))</f>
        <v>0</v>
      </c>
      <c r="G44" s="118">
        <f t="shared" ca="1" si="11"/>
        <v>0</v>
      </c>
      <c r="H44" s="117">
        <f t="shared" ca="1" si="6"/>
        <v>0</v>
      </c>
      <c r="I44" s="188">
        <f ca="1">SUM(H44:H47)</f>
        <v>0</v>
      </c>
      <c r="J44" s="119" cm="1">
        <f t="array" aca="1" ref="J44" ca="1">INDIRECT(ADDRESS($B44,5,,,"mkt data"))</f>
        <v>22.73</v>
      </c>
      <c r="K44" s="120" cm="1">
        <f t="array" aca="1" ref="K44" ca="1">INDIRECT(ADDRESS($B44,6,,,"mkt data"))</f>
        <v>22.97</v>
      </c>
      <c r="L44" s="121">
        <f t="shared" ca="1" si="7"/>
        <v>22.725000000000001</v>
      </c>
      <c r="M44" s="121">
        <f t="shared" ca="1" si="8"/>
        <v>22.974999999999998</v>
      </c>
      <c r="N44" s="122" cm="1">
        <f t="array" aca="1" ref="N44" ca="1">INDIRECT(ADDRESS($A44,5,,,"trading inputs"))</f>
        <v>4.2771695163945074</v>
      </c>
      <c r="O44" s="123">
        <f ca="1">L44*N44</f>
        <v>97.198677260065182</v>
      </c>
      <c r="P44" s="123">
        <f ca="1">-N44*M44</f>
        <v>-98.267969639163795</v>
      </c>
      <c r="Q44" s="183">
        <f ca="1">MAX(O44:O47)</f>
        <v>97.937049416532787</v>
      </c>
      <c r="R44" s="225">
        <f ca="1">MAX(P44:P47)</f>
        <v>-98.004590367492369</v>
      </c>
      <c r="S44" s="225">
        <f ca="1">Q44+R44</f>
        <v>-6.7540950959582347E-2</v>
      </c>
      <c r="T44" s="185">
        <f ca="1">S44/AVERAGE(ABS(Q44),ABS(R44))</f>
        <v>-6.8939864986358929E-4</v>
      </c>
      <c r="U44" s="101"/>
      <c r="V44" s="102"/>
      <c r="W44" s="145"/>
      <c r="X44" s="146"/>
      <c r="Z44" s="233">
        <v>0.01</v>
      </c>
      <c r="AA44" s="213">
        <v>0.01</v>
      </c>
    </row>
    <row r="45" spans="1:27" s="127" customFormat="1" x14ac:dyDescent="0.25">
      <c r="A45" s="147">
        <f>MATCH(D45,'TRADING INPUTS'!B:B,0)</f>
        <v>5</v>
      </c>
      <c r="B45" s="148">
        <f>MATCH(D45,'MKT DATA'!B:B,0)</f>
        <v>31</v>
      </c>
      <c r="C45" s="149" t="s">
        <v>10</v>
      </c>
      <c r="D45" s="150" t="s">
        <v>7</v>
      </c>
      <c r="E45" s="168"/>
      <c r="F45" s="151" cm="1">
        <f t="array" aca="1" ref="F45" ca="1">INDIRECT(ADDRESS($B45,9,,,"mkt data"))</f>
        <v>0</v>
      </c>
      <c r="G45" s="152">
        <f t="shared" ca="1" si="11"/>
        <v>0</v>
      </c>
      <c r="H45" s="151">
        <f t="shared" ca="1" si="6"/>
        <v>0</v>
      </c>
      <c r="I45" s="246"/>
      <c r="J45" s="153" cm="1">
        <f t="array" aca="1" ref="J45" ca="1">INDIRECT(ADDRESS($B45,5,,,"mkt data"))</f>
        <v>25.25</v>
      </c>
      <c r="K45" s="154" cm="1">
        <f t="array" aca="1" ref="K45" ca="1">INDIRECT(ADDRESS($B45,6,,,"mkt data"))</f>
        <v>25.8</v>
      </c>
      <c r="L45" s="155">
        <f t="shared" ca="1" si="7"/>
        <v>25.245000000000001</v>
      </c>
      <c r="M45" s="155">
        <f t="shared" ca="1" si="8"/>
        <v>25.805</v>
      </c>
      <c r="N45" s="156" cm="1">
        <f t="array" aca="1" ref="N45" ca="1">INDIRECT(ADDRESS($A45,5,,,"trading inputs"))</f>
        <v>3.8794632369393063</v>
      </c>
      <c r="O45" s="157">
        <f ca="1">L45*N45</f>
        <v>97.937049416532787</v>
      </c>
      <c r="P45" s="157">
        <f ca="1">-N45*M45</f>
        <v>-100.1095488292188</v>
      </c>
      <c r="Q45" s="242"/>
      <c r="R45" s="226"/>
      <c r="S45" s="226"/>
      <c r="T45" s="228"/>
      <c r="U45" s="159"/>
      <c r="V45" s="160"/>
      <c r="W45" s="145"/>
      <c r="X45" s="146"/>
      <c r="Z45" s="234"/>
      <c r="AA45" s="214"/>
    </row>
    <row r="46" spans="1:27" s="127" customFormat="1" x14ac:dyDescent="0.25">
      <c r="A46" s="147">
        <f>MATCH(D46,'TRADING INPUTS'!B:B,0)</f>
        <v>3</v>
      </c>
      <c r="B46" s="148">
        <f>MATCH(D46,'MKT DATA'!B:B,0)</f>
        <v>4</v>
      </c>
      <c r="C46" s="149" t="s">
        <v>10</v>
      </c>
      <c r="D46" s="150" t="s">
        <v>9</v>
      </c>
      <c r="E46" s="168"/>
      <c r="F46" s="151" cm="1">
        <f t="array" aca="1" ref="F46" ca="1">INDIRECT(ADDRESS($B46,9,,,"mkt data"))</f>
        <v>0</v>
      </c>
      <c r="G46" s="152">
        <f t="shared" ca="1" si="11"/>
        <v>0</v>
      </c>
      <c r="H46" s="151">
        <f t="shared" ca="1" si="6"/>
        <v>0</v>
      </c>
      <c r="I46" s="246"/>
      <c r="J46" s="153" cm="1">
        <f t="array" aca="1" ref="J46" ca="1">INDIRECT(ADDRESS($B46,5,,,"mkt data"))</f>
        <v>72.650000000000006</v>
      </c>
      <c r="K46" s="154" cm="1">
        <f t="array" aca="1" ref="K46" ca="1">INDIRECT(ADDRESS($B46,6,,,"mkt data"))</f>
        <v>72.7</v>
      </c>
      <c r="L46" s="155">
        <f t="shared" ca="1" si="7"/>
        <v>72.64500000000001</v>
      </c>
      <c r="M46" s="155">
        <f t="shared" ca="1" si="8"/>
        <v>72.704999999999998</v>
      </c>
      <c r="N46" s="156" cm="1">
        <f t="array" aca="1" ref="N46" ca="1">INDIRECT(ADDRESS($A46,5,,,"trading inputs"))</f>
        <v>1.3479759351831699</v>
      </c>
      <c r="O46" s="157">
        <f ca="1">L46*N46</f>
        <v>97.923711811381395</v>
      </c>
      <c r="P46" s="157">
        <f ca="1">-N46*M46</f>
        <v>-98.004590367492369</v>
      </c>
      <c r="Q46" s="242"/>
      <c r="R46" s="226"/>
      <c r="S46" s="226"/>
      <c r="T46" s="228"/>
      <c r="U46" s="162"/>
      <c r="V46" s="163"/>
      <c r="W46" s="145"/>
      <c r="X46" s="146"/>
      <c r="Z46" s="234"/>
      <c r="AA46" s="214"/>
    </row>
    <row r="47" spans="1:27" s="127" customFormat="1" ht="15.75" thickBot="1" x14ac:dyDescent="0.3">
      <c r="A47" s="131">
        <f>MATCH(D47,'TRADING INPUTS'!B:B,0)</f>
        <v>2</v>
      </c>
      <c r="B47" s="132">
        <f>MATCH(D47,'MKT DATA'!B:B,0)</f>
        <v>2</v>
      </c>
      <c r="C47" s="133" t="s">
        <v>10</v>
      </c>
      <c r="D47" s="134" t="s">
        <v>10</v>
      </c>
      <c r="E47" s="169"/>
      <c r="F47" s="135" cm="1">
        <f t="array" aca="1" ref="F47" ca="1">INDIRECT(ADDRESS($B47,9,,,"mkt data"))</f>
        <v>0</v>
      </c>
      <c r="G47" s="136">
        <f t="shared" ca="1" si="11"/>
        <v>0</v>
      </c>
      <c r="H47" s="135">
        <f t="shared" ca="1" si="6"/>
        <v>0</v>
      </c>
      <c r="I47" s="189"/>
      <c r="J47" s="137" cm="1">
        <f t="array" aca="1" ref="J47" ca="1">INDIRECT(ADDRESS($B47,5,,,"mkt data"))</f>
        <v>97.78</v>
      </c>
      <c r="K47" s="138" cm="1">
        <f t="array" aca="1" ref="K47" ca="1">INDIRECT(ADDRESS($B47,6,,,"mkt data"))</f>
        <v>98.1</v>
      </c>
      <c r="L47" s="139">
        <f t="shared" ca="1" si="7"/>
        <v>97.775000000000006</v>
      </c>
      <c r="M47" s="139">
        <f t="shared" ca="1" si="8"/>
        <v>98.10499999999999</v>
      </c>
      <c r="N47" s="140" cm="1">
        <f t="array" aca="1" ref="N47" ca="1">INDIRECT(ADDRESS($A47,5,,,"trading inputs"))</f>
        <v>1</v>
      </c>
      <c r="O47" s="141">
        <f ca="1">L47*N47</f>
        <v>97.775000000000006</v>
      </c>
      <c r="P47" s="141">
        <f ca="1">-N47*M47</f>
        <v>-98.10499999999999</v>
      </c>
      <c r="Q47" s="243"/>
      <c r="R47" s="227"/>
      <c r="S47" s="227"/>
      <c r="T47" s="186"/>
      <c r="U47" s="164"/>
      <c r="V47" s="165"/>
      <c r="W47" s="145"/>
      <c r="X47" s="146"/>
      <c r="Z47" s="235"/>
      <c r="AA47" s="215"/>
    </row>
    <row r="48" spans="1:27" x14ac:dyDescent="0.25">
      <c r="E48" s="84"/>
      <c r="F48" s="84"/>
      <c r="W48" s="40"/>
    </row>
    <row r="49" spans="5:6" x14ac:dyDescent="0.25">
      <c r="E49" s="84"/>
      <c r="F49" s="84"/>
    </row>
  </sheetData>
  <mergeCells count="105">
    <mergeCell ref="Z20:AA20"/>
    <mergeCell ref="I44:I47"/>
    <mergeCell ref="F20:I20"/>
    <mergeCell ref="I22:I24"/>
    <mergeCell ref="I25:I27"/>
    <mergeCell ref="S28:S31"/>
    <mergeCell ref="T28:T31"/>
    <mergeCell ref="S41:S43"/>
    <mergeCell ref="T41:T43"/>
    <mergeCell ref="S22:S24"/>
    <mergeCell ref="T22:T24"/>
    <mergeCell ref="I41:I43"/>
    <mergeCell ref="I28:I31"/>
    <mergeCell ref="Q20:T20"/>
    <mergeCell ref="AA22:AA24"/>
    <mergeCell ref="AA25:AA27"/>
    <mergeCell ref="AA38:AA40"/>
    <mergeCell ref="AA41:AA43"/>
    <mergeCell ref="Z41:Z43"/>
    <mergeCell ref="A19:C19"/>
    <mergeCell ref="Q32:Q37"/>
    <mergeCell ref="R41:R43"/>
    <mergeCell ref="Q22:Q24"/>
    <mergeCell ref="R22:R24"/>
    <mergeCell ref="Q25:Q27"/>
    <mergeCell ref="R32:R37"/>
    <mergeCell ref="Z32:Z37"/>
    <mergeCell ref="A20:B20"/>
    <mergeCell ref="J20:K20"/>
    <mergeCell ref="O20:P20"/>
    <mergeCell ref="Q38:Q40"/>
    <mergeCell ref="R38:R40"/>
    <mergeCell ref="L20:M20"/>
    <mergeCell ref="Q28:Q31"/>
    <mergeCell ref="R28:R31"/>
    <mergeCell ref="Q41:Q43"/>
    <mergeCell ref="Z22:Z24"/>
    <mergeCell ref="Z25:Z27"/>
    <mergeCell ref="AA28:AA31"/>
    <mergeCell ref="AA44:AA47"/>
    <mergeCell ref="AA32:AA37"/>
    <mergeCell ref="I38:I40"/>
    <mergeCell ref="R25:R27"/>
    <mergeCell ref="S25:S27"/>
    <mergeCell ref="T25:T27"/>
    <mergeCell ref="S38:S40"/>
    <mergeCell ref="T38:T40"/>
    <mergeCell ref="S32:S37"/>
    <mergeCell ref="T32:T37"/>
    <mergeCell ref="S44:S47"/>
    <mergeCell ref="T44:T47"/>
    <mergeCell ref="I32:I37"/>
    <mergeCell ref="Z28:Z31"/>
    <mergeCell ref="Z44:Z47"/>
    <mergeCell ref="Q44:Q47"/>
    <mergeCell ref="R44:R47"/>
    <mergeCell ref="Z38:Z40"/>
    <mergeCell ref="S1:T1"/>
    <mergeCell ref="F1:I1"/>
    <mergeCell ref="Q3:Q4"/>
    <mergeCell ref="R3:R4"/>
    <mergeCell ref="S3:S4"/>
    <mergeCell ref="T3:T4"/>
    <mergeCell ref="I3:I4"/>
    <mergeCell ref="A1:B1"/>
    <mergeCell ref="J1:K1"/>
    <mergeCell ref="L1:M1"/>
    <mergeCell ref="O1:P1"/>
    <mergeCell ref="Q1:R1"/>
    <mergeCell ref="T9:T10"/>
    <mergeCell ref="I9:I10"/>
    <mergeCell ref="Q7:Q8"/>
    <mergeCell ref="R7:R8"/>
    <mergeCell ref="S7:S8"/>
    <mergeCell ref="T7:T8"/>
    <mergeCell ref="I7:I8"/>
    <mergeCell ref="Q5:Q6"/>
    <mergeCell ref="R5:R6"/>
    <mergeCell ref="S5:S6"/>
    <mergeCell ref="T5:T6"/>
    <mergeCell ref="I5:I6"/>
    <mergeCell ref="I11:I12"/>
    <mergeCell ref="I17:I18"/>
    <mergeCell ref="Q17:Q18"/>
    <mergeCell ref="R17:R18"/>
    <mergeCell ref="S17:S18"/>
    <mergeCell ref="T17:T18"/>
    <mergeCell ref="Z1:AA1"/>
    <mergeCell ref="I13:I14"/>
    <mergeCell ref="Q15:Q16"/>
    <mergeCell ref="R15:R16"/>
    <mergeCell ref="S15:S16"/>
    <mergeCell ref="T15:T16"/>
    <mergeCell ref="I15:I16"/>
    <mergeCell ref="Q11:Q12"/>
    <mergeCell ref="R11:R12"/>
    <mergeCell ref="S11:S12"/>
    <mergeCell ref="T11:T12"/>
    <mergeCell ref="Q13:Q14"/>
    <mergeCell ref="R13:R14"/>
    <mergeCell ref="S13:S14"/>
    <mergeCell ref="T13:T14"/>
    <mergeCell ref="Q9:Q10"/>
    <mergeCell ref="R9:R10"/>
    <mergeCell ref="S9:S10"/>
  </mergeCells>
  <conditionalFormatting sqref="O22:O24">
    <cfRule type="top10" dxfId="37" priority="40" rank="1"/>
  </conditionalFormatting>
  <conditionalFormatting sqref="O25:O27">
    <cfRule type="top10" dxfId="36" priority="39" rank="1"/>
  </conditionalFormatting>
  <conditionalFormatting sqref="O38:O40">
    <cfRule type="top10" dxfId="35" priority="38" rank="1"/>
  </conditionalFormatting>
  <conditionalFormatting sqref="O41:O43">
    <cfRule type="top10" dxfId="34" priority="37" rank="1"/>
  </conditionalFormatting>
  <conditionalFormatting sqref="P22:P24">
    <cfRule type="top10" dxfId="33" priority="35" rank="1"/>
  </conditionalFormatting>
  <conditionalFormatting sqref="P25:P27">
    <cfRule type="top10" dxfId="32" priority="34" rank="1"/>
  </conditionalFormatting>
  <conditionalFormatting sqref="P38:P40">
    <cfRule type="top10" dxfId="31" priority="33" rank="1"/>
  </conditionalFormatting>
  <conditionalFormatting sqref="P41:P43">
    <cfRule type="top10" dxfId="30" priority="32" rank="1"/>
  </conditionalFormatting>
  <conditionalFormatting sqref="O44:O47">
    <cfRule type="top10" dxfId="29" priority="29" rank="1"/>
  </conditionalFormatting>
  <conditionalFormatting sqref="P44:P47">
    <cfRule type="top10" dxfId="28" priority="28" rank="1"/>
  </conditionalFormatting>
  <conditionalFormatting sqref="O32:O37">
    <cfRule type="top10" dxfId="27" priority="27" rank="1"/>
  </conditionalFormatting>
  <conditionalFormatting sqref="P32:P37">
    <cfRule type="top10" dxfId="26" priority="26" rank="1"/>
  </conditionalFormatting>
  <conditionalFormatting sqref="O28:O31">
    <cfRule type="top10" dxfId="25" priority="41" rank="1"/>
  </conditionalFormatting>
  <conditionalFormatting sqref="P28:P31">
    <cfRule type="top10" dxfId="24" priority="42" rank="1"/>
  </conditionalFormatting>
  <conditionalFormatting sqref="W29">
    <cfRule type="cellIs" dxfId="23" priority="22" operator="greaterThan">
      <formula>0</formula>
    </cfRule>
  </conditionalFormatting>
  <conditionalFormatting sqref="O13:O14">
    <cfRule type="top10" dxfId="22" priority="20" rank="1"/>
  </conditionalFormatting>
  <conditionalFormatting sqref="P13:P14">
    <cfRule type="top10" dxfId="21" priority="21" rank="1"/>
  </conditionalFormatting>
  <conditionalFormatting sqref="O15:O16">
    <cfRule type="top10" dxfId="20" priority="18" rank="1"/>
  </conditionalFormatting>
  <conditionalFormatting sqref="P15:P16">
    <cfRule type="top10" dxfId="19" priority="19" rank="1"/>
  </conditionalFormatting>
  <conditionalFormatting sqref="O17:O18">
    <cfRule type="top10" dxfId="18" priority="16" rank="1"/>
  </conditionalFormatting>
  <conditionalFormatting sqref="P17:P18">
    <cfRule type="top10" dxfId="17" priority="17" rank="1"/>
  </conditionalFormatting>
  <conditionalFormatting sqref="O11:O12">
    <cfRule type="top10" dxfId="16" priority="14" rank="1"/>
  </conditionalFormatting>
  <conditionalFormatting sqref="P11:P12">
    <cfRule type="top10" dxfId="15" priority="15" rank="1"/>
  </conditionalFormatting>
  <conditionalFormatting sqref="O5:O6">
    <cfRule type="top10" dxfId="14" priority="12" rank="1"/>
  </conditionalFormatting>
  <conditionalFormatting sqref="P5:P6">
    <cfRule type="top10" dxfId="13" priority="13" rank="1"/>
  </conditionalFormatting>
  <conditionalFormatting sqref="O7:O8">
    <cfRule type="top10" dxfId="12" priority="10" rank="1"/>
  </conditionalFormatting>
  <conditionalFormatting sqref="P7:P8">
    <cfRule type="top10" dxfId="11" priority="11" rank="1"/>
  </conditionalFormatting>
  <conditionalFormatting sqref="O9:O10">
    <cfRule type="top10" dxfId="10" priority="8" rank="1"/>
  </conditionalFormatting>
  <conditionalFormatting sqref="P9:P10">
    <cfRule type="top10" dxfId="9" priority="9" rank="1"/>
  </conditionalFormatting>
  <conditionalFormatting sqref="O3:O4">
    <cfRule type="top10" dxfId="8" priority="6" rank="1"/>
  </conditionalFormatting>
  <conditionalFormatting sqref="P3:P4">
    <cfRule type="top10" dxfId="7" priority="7" rank="1"/>
  </conditionalFormatting>
  <conditionalFormatting sqref="U4 U6 U8 U10 U12 U14 U16 U18 X4 X6 X8 X10 X12 X14 X16 X18">
    <cfRule type="cellIs" dxfId="6" priority="5" operator="equal">
      <formula>TRUE</formula>
    </cfRule>
  </conditionalFormatting>
  <conditionalFormatting sqref="V4:W4 V6:W6 V8:W8 V10:W10 V12:W12 V14:W14 V16:W16 V18:W18">
    <cfRule type="cellIs" dxfId="5" priority="4" operator="equal">
      <formula>TRUE</formula>
    </cfRule>
  </conditionalFormatting>
  <conditionalFormatting sqref="U23 U26 U30 U35 U39 U42 U45">
    <cfRule type="cellIs" dxfId="4" priority="3" operator="equal">
      <formula>TRUE</formula>
    </cfRule>
  </conditionalFormatting>
  <conditionalFormatting sqref="V23 V26 V30 V35 V39 V42 V45">
    <cfRule type="cellIs" dxfId="3" priority="2" operator="equal">
      <formula>TRUE</formula>
    </cfRule>
  </conditionalFormatting>
  <conditionalFormatting sqref="R3:R18 T3:T18 T22:T47">
    <cfRule type="cellIs" dxfId="2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6CDDC-7782-4403-AB78-7ED1C8D15CDF}">
  <sheetPr codeName="Sheet5"/>
  <dimension ref="A1:N44"/>
  <sheetViews>
    <sheetView zoomScale="90" zoomScaleNormal="90" workbookViewId="0">
      <selection activeCell="K24" sqref="K24"/>
    </sheetView>
  </sheetViews>
  <sheetFormatPr defaultRowHeight="15" x14ac:dyDescent="0.25"/>
  <cols>
    <col min="1" max="1" width="13.42578125" style="19" bestFit="1" customWidth="1"/>
    <col min="2" max="2" width="11.7109375" bestFit="1" customWidth="1"/>
    <col min="3" max="3" width="12.28515625" bestFit="1" customWidth="1"/>
    <col min="4" max="4" width="9.28515625" bestFit="1" customWidth="1"/>
    <col min="5" max="5" width="11" style="4" bestFit="1" customWidth="1"/>
    <col min="6" max="6" width="8.7109375" style="175" bestFit="1" customWidth="1"/>
    <col min="7" max="7" width="13.140625" style="34" bestFit="1" customWidth="1"/>
    <col min="8" max="9" width="10.140625" style="253" bestFit="1" customWidth="1"/>
    <col min="10" max="10" width="9.85546875" style="177" bestFit="1" customWidth="1"/>
    <col min="11" max="11" width="18.7109375" style="10" bestFit="1" customWidth="1"/>
    <col min="12" max="12" width="34.42578125" style="4" bestFit="1" customWidth="1"/>
    <col min="14" max="14" width="10.5703125" bestFit="1" customWidth="1"/>
  </cols>
  <sheetData>
    <row r="1" spans="1:14" s="3" customFormat="1" ht="15.75" x14ac:dyDescent="0.25">
      <c r="A1" s="18" t="s">
        <v>5</v>
      </c>
      <c r="B1" s="5" t="s">
        <v>2</v>
      </c>
      <c r="C1" s="5" t="s">
        <v>1</v>
      </c>
      <c r="D1" s="5" t="s">
        <v>14</v>
      </c>
      <c r="E1" s="7" t="s">
        <v>37</v>
      </c>
      <c r="F1" s="174" t="s">
        <v>116</v>
      </c>
      <c r="G1" s="33" t="s">
        <v>88</v>
      </c>
      <c r="H1" s="252" t="s">
        <v>86</v>
      </c>
      <c r="I1" s="252" t="s">
        <v>87</v>
      </c>
      <c r="J1" s="176" t="s">
        <v>117</v>
      </c>
      <c r="K1" s="8"/>
      <c r="L1" s="250" t="s">
        <v>118</v>
      </c>
    </row>
    <row r="2" spans="1:14" ht="16.5" thickBot="1" x14ac:dyDescent="0.3">
      <c r="A2" s="19" t="b">
        <v>0</v>
      </c>
      <c r="B2" t="s">
        <v>10</v>
      </c>
      <c r="C2" t="s">
        <v>0</v>
      </c>
      <c r="D2" t="s">
        <v>10</v>
      </c>
      <c r="E2" s="4">
        <v>1</v>
      </c>
      <c r="F2" s="175" t="s">
        <v>112</v>
      </c>
      <c r="K2" s="9"/>
      <c r="L2" s="251" t="s">
        <v>119</v>
      </c>
      <c r="N2" s="46"/>
    </row>
    <row r="3" spans="1:14" x14ac:dyDescent="0.25">
      <c r="A3" s="19" t="b">
        <v>0</v>
      </c>
      <c r="B3" t="s">
        <v>9</v>
      </c>
      <c r="C3" t="s">
        <v>0</v>
      </c>
      <c r="D3" t="s">
        <v>10</v>
      </c>
      <c r="E3" s="4">
        <v>1.3479759351831699</v>
      </c>
      <c r="F3" s="175" t="s">
        <v>112</v>
      </c>
      <c r="K3" s="9"/>
      <c r="N3" s="46"/>
    </row>
    <row r="4" spans="1:14" x14ac:dyDescent="0.25">
      <c r="A4" s="19" t="b">
        <v>0</v>
      </c>
      <c r="B4" t="s">
        <v>6</v>
      </c>
      <c r="C4" t="s">
        <v>0</v>
      </c>
      <c r="D4" t="s">
        <v>10</v>
      </c>
      <c r="E4" s="4">
        <v>4.2771695163945074</v>
      </c>
      <c r="F4" s="175" t="s">
        <v>112</v>
      </c>
      <c r="K4" s="9"/>
      <c r="N4" s="46"/>
    </row>
    <row r="5" spans="1:14" x14ac:dyDescent="0.25">
      <c r="A5" s="19" t="b">
        <v>0</v>
      </c>
      <c r="B5" t="s">
        <v>7</v>
      </c>
      <c r="C5" t="s">
        <v>0</v>
      </c>
      <c r="D5" t="s">
        <v>10</v>
      </c>
      <c r="E5" s="4">
        <v>3.8794632369393063</v>
      </c>
      <c r="F5" s="175" t="s">
        <v>112</v>
      </c>
      <c r="K5" s="9"/>
      <c r="N5" s="46"/>
    </row>
    <row r="6" spans="1:14" x14ac:dyDescent="0.25">
      <c r="A6" s="19" t="b">
        <v>0</v>
      </c>
      <c r="B6" t="s">
        <v>48</v>
      </c>
      <c r="C6" t="s">
        <v>0</v>
      </c>
      <c r="D6" t="s">
        <v>48</v>
      </c>
      <c r="E6" s="4">
        <v>1</v>
      </c>
      <c r="F6" s="175" t="s">
        <v>113</v>
      </c>
      <c r="K6" s="9"/>
      <c r="N6" s="46"/>
    </row>
    <row r="7" spans="1:14" x14ac:dyDescent="0.25">
      <c r="A7" s="19" t="b">
        <v>0</v>
      </c>
      <c r="B7" t="s">
        <v>55</v>
      </c>
      <c r="C7" t="s">
        <v>0</v>
      </c>
      <c r="D7" t="s">
        <v>48</v>
      </c>
      <c r="E7" s="4">
        <v>1.0737410900908801</v>
      </c>
      <c r="F7" s="175" t="s">
        <v>113</v>
      </c>
      <c r="K7" s="9"/>
      <c r="N7" s="46"/>
    </row>
    <row r="8" spans="1:14" x14ac:dyDescent="0.25">
      <c r="A8" s="19" t="b">
        <v>0</v>
      </c>
      <c r="B8" t="s">
        <v>35</v>
      </c>
      <c r="C8" t="s">
        <v>0</v>
      </c>
      <c r="D8" t="s">
        <v>35</v>
      </c>
      <c r="E8" s="4">
        <v>1</v>
      </c>
      <c r="F8" s="175" t="s">
        <v>112</v>
      </c>
      <c r="K8" s="9"/>
      <c r="N8" s="46"/>
    </row>
    <row r="9" spans="1:14" x14ac:dyDescent="0.25">
      <c r="A9" s="19" t="b">
        <v>0</v>
      </c>
      <c r="B9" t="s">
        <v>32</v>
      </c>
      <c r="C9" t="s">
        <v>0</v>
      </c>
      <c r="D9" t="s">
        <v>35</v>
      </c>
      <c r="E9" s="4">
        <v>3.3419939175743822</v>
      </c>
      <c r="F9" s="175" t="s">
        <v>112</v>
      </c>
      <c r="K9" s="9"/>
      <c r="N9" s="46"/>
    </row>
    <row r="10" spans="1:14" x14ac:dyDescent="0.25">
      <c r="A10" s="19" t="b">
        <v>0</v>
      </c>
      <c r="B10" t="s">
        <v>33</v>
      </c>
      <c r="C10" t="s">
        <v>0</v>
      </c>
      <c r="D10" t="s">
        <v>35</v>
      </c>
      <c r="E10" s="4">
        <v>1.8900741836734043</v>
      </c>
      <c r="F10" s="175" t="s">
        <v>112</v>
      </c>
      <c r="K10" s="9"/>
      <c r="N10" s="46"/>
    </row>
    <row r="11" spans="1:14" x14ac:dyDescent="0.25">
      <c r="A11" s="19" t="b">
        <v>0</v>
      </c>
      <c r="B11" t="s">
        <v>34</v>
      </c>
      <c r="C11" t="s">
        <v>0</v>
      </c>
      <c r="D11" t="s">
        <v>35</v>
      </c>
      <c r="E11" s="4">
        <v>1.2634113529716937</v>
      </c>
      <c r="F11" s="175" t="s">
        <v>112</v>
      </c>
      <c r="K11" s="9"/>
      <c r="N11" s="46"/>
    </row>
    <row r="12" spans="1:14" x14ac:dyDescent="0.25">
      <c r="A12" s="19" t="b">
        <v>0</v>
      </c>
      <c r="B12" t="s">
        <v>53</v>
      </c>
      <c r="C12" t="s">
        <v>0</v>
      </c>
      <c r="D12" t="s">
        <v>53</v>
      </c>
      <c r="E12" s="4">
        <v>1</v>
      </c>
      <c r="F12" s="175" t="s">
        <v>113</v>
      </c>
      <c r="K12" s="9"/>
      <c r="N12" s="46"/>
    </row>
    <row r="13" spans="1:14" x14ac:dyDescent="0.25">
      <c r="A13" s="19" t="b">
        <v>0</v>
      </c>
      <c r="B13" t="s">
        <v>66</v>
      </c>
      <c r="C13" t="s">
        <v>0</v>
      </c>
      <c r="D13" t="s">
        <v>53</v>
      </c>
      <c r="E13" s="4">
        <v>1.4382344348607017</v>
      </c>
      <c r="F13" s="175" t="s">
        <v>113</v>
      </c>
      <c r="K13" s="9"/>
      <c r="N13" s="46"/>
    </row>
    <row r="14" spans="1:14" x14ac:dyDescent="0.25">
      <c r="A14" s="19" t="b">
        <v>0</v>
      </c>
      <c r="B14" t="s">
        <v>49</v>
      </c>
      <c r="C14" t="s">
        <v>0</v>
      </c>
      <c r="D14" t="s">
        <v>56</v>
      </c>
      <c r="E14" s="4">
        <v>1.043397092324057</v>
      </c>
      <c r="F14" s="175" t="s">
        <v>113</v>
      </c>
      <c r="K14" s="9"/>
      <c r="N14" s="46"/>
    </row>
    <row r="15" spans="1:14" x14ac:dyDescent="0.25">
      <c r="A15" s="19" t="b">
        <v>0</v>
      </c>
      <c r="B15" t="s">
        <v>56</v>
      </c>
      <c r="C15" t="s">
        <v>0</v>
      </c>
      <c r="D15" t="s">
        <v>56</v>
      </c>
      <c r="E15" s="4">
        <v>1</v>
      </c>
      <c r="F15" s="175" t="s">
        <v>113</v>
      </c>
      <c r="K15" s="9"/>
      <c r="N15" s="46"/>
    </row>
    <row r="16" spans="1:14" x14ac:dyDescent="0.25">
      <c r="A16" s="19" t="b">
        <v>0</v>
      </c>
      <c r="B16" t="s">
        <v>52</v>
      </c>
      <c r="C16" t="s">
        <v>0</v>
      </c>
      <c r="D16" t="s">
        <v>57</v>
      </c>
      <c r="E16" s="4">
        <v>1.1149067912357082</v>
      </c>
      <c r="F16" s="175" t="s">
        <v>113</v>
      </c>
      <c r="G16" s="34">
        <v>0.3</v>
      </c>
      <c r="H16" s="253">
        <f>ROUND(I17*E16,0)</f>
        <v>223</v>
      </c>
      <c r="J16" s="177" t="s">
        <v>114</v>
      </c>
      <c r="K16" s="9"/>
      <c r="N16" s="46"/>
    </row>
    <row r="17" spans="1:14" x14ac:dyDescent="0.25">
      <c r="A17" s="19" t="b">
        <v>0</v>
      </c>
      <c r="B17" t="s">
        <v>57</v>
      </c>
      <c r="C17" t="s">
        <v>0</v>
      </c>
      <c r="D17" t="s">
        <v>57</v>
      </c>
      <c r="E17" s="4">
        <v>1</v>
      </c>
      <c r="F17" s="175" t="s">
        <v>113</v>
      </c>
      <c r="G17" s="34">
        <v>0.3</v>
      </c>
      <c r="I17" s="253">
        <v>200</v>
      </c>
      <c r="J17" s="177" t="s">
        <v>115</v>
      </c>
      <c r="K17" s="9"/>
      <c r="N17" s="46"/>
    </row>
    <row r="18" spans="1:14" x14ac:dyDescent="0.25">
      <c r="A18" s="19" t="b">
        <v>1</v>
      </c>
      <c r="B18" t="s">
        <v>50</v>
      </c>
      <c r="C18" t="s">
        <v>0</v>
      </c>
      <c r="D18" t="s">
        <v>58</v>
      </c>
      <c r="E18" s="4">
        <v>1.8903277164951522</v>
      </c>
      <c r="F18" s="175" t="s">
        <v>113</v>
      </c>
      <c r="G18" s="34">
        <v>0.05</v>
      </c>
      <c r="H18" s="253">
        <v>453</v>
      </c>
      <c r="J18" s="177" t="s">
        <v>114</v>
      </c>
      <c r="K18" s="9"/>
      <c r="N18" s="46"/>
    </row>
    <row r="19" spans="1:14" x14ac:dyDescent="0.25">
      <c r="A19" s="19" t="b">
        <v>1</v>
      </c>
      <c r="B19" t="s">
        <v>58</v>
      </c>
      <c r="C19" t="s">
        <v>0</v>
      </c>
      <c r="D19" t="s">
        <v>58</v>
      </c>
      <c r="E19" s="4">
        <v>1</v>
      </c>
      <c r="F19" s="175" t="s">
        <v>113</v>
      </c>
      <c r="G19" s="34">
        <v>0.05</v>
      </c>
      <c r="I19" s="253">
        <v>239</v>
      </c>
      <c r="J19" s="177" t="s">
        <v>115</v>
      </c>
      <c r="K19" s="9"/>
      <c r="N19" s="46"/>
    </row>
    <row r="20" spans="1:14" x14ac:dyDescent="0.25">
      <c r="A20" s="19" t="b">
        <v>0</v>
      </c>
      <c r="B20" t="s">
        <v>19</v>
      </c>
      <c r="C20" t="s">
        <v>0</v>
      </c>
      <c r="D20" t="s">
        <v>20</v>
      </c>
      <c r="E20" s="4">
        <v>1.2037173052324166</v>
      </c>
      <c r="F20" s="175" t="s">
        <v>112</v>
      </c>
      <c r="K20" s="9"/>
      <c r="N20" s="46"/>
    </row>
    <row r="21" spans="1:14" x14ac:dyDescent="0.25">
      <c r="A21" s="19" t="b">
        <v>0</v>
      </c>
      <c r="B21" t="s">
        <v>17</v>
      </c>
      <c r="C21" t="s">
        <v>0</v>
      </c>
      <c r="D21" t="s">
        <v>20</v>
      </c>
      <c r="E21" s="4">
        <v>2.6377356069340507</v>
      </c>
      <c r="F21" s="175" t="s">
        <v>112</v>
      </c>
      <c r="K21" s="9"/>
      <c r="N21" s="46"/>
    </row>
    <row r="22" spans="1:14" x14ac:dyDescent="0.25">
      <c r="A22" s="19" t="b">
        <v>0</v>
      </c>
      <c r="B22" t="s">
        <v>20</v>
      </c>
      <c r="C22" t="s">
        <v>0</v>
      </c>
      <c r="D22" t="s">
        <v>20</v>
      </c>
      <c r="E22" s="4">
        <v>1</v>
      </c>
      <c r="F22" s="175" t="s">
        <v>112</v>
      </c>
      <c r="K22" s="9"/>
      <c r="N22" s="46"/>
    </row>
    <row r="23" spans="1:14" x14ac:dyDescent="0.25">
      <c r="A23" s="19" t="b">
        <v>0</v>
      </c>
      <c r="B23" t="s">
        <v>16</v>
      </c>
      <c r="C23" t="s">
        <v>0</v>
      </c>
      <c r="D23" t="s">
        <v>20</v>
      </c>
      <c r="E23" s="4">
        <v>3.6822092095285677</v>
      </c>
      <c r="F23" s="175" t="s">
        <v>112</v>
      </c>
      <c r="K23" s="9"/>
      <c r="N23" s="46"/>
    </row>
    <row r="24" spans="1:14" x14ac:dyDescent="0.25">
      <c r="A24" s="19" t="b">
        <v>0</v>
      </c>
      <c r="B24" t="s">
        <v>15</v>
      </c>
      <c r="C24" t="s">
        <v>0</v>
      </c>
      <c r="D24" t="s">
        <v>20</v>
      </c>
      <c r="E24" s="4">
        <v>4.1148512656838907</v>
      </c>
      <c r="F24" s="175" t="s">
        <v>112</v>
      </c>
      <c r="K24" s="9"/>
      <c r="N24" s="46"/>
    </row>
    <row r="25" spans="1:14" x14ac:dyDescent="0.25">
      <c r="A25" s="19" t="b">
        <v>0</v>
      </c>
      <c r="B25" t="s">
        <v>18</v>
      </c>
      <c r="C25" t="s">
        <v>0</v>
      </c>
      <c r="D25" t="s">
        <v>20</v>
      </c>
      <c r="E25" s="4">
        <v>2.602143640254015</v>
      </c>
      <c r="F25" s="175" t="s">
        <v>112</v>
      </c>
      <c r="K25" s="9"/>
      <c r="N25" s="46"/>
    </row>
    <row r="26" spans="1:14" x14ac:dyDescent="0.25">
      <c r="A26" s="19" t="b">
        <v>0</v>
      </c>
      <c r="B26" t="s">
        <v>23</v>
      </c>
      <c r="C26" t="s">
        <v>0</v>
      </c>
      <c r="D26" t="s">
        <v>23</v>
      </c>
      <c r="E26" s="4">
        <v>1</v>
      </c>
      <c r="F26" s="175" t="s">
        <v>112</v>
      </c>
      <c r="K26" s="9"/>
      <c r="N26" s="46"/>
    </row>
    <row r="27" spans="1:14" x14ac:dyDescent="0.25">
      <c r="A27" s="19" t="b">
        <v>0</v>
      </c>
      <c r="B27" t="s">
        <v>21</v>
      </c>
      <c r="C27" t="s">
        <v>0</v>
      </c>
      <c r="D27" t="s">
        <v>23</v>
      </c>
      <c r="E27" s="4">
        <v>4.2368674112252762</v>
      </c>
      <c r="F27" s="175" t="s">
        <v>112</v>
      </c>
      <c r="K27" s="9"/>
      <c r="N27" s="46"/>
    </row>
    <row r="28" spans="1:14" x14ac:dyDescent="0.25">
      <c r="A28" s="19" t="b">
        <v>0</v>
      </c>
      <c r="B28" t="s">
        <v>22</v>
      </c>
      <c r="C28" t="s">
        <v>0</v>
      </c>
      <c r="D28" t="s">
        <v>23</v>
      </c>
      <c r="E28" s="4">
        <v>2.017697369567494</v>
      </c>
      <c r="F28" s="175" t="s">
        <v>112</v>
      </c>
      <c r="K28" s="9"/>
      <c r="N28" s="46"/>
    </row>
    <row r="29" spans="1:14" x14ac:dyDescent="0.25">
      <c r="A29" s="19" t="b">
        <v>0</v>
      </c>
      <c r="B29" t="s">
        <v>4</v>
      </c>
      <c r="C29" t="s">
        <v>0</v>
      </c>
      <c r="D29" t="s">
        <v>4</v>
      </c>
      <c r="E29" s="4">
        <v>1</v>
      </c>
      <c r="F29" s="175" t="s">
        <v>112</v>
      </c>
      <c r="I29" s="254"/>
      <c r="J29" s="178"/>
    </row>
    <row r="30" spans="1:14" x14ac:dyDescent="0.25">
      <c r="A30" s="19" t="b">
        <v>0</v>
      </c>
      <c r="B30" t="s">
        <v>24</v>
      </c>
      <c r="C30" t="s">
        <v>0</v>
      </c>
      <c r="D30" t="s">
        <v>4</v>
      </c>
      <c r="E30" s="4">
        <v>2.3507550213933195</v>
      </c>
      <c r="F30" s="175" t="s">
        <v>112</v>
      </c>
      <c r="I30" s="254"/>
      <c r="J30" s="178"/>
    </row>
    <row r="31" spans="1:14" x14ac:dyDescent="0.25">
      <c r="A31" s="19" t="b">
        <v>0</v>
      </c>
      <c r="B31" t="s">
        <v>3</v>
      </c>
      <c r="C31" t="s">
        <v>0</v>
      </c>
      <c r="D31" t="s">
        <v>4</v>
      </c>
      <c r="E31" s="4">
        <v>2.1279231618758585</v>
      </c>
      <c r="F31" s="175" t="s">
        <v>112</v>
      </c>
      <c r="I31" s="254"/>
      <c r="J31" s="178"/>
    </row>
    <row r="32" spans="1:14" x14ac:dyDescent="0.25">
      <c r="A32" s="19" t="b">
        <v>0</v>
      </c>
      <c r="B32" t="s">
        <v>61</v>
      </c>
      <c r="C32" t="s">
        <v>0</v>
      </c>
      <c r="D32" t="s">
        <v>61</v>
      </c>
      <c r="E32" s="4">
        <v>1</v>
      </c>
      <c r="F32" s="175" t="s">
        <v>113</v>
      </c>
      <c r="I32" s="254"/>
      <c r="J32" s="178"/>
    </row>
    <row r="33" spans="1:10" x14ac:dyDescent="0.25">
      <c r="A33" s="19" t="b">
        <v>0</v>
      </c>
      <c r="B33" t="s">
        <v>62</v>
      </c>
      <c r="C33" t="s">
        <v>0</v>
      </c>
      <c r="D33" t="s">
        <v>61</v>
      </c>
      <c r="E33" s="4">
        <v>1.6493693691032021</v>
      </c>
      <c r="F33" s="175" t="s">
        <v>113</v>
      </c>
      <c r="I33" s="254"/>
      <c r="J33" s="178"/>
    </row>
    <row r="34" spans="1:10" x14ac:dyDescent="0.25">
      <c r="A34" s="19" t="b">
        <v>0</v>
      </c>
      <c r="B34" t="s">
        <v>63</v>
      </c>
      <c r="C34" t="s">
        <v>0</v>
      </c>
      <c r="D34" t="s">
        <v>64</v>
      </c>
      <c r="E34" s="4">
        <v>2.7951857870561998</v>
      </c>
      <c r="F34" s="175" t="s">
        <v>113</v>
      </c>
      <c r="I34" s="254"/>
      <c r="J34" s="178"/>
    </row>
    <row r="35" spans="1:10" x14ac:dyDescent="0.25">
      <c r="A35" s="19" t="b">
        <v>0</v>
      </c>
      <c r="B35" t="s">
        <v>64</v>
      </c>
      <c r="C35" t="s">
        <v>0</v>
      </c>
      <c r="D35" t="s">
        <v>64</v>
      </c>
      <c r="E35" s="4">
        <v>1</v>
      </c>
      <c r="F35" s="175" t="s">
        <v>113</v>
      </c>
      <c r="I35" s="254"/>
      <c r="J35" s="178"/>
    </row>
    <row r="36" spans="1:10" x14ac:dyDescent="0.25">
      <c r="A36" s="19" t="b">
        <v>0</v>
      </c>
      <c r="B36" t="s">
        <v>26</v>
      </c>
      <c r="C36" t="s">
        <v>0</v>
      </c>
      <c r="D36" t="s">
        <v>27</v>
      </c>
      <c r="E36" s="4">
        <v>1.500862258775687</v>
      </c>
      <c r="F36" s="175" t="s">
        <v>112</v>
      </c>
      <c r="I36" s="254"/>
      <c r="J36" s="178"/>
    </row>
    <row r="37" spans="1:10" x14ac:dyDescent="0.25">
      <c r="A37" s="19" t="b">
        <v>0</v>
      </c>
      <c r="B37" t="s">
        <v>25</v>
      </c>
      <c r="C37" t="s">
        <v>0</v>
      </c>
      <c r="D37" t="s">
        <v>27</v>
      </c>
      <c r="E37" s="4">
        <v>3.3611547973960874</v>
      </c>
      <c r="F37" s="175" t="s">
        <v>112</v>
      </c>
      <c r="I37" s="254"/>
      <c r="J37" s="178"/>
    </row>
    <row r="38" spans="1:10" x14ac:dyDescent="0.25">
      <c r="A38" s="19" t="b">
        <v>0</v>
      </c>
      <c r="B38" t="s">
        <v>27</v>
      </c>
      <c r="C38" t="s">
        <v>0</v>
      </c>
      <c r="D38" t="s">
        <v>27</v>
      </c>
      <c r="E38" s="4">
        <v>1</v>
      </c>
      <c r="F38" s="175" t="s">
        <v>112</v>
      </c>
      <c r="I38" s="254"/>
      <c r="J38" s="178"/>
    </row>
    <row r="39" spans="1:10" x14ac:dyDescent="0.25">
      <c r="A39" s="19" t="b">
        <v>0</v>
      </c>
      <c r="B39" t="s">
        <v>29</v>
      </c>
      <c r="C39" t="s">
        <v>0</v>
      </c>
      <c r="D39" t="s">
        <v>31</v>
      </c>
      <c r="E39" s="4">
        <v>1.7626460498687226</v>
      </c>
      <c r="F39" s="175" t="s">
        <v>112</v>
      </c>
      <c r="I39" s="254"/>
      <c r="J39" s="178"/>
    </row>
    <row r="40" spans="1:10" x14ac:dyDescent="0.25">
      <c r="A40" s="19" t="b">
        <v>0</v>
      </c>
      <c r="B40" t="s">
        <v>28</v>
      </c>
      <c r="C40" t="s">
        <v>0</v>
      </c>
      <c r="D40" t="s">
        <v>31</v>
      </c>
      <c r="E40" s="4">
        <v>2.1026526941945911</v>
      </c>
      <c r="F40" s="175" t="s">
        <v>112</v>
      </c>
      <c r="I40" s="254"/>
      <c r="J40" s="178"/>
    </row>
    <row r="41" spans="1:10" x14ac:dyDescent="0.25">
      <c r="A41" s="19" t="b">
        <v>0</v>
      </c>
      <c r="B41" t="s">
        <v>30</v>
      </c>
      <c r="C41" t="s">
        <v>0</v>
      </c>
      <c r="D41" t="s">
        <v>31</v>
      </c>
      <c r="E41" s="4">
        <v>0.64204440290189091</v>
      </c>
      <c r="F41" s="175" t="s">
        <v>112</v>
      </c>
      <c r="I41" s="254"/>
      <c r="J41" s="178"/>
    </row>
    <row r="42" spans="1:10" x14ac:dyDescent="0.25">
      <c r="A42" s="19" t="b">
        <v>0</v>
      </c>
      <c r="B42" t="s">
        <v>31</v>
      </c>
      <c r="C42" t="s">
        <v>0</v>
      </c>
      <c r="D42" t="s">
        <v>31</v>
      </c>
      <c r="E42" s="4">
        <v>1</v>
      </c>
      <c r="F42" s="175" t="s">
        <v>112</v>
      </c>
      <c r="I42" s="254"/>
      <c r="J42" s="178"/>
    </row>
    <row r="43" spans="1:10" x14ac:dyDescent="0.25">
      <c r="A43" s="19" t="b">
        <v>0</v>
      </c>
      <c r="B43" t="s">
        <v>51</v>
      </c>
      <c r="C43" t="s">
        <v>0</v>
      </c>
      <c r="D43" t="s">
        <v>65</v>
      </c>
      <c r="E43" s="4">
        <v>1.7448909809582596</v>
      </c>
      <c r="F43" s="175" t="s">
        <v>113</v>
      </c>
      <c r="I43" s="254"/>
      <c r="J43" s="178"/>
    </row>
    <row r="44" spans="1:10" x14ac:dyDescent="0.25">
      <c r="A44" s="19" t="b">
        <v>0</v>
      </c>
      <c r="B44" t="s">
        <v>65</v>
      </c>
      <c r="C44" t="s">
        <v>0</v>
      </c>
      <c r="D44" t="s">
        <v>65</v>
      </c>
      <c r="E44" s="4">
        <v>1</v>
      </c>
      <c r="F44" s="175" t="s">
        <v>113</v>
      </c>
      <c r="I44" s="254"/>
      <c r="J44" s="178"/>
    </row>
  </sheetData>
  <conditionalFormatting sqref="A29:A44">
    <cfRule type="cellIs" dxfId="1" priority="2" operator="equal">
      <formula>TRUE</formula>
    </cfRule>
  </conditionalFormatting>
  <conditionalFormatting sqref="A1:A1048576">
    <cfRule type="cellIs" dxfId="0" priority="1" operator="equal">
      <formula>TRUE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ADMIN INPUTS</vt:lpstr>
      <vt:lpstr>FI INPUTS</vt:lpstr>
      <vt:lpstr>MKT DATA</vt:lpstr>
      <vt:lpstr>WATCH SCREEN</vt:lpstr>
      <vt:lpstr>TRADING INPUTS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Hyland</dc:creator>
  <cp:lastModifiedBy>Michael Hyland</cp:lastModifiedBy>
  <dcterms:created xsi:type="dcterms:W3CDTF">2026-03-22T14:06:48Z</dcterms:created>
  <dcterms:modified xsi:type="dcterms:W3CDTF">2026-08-25T21:06:46Z</dcterms:modified>
</cp:coreProperties>
</file>