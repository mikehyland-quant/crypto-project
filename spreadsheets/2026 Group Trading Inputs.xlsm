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34DAA233-736B-4AEB-8FA8-843E7688C05D}" xr6:coauthVersionLast="47" xr6:coauthVersionMax="47" xr10:uidLastSave="{00000000-0000-0000-0000-000000000000}"/>
  <bookViews>
    <workbookView xWindow="8625" yWindow="1425" windowWidth="21720" windowHeight="12585" tabRatio="762" activeTab="3" xr2:uid="{7864433A-DFC4-4915-B0C9-D347D4BABFCE}"/>
  </bookViews>
  <sheets>
    <sheet name="ADMIN INPUTS" sheetId="15" r:id="rId1"/>
    <sheet name="ANCHOR INPUTS" sheetId="16" r:id="rId2"/>
    <sheet name="MKT DATA" sheetId="19" r:id="rId3"/>
    <sheet name="WATCH SCREEN" sheetId="20" r:id="rId4"/>
    <sheet name="TRADING INPUTS" sheetId="21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7" i="20" l="1" a="1"/>
  <c r="N46" i="20" a="1"/>
  <c r="N45" i="20" a="1"/>
  <c r="N44" i="20" a="1"/>
  <c r="N43" i="20" a="1"/>
  <c r="N42" i="20" a="1"/>
  <c r="N41" i="20" a="1"/>
  <c r="N40" i="20" a="1"/>
  <c r="N39" i="20" a="1"/>
  <c r="N38" i="20" a="1"/>
  <c r="N37" i="20" a="1"/>
  <c r="N36" i="20" a="1"/>
  <c r="N35" i="20" a="1"/>
  <c r="N34" i="20" a="1"/>
  <c r="N33" i="20" a="1"/>
  <c r="N32" i="20" a="1"/>
  <c r="N31" i="20" a="1"/>
  <c r="N30" i="20" a="1"/>
  <c r="N29" i="20" a="1"/>
  <c r="N28" i="20" a="1"/>
  <c r="N27" i="20" a="1"/>
  <c r="N26" i="20" a="1"/>
  <c r="N25" i="20" a="1"/>
  <c r="N24" i="20" a="1"/>
  <c r="N23" i="20" a="1"/>
  <c r="N22" i="20" a="1"/>
  <c r="N18" i="20" a="1"/>
  <c r="N17" i="20" a="1"/>
  <c r="N16" i="20" a="1"/>
  <c r="N15" i="20" a="1"/>
  <c r="N14" i="20" a="1"/>
  <c r="N13" i="20" a="1"/>
  <c r="N12" i="20" a="1"/>
  <c r="N11" i="20" a="1"/>
  <c r="N10" i="20" a="1"/>
  <c r="N9" i="20" a="1"/>
  <c r="N8" i="20" a="1"/>
  <c r="N7" i="20" a="1"/>
  <c r="N6" i="20" a="1"/>
  <c r="N5" i="20" a="1"/>
  <c r="N4" i="20" a="1"/>
  <c r="N3" i="20" a="1"/>
  <c r="P3" i="21"/>
  <c r="P4" i="21"/>
  <c r="P5" i="21"/>
  <c r="P6" i="21"/>
  <c r="P7" i="21"/>
  <c r="P8" i="21"/>
  <c r="P9" i="21"/>
  <c r="P10" i="21"/>
  <c r="P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2" i="21"/>
  <c r="Q35" i="21"/>
  <c r="R35" i="21" s="1"/>
  <c r="Q34" i="21"/>
  <c r="R34" i="21" s="1"/>
  <c r="AA3" i="21"/>
  <c r="AA4" i="21"/>
  <c r="AA5" i="21"/>
  <c r="AA6" i="21"/>
  <c r="AA7" i="21"/>
  <c r="AA8" i="21"/>
  <c r="AA9" i="21"/>
  <c r="AA10" i="21"/>
  <c r="AA11" i="21"/>
  <c r="AA12" i="21"/>
  <c r="AA13" i="21"/>
  <c r="AA14" i="21"/>
  <c r="AA15" i="21"/>
  <c r="AA16" i="21"/>
  <c r="AA17" i="21"/>
  <c r="AA18" i="21"/>
  <c r="AA19" i="21"/>
  <c r="AA20" i="21"/>
  <c r="AA21" i="21"/>
  <c r="AA22" i="21"/>
  <c r="AA23" i="21"/>
  <c r="AA24" i="21"/>
  <c r="AA25" i="21"/>
  <c r="AA26" i="21"/>
  <c r="AA27" i="21"/>
  <c r="AA28" i="21"/>
  <c r="AA29" i="21"/>
  <c r="AA30" i="21"/>
  <c r="AA31" i="21"/>
  <c r="AA32" i="21"/>
  <c r="AA33" i="21"/>
  <c r="AA34" i="21"/>
  <c r="AA35" i="21"/>
  <c r="AA36" i="21"/>
  <c r="AA37" i="21"/>
  <c r="AA38" i="21"/>
  <c r="AA39" i="21"/>
  <c r="AA40" i="21"/>
  <c r="AA41" i="21"/>
  <c r="AA2" i="21"/>
  <c r="Z3" i="21"/>
  <c r="Z4" i="21"/>
  <c r="Z5" i="21"/>
  <c r="Z6" i="21"/>
  <c r="Z7" i="21"/>
  <c r="Z8" i="21"/>
  <c r="Z9" i="21"/>
  <c r="Z10" i="21"/>
  <c r="Z11" i="21"/>
  <c r="Z12" i="21"/>
  <c r="Z13" i="21"/>
  <c r="Z14" i="21"/>
  <c r="Z15" i="21"/>
  <c r="Z16" i="21"/>
  <c r="Z17" i="21"/>
  <c r="Z18" i="21"/>
  <c r="Z19" i="21"/>
  <c r="Z20" i="21"/>
  <c r="Z21" i="21"/>
  <c r="Z22" i="21"/>
  <c r="Z23" i="21"/>
  <c r="Z24" i="21"/>
  <c r="Z25" i="21"/>
  <c r="Z26" i="21"/>
  <c r="Z27" i="21"/>
  <c r="Z28" i="21"/>
  <c r="Z29" i="21"/>
  <c r="Z30" i="21"/>
  <c r="Z31" i="21"/>
  <c r="Z32" i="21"/>
  <c r="Z33" i="21"/>
  <c r="Z34" i="21"/>
  <c r="Z35" i="21"/>
  <c r="Z36" i="21"/>
  <c r="Z37" i="21"/>
  <c r="Z38" i="21"/>
  <c r="Z39" i="21"/>
  <c r="Z40" i="21"/>
  <c r="Z41" i="21"/>
  <c r="Z2" i="21"/>
  <c r="R41" i="21"/>
  <c r="Q37" i="21"/>
  <c r="R37" i="21" s="1"/>
  <c r="Q38" i="21"/>
  <c r="R38" i="21" s="1"/>
  <c r="Q39" i="21"/>
  <c r="R39" i="21" s="1"/>
  <c r="Q40" i="21"/>
  <c r="R40" i="21" s="1"/>
  <c r="Q36" i="21"/>
  <c r="R36" i="21" s="1"/>
  <c r="Q27" i="21"/>
  <c r="R27" i="21" s="1"/>
  <c r="Q28" i="21"/>
  <c r="R28" i="21" s="1"/>
  <c r="Q29" i="21"/>
  <c r="R29" i="21" s="1"/>
  <c r="Q30" i="21"/>
  <c r="R30" i="21" s="1"/>
  <c r="Q31" i="21"/>
  <c r="R31" i="21" s="1"/>
  <c r="Q32" i="21"/>
  <c r="R32" i="21" s="1"/>
  <c r="Q33" i="21"/>
  <c r="R33" i="21" s="1"/>
  <c r="Q26" i="21"/>
  <c r="R26" i="21" s="1"/>
  <c r="Q21" i="21"/>
  <c r="R21" i="21" s="1"/>
  <c r="Q22" i="21"/>
  <c r="R22" i="21" s="1"/>
  <c r="Q23" i="21"/>
  <c r="R23" i="21" s="1"/>
  <c r="Q24" i="21"/>
  <c r="R24" i="21" s="1"/>
  <c r="Q25" i="21"/>
  <c r="R25" i="21" s="1"/>
  <c r="Q20" i="21"/>
  <c r="R20" i="21" s="1"/>
  <c r="Q19" i="21"/>
  <c r="R19" i="21" s="1"/>
  <c r="Q18" i="21"/>
  <c r="R18" i="21" s="1"/>
  <c r="Q17" i="21"/>
  <c r="R17" i="21" s="1"/>
  <c r="Q16" i="21"/>
  <c r="R16" i="21" s="1"/>
  <c r="Q15" i="21"/>
  <c r="R15" i="21" s="1"/>
  <c r="Q14" i="21"/>
  <c r="R14" i="21" s="1"/>
  <c r="Q9" i="21"/>
  <c r="R9" i="21" s="1"/>
  <c r="Q10" i="21"/>
  <c r="R10" i="21" s="1"/>
  <c r="Q11" i="21"/>
  <c r="R11" i="21" s="1"/>
  <c r="Q12" i="21"/>
  <c r="R12" i="21" s="1"/>
  <c r="Q13" i="21"/>
  <c r="R13" i="21" s="1"/>
  <c r="Q8" i="21"/>
  <c r="R8" i="21" s="1"/>
  <c r="Q7" i="21"/>
  <c r="R7" i="21" s="1"/>
  <c r="Q6" i="21"/>
  <c r="R6" i="21" s="1"/>
  <c r="Q3" i="21"/>
  <c r="R3" i="21" s="1"/>
  <c r="Q4" i="21"/>
  <c r="R4" i="21" s="1"/>
  <c r="Q5" i="21"/>
  <c r="R5" i="21" s="1"/>
  <c r="Q2" i="21"/>
  <c r="R2" i="21" s="1"/>
  <c r="F12" i="20" a="1"/>
  <c r="F11" i="20" a="1"/>
  <c r="V34" i="20"/>
  <c r="V29" i="20"/>
  <c r="V25" i="20"/>
  <c r="U34" i="20"/>
  <c r="U29" i="20"/>
  <c r="U25" i="20"/>
  <c r="V22" i="20"/>
  <c r="U22" i="20"/>
  <c r="E2" i="20"/>
  <c r="B18" i="20"/>
  <c r="B17" i="20"/>
  <c r="B16" i="20"/>
  <c r="B15" i="20"/>
  <c r="B14" i="20"/>
  <c r="B13" i="20"/>
  <c r="B12" i="20"/>
  <c r="B11" i="20"/>
  <c r="B10" i="20"/>
  <c r="B9" i="20"/>
  <c r="B8" i="20"/>
  <c r="B7" i="20"/>
  <c r="B6" i="20"/>
  <c r="B5" i="20"/>
  <c r="B4" i="20"/>
  <c r="B3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X13" i="20"/>
  <c r="W13" i="20"/>
  <c r="V13" i="20"/>
  <c r="U13" i="20"/>
  <c r="X11" i="20"/>
  <c r="W11" i="20"/>
  <c r="V11" i="20"/>
  <c r="U11" i="20"/>
  <c r="X9" i="20"/>
  <c r="W9" i="20"/>
  <c r="V9" i="20"/>
  <c r="U9" i="20"/>
  <c r="X7" i="20"/>
  <c r="W7" i="20"/>
  <c r="V7" i="20"/>
  <c r="U7" i="20"/>
  <c r="X5" i="20"/>
  <c r="W5" i="20"/>
  <c r="V5" i="20"/>
  <c r="U5" i="20"/>
  <c r="X3" i="20"/>
  <c r="W3" i="20"/>
  <c r="V3" i="20"/>
  <c r="U3" i="20"/>
  <c r="A19" i="20"/>
  <c r="K36" i="20" a="1"/>
  <c r="M36" i="20" s="1"/>
  <c r="K35" i="20" a="1"/>
  <c r="M35" i="20" s="1"/>
  <c r="K34" i="20" a="1"/>
  <c r="M34" i="20" s="1"/>
  <c r="K33" i="20" a="1"/>
  <c r="M33" i="20" s="1"/>
  <c r="K32" i="20" a="1"/>
  <c r="M32" i="20" s="1"/>
  <c r="K47" i="20" a="1"/>
  <c r="M47" i="20" s="1"/>
  <c r="K46" i="20" a="1"/>
  <c r="M46" i="20" s="1"/>
  <c r="K45" i="20" a="1"/>
  <c r="M45" i="20" s="1"/>
  <c r="K44" i="20" a="1"/>
  <c r="M44" i="20" s="1"/>
  <c r="K31" i="20" a="1"/>
  <c r="M31" i="20" s="1"/>
  <c r="K30" i="20" a="1"/>
  <c r="M30" i="20" s="1"/>
  <c r="K29" i="20" a="1"/>
  <c r="M29" i="20" s="1"/>
  <c r="K28" i="20" a="1"/>
  <c r="M28" i="20" s="1"/>
  <c r="K43" i="20" a="1"/>
  <c r="M43" i="20" s="1"/>
  <c r="K42" i="20" a="1"/>
  <c r="M42" i="20" s="1"/>
  <c r="K41" i="20" a="1"/>
  <c r="M41" i="20" s="1"/>
  <c r="K40" i="20" a="1"/>
  <c r="M40" i="20" s="1"/>
  <c r="K39" i="20" a="1"/>
  <c r="M39" i="20" s="1"/>
  <c r="K38" i="20" a="1"/>
  <c r="M38" i="20" s="1"/>
  <c r="K27" i="20" a="1"/>
  <c r="M27" i="20" s="1"/>
  <c r="K26" i="20" a="1"/>
  <c r="M26" i="20" s="1"/>
  <c r="K25" i="20" a="1"/>
  <c r="M25" i="20" s="1"/>
  <c r="K24" i="20" a="1"/>
  <c r="M24" i="20" s="1"/>
  <c r="K23" i="20" a="1"/>
  <c r="M23" i="20" s="1"/>
  <c r="K22" i="20" a="1"/>
  <c r="M22" i="20" s="1"/>
  <c r="K37" i="20" a="1"/>
  <c r="M37" i="20" s="1"/>
  <c r="A23" i="20"/>
  <c r="B23" i="20"/>
  <c r="A24" i="20"/>
  <c r="B24" i="20"/>
  <c r="A25" i="20"/>
  <c r="B25" i="20"/>
  <c r="A26" i="20"/>
  <c r="B26" i="20"/>
  <c r="A27" i="20"/>
  <c r="B27" i="20"/>
  <c r="A38" i="20"/>
  <c r="B38" i="20"/>
  <c r="A39" i="20"/>
  <c r="B39" i="20"/>
  <c r="A40" i="20"/>
  <c r="B40" i="20"/>
  <c r="A41" i="20"/>
  <c r="B41" i="20"/>
  <c r="A42" i="20"/>
  <c r="B42" i="20"/>
  <c r="A43" i="20"/>
  <c r="B43" i="20"/>
  <c r="A28" i="20"/>
  <c r="B28" i="20"/>
  <c r="A29" i="20"/>
  <c r="B29" i="20"/>
  <c r="A30" i="20"/>
  <c r="B30" i="20"/>
  <c r="A31" i="20"/>
  <c r="B31" i="20"/>
  <c r="A44" i="20"/>
  <c r="B44" i="20"/>
  <c r="A45" i="20"/>
  <c r="B45" i="20"/>
  <c r="A46" i="20"/>
  <c r="B46" i="20"/>
  <c r="A47" i="20"/>
  <c r="B47" i="20"/>
  <c r="A32" i="20"/>
  <c r="B32" i="20"/>
  <c r="A33" i="20"/>
  <c r="B33" i="20"/>
  <c r="A34" i="20"/>
  <c r="B34" i="20"/>
  <c r="A35" i="20"/>
  <c r="B35" i="20"/>
  <c r="A36" i="20"/>
  <c r="B36" i="20"/>
  <c r="A37" i="20"/>
  <c r="B37" i="20"/>
  <c r="B22" i="20"/>
  <c r="A22" i="20"/>
  <c r="F23" i="20" a="1"/>
  <c r="G23" i="20" s="1"/>
  <c r="F22" i="20" a="1"/>
  <c r="F24" i="20" a="1"/>
  <c r="G24" i="20" s="1"/>
  <c r="F25" i="20" a="1"/>
  <c r="F26" i="20" a="1"/>
  <c r="G26" i="20" s="1"/>
  <c r="F27" i="20" a="1"/>
  <c r="G27" i="20" s="1"/>
  <c r="F38" i="20" a="1"/>
  <c r="F39" i="20" a="1"/>
  <c r="G39" i="20" s="1"/>
  <c r="F40" i="20" a="1"/>
  <c r="G40" i="20" s="1"/>
  <c r="F41" i="20" a="1"/>
  <c r="F42" i="20" a="1"/>
  <c r="G42" i="20" s="1"/>
  <c r="F43" i="20" a="1"/>
  <c r="G43" i="20" s="1"/>
  <c r="F28" i="20" a="1"/>
  <c r="F29" i="20" a="1"/>
  <c r="G29" i="20" s="1"/>
  <c r="F30" i="20" a="1"/>
  <c r="G30" i="20" s="1"/>
  <c r="F31" i="20" a="1"/>
  <c r="G31" i="20" s="1"/>
  <c r="F44" i="20" a="1"/>
  <c r="F45" i="20" a="1"/>
  <c r="G45" i="20" s="1"/>
  <c r="F46" i="20" a="1"/>
  <c r="G46" i="20" s="1"/>
  <c r="F47" i="20" a="1"/>
  <c r="G47" i="20" s="1"/>
  <c r="F32" i="20" a="1"/>
  <c r="F33" i="20" a="1"/>
  <c r="G33" i="20" s="1"/>
  <c r="F34" i="20" a="1"/>
  <c r="G34" i="20" s="1"/>
  <c r="F35" i="20" a="1"/>
  <c r="G35" i="20" s="1"/>
  <c r="F36" i="20" a="1"/>
  <c r="G36" i="20" s="1"/>
  <c r="F37" i="20" a="1"/>
  <c r="G37" i="20" s="1"/>
  <c r="J36" i="20" a="1"/>
  <c r="L36" i="20" s="1"/>
  <c r="O36" i="20" s="1"/>
  <c r="J34" i="20" a="1"/>
  <c r="L34" i="20" s="1"/>
  <c r="O34" i="20" s="1"/>
  <c r="J35" i="20" a="1"/>
  <c r="L35" i="20" s="1"/>
  <c r="O35" i="20" s="1"/>
  <c r="J32" i="20" a="1"/>
  <c r="L32" i="20" s="1"/>
  <c r="O32" i="20" s="1"/>
  <c r="J33" i="20" a="1"/>
  <c r="L33" i="20" s="1"/>
  <c r="O33" i="20" s="1"/>
  <c r="J37" i="20" a="1"/>
  <c r="L37" i="20" s="1"/>
  <c r="O37" i="20" s="1"/>
  <c r="J26" i="20" a="1"/>
  <c r="L26" i="20" s="1"/>
  <c r="O26" i="20" s="1"/>
  <c r="J25" i="20" a="1"/>
  <c r="L25" i="20" s="1"/>
  <c r="O25" i="20" s="1"/>
  <c r="J27" i="20" a="1"/>
  <c r="L27" i="20" s="1"/>
  <c r="O27" i="20" s="1"/>
  <c r="J23" i="20" a="1"/>
  <c r="L23" i="20" s="1"/>
  <c r="O23" i="20" s="1"/>
  <c r="J22" i="20" a="1"/>
  <c r="L22" i="20" s="1"/>
  <c r="O22" i="20" s="1"/>
  <c r="J24" i="20" a="1"/>
  <c r="L24" i="20" s="1"/>
  <c r="O24" i="20" s="1"/>
  <c r="J43" i="20" a="1"/>
  <c r="L43" i="20" s="1"/>
  <c r="O43" i="20" s="1"/>
  <c r="J41" i="20" a="1"/>
  <c r="L41" i="20" s="1"/>
  <c r="O41" i="20" s="1"/>
  <c r="J42" i="20" a="1"/>
  <c r="L42" i="20" s="1"/>
  <c r="O42" i="20" s="1"/>
  <c r="J40" i="20" a="1"/>
  <c r="L40" i="20" s="1"/>
  <c r="O40" i="20" s="1"/>
  <c r="J38" i="20" a="1"/>
  <c r="L38" i="20" s="1"/>
  <c r="O38" i="20" s="1"/>
  <c r="J39" i="20" a="1"/>
  <c r="L39" i="20" s="1"/>
  <c r="O39" i="20" s="1"/>
  <c r="J30" i="20" a="1"/>
  <c r="L30" i="20" s="1"/>
  <c r="O30" i="20" s="1"/>
  <c r="J29" i="20" a="1"/>
  <c r="L29" i="20" s="1"/>
  <c r="O29" i="20" s="1"/>
  <c r="J28" i="20" a="1"/>
  <c r="L28" i="20" s="1"/>
  <c r="O28" i="20" s="1"/>
  <c r="J31" i="20" a="1"/>
  <c r="L31" i="20" s="1"/>
  <c r="O31" i="20" s="1"/>
  <c r="J46" i="20" a="1"/>
  <c r="L46" i="20" s="1"/>
  <c r="O46" i="20" s="1"/>
  <c r="J44" i="20" a="1"/>
  <c r="L44" i="20" s="1"/>
  <c r="O44" i="20" s="1"/>
  <c r="J45" i="20" a="1"/>
  <c r="L45" i="20" s="1"/>
  <c r="O45" i="20" s="1"/>
  <c r="J47" i="20" a="1"/>
  <c r="L47" i="20" s="1"/>
  <c r="O47" i="20" s="1"/>
  <c r="B4" i="15" a="1"/>
  <c r="B2" i="15" a="1"/>
  <c r="G44" i="20" l="1"/>
  <c r="G41" i="20"/>
  <c r="G38" i="20"/>
  <c r="G32" i="20"/>
  <c r="G25" i="20"/>
  <c r="G22" i="20"/>
  <c r="G28" i="20"/>
  <c r="H23" i="20"/>
  <c r="H24" i="20"/>
  <c r="H25" i="20"/>
  <c r="H26" i="20"/>
  <c r="H27" i="20"/>
  <c r="H38" i="20"/>
  <c r="H39" i="20"/>
  <c r="H40" i="20"/>
  <c r="H41" i="20"/>
  <c r="H42" i="20"/>
  <c r="H43" i="20"/>
  <c r="H29" i="20"/>
  <c r="H30" i="20"/>
  <c r="H31" i="20"/>
  <c r="H44" i="20"/>
  <c r="H45" i="20"/>
  <c r="H46" i="20"/>
  <c r="H47" i="20"/>
  <c r="H32" i="20"/>
  <c r="H33" i="20"/>
  <c r="H34" i="20"/>
  <c r="H35" i="20"/>
  <c r="H36" i="20"/>
  <c r="H37" i="20"/>
  <c r="H22" i="20"/>
  <c r="F18" i="20" a="1"/>
  <c r="G18" i="20" s="1"/>
  <c r="K18" i="20" a="1"/>
  <c r="M18" i="20" s="1"/>
  <c r="P18" i="20" s="1"/>
  <c r="J18" i="20" a="1"/>
  <c r="L18" i="20" s="1"/>
  <c r="O18" i="20" s="1"/>
  <c r="K17" i="20" a="1"/>
  <c r="M17" i="20" s="1"/>
  <c r="P17" i="20" s="1"/>
  <c r="J17" i="20" a="1"/>
  <c r="L17" i="20" s="1"/>
  <c r="O17" i="20" s="1"/>
  <c r="F17" i="20" a="1"/>
  <c r="G17" i="20" s="1"/>
  <c r="J16" i="20" a="1"/>
  <c r="L16" i="20" s="1"/>
  <c r="O16" i="20" s="1"/>
  <c r="K16" i="20" a="1"/>
  <c r="M16" i="20" s="1"/>
  <c r="P16" i="20" s="1"/>
  <c r="F16" i="20" a="1"/>
  <c r="G16" i="20" s="1"/>
  <c r="F15" i="20" a="1"/>
  <c r="G15" i="20" s="1"/>
  <c r="J15" i="20" a="1"/>
  <c r="L15" i="20" s="1"/>
  <c r="O15" i="20" s="1"/>
  <c r="K15" i="20" a="1"/>
  <c r="M15" i="20" s="1"/>
  <c r="P15" i="20" s="1"/>
  <c r="J14" i="20" a="1"/>
  <c r="L14" i="20" s="1"/>
  <c r="O14" i="20" s="1"/>
  <c r="K14" i="20" a="1"/>
  <c r="M14" i="20" s="1"/>
  <c r="P14" i="20" s="1"/>
  <c r="F14" i="20" a="1"/>
  <c r="G14" i="20" s="1"/>
  <c r="F13" i="20" a="1"/>
  <c r="G13" i="20" s="1"/>
  <c r="J13" i="20" a="1"/>
  <c r="L13" i="20" s="1"/>
  <c r="O13" i="20" s="1"/>
  <c r="K13" i="20" a="1"/>
  <c r="M13" i="20" s="1"/>
  <c r="P13" i="20" s="1"/>
  <c r="J12" i="20" a="1"/>
  <c r="K12" i="20" a="1"/>
  <c r="M12" i="20" s="1"/>
  <c r="P12" i="20" s="1"/>
  <c r="J11" i="20" a="1"/>
  <c r="K11" i="20" a="1"/>
  <c r="M11" i="20" s="1"/>
  <c r="P11" i="20" s="1"/>
  <c r="J10" i="20" a="1"/>
  <c r="L10" i="20" s="1"/>
  <c r="O10" i="20" s="1"/>
  <c r="K10" i="20" a="1"/>
  <c r="M10" i="20" s="1"/>
  <c r="P10" i="20" s="1"/>
  <c r="F10" i="20" a="1"/>
  <c r="G10" i="20" s="1"/>
  <c r="F9" i="20" a="1"/>
  <c r="G9" i="20" s="1"/>
  <c r="K9" i="20" a="1"/>
  <c r="M9" i="20" s="1"/>
  <c r="P9" i="20" s="1"/>
  <c r="J9" i="20" a="1"/>
  <c r="L9" i="20" s="1"/>
  <c r="O9" i="20" s="1"/>
  <c r="K8" i="20" a="1"/>
  <c r="M8" i="20" s="1"/>
  <c r="P8" i="20" s="1"/>
  <c r="J8" i="20" a="1"/>
  <c r="L8" i="20" s="1"/>
  <c r="O8" i="20" s="1"/>
  <c r="F8" i="20" a="1"/>
  <c r="G8" i="20" s="1"/>
  <c r="F7" i="20" a="1"/>
  <c r="G7" i="20" s="1"/>
  <c r="J7" i="20" a="1"/>
  <c r="L7" i="20" s="1"/>
  <c r="O7" i="20" s="1"/>
  <c r="K7" i="20" a="1"/>
  <c r="M7" i="20" s="1"/>
  <c r="P7" i="20" s="1"/>
  <c r="K6" i="20" a="1"/>
  <c r="M6" i="20" s="1"/>
  <c r="P6" i="20" s="1"/>
  <c r="F6" i="20" a="1"/>
  <c r="G6" i="20" s="1"/>
  <c r="J6" i="20" a="1"/>
  <c r="L6" i="20" s="1"/>
  <c r="O6" i="20" s="1"/>
  <c r="F5" i="20" a="1"/>
  <c r="J5" i="20" a="1"/>
  <c r="L5" i="20" s="1"/>
  <c r="O5" i="20" s="1"/>
  <c r="K5" i="20" a="1"/>
  <c r="M5" i="20" s="1"/>
  <c r="P5" i="20" s="1"/>
  <c r="J4" i="20" a="1"/>
  <c r="L4" i="20" s="1"/>
  <c r="O4" i="20" s="1"/>
  <c r="F4" i="20" a="1"/>
  <c r="G4" i="20" s="1"/>
  <c r="K4" i="20" a="1"/>
  <c r="M4" i="20" s="1"/>
  <c r="P4" i="20" s="1"/>
  <c r="J3" i="20" a="1"/>
  <c r="L3" i="20" s="1"/>
  <c r="O3" i="20" s="1"/>
  <c r="F3" i="20" a="1"/>
  <c r="G3" i="20" s="1"/>
  <c r="K3" i="20" a="1"/>
  <c r="M3" i="20" s="1"/>
  <c r="P3" i="20" s="1"/>
  <c r="H28" i="20"/>
  <c r="Q32" i="20"/>
  <c r="Q44" i="20"/>
  <c r="Q28" i="20"/>
  <c r="Q41" i="20"/>
  <c r="Q38" i="20"/>
  <c r="Q25" i="20"/>
  <c r="Q22" i="20"/>
  <c r="P34" i="20"/>
  <c r="P36" i="20"/>
  <c r="P35" i="20"/>
  <c r="P32" i="20"/>
  <c r="P33" i="20"/>
  <c r="P37" i="20"/>
  <c r="P26" i="20"/>
  <c r="P25" i="20"/>
  <c r="P27" i="20"/>
  <c r="P23" i="20"/>
  <c r="P22" i="20"/>
  <c r="P24" i="20"/>
  <c r="P43" i="20"/>
  <c r="P41" i="20"/>
  <c r="P42" i="20"/>
  <c r="P40" i="20"/>
  <c r="P38" i="20"/>
  <c r="P39" i="20"/>
  <c r="P30" i="20"/>
  <c r="P29" i="20"/>
  <c r="P28" i="20"/>
  <c r="P31" i="20"/>
  <c r="P44" i="20"/>
  <c r="P45" i="20"/>
  <c r="P46" i="20"/>
  <c r="P47" i="20"/>
  <c r="I22" i="20" l="1"/>
  <c r="L12" i="20"/>
  <c r="O12" i="20" s="1"/>
  <c r="Q11" i="20" s="1"/>
  <c r="R11" i="20" s="1"/>
  <c r="G12" i="20"/>
  <c r="L11" i="20"/>
  <c r="O11" i="20" s="1"/>
  <c r="S11" i="20" s="1"/>
  <c r="G11" i="20"/>
  <c r="S7" i="20"/>
  <c r="T7" i="20" s="1"/>
  <c r="Q7" i="20"/>
  <c r="R7" i="20" s="1"/>
  <c r="Q15" i="20"/>
  <c r="R15" i="20" s="1"/>
  <c r="Q13" i="20"/>
  <c r="R13" i="20" s="1"/>
  <c r="S3" i="20"/>
  <c r="T3" i="20" s="1"/>
  <c r="S9" i="20"/>
  <c r="T9" i="20" s="1"/>
  <c r="Q9" i="20"/>
  <c r="R9" i="20" s="1"/>
  <c r="S5" i="20"/>
  <c r="T5" i="20" s="1"/>
  <c r="Q5" i="20"/>
  <c r="R5" i="20" s="1"/>
  <c r="S17" i="20"/>
  <c r="T17" i="20" s="1"/>
  <c r="H18" i="20"/>
  <c r="H17" i="20"/>
  <c r="H16" i="20"/>
  <c r="H15" i="20"/>
  <c r="H14" i="20"/>
  <c r="H13" i="20"/>
  <c r="H12" i="20"/>
  <c r="H11" i="20"/>
  <c r="H10" i="20"/>
  <c r="H9" i="20"/>
  <c r="H8" i="20"/>
  <c r="H7" i="20"/>
  <c r="H6" i="20"/>
  <c r="H5" i="20"/>
  <c r="G5" i="20"/>
  <c r="H4" i="20"/>
  <c r="H3" i="20"/>
  <c r="I25" i="20"/>
  <c r="I38" i="20"/>
  <c r="I41" i="20"/>
  <c r="I44" i="20"/>
  <c r="I32" i="20"/>
  <c r="I28" i="20"/>
  <c r="S15" i="20"/>
  <c r="T15" i="20" s="1"/>
  <c r="S13" i="20"/>
  <c r="T13" i="20" s="1"/>
  <c r="Q17" i="20"/>
  <c r="R17" i="20" s="1"/>
  <c r="Q3" i="20"/>
  <c r="R3" i="20" s="1"/>
  <c r="R32" i="20"/>
  <c r="S32" i="20" s="1"/>
  <c r="T32" i="20" s="1"/>
  <c r="R44" i="20"/>
  <c r="S44" i="20" s="1"/>
  <c r="T44" i="20" s="1"/>
  <c r="R28" i="20"/>
  <c r="S28" i="20" s="1"/>
  <c r="T28" i="20" s="1"/>
  <c r="R41" i="20"/>
  <c r="S41" i="20" s="1"/>
  <c r="T41" i="20" s="1"/>
  <c r="R25" i="20"/>
  <c r="S25" i="20" s="1"/>
  <c r="T25" i="20" s="1"/>
  <c r="R38" i="20"/>
  <c r="S38" i="20" s="1"/>
  <c r="T38" i="20" s="1"/>
  <c r="R22" i="20"/>
  <c r="S22" i="20" s="1"/>
  <c r="T22" i="20" s="1"/>
  <c r="T11" i="20" l="1"/>
  <c r="X6" i="20"/>
  <c r="V6" i="20"/>
  <c r="U6" i="20"/>
  <c r="W6" i="20"/>
  <c r="I5" i="20"/>
  <c r="I9" i="20"/>
  <c r="U12" i="20"/>
  <c r="W12" i="20"/>
  <c r="U8" i="20"/>
  <c r="W8" i="20"/>
  <c r="I11" i="20"/>
  <c r="U10" i="20"/>
  <c r="W10" i="20"/>
  <c r="U4" i="20"/>
  <c r="W4" i="20"/>
  <c r="X8" i="20"/>
  <c r="V8" i="20"/>
  <c r="U35" i="20"/>
  <c r="V35" i="20" a="1"/>
  <c r="U30" i="20"/>
  <c r="V30" i="20" a="1"/>
  <c r="U26" i="20"/>
  <c r="V26" i="20" a="1"/>
  <c r="U23" i="20"/>
  <c r="V23" i="20" a="1"/>
  <c r="W14" i="20"/>
  <c r="U14" i="20"/>
  <c r="X10" i="20"/>
  <c r="V10" i="20"/>
  <c r="I13" i="20"/>
  <c r="X4" i="20"/>
  <c r="V4" i="20"/>
  <c r="I7" i="20"/>
  <c r="I17" i="20"/>
  <c r="I15" i="20"/>
  <c r="I3" i="20"/>
  <c r="V14" i="20"/>
  <c r="X14" i="20"/>
  <c r="X12" i="20" l="1"/>
  <c r="V12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<sst xmlns="http://schemas.openxmlformats.org/spreadsheetml/2006/main" count="1206" uniqueCount="172">
  <si>
    <t>IBKR</t>
  </si>
  <si>
    <t>my_pf_name</t>
  </si>
  <si>
    <t>my_fi_name</t>
  </si>
  <si>
    <t>VTEB</t>
  </si>
  <si>
    <t>MUB</t>
  </si>
  <si>
    <t>TRUE/FALSE</t>
  </si>
  <si>
    <t>SCHZ</t>
  </si>
  <si>
    <t>SPAB</t>
  </si>
  <si>
    <t>IUSB</t>
  </si>
  <si>
    <t>BND</t>
  </si>
  <si>
    <t>AGG</t>
  </si>
  <si>
    <t>moving_avg_days</t>
  </si>
  <si>
    <t>Keys</t>
  </si>
  <si>
    <t>Values</t>
  </si>
  <si>
    <t>anchor_fi</t>
  </si>
  <si>
    <t>SPHY</t>
  </si>
  <si>
    <t>SCYB</t>
  </si>
  <si>
    <t>HYLB</t>
  </si>
  <si>
    <t>USHY</t>
  </si>
  <si>
    <t>HYG</t>
  </si>
  <si>
    <t>JNK</t>
  </si>
  <si>
    <t>SPMB</t>
  </si>
  <si>
    <t>VMBS</t>
  </si>
  <si>
    <t>MBB</t>
  </si>
  <si>
    <t>TFI</t>
  </si>
  <si>
    <t>SPLB</t>
  </si>
  <si>
    <t>IGLB</t>
  </si>
  <si>
    <t>VCLT</t>
  </si>
  <si>
    <t>SPTL</t>
  </si>
  <si>
    <t>SCHQ</t>
  </si>
  <si>
    <t>TLT</t>
  </si>
  <si>
    <t>VGLT</t>
  </si>
  <si>
    <t>SPBO</t>
  </si>
  <si>
    <t>USIG</t>
  </si>
  <si>
    <t>VTC</t>
  </si>
  <si>
    <t>CORP</t>
  </si>
  <si>
    <t>pct</t>
  </si>
  <si>
    <t>multiplier</t>
  </si>
  <si>
    <t>trading_inputs_sheet</t>
  </si>
  <si>
    <t>$A$1</t>
  </si>
  <si>
    <t>my_prod_type</t>
  </si>
  <si>
    <t>size_screen_bid</t>
  </si>
  <si>
    <t>price_screen_bid</t>
  </si>
  <si>
    <t>price_screen_ask</t>
  </si>
  <si>
    <t>size_screen_ask</t>
  </si>
  <si>
    <t>price_screen_close</t>
  </si>
  <si>
    <t>time</t>
  </si>
  <si>
    <t>equity</t>
  </si>
  <si>
    <t>ANGL</t>
  </si>
  <si>
    <t>BNDX</t>
  </si>
  <si>
    <t>BWX</t>
  </si>
  <si>
    <t>CMF</t>
  </si>
  <si>
    <t>CWB</t>
  </si>
  <si>
    <t>EMB</t>
  </si>
  <si>
    <t>EMLC</t>
  </si>
  <si>
    <t>FALN</t>
  </si>
  <si>
    <t>IAGG</t>
  </si>
  <si>
    <t>ICVT</t>
  </si>
  <si>
    <t>IGOV</t>
  </si>
  <si>
    <t>LQD</t>
  </si>
  <si>
    <t>PCY</t>
  </si>
  <si>
    <t>PFF</t>
  </si>
  <si>
    <t>PFFD</t>
  </si>
  <si>
    <t>SCHH</t>
  </si>
  <si>
    <t>USRT</t>
  </si>
  <si>
    <t>VTEC</t>
  </si>
  <si>
    <t>VWOB</t>
  </si>
  <si>
    <t>position</t>
  </si>
  <si>
    <t>group</t>
  </si>
  <si>
    <t>symbol</t>
  </si>
  <si>
    <t>scalar</t>
  </si>
  <si>
    <t>bid w/ comm</t>
  </si>
  <si>
    <t>ask w/ comm</t>
  </si>
  <si>
    <t>best_unit_cf</t>
  </si>
  <si>
    <t>hit bid</t>
  </si>
  <si>
    <t>lift ask</t>
  </si>
  <si>
    <t>admin</t>
  </si>
  <si>
    <t>rows</t>
  </si>
  <si>
    <t>mkt data</t>
  </si>
  <si>
    <t>mkt prices</t>
  </si>
  <si>
    <t>bid</t>
  </si>
  <si>
    <t>ask</t>
  </si>
  <si>
    <t>unit cf</t>
  </si>
  <si>
    <t>current position</t>
  </si>
  <si>
    <t>shs</t>
  </si>
  <si>
    <t>net units</t>
  </si>
  <si>
    <t>buy_size</t>
  </si>
  <si>
    <t>sell_size</t>
  </si>
  <si>
    <t>profit_margin</t>
  </si>
  <si>
    <t>FIs_sheet</t>
  </si>
  <si>
    <t>FIs_table</t>
  </si>
  <si>
    <t>fi_inputs</t>
  </si>
  <si>
    <t>trading_inputs_download_cell</t>
  </si>
  <si>
    <t>$B$1</t>
  </si>
  <si>
    <t>trading_inputs_upload_cell</t>
  </si>
  <si>
    <t>margin</t>
  </si>
  <si>
    <t xml:space="preserve">last trade date: </t>
  </si>
  <si>
    <t xml:space="preserve">closing prices: </t>
  </si>
  <si>
    <t>2026-08-17_10-00-42</t>
  </si>
  <si>
    <t>net price</t>
  </si>
  <si>
    <t>research hurdles</t>
  </si>
  <si>
    <t>enter</t>
  </si>
  <si>
    <t>exit</t>
  </si>
  <si>
    <t>lift top/hit bottom</t>
  </si>
  <si>
    <t>hit top/lift bottom</t>
  </si>
  <si>
    <t>thresholds</t>
  </si>
  <si>
    <t>pair</t>
  </si>
  <si>
    <t>buy top</t>
  </si>
  <si>
    <t>sell top</t>
  </si>
  <si>
    <t>units</t>
  </si>
  <si>
    <t>$ val</t>
  </si>
  <si>
    <t>$val</t>
  </si>
  <si>
    <t>g_or_p</t>
  </si>
  <si>
    <t>buy_or_sell</t>
  </si>
  <si>
    <t>cd git-projects\trading\stat_arb</t>
  </si>
  <si>
    <t>python App_StatArb_Trade.py</t>
  </si>
  <si>
    <t>2026-08-28_12-36-36</t>
  </si>
  <si>
    <t>anchor</t>
  </si>
  <si>
    <t>FSTA</t>
  </si>
  <si>
    <t>VDC</t>
  </si>
  <si>
    <t>XLP</t>
  </si>
  <si>
    <t>FENY</t>
  </si>
  <si>
    <t>IYE</t>
  </si>
  <si>
    <t>VDE</t>
  </si>
  <si>
    <t>XLE</t>
  </si>
  <si>
    <t>IYF</t>
  </si>
  <si>
    <t>VFH</t>
  </si>
  <si>
    <t>XLF</t>
  </si>
  <si>
    <t>FHLC</t>
  </si>
  <si>
    <t>IYH</t>
  </si>
  <si>
    <t>VHT</t>
  </si>
  <si>
    <t>XLV</t>
  </si>
  <si>
    <t>FIDU</t>
  </si>
  <si>
    <t>XLI</t>
  </si>
  <si>
    <t>FREL</t>
  </si>
  <si>
    <t>IYR</t>
  </si>
  <si>
    <t>VNQ</t>
  </si>
  <si>
    <t>XLRE</t>
  </si>
  <si>
    <t>FTEC</t>
  </si>
  <si>
    <t>IYW</t>
  </si>
  <si>
    <t>VGT</t>
  </si>
  <si>
    <t>XLK</t>
  </si>
  <si>
    <t>FUTY</t>
  </si>
  <si>
    <t>IDU</t>
  </si>
  <si>
    <t>VPU</t>
  </si>
  <si>
    <t>XLU</t>
  </si>
  <si>
    <t>sector</t>
  </si>
  <si>
    <t>Agg</t>
  </si>
  <si>
    <t>Fallen Angels</t>
  </si>
  <si>
    <t>Corps</t>
  </si>
  <si>
    <t>EM Gov -US</t>
  </si>
  <si>
    <t>Intl Agg - Hedged</t>
  </si>
  <si>
    <t>Converts</t>
  </si>
  <si>
    <t>Intl Gov - Unhedged</t>
  </si>
  <si>
    <t>Hi Yld</t>
  </si>
  <si>
    <t>Mortgages</t>
  </si>
  <si>
    <t>Munis</t>
  </si>
  <si>
    <t>Prefs</t>
  </si>
  <si>
    <t>Long Term Tsy</t>
  </si>
  <si>
    <t>Long Term Corps</t>
  </si>
  <si>
    <t>Calif Munis</t>
  </si>
  <si>
    <t>Consumer Staples</t>
  </si>
  <si>
    <t>Energy</t>
  </si>
  <si>
    <t>Financials</t>
  </si>
  <si>
    <t>Healthcare</t>
  </si>
  <si>
    <t>Industrials</t>
  </si>
  <si>
    <t>Real Estate</t>
  </si>
  <si>
    <t>Technology</t>
  </si>
  <si>
    <t>Utilities</t>
  </si>
  <si>
    <t>Fixed Income</t>
  </si>
  <si>
    <t>Sector</t>
  </si>
  <si>
    <t>my_platform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</si>
</sst>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&quot;$&quot;* #,##0.0000_);_(&quot;$&quot;* \(#,##0.0000\);_(&quot;$&quot;* &quot;-&quot;??_);_(@_)"/>
    <numFmt numFmtId="166" formatCode="_(* #,##0_);_(* \(#,##0\);_(* &quot;-&quot;??_);_(@_)"/>
    <numFmt numFmtId="167" formatCode="_(&quot;$&quot;* #,##0.000_);_(&quot;$&quot;* \(#,##0.000\);_(&quot;$&quot;* &quot;-&quot;??_);_(@_)"/>
    <numFmt numFmtId="168" formatCode="0.000%"/>
    <numFmt numFmtId="169" formatCode="&quot;$&quot;#,##0.000"/>
    <numFmt numFmtId="170" formatCode="_(&quot;$&quot;* #,##0_);_(&quot;$&quot;* \(#,##0\);_(&quot;$&quot;* &quot;-&quot;??_);_(@_)"/>
    <numFmt numFmtId="171" formatCode="_(* #,##0.0_);_(* \(#,##0.0\);_(* &quot;-&quot;??_);_(@_)"/>
    <numFmt numFmtId="172" formatCode="_(* #,##0.0000_);_(* \(#,##0.0000\);_(* &quot;-&quot;????_);_(@_)"/>
  </numFmts>
  <fonts count="3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b/>
      <u/>
      <sz val="9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9"/>
      <color theme="0" tint="-0.499984740745262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u/>
      <sz val="11"/>
      <color theme="8"/>
      <name val="Aptos Narrow"/>
      <family val="2"/>
      <scheme val="minor"/>
    </font>
    <font>
      <b/>
      <sz val="11"/>
      <color theme="8"/>
      <name val="Aptos Narrow"/>
      <family val="2"/>
      <scheme val="minor"/>
    </font>
    <font>
      <b/>
      <sz val="11"/>
      <name val="Aptos Narrow"/>
      <family val="2"/>
      <scheme val="minor"/>
    </font>
    <font>
      <b/>
      <sz val="9"/>
      <color rgb="FF7030A0"/>
      <name val="Aptos Narrow"/>
      <family val="2"/>
      <scheme val="minor"/>
    </font>
    <font>
      <b/>
      <u/>
      <sz val="9"/>
      <color rgb="FF7030A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5" tint="-0.499984740745262"/>
      <name val="Aptos Narrow"/>
      <family val="2"/>
      <scheme val="minor"/>
    </font>
    <font>
      <b/>
      <u/>
      <sz val="9"/>
      <color theme="5" tint="-0.499984740745262"/>
      <name val="Aptos Narrow"/>
      <family val="2"/>
      <scheme val="minor"/>
    </font>
    <font>
      <strike/>
      <sz val="11"/>
      <color theme="0" tint="-0.499984740745262"/>
      <name val="Aptos Narrow"/>
      <family val="2"/>
      <scheme val="minor"/>
    </font>
    <font>
      <b/>
      <strike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  <font>
      <b/>
      <strike/>
      <sz val="11"/>
      <color rgb="FF7030A0"/>
      <name val="Aptos Narrow"/>
      <family val="2"/>
      <scheme val="minor"/>
    </font>
    <font>
      <strike/>
      <sz val="9"/>
      <color theme="1"/>
      <name val="Aptos Narrow"/>
      <family val="2"/>
      <scheme val="minor"/>
    </font>
    <font>
      <strike/>
      <sz val="11"/>
      <name val="Aptos Narrow"/>
      <family val="2"/>
      <scheme val="minor"/>
    </font>
    <font>
      <sz val="12"/>
      <color theme="1"/>
      <name val="Arial"/>
      <family val="2"/>
    </font>
    <font>
      <sz val="11"/>
      <color theme="4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60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4" fillId="0" borderId="0" xfId="0" applyFont="1"/>
    <xf numFmtId="164" fontId="0" fillId="0" borderId="0" xfId="3" applyNumberFormat="1" applyFont="1"/>
    <xf numFmtId="0" fontId="4" fillId="0" borderId="0" xfId="0" applyFont="1" applyAlignment="1">
      <alignment horizontal="left"/>
    </xf>
    <xf numFmtId="166" fontId="0" fillId="0" borderId="0" xfId="3" applyNumberFormat="1" applyFont="1"/>
    <xf numFmtId="0" fontId="5" fillId="0" borderId="0" xfId="0" applyFont="1"/>
    <xf numFmtId="7" fontId="3" fillId="0" borderId="0" xfId="0" applyNumberFormat="1" applyFont="1"/>
    <xf numFmtId="0" fontId="3" fillId="0" borderId="0" xfId="0" applyFont="1"/>
    <xf numFmtId="167" fontId="0" fillId="0" borderId="0" xfId="1" applyNumberFormat="1" applyFont="1"/>
    <xf numFmtId="0" fontId="6" fillId="0" borderId="0" xfId="0" applyFont="1"/>
    <xf numFmtId="0" fontId="7" fillId="0" borderId="0" xfId="0" applyFont="1"/>
    <xf numFmtId="0" fontId="10" fillId="0" borderId="0" xfId="0" applyFont="1"/>
    <xf numFmtId="167" fontId="0" fillId="0" borderId="0" xfId="0" applyNumberFormat="1"/>
    <xf numFmtId="0" fontId="8" fillId="0" borderId="0" xfId="0" applyFont="1" applyAlignment="1">
      <alignment horizontal="center"/>
    </xf>
    <xf numFmtId="167" fontId="10" fillId="0" borderId="0" xfId="1" applyNumberFormat="1" applyFont="1"/>
    <xf numFmtId="0" fontId="13" fillId="2" borderId="0" xfId="3" applyNumberFormat="1" applyFont="1" applyFill="1" applyAlignment="1">
      <alignment horizontal="center"/>
    </xf>
    <xf numFmtId="43" fontId="14" fillId="2" borderId="0" xfId="3" applyFont="1" applyFill="1" applyAlignment="1">
      <alignment horizontal="center"/>
    </xf>
    <xf numFmtId="0" fontId="10" fillId="0" borderId="1" xfId="0" applyFont="1" applyBorder="1"/>
    <xf numFmtId="0" fontId="10" fillId="0" borderId="2" xfId="0" applyFont="1" applyBorder="1"/>
    <xf numFmtId="0" fontId="6" fillId="0" borderId="2" xfId="0" applyFont="1" applyBorder="1"/>
    <xf numFmtId="167" fontId="10" fillId="0" borderId="2" xfId="1" applyNumberFormat="1" applyFont="1" applyBorder="1"/>
    <xf numFmtId="167" fontId="0" fillId="0" borderId="2" xfId="1" applyNumberFormat="1" applyFont="1" applyBorder="1"/>
    <xf numFmtId="0" fontId="10" fillId="0" borderId="4" xfId="0" applyFont="1" applyBorder="1"/>
    <xf numFmtId="167" fontId="10" fillId="0" borderId="0" xfId="1" applyNumberFormat="1" applyFont="1" applyBorder="1"/>
    <xf numFmtId="167" fontId="0" fillId="0" borderId="0" xfId="1" applyNumberFormat="1" applyFont="1" applyBorder="1"/>
    <xf numFmtId="0" fontId="10" fillId="0" borderId="6" xfId="0" applyFont="1" applyBorder="1"/>
    <xf numFmtId="0" fontId="10" fillId="0" borderId="7" xfId="0" applyFont="1" applyBorder="1"/>
    <xf numFmtId="0" fontId="6" fillId="0" borderId="7" xfId="0" applyFont="1" applyBorder="1"/>
    <xf numFmtId="167" fontId="10" fillId="0" borderId="7" xfId="1" applyNumberFormat="1" applyFont="1" applyBorder="1"/>
    <xf numFmtId="167" fontId="0" fillId="0" borderId="7" xfId="1" applyNumberFormat="1" applyFont="1" applyBorder="1"/>
    <xf numFmtId="0" fontId="4" fillId="2" borderId="0" xfId="1" applyNumberFormat="1" applyFont="1" applyFill="1" applyAlignment="1">
      <alignment horizontal="right"/>
    </xf>
    <xf numFmtId="165" fontId="0" fillId="2" borderId="0" xfId="1" applyNumberFormat="1" applyFont="1" applyFill="1"/>
    <xf numFmtId="166" fontId="15" fillId="0" borderId="0" xfId="3" applyNumberFormat="1" applyFont="1" applyAlignment="1">
      <alignment horizontal="right" vertical="center"/>
    </xf>
    <xf numFmtId="14" fontId="6" fillId="2" borderId="0" xfId="1" applyNumberFormat="1" applyFont="1" applyFill="1" applyAlignment="1">
      <alignment vertical="center"/>
    </xf>
    <xf numFmtId="0" fontId="15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/>
    </xf>
    <xf numFmtId="22" fontId="0" fillId="0" borderId="0" xfId="0" applyNumberFormat="1" applyAlignment="1">
      <alignment horizontal="center"/>
    </xf>
    <xf numFmtId="43" fontId="18" fillId="0" borderId="0" xfId="0" applyNumberFormat="1" applyFont="1"/>
    <xf numFmtId="0" fontId="18" fillId="0" borderId="0" xfId="0" applyFont="1"/>
    <xf numFmtId="166" fontId="18" fillId="0" borderId="2" xfId="3" applyNumberFormat="1" applyFont="1" applyBorder="1"/>
    <xf numFmtId="166" fontId="18" fillId="0" borderId="0" xfId="3" applyNumberFormat="1" applyFont="1" applyBorder="1"/>
    <xf numFmtId="166" fontId="18" fillId="0" borderId="7" xfId="3" applyNumberFormat="1" applyFont="1" applyBorder="1"/>
    <xf numFmtId="166" fontId="18" fillId="0" borderId="0" xfId="3" applyNumberFormat="1" applyFont="1"/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10" fillId="0" borderId="3" xfId="0" applyFont="1" applyBorder="1"/>
    <xf numFmtId="0" fontId="10" fillId="0" borderId="5" xfId="0" applyFont="1" applyBorder="1"/>
    <xf numFmtId="0" fontId="10" fillId="0" borderId="8" xfId="0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4" xfId="1" applyFont="1" applyBorder="1"/>
    <xf numFmtId="44" fontId="0" fillId="0" borderId="5" xfId="1" applyFont="1" applyBorder="1"/>
    <xf numFmtId="44" fontId="0" fillId="0" borderId="6" xfId="1" applyFont="1" applyBorder="1"/>
    <xf numFmtId="44" fontId="0" fillId="0" borderId="8" xfId="1" applyFont="1" applyBorder="1"/>
    <xf numFmtId="164" fontId="7" fillId="0" borderId="9" xfId="3" applyNumberFormat="1" applyFont="1" applyBorder="1"/>
    <xf numFmtId="0" fontId="8" fillId="0" borderId="4" xfId="0" applyFont="1" applyBorder="1" applyAlignment="1">
      <alignment horizontal="center"/>
    </xf>
    <xf numFmtId="167" fontId="8" fillId="0" borderId="0" xfId="0" applyNumberFormat="1" applyFont="1" applyAlignment="1">
      <alignment horizontal="center"/>
    </xf>
    <xf numFmtId="166" fontId="18" fillId="0" borderId="1" xfId="3" applyNumberFormat="1" applyFont="1" applyBorder="1"/>
    <xf numFmtId="166" fontId="18" fillId="0" borderId="4" xfId="3" applyNumberFormat="1" applyFont="1" applyBorder="1"/>
    <xf numFmtId="166" fontId="18" fillId="0" borderId="6" xfId="3" applyNumberFormat="1" applyFont="1" applyBorder="1"/>
    <xf numFmtId="167" fontId="7" fillId="0" borderId="1" xfId="1" applyNumberFormat="1" applyFont="1" applyBorder="1" applyAlignment="1">
      <alignment horizontal="center"/>
    </xf>
    <xf numFmtId="167" fontId="7" fillId="0" borderId="3" xfId="1" applyNumberFormat="1" applyFont="1" applyBorder="1" applyAlignment="1">
      <alignment horizontal="center"/>
    </xf>
    <xf numFmtId="167" fontId="7" fillId="0" borderId="2" xfId="1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7" fontId="8" fillId="0" borderId="0" xfId="1" applyNumberFormat="1" applyFont="1" applyFill="1" applyBorder="1" applyAlignment="1">
      <alignment horizontal="center"/>
    </xf>
    <xf numFmtId="164" fontId="6" fillId="0" borderId="9" xfId="3" applyNumberFormat="1" applyFont="1" applyBorder="1"/>
    <xf numFmtId="10" fontId="20" fillId="0" borderId="2" xfId="0" applyNumberFormat="1" applyFont="1" applyBorder="1"/>
    <xf numFmtId="164" fontId="6" fillId="0" borderId="11" xfId="3" applyNumberFormat="1" applyFont="1" applyBorder="1"/>
    <xf numFmtId="10" fontId="20" fillId="0" borderId="7" xfId="0" applyNumberFormat="1" applyFont="1" applyBorder="1"/>
    <xf numFmtId="164" fontId="6" fillId="0" borderId="10" xfId="3" applyNumberFormat="1" applyFont="1" applyBorder="1"/>
    <xf numFmtId="164" fontId="6" fillId="0" borderId="0" xfId="3" applyNumberFormat="1" applyFont="1"/>
    <xf numFmtId="166" fontId="21" fillId="0" borderId="0" xfId="3" applyNumberFormat="1" applyFont="1" applyAlignment="1">
      <alignment horizontal="center"/>
    </xf>
    <xf numFmtId="166" fontId="22" fillId="0" borderId="0" xfId="3" applyNumberFormat="1" applyFont="1" applyAlignment="1">
      <alignment horizontal="center"/>
    </xf>
    <xf numFmtId="0" fontId="22" fillId="0" borderId="0" xfId="0" applyFont="1" applyAlignment="1">
      <alignment horizontal="center"/>
    </xf>
    <xf numFmtId="10" fontId="0" fillId="2" borderId="0" xfId="0" applyNumberFormat="1" applyFill="1"/>
    <xf numFmtId="10" fontId="0" fillId="2" borderId="0" xfId="2" applyNumberFormat="1" applyFont="1" applyFill="1"/>
    <xf numFmtId="10" fontId="0" fillId="0" borderId="0" xfId="2" applyNumberFormat="1" applyFont="1" applyFill="1"/>
    <xf numFmtId="170" fontId="18" fillId="0" borderId="2" xfId="1" applyNumberFormat="1" applyFont="1" applyBorder="1"/>
    <xf numFmtId="170" fontId="18" fillId="0" borderId="0" xfId="1" applyNumberFormat="1" applyFont="1" applyBorder="1"/>
    <xf numFmtId="170" fontId="18" fillId="0" borderId="7" xfId="1" applyNumberFormat="1" applyFont="1" applyBorder="1"/>
    <xf numFmtId="170" fontId="6" fillId="0" borderId="0" xfId="1" applyNumberFormat="1" applyFont="1"/>
    <xf numFmtId="0" fontId="7" fillId="0" borderId="1" xfId="0" applyFont="1" applyBorder="1"/>
    <xf numFmtId="0" fontId="7" fillId="0" borderId="2" xfId="0" applyFont="1" applyBorder="1"/>
    <xf numFmtId="0" fontId="9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70" fontId="17" fillId="0" borderId="7" xfId="1" applyNumberFormat="1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0" fontId="17" fillId="0" borderId="8" xfId="0" applyFont="1" applyBorder="1" applyAlignment="1">
      <alignment horizontal="center"/>
    </xf>
    <xf numFmtId="44" fontId="8" fillId="0" borderId="6" xfId="1" applyFont="1" applyBorder="1" applyAlignment="1">
      <alignment horizontal="center"/>
    </xf>
    <xf numFmtId="44" fontId="8" fillId="0" borderId="8" xfId="1" applyFont="1" applyBorder="1" applyAlignment="1">
      <alignment horizontal="center"/>
    </xf>
    <xf numFmtId="167" fontId="9" fillId="0" borderId="7" xfId="1" applyNumberFormat="1" applyFont="1" applyBorder="1" applyAlignment="1">
      <alignment horizontal="center"/>
    </xf>
    <xf numFmtId="164" fontId="8" fillId="0" borderId="11" xfId="3" applyNumberFormat="1" applyFont="1" applyBorder="1" applyAlignment="1">
      <alignment horizontal="center"/>
    </xf>
    <xf numFmtId="167" fontId="8" fillId="0" borderId="7" xfId="1" applyNumberFormat="1" applyFont="1" applyBorder="1" applyAlignment="1">
      <alignment horizontal="center"/>
    </xf>
    <xf numFmtId="167" fontId="8" fillId="0" borderId="8" xfId="1" applyNumberFormat="1" applyFont="1" applyBorder="1" applyAlignment="1">
      <alignment horizontal="center"/>
    </xf>
    <xf numFmtId="0" fontId="11" fillId="0" borderId="1" xfId="0" applyFont="1" applyBorder="1"/>
    <xf numFmtId="167" fontId="8" fillId="0" borderId="4" xfId="1" applyNumberFormat="1" applyFont="1" applyFill="1" applyBorder="1" applyAlignment="1">
      <alignment horizontal="center"/>
    </xf>
    <xf numFmtId="167" fontId="8" fillId="0" borderId="5" xfId="1" applyNumberFormat="1" applyFont="1" applyFill="1" applyBorder="1" applyAlignment="1">
      <alignment horizontal="center"/>
    </xf>
    <xf numFmtId="10" fontId="20" fillId="0" borderId="1" xfId="0" applyNumberFormat="1" applyFont="1" applyBorder="1"/>
    <xf numFmtId="10" fontId="20" fillId="0" borderId="3" xfId="0" applyNumberFormat="1" applyFont="1" applyBorder="1"/>
    <xf numFmtId="10" fontId="20" fillId="0" borderId="6" xfId="0" applyNumberFormat="1" applyFont="1" applyBorder="1"/>
    <xf numFmtId="10" fontId="20" fillId="0" borderId="8" xfId="0" applyNumberFormat="1" applyFont="1" applyBorder="1"/>
    <xf numFmtId="166" fontId="17" fillId="0" borderId="7" xfId="3" applyNumberFormat="1" applyFont="1" applyBorder="1" applyAlignment="1">
      <alignment horizontal="center"/>
    </xf>
    <xf numFmtId="0" fontId="7" fillId="0" borderId="9" xfId="0" applyFont="1" applyBorder="1"/>
    <xf numFmtId="0" fontId="8" fillId="0" borderId="11" xfId="0" applyFont="1" applyBorder="1" applyAlignment="1">
      <alignment horizontal="center"/>
    </xf>
    <xf numFmtId="10" fontId="1" fillId="2" borderId="10" xfId="2" applyNumberFormat="1" applyFont="1" applyFill="1" applyBorder="1"/>
    <xf numFmtId="10" fontId="1" fillId="2" borderId="11" xfId="2" applyNumberFormat="1" applyFont="1" applyFill="1" applyBorder="1"/>
    <xf numFmtId="10" fontId="0" fillId="2" borderId="9" xfId="2" applyNumberFormat="1" applyFont="1" applyFill="1" applyBorder="1"/>
    <xf numFmtId="10" fontId="0" fillId="2" borderId="11" xfId="2" applyNumberFormat="1" applyFont="1" applyFill="1" applyBorder="1"/>
    <xf numFmtId="10" fontId="0" fillId="2" borderId="10" xfId="2" applyNumberFormat="1" applyFont="1" applyFill="1" applyBorder="1"/>
    <xf numFmtId="0" fontId="23" fillId="0" borderId="1" xfId="0" applyFont="1" applyBorder="1"/>
    <xf numFmtId="0" fontId="23" fillId="0" borderId="3" xfId="0" applyFont="1" applyBorder="1"/>
    <xf numFmtId="0" fontId="23" fillId="0" borderId="2" xfId="0" applyFont="1" applyBorder="1"/>
    <xf numFmtId="0" fontId="24" fillId="0" borderId="2" xfId="0" applyFont="1" applyBorder="1"/>
    <xf numFmtId="166" fontId="26" fillId="0" borderId="2" xfId="3" applyNumberFormat="1" applyFont="1" applyBorder="1"/>
    <xf numFmtId="170" fontId="26" fillId="0" borderId="2" xfId="1" applyNumberFormat="1" applyFont="1" applyBorder="1"/>
    <xf numFmtId="44" fontId="25" fillId="0" borderId="1" xfId="1" applyFont="1" applyBorder="1"/>
    <xf numFmtId="44" fontId="25" fillId="0" borderId="3" xfId="1" applyFont="1" applyBorder="1"/>
    <xf numFmtId="167" fontId="23" fillId="0" borderId="2" xfId="1" applyNumberFormat="1" applyFont="1" applyBorder="1"/>
    <xf numFmtId="164" fontId="24" fillId="0" borderId="9" xfId="3" applyNumberFormat="1" applyFont="1" applyBorder="1"/>
    <xf numFmtId="167" fontId="25" fillId="0" borderId="2" xfId="1" applyNumberFormat="1" applyFont="1" applyBorder="1"/>
    <xf numFmtId="10" fontId="27" fillId="0" borderId="1" xfId="0" applyNumberFormat="1" applyFont="1" applyBorder="1"/>
    <xf numFmtId="10" fontId="27" fillId="0" borderId="2" xfId="0" applyNumberFormat="1" applyFont="1" applyBorder="1"/>
    <xf numFmtId="10" fontId="27" fillId="0" borderId="3" xfId="0" applyNumberFormat="1" applyFont="1" applyBorder="1"/>
    <xf numFmtId="0" fontId="25" fillId="0" borderId="0" xfId="0" applyFont="1"/>
    <xf numFmtId="10" fontId="25" fillId="2" borderId="0" xfId="0" applyNumberFormat="1" applyFont="1" applyFill="1"/>
    <xf numFmtId="10" fontId="25" fillId="2" borderId="0" xfId="2" applyNumberFormat="1" applyFont="1" applyFill="1"/>
    <xf numFmtId="10" fontId="25" fillId="0" borderId="0" xfId="2" applyNumberFormat="1" applyFont="1" applyFill="1"/>
    <xf numFmtId="0" fontId="23" fillId="0" borderId="6" xfId="0" applyFont="1" applyBorder="1"/>
    <xf numFmtId="0" fontId="23" fillId="0" borderId="8" xfId="0" applyFont="1" applyBorder="1"/>
    <xf numFmtId="0" fontId="23" fillId="0" borderId="7" xfId="0" applyFont="1" applyBorder="1"/>
    <xf numFmtId="0" fontId="24" fillId="0" borderId="7" xfId="0" applyFont="1" applyBorder="1"/>
    <xf numFmtId="166" fontId="26" fillId="0" borderId="7" xfId="3" applyNumberFormat="1" applyFont="1" applyBorder="1"/>
    <xf numFmtId="170" fontId="26" fillId="0" borderId="7" xfId="1" applyNumberFormat="1" applyFont="1" applyBorder="1"/>
    <xf numFmtId="44" fontId="25" fillId="0" borderId="6" xfId="1" applyFont="1" applyBorder="1"/>
    <xf numFmtId="44" fontId="25" fillId="0" borderId="8" xfId="1" applyFont="1" applyBorder="1"/>
    <xf numFmtId="167" fontId="23" fillId="0" borderId="7" xfId="1" applyNumberFormat="1" applyFont="1" applyBorder="1"/>
    <xf numFmtId="164" fontId="24" fillId="0" borderId="11" xfId="3" applyNumberFormat="1" applyFont="1" applyBorder="1"/>
    <xf numFmtId="167" fontId="25" fillId="0" borderId="7" xfId="1" applyNumberFormat="1" applyFont="1" applyBorder="1"/>
    <xf numFmtId="10" fontId="27" fillId="0" borderId="6" xfId="0" applyNumberFormat="1" applyFont="1" applyBorder="1"/>
    <xf numFmtId="10" fontId="27" fillId="0" borderId="7" xfId="0" applyNumberFormat="1" applyFont="1" applyBorder="1"/>
    <xf numFmtId="10" fontId="27" fillId="0" borderId="8" xfId="0" applyNumberFormat="1" applyFont="1" applyBorder="1"/>
    <xf numFmtId="0" fontId="26" fillId="0" borderId="0" xfId="0" applyFont="1"/>
    <xf numFmtId="0" fontId="25" fillId="0" borderId="0" xfId="0" applyFont="1" applyAlignment="1">
      <alignment horizontal="center"/>
    </xf>
    <xf numFmtId="0" fontId="23" fillId="0" borderId="4" xfId="0" applyFont="1" applyBorder="1"/>
    <xf numFmtId="0" fontId="23" fillId="0" borderId="5" xfId="0" applyFont="1" applyBorder="1"/>
    <xf numFmtId="0" fontId="23" fillId="0" borderId="0" xfId="0" applyFont="1"/>
    <xf numFmtId="0" fontId="24" fillId="0" borderId="0" xfId="0" applyFont="1"/>
    <xf numFmtId="166" fontId="26" fillId="0" borderId="0" xfId="3" applyNumberFormat="1" applyFont="1" applyBorder="1"/>
    <xf numFmtId="170" fontId="26" fillId="0" borderId="0" xfId="1" applyNumberFormat="1" applyFont="1" applyBorder="1"/>
    <xf numFmtId="44" fontId="25" fillId="0" borderId="4" xfId="1" applyFont="1" applyBorder="1"/>
    <xf numFmtId="44" fontId="25" fillId="0" borderId="5" xfId="1" applyFont="1" applyBorder="1"/>
    <xf numFmtId="167" fontId="23" fillId="0" borderId="0" xfId="1" applyNumberFormat="1" applyFont="1" applyBorder="1"/>
    <xf numFmtId="164" fontId="24" fillId="0" borderId="10" xfId="3" applyNumberFormat="1" applyFont="1" applyBorder="1"/>
    <xf numFmtId="167" fontId="25" fillId="0" borderId="0" xfId="1" applyNumberFormat="1" applyFont="1" applyBorder="1"/>
    <xf numFmtId="0" fontId="7" fillId="0" borderId="3" xfId="0" applyFont="1" applyBorder="1"/>
    <xf numFmtId="166" fontId="19" fillId="0" borderId="4" xfId="3" applyNumberFormat="1" applyFont="1" applyBorder="1"/>
    <xf numFmtId="0" fontId="19" fillId="0" borderId="5" xfId="0" applyFont="1" applyBorder="1"/>
    <xf numFmtId="0" fontId="18" fillId="0" borderId="5" xfId="0" applyFont="1" applyBorder="1"/>
    <xf numFmtId="166" fontId="26" fillId="0" borderId="4" xfId="3" applyNumberFormat="1" applyFont="1" applyBorder="1"/>
    <xf numFmtId="0" fontId="26" fillId="0" borderId="5" xfId="0" applyFont="1" applyBorder="1"/>
    <xf numFmtId="166" fontId="26" fillId="0" borderId="6" xfId="3" applyNumberFormat="1" applyFont="1" applyBorder="1"/>
    <xf numFmtId="0" fontId="26" fillId="0" borderId="8" xfId="0" applyFont="1" applyBorder="1"/>
    <xf numFmtId="10" fontId="25" fillId="0" borderId="9" xfId="2" applyNumberFormat="1" applyFont="1" applyFill="1" applyBorder="1"/>
    <xf numFmtId="10" fontId="25" fillId="0" borderId="10" xfId="2" applyNumberFormat="1" applyFont="1" applyFill="1" applyBorder="1"/>
    <xf numFmtId="10" fontId="25" fillId="0" borderId="11" xfId="2" applyNumberFormat="1" applyFont="1" applyFill="1" applyBorder="1"/>
    <xf numFmtId="0" fontId="18" fillId="0" borderId="3" xfId="0" applyFont="1" applyBorder="1"/>
    <xf numFmtId="0" fontId="18" fillId="0" borderId="8" xfId="0" applyFont="1" applyBorder="1"/>
    <xf numFmtId="10" fontId="20" fillId="0" borderId="4" xfId="0" applyNumberFormat="1" applyFont="1" applyBorder="1"/>
    <xf numFmtId="10" fontId="20" fillId="0" borderId="5" xfId="0" applyNumberFormat="1" applyFont="1" applyBorder="1"/>
    <xf numFmtId="0" fontId="4" fillId="2" borderId="0" xfId="1" applyNumberFormat="1" applyFont="1" applyFill="1" applyAlignment="1">
      <alignment horizontal="center"/>
    </xf>
    <xf numFmtId="165" fontId="0" fillId="2" borderId="0" xfId="1" applyNumberFormat="1" applyFont="1" applyFill="1" applyAlignment="1">
      <alignment horizontal="center"/>
    </xf>
    <xf numFmtId="43" fontId="4" fillId="2" borderId="0" xfId="3" applyFont="1" applyFill="1" applyAlignment="1">
      <alignment horizontal="center"/>
    </xf>
    <xf numFmtId="43" fontId="0" fillId="2" borderId="0" xfId="3" applyFont="1" applyFill="1" applyAlignment="1">
      <alignment horizontal="center"/>
    </xf>
    <xf numFmtId="0" fontId="0" fillId="2" borderId="0" xfId="0" applyFill="1" applyAlignment="1">
      <alignment horizontal="center"/>
    </xf>
    <xf numFmtId="0" fontId="29" fillId="3" borderId="9" xfId="0" applyFont="1" applyFill="1" applyBorder="1"/>
    <xf numFmtId="0" fontId="29" fillId="3" borderId="11" xfId="0" applyFont="1" applyFill="1" applyBorder="1"/>
    <xf numFmtId="171" fontId="4" fillId="2" borderId="0" xfId="3" applyNumberFormat="1" applyFont="1" applyFill="1" applyAlignment="1">
      <alignment horizontal="right"/>
    </xf>
    <xf numFmtId="171" fontId="0" fillId="2" borderId="0" xfId="3" applyNumberFormat="1" applyFont="1" applyFill="1"/>
    <xf numFmtId="43" fontId="0" fillId="0" borderId="0" xfId="0" applyNumberFormat="1"/>
    <xf numFmtId="43" fontId="3" fillId="0" borderId="0" xfId="0" applyNumberFormat="1" applyFont="1"/>
    <xf numFmtId="0" fontId="30" fillId="0" borderId="0" xfId="0" applyFont="1"/>
    <xf numFmtId="43" fontId="30" fillId="0" borderId="0" xfId="0" applyNumberFormat="1" applyFont="1"/>
    <xf numFmtId="43" fontId="18" fillId="0" borderId="3" xfId="0" applyNumberFormat="1" applyFont="1" applyBorder="1" applyAlignment="1">
      <alignment horizontal="center" vertical="center"/>
    </xf>
    <xf numFmtId="43" fontId="18" fillId="0" borderId="8" xfId="0" applyNumberFormat="1" applyFont="1" applyBorder="1" applyAlignment="1">
      <alignment horizontal="center" vertical="center"/>
    </xf>
    <xf numFmtId="43" fontId="26" fillId="0" borderId="3" xfId="0" applyNumberFormat="1" applyFont="1" applyBorder="1" applyAlignment="1">
      <alignment horizontal="center" vertical="center"/>
    </xf>
    <xf numFmtId="43" fontId="26" fillId="0" borderId="8" xfId="0" applyNumberFormat="1" applyFont="1" applyBorder="1" applyAlignment="1">
      <alignment horizontal="center" vertical="center"/>
    </xf>
    <xf numFmtId="167" fontId="25" fillId="0" borderId="1" xfId="0" applyNumberFormat="1" applyFont="1" applyBorder="1" applyAlignment="1">
      <alignment vertical="center"/>
    </xf>
    <xf numFmtId="0" fontId="25" fillId="0" borderId="6" xfId="0" applyFont="1" applyBorder="1" applyAlignment="1">
      <alignment vertical="center"/>
    </xf>
    <xf numFmtId="168" fontId="25" fillId="0" borderId="3" xfId="2" applyNumberFormat="1" applyFont="1" applyFill="1" applyBorder="1" applyAlignment="1">
      <alignment vertical="center"/>
    </xf>
    <xf numFmtId="168" fontId="25" fillId="0" borderId="8" xfId="2" applyNumberFormat="1" applyFont="1" applyFill="1" applyBorder="1" applyAlignment="1">
      <alignment vertical="center"/>
    </xf>
    <xf numFmtId="166" fontId="21" fillId="0" borderId="0" xfId="3" applyNumberFormat="1" applyFont="1" applyAlignment="1">
      <alignment horizontal="center"/>
    </xf>
    <xf numFmtId="43" fontId="26" fillId="0" borderId="3" xfId="0" applyNumberFormat="1" applyFont="1" applyBorder="1" applyAlignment="1">
      <alignment vertical="center"/>
    </xf>
    <xf numFmtId="43" fontId="26" fillId="0" borderId="8" xfId="0" applyNumberFormat="1" applyFont="1" applyBorder="1" applyAlignment="1">
      <alignment vertical="center"/>
    </xf>
    <xf numFmtId="167" fontId="0" fillId="0" borderId="1" xfId="0" applyNumberFormat="1" applyBorder="1" applyAlignment="1">
      <alignment vertical="center"/>
    </xf>
    <xf numFmtId="0" fontId="0" fillId="0" borderId="6" xfId="0" applyBorder="1" applyAlignment="1">
      <alignment vertical="center"/>
    </xf>
    <xf numFmtId="168" fontId="0" fillId="0" borderId="3" xfId="2" applyNumberFormat="1" applyFont="1" applyFill="1" applyBorder="1" applyAlignment="1">
      <alignment vertical="center"/>
    </xf>
    <xf numFmtId="168" fontId="0" fillId="0" borderId="8" xfId="2" applyNumberFormat="1" applyFont="1" applyFill="1" applyBorder="1" applyAlignment="1">
      <alignment vertical="center"/>
    </xf>
    <xf numFmtId="43" fontId="18" fillId="0" borderId="3" xfId="3" applyFont="1" applyBorder="1" applyAlignment="1">
      <alignment vertical="center"/>
    </xf>
    <xf numFmtId="43" fontId="18" fillId="0" borderId="8" xfId="3" applyFont="1" applyBorder="1" applyAlignment="1">
      <alignment vertical="center"/>
    </xf>
    <xf numFmtId="43" fontId="18" fillId="0" borderId="3" xfId="0" applyNumberFormat="1" applyFont="1" applyBorder="1" applyAlignment="1">
      <alignment vertical="center"/>
    </xf>
    <xf numFmtId="43" fontId="18" fillId="0" borderId="8" xfId="0" applyNumberFormat="1" applyFont="1" applyBorder="1" applyAlignment="1">
      <alignment vertic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166" fontId="16" fillId="0" borderId="2" xfId="3" applyNumberFormat="1" applyFont="1" applyBorder="1" applyAlignment="1">
      <alignment horizontal="center"/>
    </xf>
    <xf numFmtId="166" fontId="16" fillId="0" borderId="3" xfId="3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44" fontId="7" fillId="0" borderId="1" xfId="1" applyFont="1" applyBorder="1" applyAlignment="1">
      <alignment horizontal="center"/>
    </xf>
    <xf numFmtId="44" fontId="7" fillId="0" borderId="3" xfId="1" applyFont="1" applyBorder="1" applyAlignment="1">
      <alignment horizontal="center"/>
    </xf>
    <xf numFmtId="169" fontId="11" fillId="0" borderId="2" xfId="1" applyNumberFormat="1" applyFont="1" applyBorder="1" applyAlignment="1">
      <alignment horizontal="center"/>
    </xf>
    <xf numFmtId="167" fontId="7" fillId="0" borderId="2" xfId="1" applyNumberFormat="1" applyFont="1" applyBorder="1" applyAlignment="1">
      <alignment horizontal="center"/>
    </xf>
    <xf numFmtId="167" fontId="7" fillId="0" borderId="3" xfId="1" applyNumberFormat="1" applyFont="1" applyBorder="1" applyAlignment="1">
      <alignment horizontal="center"/>
    </xf>
    <xf numFmtId="167" fontId="7" fillId="0" borderId="1" xfId="1" applyNumberFormat="1" applyFont="1" applyBorder="1" applyAlignment="1">
      <alignment horizontal="center"/>
    </xf>
    <xf numFmtId="168" fontId="0" fillId="0" borderId="5" xfId="2" applyNumberFormat="1" applyFont="1" applyFill="1" applyBorder="1" applyAlignment="1">
      <alignment vertical="center"/>
    </xf>
    <xf numFmtId="167" fontId="25" fillId="0" borderId="2" xfId="0" applyNumberFormat="1" applyFont="1" applyBorder="1" applyAlignment="1">
      <alignment vertical="center"/>
    </xf>
    <xf numFmtId="167" fontId="25" fillId="0" borderId="0" xfId="0" applyNumberFormat="1" applyFont="1" applyAlignment="1">
      <alignment vertical="center"/>
    </xf>
    <xf numFmtId="167" fontId="25" fillId="0" borderId="7" xfId="0" applyNumberFormat="1" applyFont="1" applyBorder="1" applyAlignment="1">
      <alignment vertical="center"/>
    </xf>
    <xf numFmtId="168" fontId="25" fillId="0" borderId="5" xfId="2" applyNumberFormat="1" applyFont="1" applyFill="1" applyBorder="1" applyAlignment="1">
      <alignment vertical="center"/>
    </xf>
    <xf numFmtId="43" fontId="18" fillId="0" borderId="5" xfId="0" applyNumberFormat="1" applyFont="1" applyBorder="1" applyAlignment="1">
      <alignment horizontal="center" vertical="center"/>
    </xf>
    <xf numFmtId="10" fontId="19" fillId="2" borderId="1" xfId="2" applyNumberFormat="1" applyFont="1" applyFill="1" applyBorder="1" applyAlignment="1">
      <alignment horizontal="center" vertical="center"/>
    </xf>
    <xf numFmtId="10" fontId="19" fillId="2" borderId="4" xfId="2" applyNumberFormat="1" applyFont="1" applyFill="1" applyBorder="1" applyAlignment="1">
      <alignment horizontal="center" vertical="center"/>
    </xf>
    <xf numFmtId="10" fontId="19" fillId="2" borderId="6" xfId="2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horizontal="center" vertical="center"/>
    </xf>
    <xf numFmtId="10" fontId="28" fillId="2" borderId="4" xfId="2" applyNumberFormat="1" applyFont="1" applyFill="1" applyBorder="1" applyAlignment="1">
      <alignment horizontal="center" vertical="center"/>
    </xf>
    <xf numFmtId="10" fontId="28" fillId="2" borderId="6" xfId="2" applyNumberFormat="1" applyFont="1" applyFill="1" applyBorder="1" applyAlignment="1">
      <alignment horizontal="center" vertical="center"/>
    </xf>
    <xf numFmtId="167" fontId="25" fillId="0" borderId="4" xfId="0" applyNumberFormat="1" applyFont="1" applyBorder="1" applyAlignment="1">
      <alignment vertical="center"/>
    </xf>
    <xf numFmtId="167" fontId="25" fillId="0" borderId="6" xfId="0" applyNumberFormat="1" applyFont="1" applyBorder="1" applyAlignment="1">
      <alignment vertical="center"/>
    </xf>
    <xf numFmtId="0" fontId="12" fillId="0" borderId="2" xfId="0" applyFont="1" applyBorder="1" applyAlignment="1">
      <alignment horizontal="center"/>
    </xf>
    <xf numFmtId="167" fontId="0" fillId="0" borderId="4" xfId="0" applyNumberFormat="1" applyBorder="1" applyAlignment="1">
      <alignment vertical="center"/>
    </xf>
    <xf numFmtId="167" fontId="0" fillId="0" borderId="6" xfId="0" applyNumberFormat="1" applyBorder="1" applyAlignment="1">
      <alignment vertical="center"/>
    </xf>
    <xf numFmtId="0" fontId="25" fillId="0" borderId="0" xfId="0" applyFont="1" applyAlignment="1">
      <alignment vertical="center"/>
    </xf>
    <xf numFmtId="0" fontId="25" fillId="0" borderId="7" xfId="0" applyFont="1" applyBorder="1" applyAlignment="1">
      <alignment vertical="center"/>
    </xf>
    <xf numFmtId="0" fontId="0" fillId="0" borderId="4" xfId="0" applyBorder="1" applyAlignment="1">
      <alignment vertical="center"/>
    </xf>
    <xf numFmtId="167" fontId="0" fillId="0" borderId="2" xfId="0" applyNumberFormat="1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167" fontId="0" fillId="0" borderId="0" xfId="0" applyNumberFormat="1" applyAlignment="1">
      <alignment vertical="center"/>
    </xf>
    <xf numFmtId="167" fontId="0" fillId="0" borderId="7" xfId="0" applyNumberFormat="1" applyBorder="1" applyAlignment="1">
      <alignment vertical="center"/>
    </xf>
    <xf numFmtId="0" fontId="25" fillId="0" borderId="4" xfId="0" applyFont="1" applyBorder="1" applyAlignment="1">
      <alignment vertical="center"/>
    </xf>
    <xf numFmtId="43" fontId="26" fillId="0" borderId="3" xfId="3" applyFont="1" applyBorder="1" applyAlignment="1">
      <alignment vertical="center"/>
    </xf>
    <xf numFmtId="43" fontId="26" fillId="0" borderId="5" xfId="3" applyFont="1" applyBorder="1" applyAlignment="1">
      <alignment vertical="center"/>
    </xf>
    <xf numFmtId="43" fontId="26" fillId="0" borderId="8" xfId="3" applyFont="1" applyBorder="1" applyAlignment="1">
      <alignment vertical="center"/>
    </xf>
    <xf numFmtId="0" fontId="8" fillId="0" borderId="0" xfId="0" applyFont="1" applyAlignment="1">
      <alignment horizontal="center"/>
    </xf>
    <xf numFmtId="43" fontId="26" fillId="0" borderId="5" xfId="0" applyNumberFormat="1" applyFont="1" applyBorder="1" applyAlignment="1">
      <alignment vertical="center"/>
    </xf>
    <xf numFmtId="43" fontId="18" fillId="0" borderId="5" xfId="3" applyFont="1" applyBorder="1" applyAlignment="1">
      <alignment vertical="center"/>
    </xf>
    <xf numFmtId="43" fontId="18" fillId="0" borderId="5" xfId="0" applyNumberFormat="1" applyFont="1" applyBorder="1" applyAlignment="1">
      <alignment vertical="center"/>
    </xf>
    <xf numFmtId="0" fontId="7" fillId="0" borderId="2" xfId="0" applyFont="1" applyBorder="1" applyAlignment="1">
      <alignment horizontal="center"/>
    </xf>
    <xf numFmtId="10" fontId="19" fillId="2" borderId="3" xfId="2" applyNumberFormat="1" applyFont="1" applyFill="1" applyBorder="1" applyAlignment="1">
      <alignment horizontal="center" vertical="center"/>
    </xf>
    <xf numFmtId="10" fontId="19" fillId="2" borderId="5" xfId="2" applyNumberFormat="1" applyFont="1" applyFill="1" applyBorder="1" applyAlignment="1">
      <alignment horizontal="center" vertical="center"/>
    </xf>
    <xf numFmtId="10" fontId="19" fillId="2" borderId="8" xfId="2" applyNumberFormat="1" applyFont="1" applyFill="1" applyBorder="1" applyAlignment="1">
      <alignment horizontal="center" vertical="center"/>
    </xf>
    <xf numFmtId="10" fontId="28" fillId="2" borderId="3" xfId="2" applyNumberFormat="1" applyFont="1" applyFill="1" applyBorder="1" applyAlignment="1">
      <alignment horizontal="center" vertical="center"/>
    </xf>
    <xf numFmtId="10" fontId="28" fillId="2" borderId="5" xfId="2" applyNumberFormat="1" applyFont="1" applyFill="1" applyBorder="1" applyAlignment="1">
      <alignment horizontal="center" vertical="center"/>
    </xf>
    <xf numFmtId="10" fontId="28" fillId="2" borderId="8" xfId="2" applyNumberFormat="1" applyFont="1" applyFill="1" applyBorder="1" applyAlignment="1">
      <alignment horizontal="center" vertical="center"/>
    </xf>
    <xf numFmtId="172" fontId="0" fillId="0" borderId="0" xfId="0" applyNumberFormat="1"/>
    <xf numFmtId="172" fontId="0" fillId="2" borderId="0" xfId="0" applyNumberFormat="1" applyFill="1"/>
    <xf numFmtId="0" fontId="0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4" fillId="0" borderId="0" xfId="0" applyFont="1" applyAlignment="1">
      <alignment horizontal="center"/>
    </xf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4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</font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161925</xdr:rowOff>
    </xdr:from>
    <xdr:to>
      <xdr:col>3</xdr:col>
      <xdr:colOff>1114425</xdr:colOff>
      <xdr:row>4</xdr:row>
      <xdr:rowOff>85725</xdr:rowOff>
    </xdr:to>
    <xdr:sp macro="[0]!UpdateMultipliersGroup" textlink="">
      <xdr:nvSpPr>
        <xdr:cNvPr id="2" name="Rectangle 1">
          <a:extLst>
            <a:ext uri="{FF2B5EF4-FFF2-40B4-BE49-F238E27FC236}">
              <a16:creationId xmlns:a16="http://schemas.microsoft.com/office/drawing/2014/main" id="{677D85F0-62B1-2EFC-2A3C-1AC9205685BF}"/>
            </a:ext>
          </a:extLst>
        </xdr:cNvPr>
        <xdr:cNvSpPr/>
      </xdr:nvSpPr>
      <xdr:spPr>
        <a:xfrm>
          <a:off x="3895725" y="161925"/>
          <a:ext cx="914400" cy="6858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Multipliers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icha\git-projects\trading\spreadsheets\2026%20Fin%20Inst%20Database.xlsx" TargetMode="External"/><Relationship Id="rId1" Type="http://schemas.openxmlformats.org/officeDocument/2006/relationships/externalLinkPath" Target="2026%20Fin%20Inst%20Data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ADME"/>
      <sheetName val="Static Data Table"/>
      <sheetName val="Scalar Inputs Table"/>
      <sheetName val="Mkt Data Streaming Inputs"/>
      <sheetName val="SECTOR ETFs"/>
      <sheetName val="Venue Tables"/>
    </sheetNames>
    <sheetDataSet>
      <sheetData sheetId="0"/>
      <sheetData sheetId="1"/>
      <sheetData sheetId="2">
        <row r="1">
          <cell r="D1" t="str">
            <v>symbol</v>
          </cell>
        </row>
        <row r="2">
          <cell r="D2" t="str">
            <v>AGG</v>
          </cell>
          <cell r="H2">
            <v>0.33756999999999998</v>
          </cell>
        </row>
        <row r="3">
          <cell r="D3" t="str">
            <v>BND</v>
          </cell>
          <cell r="H3">
            <v>0.25155</v>
          </cell>
        </row>
        <row r="4">
          <cell r="D4" t="str">
            <v>SCHZ</v>
          </cell>
          <cell r="H4">
            <v>8.7999999999999995E-2</v>
          </cell>
        </row>
        <row r="5">
          <cell r="D5" t="str">
            <v>SPAB</v>
          </cell>
          <cell r="H5">
            <v>8.8980000000000004E-2</v>
          </cell>
        </row>
        <row r="6">
          <cell r="D6" t="str">
            <v>CMF</v>
          </cell>
        </row>
        <row r="7">
          <cell r="D7" t="str">
            <v>VTEC</v>
          </cell>
        </row>
        <row r="8">
          <cell r="D8" t="str">
            <v>CWB</v>
          </cell>
          <cell r="H8">
            <v>0.21054</v>
          </cell>
        </row>
        <row r="9">
          <cell r="D9" t="str">
            <v>ICVT</v>
          </cell>
          <cell r="H9">
            <v>0.13896</v>
          </cell>
        </row>
        <row r="10">
          <cell r="D10" t="str">
            <v>CORP</v>
          </cell>
          <cell r="H10">
            <v>0.43</v>
          </cell>
        </row>
        <row r="11">
          <cell r="D11" t="str">
            <v>SPBO</v>
          </cell>
          <cell r="H11">
            <v>0.12334000000000001</v>
          </cell>
        </row>
        <row r="12">
          <cell r="D12" t="str">
            <v>USIG</v>
          </cell>
          <cell r="H12">
            <v>0.20637</v>
          </cell>
        </row>
        <row r="13">
          <cell r="D13" t="str">
            <v>VTC</v>
          </cell>
          <cell r="H13">
            <v>0.32619999999999999</v>
          </cell>
        </row>
        <row r="14">
          <cell r="D14" t="str">
            <v>EMB</v>
          </cell>
          <cell r="H14">
            <v>0.41359000000000001</v>
          </cell>
        </row>
        <row r="15">
          <cell r="D15" t="str">
            <v>VWOB</v>
          </cell>
          <cell r="H15">
            <v>0.34660000000000002</v>
          </cell>
        </row>
        <row r="16">
          <cell r="D16" t="str">
            <v>ANGL</v>
          </cell>
          <cell r="H16">
            <v>0.16839999999999999</v>
          </cell>
        </row>
        <row r="17">
          <cell r="D17" t="str">
            <v>FALN</v>
          </cell>
          <cell r="H17">
            <v>0.14807000000000001</v>
          </cell>
        </row>
        <row r="18">
          <cell r="D18" t="str">
            <v>HYG</v>
          </cell>
          <cell r="H18">
            <v>0.38429000000000002</v>
          </cell>
        </row>
        <row r="19">
          <cell r="D19" t="str">
            <v>HYLB</v>
          </cell>
          <cell r="H19">
            <v>0.20161999999999999</v>
          </cell>
        </row>
        <row r="20">
          <cell r="D20" t="str">
            <v>JNK</v>
          </cell>
          <cell r="H20">
            <v>0.52717999999999998</v>
          </cell>
        </row>
        <row r="21">
          <cell r="D21" t="str">
            <v>SCYB</v>
          </cell>
          <cell r="H21">
            <v>0.1547</v>
          </cell>
        </row>
        <row r="22">
          <cell r="D22" t="str">
            <v>SPHY</v>
          </cell>
          <cell r="H22">
            <v>0.13564999999999999</v>
          </cell>
        </row>
        <row r="23">
          <cell r="D23" t="str">
            <v>USHY</v>
          </cell>
          <cell r="H23">
            <v>0.21290000000000001</v>
          </cell>
        </row>
        <row r="24">
          <cell r="D24" t="str">
            <v>BNDX</v>
          </cell>
          <cell r="H24">
            <v>0.11849999999999999</v>
          </cell>
        </row>
        <row r="25">
          <cell r="D25" t="str">
            <v>IAGG</v>
          </cell>
          <cell r="H25">
            <v>0</v>
          </cell>
        </row>
        <row r="26">
          <cell r="D26" t="str">
            <v>BWX</v>
          </cell>
        </row>
        <row r="27">
          <cell r="D27" t="str">
            <v>IGOV</v>
          </cell>
          <cell r="H27">
            <v>0</v>
          </cell>
        </row>
        <row r="28">
          <cell r="D28" t="str">
            <v>IGLB</v>
          </cell>
          <cell r="H28">
            <v>0.20477999999999999</v>
          </cell>
        </row>
        <row r="29">
          <cell r="D29" t="str">
            <v>SPLB</v>
          </cell>
          <cell r="H29">
            <v>0.10152</v>
          </cell>
        </row>
        <row r="30">
          <cell r="D30" t="str">
            <v>VCLT</v>
          </cell>
          <cell r="H30">
            <v>0.35020000000000001</v>
          </cell>
        </row>
        <row r="31">
          <cell r="D31" t="str">
            <v>SCHQ</v>
          </cell>
          <cell r="H31">
            <v>0.127</v>
          </cell>
        </row>
        <row r="32">
          <cell r="D32" t="str">
            <v>SPTL</v>
          </cell>
          <cell r="H32">
            <v>9.3149999999999997E-2</v>
          </cell>
        </row>
        <row r="33">
          <cell r="D33" t="str">
            <v>VGLT</v>
          </cell>
        </row>
        <row r="34">
          <cell r="D34" t="str">
            <v>MBB</v>
          </cell>
          <cell r="H34">
            <v>0.34133999999999998</v>
          </cell>
        </row>
        <row r="35">
          <cell r="D35" t="str">
            <v>SPMB</v>
          </cell>
          <cell r="H35">
            <v>7.1599999999999997E-2</v>
          </cell>
        </row>
        <row r="36">
          <cell r="D36" t="str">
            <v>VMBS</v>
          </cell>
          <cell r="H36">
            <v>0.16800000000000001</v>
          </cell>
        </row>
        <row r="37">
          <cell r="D37" t="str">
            <v>MUB</v>
          </cell>
          <cell r="H37">
            <v>0.2863</v>
          </cell>
        </row>
        <row r="38">
          <cell r="D38" t="str">
            <v>TFI</v>
          </cell>
          <cell r="H38">
            <v>0.1351</v>
          </cell>
        </row>
        <row r="39">
          <cell r="D39" t="str">
            <v>VTEB</v>
          </cell>
          <cell r="H39">
            <v>0.14149999999999999</v>
          </cell>
        </row>
        <row r="40">
          <cell r="D40" t="str">
            <v>PFF</v>
          </cell>
          <cell r="H40">
            <v>0.14230999999999999</v>
          </cell>
        </row>
        <row r="41">
          <cell r="D41" t="str">
            <v>PFFD</v>
          </cell>
          <cell r="H41">
            <v>0.1</v>
          </cell>
        </row>
        <row r="42">
          <cell r="D42" t="str">
            <v>FSTA</v>
          </cell>
        </row>
        <row r="43">
          <cell r="D43" t="str">
            <v>VDC</v>
          </cell>
        </row>
        <row r="44">
          <cell r="D44" t="str">
            <v>XLP</v>
          </cell>
        </row>
        <row r="45">
          <cell r="D45" t="str">
            <v>FENY</v>
          </cell>
        </row>
        <row r="46">
          <cell r="D46" t="str">
            <v>IYE</v>
          </cell>
        </row>
        <row r="47">
          <cell r="D47" t="str">
            <v>VDE</v>
          </cell>
        </row>
        <row r="48">
          <cell r="D48" t="str">
            <v>XLE</v>
          </cell>
        </row>
        <row r="49">
          <cell r="D49" t="str">
            <v>IYF</v>
          </cell>
        </row>
        <row r="50">
          <cell r="D50" t="str">
            <v>VFH</v>
          </cell>
        </row>
        <row r="51">
          <cell r="D51" t="str">
            <v>XLF</v>
          </cell>
        </row>
        <row r="52">
          <cell r="D52" t="str">
            <v>FHLC</v>
          </cell>
        </row>
        <row r="53">
          <cell r="D53" t="str">
            <v>IYH</v>
          </cell>
        </row>
        <row r="54">
          <cell r="D54" t="str">
            <v>VHT</v>
          </cell>
        </row>
        <row r="55">
          <cell r="D55" t="str">
            <v>XLV</v>
          </cell>
        </row>
        <row r="56">
          <cell r="D56" t="str">
            <v>FIDU</v>
          </cell>
        </row>
        <row r="57">
          <cell r="D57" t="str">
            <v>XLI</v>
          </cell>
        </row>
        <row r="58">
          <cell r="D58" t="str">
            <v>FREL</v>
          </cell>
        </row>
        <row r="59">
          <cell r="D59" t="str">
            <v>IYR</v>
          </cell>
        </row>
        <row r="60">
          <cell r="D60" t="str">
            <v>VNQ</v>
          </cell>
        </row>
        <row r="61">
          <cell r="D61" t="str">
            <v>XLRE</v>
          </cell>
        </row>
        <row r="62">
          <cell r="D62" t="str">
            <v>FTEC</v>
          </cell>
        </row>
        <row r="63">
          <cell r="D63" t="str">
            <v>IYW</v>
          </cell>
        </row>
        <row r="64">
          <cell r="D64" t="str">
            <v>VGT</v>
          </cell>
        </row>
        <row r="65">
          <cell r="D65" t="str">
            <v>XLK</v>
          </cell>
        </row>
        <row r="66">
          <cell r="D66" t="str">
            <v>FUTY</v>
          </cell>
        </row>
        <row r="67">
          <cell r="D67" t="str">
            <v>IDU</v>
          </cell>
        </row>
        <row r="68">
          <cell r="D68" t="str">
            <v>VPU</v>
          </cell>
        </row>
        <row r="69">
          <cell r="D69" t="str">
            <v>XLU</v>
          </cell>
        </row>
      </sheetData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913BC0-E3D8-4CCA-950F-A7509FC6B526}" name="admin_inputs" displayName="admin_inputs" ref="A1:B6" totalsRowShown="0">
  <autoFilter ref="A1:B6" xr:uid="{7E913BC0-E3D8-4CCA-950F-A7509FC6B526}"/>
  <tableColumns count="2">
    <tableColumn id="1" xr3:uid="{DBCC28E9-5CC8-4346-8F1B-B8CC81979271}" name="Keys"/>
    <tableColumn id="2" xr3:uid="{BC9C663B-3B3C-4AB3-A127-6F36C4D9E41D}" name="Valu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E0AE69-AE86-439F-8B86-A6C16D189F1B}" name="anchor_inputs" displayName="anchor_inputs" ref="A1:F69" totalsRowShown="0">
  <autoFilter ref="A1:F69" xr:uid="{41E0AE69-AE86-439F-8B86-A6C16D189F1B}"/>
  <sortState xmlns:xlrd2="http://schemas.microsoft.com/office/spreadsheetml/2017/richdata2" ref="C2:F41">
    <sortCondition ref="E1:E41"/>
  </sortState>
  <tableColumns count="6">
    <tableColumn id="4" xr3:uid="{C143C91C-ACAF-4ACF-B91F-4435A63F4151}" name="group" dataDxfId="40"/>
    <tableColumn id="2" xr3:uid="{F486AEE1-C7BF-4FB6-956C-83C2ABB71F18}" name="sector"/>
    <tableColumn id="1" xr3:uid="{4425B6E4-20BC-47CF-A149-57992AA900B4}" name="symbol" dataDxfId="38"/>
    <tableColumn id="6" xr3:uid="{3FB674DC-28D9-413B-AEF2-94CC07DCB1E2}" name="my_platform" dataDxfId="39"/>
    <tableColumn id="5" xr3:uid="{1C677B6D-D63E-4271-8F12-49B31EA5C0F2}" name="anchor"/>
    <tableColumn id="3" xr3:uid="{B174390F-1C67-417C-A283-D8C2F19DC00A}" name="moving_avg_days" dataDxfId="4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3B66-DD64-4B52-A1F6-E049BD827304}">
  <sheetPr codeName="Sheet1"/>
  <dimension ref="A1:D6"/>
  <sheetViews>
    <sheetView workbookViewId="0">
      <selection activeCell="D15" sqref="D15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11.5703125" bestFit="1" customWidth="1"/>
    <col min="4" max="4" width="19.42578125" customWidth="1"/>
    <col min="13" max="13" width="17" customWidth="1"/>
    <col min="14" max="14" width="17.140625" customWidth="1"/>
  </cols>
  <sheetData>
    <row r="1" spans="1:4" x14ac:dyDescent="0.25">
      <c r="A1" t="s">
        <v>12</v>
      </c>
      <c r="B1" t="s">
        <v>13</v>
      </c>
    </row>
    <row r="2" spans="1:4" x14ac:dyDescent="0.25">
      <c r="A2" t="s">
        <v>89</v>
      </c>
      <c r="B2" t="str" cm="1">
        <f t="array" aca="1" ref="B2" ca="1">_xlfn.TEXTAFTER(CELL("filename",'ANCHOR INPUTS'!C1),"]")</f>
        <v>ANCHOR INPUTS</v>
      </c>
    </row>
    <row r="3" spans="1:4" x14ac:dyDescent="0.25">
      <c r="A3" t="s">
        <v>90</v>
      </c>
      <c r="B3" t="s">
        <v>91</v>
      </c>
    </row>
    <row r="4" spans="1:4" x14ac:dyDescent="0.25">
      <c r="A4" t="s">
        <v>38</v>
      </c>
      <c r="B4" t="str" cm="1">
        <f t="array" aca="1" ref="B4" ca="1">_xlfn.TEXTAFTER(CELL("filename",'TRADING INPUTS'!D1),"]")</f>
        <v>TRADING INPUTS</v>
      </c>
    </row>
    <row r="5" spans="1:4" x14ac:dyDescent="0.25">
      <c r="A5" t="s">
        <v>92</v>
      </c>
      <c r="B5" t="s">
        <v>93</v>
      </c>
    </row>
    <row r="6" spans="1:4" x14ac:dyDescent="0.25">
      <c r="A6" t="s">
        <v>94</v>
      </c>
      <c r="B6" t="s">
        <v>39</v>
      </c>
      <c r="D6" s="38">
        <v>46262.521527777775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0C6A-C81F-4362-A841-5F39AFD14BA6}">
  <sheetPr codeName="Sheet2"/>
  <dimension ref="A1:Q69"/>
  <sheetViews>
    <sheetView workbookViewId="0">
      <selection activeCell="J22" sqref="J22"/>
    </sheetView>
  </sheetViews>
  <sheetFormatPr defaultRowHeight="15" customHeight="1" x14ac:dyDescent="0.25"/>
  <cols>
    <col min="1" max="2" width="18.28515625" bestFit="1" customWidth="1"/>
    <col min="3" max="3" width="14.5703125" style="11" bestFit="1" customWidth="1"/>
    <col min="4" max="4" width="18.85546875" style="1" bestFit="1" customWidth="1"/>
    <col min="5" max="5" width="16.42578125" style="1" bestFit="1" customWidth="1"/>
    <col min="6" max="6" width="17.140625" style="1" bestFit="1" customWidth="1"/>
  </cols>
  <sheetData>
    <row r="1" spans="1:8" ht="15" customHeight="1" x14ac:dyDescent="0.25">
      <c r="A1" t="s">
        <v>68</v>
      </c>
      <c r="B1" t="s">
        <v>146</v>
      </c>
      <c r="C1" s="11" t="s">
        <v>69</v>
      </c>
      <c r="D1" t="s">
        <v>171</v>
      </c>
      <c r="E1" t="s">
        <v>117</v>
      </c>
      <c r="F1" s="1" t="s">
        <v>11</v>
      </c>
      <c r="G1" s="1"/>
      <c r="H1" s="1"/>
    </row>
    <row r="2" spans="1:8" ht="15" customHeight="1" x14ac:dyDescent="0.25">
      <c r="A2" t="s">
        <v>169</v>
      </c>
      <c r="B2" t="s">
        <v>147</v>
      </c>
      <c r="C2" s="11" t="s">
        <v>10</v>
      </c>
      <c r="D2" t="s">
        <v>0</v>
      </c>
      <c r="E2" t="s">
        <v>10</v>
      </c>
      <c r="F2" s="1">
        <v>20</v>
      </c>
      <c r="G2" s="1"/>
      <c r="H2" s="1"/>
    </row>
    <row r="3" spans="1:8" ht="15" customHeight="1" x14ac:dyDescent="0.25">
      <c r="A3" t="s">
        <v>169</v>
      </c>
      <c r="B3" t="s">
        <v>147</v>
      </c>
      <c r="C3" s="11" t="s">
        <v>9</v>
      </c>
      <c r="D3" t="s">
        <v>0</v>
      </c>
      <c r="E3" t="s">
        <v>10</v>
      </c>
      <c r="F3" s="1">
        <v>20</v>
      </c>
      <c r="G3" s="1"/>
      <c r="H3" s="1"/>
    </row>
    <row r="4" spans="1:8" ht="15" customHeight="1" x14ac:dyDescent="0.25">
      <c r="A4" t="s">
        <v>169</v>
      </c>
      <c r="B4" t="s">
        <v>147</v>
      </c>
      <c r="C4" s="11" t="s">
        <v>6</v>
      </c>
      <c r="D4" t="s">
        <v>0</v>
      </c>
      <c r="E4" t="s">
        <v>10</v>
      </c>
      <c r="F4" s="1">
        <v>20</v>
      </c>
      <c r="G4" s="1"/>
      <c r="H4" s="1"/>
    </row>
    <row r="5" spans="1:8" ht="15" customHeight="1" x14ac:dyDescent="0.25">
      <c r="A5" t="s">
        <v>169</v>
      </c>
      <c r="B5" t="s">
        <v>147</v>
      </c>
      <c r="C5" s="11" t="s">
        <v>7</v>
      </c>
      <c r="D5" t="s">
        <v>0</v>
      </c>
      <c r="E5" t="s">
        <v>10</v>
      </c>
      <c r="F5" s="1">
        <v>20</v>
      </c>
      <c r="G5" s="1"/>
      <c r="H5" s="1"/>
    </row>
    <row r="6" spans="1:8" ht="15" customHeight="1" x14ac:dyDescent="0.25">
      <c r="A6" t="s">
        <v>169</v>
      </c>
      <c r="B6" t="s">
        <v>148</v>
      </c>
      <c r="C6" s="11" t="s">
        <v>48</v>
      </c>
      <c r="D6" t="s">
        <v>0</v>
      </c>
      <c r="E6" t="s">
        <v>48</v>
      </c>
      <c r="F6" s="1">
        <v>20</v>
      </c>
      <c r="G6" s="1"/>
      <c r="H6" s="1"/>
    </row>
    <row r="7" spans="1:8" ht="15" customHeight="1" x14ac:dyDescent="0.25">
      <c r="A7" t="s">
        <v>169</v>
      </c>
      <c r="B7" t="s">
        <v>148</v>
      </c>
      <c r="C7" s="11" t="s">
        <v>55</v>
      </c>
      <c r="D7" t="s">
        <v>0</v>
      </c>
      <c r="E7" t="s">
        <v>48</v>
      </c>
      <c r="F7" s="1">
        <v>20</v>
      </c>
      <c r="G7" s="1"/>
      <c r="H7" s="1"/>
    </row>
    <row r="8" spans="1:8" ht="15" customHeight="1" x14ac:dyDescent="0.25">
      <c r="A8" t="s">
        <v>169</v>
      </c>
      <c r="B8" t="s">
        <v>149</v>
      </c>
      <c r="C8" s="11" t="s">
        <v>35</v>
      </c>
      <c r="D8" t="s">
        <v>0</v>
      </c>
      <c r="E8" t="s">
        <v>35</v>
      </c>
      <c r="F8" s="1">
        <v>20</v>
      </c>
      <c r="G8" s="1"/>
      <c r="H8" s="1"/>
    </row>
    <row r="9" spans="1:8" ht="15" customHeight="1" x14ac:dyDescent="0.25">
      <c r="A9" t="s">
        <v>169</v>
      </c>
      <c r="B9" t="s">
        <v>149</v>
      </c>
      <c r="C9" s="11" t="s">
        <v>32</v>
      </c>
      <c r="D9" t="s">
        <v>0</v>
      </c>
      <c r="E9" t="s">
        <v>35</v>
      </c>
      <c r="F9" s="1">
        <v>20</v>
      </c>
      <c r="G9" s="1"/>
      <c r="H9" s="1"/>
    </row>
    <row r="10" spans="1:8" ht="15" customHeight="1" x14ac:dyDescent="0.25">
      <c r="A10" t="s">
        <v>169</v>
      </c>
      <c r="B10" t="s">
        <v>149</v>
      </c>
      <c r="C10" s="11" t="s">
        <v>33</v>
      </c>
      <c r="D10" t="s">
        <v>0</v>
      </c>
      <c r="E10" t="s">
        <v>35</v>
      </c>
      <c r="F10" s="1">
        <v>20</v>
      </c>
      <c r="G10" s="1"/>
      <c r="H10" s="1"/>
    </row>
    <row r="11" spans="1:8" ht="15" customHeight="1" x14ac:dyDescent="0.25">
      <c r="A11" t="s">
        <v>169</v>
      </c>
      <c r="B11" t="s">
        <v>149</v>
      </c>
      <c r="C11" s="11" t="s">
        <v>34</v>
      </c>
      <c r="D11" t="s">
        <v>0</v>
      </c>
      <c r="E11" t="s">
        <v>35</v>
      </c>
      <c r="F11" s="1">
        <v>20</v>
      </c>
      <c r="G11" s="1"/>
      <c r="H11" s="1"/>
    </row>
    <row r="12" spans="1:8" ht="15" customHeight="1" x14ac:dyDescent="0.25">
      <c r="A12" t="s">
        <v>169</v>
      </c>
      <c r="B12" t="s">
        <v>150</v>
      </c>
      <c r="C12" s="11" t="s">
        <v>53</v>
      </c>
      <c r="D12" t="s">
        <v>0</v>
      </c>
      <c r="E12" t="s">
        <v>53</v>
      </c>
      <c r="F12" s="1">
        <v>20</v>
      </c>
      <c r="G12" s="1"/>
      <c r="H12" s="1"/>
    </row>
    <row r="13" spans="1:8" ht="15" customHeight="1" x14ac:dyDescent="0.25">
      <c r="A13" t="s">
        <v>169</v>
      </c>
      <c r="B13" t="s">
        <v>150</v>
      </c>
      <c r="C13" s="11" t="s">
        <v>66</v>
      </c>
      <c r="D13" t="s">
        <v>0</v>
      </c>
      <c r="E13" t="s">
        <v>53</v>
      </c>
      <c r="F13" s="1">
        <v>20</v>
      </c>
      <c r="G13" s="1"/>
      <c r="H13" s="1"/>
    </row>
    <row r="14" spans="1:8" ht="15" customHeight="1" x14ac:dyDescent="0.25">
      <c r="A14" t="s">
        <v>169</v>
      </c>
      <c r="B14" t="s">
        <v>151</v>
      </c>
      <c r="C14" s="11" t="s">
        <v>49</v>
      </c>
      <c r="D14" t="s">
        <v>0</v>
      </c>
      <c r="E14" t="s">
        <v>56</v>
      </c>
      <c r="F14" s="1">
        <v>20</v>
      </c>
      <c r="G14" s="1"/>
      <c r="H14" s="1"/>
    </row>
    <row r="15" spans="1:8" ht="15" customHeight="1" x14ac:dyDescent="0.25">
      <c r="A15" t="s">
        <v>169</v>
      </c>
      <c r="B15" t="s">
        <v>151</v>
      </c>
      <c r="C15" s="11" t="s">
        <v>56</v>
      </c>
      <c r="D15" t="s">
        <v>0</v>
      </c>
      <c r="E15" t="s">
        <v>56</v>
      </c>
      <c r="F15" s="1">
        <v>20</v>
      </c>
      <c r="G15" s="1"/>
      <c r="H15" s="1"/>
    </row>
    <row r="16" spans="1:8" ht="15" customHeight="1" x14ac:dyDescent="0.25">
      <c r="A16" t="s">
        <v>169</v>
      </c>
      <c r="B16" t="s">
        <v>152</v>
      </c>
      <c r="C16" s="11" t="s">
        <v>52</v>
      </c>
      <c r="D16" t="s">
        <v>0</v>
      </c>
      <c r="E16" t="s">
        <v>57</v>
      </c>
      <c r="F16" s="1">
        <v>20</v>
      </c>
      <c r="G16" s="1"/>
      <c r="H16" s="1"/>
    </row>
    <row r="17" spans="1:8" ht="15" customHeight="1" x14ac:dyDescent="0.25">
      <c r="A17" t="s">
        <v>169</v>
      </c>
      <c r="B17" t="s">
        <v>152</v>
      </c>
      <c r="C17" s="11" t="s">
        <v>57</v>
      </c>
      <c r="D17" t="s">
        <v>0</v>
      </c>
      <c r="E17" t="s">
        <v>57</v>
      </c>
      <c r="F17" s="1">
        <v>20</v>
      </c>
      <c r="G17" s="1"/>
      <c r="H17" s="1"/>
    </row>
    <row r="18" spans="1:8" ht="15" customHeight="1" x14ac:dyDescent="0.25">
      <c r="A18" t="s">
        <v>169</v>
      </c>
      <c r="B18" t="s">
        <v>153</v>
      </c>
      <c r="C18" s="11" t="s">
        <v>50</v>
      </c>
      <c r="D18" t="s">
        <v>0</v>
      </c>
      <c r="E18" t="s">
        <v>58</v>
      </c>
      <c r="F18" s="1">
        <v>20</v>
      </c>
      <c r="G18" s="1"/>
      <c r="H18" s="1"/>
    </row>
    <row r="19" spans="1:8" ht="15" customHeight="1" x14ac:dyDescent="0.25">
      <c r="A19" t="s">
        <v>169</v>
      </c>
      <c r="B19" t="s">
        <v>153</v>
      </c>
      <c r="C19" s="11" t="s">
        <v>58</v>
      </c>
      <c r="D19" t="s">
        <v>0</v>
      </c>
      <c r="E19" t="s">
        <v>58</v>
      </c>
      <c r="F19" s="1">
        <v>20</v>
      </c>
      <c r="G19" s="1"/>
      <c r="H19" s="1"/>
    </row>
    <row r="20" spans="1:8" ht="15" customHeight="1" x14ac:dyDescent="0.25">
      <c r="A20" t="s">
        <v>169</v>
      </c>
      <c r="B20" t="s">
        <v>154</v>
      </c>
      <c r="C20" s="11" t="s">
        <v>19</v>
      </c>
      <c r="D20" t="s">
        <v>0</v>
      </c>
      <c r="E20" t="s">
        <v>20</v>
      </c>
      <c r="F20" s="1">
        <v>20</v>
      </c>
      <c r="G20" s="1"/>
      <c r="H20" s="1"/>
    </row>
    <row r="21" spans="1:8" ht="15" customHeight="1" x14ac:dyDescent="0.25">
      <c r="A21" t="s">
        <v>169</v>
      </c>
      <c r="B21" t="s">
        <v>154</v>
      </c>
      <c r="C21" s="11" t="s">
        <v>17</v>
      </c>
      <c r="D21" t="s">
        <v>0</v>
      </c>
      <c r="E21" t="s">
        <v>20</v>
      </c>
      <c r="F21" s="1">
        <v>20</v>
      </c>
      <c r="G21" s="1"/>
      <c r="H21" s="1"/>
    </row>
    <row r="22" spans="1:8" ht="15" customHeight="1" x14ac:dyDescent="0.25">
      <c r="A22" t="s">
        <v>169</v>
      </c>
      <c r="B22" t="s">
        <v>154</v>
      </c>
      <c r="C22" s="11" t="s">
        <v>20</v>
      </c>
      <c r="D22" t="s">
        <v>0</v>
      </c>
      <c r="E22" t="s">
        <v>20</v>
      </c>
      <c r="F22" s="1">
        <v>20</v>
      </c>
      <c r="G22" s="1"/>
      <c r="H22" s="1"/>
    </row>
    <row r="23" spans="1:8" ht="15" customHeight="1" x14ac:dyDescent="0.25">
      <c r="A23" t="s">
        <v>169</v>
      </c>
      <c r="B23" t="s">
        <v>154</v>
      </c>
      <c r="C23" s="11" t="s">
        <v>16</v>
      </c>
      <c r="D23" t="s">
        <v>0</v>
      </c>
      <c r="E23" t="s">
        <v>20</v>
      </c>
      <c r="F23" s="1">
        <v>20</v>
      </c>
      <c r="G23" s="1"/>
      <c r="H23" s="1"/>
    </row>
    <row r="24" spans="1:8" ht="15" customHeight="1" x14ac:dyDescent="0.25">
      <c r="A24" t="s">
        <v>169</v>
      </c>
      <c r="B24" t="s">
        <v>154</v>
      </c>
      <c r="C24" s="11" t="s">
        <v>15</v>
      </c>
      <c r="D24" t="s">
        <v>0</v>
      </c>
      <c r="E24" t="s">
        <v>20</v>
      </c>
      <c r="F24" s="1">
        <v>20</v>
      </c>
      <c r="G24" s="1"/>
      <c r="H24" s="1"/>
    </row>
    <row r="25" spans="1:8" ht="15" customHeight="1" x14ac:dyDescent="0.25">
      <c r="A25" t="s">
        <v>169</v>
      </c>
      <c r="B25" t="s">
        <v>154</v>
      </c>
      <c r="C25" s="11" t="s">
        <v>18</v>
      </c>
      <c r="D25" t="s">
        <v>0</v>
      </c>
      <c r="E25" t="s">
        <v>20</v>
      </c>
      <c r="F25" s="1">
        <v>20</v>
      </c>
      <c r="G25" s="1"/>
      <c r="H25" s="1"/>
    </row>
    <row r="26" spans="1:8" ht="15" customHeight="1" x14ac:dyDescent="0.25">
      <c r="A26" t="s">
        <v>169</v>
      </c>
      <c r="B26" t="s">
        <v>155</v>
      </c>
      <c r="C26" s="11" t="s">
        <v>23</v>
      </c>
      <c r="D26" t="s">
        <v>0</v>
      </c>
      <c r="E26" t="s">
        <v>23</v>
      </c>
      <c r="F26" s="1">
        <v>20</v>
      </c>
      <c r="G26" s="1"/>
      <c r="H26" s="1"/>
    </row>
    <row r="27" spans="1:8" ht="15" customHeight="1" x14ac:dyDescent="0.25">
      <c r="A27" t="s">
        <v>169</v>
      </c>
      <c r="B27" t="s">
        <v>155</v>
      </c>
      <c r="C27" s="11" t="s">
        <v>21</v>
      </c>
      <c r="D27" t="s">
        <v>0</v>
      </c>
      <c r="E27" t="s">
        <v>23</v>
      </c>
      <c r="F27" s="1">
        <v>20</v>
      </c>
      <c r="G27" s="1"/>
      <c r="H27" s="1"/>
    </row>
    <row r="28" spans="1:8" ht="15" customHeight="1" x14ac:dyDescent="0.25">
      <c r="A28" t="s">
        <v>169</v>
      </c>
      <c r="B28" t="s">
        <v>155</v>
      </c>
      <c r="C28" s="11" t="s">
        <v>22</v>
      </c>
      <c r="D28" t="s">
        <v>0</v>
      </c>
      <c r="E28" t="s">
        <v>23</v>
      </c>
      <c r="F28" s="1">
        <v>20</v>
      </c>
      <c r="G28" s="1"/>
      <c r="H28" s="1"/>
    </row>
    <row r="29" spans="1:8" ht="15" customHeight="1" x14ac:dyDescent="0.25">
      <c r="A29" t="s">
        <v>169</v>
      </c>
      <c r="B29" t="s">
        <v>156</v>
      </c>
      <c r="C29" s="11" t="s">
        <v>4</v>
      </c>
      <c r="D29" t="s">
        <v>0</v>
      </c>
      <c r="E29" t="s">
        <v>4</v>
      </c>
      <c r="F29" s="1">
        <v>20</v>
      </c>
      <c r="G29" s="1"/>
      <c r="H29" s="1"/>
    </row>
    <row r="30" spans="1:8" ht="15" customHeight="1" x14ac:dyDescent="0.25">
      <c r="A30" t="s">
        <v>169</v>
      </c>
      <c r="B30" t="s">
        <v>156</v>
      </c>
      <c r="C30" s="11" t="s">
        <v>24</v>
      </c>
      <c r="D30" t="s">
        <v>0</v>
      </c>
      <c r="E30" t="s">
        <v>4</v>
      </c>
      <c r="F30" s="1">
        <v>20</v>
      </c>
      <c r="G30" s="1"/>
      <c r="H30" s="1"/>
    </row>
    <row r="31" spans="1:8" ht="15" customHeight="1" x14ac:dyDescent="0.25">
      <c r="A31" t="s">
        <v>169</v>
      </c>
      <c r="B31" t="s">
        <v>156</v>
      </c>
      <c r="C31" s="11" t="s">
        <v>3</v>
      </c>
      <c r="D31" t="s">
        <v>0</v>
      </c>
      <c r="E31" t="s">
        <v>4</v>
      </c>
      <c r="F31" s="1">
        <v>20</v>
      </c>
      <c r="G31" s="1"/>
      <c r="H31" s="1"/>
    </row>
    <row r="32" spans="1:8" ht="15" customHeight="1" x14ac:dyDescent="0.25">
      <c r="A32" t="s">
        <v>169</v>
      </c>
      <c r="B32" t="s">
        <v>157</v>
      </c>
      <c r="C32" s="11" t="s">
        <v>61</v>
      </c>
      <c r="D32" t="s">
        <v>0</v>
      </c>
      <c r="E32" t="s">
        <v>61</v>
      </c>
      <c r="F32" s="1">
        <v>20</v>
      </c>
      <c r="G32" s="1"/>
      <c r="H32" s="1"/>
    </row>
    <row r="33" spans="1:17" ht="15" customHeight="1" x14ac:dyDescent="0.25">
      <c r="A33" t="s">
        <v>169</v>
      </c>
      <c r="B33" t="s">
        <v>157</v>
      </c>
      <c r="C33" s="11" t="s">
        <v>62</v>
      </c>
      <c r="D33" t="s">
        <v>0</v>
      </c>
      <c r="E33" t="s">
        <v>61</v>
      </c>
      <c r="F33" s="1">
        <v>20</v>
      </c>
      <c r="G33" s="1"/>
      <c r="H33" s="1"/>
    </row>
    <row r="34" spans="1:17" ht="15" customHeight="1" x14ac:dyDescent="0.25">
      <c r="A34" t="s">
        <v>169</v>
      </c>
      <c r="B34" t="s">
        <v>159</v>
      </c>
      <c r="C34" s="11" t="s">
        <v>26</v>
      </c>
      <c r="D34" t="s">
        <v>0</v>
      </c>
      <c r="E34" t="s">
        <v>27</v>
      </c>
      <c r="F34" s="1">
        <v>20</v>
      </c>
      <c r="G34" s="1"/>
      <c r="H34" s="1"/>
    </row>
    <row r="35" spans="1:17" ht="15" customHeight="1" x14ac:dyDescent="0.25">
      <c r="A35" t="s">
        <v>169</v>
      </c>
      <c r="B35" t="s">
        <v>159</v>
      </c>
      <c r="C35" s="11" t="s">
        <v>25</v>
      </c>
      <c r="D35" t="s">
        <v>0</v>
      </c>
      <c r="E35" t="s">
        <v>27</v>
      </c>
      <c r="F35" s="1">
        <v>20</v>
      </c>
      <c r="G35" s="1"/>
      <c r="H35" s="1"/>
    </row>
    <row r="36" spans="1:17" ht="15" customHeight="1" x14ac:dyDescent="0.25">
      <c r="A36" t="s">
        <v>169</v>
      </c>
      <c r="B36" t="s">
        <v>159</v>
      </c>
      <c r="C36" s="11" t="s">
        <v>27</v>
      </c>
      <c r="D36" t="s">
        <v>0</v>
      </c>
      <c r="E36" t="s">
        <v>27</v>
      </c>
      <c r="F36" s="1">
        <v>20</v>
      </c>
      <c r="G36" s="1"/>
      <c r="H36" s="1"/>
    </row>
    <row r="37" spans="1:17" ht="15" customHeight="1" x14ac:dyDescent="0.25">
      <c r="A37" t="s">
        <v>169</v>
      </c>
      <c r="B37" t="s">
        <v>158</v>
      </c>
      <c r="C37" s="11" t="s">
        <v>29</v>
      </c>
      <c r="D37" t="s">
        <v>0</v>
      </c>
      <c r="E37" t="s">
        <v>31</v>
      </c>
      <c r="F37" s="1">
        <v>20</v>
      </c>
      <c r="G37" s="1"/>
      <c r="H37" s="1"/>
    </row>
    <row r="38" spans="1:17" ht="15" customHeight="1" x14ac:dyDescent="0.25">
      <c r="A38" t="s">
        <v>169</v>
      </c>
      <c r="B38" t="s">
        <v>158</v>
      </c>
      <c r="C38" s="11" t="s">
        <v>28</v>
      </c>
      <c r="D38" t="s">
        <v>0</v>
      </c>
      <c r="E38" t="s">
        <v>31</v>
      </c>
      <c r="F38" s="1">
        <v>20</v>
      </c>
      <c r="G38" s="1"/>
      <c r="H38" s="1"/>
    </row>
    <row r="39" spans="1:17" ht="15" customHeight="1" x14ac:dyDescent="0.25">
      <c r="A39" t="s">
        <v>169</v>
      </c>
      <c r="B39" t="s">
        <v>158</v>
      </c>
      <c r="C39" s="11" t="s">
        <v>31</v>
      </c>
      <c r="D39" t="s">
        <v>0</v>
      </c>
      <c r="E39" t="s">
        <v>31</v>
      </c>
      <c r="F39" s="1">
        <v>20</v>
      </c>
      <c r="G39" s="1"/>
      <c r="H39" s="1"/>
    </row>
    <row r="40" spans="1:17" ht="15" customHeight="1" x14ac:dyDescent="0.25">
      <c r="A40" t="s">
        <v>169</v>
      </c>
      <c r="B40" t="s">
        <v>160</v>
      </c>
      <c r="C40" s="11" t="s">
        <v>51</v>
      </c>
      <c r="D40" t="s">
        <v>0</v>
      </c>
      <c r="E40" t="s">
        <v>65</v>
      </c>
      <c r="F40" s="1">
        <v>20</v>
      </c>
      <c r="G40" s="1"/>
      <c r="H40" s="1"/>
    </row>
    <row r="41" spans="1:17" ht="15" customHeight="1" x14ac:dyDescent="0.25">
      <c r="A41" t="s">
        <v>169</v>
      </c>
      <c r="B41" t="s">
        <v>160</v>
      </c>
      <c r="C41" s="11" t="s">
        <v>65</v>
      </c>
      <c r="D41" t="s">
        <v>0</v>
      </c>
      <c r="E41" t="s">
        <v>65</v>
      </c>
      <c r="F41" s="1">
        <v>20</v>
      </c>
      <c r="G41" s="1"/>
      <c r="H41" s="1"/>
    </row>
    <row r="42" spans="1:17" ht="15" customHeight="1" x14ac:dyDescent="0.25">
      <c r="A42" t="s">
        <v>170</v>
      </c>
      <c r="B42" s="258" t="s">
        <v>161</v>
      </c>
      <c r="C42" s="11" t="s">
        <v>118</v>
      </c>
      <c r="D42" t="s">
        <v>0</v>
      </c>
      <c r="E42" t="s">
        <v>119</v>
      </c>
      <c r="F42" s="1">
        <v>20</v>
      </c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</row>
    <row r="43" spans="1:17" ht="15" customHeight="1" x14ac:dyDescent="0.25">
      <c r="A43" t="s">
        <v>170</v>
      </c>
      <c r="B43" s="258" t="s">
        <v>161</v>
      </c>
      <c r="C43" s="11" t="s">
        <v>119</v>
      </c>
      <c r="D43" t="s">
        <v>0</v>
      </c>
      <c r="E43" t="s">
        <v>119</v>
      </c>
      <c r="F43" s="1">
        <v>20</v>
      </c>
      <c r="G43" s="1"/>
      <c r="H43" s="1"/>
    </row>
    <row r="44" spans="1:17" ht="15" customHeight="1" x14ac:dyDescent="0.25">
      <c r="A44" t="s">
        <v>170</v>
      </c>
      <c r="B44" s="258" t="s">
        <v>161</v>
      </c>
      <c r="C44" s="11" t="s">
        <v>120</v>
      </c>
      <c r="D44" t="s">
        <v>0</v>
      </c>
      <c r="E44" t="s">
        <v>119</v>
      </c>
      <c r="F44" s="1">
        <v>20</v>
      </c>
      <c r="G44" s="1"/>
      <c r="H44" s="1"/>
    </row>
    <row r="45" spans="1:17" ht="15" customHeight="1" x14ac:dyDescent="0.25">
      <c r="A45" t="s">
        <v>170</v>
      </c>
      <c r="B45" s="258" t="s">
        <v>162</v>
      </c>
      <c r="C45" s="11" t="s">
        <v>121</v>
      </c>
      <c r="D45" t="s">
        <v>0</v>
      </c>
      <c r="E45" t="s">
        <v>123</v>
      </c>
      <c r="F45" s="1">
        <v>20</v>
      </c>
      <c r="G45" s="1"/>
      <c r="H45" s="1"/>
    </row>
    <row r="46" spans="1:17" ht="15" customHeight="1" x14ac:dyDescent="0.25">
      <c r="A46" t="s">
        <v>170</v>
      </c>
      <c r="B46" s="258" t="s">
        <v>162</v>
      </c>
      <c r="C46" s="11" t="s">
        <v>122</v>
      </c>
      <c r="D46" t="s">
        <v>0</v>
      </c>
      <c r="E46" t="s">
        <v>123</v>
      </c>
      <c r="F46" s="1">
        <v>20</v>
      </c>
      <c r="G46" s="1"/>
      <c r="H46" s="1"/>
    </row>
    <row r="47" spans="1:17" ht="15" customHeight="1" x14ac:dyDescent="0.25">
      <c r="A47" t="s">
        <v>170</v>
      </c>
      <c r="B47" s="258" t="s">
        <v>162</v>
      </c>
      <c r="C47" s="11" t="s">
        <v>123</v>
      </c>
      <c r="D47" t="s">
        <v>0</v>
      </c>
      <c r="E47" t="s">
        <v>123</v>
      </c>
      <c r="F47" s="1">
        <v>20</v>
      </c>
      <c r="G47" s="1"/>
      <c r="H47" s="1"/>
    </row>
    <row r="48" spans="1:17" ht="15" customHeight="1" x14ac:dyDescent="0.25">
      <c r="A48" t="s">
        <v>170</v>
      </c>
      <c r="B48" s="258" t="s">
        <v>162</v>
      </c>
      <c r="C48" s="11" t="s">
        <v>124</v>
      </c>
      <c r="D48" t="s">
        <v>0</v>
      </c>
      <c r="E48" t="s">
        <v>123</v>
      </c>
      <c r="F48" s="1">
        <v>20</v>
      </c>
      <c r="G48" s="1"/>
      <c r="H48" s="1"/>
    </row>
    <row r="49" spans="1:8" ht="15" customHeight="1" x14ac:dyDescent="0.25">
      <c r="A49" t="s">
        <v>170</v>
      </c>
      <c r="B49" s="258" t="s">
        <v>163</v>
      </c>
      <c r="C49" s="11" t="s">
        <v>125</v>
      </c>
      <c r="D49" t="s">
        <v>0</v>
      </c>
      <c r="E49" t="s">
        <v>126</v>
      </c>
      <c r="F49" s="1">
        <v>20</v>
      </c>
      <c r="G49" s="1"/>
      <c r="H49" s="1"/>
    </row>
    <row r="50" spans="1:8" ht="15" customHeight="1" x14ac:dyDescent="0.25">
      <c r="A50" t="s">
        <v>170</v>
      </c>
      <c r="B50" s="258" t="s">
        <v>163</v>
      </c>
      <c r="C50" s="11" t="s">
        <v>126</v>
      </c>
      <c r="D50" t="s">
        <v>0</v>
      </c>
      <c r="E50" t="s">
        <v>126</v>
      </c>
      <c r="F50" s="1">
        <v>20</v>
      </c>
      <c r="G50" s="1"/>
      <c r="H50" s="1"/>
    </row>
    <row r="51" spans="1:8" ht="15" customHeight="1" x14ac:dyDescent="0.25">
      <c r="A51" t="s">
        <v>170</v>
      </c>
      <c r="B51" s="258" t="s">
        <v>163</v>
      </c>
      <c r="C51" s="11" t="s">
        <v>127</v>
      </c>
      <c r="D51" t="s">
        <v>0</v>
      </c>
      <c r="E51" t="s">
        <v>126</v>
      </c>
      <c r="F51" s="1">
        <v>20</v>
      </c>
      <c r="G51" s="1"/>
      <c r="H51" s="1"/>
    </row>
    <row r="52" spans="1:8" ht="15" customHeight="1" x14ac:dyDescent="0.25">
      <c r="A52" t="s">
        <v>170</v>
      </c>
      <c r="B52" s="258" t="s">
        <v>164</v>
      </c>
      <c r="C52" s="11" t="s">
        <v>128</v>
      </c>
      <c r="D52" t="s">
        <v>0</v>
      </c>
      <c r="E52" t="s">
        <v>130</v>
      </c>
      <c r="F52" s="1">
        <v>20</v>
      </c>
      <c r="G52" s="1"/>
      <c r="H52" s="1"/>
    </row>
    <row r="53" spans="1:8" ht="15" customHeight="1" x14ac:dyDescent="0.25">
      <c r="A53" t="s">
        <v>170</v>
      </c>
      <c r="B53" s="258" t="s">
        <v>164</v>
      </c>
      <c r="C53" s="11" t="s">
        <v>129</v>
      </c>
      <c r="D53" t="s">
        <v>0</v>
      </c>
      <c r="E53" t="s">
        <v>130</v>
      </c>
      <c r="F53" s="1">
        <v>20</v>
      </c>
      <c r="G53" s="1"/>
      <c r="H53" s="1"/>
    </row>
    <row r="54" spans="1:8" ht="15" customHeight="1" x14ac:dyDescent="0.25">
      <c r="A54" t="s">
        <v>170</v>
      </c>
      <c r="B54" s="258" t="s">
        <v>164</v>
      </c>
      <c r="C54" s="11" t="s">
        <v>130</v>
      </c>
      <c r="D54" t="s">
        <v>0</v>
      </c>
      <c r="E54" t="s">
        <v>130</v>
      </c>
      <c r="F54" s="1">
        <v>20</v>
      </c>
      <c r="G54" s="1"/>
      <c r="H54" s="1"/>
    </row>
    <row r="55" spans="1:8" ht="15" customHeight="1" x14ac:dyDescent="0.25">
      <c r="A55" t="s">
        <v>170</v>
      </c>
      <c r="B55" s="258" t="s">
        <v>164</v>
      </c>
      <c r="C55" s="11" t="s">
        <v>131</v>
      </c>
      <c r="D55" t="s">
        <v>0</v>
      </c>
      <c r="E55" t="s">
        <v>130</v>
      </c>
      <c r="F55" s="1">
        <v>20</v>
      </c>
      <c r="G55" s="1"/>
      <c r="H55" s="1"/>
    </row>
    <row r="56" spans="1:8" ht="15" customHeight="1" x14ac:dyDescent="0.25">
      <c r="A56" t="s">
        <v>170</v>
      </c>
      <c r="B56" s="258" t="s">
        <v>165</v>
      </c>
      <c r="C56" s="11" t="s">
        <v>132</v>
      </c>
      <c r="D56" t="s">
        <v>0</v>
      </c>
      <c r="E56" t="s">
        <v>133</v>
      </c>
      <c r="F56" s="1">
        <v>20</v>
      </c>
      <c r="G56" s="1"/>
      <c r="H56" s="1"/>
    </row>
    <row r="57" spans="1:8" ht="15" customHeight="1" x14ac:dyDescent="0.25">
      <c r="A57" t="s">
        <v>170</v>
      </c>
      <c r="B57" s="258" t="s">
        <v>165</v>
      </c>
      <c r="C57" s="11" t="s">
        <v>133</v>
      </c>
      <c r="D57" t="s">
        <v>0</v>
      </c>
      <c r="E57" t="s">
        <v>133</v>
      </c>
      <c r="F57" s="1">
        <v>20</v>
      </c>
      <c r="G57" s="1"/>
      <c r="H57" s="1"/>
    </row>
    <row r="58" spans="1:8" ht="15" customHeight="1" x14ac:dyDescent="0.25">
      <c r="A58" t="s">
        <v>170</v>
      </c>
      <c r="B58" s="258" t="s">
        <v>166</v>
      </c>
      <c r="C58" s="11" t="s">
        <v>134</v>
      </c>
      <c r="D58" t="s">
        <v>0</v>
      </c>
      <c r="E58" t="s">
        <v>135</v>
      </c>
      <c r="F58" s="1">
        <v>20</v>
      </c>
      <c r="G58" s="1"/>
      <c r="H58" s="1"/>
    </row>
    <row r="59" spans="1:8" ht="15" customHeight="1" x14ac:dyDescent="0.25">
      <c r="A59" t="s">
        <v>170</v>
      </c>
      <c r="B59" s="258" t="s">
        <v>166</v>
      </c>
      <c r="C59" s="11" t="s">
        <v>135</v>
      </c>
      <c r="D59" t="s">
        <v>0</v>
      </c>
      <c r="E59" t="s">
        <v>135</v>
      </c>
      <c r="F59" s="1">
        <v>20</v>
      </c>
      <c r="G59" s="1"/>
      <c r="H59" s="1"/>
    </row>
    <row r="60" spans="1:8" ht="15" customHeight="1" x14ac:dyDescent="0.25">
      <c r="A60" t="s">
        <v>170</v>
      </c>
      <c r="B60" s="258" t="s">
        <v>166</v>
      </c>
      <c r="C60" s="11" t="s">
        <v>136</v>
      </c>
      <c r="D60" t="s">
        <v>0</v>
      </c>
      <c r="E60" t="s">
        <v>135</v>
      </c>
      <c r="F60" s="1">
        <v>20</v>
      </c>
      <c r="G60" s="1"/>
      <c r="H60" s="1"/>
    </row>
    <row r="61" spans="1:8" ht="15" customHeight="1" x14ac:dyDescent="0.25">
      <c r="A61" t="s">
        <v>170</v>
      </c>
      <c r="B61" s="258" t="s">
        <v>166</v>
      </c>
      <c r="C61" s="11" t="s">
        <v>137</v>
      </c>
      <c r="D61" t="s">
        <v>0</v>
      </c>
      <c r="E61" t="s">
        <v>135</v>
      </c>
      <c r="F61" s="1">
        <v>20</v>
      </c>
      <c r="G61" s="1"/>
      <c r="H61" s="1"/>
    </row>
    <row r="62" spans="1:8" ht="15" customHeight="1" x14ac:dyDescent="0.25">
      <c r="A62" t="s">
        <v>170</v>
      </c>
      <c r="B62" s="258" t="s">
        <v>167</v>
      </c>
      <c r="C62" s="11" t="s">
        <v>138</v>
      </c>
      <c r="D62" t="s">
        <v>0</v>
      </c>
      <c r="E62" t="s">
        <v>138</v>
      </c>
      <c r="F62" s="1">
        <v>20</v>
      </c>
      <c r="G62" s="1"/>
      <c r="H62" s="1"/>
    </row>
    <row r="63" spans="1:8" ht="15" customHeight="1" x14ac:dyDescent="0.25">
      <c r="A63" t="s">
        <v>170</v>
      </c>
      <c r="B63" s="258" t="s">
        <v>167</v>
      </c>
      <c r="C63" s="11" t="s">
        <v>139</v>
      </c>
      <c r="D63" t="s">
        <v>0</v>
      </c>
      <c r="E63" t="s">
        <v>138</v>
      </c>
      <c r="F63" s="1">
        <v>20</v>
      </c>
      <c r="G63" s="1"/>
      <c r="H63" s="1"/>
    </row>
    <row r="64" spans="1:8" ht="15" customHeight="1" x14ac:dyDescent="0.25">
      <c r="A64" t="s">
        <v>170</v>
      </c>
      <c r="B64" s="258" t="s">
        <v>167</v>
      </c>
      <c r="C64" s="11" t="s">
        <v>140</v>
      </c>
      <c r="D64" t="s">
        <v>0</v>
      </c>
      <c r="E64" t="s">
        <v>138</v>
      </c>
      <c r="F64" s="1">
        <v>20</v>
      </c>
      <c r="G64" s="1"/>
      <c r="H64" s="1"/>
    </row>
    <row r="65" spans="1:8" ht="15" customHeight="1" x14ac:dyDescent="0.25">
      <c r="A65" t="s">
        <v>170</v>
      </c>
      <c r="B65" s="258" t="s">
        <v>167</v>
      </c>
      <c r="C65" s="11" t="s">
        <v>141</v>
      </c>
      <c r="D65" t="s">
        <v>0</v>
      </c>
      <c r="E65" t="s">
        <v>138</v>
      </c>
      <c r="F65" s="1">
        <v>20</v>
      </c>
      <c r="G65" s="1"/>
      <c r="H65" s="1"/>
    </row>
    <row r="66" spans="1:8" ht="15" customHeight="1" x14ac:dyDescent="0.25">
      <c r="A66" t="s">
        <v>170</v>
      </c>
      <c r="B66" s="258" t="s">
        <v>168</v>
      </c>
      <c r="C66" s="11" t="s">
        <v>142</v>
      </c>
      <c r="D66" t="s">
        <v>0</v>
      </c>
      <c r="E66" t="s">
        <v>144</v>
      </c>
      <c r="F66" s="1">
        <v>20</v>
      </c>
      <c r="G66" s="1"/>
      <c r="H66" s="1"/>
    </row>
    <row r="67" spans="1:8" ht="15" customHeight="1" x14ac:dyDescent="0.25">
      <c r="A67" t="s">
        <v>170</v>
      </c>
      <c r="B67" s="258" t="s">
        <v>168</v>
      </c>
      <c r="C67" s="11" t="s">
        <v>143</v>
      </c>
      <c r="D67" t="s">
        <v>0</v>
      </c>
      <c r="E67" t="s">
        <v>144</v>
      </c>
      <c r="F67" s="1">
        <v>20</v>
      </c>
      <c r="G67" s="1"/>
      <c r="H67" s="1"/>
    </row>
    <row r="68" spans="1:8" ht="15" customHeight="1" x14ac:dyDescent="0.25">
      <c r="A68" t="s">
        <v>170</v>
      </c>
      <c r="B68" s="258" t="s">
        <v>168</v>
      </c>
      <c r="C68" s="11" t="s">
        <v>144</v>
      </c>
      <c r="D68" t="s">
        <v>0</v>
      </c>
      <c r="E68" t="s">
        <v>144</v>
      </c>
      <c r="F68" s="1">
        <v>20</v>
      </c>
      <c r="G68" s="1"/>
      <c r="H68" s="1"/>
    </row>
    <row r="69" spans="1:8" ht="15" customHeight="1" x14ac:dyDescent="0.25">
      <c r="A69" t="s">
        <v>170</v>
      </c>
      <c r="B69" s="258" t="s">
        <v>168</v>
      </c>
      <c r="C69" s="11" t="s">
        <v>145</v>
      </c>
      <c r="D69" t="s">
        <v>0</v>
      </c>
      <c r="E69" t="s">
        <v>144</v>
      </c>
      <c r="F69" s="1">
        <v>20</v>
      </c>
      <c r="G69" s="1"/>
      <c r="H69" s="1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F6C1-E4F3-4B42-9841-0C92920A773A}">
  <sheetPr codeName="Sheet3"/>
  <dimension ref="A1:J49"/>
  <sheetViews>
    <sheetView workbookViewId="0">
      <selection activeCell="A22" sqref="A22"/>
    </sheetView>
  </sheetViews>
  <sheetFormatPr defaultRowHeight="15" x14ac:dyDescent="0.25"/>
  <cols>
    <col min="1" max="1" width="13.140625" bestFit="1" customWidth="1"/>
    <col min="2" max="2" width="11.42578125" bestFit="1" customWidth="1"/>
    <col min="3" max="3" width="12" bestFit="1" customWidth="1"/>
    <col min="4" max="4" width="15" style="6" bestFit="1" customWidth="1"/>
    <col min="5" max="5" width="16" style="2" bestFit="1" customWidth="1"/>
    <col min="6" max="6" width="16.28515625" style="2" bestFit="1" customWidth="1"/>
    <col min="7" max="7" width="15.28515625" style="6" bestFit="1" customWidth="1"/>
    <col min="8" max="8" width="19" style="2" bestFit="1" customWidth="1"/>
    <col min="9" max="9" width="10.28515625" style="6" bestFit="1" customWidth="1"/>
    <col min="11" max="11" width="11.42578125" bestFit="1" customWidth="1"/>
  </cols>
  <sheetData>
    <row r="1" spans="1:10" x14ac:dyDescent="0.25">
      <c r="A1" t="s">
        <v>40</v>
      </c>
      <c r="B1" t="s">
        <v>2</v>
      </c>
      <c r="C1" t="s">
        <v>1</v>
      </c>
      <c r="D1" s="6" t="s">
        <v>41</v>
      </c>
      <c r="E1" s="2" t="s">
        <v>42</v>
      </c>
      <c r="F1" s="2" t="s">
        <v>43</v>
      </c>
      <c r="G1" s="6" t="s">
        <v>44</v>
      </c>
      <c r="H1" s="2" t="s">
        <v>45</v>
      </c>
      <c r="I1" s="6" t="s">
        <v>67</v>
      </c>
      <c r="J1" t="s">
        <v>46</v>
      </c>
    </row>
    <row r="2" spans="1:10" x14ac:dyDescent="0.25">
      <c r="A2" t="s">
        <v>47</v>
      </c>
      <c r="B2" t="s">
        <v>10</v>
      </c>
      <c r="C2" t="s">
        <v>0</v>
      </c>
      <c r="D2" s="6">
        <v>31800</v>
      </c>
      <c r="E2" s="2">
        <v>97.53</v>
      </c>
      <c r="F2" s="2">
        <v>97.54</v>
      </c>
      <c r="G2" s="6">
        <v>42100</v>
      </c>
      <c r="H2" s="2">
        <v>97.830001999999993</v>
      </c>
      <c r="I2" s="6">
        <v>0</v>
      </c>
      <c r="J2" t="s">
        <v>116</v>
      </c>
    </row>
    <row r="3" spans="1:10" x14ac:dyDescent="0.25">
      <c r="A3" t="s">
        <v>47</v>
      </c>
      <c r="B3" t="s">
        <v>48</v>
      </c>
      <c r="C3" t="s">
        <v>0</v>
      </c>
      <c r="D3" s="6">
        <v>15800</v>
      </c>
      <c r="E3" s="2">
        <v>29.03</v>
      </c>
      <c r="F3" s="2">
        <v>29.04</v>
      </c>
      <c r="G3" s="6">
        <v>8600</v>
      </c>
      <c r="H3" s="2">
        <v>29.1</v>
      </c>
      <c r="I3" s="6">
        <v>0</v>
      </c>
      <c r="J3" t="s">
        <v>116</v>
      </c>
    </row>
    <row r="4" spans="1:10" x14ac:dyDescent="0.25">
      <c r="A4" t="s">
        <v>47</v>
      </c>
      <c r="B4" t="s">
        <v>9</v>
      </c>
      <c r="C4" t="s">
        <v>0</v>
      </c>
      <c r="D4" s="6">
        <v>66200</v>
      </c>
      <c r="E4" s="2">
        <v>72.33</v>
      </c>
      <c r="F4" s="2">
        <v>72.34</v>
      </c>
      <c r="G4" s="6">
        <v>44500</v>
      </c>
      <c r="H4" s="2">
        <v>72.540001000000004</v>
      </c>
      <c r="I4" s="6">
        <v>0</v>
      </c>
      <c r="J4" t="s">
        <v>116</v>
      </c>
    </row>
    <row r="5" spans="1:10" x14ac:dyDescent="0.25">
      <c r="A5" t="s">
        <v>47</v>
      </c>
      <c r="B5" t="s">
        <v>49</v>
      </c>
      <c r="C5" t="s">
        <v>0</v>
      </c>
      <c r="D5" s="6">
        <v>15400</v>
      </c>
      <c r="E5" s="2">
        <v>47.59</v>
      </c>
      <c r="F5" s="2">
        <v>47.6</v>
      </c>
      <c r="G5" s="6">
        <v>24100</v>
      </c>
      <c r="H5" s="2">
        <v>47.700001</v>
      </c>
      <c r="I5" s="6">
        <v>0</v>
      </c>
      <c r="J5" t="s">
        <v>116</v>
      </c>
    </row>
    <row r="6" spans="1:10" x14ac:dyDescent="0.25">
      <c r="A6" t="s">
        <v>47</v>
      </c>
      <c r="B6" t="s">
        <v>50</v>
      </c>
      <c r="C6" t="s">
        <v>0</v>
      </c>
      <c r="D6" s="6">
        <v>30800</v>
      </c>
      <c r="E6" s="2">
        <v>21.77</v>
      </c>
      <c r="F6" s="2">
        <v>21.78</v>
      </c>
      <c r="G6" s="6">
        <v>400</v>
      </c>
      <c r="H6" s="2">
        <v>21.91</v>
      </c>
      <c r="I6" s="6">
        <v>0</v>
      </c>
      <c r="J6" t="s">
        <v>116</v>
      </c>
    </row>
    <row r="7" spans="1:10" x14ac:dyDescent="0.25">
      <c r="A7" t="s">
        <v>47</v>
      </c>
      <c r="B7" t="s">
        <v>51</v>
      </c>
      <c r="C7" t="s">
        <v>0</v>
      </c>
      <c r="D7" s="6">
        <v>5300</v>
      </c>
      <c r="E7" s="2">
        <v>56.3</v>
      </c>
      <c r="F7" s="2">
        <v>56.31</v>
      </c>
      <c r="G7" s="6">
        <v>2700</v>
      </c>
      <c r="H7" s="2">
        <v>56.41</v>
      </c>
      <c r="I7" s="6">
        <v>0</v>
      </c>
      <c r="J7" t="s">
        <v>116</v>
      </c>
    </row>
    <row r="8" spans="1:10" x14ac:dyDescent="0.25">
      <c r="A8" t="s">
        <v>47</v>
      </c>
      <c r="B8" t="s">
        <v>35</v>
      </c>
      <c r="C8" t="s">
        <v>0</v>
      </c>
      <c r="D8" s="6">
        <v>100</v>
      </c>
      <c r="E8" s="2">
        <v>95.12</v>
      </c>
      <c r="F8" s="2">
        <v>95.14</v>
      </c>
      <c r="G8" s="6">
        <v>1000</v>
      </c>
      <c r="H8" s="2">
        <v>95.440002000000007</v>
      </c>
      <c r="I8" s="6">
        <v>0</v>
      </c>
      <c r="J8" t="s">
        <v>116</v>
      </c>
    </row>
    <row r="9" spans="1:10" x14ac:dyDescent="0.25">
      <c r="A9" t="s">
        <v>47</v>
      </c>
      <c r="B9" t="s">
        <v>52</v>
      </c>
      <c r="C9" t="s">
        <v>0</v>
      </c>
      <c r="D9" s="6">
        <v>200</v>
      </c>
      <c r="E9" s="2">
        <v>102.47</v>
      </c>
      <c r="F9" s="2">
        <v>102.67</v>
      </c>
      <c r="G9" s="6">
        <v>300</v>
      </c>
      <c r="H9" s="2">
        <v>104.040001</v>
      </c>
      <c r="I9" s="6">
        <v>0</v>
      </c>
      <c r="J9" t="s">
        <v>116</v>
      </c>
    </row>
    <row r="10" spans="1:10" x14ac:dyDescent="0.25">
      <c r="A10" t="s">
        <v>47</v>
      </c>
      <c r="B10" t="s">
        <v>53</v>
      </c>
      <c r="C10" t="s">
        <v>0</v>
      </c>
      <c r="D10" s="6">
        <v>14500</v>
      </c>
      <c r="E10" s="2">
        <v>94.99</v>
      </c>
      <c r="F10" s="2">
        <v>95</v>
      </c>
      <c r="G10" s="6">
        <v>4100</v>
      </c>
      <c r="H10" s="2">
        <v>95.129997000000003</v>
      </c>
      <c r="I10" s="6">
        <v>0</v>
      </c>
      <c r="J10" t="s">
        <v>116</v>
      </c>
    </row>
    <row r="11" spans="1:10" x14ac:dyDescent="0.25">
      <c r="A11" t="s">
        <v>47</v>
      </c>
      <c r="B11" t="s">
        <v>54</v>
      </c>
      <c r="C11" t="s">
        <v>0</v>
      </c>
      <c r="D11" s="6">
        <v>42400</v>
      </c>
      <c r="E11" s="2">
        <v>25.57</v>
      </c>
      <c r="F11" s="2">
        <v>25.58</v>
      </c>
      <c r="G11" s="6">
        <v>26500</v>
      </c>
      <c r="H11" s="2">
        <v>25.77</v>
      </c>
      <c r="I11" s="6">
        <v>0</v>
      </c>
      <c r="J11" t="s">
        <v>116</v>
      </c>
    </row>
    <row r="12" spans="1:10" x14ac:dyDescent="0.25">
      <c r="A12" t="s">
        <v>47</v>
      </c>
      <c r="B12" t="s">
        <v>55</v>
      </c>
      <c r="C12" t="s">
        <v>0</v>
      </c>
      <c r="D12" s="6">
        <v>10300</v>
      </c>
      <c r="E12" s="2">
        <v>27.01</v>
      </c>
      <c r="F12" s="2">
        <v>27.02</v>
      </c>
      <c r="G12" s="6">
        <v>7200</v>
      </c>
      <c r="H12" s="2">
        <v>27.09</v>
      </c>
      <c r="I12" s="6">
        <v>0</v>
      </c>
      <c r="J12" t="s">
        <v>116</v>
      </c>
    </row>
    <row r="13" spans="1:10" x14ac:dyDescent="0.25">
      <c r="A13" t="s">
        <v>47</v>
      </c>
      <c r="B13" t="s">
        <v>19</v>
      </c>
      <c r="C13" t="s">
        <v>0</v>
      </c>
      <c r="D13" s="6">
        <v>98800</v>
      </c>
      <c r="E13" s="2">
        <v>79.7</v>
      </c>
      <c r="F13" s="2">
        <v>79.709999999999994</v>
      </c>
      <c r="G13" s="6">
        <v>150400</v>
      </c>
      <c r="H13" s="2">
        <v>79.870002999999997</v>
      </c>
      <c r="I13" s="6">
        <v>0</v>
      </c>
      <c r="J13" t="s">
        <v>116</v>
      </c>
    </row>
    <row r="14" spans="1:10" x14ac:dyDescent="0.25">
      <c r="A14" t="s">
        <v>47</v>
      </c>
      <c r="B14" t="s">
        <v>17</v>
      </c>
      <c r="C14" t="s">
        <v>0</v>
      </c>
      <c r="D14" s="6">
        <v>9900</v>
      </c>
      <c r="E14" s="2">
        <v>36.369999999999997</v>
      </c>
      <c r="F14" s="2">
        <v>36.380000000000003</v>
      </c>
      <c r="G14" s="6">
        <v>24900</v>
      </c>
      <c r="H14" s="2">
        <v>36.43</v>
      </c>
      <c r="I14" s="6">
        <v>0</v>
      </c>
      <c r="J14" t="s">
        <v>116</v>
      </c>
    </row>
    <row r="15" spans="1:10" x14ac:dyDescent="0.25">
      <c r="A15" t="s">
        <v>47</v>
      </c>
      <c r="B15" t="s">
        <v>56</v>
      </c>
      <c r="C15" t="s">
        <v>0</v>
      </c>
      <c r="D15" s="6">
        <v>4100</v>
      </c>
      <c r="E15" s="2">
        <v>49.74</v>
      </c>
      <c r="F15" s="2">
        <v>49.75</v>
      </c>
      <c r="G15" s="6">
        <v>10100</v>
      </c>
      <c r="H15" s="2">
        <v>49.779998999999997</v>
      </c>
      <c r="I15" s="6">
        <v>0</v>
      </c>
      <c r="J15" t="s">
        <v>116</v>
      </c>
    </row>
    <row r="16" spans="1:10" x14ac:dyDescent="0.25">
      <c r="A16" t="s">
        <v>47</v>
      </c>
      <c r="B16" t="s">
        <v>57</v>
      </c>
      <c r="C16" t="s">
        <v>0</v>
      </c>
      <c r="D16" s="6">
        <v>100</v>
      </c>
      <c r="E16" s="2">
        <v>114.26</v>
      </c>
      <c r="F16" s="2">
        <v>114.34</v>
      </c>
      <c r="G16" s="6">
        <v>600</v>
      </c>
      <c r="H16" s="2">
        <v>116.16999800000001</v>
      </c>
      <c r="I16" s="6">
        <v>0</v>
      </c>
      <c r="J16" t="s">
        <v>116</v>
      </c>
    </row>
    <row r="17" spans="1:10" x14ac:dyDescent="0.25">
      <c r="A17" t="s">
        <v>47</v>
      </c>
      <c r="B17" t="s">
        <v>26</v>
      </c>
      <c r="C17" t="s">
        <v>0</v>
      </c>
      <c r="D17" s="6">
        <v>26100</v>
      </c>
      <c r="E17" s="2">
        <v>48.23</v>
      </c>
      <c r="F17" s="2">
        <v>48.24</v>
      </c>
      <c r="G17" s="6">
        <v>18200</v>
      </c>
      <c r="H17" s="2">
        <v>48.389999000000003</v>
      </c>
      <c r="I17" s="6">
        <v>0</v>
      </c>
      <c r="J17" t="s">
        <v>116</v>
      </c>
    </row>
    <row r="18" spans="1:10" x14ac:dyDescent="0.25">
      <c r="A18" t="s">
        <v>47</v>
      </c>
      <c r="B18" t="s">
        <v>58</v>
      </c>
      <c r="C18" t="s">
        <v>0</v>
      </c>
      <c r="D18" s="6">
        <v>500</v>
      </c>
      <c r="E18" s="2">
        <v>41.16</v>
      </c>
      <c r="F18" s="2">
        <v>41.19</v>
      </c>
      <c r="G18" s="6">
        <v>1000</v>
      </c>
      <c r="H18" s="2">
        <v>41.419998</v>
      </c>
      <c r="I18" s="6">
        <v>0</v>
      </c>
      <c r="J18" t="s">
        <v>116</v>
      </c>
    </row>
    <row r="19" spans="1:10" x14ac:dyDescent="0.25">
      <c r="A19" t="s">
        <v>47</v>
      </c>
      <c r="B19" t="s">
        <v>8</v>
      </c>
      <c r="C19" t="s">
        <v>0</v>
      </c>
      <c r="D19" s="6">
        <v>71900</v>
      </c>
      <c r="E19" s="2">
        <v>45.49</v>
      </c>
      <c r="F19" s="2">
        <v>45.5</v>
      </c>
      <c r="G19" s="6">
        <v>2400</v>
      </c>
      <c r="H19" s="2">
        <v>45.619999</v>
      </c>
      <c r="I19" s="6">
        <v>0</v>
      </c>
      <c r="J19" t="s">
        <v>116</v>
      </c>
    </row>
    <row r="20" spans="1:10" x14ac:dyDescent="0.25">
      <c r="A20" t="s">
        <v>47</v>
      </c>
      <c r="B20" t="s">
        <v>20</v>
      </c>
      <c r="C20" t="s">
        <v>0</v>
      </c>
      <c r="D20" s="6">
        <v>15400</v>
      </c>
      <c r="E20" s="2">
        <v>95.94</v>
      </c>
      <c r="F20" s="2">
        <v>95.95</v>
      </c>
      <c r="G20" s="6">
        <v>18800</v>
      </c>
      <c r="H20" s="2">
        <v>96.129997000000003</v>
      </c>
      <c r="I20" s="6">
        <v>0</v>
      </c>
      <c r="J20" t="s">
        <v>116</v>
      </c>
    </row>
    <row r="21" spans="1:10" x14ac:dyDescent="0.25">
      <c r="A21" t="s">
        <v>47</v>
      </c>
      <c r="B21" t="s">
        <v>59</v>
      </c>
      <c r="C21" t="s">
        <v>0</v>
      </c>
      <c r="D21" s="6">
        <v>77800</v>
      </c>
      <c r="E21" s="2">
        <v>106.4</v>
      </c>
      <c r="F21" s="2">
        <v>106.41</v>
      </c>
      <c r="G21" s="6">
        <v>600</v>
      </c>
      <c r="H21" s="2">
        <v>106.730003</v>
      </c>
      <c r="I21" s="6">
        <v>0</v>
      </c>
      <c r="J21" t="s">
        <v>116</v>
      </c>
    </row>
    <row r="22" spans="1:10" x14ac:dyDescent="0.25">
      <c r="A22" t="s">
        <v>47</v>
      </c>
      <c r="B22" t="s">
        <v>23</v>
      </c>
      <c r="C22" t="s">
        <v>0</v>
      </c>
      <c r="D22" s="6">
        <v>6200</v>
      </c>
      <c r="E22" s="2">
        <v>93.15</v>
      </c>
      <c r="F22" s="2">
        <v>93.16</v>
      </c>
      <c r="G22" s="6">
        <v>900</v>
      </c>
      <c r="H22" s="2">
        <v>93.519997000000004</v>
      </c>
      <c r="I22" s="6">
        <v>0</v>
      </c>
      <c r="J22" t="s">
        <v>116</v>
      </c>
    </row>
    <row r="23" spans="1:10" x14ac:dyDescent="0.25">
      <c r="A23" t="s">
        <v>47</v>
      </c>
      <c r="B23" t="s">
        <v>4</v>
      </c>
      <c r="C23" t="s">
        <v>0</v>
      </c>
      <c r="D23" s="6">
        <v>10900</v>
      </c>
      <c r="E23" s="2">
        <v>105.19</v>
      </c>
      <c r="F23" s="2">
        <v>105.2</v>
      </c>
      <c r="G23" s="6">
        <v>200</v>
      </c>
      <c r="H23" s="2">
        <v>105.389999</v>
      </c>
      <c r="I23" s="6">
        <v>-2000</v>
      </c>
      <c r="J23" t="s">
        <v>116</v>
      </c>
    </row>
    <row r="24" spans="1:10" x14ac:dyDescent="0.25">
      <c r="A24" t="s">
        <v>47</v>
      </c>
      <c r="B24" t="s">
        <v>60</v>
      </c>
      <c r="C24" t="s">
        <v>0</v>
      </c>
      <c r="D24" s="6">
        <v>6700</v>
      </c>
      <c r="E24" s="2">
        <v>21.07</v>
      </c>
      <c r="F24" s="2">
        <v>21.08</v>
      </c>
      <c r="G24" s="6">
        <v>4200</v>
      </c>
      <c r="H24" s="2">
        <v>21.139999</v>
      </c>
      <c r="I24" s="6">
        <v>0</v>
      </c>
      <c r="J24" t="s">
        <v>116</v>
      </c>
    </row>
    <row r="25" spans="1:10" x14ac:dyDescent="0.25">
      <c r="A25" t="s">
        <v>47</v>
      </c>
      <c r="B25" t="s">
        <v>61</v>
      </c>
      <c r="C25" t="s">
        <v>0</v>
      </c>
      <c r="D25" s="6">
        <v>23300</v>
      </c>
      <c r="E25" s="2">
        <v>30.6</v>
      </c>
      <c r="F25" s="2">
        <v>30.61</v>
      </c>
      <c r="G25" s="6">
        <v>13200</v>
      </c>
      <c r="H25" s="2">
        <v>30.639999</v>
      </c>
      <c r="I25" s="6">
        <v>-9000</v>
      </c>
      <c r="J25" t="s">
        <v>116</v>
      </c>
    </row>
    <row r="26" spans="1:10" x14ac:dyDescent="0.25">
      <c r="A26" t="s">
        <v>47</v>
      </c>
      <c r="B26" t="s">
        <v>62</v>
      </c>
      <c r="C26" t="s">
        <v>0</v>
      </c>
      <c r="D26" s="6">
        <v>22300</v>
      </c>
      <c r="E26" s="2">
        <v>18.420000000000002</v>
      </c>
      <c r="F26" s="2">
        <v>18.43</v>
      </c>
      <c r="G26" s="6">
        <v>7400</v>
      </c>
      <c r="H26" s="2">
        <v>18.48</v>
      </c>
      <c r="I26" s="6">
        <v>14845</v>
      </c>
      <c r="J26" t="s">
        <v>116</v>
      </c>
    </row>
    <row r="27" spans="1:10" x14ac:dyDescent="0.25">
      <c r="A27" t="s">
        <v>47</v>
      </c>
      <c r="B27" t="s">
        <v>63</v>
      </c>
      <c r="C27" t="s">
        <v>0</v>
      </c>
      <c r="D27" s="6">
        <v>197600</v>
      </c>
      <c r="E27" s="2">
        <v>23.77</v>
      </c>
      <c r="F27" s="2">
        <v>23.78</v>
      </c>
      <c r="G27" s="6">
        <v>42100</v>
      </c>
      <c r="H27" s="2">
        <v>23.85</v>
      </c>
      <c r="I27" s="6">
        <v>0</v>
      </c>
      <c r="J27" t="s">
        <v>116</v>
      </c>
    </row>
    <row r="28" spans="1:10" x14ac:dyDescent="0.25">
      <c r="A28" t="s">
        <v>47</v>
      </c>
      <c r="B28" t="s">
        <v>29</v>
      </c>
      <c r="C28" t="s">
        <v>0</v>
      </c>
      <c r="D28" s="6">
        <v>35600</v>
      </c>
      <c r="E28" s="2">
        <v>30.18</v>
      </c>
      <c r="F28" s="2">
        <v>30.19</v>
      </c>
      <c r="G28" s="6">
        <v>35100</v>
      </c>
      <c r="H28" s="2">
        <v>30.26</v>
      </c>
      <c r="I28" s="6">
        <v>0</v>
      </c>
      <c r="J28" t="s">
        <v>116</v>
      </c>
    </row>
    <row r="29" spans="1:10" x14ac:dyDescent="0.25">
      <c r="A29" t="s">
        <v>47</v>
      </c>
      <c r="B29" t="s">
        <v>6</v>
      </c>
      <c r="C29" t="s">
        <v>0</v>
      </c>
      <c r="D29" s="6">
        <v>107500</v>
      </c>
      <c r="E29" s="2">
        <v>22.78</v>
      </c>
      <c r="F29" s="2">
        <v>22.79</v>
      </c>
      <c r="G29" s="6">
        <v>63000</v>
      </c>
      <c r="H29" s="2">
        <v>22.85</v>
      </c>
      <c r="I29" s="6">
        <v>0</v>
      </c>
      <c r="J29" t="s">
        <v>116</v>
      </c>
    </row>
    <row r="30" spans="1:10" x14ac:dyDescent="0.25">
      <c r="A30" t="s">
        <v>47</v>
      </c>
      <c r="B30" t="s">
        <v>16</v>
      </c>
      <c r="C30" t="s">
        <v>0</v>
      </c>
      <c r="D30" s="6">
        <v>13600</v>
      </c>
      <c r="E30" s="2">
        <v>26.05</v>
      </c>
      <c r="F30" s="2">
        <v>26.06</v>
      </c>
      <c r="G30" s="6">
        <v>15700</v>
      </c>
      <c r="H30" s="2">
        <v>26.1</v>
      </c>
      <c r="I30" s="6">
        <v>0</v>
      </c>
      <c r="J30" t="s">
        <v>116</v>
      </c>
    </row>
    <row r="31" spans="1:10" x14ac:dyDescent="0.25">
      <c r="A31" t="s">
        <v>47</v>
      </c>
      <c r="B31" t="s">
        <v>7</v>
      </c>
      <c r="C31" t="s">
        <v>0</v>
      </c>
      <c r="D31" s="6">
        <v>200900</v>
      </c>
      <c r="E31" s="2">
        <v>25.13</v>
      </c>
      <c r="F31" s="2">
        <v>25.14</v>
      </c>
      <c r="G31" s="6">
        <v>199100</v>
      </c>
      <c r="H31" s="2">
        <v>25.200001</v>
      </c>
      <c r="I31" s="6">
        <v>0</v>
      </c>
      <c r="J31" t="s">
        <v>116</v>
      </c>
    </row>
    <row r="32" spans="1:10" x14ac:dyDescent="0.25">
      <c r="A32" t="s">
        <v>47</v>
      </c>
      <c r="B32" t="s">
        <v>32</v>
      </c>
      <c r="C32" t="s">
        <v>0</v>
      </c>
      <c r="D32" s="6">
        <v>79700</v>
      </c>
      <c r="E32" s="2">
        <v>28.47</v>
      </c>
      <c r="F32" s="2">
        <v>28.48</v>
      </c>
      <c r="G32" s="6">
        <v>27400</v>
      </c>
      <c r="H32" s="2">
        <v>28.549999</v>
      </c>
      <c r="I32" s="6">
        <v>0</v>
      </c>
      <c r="J32" t="s">
        <v>116</v>
      </c>
    </row>
    <row r="33" spans="1:10" x14ac:dyDescent="0.25">
      <c r="A33" t="s">
        <v>47</v>
      </c>
      <c r="B33" t="s">
        <v>15</v>
      </c>
      <c r="C33" t="s">
        <v>0</v>
      </c>
      <c r="D33" s="6">
        <v>365400</v>
      </c>
      <c r="E33" s="2">
        <v>23.31</v>
      </c>
      <c r="F33" s="2">
        <v>23.32</v>
      </c>
      <c r="G33" s="6">
        <v>124700</v>
      </c>
      <c r="H33" s="2">
        <v>23.360001</v>
      </c>
      <c r="I33" s="6">
        <v>0</v>
      </c>
      <c r="J33" t="s">
        <v>116</v>
      </c>
    </row>
    <row r="34" spans="1:10" x14ac:dyDescent="0.25">
      <c r="A34" t="s">
        <v>47</v>
      </c>
      <c r="B34" t="s">
        <v>25</v>
      </c>
      <c r="C34" t="s">
        <v>0</v>
      </c>
      <c r="D34" s="6">
        <v>165400</v>
      </c>
      <c r="E34" s="2">
        <v>21.53</v>
      </c>
      <c r="F34" s="2">
        <v>21.54</v>
      </c>
      <c r="G34" s="6">
        <v>9300</v>
      </c>
      <c r="H34" s="2">
        <v>21.610001</v>
      </c>
      <c r="I34" s="6">
        <v>0</v>
      </c>
      <c r="J34" t="s">
        <v>116</v>
      </c>
    </row>
    <row r="35" spans="1:10" x14ac:dyDescent="0.25">
      <c r="A35" t="s">
        <v>47</v>
      </c>
      <c r="B35" t="s">
        <v>21</v>
      </c>
      <c r="C35" t="s">
        <v>0</v>
      </c>
      <c r="D35" s="6">
        <v>18500</v>
      </c>
      <c r="E35" s="2">
        <v>21.98</v>
      </c>
      <c r="F35" s="2">
        <v>21.99</v>
      </c>
      <c r="G35" s="6">
        <v>28300</v>
      </c>
      <c r="H35" s="2">
        <v>22.059999000000001</v>
      </c>
      <c r="I35" s="6">
        <v>0</v>
      </c>
      <c r="J35" t="s">
        <v>116</v>
      </c>
    </row>
    <row r="36" spans="1:10" x14ac:dyDescent="0.25">
      <c r="A36" t="s">
        <v>47</v>
      </c>
      <c r="B36" t="s">
        <v>28</v>
      </c>
      <c r="C36" t="s">
        <v>0</v>
      </c>
      <c r="D36" s="6">
        <v>360500</v>
      </c>
      <c r="E36" s="2">
        <v>25.3</v>
      </c>
      <c r="F36" s="2">
        <v>25.31</v>
      </c>
      <c r="G36" s="6">
        <v>284200</v>
      </c>
      <c r="H36" s="2">
        <v>25.370000999999998</v>
      </c>
      <c r="I36" s="6">
        <v>0</v>
      </c>
      <c r="J36" t="s">
        <v>116</v>
      </c>
    </row>
    <row r="37" spans="1:10" x14ac:dyDescent="0.25">
      <c r="A37" t="s">
        <v>47</v>
      </c>
      <c r="B37" t="s">
        <v>24</v>
      </c>
      <c r="C37" t="s">
        <v>0</v>
      </c>
      <c r="D37" s="6">
        <v>9500</v>
      </c>
      <c r="E37" s="2">
        <v>44.7</v>
      </c>
      <c r="F37" s="2">
        <v>44.71</v>
      </c>
      <c r="G37" s="6">
        <v>4100</v>
      </c>
      <c r="H37" s="2">
        <v>44.77</v>
      </c>
      <c r="I37" s="6">
        <v>0</v>
      </c>
      <c r="J37" t="s">
        <v>116</v>
      </c>
    </row>
    <row r="38" spans="1:10" x14ac:dyDescent="0.25">
      <c r="A38" t="s">
        <v>47</v>
      </c>
      <c r="B38" t="s">
        <v>30</v>
      </c>
      <c r="C38" t="s">
        <v>0</v>
      </c>
      <c r="D38" s="6">
        <v>48600</v>
      </c>
      <c r="E38" s="2">
        <v>82.93</v>
      </c>
      <c r="F38" s="2">
        <v>82.94</v>
      </c>
      <c r="G38" s="6">
        <v>17700</v>
      </c>
      <c r="H38" s="2">
        <v>83.129997000000003</v>
      </c>
      <c r="I38" s="6">
        <v>804</v>
      </c>
      <c r="J38" t="s">
        <v>116</v>
      </c>
    </row>
    <row r="39" spans="1:10" x14ac:dyDescent="0.25">
      <c r="A39" t="s">
        <v>47</v>
      </c>
      <c r="B39" t="s">
        <v>18</v>
      </c>
      <c r="C39" t="s">
        <v>0</v>
      </c>
      <c r="D39" s="6">
        <v>223800</v>
      </c>
      <c r="E39" s="2">
        <v>36.869999999999997</v>
      </c>
      <c r="F39" s="2">
        <v>36.880000000000003</v>
      </c>
      <c r="G39" s="6">
        <v>224700</v>
      </c>
      <c r="H39" s="2">
        <v>36.939999</v>
      </c>
      <c r="I39" s="6">
        <v>0</v>
      </c>
      <c r="J39" t="s">
        <v>116</v>
      </c>
    </row>
    <row r="40" spans="1:10" x14ac:dyDescent="0.25">
      <c r="A40" t="s">
        <v>47</v>
      </c>
      <c r="B40" t="s">
        <v>33</v>
      </c>
      <c r="C40" t="s">
        <v>0</v>
      </c>
      <c r="D40" s="6">
        <v>27900</v>
      </c>
      <c r="E40" s="2">
        <v>50.35</v>
      </c>
      <c r="F40" s="2">
        <v>50.36</v>
      </c>
      <c r="G40" s="6">
        <v>49600</v>
      </c>
      <c r="H40" s="2">
        <v>50.490001999999997</v>
      </c>
      <c r="I40" s="6">
        <v>0</v>
      </c>
      <c r="J40" t="s">
        <v>116</v>
      </c>
    </row>
    <row r="41" spans="1:10" x14ac:dyDescent="0.25">
      <c r="A41" t="s">
        <v>47</v>
      </c>
      <c r="B41" t="s">
        <v>64</v>
      </c>
      <c r="C41" t="s">
        <v>0</v>
      </c>
      <c r="D41" s="6">
        <v>2000</v>
      </c>
      <c r="E41" s="2">
        <v>66.31</v>
      </c>
      <c r="F41" s="2">
        <v>66.319999999999993</v>
      </c>
      <c r="G41" s="6">
        <v>500</v>
      </c>
      <c r="H41" s="2">
        <v>66.599997999999999</v>
      </c>
      <c r="I41" s="6">
        <v>0</v>
      </c>
      <c r="J41" t="s">
        <v>116</v>
      </c>
    </row>
    <row r="42" spans="1:10" x14ac:dyDescent="0.25">
      <c r="A42" t="s">
        <v>47</v>
      </c>
      <c r="B42" t="s">
        <v>27</v>
      </c>
      <c r="C42" t="s">
        <v>0</v>
      </c>
      <c r="D42" s="6">
        <v>10800</v>
      </c>
      <c r="E42" s="2">
        <v>72.39</v>
      </c>
      <c r="F42" s="2">
        <v>72.400000000000006</v>
      </c>
      <c r="G42" s="6">
        <v>2700</v>
      </c>
      <c r="H42" s="2">
        <v>72.620002999999997</v>
      </c>
      <c r="I42" s="6">
        <v>0</v>
      </c>
      <c r="J42" t="s">
        <v>116</v>
      </c>
    </row>
    <row r="43" spans="1:10" x14ac:dyDescent="0.25">
      <c r="A43" t="s">
        <v>47</v>
      </c>
      <c r="B43" t="s">
        <v>31</v>
      </c>
      <c r="C43" t="s">
        <v>0</v>
      </c>
      <c r="D43" s="6">
        <v>19200</v>
      </c>
      <c r="E43" s="2">
        <v>53.21</v>
      </c>
      <c r="F43" s="2">
        <v>53.22</v>
      </c>
      <c r="G43" s="6">
        <v>30200</v>
      </c>
      <c r="H43" s="2">
        <v>53.349997999999999</v>
      </c>
      <c r="I43" s="6">
        <v>-1254</v>
      </c>
      <c r="J43" t="s">
        <v>116</v>
      </c>
    </row>
    <row r="44" spans="1:10" x14ac:dyDescent="0.25">
      <c r="A44" t="s">
        <v>47</v>
      </c>
      <c r="B44" t="s">
        <v>22</v>
      </c>
      <c r="C44" t="s">
        <v>0</v>
      </c>
      <c r="D44" s="6">
        <v>8100</v>
      </c>
      <c r="E44" s="2">
        <v>46.15</v>
      </c>
      <c r="F44" s="2">
        <v>46.16</v>
      </c>
      <c r="G44" s="6">
        <v>11000</v>
      </c>
      <c r="H44" s="2">
        <v>46.369999</v>
      </c>
      <c r="I44" s="6">
        <v>0</v>
      </c>
      <c r="J44" t="s">
        <v>116</v>
      </c>
    </row>
    <row r="45" spans="1:10" x14ac:dyDescent="0.25">
      <c r="A45" t="s">
        <v>47</v>
      </c>
      <c r="B45" t="s">
        <v>34</v>
      </c>
      <c r="C45" t="s">
        <v>0</v>
      </c>
      <c r="D45" s="6">
        <v>2000</v>
      </c>
      <c r="E45" s="2">
        <v>75.31</v>
      </c>
      <c r="F45" s="2">
        <v>75.34</v>
      </c>
      <c r="G45" s="6">
        <v>700</v>
      </c>
      <c r="H45" s="2">
        <v>75.510002</v>
      </c>
      <c r="I45" s="6">
        <v>0</v>
      </c>
      <c r="J45" t="s">
        <v>116</v>
      </c>
    </row>
    <row r="46" spans="1:10" x14ac:dyDescent="0.25">
      <c r="A46" t="s">
        <v>47</v>
      </c>
      <c r="B46" t="s">
        <v>3</v>
      </c>
      <c r="C46" t="s">
        <v>0</v>
      </c>
      <c r="D46" s="6">
        <v>70300</v>
      </c>
      <c r="E46" s="2">
        <v>49.41</v>
      </c>
      <c r="F46" s="2">
        <v>49.42</v>
      </c>
      <c r="G46" s="6">
        <v>46700</v>
      </c>
      <c r="H46" s="2">
        <v>49.48</v>
      </c>
      <c r="I46" s="6">
        <v>4260</v>
      </c>
      <c r="J46" t="s">
        <v>116</v>
      </c>
    </row>
    <row r="47" spans="1:10" x14ac:dyDescent="0.25">
      <c r="A47" t="s">
        <v>47</v>
      </c>
      <c r="B47" t="s">
        <v>65</v>
      </c>
      <c r="C47" t="s">
        <v>0</v>
      </c>
      <c r="D47" s="6">
        <v>1100</v>
      </c>
      <c r="E47" s="2">
        <v>98.3</v>
      </c>
      <c r="F47" s="2">
        <v>98.31</v>
      </c>
      <c r="G47" s="6">
        <v>3700</v>
      </c>
      <c r="H47" s="2">
        <v>98.400002000000001</v>
      </c>
      <c r="I47" s="6">
        <v>0</v>
      </c>
      <c r="J47" t="s">
        <v>116</v>
      </c>
    </row>
    <row r="48" spans="1:10" x14ac:dyDescent="0.25">
      <c r="A48" t="s">
        <v>47</v>
      </c>
      <c r="B48" t="s">
        <v>66</v>
      </c>
      <c r="C48" t="s">
        <v>0</v>
      </c>
      <c r="D48" s="6">
        <v>6700</v>
      </c>
      <c r="E48" s="2">
        <v>66.06</v>
      </c>
      <c r="F48" s="2">
        <v>66.069999999999993</v>
      </c>
      <c r="G48" s="6">
        <v>1800</v>
      </c>
      <c r="H48" s="2">
        <v>66.199996999999996</v>
      </c>
      <c r="I48" s="6">
        <v>0</v>
      </c>
      <c r="J48" t="s">
        <v>116</v>
      </c>
    </row>
    <row r="49" spans="1:10" x14ac:dyDescent="0.25">
      <c r="A49" t="s">
        <v>47</v>
      </c>
      <c r="B49" t="s">
        <v>66</v>
      </c>
      <c r="C49" t="s">
        <v>0</v>
      </c>
      <c r="D49" s="6">
        <v>900</v>
      </c>
      <c r="E49" s="2">
        <v>65.97</v>
      </c>
      <c r="F49" s="2">
        <v>65.989999999999995</v>
      </c>
      <c r="G49" s="6">
        <v>900</v>
      </c>
      <c r="H49" s="2">
        <v>66.129997000000003</v>
      </c>
      <c r="I49" s="6">
        <v>0</v>
      </c>
      <c r="J49" t="s">
        <v>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3CA3-6BAF-4DE9-9A96-345BF7575CFF}">
  <sheetPr codeName="Sheet4"/>
  <dimension ref="A1:AH49"/>
  <sheetViews>
    <sheetView tabSelected="1" zoomScale="85" zoomScaleNormal="85" workbookViewId="0">
      <selection activeCell="M15" sqref="M15"/>
    </sheetView>
  </sheetViews>
  <sheetFormatPr defaultRowHeight="15" x14ac:dyDescent="0.25"/>
  <cols>
    <col min="1" max="1" width="7" style="13" bestFit="1" customWidth="1"/>
    <col min="2" max="2" width="9.42578125" style="13" bestFit="1" customWidth="1"/>
    <col min="3" max="3" width="6.85546875" style="13" bestFit="1" customWidth="1"/>
    <col min="4" max="4" width="7.85546875" style="11" bestFit="1" customWidth="1"/>
    <col min="5" max="5" width="7.7109375" style="11" bestFit="1" customWidth="1"/>
    <col min="6" max="6" width="8" style="11" bestFit="1" customWidth="1"/>
    <col min="7" max="7" width="10.7109375" style="82" bestFit="1" customWidth="1"/>
    <col min="8" max="8" width="7.7109375" style="11" bestFit="1" customWidth="1"/>
    <col min="9" max="9" width="10.28515625" style="11" bestFit="1" customWidth="1"/>
    <col min="10" max="11" width="9" style="2" bestFit="1" customWidth="1"/>
    <col min="12" max="12" width="14.28515625" style="16" bestFit="1" customWidth="1"/>
    <col min="13" max="13" width="14.5703125" style="16" bestFit="1" customWidth="1"/>
    <col min="14" max="14" width="8.5703125" style="72" bestFit="1" customWidth="1"/>
    <col min="15" max="15" width="10" style="10" bestFit="1" customWidth="1"/>
    <col min="16" max="16" width="10.7109375" style="10" bestFit="1" customWidth="1"/>
    <col min="17" max="17" width="10" bestFit="1" customWidth="1"/>
    <col min="18" max="18" width="10.7109375" bestFit="1" customWidth="1"/>
    <col min="19" max="19" width="11" style="14" bestFit="1" customWidth="1"/>
    <col min="20" max="20" width="7.85546875" bestFit="1" customWidth="1"/>
    <col min="21" max="21" width="9.7109375" style="44" bestFit="1" customWidth="1"/>
    <col min="22" max="22" width="9.5703125" style="40" bestFit="1" customWidth="1"/>
    <col min="23" max="23" width="9.7109375" style="40" bestFit="1" customWidth="1"/>
    <col min="24" max="24" width="9.5703125" style="1" bestFit="1" customWidth="1"/>
    <col min="25" max="25" width="6.42578125" bestFit="1" customWidth="1"/>
    <col min="26" max="26" width="19" bestFit="1" customWidth="1"/>
    <col min="27" max="27" width="17.42578125" bestFit="1" customWidth="1"/>
    <col min="28" max="28" width="5.5703125" bestFit="1" customWidth="1"/>
    <col min="30" max="30" width="16.42578125" bestFit="1" customWidth="1"/>
    <col min="31" max="31" width="9.5703125" bestFit="1" customWidth="1"/>
    <col min="33" max="33" width="16.42578125" bestFit="1" customWidth="1"/>
    <col min="34" max="34" width="9.5703125" bestFit="1" customWidth="1"/>
  </cols>
  <sheetData>
    <row r="1" spans="1:28" x14ac:dyDescent="0.25">
      <c r="A1" s="207" t="s">
        <v>77</v>
      </c>
      <c r="B1" s="208"/>
      <c r="C1" s="83"/>
      <c r="D1" s="84"/>
      <c r="E1" s="104"/>
      <c r="F1" s="205" t="s">
        <v>83</v>
      </c>
      <c r="G1" s="205"/>
      <c r="H1" s="205"/>
      <c r="I1" s="206"/>
      <c r="J1" s="209" t="s">
        <v>79</v>
      </c>
      <c r="K1" s="210"/>
      <c r="L1" s="211">
        <v>5.0000000000000001E-3</v>
      </c>
      <c r="M1" s="211"/>
      <c r="N1" s="56"/>
      <c r="O1" s="212" t="s">
        <v>82</v>
      </c>
      <c r="P1" s="213"/>
      <c r="Q1" s="214" t="s">
        <v>103</v>
      </c>
      <c r="R1" s="213"/>
      <c r="S1" s="203" t="s">
        <v>104</v>
      </c>
      <c r="T1" s="204"/>
      <c r="U1" s="62" t="s">
        <v>101</v>
      </c>
      <c r="V1" s="64" t="s">
        <v>102</v>
      </c>
      <c r="W1" s="64" t="s">
        <v>102</v>
      </c>
      <c r="X1" s="63" t="s">
        <v>101</v>
      </c>
      <c r="Z1" s="192" t="s">
        <v>105</v>
      </c>
      <c r="AA1" s="192"/>
      <c r="AB1" s="73"/>
    </row>
    <row r="2" spans="1:28" ht="15.75" thickBot="1" x14ac:dyDescent="0.3">
      <c r="A2" s="45" t="s">
        <v>76</v>
      </c>
      <c r="B2" s="46" t="s">
        <v>78</v>
      </c>
      <c r="C2" s="85" t="s">
        <v>106</v>
      </c>
      <c r="D2" s="86" t="s">
        <v>69</v>
      </c>
      <c r="E2" s="105" t="str">
        <f>E21</f>
        <v>margin</v>
      </c>
      <c r="F2" s="103" t="s">
        <v>84</v>
      </c>
      <c r="G2" s="87" t="s">
        <v>111</v>
      </c>
      <c r="H2" s="88" t="s">
        <v>109</v>
      </c>
      <c r="I2" s="89" t="s">
        <v>85</v>
      </c>
      <c r="J2" s="90" t="s">
        <v>80</v>
      </c>
      <c r="K2" s="91" t="s">
        <v>81</v>
      </c>
      <c r="L2" s="92" t="s">
        <v>71</v>
      </c>
      <c r="M2" s="92" t="s">
        <v>72</v>
      </c>
      <c r="N2" s="93" t="s">
        <v>70</v>
      </c>
      <c r="O2" s="94" t="s">
        <v>74</v>
      </c>
      <c r="P2" s="95" t="s">
        <v>75</v>
      </c>
      <c r="Q2" s="57" t="s">
        <v>99</v>
      </c>
      <c r="R2" s="65" t="s">
        <v>36</v>
      </c>
      <c r="S2" s="57" t="s">
        <v>99</v>
      </c>
      <c r="T2" s="65" t="s">
        <v>36</v>
      </c>
      <c r="U2" s="97" t="s">
        <v>107</v>
      </c>
      <c r="V2" s="66" t="s">
        <v>108</v>
      </c>
      <c r="W2" s="66" t="s">
        <v>107</v>
      </c>
      <c r="X2" s="98" t="s">
        <v>108</v>
      </c>
      <c r="Z2" s="74" t="s">
        <v>103</v>
      </c>
      <c r="AA2" s="75" t="s">
        <v>104</v>
      </c>
      <c r="AB2" s="75"/>
    </row>
    <row r="3" spans="1:28" x14ac:dyDescent="0.25">
      <c r="A3" s="19">
        <f>MATCH(D3,'TRADING INPUTS'!D:D,0)</f>
        <v>16</v>
      </c>
      <c r="B3" s="47">
        <f>MATCH(D3,'MKT DATA'!B:B,0)</f>
        <v>9</v>
      </c>
      <c r="C3" s="20" t="s">
        <v>57</v>
      </c>
      <c r="D3" s="21" t="s">
        <v>52</v>
      </c>
      <c r="E3" s="108">
        <v>0.16500000000000001</v>
      </c>
      <c r="F3" s="41" cm="1">
        <f t="array" aca="1" ref="F3" ca="1">INDIRECT(ADDRESS($B3,9,,,"mkt data"))</f>
        <v>0</v>
      </c>
      <c r="G3" s="79">
        <f ca="1">F3*AVERAGE(J3:K3)</f>
        <v>0</v>
      </c>
      <c r="H3" s="41">
        <f t="shared" ref="H3:H18" ca="1" si="0">F3/N3</f>
        <v>0</v>
      </c>
      <c r="I3" s="199">
        <f ca="1">SUM(H3:H4)</f>
        <v>0</v>
      </c>
      <c r="J3" s="50" cm="1">
        <f t="array" aca="1" ref="J3" ca="1">INDIRECT(ADDRESS($B3,5,,,"mkt data"))</f>
        <v>102.47</v>
      </c>
      <c r="K3" s="51" cm="1">
        <f t="array" aca="1" ref="K3" ca="1">INDIRECT(ADDRESS($B3,6,,,"mkt data"))</f>
        <v>102.67</v>
      </c>
      <c r="L3" s="22">
        <f t="shared" ref="L3:L18" ca="1" si="1">J3-L$20</f>
        <v>102.465</v>
      </c>
      <c r="M3" s="22">
        <f t="shared" ref="M3:M18" ca="1" si="2">K3+L$20</f>
        <v>102.675</v>
      </c>
      <c r="N3" s="67" cm="1">
        <f t="array" aca="1" ref="N3" ca="1">INDIRECT(ADDRESS($A3,7,,,"trading inputs"))</f>
        <v>1.1149108835444266</v>
      </c>
      <c r="O3" s="23">
        <f ca="1">L3*N3</f>
        <v>114.23934368237967</v>
      </c>
      <c r="P3" s="23">
        <f ca="1">-N3*M3</f>
        <v>-114.47347496792399</v>
      </c>
      <c r="Q3" s="195">
        <f ca="1">P3+O4</f>
        <v>-0.21847496792398147</v>
      </c>
      <c r="R3" s="197">
        <f ca="1">Q3/AVERAGE(O4,-P4)</f>
        <v>-1.911417042204562E-3</v>
      </c>
      <c r="S3" s="195">
        <f ca="1">O3+P4</f>
        <v>-0.10565631762032979</v>
      </c>
      <c r="T3" s="197">
        <f ca="1">S3/AVERAGE(O4,-P4)</f>
        <v>-9.2437723202388252E-4</v>
      </c>
      <c r="U3" s="99">
        <f>Z3</f>
        <v>2E-3</v>
      </c>
      <c r="V3" s="68">
        <f>Z4</f>
        <v>1.5E-3</v>
      </c>
      <c r="W3" s="68">
        <f>AA4</f>
        <v>1.5E-3</v>
      </c>
      <c r="X3" s="100">
        <f>AA3</f>
        <v>2E-3</v>
      </c>
      <c r="Z3" s="76">
        <v>2E-3</v>
      </c>
      <c r="AA3" s="77">
        <v>2E-3</v>
      </c>
      <c r="AB3" s="78" t="s">
        <v>101</v>
      </c>
    </row>
    <row r="4" spans="1:28" ht="15.75" thickBot="1" x14ac:dyDescent="0.3">
      <c r="A4" s="27">
        <f>MATCH(D4,'TRADING INPUTS'!D:D,0)</f>
        <v>17</v>
      </c>
      <c r="B4" s="49">
        <f>MATCH(D4,'MKT DATA'!B:B,0)</f>
        <v>16</v>
      </c>
      <c r="C4" s="28" t="s">
        <v>57</v>
      </c>
      <c r="D4" s="29" t="s">
        <v>57</v>
      </c>
      <c r="E4" s="109">
        <v>0.16500000000000001</v>
      </c>
      <c r="F4" s="43" cm="1">
        <f t="array" aca="1" ref="F4" ca="1">INDIRECT(ADDRESS($B4,9,,,"mkt data"))</f>
        <v>0</v>
      </c>
      <c r="G4" s="81">
        <f t="shared" ref="G4:G18" ca="1" si="3">F4*AVERAGE(J4:K4)</f>
        <v>0</v>
      </c>
      <c r="H4" s="43">
        <f t="shared" ca="1" si="0"/>
        <v>0</v>
      </c>
      <c r="I4" s="200"/>
      <c r="J4" s="54" cm="1">
        <f t="array" aca="1" ref="J4" ca="1">INDIRECT(ADDRESS($B4,5,,,"mkt data"))</f>
        <v>114.26</v>
      </c>
      <c r="K4" s="55" cm="1">
        <f t="array" aca="1" ref="K4" ca="1">INDIRECT(ADDRESS($B4,6,,,"mkt data"))</f>
        <v>114.34</v>
      </c>
      <c r="L4" s="30">
        <f t="shared" ca="1" si="1"/>
        <v>114.25500000000001</v>
      </c>
      <c r="M4" s="30">
        <f t="shared" ca="1" si="2"/>
        <v>114.345</v>
      </c>
      <c r="N4" s="69" cm="1">
        <f t="array" aca="1" ref="N4" ca="1">INDIRECT(ADDRESS($A4,7,,,"trading inputs"))</f>
        <v>1</v>
      </c>
      <c r="O4" s="31">
        <f ca="1">L4*N4</f>
        <v>114.25500000000001</v>
      </c>
      <c r="P4" s="31">
        <f ca="1">-N4*M4</f>
        <v>-114.345</v>
      </c>
      <c r="Q4" s="196"/>
      <c r="R4" s="198"/>
      <c r="S4" s="196"/>
      <c r="T4" s="198"/>
      <c r="U4" s="101" t="b">
        <f ca="1">IF(R3&gt;U3,TRUE,FALSE)</f>
        <v>0</v>
      </c>
      <c r="V4" s="70" t="b">
        <f ca="1">AND(IF(T3&gt;-V3,TRUE,FALSE),IF(F3&gt;0,TRUE,FALSE))</f>
        <v>0</v>
      </c>
      <c r="W4" s="70" t="b">
        <f ca="1">AND(IF(R3&gt;-W3,TRUE,FALSE),IF(F3&lt;0,TRUE,FALSE))</f>
        <v>0</v>
      </c>
      <c r="X4" s="102" t="b">
        <f ca="1">IF(T3&gt;X3,TRUE,FALSE)</f>
        <v>0</v>
      </c>
      <c r="Z4" s="77">
        <v>1.5E-3</v>
      </c>
      <c r="AA4" s="77">
        <v>1.5E-3</v>
      </c>
      <c r="AB4" s="78" t="s">
        <v>102</v>
      </c>
    </row>
    <row r="5" spans="1:28" x14ac:dyDescent="0.25">
      <c r="A5" s="19">
        <f>MATCH(D5,'TRADING INPUTS'!D:D,0)</f>
        <v>18</v>
      </c>
      <c r="B5" s="47">
        <f>MATCH(D5,'MKT DATA'!B:B,0)</f>
        <v>6</v>
      </c>
      <c r="C5" s="20" t="s">
        <v>58</v>
      </c>
      <c r="D5" s="21" t="s">
        <v>50</v>
      </c>
      <c r="E5" s="108">
        <v>0.16500000000000001</v>
      </c>
      <c r="F5" s="41" cm="1">
        <f t="array" aca="1" ref="F5" ca="1">INDIRECT(ADDRESS($B5,9,,,"mkt data"))</f>
        <v>0</v>
      </c>
      <c r="G5" s="79">
        <f t="shared" ca="1" si="3"/>
        <v>0</v>
      </c>
      <c r="H5" s="41">
        <f t="shared" ca="1" si="0"/>
        <v>0</v>
      </c>
      <c r="I5" s="201">
        <f ca="1">SUM(H5:H6)</f>
        <v>0</v>
      </c>
      <c r="J5" s="50" cm="1">
        <f t="array" aca="1" ref="J5" ca="1">INDIRECT(ADDRESS($B5,5,,,"mkt data"))</f>
        <v>21.77</v>
      </c>
      <c r="K5" s="51" cm="1">
        <f t="array" aca="1" ref="K5" ca="1">INDIRECT(ADDRESS($B5,6,,,"mkt data"))</f>
        <v>21.78</v>
      </c>
      <c r="L5" s="22">
        <f t="shared" ca="1" si="1"/>
        <v>21.765000000000001</v>
      </c>
      <c r="M5" s="22">
        <f t="shared" ca="1" si="2"/>
        <v>21.785</v>
      </c>
      <c r="N5" s="67" cm="1">
        <f t="array" aca="1" ref="N5" ca="1">INDIRECT(ADDRESS($A5,7,,,"trading inputs"))</f>
        <v>1.8902875952423011</v>
      </c>
      <c r="O5" s="23">
        <f ca="1">L5*N5</f>
        <v>41.142109510448684</v>
      </c>
      <c r="P5" s="23">
        <f ca="1">-N5*M5</f>
        <v>-41.179915262353532</v>
      </c>
      <c r="Q5" s="195">
        <f ca="1">P5+O6</f>
        <v>-2.4915262353538026E-2</v>
      </c>
      <c r="R5" s="197">
        <f ca="1">Q5/AVERAGE(O6,-P6)</f>
        <v>-6.0510655381998857E-4</v>
      </c>
      <c r="S5" s="195">
        <f ca="1">O5+P6</f>
        <v>-5.2890489551316477E-2</v>
      </c>
      <c r="T5" s="197">
        <f ca="1">S5/AVERAGE(O6,-P6)</f>
        <v>-1.2845291937174615E-3</v>
      </c>
      <c r="U5" s="99">
        <f>Z5</f>
        <v>4.0000000000000001E-3</v>
      </c>
      <c r="V5" s="68">
        <f>Z6</f>
        <v>3.0000000000000001E-3</v>
      </c>
      <c r="W5" s="68">
        <f>AA6</f>
        <v>2E-3</v>
      </c>
      <c r="X5" s="100">
        <f>AA5</f>
        <v>2E-3</v>
      </c>
      <c r="Z5" s="76">
        <v>4.0000000000000001E-3</v>
      </c>
      <c r="AA5" s="77">
        <v>2E-3</v>
      </c>
      <c r="AB5" s="78" t="s">
        <v>101</v>
      </c>
    </row>
    <row r="6" spans="1:28" ht="15.75" thickBot="1" x14ac:dyDescent="0.3">
      <c r="A6" s="27">
        <f>MATCH(D6,'TRADING INPUTS'!D:D,0)</f>
        <v>19</v>
      </c>
      <c r="B6" s="49">
        <f>MATCH(D6,'MKT DATA'!B:B,0)</f>
        <v>18</v>
      </c>
      <c r="C6" s="28" t="s">
        <v>58</v>
      </c>
      <c r="D6" s="29" t="s">
        <v>58</v>
      </c>
      <c r="E6" s="109">
        <v>0.16500000000000001</v>
      </c>
      <c r="F6" s="43" cm="1">
        <f t="array" aca="1" ref="F6" ca="1">INDIRECT(ADDRESS($B6,9,,,"mkt data"))</f>
        <v>0</v>
      </c>
      <c r="G6" s="81">
        <f t="shared" ca="1" si="3"/>
        <v>0</v>
      </c>
      <c r="H6" s="43">
        <f t="shared" ca="1" si="0"/>
        <v>0</v>
      </c>
      <c r="I6" s="202"/>
      <c r="J6" s="54" cm="1">
        <f t="array" aca="1" ref="J6" ca="1">INDIRECT(ADDRESS($B6,5,,,"mkt data"))</f>
        <v>41.16</v>
      </c>
      <c r="K6" s="55" cm="1">
        <f t="array" aca="1" ref="K6" ca="1">INDIRECT(ADDRESS($B6,6,,,"mkt data"))</f>
        <v>41.19</v>
      </c>
      <c r="L6" s="30">
        <f t="shared" ca="1" si="1"/>
        <v>41.154999999999994</v>
      </c>
      <c r="M6" s="30">
        <f t="shared" ca="1" si="2"/>
        <v>41.195</v>
      </c>
      <c r="N6" s="69" cm="1">
        <f t="array" aca="1" ref="N6" ca="1">INDIRECT(ADDRESS($A6,7,,,"trading inputs"))</f>
        <v>1</v>
      </c>
      <c r="O6" s="31">
        <f ca="1">L6*N6</f>
        <v>41.154999999999994</v>
      </c>
      <c r="P6" s="31">
        <f ca="1">-N6*M6</f>
        <v>-41.195</v>
      </c>
      <c r="Q6" s="196"/>
      <c r="R6" s="198"/>
      <c r="S6" s="196"/>
      <c r="T6" s="198"/>
      <c r="U6" s="101" t="b">
        <f ca="1">IF(R5&gt;U5,TRUE,FALSE)</f>
        <v>0</v>
      </c>
      <c r="V6" s="70" t="b">
        <f ca="1">AND(IF(T5&gt;-V5,TRUE,FALSE),IF(F5&gt;0,TRUE,FALSE))</f>
        <v>0</v>
      </c>
      <c r="W6" s="70" t="b">
        <f ca="1">AND(IF(R5&gt;-W5,TRUE,FALSE),IF(F5&lt;0,TRUE,FALSE))</f>
        <v>0</v>
      </c>
      <c r="X6" s="102" t="b">
        <f ca="1">IF(T5&gt;X5,TRUE,FALSE)</f>
        <v>0</v>
      </c>
      <c r="Z6" s="77">
        <v>3.0000000000000001E-3</v>
      </c>
      <c r="AA6" s="77">
        <v>2E-3</v>
      </c>
      <c r="AB6" s="78" t="s">
        <v>102</v>
      </c>
    </row>
    <row r="7" spans="1:28" x14ac:dyDescent="0.25">
      <c r="A7" s="19">
        <f>MATCH(D7,'TRADING INPUTS'!D:D,0)</f>
        <v>13</v>
      </c>
      <c r="B7" s="47">
        <f>MATCH(D7,'MKT DATA'!B:B,0)</f>
        <v>48</v>
      </c>
      <c r="C7" s="20" t="s">
        <v>53</v>
      </c>
      <c r="D7" s="21" t="s">
        <v>66</v>
      </c>
      <c r="E7" s="108">
        <v>0.16500000000000001</v>
      </c>
      <c r="F7" s="41" cm="1">
        <f t="array" aca="1" ref="F7" ca="1">INDIRECT(ADDRESS($B7,9,,,"mkt data"))</f>
        <v>0</v>
      </c>
      <c r="G7" s="79">
        <f t="shared" ca="1" si="3"/>
        <v>0</v>
      </c>
      <c r="H7" s="41">
        <f t="shared" ca="1" si="0"/>
        <v>0</v>
      </c>
      <c r="I7" s="199">
        <f ca="1">SUM(H7:H8)</f>
        <v>0</v>
      </c>
      <c r="J7" s="50" cm="1">
        <f t="array" aca="1" ref="J7" ca="1">INDIRECT(ADDRESS($B7,5,,,"mkt data"))</f>
        <v>66.06</v>
      </c>
      <c r="K7" s="51" cm="1">
        <f t="array" aca="1" ref="K7" ca="1">INDIRECT(ADDRESS($B7,6,,,"mkt data"))</f>
        <v>66.069999999999993</v>
      </c>
      <c r="L7" s="22">
        <f t="shared" ca="1" si="1"/>
        <v>66.055000000000007</v>
      </c>
      <c r="M7" s="22">
        <f t="shared" ca="1" si="2"/>
        <v>66.074999999999989</v>
      </c>
      <c r="N7" s="67" cm="1">
        <f t="array" aca="1" ref="N7" ca="1">INDIRECT(ADDRESS($A7,7,,,"trading inputs"))</f>
        <v>1.4381037060570936</v>
      </c>
      <c r="O7" s="23">
        <f ca="1">L7*N7</f>
        <v>94.99394030360132</v>
      </c>
      <c r="P7" s="23">
        <f ca="1">-N7*M7</f>
        <v>-95.022702377722439</v>
      </c>
      <c r="Q7" s="195">
        <f ca="1">P7+O8</f>
        <v>-3.7702377722439451E-2</v>
      </c>
      <c r="R7" s="197">
        <f ca="1">Q7/AVERAGE(O8,-P8)</f>
        <v>-3.9688802276371862E-4</v>
      </c>
      <c r="S7" s="195">
        <f ca="1">O7+P8</f>
        <v>-1.1059696398675101E-2</v>
      </c>
      <c r="T7" s="197">
        <f ca="1">S7/AVERAGE(O8,-P8)</f>
        <v>-1.1642398440628559E-4</v>
      </c>
      <c r="U7" s="99">
        <f>Z7</f>
        <v>1E-3</v>
      </c>
      <c r="V7" s="68">
        <f>Z8</f>
        <v>1E-3</v>
      </c>
      <c r="W7" s="68">
        <f>AA8</f>
        <v>1E-3</v>
      </c>
      <c r="X7" s="100">
        <f>AA7</f>
        <v>1E-3</v>
      </c>
      <c r="Z7" s="77">
        <v>1E-3</v>
      </c>
      <c r="AA7" s="77">
        <v>1E-3</v>
      </c>
      <c r="AB7" s="78" t="s">
        <v>101</v>
      </c>
    </row>
    <row r="8" spans="1:28" ht="15.75" thickBot="1" x14ac:dyDescent="0.3">
      <c r="A8" s="27">
        <f>MATCH(D8,'TRADING INPUTS'!D:D,0)</f>
        <v>12</v>
      </c>
      <c r="B8" s="49">
        <f>MATCH(D8,'MKT DATA'!B:B,0)</f>
        <v>10</v>
      </c>
      <c r="C8" s="28" t="s">
        <v>53</v>
      </c>
      <c r="D8" s="29" t="s">
        <v>53</v>
      </c>
      <c r="E8" s="109">
        <v>0.16500000000000001</v>
      </c>
      <c r="F8" s="43" cm="1">
        <f t="array" aca="1" ref="F8" ca="1">INDIRECT(ADDRESS($B8,9,,,"mkt data"))</f>
        <v>0</v>
      </c>
      <c r="G8" s="81">
        <f t="shared" ca="1" si="3"/>
        <v>0</v>
      </c>
      <c r="H8" s="43">
        <f t="shared" ca="1" si="0"/>
        <v>0</v>
      </c>
      <c r="I8" s="200"/>
      <c r="J8" s="54" cm="1">
        <f t="array" aca="1" ref="J8" ca="1">INDIRECT(ADDRESS($B8,5,,,"mkt data"))</f>
        <v>94.99</v>
      </c>
      <c r="K8" s="55" cm="1">
        <f t="array" aca="1" ref="K8" ca="1">INDIRECT(ADDRESS($B8,6,,,"mkt data"))</f>
        <v>95</v>
      </c>
      <c r="L8" s="30">
        <f t="shared" ca="1" si="1"/>
        <v>94.984999999999999</v>
      </c>
      <c r="M8" s="30">
        <f t="shared" ca="1" si="2"/>
        <v>95.004999999999995</v>
      </c>
      <c r="N8" s="69" cm="1">
        <f t="array" aca="1" ref="N8" ca="1">INDIRECT(ADDRESS($A8,7,,,"trading inputs"))</f>
        <v>1</v>
      </c>
      <c r="O8" s="31">
        <f t="shared" ref="O8:O10" ca="1" si="4">L8*N8</f>
        <v>94.984999999999999</v>
      </c>
      <c r="P8" s="31">
        <f t="shared" ref="P8:P10" ca="1" si="5">-N8*M8</f>
        <v>-95.004999999999995</v>
      </c>
      <c r="Q8" s="196"/>
      <c r="R8" s="198"/>
      <c r="S8" s="196"/>
      <c r="T8" s="198"/>
      <c r="U8" s="101" t="b">
        <f ca="1">IF(R7&gt;U7,TRUE,FALSE)</f>
        <v>0</v>
      </c>
      <c r="V8" s="70" t="b">
        <f ca="1">AND(IF(T7&gt;-V7,TRUE,FALSE),IF(F7&gt;0,TRUE,FALSE))</f>
        <v>0</v>
      </c>
      <c r="W8" s="70" t="b">
        <f ca="1">AND(IF(R7&gt;-W7,TRUE,FALSE),IF(F7&lt;0,TRUE,FALSE))</f>
        <v>0</v>
      </c>
      <c r="X8" s="102" t="b">
        <f ca="1">IF(T7&gt;X7,TRUE,FALSE)</f>
        <v>0</v>
      </c>
      <c r="Z8" s="77">
        <v>1E-3</v>
      </c>
      <c r="AA8" s="77">
        <v>1E-3</v>
      </c>
      <c r="AB8" s="78" t="s">
        <v>102</v>
      </c>
    </row>
    <row r="9" spans="1:28" x14ac:dyDescent="0.25">
      <c r="A9" s="19">
        <f>MATCH(D9,'TRADING INPUTS'!D:D,0)</f>
        <v>40</v>
      </c>
      <c r="B9" s="47">
        <f>MATCH(D9,'MKT DATA'!B:B,0)</f>
        <v>7</v>
      </c>
      <c r="C9" s="20" t="s">
        <v>65</v>
      </c>
      <c r="D9" s="21" t="s">
        <v>51</v>
      </c>
      <c r="E9" s="108">
        <v>0.1002</v>
      </c>
      <c r="F9" s="41" cm="1">
        <f t="array" aca="1" ref="F9" ca="1">INDIRECT(ADDRESS($B9,9,,,"mkt data"))</f>
        <v>0</v>
      </c>
      <c r="G9" s="79">
        <f t="shared" ca="1" si="3"/>
        <v>0</v>
      </c>
      <c r="H9" s="41">
        <f t="shared" ca="1" si="0"/>
        <v>0</v>
      </c>
      <c r="I9" s="184">
        <f ca="1">SUM(H9:H10)</f>
        <v>0</v>
      </c>
      <c r="J9" s="50" cm="1">
        <f t="array" aca="1" ref="J9" ca="1">INDIRECT(ADDRESS($B9,5,,,"mkt data"))</f>
        <v>56.3</v>
      </c>
      <c r="K9" s="51" cm="1">
        <f t="array" aca="1" ref="K9" ca="1">INDIRECT(ADDRESS($B9,6,,,"mkt data"))</f>
        <v>56.31</v>
      </c>
      <c r="L9" s="22">
        <f t="shared" ca="1" si="1"/>
        <v>56.294999999999995</v>
      </c>
      <c r="M9" s="22">
        <f t="shared" ca="1" si="2"/>
        <v>56.315000000000005</v>
      </c>
      <c r="N9" s="67" cm="1">
        <f t="array" aca="1" ref="N9" ca="1">INDIRECT(ADDRESS($A9,7,,,"trading inputs"))</f>
        <v>1.7447404974306664</v>
      </c>
      <c r="O9" s="23">
        <f t="shared" ca="1" si="4"/>
        <v>98.220166302859354</v>
      </c>
      <c r="P9" s="23">
        <f t="shared" ca="1" si="5"/>
        <v>-98.255061112807979</v>
      </c>
      <c r="Q9" s="195">
        <f ca="1">P9+O10</f>
        <v>3.9938887192022321E-2</v>
      </c>
      <c r="R9" s="197">
        <f ca="1">Q9/AVERAGE(O10,-P10)</f>
        <v>4.062752371906039E-4</v>
      </c>
      <c r="S9" s="195">
        <f ca="1">O9+P10</f>
        <v>-9.483369714064338E-2</v>
      </c>
      <c r="T9" s="197">
        <f ca="1">S9/AVERAGE(O10,-P10)</f>
        <v>-9.6468844047244162E-4</v>
      </c>
      <c r="U9" s="99">
        <f>Z9</f>
        <v>1E-3</v>
      </c>
      <c r="V9" s="68">
        <f>Z10</f>
        <v>1E-3</v>
      </c>
      <c r="W9" s="68">
        <f>AA10</f>
        <v>1E-3</v>
      </c>
      <c r="X9" s="100">
        <f>AA9</f>
        <v>1E-3</v>
      </c>
      <c r="Z9" s="77">
        <v>1E-3</v>
      </c>
      <c r="AA9" s="77">
        <v>1E-3</v>
      </c>
      <c r="AB9" s="78" t="s">
        <v>101</v>
      </c>
    </row>
    <row r="10" spans="1:28" ht="15.75" thickBot="1" x14ac:dyDescent="0.3">
      <c r="A10" s="27">
        <f>MATCH(D10,'TRADING INPUTS'!D:D,0)</f>
        <v>41</v>
      </c>
      <c r="B10" s="49">
        <f>MATCH(D10,'MKT DATA'!B:B,0)</f>
        <v>47</v>
      </c>
      <c r="C10" s="28" t="s">
        <v>65</v>
      </c>
      <c r="D10" s="29" t="s">
        <v>65</v>
      </c>
      <c r="E10" s="109">
        <v>0.1002</v>
      </c>
      <c r="F10" s="43" cm="1">
        <f t="array" aca="1" ref="F10" ca="1">INDIRECT(ADDRESS($B10,9,,,"mkt data"))</f>
        <v>0</v>
      </c>
      <c r="G10" s="81">
        <f t="shared" ca="1" si="3"/>
        <v>0</v>
      </c>
      <c r="H10" s="43">
        <f t="shared" ca="1" si="0"/>
        <v>0</v>
      </c>
      <c r="I10" s="185"/>
      <c r="J10" s="54" cm="1">
        <f t="array" aca="1" ref="J10" ca="1">INDIRECT(ADDRESS($B10,5,,,"mkt data"))</f>
        <v>98.3</v>
      </c>
      <c r="K10" s="55" cm="1">
        <f t="array" aca="1" ref="K10" ca="1">INDIRECT(ADDRESS($B10,6,,,"mkt data"))</f>
        <v>98.31</v>
      </c>
      <c r="L10" s="30">
        <f t="shared" ca="1" si="1"/>
        <v>98.295000000000002</v>
      </c>
      <c r="M10" s="30">
        <f t="shared" ca="1" si="2"/>
        <v>98.314999999999998</v>
      </c>
      <c r="N10" s="69" cm="1">
        <f t="array" aca="1" ref="N10" ca="1">INDIRECT(ADDRESS($A10,7,,,"trading inputs"))</f>
        <v>1</v>
      </c>
      <c r="O10" s="31">
        <f t="shared" ca="1" si="4"/>
        <v>98.295000000000002</v>
      </c>
      <c r="P10" s="31">
        <f t="shared" ca="1" si="5"/>
        <v>-98.314999999999998</v>
      </c>
      <c r="Q10" s="196"/>
      <c r="R10" s="198"/>
      <c r="S10" s="196"/>
      <c r="T10" s="198"/>
      <c r="U10" s="101" t="b">
        <f ca="1">IF(R9&gt;U9,TRUE,FALSE)</f>
        <v>0</v>
      </c>
      <c r="V10" s="70" t="b">
        <f ca="1">AND(IF(T9&gt;-V9,TRUE,FALSE),IF(F9&gt;0,TRUE,FALSE))</f>
        <v>0</v>
      </c>
      <c r="W10" s="70" t="b">
        <f ca="1">AND(IF(R9&gt;-W9,TRUE,FALSE),IF(F9&lt;0,TRUE,FALSE))</f>
        <v>0</v>
      </c>
      <c r="X10" s="102" t="b">
        <f ca="1">IF(T9&gt;X9,TRUE,FALSE)</f>
        <v>0</v>
      </c>
      <c r="Z10" s="77">
        <v>1E-3</v>
      </c>
      <c r="AA10" s="77">
        <v>1E-3</v>
      </c>
      <c r="AB10" s="78" t="s">
        <v>102</v>
      </c>
    </row>
    <row r="11" spans="1:28" x14ac:dyDescent="0.25">
      <c r="A11" s="19">
        <f>MATCH(D11,'TRADING INPUTS'!D:D,0)</f>
        <v>33</v>
      </c>
      <c r="B11" s="47">
        <f>MATCH(D11,'MKT DATA'!B:B,0)</f>
        <v>26</v>
      </c>
      <c r="C11" s="20" t="s">
        <v>61</v>
      </c>
      <c r="D11" s="21" t="s">
        <v>62</v>
      </c>
      <c r="E11" s="108">
        <v>0.16500000000000001</v>
      </c>
      <c r="F11" s="41" cm="1">
        <f t="array" aca="1" ref="F11" ca="1">INDIRECT(ADDRESS($B11,9,,,"mkt data"))</f>
        <v>14845</v>
      </c>
      <c r="G11" s="79">
        <f t="shared" ca="1" si="3"/>
        <v>273519.125</v>
      </c>
      <c r="H11" s="41">
        <f t="shared" ca="1" si="0"/>
        <v>8987.4433900508084</v>
      </c>
      <c r="I11" s="184">
        <f ca="1">SUM(H11:H12)</f>
        <v>-12.556609949191625</v>
      </c>
      <c r="J11" s="50" cm="1">
        <f t="array" aca="1" ref="J11" ca="1">INDIRECT(ADDRESS($B11,5,,,"mkt data"))</f>
        <v>18.420000000000002</v>
      </c>
      <c r="K11" s="51" cm="1">
        <f t="array" aca="1" ref="K11" ca="1">INDIRECT(ADDRESS($B11,6,,,"mkt data"))</f>
        <v>18.43</v>
      </c>
      <c r="L11" s="22">
        <f t="shared" ca="1" si="1"/>
        <v>18.415000000000003</v>
      </c>
      <c r="M11" s="22">
        <f t="shared" ca="1" si="2"/>
        <v>18.434999999999999</v>
      </c>
      <c r="N11" s="67" cm="1">
        <f t="array" aca="1" ref="N11" ca="1">INDIRECT(ADDRESS($A11,7,,,"trading inputs"))</f>
        <v>1.6517489296715424</v>
      </c>
      <c r="O11" s="23">
        <f ca="1">L11*N11</f>
        <v>30.416956539901459</v>
      </c>
      <c r="P11" s="23">
        <f ca="1">-N11*M11</f>
        <v>-30.449991518494883</v>
      </c>
      <c r="Q11" s="195">
        <f ca="1">P11+O12</f>
        <v>0.14500848150511914</v>
      </c>
      <c r="R11" s="197">
        <f ca="1">Q11/AVERAGE(O12,-P12)</f>
        <v>4.7380650712340834E-3</v>
      </c>
      <c r="S11" s="195">
        <f ca="1">O11+P12</f>
        <v>-0.19804346009853901</v>
      </c>
      <c r="T11" s="197">
        <f ca="1">S11/AVERAGE(O12,-P12)</f>
        <v>-6.4709511549922889E-3</v>
      </c>
      <c r="U11" s="99">
        <f>Z11</f>
        <v>5.0000000000000001E-3</v>
      </c>
      <c r="V11" s="68">
        <f>Z12</f>
        <v>4.0000000000000001E-3</v>
      </c>
      <c r="W11" s="68">
        <f>AA12</f>
        <v>2E-3</v>
      </c>
      <c r="X11" s="100">
        <f>AA11</f>
        <v>3.0000000000000001E-3</v>
      </c>
      <c r="Z11" s="76">
        <v>5.0000000000000001E-3</v>
      </c>
      <c r="AA11" s="77">
        <v>3.0000000000000001E-3</v>
      </c>
      <c r="AB11" s="78" t="s">
        <v>101</v>
      </c>
    </row>
    <row r="12" spans="1:28" ht="15.75" thickBot="1" x14ac:dyDescent="0.3">
      <c r="A12" s="27">
        <f>MATCH(D12,'TRADING INPUTS'!D:D,0)</f>
        <v>32</v>
      </c>
      <c r="B12" s="49">
        <f>MATCH(D12,'MKT DATA'!B:B,0)</f>
        <v>25</v>
      </c>
      <c r="C12" s="28" t="s">
        <v>61</v>
      </c>
      <c r="D12" s="29" t="s">
        <v>61</v>
      </c>
      <c r="E12" s="109">
        <v>0.16500000000000001</v>
      </c>
      <c r="F12" s="43" cm="1">
        <f t="array" aca="1" ref="F12" ca="1">INDIRECT(ADDRESS($B12,9,,,"mkt data"))</f>
        <v>-9000</v>
      </c>
      <c r="G12" s="81">
        <f t="shared" ca="1" si="3"/>
        <v>-275445</v>
      </c>
      <c r="H12" s="43">
        <f t="shared" ca="1" si="0"/>
        <v>-9000</v>
      </c>
      <c r="I12" s="185"/>
      <c r="J12" s="54" cm="1">
        <f t="array" aca="1" ref="J12" ca="1">INDIRECT(ADDRESS($B12,5,,,"mkt data"))</f>
        <v>30.6</v>
      </c>
      <c r="K12" s="55" cm="1">
        <f t="array" aca="1" ref="K12" ca="1">INDIRECT(ADDRESS($B12,6,,,"mkt data"))</f>
        <v>30.61</v>
      </c>
      <c r="L12" s="30">
        <f t="shared" ca="1" si="1"/>
        <v>30.595000000000002</v>
      </c>
      <c r="M12" s="30">
        <f t="shared" ca="1" si="2"/>
        <v>30.614999999999998</v>
      </c>
      <c r="N12" s="69" cm="1">
        <f t="array" aca="1" ref="N12" ca="1">INDIRECT(ADDRESS($A12,7,,,"trading inputs"))</f>
        <v>1</v>
      </c>
      <c r="O12" s="31">
        <f t="shared" ref="O12:O15" ca="1" si="6">L12*N12</f>
        <v>30.595000000000002</v>
      </c>
      <c r="P12" s="31">
        <f t="shared" ref="P12:P15" ca="1" si="7">-N12*M12</f>
        <v>-30.614999999999998</v>
      </c>
      <c r="Q12" s="196"/>
      <c r="R12" s="198"/>
      <c r="S12" s="196"/>
      <c r="T12" s="198"/>
      <c r="U12" s="101" t="b">
        <f ca="1">IF(R11&gt;U11,TRUE,FALSE)</f>
        <v>0</v>
      </c>
      <c r="V12" s="70" t="b">
        <f ca="1">AND(IF(T11&gt;-V11,TRUE,FALSE),IF(F11&gt;0,TRUE,FALSE))</f>
        <v>0</v>
      </c>
      <c r="W12" s="70" t="b">
        <f ca="1">AND(IF(R11&gt;-W11,TRUE,FALSE),IF(F11&lt;0,TRUE,FALSE))</f>
        <v>0</v>
      </c>
      <c r="X12" s="102" t="b">
        <f ca="1">IF(T11&gt;X11,TRUE,FALSE)</f>
        <v>0</v>
      </c>
      <c r="Z12" s="77">
        <v>4.0000000000000001E-3</v>
      </c>
      <c r="AA12" s="77">
        <v>2E-3</v>
      </c>
      <c r="AB12" s="78" t="s">
        <v>102</v>
      </c>
    </row>
    <row r="13" spans="1:28" x14ac:dyDescent="0.25">
      <c r="A13" s="19" t="e">
        <f>MATCH(D13,'TRADING INPUTS'!D:D,0)</f>
        <v>#N/A</v>
      </c>
      <c r="B13" s="47">
        <f>MATCH(D13,'MKT DATA'!B:B,0)</f>
        <v>27</v>
      </c>
      <c r="C13" s="20" t="s">
        <v>64</v>
      </c>
      <c r="D13" s="21" t="s">
        <v>63</v>
      </c>
      <c r="E13" s="108">
        <v>0.16500000000000001</v>
      </c>
      <c r="F13" s="41" cm="1">
        <f t="array" aca="1" ref="F13" ca="1">INDIRECT(ADDRESS($B13,9,,,"mkt data"))</f>
        <v>0</v>
      </c>
      <c r="G13" s="79">
        <f t="shared" ca="1" si="3"/>
        <v>0</v>
      </c>
      <c r="H13" s="41" t="e">
        <f t="shared" ca="1" si="0"/>
        <v>#N/A</v>
      </c>
      <c r="I13" s="184" t="e">
        <f ca="1">SUM(H13:H14)</f>
        <v>#N/A</v>
      </c>
      <c r="J13" s="50" cm="1">
        <f t="array" aca="1" ref="J13" ca="1">INDIRECT(ADDRESS($B13,5,,,"mkt data"))</f>
        <v>23.77</v>
      </c>
      <c r="K13" s="51" cm="1">
        <f t="array" aca="1" ref="K13" ca="1">INDIRECT(ADDRESS($B13,6,,,"mkt data"))</f>
        <v>23.78</v>
      </c>
      <c r="L13" s="22">
        <f t="shared" ca="1" si="1"/>
        <v>23.765000000000001</v>
      </c>
      <c r="M13" s="22">
        <f t="shared" ca="1" si="2"/>
        <v>23.785</v>
      </c>
      <c r="N13" s="67" t="e" cm="1">
        <f t="array" aca="1" ref="N13" ca="1">INDIRECT(ADDRESS($A13,7,,,"trading inputs"))</f>
        <v>#N/A</v>
      </c>
      <c r="O13" s="23" t="e">
        <f t="shared" ca="1" si="6"/>
        <v>#N/A</v>
      </c>
      <c r="P13" s="23" t="e">
        <f t="shared" ca="1" si="7"/>
        <v>#N/A</v>
      </c>
      <c r="Q13" s="195" t="e">
        <f ca="1">P13+O14</f>
        <v>#N/A</v>
      </c>
      <c r="R13" s="197" t="e">
        <f ca="1">Q13/AVERAGE(O14,-P14)</f>
        <v>#N/A</v>
      </c>
      <c r="S13" s="195" t="e">
        <f ca="1">O13+P14</f>
        <v>#N/A</v>
      </c>
      <c r="T13" s="197" t="e">
        <f ca="1">S13/AVERAGE(O14,-P14)</f>
        <v>#N/A</v>
      </c>
      <c r="U13" s="99">
        <f>Z13</f>
        <v>5.0000000000000001E-3</v>
      </c>
      <c r="V13" s="68">
        <f>Z14</f>
        <v>3.0000000000000001E-3</v>
      </c>
      <c r="W13" s="68">
        <f>AA14</f>
        <v>1E-3</v>
      </c>
      <c r="X13" s="100">
        <f>AA13</f>
        <v>2E-3</v>
      </c>
      <c r="Z13" s="76">
        <v>5.0000000000000001E-3</v>
      </c>
      <c r="AA13" s="77">
        <v>2E-3</v>
      </c>
      <c r="AB13" s="78" t="s">
        <v>101</v>
      </c>
    </row>
    <row r="14" spans="1:28" ht="15.75" thickBot="1" x14ac:dyDescent="0.3">
      <c r="A14" s="27" t="e">
        <f>MATCH(D14,'TRADING INPUTS'!D:D,0)</f>
        <v>#N/A</v>
      </c>
      <c r="B14" s="49">
        <f>MATCH(D14,'MKT DATA'!B:B,0)</f>
        <v>41</v>
      </c>
      <c r="C14" s="28" t="s">
        <v>64</v>
      </c>
      <c r="D14" s="29" t="s">
        <v>64</v>
      </c>
      <c r="E14" s="109">
        <v>0.16500000000000001</v>
      </c>
      <c r="F14" s="43" cm="1">
        <f t="array" aca="1" ref="F14" ca="1">INDIRECT(ADDRESS($B14,9,,,"mkt data"))</f>
        <v>0</v>
      </c>
      <c r="G14" s="81">
        <f t="shared" ca="1" si="3"/>
        <v>0</v>
      </c>
      <c r="H14" s="43" t="e">
        <f t="shared" ca="1" si="0"/>
        <v>#N/A</v>
      </c>
      <c r="I14" s="185"/>
      <c r="J14" s="54" cm="1">
        <f t="array" aca="1" ref="J14" ca="1">INDIRECT(ADDRESS($B14,5,,,"mkt data"))</f>
        <v>66.31</v>
      </c>
      <c r="K14" s="55" cm="1">
        <f t="array" aca="1" ref="K14" ca="1">INDIRECT(ADDRESS($B14,6,,,"mkt data"))</f>
        <v>66.319999999999993</v>
      </c>
      <c r="L14" s="30">
        <f t="shared" ca="1" si="1"/>
        <v>66.305000000000007</v>
      </c>
      <c r="M14" s="30">
        <f t="shared" ca="1" si="2"/>
        <v>66.324999999999989</v>
      </c>
      <c r="N14" s="69" t="e" cm="1">
        <f t="array" aca="1" ref="N14" ca="1">INDIRECT(ADDRESS($A14,7,,,"trading inputs"))</f>
        <v>#N/A</v>
      </c>
      <c r="O14" s="31" t="e">
        <f t="shared" ca="1" si="6"/>
        <v>#N/A</v>
      </c>
      <c r="P14" s="31" t="e">
        <f t="shared" ca="1" si="7"/>
        <v>#N/A</v>
      </c>
      <c r="Q14" s="196"/>
      <c r="R14" s="198"/>
      <c r="S14" s="196"/>
      <c r="T14" s="198"/>
      <c r="U14" s="101" t="e">
        <f ca="1">IF(R13&gt;U13,TRUE,FALSE)</f>
        <v>#N/A</v>
      </c>
      <c r="V14" s="70" t="e">
        <f ca="1">AND(IF(T13&gt;-V13,TRUE,FALSE),IF(F13&gt;0,TRUE,FALSE))</f>
        <v>#N/A</v>
      </c>
      <c r="W14" s="70" t="e">
        <f ca="1">AND(IF(R13&gt;-W13,TRUE,FALSE),IF(F13&lt;0,TRUE,FALSE))</f>
        <v>#N/A</v>
      </c>
      <c r="X14" s="102" t="e">
        <f ca="1">IF(T13&gt;X13,TRUE,FALSE)</f>
        <v>#N/A</v>
      </c>
      <c r="Z14" s="77">
        <v>3.0000000000000001E-3</v>
      </c>
      <c r="AA14" s="77">
        <v>1E-3</v>
      </c>
      <c r="AB14" s="78" t="s">
        <v>102</v>
      </c>
    </row>
    <row r="15" spans="1:28" s="125" customFormat="1" x14ac:dyDescent="0.25">
      <c r="A15" s="111">
        <f>MATCH(D15,'TRADING INPUTS'!D:D,0)</f>
        <v>14</v>
      </c>
      <c r="B15" s="112">
        <f>MATCH(D15,'MKT DATA'!B:B,0)</f>
        <v>5</v>
      </c>
      <c r="C15" s="113" t="s">
        <v>56</v>
      </c>
      <c r="D15" s="114" t="s">
        <v>49</v>
      </c>
      <c r="E15" s="164"/>
      <c r="F15" s="115" cm="1">
        <f t="array" aca="1" ref="F15" ca="1">INDIRECT(ADDRESS($B15,9,,,"mkt data"))</f>
        <v>0</v>
      </c>
      <c r="G15" s="116">
        <f t="shared" ca="1" si="3"/>
        <v>0</v>
      </c>
      <c r="H15" s="115">
        <f t="shared" ca="1" si="0"/>
        <v>0</v>
      </c>
      <c r="I15" s="193">
        <f ca="1">SUM(H15:H16)</f>
        <v>0</v>
      </c>
      <c r="J15" s="117" cm="1">
        <f t="array" aca="1" ref="J15" ca="1">INDIRECT(ADDRESS($B15,5,,,"mkt data"))</f>
        <v>47.59</v>
      </c>
      <c r="K15" s="118" cm="1">
        <f t="array" aca="1" ref="K15" ca="1">INDIRECT(ADDRESS($B15,6,,,"mkt data"))</f>
        <v>47.6</v>
      </c>
      <c r="L15" s="119">
        <f t="shared" ca="1" si="1"/>
        <v>47.585000000000001</v>
      </c>
      <c r="M15" s="119">
        <f t="shared" ca="1" si="2"/>
        <v>47.605000000000004</v>
      </c>
      <c r="N15" s="120" cm="1">
        <f t="array" aca="1" ref="N15" ca="1">INDIRECT(ADDRESS($A15,7,,,"trading inputs"))</f>
        <v>1.0437964890451399</v>
      </c>
      <c r="O15" s="121">
        <f t="shared" ca="1" si="6"/>
        <v>49.669055931212981</v>
      </c>
      <c r="P15" s="121">
        <f t="shared" ca="1" si="7"/>
        <v>-49.689931860993887</v>
      </c>
      <c r="Q15" s="188">
        <f ca="1">P15+O16</f>
        <v>4.5068139006112062E-2</v>
      </c>
      <c r="R15" s="190">
        <f ca="1">Q15/AVERAGE(O16,-P16)</f>
        <v>9.0598329492636563E-4</v>
      </c>
      <c r="S15" s="188">
        <f ca="1">O15+P16</f>
        <v>-8.5944068787021877E-2</v>
      </c>
      <c r="T15" s="190">
        <f ca="1">S15/AVERAGE(O16,-P16)</f>
        <v>-1.7276926080414489E-3</v>
      </c>
      <c r="U15" s="122"/>
      <c r="V15" s="123"/>
      <c r="W15" s="123"/>
      <c r="X15" s="124"/>
      <c r="Z15" s="126">
        <v>0.01</v>
      </c>
      <c r="AA15" s="127">
        <v>0.01</v>
      </c>
      <c r="AB15" s="128" t="s">
        <v>101</v>
      </c>
    </row>
    <row r="16" spans="1:28" s="125" customFormat="1" ht="15.75" thickBot="1" x14ac:dyDescent="0.3">
      <c r="A16" s="129">
        <f>MATCH(D16,'TRADING INPUTS'!D:D,0)</f>
        <v>15</v>
      </c>
      <c r="B16" s="130">
        <f>MATCH(D16,'MKT DATA'!B:B,0)</f>
        <v>15</v>
      </c>
      <c r="C16" s="131" t="s">
        <v>56</v>
      </c>
      <c r="D16" s="132" t="s">
        <v>56</v>
      </c>
      <c r="E16" s="166"/>
      <c r="F16" s="133" cm="1">
        <f t="array" aca="1" ref="F16" ca="1">INDIRECT(ADDRESS($B16,9,,,"mkt data"))</f>
        <v>0</v>
      </c>
      <c r="G16" s="134">
        <f t="shared" ca="1" si="3"/>
        <v>0</v>
      </c>
      <c r="H16" s="133">
        <f t="shared" ca="1" si="0"/>
        <v>0</v>
      </c>
      <c r="I16" s="194"/>
      <c r="J16" s="135" cm="1">
        <f t="array" aca="1" ref="J16" ca="1">INDIRECT(ADDRESS($B16,5,,,"mkt data"))</f>
        <v>49.74</v>
      </c>
      <c r="K16" s="136" cm="1">
        <f t="array" aca="1" ref="K16" ca="1">INDIRECT(ADDRESS($B16,6,,,"mkt data"))</f>
        <v>49.75</v>
      </c>
      <c r="L16" s="137">
        <f t="shared" ca="1" si="1"/>
        <v>49.734999999999999</v>
      </c>
      <c r="M16" s="137">
        <f t="shared" ca="1" si="2"/>
        <v>49.755000000000003</v>
      </c>
      <c r="N16" s="138" cm="1">
        <f t="array" aca="1" ref="N16" ca="1">INDIRECT(ADDRESS($A16,7,,,"trading inputs"))</f>
        <v>1</v>
      </c>
      <c r="O16" s="139">
        <f ca="1">L16*N16</f>
        <v>49.734999999999999</v>
      </c>
      <c r="P16" s="139">
        <f ca="1">-N16*M16</f>
        <v>-49.755000000000003</v>
      </c>
      <c r="Q16" s="189"/>
      <c r="R16" s="191"/>
      <c r="S16" s="189"/>
      <c r="T16" s="191"/>
      <c r="U16" s="140"/>
      <c r="V16" s="141"/>
      <c r="W16" s="141"/>
      <c r="X16" s="142"/>
      <c r="Z16" s="127">
        <v>0.01</v>
      </c>
      <c r="AA16" s="127">
        <v>0.01</v>
      </c>
      <c r="AB16" s="128" t="s">
        <v>102</v>
      </c>
    </row>
    <row r="17" spans="1:34" s="125" customFormat="1" x14ac:dyDescent="0.25">
      <c r="A17" s="111">
        <f>MATCH(D17,'TRADING INPUTS'!D:D,0)</f>
        <v>7</v>
      </c>
      <c r="B17" s="112">
        <f>MATCH(D17,'MKT DATA'!B:B,0)</f>
        <v>12</v>
      </c>
      <c r="C17" s="113" t="s">
        <v>48</v>
      </c>
      <c r="D17" s="114" t="s">
        <v>55</v>
      </c>
      <c r="E17" s="164"/>
      <c r="F17" s="115" cm="1">
        <f t="array" aca="1" ref="F17" ca="1">INDIRECT(ADDRESS($B17,9,,,"mkt data"))</f>
        <v>0</v>
      </c>
      <c r="G17" s="116">
        <f t="shared" ca="1" si="3"/>
        <v>0</v>
      </c>
      <c r="H17" s="115">
        <f t="shared" ca="1" si="0"/>
        <v>0</v>
      </c>
      <c r="I17" s="186">
        <f ca="1">SUM(H17:H18)</f>
        <v>0</v>
      </c>
      <c r="J17" s="117" cm="1">
        <f t="array" aca="1" ref="J17" ca="1">INDIRECT(ADDRESS($B17,5,,,"mkt data"))</f>
        <v>27.01</v>
      </c>
      <c r="K17" s="118" cm="1">
        <f t="array" aca="1" ref="K17" ca="1">INDIRECT(ADDRESS($B17,6,,,"mkt data"))</f>
        <v>27.02</v>
      </c>
      <c r="L17" s="119">
        <f t="shared" ca="1" si="1"/>
        <v>27.005000000000003</v>
      </c>
      <c r="M17" s="119">
        <f t="shared" ca="1" si="2"/>
        <v>27.024999999999999</v>
      </c>
      <c r="N17" s="120" cm="1">
        <f t="array" aca="1" ref="N17" ca="1">INDIRECT(ADDRESS($A17,7,,,"trading inputs"))</f>
        <v>1.073815517209276</v>
      </c>
      <c r="O17" s="121">
        <f ca="1">L17*N17</f>
        <v>28.998388042236503</v>
      </c>
      <c r="P17" s="121">
        <f ca="1">-N17*M17</f>
        <v>-29.019864352580683</v>
      </c>
      <c r="Q17" s="188">
        <f ca="1">P17+O18</f>
        <v>5.1356474193191559E-3</v>
      </c>
      <c r="R17" s="190">
        <f ca="1">Q17/AVERAGE(O18,-P18)</f>
        <v>1.7687781709382317E-4</v>
      </c>
      <c r="S17" s="188">
        <f ca="1">O17+P18</f>
        <v>-4.6611957763495582E-2</v>
      </c>
      <c r="T17" s="190">
        <f ca="1">S17/AVERAGE(O18,-P18)</f>
        <v>-1.6053713712242321E-3</v>
      </c>
      <c r="U17" s="122"/>
      <c r="V17" s="123"/>
      <c r="W17" s="123"/>
      <c r="X17" s="124"/>
      <c r="Z17" s="126">
        <v>0.01</v>
      </c>
      <c r="AA17" s="127">
        <v>0.01</v>
      </c>
      <c r="AB17" s="128" t="s">
        <v>101</v>
      </c>
    </row>
    <row r="18" spans="1:34" s="125" customFormat="1" ht="15.75" thickBot="1" x14ac:dyDescent="0.3">
      <c r="A18" s="129">
        <f>MATCH(D18,'TRADING INPUTS'!D:D,0)</f>
        <v>6</v>
      </c>
      <c r="B18" s="130">
        <f>MATCH(D18,'MKT DATA'!B:B,0)</f>
        <v>3</v>
      </c>
      <c r="C18" s="131" t="s">
        <v>48</v>
      </c>
      <c r="D18" s="132" t="s">
        <v>48</v>
      </c>
      <c r="E18" s="166"/>
      <c r="F18" s="133" cm="1">
        <f t="array" aca="1" ref="F18" ca="1">INDIRECT(ADDRESS($B18,9,,,"mkt data"))</f>
        <v>0</v>
      </c>
      <c r="G18" s="134">
        <f t="shared" ca="1" si="3"/>
        <v>0</v>
      </c>
      <c r="H18" s="133">
        <f t="shared" ca="1" si="0"/>
        <v>0</v>
      </c>
      <c r="I18" s="187"/>
      <c r="J18" s="135" cm="1">
        <f t="array" aca="1" ref="J18" ca="1">INDIRECT(ADDRESS($B18,5,,,"mkt data"))</f>
        <v>29.03</v>
      </c>
      <c r="K18" s="136" cm="1">
        <f t="array" aca="1" ref="K18" ca="1">INDIRECT(ADDRESS($B18,6,,,"mkt data"))</f>
        <v>29.04</v>
      </c>
      <c r="L18" s="137">
        <f t="shared" ca="1" si="1"/>
        <v>29.025000000000002</v>
      </c>
      <c r="M18" s="137">
        <f t="shared" ca="1" si="2"/>
        <v>29.044999999999998</v>
      </c>
      <c r="N18" s="138" cm="1">
        <f t="array" aca="1" ref="N18" ca="1">INDIRECT(ADDRESS($A18,7,,,"trading inputs"))</f>
        <v>1</v>
      </c>
      <c r="O18" s="139">
        <f ca="1">L18*N18</f>
        <v>29.025000000000002</v>
      </c>
      <c r="P18" s="139">
        <f ca="1">-N18*M18</f>
        <v>-29.044999999999998</v>
      </c>
      <c r="Q18" s="189"/>
      <c r="R18" s="191"/>
      <c r="S18" s="189"/>
      <c r="T18" s="191"/>
      <c r="U18" s="140"/>
      <c r="V18" s="141"/>
      <c r="W18" s="141"/>
      <c r="X18" s="142"/>
      <c r="Z18" s="127">
        <v>0.01</v>
      </c>
      <c r="AA18" s="127">
        <v>0.01</v>
      </c>
      <c r="AB18" s="128" t="s">
        <v>102</v>
      </c>
    </row>
    <row r="19" spans="1:34" ht="15.75" thickBot="1" x14ac:dyDescent="0.3">
      <c r="A19" s="229" t="str">
        <f>'MKT DATA'!J2</f>
        <v>2026-08-28_12-36-36</v>
      </c>
      <c r="B19" s="229"/>
      <c r="C19" s="229"/>
      <c r="M19" s="10"/>
      <c r="N19" s="10"/>
    </row>
    <row r="20" spans="1:34" s="12" customFormat="1" x14ac:dyDescent="0.25">
      <c r="A20" s="207" t="s">
        <v>77</v>
      </c>
      <c r="B20" s="208"/>
      <c r="C20" s="96"/>
      <c r="D20" s="84"/>
      <c r="E20" s="104"/>
      <c r="F20" s="205" t="s">
        <v>83</v>
      </c>
      <c r="G20" s="205"/>
      <c r="H20" s="205"/>
      <c r="I20" s="206"/>
      <c r="J20" s="209" t="s">
        <v>79</v>
      </c>
      <c r="K20" s="210"/>
      <c r="L20" s="211">
        <v>5.0000000000000001E-3</v>
      </c>
      <c r="M20" s="211"/>
      <c r="N20" s="56"/>
      <c r="O20" s="212" t="s">
        <v>82</v>
      </c>
      <c r="P20" s="213"/>
      <c r="Q20" s="203" t="s">
        <v>73</v>
      </c>
      <c r="R20" s="248"/>
      <c r="S20" s="248"/>
      <c r="T20" s="204"/>
      <c r="U20" s="83"/>
      <c r="V20" s="156"/>
      <c r="Z20" s="244" t="s">
        <v>100</v>
      </c>
      <c r="AA20" s="244"/>
      <c r="AB20"/>
      <c r="AC20"/>
      <c r="AD20" s="34" t="s">
        <v>96</v>
      </c>
      <c r="AE20" s="35">
        <v>46233</v>
      </c>
      <c r="AF20" s="36"/>
      <c r="AG20" s="34" t="s">
        <v>96</v>
      </c>
      <c r="AH20" s="35">
        <v>46232</v>
      </c>
    </row>
    <row r="21" spans="1:34" s="15" customFormat="1" ht="15.75" thickBot="1" x14ac:dyDescent="0.3">
      <c r="A21" s="45" t="s">
        <v>76</v>
      </c>
      <c r="B21" s="46" t="s">
        <v>78</v>
      </c>
      <c r="C21" s="85" t="s">
        <v>68</v>
      </c>
      <c r="D21" s="86" t="s">
        <v>69</v>
      </c>
      <c r="E21" s="105" t="s">
        <v>95</v>
      </c>
      <c r="F21" s="103" t="s">
        <v>84</v>
      </c>
      <c r="G21" s="87" t="s">
        <v>110</v>
      </c>
      <c r="H21" s="88" t="s">
        <v>109</v>
      </c>
      <c r="I21" s="89" t="s">
        <v>85</v>
      </c>
      <c r="J21" s="90" t="s">
        <v>80</v>
      </c>
      <c r="K21" s="91" t="s">
        <v>81</v>
      </c>
      <c r="L21" s="92" t="s">
        <v>71</v>
      </c>
      <c r="M21" s="92" t="s">
        <v>72</v>
      </c>
      <c r="N21" s="93" t="s">
        <v>70</v>
      </c>
      <c r="O21" s="94" t="s">
        <v>74</v>
      </c>
      <c r="P21" s="95" t="s">
        <v>75</v>
      </c>
      <c r="Q21" s="57" t="s">
        <v>74</v>
      </c>
      <c r="R21" s="15" t="s">
        <v>75</v>
      </c>
      <c r="S21" s="58" t="s">
        <v>99</v>
      </c>
      <c r="T21" s="65" t="s">
        <v>36</v>
      </c>
      <c r="U21" s="57" t="s">
        <v>101</v>
      </c>
      <c r="V21" s="65" t="s">
        <v>102</v>
      </c>
      <c r="Z21" s="15" t="s">
        <v>101</v>
      </c>
      <c r="AA21" s="15" t="s">
        <v>102</v>
      </c>
      <c r="AB21"/>
      <c r="AC21"/>
      <c r="AD21" s="34" t="s">
        <v>97</v>
      </c>
      <c r="AE21" s="37" t="b">
        <v>1</v>
      </c>
      <c r="AF21" s="36"/>
      <c r="AG21" s="34" t="s">
        <v>97</v>
      </c>
      <c r="AH21" s="37" t="b">
        <v>1</v>
      </c>
    </row>
    <row r="22" spans="1:34" x14ac:dyDescent="0.25">
      <c r="A22" s="19">
        <f>MATCH(D22,'TRADING INPUTS'!D:D,0)</f>
        <v>30</v>
      </c>
      <c r="B22" s="47">
        <f>MATCH(D22,'MKT DATA'!B:B,0)</f>
        <v>37</v>
      </c>
      <c r="C22" s="20" t="s">
        <v>4</v>
      </c>
      <c r="D22" s="21" t="s">
        <v>24</v>
      </c>
      <c r="E22" s="108">
        <v>0.1002</v>
      </c>
      <c r="F22" s="41" cm="1">
        <f t="array" aca="1" ref="F22" ca="1">INDIRECT(ADDRESS($B22,9,,,"mkt data"))</f>
        <v>0</v>
      </c>
      <c r="G22" s="79">
        <f ca="1">F22*AVERAGE(J22:K22)</f>
        <v>0</v>
      </c>
      <c r="H22" s="41">
        <f t="shared" ref="H22:H47" ca="1" si="8">F22/N22</f>
        <v>0</v>
      </c>
      <c r="I22" s="199">
        <f ca="1">SUM(H22:H24)</f>
        <v>1.8938890500148773</v>
      </c>
      <c r="J22" s="50" cm="1">
        <f t="array" aca="1" ref="J22" ca="1">INDIRECT(ADDRESS($B22,5,,,"mkt data"))</f>
        <v>44.7</v>
      </c>
      <c r="K22" s="51" cm="1">
        <f t="array" aca="1" ref="K22" ca="1">INDIRECT(ADDRESS($B22,6,,,"mkt data"))</f>
        <v>44.71</v>
      </c>
      <c r="L22" s="22">
        <f t="shared" ref="L22:L47" ca="1" si="9">J22-L$20</f>
        <v>44.695</v>
      </c>
      <c r="M22" s="22">
        <f t="shared" ref="M22:M47" ca="1" si="10">K22+L$20</f>
        <v>44.715000000000003</v>
      </c>
      <c r="N22" s="67" cm="1">
        <f t="array" aca="1" ref="N22" ca="1">INDIRECT(ADDRESS($A22,7,,,"trading inputs"))</f>
        <v>2.3512213054472113</v>
      </c>
      <c r="O22" s="23">
        <f t="shared" ref="O22:O39" ca="1" si="11">L22*N22</f>
        <v>105.08783624696311</v>
      </c>
      <c r="P22" s="23">
        <f t="shared" ref="P22:P39" ca="1" si="12">-N22*M22</f>
        <v>-105.13486067307205</v>
      </c>
      <c r="Q22" s="195">
        <f ca="1">MAX(O22:O24)</f>
        <v>105.185</v>
      </c>
      <c r="R22" s="235">
        <f ca="1">MAX(P22:P24)</f>
        <v>-105.13486067307205</v>
      </c>
      <c r="S22" s="235">
        <f ca="1">Q22+R22</f>
        <v>5.0139326927947536E-2</v>
      </c>
      <c r="T22" s="197">
        <f ca="1">S22/AVERAGE(ABS(Q22),ABS(R22))</f>
        <v>4.7679117671046496E-4</v>
      </c>
      <c r="U22" s="99">
        <f>Z22</f>
        <v>1E-3</v>
      </c>
      <c r="V22" s="100">
        <f>AA22</f>
        <v>1E-3</v>
      </c>
      <c r="Z22" s="221">
        <v>1E-3</v>
      </c>
      <c r="AA22" s="249">
        <v>1E-3</v>
      </c>
    </row>
    <row r="23" spans="1:34" x14ac:dyDescent="0.25">
      <c r="A23" s="24">
        <f>MATCH(D23,'TRADING INPUTS'!D:D,0)</f>
        <v>31</v>
      </c>
      <c r="B23" s="48">
        <f>MATCH(D23,'MKT DATA'!B:B,0)</f>
        <v>46</v>
      </c>
      <c r="C23" s="13" t="s">
        <v>4</v>
      </c>
      <c r="D23" s="11" t="s">
        <v>3</v>
      </c>
      <c r="E23" s="106">
        <v>0.1002</v>
      </c>
      <c r="F23" s="42" cm="1">
        <f t="array" aca="1" ref="F23" ca="1">INDIRECT(ADDRESS($B23,9,,,"mkt data"))</f>
        <v>4260</v>
      </c>
      <c r="G23" s="80">
        <f t="shared" ref="G23:G47" ca="1" si="13">F23*AVERAGE(J23:K23)</f>
        <v>210507.9</v>
      </c>
      <c r="H23" s="42">
        <f t="shared" ca="1" si="8"/>
        <v>2001.8938890500149</v>
      </c>
      <c r="I23" s="246"/>
      <c r="J23" s="52" cm="1">
        <f t="array" aca="1" ref="J23" ca="1">INDIRECT(ADDRESS($B23,5,,,"mkt data"))</f>
        <v>49.41</v>
      </c>
      <c r="K23" s="53" cm="1">
        <f t="array" aca="1" ref="K23" ca="1">INDIRECT(ADDRESS($B23,6,,,"mkt data"))</f>
        <v>49.42</v>
      </c>
      <c r="L23" s="25">
        <f t="shared" ca="1" si="9"/>
        <v>49.404999999999994</v>
      </c>
      <c r="M23" s="25">
        <f t="shared" ca="1" si="10"/>
        <v>49.425000000000004</v>
      </c>
      <c r="N23" s="71" cm="1">
        <f t="array" aca="1" ref="N23" ca="1">INDIRECT(ADDRESS($A23,7,,,"trading inputs"))</f>
        <v>2.1279849163341789</v>
      </c>
      <c r="O23" s="26">
        <f t="shared" ca="1" si="11"/>
        <v>105.13309479149009</v>
      </c>
      <c r="P23" s="26">
        <f t="shared" ca="1" si="12"/>
        <v>-105.17565448981679</v>
      </c>
      <c r="Q23" s="234"/>
      <c r="R23" s="236"/>
      <c r="S23" s="238"/>
      <c r="T23" s="215"/>
      <c r="U23" s="157" t="b">
        <f ca="1">IF(T22&gt;Z22,TRUE,FALSE)</f>
        <v>0</v>
      </c>
      <c r="V23" s="158" t="b" cm="1">
        <f t="array" aca="1" ref="V23" ca="1">AND(IF(SUM(ABS(F22:F24)),TRUE,FALSE),IF(T22&lt;V22,TRUE,FALSE))</f>
        <v>1</v>
      </c>
      <c r="Z23" s="222"/>
      <c r="AA23" s="250"/>
    </row>
    <row r="24" spans="1:34" ht="15.75" thickBot="1" x14ac:dyDescent="0.3">
      <c r="A24" s="27">
        <f>MATCH(D24,'TRADING INPUTS'!D:D,0)</f>
        <v>29</v>
      </c>
      <c r="B24" s="49">
        <f>MATCH(D24,'MKT DATA'!B:B,0)</f>
        <v>23</v>
      </c>
      <c r="C24" s="28" t="s">
        <v>4</v>
      </c>
      <c r="D24" s="29" t="s">
        <v>4</v>
      </c>
      <c r="E24" s="107">
        <v>0.1002</v>
      </c>
      <c r="F24" s="43" cm="1">
        <f t="array" aca="1" ref="F24" ca="1">INDIRECT(ADDRESS($B24,9,,,"mkt data"))</f>
        <v>-2000</v>
      </c>
      <c r="G24" s="81">
        <f t="shared" ca="1" si="13"/>
        <v>-210390</v>
      </c>
      <c r="H24" s="43">
        <f t="shared" ca="1" si="8"/>
        <v>-2000</v>
      </c>
      <c r="I24" s="200"/>
      <c r="J24" s="54" cm="1">
        <f t="array" aca="1" ref="J24" ca="1">INDIRECT(ADDRESS($B24,5,,,"mkt data"))</f>
        <v>105.19</v>
      </c>
      <c r="K24" s="55" cm="1">
        <f t="array" aca="1" ref="K24" ca="1">INDIRECT(ADDRESS($B24,6,,,"mkt data"))</f>
        <v>105.2</v>
      </c>
      <c r="L24" s="30">
        <f t="shared" ca="1" si="9"/>
        <v>105.185</v>
      </c>
      <c r="M24" s="30">
        <f t="shared" ca="1" si="10"/>
        <v>105.205</v>
      </c>
      <c r="N24" s="69" cm="1">
        <f t="array" aca="1" ref="N24" ca="1">INDIRECT(ADDRESS($A24,7,,,"trading inputs"))</f>
        <v>1</v>
      </c>
      <c r="O24" s="31">
        <f t="shared" ca="1" si="11"/>
        <v>105.185</v>
      </c>
      <c r="P24" s="31">
        <f t="shared" ca="1" si="12"/>
        <v>-105.205</v>
      </c>
      <c r="Q24" s="196"/>
      <c r="R24" s="237"/>
      <c r="S24" s="239"/>
      <c r="T24" s="198"/>
      <c r="U24" s="60"/>
      <c r="V24" s="159"/>
      <c r="Z24" s="223"/>
      <c r="AA24" s="251"/>
    </row>
    <row r="25" spans="1:34" x14ac:dyDescent="0.25">
      <c r="A25" s="19">
        <f>MATCH(D25,'TRADING INPUTS'!D:D,0)</f>
        <v>27</v>
      </c>
      <c r="B25" s="47">
        <f>MATCH(D25,'MKT DATA'!B:B,0)</f>
        <v>35</v>
      </c>
      <c r="C25" s="20" t="s">
        <v>23</v>
      </c>
      <c r="D25" s="21" t="s">
        <v>21</v>
      </c>
      <c r="E25" s="108">
        <v>0.16500000000000001</v>
      </c>
      <c r="F25" s="41" cm="1">
        <f t="array" aca="1" ref="F25" ca="1">INDIRECT(ADDRESS($B25,9,,,"mkt data"))</f>
        <v>0</v>
      </c>
      <c r="G25" s="79">
        <f t="shared" ca="1" si="13"/>
        <v>0</v>
      </c>
      <c r="H25" s="41">
        <f t="shared" ca="1" si="8"/>
        <v>0</v>
      </c>
      <c r="I25" s="199">
        <f ca="1">SUM(H25:H27)</f>
        <v>0</v>
      </c>
      <c r="J25" s="50" cm="1">
        <f t="array" aca="1" ref="J25" ca="1">INDIRECT(ADDRESS($B25,5,,,"mkt data"))</f>
        <v>21.98</v>
      </c>
      <c r="K25" s="51" cm="1">
        <f t="array" aca="1" ref="K25" ca="1">INDIRECT(ADDRESS($B25,6,,,"mkt data"))</f>
        <v>21.99</v>
      </c>
      <c r="L25" s="22">
        <f t="shared" ca="1" si="9"/>
        <v>21.975000000000001</v>
      </c>
      <c r="M25" s="22">
        <f t="shared" ca="1" si="10"/>
        <v>21.994999999999997</v>
      </c>
      <c r="N25" s="67" cm="1">
        <f t="array" aca="1" ref="N25" ca="1">INDIRECT(ADDRESS($A25,7,,,"trading inputs"))</f>
        <v>4.2372562004076109</v>
      </c>
      <c r="O25" s="23">
        <f t="shared" ca="1" si="11"/>
        <v>93.11370500395725</v>
      </c>
      <c r="P25" s="23">
        <f t="shared" ca="1" si="12"/>
        <v>-93.198450127965387</v>
      </c>
      <c r="Q25" s="195">
        <f ca="1">MAX(O25:O27)</f>
        <v>93.14500000000001</v>
      </c>
      <c r="R25" s="235">
        <f ca="1">MAX(P25:P27)</f>
        <v>-93.147703645338822</v>
      </c>
      <c r="S25" s="235">
        <f ca="1">Q25+R25</f>
        <v>-2.7036453388120663E-3</v>
      </c>
      <c r="T25" s="197">
        <f ca="1">S25/AVERAGE(ABS(Q25),ABS(R25))</f>
        <v>-2.9025778099814629E-5</v>
      </c>
      <c r="U25" s="99">
        <f>Z25</f>
        <v>8.0000000000000004E-4</v>
      </c>
      <c r="V25" s="100">
        <f>AA25</f>
        <v>8.0000000000000004E-4</v>
      </c>
      <c r="Z25" s="221">
        <v>8.0000000000000004E-4</v>
      </c>
      <c r="AA25" s="249">
        <v>8.0000000000000004E-4</v>
      </c>
    </row>
    <row r="26" spans="1:34" x14ac:dyDescent="0.25">
      <c r="A26" s="24">
        <f>MATCH(D26,'TRADING INPUTS'!D:D,0)</f>
        <v>28</v>
      </c>
      <c r="B26" s="48">
        <f>MATCH(D26,'MKT DATA'!B:B,0)</f>
        <v>44</v>
      </c>
      <c r="C26" s="13" t="s">
        <v>23</v>
      </c>
      <c r="D26" s="11" t="s">
        <v>22</v>
      </c>
      <c r="E26" s="110">
        <v>0.16500000000000001</v>
      </c>
      <c r="F26" s="42" cm="1">
        <f t="array" aca="1" ref="F26" ca="1">INDIRECT(ADDRESS($B26,9,,,"mkt data"))</f>
        <v>0</v>
      </c>
      <c r="G26" s="80">
        <f t="shared" ca="1" si="13"/>
        <v>0</v>
      </c>
      <c r="H26" s="42">
        <f t="shared" ca="1" si="8"/>
        <v>0</v>
      </c>
      <c r="I26" s="246"/>
      <c r="J26" s="52" cm="1">
        <f t="array" aca="1" ref="J26" ca="1">INDIRECT(ADDRESS($B26,5,,,"mkt data"))</f>
        <v>46.15</v>
      </c>
      <c r="K26" s="53" cm="1">
        <f t="array" aca="1" ref="K26" ca="1">INDIRECT(ADDRESS($B26,6,,,"mkt data"))</f>
        <v>46.16</v>
      </c>
      <c r="L26" s="25">
        <f t="shared" ca="1" si="9"/>
        <v>46.144999999999996</v>
      </c>
      <c r="M26" s="25">
        <f t="shared" ca="1" si="10"/>
        <v>46.164999999999999</v>
      </c>
      <c r="N26" s="71" cm="1">
        <f t="array" aca="1" ref="N26" ca="1">INDIRECT(ADDRESS($A26,7,,,"trading inputs"))</f>
        <v>2.0177126317629983</v>
      </c>
      <c r="O26" s="26">
        <f t="shared" ca="1" si="11"/>
        <v>93.107349392703554</v>
      </c>
      <c r="P26" s="26">
        <f t="shared" ca="1" si="12"/>
        <v>-93.147703645338822</v>
      </c>
      <c r="Q26" s="234"/>
      <c r="R26" s="236"/>
      <c r="S26" s="238"/>
      <c r="T26" s="215"/>
      <c r="U26" s="157" t="b">
        <f ca="1">IF(T25&gt;Z25,TRUE,FALSE)</f>
        <v>0</v>
      </c>
      <c r="V26" s="158" t="b" cm="1">
        <f t="array" aca="1" ref="V26" ca="1">AND(IF(SUM(ABS(F25:F27)),TRUE,FALSE),IF(T25&lt;V25,TRUE,FALSE))</f>
        <v>0</v>
      </c>
      <c r="Z26" s="222"/>
      <c r="AA26" s="250"/>
    </row>
    <row r="27" spans="1:34" ht="15.75" thickBot="1" x14ac:dyDescent="0.3">
      <c r="A27" s="27">
        <f>MATCH(D27,'TRADING INPUTS'!D:D,0)</f>
        <v>26</v>
      </c>
      <c r="B27" s="49">
        <f>MATCH(D27,'MKT DATA'!B:B,0)</f>
        <v>22</v>
      </c>
      <c r="C27" s="28" t="s">
        <v>23</v>
      </c>
      <c r="D27" s="29" t="s">
        <v>23</v>
      </c>
      <c r="E27" s="109">
        <v>0.16500000000000001</v>
      </c>
      <c r="F27" s="43" cm="1">
        <f t="array" aca="1" ref="F27" ca="1">INDIRECT(ADDRESS($B27,9,,,"mkt data"))</f>
        <v>0</v>
      </c>
      <c r="G27" s="81">
        <f t="shared" ca="1" si="13"/>
        <v>0</v>
      </c>
      <c r="H27" s="43">
        <f t="shared" ca="1" si="8"/>
        <v>0</v>
      </c>
      <c r="I27" s="200"/>
      <c r="J27" s="54" cm="1">
        <f t="array" aca="1" ref="J27" ca="1">INDIRECT(ADDRESS($B27,5,,,"mkt data"))</f>
        <v>93.15</v>
      </c>
      <c r="K27" s="55" cm="1">
        <f t="array" aca="1" ref="K27" ca="1">INDIRECT(ADDRESS($B27,6,,,"mkt data"))</f>
        <v>93.16</v>
      </c>
      <c r="L27" s="30">
        <f t="shared" ca="1" si="9"/>
        <v>93.14500000000001</v>
      </c>
      <c r="M27" s="30">
        <f t="shared" ca="1" si="10"/>
        <v>93.164999999999992</v>
      </c>
      <c r="N27" s="69" cm="1">
        <f t="array" aca="1" ref="N27" ca="1">INDIRECT(ADDRESS($A27,7,,,"trading inputs"))</f>
        <v>1</v>
      </c>
      <c r="O27" s="31">
        <f t="shared" ca="1" si="11"/>
        <v>93.14500000000001</v>
      </c>
      <c r="P27" s="31">
        <f t="shared" ca="1" si="12"/>
        <v>-93.164999999999992</v>
      </c>
      <c r="Q27" s="196"/>
      <c r="R27" s="237"/>
      <c r="S27" s="239"/>
      <c r="T27" s="198"/>
      <c r="U27" s="60"/>
      <c r="V27" s="159"/>
      <c r="Z27" s="223"/>
      <c r="AA27" s="251"/>
    </row>
    <row r="28" spans="1:34" x14ac:dyDescent="0.25">
      <c r="A28" s="19">
        <f>MATCH(D28,'TRADING INPUTS'!D:D,0)</f>
        <v>9</v>
      </c>
      <c r="B28" s="47">
        <f>MATCH(D28,'MKT DATA'!B:B,0)</f>
        <v>32</v>
      </c>
      <c r="C28" s="20" t="s">
        <v>35</v>
      </c>
      <c r="D28" s="21" t="s">
        <v>32</v>
      </c>
      <c r="E28" s="108">
        <v>0.16500000000000001</v>
      </c>
      <c r="F28" s="41" cm="1">
        <f t="array" aca="1" ref="F28" ca="1">INDIRECT(ADDRESS($B28,9,,,"mkt data"))</f>
        <v>0</v>
      </c>
      <c r="G28" s="79">
        <f t="shared" ca="1" si="13"/>
        <v>0</v>
      </c>
      <c r="H28" s="41">
        <f t="shared" ca="1" si="8"/>
        <v>0</v>
      </c>
      <c r="I28" s="201">
        <f ca="1">SUM(H28:H31)</f>
        <v>0</v>
      </c>
      <c r="J28" s="50" cm="1">
        <f t="array" aca="1" ref="J28" ca="1">INDIRECT(ADDRESS($B28,5,,,"mkt data"))</f>
        <v>28.47</v>
      </c>
      <c r="K28" s="51" cm="1">
        <f t="array" aca="1" ref="K28" ca="1">INDIRECT(ADDRESS($B28,6,,,"mkt data"))</f>
        <v>28.48</v>
      </c>
      <c r="L28" s="22">
        <f t="shared" ref="L28:L37" ca="1" si="14">J28-L$20</f>
        <v>28.465</v>
      </c>
      <c r="M28" s="22">
        <f t="shared" ref="M28:M37" ca="1" si="15">K28+L$20</f>
        <v>28.484999999999999</v>
      </c>
      <c r="N28" s="67" cm="1">
        <f t="array" aca="1" ref="N28" ca="1">INDIRECT(ADDRESS($A28,7,,,"trading inputs"))</f>
        <v>3.3418037713331343</v>
      </c>
      <c r="O28" s="23">
        <f t="shared" ref="O28:O30" ca="1" si="16">L28*N28</f>
        <v>95.124444350997663</v>
      </c>
      <c r="P28" s="23">
        <f t="shared" ref="P28:P30" ca="1" si="17">-N28*M28</f>
        <v>-95.191280426424328</v>
      </c>
      <c r="Q28" s="195">
        <f ca="1">MAX(O28:O31)</f>
        <v>95.14976837106596</v>
      </c>
      <c r="R28" s="235">
        <f ca="1">MAX(P28:P31)</f>
        <v>-95.144999999999996</v>
      </c>
      <c r="S28" s="235">
        <f ca="1">Q28+R28</f>
        <v>4.768371065964061E-3</v>
      </c>
      <c r="T28" s="197">
        <f ca="1">S28/AVERAGE(ABS(Q28),ABS(R28))</f>
        <v>5.0115629628513576E-5</v>
      </c>
      <c r="U28" s="59"/>
      <c r="V28" s="167"/>
      <c r="Z28" s="221">
        <v>1E-3</v>
      </c>
      <c r="AA28" s="249">
        <v>8.0000000000000004E-4</v>
      </c>
    </row>
    <row r="29" spans="1:34" x14ac:dyDescent="0.25">
      <c r="A29" s="24">
        <f>MATCH(D29,'TRADING INPUTS'!D:D,0)</f>
        <v>10</v>
      </c>
      <c r="B29" s="48">
        <f>MATCH(D29,'MKT DATA'!B:B,0)</f>
        <v>40</v>
      </c>
      <c r="C29" s="13" t="s">
        <v>35</v>
      </c>
      <c r="D29" s="11" t="s">
        <v>33</v>
      </c>
      <c r="E29" s="110">
        <v>0.16500000000000001</v>
      </c>
      <c r="F29" s="42" cm="1">
        <f t="array" aca="1" ref="F29" ca="1">INDIRECT(ADDRESS($B29,9,,,"mkt data"))</f>
        <v>0</v>
      </c>
      <c r="G29" s="80">
        <f t="shared" ca="1" si="13"/>
        <v>0</v>
      </c>
      <c r="H29" s="42">
        <f t="shared" ca="1" si="8"/>
        <v>0</v>
      </c>
      <c r="I29" s="247"/>
      <c r="J29" s="52" cm="1">
        <f t="array" aca="1" ref="J29" ca="1">INDIRECT(ADDRESS($B29,5,,,"mkt data"))</f>
        <v>50.35</v>
      </c>
      <c r="K29" s="53" cm="1">
        <f t="array" aca="1" ref="K29" ca="1">INDIRECT(ADDRESS($B29,6,,,"mkt data"))</f>
        <v>50.36</v>
      </c>
      <c r="L29" s="25">
        <f t="shared" ca="1" si="14"/>
        <v>50.344999999999999</v>
      </c>
      <c r="M29" s="25">
        <f t="shared" ca="1" si="15"/>
        <v>50.365000000000002</v>
      </c>
      <c r="N29" s="71" cm="1">
        <f t="array" aca="1" ref="N29" ca="1">INDIRECT(ADDRESS($A29,7,,,"trading inputs"))</f>
        <v>1.889954680128433</v>
      </c>
      <c r="O29" s="26">
        <f t="shared" ca="1" si="16"/>
        <v>95.14976837106596</v>
      </c>
      <c r="P29" s="26">
        <f t="shared" ca="1" si="17"/>
        <v>-95.187567464668533</v>
      </c>
      <c r="Q29" s="230"/>
      <c r="R29" s="238"/>
      <c r="S29" s="238"/>
      <c r="T29" s="215"/>
      <c r="U29" s="169">
        <f>Z28</f>
        <v>1E-3</v>
      </c>
      <c r="V29" s="170">
        <f>AA28</f>
        <v>8.0000000000000004E-4</v>
      </c>
      <c r="W29" s="14"/>
      <c r="Z29" s="222"/>
      <c r="AA29" s="250"/>
    </row>
    <row r="30" spans="1:34" x14ac:dyDescent="0.25">
      <c r="A30" s="24">
        <f>MATCH(D30,'TRADING INPUTS'!D:D,0)</f>
        <v>11</v>
      </c>
      <c r="B30" s="48">
        <f>MATCH(D30,'MKT DATA'!B:B,0)</f>
        <v>45</v>
      </c>
      <c r="C30" s="13" t="s">
        <v>35</v>
      </c>
      <c r="D30" s="11" t="s">
        <v>34</v>
      </c>
      <c r="E30" s="110">
        <v>0.16500000000000001</v>
      </c>
      <c r="F30" s="42" cm="1">
        <f t="array" aca="1" ref="F30" ca="1">INDIRECT(ADDRESS($B30,9,,,"mkt data"))</f>
        <v>0</v>
      </c>
      <c r="G30" s="80">
        <f t="shared" ca="1" si="13"/>
        <v>0</v>
      </c>
      <c r="H30" s="42">
        <f t="shared" ca="1" si="8"/>
        <v>0</v>
      </c>
      <c r="I30" s="247"/>
      <c r="J30" s="52" cm="1">
        <f t="array" aca="1" ref="J30" ca="1">INDIRECT(ADDRESS($B30,5,,,"mkt data"))</f>
        <v>75.31</v>
      </c>
      <c r="K30" s="53" cm="1">
        <f t="array" aca="1" ref="K30" ca="1">INDIRECT(ADDRESS($B30,6,,,"mkt data"))</f>
        <v>75.34</v>
      </c>
      <c r="L30" s="25">
        <f t="shared" ca="1" si="14"/>
        <v>75.305000000000007</v>
      </c>
      <c r="M30" s="25">
        <f t="shared" ca="1" si="15"/>
        <v>75.344999999999999</v>
      </c>
      <c r="N30" s="71" cm="1">
        <f t="array" aca="1" ref="N30" ca="1">INDIRECT(ADDRESS($A30,7,,,"trading inputs"))</f>
        <v>1.2634726924555912</v>
      </c>
      <c r="O30" s="26">
        <f t="shared" ca="1" si="16"/>
        <v>95.14581110536831</v>
      </c>
      <c r="P30" s="26">
        <f t="shared" ca="1" si="17"/>
        <v>-95.196350013066521</v>
      </c>
      <c r="Q30" s="230"/>
      <c r="R30" s="238"/>
      <c r="S30" s="238"/>
      <c r="T30" s="215"/>
      <c r="U30" s="157" t="b">
        <f ca="1">IF(T28&gt;Z28,TRUE,FALSE)</f>
        <v>0</v>
      </c>
      <c r="V30" s="158" t="b" cm="1">
        <f t="array" aca="1" ref="V30" ca="1">AND(IF(SUM(ABS(F28:F30)),TRUE,FALSE),IF(T28&lt;V29,TRUE,FALSE))</f>
        <v>0</v>
      </c>
      <c r="Z30" s="222"/>
      <c r="AA30" s="250"/>
    </row>
    <row r="31" spans="1:34" ht="15.75" thickBot="1" x14ac:dyDescent="0.3">
      <c r="A31" s="27">
        <f>MATCH(D31,'TRADING INPUTS'!D:D,0)</f>
        <v>8</v>
      </c>
      <c r="B31" s="49">
        <f>MATCH(D31,'MKT DATA'!B:B,0)</f>
        <v>8</v>
      </c>
      <c r="C31" s="28" t="s">
        <v>35</v>
      </c>
      <c r="D31" s="29" t="s">
        <v>35</v>
      </c>
      <c r="E31" s="109">
        <v>0.16500000000000001</v>
      </c>
      <c r="F31" s="43" cm="1">
        <f t="array" aca="1" ref="F31" ca="1">INDIRECT(ADDRESS($B31,9,,,"mkt data"))</f>
        <v>0</v>
      </c>
      <c r="G31" s="81">
        <f t="shared" ca="1" si="13"/>
        <v>0</v>
      </c>
      <c r="H31" s="43">
        <f t="shared" ca="1" si="8"/>
        <v>0</v>
      </c>
      <c r="I31" s="202"/>
      <c r="J31" s="54" cm="1">
        <f t="array" aca="1" ref="J31" ca="1">INDIRECT(ADDRESS($B31,5,,,"mkt data"))</f>
        <v>95.12</v>
      </c>
      <c r="K31" s="55" cm="1">
        <f t="array" aca="1" ref="K31" ca="1">INDIRECT(ADDRESS($B31,6,,,"mkt data"))</f>
        <v>95.14</v>
      </c>
      <c r="L31" s="30">
        <f t="shared" ca="1" si="14"/>
        <v>95.115000000000009</v>
      </c>
      <c r="M31" s="30">
        <f t="shared" ca="1" si="15"/>
        <v>95.144999999999996</v>
      </c>
      <c r="N31" s="69" cm="1">
        <f t="array" aca="1" ref="N31" ca="1">INDIRECT(ADDRESS($A31,7,,,"trading inputs"))</f>
        <v>1</v>
      </c>
      <c r="O31" s="31">
        <f ca="1">L31*N31</f>
        <v>95.115000000000009</v>
      </c>
      <c r="P31" s="31">
        <f ca="1">-N31*M31</f>
        <v>-95.144999999999996</v>
      </c>
      <c r="Q31" s="231"/>
      <c r="R31" s="239"/>
      <c r="S31" s="239"/>
      <c r="T31" s="198"/>
      <c r="U31" s="60"/>
      <c r="V31" s="159"/>
      <c r="Z31" s="223"/>
      <c r="AA31" s="251"/>
    </row>
    <row r="32" spans="1:34" x14ac:dyDescent="0.25">
      <c r="A32" s="19">
        <f>MATCH(D32,'TRADING INPUTS'!D:D,0)</f>
        <v>24</v>
      </c>
      <c r="B32" s="47">
        <f>MATCH(D32,'MKT DATA'!B:B,0)</f>
        <v>33</v>
      </c>
      <c r="C32" s="20" t="s">
        <v>20</v>
      </c>
      <c r="D32" s="21" t="s">
        <v>15</v>
      </c>
      <c r="E32" s="108">
        <v>0.27500000000000002</v>
      </c>
      <c r="F32" s="41" cm="1">
        <f t="array" aca="1" ref="F32" ca="1">INDIRECT(ADDRESS($B32,9,,,"mkt data"))</f>
        <v>0</v>
      </c>
      <c r="G32" s="79">
        <f t="shared" ca="1" si="13"/>
        <v>0</v>
      </c>
      <c r="H32" s="41">
        <f t="shared" ca="1" si="8"/>
        <v>0</v>
      </c>
      <c r="I32" s="184">
        <f ca="1">SUM(H32:H37)</f>
        <v>0</v>
      </c>
      <c r="J32" s="50" cm="1">
        <f t="array" aca="1" ref="J32" ca="1">INDIRECT(ADDRESS($B32,5,,,"mkt data"))</f>
        <v>23.31</v>
      </c>
      <c r="K32" s="51" cm="1">
        <f t="array" aca="1" ref="K32" ca="1">INDIRECT(ADDRESS($B32,6,,,"mkt data"))</f>
        <v>23.32</v>
      </c>
      <c r="L32" s="22">
        <f t="shared" ca="1" si="14"/>
        <v>23.305</v>
      </c>
      <c r="M32" s="22">
        <f t="shared" ca="1" si="15"/>
        <v>23.324999999999999</v>
      </c>
      <c r="N32" s="67" cm="1">
        <f t="array" aca="1" ref="N32" ca="1">INDIRECT(ADDRESS($A32,7,,,"trading inputs"))</f>
        <v>4.1152011236637547</v>
      </c>
      <c r="O32" s="23">
        <f t="shared" ref="O32:O37" ca="1" si="18">L32*N32</f>
        <v>95.904762186983803</v>
      </c>
      <c r="P32" s="23">
        <f t="shared" ref="P32:P37" ca="1" si="19">-N32*M32</f>
        <v>-95.987066209457069</v>
      </c>
      <c r="Q32" s="195">
        <f ca="1">MAX(O32:O37)</f>
        <v>95.935962815610793</v>
      </c>
      <c r="R32" s="235">
        <f ca="1">MAX(P32:P37)</f>
        <v>-95.952931567172257</v>
      </c>
      <c r="S32" s="235">
        <f ca="1">Q32+R32</f>
        <v>-1.6968751561464046E-2</v>
      </c>
      <c r="T32" s="197">
        <f ca="1">S32/AVERAGE(ABS(Q32),ABS(R32))</f>
        <v>-1.7686017334191844E-4</v>
      </c>
      <c r="U32" s="59"/>
      <c r="V32" s="167"/>
      <c r="Z32" s="221">
        <v>1E-3</v>
      </c>
      <c r="AA32" s="249">
        <v>8.0000000000000004E-4</v>
      </c>
    </row>
    <row r="33" spans="1:27" x14ac:dyDescent="0.25">
      <c r="A33" s="24">
        <f>MATCH(D33,'TRADING INPUTS'!D:D,0)</f>
        <v>23</v>
      </c>
      <c r="B33" s="48">
        <f>MATCH(D33,'MKT DATA'!B:B,0)</f>
        <v>30</v>
      </c>
      <c r="C33" s="13" t="s">
        <v>20</v>
      </c>
      <c r="D33" s="11" t="s">
        <v>16</v>
      </c>
      <c r="E33" s="110">
        <v>0.27500000000000002</v>
      </c>
      <c r="F33" s="42" cm="1">
        <f t="array" aca="1" ref="F33" ca="1">INDIRECT(ADDRESS($B33,9,,,"mkt data"))</f>
        <v>0</v>
      </c>
      <c r="G33" s="80">
        <f t="shared" ca="1" si="13"/>
        <v>0</v>
      </c>
      <c r="H33" s="42">
        <f t="shared" ca="1" si="8"/>
        <v>0</v>
      </c>
      <c r="I33" s="220"/>
      <c r="J33" s="52" cm="1">
        <f t="array" aca="1" ref="J33" ca="1">INDIRECT(ADDRESS($B33,5,,,"mkt data"))</f>
        <v>26.05</v>
      </c>
      <c r="K33" s="53" cm="1">
        <f t="array" aca="1" ref="K33" ca="1">INDIRECT(ADDRESS($B33,6,,,"mkt data"))</f>
        <v>26.06</v>
      </c>
      <c r="L33" s="25">
        <f t="shared" ca="1" si="14"/>
        <v>26.045000000000002</v>
      </c>
      <c r="M33" s="25">
        <f t="shared" ca="1" si="15"/>
        <v>26.064999999999998</v>
      </c>
      <c r="N33" s="71" cm="1">
        <f t="array" aca="1" ref="N33" ca="1">INDIRECT(ADDRESS($A33,7,,,"trading inputs"))</f>
        <v>3.6826498425557261</v>
      </c>
      <c r="O33" s="26">
        <f t="shared" ca="1" si="18"/>
        <v>95.914615149363897</v>
      </c>
      <c r="P33" s="26">
        <f t="shared" ca="1" si="19"/>
        <v>-95.988268146214992</v>
      </c>
      <c r="Q33" s="230"/>
      <c r="R33" s="238"/>
      <c r="S33" s="238"/>
      <c r="T33" s="215"/>
      <c r="U33" s="60"/>
      <c r="V33" s="159"/>
      <c r="Z33" s="222"/>
      <c r="AA33" s="250"/>
    </row>
    <row r="34" spans="1:27" x14ac:dyDescent="0.25">
      <c r="A34" s="24">
        <f>MATCH(D34,'TRADING INPUTS'!D:D,0)</f>
        <v>21</v>
      </c>
      <c r="B34" s="48">
        <f>MATCH(D34,'MKT DATA'!B:B,0)</f>
        <v>14</v>
      </c>
      <c r="C34" s="13" t="s">
        <v>20</v>
      </c>
      <c r="D34" s="11" t="s">
        <v>17</v>
      </c>
      <c r="E34" s="110">
        <v>0.27500000000000002</v>
      </c>
      <c r="F34" s="42" cm="1">
        <f t="array" aca="1" ref="F34" ca="1">INDIRECT(ADDRESS($B34,9,,,"mkt data"))</f>
        <v>0</v>
      </c>
      <c r="G34" s="80">
        <f t="shared" ca="1" si="13"/>
        <v>0</v>
      </c>
      <c r="H34" s="42">
        <f t="shared" ca="1" si="8"/>
        <v>0</v>
      </c>
      <c r="I34" s="220"/>
      <c r="J34" s="52" cm="1">
        <f t="array" aca="1" ref="J34" ca="1">INDIRECT(ADDRESS($B34,5,,,"mkt data"))</f>
        <v>36.369999999999997</v>
      </c>
      <c r="K34" s="53" cm="1">
        <f t="array" aca="1" ref="K34" ca="1">INDIRECT(ADDRESS($B34,6,,,"mkt data"))</f>
        <v>36.380000000000003</v>
      </c>
      <c r="L34" s="25">
        <f t="shared" ca="1" si="14"/>
        <v>36.364999999999995</v>
      </c>
      <c r="M34" s="25">
        <f t="shared" ca="1" si="15"/>
        <v>36.385000000000005</v>
      </c>
      <c r="N34" s="71" cm="1">
        <f t="array" aca="1" ref="N34" ca="1">INDIRECT(ADDRESS($A34,7,,,"trading inputs"))</f>
        <v>2.6381032915400118</v>
      </c>
      <c r="O34" s="26">
        <f t="shared" ca="1" si="18"/>
        <v>95.93462619685252</v>
      </c>
      <c r="P34" s="26">
        <f t="shared" ca="1" si="19"/>
        <v>-95.987388262683339</v>
      </c>
      <c r="Q34" s="230"/>
      <c r="R34" s="238"/>
      <c r="S34" s="238"/>
      <c r="T34" s="215"/>
      <c r="U34" s="169">
        <f>Z32</f>
        <v>1E-3</v>
      </c>
      <c r="V34" s="170">
        <f>AA32</f>
        <v>8.0000000000000004E-4</v>
      </c>
      <c r="Z34" s="222"/>
      <c r="AA34" s="250"/>
    </row>
    <row r="35" spans="1:27" x14ac:dyDescent="0.25">
      <c r="A35" s="24">
        <f>MATCH(D35,'TRADING INPUTS'!D:D,0)</f>
        <v>25</v>
      </c>
      <c r="B35" s="48">
        <f>MATCH(D35,'MKT DATA'!B:B,0)</f>
        <v>39</v>
      </c>
      <c r="C35" s="13" t="s">
        <v>20</v>
      </c>
      <c r="D35" s="11" t="s">
        <v>18</v>
      </c>
      <c r="E35" s="110">
        <v>0.27500000000000002</v>
      </c>
      <c r="F35" s="42" cm="1">
        <f t="array" aca="1" ref="F35" ca="1">INDIRECT(ADDRESS($B35,9,,,"mkt data"))</f>
        <v>0</v>
      </c>
      <c r="G35" s="80">
        <f t="shared" ca="1" si="13"/>
        <v>0</v>
      </c>
      <c r="H35" s="42">
        <f t="shared" ca="1" si="8"/>
        <v>0</v>
      </c>
      <c r="I35" s="220"/>
      <c r="J35" s="52" cm="1">
        <f t="array" aca="1" ref="J35" ca="1">INDIRECT(ADDRESS($B35,5,,,"mkt data"))</f>
        <v>36.869999999999997</v>
      </c>
      <c r="K35" s="53" cm="1">
        <f t="array" aca="1" ref="K35" ca="1">INDIRECT(ADDRESS($B35,6,,,"mkt data"))</f>
        <v>36.880000000000003</v>
      </c>
      <c r="L35" s="25">
        <f t="shared" ca="1" si="14"/>
        <v>36.864999999999995</v>
      </c>
      <c r="M35" s="25">
        <f t="shared" ca="1" si="15"/>
        <v>36.885000000000005</v>
      </c>
      <c r="N35" s="71" cm="1">
        <f t="array" aca="1" ref="N35" ca="1">INDIRECT(ADDRESS($A35,7,,,"trading inputs"))</f>
        <v>2.6023589533598481</v>
      </c>
      <c r="O35" s="26">
        <f t="shared" ca="1" si="18"/>
        <v>95.935962815610793</v>
      </c>
      <c r="P35" s="26">
        <f t="shared" ca="1" si="19"/>
        <v>-95.988009994678009</v>
      </c>
      <c r="Q35" s="230"/>
      <c r="R35" s="238"/>
      <c r="S35" s="238"/>
      <c r="T35" s="215"/>
      <c r="U35" s="157" t="b">
        <f ca="1">IF(T32&gt;Z32,TRUE,FALSE)</f>
        <v>0</v>
      </c>
      <c r="V35" s="158" t="b" cm="1">
        <f t="array" aca="1" ref="V35" ca="1">AND(IF(SUM(ABS(F32:F34)),TRUE,FALSE),IF(T32&lt;V34,TRUE,FALSE))</f>
        <v>0</v>
      </c>
      <c r="Z35" s="222"/>
      <c r="AA35" s="250"/>
    </row>
    <row r="36" spans="1:27" x14ac:dyDescent="0.25">
      <c r="A36" s="24">
        <f>MATCH(D36,'TRADING INPUTS'!D:D,0)</f>
        <v>20</v>
      </c>
      <c r="B36" s="48">
        <f>MATCH(D36,'MKT DATA'!B:B,0)</f>
        <v>13</v>
      </c>
      <c r="C36" s="13" t="s">
        <v>20</v>
      </c>
      <c r="D36" s="11" t="s">
        <v>19</v>
      </c>
      <c r="E36" s="110">
        <v>0.27500000000000002</v>
      </c>
      <c r="F36" s="42" cm="1">
        <f t="array" aca="1" ref="F36" ca="1">INDIRECT(ADDRESS($B36,9,,,"mkt data"))</f>
        <v>0</v>
      </c>
      <c r="G36" s="80">
        <f t="shared" ca="1" si="13"/>
        <v>0</v>
      </c>
      <c r="H36" s="42">
        <f t="shared" ca="1" si="8"/>
        <v>0</v>
      </c>
      <c r="I36" s="220"/>
      <c r="J36" s="52" cm="1">
        <f t="array" aca="1" ref="J36" ca="1">INDIRECT(ADDRESS($B36,5,,,"mkt data"))</f>
        <v>79.7</v>
      </c>
      <c r="K36" s="53" cm="1">
        <f t="array" aca="1" ref="K36" ca="1">INDIRECT(ADDRESS($B36,6,,,"mkt data"))</f>
        <v>79.709999999999994</v>
      </c>
      <c r="L36" s="25">
        <f t="shared" ca="1" si="14"/>
        <v>79.695000000000007</v>
      </c>
      <c r="M36" s="25">
        <f t="shared" ca="1" si="15"/>
        <v>79.714999999999989</v>
      </c>
      <c r="N36" s="71" cm="1">
        <f t="array" aca="1" ref="N36" ca="1">INDIRECT(ADDRESS($A36,7,,,"trading inputs"))</f>
        <v>1.2036998252169888</v>
      </c>
      <c r="O36" s="26">
        <f t="shared" ca="1" si="18"/>
        <v>95.92885757066793</v>
      </c>
      <c r="P36" s="26">
        <f t="shared" ca="1" si="19"/>
        <v>-95.952931567172257</v>
      </c>
      <c r="Q36" s="230"/>
      <c r="R36" s="238"/>
      <c r="S36" s="238"/>
      <c r="T36" s="215"/>
      <c r="U36" s="60"/>
      <c r="V36" s="159"/>
      <c r="Z36" s="222"/>
      <c r="AA36" s="250"/>
    </row>
    <row r="37" spans="1:27" ht="15.75" thickBot="1" x14ac:dyDescent="0.3">
      <c r="A37" s="27">
        <f>MATCH(D37,'TRADING INPUTS'!D:D,0)</f>
        <v>22</v>
      </c>
      <c r="B37" s="49">
        <f>MATCH(D37,'MKT DATA'!B:B,0)</f>
        <v>20</v>
      </c>
      <c r="C37" s="28" t="s">
        <v>20</v>
      </c>
      <c r="D37" s="29" t="s">
        <v>20</v>
      </c>
      <c r="E37" s="109">
        <v>0.27500000000000002</v>
      </c>
      <c r="F37" s="43" cm="1">
        <f t="array" aca="1" ref="F37" ca="1">INDIRECT(ADDRESS($B37,9,,,"mkt data"))</f>
        <v>0</v>
      </c>
      <c r="G37" s="81">
        <f t="shared" ca="1" si="13"/>
        <v>0</v>
      </c>
      <c r="H37" s="43">
        <f t="shared" ca="1" si="8"/>
        <v>0</v>
      </c>
      <c r="I37" s="185"/>
      <c r="J37" s="54" cm="1">
        <f t="array" aca="1" ref="J37" ca="1">INDIRECT(ADDRESS($B37,5,,,"mkt data"))</f>
        <v>95.94</v>
      </c>
      <c r="K37" s="55" cm="1">
        <f t="array" aca="1" ref="K37" ca="1">INDIRECT(ADDRESS($B37,6,,,"mkt data"))</f>
        <v>95.95</v>
      </c>
      <c r="L37" s="30">
        <f t="shared" ca="1" si="14"/>
        <v>95.935000000000002</v>
      </c>
      <c r="M37" s="30">
        <f t="shared" ca="1" si="15"/>
        <v>95.954999999999998</v>
      </c>
      <c r="N37" s="69" cm="1">
        <f t="array" aca="1" ref="N37" ca="1">INDIRECT(ADDRESS($A37,7,,,"trading inputs"))</f>
        <v>1</v>
      </c>
      <c r="O37" s="31">
        <f t="shared" ca="1" si="18"/>
        <v>95.935000000000002</v>
      </c>
      <c r="P37" s="31">
        <f t="shared" ca="1" si="19"/>
        <v>-95.954999999999998</v>
      </c>
      <c r="Q37" s="231"/>
      <c r="R37" s="239"/>
      <c r="S37" s="239"/>
      <c r="T37" s="198"/>
      <c r="U37" s="61"/>
      <c r="V37" s="168"/>
      <c r="Z37" s="223"/>
      <c r="AA37" s="251"/>
    </row>
    <row r="38" spans="1:27" s="125" customFormat="1" x14ac:dyDescent="0.25">
      <c r="A38" s="111">
        <f>MATCH(D38,'TRADING INPUTS'!D:D,0)</f>
        <v>38</v>
      </c>
      <c r="B38" s="112">
        <f>MATCH(D38,'MKT DATA'!B:B,0)</f>
        <v>36</v>
      </c>
      <c r="C38" s="113" t="s">
        <v>31</v>
      </c>
      <c r="D38" s="114" t="s">
        <v>28</v>
      </c>
      <c r="E38" s="164"/>
      <c r="F38" s="115" cm="1">
        <f t="array" aca="1" ref="F38" ca="1">INDIRECT(ADDRESS($B38,9,,,"mkt data"))</f>
        <v>0</v>
      </c>
      <c r="G38" s="116">
        <f t="shared" ca="1" si="13"/>
        <v>0</v>
      </c>
      <c r="H38" s="115">
        <f t="shared" ca="1" si="8"/>
        <v>0</v>
      </c>
      <c r="I38" s="241">
        <f ca="1">SUM(H38:H40)</f>
        <v>-1254</v>
      </c>
      <c r="J38" s="117" cm="1">
        <f t="array" aca="1" ref="J38" ca="1">INDIRECT(ADDRESS($B38,5,,,"mkt data"))</f>
        <v>25.3</v>
      </c>
      <c r="K38" s="118" cm="1">
        <f t="array" aca="1" ref="K38" ca="1">INDIRECT(ADDRESS($B38,6,,,"mkt data"))</f>
        <v>25.31</v>
      </c>
      <c r="L38" s="119">
        <f t="shared" ca="1" si="9"/>
        <v>25.295000000000002</v>
      </c>
      <c r="M38" s="119">
        <f t="shared" ca="1" si="10"/>
        <v>25.314999999999998</v>
      </c>
      <c r="N38" s="120" cm="1">
        <f t="array" aca="1" ref="N38" ca="1">INDIRECT(ADDRESS($A38,7,,,"trading inputs"))</f>
        <v>2.102650167336642</v>
      </c>
      <c r="O38" s="121">
        <f t="shared" ca="1" si="11"/>
        <v>53.186535982780363</v>
      </c>
      <c r="P38" s="121">
        <f t="shared" ca="1" si="12"/>
        <v>-53.228588986127086</v>
      </c>
      <c r="Q38" s="188">
        <f ca="1">MAX(O38:O40)</f>
        <v>53.204999999999998</v>
      </c>
      <c r="R38" s="216">
        <f ca="1">MAX(P38:P40)</f>
        <v>-53.225000000000001</v>
      </c>
      <c r="S38" s="216">
        <f ca="1">Q38+R38</f>
        <v>-2.0000000000003126E-2</v>
      </c>
      <c r="T38" s="190">
        <f ca="1">S38/AVERAGE(ABS(Q38),ABS(R38))</f>
        <v>-3.7583388142446912E-4</v>
      </c>
      <c r="U38" s="99"/>
      <c r="V38" s="100"/>
      <c r="W38" s="143"/>
      <c r="X38" s="144"/>
      <c r="Z38" s="224">
        <v>0.01</v>
      </c>
      <c r="AA38" s="252">
        <v>0.01</v>
      </c>
    </row>
    <row r="39" spans="1:27" s="125" customFormat="1" x14ac:dyDescent="0.25">
      <c r="A39" s="145">
        <f>MATCH(D39,'TRADING INPUTS'!D:D,0)</f>
        <v>37</v>
      </c>
      <c r="B39" s="146">
        <f>MATCH(D39,'MKT DATA'!B:B,0)</f>
        <v>28</v>
      </c>
      <c r="C39" s="147" t="s">
        <v>31</v>
      </c>
      <c r="D39" s="148" t="s">
        <v>29</v>
      </c>
      <c r="E39" s="165"/>
      <c r="F39" s="149" cm="1">
        <f t="array" aca="1" ref="F39" ca="1">INDIRECT(ADDRESS($B39,9,,,"mkt data"))</f>
        <v>0</v>
      </c>
      <c r="G39" s="150">
        <f t="shared" ca="1" si="13"/>
        <v>0</v>
      </c>
      <c r="H39" s="149">
        <f t="shared" ca="1" si="8"/>
        <v>0</v>
      </c>
      <c r="I39" s="242"/>
      <c r="J39" s="151" cm="1">
        <f t="array" aca="1" ref="J39" ca="1">INDIRECT(ADDRESS($B39,5,,,"mkt data"))</f>
        <v>30.18</v>
      </c>
      <c r="K39" s="152" cm="1">
        <f t="array" aca="1" ref="K39" ca="1">INDIRECT(ADDRESS($B39,6,,,"mkt data"))</f>
        <v>30.19</v>
      </c>
      <c r="L39" s="153">
        <f t="shared" ca="1" si="9"/>
        <v>30.175000000000001</v>
      </c>
      <c r="M39" s="153">
        <f t="shared" ca="1" si="10"/>
        <v>30.195</v>
      </c>
      <c r="N39" s="154" cm="1">
        <f t="array" aca="1" ref="N39" ca="1">INDIRECT(ADDRESS($A39,7,,,"trading inputs"))</f>
        <v>1.7627640246416409</v>
      </c>
      <c r="O39" s="155">
        <f t="shared" ca="1" si="11"/>
        <v>53.191404443561517</v>
      </c>
      <c r="P39" s="155">
        <f t="shared" ca="1" si="12"/>
        <v>-53.22665972405435</v>
      </c>
      <c r="Q39" s="240"/>
      <c r="R39" s="232"/>
      <c r="S39" s="217"/>
      <c r="T39" s="219"/>
      <c r="U39" s="157"/>
      <c r="V39" s="158"/>
      <c r="W39" s="143"/>
      <c r="X39" s="144"/>
      <c r="Z39" s="225"/>
      <c r="AA39" s="253"/>
    </row>
    <row r="40" spans="1:27" s="125" customFormat="1" ht="15.75" thickBot="1" x14ac:dyDescent="0.3">
      <c r="A40" s="129">
        <f>MATCH(D40,'TRADING INPUTS'!D:D,0)</f>
        <v>39</v>
      </c>
      <c r="B40" s="130">
        <f>MATCH(D40,'MKT DATA'!B:B,0)</f>
        <v>43</v>
      </c>
      <c r="C40" s="131" t="s">
        <v>31</v>
      </c>
      <c r="D40" s="132" t="s">
        <v>31</v>
      </c>
      <c r="E40" s="166"/>
      <c r="F40" s="133" cm="1">
        <f t="array" aca="1" ref="F40" ca="1">INDIRECT(ADDRESS($B40,9,,,"mkt data"))</f>
        <v>-1254</v>
      </c>
      <c r="G40" s="134">
        <f t="shared" ca="1" si="13"/>
        <v>-66731.61</v>
      </c>
      <c r="H40" s="133">
        <f t="shared" ca="1" si="8"/>
        <v>-1254</v>
      </c>
      <c r="I40" s="243"/>
      <c r="J40" s="135" cm="1">
        <f t="array" aca="1" ref="J40" ca="1">INDIRECT(ADDRESS($B40,5,,,"mkt data"))</f>
        <v>53.21</v>
      </c>
      <c r="K40" s="136" cm="1">
        <f t="array" aca="1" ref="K40" ca="1">INDIRECT(ADDRESS($B40,6,,,"mkt data"))</f>
        <v>53.22</v>
      </c>
      <c r="L40" s="137">
        <f t="shared" ca="1" si="9"/>
        <v>53.204999999999998</v>
      </c>
      <c r="M40" s="137">
        <f t="shared" ca="1" si="10"/>
        <v>53.225000000000001</v>
      </c>
      <c r="N40" s="138" cm="1">
        <f t="array" aca="1" ref="N40" ca="1">INDIRECT(ADDRESS($A40,7,,,"trading inputs"))</f>
        <v>1</v>
      </c>
      <c r="O40" s="139">
        <f t="shared" ref="O40" ca="1" si="20">L40*N40</f>
        <v>53.204999999999998</v>
      </c>
      <c r="P40" s="139">
        <f t="shared" ref="P40" ca="1" si="21">-N40*M40</f>
        <v>-53.225000000000001</v>
      </c>
      <c r="Q40" s="189"/>
      <c r="R40" s="233"/>
      <c r="S40" s="218"/>
      <c r="T40" s="191"/>
      <c r="U40" s="160"/>
      <c r="V40" s="161"/>
      <c r="W40" s="143"/>
      <c r="X40" s="144"/>
      <c r="Z40" s="226"/>
      <c r="AA40" s="254"/>
    </row>
    <row r="41" spans="1:27" s="125" customFormat="1" x14ac:dyDescent="0.25">
      <c r="A41" s="111">
        <f>MATCH(D41,'TRADING INPUTS'!D:D,0)</f>
        <v>35</v>
      </c>
      <c r="B41" s="112">
        <f>MATCH(D41,'MKT DATA'!B:B,0)</f>
        <v>34</v>
      </c>
      <c r="C41" s="113" t="s">
        <v>27</v>
      </c>
      <c r="D41" s="114" t="s">
        <v>25</v>
      </c>
      <c r="E41" s="164"/>
      <c r="F41" s="115" cm="1">
        <f t="array" aca="1" ref="F41" ca="1">INDIRECT(ADDRESS($B41,9,,,"mkt data"))</f>
        <v>0</v>
      </c>
      <c r="G41" s="116">
        <f t="shared" ca="1" si="13"/>
        <v>0</v>
      </c>
      <c r="H41" s="115">
        <f t="shared" ca="1" si="8"/>
        <v>0</v>
      </c>
      <c r="I41" s="241">
        <f ca="1">SUM(H41:H43)</f>
        <v>0</v>
      </c>
      <c r="J41" s="117" cm="1">
        <f t="array" aca="1" ref="J41" ca="1">INDIRECT(ADDRESS($B41,5,,,"mkt data"))</f>
        <v>21.53</v>
      </c>
      <c r="K41" s="118" cm="1">
        <f t="array" aca="1" ref="K41" ca="1">INDIRECT(ADDRESS($B41,6,,,"mkt data"))</f>
        <v>21.54</v>
      </c>
      <c r="L41" s="119">
        <f t="shared" ca="1" si="9"/>
        <v>21.525000000000002</v>
      </c>
      <c r="M41" s="119">
        <f t="shared" ca="1" si="10"/>
        <v>21.544999999999998</v>
      </c>
      <c r="N41" s="120" cm="1">
        <f t="array" aca="1" ref="N41" ca="1">INDIRECT(ADDRESS($A41,7,,,"trading inputs"))</f>
        <v>3.3611055697647254</v>
      </c>
      <c r="O41" s="121">
        <f ca="1">L41*N41</f>
        <v>72.347797389185715</v>
      </c>
      <c r="P41" s="121">
        <f ca="1">-N41*M41</f>
        <v>-72.415019500580996</v>
      </c>
      <c r="Q41" s="188">
        <f ca="1">MAX(O41:O43)</f>
        <v>72.385000000000005</v>
      </c>
      <c r="R41" s="216">
        <f ca="1">MAX(P41:P43)</f>
        <v>-72.399561509397103</v>
      </c>
      <c r="S41" s="216">
        <f ca="1">Q41+R41</f>
        <v>-1.4561509397097439E-2</v>
      </c>
      <c r="T41" s="190">
        <f ca="1">S41/AVERAGE(ABS(Q41),ABS(R41))</f>
        <v>-2.0114726660483529E-4</v>
      </c>
      <c r="U41" s="99"/>
      <c r="V41" s="100"/>
      <c r="W41" s="143"/>
      <c r="X41" s="144"/>
      <c r="Z41" s="224">
        <v>0.01</v>
      </c>
      <c r="AA41" s="252">
        <v>0.01</v>
      </c>
    </row>
    <row r="42" spans="1:27" s="125" customFormat="1" x14ac:dyDescent="0.25">
      <c r="A42" s="145">
        <f>MATCH(D42,'TRADING INPUTS'!D:D,0)</f>
        <v>34</v>
      </c>
      <c r="B42" s="146">
        <f>MATCH(D42,'MKT DATA'!B:B,0)</f>
        <v>17</v>
      </c>
      <c r="C42" s="147" t="s">
        <v>27</v>
      </c>
      <c r="D42" s="148" t="s">
        <v>26</v>
      </c>
      <c r="E42" s="165"/>
      <c r="F42" s="149" cm="1">
        <f t="array" aca="1" ref="F42" ca="1">INDIRECT(ADDRESS($B42,9,,,"mkt data"))</f>
        <v>0</v>
      </c>
      <c r="G42" s="150">
        <f t="shared" ca="1" si="13"/>
        <v>0</v>
      </c>
      <c r="H42" s="149">
        <f t="shared" ca="1" si="8"/>
        <v>0</v>
      </c>
      <c r="I42" s="242"/>
      <c r="J42" s="151" cm="1">
        <f t="array" aca="1" ref="J42" ca="1">INDIRECT(ADDRESS($B42,5,,,"mkt data"))</f>
        <v>48.23</v>
      </c>
      <c r="K42" s="152" cm="1">
        <f t="array" aca="1" ref="K42" ca="1">INDIRECT(ADDRESS($B42,6,,,"mkt data"))</f>
        <v>48.24</v>
      </c>
      <c r="L42" s="153">
        <f t="shared" ca="1" si="9"/>
        <v>48.224999999999994</v>
      </c>
      <c r="M42" s="153">
        <f t="shared" ca="1" si="10"/>
        <v>48.245000000000005</v>
      </c>
      <c r="N42" s="154" cm="1">
        <f t="array" aca="1" ref="N42" ca="1">INDIRECT(ADDRESS($A42,7,,,"trading inputs"))</f>
        <v>1.5006645561073084</v>
      </c>
      <c r="O42" s="155">
        <f t="shared" ref="O42:O43" ca="1" si="22">L42*N42</f>
        <v>72.369548218274943</v>
      </c>
      <c r="P42" s="155">
        <f t="shared" ref="P42:P43" ca="1" si="23">-N42*M42</f>
        <v>-72.399561509397103</v>
      </c>
      <c r="Q42" s="240"/>
      <c r="R42" s="232"/>
      <c r="S42" s="217"/>
      <c r="T42" s="219"/>
      <c r="U42" s="157"/>
      <c r="V42" s="158"/>
      <c r="W42" s="143"/>
      <c r="X42" s="144"/>
      <c r="Z42" s="225"/>
      <c r="AA42" s="253"/>
    </row>
    <row r="43" spans="1:27" s="125" customFormat="1" ht="15.75" thickBot="1" x14ac:dyDescent="0.3">
      <c r="A43" s="129">
        <f>MATCH(D43,'TRADING INPUTS'!D:D,0)</f>
        <v>36</v>
      </c>
      <c r="B43" s="130">
        <f>MATCH(D43,'MKT DATA'!B:B,0)</f>
        <v>42</v>
      </c>
      <c r="C43" s="131" t="s">
        <v>27</v>
      </c>
      <c r="D43" s="132" t="s">
        <v>27</v>
      </c>
      <c r="E43" s="166"/>
      <c r="F43" s="133" cm="1">
        <f t="array" aca="1" ref="F43" ca="1">INDIRECT(ADDRESS($B43,9,,,"mkt data"))</f>
        <v>0</v>
      </c>
      <c r="G43" s="134">
        <f t="shared" ca="1" si="13"/>
        <v>0</v>
      </c>
      <c r="H43" s="133">
        <f t="shared" ca="1" si="8"/>
        <v>0</v>
      </c>
      <c r="I43" s="243"/>
      <c r="J43" s="135" cm="1">
        <f t="array" aca="1" ref="J43" ca="1">INDIRECT(ADDRESS($B43,5,,,"mkt data"))</f>
        <v>72.39</v>
      </c>
      <c r="K43" s="136" cm="1">
        <f t="array" aca="1" ref="K43" ca="1">INDIRECT(ADDRESS($B43,6,,,"mkt data"))</f>
        <v>72.400000000000006</v>
      </c>
      <c r="L43" s="137">
        <f t="shared" ca="1" si="9"/>
        <v>72.385000000000005</v>
      </c>
      <c r="M43" s="137">
        <f t="shared" ca="1" si="10"/>
        <v>72.405000000000001</v>
      </c>
      <c r="N43" s="138" cm="1">
        <f t="array" aca="1" ref="N43" ca="1">INDIRECT(ADDRESS($A43,7,,,"trading inputs"))</f>
        <v>1</v>
      </c>
      <c r="O43" s="139">
        <f t="shared" ca="1" si="22"/>
        <v>72.385000000000005</v>
      </c>
      <c r="P43" s="139">
        <f t="shared" ca="1" si="23"/>
        <v>-72.405000000000001</v>
      </c>
      <c r="Q43" s="189"/>
      <c r="R43" s="233"/>
      <c r="S43" s="218"/>
      <c r="T43" s="191"/>
      <c r="U43" s="160"/>
      <c r="V43" s="161"/>
      <c r="W43" s="143"/>
      <c r="X43" s="144"/>
      <c r="Z43" s="226"/>
      <c r="AA43" s="254"/>
    </row>
    <row r="44" spans="1:27" s="125" customFormat="1" x14ac:dyDescent="0.25">
      <c r="A44" s="111">
        <f>MATCH(D44,'TRADING INPUTS'!D:D,0)</f>
        <v>4</v>
      </c>
      <c r="B44" s="112">
        <f>MATCH(D44,'MKT DATA'!B:B,0)</f>
        <v>29</v>
      </c>
      <c r="C44" s="113" t="s">
        <v>10</v>
      </c>
      <c r="D44" s="114" t="s">
        <v>6</v>
      </c>
      <c r="E44" s="164"/>
      <c r="F44" s="115" cm="1">
        <f t="array" aca="1" ref="F44" ca="1">INDIRECT(ADDRESS($B44,9,,,"mkt data"))</f>
        <v>0</v>
      </c>
      <c r="G44" s="116">
        <f t="shared" ca="1" si="13"/>
        <v>0</v>
      </c>
      <c r="H44" s="115">
        <f t="shared" ca="1" si="8"/>
        <v>0</v>
      </c>
      <c r="I44" s="193">
        <f ca="1">SUM(H44:H47)</f>
        <v>0</v>
      </c>
      <c r="J44" s="117" cm="1">
        <f t="array" aca="1" ref="J44" ca="1">INDIRECT(ADDRESS($B44,5,,,"mkt data"))</f>
        <v>22.78</v>
      </c>
      <c r="K44" s="118" cm="1">
        <f t="array" aca="1" ref="K44" ca="1">INDIRECT(ADDRESS($B44,6,,,"mkt data"))</f>
        <v>22.79</v>
      </c>
      <c r="L44" s="119">
        <f t="shared" ca="1" si="9"/>
        <v>22.775000000000002</v>
      </c>
      <c r="M44" s="119">
        <f t="shared" ca="1" si="10"/>
        <v>22.794999999999998</v>
      </c>
      <c r="N44" s="120" cm="1">
        <f t="array" aca="1" ref="N44" ca="1">INDIRECT(ADDRESS($A44,7,,,"trading inputs"))</f>
        <v>4.2776619532215605</v>
      </c>
      <c r="O44" s="121">
        <f ca="1">L44*N44</f>
        <v>97.423750984621051</v>
      </c>
      <c r="P44" s="121">
        <f ca="1">-N44*M44</f>
        <v>-97.509304223685461</v>
      </c>
      <c r="Q44" s="188">
        <f ca="1">MAX(O44:O47)</f>
        <v>97.525000000000006</v>
      </c>
      <c r="R44" s="216">
        <f ca="1">MAX(P44:P47)</f>
        <v>-97.509304223685461</v>
      </c>
      <c r="S44" s="216">
        <f ca="1">Q44+R44</f>
        <v>1.5695776314544219E-2</v>
      </c>
      <c r="T44" s="190">
        <f ca="1">S44/AVERAGE(ABS(Q44),ABS(R44))</f>
        <v>1.6095400629155662E-4</v>
      </c>
      <c r="U44" s="99"/>
      <c r="V44" s="100"/>
      <c r="W44" s="143"/>
      <c r="X44" s="144"/>
      <c r="Z44" s="224">
        <v>0.01</v>
      </c>
      <c r="AA44" s="252">
        <v>0.01</v>
      </c>
    </row>
    <row r="45" spans="1:27" s="125" customFormat="1" x14ac:dyDescent="0.25">
      <c r="A45" s="145">
        <f>MATCH(D45,'TRADING INPUTS'!D:D,0)</f>
        <v>5</v>
      </c>
      <c r="B45" s="146">
        <f>MATCH(D45,'MKT DATA'!B:B,0)</f>
        <v>31</v>
      </c>
      <c r="C45" s="147" t="s">
        <v>10</v>
      </c>
      <c r="D45" s="148" t="s">
        <v>7</v>
      </c>
      <c r="E45" s="165"/>
      <c r="F45" s="149" cm="1">
        <f t="array" aca="1" ref="F45" ca="1">INDIRECT(ADDRESS($B45,9,,,"mkt data"))</f>
        <v>0</v>
      </c>
      <c r="G45" s="150">
        <f t="shared" ca="1" si="13"/>
        <v>0</v>
      </c>
      <c r="H45" s="149">
        <f t="shared" ca="1" si="8"/>
        <v>0</v>
      </c>
      <c r="I45" s="245"/>
      <c r="J45" s="151" cm="1">
        <f t="array" aca="1" ref="J45" ca="1">INDIRECT(ADDRESS($B45,5,,,"mkt data"))</f>
        <v>25.13</v>
      </c>
      <c r="K45" s="152" cm="1">
        <f t="array" aca="1" ref="K45" ca="1">INDIRECT(ADDRESS($B45,6,,,"mkt data"))</f>
        <v>25.14</v>
      </c>
      <c r="L45" s="153">
        <f t="shared" ca="1" si="9"/>
        <v>25.125</v>
      </c>
      <c r="M45" s="153">
        <f t="shared" ca="1" si="10"/>
        <v>25.145</v>
      </c>
      <c r="N45" s="154" cm="1">
        <f t="array" aca="1" ref="N45" ca="1">INDIRECT(ADDRESS($A45,7,,,"trading inputs"))</f>
        <v>3.8798267426851085</v>
      </c>
      <c r="O45" s="155">
        <f ca="1">L45*N45</f>
        <v>97.480646909963355</v>
      </c>
      <c r="P45" s="155">
        <f ca="1">-N45*M45</f>
        <v>-97.558243444817052</v>
      </c>
      <c r="Q45" s="227"/>
      <c r="R45" s="217"/>
      <c r="S45" s="217"/>
      <c r="T45" s="219"/>
      <c r="U45" s="157"/>
      <c r="V45" s="158"/>
      <c r="W45" s="143"/>
      <c r="X45" s="144"/>
      <c r="Z45" s="225"/>
      <c r="AA45" s="253"/>
    </row>
    <row r="46" spans="1:27" s="125" customFormat="1" x14ac:dyDescent="0.25">
      <c r="A46" s="145">
        <f>MATCH(D46,'TRADING INPUTS'!D:D,0)</f>
        <v>3</v>
      </c>
      <c r="B46" s="146">
        <f>MATCH(D46,'MKT DATA'!B:B,0)</f>
        <v>4</v>
      </c>
      <c r="C46" s="147" t="s">
        <v>10</v>
      </c>
      <c r="D46" s="148" t="s">
        <v>9</v>
      </c>
      <c r="E46" s="165"/>
      <c r="F46" s="149" cm="1">
        <f t="array" aca="1" ref="F46" ca="1">INDIRECT(ADDRESS($B46,9,,,"mkt data"))</f>
        <v>0</v>
      </c>
      <c r="G46" s="150">
        <f t="shared" ca="1" si="13"/>
        <v>0</v>
      </c>
      <c r="H46" s="149">
        <f t="shared" ca="1" si="8"/>
        <v>0</v>
      </c>
      <c r="I46" s="245"/>
      <c r="J46" s="151" cm="1">
        <f t="array" aca="1" ref="J46" ca="1">INDIRECT(ADDRESS($B46,5,,,"mkt data"))</f>
        <v>72.33</v>
      </c>
      <c r="K46" s="152" cm="1">
        <f t="array" aca="1" ref="K46" ca="1">INDIRECT(ADDRESS($B46,6,,,"mkt data"))</f>
        <v>72.34</v>
      </c>
      <c r="L46" s="153">
        <f t="shared" ca="1" si="9"/>
        <v>72.325000000000003</v>
      </c>
      <c r="M46" s="153">
        <f t="shared" ca="1" si="10"/>
        <v>72.344999999999999</v>
      </c>
      <c r="N46" s="154" cm="1">
        <f t="array" aca="1" ref="N46" ca="1">INDIRECT(ADDRESS($A46,7,,,"trading inputs"))</f>
        <v>1.3480711533393006</v>
      </c>
      <c r="O46" s="155">
        <f ca="1">L46*N46</f>
        <v>97.499246165264921</v>
      </c>
      <c r="P46" s="155">
        <f ca="1">-N46*M46</f>
        <v>-97.526207588331701</v>
      </c>
      <c r="Q46" s="227"/>
      <c r="R46" s="217"/>
      <c r="S46" s="217"/>
      <c r="T46" s="219"/>
      <c r="U46" s="160"/>
      <c r="V46" s="161"/>
      <c r="W46" s="143"/>
      <c r="X46" s="144"/>
      <c r="Z46" s="225"/>
      <c r="AA46" s="253"/>
    </row>
    <row r="47" spans="1:27" s="125" customFormat="1" ht="15.75" thickBot="1" x14ac:dyDescent="0.3">
      <c r="A47" s="129">
        <f>MATCH(D47,'TRADING INPUTS'!D:D,0)</f>
        <v>2</v>
      </c>
      <c r="B47" s="130">
        <f>MATCH(D47,'MKT DATA'!B:B,0)</f>
        <v>2</v>
      </c>
      <c r="C47" s="131" t="s">
        <v>10</v>
      </c>
      <c r="D47" s="132" t="s">
        <v>10</v>
      </c>
      <c r="E47" s="166"/>
      <c r="F47" s="133" cm="1">
        <f t="array" aca="1" ref="F47" ca="1">INDIRECT(ADDRESS($B47,9,,,"mkt data"))</f>
        <v>0</v>
      </c>
      <c r="G47" s="134">
        <f t="shared" ca="1" si="13"/>
        <v>0</v>
      </c>
      <c r="H47" s="133">
        <f t="shared" ca="1" si="8"/>
        <v>0</v>
      </c>
      <c r="I47" s="194"/>
      <c r="J47" s="135" cm="1">
        <f t="array" aca="1" ref="J47" ca="1">INDIRECT(ADDRESS($B47,5,,,"mkt data"))</f>
        <v>97.53</v>
      </c>
      <c r="K47" s="136" cm="1">
        <f t="array" aca="1" ref="K47" ca="1">INDIRECT(ADDRESS($B47,6,,,"mkt data"))</f>
        <v>97.54</v>
      </c>
      <c r="L47" s="137">
        <f t="shared" ca="1" si="9"/>
        <v>97.525000000000006</v>
      </c>
      <c r="M47" s="137">
        <f t="shared" ca="1" si="10"/>
        <v>97.545000000000002</v>
      </c>
      <c r="N47" s="138" cm="1">
        <f t="array" aca="1" ref="N47" ca="1">INDIRECT(ADDRESS($A47,7,,,"trading inputs"))</f>
        <v>1</v>
      </c>
      <c r="O47" s="139">
        <f ca="1">L47*N47</f>
        <v>97.525000000000006</v>
      </c>
      <c r="P47" s="139">
        <f ca="1">-N47*M47</f>
        <v>-97.545000000000002</v>
      </c>
      <c r="Q47" s="228"/>
      <c r="R47" s="218"/>
      <c r="S47" s="218"/>
      <c r="T47" s="191"/>
      <c r="U47" s="162"/>
      <c r="V47" s="163"/>
      <c r="W47" s="143"/>
      <c r="X47" s="144"/>
      <c r="Z47" s="226"/>
      <c r="AA47" s="254"/>
    </row>
    <row r="48" spans="1:27" x14ac:dyDescent="0.25">
      <c r="E48" s="82"/>
      <c r="F48" s="82"/>
      <c r="W48" s="39"/>
    </row>
    <row r="49" spans="5:6" x14ac:dyDescent="0.25">
      <c r="E49" s="82"/>
      <c r="F49" s="82"/>
    </row>
  </sheetData>
  <mergeCells count="105">
    <mergeCell ref="Z20:AA20"/>
    <mergeCell ref="I44:I47"/>
    <mergeCell ref="F20:I20"/>
    <mergeCell ref="I22:I24"/>
    <mergeCell ref="I25:I27"/>
    <mergeCell ref="S28:S31"/>
    <mergeCell ref="T28:T31"/>
    <mergeCell ref="S41:S43"/>
    <mergeCell ref="T41:T43"/>
    <mergeCell ref="S22:S24"/>
    <mergeCell ref="T22:T24"/>
    <mergeCell ref="I41:I43"/>
    <mergeCell ref="I28:I31"/>
    <mergeCell ref="Q20:T20"/>
    <mergeCell ref="AA22:AA24"/>
    <mergeCell ref="AA25:AA27"/>
    <mergeCell ref="AA38:AA40"/>
    <mergeCell ref="AA41:AA43"/>
    <mergeCell ref="Z41:Z43"/>
    <mergeCell ref="AA28:AA31"/>
    <mergeCell ref="AA44:AA47"/>
    <mergeCell ref="AA32:AA37"/>
    <mergeCell ref="T38:T40"/>
    <mergeCell ref="S32:S37"/>
    <mergeCell ref="A19:C19"/>
    <mergeCell ref="Q32:Q37"/>
    <mergeCell ref="R41:R43"/>
    <mergeCell ref="Q22:Q24"/>
    <mergeCell ref="R22:R24"/>
    <mergeCell ref="Q25:Q27"/>
    <mergeCell ref="R32:R37"/>
    <mergeCell ref="Z32:Z37"/>
    <mergeCell ref="A20:B20"/>
    <mergeCell ref="J20:K20"/>
    <mergeCell ref="O20:P20"/>
    <mergeCell ref="Q38:Q40"/>
    <mergeCell ref="R38:R40"/>
    <mergeCell ref="L20:M20"/>
    <mergeCell ref="Q28:Q31"/>
    <mergeCell ref="R28:R31"/>
    <mergeCell ref="Q41:Q43"/>
    <mergeCell ref="Z22:Z24"/>
    <mergeCell ref="Z25:Z27"/>
    <mergeCell ref="I38:I40"/>
    <mergeCell ref="R25:R27"/>
    <mergeCell ref="S25:S27"/>
    <mergeCell ref="T25:T27"/>
    <mergeCell ref="S38:S40"/>
    <mergeCell ref="T32:T37"/>
    <mergeCell ref="S44:S47"/>
    <mergeCell ref="T44:T47"/>
    <mergeCell ref="I32:I37"/>
    <mergeCell ref="Z28:Z31"/>
    <mergeCell ref="Z44:Z47"/>
    <mergeCell ref="Q44:Q47"/>
    <mergeCell ref="R44:R47"/>
    <mergeCell ref="Z38:Z40"/>
    <mergeCell ref="S1:T1"/>
    <mergeCell ref="F1:I1"/>
    <mergeCell ref="Q3:Q4"/>
    <mergeCell ref="R3:R4"/>
    <mergeCell ref="S3:S4"/>
    <mergeCell ref="T3:T4"/>
    <mergeCell ref="I3:I4"/>
    <mergeCell ref="A1:B1"/>
    <mergeCell ref="J1:K1"/>
    <mergeCell ref="L1:M1"/>
    <mergeCell ref="O1:P1"/>
    <mergeCell ref="Q1:R1"/>
    <mergeCell ref="T9:T10"/>
    <mergeCell ref="I9:I10"/>
    <mergeCell ref="Q7:Q8"/>
    <mergeCell ref="R7:R8"/>
    <mergeCell ref="S7:S8"/>
    <mergeCell ref="T7:T8"/>
    <mergeCell ref="I7:I8"/>
    <mergeCell ref="Q5:Q6"/>
    <mergeCell ref="R5:R6"/>
    <mergeCell ref="S5:S6"/>
    <mergeCell ref="T5:T6"/>
    <mergeCell ref="I5:I6"/>
    <mergeCell ref="I11:I12"/>
    <mergeCell ref="I17:I18"/>
    <mergeCell ref="Q17:Q18"/>
    <mergeCell ref="R17:R18"/>
    <mergeCell ref="S17:S18"/>
    <mergeCell ref="T17:T18"/>
    <mergeCell ref="Z1:AA1"/>
    <mergeCell ref="I13:I14"/>
    <mergeCell ref="Q15:Q16"/>
    <mergeCell ref="R15:R16"/>
    <mergeCell ref="S15:S16"/>
    <mergeCell ref="T15:T16"/>
    <mergeCell ref="I15:I16"/>
    <mergeCell ref="Q11:Q12"/>
    <mergeCell ref="R11:R12"/>
    <mergeCell ref="S11:S12"/>
    <mergeCell ref="T11:T12"/>
    <mergeCell ref="Q13:Q14"/>
    <mergeCell ref="R13:R14"/>
    <mergeCell ref="S13:S14"/>
    <mergeCell ref="T13:T14"/>
    <mergeCell ref="Q9:Q10"/>
    <mergeCell ref="R9:R10"/>
    <mergeCell ref="S9:S10"/>
  </mergeCells>
  <conditionalFormatting sqref="O22:O24">
    <cfRule type="top10" dxfId="37" priority="40" rank="1"/>
  </conditionalFormatting>
  <conditionalFormatting sqref="O25:O27">
    <cfRule type="top10" dxfId="36" priority="39" rank="1"/>
  </conditionalFormatting>
  <conditionalFormatting sqref="O38:O40">
    <cfRule type="top10" dxfId="35" priority="38" rank="1"/>
  </conditionalFormatting>
  <conditionalFormatting sqref="O41:O43">
    <cfRule type="top10" dxfId="34" priority="37" rank="1"/>
  </conditionalFormatting>
  <conditionalFormatting sqref="P22:P24">
    <cfRule type="top10" dxfId="33" priority="35" rank="1"/>
  </conditionalFormatting>
  <conditionalFormatting sqref="P25:P27">
    <cfRule type="top10" dxfId="32" priority="34" rank="1"/>
  </conditionalFormatting>
  <conditionalFormatting sqref="P38:P40">
    <cfRule type="top10" dxfId="31" priority="33" rank="1"/>
  </conditionalFormatting>
  <conditionalFormatting sqref="P41:P43">
    <cfRule type="top10" dxfId="30" priority="32" rank="1"/>
  </conditionalFormatting>
  <conditionalFormatting sqref="O44:O47">
    <cfRule type="top10" dxfId="29" priority="29" rank="1"/>
  </conditionalFormatting>
  <conditionalFormatting sqref="P44:P47">
    <cfRule type="top10" dxfId="28" priority="28" rank="1"/>
  </conditionalFormatting>
  <conditionalFormatting sqref="O32:O37">
    <cfRule type="top10" dxfId="27" priority="27" rank="1"/>
  </conditionalFormatting>
  <conditionalFormatting sqref="P32:P37">
    <cfRule type="top10" dxfId="26" priority="26" rank="1"/>
  </conditionalFormatting>
  <conditionalFormatting sqref="O28:O31">
    <cfRule type="top10" dxfId="25" priority="41" rank="1"/>
  </conditionalFormatting>
  <conditionalFormatting sqref="P28:P31">
    <cfRule type="top10" dxfId="24" priority="42" rank="1"/>
  </conditionalFormatting>
  <conditionalFormatting sqref="W29">
    <cfRule type="cellIs" dxfId="23" priority="22" operator="greaterThan">
      <formula>0</formula>
    </cfRule>
  </conditionalFormatting>
  <conditionalFormatting sqref="O13:O14">
    <cfRule type="top10" dxfId="22" priority="20" rank="1"/>
  </conditionalFormatting>
  <conditionalFormatting sqref="P13:P14">
    <cfRule type="top10" dxfId="21" priority="21" rank="1"/>
  </conditionalFormatting>
  <conditionalFormatting sqref="O15:O16">
    <cfRule type="top10" dxfId="20" priority="18" rank="1"/>
  </conditionalFormatting>
  <conditionalFormatting sqref="P15:P16">
    <cfRule type="top10" dxfId="19" priority="19" rank="1"/>
  </conditionalFormatting>
  <conditionalFormatting sqref="O17:O18">
    <cfRule type="top10" dxfId="18" priority="16" rank="1"/>
  </conditionalFormatting>
  <conditionalFormatting sqref="P17:P18">
    <cfRule type="top10" dxfId="17" priority="17" rank="1"/>
  </conditionalFormatting>
  <conditionalFormatting sqref="O11:O12">
    <cfRule type="top10" dxfId="16" priority="14" rank="1"/>
  </conditionalFormatting>
  <conditionalFormatting sqref="P11:P12">
    <cfRule type="top10" dxfId="15" priority="15" rank="1"/>
  </conditionalFormatting>
  <conditionalFormatting sqref="O5:O6">
    <cfRule type="top10" dxfId="14" priority="12" rank="1"/>
  </conditionalFormatting>
  <conditionalFormatting sqref="P5:P6">
    <cfRule type="top10" dxfId="13" priority="13" rank="1"/>
  </conditionalFormatting>
  <conditionalFormatting sqref="O7:O8">
    <cfRule type="top10" dxfId="12" priority="10" rank="1"/>
  </conditionalFormatting>
  <conditionalFormatting sqref="P7:P8">
    <cfRule type="top10" dxfId="11" priority="11" rank="1"/>
  </conditionalFormatting>
  <conditionalFormatting sqref="O9:O10">
    <cfRule type="top10" dxfId="10" priority="8" rank="1"/>
  </conditionalFormatting>
  <conditionalFormatting sqref="P9:P10">
    <cfRule type="top10" dxfId="9" priority="9" rank="1"/>
  </conditionalFormatting>
  <conditionalFormatting sqref="O3:O4">
    <cfRule type="top10" dxfId="8" priority="6" rank="1"/>
  </conditionalFormatting>
  <conditionalFormatting sqref="P3:P4">
    <cfRule type="top10" dxfId="7" priority="7" rank="1"/>
  </conditionalFormatting>
  <conditionalFormatting sqref="U4 U6 U8 U10 U12 U14 U16 U18 X4 X6 X8 X10 X12 X14 X16 X18">
    <cfRule type="cellIs" dxfId="6" priority="5" operator="equal">
      <formula>TRUE</formula>
    </cfRule>
  </conditionalFormatting>
  <conditionalFormatting sqref="V4:W4 V6:W6 V8:W8 V10:W10 V12:W12 V14:W14 V16:W16 V18:W18">
    <cfRule type="cellIs" dxfId="5" priority="4" operator="equal">
      <formula>TRUE</formula>
    </cfRule>
  </conditionalFormatting>
  <conditionalFormatting sqref="U23 U26 U30 U35 U39 U42 U45">
    <cfRule type="cellIs" dxfId="4" priority="3" operator="equal">
      <formula>TRUE</formula>
    </cfRule>
  </conditionalFormatting>
  <conditionalFormatting sqref="V23 V26 V30 V35 V39 V42 V45">
    <cfRule type="cellIs" dxfId="3" priority="2" operator="equal">
      <formula>TRUE</formula>
    </cfRule>
  </conditionalFormatting>
  <conditionalFormatting sqref="R3:R18 T3:T18 T22:T47">
    <cfRule type="cellIs" dxfId="2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CDDC-7782-4403-AB78-7ED1C8D15CDF}">
  <sheetPr codeName="Sheet5"/>
  <dimension ref="A1:AC69"/>
  <sheetViews>
    <sheetView zoomScale="90" zoomScaleNormal="90" workbookViewId="0">
      <selection activeCell="K23" sqref="K23"/>
    </sheetView>
  </sheetViews>
  <sheetFormatPr defaultRowHeight="15" x14ac:dyDescent="0.25"/>
  <cols>
    <col min="1" max="1" width="13.42578125" style="18" bestFit="1" customWidth="1"/>
    <col min="2" max="2" width="11.7109375" bestFit="1" customWidth="1"/>
    <col min="3" max="3" width="17" bestFit="1" customWidth="1"/>
    <col min="4" max="4" width="11.7109375" bestFit="1" customWidth="1"/>
    <col min="5" max="5" width="12.28515625" bestFit="1" customWidth="1"/>
    <col min="6" max="6" width="9.28515625" bestFit="1" customWidth="1"/>
    <col min="7" max="7" width="11" style="4" bestFit="1" customWidth="1"/>
    <col min="8" max="8" width="8.7109375" style="172" bestFit="1" customWidth="1"/>
    <col min="9" max="9" width="13.140625" style="33" bestFit="1" customWidth="1"/>
    <col min="10" max="11" width="10.140625" style="179" bestFit="1" customWidth="1"/>
    <col min="12" max="12" width="9.85546875" style="174" bestFit="1" customWidth="1"/>
    <col min="13" max="13" width="18.7109375" style="9" bestFit="1" customWidth="1"/>
    <col min="14" max="14" width="34.42578125" style="4" bestFit="1" customWidth="1"/>
    <col min="16" max="16" width="10.5703125" bestFit="1" customWidth="1"/>
  </cols>
  <sheetData>
    <row r="1" spans="1:29" s="3" customFormat="1" ht="15.75" x14ac:dyDescent="0.25">
      <c r="A1" s="17" t="s">
        <v>5</v>
      </c>
      <c r="B1" s="5" t="s">
        <v>68</v>
      </c>
      <c r="C1" s="5" t="s">
        <v>146</v>
      </c>
      <c r="D1" s="5" t="s">
        <v>69</v>
      </c>
      <c r="E1" s="5" t="s">
        <v>1</v>
      </c>
      <c r="F1" s="5" t="s">
        <v>117</v>
      </c>
      <c r="G1" s="259" t="s">
        <v>37</v>
      </c>
      <c r="H1" s="171" t="s">
        <v>112</v>
      </c>
      <c r="I1" s="32" t="s">
        <v>88</v>
      </c>
      <c r="J1" s="178" t="s">
        <v>86</v>
      </c>
      <c r="K1" s="178" t="s">
        <v>87</v>
      </c>
      <c r="L1" s="173" t="s">
        <v>113</v>
      </c>
      <c r="M1" s="7"/>
      <c r="N1" s="176" t="s">
        <v>114</v>
      </c>
      <c r="U1" s="3" t="s">
        <v>2</v>
      </c>
      <c r="V1" s="3" t="s">
        <v>1</v>
      </c>
      <c r="W1" s="3" t="s">
        <v>14</v>
      </c>
      <c r="X1" s="3" t="s">
        <v>37</v>
      </c>
      <c r="AC1"/>
    </row>
    <row r="2" spans="1:29" ht="16.5" thickBot="1" x14ac:dyDescent="0.3">
      <c r="A2" s="18" t="b">
        <v>0</v>
      </c>
      <c r="B2" t="s">
        <v>10</v>
      </c>
      <c r="C2" t="s">
        <v>10</v>
      </c>
      <c r="D2" t="s">
        <v>10</v>
      </c>
      <c r="E2" t="s">
        <v>0</v>
      </c>
      <c r="F2" t="s">
        <v>10</v>
      </c>
      <c r="G2" s="4">
        <v>1</v>
      </c>
      <c r="M2" s="8"/>
      <c r="N2" s="177" t="s">
        <v>115</v>
      </c>
      <c r="P2" s="1">
        <f>MATCH(D2,'[1]Scalar Inputs Table'!D$1:D$69,0)</f>
        <v>2</v>
      </c>
      <c r="Q2">
        <f>'[1]Scalar Inputs Table'!H2</f>
        <v>0.33756999999999998</v>
      </c>
      <c r="R2" s="180">
        <f>Q2*G2</f>
        <v>0.33756999999999998</v>
      </c>
      <c r="U2">
        <v>0</v>
      </c>
      <c r="V2" t="s">
        <v>10</v>
      </c>
      <c r="W2" t="s">
        <v>0</v>
      </c>
      <c r="X2" t="s">
        <v>10</v>
      </c>
      <c r="Y2">
        <v>1</v>
      </c>
      <c r="Z2" t="b">
        <f>V2=D2</f>
        <v>1</v>
      </c>
      <c r="AA2" s="255">
        <f>Y2-G2</f>
        <v>0</v>
      </c>
    </row>
    <row r="3" spans="1:29" x14ac:dyDescent="0.25">
      <c r="A3" s="18" t="b">
        <v>0</v>
      </c>
      <c r="B3" t="s">
        <v>9</v>
      </c>
      <c r="C3" t="s">
        <v>9</v>
      </c>
      <c r="D3" t="s">
        <v>9</v>
      </c>
      <c r="E3" t="s">
        <v>0</v>
      </c>
      <c r="F3" t="s">
        <v>10</v>
      </c>
      <c r="G3" s="4">
        <v>1.3480711533393006</v>
      </c>
      <c r="M3" s="8"/>
      <c r="P3" s="1">
        <f>MATCH(D3,'[1]Scalar Inputs Table'!D$1:D$69,0)</f>
        <v>3</v>
      </c>
      <c r="Q3">
        <f>'[1]Scalar Inputs Table'!H3</f>
        <v>0.25155</v>
      </c>
      <c r="R3" s="180">
        <f t="shared" ref="R3:R41" si="0">Q3*G3</f>
        <v>0.33910729862250105</v>
      </c>
      <c r="U3">
        <v>1</v>
      </c>
      <c r="V3" t="s">
        <v>9</v>
      </c>
      <c r="W3" t="s">
        <v>0</v>
      </c>
      <c r="X3" t="s">
        <v>10</v>
      </c>
      <c r="Y3">
        <v>1.3479730000000001</v>
      </c>
      <c r="Z3" t="b">
        <f>V3=D3</f>
        <v>1</v>
      </c>
      <c r="AA3" s="255">
        <f t="shared" ref="AA3:AA41" si="1">Y3-G3</f>
        <v>-9.8153339300521836E-5</v>
      </c>
    </row>
    <row r="4" spans="1:29" x14ac:dyDescent="0.25">
      <c r="A4" s="18" t="b">
        <v>0</v>
      </c>
      <c r="B4" t="s">
        <v>6</v>
      </c>
      <c r="C4" t="s">
        <v>6</v>
      </c>
      <c r="D4" t="s">
        <v>6</v>
      </c>
      <c r="E4" t="s">
        <v>0</v>
      </c>
      <c r="F4" t="s">
        <v>10</v>
      </c>
      <c r="G4" s="4">
        <v>4.2776619532215605</v>
      </c>
      <c r="M4" s="8"/>
      <c r="P4" s="1">
        <f>MATCH(D4,'[1]Scalar Inputs Table'!D$1:D$69,0)</f>
        <v>4</v>
      </c>
      <c r="Q4">
        <f>'[1]Scalar Inputs Table'!H4</f>
        <v>8.7999999999999995E-2</v>
      </c>
      <c r="R4" s="180">
        <f t="shared" si="0"/>
        <v>0.37643425188349733</v>
      </c>
      <c r="U4">
        <v>2</v>
      </c>
      <c r="V4" t="s">
        <v>6</v>
      </c>
      <c r="W4" t="s">
        <v>0</v>
      </c>
      <c r="X4" t="s">
        <v>10</v>
      </c>
      <c r="Y4">
        <v>4.2774419999999997</v>
      </c>
      <c r="Z4" t="b">
        <f>V4=D4</f>
        <v>1</v>
      </c>
      <c r="AA4" s="255">
        <f t="shared" si="1"/>
        <v>-2.1995322156076469E-4</v>
      </c>
    </row>
    <row r="5" spans="1:29" x14ac:dyDescent="0.25">
      <c r="A5" s="18" t="b">
        <v>0</v>
      </c>
      <c r="B5" t="s">
        <v>7</v>
      </c>
      <c r="C5" t="s">
        <v>7</v>
      </c>
      <c r="D5" t="s">
        <v>7</v>
      </c>
      <c r="E5" t="s">
        <v>0</v>
      </c>
      <c r="F5" t="s">
        <v>10</v>
      </c>
      <c r="G5" s="4">
        <v>3.8798267426851085</v>
      </c>
      <c r="M5" s="8"/>
      <c r="P5" s="1">
        <f>MATCH(D5,'[1]Scalar Inputs Table'!D$1:D$69,0)</f>
        <v>5</v>
      </c>
      <c r="Q5">
        <f>'[1]Scalar Inputs Table'!H5</f>
        <v>8.8980000000000004E-2</v>
      </c>
      <c r="R5" s="180">
        <f t="shared" si="0"/>
        <v>0.34522698356412096</v>
      </c>
      <c r="U5">
        <v>3</v>
      </c>
      <c r="V5" t="s">
        <v>7</v>
      </c>
      <c r="W5" t="s">
        <v>0</v>
      </c>
      <c r="X5" t="s">
        <v>10</v>
      </c>
      <c r="Y5">
        <v>3.879156</v>
      </c>
      <c r="Z5" t="b">
        <f>V5=D5</f>
        <v>1</v>
      </c>
      <c r="AA5" s="255">
        <f t="shared" si="1"/>
        <v>-6.707426851084719E-4</v>
      </c>
    </row>
    <row r="6" spans="1:29" x14ac:dyDescent="0.25">
      <c r="A6" s="18" t="b">
        <v>0</v>
      </c>
      <c r="B6" t="s">
        <v>48</v>
      </c>
      <c r="C6" t="s">
        <v>48</v>
      </c>
      <c r="D6" t="s">
        <v>48</v>
      </c>
      <c r="E6" t="s">
        <v>0</v>
      </c>
      <c r="F6" t="s">
        <v>48</v>
      </c>
      <c r="G6" s="4">
        <v>1</v>
      </c>
      <c r="M6" s="8"/>
      <c r="P6" s="1">
        <f>MATCH(D6,'[1]Scalar Inputs Table'!D$1:D$69,0)</f>
        <v>16</v>
      </c>
      <c r="Q6">
        <f>'[1]Scalar Inputs Table'!H16</f>
        <v>0.16839999999999999</v>
      </c>
      <c r="R6" s="180">
        <f t="shared" si="0"/>
        <v>0.16839999999999999</v>
      </c>
      <c r="U6">
        <v>4</v>
      </c>
      <c r="V6" t="s">
        <v>48</v>
      </c>
      <c r="W6" t="s">
        <v>0</v>
      </c>
      <c r="X6" t="s">
        <v>48</v>
      </c>
      <c r="Y6">
        <v>1</v>
      </c>
      <c r="Z6" t="b">
        <f>V6=D6</f>
        <v>1</v>
      </c>
      <c r="AA6" s="255">
        <f t="shared" si="1"/>
        <v>0</v>
      </c>
    </row>
    <row r="7" spans="1:29" x14ac:dyDescent="0.25">
      <c r="A7" s="18" t="b">
        <v>0</v>
      </c>
      <c r="B7" t="s">
        <v>55</v>
      </c>
      <c r="C7" t="s">
        <v>55</v>
      </c>
      <c r="D7" t="s">
        <v>55</v>
      </c>
      <c r="E7" t="s">
        <v>0</v>
      </c>
      <c r="F7" t="s">
        <v>48</v>
      </c>
      <c r="G7" s="4">
        <v>1.073815517209276</v>
      </c>
      <c r="M7" s="8"/>
      <c r="P7" s="1">
        <f>MATCH(D7,'[1]Scalar Inputs Table'!D$1:D$69,0)</f>
        <v>17</v>
      </c>
      <c r="Q7">
        <f>'[1]Scalar Inputs Table'!H17</f>
        <v>0.14807000000000001</v>
      </c>
      <c r="R7" s="180">
        <f t="shared" si="0"/>
        <v>0.1589998636331775</v>
      </c>
      <c r="U7">
        <v>5</v>
      </c>
      <c r="V7" t="s">
        <v>55</v>
      </c>
      <c r="W7" t="s">
        <v>0</v>
      </c>
      <c r="X7" t="s">
        <v>48</v>
      </c>
      <c r="Y7">
        <v>1.0719510000000001</v>
      </c>
      <c r="Z7" t="b">
        <f>V7=D7</f>
        <v>1</v>
      </c>
      <c r="AA7" s="255">
        <f t="shared" si="1"/>
        <v>-1.8645172092759399E-3</v>
      </c>
    </row>
    <row r="8" spans="1:29" x14ac:dyDescent="0.25">
      <c r="A8" s="18" t="b">
        <v>0</v>
      </c>
      <c r="B8" t="s">
        <v>35</v>
      </c>
      <c r="C8" t="s">
        <v>35</v>
      </c>
      <c r="D8" t="s">
        <v>35</v>
      </c>
      <c r="E8" t="s">
        <v>0</v>
      </c>
      <c r="F8" t="s">
        <v>35</v>
      </c>
      <c r="G8" s="4">
        <v>1</v>
      </c>
      <c r="M8" s="8"/>
      <c r="P8" s="1">
        <f>MATCH(D8,'[1]Scalar Inputs Table'!D$1:D$69,0)</f>
        <v>10</v>
      </c>
      <c r="Q8">
        <f>'[1]Scalar Inputs Table'!H10</f>
        <v>0.43</v>
      </c>
      <c r="R8" s="180">
        <f t="shared" si="0"/>
        <v>0.43</v>
      </c>
      <c r="U8">
        <v>6</v>
      </c>
      <c r="V8" t="s">
        <v>35</v>
      </c>
      <c r="W8" t="s">
        <v>0</v>
      </c>
      <c r="X8" t="s">
        <v>35</v>
      </c>
      <c r="Y8">
        <v>1</v>
      </c>
      <c r="Z8" t="b">
        <f>V8=D8</f>
        <v>1</v>
      </c>
      <c r="AA8" s="255">
        <f t="shared" si="1"/>
        <v>0</v>
      </c>
    </row>
    <row r="9" spans="1:29" x14ac:dyDescent="0.25">
      <c r="A9" s="18" t="b">
        <v>0</v>
      </c>
      <c r="B9" t="s">
        <v>32</v>
      </c>
      <c r="C9" t="s">
        <v>32</v>
      </c>
      <c r="D9" t="s">
        <v>32</v>
      </c>
      <c r="E9" t="s">
        <v>0</v>
      </c>
      <c r="F9" t="s">
        <v>35</v>
      </c>
      <c r="G9" s="4">
        <v>3.3418037713331343</v>
      </c>
      <c r="M9" s="8"/>
      <c r="P9" s="1">
        <f>MATCH(D9,'[1]Scalar Inputs Table'!D$1:D$69,0)</f>
        <v>11</v>
      </c>
      <c r="Q9">
        <f>'[1]Scalar Inputs Table'!H11</f>
        <v>0.12334000000000001</v>
      </c>
      <c r="R9" s="180">
        <f t="shared" si="0"/>
        <v>0.41217807715622878</v>
      </c>
      <c r="U9">
        <v>7</v>
      </c>
      <c r="V9" t="s">
        <v>32</v>
      </c>
      <c r="W9" t="s">
        <v>0</v>
      </c>
      <c r="X9" t="s">
        <v>35</v>
      </c>
      <c r="Y9">
        <v>3.339461</v>
      </c>
      <c r="Z9" t="b">
        <f>V9=D9</f>
        <v>1</v>
      </c>
      <c r="AA9" s="255">
        <f t="shared" si="1"/>
        <v>-2.3427713331343192E-3</v>
      </c>
    </row>
    <row r="10" spans="1:29" x14ac:dyDescent="0.25">
      <c r="A10" s="18" t="b">
        <v>0</v>
      </c>
      <c r="B10" t="s">
        <v>33</v>
      </c>
      <c r="C10" t="s">
        <v>33</v>
      </c>
      <c r="D10" t="s">
        <v>33</v>
      </c>
      <c r="E10" t="s">
        <v>0</v>
      </c>
      <c r="F10" t="s">
        <v>35</v>
      </c>
      <c r="G10" s="4">
        <v>1.889954680128433</v>
      </c>
      <c r="M10" s="8"/>
      <c r="P10" s="1">
        <f>MATCH(D10,'[1]Scalar Inputs Table'!D$1:D$69,0)</f>
        <v>12</v>
      </c>
      <c r="Q10">
        <f>'[1]Scalar Inputs Table'!H12</f>
        <v>0.20637</v>
      </c>
      <c r="R10" s="180">
        <f t="shared" si="0"/>
        <v>0.3900299473381047</v>
      </c>
      <c r="U10">
        <v>8</v>
      </c>
      <c r="V10" t="s">
        <v>33</v>
      </c>
      <c r="W10" t="s">
        <v>0</v>
      </c>
      <c r="X10" t="s">
        <v>35</v>
      </c>
      <c r="Y10">
        <v>1.889146</v>
      </c>
      <c r="Z10" t="b">
        <f>V10=D10</f>
        <v>1</v>
      </c>
      <c r="AA10" s="255">
        <f t="shared" si="1"/>
        <v>-8.0868012843304804E-4</v>
      </c>
    </row>
    <row r="11" spans="1:29" x14ac:dyDescent="0.25">
      <c r="A11" s="18" t="b">
        <v>0</v>
      </c>
      <c r="B11" t="s">
        <v>34</v>
      </c>
      <c r="C11" t="s">
        <v>34</v>
      </c>
      <c r="D11" t="s">
        <v>34</v>
      </c>
      <c r="E11" t="s">
        <v>0</v>
      </c>
      <c r="F11" t="s">
        <v>35</v>
      </c>
      <c r="G11" s="4">
        <v>1.2634726924555912</v>
      </c>
      <c r="M11" s="8"/>
      <c r="P11" s="1">
        <f>MATCH(D11,'[1]Scalar Inputs Table'!D$1:D$69,0)</f>
        <v>13</v>
      </c>
      <c r="Q11">
        <f>'[1]Scalar Inputs Table'!H13</f>
        <v>0.32619999999999999</v>
      </c>
      <c r="R11" s="180">
        <f t="shared" si="0"/>
        <v>0.41214479227901385</v>
      </c>
      <c r="U11">
        <v>9</v>
      </c>
      <c r="V11" t="s">
        <v>34</v>
      </c>
      <c r="W11" t="s">
        <v>0</v>
      </c>
      <c r="X11" t="s">
        <v>35</v>
      </c>
      <c r="Y11">
        <v>1.2619210000000001</v>
      </c>
      <c r="Z11" t="b">
        <f>V11=D11</f>
        <v>1</v>
      </c>
      <c r="AA11" s="255">
        <f t="shared" si="1"/>
        <v>-1.5516924555911693E-3</v>
      </c>
    </row>
    <row r="12" spans="1:29" x14ac:dyDescent="0.25">
      <c r="A12" s="18" t="b">
        <v>0</v>
      </c>
      <c r="B12" t="s">
        <v>53</v>
      </c>
      <c r="C12" t="s">
        <v>53</v>
      </c>
      <c r="D12" t="s">
        <v>53</v>
      </c>
      <c r="E12" t="s">
        <v>0</v>
      </c>
      <c r="F12" t="s">
        <v>53</v>
      </c>
      <c r="G12" s="4">
        <v>1</v>
      </c>
      <c r="M12" s="8"/>
      <c r="P12" s="257">
        <f>MATCH(D12,'[1]Scalar Inputs Table'!D$1:D$69,0)</f>
        <v>14</v>
      </c>
      <c r="Q12" s="9">
        <f>'[1]Scalar Inputs Table'!H14</f>
        <v>0.41359000000000001</v>
      </c>
      <c r="R12" s="181">
        <f t="shared" si="0"/>
        <v>0.41359000000000001</v>
      </c>
      <c r="U12">
        <v>10</v>
      </c>
      <c r="V12" t="s">
        <v>53</v>
      </c>
      <c r="W12" t="s">
        <v>0</v>
      </c>
      <c r="X12" t="s">
        <v>53</v>
      </c>
      <c r="Y12">
        <v>1</v>
      </c>
      <c r="Z12" t="b">
        <f>V12=D12</f>
        <v>1</v>
      </c>
      <c r="AA12" s="256">
        <f t="shared" si="1"/>
        <v>0</v>
      </c>
    </row>
    <row r="13" spans="1:29" x14ac:dyDescent="0.25">
      <c r="A13" s="18" t="b">
        <v>0</v>
      </c>
      <c r="B13" t="s">
        <v>66</v>
      </c>
      <c r="C13" t="s">
        <v>66</v>
      </c>
      <c r="D13" t="s">
        <v>66</v>
      </c>
      <c r="E13" t="s">
        <v>0</v>
      </c>
      <c r="F13" t="s">
        <v>53</v>
      </c>
      <c r="G13" s="4">
        <v>1.4381037060570936</v>
      </c>
      <c r="M13" s="8"/>
      <c r="P13" s="257">
        <f>MATCH(D13,'[1]Scalar Inputs Table'!D$1:D$69,0)</f>
        <v>15</v>
      </c>
      <c r="Q13" s="9">
        <f>'[1]Scalar Inputs Table'!H15</f>
        <v>0.34660000000000002</v>
      </c>
      <c r="R13" s="181">
        <f t="shared" si="0"/>
        <v>0.49844674451938864</v>
      </c>
      <c r="U13">
        <v>11</v>
      </c>
      <c r="V13" t="s">
        <v>66</v>
      </c>
      <c r="W13" t="s">
        <v>0</v>
      </c>
      <c r="X13" t="s">
        <v>53</v>
      </c>
      <c r="Y13">
        <v>1.4383950000000001</v>
      </c>
      <c r="Z13" t="b">
        <f>V13=D13</f>
        <v>1</v>
      </c>
      <c r="AA13" s="256">
        <f t="shared" si="1"/>
        <v>2.912939429065009E-4</v>
      </c>
    </row>
    <row r="14" spans="1:29" x14ac:dyDescent="0.25">
      <c r="A14" s="18" t="b">
        <v>0</v>
      </c>
      <c r="B14" t="s">
        <v>49</v>
      </c>
      <c r="C14" t="s">
        <v>49</v>
      </c>
      <c r="D14" t="s">
        <v>49</v>
      </c>
      <c r="E14" t="s">
        <v>0</v>
      </c>
      <c r="F14" t="s">
        <v>56</v>
      </c>
      <c r="G14" s="4">
        <v>1.0437964890451399</v>
      </c>
      <c r="M14" s="8"/>
      <c r="P14" s="257">
        <f>MATCH(D14,'[1]Scalar Inputs Table'!D$1:D$69,0)</f>
        <v>24</v>
      </c>
      <c r="Q14" s="182">
        <f>'[1]Scalar Inputs Table'!H24</f>
        <v>0.11849999999999999</v>
      </c>
      <c r="R14" s="183">
        <f t="shared" si="0"/>
        <v>0.12368988395184907</v>
      </c>
      <c r="U14">
        <v>12</v>
      </c>
      <c r="V14" t="s">
        <v>49</v>
      </c>
      <c r="W14" t="s">
        <v>0</v>
      </c>
      <c r="X14" t="s">
        <v>56</v>
      </c>
      <c r="Y14">
        <v>1.0341260000000001</v>
      </c>
      <c r="Z14" t="b">
        <f>V14=D14</f>
        <v>1</v>
      </c>
      <c r="AA14" s="256">
        <f t="shared" si="1"/>
        <v>-9.6704890451397851E-3</v>
      </c>
    </row>
    <row r="15" spans="1:29" x14ac:dyDescent="0.25">
      <c r="A15" s="18" t="b">
        <v>0</v>
      </c>
      <c r="B15" t="s">
        <v>56</v>
      </c>
      <c r="C15" t="s">
        <v>56</v>
      </c>
      <c r="D15" t="s">
        <v>56</v>
      </c>
      <c r="E15" t="s">
        <v>0</v>
      </c>
      <c r="F15" t="s">
        <v>56</v>
      </c>
      <c r="G15" s="4">
        <v>1</v>
      </c>
      <c r="M15" s="8"/>
      <c r="P15" s="257">
        <f>MATCH(D15,'[1]Scalar Inputs Table'!D$1:D$69,0)</f>
        <v>25</v>
      </c>
      <c r="Q15" s="182">
        <f>'[1]Scalar Inputs Table'!H25</f>
        <v>0</v>
      </c>
      <c r="R15" s="183">
        <f t="shared" si="0"/>
        <v>0</v>
      </c>
      <c r="U15">
        <v>13</v>
      </c>
      <c r="V15" t="s">
        <v>56</v>
      </c>
      <c r="W15" t="s">
        <v>0</v>
      </c>
      <c r="X15" t="s">
        <v>56</v>
      </c>
      <c r="Y15">
        <v>1</v>
      </c>
      <c r="Z15" t="b">
        <f>V15=D15</f>
        <v>1</v>
      </c>
      <c r="AA15" s="256">
        <f t="shared" si="1"/>
        <v>0</v>
      </c>
    </row>
    <row r="16" spans="1:29" x14ac:dyDescent="0.25">
      <c r="A16" s="18" t="b">
        <v>0</v>
      </c>
      <c r="B16" t="s">
        <v>52</v>
      </c>
      <c r="C16" t="s">
        <v>52</v>
      </c>
      <c r="D16" t="s">
        <v>52</v>
      </c>
      <c r="E16" t="s">
        <v>0</v>
      </c>
      <c r="F16" t="s">
        <v>57</v>
      </c>
      <c r="G16" s="4">
        <v>1.1149108835444266</v>
      </c>
      <c r="M16" s="8"/>
      <c r="P16" s="257">
        <f>MATCH(D16,'[1]Scalar Inputs Table'!D$1:D$69,0)</f>
        <v>8</v>
      </c>
      <c r="Q16" s="9">
        <f>'[1]Scalar Inputs Table'!H8</f>
        <v>0.21054</v>
      </c>
      <c r="R16" s="181">
        <f t="shared" si="0"/>
        <v>0.23473333742144359</v>
      </c>
      <c r="U16">
        <v>14</v>
      </c>
      <c r="V16" t="s">
        <v>52</v>
      </c>
      <c r="W16" t="s">
        <v>0</v>
      </c>
      <c r="X16" t="s">
        <v>57</v>
      </c>
      <c r="Y16">
        <v>1.1201140000000001</v>
      </c>
      <c r="Z16" t="b">
        <f>V16=D16</f>
        <v>1</v>
      </c>
      <c r="AA16" s="256">
        <f t="shared" si="1"/>
        <v>5.2031164555734755E-3</v>
      </c>
    </row>
    <row r="17" spans="1:27" x14ac:dyDescent="0.25">
      <c r="A17" s="18" t="b">
        <v>0</v>
      </c>
      <c r="B17" t="s">
        <v>57</v>
      </c>
      <c r="C17" t="s">
        <v>57</v>
      </c>
      <c r="D17" t="s">
        <v>57</v>
      </c>
      <c r="E17" t="s">
        <v>0</v>
      </c>
      <c r="F17" t="s">
        <v>57</v>
      </c>
      <c r="G17" s="4">
        <v>1</v>
      </c>
      <c r="M17" s="8"/>
      <c r="P17" s="257">
        <f>MATCH(D17,'[1]Scalar Inputs Table'!D$1:D$69,0)</f>
        <v>9</v>
      </c>
      <c r="Q17" s="9">
        <f>'[1]Scalar Inputs Table'!H9</f>
        <v>0.13896</v>
      </c>
      <c r="R17" s="181">
        <f t="shared" si="0"/>
        <v>0.13896</v>
      </c>
      <c r="U17">
        <v>15</v>
      </c>
      <c r="V17" t="s">
        <v>57</v>
      </c>
      <c r="W17" t="s">
        <v>0</v>
      </c>
      <c r="X17" t="s">
        <v>57</v>
      </c>
      <c r="Y17">
        <v>1</v>
      </c>
      <c r="Z17" t="b">
        <f>V17=D17</f>
        <v>1</v>
      </c>
      <c r="AA17" s="256">
        <f t="shared" si="1"/>
        <v>0</v>
      </c>
    </row>
    <row r="18" spans="1:27" x14ac:dyDescent="0.25">
      <c r="A18" s="18" t="b">
        <v>0</v>
      </c>
      <c r="B18" t="s">
        <v>50</v>
      </c>
      <c r="C18" t="s">
        <v>50</v>
      </c>
      <c r="D18" t="s">
        <v>50</v>
      </c>
      <c r="E18" t="s">
        <v>0</v>
      </c>
      <c r="F18" t="s">
        <v>58</v>
      </c>
      <c r="G18" s="4">
        <v>1.8902875952423011</v>
      </c>
      <c r="M18" s="8"/>
      <c r="P18" s="257">
        <f>MATCH(D18,'[1]Scalar Inputs Table'!D$1:D$69,0)</f>
        <v>26</v>
      </c>
      <c r="Q18" s="182">
        <f>'[1]Scalar Inputs Table'!H36</f>
        <v>0.16800000000000001</v>
      </c>
      <c r="R18" s="183">
        <f t="shared" si="0"/>
        <v>0.31756831600070662</v>
      </c>
      <c r="U18">
        <v>16</v>
      </c>
      <c r="V18" t="s">
        <v>50</v>
      </c>
      <c r="W18" t="s">
        <v>0</v>
      </c>
      <c r="X18" t="s">
        <v>58</v>
      </c>
      <c r="Y18">
        <v>1.8951960000000001</v>
      </c>
      <c r="Z18" t="b">
        <f>V18=D18</f>
        <v>1</v>
      </c>
      <c r="AA18" s="256">
        <f t="shared" si="1"/>
        <v>4.9084047576990475E-3</v>
      </c>
    </row>
    <row r="19" spans="1:27" x14ac:dyDescent="0.25">
      <c r="A19" s="18" t="b">
        <v>0</v>
      </c>
      <c r="B19" t="s">
        <v>58</v>
      </c>
      <c r="C19" t="s">
        <v>58</v>
      </c>
      <c r="D19" t="s">
        <v>58</v>
      </c>
      <c r="E19" t="s">
        <v>0</v>
      </c>
      <c r="F19" t="s">
        <v>58</v>
      </c>
      <c r="G19" s="4">
        <v>1</v>
      </c>
      <c r="M19" s="8"/>
      <c r="P19" s="257">
        <f>MATCH(D19,'[1]Scalar Inputs Table'!D$1:D$69,0)</f>
        <v>27</v>
      </c>
      <c r="Q19" s="182">
        <f>'[1]Scalar Inputs Table'!H27</f>
        <v>0</v>
      </c>
      <c r="R19" s="183">
        <f t="shared" si="0"/>
        <v>0</v>
      </c>
      <c r="U19">
        <v>17</v>
      </c>
      <c r="V19" t="s">
        <v>58</v>
      </c>
      <c r="W19" t="s">
        <v>0</v>
      </c>
      <c r="X19" t="s">
        <v>58</v>
      </c>
      <c r="Y19">
        <v>1</v>
      </c>
      <c r="Z19" t="b">
        <f>V19=D19</f>
        <v>1</v>
      </c>
      <c r="AA19" s="256">
        <f t="shared" si="1"/>
        <v>0</v>
      </c>
    </row>
    <row r="20" spans="1:27" x14ac:dyDescent="0.25">
      <c r="A20" s="18" t="b">
        <v>0</v>
      </c>
      <c r="B20" t="s">
        <v>19</v>
      </c>
      <c r="C20" t="s">
        <v>19</v>
      </c>
      <c r="D20" t="s">
        <v>19</v>
      </c>
      <c r="E20" t="s">
        <v>0</v>
      </c>
      <c r="F20" t="s">
        <v>20</v>
      </c>
      <c r="G20" s="4">
        <v>1.2036998252169888</v>
      </c>
      <c r="M20" s="8"/>
      <c r="P20" s="257">
        <f>MATCH(D20,'[1]Scalar Inputs Table'!D$1:D$69,0)</f>
        <v>18</v>
      </c>
      <c r="Q20" s="9">
        <f>'[1]Scalar Inputs Table'!H18</f>
        <v>0.38429000000000002</v>
      </c>
      <c r="R20" s="181">
        <f t="shared" si="0"/>
        <v>0.46256980583263668</v>
      </c>
      <c r="U20">
        <v>18</v>
      </c>
      <c r="V20" t="s">
        <v>19</v>
      </c>
      <c r="W20" t="s">
        <v>0</v>
      </c>
      <c r="X20" t="s">
        <v>20</v>
      </c>
      <c r="Y20">
        <v>1.2029259999999999</v>
      </c>
      <c r="Z20" t="b">
        <f>V20=D20</f>
        <v>1</v>
      </c>
      <c r="AA20" s="256">
        <f t="shared" si="1"/>
        <v>-7.7382521698887707E-4</v>
      </c>
    </row>
    <row r="21" spans="1:27" x14ac:dyDescent="0.25">
      <c r="A21" s="18" t="b">
        <v>0</v>
      </c>
      <c r="B21" t="s">
        <v>17</v>
      </c>
      <c r="C21" t="s">
        <v>17</v>
      </c>
      <c r="D21" t="s">
        <v>17</v>
      </c>
      <c r="E21" t="s">
        <v>0</v>
      </c>
      <c r="F21" t="s">
        <v>20</v>
      </c>
      <c r="G21" s="4">
        <v>2.6381032915400118</v>
      </c>
      <c r="M21" s="8"/>
      <c r="P21" s="1">
        <f>MATCH(D21,'[1]Scalar Inputs Table'!D$1:D$69,0)</f>
        <v>19</v>
      </c>
      <c r="Q21">
        <f>'[1]Scalar Inputs Table'!H19</f>
        <v>0.20161999999999999</v>
      </c>
      <c r="R21" s="180">
        <f t="shared" si="0"/>
        <v>0.53189438564029712</v>
      </c>
      <c r="U21">
        <v>19</v>
      </c>
      <c r="V21" t="s">
        <v>17</v>
      </c>
      <c r="W21" t="s">
        <v>0</v>
      </c>
      <c r="X21" t="s">
        <v>20</v>
      </c>
      <c r="Y21">
        <v>2.637419</v>
      </c>
      <c r="Z21" t="b">
        <f>V21=D21</f>
        <v>1</v>
      </c>
      <c r="AA21" s="255">
        <f t="shared" si="1"/>
        <v>-6.8429154001181658E-4</v>
      </c>
    </row>
    <row r="22" spans="1:27" x14ac:dyDescent="0.25">
      <c r="A22" s="18" t="b">
        <v>0</v>
      </c>
      <c r="B22" t="s">
        <v>20</v>
      </c>
      <c r="C22" t="s">
        <v>20</v>
      </c>
      <c r="D22" t="s">
        <v>20</v>
      </c>
      <c r="E22" t="s">
        <v>0</v>
      </c>
      <c r="F22" t="s">
        <v>20</v>
      </c>
      <c r="G22" s="4">
        <v>1</v>
      </c>
      <c r="M22" s="8"/>
      <c r="P22" s="1">
        <f>MATCH(D22,'[1]Scalar Inputs Table'!D$1:D$69,0)</f>
        <v>20</v>
      </c>
      <c r="Q22">
        <f>'[1]Scalar Inputs Table'!H20</f>
        <v>0.52717999999999998</v>
      </c>
      <c r="R22" s="180">
        <f t="shared" si="0"/>
        <v>0.52717999999999998</v>
      </c>
      <c r="U22">
        <v>20</v>
      </c>
      <c r="V22" t="s">
        <v>20</v>
      </c>
      <c r="W22" t="s">
        <v>0</v>
      </c>
      <c r="X22" t="s">
        <v>20</v>
      </c>
      <c r="Y22">
        <v>1</v>
      </c>
      <c r="Z22" t="b">
        <f>V22=D22</f>
        <v>1</v>
      </c>
      <c r="AA22" s="255">
        <f t="shared" si="1"/>
        <v>0</v>
      </c>
    </row>
    <row r="23" spans="1:27" x14ac:dyDescent="0.25">
      <c r="A23" s="18" t="b">
        <v>0</v>
      </c>
      <c r="B23" t="s">
        <v>16</v>
      </c>
      <c r="C23" t="s">
        <v>16</v>
      </c>
      <c r="D23" t="s">
        <v>16</v>
      </c>
      <c r="E23" t="s">
        <v>0</v>
      </c>
      <c r="F23" t="s">
        <v>20</v>
      </c>
      <c r="G23" s="4">
        <v>3.6826498425557261</v>
      </c>
      <c r="M23" s="8"/>
      <c r="P23" s="1">
        <f>MATCH(D23,'[1]Scalar Inputs Table'!D$1:D$69,0)</f>
        <v>21</v>
      </c>
      <c r="Q23">
        <f>'[1]Scalar Inputs Table'!H21</f>
        <v>0.1547</v>
      </c>
      <c r="R23" s="180">
        <f t="shared" si="0"/>
        <v>0.56970593064337083</v>
      </c>
      <c r="U23">
        <v>21</v>
      </c>
      <c r="V23" t="s">
        <v>16</v>
      </c>
      <c r="W23" t="s">
        <v>0</v>
      </c>
      <c r="X23" t="s">
        <v>20</v>
      </c>
      <c r="Y23">
        <v>3.680787</v>
      </c>
      <c r="Z23" t="b">
        <f>V23=D23</f>
        <v>1</v>
      </c>
      <c r="AA23" s="255">
        <f t="shared" si="1"/>
        <v>-1.8628425557261075E-3</v>
      </c>
    </row>
    <row r="24" spans="1:27" x14ac:dyDescent="0.25">
      <c r="A24" s="18" t="b">
        <v>0</v>
      </c>
      <c r="B24" t="s">
        <v>15</v>
      </c>
      <c r="C24" t="s">
        <v>15</v>
      </c>
      <c r="D24" t="s">
        <v>15</v>
      </c>
      <c r="E24" t="s">
        <v>0</v>
      </c>
      <c r="F24" t="s">
        <v>20</v>
      </c>
      <c r="G24" s="4">
        <v>4.1152011236637547</v>
      </c>
      <c r="M24" s="8"/>
      <c r="P24" s="1">
        <f>MATCH(D24,'[1]Scalar Inputs Table'!D$1:D$69,0)</f>
        <v>22</v>
      </c>
      <c r="Q24">
        <f>'[1]Scalar Inputs Table'!H22</f>
        <v>0.13564999999999999</v>
      </c>
      <c r="R24" s="180">
        <f t="shared" si="0"/>
        <v>0.55822703242498828</v>
      </c>
      <c r="U24">
        <v>22</v>
      </c>
      <c r="V24" t="s">
        <v>15</v>
      </c>
      <c r="W24" t="s">
        <v>0</v>
      </c>
      <c r="X24" t="s">
        <v>20</v>
      </c>
      <c r="Y24">
        <v>4.1145610000000001</v>
      </c>
      <c r="Z24" t="b">
        <f>V24=D24</f>
        <v>1</v>
      </c>
      <c r="AA24" s="255">
        <f t="shared" si="1"/>
        <v>-6.4012366375454377E-4</v>
      </c>
    </row>
    <row r="25" spans="1:27" x14ac:dyDescent="0.25">
      <c r="A25" s="18" t="b">
        <v>0</v>
      </c>
      <c r="B25" t="s">
        <v>18</v>
      </c>
      <c r="C25" t="s">
        <v>18</v>
      </c>
      <c r="D25" t="s">
        <v>18</v>
      </c>
      <c r="E25" t="s">
        <v>0</v>
      </c>
      <c r="F25" t="s">
        <v>20</v>
      </c>
      <c r="G25" s="4">
        <v>2.6023589533598481</v>
      </c>
      <c r="M25" s="8"/>
      <c r="P25" s="1">
        <f>MATCH(D25,'[1]Scalar Inputs Table'!D$1:D$69,0)</f>
        <v>23</v>
      </c>
      <c r="Q25">
        <f>'[1]Scalar Inputs Table'!H23</f>
        <v>0.21290000000000001</v>
      </c>
      <c r="R25" s="180">
        <f t="shared" si="0"/>
        <v>0.55404222117031166</v>
      </c>
      <c r="U25">
        <v>23</v>
      </c>
      <c r="V25" t="s">
        <v>18</v>
      </c>
      <c r="W25" t="s">
        <v>0</v>
      </c>
      <c r="X25" t="s">
        <v>20</v>
      </c>
      <c r="Y25">
        <v>2.6020340000000002</v>
      </c>
      <c r="Z25" t="b">
        <f>V25=D25</f>
        <v>1</v>
      </c>
      <c r="AA25" s="255">
        <f t="shared" si="1"/>
        <v>-3.2495335984794593E-4</v>
      </c>
    </row>
    <row r="26" spans="1:27" x14ac:dyDescent="0.25">
      <c r="A26" s="18" t="b">
        <v>0</v>
      </c>
      <c r="B26" t="s">
        <v>23</v>
      </c>
      <c r="C26" t="s">
        <v>23</v>
      </c>
      <c r="D26" t="s">
        <v>23</v>
      </c>
      <c r="E26" t="s">
        <v>0</v>
      </c>
      <c r="F26" t="s">
        <v>23</v>
      </c>
      <c r="G26" s="4">
        <v>1</v>
      </c>
      <c r="M26" s="8"/>
      <c r="P26" s="1">
        <f>MATCH(D26,'[1]Scalar Inputs Table'!D$1:D$69,0)</f>
        <v>34</v>
      </c>
      <c r="Q26">
        <f>'[1]Scalar Inputs Table'!H34</f>
        <v>0.34133999999999998</v>
      </c>
      <c r="R26" s="180">
        <f t="shared" si="0"/>
        <v>0.34133999999999998</v>
      </c>
      <c r="U26">
        <v>24</v>
      </c>
      <c r="V26" t="s">
        <v>23</v>
      </c>
      <c r="W26" t="s">
        <v>0</v>
      </c>
      <c r="X26" t="s">
        <v>23</v>
      </c>
      <c r="Y26">
        <v>1</v>
      </c>
      <c r="Z26" t="b">
        <f>V26=D26</f>
        <v>1</v>
      </c>
      <c r="AA26" s="255">
        <f t="shared" si="1"/>
        <v>0</v>
      </c>
    </row>
    <row r="27" spans="1:27" x14ac:dyDescent="0.25">
      <c r="A27" s="18" t="b">
        <v>0</v>
      </c>
      <c r="B27" t="s">
        <v>21</v>
      </c>
      <c r="C27" t="s">
        <v>21</v>
      </c>
      <c r="D27" t="s">
        <v>21</v>
      </c>
      <c r="E27" t="s">
        <v>0</v>
      </c>
      <c r="F27" t="s">
        <v>23</v>
      </c>
      <c r="G27" s="4">
        <v>4.2372562004076109</v>
      </c>
      <c r="M27" s="8"/>
      <c r="P27" s="1">
        <f>MATCH(D27,'[1]Scalar Inputs Table'!D$1:D$69,0)</f>
        <v>35</v>
      </c>
      <c r="Q27">
        <f>'[1]Scalar Inputs Table'!H35</f>
        <v>7.1599999999999997E-2</v>
      </c>
      <c r="R27" s="180">
        <f t="shared" si="0"/>
        <v>0.30338754394918493</v>
      </c>
      <c r="U27">
        <v>25</v>
      </c>
      <c r="V27" t="s">
        <v>21</v>
      </c>
      <c r="W27" t="s">
        <v>0</v>
      </c>
      <c r="X27" t="s">
        <v>23</v>
      </c>
      <c r="Y27">
        <v>4.2358539999999998</v>
      </c>
      <c r="Z27" t="b">
        <f>V27=D27</f>
        <v>1</v>
      </c>
      <c r="AA27" s="255">
        <f t="shared" si="1"/>
        <v>-1.4022004076110761E-3</v>
      </c>
    </row>
    <row r="28" spans="1:27" x14ac:dyDescent="0.25">
      <c r="A28" s="18" t="b">
        <v>0</v>
      </c>
      <c r="B28" t="s">
        <v>22</v>
      </c>
      <c r="C28" t="s">
        <v>22</v>
      </c>
      <c r="D28" t="s">
        <v>22</v>
      </c>
      <c r="E28" t="s">
        <v>0</v>
      </c>
      <c r="F28" t="s">
        <v>23</v>
      </c>
      <c r="G28" s="4">
        <v>2.0177126317629983</v>
      </c>
      <c r="M28" s="8"/>
      <c r="P28" s="1">
        <f>MATCH(D28,'[1]Scalar Inputs Table'!D$1:D$69,0)</f>
        <v>36</v>
      </c>
      <c r="Q28">
        <f>'[1]Scalar Inputs Table'!H36</f>
        <v>0.16800000000000001</v>
      </c>
      <c r="R28" s="180">
        <f t="shared" si="0"/>
        <v>0.33897572213618371</v>
      </c>
      <c r="U28">
        <v>26</v>
      </c>
      <c r="V28" t="s">
        <v>22</v>
      </c>
      <c r="W28" t="s">
        <v>0</v>
      </c>
      <c r="X28" t="s">
        <v>23</v>
      </c>
      <c r="Y28">
        <v>2.0181</v>
      </c>
      <c r="Z28" t="b">
        <f>V28=D28</f>
        <v>1</v>
      </c>
      <c r="AA28" s="255">
        <f t="shared" si="1"/>
        <v>3.8736823700169509E-4</v>
      </c>
    </row>
    <row r="29" spans="1:27" x14ac:dyDescent="0.25">
      <c r="A29" s="18" t="b">
        <v>1</v>
      </c>
      <c r="B29" t="s">
        <v>4</v>
      </c>
      <c r="C29" t="s">
        <v>4</v>
      </c>
      <c r="D29" t="s">
        <v>4</v>
      </c>
      <c r="E29" t="s">
        <v>0</v>
      </c>
      <c r="F29" t="s">
        <v>4</v>
      </c>
      <c r="G29" s="4">
        <v>1</v>
      </c>
      <c r="P29" s="1">
        <f>MATCH(D29,'[1]Scalar Inputs Table'!D$1:D$69,0)</f>
        <v>37</v>
      </c>
      <c r="Q29">
        <f>'[1]Scalar Inputs Table'!H37</f>
        <v>0.2863</v>
      </c>
      <c r="R29" s="180">
        <f t="shared" si="0"/>
        <v>0.2863</v>
      </c>
      <c r="U29">
        <v>27</v>
      </c>
      <c r="V29" t="s">
        <v>4</v>
      </c>
      <c r="W29" t="s">
        <v>0</v>
      </c>
      <c r="X29" t="s">
        <v>4</v>
      </c>
      <c r="Y29">
        <v>1</v>
      </c>
      <c r="Z29" t="b">
        <f>V29=D29</f>
        <v>1</v>
      </c>
      <c r="AA29" s="255">
        <f t="shared" si="1"/>
        <v>0</v>
      </c>
    </row>
    <row r="30" spans="1:27" x14ac:dyDescent="0.25">
      <c r="A30" s="18" t="b">
        <v>0</v>
      </c>
      <c r="B30" t="s">
        <v>24</v>
      </c>
      <c r="C30" t="s">
        <v>24</v>
      </c>
      <c r="D30" t="s">
        <v>24</v>
      </c>
      <c r="E30" t="s">
        <v>0</v>
      </c>
      <c r="F30" t="s">
        <v>4</v>
      </c>
      <c r="G30" s="4">
        <v>2.3512213054472113</v>
      </c>
      <c r="P30" s="1">
        <f>MATCH(D30,'[1]Scalar Inputs Table'!D$1:D$69,0)</f>
        <v>38</v>
      </c>
      <c r="Q30">
        <f>'[1]Scalar Inputs Table'!H38</f>
        <v>0.1351</v>
      </c>
      <c r="R30" s="180">
        <f t="shared" si="0"/>
        <v>0.31764999836591823</v>
      </c>
      <c r="U30">
        <v>28</v>
      </c>
      <c r="V30" t="s">
        <v>24</v>
      </c>
      <c r="W30" t="s">
        <v>0</v>
      </c>
      <c r="X30" t="s">
        <v>4</v>
      </c>
      <c r="Y30">
        <v>2.3499460000000001</v>
      </c>
      <c r="Z30" t="b">
        <f>V30=D30</f>
        <v>1</v>
      </c>
      <c r="AA30" s="255">
        <f t="shared" si="1"/>
        <v>-1.2753054472112169E-3</v>
      </c>
    </row>
    <row r="31" spans="1:27" x14ac:dyDescent="0.25">
      <c r="A31" s="18" t="b">
        <v>1</v>
      </c>
      <c r="B31" t="s">
        <v>3</v>
      </c>
      <c r="C31" t="s">
        <v>3</v>
      </c>
      <c r="D31" t="s">
        <v>3</v>
      </c>
      <c r="E31" t="s">
        <v>0</v>
      </c>
      <c r="F31" t="s">
        <v>4</v>
      </c>
      <c r="G31" s="4">
        <v>2.1279849163341789</v>
      </c>
      <c r="P31" s="1">
        <f>MATCH(D31,'[1]Scalar Inputs Table'!D$1:D$69,0)</f>
        <v>39</v>
      </c>
      <c r="Q31">
        <f>'[1]Scalar Inputs Table'!H39</f>
        <v>0.14149999999999999</v>
      </c>
      <c r="R31" s="180">
        <f t="shared" si="0"/>
        <v>0.30110986566128628</v>
      </c>
      <c r="U31">
        <v>29</v>
      </c>
      <c r="V31" t="s">
        <v>3</v>
      </c>
      <c r="W31" t="s">
        <v>0</v>
      </c>
      <c r="X31" t="s">
        <v>4</v>
      </c>
      <c r="Y31">
        <v>2.1274470000000001</v>
      </c>
      <c r="Z31" t="b">
        <f>V31=D31</f>
        <v>1</v>
      </c>
      <c r="AA31" s="255">
        <f t="shared" si="1"/>
        <v>-5.3791633417876739E-4</v>
      </c>
    </row>
    <row r="32" spans="1:27" x14ac:dyDescent="0.25">
      <c r="A32" s="18" t="b">
        <v>0</v>
      </c>
      <c r="B32" t="s">
        <v>61</v>
      </c>
      <c r="C32" t="s">
        <v>61</v>
      </c>
      <c r="D32" t="s">
        <v>61</v>
      </c>
      <c r="E32" t="s">
        <v>0</v>
      </c>
      <c r="F32" t="s">
        <v>61</v>
      </c>
      <c r="G32" s="4">
        <v>1</v>
      </c>
      <c r="P32" s="1">
        <f>MATCH(D32,'[1]Scalar Inputs Table'!D$1:D$69,0)</f>
        <v>40</v>
      </c>
      <c r="Q32">
        <f>'[1]Scalar Inputs Table'!H40</f>
        <v>0.14230999999999999</v>
      </c>
      <c r="R32" s="180">
        <f t="shared" si="0"/>
        <v>0.14230999999999999</v>
      </c>
      <c r="U32">
        <v>30</v>
      </c>
      <c r="V32" t="s">
        <v>61</v>
      </c>
      <c r="W32" t="s">
        <v>0</v>
      </c>
      <c r="X32" t="s">
        <v>61</v>
      </c>
      <c r="Y32">
        <v>1</v>
      </c>
      <c r="Z32" t="b">
        <f>V32=D32</f>
        <v>1</v>
      </c>
      <c r="AA32" s="255">
        <f t="shared" si="1"/>
        <v>0</v>
      </c>
    </row>
    <row r="33" spans="1:27" x14ac:dyDescent="0.25">
      <c r="A33" s="18" t="b">
        <v>0</v>
      </c>
      <c r="B33" t="s">
        <v>62</v>
      </c>
      <c r="C33" t="s">
        <v>62</v>
      </c>
      <c r="D33" t="s">
        <v>62</v>
      </c>
      <c r="E33" t="s">
        <v>0</v>
      </c>
      <c r="F33" t="s">
        <v>61</v>
      </c>
      <c r="G33" s="4">
        <v>1.6517489296715424</v>
      </c>
      <c r="L33" s="175"/>
      <c r="P33" s="1">
        <f>MATCH(D33,'[1]Scalar Inputs Table'!D$1:D$69,0)</f>
        <v>41</v>
      </c>
      <c r="Q33">
        <f>'[1]Scalar Inputs Table'!H41</f>
        <v>0.1</v>
      </c>
      <c r="R33" s="180">
        <f t="shared" si="0"/>
        <v>0.16517489296715426</v>
      </c>
      <c r="U33">
        <v>31</v>
      </c>
      <c r="V33" t="s">
        <v>62</v>
      </c>
      <c r="W33" t="s">
        <v>0</v>
      </c>
      <c r="X33" t="s">
        <v>61</v>
      </c>
      <c r="Y33">
        <v>1.640533</v>
      </c>
      <c r="Z33" t="b">
        <f>V33=D33</f>
        <v>1</v>
      </c>
      <c r="AA33" s="255">
        <f t="shared" si="1"/>
        <v>-1.1215929671542391E-2</v>
      </c>
    </row>
    <row r="34" spans="1:27" x14ac:dyDescent="0.25">
      <c r="A34" s="18" t="b">
        <v>0</v>
      </c>
      <c r="B34" t="s">
        <v>26</v>
      </c>
      <c r="C34" t="s">
        <v>26</v>
      </c>
      <c r="D34" t="s">
        <v>26</v>
      </c>
      <c r="E34" t="s">
        <v>0</v>
      </c>
      <c r="F34" t="s">
        <v>27</v>
      </c>
      <c r="G34" s="4">
        <v>1.5006645561073084</v>
      </c>
      <c r="L34" s="175"/>
      <c r="P34" s="1">
        <f>MATCH(D34,'[1]Scalar Inputs Table'!D$1:D$69,0)</f>
        <v>28</v>
      </c>
      <c r="Q34">
        <f>'[1]Scalar Inputs Table'!H28</f>
        <v>0.20477999999999999</v>
      </c>
      <c r="R34" s="180">
        <f t="shared" si="0"/>
        <v>0.30730608779965463</v>
      </c>
      <c r="U34">
        <v>32</v>
      </c>
      <c r="V34" t="s">
        <v>26</v>
      </c>
      <c r="W34" t="s">
        <v>0</v>
      </c>
      <c r="X34" t="s">
        <v>27</v>
      </c>
      <c r="Y34">
        <v>1.501409</v>
      </c>
      <c r="Z34" t="b">
        <f>V34=D34</f>
        <v>1</v>
      </c>
      <c r="AA34" s="255">
        <f t="shared" si="1"/>
        <v>7.4444389269157085E-4</v>
      </c>
    </row>
    <row r="35" spans="1:27" x14ac:dyDescent="0.25">
      <c r="A35" s="18" t="b">
        <v>0</v>
      </c>
      <c r="B35" t="s">
        <v>25</v>
      </c>
      <c r="C35" t="s">
        <v>25</v>
      </c>
      <c r="D35" t="s">
        <v>25</v>
      </c>
      <c r="E35" t="s">
        <v>0</v>
      </c>
      <c r="F35" t="s">
        <v>27</v>
      </c>
      <c r="G35" s="4">
        <v>3.3611055697647254</v>
      </c>
      <c r="L35" s="175"/>
      <c r="P35" s="1">
        <f>MATCH(D35,'[1]Scalar Inputs Table'!D$1:D$69,0)</f>
        <v>29</v>
      </c>
      <c r="Q35">
        <f>'[1]Scalar Inputs Table'!H29</f>
        <v>0.10152</v>
      </c>
      <c r="R35" s="180">
        <f t="shared" si="0"/>
        <v>0.34121943744251493</v>
      </c>
      <c r="U35">
        <v>33</v>
      </c>
      <c r="V35" t="s">
        <v>25</v>
      </c>
      <c r="W35" t="s">
        <v>0</v>
      </c>
      <c r="X35" t="s">
        <v>27</v>
      </c>
      <c r="Y35">
        <v>3.359521</v>
      </c>
      <c r="Z35" t="b">
        <f>V35=D35</f>
        <v>1</v>
      </c>
      <c r="AA35" s="255">
        <f t="shared" si="1"/>
        <v>-1.5845697647254298E-3</v>
      </c>
    </row>
    <row r="36" spans="1:27" x14ac:dyDescent="0.25">
      <c r="A36" s="18" t="b">
        <v>0</v>
      </c>
      <c r="B36" t="s">
        <v>27</v>
      </c>
      <c r="C36" t="s">
        <v>27</v>
      </c>
      <c r="D36" t="s">
        <v>27</v>
      </c>
      <c r="E36" t="s">
        <v>0</v>
      </c>
      <c r="F36" t="s">
        <v>27</v>
      </c>
      <c r="G36" s="4">
        <v>1</v>
      </c>
      <c r="L36" s="175"/>
      <c r="P36" s="1">
        <f>MATCH(D36,'[1]Scalar Inputs Table'!D$1:D$69,0)</f>
        <v>30</v>
      </c>
      <c r="Q36">
        <f>'[1]Scalar Inputs Table'!H28</f>
        <v>0.20477999999999999</v>
      </c>
      <c r="R36" s="180">
        <f t="shared" si="0"/>
        <v>0.20477999999999999</v>
      </c>
      <c r="U36">
        <v>34</v>
      </c>
      <c r="V36" t="s">
        <v>27</v>
      </c>
      <c r="W36" t="s">
        <v>0</v>
      </c>
      <c r="X36" t="s">
        <v>27</v>
      </c>
      <c r="Y36">
        <v>1</v>
      </c>
      <c r="Z36" t="b">
        <f>V36=D36</f>
        <v>1</v>
      </c>
      <c r="AA36" s="255">
        <f t="shared" si="1"/>
        <v>0</v>
      </c>
    </row>
    <row r="37" spans="1:27" x14ac:dyDescent="0.25">
      <c r="A37" s="18" t="b">
        <v>0</v>
      </c>
      <c r="B37" t="s">
        <v>29</v>
      </c>
      <c r="C37" t="s">
        <v>29</v>
      </c>
      <c r="D37" t="s">
        <v>29</v>
      </c>
      <c r="E37" t="s">
        <v>0</v>
      </c>
      <c r="F37" t="s">
        <v>31</v>
      </c>
      <c r="G37" s="4">
        <v>1.7627640246416409</v>
      </c>
      <c r="L37" s="175"/>
      <c r="P37" s="1">
        <f>MATCH(D37,'[1]Scalar Inputs Table'!D$1:D$69,0)</f>
        <v>31</v>
      </c>
      <c r="Q37">
        <f>'[1]Scalar Inputs Table'!H29</f>
        <v>0.10152</v>
      </c>
      <c r="R37" s="180">
        <f t="shared" si="0"/>
        <v>0.17895580378161938</v>
      </c>
      <c r="U37">
        <v>35</v>
      </c>
      <c r="V37" t="s">
        <v>29</v>
      </c>
      <c r="W37" t="s">
        <v>0</v>
      </c>
      <c r="X37" t="s">
        <v>31</v>
      </c>
      <c r="Y37">
        <v>1.761771</v>
      </c>
      <c r="Z37" t="b">
        <f>V37=D37</f>
        <v>1</v>
      </c>
      <c r="AA37" s="255">
        <f t="shared" si="1"/>
        <v>-9.9302464164097159E-4</v>
      </c>
    </row>
    <row r="38" spans="1:27" x14ac:dyDescent="0.25">
      <c r="A38" s="18" t="b">
        <v>0</v>
      </c>
      <c r="B38" t="s">
        <v>28</v>
      </c>
      <c r="C38" t="s">
        <v>28</v>
      </c>
      <c r="D38" t="s">
        <v>28</v>
      </c>
      <c r="E38" t="s">
        <v>0</v>
      </c>
      <c r="F38" t="s">
        <v>31</v>
      </c>
      <c r="G38" s="4">
        <v>2.102650167336642</v>
      </c>
      <c r="L38" s="175"/>
      <c r="P38" s="1">
        <f>MATCH(D38,'[1]Scalar Inputs Table'!D$1:D$69,0)</f>
        <v>32</v>
      </c>
      <c r="Q38">
        <f>'[1]Scalar Inputs Table'!H30</f>
        <v>0.35020000000000001</v>
      </c>
      <c r="R38" s="180">
        <f t="shared" si="0"/>
        <v>0.73634808860129208</v>
      </c>
      <c r="U38">
        <v>36</v>
      </c>
      <c r="V38" t="s">
        <v>28</v>
      </c>
      <c r="W38" t="s">
        <v>0</v>
      </c>
      <c r="X38" t="s">
        <v>31</v>
      </c>
      <c r="Y38">
        <v>2.1024699999999998</v>
      </c>
      <c r="Z38" t="b">
        <f>V38=D38</f>
        <v>1</v>
      </c>
      <c r="AA38" s="255">
        <f t="shared" si="1"/>
        <v>-1.8016733664216744E-4</v>
      </c>
    </row>
    <row r="39" spans="1:27" x14ac:dyDescent="0.25">
      <c r="A39" s="18" t="b">
        <v>0</v>
      </c>
      <c r="B39" t="s">
        <v>31</v>
      </c>
      <c r="C39" t="s">
        <v>31</v>
      </c>
      <c r="D39" t="s">
        <v>31</v>
      </c>
      <c r="E39" t="s">
        <v>0</v>
      </c>
      <c r="F39" t="s">
        <v>31</v>
      </c>
      <c r="G39" s="4">
        <v>1</v>
      </c>
      <c r="L39" s="175"/>
      <c r="P39" s="1">
        <f>MATCH(D39,'[1]Scalar Inputs Table'!D$1:D$69,0)</f>
        <v>33</v>
      </c>
      <c r="Q39">
        <f>'[1]Scalar Inputs Table'!H31</f>
        <v>0.127</v>
      </c>
      <c r="R39" s="180">
        <f t="shared" si="0"/>
        <v>0.127</v>
      </c>
      <c r="U39">
        <v>37</v>
      </c>
      <c r="V39" t="s">
        <v>31</v>
      </c>
      <c r="W39" t="s">
        <v>0</v>
      </c>
      <c r="X39" t="s">
        <v>31</v>
      </c>
      <c r="Y39">
        <v>1</v>
      </c>
      <c r="Z39" t="b">
        <f>V39=D39</f>
        <v>1</v>
      </c>
      <c r="AA39" s="255">
        <f t="shared" si="1"/>
        <v>0</v>
      </c>
    </row>
    <row r="40" spans="1:27" x14ac:dyDescent="0.25">
      <c r="A40" s="18" t="b">
        <v>0</v>
      </c>
      <c r="B40" t="s">
        <v>51</v>
      </c>
      <c r="C40" t="s">
        <v>51</v>
      </c>
      <c r="D40" t="s">
        <v>51</v>
      </c>
      <c r="E40" t="s">
        <v>0</v>
      </c>
      <c r="F40" t="s">
        <v>65</v>
      </c>
      <c r="G40" s="4">
        <v>1.7447404974306664</v>
      </c>
      <c r="L40" s="175"/>
      <c r="P40" s="1">
        <f>MATCH(D40,'[1]Scalar Inputs Table'!D$1:D$69,0)</f>
        <v>6</v>
      </c>
      <c r="Q40">
        <f>'[1]Scalar Inputs Table'!H32</f>
        <v>9.3149999999999997E-2</v>
      </c>
      <c r="R40" s="180">
        <f t="shared" si="0"/>
        <v>0.16252257733566658</v>
      </c>
      <c r="U40">
        <v>38</v>
      </c>
      <c r="V40" t="s">
        <v>51</v>
      </c>
      <c r="W40" t="s">
        <v>0</v>
      </c>
      <c r="X40" t="s">
        <v>65</v>
      </c>
      <c r="Y40">
        <v>1.74403</v>
      </c>
      <c r="Z40" t="b">
        <f>V40=D40</f>
        <v>1</v>
      </c>
      <c r="AA40" s="255">
        <f t="shared" si="1"/>
        <v>-7.1049743066642357E-4</v>
      </c>
    </row>
    <row r="41" spans="1:27" x14ac:dyDescent="0.25">
      <c r="A41" s="18" t="b">
        <v>0</v>
      </c>
      <c r="B41" t="s">
        <v>65</v>
      </c>
      <c r="C41" t="s">
        <v>65</v>
      </c>
      <c r="D41" t="s">
        <v>65</v>
      </c>
      <c r="E41" t="s">
        <v>0</v>
      </c>
      <c r="F41" t="s">
        <v>65</v>
      </c>
      <c r="G41" s="4">
        <v>1</v>
      </c>
      <c r="L41" s="175"/>
      <c r="P41" s="1">
        <f>MATCH(D41,'[1]Scalar Inputs Table'!D$1:D$69,0)</f>
        <v>7</v>
      </c>
      <c r="R41" s="180">
        <f t="shared" si="0"/>
        <v>0</v>
      </c>
      <c r="U41">
        <v>39</v>
      </c>
      <c r="V41" t="s">
        <v>65</v>
      </c>
      <c r="W41" t="s">
        <v>0</v>
      </c>
      <c r="X41" t="s">
        <v>65</v>
      </c>
      <c r="Y41">
        <v>1</v>
      </c>
      <c r="Z41" t="b">
        <f>V41=D41</f>
        <v>1</v>
      </c>
      <c r="AA41" s="255">
        <f t="shared" si="1"/>
        <v>0</v>
      </c>
    </row>
    <row r="42" spans="1:27" x14ac:dyDescent="0.25">
      <c r="A42" s="18" t="b">
        <v>0</v>
      </c>
      <c r="B42" t="s">
        <v>170</v>
      </c>
      <c r="C42" t="s">
        <v>161</v>
      </c>
      <c r="D42" t="s">
        <v>118</v>
      </c>
      <c r="E42" t="s">
        <v>0</v>
      </c>
      <c r="F42" t="s">
        <v>119</v>
      </c>
      <c r="G42" s="4">
        <v>4.2939030000000002</v>
      </c>
      <c r="H42" s="33"/>
      <c r="I42" s="179"/>
      <c r="K42" s="175"/>
      <c r="L42" s="175"/>
      <c r="M42" s="4"/>
      <c r="N42"/>
      <c r="O42" s="1"/>
      <c r="Q42" s="180"/>
    </row>
    <row r="43" spans="1:27" x14ac:dyDescent="0.25">
      <c r="A43" s="18" t="b">
        <v>0</v>
      </c>
      <c r="B43" t="s">
        <v>170</v>
      </c>
      <c r="C43" t="s">
        <v>161</v>
      </c>
      <c r="D43" t="s">
        <v>119</v>
      </c>
      <c r="E43" t="s">
        <v>0</v>
      </c>
      <c r="F43" t="s">
        <v>119</v>
      </c>
      <c r="G43" s="4">
        <v>1</v>
      </c>
      <c r="H43" s="33"/>
      <c r="I43" s="179"/>
      <c r="K43" s="174"/>
      <c r="L43" s="175"/>
      <c r="M43" s="4"/>
      <c r="N43"/>
      <c r="O43" s="1"/>
    </row>
    <row r="44" spans="1:27" x14ac:dyDescent="0.25">
      <c r="A44" s="18" t="b">
        <v>0</v>
      </c>
      <c r="B44" t="s">
        <v>170</v>
      </c>
      <c r="C44" t="s">
        <v>161</v>
      </c>
      <c r="D44" t="s">
        <v>120</v>
      </c>
      <c r="E44" t="s">
        <v>0</v>
      </c>
      <c r="F44" t="s">
        <v>119</v>
      </c>
      <c r="G44" s="4">
        <v>2.7362299999999999</v>
      </c>
      <c r="H44" s="33"/>
      <c r="I44" s="179"/>
      <c r="K44" s="174"/>
      <c r="L44" s="175"/>
      <c r="M44" s="4"/>
      <c r="N44"/>
    </row>
    <row r="45" spans="1:27" x14ac:dyDescent="0.25">
      <c r="A45" s="18" t="b">
        <v>0</v>
      </c>
      <c r="B45" t="s">
        <v>170</v>
      </c>
      <c r="C45" t="s">
        <v>162</v>
      </c>
      <c r="D45" t="s">
        <v>121</v>
      </c>
      <c r="E45" t="s">
        <v>0</v>
      </c>
      <c r="F45" t="s">
        <v>123</v>
      </c>
      <c r="G45" s="4">
        <v>5.0861470000000004</v>
      </c>
      <c r="L45" s="175"/>
    </row>
    <row r="46" spans="1:27" x14ac:dyDescent="0.25">
      <c r="A46" s="18" t="b">
        <v>0</v>
      </c>
      <c r="B46" t="s">
        <v>170</v>
      </c>
      <c r="C46" t="s">
        <v>162</v>
      </c>
      <c r="D46" t="s">
        <v>122</v>
      </c>
      <c r="E46" t="s">
        <v>0</v>
      </c>
      <c r="F46" t="s">
        <v>123</v>
      </c>
      <c r="G46" s="4">
        <v>2.670026</v>
      </c>
      <c r="L46" s="175"/>
    </row>
    <row r="47" spans="1:27" x14ac:dyDescent="0.25">
      <c r="A47" s="18" t="b">
        <v>0</v>
      </c>
      <c r="B47" t="s">
        <v>170</v>
      </c>
      <c r="C47" t="s">
        <v>162</v>
      </c>
      <c r="D47" t="s">
        <v>123</v>
      </c>
      <c r="E47" t="s">
        <v>0</v>
      </c>
      <c r="F47" t="s">
        <v>123</v>
      </c>
      <c r="G47" s="4">
        <v>1</v>
      </c>
      <c r="L47" s="175"/>
    </row>
    <row r="48" spans="1:27" x14ac:dyDescent="0.25">
      <c r="A48" s="18" t="b">
        <v>0</v>
      </c>
      <c r="B48" t="s">
        <v>170</v>
      </c>
      <c r="C48" t="s">
        <v>162</v>
      </c>
      <c r="D48" t="s">
        <v>124</v>
      </c>
      <c r="E48" t="s">
        <v>0</v>
      </c>
      <c r="F48" t="s">
        <v>123</v>
      </c>
      <c r="G48" s="4">
        <v>2.8351980000000001</v>
      </c>
      <c r="L48" s="175"/>
    </row>
    <row r="49" spans="1:14" x14ac:dyDescent="0.25">
      <c r="A49" s="18" t="b">
        <v>0</v>
      </c>
      <c r="B49" t="s">
        <v>170</v>
      </c>
      <c r="C49" t="s">
        <v>163</v>
      </c>
      <c r="D49" t="s">
        <v>125</v>
      </c>
      <c r="E49" t="s">
        <v>0</v>
      </c>
      <c r="F49" t="s">
        <v>126</v>
      </c>
      <c r="G49" s="4">
        <v>1.0238849999999999</v>
      </c>
      <c r="L49" s="175"/>
    </row>
    <row r="50" spans="1:14" x14ac:dyDescent="0.25">
      <c r="A50" s="18" t="b">
        <v>0</v>
      </c>
      <c r="B50" t="s">
        <v>170</v>
      </c>
      <c r="C50" t="s">
        <v>163</v>
      </c>
      <c r="D50" t="s">
        <v>126</v>
      </c>
      <c r="E50" t="s">
        <v>0</v>
      </c>
      <c r="F50" t="s">
        <v>126</v>
      </c>
      <c r="G50" s="4">
        <v>1</v>
      </c>
      <c r="L50" s="175"/>
    </row>
    <row r="51" spans="1:14" x14ac:dyDescent="0.25">
      <c r="A51" s="18" t="b">
        <v>0</v>
      </c>
      <c r="B51" t="s">
        <v>170</v>
      </c>
      <c r="C51" t="s">
        <v>163</v>
      </c>
      <c r="D51" t="s">
        <v>127</v>
      </c>
      <c r="E51" t="s">
        <v>0</v>
      </c>
      <c r="F51" t="s">
        <v>126</v>
      </c>
      <c r="G51" s="4">
        <v>2.44672</v>
      </c>
      <c r="L51" s="175"/>
    </row>
    <row r="52" spans="1:14" x14ac:dyDescent="0.25">
      <c r="A52" s="18" t="b">
        <v>0</v>
      </c>
      <c r="B52" t="s">
        <v>170</v>
      </c>
      <c r="C52" t="s">
        <v>164</v>
      </c>
      <c r="D52" t="s">
        <v>128</v>
      </c>
      <c r="E52" t="s">
        <v>0</v>
      </c>
      <c r="F52" t="s">
        <v>130</v>
      </c>
      <c r="G52" s="4">
        <v>3.870333</v>
      </c>
      <c r="L52" s="175"/>
    </row>
    <row r="53" spans="1:14" x14ac:dyDescent="0.25">
      <c r="A53" s="18" t="b">
        <v>0</v>
      </c>
      <c r="B53" t="s">
        <v>170</v>
      </c>
      <c r="C53" t="s">
        <v>164</v>
      </c>
      <c r="D53" t="s">
        <v>129</v>
      </c>
      <c r="E53" t="s">
        <v>0</v>
      </c>
      <c r="F53" t="s">
        <v>130</v>
      </c>
      <c r="G53" s="4">
        <v>4.4329970000000003</v>
      </c>
      <c r="L53" s="175"/>
    </row>
    <row r="54" spans="1:14" x14ac:dyDescent="0.25">
      <c r="A54" s="18" t="b">
        <v>0</v>
      </c>
      <c r="B54" t="s">
        <v>170</v>
      </c>
      <c r="C54" t="s">
        <v>164</v>
      </c>
      <c r="D54" t="s">
        <v>130</v>
      </c>
      <c r="E54" t="s">
        <v>0</v>
      </c>
      <c r="F54" t="s">
        <v>130</v>
      </c>
      <c r="G54" s="4">
        <v>1</v>
      </c>
      <c r="L54" s="175"/>
    </row>
    <row r="55" spans="1:14" x14ac:dyDescent="0.25">
      <c r="A55" s="18" t="b">
        <v>0</v>
      </c>
      <c r="B55" t="s">
        <v>170</v>
      </c>
      <c r="C55" t="s">
        <v>164</v>
      </c>
      <c r="D55" t="s">
        <v>131</v>
      </c>
      <c r="E55" t="s">
        <v>0</v>
      </c>
      <c r="F55" t="s">
        <v>130</v>
      </c>
      <c r="G55" s="4">
        <v>1.8672040000000001</v>
      </c>
      <c r="L55" s="175"/>
    </row>
    <row r="56" spans="1:14" x14ac:dyDescent="0.25">
      <c r="A56" s="18" t="b">
        <v>0</v>
      </c>
      <c r="B56" t="s">
        <v>170</v>
      </c>
      <c r="C56" t="s">
        <v>165</v>
      </c>
      <c r="D56" t="s">
        <v>132</v>
      </c>
      <c r="E56" t="s">
        <v>0</v>
      </c>
      <c r="F56" t="s">
        <v>133</v>
      </c>
      <c r="G56" s="4">
        <v>1.852147</v>
      </c>
      <c r="L56" s="175"/>
    </row>
    <row r="57" spans="1:14" x14ac:dyDescent="0.25">
      <c r="A57" s="18" t="b">
        <v>0</v>
      </c>
      <c r="B57" t="s">
        <v>170</v>
      </c>
      <c r="C57" t="s">
        <v>165</v>
      </c>
      <c r="D57" t="s">
        <v>133</v>
      </c>
      <c r="E57" t="s">
        <v>0</v>
      </c>
      <c r="F57" t="s">
        <v>133</v>
      </c>
      <c r="G57" s="4">
        <v>1</v>
      </c>
      <c r="L57" s="175"/>
    </row>
    <row r="58" spans="1:14" x14ac:dyDescent="0.25">
      <c r="A58" s="18" t="b">
        <v>0</v>
      </c>
      <c r="B58" t="s">
        <v>170</v>
      </c>
      <c r="C58" t="s">
        <v>166</v>
      </c>
      <c r="D58" t="s">
        <v>134</v>
      </c>
      <c r="E58" t="s">
        <v>0</v>
      </c>
      <c r="F58" t="s">
        <v>135</v>
      </c>
      <c r="G58" s="4">
        <v>3.5173230000000002</v>
      </c>
      <c r="H58" s="33"/>
      <c r="I58" s="179"/>
      <c r="K58" s="174"/>
      <c r="L58" s="175"/>
      <c r="M58" s="4"/>
      <c r="N58"/>
    </row>
    <row r="59" spans="1:14" x14ac:dyDescent="0.25">
      <c r="A59" s="18" t="b">
        <v>0</v>
      </c>
      <c r="B59" t="s">
        <v>170</v>
      </c>
      <c r="C59" t="s">
        <v>166</v>
      </c>
      <c r="D59" t="s">
        <v>135</v>
      </c>
      <c r="E59" t="s">
        <v>0</v>
      </c>
      <c r="F59" t="s">
        <v>135</v>
      </c>
      <c r="G59" s="4">
        <v>1</v>
      </c>
      <c r="H59" s="33"/>
      <c r="I59" s="179"/>
      <c r="K59" s="174"/>
      <c r="L59" s="175"/>
      <c r="M59" s="4"/>
      <c r="N59"/>
    </row>
    <row r="60" spans="1:14" x14ac:dyDescent="0.25">
      <c r="A60" s="18" t="b">
        <v>0</v>
      </c>
      <c r="B60" t="s">
        <v>170</v>
      </c>
      <c r="C60" t="s">
        <v>166</v>
      </c>
      <c r="D60" t="s">
        <v>136</v>
      </c>
      <c r="E60" t="s">
        <v>0</v>
      </c>
      <c r="F60" t="s">
        <v>135</v>
      </c>
      <c r="G60" s="4">
        <v>1.067404</v>
      </c>
      <c r="H60" s="33"/>
      <c r="I60" s="179"/>
      <c r="K60" s="174"/>
      <c r="L60" s="175"/>
      <c r="M60" s="4"/>
      <c r="N60"/>
    </row>
    <row r="61" spans="1:14" x14ac:dyDescent="0.25">
      <c r="A61" s="18" t="b">
        <v>0</v>
      </c>
      <c r="B61" t="s">
        <v>170</v>
      </c>
      <c r="C61" t="s">
        <v>166</v>
      </c>
      <c r="D61" t="s">
        <v>137</v>
      </c>
      <c r="E61" t="s">
        <v>0</v>
      </c>
      <c r="F61" t="s">
        <v>135</v>
      </c>
      <c r="G61" s="4">
        <v>2.3174730000000001</v>
      </c>
      <c r="H61" s="33"/>
      <c r="I61" s="179"/>
      <c r="K61" s="174"/>
      <c r="L61" s="175"/>
      <c r="M61" s="4"/>
      <c r="N61"/>
    </row>
    <row r="62" spans="1:14" x14ac:dyDescent="0.25">
      <c r="A62" s="18" t="b">
        <v>0</v>
      </c>
      <c r="B62" t="s">
        <v>170</v>
      </c>
      <c r="C62" t="s">
        <v>167</v>
      </c>
      <c r="D62" t="s">
        <v>138</v>
      </c>
      <c r="E62" t="s">
        <v>0</v>
      </c>
      <c r="F62" t="s">
        <v>138</v>
      </c>
      <c r="G62" s="4">
        <v>1</v>
      </c>
      <c r="L62" s="175"/>
    </row>
    <row r="63" spans="1:14" x14ac:dyDescent="0.25">
      <c r="A63" s="18" t="b">
        <v>0</v>
      </c>
      <c r="B63" t="s">
        <v>170</v>
      </c>
      <c r="C63" t="s">
        <v>167</v>
      </c>
      <c r="D63" t="s">
        <v>139</v>
      </c>
      <c r="E63" t="s">
        <v>0</v>
      </c>
      <c r="F63" t="s">
        <v>138</v>
      </c>
      <c r="G63" s="4">
        <v>1.1392370000000001</v>
      </c>
      <c r="L63" s="175"/>
    </row>
    <row r="64" spans="1:14" x14ac:dyDescent="0.25">
      <c r="A64" s="18" t="b">
        <v>0</v>
      </c>
      <c r="B64" t="s">
        <v>170</v>
      </c>
      <c r="C64" t="s">
        <v>167</v>
      </c>
      <c r="D64" t="s">
        <v>140</v>
      </c>
      <c r="E64" t="s">
        <v>0</v>
      </c>
      <c r="F64" t="s">
        <v>138</v>
      </c>
      <c r="G64" s="4">
        <v>2.3873220000000002</v>
      </c>
      <c r="L64" s="175"/>
    </row>
    <row r="65" spans="1:7" x14ac:dyDescent="0.25">
      <c r="A65" s="18" t="b">
        <v>0</v>
      </c>
      <c r="B65" t="s">
        <v>170</v>
      </c>
      <c r="C65" t="s">
        <v>167</v>
      </c>
      <c r="D65" t="s">
        <v>141</v>
      </c>
      <c r="E65" t="s">
        <v>0</v>
      </c>
      <c r="F65" t="s">
        <v>138</v>
      </c>
      <c r="G65" s="4">
        <v>1.5411159999999999</v>
      </c>
    </row>
    <row r="66" spans="1:7" x14ac:dyDescent="0.25">
      <c r="A66" s="18" t="b">
        <v>0</v>
      </c>
      <c r="B66" t="s">
        <v>170</v>
      </c>
      <c r="C66" t="s">
        <v>168</v>
      </c>
      <c r="D66" t="s">
        <v>142</v>
      </c>
      <c r="E66" t="s">
        <v>0</v>
      </c>
      <c r="F66" t="s">
        <v>144</v>
      </c>
      <c r="G66" s="4">
        <v>3.3520059999999998</v>
      </c>
    </row>
    <row r="67" spans="1:7" x14ac:dyDescent="0.25">
      <c r="A67" s="18" t="b">
        <v>0</v>
      </c>
      <c r="B67" t="s">
        <v>170</v>
      </c>
      <c r="C67" t="s">
        <v>168</v>
      </c>
      <c r="D67" t="s">
        <v>143</v>
      </c>
      <c r="E67" t="s">
        <v>0</v>
      </c>
      <c r="F67" t="s">
        <v>144</v>
      </c>
      <c r="G67" s="4">
        <v>1.710547</v>
      </c>
    </row>
    <row r="68" spans="1:7" x14ac:dyDescent="0.25">
      <c r="A68" s="18" t="b">
        <v>0</v>
      </c>
      <c r="B68" t="s">
        <v>170</v>
      </c>
      <c r="C68" t="s">
        <v>168</v>
      </c>
      <c r="D68" t="s">
        <v>144</v>
      </c>
      <c r="E68" t="s">
        <v>0</v>
      </c>
      <c r="F68" t="s">
        <v>144</v>
      </c>
      <c r="G68" s="4">
        <v>1</v>
      </c>
    </row>
    <row r="69" spans="1:7" x14ac:dyDescent="0.25">
      <c r="A69" s="18" t="b">
        <v>0</v>
      </c>
      <c r="B69" t="s">
        <v>170</v>
      </c>
      <c r="C69" t="s">
        <v>168</v>
      </c>
      <c r="D69" t="s">
        <v>145</v>
      </c>
      <c r="E69" t="s">
        <v>0</v>
      </c>
      <c r="F69" t="s">
        <v>144</v>
      </c>
      <c r="G69" s="4">
        <v>4.3274369999999998</v>
      </c>
    </row>
  </sheetData>
  <sortState xmlns:xlrd2="http://schemas.microsoft.com/office/spreadsheetml/2017/richdata2" ref="AC1:AC43">
    <sortCondition ref="AC1:AC43"/>
  </sortState>
  <conditionalFormatting sqref="A1:A1048576">
    <cfRule type="cellIs" dxfId="1" priority="3" operator="equal">
      <formula>TRUE</formula>
    </cfRule>
  </conditionalFormatting>
  <conditionalFormatting sqref="A16:A31">
    <cfRule type="cellIs" dxfId="0" priority="1" operator="equal">
      <formula>TRUE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ADMIN INPUTS</vt:lpstr>
      <vt:lpstr>ANCHOR INPUTS</vt:lpstr>
      <vt:lpstr>MKT DATA</vt:lpstr>
      <vt:lpstr>WATCH SCREEN</vt:lpstr>
      <vt:lpstr>TRADING 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dcterms:created xsi:type="dcterms:W3CDTF">2026-03-22T14:06:48Z</dcterms:created>
  <dcterms:modified xsi:type="dcterms:W3CDTF">2026-08-28T17:38:34Z</dcterms:modified>
</cp:coreProperties>
</file>