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42F1DDEB-11C9-4687-A078-930AA30D6999}" xr6:coauthVersionLast="47" xr6:coauthVersionMax="47" xr10:uidLastSave="{00000000-0000-0000-0000-000000000000}"/>
  <bookViews>
    <workbookView xWindow="510" yWindow="1170" windowWidth="28290" windowHeight="12210" tabRatio="762" activeTab="4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21" l="1"/>
  <c r="G26" i="21"/>
  <c r="H27" i="21"/>
  <c r="H26" i="21"/>
  <c r="H25" i="21"/>
  <c r="G25" i="21"/>
  <c r="H23" i="21"/>
  <c r="G23" i="21"/>
  <c r="H22" i="21"/>
  <c r="G22" i="21"/>
  <c r="H19" i="21"/>
  <c r="H21" i="21" s="1"/>
  <c r="G19" i="21"/>
  <c r="G21" i="21" s="1"/>
  <c r="H18" i="21"/>
  <c r="G18" i="21"/>
  <c r="H17" i="21"/>
  <c r="G17" i="21"/>
  <c r="H15" i="21"/>
  <c r="G15" i="21"/>
  <c r="H14" i="21"/>
  <c r="G14" i="21"/>
  <c r="H13" i="21"/>
  <c r="G13" i="21"/>
  <c r="H9" i="21"/>
  <c r="G9" i="21"/>
  <c r="H8" i="21"/>
  <c r="G8" i="21"/>
  <c r="H7" i="21"/>
  <c r="G7" i="21"/>
  <c r="H5" i="21"/>
  <c r="H4" i="21"/>
  <c r="G5" i="21"/>
  <c r="G4" i="21"/>
  <c r="H11" i="21"/>
  <c r="G11" i="21"/>
  <c r="H10" i="21"/>
  <c r="G10" i="21"/>
  <c r="H20" i="21"/>
  <c r="G20" i="21"/>
  <c r="H3" i="21"/>
  <c r="G3" i="21"/>
  <c r="A36" i="20"/>
  <c r="I5" i="20" a="1"/>
  <c r="I6" i="20" a="1"/>
  <c r="I8" i="20" a="1"/>
  <c r="I9" i="20" a="1"/>
  <c r="I10" i="20" a="1"/>
  <c r="I12" i="20" a="1"/>
  <c r="I13" i="20" a="1"/>
  <c r="I14" i="20" a="1"/>
  <c r="I16" i="20" a="1"/>
  <c r="I17" i="20" a="1"/>
  <c r="I18" i="20" a="1"/>
  <c r="I20" i="20" a="1"/>
  <c r="I21" i="20" a="1"/>
  <c r="I22" i="20" a="1"/>
  <c r="I23" i="20" a="1"/>
  <c r="I25" i="20" a="1"/>
  <c r="I26" i="20" a="1"/>
  <c r="I27" i="20" a="1"/>
  <c r="I28" i="20" a="1"/>
  <c r="I30" i="20" a="1"/>
  <c r="I31" i="20" a="1"/>
  <c r="I32" i="20" a="1"/>
  <c r="I33" i="20" a="1"/>
  <c r="I34" i="20" a="1"/>
  <c r="I35" i="20" a="1"/>
  <c r="I4" i="20" a="1"/>
  <c r="F34" i="20" a="1"/>
  <c r="H34" i="20" s="1"/>
  <c r="F33" i="20" a="1"/>
  <c r="H33" i="20" s="1"/>
  <c r="F32" i="20" a="1"/>
  <c r="H32" i="20" s="1"/>
  <c r="F31" i="20" a="1"/>
  <c r="H31" i="20" s="1"/>
  <c r="F30" i="20" a="1"/>
  <c r="H30" i="20" s="1"/>
  <c r="F28" i="20" a="1"/>
  <c r="H28" i="20" s="1"/>
  <c r="F27" i="20" a="1"/>
  <c r="H27" i="20" s="1"/>
  <c r="F26" i="20" a="1"/>
  <c r="H26" i="20" s="1"/>
  <c r="F25" i="20" a="1"/>
  <c r="H25" i="20" s="1"/>
  <c r="F23" i="20" a="1"/>
  <c r="H23" i="20" s="1"/>
  <c r="F22" i="20" a="1"/>
  <c r="H22" i="20" s="1"/>
  <c r="F21" i="20" a="1"/>
  <c r="H21" i="20" s="1"/>
  <c r="F20" i="20" a="1"/>
  <c r="H20" i="20" s="1"/>
  <c r="F18" i="20" a="1"/>
  <c r="H18" i="20" s="1"/>
  <c r="F17" i="20" a="1"/>
  <c r="H17" i="20" s="1"/>
  <c r="F16" i="20" a="1"/>
  <c r="H16" i="20" s="1"/>
  <c r="F14" i="20" a="1"/>
  <c r="H14" i="20" s="1"/>
  <c r="F13" i="20" a="1"/>
  <c r="H13" i="20" s="1"/>
  <c r="F12" i="20" a="1"/>
  <c r="H12" i="20" s="1"/>
  <c r="F10" i="20" a="1"/>
  <c r="H10" i="20" s="1"/>
  <c r="F9" i="20" a="1"/>
  <c r="H9" i="20" s="1"/>
  <c r="F8" i="20" a="1"/>
  <c r="H8" i="20" s="1"/>
  <c r="F6" i="20" a="1"/>
  <c r="H6" i="20" s="1"/>
  <c r="F5" i="20" a="1"/>
  <c r="H5" i="20" s="1"/>
  <c r="F4" i="20" a="1"/>
  <c r="H4" i="20" s="1"/>
  <c r="F35" i="20" a="1"/>
  <c r="H35" i="20" s="1"/>
  <c r="A5" i="20"/>
  <c r="B5" i="20"/>
  <c r="A6" i="20"/>
  <c r="B6" i="20"/>
  <c r="A8" i="20"/>
  <c r="B8" i="20"/>
  <c r="A9" i="20"/>
  <c r="B9" i="20"/>
  <c r="A10" i="20"/>
  <c r="B10" i="20"/>
  <c r="A12" i="20"/>
  <c r="B12" i="20"/>
  <c r="A13" i="20"/>
  <c r="B13" i="20"/>
  <c r="A14" i="20"/>
  <c r="B14" i="20"/>
  <c r="A16" i="20"/>
  <c r="B16" i="20"/>
  <c r="A17" i="20"/>
  <c r="B17" i="20"/>
  <c r="A18" i="20"/>
  <c r="B18" i="20"/>
  <c r="A20" i="20"/>
  <c r="B20" i="20"/>
  <c r="A21" i="20"/>
  <c r="B21" i="20"/>
  <c r="A22" i="20"/>
  <c r="B22" i="20"/>
  <c r="A23" i="20"/>
  <c r="B23" i="20"/>
  <c r="A25" i="20"/>
  <c r="B25" i="20"/>
  <c r="A26" i="20"/>
  <c r="B26" i="20"/>
  <c r="A27" i="20"/>
  <c r="B27" i="20"/>
  <c r="A28" i="20"/>
  <c r="B28" i="20"/>
  <c r="A30" i="20"/>
  <c r="B30" i="20"/>
  <c r="A31" i="20"/>
  <c r="B31" i="20"/>
  <c r="A32" i="20"/>
  <c r="B32" i="20"/>
  <c r="A33" i="20"/>
  <c r="B33" i="20"/>
  <c r="A34" i="20"/>
  <c r="B34" i="20"/>
  <c r="A35" i="20"/>
  <c r="B35" i="20"/>
  <c r="B4" i="20"/>
  <c r="A4" i="20"/>
  <c r="P5" i="20" a="1"/>
  <c r="Q5" i="20" s="1"/>
  <c r="P4" i="20" a="1"/>
  <c r="Q4" i="20" s="1"/>
  <c r="P6" i="20" a="1"/>
  <c r="Q6" i="20" s="1"/>
  <c r="P8" i="20" a="1"/>
  <c r="Q8" i="20" s="1"/>
  <c r="P9" i="20" a="1"/>
  <c r="Q9" i="20" s="1"/>
  <c r="P10" i="20" a="1"/>
  <c r="Q10" i="20" s="1"/>
  <c r="P12" i="20" a="1"/>
  <c r="Q12" i="20" s="1"/>
  <c r="P13" i="20" a="1"/>
  <c r="Q13" i="20" s="1"/>
  <c r="P14" i="20" a="1"/>
  <c r="Q14" i="20" s="1"/>
  <c r="P16" i="20" a="1"/>
  <c r="Q16" i="20" s="1"/>
  <c r="P17" i="20" a="1"/>
  <c r="Q17" i="20" s="1"/>
  <c r="P18" i="20" a="1"/>
  <c r="Q18" i="20" s="1"/>
  <c r="P20" i="20" a="1"/>
  <c r="P21" i="20" a="1"/>
  <c r="Q21" i="20" s="1"/>
  <c r="P22" i="20" a="1"/>
  <c r="Q22" i="20" s="1"/>
  <c r="P23" i="20" a="1"/>
  <c r="Q23" i="20" s="1"/>
  <c r="P25" i="20" a="1"/>
  <c r="Q25" i="20" s="1"/>
  <c r="P26" i="20" a="1"/>
  <c r="Q26" i="20" s="1"/>
  <c r="P27" i="20" a="1"/>
  <c r="Q27" i="20" s="1"/>
  <c r="P28" i="20" a="1"/>
  <c r="Q28" i="20" s="1"/>
  <c r="P30" i="20" a="1"/>
  <c r="Q30" i="20" s="1"/>
  <c r="P31" i="20" a="1"/>
  <c r="Q31" i="20" s="1"/>
  <c r="P32" i="20" a="1"/>
  <c r="Q32" i="20" s="1"/>
  <c r="P33" i="20" a="1"/>
  <c r="Q33" i="20" s="1"/>
  <c r="P34" i="20" a="1"/>
  <c r="Q34" i="20" s="1"/>
  <c r="P35" i="20" a="1"/>
  <c r="Q35" i="20" s="1"/>
  <c r="E34" i="20" a="1"/>
  <c r="G34" i="20" s="1"/>
  <c r="J34" i="20" s="1"/>
  <c r="E32" i="20" a="1"/>
  <c r="G32" i="20" s="1"/>
  <c r="J32" i="20" s="1"/>
  <c r="E33" i="20" a="1"/>
  <c r="G33" i="20" s="1"/>
  <c r="J33" i="20" s="1"/>
  <c r="E30" i="20" a="1"/>
  <c r="G30" i="20" s="1"/>
  <c r="J30" i="20" s="1"/>
  <c r="E31" i="20" a="1"/>
  <c r="G31" i="20" s="1"/>
  <c r="J31" i="20" s="1"/>
  <c r="E35" i="20" a="1"/>
  <c r="G35" i="20" s="1"/>
  <c r="J35" i="20" s="1"/>
  <c r="E9" i="20" a="1"/>
  <c r="G9" i="20" s="1"/>
  <c r="J9" i="20" s="1"/>
  <c r="E8" i="20" a="1"/>
  <c r="G8" i="20" s="1"/>
  <c r="J8" i="20" s="1"/>
  <c r="E10" i="20" a="1"/>
  <c r="G10" i="20" s="1"/>
  <c r="J10" i="20" s="1"/>
  <c r="E5" i="20" a="1"/>
  <c r="G5" i="20" s="1"/>
  <c r="J5" i="20" s="1"/>
  <c r="E4" i="20" a="1"/>
  <c r="G4" i="20" s="1"/>
  <c r="J4" i="20" s="1"/>
  <c r="E6" i="20" a="1"/>
  <c r="G6" i="20" s="1"/>
  <c r="J6" i="20" s="1"/>
  <c r="E18" i="20" a="1"/>
  <c r="G18" i="20" s="1"/>
  <c r="J18" i="20" s="1"/>
  <c r="E16" i="20" a="1"/>
  <c r="G16" i="20" s="1"/>
  <c r="J16" i="20" s="1"/>
  <c r="E17" i="20" a="1"/>
  <c r="G17" i="20" s="1"/>
  <c r="J17" i="20" s="1"/>
  <c r="E14" i="20" a="1"/>
  <c r="G14" i="20" s="1"/>
  <c r="J14" i="20" s="1"/>
  <c r="E12" i="20" a="1"/>
  <c r="G12" i="20" s="1"/>
  <c r="J12" i="20" s="1"/>
  <c r="E13" i="20" a="1"/>
  <c r="G13" i="20" s="1"/>
  <c r="J13" i="20" s="1"/>
  <c r="E22" i="20" a="1"/>
  <c r="G22" i="20" s="1"/>
  <c r="J22" i="20" s="1"/>
  <c r="E21" i="20" a="1"/>
  <c r="G21" i="20" s="1"/>
  <c r="J21" i="20" s="1"/>
  <c r="E20" i="20" a="1"/>
  <c r="G20" i="20" s="1"/>
  <c r="J20" i="20" s="1"/>
  <c r="E23" i="20" a="1"/>
  <c r="G23" i="20" s="1"/>
  <c r="J23" i="20" s="1"/>
  <c r="E27" i="20" a="1"/>
  <c r="G27" i="20" s="1"/>
  <c r="J27" i="20" s="1"/>
  <c r="E25" i="20" a="1"/>
  <c r="G25" i="20" s="1"/>
  <c r="J25" i="20" s="1"/>
  <c r="E26" i="20" a="1"/>
  <c r="G26" i="20" s="1"/>
  <c r="J26" i="20" s="1"/>
  <c r="E28" i="20" a="1"/>
  <c r="G28" i="20" s="1"/>
  <c r="J28" i="20" s="1"/>
  <c r="B4" i="15" a="1"/>
  <c r="B2" i="15" a="1"/>
  <c r="R30" i="20" l="1"/>
  <c r="R25" i="20"/>
  <c r="Q20" i="20"/>
  <c r="R20" i="20" s="1"/>
  <c r="R16" i="20"/>
  <c r="R12" i="20"/>
  <c r="R8" i="20"/>
  <c r="R4" i="20"/>
  <c r="L30" i="20"/>
  <c r="L25" i="20"/>
  <c r="L20" i="20"/>
  <c r="L16" i="20"/>
  <c r="L12" i="20"/>
  <c r="L8" i="20"/>
  <c r="L4" i="20"/>
  <c r="K32" i="20"/>
  <c r="K34" i="20"/>
  <c r="K33" i="20"/>
  <c r="K30" i="20"/>
  <c r="K31" i="20"/>
  <c r="K35" i="20"/>
  <c r="K9" i="20"/>
  <c r="K8" i="20"/>
  <c r="K10" i="20"/>
  <c r="K5" i="20"/>
  <c r="K4" i="20"/>
  <c r="K6" i="20"/>
  <c r="K18" i="20"/>
  <c r="K16" i="20"/>
  <c r="K17" i="20"/>
  <c r="K14" i="20"/>
  <c r="K12" i="20"/>
  <c r="K13" i="20"/>
  <c r="K22" i="20"/>
  <c r="K21" i="20"/>
  <c r="K20" i="20"/>
  <c r="K23" i="20"/>
  <c r="K25" i="20"/>
  <c r="K26" i="20"/>
  <c r="K27" i="20"/>
  <c r="K28" i="20"/>
  <c r="M30" i="20" l="1"/>
  <c r="N30" i="20" s="1"/>
  <c r="O30" i="20" s="1"/>
  <c r="M25" i="20"/>
  <c r="N25" i="20" s="1"/>
  <c r="O25" i="20" s="1"/>
  <c r="M20" i="20"/>
  <c r="N20" i="20" s="1"/>
  <c r="O20" i="20" s="1"/>
  <c r="M16" i="20"/>
  <c r="N16" i="20" s="1"/>
  <c r="O16" i="20" s="1"/>
  <c r="M8" i="20"/>
  <c r="N8" i="20" s="1"/>
  <c r="O8" i="20" s="1"/>
  <c r="M12" i="20"/>
  <c r="N12" i="20" s="1"/>
  <c r="O12" i="20" s="1"/>
  <c r="M4" i="20"/>
  <c r="N4" i="20" s="1"/>
  <c r="O4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<sst xmlns="http://schemas.openxmlformats.org/spreadsheetml/2006/main" count="475" uniqueCount="109">
  <si>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</si>
  <si>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</si>
  <si>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</si>
  <si>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</si>
  <si>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</si>
  <si>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</si>
  <si>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</si>
  <si>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</si>
  <si>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</si>
  <si>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</si>
  <si>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</si>
  <si>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</si>
  <si>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</si>
  <si>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</si>
  <si>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</si>
  <si>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</si>
  <si>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</si>
  <si>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</si>
  <si>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</si>
  <si>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</si>
  <si>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</si>
  <si>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</si>
  <si>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</si>
  <si>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</si>
  <si>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</si>
  <si>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</si>
  <si>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</si>
  <si>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</si>
  <si>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</si>
  <si>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</si>
  <si>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</si>
  <si>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</si>
  <si>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</si>
  <si>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</si>
  <si>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</si>
  <si>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</si>
  <si>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</si>
  <si>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</si>
  <si>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</si>
  <si>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</si>
  <si>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</si>
  <si>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</si>
  <si>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</si>
  <si>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</si>
  <si>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</si>
  <si>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</si>
  <si>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</si>
  <si>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</si>
  <si>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</si>
  <si>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</si>
  <si>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</si>
  <si>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</si>
  <si>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</si>
  <si>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</si>
  <si>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</si>
  <si>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</si>
  <si>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</si>
  <si>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</si>
  <si>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</si>
  <si>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</si>
  <si>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</si>
  <si>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</si>
  <si>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</si>
  <si>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</si>
  <si>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</si>
  <si>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</si>
  <si>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</si>
  <si>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</si>
  <si>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</si>
  <si>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</si>
  <si>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</si>
  <si>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</si>
  <si>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</si>
  <si>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</si>
  <si>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</si>
  <si>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</si>
  <si>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</si>
  <si>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</si>
  <si>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</si>
  <si>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</si>
  <si>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</si>
  <si>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</si>
  <si>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</si>
  <si>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sum</t>
  </si>
  <si>
    <t>theshold</t>
  </si>
  <si>
    <t>current position</t>
  </si>
  <si>
    <t>shs</t>
  </si>
  <si>
    <t>whole units</t>
  </si>
  <si>
    <t>net units</t>
  </si>
  <si>
    <t>buy_size</t>
  </si>
  <si>
    <t>sell_size</t>
  </si>
  <si>
    <t>profit_margin</t>
  </si>
  <si>
    <t>FIs_sheet</t>
  </si>
  <si>
    <t>FIs_table</t>
  </si>
  <si>
    <t>fi_inputs</t>
  </si>
  <si>
    <t>trading_inputs_download_cell</t>
  </si>
  <si>
    <t>$B$1</t>
  </si>
  <si>
    <t>trading_inputs_upload_cell</t>
  </si>
  <si>
    <t>total</t>
  </si>
  <si>
    <t>leveraged</t>
  </si>
  <si>
    <t>margin</t>
  </si>
  <si>
    <t>ln ( t / b )</t>
  </si>
  <si>
    <t>bounds</t>
  </si>
  <si>
    <t xml:space="preserve">last trade date: </t>
  </si>
  <si>
    <t xml:space="preserve">closing prices: </t>
  </si>
  <si>
    <t>2026-08-17_10-00-42</t>
  </si>
  <si>
    <t>mine</t>
  </si>
  <si>
    <t>research</t>
  </si>
  <si>
    <t>2026-08-20_16-56-24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</si>
</sst>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_(* #,##0.0000_);_(* \(#,##0.0000\);_(* &quot;-&quot;????_);_(@_)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3" applyNumberFormat="1" applyFont="1" applyAlignment="1">
      <alignment horizontal="right"/>
    </xf>
    <xf numFmtId="0" fontId="5" fillId="0" borderId="0" xfId="0" applyFont="1"/>
    <xf numFmtId="166" fontId="3" fillId="0" borderId="0" xfId="3" applyNumberFormat="1" applyFont="1"/>
    <xf numFmtId="7" fontId="3" fillId="0" borderId="0" xfId="0" applyNumberFormat="1" applyFont="1"/>
    <xf numFmtId="0" fontId="3" fillId="0" borderId="0" xfId="0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164" fontId="7" fillId="0" borderId="0" xfId="3" applyNumberFormat="1" applyFont="1"/>
    <xf numFmtId="0" fontId="10" fillId="0" borderId="0" xfId="0" applyFont="1"/>
    <xf numFmtId="167" fontId="0" fillId="0" borderId="0" xfId="0" applyNumberForma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4" fontId="8" fillId="0" borderId="0" xfId="1" applyFont="1" applyAlignment="1">
      <alignment horizontal="center"/>
    </xf>
    <xf numFmtId="167" fontId="8" fillId="0" borderId="0" xfId="1" applyNumberFormat="1" applyFont="1" applyAlignment="1">
      <alignment horizontal="center"/>
    </xf>
    <xf numFmtId="164" fontId="8" fillId="0" borderId="0" xfId="3" applyNumberFormat="1" applyFont="1" applyAlignment="1">
      <alignment horizontal="center"/>
    </xf>
    <xf numFmtId="167" fontId="8" fillId="0" borderId="0" xfId="0" applyNumberFormat="1" applyFont="1" applyAlignment="1">
      <alignment horizontal="center"/>
    </xf>
    <xf numFmtId="167" fontId="9" fillId="0" borderId="0" xfId="1" applyNumberFormat="1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44" fontId="0" fillId="0" borderId="2" xfId="1" applyFont="1" applyBorder="1"/>
    <xf numFmtId="167" fontId="10" fillId="0" borderId="2" xfId="1" applyNumberFormat="1" applyFont="1" applyBorder="1"/>
    <xf numFmtId="164" fontId="0" fillId="0" borderId="2" xfId="3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44" fontId="0" fillId="0" borderId="0" xfId="1" applyFont="1" applyBorder="1"/>
    <xf numFmtId="167" fontId="10" fillId="0" borderId="0" xfId="1" applyNumberFormat="1" applyFont="1" applyBorder="1"/>
    <xf numFmtId="164" fontId="0" fillId="0" borderId="0" xfId="3" applyNumberFormat="1" applyFont="1" applyBorder="1"/>
    <xf numFmtId="167" fontId="0" fillId="0" borderId="0" xfId="1" applyNumberFormat="1" applyFont="1" applyBorder="1"/>
    <xf numFmtId="0" fontId="10" fillId="0" borderId="6" xfId="0" applyFont="1" applyBorder="1"/>
    <xf numFmtId="0" fontId="10" fillId="0" borderId="7" xfId="0" applyFont="1" applyBorder="1"/>
    <xf numFmtId="0" fontId="6" fillId="0" borderId="7" xfId="0" applyFont="1" applyBorder="1"/>
    <xf numFmtId="44" fontId="0" fillId="0" borderId="7" xfId="1" applyFont="1" applyBorder="1"/>
    <xf numFmtId="167" fontId="10" fillId="0" borderId="7" xfId="1" applyNumberFormat="1" applyFont="1" applyBorder="1"/>
    <xf numFmtId="164" fontId="0" fillId="0" borderId="7" xfId="3" applyNumberFormat="1" applyFont="1" applyBorder="1"/>
    <xf numFmtId="167" fontId="0" fillId="0" borderId="7" xfId="1" applyNumberFormat="1" applyFont="1" applyBorder="1"/>
    <xf numFmtId="0" fontId="11" fillId="0" borderId="0" xfId="0" applyFont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0" fontId="15" fillId="3" borderId="9" xfId="0" applyFont="1" applyFill="1" applyBorder="1" applyAlignment="1">
      <alignment horizontal="center" vertical="center"/>
    </xf>
    <xf numFmtId="0" fontId="15" fillId="3" borderId="10" xfId="0" applyFont="1" applyFill="1" applyBorder="1" applyAlignment="1">
      <alignment horizontal="center" vertical="center"/>
    </xf>
    <xf numFmtId="166" fontId="15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43" fontId="4" fillId="2" borderId="0" xfId="3" applyFont="1" applyFill="1" applyAlignment="1">
      <alignment horizontal="right"/>
    </xf>
    <xf numFmtId="43" fontId="0" fillId="2" borderId="0" xfId="3" applyFont="1" applyFill="1"/>
    <xf numFmtId="22" fontId="0" fillId="0" borderId="0" xfId="0" applyNumberFormat="1" applyAlignment="1">
      <alignment horizontal="center"/>
    </xf>
    <xf numFmtId="166" fontId="17" fillId="0" borderId="0" xfId="3" applyNumberFormat="1" applyFont="1" applyAlignment="1">
      <alignment horizontal="center"/>
    </xf>
    <xf numFmtId="0" fontId="17" fillId="0" borderId="0" xfId="0" applyFont="1" applyAlignment="1">
      <alignment horizontal="center"/>
    </xf>
    <xf numFmtId="43" fontId="18" fillId="0" borderId="0" xfId="0" applyNumberFormat="1" applyFont="1"/>
    <xf numFmtId="0" fontId="18" fillId="0" borderId="0" xfId="0" applyFont="1"/>
    <xf numFmtId="166" fontId="18" fillId="0" borderId="2" xfId="3" applyNumberFormat="1" applyFont="1" applyBorder="1"/>
    <xf numFmtId="166" fontId="18" fillId="0" borderId="0" xfId="3" applyNumberFormat="1" applyFont="1" applyBorder="1"/>
    <xf numFmtId="166" fontId="18" fillId="0" borderId="7" xfId="3" applyNumberFormat="1" applyFont="1" applyBorder="1"/>
    <xf numFmtId="166" fontId="18" fillId="0" borderId="0" xfId="3" applyNumberFormat="1" applyFont="1"/>
    <xf numFmtId="0" fontId="8" fillId="4" borderId="0" xfId="0" applyFont="1" applyFill="1" applyAlignment="1">
      <alignment horizontal="center"/>
    </xf>
    <xf numFmtId="0" fontId="0" fillId="4" borderId="0" xfId="0" applyFill="1"/>
    <xf numFmtId="10" fontId="19" fillId="0" borderId="11" xfId="2" applyNumberFormat="1" applyFont="1" applyFill="1" applyBorder="1" applyAlignment="1">
      <alignment horizontal="center"/>
    </xf>
    <xf numFmtId="170" fontId="0" fillId="0" borderId="0" xfId="0" applyNumberFormat="1"/>
    <xf numFmtId="166" fontId="16" fillId="0" borderId="0" xfId="3" applyNumberFormat="1" applyFont="1" applyAlignment="1">
      <alignment horizontal="center"/>
    </xf>
    <xf numFmtId="43" fontId="18" fillId="0" borderId="3" xfId="3" applyFont="1" applyBorder="1" applyAlignment="1">
      <alignment vertical="center"/>
    </xf>
    <xf numFmtId="43" fontId="18" fillId="0" borderId="5" xfId="3" applyFont="1" applyBorder="1" applyAlignment="1">
      <alignment vertical="center"/>
    </xf>
    <xf numFmtId="43" fontId="18" fillId="0" borderId="8" xfId="3" applyFont="1" applyBorder="1" applyAlignment="1">
      <alignment vertical="center"/>
    </xf>
    <xf numFmtId="167" fontId="0" fillId="0" borderId="2" xfId="0" applyNumberFormat="1" applyBorder="1" applyAlignment="1">
      <alignment vertical="center"/>
    </xf>
    <xf numFmtId="167" fontId="0" fillId="0" borderId="0" xfId="0" applyNumberFormat="1" applyAlignment="1">
      <alignment vertical="center"/>
    </xf>
    <xf numFmtId="167" fontId="0" fillId="0" borderId="7" xfId="0" applyNumberFormat="1" applyBorder="1" applyAlignment="1">
      <alignment vertical="center"/>
    </xf>
    <xf numFmtId="168" fontId="0" fillId="4" borderId="2" xfId="2" applyNumberFormat="1" applyFont="1" applyFill="1" applyBorder="1" applyAlignment="1">
      <alignment vertical="center"/>
    </xf>
    <xf numFmtId="168" fontId="0" fillId="4" borderId="0" xfId="2" applyNumberFormat="1" applyFont="1" applyFill="1" applyBorder="1" applyAlignment="1">
      <alignment vertical="center"/>
    </xf>
    <xf numFmtId="168" fontId="0" fillId="4" borderId="7" xfId="2" applyNumberFormat="1" applyFont="1" applyFill="1" applyBorder="1" applyAlignment="1">
      <alignment vertical="center"/>
    </xf>
    <xf numFmtId="43" fontId="18" fillId="0" borderId="3" xfId="0" applyNumberFormat="1" applyFont="1" applyBorder="1" applyAlignment="1">
      <alignment vertical="center"/>
    </xf>
    <xf numFmtId="43" fontId="18" fillId="0" borderId="5" xfId="0" applyNumberFormat="1" applyFont="1" applyBorder="1" applyAlignment="1">
      <alignment vertical="center"/>
    </xf>
    <xf numFmtId="43" fontId="18" fillId="0" borderId="8" xfId="0" applyNumberFormat="1" applyFont="1" applyBorder="1" applyAlignment="1">
      <alignment vertical="center"/>
    </xf>
    <xf numFmtId="10" fontId="19" fillId="2" borderId="1" xfId="2" applyNumberFormat="1" applyFont="1" applyFill="1" applyBorder="1" applyAlignment="1">
      <alignment horizontal="center" vertical="center"/>
    </xf>
    <xf numFmtId="10" fontId="19" fillId="2" borderId="4" xfId="2" applyNumberFormat="1" applyFont="1" applyFill="1" applyBorder="1" applyAlignment="1">
      <alignment horizontal="center" vertical="center"/>
    </xf>
    <xf numFmtId="10" fontId="19" fillId="2" borderId="6" xfId="2" applyNumberFormat="1" applyFont="1" applyFill="1" applyBorder="1" applyAlignment="1">
      <alignment horizontal="center" vertical="center"/>
    </xf>
    <xf numFmtId="43" fontId="18" fillId="0" borderId="3" xfId="0" applyNumberFormat="1" applyFont="1" applyBorder="1" applyAlignment="1">
      <alignment horizontal="center" vertical="center"/>
    </xf>
    <xf numFmtId="43" fontId="18" fillId="0" borderId="5" xfId="0" applyNumberFormat="1" applyFont="1" applyBorder="1" applyAlignment="1">
      <alignment horizontal="center" vertical="center"/>
    </xf>
    <xf numFmtId="43" fontId="18" fillId="0" borderId="8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44" fontId="7" fillId="0" borderId="0" xfId="1" applyFont="1" applyAlignment="1">
      <alignment horizontal="center"/>
    </xf>
    <xf numFmtId="167" fontId="7" fillId="0" borderId="0" xfId="1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9" fontId="11" fillId="0" borderId="0" xfId="1" applyNumberFormat="1" applyFont="1" applyAlignment="1">
      <alignment horizontal="center"/>
    </xf>
    <xf numFmtId="0" fontId="12" fillId="0" borderId="2" xfId="0" applyFont="1" applyBorder="1" applyAlignment="1">
      <alignment horizontal="center"/>
    </xf>
    <xf numFmtId="0" fontId="8" fillId="0" borderId="0" xfId="0" applyFont="1" applyAlignment="1">
      <alignment horizontal="center"/>
    </xf>
    <xf numFmtId="10" fontId="19" fillId="0" borderId="3" xfId="2" applyNumberFormat="1" applyFont="1" applyFill="1" applyBorder="1" applyAlignment="1">
      <alignment horizontal="center" vertical="center"/>
    </xf>
    <xf numFmtId="10" fontId="19" fillId="0" borderId="5" xfId="2" applyNumberFormat="1" applyFont="1" applyFill="1" applyBorder="1" applyAlignment="1">
      <alignment horizontal="center" vertical="center"/>
    </xf>
    <xf numFmtId="10" fontId="19" fillId="0" borderId="8" xfId="2" applyNumberFormat="1" applyFont="1" applyFill="1" applyBorder="1" applyAlignment="1">
      <alignment horizontal="center" vertical="center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15">
    <dxf>
      <fill>
        <patternFill patternType="none">
          <fgColor indexed="64"/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28" totalsRowShown="0">
  <autoFilter ref="A1:D28" xr:uid="{41E0AE69-AE86-439F-8B86-A6C16D189F1B}"/>
  <sortState xmlns:xlrd2="http://schemas.microsoft.com/office/spreadsheetml/2017/richdata2" ref="A2:D28">
    <sortCondition ref="C1:C28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C24" sqref="C24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92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93</v>
      </c>
      <c r="B3" t="s">
        <v>94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95</v>
      </c>
      <c r="B5" t="s">
        <v>96</v>
      </c>
    </row>
    <row r="6" spans="1:4" x14ac:dyDescent="0.25">
      <c r="A6" t="s">
        <v>97</v>
      </c>
      <c r="B6" t="s">
        <v>39</v>
      </c>
      <c r="D6" s="59">
        <v>46254.386678240742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28"/>
  <sheetViews>
    <sheetView workbookViewId="0">
      <selection activeCell="H29" sqref="H29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t="s">
        <v>11</v>
      </c>
    </row>
    <row r="2" spans="1:4" x14ac:dyDescent="0.25">
      <c r="A2" t="s">
        <v>10</v>
      </c>
      <c r="B2" t="s">
        <v>0</v>
      </c>
      <c r="C2" t="s">
        <v>10</v>
      </c>
      <c r="D2">
        <v>20</v>
      </c>
    </row>
    <row r="3" spans="1:4" x14ac:dyDescent="0.25">
      <c r="A3" t="s">
        <v>9</v>
      </c>
      <c r="B3" t="s">
        <v>0</v>
      </c>
      <c r="C3" t="s">
        <v>10</v>
      </c>
      <c r="D3">
        <v>20</v>
      </c>
    </row>
    <row r="4" spans="1:4" x14ac:dyDescent="0.25">
      <c r="A4" t="s">
        <v>6</v>
      </c>
      <c r="B4" t="s">
        <v>0</v>
      </c>
      <c r="C4" t="s">
        <v>10</v>
      </c>
      <c r="D4">
        <v>20</v>
      </c>
    </row>
    <row r="5" spans="1:4" x14ac:dyDescent="0.25">
      <c r="A5" t="s">
        <v>7</v>
      </c>
      <c r="B5" t="s">
        <v>0</v>
      </c>
      <c r="C5" t="s">
        <v>10</v>
      </c>
      <c r="D5">
        <v>20</v>
      </c>
    </row>
    <row r="6" spans="1:4" x14ac:dyDescent="0.25">
      <c r="A6" t="s">
        <v>35</v>
      </c>
      <c r="B6" t="s">
        <v>0</v>
      </c>
      <c r="C6" t="s">
        <v>35</v>
      </c>
      <c r="D6">
        <v>20</v>
      </c>
    </row>
    <row r="7" spans="1:4" x14ac:dyDescent="0.25">
      <c r="A7" t="s">
        <v>32</v>
      </c>
      <c r="B7" t="s">
        <v>0</v>
      </c>
      <c r="C7" t="s">
        <v>35</v>
      </c>
      <c r="D7">
        <v>20</v>
      </c>
    </row>
    <row r="8" spans="1:4" x14ac:dyDescent="0.25">
      <c r="A8" t="s">
        <v>33</v>
      </c>
      <c r="B8" t="s">
        <v>0</v>
      </c>
      <c r="C8" t="s">
        <v>35</v>
      </c>
      <c r="D8">
        <v>20</v>
      </c>
    </row>
    <row r="9" spans="1:4" x14ac:dyDescent="0.25">
      <c r="A9" t="s">
        <v>34</v>
      </c>
      <c r="B9" t="s">
        <v>0</v>
      </c>
      <c r="C9" t="s">
        <v>35</v>
      </c>
      <c r="D9">
        <v>20</v>
      </c>
    </row>
    <row r="10" spans="1:4" x14ac:dyDescent="0.25">
      <c r="A10" t="s">
        <v>19</v>
      </c>
      <c r="B10" t="s">
        <v>0</v>
      </c>
      <c r="C10" t="s">
        <v>20</v>
      </c>
      <c r="D10">
        <v>20</v>
      </c>
    </row>
    <row r="11" spans="1:4" x14ac:dyDescent="0.25">
      <c r="A11" t="s">
        <v>17</v>
      </c>
      <c r="B11" t="s">
        <v>0</v>
      </c>
      <c r="C11" t="s">
        <v>20</v>
      </c>
      <c r="D11">
        <v>20</v>
      </c>
    </row>
    <row r="12" spans="1:4" x14ac:dyDescent="0.25">
      <c r="A12" t="s">
        <v>20</v>
      </c>
      <c r="B12" t="s">
        <v>0</v>
      </c>
      <c r="C12" t="s">
        <v>20</v>
      </c>
      <c r="D12">
        <v>20</v>
      </c>
    </row>
    <row r="13" spans="1:4" x14ac:dyDescent="0.25">
      <c r="A13" t="s">
        <v>16</v>
      </c>
      <c r="B13" t="s">
        <v>0</v>
      </c>
      <c r="C13" t="s">
        <v>20</v>
      </c>
      <c r="D13">
        <v>20</v>
      </c>
    </row>
    <row r="14" spans="1:4" x14ac:dyDescent="0.25">
      <c r="A14" t="s">
        <v>15</v>
      </c>
      <c r="B14" t="s">
        <v>0</v>
      </c>
      <c r="C14" t="s">
        <v>20</v>
      </c>
      <c r="D14">
        <v>20</v>
      </c>
    </row>
    <row r="15" spans="1:4" x14ac:dyDescent="0.25">
      <c r="A15" t="s">
        <v>18</v>
      </c>
      <c r="B15" t="s">
        <v>0</v>
      </c>
      <c r="C15" t="s">
        <v>20</v>
      </c>
      <c r="D15">
        <v>20</v>
      </c>
    </row>
    <row r="16" spans="1:4" x14ac:dyDescent="0.25">
      <c r="A16" t="s">
        <v>23</v>
      </c>
      <c r="B16" t="s">
        <v>0</v>
      </c>
      <c r="C16" t="s">
        <v>23</v>
      </c>
      <c r="D16">
        <v>20</v>
      </c>
    </row>
    <row r="17" spans="1:4" x14ac:dyDescent="0.25">
      <c r="A17" t="s">
        <v>21</v>
      </c>
      <c r="B17" t="s">
        <v>0</v>
      </c>
      <c r="C17" t="s">
        <v>23</v>
      </c>
      <c r="D17">
        <v>20</v>
      </c>
    </row>
    <row r="18" spans="1:4" x14ac:dyDescent="0.25">
      <c r="A18" t="s">
        <v>22</v>
      </c>
      <c r="B18" t="s">
        <v>0</v>
      </c>
      <c r="C18" t="s">
        <v>23</v>
      </c>
      <c r="D18">
        <v>20</v>
      </c>
    </row>
    <row r="19" spans="1:4" x14ac:dyDescent="0.25">
      <c r="A19" t="s">
        <v>4</v>
      </c>
      <c r="B19" t="s">
        <v>0</v>
      </c>
      <c r="C19" t="s">
        <v>4</v>
      </c>
      <c r="D19">
        <v>20</v>
      </c>
    </row>
    <row r="20" spans="1:4" x14ac:dyDescent="0.25">
      <c r="A20" t="s">
        <v>24</v>
      </c>
      <c r="B20" t="s">
        <v>0</v>
      </c>
      <c r="C20" t="s">
        <v>4</v>
      </c>
      <c r="D20">
        <v>20</v>
      </c>
    </row>
    <row r="21" spans="1:4" x14ac:dyDescent="0.25">
      <c r="A21" t="s">
        <v>3</v>
      </c>
      <c r="B21" t="s">
        <v>0</v>
      </c>
      <c r="C21" t="s">
        <v>4</v>
      </c>
      <c r="D21">
        <v>20</v>
      </c>
    </row>
    <row r="22" spans="1:4" x14ac:dyDescent="0.25">
      <c r="A22" t="s">
        <v>26</v>
      </c>
      <c r="B22" t="s">
        <v>0</v>
      </c>
      <c r="C22" t="s">
        <v>27</v>
      </c>
      <c r="D22">
        <v>20</v>
      </c>
    </row>
    <row r="23" spans="1:4" x14ac:dyDescent="0.25">
      <c r="A23" t="s">
        <v>25</v>
      </c>
      <c r="B23" t="s">
        <v>0</v>
      </c>
      <c r="C23" t="s">
        <v>27</v>
      </c>
      <c r="D23">
        <v>20</v>
      </c>
    </row>
    <row r="24" spans="1:4" x14ac:dyDescent="0.25">
      <c r="A24" t="s">
        <v>27</v>
      </c>
      <c r="B24" t="s">
        <v>0</v>
      </c>
      <c r="C24" t="s">
        <v>27</v>
      </c>
      <c r="D24">
        <v>20</v>
      </c>
    </row>
    <row r="25" spans="1:4" x14ac:dyDescent="0.25">
      <c r="A25" t="s">
        <v>29</v>
      </c>
      <c r="B25" t="s">
        <v>0</v>
      </c>
      <c r="C25" t="s">
        <v>31</v>
      </c>
      <c r="D25">
        <v>20</v>
      </c>
    </row>
    <row r="26" spans="1:4" x14ac:dyDescent="0.25">
      <c r="A26" t="s">
        <v>28</v>
      </c>
      <c r="B26" t="s">
        <v>0</v>
      </c>
      <c r="C26" t="s">
        <v>31</v>
      </c>
      <c r="D26">
        <v>20</v>
      </c>
    </row>
    <row r="27" spans="1:4" x14ac:dyDescent="0.25">
      <c r="A27" t="s">
        <v>30</v>
      </c>
      <c r="B27" t="s">
        <v>0</v>
      </c>
      <c r="C27" t="s">
        <v>31</v>
      </c>
      <c r="D27">
        <v>20</v>
      </c>
    </row>
    <row r="28" spans="1:4" x14ac:dyDescent="0.25">
      <c r="A28" t="s">
        <v>31</v>
      </c>
      <c r="B28" t="s">
        <v>0</v>
      </c>
      <c r="C28" t="s">
        <v>31</v>
      </c>
      <c r="D28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9"/>
  <sheetViews>
    <sheetView workbookViewId="0">
      <selection activeCell="P10" sqref="P10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6" t="s">
        <v>41</v>
      </c>
      <c r="E1" s="2" t="s">
        <v>42</v>
      </c>
      <c r="F1" s="2" t="s">
        <v>43</v>
      </c>
      <c r="G1" s="6" t="s">
        <v>44</v>
      </c>
      <c r="H1" s="2" t="s">
        <v>45</v>
      </c>
      <c r="I1" s="6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6">
        <v>100</v>
      </c>
      <c r="E2" s="2">
        <v>97.3</v>
      </c>
      <c r="F2" s="2">
        <v>97.49</v>
      </c>
      <c r="G2" s="6">
        <v>5000</v>
      </c>
      <c r="H2" s="2">
        <v>97.82</v>
      </c>
      <c r="I2" s="6">
        <v>0</v>
      </c>
      <c r="J2" t="s">
        <v>108</v>
      </c>
    </row>
    <row r="3" spans="1:10" x14ac:dyDescent="0.25">
      <c r="A3" t="s">
        <v>47</v>
      </c>
      <c r="B3" t="s">
        <v>48</v>
      </c>
      <c r="C3" t="s">
        <v>0</v>
      </c>
      <c r="D3" s="6">
        <v>500</v>
      </c>
      <c r="E3" s="2">
        <v>28.98</v>
      </c>
      <c r="F3" s="2">
        <v>29.11</v>
      </c>
      <c r="G3" s="6">
        <v>1000</v>
      </c>
      <c r="H3" s="2">
        <v>29.07</v>
      </c>
      <c r="I3" s="6">
        <v>0</v>
      </c>
      <c r="J3" t="s">
        <v>108</v>
      </c>
    </row>
    <row r="4" spans="1:10" x14ac:dyDescent="0.25">
      <c r="A4" t="s">
        <v>47</v>
      </c>
      <c r="B4" t="s">
        <v>9</v>
      </c>
      <c r="C4" t="s">
        <v>0</v>
      </c>
      <c r="D4" s="6">
        <v>100</v>
      </c>
      <c r="E4" s="2">
        <v>72.25</v>
      </c>
      <c r="F4" s="2">
        <v>72.52</v>
      </c>
      <c r="G4" s="6">
        <v>1000</v>
      </c>
      <c r="H4" s="2">
        <v>72.559997999999993</v>
      </c>
      <c r="I4" s="6">
        <v>0</v>
      </c>
      <c r="J4" t="s">
        <v>108</v>
      </c>
    </row>
    <row r="5" spans="1:10" x14ac:dyDescent="0.25">
      <c r="A5" t="s">
        <v>47</v>
      </c>
      <c r="B5" t="s">
        <v>49</v>
      </c>
      <c r="C5" t="s">
        <v>0</v>
      </c>
      <c r="D5" s="6">
        <v>200</v>
      </c>
      <c r="E5" s="2">
        <v>47.5</v>
      </c>
      <c r="F5" s="2">
        <v>47.8</v>
      </c>
      <c r="G5" s="6">
        <v>100</v>
      </c>
      <c r="H5" s="2">
        <v>47.740001999999997</v>
      </c>
      <c r="I5" s="6">
        <v>0</v>
      </c>
      <c r="J5" t="s">
        <v>108</v>
      </c>
    </row>
    <row r="6" spans="1:10" x14ac:dyDescent="0.25">
      <c r="A6" t="s">
        <v>47</v>
      </c>
      <c r="B6" t="s">
        <v>50</v>
      </c>
      <c r="C6" t="s">
        <v>0</v>
      </c>
      <c r="D6" s="6">
        <v>200</v>
      </c>
      <c r="E6" s="2">
        <v>21</v>
      </c>
      <c r="F6" s="2">
        <v>22.42</v>
      </c>
      <c r="G6" s="6">
        <v>100</v>
      </c>
      <c r="H6" s="2">
        <v>21.98</v>
      </c>
      <c r="I6" s="6">
        <v>-2415</v>
      </c>
      <c r="J6" t="s">
        <v>108</v>
      </c>
    </row>
    <row r="7" spans="1:10" x14ac:dyDescent="0.25">
      <c r="A7" t="s">
        <v>47</v>
      </c>
      <c r="B7" t="s">
        <v>51</v>
      </c>
      <c r="C7" t="s">
        <v>0</v>
      </c>
      <c r="D7" s="6">
        <v>300</v>
      </c>
      <c r="E7" s="2">
        <v>56.51</v>
      </c>
      <c r="F7" s="2">
        <v>56.65</v>
      </c>
      <c r="G7" s="6">
        <v>6500</v>
      </c>
      <c r="H7" s="2">
        <v>56.645000000000003</v>
      </c>
      <c r="I7" s="6">
        <v>0</v>
      </c>
      <c r="J7" t="s">
        <v>108</v>
      </c>
    </row>
    <row r="8" spans="1:10" x14ac:dyDescent="0.25">
      <c r="A8" t="s">
        <v>47</v>
      </c>
      <c r="B8" t="s">
        <v>35</v>
      </c>
      <c r="C8" t="s">
        <v>0</v>
      </c>
      <c r="D8" s="6">
        <v>1000</v>
      </c>
      <c r="E8" s="2">
        <v>90.57</v>
      </c>
      <c r="F8" s="2">
        <v>100.49</v>
      </c>
      <c r="G8" s="6">
        <v>100</v>
      </c>
      <c r="H8" s="2">
        <v>95.279999000000004</v>
      </c>
      <c r="I8" s="6">
        <v>-200</v>
      </c>
      <c r="J8" t="s">
        <v>108</v>
      </c>
    </row>
    <row r="9" spans="1:10" x14ac:dyDescent="0.25">
      <c r="A9" t="s">
        <v>47</v>
      </c>
      <c r="B9" t="s">
        <v>52</v>
      </c>
      <c r="C9" t="s">
        <v>0</v>
      </c>
      <c r="D9" s="6">
        <v>100</v>
      </c>
      <c r="E9" s="2">
        <v>102.52</v>
      </c>
      <c r="F9" s="2">
        <v>109.44</v>
      </c>
      <c r="G9" s="6">
        <v>100</v>
      </c>
      <c r="H9" s="2">
        <v>103.730003</v>
      </c>
      <c r="I9" s="6">
        <v>-884</v>
      </c>
      <c r="J9" t="s">
        <v>108</v>
      </c>
    </row>
    <row r="10" spans="1:10" x14ac:dyDescent="0.25">
      <c r="A10" t="s">
        <v>47</v>
      </c>
      <c r="B10" t="s">
        <v>53</v>
      </c>
      <c r="C10" t="s">
        <v>0</v>
      </c>
      <c r="D10" s="6">
        <v>200</v>
      </c>
      <c r="E10" s="2">
        <v>94.51</v>
      </c>
      <c r="F10" s="2">
        <v>95.09</v>
      </c>
      <c r="G10" s="6">
        <v>1000</v>
      </c>
      <c r="H10" s="2">
        <v>95.110000999999997</v>
      </c>
      <c r="I10" s="6">
        <v>0</v>
      </c>
      <c r="J10" t="s">
        <v>108</v>
      </c>
    </row>
    <row r="11" spans="1:10" x14ac:dyDescent="0.25">
      <c r="A11" t="s">
        <v>47</v>
      </c>
      <c r="B11" t="s">
        <v>54</v>
      </c>
      <c r="C11" t="s">
        <v>0</v>
      </c>
      <c r="D11" s="6">
        <v>100</v>
      </c>
      <c r="E11" s="2">
        <v>25.55</v>
      </c>
      <c r="F11" s="2">
        <v>26</v>
      </c>
      <c r="G11" s="6">
        <v>6600</v>
      </c>
      <c r="H11" s="2">
        <v>25.809999000000001</v>
      </c>
      <c r="I11" s="6">
        <v>0</v>
      </c>
      <c r="J11" t="s">
        <v>108</v>
      </c>
    </row>
    <row r="12" spans="1:10" x14ac:dyDescent="0.25">
      <c r="A12" t="s">
        <v>47</v>
      </c>
      <c r="B12" t="s">
        <v>55</v>
      </c>
      <c r="C12" t="s">
        <v>0</v>
      </c>
      <c r="D12" s="6">
        <v>500</v>
      </c>
      <c r="E12" s="2">
        <v>26.95</v>
      </c>
      <c r="F12" s="2">
        <v>27.06</v>
      </c>
      <c r="G12" s="6">
        <v>200</v>
      </c>
      <c r="H12" s="2">
        <v>27.07</v>
      </c>
      <c r="I12" s="6">
        <v>0</v>
      </c>
      <c r="J12" t="s">
        <v>108</v>
      </c>
    </row>
    <row r="13" spans="1:10" x14ac:dyDescent="0.25">
      <c r="A13" t="s">
        <v>47</v>
      </c>
      <c r="B13" t="s">
        <v>19</v>
      </c>
      <c r="C13" t="s">
        <v>0</v>
      </c>
      <c r="D13" s="6">
        <v>500</v>
      </c>
      <c r="E13" s="2">
        <v>79.53</v>
      </c>
      <c r="F13" s="2">
        <v>79.56</v>
      </c>
      <c r="G13" s="6">
        <v>5000</v>
      </c>
      <c r="H13" s="2">
        <v>79.709998999999996</v>
      </c>
      <c r="I13" s="6">
        <v>0</v>
      </c>
      <c r="J13" t="s">
        <v>108</v>
      </c>
    </row>
    <row r="14" spans="1:10" x14ac:dyDescent="0.25">
      <c r="A14" t="s">
        <v>47</v>
      </c>
      <c r="B14" t="s">
        <v>17</v>
      </c>
      <c r="C14" t="s">
        <v>0</v>
      </c>
      <c r="D14" s="6">
        <v>300</v>
      </c>
      <c r="E14" s="2">
        <v>36.25</v>
      </c>
      <c r="F14" s="2">
        <v>36.799999999999997</v>
      </c>
      <c r="G14" s="6">
        <v>3000</v>
      </c>
      <c r="H14" s="2">
        <v>36.360000999999997</v>
      </c>
      <c r="I14" s="6">
        <v>0</v>
      </c>
      <c r="J14" t="s">
        <v>108</v>
      </c>
    </row>
    <row r="15" spans="1:10" x14ac:dyDescent="0.25">
      <c r="A15" t="s">
        <v>47</v>
      </c>
      <c r="B15" t="s">
        <v>56</v>
      </c>
      <c r="C15" t="s">
        <v>0</v>
      </c>
      <c r="D15" s="6">
        <v>200</v>
      </c>
      <c r="E15" s="2">
        <v>49.5</v>
      </c>
      <c r="F15" s="2">
        <v>49.79</v>
      </c>
      <c r="G15" s="6">
        <v>100</v>
      </c>
      <c r="H15" s="2">
        <v>49.84</v>
      </c>
      <c r="I15" s="6">
        <v>0</v>
      </c>
      <c r="J15" t="s">
        <v>108</v>
      </c>
    </row>
    <row r="16" spans="1:10" x14ac:dyDescent="0.25">
      <c r="A16" t="s">
        <v>47</v>
      </c>
      <c r="B16" t="s">
        <v>57</v>
      </c>
      <c r="C16" t="s">
        <v>0</v>
      </c>
      <c r="D16" s="6">
        <v>100</v>
      </c>
      <c r="E16" s="2">
        <v>109.7</v>
      </c>
      <c r="F16" s="2">
        <v>121.3</v>
      </c>
      <c r="G16" s="6">
        <v>300</v>
      </c>
      <c r="H16" s="2">
        <v>115.839996</v>
      </c>
      <c r="I16" s="6">
        <v>788</v>
      </c>
      <c r="J16" t="s">
        <v>108</v>
      </c>
    </row>
    <row r="17" spans="1:10" x14ac:dyDescent="0.25">
      <c r="A17" t="s">
        <v>47</v>
      </c>
      <c r="B17" t="s">
        <v>26</v>
      </c>
      <c r="C17" t="s">
        <v>0</v>
      </c>
      <c r="D17" s="6">
        <v>100</v>
      </c>
      <c r="E17" s="2">
        <v>46.58</v>
      </c>
      <c r="F17" s="2">
        <v>48.2</v>
      </c>
      <c r="G17" s="6">
        <v>100</v>
      </c>
      <c r="H17" s="2">
        <v>48.23</v>
      </c>
      <c r="I17" s="6">
        <v>0</v>
      </c>
      <c r="J17" t="s">
        <v>108</v>
      </c>
    </row>
    <row r="18" spans="1:10" x14ac:dyDescent="0.25">
      <c r="A18" t="s">
        <v>47</v>
      </c>
      <c r="B18" t="s">
        <v>58</v>
      </c>
      <c r="C18" t="s">
        <v>0</v>
      </c>
      <c r="D18" s="6">
        <v>100</v>
      </c>
      <c r="E18" s="2">
        <v>39.700000000000003</v>
      </c>
      <c r="F18" s="2">
        <v>41.57</v>
      </c>
      <c r="G18" s="6">
        <v>100</v>
      </c>
      <c r="H18" s="2">
        <v>41.529998999999997</v>
      </c>
      <c r="I18" s="6">
        <v>1277</v>
      </c>
      <c r="J18" t="s">
        <v>108</v>
      </c>
    </row>
    <row r="19" spans="1:10" x14ac:dyDescent="0.25">
      <c r="A19" t="s">
        <v>47</v>
      </c>
      <c r="B19" t="s">
        <v>8</v>
      </c>
      <c r="C19" t="s">
        <v>0</v>
      </c>
      <c r="D19" s="6">
        <v>100</v>
      </c>
      <c r="E19" s="2">
        <v>43.99</v>
      </c>
      <c r="F19" s="2">
        <v>45.89</v>
      </c>
      <c r="G19" s="6">
        <v>3000</v>
      </c>
      <c r="H19" s="2">
        <v>45.639999000000003</v>
      </c>
      <c r="I19" s="6">
        <v>0</v>
      </c>
      <c r="J19" t="s">
        <v>108</v>
      </c>
    </row>
    <row r="20" spans="1:10" x14ac:dyDescent="0.25">
      <c r="A20" t="s">
        <v>47</v>
      </c>
      <c r="B20" t="s">
        <v>20</v>
      </c>
      <c r="C20" t="s">
        <v>0</v>
      </c>
      <c r="D20" s="6">
        <v>200</v>
      </c>
      <c r="E20" s="2">
        <v>95.6</v>
      </c>
      <c r="F20" s="2">
        <v>96.71</v>
      </c>
      <c r="G20" s="6">
        <v>200</v>
      </c>
      <c r="H20" s="2">
        <v>95.959998999999996</v>
      </c>
      <c r="I20" s="6">
        <v>0</v>
      </c>
      <c r="J20" t="s">
        <v>108</v>
      </c>
    </row>
    <row r="21" spans="1:10" x14ac:dyDescent="0.25">
      <c r="A21" t="s">
        <v>47</v>
      </c>
      <c r="B21" t="s">
        <v>59</v>
      </c>
      <c r="C21" t="s">
        <v>0</v>
      </c>
      <c r="D21" s="6">
        <v>100</v>
      </c>
      <c r="E21" s="2">
        <v>105.9</v>
      </c>
      <c r="F21" s="2">
        <v>106.01</v>
      </c>
      <c r="G21" s="6">
        <v>100</v>
      </c>
      <c r="H21" s="2">
        <v>106.57</v>
      </c>
      <c r="I21" s="6">
        <v>0</v>
      </c>
      <c r="J21" t="s">
        <v>108</v>
      </c>
    </row>
    <row r="22" spans="1:10" x14ac:dyDescent="0.25">
      <c r="A22" t="s">
        <v>47</v>
      </c>
      <c r="B22" t="s">
        <v>23</v>
      </c>
      <c r="C22" t="s">
        <v>0</v>
      </c>
      <c r="D22" s="6">
        <v>100</v>
      </c>
      <c r="E22" s="2">
        <v>91.58</v>
      </c>
      <c r="F22" s="2">
        <v>96.5</v>
      </c>
      <c r="G22" s="6">
        <v>300</v>
      </c>
      <c r="H22" s="2">
        <v>93.57</v>
      </c>
      <c r="I22" s="6">
        <v>0</v>
      </c>
      <c r="J22" t="s">
        <v>108</v>
      </c>
    </row>
    <row r="23" spans="1:10" x14ac:dyDescent="0.25">
      <c r="A23" t="s">
        <v>47</v>
      </c>
      <c r="B23" t="s">
        <v>4</v>
      </c>
      <c r="C23" t="s">
        <v>0</v>
      </c>
      <c r="D23" s="6">
        <v>300</v>
      </c>
      <c r="E23" s="2">
        <v>105.25</v>
      </c>
      <c r="F23" s="2">
        <v>105.54</v>
      </c>
      <c r="G23" s="6">
        <v>100</v>
      </c>
      <c r="H23" s="2">
        <v>105.68</v>
      </c>
      <c r="I23" s="6">
        <v>0</v>
      </c>
      <c r="J23" t="s">
        <v>108</v>
      </c>
    </row>
    <row r="24" spans="1:10" x14ac:dyDescent="0.25">
      <c r="A24" t="s">
        <v>47</v>
      </c>
      <c r="B24" t="s">
        <v>60</v>
      </c>
      <c r="C24" t="s">
        <v>0</v>
      </c>
      <c r="D24" s="6">
        <v>100</v>
      </c>
      <c r="E24" s="2">
        <v>21</v>
      </c>
      <c r="F24" s="2">
        <v>21.25</v>
      </c>
      <c r="G24" s="6">
        <v>1500</v>
      </c>
      <c r="H24" s="2">
        <v>21.18</v>
      </c>
      <c r="I24" s="6">
        <v>0</v>
      </c>
      <c r="J24" t="s">
        <v>108</v>
      </c>
    </row>
    <row r="25" spans="1:10" x14ac:dyDescent="0.25">
      <c r="A25" t="s">
        <v>47</v>
      </c>
      <c r="B25" t="s">
        <v>61</v>
      </c>
      <c r="C25" t="s">
        <v>0</v>
      </c>
      <c r="D25" s="6">
        <v>100</v>
      </c>
      <c r="E25" s="2">
        <v>30.46</v>
      </c>
      <c r="F25" s="2">
        <v>30.51</v>
      </c>
      <c r="G25" s="6">
        <v>10000</v>
      </c>
      <c r="H25" s="2">
        <v>30.59</v>
      </c>
      <c r="I25" s="6">
        <v>0</v>
      </c>
      <c r="J25" t="s">
        <v>108</v>
      </c>
    </row>
    <row r="26" spans="1:10" x14ac:dyDescent="0.25">
      <c r="A26" t="s">
        <v>47</v>
      </c>
      <c r="B26" t="s">
        <v>62</v>
      </c>
      <c r="C26" t="s">
        <v>0</v>
      </c>
      <c r="D26" s="6">
        <v>100</v>
      </c>
      <c r="E26" s="2">
        <v>18.399999999999999</v>
      </c>
      <c r="F26" s="2">
        <v>18.600000000000001</v>
      </c>
      <c r="G26" s="6">
        <v>2000</v>
      </c>
      <c r="H26" s="2">
        <v>18.48</v>
      </c>
      <c r="I26" s="6">
        <v>0</v>
      </c>
      <c r="J26" t="s">
        <v>108</v>
      </c>
    </row>
    <row r="27" spans="1:10" x14ac:dyDescent="0.25">
      <c r="A27" t="s">
        <v>47</v>
      </c>
      <c r="B27" t="s">
        <v>63</v>
      </c>
      <c r="C27" t="s">
        <v>0</v>
      </c>
      <c r="D27" s="6">
        <v>20900</v>
      </c>
      <c r="E27" s="2">
        <v>23.85</v>
      </c>
      <c r="F27" s="2">
        <v>24.23</v>
      </c>
      <c r="G27" s="6">
        <v>21200</v>
      </c>
      <c r="H27" s="2">
        <v>24</v>
      </c>
      <c r="I27" s="6">
        <v>0</v>
      </c>
      <c r="J27" t="s">
        <v>108</v>
      </c>
    </row>
    <row r="28" spans="1:10" x14ac:dyDescent="0.25">
      <c r="A28" t="s">
        <v>47</v>
      </c>
      <c r="B28" t="s">
        <v>29</v>
      </c>
      <c r="C28" t="s">
        <v>0</v>
      </c>
      <c r="D28" s="6">
        <v>300</v>
      </c>
      <c r="E28" s="2">
        <v>29.99</v>
      </c>
      <c r="F28" s="2">
        <v>30.26</v>
      </c>
      <c r="G28" s="6">
        <v>100</v>
      </c>
      <c r="H28" s="2">
        <v>30.24</v>
      </c>
      <c r="I28" s="6">
        <v>0</v>
      </c>
      <c r="J28" t="s">
        <v>108</v>
      </c>
    </row>
    <row r="29" spans="1:10" x14ac:dyDescent="0.25">
      <c r="A29" t="s">
        <v>47</v>
      </c>
      <c r="B29" t="s">
        <v>6</v>
      </c>
      <c r="C29" t="s">
        <v>0</v>
      </c>
      <c r="D29" s="6">
        <v>100</v>
      </c>
      <c r="E29" s="2">
        <v>22.75</v>
      </c>
      <c r="F29" s="2">
        <v>22.88</v>
      </c>
      <c r="G29" s="6">
        <v>100</v>
      </c>
      <c r="H29" s="2">
        <v>22.860001</v>
      </c>
      <c r="I29" s="6">
        <v>0</v>
      </c>
      <c r="J29" t="s">
        <v>108</v>
      </c>
    </row>
    <row r="30" spans="1:10" x14ac:dyDescent="0.25">
      <c r="A30" t="s">
        <v>47</v>
      </c>
      <c r="B30" t="s">
        <v>16</v>
      </c>
      <c r="C30" t="s">
        <v>0</v>
      </c>
      <c r="D30" s="6">
        <v>100</v>
      </c>
      <c r="E30" s="2">
        <v>26</v>
      </c>
      <c r="F30" s="2">
        <v>26.05</v>
      </c>
      <c r="G30" s="6">
        <v>100</v>
      </c>
      <c r="H30" s="2">
        <v>26.040001</v>
      </c>
      <c r="I30" s="6">
        <v>0</v>
      </c>
      <c r="J30" t="s">
        <v>108</v>
      </c>
    </row>
    <row r="31" spans="1:10" x14ac:dyDescent="0.25">
      <c r="A31" t="s">
        <v>47</v>
      </c>
      <c r="B31" t="s">
        <v>7</v>
      </c>
      <c r="C31" t="s">
        <v>0</v>
      </c>
      <c r="D31" s="6">
        <v>300</v>
      </c>
      <c r="E31" s="2">
        <v>22.17</v>
      </c>
      <c r="F31" s="2">
        <v>25.8</v>
      </c>
      <c r="G31" s="6">
        <v>1600</v>
      </c>
      <c r="H31" s="2">
        <v>25.200001</v>
      </c>
      <c r="I31" s="6">
        <v>0</v>
      </c>
      <c r="J31" t="s">
        <v>108</v>
      </c>
    </row>
    <row r="32" spans="1:10" x14ac:dyDescent="0.25">
      <c r="A32" t="s">
        <v>47</v>
      </c>
      <c r="B32" t="s">
        <v>32</v>
      </c>
      <c r="C32" t="s">
        <v>0</v>
      </c>
      <c r="D32" s="6">
        <v>100</v>
      </c>
      <c r="E32" s="2">
        <v>27.82</v>
      </c>
      <c r="F32" s="2">
        <v>29.82</v>
      </c>
      <c r="G32" s="6">
        <v>200</v>
      </c>
      <c r="H32" s="2">
        <v>28.52</v>
      </c>
      <c r="I32" s="6">
        <v>0</v>
      </c>
      <c r="J32" t="s">
        <v>108</v>
      </c>
    </row>
    <row r="33" spans="1:10" x14ac:dyDescent="0.25">
      <c r="A33" t="s">
        <v>47</v>
      </c>
      <c r="B33" t="s">
        <v>15</v>
      </c>
      <c r="C33" t="s">
        <v>0</v>
      </c>
      <c r="D33" s="6">
        <v>200</v>
      </c>
      <c r="E33" s="2">
        <v>23.25</v>
      </c>
      <c r="F33" s="2">
        <v>23.33</v>
      </c>
      <c r="G33" s="6">
        <v>1400</v>
      </c>
      <c r="H33" s="2">
        <v>23.309999000000001</v>
      </c>
      <c r="I33" s="6">
        <v>0</v>
      </c>
      <c r="J33" t="s">
        <v>108</v>
      </c>
    </row>
    <row r="34" spans="1:10" x14ac:dyDescent="0.25">
      <c r="A34" t="s">
        <v>47</v>
      </c>
      <c r="B34" t="s">
        <v>25</v>
      </c>
      <c r="C34" t="s">
        <v>0</v>
      </c>
      <c r="D34" s="6">
        <v>200</v>
      </c>
      <c r="E34" s="2">
        <v>16.03</v>
      </c>
      <c r="F34" s="2">
        <v>22.19</v>
      </c>
      <c r="G34" s="6">
        <v>5000</v>
      </c>
      <c r="H34" s="2">
        <v>21.530000999999999</v>
      </c>
      <c r="I34" s="6">
        <v>0</v>
      </c>
      <c r="J34" t="s">
        <v>108</v>
      </c>
    </row>
    <row r="35" spans="1:10" x14ac:dyDescent="0.25">
      <c r="A35" t="s">
        <v>47</v>
      </c>
      <c r="B35" t="s">
        <v>21</v>
      </c>
      <c r="C35" t="s">
        <v>0</v>
      </c>
      <c r="D35" s="6">
        <v>100</v>
      </c>
      <c r="E35" s="2">
        <v>21.26</v>
      </c>
      <c r="F35" s="2">
        <v>23</v>
      </c>
      <c r="G35" s="6">
        <v>100</v>
      </c>
      <c r="H35" s="2">
        <v>22.08</v>
      </c>
      <c r="I35" s="6">
        <v>0</v>
      </c>
      <c r="J35" t="s">
        <v>108</v>
      </c>
    </row>
    <row r="36" spans="1:10" x14ac:dyDescent="0.25">
      <c r="A36" t="s">
        <v>47</v>
      </c>
      <c r="B36" t="s">
        <v>28</v>
      </c>
      <c r="C36" t="s">
        <v>0</v>
      </c>
      <c r="D36" s="6">
        <v>1100</v>
      </c>
      <c r="E36" s="2">
        <v>24.94</v>
      </c>
      <c r="F36" s="2">
        <v>25.3</v>
      </c>
      <c r="G36" s="6">
        <v>1100</v>
      </c>
      <c r="H36" s="2">
        <v>25.360001</v>
      </c>
      <c r="I36" s="6">
        <v>0</v>
      </c>
      <c r="J36" t="s">
        <v>108</v>
      </c>
    </row>
    <row r="37" spans="1:10" x14ac:dyDescent="0.25">
      <c r="A37" t="s">
        <v>47</v>
      </c>
      <c r="B37" t="s">
        <v>24</v>
      </c>
      <c r="C37" t="s">
        <v>0</v>
      </c>
      <c r="D37" s="6">
        <v>100</v>
      </c>
      <c r="E37" s="2">
        <v>40.54</v>
      </c>
      <c r="F37" s="2">
        <v>44.91</v>
      </c>
      <c r="G37" s="6">
        <v>200</v>
      </c>
      <c r="H37" s="2">
        <v>44.93</v>
      </c>
      <c r="I37" s="6">
        <v>0</v>
      </c>
      <c r="J37" t="s">
        <v>108</v>
      </c>
    </row>
    <row r="38" spans="1:10" x14ac:dyDescent="0.25">
      <c r="A38" t="s">
        <v>47</v>
      </c>
      <c r="B38" t="s">
        <v>30</v>
      </c>
      <c r="C38" t="s">
        <v>0</v>
      </c>
      <c r="D38" s="6">
        <v>200</v>
      </c>
      <c r="E38" s="2">
        <v>82.24</v>
      </c>
      <c r="F38" s="2">
        <v>82.25</v>
      </c>
      <c r="G38" s="6">
        <v>100</v>
      </c>
      <c r="H38" s="2">
        <v>83.019997000000004</v>
      </c>
      <c r="I38" s="6">
        <v>2414</v>
      </c>
      <c r="J38" t="s">
        <v>108</v>
      </c>
    </row>
    <row r="39" spans="1:10" x14ac:dyDescent="0.25">
      <c r="A39" t="s">
        <v>47</v>
      </c>
      <c r="B39" t="s">
        <v>18</v>
      </c>
      <c r="C39" t="s">
        <v>0</v>
      </c>
      <c r="D39" s="6">
        <v>1000</v>
      </c>
      <c r="E39" s="2">
        <v>36.75</v>
      </c>
      <c r="F39" s="2">
        <v>36.86</v>
      </c>
      <c r="G39" s="6">
        <v>300</v>
      </c>
      <c r="H39" s="2">
        <v>36.869999</v>
      </c>
      <c r="I39" s="6">
        <v>0</v>
      </c>
      <c r="J39" t="s">
        <v>108</v>
      </c>
    </row>
    <row r="40" spans="1:10" x14ac:dyDescent="0.25">
      <c r="A40" t="s">
        <v>47</v>
      </c>
      <c r="B40" t="s">
        <v>33</v>
      </c>
      <c r="C40" t="s">
        <v>0</v>
      </c>
      <c r="D40" s="6">
        <v>100</v>
      </c>
      <c r="E40" s="2">
        <v>45.43</v>
      </c>
      <c r="F40" s="2">
        <v>50.29</v>
      </c>
      <c r="G40" s="6">
        <v>300</v>
      </c>
      <c r="H40" s="2">
        <v>50.439999</v>
      </c>
      <c r="I40" s="6">
        <v>0</v>
      </c>
      <c r="J40" t="s">
        <v>108</v>
      </c>
    </row>
    <row r="41" spans="1:10" x14ac:dyDescent="0.25">
      <c r="A41" t="s">
        <v>47</v>
      </c>
      <c r="B41" t="s">
        <v>64</v>
      </c>
      <c r="C41" t="s">
        <v>0</v>
      </c>
      <c r="D41" s="6">
        <v>4500</v>
      </c>
      <c r="E41" s="2">
        <v>65.97</v>
      </c>
      <c r="F41" s="2">
        <v>67.84</v>
      </c>
      <c r="G41" s="6">
        <v>4400</v>
      </c>
      <c r="H41" s="2">
        <v>67.099997999999999</v>
      </c>
      <c r="I41" s="6">
        <v>0</v>
      </c>
      <c r="J41" t="s">
        <v>108</v>
      </c>
    </row>
    <row r="42" spans="1:10" x14ac:dyDescent="0.25">
      <c r="A42" t="s">
        <v>47</v>
      </c>
      <c r="B42" t="s">
        <v>27</v>
      </c>
      <c r="C42" t="s">
        <v>0</v>
      </c>
      <c r="D42" s="6">
        <v>1000</v>
      </c>
      <c r="E42" s="2">
        <v>71.5</v>
      </c>
      <c r="F42" s="2">
        <v>72.150000000000006</v>
      </c>
      <c r="G42" s="6">
        <v>1000</v>
      </c>
      <c r="H42" s="2">
        <v>72.379997000000003</v>
      </c>
      <c r="I42" s="6">
        <v>0</v>
      </c>
      <c r="J42" t="s">
        <v>108</v>
      </c>
    </row>
    <row r="43" spans="1:10" x14ac:dyDescent="0.25">
      <c r="A43" t="s">
        <v>47</v>
      </c>
      <c r="B43" t="s">
        <v>31</v>
      </c>
      <c r="C43" t="s">
        <v>0</v>
      </c>
      <c r="D43" s="6">
        <v>100</v>
      </c>
      <c r="E43" s="2">
        <v>52.77</v>
      </c>
      <c r="F43" s="2">
        <v>53.15</v>
      </c>
      <c r="G43" s="6">
        <v>500</v>
      </c>
      <c r="H43" s="2">
        <v>53.310001</v>
      </c>
      <c r="I43" s="6">
        <v>-3764</v>
      </c>
      <c r="J43" t="s">
        <v>108</v>
      </c>
    </row>
    <row r="44" spans="1:10" x14ac:dyDescent="0.25">
      <c r="A44" t="s">
        <v>47</v>
      </c>
      <c r="B44" t="s">
        <v>22</v>
      </c>
      <c r="C44" t="s">
        <v>0</v>
      </c>
      <c r="D44" s="6">
        <v>100</v>
      </c>
      <c r="E44" s="2">
        <v>46.16</v>
      </c>
      <c r="F44" s="2">
        <v>47.35</v>
      </c>
      <c r="G44" s="6">
        <v>200</v>
      </c>
      <c r="H44" s="2">
        <v>46.400002000000001</v>
      </c>
      <c r="I44" s="6">
        <v>0</v>
      </c>
      <c r="J44" t="s">
        <v>108</v>
      </c>
    </row>
    <row r="45" spans="1:10" x14ac:dyDescent="0.25">
      <c r="A45" t="s">
        <v>47</v>
      </c>
      <c r="B45" t="s">
        <v>34</v>
      </c>
      <c r="C45" t="s">
        <v>0</v>
      </c>
      <c r="D45" s="6">
        <v>100</v>
      </c>
      <c r="E45" s="2">
        <v>74.7</v>
      </c>
      <c r="F45" s="2">
        <v>75.2</v>
      </c>
      <c r="G45" s="6">
        <v>200</v>
      </c>
      <c r="H45" s="2">
        <v>75.421204000000003</v>
      </c>
      <c r="I45" s="6">
        <v>253</v>
      </c>
      <c r="J45" t="s">
        <v>108</v>
      </c>
    </row>
    <row r="46" spans="1:10" x14ac:dyDescent="0.25">
      <c r="A46" t="s">
        <v>47</v>
      </c>
      <c r="B46" t="s">
        <v>3</v>
      </c>
      <c r="C46" t="s">
        <v>0</v>
      </c>
      <c r="D46" s="6">
        <v>100</v>
      </c>
      <c r="E46" s="2">
        <v>49.51</v>
      </c>
      <c r="F46" s="2">
        <v>49.63</v>
      </c>
      <c r="G46" s="6">
        <v>100</v>
      </c>
      <c r="H46" s="2">
        <v>49.66</v>
      </c>
      <c r="I46" s="6">
        <v>0</v>
      </c>
      <c r="J46" t="s">
        <v>108</v>
      </c>
    </row>
    <row r="47" spans="1:10" x14ac:dyDescent="0.25">
      <c r="A47" t="s">
        <v>47</v>
      </c>
      <c r="B47" t="s">
        <v>65</v>
      </c>
      <c r="C47" t="s">
        <v>0</v>
      </c>
      <c r="D47" s="6">
        <v>1000</v>
      </c>
      <c r="E47" s="2">
        <v>98.5</v>
      </c>
      <c r="F47" s="2">
        <v>98.65</v>
      </c>
      <c r="G47" s="6">
        <v>7100</v>
      </c>
      <c r="H47" s="2">
        <v>98.839995999999999</v>
      </c>
      <c r="I47" s="6">
        <v>0</v>
      </c>
      <c r="J47" t="s">
        <v>108</v>
      </c>
    </row>
    <row r="48" spans="1:10" x14ac:dyDescent="0.25">
      <c r="A48" t="s">
        <v>47</v>
      </c>
      <c r="B48" t="s">
        <v>66</v>
      </c>
      <c r="C48" t="s">
        <v>0</v>
      </c>
      <c r="D48" s="6">
        <v>1400</v>
      </c>
      <c r="E48" s="2">
        <v>65.31</v>
      </c>
      <c r="F48" s="2">
        <v>66.180000000000007</v>
      </c>
      <c r="G48" s="6">
        <v>100</v>
      </c>
      <c r="H48" s="2">
        <v>66.110000999999997</v>
      </c>
      <c r="I48" s="6">
        <v>0</v>
      </c>
      <c r="J48" t="s">
        <v>108</v>
      </c>
    </row>
    <row r="49" spans="1:10" x14ac:dyDescent="0.25">
      <c r="A49" t="s">
        <v>47</v>
      </c>
      <c r="B49" t="s">
        <v>66</v>
      </c>
      <c r="C49" t="s">
        <v>0</v>
      </c>
      <c r="D49" s="6">
        <v>900</v>
      </c>
      <c r="E49" s="2">
        <v>65.97</v>
      </c>
      <c r="F49" s="2">
        <v>65.989999999999995</v>
      </c>
      <c r="G49" s="6">
        <v>900</v>
      </c>
      <c r="H49" s="2">
        <v>66.129997000000003</v>
      </c>
      <c r="I49" s="6">
        <v>0</v>
      </c>
      <c r="J49" t="s">
        <v>105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E48"/>
  <sheetViews>
    <sheetView workbookViewId="0">
      <selection activeCell="K22" sqref="K22"/>
    </sheetView>
  </sheetViews>
  <sheetFormatPr defaultRowHeight="15" x14ac:dyDescent="0.25"/>
  <cols>
    <col min="1" max="1" width="5.42578125" style="17" bestFit="1" customWidth="1"/>
    <col min="2" max="2" width="7.28515625" style="17" bestFit="1" customWidth="1"/>
    <col min="3" max="3" width="5.85546875" style="17" bestFit="1" customWidth="1"/>
    <col min="4" max="4" width="6.42578125" style="14" bestFit="1" customWidth="1"/>
    <col min="5" max="6" width="9" style="2" bestFit="1" customWidth="1"/>
    <col min="7" max="7" width="11.140625" style="26" bestFit="1" customWidth="1"/>
    <col min="8" max="8" width="11.5703125" style="26" bestFit="1" customWidth="1"/>
    <col min="9" max="9" width="8" style="4" bestFit="1" customWidth="1"/>
    <col min="10" max="10" width="10" style="13" bestFit="1" customWidth="1"/>
    <col min="11" max="11" width="10.7109375" style="13" bestFit="1" customWidth="1"/>
    <col min="12" max="12" width="10" bestFit="1" customWidth="1"/>
    <col min="13" max="13" width="10.7109375" bestFit="1" customWidth="1"/>
    <col min="14" max="14" width="8.7109375" style="18" bestFit="1" customWidth="1"/>
    <col min="15" max="15" width="7.85546875" bestFit="1" customWidth="1"/>
    <col min="16" max="16" width="7.7109375" style="67" bestFit="1" customWidth="1"/>
    <col min="17" max="17" width="9.140625" style="63"/>
    <col min="18" max="18" width="10.28515625" style="63" bestFit="1" customWidth="1"/>
    <col min="19" max="19" width="3.7109375" style="1" customWidth="1"/>
  </cols>
  <sheetData>
    <row r="1" spans="1:31" s="15" customFormat="1" ht="12" x14ac:dyDescent="0.2">
      <c r="A1" s="91" t="s">
        <v>77</v>
      </c>
      <c r="B1" s="91"/>
      <c r="C1" s="48"/>
      <c r="E1" s="92" t="s">
        <v>79</v>
      </c>
      <c r="F1" s="92"/>
      <c r="G1" s="97">
        <v>5.0000000000000001E-3</v>
      </c>
      <c r="H1" s="97"/>
      <c r="I1" s="16"/>
      <c r="J1" s="93" t="s">
        <v>82</v>
      </c>
      <c r="K1" s="93"/>
      <c r="L1" s="94" t="s">
        <v>73</v>
      </c>
      <c r="M1" s="94"/>
      <c r="P1" s="72" t="s">
        <v>85</v>
      </c>
      <c r="Q1" s="72"/>
      <c r="R1" s="72"/>
      <c r="T1" s="99" t="s">
        <v>84</v>
      </c>
      <c r="U1" s="99"/>
    </row>
    <row r="2" spans="1:31" s="20" customFormat="1" ht="12" x14ac:dyDescent="0.2">
      <c r="A2" s="19" t="s">
        <v>76</v>
      </c>
      <c r="B2" s="19" t="s">
        <v>78</v>
      </c>
      <c r="C2" s="19" t="s">
        <v>68</v>
      </c>
      <c r="D2" s="20" t="s">
        <v>69</v>
      </c>
      <c r="E2" s="21" t="s">
        <v>80</v>
      </c>
      <c r="F2" s="21" t="s">
        <v>81</v>
      </c>
      <c r="G2" s="25" t="s">
        <v>71</v>
      </c>
      <c r="H2" s="25" t="s">
        <v>72</v>
      </c>
      <c r="I2" s="23" t="s">
        <v>70</v>
      </c>
      <c r="J2" s="22" t="s">
        <v>74</v>
      </c>
      <c r="K2" s="22" t="s">
        <v>75</v>
      </c>
      <c r="L2" s="20" t="s">
        <v>74</v>
      </c>
      <c r="M2" s="20" t="s">
        <v>75</v>
      </c>
      <c r="N2" s="24" t="s">
        <v>83</v>
      </c>
      <c r="O2" s="68" t="s">
        <v>36</v>
      </c>
      <c r="P2" s="60" t="s">
        <v>86</v>
      </c>
      <c r="Q2" s="61" t="s">
        <v>87</v>
      </c>
      <c r="R2" s="61" t="s">
        <v>88</v>
      </c>
      <c r="T2" s="20" t="s">
        <v>106</v>
      </c>
      <c r="U2" s="20" t="s">
        <v>107</v>
      </c>
    </row>
    <row r="3" spans="1:31" s="20" customFormat="1" ht="12.75" thickBot="1" x14ac:dyDescent="0.25">
      <c r="A3" s="19"/>
      <c r="B3" s="19"/>
      <c r="C3" s="19"/>
      <c r="E3" s="21"/>
      <c r="F3" s="21"/>
      <c r="G3" s="25"/>
      <c r="H3" s="25"/>
      <c r="I3" s="23"/>
      <c r="J3" s="22"/>
      <c r="K3" s="22"/>
      <c r="N3" s="24"/>
      <c r="O3" s="68"/>
      <c r="P3" s="60"/>
      <c r="Q3" s="61"/>
      <c r="R3" s="61"/>
    </row>
    <row r="4" spans="1:31" x14ac:dyDescent="0.25">
      <c r="A4" s="29">
        <f>MATCH(D4,'TRADING INPUTS'!B:B,0)</f>
        <v>20</v>
      </c>
      <c r="B4" s="30">
        <f>MATCH(D4,'MKT DATA'!B:B,0)</f>
        <v>37</v>
      </c>
      <c r="C4" s="30" t="s">
        <v>4</v>
      </c>
      <c r="D4" s="31" t="s">
        <v>24</v>
      </c>
      <c r="E4" s="32" cm="1">
        <f t="array" aca="1" ref="E4" ca="1">INDIRECT(ADDRESS($B4,5,,,"mkt data"))</f>
        <v>40.54</v>
      </c>
      <c r="F4" s="32" cm="1">
        <f t="array" aca="1" ref="F4" ca="1">INDIRECT(ADDRESS($B4,6,,,"mkt data"))</f>
        <v>44.91</v>
      </c>
      <c r="G4" s="33">
        <f ca="1">E4-G$1</f>
        <v>40.534999999999997</v>
      </c>
      <c r="H4" s="33">
        <f ca="1">F4+G$1</f>
        <v>44.914999999999999</v>
      </c>
      <c r="I4" s="34" cm="1">
        <f t="array" aca="1" ref="I4" ca="1">INDIRECT(ADDRESS($A4,5,,,"trading inputs"))</f>
        <v>2.350848962303723</v>
      </c>
      <c r="J4" s="35">
        <f ca="1">G4*I4</f>
        <v>95.291662686981397</v>
      </c>
      <c r="K4" s="35">
        <f ca="1">-I4*H4</f>
        <v>-105.58838114187172</v>
      </c>
      <c r="L4" s="76">
        <f ca="1">MAX(J4:J6)</f>
        <v>105.34529939596082</v>
      </c>
      <c r="M4" s="76">
        <f ca="1">MAX(K4:K6)</f>
        <v>-105.545</v>
      </c>
      <c r="N4" s="76">
        <f ca="1">L4+M4</f>
        <v>-0.19970060403917955</v>
      </c>
      <c r="O4" s="79">
        <f ca="1">N4/AVERAGE(ABS(L4),ABS(M4))</f>
        <v>-1.8938813649671778E-3</v>
      </c>
      <c r="P4" s="64" cm="1">
        <f t="array" aca="1" ref="P4" ca="1">INDIRECT(ADDRESS($B4,9,,,"mkt data"))</f>
        <v>0</v>
      </c>
      <c r="Q4" s="64">
        <f ca="1">P4/I4</f>
        <v>0</v>
      </c>
      <c r="R4" s="73">
        <f ca="1">SUM(Q4:Q6)</f>
        <v>0</v>
      </c>
      <c r="T4" s="85">
        <v>5.0000000000000001E-4</v>
      </c>
      <c r="U4" s="100">
        <v>0.05</v>
      </c>
    </row>
    <row r="5" spans="1:31" x14ac:dyDescent="0.25">
      <c r="A5" s="36">
        <f>MATCH(D5,'TRADING INPUTS'!B:B,0)</f>
        <v>21</v>
      </c>
      <c r="B5" s="17">
        <f>MATCH(D5,'MKT DATA'!B:B,0)</f>
        <v>46</v>
      </c>
      <c r="C5" s="17" t="s">
        <v>4</v>
      </c>
      <c r="D5" s="14" t="s">
        <v>3</v>
      </c>
      <c r="E5" s="37" cm="1">
        <f t="array" aca="1" ref="E5" ca="1">INDIRECT(ADDRESS($B5,5,,,"mkt data"))</f>
        <v>49.51</v>
      </c>
      <c r="F5" s="37" cm="1">
        <f t="array" aca="1" ref="F5" ca="1">INDIRECT(ADDRESS($B5,6,,,"mkt data"))</f>
        <v>49.63</v>
      </c>
      <c r="G5" s="38">
        <f ca="1">E5-G$1</f>
        <v>49.504999999999995</v>
      </c>
      <c r="H5" s="38">
        <f ca="1">F5+G$1</f>
        <v>49.635000000000005</v>
      </c>
      <c r="I5" s="39" cm="1">
        <f t="array" aca="1" ref="I5" ca="1">INDIRECT(ADDRESS($A5,5,,,"trading inputs"))</f>
        <v>2.1279729198254889</v>
      </c>
      <c r="J5" s="40">
        <f ca="1">G5*I5</f>
        <v>105.34529939596082</v>
      </c>
      <c r="K5" s="40">
        <f ca="1">-I5*H5</f>
        <v>-105.62193587553816</v>
      </c>
      <c r="L5" s="95"/>
      <c r="M5" s="95"/>
      <c r="N5" s="77"/>
      <c r="O5" s="80"/>
      <c r="P5" s="65" cm="1">
        <f t="array" aca="1" ref="P5" ca="1">INDIRECT(ADDRESS($B5,9,,,"mkt data"))</f>
        <v>0</v>
      </c>
      <c r="Q5" s="65">
        <f ca="1">P5/I5</f>
        <v>0</v>
      </c>
      <c r="R5" s="74"/>
      <c r="T5" s="86"/>
      <c r="U5" s="101"/>
    </row>
    <row r="6" spans="1:31" ht="15.75" thickBot="1" x14ac:dyDescent="0.3">
      <c r="A6" s="41">
        <f>MATCH(D6,'TRADING INPUTS'!B:B,0)</f>
        <v>19</v>
      </c>
      <c r="B6" s="42">
        <f>MATCH(D6,'MKT DATA'!B:B,0)</f>
        <v>23</v>
      </c>
      <c r="C6" s="42" t="s">
        <v>4</v>
      </c>
      <c r="D6" s="43" t="s">
        <v>4</v>
      </c>
      <c r="E6" s="44" cm="1">
        <f t="array" aca="1" ref="E6" ca="1">INDIRECT(ADDRESS($B6,5,,,"mkt data"))</f>
        <v>105.25</v>
      </c>
      <c r="F6" s="44" cm="1">
        <f t="array" aca="1" ref="F6" ca="1">INDIRECT(ADDRESS($B6,6,,,"mkt data"))</f>
        <v>105.54</v>
      </c>
      <c r="G6" s="45">
        <f ca="1">E6-G$1</f>
        <v>105.245</v>
      </c>
      <c r="H6" s="45">
        <f ca="1">F6+G$1</f>
        <v>105.545</v>
      </c>
      <c r="I6" s="46" cm="1">
        <f t="array" aca="1" ref="I6" ca="1">INDIRECT(ADDRESS($A6,5,,,"trading inputs"))</f>
        <v>1</v>
      </c>
      <c r="J6" s="47">
        <f ca="1">G6*I6</f>
        <v>105.245</v>
      </c>
      <c r="K6" s="47">
        <f ca="1">-I6*H6</f>
        <v>-105.545</v>
      </c>
      <c r="L6" s="96"/>
      <c r="M6" s="96"/>
      <c r="N6" s="78"/>
      <c r="O6" s="81"/>
      <c r="P6" s="66" cm="1">
        <f t="array" aca="1" ref="P6" ca="1">INDIRECT(ADDRESS($B6,9,,,"mkt data"))</f>
        <v>0</v>
      </c>
      <c r="Q6" s="66">
        <f ca="1">P6/I6</f>
        <v>0</v>
      </c>
      <c r="R6" s="75"/>
      <c r="T6" s="87"/>
      <c r="U6" s="102"/>
    </row>
    <row r="7" spans="1:31" ht="15.75" thickBot="1" x14ac:dyDescent="0.3">
      <c r="I7" s="39"/>
      <c r="O7" s="69"/>
      <c r="Q7" s="67"/>
      <c r="R7" s="62"/>
      <c r="T7" s="70"/>
      <c r="U7" s="70"/>
    </row>
    <row r="8" spans="1:31" x14ac:dyDescent="0.25">
      <c r="A8" s="29">
        <f>MATCH(D8,'TRADING INPUTS'!B:B,0)</f>
        <v>17</v>
      </c>
      <c r="B8" s="30">
        <f>MATCH(D8,'MKT DATA'!B:B,0)</f>
        <v>35</v>
      </c>
      <c r="C8" s="30" t="s">
        <v>23</v>
      </c>
      <c r="D8" s="31" t="s">
        <v>21</v>
      </c>
      <c r="E8" s="32" cm="1">
        <f t="array" aca="1" ref="E8" ca="1">INDIRECT(ADDRESS($B8,5,,,"mkt data"))</f>
        <v>21.26</v>
      </c>
      <c r="F8" s="32" cm="1">
        <f t="array" aca="1" ref="F8" ca="1">INDIRECT(ADDRESS($B8,6,,,"mkt data"))</f>
        <v>23</v>
      </c>
      <c r="G8" s="33">
        <f ca="1">E8-G$1</f>
        <v>21.255000000000003</v>
      </c>
      <c r="H8" s="33">
        <f ca="1">F8+G$1</f>
        <v>23.004999999999999</v>
      </c>
      <c r="I8" s="34" cm="1">
        <f t="array" aca="1" ref="I8" ca="1">INDIRECT(ADDRESS($A8,5,,,"trading inputs"))</f>
        <v>4.2364108811769645</v>
      </c>
      <c r="J8" s="35">
        <f ca="1">G8*I8</f>
        <v>90.044913279416392</v>
      </c>
      <c r="K8" s="35">
        <f ca="1">-I8*H8</f>
        <v>-97.45863232147606</v>
      </c>
      <c r="L8" s="76">
        <f ca="1">MAX(J8:J10)</f>
        <v>93.118407426863371</v>
      </c>
      <c r="M8" s="76">
        <f ca="1">MAX(K8:K10)</f>
        <v>-95.539425494510155</v>
      </c>
      <c r="N8" s="76">
        <f ca="1">L8+M8</f>
        <v>-2.4210180676467843</v>
      </c>
      <c r="O8" s="79">
        <f ca="1">N8/AVERAGE(ABS(L8),ABS(M8))</f>
        <v>-2.5665704202759352E-2</v>
      </c>
      <c r="P8" s="64" cm="1">
        <f t="array" aca="1" ref="P8" ca="1">INDIRECT(ADDRESS($B8,9,,,"mkt data"))</f>
        <v>0</v>
      </c>
      <c r="Q8" s="64">
        <f ca="1">P8/I8</f>
        <v>0</v>
      </c>
      <c r="R8" s="73">
        <f ca="1">SUM(Q8:Q10)</f>
        <v>0</v>
      </c>
      <c r="T8" s="85">
        <v>5.0000000000000001E-4</v>
      </c>
      <c r="U8" s="100">
        <v>0.05</v>
      </c>
      <c r="V8" s="51"/>
      <c r="W8" s="51" t="s">
        <v>98</v>
      </c>
      <c r="X8" s="51" t="s">
        <v>99</v>
      </c>
      <c r="Y8" s="51" t="s">
        <v>99</v>
      </c>
      <c r="AA8" s="53" t="s">
        <v>103</v>
      </c>
      <c r="AB8" s="54">
        <v>46233</v>
      </c>
      <c r="AC8" s="55"/>
      <c r="AD8" s="53" t="s">
        <v>103</v>
      </c>
      <c r="AE8" s="54">
        <v>46232</v>
      </c>
    </row>
    <row r="9" spans="1:31" x14ac:dyDescent="0.25">
      <c r="A9" s="36">
        <f>MATCH(D9,'TRADING INPUTS'!B:B,0)</f>
        <v>18</v>
      </c>
      <c r="B9" s="17">
        <f>MATCH(D9,'MKT DATA'!B:B,0)</f>
        <v>44</v>
      </c>
      <c r="C9" s="17" t="s">
        <v>23</v>
      </c>
      <c r="D9" s="14" t="s">
        <v>22</v>
      </c>
      <c r="E9" s="37" cm="1">
        <f t="array" aca="1" ref="E9" ca="1">INDIRECT(ADDRESS($B9,5,,,"mkt data"))</f>
        <v>46.16</v>
      </c>
      <c r="F9" s="37" cm="1">
        <f t="array" aca="1" ref="F9" ca="1">INDIRECT(ADDRESS($B9,6,,,"mkt data"))</f>
        <v>47.35</v>
      </c>
      <c r="G9" s="38">
        <f ca="1">E9-G$1</f>
        <v>46.154999999999994</v>
      </c>
      <c r="H9" s="38">
        <f ca="1">F9+G$1</f>
        <v>47.355000000000004</v>
      </c>
      <c r="I9" s="39" cm="1">
        <f t="array" aca="1" ref="I9" ca="1">INDIRECT(ADDRESS($A9,5,,,"trading inputs"))</f>
        <v>2.0175150563722974</v>
      </c>
      <c r="J9" s="40">
        <f ca="1">G9*I9</f>
        <v>93.118407426863371</v>
      </c>
      <c r="K9" s="40">
        <f ca="1">-I9*H9</f>
        <v>-95.539425494510155</v>
      </c>
      <c r="L9" s="95"/>
      <c r="M9" s="95"/>
      <c r="N9" s="77"/>
      <c r="O9" s="80"/>
      <c r="P9" s="65" cm="1">
        <f t="array" aca="1" ref="P9" ca="1">INDIRECT(ADDRESS($B9,9,,,"mkt data"))</f>
        <v>0</v>
      </c>
      <c r="Q9" s="65">
        <f ca="1">P9/I9</f>
        <v>0</v>
      </c>
      <c r="R9" s="74"/>
      <c r="T9" s="86"/>
      <c r="U9" s="101"/>
      <c r="V9" s="52" t="s">
        <v>100</v>
      </c>
      <c r="W9" s="52" t="s">
        <v>100</v>
      </c>
      <c r="X9" s="52" t="s">
        <v>101</v>
      </c>
      <c r="Y9" s="52" t="s">
        <v>102</v>
      </c>
      <c r="AA9" s="53" t="s">
        <v>104</v>
      </c>
      <c r="AB9" s="56" t="b">
        <v>1</v>
      </c>
      <c r="AC9" s="55"/>
      <c r="AD9" s="53" t="s">
        <v>104</v>
      </c>
      <c r="AE9" s="56" t="b">
        <v>1</v>
      </c>
    </row>
    <row r="10" spans="1:31" ht="15.75" thickBot="1" x14ac:dyDescent="0.3">
      <c r="A10" s="41">
        <f>MATCH(D10,'TRADING INPUTS'!B:B,0)</f>
        <v>16</v>
      </c>
      <c r="B10" s="42">
        <f>MATCH(D10,'MKT DATA'!B:B,0)</f>
        <v>22</v>
      </c>
      <c r="C10" s="42" t="s">
        <v>23</v>
      </c>
      <c r="D10" s="43" t="s">
        <v>23</v>
      </c>
      <c r="E10" s="44" cm="1">
        <f t="array" aca="1" ref="E10" ca="1">INDIRECT(ADDRESS($B10,5,,,"mkt data"))</f>
        <v>91.58</v>
      </c>
      <c r="F10" s="44" cm="1">
        <f t="array" aca="1" ref="F10" ca="1">INDIRECT(ADDRESS($B10,6,,,"mkt data"))</f>
        <v>96.5</v>
      </c>
      <c r="G10" s="45">
        <f ca="1">E10-G$1</f>
        <v>91.575000000000003</v>
      </c>
      <c r="H10" s="45">
        <f ca="1">F10+G$1</f>
        <v>96.504999999999995</v>
      </c>
      <c r="I10" s="46" cm="1">
        <f t="array" aca="1" ref="I10" ca="1">INDIRECT(ADDRESS($A10,5,,,"trading inputs"))</f>
        <v>1</v>
      </c>
      <c r="J10" s="47">
        <f ca="1">G10*I10</f>
        <v>91.575000000000003</v>
      </c>
      <c r="K10" s="47">
        <f ca="1">-I10*H10</f>
        <v>-96.504999999999995</v>
      </c>
      <c r="L10" s="96"/>
      <c r="M10" s="96"/>
      <c r="N10" s="78"/>
      <c r="O10" s="81"/>
      <c r="P10" s="66" cm="1">
        <f t="array" aca="1" ref="P10" ca="1">INDIRECT(ADDRESS($B10,9,,,"mkt data"))</f>
        <v>0</v>
      </c>
      <c r="Q10" s="66">
        <f ca="1">P10/I10</f>
        <v>0</v>
      </c>
      <c r="R10" s="75"/>
      <c r="T10" s="87"/>
      <c r="U10" s="102"/>
    </row>
    <row r="11" spans="1:31" ht="15.75" thickBot="1" x14ac:dyDescent="0.3">
      <c r="I11" s="39"/>
      <c r="O11" s="69"/>
      <c r="Q11" s="67"/>
      <c r="R11" s="62"/>
      <c r="T11" s="70"/>
      <c r="U11" s="70"/>
    </row>
    <row r="12" spans="1:31" x14ac:dyDescent="0.25">
      <c r="A12" s="29">
        <f>MATCH(D12,'TRADING INPUTS'!B:B,0)</f>
        <v>26</v>
      </c>
      <c r="B12" s="30">
        <f>MATCH(D12,'MKT DATA'!B:B,0)</f>
        <v>36</v>
      </c>
      <c r="C12" s="30" t="s">
        <v>31</v>
      </c>
      <c r="D12" s="31" t="s">
        <v>28</v>
      </c>
      <c r="E12" s="32" cm="1">
        <f t="array" aca="1" ref="E12" ca="1">INDIRECT(ADDRESS($B12,5,,,"mkt data"))</f>
        <v>24.94</v>
      </c>
      <c r="F12" s="32" cm="1">
        <f t="array" aca="1" ref="F12" ca="1">INDIRECT(ADDRESS($B12,6,,,"mkt data"))</f>
        <v>25.3</v>
      </c>
      <c r="G12" s="33">
        <f ca="1">E12-G$1</f>
        <v>24.935000000000002</v>
      </c>
      <c r="H12" s="33">
        <f ca="1">F12+G$1</f>
        <v>25.305</v>
      </c>
      <c r="I12" s="34" cm="1">
        <f t="array" aca="1" ref="I12" ca="1">INDIRECT(ADDRESS($A12,5,,,"trading inputs"))</f>
        <v>2.1028149311852031</v>
      </c>
      <c r="J12" s="35">
        <f ca="1">G12*I12</f>
        <v>52.433690309103042</v>
      </c>
      <c r="K12" s="35">
        <f ca="1">-I12*H12</f>
        <v>-53.211731833641565</v>
      </c>
      <c r="L12" s="76">
        <f ca="1">MAX(J12:J14)</f>
        <v>52.850670938296709</v>
      </c>
      <c r="M12" s="76">
        <f ca="1">MAX(K12:K14)</f>
        <v>-53.155000000000001</v>
      </c>
      <c r="N12" s="76">
        <f ca="1">L12+M12</f>
        <v>-0.30432906170329233</v>
      </c>
      <c r="O12" s="79">
        <f ca="1">N12/AVERAGE(ABS(L12),ABS(M12))</f>
        <v>-5.7417505876725177E-3</v>
      </c>
      <c r="P12" s="64" cm="1">
        <f t="array" aca="1" ref="P12" ca="1">INDIRECT(ADDRESS($B12,9,,,"mkt data"))</f>
        <v>0</v>
      </c>
      <c r="Q12" s="64">
        <f ca="1">P12/I12</f>
        <v>0</v>
      </c>
      <c r="R12" s="73">
        <f ca="1">SUM(Q12:Q14)</f>
        <v>-3764</v>
      </c>
      <c r="T12" s="85">
        <v>5.0000000000000001E-4</v>
      </c>
      <c r="U12" s="100">
        <v>0.05</v>
      </c>
    </row>
    <row r="13" spans="1:31" x14ac:dyDescent="0.25">
      <c r="A13" s="36">
        <f>MATCH(D13,'TRADING INPUTS'!B:B,0)</f>
        <v>25</v>
      </c>
      <c r="B13" s="17">
        <f>MATCH(D13,'MKT DATA'!B:B,0)</f>
        <v>28</v>
      </c>
      <c r="C13" s="17" t="s">
        <v>31</v>
      </c>
      <c r="D13" s="14" t="s">
        <v>29</v>
      </c>
      <c r="E13" s="37" cm="1">
        <f t="array" aca="1" ref="E13" ca="1">INDIRECT(ADDRESS($B13,5,,,"mkt data"))</f>
        <v>29.99</v>
      </c>
      <c r="F13" s="37" cm="1">
        <f t="array" aca="1" ref="F13" ca="1">INDIRECT(ADDRESS($B13,6,,,"mkt data"))</f>
        <v>30.26</v>
      </c>
      <c r="G13" s="38">
        <f ca="1">E13-G$1</f>
        <v>29.984999999999999</v>
      </c>
      <c r="H13" s="38">
        <f ca="1">F13+G$1</f>
        <v>30.265000000000001</v>
      </c>
      <c r="I13" s="39" cm="1">
        <f t="array" aca="1" ref="I13" ca="1">INDIRECT(ADDRESS($A13,5,,,"trading inputs"))</f>
        <v>1.7625703164347744</v>
      </c>
      <c r="J13" s="40">
        <f ca="1">G13*I13</f>
        <v>52.850670938296709</v>
      </c>
      <c r="K13" s="40">
        <f ca="1">-I13*H13</f>
        <v>-53.344190626898445</v>
      </c>
      <c r="L13" s="95"/>
      <c r="M13" s="95"/>
      <c r="N13" s="77"/>
      <c r="O13" s="80"/>
      <c r="P13" s="65" cm="1">
        <f t="array" aca="1" ref="P13" ca="1">INDIRECT(ADDRESS($B13,9,,,"mkt data"))</f>
        <v>0</v>
      </c>
      <c r="Q13" s="65">
        <f ca="1">P13/I13</f>
        <v>0</v>
      </c>
      <c r="R13" s="74"/>
      <c r="T13" s="86"/>
      <c r="U13" s="101"/>
    </row>
    <row r="14" spans="1:31" ht="15.75" thickBot="1" x14ac:dyDescent="0.3">
      <c r="A14" s="41">
        <f>MATCH(D14,'TRADING INPUTS'!B:B,0)</f>
        <v>28</v>
      </c>
      <c r="B14" s="42">
        <f>MATCH(D14,'MKT DATA'!B:B,0)</f>
        <v>43</v>
      </c>
      <c r="C14" s="42" t="s">
        <v>31</v>
      </c>
      <c r="D14" s="43" t="s">
        <v>31</v>
      </c>
      <c r="E14" s="44" cm="1">
        <f t="array" aca="1" ref="E14" ca="1">INDIRECT(ADDRESS($B14,5,,,"mkt data"))</f>
        <v>52.77</v>
      </c>
      <c r="F14" s="44" cm="1">
        <f t="array" aca="1" ref="F14" ca="1">INDIRECT(ADDRESS($B14,6,,,"mkt data"))</f>
        <v>53.15</v>
      </c>
      <c r="G14" s="45">
        <f ca="1">E14-G$1</f>
        <v>52.765000000000001</v>
      </c>
      <c r="H14" s="45">
        <f ca="1">F14+G$1</f>
        <v>53.155000000000001</v>
      </c>
      <c r="I14" s="46" cm="1">
        <f t="array" aca="1" ref="I14" ca="1">INDIRECT(ADDRESS($A14,5,,,"trading inputs"))</f>
        <v>1</v>
      </c>
      <c r="J14" s="47">
        <f t="shared" ref="J14" ca="1" si="0">G14*I14</f>
        <v>52.765000000000001</v>
      </c>
      <c r="K14" s="47">
        <f t="shared" ref="K14" ca="1" si="1">-I14*H14</f>
        <v>-53.155000000000001</v>
      </c>
      <c r="L14" s="96"/>
      <c r="M14" s="96"/>
      <c r="N14" s="78"/>
      <c r="O14" s="81"/>
      <c r="P14" s="66" cm="1">
        <f t="array" aca="1" ref="P14" ca="1">INDIRECT(ADDRESS($B14,9,,,"mkt data"))</f>
        <v>-3764</v>
      </c>
      <c r="Q14" s="66">
        <f ca="1">P14/I14</f>
        <v>-3764</v>
      </c>
      <c r="R14" s="75"/>
      <c r="T14" s="87"/>
      <c r="U14" s="102"/>
    </row>
    <row r="15" spans="1:31" ht="15.75" thickBot="1" x14ac:dyDescent="0.3">
      <c r="I15" s="39"/>
      <c r="O15" s="69"/>
      <c r="Q15" s="67"/>
      <c r="R15" s="62"/>
      <c r="T15" s="70"/>
      <c r="U15" s="70"/>
    </row>
    <row r="16" spans="1:31" x14ac:dyDescent="0.25">
      <c r="A16" s="29">
        <f>MATCH(D16,'TRADING INPUTS'!B:B,0)</f>
        <v>23</v>
      </c>
      <c r="B16" s="30">
        <f>MATCH(D16,'MKT DATA'!B:B,0)</f>
        <v>34</v>
      </c>
      <c r="C16" s="30" t="s">
        <v>27</v>
      </c>
      <c r="D16" s="31" t="s">
        <v>25</v>
      </c>
      <c r="E16" s="32" cm="1">
        <f t="array" aca="1" ref="E16" ca="1">INDIRECT(ADDRESS($B16,5,,,"mkt data"))</f>
        <v>16.03</v>
      </c>
      <c r="F16" s="32" cm="1">
        <f t="array" aca="1" ref="F16" ca="1">INDIRECT(ADDRESS($B16,6,,,"mkt data"))</f>
        <v>22.19</v>
      </c>
      <c r="G16" s="33">
        <f ca="1">E16-G$1</f>
        <v>16.025000000000002</v>
      </c>
      <c r="H16" s="33">
        <f ca="1">F16+G$1</f>
        <v>22.195</v>
      </c>
      <c r="I16" s="34" cm="1">
        <f t="array" aca="1" ref="I16" ca="1">INDIRECT(ADDRESS($A16,5,,,"trading inputs"))</f>
        <v>3.3608607302102995</v>
      </c>
      <c r="J16" s="35">
        <f ca="1">G16*I16</f>
        <v>53.857793201620055</v>
      </c>
      <c r="K16" s="35">
        <f ca="1">-I16*H16</f>
        <v>-74.594303907017604</v>
      </c>
      <c r="L16" s="76">
        <f ca="1">MAX(J16:J18)</f>
        <v>71.495000000000005</v>
      </c>
      <c r="M16" s="76">
        <f ca="1">MAX(K16:K18)</f>
        <v>-72.155000000000001</v>
      </c>
      <c r="N16" s="76">
        <f ca="1">L16+M16</f>
        <v>-0.65999999999999659</v>
      </c>
      <c r="O16" s="79">
        <f ca="1">N16/AVERAGE(ABS(L16),ABS(M16))</f>
        <v>-9.1890010442046161E-3</v>
      </c>
      <c r="P16" s="64" cm="1">
        <f t="array" aca="1" ref="P16" ca="1">INDIRECT(ADDRESS($B16,9,,,"mkt data"))</f>
        <v>0</v>
      </c>
      <c r="Q16" s="64">
        <f ca="1">P16/I16</f>
        <v>0</v>
      </c>
      <c r="R16" s="73">
        <f ca="1">SUM(Q16:Q18)</f>
        <v>0</v>
      </c>
      <c r="T16" s="85">
        <v>5.0000000000000001E-4</v>
      </c>
      <c r="U16" s="100">
        <v>0.05</v>
      </c>
    </row>
    <row r="17" spans="1:21" x14ac:dyDescent="0.25">
      <c r="A17" s="36">
        <f>MATCH(D17,'TRADING INPUTS'!B:B,0)</f>
        <v>22</v>
      </c>
      <c r="B17" s="17">
        <f>MATCH(D17,'MKT DATA'!B:B,0)</f>
        <v>17</v>
      </c>
      <c r="C17" s="17" t="s">
        <v>27</v>
      </c>
      <c r="D17" s="14" t="s">
        <v>26</v>
      </c>
      <c r="E17" s="37" cm="1">
        <f t="array" aca="1" ref="E17" ca="1">INDIRECT(ADDRESS($B17,5,,,"mkt data"))</f>
        <v>46.58</v>
      </c>
      <c r="F17" s="37" cm="1">
        <f t="array" aca="1" ref="F17" ca="1">INDIRECT(ADDRESS($B17,6,,,"mkt data"))</f>
        <v>48.2</v>
      </c>
      <c r="G17" s="38">
        <f ca="1">E17-G$1</f>
        <v>46.574999999999996</v>
      </c>
      <c r="H17" s="38">
        <f ca="1">F17+G$1</f>
        <v>48.205000000000005</v>
      </c>
      <c r="I17" s="39" cm="1">
        <f t="array" aca="1" ref="I17" ca="1">INDIRECT(ADDRESS($A17,5,,,"trading inputs"))</f>
        <v>1.5009812671592466</v>
      </c>
      <c r="J17" s="40">
        <f t="shared" ref="J17:J18" ca="1" si="2">G17*I17</f>
        <v>69.908202517941902</v>
      </c>
      <c r="K17" s="40">
        <f t="shared" ref="K17:K18" ca="1" si="3">-I17*H17</f>
        <v>-72.354801983411491</v>
      </c>
      <c r="L17" s="95"/>
      <c r="M17" s="95"/>
      <c r="N17" s="77"/>
      <c r="O17" s="80"/>
      <c r="P17" s="65" cm="1">
        <f t="array" aca="1" ref="P17" ca="1">INDIRECT(ADDRESS($B17,9,,,"mkt data"))</f>
        <v>0</v>
      </c>
      <c r="Q17" s="65">
        <f ca="1">P17/I17</f>
        <v>0</v>
      </c>
      <c r="R17" s="74"/>
      <c r="T17" s="86"/>
      <c r="U17" s="101"/>
    </row>
    <row r="18" spans="1:21" ht="15.75" thickBot="1" x14ac:dyDescent="0.3">
      <c r="A18" s="41">
        <f>MATCH(D18,'TRADING INPUTS'!B:B,0)</f>
        <v>24</v>
      </c>
      <c r="B18" s="42">
        <f>MATCH(D18,'MKT DATA'!B:B,0)</f>
        <v>42</v>
      </c>
      <c r="C18" s="42" t="s">
        <v>27</v>
      </c>
      <c r="D18" s="43" t="s">
        <v>27</v>
      </c>
      <c r="E18" s="44" cm="1">
        <f t="array" aca="1" ref="E18" ca="1">INDIRECT(ADDRESS($B18,5,,,"mkt data"))</f>
        <v>71.5</v>
      </c>
      <c r="F18" s="44" cm="1">
        <f t="array" aca="1" ref="F18" ca="1">INDIRECT(ADDRESS($B18,6,,,"mkt data"))</f>
        <v>72.150000000000006</v>
      </c>
      <c r="G18" s="45">
        <f ca="1">E18-G$1</f>
        <v>71.495000000000005</v>
      </c>
      <c r="H18" s="45">
        <f ca="1">F18+G$1</f>
        <v>72.155000000000001</v>
      </c>
      <c r="I18" s="46" cm="1">
        <f t="array" aca="1" ref="I18" ca="1">INDIRECT(ADDRESS($A18,5,,,"trading inputs"))</f>
        <v>1</v>
      </c>
      <c r="J18" s="47">
        <f t="shared" ca="1" si="2"/>
        <v>71.495000000000005</v>
      </c>
      <c r="K18" s="47">
        <f t="shared" ca="1" si="3"/>
        <v>-72.155000000000001</v>
      </c>
      <c r="L18" s="96"/>
      <c r="M18" s="96"/>
      <c r="N18" s="78"/>
      <c r="O18" s="81"/>
      <c r="P18" s="66" cm="1">
        <f t="array" aca="1" ref="P18" ca="1">INDIRECT(ADDRESS($B18,9,,,"mkt data"))</f>
        <v>0</v>
      </c>
      <c r="Q18" s="66">
        <f ca="1">P18/I18</f>
        <v>0</v>
      </c>
      <c r="R18" s="75"/>
      <c r="T18" s="87"/>
      <c r="U18" s="102"/>
    </row>
    <row r="19" spans="1:21" ht="15.75" thickBot="1" x14ac:dyDescent="0.3">
      <c r="I19" s="39"/>
      <c r="O19" s="69"/>
      <c r="Q19" s="67"/>
      <c r="R19" s="62"/>
      <c r="T19" s="70"/>
      <c r="U19" s="70"/>
    </row>
    <row r="20" spans="1:21" x14ac:dyDescent="0.25">
      <c r="A20" s="29">
        <f>MATCH(D20,'TRADING INPUTS'!B:B,0)</f>
        <v>7</v>
      </c>
      <c r="B20" s="30">
        <f>MATCH(D20,'MKT DATA'!B:B,0)</f>
        <v>32</v>
      </c>
      <c r="C20" s="30" t="s">
        <v>35</v>
      </c>
      <c r="D20" s="31" t="s">
        <v>32</v>
      </c>
      <c r="E20" s="32" cm="1">
        <f t="array" aca="1" ref="E20" ca="1">INDIRECT(ADDRESS($B20,5,,,"mkt data"))</f>
        <v>27.82</v>
      </c>
      <c r="F20" s="32" cm="1">
        <f t="array" aca="1" ref="F20" ca="1">INDIRECT(ADDRESS($B20,6,,,"mkt data"))</f>
        <v>29.82</v>
      </c>
      <c r="G20" s="33">
        <f ca="1">E20-G$1</f>
        <v>27.815000000000001</v>
      </c>
      <c r="H20" s="33">
        <f ca="1">F20+G$1</f>
        <v>29.824999999999999</v>
      </c>
      <c r="I20" s="34" cm="1">
        <f t="array" aca="1" ref="I20" ca="1">INDIRECT(ADDRESS($A20,5,,,"trading inputs"))</f>
        <v>3.3416638910263137</v>
      </c>
      <c r="J20" s="35">
        <f t="shared" ref="J20:J22" ca="1" si="4">G20*I20</f>
        <v>92.948381128896912</v>
      </c>
      <c r="K20" s="35">
        <f t="shared" ref="K20:K22" ca="1" si="5">-I20*H20</f>
        <v>-99.665125549859809</v>
      </c>
      <c r="L20" s="76">
        <f ca="1">MAX(J20:J23)</f>
        <v>94.351801982555102</v>
      </c>
      <c r="M20" s="76">
        <f ca="1">MAX(K20:K23)</f>
        <v>-94.996014031702998</v>
      </c>
      <c r="N20" s="76">
        <f ca="1">L20+M20</f>
        <v>-0.64421204914789598</v>
      </c>
      <c r="O20" s="79">
        <f ca="1">N20/AVERAGE(ABS(L20),ABS(M20))</f>
        <v>-6.8045363575715712E-3</v>
      </c>
      <c r="P20" s="64" cm="1">
        <f t="array" aca="1" ref="P20" ca="1">INDIRECT(ADDRESS($B20,9,,,"mkt data"))</f>
        <v>0</v>
      </c>
      <c r="Q20" s="64">
        <f ca="1">P20/I20</f>
        <v>0</v>
      </c>
      <c r="R20" s="82">
        <f ca="1">SUM(Q20:Q23)</f>
        <v>0.29119320364500823</v>
      </c>
      <c r="T20" s="85">
        <v>5.0000000000000001E-4</v>
      </c>
      <c r="U20" s="100">
        <v>0.05</v>
      </c>
    </row>
    <row r="21" spans="1:21" x14ac:dyDescent="0.25">
      <c r="A21" s="36">
        <f>MATCH(D21,'TRADING INPUTS'!B:B,0)</f>
        <v>8</v>
      </c>
      <c r="B21" s="17">
        <f>MATCH(D21,'MKT DATA'!B:B,0)</f>
        <v>40</v>
      </c>
      <c r="C21" s="17" t="s">
        <v>35</v>
      </c>
      <c r="D21" s="14" t="s">
        <v>33</v>
      </c>
      <c r="E21" s="37" cm="1">
        <f t="array" aca="1" ref="E21" ca="1">INDIRECT(ADDRESS($B21,5,,,"mkt data"))</f>
        <v>45.43</v>
      </c>
      <c r="F21" s="37" cm="1">
        <f t="array" aca="1" ref="F21" ca="1">INDIRECT(ADDRESS($B21,6,,,"mkt data"))</f>
        <v>50.29</v>
      </c>
      <c r="G21" s="38">
        <f ca="1">E21-G$1</f>
        <v>45.424999999999997</v>
      </c>
      <c r="H21" s="38">
        <f ca="1">F21+G$1</f>
        <v>50.295000000000002</v>
      </c>
      <c r="I21" s="39" cm="1">
        <f t="array" aca="1" ref="I21" ca="1">INDIRECT(ADDRESS($A21,5,,,"trading inputs"))</f>
        <v>1.889957973863017</v>
      </c>
      <c r="J21" s="40">
        <f t="shared" ca="1" si="4"/>
        <v>85.851340962727548</v>
      </c>
      <c r="K21" s="40">
        <f t="shared" ca="1" si="5"/>
        <v>-95.055436295440444</v>
      </c>
      <c r="L21" s="77"/>
      <c r="M21" s="77"/>
      <c r="N21" s="77"/>
      <c r="O21" s="80"/>
      <c r="P21" s="65" cm="1">
        <f t="array" aca="1" ref="P21" ca="1">INDIRECT(ADDRESS($B21,9,,,"mkt data"))</f>
        <v>0</v>
      </c>
      <c r="Q21" s="65">
        <f ca="1">P21/I21</f>
        <v>0</v>
      </c>
      <c r="R21" s="83"/>
      <c r="T21" s="86"/>
      <c r="U21" s="101"/>
    </row>
    <row r="22" spans="1:21" x14ac:dyDescent="0.25">
      <c r="A22" s="36">
        <f>MATCH(D22,'TRADING INPUTS'!B:B,0)</f>
        <v>9</v>
      </c>
      <c r="B22" s="17">
        <f>MATCH(D22,'MKT DATA'!B:B,0)</f>
        <v>45</v>
      </c>
      <c r="C22" s="17" t="s">
        <v>35</v>
      </c>
      <c r="D22" s="14" t="s">
        <v>34</v>
      </c>
      <c r="E22" s="37" cm="1">
        <f t="array" aca="1" ref="E22" ca="1">INDIRECT(ADDRESS($B22,5,,,"mkt data"))</f>
        <v>74.7</v>
      </c>
      <c r="F22" s="37" cm="1">
        <f t="array" aca="1" ref="F22" ca="1">INDIRECT(ADDRESS($B22,6,,,"mkt data"))</f>
        <v>75.2</v>
      </c>
      <c r="G22" s="38">
        <f ca="1">E22-G$1</f>
        <v>74.695000000000007</v>
      </c>
      <c r="H22" s="38">
        <f ca="1">F22+G$1</f>
        <v>75.204999999999998</v>
      </c>
      <c r="I22" s="39" cm="1">
        <f t="array" aca="1" ref="I22" ca="1">INDIRECT(ADDRESS($A22,5,,,"trading inputs"))</f>
        <v>1.2631608806821755</v>
      </c>
      <c r="J22" s="40">
        <f t="shared" ca="1" si="4"/>
        <v>94.351801982555102</v>
      </c>
      <c r="K22" s="40">
        <f t="shared" ca="1" si="5"/>
        <v>-94.996014031702998</v>
      </c>
      <c r="L22" s="77"/>
      <c r="M22" s="77"/>
      <c r="N22" s="77"/>
      <c r="O22" s="80"/>
      <c r="P22" s="65" cm="1">
        <f t="array" aca="1" ref="P22" ca="1">INDIRECT(ADDRESS($B22,9,,,"mkt data"))</f>
        <v>253</v>
      </c>
      <c r="Q22" s="65">
        <f ca="1">P22/I22</f>
        <v>200.29119320364501</v>
      </c>
      <c r="R22" s="83"/>
      <c r="T22" s="86"/>
      <c r="U22" s="101"/>
    </row>
    <row r="23" spans="1:21" ht="15.75" thickBot="1" x14ac:dyDescent="0.3">
      <c r="A23" s="41">
        <f>MATCH(D23,'TRADING INPUTS'!B:B,0)</f>
        <v>6</v>
      </c>
      <c r="B23" s="42">
        <f>MATCH(D23,'MKT DATA'!B:B,0)</f>
        <v>8</v>
      </c>
      <c r="C23" s="42" t="s">
        <v>35</v>
      </c>
      <c r="D23" s="43" t="s">
        <v>35</v>
      </c>
      <c r="E23" s="44" cm="1">
        <f t="array" aca="1" ref="E23" ca="1">INDIRECT(ADDRESS($B23,5,,,"mkt data"))</f>
        <v>90.57</v>
      </c>
      <c r="F23" s="44" cm="1">
        <f t="array" aca="1" ref="F23" ca="1">INDIRECT(ADDRESS($B23,6,,,"mkt data"))</f>
        <v>100.49</v>
      </c>
      <c r="G23" s="45">
        <f ca="1">E23-G$1</f>
        <v>90.564999999999998</v>
      </c>
      <c r="H23" s="45">
        <f ca="1">F23+G$1</f>
        <v>100.49499999999999</v>
      </c>
      <c r="I23" s="46" cm="1">
        <f t="array" aca="1" ref="I23" ca="1">INDIRECT(ADDRESS($A23,5,,,"trading inputs"))</f>
        <v>1</v>
      </c>
      <c r="J23" s="47">
        <f ca="1">G23*I23</f>
        <v>90.564999999999998</v>
      </c>
      <c r="K23" s="47">
        <f ca="1">-I23*H23</f>
        <v>-100.49499999999999</v>
      </c>
      <c r="L23" s="78"/>
      <c r="M23" s="78"/>
      <c r="N23" s="78"/>
      <c r="O23" s="81"/>
      <c r="P23" s="66" cm="1">
        <f t="array" aca="1" ref="P23" ca="1">INDIRECT(ADDRESS($B23,9,,,"mkt data"))</f>
        <v>-200</v>
      </c>
      <c r="Q23" s="66">
        <f ca="1">P23/I23</f>
        <v>-200</v>
      </c>
      <c r="R23" s="84"/>
      <c r="T23" s="87"/>
      <c r="U23" s="102"/>
    </row>
    <row r="24" spans="1:21" ht="15.75" thickBot="1" x14ac:dyDescent="0.3">
      <c r="I24" s="39"/>
      <c r="O24" s="69"/>
      <c r="Q24" s="67"/>
      <c r="R24" s="62"/>
      <c r="T24" s="70"/>
      <c r="U24" s="70"/>
    </row>
    <row r="25" spans="1:21" x14ac:dyDescent="0.25">
      <c r="A25" s="29">
        <f>MATCH(D25,'TRADING INPUTS'!B:B,0)</f>
        <v>4</v>
      </c>
      <c r="B25" s="30">
        <f>MATCH(D25,'MKT DATA'!B:B,0)</f>
        <v>29</v>
      </c>
      <c r="C25" s="30" t="s">
        <v>10</v>
      </c>
      <c r="D25" s="31" t="s">
        <v>6</v>
      </c>
      <c r="E25" s="32" cm="1">
        <f t="array" aca="1" ref="E25" ca="1">INDIRECT(ADDRESS($B25,5,,,"mkt data"))</f>
        <v>22.75</v>
      </c>
      <c r="F25" s="32" cm="1">
        <f t="array" aca="1" ref="F25" ca="1">INDIRECT(ADDRESS($B25,6,,,"mkt data"))</f>
        <v>22.88</v>
      </c>
      <c r="G25" s="33">
        <f ca="1">E25-G$1</f>
        <v>22.745000000000001</v>
      </c>
      <c r="H25" s="33">
        <f ca="1">F25+G$1</f>
        <v>22.884999999999998</v>
      </c>
      <c r="I25" s="34" cm="1">
        <f t="array" aca="1" ref="I25" ca="1">INDIRECT(ADDRESS($A25,5,,,"trading inputs"))</f>
        <v>4.2773887517509159</v>
      </c>
      <c r="J25" s="35">
        <f ca="1">G25*I25</f>
        <v>97.289207158574584</v>
      </c>
      <c r="K25" s="35">
        <f ca="1">-I25*H25</f>
        <v>-97.8880415838197</v>
      </c>
      <c r="L25" s="76">
        <f ca="1">MAX(J25:J28)</f>
        <v>97.384126337967373</v>
      </c>
      <c r="M25" s="76">
        <f ca="1">MAX(K25:K28)</f>
        <v>-97.49499999999999</v>
      </c>
      <c r="N25" s="76">
        <f ca="1">L25+M25</f>
        <v>-0.11087366203261695</v>
      </c>
      <c r="O25" s="79">
        <f ca="1">N25/AVERAGE(ABS(L25),ABS(M25))</f>
        <v>-1.1378710908251436E-3</v>
      </c>
      <c r="P25" s="64" cm="1">
        <f t="array" aca="1" ref="P25" ca="1">INDIRECT(ADDRESS($B25,9,,,"mkt data"))</f>
        <v>0</v>
      </c>
      <c r="Q25" s="64">
        <f ca="1">P25/I25</f>
        <v>0</v>
      </c>
      <c r="R25" s="82">
        <f ca="1">SUM(Q25:Q28)</f>
        <v>0</v>
      </c>
      <c r="T25" s="85">
        <v>5.0000000000000001E-4</v>
      </c>
      <c r="U25" s="100">
        <v>0.05</v>
      </c>
    </row>
    <row r="26" spans="1:21" x14ac:dyDescent="0.25">
      <c r="A26" s="36">
        <f>MATCH(D26,'TRADING INPUTS'!B:B,0)</f>
        <v>5</v>
      </c>
      <c r="B26" s="17">
        <f>MATCH(D26,'MKT DATA'!B:B,0)</f>
        <v>31</v>
      </c>
      <c r="C26" s="17" t="s">
        <v>10</v>
      </c>
      <c r="D26" s="14" t="s">
        <v>7</v>
      </c>
      <c r="E26" s="37" cm="1">
        <f t="array" aca="1" ref="E26" ca="1">INDIRECT(ADDRESS($B26,5,,,"mkt data"))</f>
        <v>22.17</v>
      </c>
      <c r="F26" s="37" cm="1">
        <f t="array" aca="1" ref="F26" ca="1">INDIRECT(ADDRESS($B26,6,,,"mkt data"))</f>
        <v>25.8</v>
      </c>
      <c r="G26" s="38">
        <f ca="1">E26-G$1</f>
        <v>22.165000000000003</v>
      </c>
      <c r="H26" s="38">
        <f ca="1">F26+G$1</f>
        <v>25.805</v>
      </c>
      <c r="I26" s="39" cm="1">
        <f t="array" aca="1" ref="I26" ca="1">INDIRECT(ADDRESS($A26,5,,,"trading inputs"))</f>
        <v>3.8794303431774191</v>
      </c>
      <c r="J26" s="40">
        <f ca="1">G26*I26</f>
        <v>85.987573556527508</v>
      </c>
      <c r="K26" s="40">
        <f ca="1">-I26*H26</f>
        <v>-100.10870000569329</v>
      </c>
      <c r="L26" s="77"/>
      <c r="M26" s="77"/>
      <c r="N26" s="77"/>
      <c r="O26" s="80"/>
      <c r="P26" s="65" cm="1">
        <f t="array" aca="1" ref="P26" ca="1">INDIRECT(ADDRESS($B26,9,,,"mkt data"))</f>
        <v>0</v>
      </c>
      <c r="Q26" s="65">
        <f ca="1">P26/I26</f>
        <v>0</v>
      </c>
      <c r="R26" s="83"/>
      <c r="T26" s="86"/>
      <c r="U26" s="101"/>
    </row>
    <row r="27" spans="1:21" x14ac:dyDescent="0.25">
      <c r="A27" s="36">
        <f>MATCH(D27,'TRADING INPUTS'!B:B,0)</f>
        <v>3</v>
      </c>
      <c r="B27" s="17">
        <f>MATCH(D27,'MKT DATA'!B:B,0)</f>
        <v>4</v>
      </c>
      <c r="C27" s="17" t="s">
        <v>10</v>
      </c>
      <c r="D27" s="14" t="s">
        <v>9</v>
      </c>
      <c r="E27" s="37" cm="1">
        <f t="array" aca="1" ref="E27" ca="1">INDIRECT(ADDRESS($B27,5,,,"mkt data"))</f>
        <v>72.25</v>
      </c>
      <c r="F27" s="37" cm="1">
        <f t="array" aca="1" ref="F27" ca="1">INDIRECT(ADDRESS($B27,6,,,"mkt data"))</f>
        <v>72.52</v>
      </c>
      <c r="G27" s="38">
        <f ca="1">E27-G$1</f>
        <v>72.245000000000005</v>
      </c>
      <c r="H27" s="38">
        <f ca="1">F27+G$1</f>
        <v>72.524999999999991</v>
      </c>
      <c r="I27" s="39" cm="1">
        <f t="array" aca="1" ref="I27" ca="1">INDIRECT(ADDRESS($A27,5,,,"trading inputs"))</f>
        <v>1.3479704663017145</v>
      </c>
      <c r="J27" s="40">
        <f ca="1">G27*I27</f>
        <v>97.384126337967373</v>
      </c>
      <c r="K27" s="40">
        <f ca="1">-I27*H27</f>
        <v>-97.761558068531826</v>
      </c>
      <c r="L27" s="77"/>
      <c r="M27" s="77"/>
      <c r="N27" s="77"/>
      <c r="O27" s="80"/>
      <c r="P27" s="65" cm="1">
        <f t="array" aca="1" ref="P27" ca="1">INDIRECT(ADDRESS($B27,9,,,"mkt data"))</f>
        <v>0</v>
      </c>
      <c r="Q27" s="65">
        <f ca="1">P27/I27</f>
        <v>0</v>
      </c>
      <c r="R27" s="83"/>
      <c r="T27" s="86"/>
      <c r="U27" s="101"/>
    </row>
    <row r="28" spans="1:21" ht="15.75" thickBot="1" x14ac:dyDescent="0.3">
      <c r="A28" s="41">
        <f>MATCH(D28,'TRADING INPUTS'!B:B,0)</f>
        <v>2</v>
      </c>
      <c r="B28" s="42">
        <f>MATCH(D28,'MKT DATA'!B:B,0)</f>
        <v>2</v>
      </c>
      <c r="C28" s="42" t="s">
        <v>10</v>
      </c>
      <c r="D28" s="43" t="s">
        <v>10</v>
      </c>
      <c r="E28" s="44" cm="1">
        <f t="array" aca="1" ref="E28" ca="1">INDIRECT(ADDRESS($B28,5,,,"mkt data"))</f>
        <v>97.3</v>
      </c>
      <c r="F28" s="44" cm="1">
        <f t="array" aca="1" ref="F28" ca="1">INDIRECT(ADDRESS($B28,6,,,"mkt data"))</f>
        <v>97.49</v>
      </c>
      <c r="G28" s="45">
        <f ca="1">E28-G$1</f>
        <v>97.295000000000002</v>
      </c>
      <c r="H28" s="45">
        <f ca="1">F28+G$1</f>
        <v>97.49499999999999</v>
      </c>
      <c r="I28" s="46" cm="1">
        <f t="array" aca="1" ref="I28" ca="1">INDIRECT(ADDRESS($A28,5,,,"trading inputs"))</f>
        <v>1</v>
      </c>
      <c r="J28" s="47">
        <f ca="1">G28*I28</f>
        <v>97.295000000000002</v>
      </c>
      <c r="K28" s="47">
        <f ca="1">-I28*H28</f>
        <v>-97.49499999999999</v>
      </c>
      <c r="L28" s="78"/>
      <c r="M28" s="78"/>
      <c r="N28" s="78"/>
      <c r="O28" s="81"/>
      <c r="P28" s="66" cm="1">
        <f t="array" aca="1" ref="P28" ca="1">INDIRECT(ADDRESS($B28,9,,,"mkt data"))</f>
        <v>0</v>
      </c>
      <c r="Q28" s="66">
        <f ca="1">P28/I28</f>
        <v>0</v>
      </c>
      <c r="R28" s="84"/>
      <c r="T28" s="87"/>
      <c r="U28" s="102"/>
    </row>
    <row r="29" spans="1:21" ht="15.75" thickBot="1" x14ac:dyDescent="0.3">
      <c r="I29" s="39"/>
      <c r="O29" s="69"/>
      <c r="Q29" s="67"/>
      <c r="R29" s="62"/>
      <c r="T29" s="70"/>
      <c r="U29" s="70"/>
    </row>
    <row r="30" spans="1:21" x14ac:dyDescent="0.25">
      <c r="A30" s="29">
        <f>MATCH(D30,'TRADING INPUTS'!B:B,0)</f>
        <v>14</v>
      </c>
      <c r="B30" s="30">
        <f>MATCH(D30,'MKT DATA'!B:B,0)</f>
        <v>33</v>
      </c>
      <c r="C30" s="30" t="s">
        <v>20</v>
      </c>
      <c r="D30" s="31" t="s">
        <v>15</v>
      </c>
      <c r="E30" s="32" cm="1">
        <f t="array" aca="1" ref="E30" ca="1">INDIRECT(ADDRESS($B30,5,,,"mkt data"))</f>
        <v>23.25</v>
      </c>
      <c r="F30" s="32" cm="1">
        <f t="array" aca="1" ref="F30" ca="1">INDIRECT(ADDRESS($B30,6,,,"mkt data"))</f>
        <v>23.33</v>
      </c>
      <c r="G30" s="33">
        <f t="shared" ref="G30:G35" ca="1" si="6">E30-G$1</f>
        <v>23.245000000000001</v>
      </c>
      <c r="H30" s="33">
        <f t="shared" ref="H30:H35" ca="1" si="7">F30+G$1</f>
        <v>23.334999999999997</v>
      </c>
      <c r="I30" s="34" cm="1">
        <f t="array" aca="1" ref="I30" ca="1">INDIRECT(ADDRESS($A30,5,,,"trading inputs"))</f>
        <v>4.1145355643486976</v>
      </c>
      <c r="J30" s="35">
        <f t="shared" ref="J30:J35" ca="1" si="8">G30*I30</f>
        <v>95.642379193285478</v>
      </c>
      <c r="K30" s="35">
        <f t="shared" ref="K30:K35" ca="1" si="9">-I30*H30</f>
        <v>-96.012687394076849</v>
      </c>
      <c r="L30" s="76">
        <f ca="1">MAX(J30:J35)</f>
        <v>95.727250149099746</v>
      </c>
      <c r="M30" s="76">
        <f ca="1">MAX(K30:K35)</f>
        <v>-95.775399661906576</v>
      </c>
      <c r="N30" s="76">
        <f ca="1">L30+M30</f>
        <v>-4.814951280683033E-2</v>
      </c>
      <c r="O30" s="79">
        <f ca="1">N30/AVERAGE(ABS(L30),ABS(M30))</f>
        <v>-5.0286001634284444E-4</v>
      </c>
      <c r="P30" s="64" cm="1">
        <f t="array" aca="1" ref="P30" ca="1">INDIRECT(ADDRESS($B30,9,,,"mkt data"))</f>
        <v>0</v>
      </c>
      <c r="Q30" s="64">
        <f t="shared" ref="Q30:Q35" ca="1" si="10">P30/I30</f>
        <v>0</v>
      </c>
      <c r="R30" s="88">
        <f ca="1">SUM(Q30:Q35)</f>
        <v>0</v>
      </c>
      <c r="T30" s="85">
        <v>5.0000000000000001E-4</v>
      </c>
      <c r="U30" s="100">
        <v>0.05</v>
      </c>
    </row>
    <row r="31" spans="1:21" x14ac:dyDescent="0.25">
      <c r="A31" s="36">
        <f>MATCH(D31,'TRADING INPUTS'!B:B,0)</f>
        <v>13</v>
      </c>
      <c r="B31" s="17">
        <f>MATCH(D31,'MKT DATA'!B:B,0)</f>
        <v>30</v>
      </c>
      <c r="C31" s="17" t="s">
        <v>20</v>
      </c>
      <c r="D31" s="14" t="s">
        <v>16</v>
      </c>
      <c r="E31" s="37" cm="1">
        <f t="array" aca="1" ref="E31" ca="1">INDIRECT(ADDRESS($B31,5,,,"mkt data"))</f>
        <v>26</v>
      </c>
      <c r="F31" s="37" cm="1">
        <f t="array" aca="1" ref="F31" ca="1">INDIRECT(ADDRESS($B31,6,,,"mkt data"))</f>
        <v>26.05</v>
      </c>
      <c r="G31" s="38">
        <f t="shared" ca="1" si="6"/>
        <v>25.995000000000001</v>
      </c>
      <c r="H31" s="38">
        <f t="shared" ca="1" si="7"/>
        <v>26.055</v>
      </c>
      <c r="I31" s="39" cm="1">
        <f t="array" aca="1" ref="I31" ca="1">INDIRECT(ADDRESS($A31,5,,,"trading inputs"))</f>
        <v>3.6815433081562907</v>
      </c>
      <c r="J31" s="40">
        <f t="shared" ca="1" si="8"/>
        <v>95.701718295522781</v>
      </c>
      <c r="K31" s="40">
        <f t="shared" ca="1" si="9"/>
        <v>-95.922610894012152</v>
      </c>
      <c r="L31" s="77"/>
      <c r="M31" s="77"/>
      <c r="N31" s="77"/>
      <c r="O31" s="80"/>
      <c r="P31" s="65" cm="1">
        <f t="array" aca="1" ref="P31" ca="1">INDIRECT(ADDRESS($B31,9,,,"mkt data"))</f>
        <v>0</v>
      </c>
      <c r="Q31" s="65">
        <f t="shared" ca="1" si="10"/>
        <v>0</v>
      </c>
      <c r="R31" s="89"/>
      <c r="T31" s="86"/>
      <c r="U31" s="101"/>
    </row>
    <row r="32" spans="1:21" x14ac:dyDescent="0.25">
      <c r="A32" s="36">
        <f>MATCH(D32,'TRADING INPUTS'!B:B,0)</f>
        <v>11</v>
      </c>
      <c r="B32" s="17">
        <f>MATCH(D32,'MKT DATA'!B:B,0)</f>
        <v>14</v>
      </c>
      <c r="C32" s="17" t="s">
        <v>20</v>
      </c>
      <c r="D32" s="14" t="s">
        <v>17</v>
      </c>
      <c r="E32" s="37" cm="1">
        <f t="array" aca="1" ref="E32" ca="1">INDIRECT(ADDRESS($B32,5,,,"mkt data"))</f>
        <v>36.25</v>
      </c>
      <c r="F32" s="37" cm="1">
        <f t="array" aca="1" ref="F32" ca="1">INDIRECT(ADDRESS($B32,6,,,"mkt data"))</f>
        <v>36.799999999999997</v>
      </c>
      <c r="G32" s="38">
        <f t="shared" ca="1" si="6"/>
        <v>36.244999999999997</v>
      </c>
      <c r="H32" s="38">
        <f t="shared" ca="1" si="7"/>
        <v>36.805</v>
      </c>
      <c r="I32" s="39" cm="1">
        <f t="array" aca="1" ref="I32" ca="1">INDIRECT(ADDRESS($A32,5,,,"trading inputs"))</f>
        <v>2.6375249700861234</v>
      </c>
      <c r="J32" s="40">
        <f t="shared" ca="1" si="8"/>
        <v>95.597092540771541</v>
      </c>
      <c r="K32" s="40">
        <f t="shared" ca="1" si="9"/>
        <v>-97.074106524019768</v>
      </c>
      <c r="L32" s="77"/>
      <c r="M32" s="77"/>
      <c r="N32" s="77"/>
      <c r="O32" s="80"/>
      <c r="P32" s="65" cm="1">
        <f t="array" aca="1" ref="P32" ca="1">INDIRECT(ADDRESS($B32,9,,,"mkt data"))</f>
        <v>0</v>
      </c>
      <c r="Q32" s="65">
        <f t="shared" ca="1" si="10"/>
        <v>0</v>
      </c>
      <c r="R32" s="89"/>
      <c r="T32" s="86"/>
      <c r="U32" s="101"/>
    </row>
    <row r="33" spans="1:21" x14ac:dyDescent="0.25">
      <c r="A33" s="36">
        <f>MATCH(D33,'TRADING INPUTS'!B:B,0)</f>
        <v>15</v>
      </c>
      <c r="B33" s="17">
        <f>MATCH(D33,'MKT DATA'!B:B,0)</f>
        <v>39</v>
      </c>
      <c r="C33" s="17" t="s">
        <v>20</v>
      </c>
      <c r="D33" s="14" t="s">
        <v>18</v>
      </c>
      <c r="E33" s="37" cm="1">
        <f t="array" aca="1" ref="E33" ca="1">INDIRECT(ADDRESS($B33,5,,,"mkt data"))</f>
        <v>36.75</v>
      </c>
      <c r="F33" s="37" cm="1">
        <f t="array" aca="1" ref="F33" ca="1">INDIRECT(ADDRESS($B33,6,,,"mkt data"))</f>
        <v>36.86</v>
      </c>
      <c r="G33" s="38">
        <f t="shared" ca="1" si="6"/>
        <v>36.744999999999997</v>
      </c>
      <c r="H33" s="38">
        <f t="shared" ca="1" si="7"/>
        <v>36.865000000000002</v>
      </c>
      <c r="I33" s="39" cm="1">
        <f t="array" aca="1" ref="I33" ca="1">INDIRECT(ADDRESS($A33,5,,,"trading inputs"))</f>
        <v>2.6020554340044062</v>
      </c>
      <c r="J33" s="40">
        <f t="shared" ca="1" si="8"/>
        <v>95.612526922491895</v>
      </c>
      <c r="K33" s="40">
        <f t="shared" ca="1" si="9"/>
        <v>-95.924773574572441</v>
      </c>
      <c r="L33" s="77"/>
      <c r="M33" s="77"/>
      <c r="N33" s="77"/>
      <c r="O33" s="80"/>
      <c r="P33" s="65" cm="1">
        <f t="array" aca="1" ref="P33" ca="1">INDIRECT(ADDRESS($B33,9,,,"mkt data"))</f>
        <v>0</v>
      </c>
      <c r="Q33" s="65">
        <f t="shared" ca="1" si="10"/>
        <v>0</v>
      </c>
      <c r="R33" s="89"/>
      <c r="T33" s="86"/>
      <c r="U33" s="101"/>
    </row>
    <row r="34" spans="1:21" x14ac:dyDescent="0.25">
      <c r="A34" s="36">
        <f>MATCH(D34,'TRADING INPUTS'!B:B,0)</f>
        <v>10</v>
      </c>
      <c r="B34" s="17">
        <f>MATCH(D34,'MKT DATA'!B:B,0)</f>
        <v>13</v>
      </c>
      <c r="C34" s="17" t="s">
        <v>20</v>
      </c>
      <c r="D34" s="14" t="s">
        <v>19</v>
      </c>
      <c r="E34" s="37" cm="1">
        <f t="array" aca="1" ref="E34" ca="1">INDIRECT(ADDRESS($B34,5,,,"mkt data"))</f>
        <v>79.53</v>
      </c>
      <c r="F34" s="37" cm="1">
        <f t="array" aca="1" ref="F34" ca="1">INDIRECT(ADDRESS($B34,6,,,"mkt data"))</f>
        <v>79.56</v>
      </c>
      <c r="G34" s="38">
        <f t="shared" ca="1" si="6"/>
        <v>79.525000000000006</v>
      </c>
      <c r="H34" s="38">
        <f t="shared" ca="1" si="7"/>
        <v>79.564999999999998</v>
      </c>
      <c r="I34" s="39" cm="1">
        <f t="array" aca="1" ref="I34" ca="1">INDIRECT(ADDRESS($A34,5,,,"trading inputs"))</f>
        <v>1.2037378201710121</v>
      </c>
      <c r="J34" s="40">
        <f t="shared" ca="1" si="8"/>
        <v>95.727250149099746</v>
      </c>
      <c r="K34" s="40">
        <f t="shared" ca="1" si="9"/>
        <v>-95.775399661906576</v>
      </c>
      <c r="L34" s="77"/>
      <c r="M34" s="77"/>
      <c r="N34" s="77"/>
      <c r="O34" s="80"/>
      <c r="P34" s="65" cm="1">
        <f t="array" aca="1" ref="P34" ca="1">INDIRECT(ADDRESS($B34,9,,,"mkt data"))</f>
        <v>0</v>
      </c>
      <c r="Q34" s="65">
        <f t="shared" ca="1" si="10"/>
        <v>0</v>
      </c>
      <c r="R34" s="89"/>
      <c r="T34" s="86"/>
      <c r="U34" s="101"/>
    </row>
    <row r="35" spans="1:21" ht="15.75" thickBot="1" x14ac:dyDescent="0.3">
      <c r="A35" s="41">
        <f>MATCH(D35,'TRADING INPUTS'!B:B,0)</f>
        <v>12</v>
      </c>
      <c r="B35" s="42">
        <f>MATCH(D35,'MKT DATA'!B:B,0)</f>
        <v>20</v>
      </c>
      <c r="C35" s="42" t="s">
        <v>20</v>
      </c>
      <c r="D35" s="43" t="s">
        <v>20</v>
      </c>
      <c r="E35" s="44" cm="1">
        <f t="array" aca="1" ref="E35" ca="1">INDIRECT(ADDRESS($B35,5,,,"mkt data"))</f>
        <v>95.6</v>
      </c>
      <c r="F35" s="44" cm="1">
        <f t="array" aca="1" ref="F35" ca="1">INDIRECT(ADDRESS($B35,6,,,"mkt data"))</f>
        <v>96.71</v>
      </c>
      <c r="G35" s="45">
        <f t="shared" ca="1" si="6"/>
        <v>95.594999999999999</v>
      </c>
      <c r="H35" s="45">
        <f t="shared" ca="1" si="7"/>
        <v>96.714999999999989</v>
      </c>
      <c r="I35" s="46" cm="1">
        <f t="array" aca="1" ref="I35" ca="1">INDIRECT(ADDRESS($A35,5,,,"trading inputs"))</f>
        <v>1</v>
      </c>
      <c r="J35" s="47">
        <f t="shared" ca="1" si="8"/>
        <v>95.594999999999999</v>
      </c>
      <c r="K35" s="47">
        <f t="shared" ca="1" si="9"/>
        <v>-96.714999999999989</v>
      </c>
      <c r="L35" s="78"/>
      <c r="M35" s="78"/>
      <c r="N35" s="78"/>
      <c r="O35" s="81"/>
      <c r="P35" s="66" cm="1">
        <f t="array" aca="1" ref="P35" ca="1">INDIRECT(ADDRESS($B35,9,,,"mkt data"))</f>
        <v>0</v>
      </c>
      <c r="Q35" s="66">
        <f t="shared" ca="1" si="10"/>
        <v>0</v>
      </c>
      <c r="R35" s="90"/>
      <c r="T35" s="87"/>
      <c r="U35" s="102"/>
    </row>
    <row r="36" spans="1:21" x14ac:dyDescent="0.25">
      <c r="A36" s="98" t="str">
        <f>'MKT DATA'!J2</f>
        <v>2026-08-20_16-56-24</v>
      </c>
      <c r="B36" s="98"/>
      <c r="C36" s="98"/>
      <c r="R36" s="62"/>
    </row>
    <row r="48" spans="1:21" x14ac:dyDescent="0.25">
      <c r="E48"/>
      <c r="F48"/>
      <c r="G48" s="17"/>
      <c r="H48" s="17"/>
      <c r="I48"/>
      <c r="J48"/>
      <c r="K48"/>
    </row>
  </sheetData>
  <mergeCells count="57">
    <mergeCell ref="U20:U23"/>
    <mergeCell ref="U25:U28"/>
    <mergeCell ref="U30:U35"/>
    <mergeCell ref="R12:R14"/>
    <mergeCell ref="M8:M10"/>
    <mergeCell ref="N8:N10"/>
    <mergeCell ref="O8:O10"/>
    <mergeCell ref="N12:N14"/>
    <mergeCell ref="O12:O14"/>
    <mergeCell ref="T1:U1"/>
    <mergeCell ref="U4:U6"/>
    <mergeCell ref="U8:U10"/>
    <mergeCell ref="U12:U14"/>
    <mergeCell ref="U16:U18"/>
    <mergeCell ref="N30:N35"/>
    <mergeCell ref="O30:O35"/>
    <mergeCell ref="N25:N28"/>
    <mergeCell ref="O25:O28"/>
    <mergeCell ref="A36:C36"/>
    <mergeCell ref="L30:L35"/>
    <mergeCell ref="M16:M18"/>
    <mergeCell ref="L4:L6"/>
    <mergeCell ref="M4:M6"/>
    <mergeCell ref="L8:L10"/>
    <mergeCell ref="M30:M35"/>
    <mergeCell ref="R30:R35"/>
    <mergeCell ref="T20:T23"/>
    <mergeCell ref="T25:T28"/>
    <mergeCell ref="T30:T35"/>
    <mergeCell ref="A1:B1"/>
    <mergeCell ref="E1:F1"/>
    <mergeCell ref="J1:K1"/>
    <mergeCell ref="L1:M1"/>
    <mergeCell ref="L25:L28"/>
    <mergeCell ref="M25:M28"/>
    <mergeCell ref="L12:L14"/>
    <mergeCell ref="M12:M14"/>
    <mergeCell ref="G1:H1"/>
    <mergeCell ref="L20:L23"/>
    <mergeCell ref="M20:M23"/>
    <mergeCell ref="L16:L18"/>
    <mergeCell ref="T4:T6"/>
    <mergeCell ref="T8:T10"/>
    <mergeCell ref="T12:T14"/>
    <mergeCell ref="T16:T18"/>
    <mergeCell ref="R25:R28"/>
    <mergeCell ref="P1:R1"/>
    <mergeCell ref="R4:R6"/>
    <mergeCell ref="R8:R10"/>
    <mergeCell ref="N20:N23"/>
    <mergeCell ref="O20:O23"/>
    <mergeCell ref="N16:N18"/>
    <mergeCell ref="O16:O18"/>
    <mergeCell ref="N4:N6"/>
    <mergeCell ref="O4:O6"/>
    <mergeCell ref="R16:R18"/>
    <mergeCell ref="R20:R23"/>
  </mergeCells>
  <conditionalFormatting sqref="J4:J6">
    <cfRule type="top10" dxfId="14" priority="27" rank="1"/>
  </conditionalFormatting>
  <conditionalFormatting sqref="J8:J10">
    <cfRule type="top10" dxfId="13" priority="19" rank="1"/>
  </conditionalFormatting>
  <conditionalFormatting sqref="J12:J14">
    <cfRule type="top10" dxfId="12" priority="17" rank="1"/>
  </conditionalFormatting>
  <conditionalFormatting sqref="J16:J18">
    <cfRule type="top10" dxfId="11" priority="15" rank="1"/>
  </conditionalFormatting>
  <conditionalFormatting sqref="J20:J23">
    <cfRule type="top10" dxfId="10" priority="13" rank="1"/>
  </conditionalFormatting>
  <conditionalFormatting sqref="J25:J28">
    <cfRule type="top10" dxfId="9" priority="11" rank="1"/>
  </conditionalFormatting>
  <conditionalFormatting sqref="J30:J35">
    <cfRule type="top10" dxfId="8" priority="9" rank="1"/>
  </conditionalFormatting>
  <conditionalFormatting sqref="K4:K6">
    <cfRule type="top10" dxfId="7" priority="26" rank="1"/>
  </conditionalFormatting>
  <conditionalFormatting sqref="K8:K10">
    <cfRule type="top10" dxfId="6" priority="18" rank="1"/>
  </conditionalFormatting>
  <conditionalFormatting sqref="K12:K14">
    <cfRule type="top10" dxfId="5" priority="16" rank="1"/>
  </conditionalFormatting>
  <conditionalFormatting sqref="K16:K18">
    <cfRule type="top10" dxfId="4" priority="14" rank="1"/>
  </conditionalFormatting>
  <conditionalFormatting sqref="K20:K23">
    <cfRule type="top10" dxfId="3" priority="12" rank="1"/>
  </conditionalFormatting>
  <conditionalFormatting sqref="K25:K28">
    <cfRule type="top10" dxfId="2" priority="10" rank="1"/>
  </conditionalFormatting>
  <conditionalFormatting sqref="K30:K35">
    <cfRule type="top10" dxfId="1" priority="8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M28"/>
  <sheetViews>
    <sheetView tabSelected="1" workbookViewId="0">
      <selection activeCell="L7" sqref="L7"/>
    </sheetView>
  </sheetViews>
  <sheetFormatPr defaultRowHeight="15" x14ac:dyDescent="0.25"/>
  <cols>
    <col min="1" max="1" width="13.42578125" style="28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13.140625" style="50" bestFit="1" customWidth="1"/>
    <col min="7" max="7" width="12.42578125" style="58" bestFit="1" customWidth="1"/>
    <col min="8" max="8" width="13" style="58" customWidth="1"/>
    <col min="9" max="9" width="18.140625" style="10" bestFit="1" customWidth="1"/>
    <col min="10" max="10" width="18.7109375" style="12" bestFit="1" customWidth="1"/>
    <col min="11" max="11" width="11" style="4" bestFit="1" customWidth="1"/>
  </cols>
  <sheetData>
    <row r="1" spans="1:13" s="3" customFormat="1" x14ac:dyDescent="0.25">
      <c r="A1" s="27" t="s">
        <v>5</v>
      </c>
      <c r="B1" s="5" t="s">
        <v>2</v>
      </c>
      <c r="C1" s="5" t="s">
        <v>1</v>
      </c>
      <c r="D1" s="5" t="s">
        <v>14</v>
      </c>
      <c r="E1" s="7" t="s">
        <v>37</v>
      </c>
      <c r="F1" s="49" t="s">
        <v>91</v>
      </c>
      <c r="G1" s="57" t="s">
        <v>89</v>
      </c>
      <c r="H1" s="57" t="s">
        <v>90</v>
      </c>
      <c r="I1" s="8"/>
      <c r="J1" s="9"/>
      <c r="K1" s="7"/>
    </row>
    <row r="2" spans="1:13" x14ac:dyDescent="0.25">
      <c r="A2" s="28" t="b">
        <v>0</v>
      </c>
      <c r="B2" t="s">
        <v>10</v>
      </c>
      <c r="C2" t="s">
        <v>0</v>
      </c>
      <c r="D2" t="s">
        <v>10</v>
      </c>
      <c r="E2" s="4">
        <v>1</v>
      </c>
      <c r="F2" s="50">
        <v>0.05</v>
      </c>
      <c r="G2" s="58">
        <v>200</v>
      </c>
      <c r="H2" s="58">
        <v>200</v>
      </c>
      <c r="J2" s="11"/>
      <c r="M2" s="71"/>
    </row>
    <row r="3" spans="1:13" x14ac:dyDescent="0.25">
      <c r="A3" s="28" t="b">
        <v>0</v>
      </c>
      <c r="B3" t="s">
        <v>9</v>
      </c>
      <c r="C3" t="s">
        <v>0</v>
      </c>
      <c r="D3" t="s">
        <v>10</v>
      </c>
      <c r="E3" s="4">
        <v>1.3479704663017145</v>
      </c>
      <c r="F3" s="50">
        <v>0.05</v>
      </c>
      <c r="G3" s="58">
        <f>G2*E3</f>
        <v>269.5940932603429</v>
      </c>
      <c r="H3" s="58">
        <f>H2*E3</f>
        <v>269.5940932603429</v>
      </c>
      <c r="J3" s="11"/>
      <c r="M3" s="71"/>
    </row>
    <row r="4" spans="1:13" x14ac:dyDescent="0.25">
      <c r="A4" s="28" t="b">
        <v>0</v>
      </c>
      <c r="B4" t="s">
        <v>6</v>
      </c>
      <c r="C4" t="s">
        <v>0</v>
      </c>
      <c r="D4" t="s">
        <v>10</v>
      </c>
      <c r="E4" s="4">
        <v>4.2773887517509159</v>
      </c>
      <c r="F4" s="50">
        <v>0.05</v>
      </c>
      <c r="G4" s="58">
        <f>G2*E4</f>
        <v>855.47775035018321</v>
      </c>
      <c r="H4" s="58">
        <f>H2*E4</f>
        <v>855.47775035018321</v>
      </c>
      <c r="J4" s="11"/>
      <c r="M4" s="71"/>
    </row>
    <row r="5" spans="1:13" x14ac:dyDescent="0.25">
      <c r="A5" s="28" t="b">
        <v>0</v>
      </c>
      <c r="B5" t="s">
        <v>7</v>
      </c>
      <c r="C5" t="s">
        <v>0</v>
      </c>
      <c r="D5" t="s">
        <v>10</v>
      </c>
      <c r="E5" s="4">
        <v>3.8794303431774191</v>
      </c>
      <c r="F5" s="50">
        <v>0.05</v>
      </c>
      <c r="G5" s="58">
        <f>G2*E5</f>
        <v>775.88606863548387</v>
      </c>
      <c r="H5" s="58">
        <f>H2*E5</f>
        <v>775.88606863548387</v>
      </c>
      <c r="J5" s="11"/>
      <c r="M5" s="71"/>
    </row>
    <row r="6" spans="1:13" x14ac:dyDescent="0.25">
      <c r="A6" s="28" t="b">
        <v>0</v>
      </c>
      <c r="B6" t="s">
        <v>35</v>
      </c>
      <c r="C6" t="s">
        <v>0</v>
      </c>
      <c r="D6" t="s">
        <v>35</v>
      </c>
      <c r="E6" s="4">
        <v>1</v>
      </c>
      <c r="F6" s="50">
        <v>0.05</v>
      </c>
      <c r="G6" s="58">
        <v>200</v>
      </c>
      <c r="H6" s="58">
        <v>200</v>
      </c>
      <c r="J6" s="11"/>
      <c r="M6" s="71"/>
    </row>
    <row r="7" spans="1:13" x14ac:dyDescent="0.25">
      <c r="A7" s="28" t="b">
        <v>0</v>
      </c>
      <c r="B7" t="s">
        <v>32</v>
      </c>
      <c r="C7" t="s">
        <v>0</v>
      </c>
      <c r="D7" t="s">
        <v>35</v>
      </c>
      <c r="E7" s="4">
        <v>3.3416638910263137</v>
      </c>
      <c r="F7" s="50">
        <v>0.05</v>
      </c>
      <c r="G7" s="58">
        <f>G6*E7</f>
        <v>668.33277820526268</v>
      </c>
      <c r="H7" s="58">
        <f>H6*E7</f>
        <v>668.33277820526268</v>
      </c>
      <c r="J7" s="11"/>
      <c r="M7" s="71"/>
    </row>
    <row r="8" spans="1:13" x14ac:dyDescent="0.25">
      <c r="A8" s="28" t="b">
        <v>0</v>
      </c>
      <c r="B8" t="s">
        <v>33</v>
      </c>
      <c r="C8" t="s">
        <v>0</v>
      </c>
      <c r="D8" t="s">
        <v>35</v>
      </c>
      <c r="E8" s="4">
        <v>1.889957973863017</v>
      </c>
      <c r="F8" s="50">
        <v>0.05</v>
      </c>
      <c r="G8" s="58">
        <f>G6*E8</f>
        <v>377.99159477260338</v>
      </c>
      <c r="H8" s="58">
        <f>H6*E8</f>
        <v>377.99159477260338</v>
      </c>
      <c r="J8" s="11"/>
      <c r="M8" s="71"/>
    </row>
    <row r="9" spans="1:13" x14ac:dyDescent="0.25">
      <c r="A9" s="28" t="b">
        <v>0</v>
      </c>
      <c r="B9" t="s">
        <v>34</v>
      </c>
      <c r="C9" t="s">
        <v>0</v>
      </c>
      <c r="D9" t="s">
        <v>35</v>
      </c>
      <c r="E9" s="4">
        <v>1.2631608806821755</v>
      </c>
      <c r="F9" s="50">
        <v>0.05</v>
      </c>
      <c r="G9" s="58">
        <f>G6*E9</f>
        <v>252.63217613643511</v>
      </c>
      <c r="H9" s="58">
        <f>H6*E9</f>
        <v>252.63217613643511</v>
      </c>
      <c r="J9" s="11"/>
      <c r="M9" s="71"/>
    </row>
    <row r="10" spans="1:13" x14ac:dyDescent="0.25">
      <c r="A10" s="28" t="b">
        <v>0</v>
      </c>
      <c r="B10" t="s">
        <v>19</v>
      </c>
      <c r="C10" t="s">
        <v>0</v>
      </c>
      <c r="D10" t="s">
        <v>20</v>
      </c>
      <c r="E10" s="4">
        <v>1.2037378201710121</v>
      </c>
      <c r="F10" s="50">
        <v>0.05</v>
      </c>
      <c r="G10" s="58">
        <f>E10*G12</f>
        <v>240.74756403420241</v>
      </c>
      <c r="H10" s="58">
        <f>E10*H12</f>
        <v>240.74756403420241</v>
      </c>
      <c r="J10" s="11"/>
      <c r="M10" s="71"/>
    </row>
    <row r="11" spans="1:13" x14ac:dyDescent="0.25">
      <c r="A11" s="28" t="b">
        <v>0</v>
      </c>
      <c r="B11" t="s">
        <v>17</v>
      </c>
      <c r="C11" t="s">
        <v>0</v>
      </c>
      <c r="D11" t="s">
        <v>20</v>
      </c>
      <c r="E11" s="4">
        <v>2.6375249700861234</v>
      </c>
      <c r="F11" s="50">
        <v>0.05</v>
      </c>
      <c r="G11" s="58">
        <f>E11*G12</f>
        <v>527.5049940172247</v>
      </c>
      <c r="H11" s="58">
        <f>E11*H12</f>
        <v>527.5049940172247</v>
      </c>
      <c r="J11" s="11"/>
      <c r="M11" s="71"/>
    </row>
    <row r="12" spans="1:13" x14ac:dyDescent="0.25">
      <c r="A12" s="28" t="b">
        <v>0</v>
      </c>
      <c r="B12" t="s">
        <v>20</v>
      </c>
      <c r="C12" t="s">
        <v>0</v>
      </c>
      <c r="D12" t="s">
        <v>20</v>
      </c>
      <c r="E12" s="4">
        <v>1</v>
      </c>
      <c r="F12" s="50">
        <v>0.05</v>
      </c>
      <c r="G12" s="58">
        <v>200</v>
      </c>
      <c r="H12" s="58">
        <v>200</v>
      </c>
      <c r="J12" s="11"/>
      <c r="M12" s="71"/>
    </row>
    <row r="13" spans="1:13" x14ac:dyDescent="0.25">
      <c r="A13" s="28" t="b">
        <v>0</v>
      </c>
      <c r="B13" t="s">
        <v>16</v>
      </c>
      <c r="C13" t="s">
        <v>0</v>
      </c>
      <c r="D13" t="s">
        <v>20</v>
      </c>
      <c r="E13" s="4">
        <v>3.6815433081562907</v>
      </c>
      <c r="F13" s="50">
        <v>0.05</v>
      </c>
      <c r="G13" s="58">
        <f>G12*E13</f>
        <v>736.30866163125813</v>
      </c>
      <c r="H13" s="58">
        <f>H12*E13</f>
        <v>736.30866163125813</v>
      </c>
      <c r="J13" s="11"/>
      <c r="M13" s="71"/>
    </row>
    <row r="14" spans="1:13" x14ac:dyDescent="0.25">
      <c r="A14" s="28" t="b">
        <v>0</v>
      </c>
      <c r="B14" t="s">
        <v>15</v>
      </c>
      <c r="C14" t="s">
        <v>0</v>
      </c>
      <c r="D14" t="s">
        <v>20</v>
      </c>
      <c r="E14" s="4">
        <v>4.1145355643486976</v>
      </c>
      <c r="F14" s="50">
        <v>0.05</v>
      </c>
      <c r="G14" s="58">
        <f>G12*E14</f>
        <v>822.90711286973954</v>
      </c>
      <c r="H14" s="58">
        <f>H12*E14</f>
        <v>822.90711286973954</v>
      </c>
      <c r="J14" s="11"/>
      <c r="M14" s="71"/>
    </row>
    <row r="15" spans="1:13" x14ac:dyDescent="0.25">
      <c r="A15" s="28" t="b">
        <v>0</v>
      </c>
      <c r="B15" t="s">
        <v>18</v>
      </c>
      <c r="C15" t="s">
        <v>0</v>
      </c>
      <c r="D15" t="s">
        <v>20</v>
      </c>
      <c r="E15" s="4">
        <v>2.6020554340044062</v>
      </c>
      <c r="F15" s="50">
        <v>0.05</v>
      </c>
      <c r="G15" s="58">
        <f>G12*E15</f>
        <v>520.41108680088121</v>
      </c>
      <c r="H15" s="58">
        <f>H12*E15</f>
        <v>520.41108680088121</v>
      </c>
      <c r="J15" s="11"/>
      <c r="M15" s="71"/>
    </row>
    <row r="16" spans="1:13" x14ac:dyDescent="0.25">
      <c r="A16" s="28" t="b">
        <v>0</v>
      </c>
      <c r="B16" t="s">
        <v>23</v>
      </c>
      <c r="C16" t="s">
        <v>0</v>
      </c>
      <c r="D16" t="s">
        <v>23</v>
      </c>
      <c r="E16" s="4">
        <v>1</v>
      </c>
      <c r="F16" s="50">
        <v>0.05</v>
      </c>
      <c r="G16" s="58">
        <v>200</v>
      </c>
      <c r="H16" s="58">
        <v>200</v>
      </c>
      <c r="J16" s="11"/>
      <c r="M16" s="71"/>
    </row>
    <row r="17" spans="1:13" x14ac:dyDescent="0.25">
      <c r="A17" s="28" t="b">
        <v>0</v>
      </c>
      <c r="B17" t="s">
        <v>21</v>
      </c>
      <c r="C17" t="s">
        <v>0</v>
      </c>
      <c r="D17" t="s">
        <v>23</v>
      </c>
      <c r="E17" s="4">
        <v>4.2364108811769645</v>
      </c>
      <c r="F17" s="50">
        <v>0.05</v>
      </c>
      <c r="G17" s="58">
        <f>G16*E17</f>
        <v>847.28217623539285</v>
      </c>
      <c r="H17" s="58">
        <f>H16*E17</f>
        <v>847.28217623539285</v>
      </c>
      <c r="J17" s="11"/>
      <c r="M17" s="71"/>
    </row>
    <row r="18" spans="1:13" x14ac:dyDescent="0.25">
      <c r="A18" s="28" t="b">
        <v>0</v>
      </c>
      <c r="B18" t="s">
        <v>22</v>
      </c>
      <c r="C18" t="s">
        <v>0</v>
      </c>
      <c r="D18" t="s">
        <v>23</v>
      </c>
      <c r="E18" s="4">
        <v>2.0175150563722974</v>
      </c>
      <c r="F18" s="50">
        <v>0.05</v>
      </c>
      <c r="G18" s="58">
        <f>G16*E18</f>
        <v>403.50301127445948</v>
      </c>
      <c r="H18" s="58">
        <f>H16*E18</f>
        <v>403.50301127445948</v>
      </c>
      <c r="J18" s="11"/>
      <c r="M18" s="71"/>
    </row>
    <row r="19" spans="1:13" x14ac:dyDescent="0.25">
      <c r="A19" s="28" t="b">
        <v>0</v>
      </c>
      <c r="B19" t="s">
        <v>4</v>
      </c>
      <c r="C19" t="s">
        <v>0</v>
      </c>
      <c r="D19" t="s">
        <v>4</v>
      </c>
      <c r="E19" s="4">
        <v>1</v>
      </c>
      <c r="F19" s="50">
        <v>0.05</v>
      </c>
      <c r="G19" s="58">
        <f>G16*E19</f>
        <v>200</v>
      </c>
      <c r="H19" s="58">
        <f>H16*E19</f>
        <v>200</v>
      </c>
      <c r="J19" s="11"/>
      <c r="M19" s="71"/>
    </row>
    <row r="20" spans="1:13" x14ac:dyDescent="0.25">
      <c r="A20" s="28" t="b">
        <v>0</v>
      </c>
      <c r="B20" t="s">
        <v>24</v>
      </c>
      <c r="C20" t="s">
        <v>0</v>
      </c>
      <c r="D20" t="s">
        <v>4</v>
      </c>
      <c r="E20" s="4">
        <v>2.350848962303723</v>
      </c>
      <c r="F20" s="50">
        <v>0.05</v>
      </c>
      <c r="G20" s="58">
        <f>G19*E20</f>
        <v>470.16979246074459</v>
      </c>
      <c r="H20" s="58">
        <f>H19*E20</f>
        <v>470.16979246074459</v>
      </c>
      <c r="J20" s="11"/>
      <c r="M20" s="71"/>
    </row>
    <row r="21" spans="1:13" x14ac:dyDescent="0.25">
      <c r="A21" s="28" t="b">
        <v>0</v>
      </c>
      <c r="B21" t="s">
        <v>3</v>
      </c>
      <c r="C21" t="s">
        <v>0</v>
      </c>
      <c r="D21" t="s">
        <v>4</v>
      </c>
      <c r="E21" s="4">
        <v>2.1279729198254889</v>
      </c>
      <c r="F21" s="50">
        <v>0.05</v>
      </c>
      <c r="G21" s="58">
        <f>G19*E21</f>
        <v>425.5945839650978</v>
      </c>
      <c r="H21" s="58">
        <f>H19*E21</f>
        <v>425.5945839650978</v>
      </c>
      <c r="J21" s="11"/>
      <c r="M21" s="71"/>
    </row>
    <row r="22" spans="1:13" x14ac:dyDescent="0.25">
      <c r="A22" s="28" t="b">
        <v>0</v>
      </c>
      <c r="B22" t="s">
        <v>26</v>
      </c>
      <c r="C22" t="s">
        <v>0</v>
      </c>
      <c r="D22" t="s">
        <v>27</v>
      </c>
      <c r="E22" s="4">
        <v>1.5009812671592466</v>
      </c>
      <c r="F22" s="50">
        <v>0.05</v>
      </c>
      <c r="G22" s="58">
        <f>E22*G24</f>
        <v>300.1962534318493</v>
      </c>
      <c r="H22" s="58">
        <f>E22*H24</f>
        <v>300.1962534318493</v>
      </c>
      <c r="J22" s="11"/>
      <c r="M22" s="71"/>
    </row>
    <row r="23" spans="1:13" x14ac:dyDescent="0.25">
      <c r="A23" s="28" t="b">
        <v>0</v>
      </c>
      <c r="B23" t="s">
        <v>25</v>
      </c>
      <c r="C23" t="s">
        <v>0</v>
      </c>
      <c r="D23" t="s">
        <v>27</v>
      </c>
      <c r="E23" s="4">
        <v>3.3608607302102995</v>
      </c>
      <c r="F23" s="50">
        <v>0.05</v>
      </c>
      <c r="G23" s="58">
        <f>E23*G24</f>
        <v>672.17214604205992</v>
      </c>
      <c r="H23" s="58">
        <f>E23*H24</f>
        <v>672.17214604205992</v>
      </c>
      <c r="J23" s="11"/>
      <c r="M23" s="71"/>
    </row>
    <row r="24" spans="1:13" x14ac:dyDescent="0.25">
      <c r="A24" s="28" t="b">
        <v>0</v>
      </c>
      <c r="B24" t="s">
        <v>27</v>
      </c>
      <c r="C24" t="s">
        <v>0</v>
      </c>
      <c r="D24" t="s">
        <v>27</v>
      </c>
      <c r="E24" s="4">
        <v>1</v>
      </c>
      <c r="F24" s="50">
        <v>0.05</v>
      </c>
      <c r="G24" s="58">
        <v>200</v>
      </c>
      <c r="H24" s="58">
        <v>200</v>
      </c>
      <c r="J24" s="11"/>
      <c r="M24" s="71"/>
    </row>
    <row r="25" spans="1:13" x14ac:dyDescent="0.25">
      <c r="A25" s="28" t="b">
        <v>0</v>
      </c>
      <c r="B25" t="s">
        <v>29</v>
      </c>
      <c r="C25" t="s">
        <v>0</v>
      </c>
      <c r="D25" t="s">
        <v>31</v>
      </c>
      <c r="E25" s="4">
        <v>1.7625703164347744</v>
      </c>
      <c r="F25" s="50">
        <v>0.05</v>
      </c>
      <c r="G25" s="58">
        <f>E25*G28</f>
        <v>352.51406328695487</v>
      </c>
      <c r="H25" s="58">
        <f>E25*H28</f>
        <v>352.51406328695487</v>
      </c>
      <c r="J25" s="11"/>
      <c r="M25" s="71"/>
    </row>
    <row r="26" spans="1:13" x14ac:dyDescent="0.25">
      <c r="A26" s="28" t="b">
        <v>0</v>
      </c>
      <c r="B26" t="s">
        <v>28</v>
      </c>
      <c r="C26" t="s">
        <v>0</v>
      </c>
      <c r="D26" t="s">
        <v>31</v>
      </c>
      <c r="E26" s="4">
        <v>2.1028149311852031</v>
      </c>
      <c r="F26" s="50">
        <v>0.05</v>
      </c>
      <c r="G26" s="58">
        <f>E26*G28</f>
        <v>420.5629862370406</v>
      </c>
      <c r="H26" s="58">
        <f>E26*H28</f>
        <v>420.5629862370406</v>
      </c>
      <c r="J26" s="11"/>
      <c r="M26" s="71"/>
    </row>
    <row r="27" spans="1:13" x14ac:dyDescent="0.25">
      <c r="A27" s="28" t="b">
        <v>0</v>
      </c>
      <c r="B27" t="s">
        <v>30</v>
      </c>
      <c r="C27" t="s">
        <v>0</v>
      </c>
      <c r="D27" t="s">
        <v>31</v>
      </c>
      <c r="E27" s="4">
        <v>0.64168474691649557</v>
      </c>
      <c r="F27" s="50">
        <v>0.05</v>
      </c>
      <c r="G27" s="58">
        <f>E27*G28</f>
        <v>128.33694938329913</v>
      </c>
      <c r="H27" s="58">
        <f>E27*H28</f>
        <v>128.33694938329913</v>
      </c>
      <c r="J27" s="11"/>
      <c r="M27" s="71"/>
    </row>
    <row r="28" spans="1:13" x14ac:dyDescent="0.25">
      <c r="A28" s="28" t="b">
        <v>0</v>
      </c>
      <c r="B28" t="s">
        <v>31</v>
      </c>
      <c r="C28" t="s">
        <v>0</v>
      </c>
      <c r="D28" t="s">
        <v>31</v>
      </c>
      <c r="E28" s="4">
        <v>1</v>
      </c>
      <c r="F28" s="50">
        <v>0.05</v>
      </c>
      <c r="G28" s="58">
        <v>200</v>
      </c>
      <c r="H28" s="58">
        <v>200</v>
      </c>
      <c r="J28" s="11"/>
      <c r="M28" s="7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2026-08-21T15:00:07Z</dcterms:modified>
</cp:coreProperties>
</file>