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295DD19E-1868-4E04-A6A9-21A6CB3514E1}" xr6:coauthVersionLast="47" xr6:coauthVersionMax="47" xr10:uidLastSave="{00000000-0000-0000-0000-000000000000}"/>
  <bookViews>
    <workbookView xWindow="29040" yWindow="1290" windowWidth="28035" windowHeight="13980" tabRatio="762" activeTab="3" xr2:uid="{7864433A-DFC4-4915-B0C9-D347D4BABFCE}"/>
  </bookViews>
  <sheets>
    <sheet name="ADMIN INPUTS" sheetId="15" r:id="rId1"/>
    <sheet name="ANCHOR INPUTS" sheetId="16" r:id="rId2"/>
    <sheet name="MKT DATA" sheetId="19" r:id="rId3"/>
    <sheet name="FIXED INCOME" sheetId="20" r:id="rId4"/>
    <sheet name="SECTORS" sheetId="23" r:id="rId5"/>
    <sheet name="SCALARS" sheetId="21" r:id="rId6"/>
    <sheet name="TRADING INPUTS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" i="20" l="1"/>
  <c r="D19" i="20"/>
  <c r="C19" i="20"/>
  <c r="AA15" i="20"/>
  <c r="Z15" i="20"/>
  <c r="Y15" i="20"/>
  <c r="X15" i="20"/>
  <c r="AA13" i="20"/>
  <c r="Z13" i="20"/>
  <c r="Y13" i="20"/>
  <c r="X13" i="20"/>
  <c r="AA11" i="20"/>
  <c r="Z11" i="20"/>
  <c r="Y11" i="20"/>
  <c r="X11" i="20"/>
  <c r="AA9" i="20"/>
  <c r="Z9" i="20"/>
  <c r="Y9" i="20"/>
  <c r="X9" i="20"/>
  <c r="AA7" i="20"/>
  <c r="Z7" i="20"/>
  <c r="Y7" i="20"/>
  <c r="X7" i="20"/>
  <c r="AA5" i="20"/>
  <c r="Z5" i="20"/>
  <c r="Y5" i="20"/>
  <c r="X5" i="20"/>
  <c r="AA3" i="20"/>
  <c r="Z3" i="20"/>
  <c r="Y3" i="20"/>
  <c r="X3" i="20"/>
  <c r="C16" i="20" a="1"/>
  <c r="C15" i="20" a="1"/>
  <c r="C14" i="20" a="1"/>
  <c r="C13" i="20" a="1"/>
  <c r="C12" i="20" a="1"/>
  <c r="C11" i="20" a="1"/>
  <c r="C10" i="20" a="1"/>
  <c r="C9" i="20" a="1"/>
  <c r="C8" i="20" a="1"/>
  <c r="C7" i="20" a="1"/>
  <c r="C6" i="20" a="1"/>
  <c r="C5" i="20" a="1"/>
  <c r="C4" i="20" a="1"/>
  <c r="C3" i="20" a="1"/>
  <c r="M33" i="23" a="1"/>
  <c r="P33" i="23" s="1"/>
  <c r="L33" i="23" a="1"/>
  <c r="O33" i="23" s="1"/>
  <c r="R33" i="23" s="1"/>
  <c r="H33" i="23" a="1"/>
  <c r="M32" i="23" a="1"/>
  <c r="P32" i="23" s="1"/>
  <c r="L32" i="23" a="1"/>
  <c r="O32" i="23" s="1"/>
  <c r="R32" i="23" s="1"/>
  <c r="H32" i="23" a="1"/>
  <c r="M29" i="23" a="1"/>
  <c r="P29" i="23" s="1"/>
  <c r="L29" i="23" a="1"/>
  <c r="O29" i="23" s="1"/>
  <c r="R29" i="23" s="1"/>
  <c r="H29" i="23" a="1"/>
  <c r="M28" i="23" a="1"/>
  <c r="P28" i="23" s="1"/>
  <c r="L28" i="23" a="1"/>
  <c r="O28" i="23" s="1"/>
  <c r="R28" i="23" s="1"/>
  <c r="H28" i="23" a="1"/>
  <c r="AA5" i="23"/>
  <c r="Z5" i="23"/>
  <c r="Y5" i="23"/>
  <c r="X5" i="23"/>
  <c r="AA17" i="23"/>
  <c r="Z17" i="23"/>
  <c r="Y17" i="23"/>
  <c r="X17" i="23"/>
  <c r="AA9" i="23"/>
  <c r="Z9" i="23"/>
  <c r="Y9" i="23"/>
  <c r="X9" i="23"/>
  <c r="M10" i="23" a="1"/>
  <c r="P10" i="23" s="1"/>
  <c r="L10" i="23" a="1"/>
  <c r="O10" i="23" s="1"/>
  <c r="R10" i="23" s="1"/>
  <c r="M9" i="23" a="1"/>
  <c r="P9" i="23" s="1"/>
  <c r="L9" i="23" a="1"/>
  <c r="O9" i="23" s="1"/>
  <c r="R9" i="23" s="1"/>
  <c r="M6" i="23" a="1"/>
  <c r="P6" i="23" s="1"/>
  <c r="L6" i="23" a="1"/>
  <c r="O6" i="23" s="1"/>
  <c r="R6" i="23" s="1"/>
  <c r="M5" i="23" a="1"/>
  <c r="P5" i="23" s="1"/>
  <c r="L5" i="23" a="1"/>
  <c r="O5" i="23" s="1"/>
  <c r="R5" i="23" s="1"/>
  <c r="H10" i="23" a="1"/>
  <c r="H9" i="23" a="1"/>
  <c r="H6" i="23" a="1"/>
  <c r="H5" i="23" a="1"/>
  <c r="E33" i="23" a="1"/>
  <c r="E32" i="23" a="1"/>
  <c r="E29" i="23" a="1"/>
  <c r="E28" i="23" a="1"/>
  <c r="Q33" i="23" a="1"/>
  <c r="Q32" i="23" a="1"/>
  <c r="S32" i="23" s="1"/>
  <c r="Q29" i="23" a="1"/>
  <c r="S29" i="23" s="1"/>
  <c r="Q28" i="23" a="1"/>
  <c r="S28" i="23" s="1"/>
  <c r="Q10" i="23" a="1"/>
  <c r="Q9" i="23" a="1"/>
  <c r="Q6" i="23" a="1"/>
  <c r="Q5" i="23" a="1"/>
  <c r="B2" i="24"/>
  <c r="C2" i="24"/>
  <c r="D2" i="24"/>
  <c r="E2" i="24"/>
  <c r="F2" i="24"/>
  <c r="G2" i="24"/>
  <c r="B3" i="24"/>
  <c r="C3" i="24"/>
  <c r="D3" i="24"/>
  <c r="E3" i="24"/>
  <c r="F3" i="24"/>
  <c r="G3" i="24"/>
  <c r="B4" i="24"/>
  <c r="C4" i="24"/>
  <c r="D4" i="24"/>
  <c r="E4" i="24"/>
  <c r="F4" i="24"/>
  <c r="G4" i="24"/>
  <c r="B5" i="24"/>
  <c r="C5" i="24"/>
  <c r="D5" i="24"/>
  <c r="E5" i="24"/>
  <c r="F5" i="24"/>
  <c r="G5" i="24"/>
  <c r="B6" i="24"/>
  <c r="C6" i="24"/>
  <c r="D6" i="24"/>
  <c r="E6" i="24"/>
  <c r="F6" i="24"/>
  <c r="G6" i="24"/>
  <c r="B7" i="24"/>
  <c r="C7" i="24"/>
  <c r="D7" i="24"/>
  <c r="E7" i="24"/>
  <c r="F7" i="24"/>
  <c r="G7" i="24"/>
  <c r="B8" i="24"/>
  <c r="C8" i="24"/>
  <c r="D8" i="24"/>
  <c r="E8" i="24"/>
  <c r="F8" i="24"/>
  <c r="G8" i="24"/>
  <c r="B9" i="24"/>
  <c r="C9" i="24"/>
  <c r="D9" i="24"/>
  <c r="E9" i="24"/>
  <c r="F9" i="24"/>
  <c r="G9" i="24"/>
  <c r="B10" i="24"/>
  <c r="C10" i="24"/>
  <c r="D10" i="24"/>
  <c r="E10" i="24"/>
  <c r="F10" i="24"/>
  <c r="G10" i="24"/>
  <c r="B11" i="24"/>
  <c r="C11" i="24"/>
  <c r="D11" i="24"/>
  <c r="E11" i="24"/>
  <c r="F11" i="24"/>
  <c r="G11" i="24"/>
  <c r="B12" i="24"/>
  <c r="C12" i="24"/>
  <c r="D12" i="24"/>
  <c r="E12" i="24"/>
  <c r="F12" i="24"/>
  <c r="G12" i="24"/>
  <c r="B13" i="24"/>
  <c r="C13" i="24"/>
  <c r="D13" i="24"/>
  <c r="E13" i="24"/>
  <c r="F13" i="24"/>
  <c r="G13" i="24"/>
  <c r="B14" i="24"/>
  <c r="C14" i="24"/>
  <c r="D14" i="24"/>
  <c r="E14" i="24"/>
  <c r="F14" i="24"/>
  <c r="G14" i="24"/>
  <c r="B15" i="24"/>
  <c r="C15" i="24"/>
  <c r="D15" i="24"/>
  <c r="E15" i="24"/>
  <c r="F15" i="24"/>
  <c r="G15" i="24"/>
  <c r="B16" i="24"/>
  <c r="C16" i="24"/>
  <c r="D16" i="24"/>
  <c r="E16" i="24"/>
  <c r="F16" i="24"/>
  <c r="G16" i="24"/>
  <c r="B17" i="24"/>
  <c r="C17" i="24"/>
  <c r="D17" i="24"/>
  <c r="E17" i="24"/>
  <c r="F17" i="24"/>
  <c r="G17" i="24"/>
  <c r="B18" i="24"/>
  <c r="C18" i="24"/>
  <c r="D18" i="24"/>
  <c r="E18" i="24"/>
  <c r="F18" i="24"/>
  <c r="G18" i="24"/>
  <c r="B19" i="24"/>
  <c r="C19" i="24"/>
  <c r="D19" i="24"/>
  <c r="E19" i="24"/>
  <c r="F19" i="24"/>
  <c r="G19" i="24"/>
  <c r="B20" i="24"/>
  <c r="C20" i="24"/>
  <c r="D20" i="24"/>
  <c r="E20" i="24"/>
  <c r="F20" i="24"/>
  <c r="G20" i="24"/>
  <c r="B21" i="24"/>
  <c r="C21" i="24"/>
  <c r="D21" i="24"/>
  <c r="E21" i="24"/>
  <c r="F21" i="24"/>
  <c r="G21" i="24"/>
  <c r="B22" i="24"/>
  <c r="C22" i="24"/>
  <c r="D22" i="24"/>
  <c r="E22" i="24"/>
  <c r="F22" i="24"/>
  <c r="G22" i="24"/>
  <c r="B23" i="24"/>
  <c r="C23" i="24"/>
  <c r="D23" i="24"/>
  <c r="E23" i="24"/>
  <c r="F23" i="24"/>
  <c r="G23" i="24"/>
  <c r="B24" i="24"/>
  <c r="C24" i="24"/>
  <c r="D24" i="24"/>
  <c r="E24" i="24"/>
  <c r="F24" i="24"/>
  <c r="G24" i="24"/>
  <c r="B25" i="24"/>
  <c r="C25" i="24"/>
  <c r="D25" i="24"/>
  <c r="E25" i="24"/>
  <c r="F25" i="24"/>
  <c r="G25" i="24"/>
  <c r="B26" i="24"/>
  <c r="C26" i="24"/>
  <c r="D26" i="24"/>
  <c r="E26" i="24"/>
  <c r="F26" i="24"/>
  <c r="G26" i="24"/>
  <c r="B27" i="24"/>
  <c r="C27" i="24"/>
  <c r="D27" i="24"/>
  <c r="E27" i="24"/>
  <c r="F27" i="24"/>
  <c r="G27" i="24"/>
  <c r="B28" i="24"/>
  <c r="C28" i="24"/>
  <c r="D28" i="24"/>
  <c r="E28" i="24"/>
  <c r="F28" i="24"/>
  <c r="G28" i="24"/>
  <c r="B29" i="24"/>
  <c r="C29" i="24"/>
  <c r="D29" i="24"/>
  <c r="E29" i="24"/>
  <c r="F29" i="24"/>
  <c r="G29" i="24"/>
  <c r="B30" i="24"/>
  <c r="C30" i="24"/>
  <c r="D30" i="24"/>
  <c r="E30" i="24"/>
  <c r="F30" i="24"/>
  <c r="G30" i="24"/>
  <c r="B31" i="24"/>
  <c r="C31" i="24"/>
  <c r="D31" i="24"/>
  <c r="E31" i="24"/>
  <c r="F31" i="24"/>
  <c r="G31" i="24"/>
  <c r="B32" i="24"/>
  <c r="C32" i="24"/>
  <c r="D32" i="24"/>
  <c r="E32" i="24"/>
  <c r="F32" i="24"/>
  <c r="G32" i="24"/>
  <c r="B33" i="24"/>
  <c r="C33" i="24"/>
  <c r="D33" i="24"/>
  <c r="E33" i="24"/>
  <c r="F33" i="24"/>
  <c r="G33" i="24"/>
  <c r="B34" i="24"/>
  <c r="C34" i="24"/>
  <c r="D34" i="24"/>
  <c r="E34" i="24"/>
  <c r="F34" i="24"/>
  <c r="G34" i="24"/>
  <c r="B35" i="24"/>
  <c r="C35" i="24"/>
  <c r="D35" i="24"/>
  <c r="E35" i="24"/>
  <c r="F35" i="24"/>
  <c r="G35" i="24"/>
  <c r="B36" i="24"/>
  <c r="C36" i="24"/>
  <c r="D36" i="24"/>
  <c r="E36" i="24"/>
  <c r="F36" i="24"/>
  <c r="G36" i="24"/>
  <c r="B37" i="24"/>
  <c r="C37" i="24"/>
  <c r="D37" i="24"/>
  <c r="E37" i="24"/>
  <c r="F37" i="24"/>
  <c r="G37" i="24"/>
  <c r="B38" i="24"/>
  <c r="C38" i="24"/>
  <c r="D38" i="24"/>
  <c r="E38" i="24"/>
  <c r="F38" i="24"/>
  <c r="G38" i="24"/>
  <c r="B39" i="24"/>
  <c r="C39" i="24"/>
  <c r="D39" i="24"/>
  <c r="E39" i="24"/>
  <c r="F39" i="24"/>
  <c r="G39" i="24"/>
  <c r="B40" i="24"/>
  <c r="C40" i="24"/>
  <c r="D40" i="24"/>
  <c r="E40" i="24"/>
  <c r="F40" i="24"/>
  <c r="G40" i="24"/>
  <c r="B41" i="24"/>
  <c r="C41" i="24"/>
  <c r="D41" i="24"/>
  <c r="E41" i="24"/>
  <c r="F41" i="24"/>
  <c r="G41" i="24"/>
  <c r="B42" i="24"/>
  <c r="C42" i="24"/>
  <c r="D42" i="24"/>
  <c r="E42" i="24"/>
  <c r="F42" i="24"/>
  <c r="G42" i="24"/>
  <c r="B43" i="24"/>
  <c r="C43" i="24"/>
  <c r="D43" i="24"/>
  <c r="E43" i="24"/>
  <c r="F43" i="24"/>
  <c r="G43" i="24"/>
  <c r="B44" i="24"/>
  <c r="C44" i="24"/>
  <c r="D44" i="24"/>
  <c r="E44" i="24"/>
  <c r="F44" i="24"/>
  <c r="G44" i="24"/>
  <c r="B45" i="24"/>
  <c r="C45" i="24"/>
  <c r="D45" i="24"/>
  <c r="E45" i="24"/>
  <c r="F45" i="24"/>
  <c r="G45" i="24"/>
  <c r="B46" i="24"/>
  <c r="C46" i="24"/>
  <c r="D46" i="24"/>
  <c r="E46" i="24"/>
  <c r="F46" i="24"/>
  <c r="G46" i="24"/>
  <c r="B47" i="24"/>
  <c r="C47" i="24"/>
  <c r="D47" i="24"/>
  <c r="E47" i="24"/>
  <c r="F47" i="24"/>
  <c r="G47" i="24"/>
  <c r="B48" i="24"/>
  <c r="C48" i="24"/>
  <c r="D48" i="24"/>
  <c r="E48" i="24"/>
  <c r="F48" i="24"/>
  <c r="G48" i="24"/>
  <c r="B49" i="24"/>
  <c r="C49" i="24"/>
  <c r="D49" i="24"/>
  <c r="E49" i="24"/>
  <c r="F49" i="24"/>
  <c r="G49" i="24"/>
  <c r="B50" i="24"/>
  <c r="C50" i="24"/>
  <c r="D50" i="24"/>
  <c r="E50" i="24"/>
  <c r="F50" i="24"/>
  <c r="G50" i="24"/>
  <c r="B51" i="24"/>
  <c r="C51" i="24"/>
  <c r="D51" i="24"/>
  <c r="E51" i="24"/>
  <c r="F51" i="24"/>
  <c r="G51" i="24"/>
  <c r="B52" i="24"/>
  <c r="C52" i="24"/>
  <c r="D52" i="24"/>
  <c r="E52" i="24"/>
  <c r="F52" i="24"/>
  <c r="G52" i="24"/>
  <c r="B53" i="24"/>
  <c r="C53" i="24"/>
  <c r="D53" i="24"/>
  <c r="E53" i="24"/>
  <c r="F53" i="24"/>
  <c r="G53" i="24"/>
  <c r="B54" i="24"/>
  <c r="C54" i="24"/>
  <c r="D54" i="24"/>
  <c r="E54" i="24"/>
  <c r="F54" i="24"/>
  <c r="G54" i="24"/>
  <c r="B55" i="24"/>
  <c r="C55" i="24"/>
  <c r="D55" i="24"/>
  <c r="E55" i="24"/>
  <c r="F55" i="24"/>
  <c r="G55" i="24"/>
  <c r="B56" i="24"/>
  <c r="C56" i="24"/>
  <c r="D56" i="24"/>
  <c r="E56" i="24"/>
  <c r="F56" i="24"/>
  <c r="G56" i="24"/>
  <c r="B57" i="24"/>
  <c r="C57" i="24"/>
  <c r="D57" i="24"/>
  <c r="E57" i="24"/>
  <c r="F57" i="24"/>
  <c r="G57" i="24"/>
  <c r="B58" i="24"/>
  <c r="C58" i="24"/>
  <c r="D58" i="24"/>
  <c r="E58" i="24"/>
  <c r="F58" i="24"/>
  <c r="G58" i="24"/>
  <c r="B59" i="24"/>
  <c r="C59" i="24"/>
  <c r="D59" i="24"/>
  <c r="E59" i="24"/>
  <c r="F59" i="24"/>
  <c r="G59" i="24"/>
  <c r="B60" i="24"/>
  <c r="C60" i="24"/>
  <c r="D60" i="24"/>
  <c r="E60" i="24"/>
  <c r="F60" i="24"/>
  <c r="G60" i="24"/>
  <c r="B61" i="24"/>
  <c r="C61" i="24"/>
  <c r="D61" i="24"/>
  <c r="E61" i="24"/>
  <c r="F61" i="24"/>
  <c r="G61" i="24"/>
  <c r="B62" i="24"/>
  <c r="C62" i="24"/>
  <c r="D62" i="24"/>
  <c r="E62" i="24"/>
  <c r="F62" i="24"/>
  <c r="G62" i="24"/>
  <c r="B63" i="24"/>
  <c r="C63" i="24"/>
  <c r="D63" i="24"/>
  <c r="E63" i="24"/>
  <c r="F63" i="24"/>
  <c r="G63" i="24"/>
  <c r="B64" i="24"/>
  <c r="C64" i="24"/>
  <c r="D64" i="24"/>
  <c r="E64" i="24"/>
  <c r="F64" i="24"/>
  <c r="G64" i="24"/>
  <c r="B65" i="24"/>
  <c r="C65" i="24"/>
  <c r="D65" i="24"/>
  <c r="E65" i="24"/>
  <c r="F65" i="24"/>
  <c r="G65" i="24"/>
  <c r="B66" i="24"/>
  <c r="C66" i="24"/>
  <c r="D66" i="24"/>
  <c r="E66" i="24"/>
  <c r="F66" i="24"/>
  <c r="G66" i="24"/>
  <c r="B67" i="24"/>
  <c r="C67" i="24"/>
  <c r="D67" i="24"/>
  <c r="E67" i="24"/>
  <c r="F67" i="24"/>
  <c r="G67" i="24"/>
  <c r="B68" i="24"/>
  <c r="C68" i="24"/>
  <c r="D68" i="24"/>
  <c r="E68" i="24"/>
  <c r="F68" i="24"/>
  <c r="G68" i="24"/>
  <c r="B69" i="24"/>
  <c r="C69" i="24"/>
  <c r="D69" i="24"/>
  <c r="E69" i="24"/>
  <c r="F69" i="24"/>
  <c r="G69" i="24"/>
  <c r="B70" i="24"/>
  <c r="C70" i="24"/>
  <c r="D70" i="24"/>
  <c r="E70" i="24"/>
  <c r="F70" i="24"/>
  <c r="G70" i="24"/>
  <c r="B71" i="24"/>
  <c r="C71" i="24"/>
  <c r="D71" i="24"/>
  <c r="E71" i="24"/>
  <c r="F71" i="24"/>
  <c r="G71" i="24"/>
  <c r="B72" i="24"/>
  <c r="C72" i="24"/>
  <c r="D72" i="24"/>
  <c r="E72" i="24"/>
  <c r="F72" i="24"/>
  <c r="G72" i="24"/>
  <c r="B73" i="24"/>
  <c r="C73" i="24"/>
  <c r="D73" i="24"/>
  <c r="E73" i="24"/>
  <c r="F73" i="24"/>
  <c r="G73" i="24"/>
  <c r="C1" i="24"/>
  <c r="D1" i="24"/>
  <c r="E1" i="24"/>
  <c r="F1" i="24"/>
  <c r="G1" i="24"/>
  <c r="B1" i="24"/>
  <c r="B4" i="15" a="1"/>
  <c r="D21" i="23"/>
  <c r="AA36" i="23"/>
  <c r="Z36" i="23"/>
  <c r="Y36" i="23"/>
  <c r="X36" i="23"/>
  <c r="AA34" i="23"/>
  <c r="Z34" i="23"/>
  <c r="Y34" i="23"/>
  <c r="X34" i="23"/>
  <c r="AA24" i="23"/>
  <c r="Z24" i="23"/>
  <c r="Y24" i="23"/>
  <c r="X24" i="23"/>
  <c r="AA22" i="23"/>
  <c r="Z22" i="23"/>
  <c r="Y22" i="23"/>
  <c r="X22" i="23"/>
  <c r="AA15" i="23"/>
  <c r="Z15" i="23"/>
  <c r="Y15" i="23"/>
  <c r="X15" i="23"/>
  <c r="AA13" i="23"/>
  <c r="Z13" i="23"/>
  <c r="Y13" i="23"/>
  <c r="X13" i="23"/>
  <c r="AA11" i="23"/>
  <c r="Z11" i="23"/>
  <c r="Y11" i="23"/>
  <c r="X11" i="23"/>
  <c r="AA7" i="23"/>
  <c r="Z7" i="23"/>
  <c r="Y7" i="23"/>
  <c r="X7" i="23"/>
  <c r="Y3" i="23"/>
  <c r="U21" i="23"/>
  <c r="T21" i="23"/>
  <c r="W21" i="23"/>
  <c r="V21" i="23"/>
  <c r="U20" i="23"/>
  <c r="T20" i="23"/>
  <c r="W20" i="23"/>
  <c r="V20" i="23"/>
  <c r="E37" i="23" a="1"/>
  <c r="C37" i="23" a="1"/>
  <c r="E36" i="23" a="1"/>
  <c r="C36" i="23" a="1"/>
  <c r="E35" i="23" a="1"/>
  <c r="C35" i="23" a="1"/>
  <c r="E34" i="23" a="1"/>
  <c r="C34" i="23" a="1"/>
  <c r="C33" i="23" a="1"/>
  <c r="C32" i="23" a="1"/>
  <c r="E31" i="23" a="1"/>
  <c r="C31" i="23" a="1"/>
  <c r="E30" i="23" a="1"/>
  <c r="C30" i="23" a="1"/>
  <c r="C29" i="23" a="1"/>
  <c r="C28" i="23" a="1"/>
  <c r="E27" i="23" a="1"/>
  <c r="C27" i="23" a="1"/>
  <c r="E26" i="23" a="1"/>
  <c r="C26" i="23" a="1"/>
  <c r="E25" i="23" a="1"/>
  <c r="C25" i="23" a="1"/>
  <c r="E24" i="23" a="1"/>
  <c r="C24" i="23" a="1"/>
  <c r="E23" i="23" a="1"/>
  <c r="C23" i="23" a="1"/>
  <c r="E22" i="23" a="1"/>
  <c r="C22" i="23" a="1"/>
  <c r="E18" i="23" a="1"/>
  <c r="C18" i="23" a="1"/>
  <c r="E17" i="23" a="1"/>
  <c r="C17" i="23" a="1"/>
  <c r="E16" i="23" a="1"/>
  <c r="C16" i="23" a="1"/>
  <c r="E15" i="23" a="1"/>
  <c r="C15" i="23" a="1"/>
  <c r="E14" i="23" a="1"/>
  <c r="C14" i="23" a="1"/>
  <c r="E13" i="23" a="1"/>
  <c r="C13" i="23" a="1"/>
  <c r="E12" i="23" a="1"/>
  <c r="C12" i="23" a="1"/>
  <c r="E11" i="23" a="1"/>
  <c r="C11" i="23" a="1"/>
  <c r="E10" i="23" a="1"/>
  <c r="C10" i="23" a="1"/>
  <c r="E9" i="23" a="1"/>
  <c r="C9" i="23" a="1"/>
  <c r="E8" i="23" a="1"/>
  <c r="C8" i="23" a="1"/>
  <c r="E7" i="23" a="1"/>
  <c r="C7" i="23" a="1"/>
  <c r="E6" i="23" a="1"/>
  <c r="C6" i="23" a="1"/>
  <c r="E5" i="23" a="1"/>
  <c r="C5" i="23" a="1"/>
  <c r="E4" i="23" a="1"/>
  <c r="C4" i="23" a="1"/>
  <c r="C3" i="23" a="1"/>
  <c r="E3" i="23" a="1"/>
  <c r="E45" i="20" a="1"/>
  <c r="E44" i="20" a="1"/>
  <c r="E43" i="20" a="1"/>
  <c r="E42" i="20" a="1"/>
  <c r="E41" i="20" a="1"/>
  <c r="E40" i="20" a="1"/>
  <c r="E39" i="20" a="1"/>
  <c r="E38" i="20" a="1"/>
  <c r="E37" i="20" a="1"/>
  <c r="E36" i="20" a="1"/>
  <c r="E35" i="20" a="1"/>
  <c r="E34" i="20" a="1"/>
  <c r="E33" i="20" a="1"/>
  <c r="E32" i="20" a="1"/>
  <c r="E31" i="20" a="1"/>
  <c r="E30" i="20" a="1"/>
  <c r="E29" i="20" a="1"/>
  <c r="E28" i="20" a="1"/>
  <c r="E27" i="20" a="1"/>
  <c r="E26" i="20" a="1"/>
  <c r="E25" i="20" a="1"/>
  <c r="E24" i="20" a="1"/>
  <c r="E23" i="20" a="1"/>
  <c r="E22" i="20" a="1"/>
  <c r="E21" i="20" a="1"/>
  <c r="E20" i="20" a="1"/>
  <c r="E16" i="20" a="1"/>
  <c r="E15" i="20" a="1"/>
  <c r="E14" i="20" a="1"/>
  <c r="E13" i="20" a="1"/>
  <c r="E12" i="20" a="1"/>
  <c r="E11" i="20" a="1"/>
  <c r="E10" i="20" a="1"/>
  <c r="E9" i="20" a="1"/>
  <c r="E8" i="20" a="1"/>
  <c r="E7" i="20" a="1"/>
  <c r="E6" i="20" a="1"/>
  <c r="E5" i="20" a="1"/>
  <c r="E4" i="20" a="1"/>
  <c r="E3" i="20" a="1"/>
  <c r="L3" i="20" a="1"/>
  <c r="O3" i="20" s="1"/>
  <c r="A19" i="23"/>
  <c r="S18" i="20"/>
  <c r="R18" i="20"/>
  <c r="P18" i="20"/>
  <c r="O18" i="20"/>
  <c r="M18" i="20"/>
  <c r="L18" i="20"/>
  <c r="K18" i="20"/>
  <c r="J18" i="20"/>
  <c r="I18" i="20"/>
  <c r="H18" i="20"/>
  <c r="B18" i="20"/>
  <c r="A18" i="20"/>
  <c r="S19" i="20"/>
  <c r="R19" i="20"/>
  <c r="Q19" i="20"/>
  <c r="P19" i="20"/>
  <c r="O19" i="20"/>
  <c r="M19" i="20"/>
  <c r="L19" i="20"/>
  <c r="K19" i="20"/>
  <c r="J19" i="20"/>
  <c r="I19" i="20"/>
  <c r="H19" i="20"/>
  <c r="F19" i="20"/>
  <c r="E19" i="20"/>
  <c r="B19" i="20"/>
  <c r="A19" i="20"/>
  <c r="AA20" i="23"/>
  <c r="Z20" i="23"/>
  <c r="Y20" i="23"/>
  <c r="X20" i="23"/>
  <c r="S20" i="23"/>
  <c r="R20" i="23"/>
  <c r="P20" i="23"/>
  <c r="O20" i="23"/>
  <c r="M20" i="23"/>
  <c r="L20" i="23"/>
  <c r="K20" i="23"/>
  <c r="J20" i="23"/>
  <c r="I20" i="23"/>
  <c r="H20" i="23"/>
  <c r="B20" i="23"/>
  <c r="A20" i="23"/>
  <c r="AA21" i="23"/>
  <c r="Z21" i="23"/>
  <c r="Y21" i="23"/>
  <c r="X21" i="23"/>
  <c r="S21" i="23"/>
  <c r="R21" i="23"/>
  <c r="Q21" i="23"/>
  <c r="P21" i="23"/>
  <c r="O21" i="23"/>
  <c r="M21" i="23"/>
  <c r="L21" i="23"/>
  <c r="K21" i="23"/>
  <c r="J21" i="23"/>
  <c r="I21" i="23"/>
  <c r="H21" i="23"/>
  <c r="G21" i="23"/>
  <c r="F21" i="23"/>
  <c r="C21" i="23"/>
  <c r="B21" i="23"/>
  <c r="A21" i="23"/>
  <c r="E21" i="23"/>
  <c r="Q37" i="23" a="1"/>
  <c r="Q36" i="23" a="1"/>
  <c r="Q35" i="23" a="1"/>
  <c r="Q34" i="23" a="1"/>
  <c r="Q31" i="23" a="1"/>
  <c r="Q30" i="23" a="1"/>
  <c r="Q27" i="23" a="1"/>
  <c r="Q26" i="23" a="1"/>
  <c r="Q25" i="23" a="1"/>
  <c r="Q24" i="23" a="1"/>
  <c r="Q23" i="23" a="1"/>
  <c r="R40" i="23" s="1"/>
  <c r="Q22" i="23" a="1"/>
  <c r="R39" i="23" s="1"/>
  <c r="Q18" i="23" a="1"/>
  <c r="Q17" i="23" a="1"/>
  <c r="Q16" i="23" a="1"/>
  <c r="Q15" i="23" a="1"/>
  <c r="Q14" i="23" a="1"/>
  <c r="Q13" i="23" a="1"/>
  <c r="Q12" i="23" a="1"/>
  <c r="Q11" i="23" a="1"/>
  <c r="Q8" i="23" a="1"/>
  <c r="Q7" i="23" a="1"/>
  <c r="Q4" i="23" a="1"/>
  <c r="Q3" i="23" a="1"/>
  <c r="Q45" i="20" a="1"/>
  <c r="Q44" i="20" a="1"/>
  <c r="Q43" i="20" a="1"/>
  <c r="Q42" i="20" a="1"/>
  <c r="Q41" i="20" a="1"/>
  <c r="Q40" i="20" a="1"/>
  <c r="Q39" i="20" a="1"/>
  <c r="Q38" i="20" a="1"/>
  <c r="Q37" i="20" a="1"/>
  <c r="Q36" i="20" a="1"/>
  <c r="Q35" i="20" a="1"/>
  <c r="Q34" i="20" a="1"/>
  <c r="Q33" i="20" a="1"/>
  <c r="Q32" i="20" a="1"/>
  <c r="Q31" i="20" a="1"/>
  <c r="Q30" i="20" a="1"/>
  <c r="Q29" i="20" a="1"/>
  <c r="Q28" i="20" a="1"/>
  <c r="Q27" i="20" a="1"/>
  <c r="Q26" i="20" a="1"/>
  <c r="Q25" i="20" a="1"/>
  <c r="Q24" i="20" a="1"/>
  <c r="Q23" i="20" a="1"/>
  <c r="Q22" i="20" a="1"/>
  <c r="Q21" i="20" a="1"/>
  <c r="Q20" i="20" a="1"/>
  <c r="Q16" i="20" a="1"/>
  <c r="Q15" i="20" a="1"/>
  <c r="Q14" i="20" a="1"/>
  <c r="Q13" i="20" a="1"/>
  <c r="Q12" i="20" a="1"/>
  <c r="Q11" i="20" a="1"/>
  <c r="Q10" i="20" a="1"/>
  <c r="Q9" i="20" a="1"/>
  <c r="Q8" i="20" a="1"/>
  <c r="Q7" i="20" a="1"/>
  <c r="Q6" i="20" a="1"/>
  <c r="Q5" i="20" a="1"/>
  <c r="Q4" i="20" a="1"/>
  <c r="Q3" i="20" a="1"/>
  <c r="B33" i="23"/>
  <c r="B32" i="23"/>
  <c r="B29" i="23"/>
  <c r="B28" i="23"/>
  <c r="B10" i="23"/>
  <c r="B9" i="23"/>
  <c r="B6" i="23"/>
  <c r="B5" i="23"/>
  <c r="A33" i="23"/>
  <c r="A32" i="23"/>
  <c r="A29" i="23"/>
  <c r="A28" i="23"/>
  <c r="A10" i="23"/>
  <c r="A9" i="23"/>
  <c r="A6" i="23"/>
  <c r="A5" i="23"/>
  <c r="B37" i="23"/>
  <c r="A37" i="23"/>
  <c r="B36" i="23"/>
  <c r="A36" i="23"/>
  <c r="B35" i="23"/>
  <c r="A35" i="23"/>
  <c r="B34" i="23"/>
  <c r="A34" i="23"/>
  <c r="B31" i="23"/>
  <c r="A31" i="23"/>
  <c r="M30" i="23" a="1"/>
  <c r="P30" i="23" s="1"/>
  <c r="B30" i="23"/>
  <c r="A30" i="23"/>
  <c r="B27" i="23"/>
  <c r="A27" i="23"/>
  <c r="B26" i="23"/>
  <c r="A26" i="23"/>
  <c r="B25" i="23"/>
  <c r="A25" i="23"/>
  <c r="B24" i="23"/>
  <c r="A24" i="23"/>
  <c r="B23" i="23"/>
  <c r="A23" i="23"/>
  <c r="B22" i="23"/>
  <c r="A22" i="23"/>
  <c r="B8" i="23"/>
  <c r="A8" i="23"/>
  <c r="B7" i="23"/>
  <c r="A7" i="23"/>
  <c r="B4" i="23"/>
  <c r="A4" i="23"/>
  <c r="AA3" i="23"/>
  <c r="Z3" i="23"/>
  <c r="X3" i="23"/>
  <c r="B3" i="23"/>
  <c r="A3" i="23"/>
  <c r="B12" i="23"/>
  <c r="A12" i="23"/>
  <c r="B11" i="23"/>
  <c r="A11" i="23"/>
  <c r="B16" i="23"/>
  <c r="A16" i="23"/>
  <c r="B15" i="23"/>
  <c r="A15" i="23"/>
  <c r="B18" i="23"/>
  <c r="A18" i="23"/>
  <c r="B17" i="23"/>
  <c r="A17" i="23"/>
  <c r="B14" i="23"/>
  <c r="A14" i="23"/>
  <c r="B13" i="23"/>
  <c r="A13" i="23"/>
  <c r="H12" i="20" a="1"/>
  <c r="H11" i="20" a="1"/>
  <c r="Y32" i="20"/>
  <c r="Y27" i="20"/>
  <c r="Y23" i="20"/>
  <c r="X32" i="20"/>
  <c r="X27" i="20"/>
  <c r="X23" i="20"/>
  <c r="Y20" i="20"/>
  <c r="X20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17" i="20"/>
  <c r="M34" i="20" a="1"/>
  <c r="P34" i="20" s="1"/>
  <c r="M33" i="20" a="1"/>
  <c r="P33" i="20" s="1"/>
  <c r="M32" i="20" a="1"/>
  <c r="P32" i="20" s="1"/>
  <c r="M31" i="20" a="1"/>
  <c r="P31" i="20" s="1"/>
  <c r="M30" i="20" a="1"/>
  <c r="P30" i="20" s="1"/>
  <c r="M45" i="20" a="1"/>
  <c r="P45" i="20" s="1"/>
  <c r="M44" i="20" a="1"/>
  <c r="P44" i="20" s="1"/>
  <c r="M43" i="20" a="1"/>
  <c r="P43" i="20" s="1"/>
  <c r="M42" i="20" a="1"/>
  <c r="P42" i="20" s="1"/>
  <c r="M29" i="20" a="1"/>
  <c r="P29" i="20" s="1"/>
  <c r="M28" i="20" a="1"/>
  <c r="P28" i="20" s="1"/>
  <c r="M27" i="20" a="1"/>
  <c r="P27" i="20" s="1"/>
  <c r="M26" i="20" a="1"/>
  <c r="P26" i="20" s="1"/>
  <c r="M41" i="20" a="1"/>
  <c r="P41" i="20" s="1"/>
  <c r="M40" i="20" a="1"/>
  <c r="P40" i="20" s="1"/>
  <c r="M39" i="20" a="1"/>
  <c r="P39" i="20" s="1"/>
  <c r="M38" i="20" a="1"/>
  <c r="P38" i="20" s="1"/>
  <c r="M37" i="20" a="1"/>
  <c r="P37" i="20" s="1"/>
  <c r="M36" i="20" a="1"/>
  <c r="P36" i="20" s="1"/>
  <c r="M25" i="20" a="1"/>
  <c r="P25" i="20" s="1"/>
  <c r="M24" i="20" a="1"/>
  <c r="P24" i="20" s="1"/>
  <c r="M23" i="20" a="1"/>
  <c r="P23" i="20" s="1"/>
  <c r="M22" i="20" a="1"/>
  <c r="P22" i="20" s="1"/>
  <c r="M21" i="20" a="1"/>
  <c r="P21" i="20" s="1"/>
  <c r="M20" i="20" a="1"/>
  <c r="P20" i="20" s="1"/>
  <c r="M35" i="20" a="1"/>
  <c r="P35" i="20" s="1"/>
  <c r="A21" i="20"/>
  <c r="B21" i="20"/>
  <c r="A22" i="20"/>
  <c r="B22" i="20"/>
  <c r="A23" i="20"/>
  <c r="B23" i="20"/>
  <c r="A24" i="20"/>
  <c r="B24" i="20"/>
  <c r="A25" i="20"/>
  <c r="B25" i="20"/>
  <c r="A36" i="20"/>
  <c r="B36" i="20"/>
  <c r="A37" i="20"/>
  <c r="B37" i="20"/>
  <c r="A38" i="20"/>
  <c r="B38" i="20"/>
  <c r="A39" i="20"/>
  <c r="B39" i="20"/>
  <c r="A40" i="20"/>
  <c r="B40" i="20"/>
  <c r="A41" i="20"/>
  <c r="B41" i="20"/>
  <c r="A26" i="20"/>
  <c r="B26" i="20"/>
  <c r="A27" i="20"/>
  <c r="B27" i="20"/>
  <c r="A28" i="20"/>
  <c r="B28" i="20"/>
  <c r="A29" i="20"/>
  <c r="B29" i="20"/>
  <c r="A42" i="20"/>
  <c r="B42" i="20"/>
  <c r="A43" i="20"/>
  <c r="B43" i="20"/>
  <c r="A44" i="20"/>
  <c r="B44" i="20"/>
  <c r="A45" i="20"/>
  <c r="B45" i="20"/>
  <c r="A30" i="20"/>
  <c r="B30" i="20"/>
  <c r="A31" i="20"/>
  <c r="B31" i="20"/>
  <c r="A32" i="20"/>
  <c r="B32" i="20"/>
  <c r="A33" i="20"/>
  <c r="B33" i="20"/>
  <c r="A34" i="20"/>
  <c r="B34" i="20"/>
  <c r="A35" i="20"/>
  <c r="B35" i="20"/>
  <c r="B20" i="20"/>
  <c r="A20" i="20"/>
  <c r="H21" i="20" a="1"/>
  <c r="I21" i="20" s="1"/>
  <c r="H20" i="20" a="1"/>
  <c r="H22" i="20" a="1"/>
  <c r="I22" i="20" s="1"/>
  <c r="H23" i="20" a="1"/>
  <c r="H24" i="20" a="1"/>
  <c r="I24" i="20" s="1"/>
  <c r="H25" i="20" a="1"/>
  <c r="I25" i="20" s="1"/>
  <c r="H36" i="20" a="1"/>
  <c r="H37" i="20" a="1"/>
  <c r="I37" i="20" s="1"/>
  <c r="H38" i="20" a="1"/>
  <c r="I38" i="20" s="1"/>
  <c r="H39" i="20" a="1"/>
  <c r="H40" i="20" a="1"/>
  <c r="I40" i="20" s="1"/>
  <c r="H41" i="20" a="1"/>
  <c r="I41" i="20" s="1"/>
  <c r="H26" i="20" a="1"/>
  <c r="H27" i="20" a="1"/>
  <c r="I27" i="20" s="1"/>
  <c r="H28" i="20" a="1"/>
  <c r="I28" i="20" s="1"/>
  <c r="H29" i="20" a="1"/>
  <c r="I29" i="20" s="1"/>
  <c r="H42" i="20" a="1"/>
  <c r="H43" i="20" a="1"/>
  <c r="I43" i="20" s="1"/>
  <c r="H44" i="20" a="1"/>
  <c r="I44" i="20" s="1"/>
  <c r="H45" i="20" a="1"/>
  <c r="I45" i="20" s="1"/>
  <c r="H30" i="20" a="1"/>
  <c r="H31" i="20" a="1"/>
  <c r="I31" i="20" s="1"/>
  <c r="H32" i="20" a="1"/>
  <c r="I32" i="20" s="1"/>
  <c r="H33" i="20" a="1"/>
  <c r="I33" i="20" s="1"/>
  <c r="H34" i="20" a="1"/>
  <c r="I34" i="20" s="1"/>
  <c r="H35" i="20" a="1"/>
  <c r="I35" i="20" s="1"/>
  <c r="L34" i="20" a="1"/>
  <c r="O34" i="20" s="1"/>
  <c r="R34" i="20" s="1"/>
  <c r="L32" i="20" a="1"/>
  <c r="O32" i="20" s="1"/>
  <c r="R32" i="20" s="1"/>
  <c r="L33" i="20" a="1"/>
  <c r="O33" i="20" s="1"/>
  <c r="R33" i="20" s="1"/>
  <c r="L30" i="20" a="1"/>
  <c r="O30" i="20" s="1"/>
  <c r="R30" i="20" s="1"/>
  <c r="L31" i="20" a="1"/>
  <c r="O31" i="20" s="1"/>
  <c r="R31" i="20" s="1"/>
  <c r="L35" i="20" a="1"/>
  <c r="O35" i="20" s="1"/>
  <c r="R35" i="20" s="1"/>
  <c r="L24" i="20" a="1"/>
  <c r="O24" i="20" s="1"/>
  <c r="R24" i="20" s="1"/>
  <c r="L23" i="20" a="1"/>
  <c r="O23" i="20" s="1"/>
  <c r="R23" i="20" s="1"/>
  <c r="L25" i="20" a="1"/>
  <c r="O25" i="20" s="1"/>
  <c r="R25" i="20" s="1"/>
  <c r="L21" i="20" a="1"/>
  <c r="O21" i="20" s="1"/>
  <c r="R21" i="20" s="1"/>
  <c r="L20" i="20" a="1"/>
  <c r="O20" i="20" s="1"/>
  <c r="R20" i="20" s="1"/>
  <c r="L22" i="20" a="1"/>
  <c r="O22" i="20" s="1"/>
  <c r="R22" i="20" s="1"/>
  <c r="L41" i="20" a="1"/>
  <c r="O41" i="20" s="1"/>
  <c r="R41" i="20" s="1"/>
  <c r="L39" i="20" a="1"/>
  <c r="O39" i="20" s="1"/>
  <c r="R39" i="20" s="1"/>
  <c r="L40" i="20" a="1"/>
  <c r="O40" i="20" s="1"/>
  <c r="R40" i="20" s="1"/>
  <c r="L38" i="20" a="1"/>
  <c r="O38" i="20" s="1"/>
  <c r="R38" i="20" s="1"/>
  <c r="L36" i="20" a="1"/>
  <c r="O36" i="20" s="1"/>
  <c r="R36" i="20" s="1"/>
  <c r="L37" i="20" a="1"/>
  <c r="O37" i="20" s="1"/>
  <c r="R37" i="20" s="1"/>
  <c r="L28" i="20" a="1"/>
  <c r="O28" i="20" s="1"/>
  <c r="R28" i="20" s="1"/>
  <c r="L27" i="20" a="1"/>
  <c r="O27" i="20" s="1"/>
  <c r="R27" i="20" s="1"/>
  <c r="L26" i="20" a="1"/>
  <c r="O26" i="20" s="1"/>
  <c r="R26" i="20" s="1"/>
  <c r="L29" i="20" a="1"/>
  <c r="O29" i="20" s="1"/>
  <c r="R29" i="20" s="1"/>
  <c r="L44" i="20" a="1"/>
  <c r="O44" i="20" s="1"/>
  <c r="R44" i="20" s="1"/>
  <c r="L42" i="20" a="1"/>
  <c r="O42" i="20" s="1"/>
  <c r="R42" i="20" s="1"/>
  <c r="L43" i="20" a="1"/>
  <c r="O43" i="20" s="1"/>
  <c r="R43" i="20" s="1"/>
  <c r="L45" i="20" a="1"/>
  <c r="O45" i="20" s="1"/>
  <c r="R45" i="20" s="1"/>
  <c r="B2" i="15" a="1"/>
  <c r="S33" i="23" l="1"/>
  <c r="V32" i="23" s="1"/>
  <c r="W32" i="23" s="1"/>
  <c r="S10" i="23"/>
  <c r="V9" i="23" s="1"/>
  <c r="W9" i="23" s="1"/>
  <c r="S9" i="23"/>
  <c r="V28" i="23"/>
  <c r="W28" i="23" s="1"/>
  <c r="T32" i="23"/>
  <c r="U32" i="23" s="1"/>
  <c r="S5" i="23"/>
  <c r="T28" i="23"/>
  <c r="U28" i="23" s="1"/>
  <c r="S6" i="23"/>
  <c r="V5" i="23" s="1"/>
  <c r="W5" i="23" s="1"/>
  <c r="M40" i="23"/>
  <c r="M39" i="23"/>
  <c r="J33" i="23"/>
  <c r="I33" i="23"/>
  <c r="J32" i="23"/>
  <c r="I32" i="23"/>
  <c r="I29" i="23"/>
  <c r="J29" i="23"/>
  <c r="J28" i="23"/>
  <c r="I28" i="23"/>
  <c r="T5" i="23"/>
  <c r="T9" i="23"/>
  <c r="U9" i="23" s="1"/>
  <c r="J10" i="23"/>
  <c r="I10" i="23"/>
  <c r="J9" i="23"/>
  <c r="I9" i="23"/>
  <c r="J6" i="23"/>
  <c r="I6" i="23"/>
  <c r="J5" i="23"/>
  <c r="I5" i="23"/>
  <c r="S30" i="23"/>
  <c r="S45" i="20"/>
  <c r="S44" i="20"/>
  <c r="S43" i="20"/>
  <c r="S42" i="20"/>
  <c r="U42" i="20" s="1"/>
  <c r="S41" i="20"/>
  <c r="S40" i="20"/>
  <c r="S39" i="20"/>
  <c r="S38" i="20"/>
  <c r="S37" i="20"/>
  <c r="S36" i="20"/>
  <c r="U36" i="20" s="1"/>
  <c r="S35" i="20"/>
  <c r="S34" i="20"/>
  <c r="S33" i="20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M37" i="23" a="1"/>
  <c r="L37" i="23" a="1"/>
  <c r="H37" i="23" a="1"/>
  <c r="M36" i="23" a="1"/>
  <c r="H36" i="23" a="1"/>
  <c r="L36" i="23" a="1"/>
  <c r="M35" i="23" a="1"/>
  <c r="H35" i="23" a="1"/>
  <c r="L35" i="23" a="1"/>
  <c r="M34" i="23" a="1"/>
  <c r="H34" i="23" a="1"/>
  <c r="L34" i="23" a="1"/>
  <c r="L31" i="23" a="1"/>
  <c r="H31" i="23" a="1"/>
  <c r="M31" i="23" a="1"/>
  <c r="L30" i="23" a="1"/>
  <c r="H30" i="23" a="1"/>
  <c r="M27" i="23" a="1"/>
  <c r="H27" i="23" a="1"/>
  <c r="L27" i="23" a="1"/>
  <c r="H26" i="23" a="1"/>
  <c r="L26" i="23" a="1"/>
  <c r="M26" i="23" a="1"/>
  <c r="L25" i="23" a="1"/>
  <c r="M25" i="23" a="1"/>
  <c r="H25" i="23" a="1"/>
  <c r="L24" i="23" a="1"/>
  <c r="M24" i="23" a="1"/>
  <c r="H24" i="23" a="1"/>
  <c r="L23" i="23" a="1"/>
  <c r="H23" i="23" a="1"/>
  <c r="M23" i="23" a="1"/>
  <c r="H22" i="23" a="1"/>
  <c r="L22" i="23" a="1"/>
  <c r="M22" i="23" a="1"/>
  <c r="M8" i="23" a="1"/>
  <c r="H8" i="23" a="1"/>
  <c r="L8" i="23" a="1"/>
  <c r="L7" i="23" a="1"/>
  <c r="H7" i="23" a="1"/>
  <c r="M7" i="23" a="1"/>
  <c r="M4" i="23" a="1"/>
  <c r="P4" i="23" s="1"/>
  <c r="S4" i="23" s="1"/>
  <c r="L4" i="23" a="1"/>
  <c r="O4" i="23" s="1"/>
  <c r="H4" i="23" a="1"/>
  <c r="L3" i="23" a="1"/>
  <c r="O3" i="23" s="1"/>
  <c r="H3" i="23" a="1"/>
  <c r="M3" i="23" a="1"/>
  <c r="P3" i="23" s="1"/>
  <c r="S3" i="23" s="1"/>
  <c r="L12" i="23" a="1"/>
  <c r="O12" i="23" s="1"/>
  <c r="M12" i="23" a="1"/>
  <c r="P12" i="23" s="1"/>
  <c r="S12" i="23" s="1"/>
  <c r="H12" i="23" a="1"/>
  <c r="M11" i="23" a="1"/>
  <c r="P11" i="23" s="1"/>
  <c r="S11" i="23" s="1"/>
  <c r="L11" i="23" a="1"/>
  <c r="O11" i="23" s="1"/>
  <c r="H11" i="23" a="1"/>
  <c r="H16" i="23" a="1"/>
  <c r="L16" i="23" a="1"/>
  <c r="O16" i="23" s="1"/>
  <c r="M16" i="23" a="1"/>
  <c r="P16" i="23" s="1"/>
  <c r="S16" i="23" s="1"/>
  <c r="M15" i="23" a="1"/>
  <c r="P15" i="23" s="1"/>
  <c r="S15" i="23" s="1"/>
  <c r="L15" i="23" a="1"/>
  <c r="O15" i="23" s="1"/>
  <c r="H15" i="23" a="1"/>
  <c r="H18" i="23" a="1"/>
  <c r="M18" i="23" a="1"/>
  <c r="P18" i="23" s="1"/>
  <c r="S18" i="23" s="1"/>
  <c r="L18" i="23" a="1"/>
  <c r="O18" i="23" s="1"/>
  <c r="R18" i="23" s="1"/>
  <c r="L17" i="23" a="1"/>
  <c r="O17" i="23" s="1"/>
  <c r="R17" i="23" s="1"/>
  <c r="H17" i="23" a="1"/>
  <c r="M17" i="23" a="1"/>
  <c r="P17" i="23" s="1"/>
  <c r="S17" i="23" s="1"/>
  <c r="L14" i="23" a="1"/>
  <c r="O14" i="23" s="1"/>
  <c r="H14" i="23" a="1"/>
  <c r="M14" i="23" a="1"/>
  <c r="P14" i="23" s="1"/>
  <c r="S14" i="23" s="1"/>
  <c r="L13" i="23" a="1"/>
  <c r="O13" i="23" s="1"/>
  <c r="H13" i="23" a="1"/>
  <c r="M13" i="23" a="1"/>
  <c r="P13" i="23" s="1"/>
  <c r="S13" i="23" s="1"/>
  <c r="I42" i="20"/>
  <c r="I39" i="20"/>
  <c r="I36" i="20"/>
  <c r="I30" i="20"/>
  <c r="I23" i="20"/>
  <c r="I20" i="20"/>
  <c r="I26" i="20"/>
  <c r="J21" i="20"/>
  <c r="J22" i="20"/>
  <c r="J23" i="20"/>
  <c r="J24" i="20"/>
  <c r="J25" i="20"/>
  <c r="J36" i="20"/>
  <c r="J37" i="20"/>
  <c r="J38" i="20"/>
  <c r="J39" i="20"/>
  <c r="J40" i="20"/>
  <c r="J41" i="20"/>
  <c r="J27" i="20"/>
  <c r="J28" i="20"/>
  <c r="J29" i="20"/>
  <c r="J42" i="20"/>
  <c r="J43" i="20"/>
  <c r="J44" i="20"/>
  <c r="J45" i="20"/>
  <c r="J30" i="20"/>
  <c r="J31" i="20"/>
  <c r="J32" i="20"/>
  <c r="J33" i="20"/>
  <c r="J34" i="20"/>
  <c r="J35" i="20"/>
  <c r="J20" i="20"/>
  <c r="H16" i="20" a="1"/>
  <c r="I16" i="20" s="1"/>
  <c r="M16" i="20" a="1"/>
  <c r="L16" i="20" a="1"/>
  <c r="M15" i="20" a="1"/>
  <c r="L15" i="20" a="1"/>
  <c r="H15" i="20" a="1"/>
  <c r="I15" i="20" s="1"/>
  <c r="L14" i="20" a="1"/>
  <c r="M14" i="20" a="1"/>
  <c r="H14" i="20" a="1"/>
  <c r="I14" i="20" s="1"/>
  <c r="H13" i="20" a="1"/>
  <c r="I13" i="20" s="1"/>
  <c r="L13" i="20" a="1"/>
  <c r="M13" i="20" a="1"/>
  <c r="L12" i="20" a="1"/>
  <c r="O12" i="20" s="1"/>
  <c r="M12" i="20" a="1"/>
  <c r="L11" i="20" a="1"/>
  <c r="O11" i="20" s="1"/>
  <c r="M11" i="20" a="1"/>
  <c r="L10" i="20" a="1"/>
  <c r="M10" i="20" a="1"/>
  <c r="H10" i="20" a="1"/>
  <c r="I10" i="20" s="1"/>
  <c r="H9" i="20" a="1"/>
  <c r="I9" i="20" s="1"/>
  <c r="M9" i="20" a="1"/>
  <c r="L9" i="20" a="1"/>
  <c r="M8" i="20" a="1"/>
  <c r="L8" i="20" a="1"/>
  <c r="H8" i="20" a="1"/>
  <c r="I8" i="20" s="1"/>
  <c r="H7" i="20" a="1"/>
  <c r="I7" i="20" s="1"/>
  <c r="L7" i="20" a="1"/>
  <c r="M7" i="20" a="1"/>
  <c r="M6" i="20" a="1"/>
  <c r="H6" i="20" a="1"/>
  <c r="I6" i="20" s="1"/>
  <c r="L6" i="20" a="1"/>
  <c r="H5" i="20" a="1"/>
  <c r="L5" i="20" a="1"/>
  <c r="M5" i="20" a="1"/>
  <c r="L4" i="20" a="1"/>
  <c r="H4" i="20" a="1"/>
  <c r="I4" i="20" s="1"/>
  <c r="M4" i="20" a="1"/>
  <c r="R3" i="20"/>
  <c r="H3" i="20" a="1"/>
  <c r="I3" i="20" s="1"/>
  <c r="M3" i="20" a="1"/>
  <c r="J26" i="20"/>
  <c r="T30" i="20"/>
  <c r="T42" i="20"/>
  <c r="T26" i="20"/>
  <c r="T39" i="20"/>
  <c r="T36" i="20"/>
  <c r="V36" i="20" s="1"/>
  <c r="T23" i="20"/>
  <c r="T20" i="20"/>
  <c r="U39" i="20" l="1"/>
  <c r="V39" i="20" s="1"/>
  <c r="W39" i="20" s="1"/>
  <c r="V42" i="20"/>
  <c r="W42" i="20" s="1"/>
  <c r="U20" i="20"/>
  <c r="V20" i="20" s="1"/>
  <c r="W20" i="20" s="1"/>
  <c r="W36" i="20"/>
  <c r="U30" i="20"/>
  <c r="V30" i="20" s="1"/>
  <c r="W30" i="20" s="1"/>
  <c r="U26" i="20"/>
  <c r="V26" i="20" s="1"/>
  <c r="W26" i="20" s="1"/>
  <c r="U23" i="20"/>
  <c r="V23" i="20" s="1"/>
  <c r="W23" i="20" s="1"/>
  <c r="U5" i="23"/>
  <c r="K32" i="23"/>
  <c r="M41" i="23"/>
  <c r="K5" i="23"/>
  <c r="V17" i="23"/>
  <c r="W17" i="23" s="1"/>
  <c r="K28" i="23"/>
  <c r="AA6" i="23"/>
  <c r="Y6" i="23"/>
  <c r="T17" i="23"/>
  <c r="U17" i="23" s="1"/>
  <c r="Z10" i="23"/>
  <c r="X10" i="23"/>
  <c r="AA10" i="23"/>
  <c r="Y10" i="23"/>
  <c r="K9" i="23"/>
  <c r="P37" i="23"/>
  <c r="S37" i="23" s="1"/>
  <c r="O37" i="23"/>
  <c r="R37" i="23" s="1"/>
  <c r="P36" i="23"/>
  <c r="S36" i="23" s="1"/>
  <c r="O36" i="23"/>
  <c r="R36" i="23" s="1"/>
  <c r="P35" i="23"/>
  <c r="S35" i="23" s="1"/>
  <c r="O35" i="23"/>
  <c r="R35" i="23" s="1"/>
  <c r="P34" i="23"/>
  <c r="S34" i="23" s="1"/>
  <c r="O34" i="23"/>
  <c r="R34" i="23" s="1"/>
  <c r="O31" i="23"/>
  <c r="R31" i="23" s="1"/>
  <c r="T30" i="23" s="1"/>
  <c r="P31" i="23"/>
  <c r="S31" i="23" s="1"/>
  <c r="O30" i="23"/>
  <c r="R30" i="23" s="1"/>
  <c r="P27" i="23"/>
  <c r="S27" i="23" s="1"/>
  <c r="O27" i="23"/>
  <c r="R27" i="23" s="1"/>
  <c r="O26" i="23"/>
  <c r="R26" i="23" s="1"/>
  <c r="P26" i="23"/>
  <c r="S26" i="23" s="1"/>
  <c r="O25" i="23"/>
  <c r="R25" i="23" s="1"/>
  <c r="P25" i="23"/>
  <c r="S25" i="23" s="1"/>
  <c r="O24" i="23"/>
  <c r="R24" i="23" s="1"/>
  <c r="P24" i="23"/>
  <c r="S24" i="23" s="1"/>
  <c r="O23" i="23"/>
  <c r="R23" i="23" s="1"/>
  <c r="P23" i="23"/>
  <c r="S23" i="23" s="1"/>
  <c r="P22" i="23"/>
  <c r="S22" i="23" s="1"/>
  <c r="O22" i="23"/>
  <c r="R22" i="23" s="1"/>
  <c r="R12" i="23"/>
  <c r="T11" i="23" s="1"/>
  <c r="U11" i="23" s="1"/>
  <c r="R11" i="23"/>
  <c r="V11" i="23" s="1"/>
  <c r="R16" i="23"/>
  <c r="T15" i="23" s="1"/>
  <c r="U15" i="23" s="1"/>
  <c r="R15" i="23"/>
  <c r="V15" i="23" s="1"/>
  <c r="R14" i="23"/>
  <c r="T13" i="23" s="1"/>
  <c r="U13" i="23" s="1"/>
  <c r="R13" i="23"/>
  <c r="V13" i="23" s="1"/>
  <c r="P8" i="23"/>
  <c r="S8" i="23" s="1"/>
  <c r="O8" i="23"/>
  <c r="R8" i="23" s="1"/>
  <c r="O7" i="23"/>
  <c r="R7" i="23" s="1"/>
  <c r="P7" i="23"/>
  <c r="S7" i="23" s="1"/>
  <c r="R4" i="23"/>
  <c r="T3" i="23" s="1"/>
  <c r="U3" i="23" s="1"/>
  <c r="X4" i="23" s="1"/>
  <c r="R3" i="23"/>
  <c r="V3" i="23" s="1"/>
  <c r="P16" i="20"/>
  <c r="S16" i="20" s="1"/>
  <c r="O16" i="20"/>
  <c r="R16" i="20" s="1"/>
  <c r="P15" i="20"/>
  <c r="S15" i="20" s="1"/>
  <c r="O15" i="20"/>
  <c r="R15" i="20" s="1"/>
  <c r="O14" i="20"/>
  <c r="R14" i="20" s="1"/>
  <c r="P14" i="20"/>
  <c r="S14" i="20" s="1"/>
  <c r="O13" i="20"/>
  <c r="R13" i="20" s="1"/>
  <c r="P13" i="20"/>
  <c r="S13" i="20" s="1"/>
  <c r="P12" i="20"/>
  <c r="S12" i="20" s="1"/>
  <c r="P11" i="20"/>
  <c r="S11" i="20" s="1"/>
  <c r="O10" i="20"/>
  <c r="R10" i="20" s="1"/>
  <c r="P10" i="20"/>
  <c r="S10" i="20" s="1"/>
  <c r="P9" i="20"/>
  <c r="S9" i="20" s="1"/>
  <c r="O9" i="20"/>
  <c r="R9" i="20" s="1"/>
  <c r="P8" i="20"/>
  <c r="S8" i="20" s="1"/>
  <c r="O8" i="20"/>
  <c r="R8" i="20" s="1"/>
  <c r="O7" i="20"/>
  <c r="R7" i="20" s="1"/>
  <c r="P7" i="20"/>
  <c r="S7" i="20" s="1"/>
  <c r="P6" i="20"/>
  <c r="S6" i="20" s="1"/>
  <c r="O6" i="20"/>
  <c r="R6" i="20" s="1"/>
  <c r="O5" i="20"/>
  <c r="R5" i="20" s="1"/>
  <c r="P5" i="20"/>
  <c r="S5" i="20" s="1"/>
  <c r="O4" i="20"/>
  <c r="R4" i="20" s="1"/>
  <c r="P4" i="20"/>
  <c r="S4" i="20" s="1"/>
  <c r="V3" i="20" s="1"/>
  <c r="W3" i="20" s="1"/>
  <c r="P3" i="20"/>
  <c r="S3" i="20" s="1"/>
  <c r="I37" i="23"/>
  <c r="J37" i="23"/>
  <c r="I36" i="23"/>
  <c r="J36" i="23"/>
  <c r="I35" i="23"/>
  <c r="J35" i="23"/>
  <c r="I34" i="23"/>
  <c r="J34" i="23"/>
  <c r="I31" i="23"/>
  <c r="J31" i="23"/>
  <c r="I30" i="23"/>
  <c r="J30" i="23"/>
  <c r="I27" i="23"/>
  <c r="J27" i="23"/>
  <c r="I26" i="23"/>
  <c r="J26" i="23"/>
  <c r="I25" i="23"/>
  <c r="J25" i="23"/>
  <c r="J24" i="23"/>
  <c r="I24" i="23"/>
  <c r="J23" i="23"/>
  <c r="I23" i="23"/>
  <c r="I22" i="23"/>
  <c r="J22" i="23"/>
  <c r="I8" i="23"/>
  <c r="J8" i="23"/>
  <c r="I7" i="23"/>
  <c r="J7" i="23"/>
  <c r="I4" i="23"/>
  <c r="J4" i="23"/>
  <c r="I3" i="23"/>
  <c r="J3" i="23"/>
  <c r="I12" i="23"/>
  <c r="J12" i="23"/>
  <c r="I11" i="23"/>
  <c r="J11" i="23"/>
  <c r="I16" i="23"/>
  <c r="J16" i="23"/>
  <c r="I15" i="23"/>
  <c r="J15" i="23"/>
  <c r="J18" i="23"/>
  <c r="I18" i="23"/>
  <c r="J17" i="23"/>
  <c r="I17" i="23"/>
  <c r="I14" i="23"/>
  <c r="J14" i="23"/>
  <c r="I13" i="23"/>
  <c r="J13" i="23"/>
  <c r="K20" i="20"/>
  <c r="R12" i="20"/>
  <c r="I12" i="20"/>
  <c r="R11" i="20"/>
  <c r="I11" i="20"/>
  <c r="J16" i="20"/>
  <c r="J15" i="20"/>
  <c r="J14" i="20"/>
  <c r="J13" i="20"/>
  <c r="J12" i="20"/>
  <c r="J11" i="20"/>
  <c r="J10" i="20"/>
  <c r="J9" i="20"/>
  <c r="J8" i="20"/>
  <c r="J7" i="20"/>
  <c r="J6" i="20"/>
  <c r="J5" i="20"/>
  <c r="I5" i="20"/>
  <c r="J4" i="20"/>
  <c r="J3" i="20"/>
  <c r="K23" i="20"/>
  <c r="K36" i="20"/>
  <c r="K39" i="20"/>
  <c r="K42" i="20"/>
  <c r="K30" i="20"/>
  <c r="K26" i="20"/>
  <c r="V7" i="20" l="1"/>
  <c r="V15" i="20"/>
  <c r="W15" i="20" s="1"/>
  <c r="V13" i="20"/>
  <c r="AA4" i="20"/>
  <c r="Y4" i="20"/>
  <c r="V9" i="20"/>
  <c r="W9" i="20" s="1"/>
  <c r="W7" i="20"/>
  <c r="T9" i="20"/>
  <c r="U9" i="20" s="1"/>
  <c r="T13" i="20"/>
  <c r="U13" i="20" s="1"/>
  <c r="T15" i="20"/>
  <c r="U15" i="20" s="1"/>
  <c r="T11" i="20"/>
  <c r="U11" i="20" s="1"/>
  <c r="V11" i="20"/>
  <c r="W11" i="20" s="1"/>
  <c r="W13" i="20"/>
  <c r="V5" i="20"/>
  <c r="W5" i="20" s="1"/>
  <c r="T7" i="20"/>
  <c r="U7" i="20" s="1"/>
  <c r="T5" i="20"/>
  <c r="U5" i="20" s="1"/>
  <c r="T3" i="20"/>
  <c r="U3" i="20" s="1"/>
  <c r="X6" i="23"/>
  <c r="Z6" i="23"/>
  <c r="AA18" i="23"/>
  <c r="Y18" i="23"/>
  <c r="Z18" i="23"/>
  <c r="X18" i="23"/>
  <c r="W11" i="23"/>
  <c r="V36" i="23"/>
  <c r="W3" i="23"/>
  <c r="W13" i="23"/>
  <c r="Z16" i="23"/>
  <c r="X16" i="23"/>
  <c r="Z14" i="23"/>
  <c r="X14" i="23"/>
  <c r="V22" i="23"/>
  <c r="W22" i="23" s="1"/>
  <c r="Z12" i="23"/>
  <c r="X12" i="23"/>
  <c r="W15" i="23"/>
  <c r="V34" i="23"/>
  <c r="W34" i="23" s="1"/>
  <c r="V7" i="23"/>
  <c r="W7" i="23" s="1"/>
  <c r="T7" i="23"/>
  <c r="U7" i="23" s="1"/>
  <c r="U30" i="23"/>
  <c r="T36" i="23"/>
  <c r="U36" i="23" s="1"/>
  <c r="T34" i="23"/>
  <c r="U34" i="23" s="1"/>
  <c r="V30" i="23"/>
  <c r="W30" i="23" s="1"/>
  <c r="V24" i="23"/>
  <c r="W24" i="23" s="1"/>
  <c r="V26" i="23"/>
  <c r="W26" i="23" s="1"/>
  <c r="T26" i="23"/>
  <c r="U26" i="23" s="1"/>
  <c r="T24" i="23"/>
  <c r="U24" i="23" s="1"/>
  <c r="T22" i="23"/>
  <c r="U22" i="23" s="1"/>
  <c r="K17" i="23"/>
  <c r="K13" i="23"/>
  <c r="K24" i="23"/>
  <c r="K36" i="23"/>
  <c r="K7" i="23"/>
  <c r="K3" i="23"/>
  <c r="K34" i="23"/>
  <c r="K30" i="23"/>
  <c r="K26" i="23"/>
  <c r="K22" i="23"/>
  <c r="K11" i="23"/>
  <c r="K15" i="23"/>
  <c r="K5" i="20"/>
  <c r="K9" i="20"/>
  <c r="K11" i="20"/>
  <c r="X33" i="20"/>
  <c r="Y33" i="20" a="1"/>
  <c r="X28" i="20"/>
  <c r="Y28" i="20" a="1"/>
  <c r="X24" i="20"/>
  <c r="Y24" i="20" a="1"/>
  <c r="X21" i="20"/>
  <c r="Y21" i="20" a="1"/>
  <c r="K7" i="20"/>
  <c r="K15" i="20"/>
  <c r="K13" i="20"/>
  <c r="K3" i="20"/>
  <c r="Y16" i="20" l="1"/>
  <c r="AA16" i="20"/>
  <c r="X16" i="20"/>
  <c r="Z16" i="20"/>
  <c r="Z14" i="20"/>
  <c r="X14" i="20"/>
  <c r="AA14" i="20"/>
  <c r="Y14" i="20"/>
  <c r="Z12" i="20"/>
  <c r="X12" i="20"/>
  <c r="AA12" i="20"/>
  <c r="Y12" i="20"/>
  <c r="AA10" i="20"/>
  <c r="Y10" i="20"/>
  <c r="Z10" i="20"/>
  <c r="X10" i="20"/>
  <c r="AA8" i="20"/>
  <c r="Y8" i="20"/>
  <c r="Z8" i="20"/>
  <c r="X8" i="20"/>
  <c r="AA6" i="20"/>
  <c r="Y6" i="20"/>
  <c r="Z6" i="20"/>
  <c r="X6" i="20"/>
  <c r="X4" i="20"/>
  <c r="Z4" i="20"/>
  <c r="W36" i="23"/>
  <c r="R41" i="23"/>
  <c r="Y14" i="23"/>
  <c r="AA14" i="23"/>
  <c r="Z37" i="23"/>
  <c r="X37" i="23"/>
  <c r="AA12" i="23"/>
  <c r="Y12" i="23"/>
  <c r="AA4" i="23"/>
  <c r="Y4" i="23"/>
  <c r="AA35" i="23"/>
  <c r="Y35" i="23"/>
  <c r="Z35" i="23"/>
  <c r="X35" i="23"/>
  <c r="AA25" i="23"/>
  <c r="Y25" i="23"/>
  <c r="Z25" i="23"/>
  <c r="X25" i="23"/>
  <c r="Z23" i="23"/>
  <c r="X23" i="23"/>
  <c r="AA23" i="23"/>
  <c r="Y23" i="23"/>
  <c r="AA16" i="23"/>
  <c r="Y16" i="23"/>
  <c r="AA8" i="23"/>
  <c r="Y8" i="23"/>
  <c r="Z8" i="23"/>
  <c r="X8" i="23"/>
  <c r="Z4" i="23"/>
  <c r="AA37" i="23" l="1"/>
  <c r="Y37" i="23"/>
  <c r="G19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<sst xmlns="http://schemas.openxmlformats.org/spreadsheetml/2006/main" count="1317" uniqueCount="184">
  <si>
    <t>IBKR</t>
  </si>
  <si>
    <t>my_pf_name</t>
  </si>
  <si>
    <t>my_fi_name</t>
  </si>
  <si>
    <t>VTEB</t>
  </si>
  <si>
    <t>MUB</t>
  </si>
  <si>
    <t>SCHZ</t>
  </si>
  <si>
    <t>SPAB</t>
  </si>
  <si>
    <t>BND</t>
  </si>
  <si>
    <t>AGG</t>
  </si>
  <si>
    <t>moving_avg_days</t>
  </si>
  <si>
    <t>Keys</t>
  </si>
  <si>
    <t>Values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</si>
  <si>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</si>
  <si>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</si>
  <si>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</si>
  <si>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</si>
  <si>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</si>
  <si>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</si>
  <si>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</si>
  <si>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</si>
  <si>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</si>
  <si>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</si>
  <si>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</si>
  <si>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</si>
  <si>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</si>
  <si>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</si>
  <si>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</si>
  <si>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</si>
  <si>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</si>
  <si>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</si>
  <si>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</si>
  <si>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</si>
  <si>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</si>
  <si>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</si>
  <si>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</si>
  <si>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</si>
  <si>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</si>
  <si>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</si>
  <si>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</si>
  <si>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</si>
  <si>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</si>
  <si>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</si>
  <si>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</si>
  <si>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</si>
  <si>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</si>
  <si>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</si>
  <si>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</si>
  <si>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</si>
  <si>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</si>
  <si>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</si>
  <si>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FALN</t>
  </si>
  <si>
    <t>IAGG</t>
  </si>
  <si>
    <t>ICVT</t>
  </si>
  <si>
    <t>IGOV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</si>
  <si>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</si>
  <si>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</si>
  <si>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</si>
  <si>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</si>
  <si>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</si>
  <si>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</si>
  <si>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</si>
  <si>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</si>
  <si>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</si>
  <si>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</si>
  <si>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</si>
  <si>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</si>
  <si>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</si>
  <si>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</si>
  <si>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</si>
  <si>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</si>
  <si>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</si>
  <si>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</si>
  <si>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</si>
  <si>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</si>
  <si>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</si>
  <si>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</si>
  <si>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</si>
  <si>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</si>
  <si>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</si>
  <si>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FIs_sheet</t>
  </si>
  <si>
    <t>FIs_table</t>
  </si>
  <si>
    <t>trading_inputs_download_cell</t>
  </si>
  <si>
    <t>trading_inputs_upload_cell</t>
  </si>
  <si>
    <t>margin</t>
  </si>
  <si>
    <t xml:space="preserve">last trade date: </t>
  </si>
  <si>
    <t xml:space="preserve">closing prices: 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</si>
  <si>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</si>
  <si>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</si>
  <si>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</si>
  <si>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</si>
  <si>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</si>
  <si>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</si>
  <si>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</si>
  <si>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buy top</t>
  </si>
  <si>
    <t>sell top</t>
  </si>
  <si>
    <t>units</t>
  </si>
  <si>
    <t>$val</t>
  </si>
  <si>
    <t>cd git-projects\trading\stat_arb</t>
  </si>
  <si>
    <t>python App_StatArb_Trade.py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</si>
  <si>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</si>
  <si>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</si>
  <si>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</si>
  <si>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</si>
  <si>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</si>
  <si>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</si>
  <si>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</si>
  <si>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</si>
  <si>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</si>
  <si>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</si>
  <si>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</si>
  <si>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</si>
  <si>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</si>
  <si>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</si>
  <si>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</si>
  <si>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</si>
  <si>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</si>
  <si>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</si>
  <si>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</si>
  <si>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</si>
  <si>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</si>
  <si>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</si>
  <si>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</si>
  <si>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</si>
  <si>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</si>
  <si>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</si>
  <si>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</si>
  <si>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</si>
  <si>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</si>
  <si>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</si>
  <si>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staples</t>
  </si>
  <si>
    <t>utilities</t>
  </si>
  <si>
    <t>real estate</t>
  </si>
  <si>
    <t>energy</t>
  </si>
  <si>
    <t>healthcare</t>
  </si>
  <si>
    <t>financials</t>
  </si>
  <si>
    <t>add divs for first ex-date</t>
  </si>
  <si>
    <t>xlc</t>
  </si>
  <si>
    <t>xly</t>
  </si>
  <si>
    <t>materials</t>
  </si>
  <si>
    <t>xlb</t>
  </si>
  <si>
    <t>discretionary</t>
  </si>
  <si>
    <t>FNCL</t>
  </si>
  <si>
    <t>VIS</t>
  </si>
  <si>
    <t>IYJ</t>
  </si>
  <si>
    <t>IYK</t>
  </si>
  <si>
    <t>schh</t>
  </si>
  <si>
    <t>usrt</t>
  </si>
  <si>
    <t>anchor_inputs</t>
  </si>
  <si>
    <t>div_treatment</t>
  </si>
  <si>
    <t>fixed income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</si>
  <si>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</si>
  <si>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</si>
  <si>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</si>
  <si>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</si>
  <si>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</si>
  <si>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</si>
  <si>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</si>
  <si>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</si>
  <si>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</si>
  <si>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</si>
  <si>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</si>
  <si>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corps</t>
  </si>
  <si>
    <t>long term tsy</t>
  </si>
  <si>
    <t>calif munis</t>
  </si>
  <si>
    <t>technology</t>
  </si>
  <si>
    <t>div adj</t>
  </si>
  <si>
    <t>div_adj</t>
  </si>
  <si>
    <t>adv</t>
  </si>
  <si>
    <t>industrials</t>
  </si>
  <si>
    <t>comms</t>
  </si>
  <si>
    <t>TRUE/FALSE</t>
  </si>
  <si>
    <t>profit_margin</t>
  </si>
  <si>
    <t>buy_or_sell</t>
  </si>
  <si>
    <t>g_or_p</t>
  </si>
  <si>
    <t>pair</t>
  </si>
  <si>
    <t>buy</t>
  </si>
  <si>
    <t>sell</t>
  </si>
  <si>
    <t>buy_size</t>
  </si>
  <si>
    <t>sell_size</t>
  </si>
  <si>
    <t>idu</t>
  </si>
  <si>
    <t>xlu</t>
  </si>
  <si>
    <t>xle</t>
  </si>
  <si>
    <t>iye</t>
  </si>
  <si>
    <t>2026-09-01_16-47-17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</si>
</sst>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&quot;$&quot;* #,##0.000_);_(&quot;$&quot;* \(#,##0.000\);_(&quot;$&quot;* &quot;-&quot;??_);_(@_)"/>
    <numFmt numFmtId="167" formatCode="0.000%"/>
    <numFmt numFmtId="168" formatCode="&quot;$&quot;#,##0.000"/>
    <numFmt numFmtId="169" formatCode="_(&quot;$&quot;* #,##0_);_(&quot;$&quot;* \(#,##0\);_(&quot;$&quot;* &quot;-&quot;??_);_(@_)"/>
    <numFmt numFmtId="170" formatCode="0.0000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0" tint="-0.49998474074526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7030A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u val="singleAccounting"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75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5" fontId="0" fillId="0" borderId="0" xfId="3" applyNumberFormat="1" applyFont="1"/>
    <xf numFmtId="0" fontId="5" fillId="0" borderId="0" xfId="0" applyFont="1"/>
    <xf numFmtId="7" fontId="3" fillId="0" borderId="0" xfId="0" applyNumberFormat="1" applyFont="1"/>
    <xf numFmtId="0" fontId="3" fillId="0" borderId="0" xfId="0" applyFont="1"/>
    <xf numFmtId="166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166" fontId="0" fillId="0" borderId="0" xfId="0" applyNumberFormat="1"/>
    <xf numFmtId="0" fontId="8" fillId="0" borderId="0" xfId="0" applyFont="1" applyAlignment="1">
      <alignment horizontal="center"/>
    </xf>
    <xf numFmtId="166" fontId="10" fillId="0" borderId="0" xfId="1" applyNumberFormat="1" applyFont="1"/>
    <xf numFmtId="0" fontId="10" fillId="0" borderId="2" xfId="0" applyFont="1" applyBorder="1"/>
    <xf numFmtId="0" fontId="6" fillId="0" borderId="2" xfId="0" applyFont="1" applyBorder="1"/>
    <xf numFmtId="166" fontId="10" fillId="0" borderId="2" xfId="1" applyNumberFormat="1" applyFont="1" applyBorder="1"/>
    <xf numFmtId="166" fontId="0" fillId="0" borderId="2" xfId="1" applyNumberFormat="1" applyFont="1" applyBorder="1"/>
    <xf numFmtId="166" fontId="10" fillId="0" borderId="0" xfId="1" applyNumberFormat="1" applyFont="1" applyBorder="1"/>
    <xf numFmtId="166" fontId="0" fillId="0" borderId="0" xfId="1" applyNumberFormat="1" applyFont="1" applyBorder="1"/>
    <xf numFmtId="0" fontId="10" fillId="0" borderId="7" xfId="0" applyFont="1" applyBorder="1"/>
    <xf numFmtId="0" fontId="6" fillId="0" borderId="7" xfId="0" applyFont="1" applyBorder="1"/>
    <xf numFmtId="166" fontId="10" fillId="0" borderId="7" xfId="1" applyNumberFormat="1" applyFont="1" applyBorder="1"/>
    <xf numFmtId="166" fontId="0" fillId="0" borderId="7" xfId="1" applyNumberFormat="1" applyFont="1" applyBorder="1"/>
    <xf numFmtId="165" fontId="13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3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6" fillId="0" borderId="0" xfId="0" applyNumberFormat="1" applyFont="1"/>
    <xf numFmtId="0" fontId="16" fillId="0" borderId="0" xfId="0" applyFont="1"/>
    <xf numFmtId="165" fontId="16" fillId="0" borderId="2" xfId="3" applyNumberFormat="1" applyFont="1" applyBorder="1"/>
    <xf numFmtId="165" fontId="16" fillId="0" borderId="0" xfId="3" applyNumberFormat="1" applyFont="1" applyBorder="1"/>
    <xf numFmtId="165" fontId="16" fillId="0" borderId="7" xfId="3" applyNumberFormat="1" applyFont="1" applyBorder="1"/>
    <xf numFmtId="165" fontId="16" fillId="0" borderId="0" xfId="3" applyNumberFormat="1" applyFont="1"/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7" fillId="0" borderId="9" xfId="3" applyNumberFormat="1" applyFont="1" applyBorder="1"/>
    <xf numFmtId="0" fontId="8" fillId="0" borderId="4" xfId="0" applyFont="1" applyBorder="1" applyAlignment="1">
      <alignment horizontal="center"/>
    </xf>
    <xf numFmtId="166" fontId="8" fillId="0" borderId="0" xfId="0" applyNumberFormat="1" applyFont="1" applyAlignment="1">
      <alignment horizontal="center"/>
    </xf>
    <xf numFmtId="165" fontId="16" fillId="0" borderId="1" xfId="3" applyNumberFormat="1" applyFont="1" applyBorder="1"/>
    <xf numFmtId="165" fontId="16" fillId="0" borderId="4" xfId="3" applyNumberFormat="1" applyFont="1" applyBorder="1"/>
    <xf numFmtId="165" fontId="16" fillId="0" borderId="6" xfId="3" applyNumberFormat="1" applyFont="1" applyBorder="1"/>
    <xf numFmtId="166" fontId="7" fillId="0" borderId="1" xfId="1" applyNumberFormat="1" applyFont="1" applyBorder="1" applyAlignment="1">
      <alignment horizontal="center"/>
    </xf>
    <xf numFmtId="166" fontId="7" fillId="0" borderId="3" xfId="1" applyNumberFormat="1" applyFont="1" applyBorder="1" applyAlignment="1">
      <alignment horizontal="center"/>
    </xf>
    <xf numFmtId="166" fontId="7" fillId="0" borderId="2" xfId="1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0" borderId="0" xfId="1" applyNumberFormat="1" applyFont="1" applyFill="1" applyBorder="1" applyAlignment="1">
      <alignment horizontal="center"/>
    </xf>
    <xf numFmtId="164" fontId="6" fillId="0" borderId="9" xfId="3" applyNumberFormat="1" applyFont="1" applyBorder="1"/>
    <xf numFmtId="10" fontId="18" fillId="0" borderId="2" xfId="0" applyNumberFormat="1" applyFont="1" applyBorder="1"/>
    <xf numFmtId="164" fontId="6" fillId="0" borderId="11" xfId="3" applyNumberFormat="1" applyFont="1" applyBorder="1"/>
    <xf numFmtId="10" fontId="18" fillId="0" borderId="7" xfId="0" applyNumberFormat="1" applyFont="1" applyBorder="1"/>
    <xf numFmtId="164" fontId="6" fillId="0" borderId="10" xfId="3" applyNumberFormat="1" applyFont="1" applyBorder="1"/>
    <xf numFmtId="164" fontId="6" fillId="0" borderId="0" xfId="3" applyNumberFormat="1" applyFont="1"/>
    <xf numFmtId="165" fontId="19" fillId="0" borderId="0" xfId="3" applyNumberFormat="1" applyFont="1" applyAlignment="1">
      <alignment horizontal="center"/>
    </xf>
    <xf numFmtId="165" fontId="20" fillId="0" borderId="0" xfId="3" applyNumberFormat="1" applyFont="1" applyAlignment="1">
      <alignment horizontal="center"/>
    </xf>
    <xf numFmtId="0" fontId="20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69" fontId="16" fillId="0" borderId="2" xfId="1" applyNumberFormat="1" applyFont="1" applyBorder="1"/>
    <xf numFmtId="169" fontId="16" fillId="0" borderId="0" xfId="1" applyNumberFormat="1" applyFont="1" applyBorder="1"/>
    <xf numFmtId="169" fontId="16" fillId="0" borderId="7" xfId="1" applyNumberFormat="1" applyFont="1" applyBorder="1"/>
    <xf numFmtId="169" fontId="6" fillId="0" borderId="0" xfId="1" applyNumberFormat="1" applyFont="1"/>
    <xf numFmtId="0" fontId="7" fillId="0" borderId="1" xfId="0" applyFont="1" applyBorder="1"/>
    <xf numFmtId="0" fontId="7" fillId="0" borderId="2" xfId="0" applyFont="1" applyBorder="1"/>
    <xf numFmtId="0" fontId="8" fillId="0" borderId="7" xfId="0" applyFont="1" applyBorder="1" applyAlignment="1">
      <alignment horizontal="center"/>
    </xf>
    <xf numFmtId="169" fontId="15" fillId="0" borderId="7" xfId="1" applyNumberFormat="1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44" fontId="8" fillId="0" borderId="6" xfId="1" applyFont="1" applyBorder="1" applyAlignment="1">
      <alignment horizontal="center"/>
    </xf>
    <xf numFmtId="44" fontId="8" fillId="0" borderId="8" xfId="1" applyFont="1" applyBorder="1" applyAlignment="1">
      <alignment horizontal="center"/>
    </xf>
    <xf numFmtId="166" fontId="9" fillId="0" borderId="7" xfId="1" applyNumberFormat="1" applyFont="1" applyBorder="1" applyAlignment="1">
      <alignment horizontal="center"/>
    </xf>
    <xf numFmtId="164" fontId="8" fillId="0" borderId="11" xfId="3" applyNumberFormat="1" applyFont="1" applyBorder="1" applyAlignment="1">
      <alignment horizontal="center"/>
    </xf>
    <xf numFmtId="166" fontId="8" fillId="0" borderId="7" xfId="1" applyNumberFormat="1" applyFont="1" applyBorder="1" applyAlignment="1">
      <alignment horizontal="center"/>
    </xf>
    <xf numFmtId="166" fontId="8" fillId="0" borderId="8" xfId="1" applyNumberFormat="1" applyFont="1" applyBorder="1" applyAlignment="1">
      <alignment horizontal="center"/>
    </xf>
    <xf numFmtId="166" fontId="8" fillId="0" borderId="4" xfId="1" applyNumberFormat="1" applyFont="1" applyFill="1" applyBorder="1" applyAlignment="1">
      <alignment horizontal="center"/>
    </xf>
    <xf numFmtId="166" fontId="8" fillId="0" borderId="5" xfId="1" applyNumberFormat="1" applyFont="1" applyFill="1" applyBorder="1" applyAlignment="1">
      <alignment horizontal="center"/>
    </xf>
    <xf numFmtId="10" fontId="18" fillId="0" borderId="1" xfId="0" applyNumberFormat="1" applyFont="1" applyBorder="1"/>
    <xf numFmtId="10" fontId="18" fillId="0" borderId="3" xfId="0" applyNumberFormat="1" applyFont="1" applyBorder="1"/>
    <xf numFmtId="10" fontId="18" fillId="0" borderId="6" xfId="0" applyNumberFormat="1" applyFont="1" applyBorder="1"/>
    <xf numFmtId="10" fontId="18" fillId="0" borderId="8" xfId="0" applyNumberFormat="1" applyFont="1" applyBorder="1"/>
    <xf numFmtId="165" fontId="15" fillId="0" borderId="7" xfId="3" applyNumberFormat="1" applyFont="1" applyBorder="1" applyAlignment="1">
      <alignment horizontal="center"/>
    </xf>
    <xf numFmtId="0" fontId="7" fillId="0" borderId="9" xfId="0" applyFont="1" applyBorder="1"/>
    <xf numFmtId="0" fontId="8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21" fillId="0" borderId="2" xfId="0" applyFont="1" applyBorder="1"/>
    <xf numFmtId="0" fontId="22" fillId="0" borderId="2" xfId="0" applyFont="1" applyBorder="1"/>
    <xf numFmtId="165" fontId="24" fillId="0" borderId="2" xfId="3" applyNumberFormat="1" applyFont="1" applyBorder="1"/>
    <xf numFmtId="169" fontId="24" fillId="0" borderId="2" xfId="1" applyNumberFormat="1" applyFont="1" applyBorder="1"/>
    <xf numFmtId="44" fontId="23" fillId="0" borderId="1" xfId="1" applyFont="1" applyBorder="1"/>
    <xf numFmtId="44" fontId="23" fillId="0" borderId="3" xfId="1" applyFont="1" applyBorder="1"/>
    <xf numFmtId="166" fontId="21" fillId="0" borderId="2" xfId="1" applyNumberFormat="1" applyFont="1" applyBorder="1"/>
    <xf numFmtId="164" fontId="22" fillId="0" borderId="9" xfId="3" applyNumberFormat="1" applyFont="1" applyBorder="1"/>
    <xf numFmtId="166" fontId="23" fillId="0" borderId="2" xfId="1" applyNumberFormat="1" applyFont="1" applyBorder="1"/>
    <xf numFmtId="0" fontId="23" fillId="0" borderId="0" xfId="0" applyFont="1"/>
    <xf numFmtId="10" fontId="23" fillId="2" borderId="0" xfId="0" applyNumberFormat="1" applyFont="1" applyFill="1"/>
    <xf numFmtId="10" fontId="23" fillId="2" borderId="0" xfId="2" applyNumberFormat="1" applyFont="1" applyFill="1"/>
    <xf numFmtId="10" fontId="23" fillId="0" borderId="0" xfId="2" applyNumberFormat="1" applyFont="1" applyFill="1"/>
    <xf numFmtId="0" fontId="21" fillId="0" borderId="7" xfId="0" applyFont="1" applyBorder="1"/>
    <xf numFmtId="0" fontId="22" fillId="0" borderId="7" xfId="0" applyFont="1" applyBorder="1"/>
    <xf numFmtId="165" fontId="24" fillId="0" borderId="7" xfId="3" applyNumberFormat="1" applyFont="1" applyBorder="1"/>
    <xf numFmtId="169" fontId="24" fillId="0" borderId="7" xfId="1" applyNumberFormat="1" applyFont="1" applyBorder="1"/>
    <xf numFmtId="44" fontId="23" fillId="0" borderId="6" xfId="1" applyFont="1" applyBorder="1"/>
    <xf numFmtId="44" fontId="23" fillId="0" borderId="8" xfId="1" applyFont="1" applyBorder="1"/>
    <xf numFmtId="166" fontId="21" fillId="0" borderId="7" xfId="1" applyNumberFormat="1" applyFont="1" applyBorder="1"/>
    <xf numFmtId="164" fontId="22" fillId="0" borderId="11" xfId="3" applyNumberFormat="1" applyFont="1" applyBorder="1"/>
    <xf numFmtId="166" fontId="23" fillId="0" borderId="7" xfId="1" applyNumberFormat="1" applyFont="1" applyBorder="1"/>
    <xf numFmtId="0" fontId="24" fillId="0" borderId="0" xfId="0" applyFont="1"/>
    <xf numFmtId="0" fontId="23" fillId="0" borderId="0" xfId="0" applyFont="1" applyAlignment="1">
      <alignment horizontal="center"/>
    </xf>
    <xf numFmtId="0" fontId="21" fillId="0" borderId="0" xfId="0" applyFont="1"/>
    <xf numFmtId="0" fontId="22" fillId="0" borderId="0" xfId="0" applyFont="1"/>
    <xf numFmtId="165" fontId="24" fillId="0" borderId="0" xfId="3" applyNumberFormat="1" applyFont="1" applyBorder="1"/>
    <xf numFmtId="169" fontId="24" fillId="0" borderId="0" xfId="1" applyNumberFormat="1" applyFont="1" applyBorder="1"/>
    <xf numFmtId="44" fontId="23" fillId="0" borderId="4" xfId="1" applyFont="1" applyBorder="1"/>
    <xf numFmtId="44" fontId="23" fillId="0" borderId="5" xfId="1" applyFont="1" applyBorder="1"/>
    <xf numFmtId="166" fontId="21" fillId="0" borderId="0" xfId="1" applyNumberFormat="1" applyFont="1" applyBorder="1"/>
    <xf numFmtId="164" fontId="22" fillId="0" borderId="10" xfId="3" applyNumberFormat="1" applyFont="1" applyBorder="1"/>
    <xf numFmtId="166" fontId="23" fillId="0" borderId="0" xfId="1" applyNumberFormat="1" applyFont="1" applyBorder="1"/>
    <xf numFmtId="0" fontId="7" fillId="0" borderId="3" xfId="0" applyFont="1" applyBorder="1"/>
    <xf numFmtId="165" fontId="17" fillId="0" borderId="4" xfId="3" applyNumberFormat="1" applyFont="1" applyBorder="1"/>
    <xf numFmtId="0" fontId="17" fillId="0" borderId="5" xfId="0" applyFont="1" applyBorder="1"/>
    <xf numFmtId="0" fontId="16" fillId="0" borderId="5" xfId="0" applyFont="1" applyBorder="1"/>
    <xf numFmtId="165" fontId="24" fillId="0" borderId="4" xfId="3" applyNumberFormat="1" applyFont="1" applyBorder="1"/>
    <xf numFmtId="0" fontId="24" fillId="0" borderId="5" xfId="0" applyFont="1" applyBorder="1"/>
    <xf numFmtId="165" fontId="24" fillId="0" borderId="6" xfId="3" applyNumberFormat="1" applyFont="1" applyBorder="1"/>
    <xf numFmtId="0" fontId="24" fillId="0" borderId="8" xfId="0" applyFont="1" applyBorder="1"/>
    <xf numFmtId="10" fontId="23" fillId="0" borderId="9" xfId="2" applyNumberFormat="1" applyFont="1" applyFill="1" applyBorder="1"/>
    <xf numFmtId="10" fontId="23" fillId="0" borderId="10" xfId="2" applyNumberFormat="1" applyFont="1" applyFill="1" applyBorder="1"/>
    <xf numFmtId="10" fontId="23" fillId="0" borderId="11" xfId="2" applyNumberFormat="1" applyFont="1" applyFill="1" applyBorder="1"/>
    <xf numFmtId="0" fontId="16" fillId="0" borderId="3" xfId="0" applyFont="1" applyBorder="1"/>
    <xf numFmtId="0" fontId="16" fillId="0" borderId="8" xfId="0" applyFont="1" applyBorder="1"/>
    <xf numFmtId="10" fontId="18" fillId="0" borderId="4" xfId="0" applyNumberFormat="1" applyFont="1" applyBorder="1"/>
    <xf numFmtId="10" fontId="18" fillId="0" borderId="5" xfId="0" applyNumberFormat="1" applyFont="1" applyBorder="1"/>
    <xf numFmtId="0" fontId="26" fillId="3" borderId="9" xfId="0" applyFont="1" applyFill="1" applyBorder="1"/>
    <xf numFmtId="0" fontId="26" fillId="3" borderId="11" xfId="0" applyFont="1" applyFill="1" applyBorder="1"/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/>
    </xf>
    <xf numFmtId="170" fontId="0" fillId="0" borderId="0" xfId="0" applyNumberFormat="1"/>
    <xf numFmtId="0" fontId="9" fillId="0" borderId="7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164" fontId="13" fillId="0" borderId="11" xfId="3" applyNumberFormat="1" applyFont="1" applyBorder="1"/>
    <xf numFmtId="164" fontId="13" fillId="0" borderId="9" xfId="3" applyNumberFormat="1" applyFont="1" applyBorder="1"/>
    <xf numFmtId="0" fontId="10" fillId="0" borderId="0" xfId="0" applyFont="1" applyAlignment="1">
      <alignment horizontal="center"/>
    </xf>
    <xf numFmtId="0" fontId="10" fillId="0" borderId="1" xfId="0" applyFont="1" applyBorder="1"/>
    <xf numFmtId="0" fontId="10" fillId="0" borderId="3" xfId="0" applyFont="1" applyBorder="1"/>
    <xf numFmtId="0" fontId="10" fillId="0" borderId="6" xfId="0" applyFont="1" applyBorder="1"/>
    <xf numFmtId="0" fontId="10" fillId="0" borderId="8" xfId="0" applyFont="1" applyBorder="1"/>
    <xf numFmtId="0" fontId="10" fillId="0" borderId="1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21" fillId="0" borderId="1" xfId="0" applyFont="1" applyBorder="1"/>
    <xf numFmtId="0" fontId="21" fillId="0" borderId="3" xfId="0" applyFont="1" applyBorder="1"/>
    <xf numFmtId="0" fontId="21" fillId="0" borderId="6" xfId="0" applyFont="1" applyBorder="1"/>
    <xf numFmtId="0" fontId="21" fillId="0" borderId="8" xfId="0" applyFont="1" applyBorder="1"/>
    <xf numFmtId="0" fontId="21" fillId="0" borderId="1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64" fontId="28" fillId="0" borderId="9" xfId="3" applyNumberFormat="1" applyFont="1" applyBorder="1"/>
    <xf numFmtId="164" fontId="28" fillId="0" borderId="11" xfId="3" applyNumberFormat="1" applyFont="1" applyBorder="1"/>
    <xf numFmtId="0" fontId="28" fillId="0" borderId="2" xfId="0" applyFont="1" applyBorder="1"/>
    <xf numFmtId="0" fontId="28" fillId="0" borderId="7" xfId="0" applyFont="1" applyBorder="1"/>
    <xf numFmtId="44" fontId="7" fillId="0" borderId="9" xfId="1" applyFont="1" applyBorder="1" applyAlignment="1">
      <alignment horizontal="center"/>
    </xf>
    <xf numFmtId="44" fontId="8" fillId="0" borderId="11" xfId="1" applyFont="1" applyBorder="1" applyAlignment="1">
      <alignment horizontal="center"/>
    </xf>
    <xf numFmtId="44" fontId="0" fillId="0" borderId="9" xfId="1" applyFont="1" applyBorder="1"/>
    <xf numFmtId="44" fontId="0" fillId="0" borderId="11" xfId="1" applyFont="1" applyBorder="1"/>
    <xf numFmtId="10" fontId="1" fillId="2" borderId="9" xfId="2" applyNumberFormat="1" applyFont="1" applyFill="1" applyBorder="1"/>
    <xf numFmtId="10" fontId="1" fillId="0" borderId="0" xfId="2" applyNumberFormat="1" applyFont="1" applyFill="1"/>
    <xf numFmtId="0" fontId="10" fillId="4" borderId="1" xfId="0" applyFont="1" applyFill="1" applyBorder="1" applyAlignment="1">
      <alignment horizontal="center"/>
    </xf>
    <xf numFmtId="0" fontId="10" fillId="4" borderId="3" xfId="0" applyFont="1" applyFill="1" applyBorder="1" applyAlignment="1">
      <alignment horizontal="center"/>
    </xf>
    <xf numFmtId="0" fontId="10" fillId="4" borderId="2" xfId="0" applyFont="1" applyFill="1" applyBorder="1"/>
    <xf numFmtId="0" fontId="29" fillId="4" borderId="2" xfId="0" applyFont="1" applyFill="1" applyBorder="1"/>
    <xf numFmtId="165" fontId="30" fillId="4" borderId="2" xfId="3" applyNumberFormat="1" applyFont="1" applyFill="1" applyBorder="1"/>
    <xf numFmtId="169" fontId="30" fillId="4" borderId="2" xfId="1" applyNumberFormat="1" applyFont="1" applyFill="1" applyBorder="1"/>
    <xf numFmtId="44" fontId="1" fillId="4" borderId="1" xfId="1" applyFont="1" applyFill="1" applyBorder="1"/>
    <xf numFmtId="44" fontId="1" fillId="4" borderId="3" xfId="1" applyFont="1" applyFill="1" applyBorder="1"/>
    <xf numFmtId="44" fontId="1" fillId="4" borderId="9" xfId="1" applyFont="1" applyFill="1" applyBorder="1"/>
    <xf numFmtId="166" fontId="10" fillId="4" borderId="2" xfId="1" applyNumberFormat="1" applyFont="1" applyFill="1" applyBorder="1"/>
    <xf numFmtId="164" fontId="29" fillId="4" borderId="9" xfId="3" applyNumberFormat="1" applyFont="1" applyFill="1" applyBorder="1"/>
    <xf numFmtId="166" fontId="1" fillId="4" borderId="2" xfId="1" applyNumberFormat="1" applyFont="1" applyFill="1" applyBorder="1"/>
    <xf numFmtId="10" fontId="18" fillId="4" borderId="1" xfId="0" applyNumberFormat="1" applyFont="1" applyFill="1" applyBorder="1"/>
    <xf numFmtId="10" fontId="18" fillId="4" borderId="2" xfId="0" applyNumberFormat="1" applyFont="1" applyFill="1" applyBorder="1"/>
    <xf numFmtId="10" fontId="18" fillId="4" borderId="3" xfId="0" applyNumberFormat="1" applyFont="1" applyFill="1" applyBorder="1"/>
    <xf numFmtId="0" fontId="10" fillId="4" borderId="6" xfId="0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/>
    </xf>
    <xf numFmtId="0" fontId="10" fillId="4" borderId="7" xfId="0" applyFont="1" applyFill="1" applyBorder="1"/>
    <xf numFmtId="0" fontId="29" fillId="4" borderId="7" xfId="0" applyFont="1" applyFill="1" applyBorder="1"/>
    <xf numFmtId="165" fontId="30" fillId="4" borderId="7" xfId="3" applyNumberFormat="1" applyFont="1" applyFill="1" applyBorder="1"/>
    <xf numFmtId="169" fontId="30" fillId="4" borderId="7" xfId="1" applyNumberFormat="1" applyFont="1" applyFill="1" applyBorder="1"/>
    <xf numFmtId="44" fontId="1" fillId="4" borderId="6" xfId="1" applyFont="1" applyFill="1" applyBorder="1"/>
    <xf numFmtId="44" fontId="1" fillId="4" borderId="8" xfId="1" applyFont="1" applyFill="1" applyBorder="1"/>
    <xf numFmtId="44" fontId="1" fillId="4" borderId="11" xfId="1" applyFont="1" applyFill="1" applyBorder="1"/>
    <xf numFmtId="166" fontId="10" fillId="4" borderId="7" xfId="1" applyNumberFormat="1" applyFont="1" applyFill="1" applyBorder="1"/>
    <xf numFmtId="164" fontId="29" fillId="4" borderId="11" xfId="3" applyNumberFormat="1" applyFont="1" applyFill="1" applyBorder="1"/>
    <xf numFmtId="166" fontId="1" fillId="4" borderId="7" xfId="1" applyNumberFormat="1" applyFont="1" applyFill="1" applyBorder="1"/>
    <xf numFmtId="10" fontId="18" fillId="4" borderId="6" xfId="0" applyNumberFormat="1" applyFont="1" applyFill="1" applyBorder="1"/>
    <xf numFmtId="10" fontId="18" fillId="4" borderId="7" xfId="0" applyNumberFormat="1" applyFont="1" applyFill="1" applyBorder="1"/>
    <xf numFmtId="10" fontId="18" fillId="4" borderId="8" xfId="0" applyNumberFormat="1" applyFont="1" applyFill="1" applyBorder="1"/>
    <xf numFmtId="0" fontId="0" fillId="4" borderId="2" xfId="0" applyFill="1" applyBorder="1"/>
    <xf numFmtId="164" fontId="1" fillId="4" borderId="9" xfId="3" applyNumberFormat="1" applyFont="1" applyFill="1" applyBorder="1"/>
    <xf numFmtId="0" fontId="0" fillId="4" borderId="7" xfId="0" applyFill="1" applyBorder="1"/>
    <xf numFmtId="164" fontId="17" fillId="4" borderId="11" xfId="3" applyNumberFormat="1" applyFont="1" applyFill="1" applyBorder="1"/>
    <xf numFmtId="165" fontId="10" fillId="2" borderId="9" xfId="3" applyNumberFormat="1" applyFont="1" applyFill="1" applyBorder="1" applyAlignment="1">
      <alignment horizontal="center"/>
    </xf>
    <xf numFmtId="165" fontId="10" fillId="2" borderId="11" xfId="3" applyNumberFormat="1" applyFont="1" applyFill="1" applyBorder="1" applyAlignment="1">
      <alignment horizontal="center"/>
    </xf>
    <xf numFmtId="165" fontId="11" fillId="0" borderId="9" xfId="3" applyNumberFormat="1" applyFont="1" applyBorder="1" applyAlignment="1">
      <alignment horizontal="center"/>
    </xf>
    <xf numFmtId="165" fontId="9" fillId="0" borderId="10" xfId="3" applyNumberFormat="1" applyFont="1" applyBorder="1" applyAlignment="1">
      <alignment horizontal="center"/>
    </xf>
    <xf numFmtId="0" fontId="12" fillId="0" borderId="2" xfId="0" applyFont="1" applyBorder="1"/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5" fontId="14" fillId="0" borderId="2" xfId="3" applyNumberFormat="1" applyFont="1" applyBorder="1" applyAlignment="1">
      <alignment horizontal="center"/>
    </xf>
    <xf numFmtId="165" fontId="14" fillId="0" borderId="3" xfId="3" applyNumberFormat="1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8" fontId="11" fillId="0" borderId="2" xfId="1" applyNumberFormat="1" applyFont="1" applyBorder="1" applyAlignment="1">
      <alignment horizontal="center"/>
    </xf>
    <xf numFmtId="43" fontId="16" fillId="0" borderId="3" xfId="3" applyFont="1" applyBorder="1" applyAlignment="1">
      <alignment vertical="center"/>
    </xf>
    <xf numFmtId="43" fontId="16" fillId="0" borderId="8" xfId="3" applyFont="1" applyBorder="1" applyAlignment="1">
      <alignment vertical="center"/>
    </xf>
    <xf numFmtId="166" fontId="7" fillId="0" borderId="2" xfId="1" applyNumberFormat="1" applyFont="1" applyBorder="1" applyAlignment="1">
      <alignment horizontal="center"/>
    </xf>
    <xf numFmtId="166" fontId="7" fillId="0" borderId="3" xfId="1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65" fontId="19" fillId="0" borderId="0" xfId="3" applyNumberFormat="1" applyFont="1" applyAlignment="1">
      <alignment horizontal="center"/>
    </xf>
    <xf numFmtId="166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7" fontId="0" fillId="0" borderId="3" xfId="2" applyNumberFormat="1" applyFont="1" applyFill="1" applyBorder="1" applyAlignment="1">
      <alignment vertical="center"/>
    </xf>
    <xf numFmtId="167" fontId="0" fillId="0" borderId="8" xfId="2" applyNumberFormat="1" applyFont="1" applyFill="1" applyBorder="1" applyAlignment="1">
      <alignment vertical="center"/>
    </xf>
    <xf numFmtId="166" fontId="7" fillId="0" borderId="1" xfId="1" applyNumberFormat="1" applyFont="1" applyBorder="1" applyAlignment="1">
      <alignment horizontal="center"/>
    </xf>
    <xf numFmtId="43" fontId="16" fillId="0" borderId="3" xfId="0" applyNumberFormat="1" applyFont="1" applyBorder="1" applyAlignment="1">
      <alignment horizontal="center" vertical="center"/>
    </xf>
    <xf numFmtId="43" fontId="16" fillId="0" borderId="8" xfId="0" applyNumberFormat="1" applyFont="1" applyBorder="1" applyAlignment="1">
      <alignment horizontal="center" vertical="center"/>
    </xf>
    <xf numFmtId="43" fontId="16" fillId="0" borderId="3" xfId="0" applyNumberFormat="1" applyFont="1" applyBorder="1" applyAlignment="1">
      <alignment vertical="center"/>
    </xf>
    <xf numFmtId="43" fontId="16" fillId="0" borderId="8" xfId="0" applyNumberFormat="1" applyFont="1" applyBorder="1" applyAlignment="1">
      <alignment vertical="center"/>
    </xf>
    <xf numFmtId="43" fontId="30" fillId="4" borderId="3" xfId="3" applyFont="1" applyFill="1" applyBorder="1" applyAlignment="1">
      <alignment vertical="center"/>
    </xf>
    <xf numFmtId="43" fontId="30" fillId="4" borderId="8" xfId="3" applyFont="1" applyFill="1" applyBorder="1" applyAlignment="1">
      <alignment vertical="center"/>
    </xf>
    <xf numFmtId="166" fontId="0" fillId="4" borderId="1" xfId="0" applyNumberFormat="1" applyFill="1" applyBorder="1" applyAlignment="1">
      <alignment vertical="center"/>
    </xf>
    <xf numFmtId="0" fontId="0" fillId="4" borderId="6" xfId="0" applyFill="1" applyBorder="1" applyAlignment="1">
      <alignment vertical="center"/>
    </xf>
    <xf numFmtId="167" fontId="1" fillId="4" borderId="3" xfId="2" applyNumberFormat="1" applyFont="1" applyFill="1" applyBorder="1" applyAlignment="1">
      <alignment vertical="center"/>
    </xf>
    <xf numFmtId="167" fontId="1" fillId="4" borderId="8" xfId="2" applyNumberFormat="1" applyFont="1" applyFill="1" applyBorder="1" applyAlignment="1">
      <alignment vertical="center"/>
    </xf>
    <xf numFmtId="43" fontId="30" fillId="4" borderId="3" xfId="0" applyNumberFormat="1" applyFont="1" applyFill="1" applyBorder="1" applyAlignment="1">
      <alignment horizontal="center" vertical="center"/>
    </xf>
    <xf numFmtId="43" fontId="30" fillId="4" borderId="8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43" fontId="24" fillId="0" borderId="3" xfId="0" applyNumberFormat="1" applyFont="1" applyBorder="1" applyAlignment="1">
      <alignment vertical="center"/>
    </xf>
    <xf numFmtId="43" fontId="24" fillId="0" borderId="5" xfId="0" applyNumberFormat="1" applyFont="1" applyBorder="1" applyAlignment="1">
      <alignment vertical="center"/>
    </xf>
    <xf numFmtId="43" fontId="24" fillId="0" borderId="8" xfId="0" applyNumberFormat="1" applyFont="1" applyBorder="1" applyAlignment="1">
      <alignment vertical="center"/>
    </xf>
    <xf numFmtId="43" fontId="16" fillId="0" borderId="5" xfId="3" applyFont="1" applyBorder="1" applyAlignment="1">
      <alignment vertical="center"/>
    </xf>
    <xf numFmtId="166" fontId="0" fillId="0" borderId="2" xfId="0" applyNumberFormat="1" applyBorder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7" xfId="0" applyNumberFormat="1" applyBorder="1" applyAlignment="1">
      <alignment vertical="center"/>
    </xf>
    <xf numFmtId="167" fontId="0" fillId="0" borderId="5" xfId="2" applyNumberFormat="1" applyFont="1" applyFill="1" applyBorder="1" applyAlignment="1">
      <alignment vertical="center"/>
    </xf>
    <xf numFmtId="166" fontId="23" fillId="0" borderId="2" xfId="0" applyNumberFormat="1" applyFont="1" applyBorder="1" applyAlignment="1">
      <alignment vertical="center"/>
    </xf>
    <xf numFmtId="166" fontId="23" fillId="0" borderId="0" xfId="0" applyNumberFormat="1" applyFont="1" applyAlignment="1">
      <alignment vertical="center"/>
    </xf>
    <xf numFmtId="166" fontId="23" fillId="0" borderId="7" xfId="0" applyNumberFormat="1" applyFont="1" applyBorder="1" applyAlignment="1">
      <alignment vertical="center"/>
    </xf>
    <xf numFmtId="167" fontId="23" fillId="0" borderId="3" xfId="2" applyNumberFormat="1" applyFont="1" applyFill="1" applyBorder="1" applyAlignment="1">
      <alignment vertical="center"/>
    </xf>
    <xf numFmtId="167" fontId="23" fillId="0" borderId="5" xfId="2" applyNumberFormat="1" applyFont="1" applyFill="1" applyBorder="1" applyAlignment="1">
      <alignment vertical="center"/>
    </xf>
    <xf numFmtId="167" fontId="23" fillId="0" borderId="8" xfId="2" applyNumberFormat="1" applyFont="1" applyFill="1" applyBorder="1" applyAlignment="1">
      <alignment vertical="center"/>
    </xf>
    <xf numFmtId="43" fontId="24" fillId="0" borderId="3" xfId="3" applyFont="1" applyBorder="1" applyAlignment="1">
      <alignment vertical="center"/>
    </xf>
    <xf numFmtId="43" fontId="24" fillId="0" borderId="5" xfId="3" applyFont="1" applyBorder="1" applyAlignment="1">
      <alignment vertical="center"/>
    </xf>
    <xf numFmtId="43" fontId="24" fillId="0" borderId="8" xfId="3" applyFont="1" applyBorder="1" applyAlignment="1">
      <alignment vertical="center"/>
    </xf>
    <xf numFmtId="43" fontId="16" fillId="0" borderId="5" xfId="0" applyNumberFormat="1" applyFont="1" applyBorder="1" applyAlignment="1">
      <alignment vertical="center"/>
    </xf>
    <xf numFmtId="0" fontId="7" fillId="0" borderId="2" xfId="0" applyFont="1" applyBorder="1" applyAlignment="1">
      <alignment horizontal="center"/>
    </xf>
    <xf numFmtId="10" fontId="17" fillId="2" borderId="3" xfId="2" applyNumberFormat="1" applyFont="1" applyFill="1" applyBorder="1" applyAlignment="1">
      <alignment horizontal="center" vertical="center"/>
    </xf>
    <xf numFmtId="10" fontId="17" fillId="2" borderId="5" xfId="2" applyNumberFormat="1" applyFont="1" applyFill="1" applyBorder="1" applyAlignment="1">
      <alignment horizontal="center" vertical="center"/>
    </xf>
    <xf numFmtId="10" fontId="17" fillId="2" borderId="8" xfId="2" applyNumberFormat="1" applyFont="1" applyFill="1" applyBorder="1" applyAlignment="1">
      <alignment horizontal="center" vertical="center"/>
    </xf>
    <xf numFmtId="10" fontId="25" fillId="2" borderId="3" xfId="2" applyNumberFormat="1" applyFont="1" applyFill="1" applyBorder="1" applyAlignment="1">
      <alignment horizontal="center" vertical="center"/>
    </xf>
    <xf numFmtId="10" fontId="25" fillId="2" borderId="5" xfId="2" applyNumberFormat="1" applyFont="1" applyFill="1" applyBorder="1" applyAlignment="1">
      <alignment horizontal="center" vertical="center"/>
    </xf>
    <xf numFmtId="10" fontId="25" fillId="2" borderId="8" xfId="2" applyNumberFormat="1" applyFont="1" applyFill="1" applyBorder="1" applyAlignment="1">
      <alignment horizontal="center" vertical="center"/>
    </xf>
    <xf numFmtId="10" fontId="25" fillId="2" borderId="1" xfId="2" applyNumberFormat="1" applyFont="1" applyFill="1" applyBorder="1" applyAlignment="1">
      <alignment horizontal="center" vertical="center"/>
    </xf>
    <xf numFmtId="10" fontId="25" fillId="2" borderId="4" xfId="2" applyNumberFormat="1" applyFont="1" applyFill="1" applyBorder="1" applyAlignment="1">
      <alignment horizontal="center" vertical="center"/>
    </xf>
    <xf numFmtId="10" fontId="25" fillId="2" borderId="6" xfId="2" applyNumberFormat="1" applyFont="1" applyFill="1" applyBorder="1" applyAlignment="1">
      <alignment horizontal="center" vertical="center"/>
    </xf>
    <xf numFmtId="10" fontId="17" fillId="2" borderId="1" xfId="2" applyNumberFormat="1" applyFont="1" applyFill="1" applyBorder="1" applyAlignment="1">
      <alignment horizontal="center" vertical="center"/>
    </xf>
    <xf numFmtId="10" fontId="17" fillId="2" borderId="4" xfId="2" applyNumberFormat="1" applyFont="1" applyFill="1" applyBorder="1" applyAlignment="1">
      <alignment horizontal="center" vertical="center"/>
    </xf>
    <xf numFmtId="10" fontId="17" fillId="2" borderId="6" xfId="2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/>
    </xf>
    <xf numFmtId="166" fontId="0" fillId="0" borderId="4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6" fontId="23" fillId="0" borderId="1" xfId="0" applyNumberFormat="1" applyFont="1" applyBorder="1" applyAlignment="1">
      <alignment vertical="center"/>
    </xf>
    <xf numFmtId="0" fontId="23" fillId="0" borderId="4" xfId="0" applyFont="1" applyBorder="1" applyAlignment="1">
      <alignment vertical="center"/>
    </xf>
    <xf numFmtId="0" fontId="23" fillId="0" borderId="6" xfId="0" applyFont="1" applyBorder="1" applyAlignment="1">
      <alignment vertical="center"/>
    </xf>
    <xf numFmtId="43" fontId="16" fillId="0" borderId="5" xfId="0" applyNumberFormat="1" applyFont="1" applyBorder="1" applyAlignment="1">
      <alignment horizontal="center" vertical="center"/>
    </xf>
    <xf numFmtId="166" fontId="23" fillId="0" borderId="4" xfId="0" applyNumberFormat="1" applyFont="1" applyBorder="1" applyAlignment="1">
      <alignment vertical="center"/>
    </xf>
    <xf numFmtId="166" fontId="23" fillId="0" borderId="6" xfId="0" applyNumberFormat="1" applyFont="1" applyBorder="1" applyAlignment="1">
      <alignment vertical="center"/>
    </xf>
    <xf numFmtId="43" fontId="24" fillId="0" borderId="3" xfId="0" applyNumberFormat="1" applyFont="1" applyBorder="1" applyAlignment="1">
      <alignment horizontal="center" vertical="center"/>
    </xf>
    <xf numFmtId="43" fontId="24" fillId="0" borderId="8" xfId="0" applyNumberFormat="1" applyFont="1" applyBorder="1" applyAlignment="1">
      <alignment horizontal="center" vertical="center"/>
    </xf>
    <xf numFmtId="0" fontId="0" fillId="2" borderId="0" xfId="0" applyFill="1"/>
    <xf numFmtId="170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169" fontId="0" fillId="0" borderId="0" xfId="1" applyNumberFormat="1" applyFont="1"/>
    <xf numFmtId="166" fontId="31" fillId="0" borderId="1" xfId="0" applyNumberFormat="1" applyFont="1" applyBorder="1" applyAlignment="1">
      <alignment vertical="center"/>
    </xf>
    <xf numFmtId="0" fontId="31" fillId="0" borderId="6" xfId="0" applyFont="1" applyBorder="1" applyAlignment="1">
      <alignment vertical="center"/>
    </xf>
    <xf numFmtId="44" fontId="32" fillId="0" borderId="0" xfId="1" applyFont="1"/>
    <xf numFmtId="44" fontId="0" fillId="0" borderId="10" xfId="1" applyFont="1" applyBorder="1"/>
    <xf numFmtId="165" fontId="10" fillId="4" borderId="9" xfId="3" applyNumberFormat="1" applyFont="1" applyFill="1" applyBorder="1" applyAlignment="1">
      <alignment horizontal="center"/>
    </xf>
    <xf numFmtId="0" fontId="28" fillId="4" borderId="2" xfId="0" applyFont="1" applyFill="1" applyBorder="1"/>
    <xf numFmtId="10" fontId="0" fillId="4" borderId="9" xfId="2" applyNumberFormat="1" applyFont="1" applyFill="1" applyBorder="1"/>
    <xf numFmtId="165" fontId="16" fillId="4" borderId="2" xfId="3" applyNumberFormat="1" applyFont="1" applyFill="1" applyBorder="1"/>
    <xf numFmtId="169" fontId="16" fillId="4" borderId="2" xfId="1" applyNumberFormat="1" applyFont="1" applyFill="1" applyBorder="1"/>
    <xf numFmtId="43" fontId="16" fillId="4" borderId="3" xfId="0" applyNumberFormat="1" applyFont="1" applyFill="1" applyBorder="1" applyAlignment="1">
      <alignment vertical="center"/>
    </xf>
    <xf numFmtId="44" fontId="0" fillId="4" borderId="1" xfId="1" applyFont="1" applyFill="1" applyBorder="1"/>
    <xf numFmtId="44" fontId="0" fillId="4" borderId="3" xfId="1" applyFont="1" applyFill="1" applyBorder="1"/>
    <xf numFmtId="44" fontId="0" fillId="4" borderId="9" xfId="1" applyFont="1" applyFill="1" applyBorder="1"/>
    <xf numFmtId="164" fontId="13" fillId="4" borderId="9" xfId="3" applyNumberFormat="1" applyFont="1" applyFill="1" applyBorder="1"/>
    <xf numFmtId="166" fontId="0" fillId="4" borderId="2" xfId="1" applyNumberFormat="1" applyFont="1" applyFill="1" applyBorder="1"/>
    <xf numFmtId="167" fontId="0" fillId="4" borderId="3" xfId="2" applyNumberFormat="1" applyFont="1" applyFill="1" applyBorder="1" applyAlignment="1">
      <alignment vertical="center"/>
    </xf>
    <xf numFmtId="165" fontId="10" fillId="4" borderId="11" xfId="3" applyNumberFormat="1" applyFont="1" applyFill="1" applyBorder="1" applyAlignment="1">
      <alignment horizontal="center"/>
    </xf>
    <xf numFmtId="0" fontId="28" fillId="4" borderId="7" xfId="0" applyFont="1" applyFill="1" applyBorder="1"/>
    <xf numFmtId="10" fontId="0" fillId="4" borderId="11" xfId="2" applyNumberFormat="1" applyFont="1" applyFill="1" applyBorder="1"/>
    <xf numFmtId="165" fontId="16" fillId="4" borderId="7" xfId="3" applyNumberFormat="1" applyFont="1" applyFill="1" applyBorder="1"/>
    <xf numFmtId="169" fontId="16" fillId="4" borderId="7" xfId="1" applyNumberFormat="1" applyFont="1" applyFill="1" applyBorder="1"/>
    <xf numFmtId="43" fontId="16" fillId="4" borderId="8" xfId="0" applyNumberFormat="1" applyFont="1" applyFill="1" applyBorder="1" applyAlignment="1">
      <alignment vertical="center"/>
    </xf>
    <xf numFmtId="44" fontId="0" fillId="4" borderId="6" xfId="1" applyFont="1" applyFill="1" applyBorder="1"/>
    <xf numFmtId="44" fontId="0" fillId="4" borderId="8" xfId="1" applyFont="1" applyFill="1" applyBorder="1"/>
    <xf numFmtId="44" fontId="0" fillId="4" borderId="11" xfId="1" applyFont="1" applyFill="1" applyBorder="1"/>
    <xf numFmtId="164" fontId="13" fillId="4" borderId="11" xfId="3" applyNumberFormat="1" applyFont="1" applyFill="1" applyBorder="1"/>
    <xf numFmtId="166" fontId="0" fillId="4" borderId="7" xfId="1" applyNumberFormat="1" applyFont="1" applyFill="1" applyBorder="1"/>
    <xf numFmtId="167" fontId="0" fillId="4" borderId="8" xfId="2" applyNumberFormat="1" applyFont="1" applyFill="1" applyBorder="1" applyAlignment="1">
      <alignment vertical="center"/>
    </xf>
    <xf numFmtId="10" fontId="1" fillId="4" borderId="9" xfId="2" applyNumberFormat="1" applyFont="1" applyFill="1" applyBorder="1"/>
    <xf numFmtId="10" fontId="1" fillId="4" borderId="11" xfId="2" applyNumberFormat="1" applyFont="1" applyFill="1" applyBorder="1"/>
    <xf numFmtId="0" fontId="10" fillId="4" borderId="4" xfId="0" applyFont="1" applyFill="1" applyBorder="1" applyAlignment="1">
      <alignment horizontal="center"/>
    </xf>
    <xf numFmtId="0" fontId="10" fillId="4" borderId="5" xfId="0" applyFont="1" applyFill="1" applyBorder="1" applyAlignment="1">
      <alignment horizontal="center"/>
    </xf>
    <xf numFmtId="165" fontId="10" fillId="4" borderId="10" xfId="3" applyNumberFormat="1" applyFont="1" applyFill="1" applyBorder="1" applyAlignment="1">
      <alignment horizontal="center"/>
    </xf>
    <xf numFmtId="10" fontId="0" fillId="4" borderId="10" xfId="2" applyNumberFormat="1" applyFont="1" applyFill="1" applyBorder="1"/>
    <xf numFmtId="43" fontId="16" fillId="4" borderId="3" xfId="0" applyNumberFormat="1" applyFont="1" applyFill="1" applyBorder="1" applyAlignment="1">
      <alignment horizontal="center" vertical="center"/>
    </xf>
    <xf numFmtId="43" fontId="16" fillId="4" borderId="8" xfId="0" applyNumberFormat="1" applyFont="1" applyFill="1" applyBorder="1" applyAlignment="1">
      <alignment horizontal="center" vertical="center"/>
    </xf>
    <xf numFmtId="0" fontId="27" fillId="4" borderId="2" xfId="0" applyFont="1" applyFill="1" applyBorder="1"/>
    <xf numFmtId="43" fontId="16" fillId="4" borderId="3" xfId="3" applyFont="1" applyFill="1" applyBorder="1" applyAlignment="1">
      <alignment vertical="center"/>
    </xf>
    <xf numFmtId="164" fontId="6" fillId="4" borderId="9" xfId="3" applyNumberFormat="1" applyFont="1" applyFill="1" applyBorder="1"/>
    <xf numFmtId="0" fontId="27" fillId="4" borderId="7" xfId="0" applyFont="1" applyFill="1" applyBorder="1"/>
    <xf numFmtId="43" fontId="16" fillId="4" borderId="8" xfId="3" applyFont="1" applyFill="1" applyBorder="1" applyAlignment="1">
      <alignment vertical="center"/>
    </xf>
    <xf numFmtId="164" fontId="6" fillId="4" borderId="11" xfId="3" applyNumberFormat="1" applyFont="1" applyFill="1" applyBorder="1"/>
    <xf numFmtId="0" fontId="11" fillId="0" borderId="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10" fillId="0" borderId="9" xfId="0" applyFont="1" applyBorder="1"/>
    <xf numFmtId="0" fontId="10" fillId="0" borderId="11" xfId="0" applyFont="1" applyBorder="1"/>
    <xf numFmtId="0" fontId="21" fillId="0" borderId="9" xfId="0" applyFont="1" applyBorder="1"/>
    <xf numFmtId="0" fontId="21" fillId="0" borderId="11" xfId="0" applyFont="1" applyBorder="1"/>
    <xf numFmtId="44" fontId="23" fillId="0" borderId="9" xfId="1" applyFont="1" applyBorder="1"/>
    <xf numFmtId="44" fontId="23" fillId="0" borderId="11" xfId="1" applyFont="1" applyBorder="1"/>
    <xf numFmtId="0" fontId="11" fillId="0" borderId="2" xfId="0" applyFont="1" applyBorder="1"/>
    <xf numFmtId="0" fontId="10" fillId="0" borderId="9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0" borderId="10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44" fontId="23" fillId="0" borderId="10" xfId="1" applyFont="1" applyBorder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10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G73" totalsRowShown="0">
  <autoFilter ref="A1:G73" xr:uid="{41E0AE69-AE86-439F-8B86-A6C16D189F1B}"/>
  <sortState xmlns:xlrd2="http://schemas.microsoft.com/office/spreadsheetml/2017/richdata2" ref="C2:G41">
    <sortCondition ref="E1:E41"/>
  </sortState>
  <tableColumns count="7">
    <tableColumn id="4" xr3:uid="{C143C91C-ACAF-4ACF-B91F-4435A63F4151}" name="group" dataDxfId="101"/>
    <tableColumn id="2" xr3:uid="{F486AEE1-C7BF-4FB6-956C-83C2ABB71F18}" name="sector"/>
    <tableColumn id="1" xr3:uid="{4425B6E4-20BC-47CF-A149-57992AA900B4}" name="my_fi_name" dataDxfId="100"/>
    <tableColumn id="6" xr3:uid="{3FB674DC-28D9-413B-AEF2-94CC07DCB1E2}" name="my_pf_name" dataDxfId="99"/>
    <tableColumn id="5" xr3:uid="{1C677B6D-D63E-4271-8F12-49B31EA5C0F2}" name="anchor"/>
    <tableColumn id="3" xr3:uid="{B174390F-1C67-417C-A283-D8C2F19DC00A}" name="moving_avg_days" dataDxfId="98"/>
    <tableColumn id="7" xr3:uid="{C52E743F-9654-49BA-BB50-AD02E79E39CB}" name="div_treat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B6" sqref="B6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10</v>
      </c>
      <c r="B1" t="s">
        <v>11</v>
      </c>
    </row>
    <row r="2" spans="1:4" x14ac:dyDescent="0.25">
      <c r="A2" t="s">
        <v>79</v>
      </c>
      <c r="B2" t="str" cm="1">
        <f t="array" aca="1" ref="B2" ca="1">_xlfn.TEXTAFTER(CELL("filename",'ANCHOR INPUTS'!C1),"]")</f>
        <v>ANCHOR INPUTS</v>
      </c>
    </row>
    <row r="3" spans="1:4" x14ac:dyDescent="0.25">
      <c r="A3" t="s">
        <v>80</v>
      </c>
      <c r="B3" t="s">
        <v>147</v>
      </c>
    </row>
    <row r="4" spans="1:4" x14ac:dyDescent="0.25">
      <c r="A4" t="s">
        <v>34</v>
      </c>
      <c r="B4" t="str" cm="1">
        <f t="array" aca="1" ref="B4" ca="1">_xlfn.TEXTAFTER(CELL("filename",'TRADING INPUTS'!C1),"]")</f>
        <v>TRADING INPUTS</v>
      </c>
    </row>
    <row r="5" spans="1:4" x14ac:dyDescent="0.25">
      <c r="A5" t="s">
        <v>81</v>
      </c>
      <c r="B5" t="s">
        <v>35</v>
      </c>
    </row>
    <row r="6" spans="1:4" x14ac:dyDescent="0.25">
      <c r="A6" t="s">
        <v>82</v>
      </c>
      <c r="B6" t="s">
        <v>35</v>
      </c>
      <c r="D6" s="31">
        <v>46266.424837962964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R73"/>
  <sheetViews>
    <sheetView topLeftCell="A40" workbookViewId="0">
      <selection activeCell="E70" sqref="E70"/>
    </sheetView>
  </sheetViews>
  <sheetFormatPr defaultRowHeight="15" customHeight="1" x14ac:dyDescent="0.25"/>
  <cols>
    <col min="1" max="1" width="15.28515625" customWidth="1"/>
    <col min="2" max="2" width="20.28515625" customWidth="1"/>
    <col min="3" max="3" width="14" style="11" bestFit="1" customWidth="1"/>
    <col min="4" max="4" width="14.5703125" style="1" bestFit="1" customWidth="1"/>
    <col min="5" max="5" width="9.42578125" style="1" bestFit="1" customWidth="1"/>
    <col min="6" max="6" width="21.140625" style="1" bestFit="1" customWidth="1"/>
    <col min="7" max="7" width="22.42578125" style="1" bestFit="1" customWidth="1"/>
  </cols>
  <sheetData>
    <row r="1" spans="1:9" ht="15" customHeight="1" x14ac:dyDescent="0.25">
      <c r="A1" t="s">
        <v>61</v>
      </c>
      <c r="B1" t="s">
        <v>128</v>
      </c>
      <c r="C1" s="11" t="s">
        <v>2</v>
      </c>
      <c r="D1" t="s">
        <v>1</v>
      </c>
      <c r="E1" t="s">
        <v>99</v>
      </c>
      <c r="F1" s="1" t="s">
        <v>9</v>
      </c>
      <c r="G1" t="s">
        <v>148</v>
      </c>
      <c r="H1" s="1"/>
      <c r="I1" s="1"/>
    </row>
    <row r="2" spans="1:9" ht="15" customHeight="1" x14ac:dyDescent="0.25">
      <c r="A2" t="s">
        <v>149</v>
      </c>
      <c r="B2" t="s">
        <v>150</v>
      </c>
      <c r="C2" s="11" t="s">
        <v>8</v>
      </c>
      <c r="D2" t="s">
        <v>0</v>
      </c>
      <c r="E2" t="s">
        <v>8</v>
      </c>
      <c r="F2" s="1">
        <v>20</v>
      </c>
      <c r="G2"/>
      <c r="H2" s="1"/>
      <c r="I2" s="1"/>
    </row>
    <row r="3" spans="1:9" ht="15" customHeight="1" x14ac:dyDescent="0.25">
      <c r="A3" t="s">
        <v>149</v>
      </c>
      <c r="B3" t="s">
        <v>150</v>
      </c>
      <c r="C3" s="11" t="s">
        <v>7</v>
      </c>
      <c r="D3" t="s">
        <v>0</v>
      </c>
      <c r="E3" t="s">
        <v>8</v>
      </c>
      <c r="F3" s="1">
        <v>20</v>
      </c>
      <c r="G3"/>
      <c r="H3" s="1"/>
      <c r="I3" s="1"/>
    </row>
    <row r="4" spans="1:9" ht="15" customHeight="1" x14ac:dyDescent="0.25">
      <c r="A4" t="s">
        <v>149</v>
      </c>
      <c r="B4" t="s">
        <v>150</v>
      </c>
      <c r="C4" s="11" t="s">
        <v>5</v>
      </c>
      <c r="D4" t="s">
        <v>0</v>
      </c>
      <c r="E4" t="s">
        <v>8</v>
      </c>
      <c r="F4" s="1">
        <v>20</v>
      </c>
      <c r="G4"/>
      <c r="H4" s="1"/>
      <c r="I4" s="1"/>
    </row>
    <row r="5" spans="1:9" ht="15" customHeight="1" x14ac:dyDescent="0.25">
      <c r="A5" t="s">
        <v>149</v>
      </c>
      <c r="B5" t="s">
        <v>150</v>
      </c>
      <c r="C5" s="11" t="s">
        <v>6</v>
      </c>
      <c r="D5" t="s">
        <v>0</v>
      </c>
      <c r="E5" t="s">
        <v>8</v>
      </c>
      <c r="F5" s="1">
        <v>20</v>
      </c>
      <c r="G5"/>
      <c r="H5" s="1"/>
      <c r="I5" s="1"/>
    </row>
    <row r="6" spans="1:9" ht="15" customHeight="1" x14ac:dyDescent="0.25">
      <c r="A6" t="s">
        <v>149</v>
      </c>
      <c r="B6" t="s">
        <v>151</v>
      </c>
      <c r="C6" s="11" t="s">
        <v>44</v>
      </c>
      <c r="D6" t="s">
        <v>0</v>
      </c>
      <c r="E6" t="s">
        <v>44</v>
      </c>
      <c r="F6" s="1">
        <v>20</v>
      </c>
      <c r="G6"/>
      <c r="H6" s="1"/>
      <c r="I6" s="1"/>
    </row>
    <row r="7" spans="1:9" ht="15" customHeight="1" x14ac:dyDescent="0.25">
      <c r="A7" t="s">
        <v>149</v>
      </c>
      <c r="B7" t="s">
        <v>151</v>
      </c>
      <c r="C7" s="11" t="s">
        <v>50</v>
      </c>
      <c r="D7" t="s">
        <v>0</v>
      </c>
      <c r="E7" t="s">
        <v>44</v>
      </c>
      <c r="F7" s="1">
        <v>20</v>
      </c>
      <c r="G7"/>
      <c r="H7" s="1"/>
      <c r="I7" s="1"/>
    </row>
    <row r="8" spans="1:9" ht="15" customHeight="1" x14ac:dyDescent="0.25">
      <c r="A8" t="s">
        <v>149</v>
      </c>
      <c r="B8" t="s">
        <v>152</v>
      </c>
      <c r="C8" s="11" t="s">
        <v>31</v>
      </c>
      <c r="D8" t="s">
        <v>0</v>
      </c>
      <c r="E8" t="s">
        <v>31</v>
      </c>
      <c r="F8" s="1">
        <v>20</v>
      </c>
      <c r="G8"/>
      <c r="H8" s="1"/>
      <c r="I8" s="1"/>
    </row>
    <row r="9" spans="1:9" ht="15" customHeight="1" x14ac:dyDescent="0.25">
      <c r="A9" t="s">
        <v>149</v>
      </c>
      <c r="B9" t="s">
        <v>152</v>
      </c>
      <c r="C9" s="11" t="s">
        <v>28</v>
      </c>
      <c r="D9" t="s">
        <v>0</v>
      </c>
      <c r="E9" t="s">
        <v>31</v>
      </c>
      <c r="F9" s="1">
        <v>20</v>
      </c>
      <c r="G9"/>
      <c r="H9" s="1"/>
      <c r="I9" s="1"/>
    </row>
    <row r="10" spans="1:9" ht="15" customHeight="1" x14ac:dyDescent="0.25">
      <c r="A10" t="s">
        <v>149</v>
      </c>
      <c r="B10" t="s">
        <v>152</v>
      </c>
      <c r="C10" s="11" t="s">
        <v>29</v>
      </c>
      <c r="D10" t="s">
        <v>0</v>
      </c>
      <c r="E10" t="s">
        <v>31</v>
      </c>
      <c r="F10" s="1">
        <v>20</v>
      </c>
      <c r="G10"/>
      <c r="H10" s="1"/>
      <c r="I10" s="1"/>
    </row>
    <row r="11" spans="1:9" ht="15" customHeight="1" x14ac:dyDescent="0.25">
      <c r="A11" t="s">
        <v>149</v>
      </c>
      <c r="B11" t="s">
        <v>152</v>
      </c>
      <c r="C11" s="11" t="s">
        <v>30</v>
      </c>
      <c r="D11" t="s">
        <v>0</v>
      </c>
      <c r="E11" t="s">
        <v>31</v>
      </c>
      <c r="F11" s="1">
        <v>20</v>
      </c>
      <c r="G11"/>
      <c r="H11" s="1"/>
      <c r="I11" s="1"/>
    </row>
    <row r="12" spans="1:9" ht="15" customHeight="1" x14ac:dyDescent="0.25">
      <c r="A12" t="s">
        <v>149</v>
      </c>
      <c r="B12" t="s">
        <v>153</v>
      </c>
      <c r="C12" s="11" t="s">
        <v>49</v>
      </c>
      <c r="D12" t="s">
        <v>0</v>
      </c>
      <c r="E12" t="s">
        <v>49</v>
      </c>
      <c r="F12" s="1">
        <v>20</v>
      </c>
      <c r="G12"/>
      <c r="H12" s="1"/>
      <c r="I12" s="1"/>
    </row>
    <row r="13" spans="1:9" ht="15" customHeight="1" x14ac:dyDescent="0.25">
      <c r="A13" t="s">
        <v>149</v>
      </c>
      <c r="B13" t="s">
        <v>153</v>
      </c>
      <c r="C13" s="11" t="s">
        <v>59</v>
      </c>
      <c r="D13" t="s">
        <v>0</v>
      </c>
      <c r="E13" t="s">
        <v>49</v>
      </c>
      <c r="F13" s="1">
        <v>20</v>
      </c>
      <c r="G13"/>
      <c r="H13" s="1"/>
      <c r="I13" s="1"/>
    </row>
    <row r="14" spans="1:9" ht="15" customHeight="1" x14ac:dyDescent="0.25">
      <c r="A14" t="s">
        <v>149</v>
      </c>
      <c r="B14" t="s">
        <v>154</v>
      </c>
      <c r="C14" s="11" t="s">
        <v>45</v>
      </c>
      <c r="D14" t="s">
        <v>0</v>
      </c>
      <c r="E14" t="s">
        <v>51</v>
      </c>
      <c r="F14" s="1">
        <v>20</v>
      </c>
      <c r="G14"/>
      <c r="H14" s="1"/>
      <c r="I14" s="1"/>
    </row>
    <row r="15" spans="1:9" ht="15" customHeight="1" x14ac:dyDescent="0.25">
      <c r="A15" t="s">
        <v>149</v>
      </c>
      <c r="B15" t="s">
        <v>154</v>
      </c>
      <c r="C15" s="11" t="s">
        <v>51</v>
      </c>
      <c r="D15" t="s">
        <v>0</v>
      </c>
      <c r="E15" t="s">
        <v>51</v>
      </c>
      <c r="F15" s="1">
        <v>20</v>
      </c>
      <c r="G15"/>
      <c r="H15" s="1"/>
      <c r="I15" s="1"/>
    </row>
    <row r="16" spans="1:9" ht="15" customHeight="1" x14ac:dyDescent="0.25">
      <c r="A16" t="s">
        <v>149</v>
      </c>
      <c r="B16" t="s">
        <v>155</v>
      </c>
      <c r="C16" s="11" t="s">
        <v>48</v>
      </c>
      <c r="D16" t="s">
        <v>0</v>
      </c>
      <c r="E16" t="s">
        <v>52</v>
      </c>
      <c r="F16" s="1">
        <v>20</v>
      </c>
      <c r="G16"/>
      <c r="H16" s="1"/>
      <c r="I16" s="1"/>
    </row>
    <row r="17" spans="1:9" ht="15" customHeight="1" x14ac:dyDescent="0.25">
      <c r="A17" t="s">
        <v>149</v>
      </c>
      <c r="B17" t="s">
        <v>155</v>
      </c>
      <c r="C17" s="11" t="s">
        <v>52</v>
      </c>
      <c r="D17" t="s">
        <v>0</v>
      </c>
      <c r="E17" t="s">
        <v>52</v>
      </c>
      <c r="F17" s="1">
        <v>20</v>
      </c>
      <c r="G17"/>
      <c r="H17" s="1"/>
      <c r="I17" s="1"/>
    </row>
    <row r="18" spans="1:9" ht="15" customHeight="1" x14ac:dyDescent="0.25">
      <c r="A18" t="s">
        <v>149</v>
      </c>
      <c r="B18" t="s">
        <v>156</v>
      </c>
      <c r="C18" s="11" t="s">
        <v>46</v>
      </c>
      <c r="D18" t="s">
        <v>0</v>
      </c>
      <c r="E18" t="s">
        <v>53</v>
      </c>
      <c r="F18" s="1">
        <v>20</v>
      </c>
      <c r="G18"/>
      <c r="H18" s="1"/>
      <c r="I18" s="1"/>
    </row>
    <row r="19" spans="1:9" ht="15" customHeight="1" x14ac:dyDescent="0.25">
      <c r="A19" t="s">
        <v>149</v>
      </c>
      <c r="B19" t="s">
        <v>156</v>
      </c>
      <c r="C19" s="11" t="s">
        <v>53</v>
      </c>
      <c r="D19" t="s">
        <v>0</v>
      </c>
      <c r="E19" t="s">
        <v>53</v>
      </c>
      <c r="F19" s="1">
        <v>20</v>
      </c>
      <c r="G19"/>
      <c r="H19" s="1"/>
      <c r="I19" s="1"/>
    </row>
    <row r="20" spans="1:9" ht="15" customHeight="1" x14ac:dyDescent="0.25">
      <c r="A20" t="s">
        <v>149</v>
      </c>
      <c r="B20" t="s">
        <v>157</v>
      </c>
      <c r="C20" s="11" t="s">
        <v>16</v>
      </c>
      <c r="D20" t="s">
        <v>0</v>
      </c>
      <c r="E20" t="s">
        <v>17</v>
      </c>
      <c r="F20" s="1">
        <v>20</v>
      </c>
      <c r="G20"/>
      <c r="H20" s="1"/>
      <c r="I20" s="1"/>
    </row>
    <row r="21" spans="1:9" ht="15" customHeight="1" x14ac:dyDescent="0.25">
      <c r="A21" t="s">
        <v>149</v>
      </c>
      <c r="B21" t="s">
        <v>157</v>
      </c>
      <c r="C21" s="11" t="s">
        <v>14</v>
      </c>
      <c r="D21" t="s">
        <v>0</v>
      </c>
      <c r="E21" t="s">
        <v>17</v>
      </c>
      <c r="F21" s="1">
        <v>20</v>
      </c>
      <c r="G21"/>
      <c r="H21" s="1"/>
      <c r="I21" s="1"/>
    </row>
    <row r="22" spans="1:9" ht="15" customHeight="1" x14ac:dyDescent="0.25">
      <c r="A22" t="s">
        <v>149</v>
      </c>
      <c r="B22" t="s">
        <v>157</v>
      </c>
      <c r="C22" s="11" t="s">
        <v>17</v>
      </c>
      <c r="D22" t="s">
        <v>0</v>
      </c>
      <c r="E22" t="s">
        <v>17</v>
      </c>
      <c r="F22" s="1">
        <v>20</v>
      </c>
      <c r="G22"/>
      <c r="H22" s="1"/>
      <c r="I22" s="1"/>
    </row>
    <row r="23" spans="1:9" ht="15" customHeight="1" x14ac:dyDescent="0.25">
      <c r="A23" t="s">
        <v>149</v>
      </c>
      <c r="B23" t="s">
        <v>157</v>
      </c>
      <c r="C23" s="11" t="s">
        <v>13</v>
      </c>
      <c r="D23" t="s">
        <v>0</v>
      </c>
      <c r="E23" t="s">
        <v>17</v>
      </c>
      <c r="F23" s="1">
        <v>20</v>
      </c>
      <c r="G23"/>
      <c r="H23" s="1"/>
      <c r="I23" s="1"/>
    </row>
    <row r="24" spans="1:9" ht="15" customHeight="1" x14ac:dyDescent="0.25">
      <c r="A24" t="s">
        <v>149</v>
      </c>
      <c r="B24" t="s">
        <v>157</v>
      </c>
      <c r="C24" s="11" t="s">
        <v>12</v>
      </c>
      <c r="D24" t="s">
        <v>0</v>
      </c>
      <c r="E24" t="s">
        <v>17</v>
      </c>
      <c r="F24" s="1">
        <v>20</v>
      </c>
      <c r="G24"/>
      <c r="H24" s="1"/>
      <c r="I24" s="1"/>
    </row>
    <row r="25" spans="1:9" ht="15" customHeight="1" x14ac:dyDescent="0.25">
      <c r="A25" t="s">
        <v>149</v>
      </c>
      <c r="B25" t="s">
        <v>157</v>
      </c>
      <c r="C25" s="11" t="s">
        <v>15</v>
      </c>
      <c r="D25" t="s">
        <v>0</v>
      </c>
      <c r="E25" t="s">
        <v>17</v>
      </c>
      <c r="F25" s="1">
        <v>20</v>
      </c>
      <c r="G25"/>
      <c r="H25" s="1"/>
      <c r="I25" s="1"/>
    </row>
    <row r="26" spans="1:9" ht="15" customHeight="1" x14ac:dyDescent="0.25">
      <c r="A26" t="s">
        <v>149</v>
      </c>
      <c r="B26" t="s">
        <v>158</v>
      </c>
      <c r="C26" s="11" t="s">
        <v>20</v>
      </c>
      <c r="D26" t="s">
        <v>0</v>
      </c>
      <c r="E26" t="s">
        <v>20</v>
      </c>
      <c r="F26" s="1">
        <v>20</v>
      </c>
      <c r="G26"/>
      <c r="H26" s="1"/>
      <c r="I26" s="1"/>
    </row>
    <row r="27" spans="1:9" ht="15" customHeight="1" x14ac:dyDescent="0.25">
      <c r="A27" t="s">
        <v>149</v>
      </c>
      <c r="B27" t="s">
        <v>158</v>
      </c>
      <c r="C27" s="11" t="s">
        <v>18</v>
      </c>
      <c r="D27" t="s">
        <v>0</v>
      </c>
      <c r="E27" t="s">
        <v>20</v>
      </c>
      <c r="F27" s="1">
        <v>20</v>
      </c>
      <c r="G27"/>
      <c r="H27" s="1"/>
      <c r="I27" s="1"/>
    </row>
    <row r="28" spans="1:9" ht="15" customHeight="1" x14ac:dyDescent="0.25">
      <c r="A28" t="s">
        <v>149</v>
      </c>
      <c r="B28" t="s">
        <v>158</v>
      </c>
      <c r="C28" s="11" t="s">
        <v>19</v>
      </c>
      <c r="D28" t="s">
        <v>0</v>
      </c>
      <c r="E28" t="s">
        <v>20</v>
      </c>
      <c r="F28" s="1">
        <v>20</v>
      </c>
      <c r="G28"/>
      <c r="H28" s="1"/>
      <c r="I28" s="1"/>
    </row>
    <row r="29" spans="1:9" ht="15" customHeight="1" x14ac:dyDescent="0.25">
      <c r="A29" t="s">
        <v>149</v>
      </c>
      <c r="B29" t="s">
        <v>159</v>
      </c>
      <c r="C29" s="11" t="s">
        <v>4</v>
      </c>
      <c r="D29" t="s">
        <v>0</v>
      </c>
      <c r="E29" t="s">
        <v>4</v>
      </c>
      <c r="F29" s="1">
        <v>20</v>
      </c>
      <c r="G29"/>
      <c r="H29" s="1"/>
      <c r="I29" s="1"/>
    </row>
    <row r="30" spans="1:9" ht="15" customHeight="1" x14ac:dyDescent="0.25">
      <c r="A30" t="s">
        <v>149</v>
      </c>
      <c r="B30" t="s">
        <v>159</v>
      </c>
      <c r="C30" s="11" t="s">
        <v>21</v>
      </c>
      <c r="D30" t="s">
        <v>0</v>
      </c>
      <c r="E30" t="s">
        <v>4</v>
      </c>
      <c r="F30" s="1">
        <v>20</v>
      </c>
      <c r="G30"/>
      <c r="H30" s="1"/>
      <c r="I30" s="1"/>
    </row>
    <row r="31" spans="1:9" ht="15" customHeight="1" x14ac:dyDescent="0.25">
      <c r="A31" t="s">
        <v>149</v>
      </c>
      <c r="B31" t="s">
        <v>159</v>
      </c>
      <c r="C31" s="11" t="s">
        <v>3</v>
      </c>
      <c r="D31" t="s">
        <v>0</v>
      </c>
      <c r="E31" t="s">
        <v>4</v>
      </c>
      <c r="F31" s="1">
        <v>20</v>
      </c>
      <c r="G31"/>
      <c r="H31" s="1"/>
      <c r="I31" s="1"/>
    </row>
    <row r="32" spans="1:9" ht="15" customHeight="1" x14ac:dyDescent="0.25">
      <c r="A32" t="s">
        <v>149</v>
      </c>
      <c r="B32" t="s">
        <v>160</v>
      </c>
      <c r="C32" s="11" t="s">
        <v>54</v>
      </c>
      <c r="D32" t="s">
        <v>0</v>
      </c>
      <c r="E32" t="s">
        <v>54</v>
      </c>
      <c r="F32" s="1">
        <v>20</v>
      </c>
      <c r="G32"/>
      <c r="H32" s="1"/>
      <c r="I32" s="1"/>
    </row>
    <row r="33" spans="1:9" ht="15" customHeight="1" x14ac:dyDescent="0.25">
      <c r="A33" t="s">
        <v>149</v>
      </c>
      <c r="B33" t="s">
        <v>160</v>
      </c>
      <c r="C33" s="11" t="s">
        <v>55</v>
      </c>
      <c r="D33" t="s">
        <v>0</v>
      </c>
      <c r="E33" t="s">
        <v>54</v>
      </c>
      <c r="F33" s="1">
        <v>20</v>
      </c>
      <c r="G33"/>
      <c r="H33" s="1"/>
      <c r="I33" s="1"/>
    </row>
    <row r="34" spans="1:9" ht="15" customHeight="1" x14ac:dyDescent="0.25">
      <c r="A34" t="s">
        <v>149</v>
      </c>
      <c r="B34" t="s">
        <v>161</v>
      </c>
      <c r="C34" s="11" t="s">
        <v>23</v>
      </c>
      <c r="D34" t="s">
        <v>0</v>
      </c>
      <c r="E34" t="s">
        <v>24</v>
      </c>
      <c r="F34" s="1">
        <v>20</v>
      </c>
      <c r="G34"/>
      <c r="H34" s="1"/>
      <c r="I34" s="1"/>
    </row>
    <row r="35" spans="1:9" ht="15" customHeight="1" x14ac:dyDescent="0.25">
      <c r="A35" t="s">
        <v>149</v>
      </c>
      <c r="B35" t="s">
        <v>161</v>
      </c>
      <c r="C35" s="11" t="s">
        <v>22</v>
      </c>
      <c r="D35" t="s">
        <v>0</v>
      </c>
      <c r="E35" t="s">
        <v>24</v>
      </c>
      <c r="F35" s="1">
        <v>20</v>
      </c>
      <c r="G35"/>
      <c r="H35" s="1"/>
      <c r="I35" s="1"/>
    </row>
    <row r="36" spans="1:9" ht="15" customHeight="1" x14ac:dyDescent="0.25">
      <c r="A36" t="s">
        <v>149</v>
      </c>
      <c r="B36" t="s">
        <v>161</v>
      </c>
      <c r="C36" s="11" t="s">
        <v>24</v>
      </c>
      <c r="D36" t="s">
        <v>0</v>
      </c>
      <c r="E36" t="s">
        <v>24</v>
      </c>
      <c r="F36" s="1">
        <v>20</v>
      </c>
      <c r="G36"/>
      <c r="H36" s="1"/>
      <c r="I36" s="1"/>
    </row>
    <row r="37" spans="1:9" ht="15" customHeight="1" x14ac:dyDescent="0.25">
      <c r="A37" t="s">
        <v>149</v>
      </c>
      <c r="B37" t="s">
        <v>162</v>
      </c>
      <c r="C37" s="11" t="s">
        <v>26</v>
      </c>
      <c r="D37" t="s">
        <v>0</v>
      </c>
      <c r="E37" t="s">
        <v>27</v>
      </c>
      <c r="F37" s="1">
        <v>20</v>
      </c>
      <c r="G37"/>
      <c r="H37" s="1"/>
      <c r="I37" s="1"/>
    </row>
    <row r="38" spans="1:9" ht="15" customHeight="1" x14ac:dyDescent="0.25">
      <c r="A38" t="s">
        <v>149</v>
      </c>
      <c r="B38" t="s">
        <v>162</v>
      </c>
      <c r="C38" s="11" t="s">
        <v>25</v>
      </c>
      <c r="D38" t="s">
        <v>0</v>
      </c>
      <c r="E38" t="s">
        <v>27</v>
      </c>
      <c r="F38" s="1">
        <v>20</v>
      </c>
      <c r="G38"/>
      <c r="H38" s="1"/>
      <c r="I38" s="1"/>
    </row>
    <row r="39" spans="1:9" ht="15" customHeight="1" x14ac:dyDescent="0.25">
      <c r="A39" t="s">
        <v>149</v>
      </c>
      <c r="B39" t="s">
        <v>162</v>
      </c>
      <c r="C39" s="11" t="s">
        <v>27</v>
      </c>
      <c r="D39" t="s">
        <v>0</v>
      </c>
      <c r="E39" t="s">
        <v>27</v>
      </c>
      <c r="F39" s="1">
        <v>20</v>
      </c>
      <c r="G39"/>
      <c r="H39" s="1"/>
      <c r="I39" s="1"/>
    </row>
    <row r="40" spans="1:9" ht="15" customHeight="1" x14ac:dyDescent="0.25">
      <c r="A40" t="s">
        <v>149</v>
      </c>
      <c r="B40" t="s">
        <v>163</v>
      </c>
      <c r="C40" s="11" t="s">
        <v>47</v>
      </c>
      <c r="D40" t="s">
        <v>0</v>
      </c>
      <c r="E40" t="s">
        <v>58</v>
      </c>
      <c r="F40" s="1">
        <v>20</v>
      </c>
      <c r="G40"/>
      <c r="H40" s="1"/>
      <c r="I40" s="1"/>
    </row>
    <row r="41" spans="1:9" ht="15" customHeight="1" x14ac:dyDescent="0.25">
      <c r="A41" t="s">
        <v>149</v>
      </c>
      <c r="B41" t="s">
        <v>163</v>
      </c>
      <c r="C41" s="11" t="s">
        <v>58</v>
      </c>
      <c r="D41" t="s">
        <v>0</v>
      </c>
      <c r="E41" t="s">
        <v>58</v>
      </c>
      <c r="F41" s="1">
        <v>20</v>
      </c>
      <c r="G41"/>
      <c r="H41" s="1"/>
      <c r="I41" s="1"/>
    </row>
    <row r="42" spans="1:9" ht="15" customHeight="1" x14ac:dyDescent="0.25">
      <c r="A42" t="s">
        <v>128</v>
      </c>
      <c r="B42" s="149" t="s">
        <v>132</v>
      </c>
      <c r="C42" s="11" t="s">
        <v>103</v>
      </c>
      <c r="D42" t="s">
        <v>0</v>
      </c>
      <c r="E42" t="s">
        <v>105</v>
      </c>
      <c r="F42" s="1">
        <v>20</v>
      </c>
      <c r="G42" t="s">
        <v>135</v>
      </c>
      <c r="H42" s="1"/>
      <c r="I42" s="1"/>
    </row>
    <row r="43" spans="1:9" ht="15" customHeight="1" x14ac:dyDescent="0.25">
      <c r="A43" t="s">
        <v>128</v>
      </c>
      <c r="B43" s="149" t="s">
        <v>132</v>
      </c>
      <c r="C43" s="11" t="s">
        <v>105</v>
      </c>
      <c r="D43" t="s">
        <v>0</v>
      </c>
      <c r="E43" t="s">
        <v>105</v>
      </c>
      <c r="F43" s="1">
        <v>20</v>
      </c>
      <c r="G43" t="s">
        <v>135</v>
      </c>
      <c r="H43" s="1"/>
      <c r="I43" s="1"/>
    </row>
    <row r="44" spans="1:9" ht="15" customHeight="1" x14ac:dyDescent="0.25">
      <c r="A44" s="149" t="s">
        <v>128</v>
      </c>
      <c r="B44" s="149" t="s">
        <v>134</v>
      </c>
      <c r="C44" s="11" t="s">
        <v>141</v>
      </c>
      <c r="D44" s="149" t="s">
        <v>0</v>
      </c>
      <c r="E44" t="s">
        <v>108</v>
      </c>
      <c r="F44" s="1">
        <v>20</v>
      </c>
      <c r="G44" t="s">
        <v>135</v>
      </c>
      <c r="H44" s="1"/>
      <c r="I44" s="1"/>
    </row>
    <row r="45" spans="1:9" ht="15" customHeight="1" x14ac:dyDescent="0.25">
      <c r="A45" s="149" t="s">
        <v>128</v>
      </c>
      <c r="B45" s="149" t="s">
        <v>134</v>
      </c>
      <c r="C45" s="11" t="s">
        <v>108</v>
      </c>
      <c r="D45" s="149" t="s">
        <v>0</v>
      </c>
      <c r="E45" t="s">
        <v>108</v>
      </c>
      <c r="F45" s="1">
        <v>20</v>
      </c>
      <c r="G45" t="s">
        <v>135</v>
      </c>
      <c r="H45" s="1"/>
      <c r="I45" s="1"/>
    </row>
    <row r="46" spans="1:9" ht="15" customHeight="1" x14ac:dyDescent="0.25">
      <c r="A46" t="s">
        <v>128</v>
      </c>
      <c r="B46" s="149" t="s">
        <v>133</v>
      </c>
      <c r="C46" s="11" t="s">
        <v>110</v>
      </c>
      <c r="D46" t="s">
        <v>0</v>
      </c>
      <c r="E46" t="s">
        <v>112</v>
      </c>
      <c r="F46" s="1">
        <v>20</v>
      </c>
      <c r="G46" t="s">
        <v>135</v>
      </c>
      <c r="H46" s="1"/>
      <c r="I46" s="1"/>
    </row>
    <row r="47" spans="1:9" ht="15" customHeight="1" x14ac:dyDescent="0.25">
      <c r="A47" t="s">
        <v>128</v>
      </c>
      <c r="B47" s="149" t="s">
        <v>133</v>
      </c>
      <c r="C47" s="11" t="s">
        <v>112</v>
      </c>
      <c r="D47" t="s">
        <v>0</v>
      </c>
      <c r="E47" t="s">
        <v>112</v>
      </c>
      <c r="F47" s="1">
        <v>20</v>
      </c>
      <c r="G47" t="s">
        <v>135</v>
      </c>
      <c r="H47" s="1"/>
      <c r="I47" s="1"/>
    </row>
    <row r="48" spans="1:9" ht="15" customHeight="1" x14ac:dyDescent="0.25">
      <c r="A48" s="149" t="s">
        <v>128</v>
      </c>
      <c r="B48" s="149" t="s">
        <v>168</v>
      </c>
      <c r="C48" s="11" t="s">
        <v>114</v>
      </c>
      <c r="D48" s="149" t="s">
        <v>0</v>
      </c>
      <c r="E48" t="s">
        <v>142</v>
      </c>
      <c r="F48" s="1">
        <v>20</v>
      </c>
      <c r="G48" t="s">
        <v>135</v>
      </c>
      <c r="H48" s="1"/>
      <c r="I48" s="1"/>
    </row>
    <row r="49" spans="1:18" ht="15" customHeight="1" x14ac:dyDescent="0.25">
      <c r="A49" s="149" t="s">
        <v>128</v>
      </c>
      <c r="B49" s="149" t="s">
        <v>168</v>
      </c>
      <c r="C49" s="11" t="s">
        <v>142</v>
      </c>
      <c r="D49" s="149" t="s">
        <v>0</v>
      </c>
      <c r="E49" t="s">
        <v>142</v>
      </c>
      <c r="F49" s="1">
        <v>20</v>
      </c>
      <c r="G49" t="s">
        <v>135</v>
      </c>
      <c r="H49" s="1"/>
      <c r="I49" s="1"/>
    </row>
    <row r="50" spans="1:18" ht="15" customHeight="1" x14ac:dyDescent="0.25">
      <c r="A50" t="s">
        <v>128</v>
      </c>
      <c r="B50" s="149" t="s">
        <v>131</v>
      </c>
      <c r="C50" s="11" t="s">
        <v>116</v>
      </c>
      <c r="D50" t="s">
        <v>0</v>
      </c>
      <c r="E50" t="s">
        <v>118</v>
      </c>
      <c r="F50" s="1">
        <v>20</v>
      </c>
      <c r="G50" t="s">
        <v>135</v>
      </c>
      <c r="H50" s="1"/>
      <c r="I50" s="1"/>
    </row>
    <row r="51" spans="1:18" ht="15" customHeight="1" x14ac:dyDescent="0.25">
      <c r="A51" t="s">
        <v>128</v>
      </c>
      <c r="B51" s="149" t="s">
        <v>131</v>
      </c>
      <c r="C51" s="11" t="s">
        <v>118</v>
      </c>
      <c r="D51" t="s">
        <v>0</v>
      </c>
      <c r="E51" t="s">
        <v>118</v>
      </c>
      <c r="F51" s="1">
        <v>20</v>
      </c>
      <c r="G51" t="s">
        <v>135</v>
      </c>
      <c r="H51" s="1"/>
      <c r="I51" s="1"/>
    </row>
    <row r="52" spans="1:18" ht="15" customHeight="1" x14ac:dyDescent="0.25">
      <c r="A52" t="s">
        <v>128</v>
      </c>
      <c r="B52" s="149" t="s">
        <v>129</v>
      </c>
      <c r="C52" s="11" t="s">
        <v>100</v>
      </c>
      <c r="D52" t="s">
        <v>0</v>
      </c>
      <c r="E52" t="s">
        <v>101</v>
      </c>
      <c r="F52" s="1">
        <v>20</v>
      </c>
      <c r="G52" t="s">
        <v>135</v>
      </c>
      <c r="H52" s="1"/>
      <c r="I52" s="1"/>
      <c r="L52" s="1"/>
      <c r="M52" s="1"/>
      <c r="N52" s="1"/>
      <c r="O52" s="1"/>
      <c r="P52" s="1"/>
      <c r="Q52" s="1"/>
      <c r="R52" s="1"/>
    </row>
    <row r="53" spans="1:18" ht="15" customHeight="1" x14ac:dyDescent="0.25">
      <c r="A53" t="s">
        <v>128</v>
      </c>
      <c r="B53" s="149" t="s">
        <v>129</v>
      </c>
      <c r="C53" s="11" t="s">
        <v>101</v>
      </c>
      <c r="D53" t="s">
        <v>0</v>
      </c>
      <c r="E53" t="s">
        <v>101</v>
      </c>
      <c r="F53" s="1">
        <v>20</v>
      </c>
      <c r="G53" t="s">
        <v>135</v>
      </c>
      <c r="H53" s="1"/>
      <c r="I53" s="1"/>
    </row>
    <row r="54" spans="1:18" ht="15" customHeight="1" x14ac:dyDescent="0.25">
      <c r="A54" t="s">
        <v>128</v>
      </c>
      <c r="B54" s="149" t="s">
        <v>164</v>
      </c>
      <c r="C54" s="11" t="s">
        <v>120</v>
      </c>
      <c r="D54" t="s">
        <v>0</v>
      </c>
      <c r="E54" t="s">
        <v>120</v>
      </c>
      <c r="F54" s="1">
        <v>20</v>
      </c>
      <c r="G54" t="s">
        <v>135</v>
      </c>
      <c r="H54" s="1"/>
      <c r="I54" s="1"/>
    </row>
    <row r="55" spans="1:18" ht="15" customHeight="1" x14ac:dyDescent="0.25">
      <c r="A55" t="s">
        <v>128</v>
      </c>
      <c r="B55" s="149" t="s">
        <v>164</v>
      </c>
      <c r="C55" s="11" t="s">
        <v>122</v>
      </c>
      <c r="D55" t="s">
        <v>0</v>
      </c>
      <c r="E55" t="s">
        <v>120</v>
      </c>
      <c r="F55" s="1">
        <v>20</v>
      </c>
      <c r="G55" t="s">
        <v>135</v>
      </c>
      <c r="H55" s="1"/>
      <c r="I55" s="1"/>
    </row>
    <row r="56" spans="1:18" ht="15" customHeight="1" x14ac:dyDescent="0.25">
      <c r="A56" t="s">
        <v>128</v>
      </c>
      <c r="B56" s="149" t="s">
        <v>130</v>
      </c>
      <c r="C56" s="11" t="s">
        <v>124</v>
      </c>
      <c r="D56" t="s">
        <v>0</v>
      </c>
      <c r="E56" t="s">
        <v>126</v>
      </c>
      <c r="F56" s="1">
        <v>20</v>
      </c>
      <c r="G56" t="s">
        <v>135</v>
      </c>
      <c r="H56" s="1"/>
      <c r="I56" s="1"/>
    </row>
    <row r="57" spans="1:18" ht="15" customHeight="1" x14ac:dyDescent="0.25">
      <c r="A57" t="s">
        <v>128</v>
      </c>
      <c r="B57" s="149" t="s">
        <v>130</v>
      </c>
      <c r="C57" s="11" t="s">
        <v>126</v>
      </c>
      <c r="D57" t="s">
        <v>0</v>
      </c>
      <c r="E57" t="s">
        <v>126</v>
      </c>
      <c r="F57" s="1">
        <v>20</v>
      </c>
      <c r="G57" t="s">
        <v>135</v>
      </c>
      <c r="H57" s="1"/>
      <c r="I57" s="1"/>
    </row>
    <row r="58" spans="1:18" ht="15" customHeight="1" x14ac:dyDescent="0.25">
      <c r="A58" t="s">
        <v>128</v>
      </c>
      <c r="B58" s="149" t="s">
        <v>132</v>
      </c>
      <c r="C58" s="11" t="s">
        <v>104</v>
      </c>
      <c r="D58" t="s">
        <v>0</v>
      </c>
      <c r="E58" t="s">
        <v>104</v>
      </c>
      <c r="F58" s="1">
        <v>20</v>
      </c>
      <c r="G58" t="s">
        <v>135</v>
      </c>
      <c r="H58" s="1"/>
      <c r="I58" s="1"/>
    </row>
    <row r="59" spans="1:18" ht="15" customHeight="1" x14ac:dyDescent="0.25">
      <c r="A59" t="s">
        <v>128</v>
      </c>
      <c r="B59" s="149" t="s">
        <v>132</v>
      </c>
      <c r="C59" s="11" t="s">
        <v>106</v>
      </c>
      <c r="D59" t="s">
        <v>0</v>
      </c>
      <c r="E59" t="s">
        <v>104</v>
      </c>
      <c r="F59" s="1">
        <v>20</v>
      </c>
      <c r="G59" t="s">
        <v>135</v>
      </c>
      <c r="H59" s="1"/>
      <c r="I59" s="1"/>
    </row>
    <row r="60" spans="1:18" ht="15" customHeight="1" x14ac:dyDescent="0.25">
      <c r="A60" t="s">
        <v>128</v>
      </c>
      <c r="B60" s="149" t="s">
        <v>134</v>
      </c>
      <c r="C60" s="11" t="s">
        <v>107</v>
      </c>
      <c r="D60" t="s">
        <v>0</v>
      </c>
      <c r="E60" t="s">
        <v>107</v>
      </c>
      <c r="F60" s="1">
        <v>20</v>
      </c>
      <c r="G60" t="s">
        <v>135</v>
      </c>
      <c r="H60" s="1"/>
      <c r="I60" s="1"/>
    </row>
    <row r="61" spans="1:18" ht="15" customHeight="1" x14ac:dyDescent="0.25">
      <c r="A61" t="s">
        <v>128</v>
      </c>
      <c r="B61" s="149" t="s">
        <v>134</v>
      </c>
      <c r="C61" s="11" t="s">
        <v>109</v>
      </c>
      <c r="D61" t="s">
        <v>0</v>
      </c>
      <c r="E61" t="s">
        <v>107</v>
      </c>
      <c r="F61" s="1">
        <v>20</v>
      </c>
      <c r="G61" t="s">
        <v>135</v>
      </c>
      <c r="H61" s="1"/>
      <c r="I61" s="1"/>
    </row>
    <row r="62" spans="1:18" ht="15" customHeight="1" x14ac:dyDescent="0.25">
      <c r="A62" t="s">
        <v>128</v>
      </c>
      <c r="B62" s="149" t="s">
        <v>133</v>
      </c>
      <c r="C62" s="11" t="s">
        <v>111</v>
      </c>
      <c r="D62" t="s">
        <v>0</v>
      </c>
      <c r="E62" t="s">
        <v>113</v>
      </c>
      <c r="F62" s="1">
        <v>20</v>
      </c>
      <c r="G62" t="s">
        <v>135</v>
      </c>
      <c r="H62" s="1"/>
      <c r="I62" s="1"/>
    </row>
    <row r="63" spans="1:18" ht="15" customHeight="1" x14ac:dyDescent="0.25">
      <c r="A63" t="s">
        <v>128</v>
      </c>
      <c r="B63" s="149" t="s">
        <v>133</v>
      </c>
      <c r="C63" s="11" t="s">
        <v>113</v>
      </c>
      <c r="D63" t="s">
        <v>0</v>
      </c>
      <c r="E63" t="s">
        <v>113</v>
      </c>
      <c r="F63" s="1">
        <v>20</v>
      </c>
      <c r="G63" t="s">
        <v>135</v>
      </c>
      <c r="H63" s="1"/>
      <c r="I63" s="1"/>
    </row>
    <row r="64" spans="1:18" ht="15" customHeight="1" x14ac:dyDescent="0.25">
      <c r="A64" s="149" t="s">
        <v>128</v>
      </c>
      <c r="B64" s="149" t="s">
        <v>168</v>
      </c>
      <c r="C64" s="11" t="s">
        <v>143</v>
      </c>
      <c r="D64" t="s">
        <v>0</v>
      </c>
      <c r="E64" t="s">
        <v>115</v>
      </c>
      <c r="F64" s="1">
        <v>20</v>
      </c>
      <c r="G64" t="s">
        <v>135</v>
      </c>
      <c r="H64" s="1"/>
      <c r="I64" s="1"/>
    </row>
    <row r="65" spans="1:9" ht="15" customHeight="1" x14ac:dyDescent="0.25">
      <c r="A65" s="149" t="s">
        <v>128</v>
      </c>
      <c r="B65" s="149" t="s">
        <v>168</v>
      </c>
      <c r="C65" s="11" t="s">
        <v>115</v>
      </c>
      <c r="D65" t="s">
        <v>0</v>
      </c>
      <c r="E65" t="s">
        <v>115</v>
      </c>
      <c r="F65" s="1">
        <v>20</v>
      </c>
      <c r="G65" t="s">
        <v>135</v>
      </c>
    </row>
    <row r="66" spans="1:9" ht="15" customHeight="1" x14ac:dyDescent="0.25">
      <c r="A66" t="s">
        <v>128</v>
      </c>
      <c r="B66" s="149" t="s">
        <v>131</v>
      </c>
      <c r="C66" s="11" t="s">
        <v>117</v>
      </c>
      <c r="D66" t="s">
        <v>0</v>
      </c>
      <c r="E66" t="s">
        <v>117</v>
      </c>
      <c r="F66" s="1">
        <v>20</v>
      </c>
      <c r="G66" t="s">
        <v>135</v>
      </c>
      <c r="H66" s="1"/>
      <c r="I66" s="1"/>
    </row>
    <row r="67" spans="1:9" ht="15" customHeight="1" x14ac:dyDescent="0.25">
      <c r="A67" t="s">
        <v>128</v>
      </c>
      <c r="B67" s="149" t="s">
        <v>131</v>
      </c>
      <c r="C67" s="11" t="s">
        <v>119</v>
      </c>
      <c r="D67" t="s">
        <v>0</v>
      </c>
      <c r="E67" t="s">
        <v>117</v>
      </c>
      <c r="F67" s="1">
        <v>20</v>
      </c>
      <c r="G67" t="s">
        <v>135</v>
      </c>
      <c r="H67" s="1"/>
      <c r="I67" s="1"/>
    </row>
    <row r="68" spans="1:9" ht="15" customHeight="1" x14ac:dyDescent="0.25">
      <c r="A68" s="149" t="s">
        <v>128</v>
      </c>
      <c r="B68" s="149" t="s">
        <v>129</v>
      </c>
      <c r="C68" s="11" t="s">
        <v>144</v>
      </c>
      <c r="D68" t="s">
        <v>0</v>
      </c>
      <c r="E68" t="s">
        <v>102</v>
      </c>
      <c r="F68" s="1">
        <v>20</v>
      </c>
      <c r="G68" t="s">
        <v>135</v>
      </c>
      <c r="H68" s="1"/>
      <c r="I68" s="1"/>
    </row>
    <row r="69" spans="1:9" ht="15" customHeight="1" x14ac:dyDescent="0.25">
      <c r="A69" s="149" t="s">
        <v>128</v>
      </c>
      <c r="B69" s="149" t="s">
        <v>129</v>
      </c>
      <c r="C69" s="11" t="s">
        <v>102</v>
      </c>
      <c r="D69" t="s">
        <v>0</v>
      </c>
      <c r="E69" t="s">
        <v>102</v>
      </c>
      <c r="F69" s="1">
        <v>20</v>
      </c>
      <c r="G69" t="s">
        <v>135</v>
      </c>
    </row>
    <row r="70" spans="1:9" ht="15" customHeight="1" x14ac:dyDescent="0.25">
      <c r="A70" t="s">
        <v>128</v>
      </c>
      <c r="B70" s="149" t="s">
        <v>164</v>
      </c>
      <c r="C70" s="11" t="s">
        <v>121</v>
      </c>
      <c r="D70" t="s">
        <v>0</v>
      </c>
      <c r="E70" t="s">
        <v>121</v>
      </c>
      <c r="F70" s="1">
        <v>20</v>
      </c>
      <c r="G70" t="s">
        <v>135</v>
      </c>
      <c r="H70" s="1"/>
      <c r="I70" s="1"/>
    </row>
    <row r="71" spans="1:9" ht="15" customHeight="1" x14ac:dyDescent="0.25">
      <c r="A71" t="s">
        <v>128</v>
      </c>
      <c r="B71" s="149" t="s">
        <v>164</v>
      </c>
      <c r="C71" s="11" t="s">
        <v>123</v>
      </c>
      <c r="D71" t="s">
        <v>0</v>
      </c>
      <c r="E71" t="s">
        <v>121</v>
      </c>
      <c r="F71" s="1">
        <v>20</v>
      </c>
      <c r="G71" t="s">
        <v>135</v>
      </c>
      <c r="H71" s="1"/>
      <c r="I71" s="1"/>
    </row>
    <row r="72" spans="1:9" ht="15" customHeight="1" x14ac:dyDescent="0.25">
      <c r="A72" t="s">
        <v>128</v>
      </c>
      <c r="B72" s="149" t="s">
        <v>130</v>
      </c>
      <c r="C72" s="11" t="s">
        <v>125</v>
      </c>
      <c r="D72" t="s">
        <v>0</v>
      </c>
      <c r="E72" t="s">
        <v>125</v>
      </c>
      <c r="F72" s="1">
        <v>20</v>
      </c>
      <c r="G72" t="s">
        <v>135</v>
      </c>
      <c r="H72" s="1"/>
      <c r="I72" s="1"/>
    </row>
    <row r="73" spans="1:9" ht="15" customHeight="1" x14ac:dyDescent="0.25">
      <c r="A73" t="s">
        <v>128</v>
      </c>
      <c r="B73" s="149" t="s">
        <v>130</v>
      </c>
      <c r="C73" s="11" t="s">
        <v>127</v>
      </c>
      <c r="D73" t="s">
        <v>0</v>
      </c>
      <c r="E73" t="s">
        <v>125</v>
      </c>
      <c r="F73" s="1">
        <v>20</v>
      </c>
      <c r="G73" t="s">
        <v>135</v>
      </c>
      <c r="H73" s="1"/>
      <c r="I73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75"/>
  <sheetViews>
    <sheetView workbookViewId="0">
      <selection activeCell="R13" sqref="R13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1" max="11" width="11.42578125" bestFit="1" customWidth="1"/>
  </cols>
  <sheetData>
    <row r="1" spans="1:10" x14ac:dyDescent="0.25">
      <c r="A1" t="s">
        <v>36</v>
      </c>
      <c r="B1" t="s">
        <v>2</v>
      </c>
      <c r="C1" t="s">
        <v>1</v>
      </c>
      <c r="D1" s="6" t="s">
        <v>37</v>
      </c>
      <c r="E1" s="2" t="s">
        <v>38</v>
      </c>
      <c r="F1" s="2" t="s">
        <v>39</v>
      </c>
      <c r="G1" s="6" t="s">
        <v>40</v>
      </c>
      <c r="H1" s="2" t="s">
        <v>41</v>
      </c>
      <c r="I1" s="6" t="s">
        <v>60</v>
      </c>
      <c r="J1" t="s">
        <v>42</v>
      </c>
    </row>
    <row r="2" spans="1:10" x14ac:dyDescent="0.25">
      <c r="A2" t="s">
        <v>43</v>
      </c>
      <c r="B2" t="s">
        <v>8</v>
      </c>
      <c r="C2" t="s">
        <v>0</v>
      </c>
      <c r="D2" s="6">
        <v>200</v>
      </c>
      <c r="E2" s="2">
        <v>96.67</v>
      </c>
      <c r="F2" s="2">
        <v>98.1</v>
      </c>
      <c r="G2" s="6">
        <v>500</v>
      </c>
      <c r="H2" s="2">
        <v>97.072899000000007</v>
      </c>
      <c r="I2" s="6">
        <v>0</v>
      </c>
      <c r="J2" t="s">
        <v>183</v>
      </c>
    </row>
    <row r="3" spans="1:10" x14ac:dyDescent="0.25">
      <c r="A3" t="s">
        <v>43</v>
      </c>
      <c r="B3" t="s">
        <v>44</v>
      </c>
      <c r="C3" t="s">
        <v>0</v>
      </c>
      <c r="D3" s="6">
        <v>200</v>
      </c>
      <c r="E3" s="2">
        <v>28.7</v>
      </c>
      <c r="F3" s="2">
        <v>28.72</v>
      </c>
      <c r="G3" s="6">
        <v>300</v>
      </c>
      <c r="H3" s="2">
        <v>28.850999999999999</v>
      </c>
      <c r="I3" s="6">
        <v>0</v>
      </c>
      <c r="J3" t="s">
        <v>183</v>
      </c>
    </row>
    <row r="4" spans="1:10" x14ac:dyDescent="0.25">
      <c r="A4" t="s">
        <v>43</v>
      </c>
      <c r="B4" t="s">
        <v>7</v>
      </c>
      <c r="C4" t="s">
        <v>0</v>
      </c>
      <c r="D4" s="6">
        <v>100</v>
      </c>
      <c r="E4" s="2">
        <v>71.760000000000005</v>
      </c>
      <c r="F4" s="2">
        <v>71.900000000000006</v>
      </c>
      <c r="G4" s="6">
        <v>100</v>
      </c>
      <c r="H4" s="2">
        <v>71.987099000000001</v>
      </c>
      <c r="I4" s="6">
        <v>0</v>
      </c>
      <c r="J4" t="s">
        <v>183</v>
      </c>
    </row>
    <row r="5" spans="1:10" x14ac:dyDescent="0.25">
      <c r="A5" t="s">
        <v>43</v>
      </c>
      <c r="B5" t="s">
        <v>45</v>
      </c>
      <c r="C5" t="s">
        <v>0</v>
      </c>
      <c r="D5" s="6">
        <v>100</v>
      </c>
      <c r="E5" s="2">
        <v>47.28</v>
      </c>
      <c r="F5" s="2">
        <v>47.7</v>
      </c>
      <c r="G5" s="6">
        <v>300</v>
      </c>
      <c r="H5" s="2">
        <v>47.429400999999999</v>
      </c>
      <c r="I5" s="6">
        <v>0</v>
      </c>
      <c r="J5" t="s">
        <v>183</v>
      </c>
    </row>
    <row r="6" spans="1:10" x14ac:dyDescent="0.25">
      <c r="A6" t="s">
        <v>43</v>
      </c>
      <c r="B6" t="s">
        <v>46</v>
      </c>
      <c r="C6" t="s">
        <v>0</v>
      </c>
      <c r="D6" s="6">
        <v>100</v>
      </c>
      <c r="E6" s="2">
        <v>20.75</v>
      </c>
      <c r="F6" s="2">
        <v>22.42</v>
      </c>
      <c r="G6" s="6">
        <v>100</v>
      </c>
      <c r="H6" s="2">
        <v>21.775801000000001</v>
      </c>
      <c r="I6" s="6">
        <v>0</v>
      </c>
      <c r="J6" t="s">
        <v>183</v>
      </c>
    </row>
    <row r="7" spans="1:10" x14ac:dyDescent="0.25">
      <c r="A7" t="s">
        <v>43</v>
      </c>
      <c r="B7" t="s">
        <v>47</v>
      </c>
      <c r="C7" t="s">
        <v>0</v>
      </c>
      <c r="D7" s="6">
        <v>100</v>
      </c>
      <c r="E7" s="2">
        <v>55.39</v>
      </c>
      <c r="F7" s="2">
        <v>56.75</v>
      </c>
      <c r="G7" s="6">
        <v>1500</v>
      </c>
      <c r="H7" s="2">
        <v>56.046199999999999</v>
      </c>
      <c r="I7" s="6">
        <v>0</v>
      </c>
      <c r="J7" t="s">
        <v>183</v>
      </c>
    </row>
    <row r="8" spans="1:10" x14ac:dyDescent="0.25">
      <c r="A8" t="s">
        <v>43</v>
      </c>
      <c r="B8" t="s">
        <v>31</v>
      </c>
      <c r="C8" t="s">
        <v>0</v>
      </c>
      <c r="D8" s="6">
        <v>1000</v>
      </c>
      <c r="E8" s="2">
        <v>89.94</v>
      </c>
      <c r="F8" s="2">
        <v>99.62</v>
      </c>
      <c r="G8" s="6">
        <v>100</v>
      </c>
      <c r="H8" s="2">
        <v>94.589995999999999</v>
      </c>
      <c r="I8" s="6">
        <v>0</v>
      </c>
      <c r="J8" t="s">
        <v>183</v>
      </c>
    </row>
    <row r="9" spans="1:10" x14ac:dyDescent="0.25">
      <c r="A9" t="s">
        <v>43</v>
      </c>
      <c r="B9" t="s">
        <v>48</v>
      </c>
      <c r="C9" t="s">
        <v>0</v>
      </c>
      <c r="D9" s="6">
        <v>100</v>
      </c>
      <c r="E9" s="2">
        <v>95.07</v>
      </c>
      <c r="F9" s="2">
        <v>102.46</v>
      </c>
      <c r="G9" s="6">
        <v>100</v>
      </c>
      <c r="H9" s="2">
        <v>102.035202</v>
      </c>
      <c r="I9" s="6">
        <v>0</v>
      </c>
      <c r="J9" t="s">
        <v>183</v>
      </c>
    </row>
    <row r="10" spans="1:10" x14ac:dyDescent="0.25">
      <c r="A10" t="s">
        <v>43</v>
      </c>
      <c r="B10" t="s">
        <v>49</v>
      </c>
      <c r="C10" t="s">
        <v>0</v>
      </c>
      <c r="D10" s="6">
        <v>300</v>
      </c>
      <c r="E10" s="2">
        <v>93.9</v>
      </c>
      <c r="F10" s="2">
        <v>95.84</v>
      </c>
      <c r="G10" s="6">
        <v>2100</v>
      </c>
      <c r="H10" s="2">
        <v>94.356300000000005</v>
      </c>
      <c r="I10" s="6">
        <v>0</v>
      </c>
      <c r="J10" t="s">
        <v>183</v>
      </c>
    </row>
    <row r="11" spans="1:10" x14ac:dyDescent="0.25">
      <c r="A11" t="s">
        <v>43</v>
      </c>
      <c r="B11" t="s">
        <v>50</v>
      </c>
      <c r="C11" t="s">
        <v>0</v>
      </c>
      <c r="D11" s="6">
        <v>100</v>
      </c>
      <c r="E11" s="2">
        <v>26.26</v>
      </c>
      <c r="F11" s="2">
        <v>27.27</v>
      </c>
      <c r="G11" s="6">
        <v>4000</v>
      </c>
      <c r="H11" s="2">
        <v>26.8675</v>
      </c>
      <c r="I11" s="6">
        <v>0</v>
      </c>
      <c r="J11" t="s">
        <v>183</v>
      </c>
    </row>
    <row r="12" spans="1:10" x14ac:dyDescent="0.25">
      <c r="A12" t="s">
        <v>43</v>
      </c>
      <c r="B12" t="s">
        <v>16</v>
      </c>
      <c r="C12" t="s">
        <v>0</v>
      </c>
      <c r="D12" s="6">
        <v>1000</v>
      </c>
      <c r="E12" s="2">
        <v>79.069999999999993</v>
      </c>
      <c r="F12" s="2">
        <v>79.099999999999994</v>
      </c>
      <c r="G12" s="6">
        <v>2500</v>
      </c>
      <c r="H12" s="2">
        <v>79.375</v>
      </c>
      <c r="I12" s="6">
        <v>0</v>
      </c>
      <c r="J12" t="s">
        <v>183</v>
      </c>
    </row>
    <row r="13" spans="1:10" x14ac:dyDescent="0.25">
      <c r="A13" t="s">
        <v>43</v>
      </c>
      <c r="B13" t="s">
        <v>14</v>
      </c>
      <c r="C13" t="s">
        <v>0</v>
      </c>
      <c r="D13" s="6">
        <v>100</v>
      </c>
      <c r="E13" s="2">
        <v>36.049999999999997</v>
      </c>
      <c r="F13" s="2">
        <v>36.5</v>
      </c>
      <c r="G13" s="6">
        <v>2600</v>
      </c>
      <c r="H13" s="2">
        <v>36.247101000000001</v>
      </c>
      <c r="I13" s="6">
        <v>0</v>
      </c>
      <c r="J13" t="s">
        <v>183</v>
      </c>
    </row>
    <row r="14" spans="1:10" x14ac:dyDescent="0.25">
      <c r="A14" t="s">
        <v>43</v>
      </c>
      <c r="B14" t="s">
        <v>51</v>
      </c>
      <c r="C14" t="s">
        <v>0</v>
      </c>
      <c r="D14" s="6">
        <v>800</v>
      </c>
      <c r="E14" s="2">
        <v>49.57</v>
      </c>
      <c r="F14" s="2">
        <v>52</v>
      </c>
      <c r="G14" s="6">
        <v>100</v>
      </c>
      <c r="H14" s="2">
        <v>49.720001000000003</v>
      </c>
      <c r="I14" s="6">
        <v>0</v>
      </c>
      <c r="J14" t="s">
        <v>183</v>
      </c>
    </row>
    <row r="15" spans="1:10" x14ac:dyDescent="0.25">
      <c r="A15" t="s">
        <v>43</v>
      </c>
      <c r="B15" t="s">
        <v>52</v>
      </c>
      <c r="C15" t="s">
        <v>0</v>
      </c>
      <c r="D15" s="6">
        <v>100</v>
      </c>
      <c r="E15" s="2">
        <v>109.56</v>
      </c>
      <c r="F15" s="2">
        <v>114.25</v>
      </c>
      <c r="G15" s="6">
        <v>100</v>
      </c>
      <c r="H15" s="2">
        <v>113.70549800000001</v>
      </c>
      <c r="I15" s="6">
        <v>0</v>
      </c>
      <c r="J15" t="s">
        <v>183</v>
      </c>
    </row>
    <row r="16" spans="1:10" x14ac:dyDescent="0.25">
      <c r="A16" t="s">
        <v>43</v>
      </c>
      <c r="B16" t="s">
        <v>23</v>
      </c>
      <c r="C16" t="s">
        <v>0</v>
      </c>
      <c r="D16" s="6">
        <v>200</v>
      </c>
      <c r="E16" s="2">
        <v>47.3</v>
      </c>
      <c r="F16" s="2">
        <v>47.8</v>
      </c>
      <c r="G16" s="6">
        <v>100</v>
      </c>
      <c r="H16" s="2">
        <v>47.870800000000003</v>
      </c>
      <c r="I16" s="6">
        <v>0</v>
      </c>
      <c r="J16" t="s">
        <v>183</v>
      </c>
    </row>
    <row r="17" spans="1:10" x14ac:dyDescent="0.25">
      <c r="A17" t="s">
        <v>43</v>
      </c>
      <c r="B17" t="s">
        <v>53</v>
      </c>
      <c r="C17" t="s">
        <v>0</v>
      </c>
      <c r="D17" s="6">
        <v>100</v>
      </c>
      <c r="E17" s="2">
        <v>39.700000000000003</v>
      </c>
      <c r="F17" s="2">
        <v>41.28</v>
      </c>
      <c r="G17" s="6">
        <v>300</v>
      </c>
      <c r="H17" s="2">
        <v>41.209999000000003</v>
      </c>
      <c r="I17" s="6">
        <v>0</v>
      </c>
      <c r="J17" t="s">
        <v>183</v>
      </c>
    </row>
    <row r="18" spans="1:10" x14ac:dyDescent="0.25">
      <c r="A18" t="s">
        <v>43</v>
      </c>
      <c r="B18" t="s">
        <v>17</v>
      </c>
      <c r="C18" t="s">
        <v>0</v>
      </c>
      <c r="D18" s="6">
        <v>1800</v>
      </c>
      <c r="E18" s="2">
        <v>95.1</v>
      </c>
      <c r="F18" s="2">
        <v>96.05</v>
      </c>
      <c r="G18" s="6">
        <v>100</v>
      </c>
      <c r="H18" s="2">
        <v>95.527702000000005</v>
      </c>
      <c r="I18" s="6">
        <v>0</v>
      </c>
      <c r="J18" t="s">
        <v>183</v>
      </c>
    </row>
    <row r="19" spans="1:10" x14ac:dyDescent="0.25">
      <c r="A19" t="s">
        <v>43</v>
      </c>
      <c r="B19" t="s">
        <v>20</v>
      </c>
      <c r="C19" t="s">
        <v>0</v>
      </c>
      <c r="D19" s="6">
        <v>100</v>
      </c>
      <c r="E19" s="2">
        <v>91.24</v>
      </c>
      <c r="F19" s="2">
        <v>96.5</v>
      </c>
      <c r="G19" s="6">
        <v>300</v>
      </c>
      <c r="H19" s="2">
        <v>92.761200000000002</v>
      </c>
      <c r="I19" s="6">
        <v>0</v>
      </c>
      <c r="J19" t="s">
        <v>183</v>
      </c>
    </row>
    <row r="20" spans="1:10" x14ac:dyDescent="0.25">
      <c r="A20" t="s">
        <v>43</v>
      </c>
      <c r="B20" t="s">
        <v>4</v>
      </c>
      <c r="C20" t="s">
        <v>0</v>
      </c>
      <c r="D20" s="6">
        <v>200</v>
      </c>
      <c r="E20" s="2">
        <v>104.15</v>
      </c>
      <c r="F20" s="2">
        <v>105.96</v>
      </c>
      <c r="G20" s="6">
        <v>300</v>
      </c>
      <c r="H20" s="2">
        <v>104.810097</v>
      </c>
      <c r="I20" s="6">
        <v>0</v>
      </c>
      <c r="J20" t="s">
        <v>183</v>
      </c>
    </row>
    <row r="21" spans="1:10" x14ac:dyDescent="0.25">
      <c r="A21" t="s">
        <v>43</v>
      </c>
      <c r="B21" t="s">
        <v>54</v>
      </c>
      <c r="C21" t="s">
        <v>0</v>
      </c>
      <c r="D21" s="6">
        <v>600</v>
      </c>
      <c r="E21" s="2">
        <v>30.08</v>
      </c>
      <c r="F21" s="2">
        <v>30.2</v>
      </c>
      <c r="G21" s="6">
        <v>1000</v>
      </c>
      <c r="H21" s="2">
        <v>30.292801000000001</v>
      </c>
      <c r="I21" s="6">
        <v>0</v>
      </c>
      <c r="J21" t="s">
        <v>183</v>
      </c>
    </row>
    <row r="22" spans="1:10" x14ac:dyDescent="0.25">
      <c r="A22" t="s">
        <v>43</v>
      </c>
      <c r="B22" t="s">
        <v>55</v>
      </c>
      <c r="C22" t="s">
        <v>0</v>
      </c>
      <c r="D22" s="6">
        <v>400</v>
      </c>
      <c r="E22" s="2">
        <v>18</v>
      </c>
      <c r="F22" s="2">
        <v>18.16</v>
      </c>
      <c r="G22" s="6">
        <v>400</v>
      </c>
      <c r="H22" s="2">
        <v>18.219999000000001</v>
      </c>
      <c r="I22" s="6">
        <v>0</v>
      </c>
      <c r="J22" t="s">
        <v>183</v>
      </c>
    </row>
    <row r="23" spans="1:10" x14ac:dyDescent="0.25">
      <c r="A23" t="s">
        <v>43</v>
      </c>
      <c r="B23" t="s">
        <v>26</v>
      </c>
      <c r="C23" t="s">
        <v>0</v>
      </c>
      <c r="D23" s="6">
        <v>46400</v>
      </c>
      <c r="E23" s="2">
        <v>29.8</v>
      </c>
      <c r="F23" s="2">
        <v>29.84</v>
      </c>
      <c r="G23" s="6">
        <v>46200</v>
      </c>
      <c r="H23" s="2">
        <v>29.940701000000001</v>
      </c>
      <c r="I23" s="6">
        <v>0</v>
      </c>
      <c r="J23" t="s">
        <v>183</v>
      </c>
    </row>
    <row r="24" spans="1:10" x14ac:dyDescent="0.25">
      <c r="A24" t="s">
        <v>43</v>
      </c>
      <c r="B24" t="s">
        <v>5</v>
      </c>
      <c r="C24" t="s">
        <v>0</v>
      </c>
      <c r="D24" s="6">
        <v>100</v>
      </c>
      <c r="E24" s="2">
        <v>22.61</v>
      </c>
      <c r="F24" s="2">
        <v>22.7</v>
      </c>
      <c r="G24" s="6">
        <v>100</v>
      </c>
      <c r="H24" s="2">
        <v>22.693398999999999</v>
      </c>
      <c r="I24" s="6">
        <v>0</v>
      </c>
      <c r="J24" t="s">
        <v>183</v>
      </c>
    </row>
    <row r="25" spans="1:10" x14ac:dyDescent="0.25">
      <c r="A25" t="s">
        <v>43</v>
      </c>
      <c r="B25" t="s">
        <v>13</v>
      </c>
      <c r="C25" t="s">
        <v>0</v>
      </c>
      <c r="D25" s="6">
        <v>200</v>
      </c>
      <c r="E25" s="2">
        <v>25.84</v>
      </c>
      <c r="F25" s="2">
        <v>26.08</v>
      </c>
      <c r="G25" s="6">
        <v>1000</v>
      </c>
      <c r="H25" s="2">
        <v>25.9604</v>
      </c>
      <c r="I25" s="6">
        <v>0</v>
      </c>
      <c r="J25" t="s">
        <v>183</v>
      </c>
    </row>
    <row r="26" spans="1:10" x14ac:dyDescent="0.25">
      <c r="A26" t="s">
        <v>43</v>
      </c>
      <c r="B26" t="s">
        <v>6</v>
      </c>
      <c r="C26" t="s">
        <v>0</v>
      </c>
      <c r="D26" s="6">
        <v>300</v>
      </c>
      <c r="E26" s="2">
        <v>23.66</v>
      </c>
      <c r="F26" s="2">
        <v>25.8</v>
      </c>
      <c r="G26" s="6">
        <v>1600</v>
      </c>
      <c r="H26" s="2">
        <v>25.0107</v>
      </c>
      <c r="I26" s="6">
        <v>0</v>
      </c>
      <c r="J26" t="s">
        <v>183</v>
      </c>
    </row>
    <row r="27" spans="1:10" x14ac:dyDescent="0.25">
      <c r="A27" t="s">
        <v>43</v>
      </c>
      <c r="B27" t="s">
        <v>28</v>
      </c>
      <c r="C27" t="s">
        <v>0</v>
      </c>
      <c r="D27" s="6">
        <v>100</v>
      </c>
      <c r="E27" s="2">
        <v>27.69</v>
      </c>
      <c r="F27" s="2">
        <v>29.82</v>
      </c>
      <c r="G27" s="6">
        <v>200</v>
      </c>
      <c r="H27" s="2">
        <v>28.316199999999998</v>
      </c>
      <c r="I27" s="6">
        <v>0</v>
      </c>
      <c r="J27" t="s">
        <v>183</v>
      </c>
    </row>
    <row r="28" spans="1:10" x14ac:dyDescent="0.25">
      <c r="A28" t="s">
        <v>43</v>
      </c>
      <c r="B28" t="s">
        <v>12</v>
      </c>
      <c r="C28" t="s">
        <v>0</v>
      </c>
      <c r="D28" s="6">
        <v>900</v>
      </c>
      <c r="E28" s="2">
        <v>23.14</v>
      </c>
      <c r="F28" s="2">
        <v>23.19</v>
      </c>
      <c r="G28" s="6">
        <v>300</v>
      </c>
      <c r="H28" s="2">
        <v>23.209599999999998</v>
      </c>
      <c r="I28" s="6">
        <v>0</v>
      </c>
      <c r="J28" t="s">
        <v>183</v>
      </c>
    </row>
    <row r="29" spans="1:10" x14ac:dyDescent="0.25">
      <c r="A29" t="s">
        <v>43</v>
      </c>
      <c r="B29" t="s">
        <v>22</v>
      </c>
      <c r="C29" t="s">
        <v>0</v>
      </c>
      <c r="D29" s="6">
        <v>200</v>
      </c>
      <c r="E29" s="2">
        <v>15.96</v>
      </c>
      <c r="F29" s="2">
        <v>22.19</v>
      </c>
      <c r="G29" s="6">
        <v>5000</v>
      </c>
      <c r="H29" s="2">
        <v>21.378</v>
      </c>
      <c r="I29" s="6">
        <v>0</v>
      </c>
      <c r="J29" t="s">
        <v>183</v>
      </c>
    </row>
    <row r="30" spans="1:10" x14ac:dyDescent="0.25">
      <c r="A30" t="s">
        <v>43</v>
      </c>
      <c r="B30" t="s">
        <v>18</v>
      </c>
      <c r="C30" t="s">
        <v>0</v>
      </c>
      <c r="D30" s="6">
        <v>100</v>
      </c>
      <c r="E30" s="2">
        <v>21.18</v>
      </c>
      <c r="F30" s="2">
        <v>21.96</v>
      </c>
      <c r="G30" s="6">
        <v>100</v>
      </c>
      <c r="H30" s="2">
        <v>21.898800000000001</v>
      </c>
      <c r="I30" s="6">
        <v>0</v>
      </c>
      <c r="J30" t="s">
        <v>183</v>
      </c>
    </row>
    <row r="31" spans="1:10" x14ac:dyDescent="0.25">
      <c r="A31" t="s">
        <v>43</v>
      </c>
      <c r="B31" t="s">
        <v>25</v>
      </c>
      <c r="C31" t="s">
        <v>0</v>
      </c>
      <c r="D31" s="6">
        <v>18600</v>
      </c>
      <c r="E31" s="2">
        <v>24.99</v>
      </c>
      <c r="F31" s="2">
        <v>25</v>
      </c>
      <c r="G31" s="6">
        <v>6200</v>
      </c>
      <c r="H31" s="2">
        <v>25.096499999999999</v>
      </c>
      <c r="I31" s="6">
        <v>0</v>
      </c>
      <c r="J31" t="s">
        <v>183</v>
      </c>
    </row>
    <row r="32" spans="1:10" x14ac:dyDescent="0.25">
      <c r="A32" t="s">
        <v>43</v>
      </c>
      <c r="B32" t="s">
        <v>21</v>
      </c>
      <c r="C32" t="s">
        <v>0</v>
      </c>
      <c r="D32" s="6">
        <v>100</v>
      </c>
      <c r="E32" s="2">
        <v>40.04</v>
      </c>
      <c r="F32" s="2">
        <v>45.99</v>
      </c>
      <c r="G32" s="6">
        <v>500</v>
      </c>
      <c r="H32" s="2">
        <v>44.524399000000003</v>
      </c>
      <c r="I32" s="6">
        <v>0</v>
      </c>
      <c r="J32" t="s">
        <v>183</v>
      </c>
    </row>
    <row r="33" spans="1:10" x14ac:dyDescent="0.25">
      <c r="A33" t="s">
        <v>43</v>
      </c>
      <c r="B33" t="s">
        <v>15</v>
      </c>
      <c r="C33" t="s">
        <v>0</v>
      </c>
      <c r="D33" s="6">
        <v>100</v>
      </c>
      <c r="E33" s="2">
        <v>36.58</v>
      </c>
      <c r="F33" s="2">
        <v>36.590000000000003</v>
      </c>
      <c r="G33" s="6">
        <v>2400</v>
      </c>
      <c r="H33" s="2">
        <v>36.706699</v>
      </c>
      <c r="I33" s="6">
        <v>0</v>
      </c>
      <c r="J33" t="s">
        <v>183</v>
      </c>
    </row>
    <row r="34" spans="1:10" x14ac:dyDescent="0.25">
      <c r="A34" t="s">
        <v>43</v>
      </c>
      <c r="B34" t="s">
        <v>29</v>
      </c>
      <c r="C34" t="s">
        <v>0</v>
      </c>
      <c r="D34" s="6">
        <v>100</v>
      </c>
      <c r="E34" s="2">
        <v>45.08</v>
      </c>
      <c r="F34" s="2">
        <v>50.6</v>
      </c>
      <c r="G34" s="6">
        <v>3000</v>
      </c>
      <c r="H34" s="2">
        <v>50.075901000000002</v>
      </c>
      <c r="I34" s="6">
        <v>0</v>
      </c>
      <c r="J34" t="s">
        <v>183</v>
      </c>
    </row>
    <row r="35" spans="1:10" x14ac:dyDescent="0.25">
      <c r="A35" t="s">
        <v>43</v>
      </c>
      <c r="B35" t="s">
        <v>24</v>
      </c>
      <c r="C35" t="s">
        <v>0</v>
      </c>
      <c r="D35" s="6">
        <v>100</v>
      </c>
      <c r="E35" s="2">
        <v>71.290000000000006</v>
      </c>
      <c r="F35" s="2">
        <v>71.900000000000006</v>
      </c>
      <c r="G35" s="6">
        <v>1000</v>
      </c>
      <c r="H35" s="2">
        <v>71.838500999999994</v>
      </c>
      <c r="I35" s="6">
        <v>0</v>
      </c>
      <c r="J35" t="s">
        <v>183</v>
      </c>
    </row>
    <row r="36" spans="1:10" x14ac:dyDescent="0.25">
      <c r="A36" t="s">
        <v>43</v>
      </c>
      <c r="B36" t="s">
        <v>27</v>
      </c>
      <c r="C36" t="s">
        <v>0</v>
      </c>
      <c r="D36" s="6">
        <v>24000</v>
      </c>
      <c r="E36" s="2">
        <v>52.52</v>
      </c>
      <c r="F36" s="2">
        <v>52.55</v>
      </c>
      <c r="G36" s="6">
        <v>10800</v>
      </c>
      <c r="H36" s="2">
        <v>52.764702</v>
      </c>
      <c r="I36" s="6">
        <v>0</v>
      </c>
      <c r="J36" t="s">
        <v>183</v>
      </c>
    </row>
    <row r="37" spans="1:10" x14ac:dyDescent="0.25">
      <c r="A37" t="s">
        <v>43</v>
      </c>
      <c r="B37" t="s">
        <v>19</v>
      </c>
      <c r="C37" t="s">
        <v>0</v>
      </c>
      <c r="D37" s="6">
        <v>300</v>
      </c>
      <c r="E37" s="2">
        <v>45.74</v>
      </c>
      <c r="F37" s="2">
        <v>45.82</v>
      </c>
      <c r="G37" s="6">
        <v>600</v>
      </c>
      <c r="H37" s="2">
        <v>46.130001</v>
      </c>
      <c r="I37" s="6">
        <v>0</v>
      </c>
      <c r="J37" t="s">
        <v>183</v>
      </c>
    </row>
    <row r="38" spans="1:10" x14ac:dyDescent="0.25">
      <c r="A38" t="s">
        <v>43</v>
      </c>
      <c r="B38" t="s">
        <v>30</v>
      </c>
      <c r="C38" t="s">
        <v>0</v>
      </c>
      <c r="D38" s="6">
        <v>300</v>
      </c>
      <c r="E38" s="2">
        <v>74.56</v>
      </c>
      <c r="F38" s="2">
        <v>74.680000000000007</v>
      </c>
      <c r="G38" s="6">
        <v>100</v>
      </c>
      <c r="H38" s="2">
        <v>75.183800000000005</v>
      </c>
      <c r="I38" s="6">
        <v>0</v>
      </c>
      <c r="J38" t="s">
        <v>183</v>
      </c>
    </row>
    <row r="39" spans="1:10" x14ac:dyDescent="0.25">
      <c r="A39" t="s">
        <v>43</v>
      </c>
      <c r="B39" t="s">
        <v>3</v>
      </c>
      <c r="C39" t="s">
        <v>0</v>
      </c>
      <c r="D39" s="6">
        <v>2000</v>
      </c>
      <c r="E39" s="2">
        <v>48.97</v>
      </c>
      <c r="F39" s="2">
        <v>49</v>
      </c>
      <c r="G39" s="6">
        <v>1800</v>
      </c>
      <c r="H39" s="2">
        <v>49.196601999999999</v>
      </c>
      <c r="I39" s="6">
        <v>0</v>
      </c>
      <c r="J39" t="s">
        <v>183</v>
      </c>
    </row>
    <row r="40" spans="1:10" x14ac:dyDescent="0.25">
      <c r="A40" t="s">
        <v>43</v>
      </c>
      <c r="B40" t="s">
        <v>58</v>
      </c>
      <c r="C40" t="s">
        <v>0</v>
      </c>
      <c r="D40" s="6">
        <v>100</v>
      </c>
      <c r="E40" s="2">
        <v>97.3</v>
      </c>
      <c r="F40" s="2">
        <v>99.15</v>
      </c>
      <c r="G40" s="6">
        <v>300</v>
      </c>
      <c r="H40" s="2">
        <v>97.869797000000005</v>
      </c>
      <c r="I40" s="6">
        <v>0</v>
      </c>
      <c r="J40" t="s">
        <v>183</v>
      </c>
    </row>
    <row r="41" spans="1:10" x14ac:dyDescent="0.25">
      <c r="A41" t="s">
        <v>43</v>
      </c>
      <c r="B41" t="s">
        <v>59</v>
      </c>
      <c r="C41" t="s">
        <v>0</v>
      </c>
      <c r="D41" s="6">
        <v>1400</v>
      </c>
      <c r="E41" s="2">
        <v>65.31</v>
      </c>
      <c r="F41" s="2">
        <v>66.52</v>
      </c>
      <c r="G41" s="6">
        <v>100</v>
      </c>
      <c r="H41" s="2">
        <v>65.940002000000007</v>
      </c>
      <c r="I41" s="6">
        <v>0</v>
      </c>
      <c r="J41" t="s">
        <v>183</v>
      </c>
    </row>
    <row r="42" spans="1:10" x14ac:dyDescent="0.25">
      <c r="A42" t="s">
        <v>43</v>
      </c>
      <c r="B42" t="s">
        <v>103</v>
      </c>
      <c r="C42" t="s">
        <v>0</v>
      </c>
      <c r="D42" s="6">
        <v>500</v>
      </c>
      <c r="E42" s="2">
        <v>35.46</v>
      </c>
      <c r="F42" s="2">
        <v>36.28</v>
      </c>
      <c r="G42" s="6">
        <v>100</v>
      </c>
      <c r="H42" s="2">
        <v>35.450001</v>
      </c>
      <c r="I42" s="6">
        <v>0</v>
      </c>
      <c r="J42" t="s">
        <v>183</v>
      </c>
    </row>
    <row r="43" spans="1:10" x14ac:dyDescent="0.25">
      <c r="A43" t="s">
        <v>43</v>
      </c>
      <c r="B43" t="s">
        <v>141</v>
      </c>
      <c r="C43" t="s">
        <v>0</v>
      </c>
      <c r="D43" s="6">
        <v>100</v>
      </c>
      <c r="E43" s="2">
        <v>76.8</v>
      </c>
      <c r="F43" s="2">
        <v>86.06</v>
      </c>
      <c r="G43" s="6">
        <v>100</v>
      </c>
      <c r="H43" s="2">
        <v>82.059997999999993</v>
      </c>
      <c r="I43" s="6">
        <v>0</v>
      </c>
      <c r="J43" t="s">
        <v>183</v>
      </c>
    </row>
    <row r="44" spans="1:10" x14ac:dyDescent="0.25">
      <c r="A44" t="s">
        <v>43</v>
      </c>
      <c r="B44" t="s">
        <v>110</v>
      </c>
      <c r="C44" t="s">
        <v>0</v>
      </c>
      <c r="D44" s="6">
        <v>100</v>
      </c>
      <c r="E44" s="2">
        <v>81.83</v>
      </c>
      <c r="F44" s="2">
        <v>87.79</v>
      </c>
      <c r="G44" s="6">
        <v>100</v>
      </c>
      <c r="H44" s="2">
        <v>82.730002999999996</v>
      </c>
      <c r="I44" s="6">
        <v>0</v>
      </c>
      <c r="J44" t="s">
        <v>183</v>
      </c>
    </row>
    <row r="45" spans="1:10" x14ac:dyDescent="0.25">
      <c r="A45" t="s">
        <v>43</v>
      </c>
      <c r="B45" t="s">
        <v>114</v>
      </c>
      <c r="C45" t="s">
        <v>0</v>
      </c>
      <c r="D45" s="6">
        <v>100</v>
      </c>
      <c r="E45" s="2">
        <v>90</v>
      </c>
      <c r="F45" s="2">
        <v>96.67</v>
      </c>
      <c r="G45" s="6">
        <v>100</v>
      </c>
      <c r="H45" s="2">
        <v>92.82</v>
      </c>
      <c r="I45" s="6">
        <v>0</v>
      </c>
      <c r="J45" t="s">
        <v>183</v>
      </c>
    </row>
    <row r="46" spans="1:10" x14ac:dyDescent="0.25">
      <c r="A46" t="s">
        <v>43</v>
      </c>
      <c r="B46" t="s">
        <v>116</v>
      </c>
      <c r="C46" t="s">
        <v>0</v>
      </c>
      <c r="D46" s="6">
        <v>100</v>
      </c>
      <c r="E46" s="2">
        <v>14.66</v>
      </c>
      <c r="F46" s="2">
        <v>43.33</v>
      </c>
      <c r="G46" s="6">
        <v>100</v>
      </c>
      <c r="H46" s="2">
        <v>29.26</v>
      </c>
      <c r="I46" s="6">
        <v>0</v>
      </c>
      <c r="J46" t="s">
        <v>183</v>
      </c>
    </row>
    <row r="47" spans="1:10" x14ac:dyDescent="0.25">
      <c r="A47" t="s">
        <v>43</v>
      </c>
      <c r="B47" t="s">
        <v>100</v>
      </c>
      <c r="C47" t="s">
        <v>0</v>
      </c>
      <c r="D47" s="6">
        <v>100</v>
      </c>
      <c r="E47" s="2">
        <v>53</v>
      </c>
      <c r="F47" s="2">
        <v>55</v>
      </c>
      <c r="G47" s="6">
        <v>100</v>
      </c>
      <c r="H47" s="2">
        <v>53.470001000000003</v>
      </c>
      <c r="I47" s="6">
        <v>0</v>
      </c>
      <c r="J47" t="s">
        <v>183</v>
      </c>
    </row>
    <row r="48" spans="1:10" x14ac:dyDescent="0.25">
      <c r="A48" t="s">
        <v>43</v>
      </c>
      <c r="B48" t="s">
        <v>120</v>
      </c>
      <c r="C48" t="s">
        <v>0</v>
      </c>
      <c r="D48" s="6">
        <v>700</v>
      </c>
      <c r="E48" s="2">
        <v>283.14999999999998</v>
      </c>
      <c r="F48" s="2">
        <v>289</v>
      </c>
      <c r="G48" s="6">
        <v>400</v>
      </c>
      <c r="H48" s="2">
        <v>287.55999800000001</v>
      </c>
      <c r="I48" s="6">
        <v>0</v>
      </c>
      <c r="J48" t="s">
        <v>183</v>
      </c>
    </row>
    <row r="49" spans="1:10" x14ac:dyDescent="0.25">
      <c r="A49" t="s">
        <v>43</v>
      </c>
      <c r="B49" t="s">
        <v>124</v>
      </c>
      <c r="C49" t="s">
        <v>0</v>
      </c>
      <c r="D49" s="6">
        <v>100</v>
      </c>
      <c r="E49" s="2">
        <v>55</v>
      </c>
      <c r="F49" s="2">
        <v>55.17</v>
      </c>
      <c r="G49" s="6">
        <v>200</v>
      </c>
      <c r="H49" s="2">
        <v>54.580002</v>
      </c>
      <c r="I49" s="6">
        <v>0</v>
      </c>
      <c r="J49" t="s">
        <v>183</v>
      </c>
    </row>
    <row r="50" spans="1:10" x14ac:dyDescent="0.25">
      <c r="A50" t="s">
        <v>43</v>
      </c>
      <c r="B50" t="s">
        <v>104</v>
      </c>
      <c r="C50" t="s">
        <v>0</v>
      </c>
      <c r="D50" s="6">
        <v>100</v>
      </c>
      <c r="E50" s="2">
        <v>67.040000000000006</v>
      </c>
      <c r="F50" s="2">
        <v>68.989999999999995</v>
      </c>
      <c r="G50" s="6">
        <v>100</v>
      </c>
      <c r="H50" s="2">
        <v>67.589995999999999</v>
      </c>
      <c r="I50" s="6">
        <v>3500</v>
      </c>
      <c r="J50" t="s">
        <v>183</v>
      </c>
    </row>
    <row r="51" spans="1:10" x14ac:dyDescent="0.25">
      <c r="A51" t="s">
        <v>43</v>
      </c>
      <c r="B51" t="s">
        <v>107</v>
      </c>
      <c r="C51" t="s">
        <v>0</v>
      </c>
      <c r="D51" s="6">
        <v>100</v>
      </c>
      <c r="E51" s="2">
        <v>127.86</v>
      </c>
      <c r="F51" s="2">
        <v>143.30000000000001</v>
      </c>
      <c r="G51" s="6">
        <v>100</v>
      </c>
      <c r="H51" s="2">
        <v>136.470001</v>
      </c>
      <c r="I51" s="6">
        <v>0</v>
      </c>
      <c r="J51" t="s">
        <v>183</v>
      </c>
    </row>
    <row r="52" spans="1:10" x14ac:dyDescent="0.25">
      <c r="A52" t="s">
        <v>43</v>
      </c>
      <c r="B52" t="s">
        <v>111</v>
      </c>
      <c r="C52" t="s">
        <v>0</v>
      </c>
      <c r="D52" s="6">
        <v>100</v>
      </c>
      <c r="E52" s="2">
        <v>71.489999999999995</v>
      </c>
      <c r="F52" s="2">
        <v>76.430000000000007</v>
      </c>
      <c r="G52" s="6">
        <v>100</v>
      </c>
      <c r="H52" s="2">
        <v>72.019997000000004</v>
      </c>
      <c r="I52" s="6">
        <v>0</v>
      </c>
      <c r="J52" t="s">
        <v>183</v>
      </c>
    </row>
    <row r="53" spans="1:10" x14ac:dyDescent="0.25">
      <c r="A53" t="s">
        <v>43</v>
      </c>
      <c r="B53" t="s">
        <v>143</v>
      </c>
      <c r="C53" t="s">
        <v>0</v>
      </c>
      <c r="D53" s="6">
        <v>700</v>
      </c>
      <c r="E53" s="2">
        <v>158</v>
      </c>
      <c r="F53" s="2">
        <v>160.1</v>
      </c>
      <c r="G53" s="6">
        <v>1000</v>
      </c>
      <c r="H53" s="2">
        <v>161.199997</v>
      </c>
      <c r="I53" s="6">
        <v>0</v>
      </c>
      <c r="J53" t="s">
        <v>183</v>
      </c>
    </row>
    <row r="54" spans="1:10" x14ac:dyDescent="0.25">
      <c r="A54" t="s">
        <v>43</v>
      </c>
      <c r="B54" t="s">
        <v>117</v>
      </c>
      <c r="C54" t="s">
        <v>0</v>
      </c>
      <c r="D54" s="6">
        <v>3700</v>
      </c>
      <c r="E54" s="2">
        <v>102.36</v>
      </c>
      <c r="F54" s="2">
        <v>102.67</v>
      </c>
      <c r="G54" s="6">
        <v>900</v>
      </c>
      <c r="H54" s="2">
        <v>102.629997</v>
      </c>
      <c r="I54" s="6">
        <v>0</v>
      </c>
      <c r="J54" t="s">
        <v>183</v>
      </c>
    </row>
    <row r="55" spans="1:10" x14ac:dyDescent="0.25">
      <c r="A55" t="s">
        <v>43</v>
      </c>
      <c r="B55" t="s">
        <v>144</v>
      </c>
      <c r="C55" t="s">
        <v>0</v>
      </c>
      <c r="D55" s="6">
        <v>100</v>
      </c>
      <c r="E55" s="2">
        <v>73.069999999999993</v>
      </c>
      <c r="F55" s="2">
        <v>79.400000000000006</v>
      </c>
      <c r="G55" s="6">
        <v>100</v>
      </c>
      <c r="H55" s="2">
        <v>74.660004000000001</v>
      </c>
      <c r="I55" s="6">
        <v>0</v>
      </c>
      <c r="J55" t="s">
        <v>183</v>
      </c>
    </row>
    <row r="56" spans="1:10" x14ac:dyDescent="0.25">
      <c r="A56" t="s">
        <v>43</v>
      </c>
      <c r="B56" t="s">
        <v>121</v>
      </c>
      <c r="C56" t="s">
        <v>0</v>
      </c>
      <c r="D56" s="6">
        <v>1600</v>
      </c>
      <c r="E56" s="2">
        <v>247.5</v>
      </c>
      <c r="F56" s="2">
        <v>248.99</v>
      </c>
      <c r="G56" s="6">
        <v>3000</v>
      </c>
      <c r="H56" s="2">
        <v>251.279999</v>
      </c>
      <c r="I56" s="6">
        <v>0</v>
      </c>
      <c r="J56" t="s">
        <v>183</v>
      </c>
    </row>
    <row r="57" spans="1:10" x14ac:dyDescent="0.25">
      <c r="A57" t="s">
        <v>43</v>
      </c>
      <c r="B57" t="s">
        <v>125</v>
      </c>
      <c r="C57" t="s">
        <v>0</v>
      </c>
      <c r="D57" s="6">
        <v>100</v>
      </c>
      <c r="E57" s="2">
        <v>102.16</v>
      </c>
      <c r="F57" s="2">
        <v>112.95</v>
      </c>
      <c r="G57" s="6">
        <v>100</v>
      </c>
      <c r="H57" s="2">
        <v>107.589996</v>
      </c>
      <c r="I57" s="6">
        <v>-1200</v>
      </c>
      <c r="J57" t="s">
        <v>183</v>
      </c>
    </row>
    <row r="58" spans="1:10" x14ac:dyDescent="0.25">
      <c r="A58" t="s">
        <v>43</v>
      </c>
      <c r="B58" t="s">
        <v>56</v>
      </c>
      <c r="C58" t="s">
        <v>0</v>
      </c>
      <c r="D58" s="6">
        <v>8600</v>
      </c>
      <c r="E58" s="2">
        <v>23.45</v>
      </c>
      <c r="F58" s="2">
        <v>23.73</v>
      </c>
      <c r="G58" s="6">
        <v>10300</v>
      </c>
      <c r="H58" s="2">
        <v>23.58</v>
      </c>
      <c r="I58" s="6">
        <v>0</v>
      </c>
      <c r="J58" t="s">
        <v>183</v>
      </c>
    </row>
    <row r="59" spans="1:10" x14ac:dyDescent="0.25">
      <c r="A59" t="s">
        <v>43</v>
      </c>
      <c r="B59" t="s">
        <v>57</v>
      </c>
      <c r="C59" t="s">
        <v>0</v>
      </c>
      <c r="D59" s="6">
        <v>100</v>
      </c>
      <c r="E59" s="2">
        <v>61.8</v>
      </c>
      <c r="F59" s="2">
        <v>69.260000000000005</v>
      </c>
      <c r="G59" s="6">
        <v>100</v>
      </c>
      <c r="H59" s="2">
        <v>65.629997000000003</v>
      </c>
      <c r="I59" s="6">
        <v>0</v>
      </c>
      <c r="J59" t="s">
        <v>183</v>
      </c>
    </row>
    <row r="60" spans="1:10" x14ac:dyDescent="0.25">
      <c r="A60" t="s">
        <v>43</v>
      </c>
      <c r="B60" t="s">
        <v>105</v>
      </c>
      <c r="C60" t="s">
        <v>0</v>
      </c>
      <c r="D60" s="6">
        <v>100</v>
      </c>
      <c r="E60" s="2">
        <v>180.26</v>
      </c>
      <c r="F60" s="2">
        <v>183</v>
      </c>
      <c r="G60" s="6">
        <v>600</v>
      </c>
      <c r="H60" s="2">
        <v>180.16999799999999</v>
      </c>
      <c r="I60" s="6">
        <v>0</v>
      </c>
      <c r="J60" t="s">
        <v>183</v>
      </c>
    </row>
    <row r="61" spans="1:10" x14ac:dyDescent="0.25">
      <c r="A61" t="s">
        <v>43</v>
      </c>
      <c r="B61" t="s">
        <v>108</v>
      </c>
      <c r="C61" t="s">
        <v>0</v>
      </c>
      <c r="D61" s="6">
        <v>100</v>
      </c>
      <c r="E61" s="2">
        <v>138.19999999999999</v>
      </c>
      <c r="F61" s="2">
        <v>140.99</v>
      </c>
      <c r="G61" s="6">
        <v>200</v>
      </c>
      <c r="H61" s="2">
        <v>140.96000699999999</v>
      </c>
      <c r="I61" s="6">
        <v>0</v>
      </c>
      <c r="J61" t="s">
        <v>183</v>
      </c>
    </row>
    <row r="62" spans="1:10" x14ac:dyDescent="0.25">
      <c r="A62" t="s">
        <v>43</v>
      </c>
      <c r="B62" t="s">
        <v>112</v>
      </c>
      <c r="C62" t="s">
        <v>0</v>
      </c>
      <c r="D62" s="6">
        <v>100</v>
      </c>
      <c r="E62" s="2">
        <v>320.5</v>
      </c>
      <c r="F62" s="2">
        <v>323</v>
      </c>
      <c r="G62" s="6">
        <v>3800</v>
      </c>
      <c r="H62" s="2">
        <v>319.959991</v>
      </c>
      <c r="I62" s="6">
        <v>0</v>
      </c>
      <c r="J62" t="s">
        <v>183</v>
      </c>
    </row>
    <row r="63" spans="1:10" x14ac:dyDescent="0.25">
      <c r="A63" t="s">
        <v>43</v>
      </c>
      <c r="B63" t="s">
        <v>142</v>
      </c>
      <c r="C63" t="s">
        <v>0</v>
      </c>
      <c r="D63" s="6">
        <v>200</v>
      </c>
      <c r="E63" s="2">
        <v>329.24</v>
      </c>
      <c r="F63" s="2">
        <v>337.49</v>
      </c>
      <c r="G63" s="6">
        <v>1800</v>
      </c>
      <c r="H63" s="2">
        <v>335.75</v>
      </c>
      <c r="I63" s="6">
        <v>0</v>
      </c>
      <c r="J63" t="s">
        <v>183</v>
      </c>
    </row>
    <row r="64" spans="1:10" x14ac:dyDescent="0.25">
      <c r="A64" t="s">
        <v>43</v>
      </c>
      <c r="B64" t="s">
        <v>118</v>
      </c>
      <c r="C64" t="s">
        <v>0</v>
      </c>
      <c r="D64" s="6">
        <v>1500</v>
      </c>
      <c r="E64" s="2">
        <v>96.13</v>
      </c>
      <c r="F64" s="2">
        <v>96.6</v>
      </c>
      <c r="G64" s="6">
        <v>1200</v>
      </c>
      <c r="H64" s="2">
        <v>96.440002000000007</v>
      </c>
      <c r="I64" s="6">
        <v>0</v>
      </c>
      <c r="J64" t="s">
        <v>183</v>
      </c>
    </row>
    <row r="65" spans="1:10" x14ac:dyDescent="0.25">
      <c r="A65" t="s">
        <v>43</v>
      </c>
      <c r="B65" t="s">
        <v>101</v>
      </c>
      <c r="C65" t="s">
        <v>0</v>
      </c>
      <c r="D65" s="6">
        <v>100</v>
      </c>
      <c r="E65" s="2">
        <v>227</v>
      </c>
      <c r="F65" s="2">
        <v>236.55</v>
      </c>
      <c r="G65" s="6">
        <v>1100</v>
      </c>
      <c r="H65" s="2">
        <v>229.55999800000001</v>
      </c>
      <c r="I65" s="6">
        <v>0</v>
      </c>
      <c r="J65" t="s">
        <v>183</v>
      </c>
    </row>
    <row r="66" spans="1:10" x14ac:dyDescent="0.25">
      <c r="A66" t="s">
        <v>43</v>
      </c>
      <c r="B66" t="s">
        <v>122</v>
      </c>
      <c r="C66" t="s">
        <v>0</v>
      </c>
      <c r="D66" s="6">
        <v>800</v>
      </c>
      <c r="E66" s="2">
        <v>118.9</v>
      </c>
      <c r="F66" s="2">
        <v>119</v>
      </c>
      <c r="G66" s="6">
        <v>100</v>
      </c>
      <c r="H66" s="2">
        <v>120.489998</v>
      </c>
      <c r="I66" s="6">
        <v>0</v>
      </c>
      <c r="J66" t="s">
        <v>183</v>
      </c>
    </row>
    <row r="67" spans="1:10" x14ac:dyDescent="0.25">
      <c r="A67" t="s">
        <v>43</v>
      </c>
      <c r="B67" t="s">
        <v>126</v>
      </c>
      <c r="C67" t="s">
        <v>0</v>
      </c>
      <c r="D67" s="6">
        <v>100</v>
      </c>
      <c r="E67" s="2">
        <v>181.37</v>
      </c>
      <c r="F67" s="2">
        <v>185.8</v>
      </c>
      <c r="G67" s="6">
        <v>200</v>
      </c>
      <c r="H67" s="2">
        <v>182.86000100000001</v>
      </c>
      <c r="I67" s="6">
        <v>0</v>
      </c>
      <c r="J67" t="s">
        <v>183</v>
      </c>
    </row>
    <row r="68" spans="1:10" x14ac:dyDescent="0.25">
      <c r="A68" t="s">
        <v>43</v>
      </c>
      <c r="B68" t="s">
        <v>106</v>
      </c>
      <c r="C68" t="s">
        <v>0</v>
      </c>
      <c r="D68" s="6">
        <v>100</v>
      </c>
      <c r="E68" s="2">
        <v>64.72</v>
      </c>
      <c r="F68" s="2">
        <v>64.84</v>
      </c>
      <c r="G68" s="6">
        <v>1200</v>
      </c>
      <c r="H68" s="2">
        <v>63.959999000000003</v>
      </c>
      <c r="I68" s="6">
        <v>-3711</v>
      </c>
      <c r="J68" t="s">
        <v>183</v>
      </c>
    </row>
    <row r="69" spans="1:10" x14ac:dyDescent="0.25">
      <c r="A69" t="s">
        <v>43</v>
      </c>
      <c r="B69" t="s">
        <v>109</v>
      </c>
      <c r="C69" t="s">
        <v>0</v>
      </c>
      <c r="D69" s="6">
        <v>2900</v>
      </c>
      <c r="E69" s="2">
        <v>57.26</v>
      </c>
      <c r="F69" s="2">
        <v>57.29</v>
      </c>
      <c r="G69" s="6">
        <v>16200</v>
      </c>
      <c r="H69" s="2">
        <v>57.709999000000003</v>
      </c>
      <c r="I69" s="6">
        <v>0</v>
      </c>
      <c r="J69" t="s">
        <v>183</v>
      </c>
    </row>
    <row r="70" spans="1:10" x14ac:dyDescent="0.25">
      <c r="A70" t="s">
        <v>43</v>
      </c>
      <c r="B70" t="s">
        <v>113</v>
      </c>
      <c r="C70" t="s">
        <v>0</v>
      </c>
      <c r="D70" s="6">
        <v>200</v>
      </c>
      <c r="E70" s="2">
        <v>171.13</v>
      </c>
      <c r="F70" s="2">
        <v>171.92</v>
      </c>
      <c r="G70" s="6">
        <v>2200</v>
      </c>
      <c r="H70" s="2">
        <v>170.53999300000001</v>
      </c>
      <c r="I70" s="6">
        <v>0</v>
      </c>
      <c r="J70" t="s">
        <v>183</v>
      </c>
    </row>
    <row r="71" spans="1:10" x14ac:dyDescent="0.25">
      <c r="A71" t="s">
        <v>43</v>
      </c>
      <c r="B71" t="s">
        <v>115</v>
      </c>
      <c r="C71" t="s">
        <v>0</v>
      </c>
      <c r="D71" s="6">
        <v>200</v>
      </c>
      <c r="E71" s="2">
        <v>172.35</v>
      </c>
      <c r="F71" s="2">
        <v>173.25</v>
      </c>
      <c r="G71" s="6">
        <v>3200</v>
      </c>
      <c r="H71" s="2">
        <v>175.13000500000001</v>
      </c>
      <c r="I71" s="6">
        <v>0</v>
      </c>
      <c r="J71" t="s">
        <v>183</v>
      </c>
    </row>
    <row r="72" spans="1:10" x14ac:dyDescent="0.25">
      <c r="A72" t="s">
        <v>43</v>
      </c>
      <c r="B72" t="s">
        <v>119</v>
      </c>
      <c r="C72" t="s">
        <v>0</v>
      </c>
      <c r="D72" s="6">
        <v>6400</v>
      </c>
      <c r="E72" s="2">
        <v>43.96</v>
      </c>
      <c r="F72" s="2">
        <v>44.1</v>
      </c>
      <c r="G72" s="6">
        <v>6000</v>
      </c>
      <c r="H72" s="2">
        <v>44.110000999999997</v>
      </c>
      <c r="I72" s="6">
        <v>0</v>
      </c>
      <c r="J72" t="s">
        <v>183</v>
      </c>
    </row>
    <row r="73" spans="1:10" x14ac:dyDescent="0.25">
      <c r="A73" t="s">
        <v>43</v>
      </c>
      <c r="B73" t="s">
        <v>102</v>
      </c>
      <c r="C73" t="s">
        <v>0</v>
      </c>
      <c r="D73" s="6">
        <v>800</v>
      </c>
      <c r="E73" s="2">
        <v>85.26</v>
      </c>
      <c r="F73" s="2">
        <v>85.4</v>
      </c>
      <c r="G73" s="6">
        <v>3500</v>
      </c>
      <c r="H73" s="2">
        <v>84.980002999999996</v>
      </c>
      <c r="I73" s="6">
        <v>0</v>
      </c>
      <c r="J73" t="s">
        <v>183</v>
      </c>
    </row>
    <row r="74" spans="1:10" x14ac:dyDescent="0.25">
      <c r="A74" t="s">
        <v>43</v>
      </c>
      <c r="B74" t="s">
        <v>123</v>
      </c>
      <c r="C74" t="s">
        <v>0</v>
      </c>
      <c r="D74" s="6">
        <v>500</v>
      </c>
      <c r="E74" s="2">
        <v>183.79</v>
      </c>
      <c r="F74" s="2">
        <v>184.04</v>
      </c>
      <c r="G74" s="6">
        <v>1200</v>
      </c>
      <c r="H74" s="2">
        <v>186.5</v>
      </c>
      <c r="I74" s="6">
        <v>0</v>
      </c>
      <c r="J74" t="s">
        <v>183</v>
      </c>
    </row>
    <row r="75" spans="1:10" x14ac:dyDescent="0.25">
      <c r="A75" t="s">
        <v>43</v>
      </c>
      <c r="B75" t="s">
        <v>127</v>
      </c>
      <c r="C75" t="s">
        <v>0</v>
      </c>
      <c r="D75" s="6">
        <v>100</v>
      </c>
      <c r="E75" s="2">
        <v>42.55</v>
      </c>
      <c r="F75" s="2">
        <v>42.59</v>
      </c>
      <c r="G75" s="6">
        <v>200</v>
      </c>
      <c r="H75" s="2">
        <v>42.23</v>
      </c>
      <c r="I75" s="6">
        <v>3048</v>
      </c>
      <c r="J75" t="s">
        <v>183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K47"/>
  <sheetViews>
    <sheetView tabSelected="1" zoomScale="85" zoomScaleNormal="85" workbookViewId="0">
      <selection activeCell="V11" sqref="V11:V12"/>
    </sheetView>
  </sheetViews>
  <sheetFormatPr defaultRowHeight="15" x14ac:dyDescent="0.25"/>
  <cols>
    <col min="1" max="1" width="7" style="13" bestFit="1" customWidth="1"/>
    <col min="2" max="2" width="9.42578125" style="13" bestFit="1" customWidth="1"/>
    <col min="3" max="3" width="17.85546875" style="13" bestFit="1" customWidth="1"/>
    <col min="4" max="4" width="9.42578125" style="13" customWidth="1"/>
    <col min="5" max="5" width="8" style="13" bestFit="1" customWidth="1"/>
    <col min="6" max="6" width="7.85546875" style="11" bestFit="1" customWidth="1"/>
    <col min="7" max="7" width="7.7109375" style="11" bestFit="1" customWidth="1"/>
    <col min="8" max="8" width="8" style="11" bestFit="1" customWidth="1"/>
    <col min="9" max="9" width="10.7109375" style="72" bestFit="1" customWidth="1"/>
    <col min="10" max="10" width="7.7109375" style="11" bestFit="1" customWidth="1"/>
    <col min="11" max="11" width="10.28515625" style="11" bestFit="1" customWidth="1"/>
    <col min="12" max="13" width="9" style="2" bestFit="1" customWidth="1"/>
    <col min="14" max="14" width="9" style="2" customWidth="1"/>
    <col min="15" max="15" width="14.28515625" style="16" bestFit="1" customWidth="1"/>
    <col min="16" max="16" width="14.5703125" style="16" bestFit="1" customWidth="1"/>
    <col min="17" max="17" width="8.5703125" style="62" bestFit="1" customWidth="1"/>
    <col min="18" max="18" width="10" style="10" bestFit="1" customWidth="1"/>
    <col min="19" max="19" width="10.7109375" style="10" bestFit="1" customWidth="1"/>
    <col min="20" max="20" width="10" bestFit="1" customWidth="1"/>
    <col min="21" max="21" width="14.140625" bestFit="1" customWidth="1"/>
    <col min="22" max="22" width="11" style="14" bestFit="1" customWidth="1"/>
    <col min="23" max="23" width="14.140625" bestFit="1" customWidth="1"/>
    <col min="24" max="24" width="9.7109375" style="37" bestFit="1" customWidth="1"/>
    <col min="25" max="25" width="9.5703125" style="33" bestFit="1" customWidth="1"/>
    <col min="26" max="26" width="9.7109375" style="33" bestFit="1" customWidth="1"/>
    <col min="27" max="27" width="9.5703125" style="1" bestFit="1" customWidth="1"/>
    <col min="28" max="28" width="6.42578125" bestFit="1" customWidth="1"/>
    <col min="29" max="29" width="19" bestFit="1" customWidth="1"/>
    <col min="30" max="30" width="17.42578125" bestFit="1" customWidth="1"/>
    <col min="31" max="31" width="5.5703125" bestFit="1" customWidth="1"/>
    <col min="33" max="33" width="16.42578125" bestFit="1" customWidth="1"/>
    <col min="34" max="34" width="9.5703125" bestFit="1" customWidth="1"/>
    <col min="36" max="36" width="16.42578125" bestFit="1" customWidth="1"/>
    <col min="37" max="37" width="9.5703125" bestFit="1" customWidth="1"/>
  </cols>
  <sheetData>
    <row r="1" spans="1:31" x14ac:dyDescent="0.25">
      <c r="A1" s="228" t="s">
        <v>70</v>
      </c>
      <c r="B1" s="229"/>
      <c r="C1" s="178"/>
      <c r="D1" s="153"/>
      <c r="E1" s="74"/>
      <c r="F1" s="74"/>
      <c r="G1" s="92"/>
      <c r="H1" s="230" t="s">
        <v>76</v>
      </c>
      <c r="I1" s="230"/>
      <c r="J1" s="230"/>
      <c r="K1" s="231"/>
      <c r="L1" s="232" t="s">
        <v>72</v>
      </c>
      <c r="M1" s="233"/>
      <c r="N1" s="183"/>
      <c r="O1" s="234">
        <v>5.0000000000000001E-3</v>
      </c>
      <c r="P1" s="234"/>
      <c r="Q1" s="46"/>
      <c r="R1" s="237" t="s">
        <v>75</v>
      </c>
      <c r="S1" s="238"/>
      <c r="T1" s="246" t="s">
        <v>90</v>
      </c>
      <c r="U1" s="238"/>
      <c r="V1" s="239" t="s">
        <v>91</v>
      </c>
      <c r="W1" s="240"/>
      <c r="X1" s="52" t="s">
        <v>88</v>
      </c>
      <c r="Y1" s="54" t="s">
        <v>89</v>
      </c>
      <c r="Z1" s="54" t="s">
        <v>89</v>
      </c>
      <c r="AA1" s="53" t="s">
        <v>88</v>
      </c>
      <c r="AC1" s="241" t="s">
        <v>92</v>
      </c>
      <c r="AD1" s="241"/>
      <c r="AE1" s="63"/>
    </row>
    <row r="2" spans="1:31" ht="15.75" thickBot="1" x14ac:dyDescent="0.3">
      <c r="A2" s="38" t="s">
        <v>69</v>
      </c>
      <c r="B2" s="39" t="s">
        <v>71</v>
      </c>
      <c r="C2" s="38" t="s">
        <v>128</v>
      </c>
      <c r="D2" s="154" t="s">
        <v>167</v>
      </c>
      <c r="E2" s="152" t="s">
        <v>99</v>
      </c>
      <c r="F2" s="75" t="s">
        <v>62</v>
      </c>
      <c r="G2" s="93" t="s">
        <v>83</v>
      </c>
      <c r="H2" s="91" t="s">
        <v>77</v>
      </c>
      <c r="I2" s="76" t="s">
        <v>96</v>
      </c>
      <c r="J2" s="77" t="s">
        <v>95</v>
      </c>
      <c r="K2" s="78" t="s">
        <v>78</v>
      </c>
      <c r="L2" s="79" t="s">
        <v>73</v>
      </c>
      <c r="M2" s="80" t="s">
        <v>74</v>
      </c>
      <c r="N2" s="184" t="s">
        <v>165</v>
      </c>
      <c r="O2" s="81" t="s">
        <v>64</v>
      </c>
      <c r="P2" s="81" t="s">
        <v>65</v>
      </c>
      <c r="Q2" s="82" t="s">
        <v>63</v>
      </c>
      <c r="R2" s="83" t="s">
        <v>67</v>
      </c>
      <c r="S2" s="84" t="s">
        <v>68</v>
      </c>
      <c r="T2" s="47" t="s">
        <v>86</v>
      </c>
      <c r="U2" s="55" t="s">
        <v>32</v>
      </c>
      <c r="V2" s="47" t="s">
        <v>86</v>
      </c>
      <c r="W2" s="55" t="s">
        <v>32</v>
      </c>
      <c r="X2" s="85" t="s">
        <v>93</v>
      </c>
      <c r="Y2" s="56" t="s">
        <v>94</v>
      </c>
      <c r="Z2" s="56" t="s">
        <v>93</v>
      </c>
      <c r="AA2" s="86" t="s">
        <v>94</v>
      </c>
      <c r="AC2" s="64" t="s">
        <v>90</v>
      </c>
      <c r="AD2" s="65" t="s">
        <v>91</v>
      </c>
      <c r="AE2" s="65"/>
    </row>
    <row r="3" spans="1:31" x14ac:dyDescent="0.25">
      <c r="A3" s="158">
        <f>MATCH(F3,SCALARS!C:C,0)</f>
        <v>16</v>
      </c>
      <c r="B3" s="159">
        <f>MATCH(F3,'MKT DATA'!B:B,0)</f>
        <v>9</v>
      </c>
      <c r="C3" s="162" t="str" cm="1">
        <f t="array" aca="1" ref="C3" ca="1">INDIRECT(ADDRESS($A3,2,,,"ANCHOR INPUTS"))</f>
        <v>converts</v>
      </c>
      <c r="D3" s="361"/>
      <c r="E3" s="17" t="str" cm="1">
        <f t="array" aca="1" ref="E3" ca="1">INDIRECT(ADDRESS($A3,5,,,"ANCHOR INPUTS"))</f>
        <v>ICVT</v>
      </c>
      <c r="F3" s="18" t="s">
        <v>48</v>
      </c>
      <c r="G3" s="96">
        <v>0.16500000000000001</v>
      </c>
      <c r="H3" s="34" cm="1">
        <f t="array" aca="1" ref="H3" ca="1">INDIRECT(ADDRESS($B3,9,,,"mkt data"))</f>
        <v>0</v>
      </c>
      <c r="I3" s="69">
        <f ca="1">H3*AVERAGE(L3:M3)</f>
        <v>0</v>
      </c>
      <c r="J3" s="34">
        <f t="shared" ref="J3:J16" ca="1" si="0">H3/Q3</f>
        <v>0</v>
      </c>
      <c r="K3" s="235">
        <f ca="1">SUM(J3:J4)</f>
        <v>0</v>
      </c>
      <c r="L3" s="40" cm="1">
        <f t="array" aca="1" ref="L3" ca="1">INDIRECT(ADDRESS($B3,5,,,"mkt data"))</f>
        <v>95.07</v>
      </c>
      <c r="M3" s="41" cm="1">
        <f t="array" aca="1" ref="M3" ca="1">INDIRECT(ADDRESS($B3,6,,,"mkt data"))</f>
        <v>102.46</v>
      </c>
      <c r="N3" s="185"/>
      <c r="O3" s="19">
        <f ca="1">L3-O$1</f>
        <v>95.064999999999998</v>
      </c>
      <c r="P3" s="19">
        <f ca="1">M3+O$1</f>
        <v>102.46499999999999</v>
      </c>
      <c r="Q3" s="57" cm="1">
        <f t="array" aca="1" ref="Q3" ca="1">INDIRECT(ADDRESS($A3,6,,,"scalars"))</f>
        <v>1.1150615075218386</v>
      </c>
      <c r="R3" s="20">
        <f ca="1">O3*Q3</f>
        <v>106.00332221256359</v>
      </c>
      <c r="S3" s="20">
        <f t="shared" ref="S3:S16" ca="1" si="1">Q3*P3</f>
        <v>114.25477736822518</v>
      </c>
      <c r="T3" s="242">
        <f ca="1">R4-S3</f>
        <v>-4.6997773682251704</v>
      </c>
      <c r="U3" s="244">
        <f ca="1">T3/AVERAGE(R4,S4)</f>
        <v>-4.1997921167286276E-2</v>
      </c>
      <c r="V3" s="242">
        <f ca="1">R3-S4</f>
        <v>-8.2516777874364067</v>
      </c>
      <c r="W3" s="244">
        <f ca="1">V3/AVERAGE(R4,S4)</f>
        <v>-7.3738240359558616E-2</v>
      </c>
      <c r="X3" s="87">
        <f>AC3</f>
        <v>2E-3</v>
      </c>
      <c r="Y3" s="58">
        <f>AC4</f>
        <v>1.5E-3</v>
      </c>
      <c r="Z3" s="58">
        <f>AD4</f>
        <v>1.5E-3</v>
      </c>
      <c r="AA3" s="88">
        <f>AD3</f>
        <v>2E-3</v>
      </c>
      <c r="AC3" s="66">
        <v>2E-3</v>
      </c>
      <c r="AD3" s="67">
        <v>2E-3</v>
      </c>
      <c r="AE3" s="68" t="s">
        <v>88</v>
      </c>
    </row>
    <row r="4" spans="1:31" ht="15.75" thickBot="1" x14ac:dyDescent="0.3">
      <c r="A4" s="160">
        <f>MATCH(F4,SCALARS!C:C,0)</f>
        <v>17</v>
      </c>
      <c r="B4" s="161">
        <f>MATCH(F4,'MKT DATA'!B:B,0)</f>
        <v>15</v>
      </c>
      <c r="C4" s="357" t="str" cm="1">
        <f t="array" aca="1" ref="C4" ca="1">INDIRECT(ADDRESS($A4,2,,,"ANCHOR INPUTS"))</f>
        <v>converts</v>
      </c>
      <c r="D4" s="362"/>
      <c r="E4" s="23" t="str" cm="1">
        <f t="array" aca="1" ref="E4" ca="1">INDIRECT(ADDRESS($A4,5,,,"ANCHOR INPUTS"))</f>
        <v>ICVT</v>
      </c>
      <c r="F4" s="24" t="s">
        <v>52</v>
      </c>
      <c r="G4" s="97">
        <v>0.16500000000000001</v>
      </c>
      <c r="H4" s="36" cm="1">
        <f t="array" aca="1" ref="H4" ca="1">INDIRECT(ADDRESS($B4,9,,,"mkt data"))</f>
        <v>0</v>
      </c>
      <c r="I4" s="71">
        <f t="shared" ref="I4:I16" ca="1" si="2">H4*AVERAGE(L4:M4)</f>
        <v>0</v>
      </c>
      <c r="J4" s="36">
        <f t="shared" ca="1" si="0"/>
        <v>0</v>
      </c>
      <c r="K4" s="236"/>
      <c r="L4" s="44" cm="1">
        <f t="array" aca="1" ref="L4" ca="1">INDIRECT(ADDRESS($B4,5,,,"mkt data"))</f>
        <v>109.56</v>
      </c>
      <c r="M4" s="45" cm="1">
        <f t="array" aca="1" ref="M4" ca="1">INDIRECT(ADDRESS($B4,6,,,"mkt data"))</f>
        <v>114.25</v>
      </c>
      <c r="N4" s="186"/>
      <c r="O4" s="25">
        <f t="shared" ref="O4:O16" ca="1" si="3">L4-O$1</f>
        <v>109.55500000000001</v>
      </c>
      <c r="P4" s="25">
        <f t="shared" ref="P4:P16" ca="1" si="4">M4+O$1</f>
        <v>114.255</v>
      </c>
      <c r="Q4" s="59" cm="1">
        <f t="array" aca="1" ref="Q4" ca="1">INDIRECT(ADDRESS($A4,6,,,"scalars"))</f>
        <v>1</v>
      </c>
      <c r="R4" s="26">
        <f ca="1">O4*Q4</f>
        <v>109.55500000000001</v>
      </c>
      <c r="S4" s="26">
        <f t="shared" ca="1" si="1"/>
        <v>114.255</v>
      </c>
      <c r="T4" s="243"/>
      <c r="U4" s="245"/>
      <c r="V4" s="243"/>
      <c r="W4" s="245"/>
      <c r="X4" s="89" t="b">
        <f ca="1">IF(U3&gt;X3,TRUE,FALSE)</f>
        <v>0</v>
      </c>
      <c r="Y4" s="60" t="b">
        <f ca="1">AND(IF(W3&gt;-Y3,TRUE,FALSE),IF(H3&gt;0,TRUE,FALSE))</f>
        <v>0</v>
      </c>
      <c r="Z4" s="60" t="b">
        <f ca="1">AND(IF(U3&gt;-Z3,TRUE,FALSE),IF(H3&lt;0,TRUE,FALSE))</f>
        <v>0</v>
      </c>
      <c r="AA4" s="90" t="b">
        <f ca="1">IF(W3&gt;AA3,TRUE,FALSE)</f>
        <v>0</v>
      </c>
      <c r="AC4" s="67">
        <v>1.5E-3</v>
      </c>
      <c r="AD4" s="67">
        <v>1.5E-3</v>
      </c>
      <c r="AE4" s="68" t="s">
        <v>89</v>
      </c>
    </row>
    <row r="5" spans="1:31" x14ac:dyDescent="0.25">
      <c r="A5" s="158">
        <f>MATCH(F5,SCALARS!C:C,0)</f>
        <v>18</v>
      </c>
      <c r="B5" s="159">
        <f>MATCH(F5,'MKT DATA'!B:B,0)</f>
        <v>6</v>
      </c>
      <c r="C5" s="355" t="str" cm="1">
        <f t="array" aca="1" ref="C5" ca="1">INDIRECT(ADDRESS($A5,2,,,"ANCHOR INPUTS"))</f>
        <v>intl gov - unhedged</v>
      </c>
      <c r="D5" s="361"/>
      <c r="E5" s="17" t="str" cm="1">
        <f t="array" aca="1" ref="E5" ca="1">INDIRECT(ADDRESS($A5,5,,,"ANCHOR INPUTS"))</f>
        <v>IGOV</v>
      </c>
      <c r="F5" s="18" t="s">
        <v>46</v>
      </c>
      <c r="G5" s="96">
        <v>0.16500000000000001</v>
      </c>
      <c r="H5" s="34" cm="1">
        <f t="array" aca="1" ref="H5" ca="1">INDIRECT(ADDRESS($B5,9,,,"mkt data"))</f>
        <v>0</v>
      </c>
      <c r="I5" s="69">
        <f t="shared" ca="1" si="2"/>
        <v>0</v>
      </c>
      <c r="J5" s="34">
        <f t="shared" ca="1" si="0"/>
        <v>0</v>
      </c>
      <c r="K5" s="249">
        <f ca="1">SUM(J5:J6)</f>
        <v>0</v>
      </c>
      <c r="L5" s="40" cm="1">
        <f t="array" aca="1" ref="L5" ca="1">INDIRECT(ADDRESS($B5,5,,,"mkt data"))</f>
        <v>20.75</v>
      </c>
      <c r="M5" s="41" cm="1">
        <f t="array" aca="1" ref="M5" ca="1">INDIRECT(ADDRESS($B5,6,,,"mkt data"))</f>
        <v>22.42</v>
      </c>
      <c r="N5" s="185"/>
      <c r="O5" s="19">
        <f t="shared" ca="1" si="3"/>
        <v>20.745000000000001</v>
      </c>
      <c r="P5" s="19">
        <f t="shared" ca="1" si="4"/>
        <v>22.425000000000001</v>
      </c>
      <c r="Q5" s="57" cm="1">
        <f t="array" aca="1" ref="Q5" ca="1">INDIRECT(ADDRESS($A5,6,,,"scalars"))</f>
        <v>1.8900911436137335</v>
      </c>
      <c r="R5" s="20">
        <f ca="1">O5*Q5</f>
        <v>39.209940774266904</v>
      </c>
      <c r="S5" s="20">
        <f t="shared" ca="1" si="1"/>
        <v>42.385293895537977</v>
      </c>
      <c r="T5" s="242">
        <f ca="1">R6-S5</f>
        <v>-2.6902938955379767</v>
      </c>
      <c r="U5" s="244">
        <f ca="1">T5/AVERAGE(R6,S6)</f>
        <v>-6.6443415547986578E-2</v>
      </c>
      <c r="V5" s="242">
        <f ca="1">R5-S6</f>
        <v>-2.0750592257330993</v>
      </c>
      <c r="W5" s="244">
        <f ca="1">V5/AVERAGE(R6,S6)</f>
        <v>-5.1248684261128656E-2</v>
      </c>
      <c r="X5" s="87">
        <f>AC5</f>
        <v>4.0000000000000001E-3</v>
      </c>
      <c r="Y5" s="58">
        <f>AC6</f>
        <v>3.0000000000000001E-3</v>
      </c>
      <c r="Z5" s="58">
        <f>AD6</f>
        <v>2E-3</v>
      </c>
      <c r="AA5" s="88">
        <f>AD5</f>
        <v>2E-3</v>
      </c>
      <c r="AC5" s="66">
        <v>4.0000000000000001E-3</v>
      </c>
      <c r="AD5" s="67">
        <v>2E-3</v>
      </c>
      <c r="AE5" s="68" t="s">
        <v>88</v>
      </c>
    </row>
    <row r="6" spans="1:31" ht="15.75" thickBot="1" x14ac:dyDescent="0.3">
      <c r="A6" s="160">
        <f>MATCH(F6,SCALARS!C:C,0)</f>
        <v>19</v>
      </c>
      <c r="B6" s="161">
        <f>MATCH(F6,'MKT DATA'!B:B,0)</f>
        <v>17</v>
      </c>
      <c r="C6" s="357" t="str" cm="1">
        <f t="array" aca="1" ref="C6" ca="1">INDIRECT(ADDRESS($A6,2,,,"ANCHOR INPUTS"))</f>
        <v>intl gov - unhedged</v>
      </c>
      <c r="D6" s="362"/>
      <c r="E6" s="23" t="str" cm="1">
        <f t="array" aca="1" ref="E6" ca="1">INDIRECT(ADDRESS($A6,5,,,"ANCHOR INPUTS"))</f>
        <v>IGOV</v>
      </c>
      <c r="F6" s="24" t="s">
        <v>53</v>
      </c>
      <c r="G6" s="97">
        <v>0.16500000000000001</v>
      </c>
      <c r="H6" s="36" cm="1">
        <f t="array" aca="1" ref="H6" ca="1">INDIRECT(ADDRESS($B6,9,,,"mkt data"))</f>
        <v>0</v>
      </c>
      <c r="I6" s="71">
        <f t="shared" ca="1" si="2"/>
        <v>0</v>
      </c>
      <c r="J6" s="36">
        <f t="shared" ca="1" si="0"/>
        <v>0</v>
      </c>
      <c r="K6" s="250"/>
      <c r="L6" s="44" cm="1">
        <f t="array" aca="1" ref="L6" ca="1">INDIRECT(ADDRESS($B6,5,,,"mkt data"))</f>
        <v>39.700000000000003</v>
      </c>
      <c r="M6" s="45" cm="1">
        <f t="array" aca="1" ref="M6" ca="1">INDIRECT(ADDRESS($B6,6,,,"mkt data"))</f>
        <v>41.28</v>
      </c>
      <c r="N6" s="186"/>
      <c r="O6" s="25">
        <f t="shared" ca="1" si="3"/>
        <v>39.695</v>
      </c>
      <c r="P6" s="25">
        <f t="shared" ca="1" si="4"/>
        <v>41.285000000000004</v>
      </c>
      <c r="Q6" s="59" cm="1">
        <f t="array" aca="1" ref="Q6" ca="1">INDIRECT(ADDRESS($A6,6,,,"scalars"))</f>
        <v>1</v>
      </c>
      <c r="R6" s="26">
        <f ca="1">O6*Q6</f>
        <v>39.695</v>
      </c>
      <c r="S6" s="26">
        <f t="shared" ca="1" si="1"/>
        <v>41.285000000000004</v>
      </c>
      <c r="T6" s="243"/>
      <c r="U6" s="245"/>
      <c r="V6" s="243"/>
      <c r="W6" s="245"/>
      <c r="X6" s="89" t="b">
        <f ca="1">IF(U5&gt;X5,TRUE,FALSE)</f>
        <v>0</v>
      </c>
      <c r="Y6" s="60" t="b">
        <f ca="1">AND(IF(W5&gt;-Y5,TRUE,FALSE),IF(H5&gt;0,TRUE,FALSE))</f>
        <v>0</v>
      </c>
      <c r="Z6" s="60" t="b">
        <f ca="1">AND(IF(U5&gt;-Z5,TRUE,FALSE),IF(H5&lt;0,TRUE,FALSE))</f>
        <v>0</v>
      </c>
      <c r="AA6" s="90" t="b">
        <f ca="1">IF(W5&gt;AA5,TRUE,FALSE)</f>
        <v>0</v>
      </c>
      <c r="AC6" s="67">
        <v>3.0000000000000001E-3</v>
      </c>
      <c r="AD6" s="67">
        <v>2E-3</v>
      </c>
      <c r="AE6" s="68" t="s">
        <v>89</v>
      </c>
    </row>
    <row r="7" spans="1:31" x14ac:dyDescent="0.25">
      <c r="A7" s="158">
        <f>MATCH(F7,SCALARS!C:C,0)</f>
        <v>13</v>
      </c>
      <c r="B7" s="159">
        <f>MATCH(F7,'MKT DATA'!B:B,0)</f>
        <v>41</v>
      </c>
      <c r="C7" s="355" t="str" cm="1">
        <f t="array" aca="1" ref="C7" ca="1">INDIRECT(ADDRESS($A7,2,,,"ANCHOR INPUTS"))</f>
        <v>em gov -us</v>
      </c>
      <c r="D7" s="361"/>
      <c r="E7" s="17" t="str" cm="1">
        <f t="array" aca="1" ref="E7" ca="1">INDIRECT(ADDRESS($A7,5,,,"ANCHOR INPUTS"))</f>
        <v>EMB</v>
      </c>
      <c r="F7" s="18" t="s">
        <v>59</v>
      </c>
      <c r="G7" s="96">
        <v>0.16500000000000001</v>
      </c>
      <c r="H7" s="34" cm="1">
        <f t="array" aca="1" ref="H7" ca="1">INDIRECT(ADDRESS($B7,9,,,"mkt data"))</f>
        <v>0</v>
      </c>
      <c r="I7" s="69">
        <f t="shared" ca="1" si="2"/>
        <v>0</v>
      </c>
      <c r="J7" s="34">
        <f t="shared" ca="1" si="0"/>
        <v>0</v>
      </c>
      <c r="K7" s="235">
        <f ca="1">SUM(J7:J8)</f>
        <v>0</v>
      </c>
      <c r="L7" s="40" cm="1">
        <f t="array" aca="1" ref="L7" ca="1">INDIRECT(ADDRESS($B7,5,,,"mkt data"))</f>
        <v>65.31</v>
      </c>
      <c r="M7" s="41" cm="1">
        <f t="array" aca="1" ref="M7" ca="1">INDIRECT(ADDRESS($B7,6,,,"mkt data"))</f>
        <v>66.52</v>
      </c>
      <c r="N7" s="185"/>
      <c r="O7" s="19">
        <f t="shared" ca="1" si="3"/>
        <v>65.305000000000007</v>
      </c>
      <c r="P7" s="19">
        <f t="shared" ca="1" si="4"/>
        <v>66.524999999999991</v>
      </c>
      <c r="Q7" s="57" cm="1">
        <f t="array" aca="1" ref="Q7" ca="1">INDIRECT(ADDRESS($A7,6,,,"scalars"))</f>
        <v>1.4379660308607112</v>
      </c>
      <c r="R7" s="20">
        <f ca="1">O7*Q7</f>
        <v>93.906371645358746</v>
      </c>
      <c r="S7" s="20">
        <f t="shared" ca="1" si="1"/>
        <v>95.660690203008798</v>
      </c>
      <c r="T7" s="242">
        <f ca="1">R8-S7</f>
        <v>-1.7656902030087878</v>
      </c>
      <c r="U7" s="244">
        <f ca="1">T7/AVERAGE(R8,S8)</f>
        <v>-1.861168127973846E-2</v>
      </c>
      <c r="V7" s="242">
        <f ca="1">R7-S8</f>
        <v>-1.9386283546412528</v>
      </c>
      <c r="W7" s="244">
        <f ca="1">V7/AVERAGE(R8,S8)</f>
        <v>-2.0434577365249843E-2</v>
      </c>
      <c r="X7" s="87">
        <f>AC7</f>
        <v>1E-3</v>
      </c>
      <c r="Y7" s="58">
        <f>AC8</f>
        <v>1E-3</v>
      </c>
      <c r="Z7" s="58">
        <f>AD8</f>
        <v>1E-3</v>
      </c>
      <c r="AA7" s="88">
        <f>AD7</f>
        <v>1E-3</v>
      </c>
      <c r="AC7" s="67">
        <v>1E-3</v>
      </c>
      <c r="AD7" s="67">
        <v>1E-3</v>
      </c>
      <c r="AE7" s="68" t="s">
        <v>88</v>
      </c>
    </row>
    <row r="8" spans="1:31" ht="15.75" thickBot="1" x14ac:dyDescent="0.3">
      <c r="A8" s="160">
        <f>MATCH(F8,SCALARS!C:C,0)</f>
        <v>12</v>
      </c>
      <c r="B8" s="161">
        <f>MATCH(F8,'MKT DATA'!B:B,0)</f>
        <v>10</v>
      </c>
      <c r="C8" s="357" t="str" cm="1">
        <f t="array" aca="1" ref="C8" ca="1">INDIRECT(ADDRESS($A8,2,,,"ANCHOR INPUTS"))</f>
        <v>em gov -us</v>
      </c>
      <c r="D8" s="362"/>
      <c r="E8" s="23" t="str" cm="1">
        <f t="array" aca="1" ref="E8" ca="1">INDIRECT(ADDRESS($A8,5,,,"ANCHOR INPUTS"))</f>
        <v>EMB</v>
      </c>
      <c r="F8" s="24" t="s">
        <v>49</v>
      </c>
      <c r="G8" s="97">
        <v>0.16500000000000001</v>
      </c>
      <c r="H8" s="36" cm="1">
        <f t="array" aca="1" ref="H8" ca="1">INDIRECT(ADDRESS($B8,9,,,"mkt data"))</f>
        <v>0</v>
      </c>
      <c r="I8" s="71">
        <f t="shared" ca="1" si="2"/>
        <v>0</v>
      </c>
      <c r="J8" s="36">
        <f t="shared" ca="1" si="0"/>
        <v>0</v>
      </c>
      <c r="K8" s="236"/>
      <c r="L8" s="44" cm="1">
        <f t="array" aca="1" ref="L8" ca="1">INDIRECT(ADDRESS($B8,5,,,"mkt data"))</f>
        <v>93.9</v>
      </c>
      <c r="M8" s="45" cm="1">
        <f t="array" aca="1" ref="M8" ca="1">INDIRECT(ADDRESS($B8,6,,,"mkt data"))</f>
        <v>95.84</v>
      </c>
      <c r="N8" s="186"/>
      <c r="O8" s="25">
        <f t="shared" ca="1" si="3"/>
        <v>93.89500000000001</v>
      </c>
      <c r="P8" s="25">
        <f t="shared" ca="1" si="4"/>
        <v>95.844999999999999</v>
      </c>
      <c r="Q8" s="59" cm="1">
        <f t="array" aca="1" ref="Q8" ca="1">INDIRECT(ADDRESS($A8,6,,,"scalars"))</f>
        <v>1</v>
      </c>
      <c r="R8" s="26">
        <f t="shared" ref="R8:R10" ca="1" si="5">O8*Q8</f>
        <v>93.89500000000001</v>
      </c>
      <c r="S8" s="26">
        <f t="shared" ca="1" si="1"/>
        <v>95.844999999999999</v>
      </c>
      <c r="T8" s="243"/>
      <c r="U8" s="245"/>
      <c r="V8" s="243"/>
      <c r="W8" s="245"/>
      <c r="X8" s="89" t="b">
        <f ca="1">IF(U7&gt;X7,TRUE,FALSE)</f>
        <v>0</v>
      </c>
      <c r="Y8" s="60" t="b">
        <f ca="1">AND(IF(W7&gt;-Y7,TRUE,FALSE),IF(H7&gt;0,TRUE,FALSE))</f>
        <v>0</v>
      </c>
      <c r="Z8" s="60" t="b">
        <f ca="1">AND(IF(U7&gt;-Z7,TRUE,FALSE),IF(H7&lt;0,TRUE,FALSE))</f>
        <v>0</v>
      </c>
      <c r="AA8" s="90" t="b">
        <f ca="1">IF(W7&gt;AA7,TRUE,FALSE)</f>
        <v>0</v>
      </c>
      <c r="AC8" s="67">
        <v>1E-3</v>
      </c>
      <c r="AD8" s="67">
        <v>1E-3</v>
      </c>
      <c r="AE8" s="68" t="s">
        <v>89</v>
      </c>
    </row>
    <row r="9" spans="1:31" x14ac:dyDescent="0.25">
      <c r="A9" s="158">
        <f>MATCH(F9,SCALARS!C:C,0)</f>
        <v>40</v>
      </c>
      <c r="B9" s="159">
        <f>MATCH(F9,'MKT DATA'!B:B,0)</f>
        <v>7</v>
      </c>
      <c r="C9" s="355" t="str" cm="1">
        <f t="array" aca="1" ref="C9" ca="1">INDIRECT(ADDRESS($A9,2,,,"ANCHOR INPUTS"))</f>
        <v>calif munis</v>
      </c>
      <c r="D9" s="361"/>
      <c r="E9" s="17" t="str" cm="1">
        <f t="array" aca="1" ref="E9" ca="1">INDIRECT(ADDRESS($A9,5,,,"ANCHOR INPUTS"))</f>
        <v>VTEC</v>
      </c>
      <c r="F9" s="18" t="s">
        <v>47</v>
      </c>
      <c r="G9" s="96">
        <v>0.1002</v>
      </c>
      <c r="H9" s="34" cm="1">
        <f t="array" aca="1" ref="H9" ca="1">INDIRECT(ADDRESS($B9,9,,,"mkt data"))</f>
        <v>0</v>
      </c>
      <c r="I9" s="69">
        <f t="shared" ca="1" si="2"/>
        <v>0</v>
      </c>
      <c r="J9" s="34">
        <f t="shared" ca="1" si="0"/>
        <v>0</v>
      </c>
      <c r="K9" s="247">
        <f ca="1">SUM(J9:J10)</f>
        <v>0</v>
      </c>
      <c r="L9" s="40" cm="1">
        <f t="array" aca="1" ref="L9" ca="1">INDIRECT(ADDRESS($B9,5,,,"mkt data"))</f>
        <v>55.39</v>
      </c>
      <c r="M9" s="41" cm="1">
        <f t="array" aca="1" ref="M9" ca="1">INDIRECT(ADDRESS($B9,6,,,"mkt data"))</f>
        <v>56.75</v>
      </c>
      <c r="N9" s="185"/>
      <c r="O9" s="19">
        <f t="shared" ca="1" si="3"/>
        <v>55.384999999999998</v>
      </c>
      <c r="P9" s="19">
        <f t="shared" ca="1" si="4"/>
        <v>56.755000000000003</v>
      </c>
      <c r="Q9" s="57" cm="1">
        <f t="array" aca="1" ref="Q9" ca="1">INDIRECT(ADDRESS($A9,6,,,"scalars"))</f>
        <v>1.7448276939906624</v>
      </c>
      <c r="R9" s="20">
        <f t="shared" ca="1" si="5"/>
        <v>96.637281831672837</v>
      </c>
      <c r="S9" s="20">
        <f t="shared" ca="1" si="1"/>
        <v>99.027695772440055</v>
      </c>
      <c r="T9" s="242">
        <f ca="1">R10-S9</f>
        <v>-1.7326957724400529</v>
      </c>
      <c r="U9" s="244">
        <f ca="1">T9/AVERAGE(R10,S10)</f>
        <v>-1.7640068948231641E-2</v>
      </c>
      <c r="V9" s="242">
        <f ca="1">R9-S10</f>
        <v>-2.5177181683271641</v>
      </c>
      <c r="W9" s="244">
        <f ca="1">V9/AVERAGE(R10,S10)</f>
        <v>-2.5632152388161508E-2</v>
      </c>
      <c r="X9" s="87">
        <f>AC9</f>
        <v>1E-3</v>
      </c>
      <c r="Y9" s="58">
        <f>AC10</f>
        <v>1E-3</v>
      </c>
      <c r="Z9" s="58">
        <f>AD10</f>
        <v>1E-3</v>
      </c>
      <c r="AA9" s="88">
        <f>AD9</f>
        <v>1E-3</v>
      </c>
      <c r="AC9" s="67">
        <v>1E-3</v>
      </c>
      <c r="AD9" s="67">
        <v>1E-3</v>
      </c>
      <c r="AE9" s="68" t="s">
        <v>88</v>
      </c>
    </row>
    <row r="10" spans="1:31" ht="15.75" thickBot="1" x14ac:dyDescent="0.3">
      <c r="A10" s="160">
        <f>MATCH(F10,SCALARS!C:C,0)</f>
        <v>41</v>
      </c>
      <c r="B10" s="161">
        <f>MATCH(F10,'MKT DATA'!B:B,0)</f>
        <v>40</v>
      </c>
      <c r="C10" s="357" t="str" cm="1">
        <f t="array" aca="1" ref="C10" ca="1">INDIRECT(ADDRESS($A10,2,,,"ANCHOR INPUTS"))</f>
        <v>calif munis</v>
      </c>
      <c r="D10" s="362"/>
      <c r="E10" s="23" t="str" cm="1">
        <f t="array" aca="1" ref="E10" ca="1">INDIRECT(ADDRESS($A10,5,,,"ANCHOR INPUTS"))</f>
        <v>VTEC</v>
      </c>
      <c r="F10" s="24" t="s">
        <v>58</v>
      </c>
      <c r="G10" s="97">
        <v>0.1002</v>
      </c>
      <c r="H10" s="36" cm="1">
        <f t="array" aca="1" ref="H10" ca="1">INDIRECT(ADDRESS($B10,9,,,"mkt data"))</f>
        <v>0</v>
      </c>
      <c r="I10" s="71">
        <f t="shared" ca="1" si="2"/>
        <v>0</v>
      </c>
      <c r="J10" s="36">
        <f t="shared" ca="1" si="0"/>
        <v>0</v>
      </c>
      <c r="K10" s="248"/>
      <c r="L10" s="44" cm="1">
        <f t="array" aca="1" ref="L10" ca="1">INDIRECT(ADDRESS($B10,5,,,"mkt data"))</f>
        <v>97.3</v>
      </c>
      <c r="M10" s="45" cm="1">
        <f t="array" aca="1" ref="M10" ca="1">INDIRECT(ADDRESS($B10,6,,,"mkt data"))</f>
        <v>99.15</v>
      </c>
      <c r="N10" s="186"/>
      <c r="O10" s="25">
        <f t="shared" ca="1" si="3"/>
        <v>97.295000000000002</v>
      </c>
      <c r="P10" s="25">
        <f t="shared" ca="1" si="4"/>
        <v>99.155000000000001</v>
      </c>
      <c r="Q10" s="59" cm="1">
        <f t="array" aca="1" ref="Q10" ca="1">INDIRECT(ADDRESS($A10,6,,,"scalars"))</f>
        <v>1</v>
      </c>
      <c r="R10" s="26">
        <f t="shared" ca="1" si="5"/>
        <v>97.295000000000002</v>
      </c>
      <c r="S10" s="26">
        <f t="shared" ca="1" si="1"/>
        <v>99.155000000000001</v>
      </c>
      <c r="T10" s="243"/>
      <c r="U10" s="245"/>
      <c r="V10" s="243"/>
      <c r="W10" s="245"/>
      <c r="X10" s="89" t="b">
        <f ca="1">IF(U9&gt;X9,TRUE,FALSE)</f>
        <v>0</v>
      </c>
      <c r="Y10" s="60" t="b">
        <f ca="1">AND(IF(W9&gt;-Y9,TRUE,FALSE),IF(H9&gt;0,TRUE,FALSE))</f>
        <v>0</v>
      </c>
      <c r="Z10" s="60" t="b">
        <f ca="1">AND(IF(U9&gt;-Z9,TRUE,FALSE),IF(H9&lt;0,TRUE,FALSE))</f>
        <v>0</v>
      </c>
      <c r="AA10" s="90" t="b">
        <f ca="1">IF(W9&gt;AA9,TRUE,FALSE)</f>
        <v>0</v>
      </c>
      <c r="AC10" s="67">
        <v>1E-3</v>
      </c>
      <c r="AD10" s="67">
        <v>1E-3</v>
      </c>
      <c r="AE10" s="68" t="s">
        <v>89</v>
      </c>
    </row>
    <row r="11" spans="1:31" x14ac:dyDescent="0.25">
      <c r="A11" s="158">
        <f>MATCH(F11,SCALARS!C:C,0)</f>
        <v>33</v>
      </c>
      <c r="B11" s="159">
        <f>MATCH(F11,'MKT DATA'!B:B,0)</f>
        <v>22</v>
      </c>
      <c r="C11" s="355" t="str" cm="1">
        <f t="array" aca="1" ref="C11" ca="1">INDIRECT(ADDRESS($A11,2,,,"ANCHOR INPUTS"))</f>
        <v>prefs</v>
      </c>
      <c r="D11" s="361"/>
      <c r="E11" s="17" t="str" cm="1">
        <f t="array" aca="1" ref="E11" ca="1">INDIRECT(ADDRESS($A11,5,,,"ANCHOR INPUTS"))</f>
        <v>PFF</v>
      </c>
      <c r="F11" s="18" t="s">
        <v>55</v>
      </c>
      <c r="G11" s="96">
        <v>0.16500000000000001</v>
      </c>
      <c r="H11" s="34" cm="1">
        <f t="array" aca="1" ref="H11" ca="1">INDIRECT(ADDRESS($B11,9,,,"mkt data"))</f>
        <v>0</v>
      </c>
      <c r="I11" s="69">
        <f t="shared" ca="1" si="2"/>
        <v>0</v>
      </c>
      <c r="J11" s="34">
        <f t="shared" ca="1" si="0"/>
        <v>0</v>
      </c>
      <c r="K11" s="247">
        <f ca="1">SUM(J11:J12)</f>
        <v>0</v>
      </c>
      <c r="L11" s="40" cm="1">
        <f t="array" aca="1" ref="L11" ca="1">INDIRECT(ADDRESS($B11,5,,,"mkt data"))</f>
        <v>18</v>
      </c>
      <c r="M11" s="41" cm="1">
        <f t="array" aca="1" ref="M11" ca="1">INDIRECT(ADDRESS($B11,6,,,"mkt data"))</f>
        <v>18.16</v>
      </c>
      <c r="N11" s="185"/>
      <c r="O11" s="19">
        <f t="shared" ca="1" si="3"/>
        <v>17.995000000000001</v>
      </c>
      <c r="P11" s="19">
        <f t="shared" ca="1" si="4"/>
        <v>18.164999999999999</v>
      </c>
      <c r="Q11" s="57" cm="1">
        <f t="array" aca="1" ref="Q11" ca="1">INDIRECT(ADDRESS($A11,6,,,"scalars"))</f>
        <v>1.6532415673651673</v>
      </c>
      <c r="R11" s="20">
        <f ca="1">O11*Q11</f>
        <v>29.750082004736186</v>
      </c>
      <c r="S11" s="20">
        <f t="shared" ca="1" si="1"/>
        <v>30.031133071188261</v>
      </c>
      <c r="T11" s="242">
        <f ca="1">R12-S11</f>
        <v>4.3866928811738148E-2</v>
      </c>
      <c r="U11" s="244">
        <f ca="1">T11/AVERAGE(R12,S12)</f>
        <v>1.4554389121346433E-3</v>
      </c>
      <c r="V11" s="242">
        <f ca="1">R11-S12</f>
        <v>-0.45491799526381271</v>
      </c>
      <c r="W11" s="244">
        <f ca="1">V11/AVERAGE(R12,S12)</f>
        <v>-1.5093496856795379E-2</v>
      </c>
      <c r="X11" s="87">
        <f>AC11</f>
        <v>5.0000000000000001E-3</v>
      </c>
      <c r="Y11" s="58">
        <f>AC12</f>
        <v>4.0000000000000001E-3</v>
      </c>
      <c r="Z11" s="58">
        <f>AD12</f>
        <v>2E-3</v>
      </c>
      <c r="AA11" s="88">
        <f>AD11</f>
        <v>3.0000000000000001E-3</v>
      </c>
      <c r="AC11" s="66">
        <v>5.0000000000000001E-3</v>
      </c>
      <c r="AD11" s="67">
        <v>3.0000000000000001E-3</v>
      </c>
      <c r="AE11" s="68" t="s">
        <v>88</v>
      </c>
    </row>
    <row r="12" spans="1:31" ht="15.75" thickBot="1" x14ac:dyDescent="0.3">
      <c r="A12" s="160">
        <f>MATCH(F12,SCALARS!C:C,0)</f>
        <v>32</v>
      </c>
      <c r="B12" s="161">
        <f>MATCH(F12,'MKT DATA'!B:B,0)</f>
        <v>21</v>
      </c>
      <c r="C12" s="357" t="str" cm="1">
        <f t="array" aca="1" ref="C12" ca="1">INDIRECT(ADDRESS($A12,2,,,"ANCHOR INPUTS"))</f>
        <v>prefs</v>
      </c>
      <c r="D12" s="362"/>
      <c r="E12" s="23" t="str" cm="1">
        <f t="array" aca="1" ref="E12" ca="1">INDIRECT(ADDRESS($A12,5,,,"ANCHOR INPUTS"))</f>
        <v>PFF</v>
      </c>
      <c r="F12" s="24" t="s">
        <v>54</v>
      </c>
      <c r="G12" s="97">
        <v>0.16500000000000001</v>
      </c>
      <c r="H12" s="36" cm="1">
        <f t="array" aca="1" ref="H12" ca="1">INDIRECT(ADDRESS($B12,9,,,"mkt data"))</f>
        <v>0</v>
      </c>
      <c r="I12" s="71">
        <f t="shared" ca="1" si="2"/>
        <v>0</v>
      </c>
      <c r="J12" s="36">
        <f t="shared" ca="1" si="0"/>
        <v>0</v>
      </c>
      <c r="K12" s="248"/>
      <c r="L12" s="44" cm="1">
        <f t="array" aca="1" ref="L12" ca="1">INDIRECT(ADDRESS($B12,5,,,"mkt data"))</f>
        <v>30.08</v>
      </c>
      <c r="M12" s="45" cm="1">
        <f t="array" aca="1" ref="M12" ca="1">INDIRECT(ADDRESS($B12,6,,,"mkt data"))</f>
        <v>30.2</v>
      </c>
      <c r="N12" s="186"/>
      <c r="O12" s="25">
        <f t="shared" ca="1" si="3"/>
        <v>30.074999999999999</v>
      </c>
      <c r="P12" s="25">
        <f t="shared" ca="1" si="4"/>
        <v>30.204999999999998</v>
      </c>
      <c r="Q12" s="59" cm="1">
        <f t="array" aca="1" ref="Q12" ca="1">INDIRECT(ADDRESS($A12,6,,,"scalars"))</f>
        <v>1</v>
      </c>
      <c r="R12" s="26">
        <f t="shared" ref="R12:R13" ca="1" si="6">O12*Q12</f>
        <v>30.074999999999999</v>
      </c>
      <c r="S12" s="26">
        <f t="shared" ca="1" si="1"/>
        <v>30.204999999999998</v>
      </c>
      <c r="T12" s="243"/>
      <c r="U12" s="245"/>
      <c r="V12" s="243"/>
      <c r="W12" s="245"/>
      <c r="X12" s="89" t="b">
        <f ca="1">IF(U11&gt;X11,TRUE,FALSE)</f>
        <v>0</v>
      </c>
      <c r="Y12" s="60" t="b">
        <f ca="1">AND(IF(W11&gt;-Y11,TRUE,FALSE),IF(H11&gt;0,TRUE,FALSE))</f>
        <v>0</v>
      </c>
      <c r="Z12" s="60" t="b">
        <f ca="1">AND(IF(U11&gt;-Z11,TRUE,FALSE),IF(H11&lt;0,TRUE,FALSE))</f>
        <v>0</v>
      </c>
      <c r="AA12" s="90" t="b">
        <f ca="1">IF(W11&gt;AA11,TRUE,FALSE)</f>
        <v>0</v>
      </c>
      <c r="AC12" s="67">
        <v>4.0000000000000001E-3</v>
      </c>
      <c r="AD12" s="67">
        <v>2E-3</v>
      </c>
      <c r="AE12" s="68" t="s">
        <v>89</v>
      </c>
    </row>
    <row r="13" spans="1:31" s="108" customFormat="1" x14ac:dyDescent="0.25">
      <c r="A13" s="167">
        <f>MATCH(F13,SCALARS!C:C,0)</f>
        <v>14</v>
      </c>
      <c r="B13" s="168">
        <f>MATCH(F13,'MKT DATA'!B:B,0)</f>
        <v>5</v>
      </c>
      <c r="C13" s="358" t="str" cm="1">
        <f t="array" aca="1" ref="C13" ca="1">INDIRECT(ADDRESS($A13,2,,,"ANCHOR INPUTS"))</f>
        <v>intl agg - hedged</v>
      </c>
      <c r="D13" s="363"/>
      <c r="E13" s="99" t="str" cm="1">
        <f t="array" aca="1" ref="E13" ca="1">INDIRECT(ADDRESS($A13,5,,,"ANCHOR INPUTS"))</f>
        <v>IAGG</v>
      </c>
      <c r="F13" s="100" t="s">
        <v>45</v>
      </c>
      <c r="G13" s="140"/>
      <c r="H13" s="101" cm="1">
        <f t="array" aca="1" ref="H13" ca="1">INDIRECT(ADDRESS($B13,9,,,"mkt data"))</f>
        <v>0</v>
      </c>
      <c r="I13" s="102">
        <f t="shared" ca="1" si="2"/>
        <v>0</v>
      </c>
      <c r="J13" s="101">
        <f t="shared" ca="1" si="0"/>
        <v>0</v>
      </c>
      <c r="K13" s="260">
        <f ca="1">SUM(J13:J14)</f>
        <v>0</v>
      </c>
      <c r="L13" s="103" cm="1">
        <f t="array" aca="1" ref="L13" ca="1">INDIRECT(ADDRESS($B13,5,,,"mkt data"))</f>
        <v>47.28</v>
      </c>
      <c r="M13" s="104" cm="1">
        <f t="array" aca="1" ref="M13" ca="1">INDIRECT(ADDRESS($B13,6,,,"mkt data"))</f>
        <v>47.7</v>
      </c>
      <c r="N13" s="365"/>
      <c r="O13" s="105">
        <f t="shared" ca="1" si="3"/>
        <v>47.274999999999999</v>
      </c>
      <c r="P13" s="105">
        <f t="shared" ca="1" si="4"/>
        <v>47.705000000000005</v>
      </c>
      <c r="Q13" s="106" cm="1">
        <f t="array" aca="1" ref="Q13" ca="1">INDIRECT(ADDRESS($A13,6,,,"scalars"))</f>
        <v>1.0441007563982159</v>
      </c>
      <c r="R13" s="107">
        <f t="shared" ca="1" si="6"/>
        <v>49.359863258725653</v>
      </c>
      <c r="S13" s="107">
        <f t="shared" ca="1" si="1"/>
        <v>49.808826583976895</v>
      </c>
      <c r="T13" s="242">
        <f ca="1">R14-S13</f>
        <v>-0.24382658397689738</v>
      </c>
      <c r="U13" s="244">
        <f ca="1">T13/AVERAGE(R14,S14)</f>
        <v>-4.8011535685123048E-3</v>
      </c>
      <c r="V13" s="242">
        <f ca="1">R13-S14</f>
        <v>-2.6451367412743494</v>
      </c>
      <c r="W13" s="244">
        <f ca="1">V13/AVERAGE(R14,S14)</f>
        <v>-5.2085000320455835E-2</v>
      </c>
      <c r="X13" s="87">
        <f>AC13</f>
        <v>0.01</v>
      </c>
      <c r="Y13" s="58">
        <f>AC14</f>
        <v>0.01</v>
      </c>
      <c r="Z13" s="58">
        <f>AD14</f>
        <v>0.01</v>
      </c>
      <c r="AA13" s="88">
        <f>AD13</f>
        <v>0.01</v>
      </c>
      <c r="AC13" s="109">
        <v>0.01</v>
      </c>
      <c r="AD13" s="110">
        <v>0.01</v>
      </c>
      <c r="AE13" s="111" t="s">
        <v>88</v>
      </c>
    </row>
    <row r="14" spans="1:31" s="108" customFormat="1" ht="15.75" thickBot="1" x14ac:dyDescent="0.3">
      <c r="A14" s="169">
        <f>MATCH(F14,SCALARS!C:C,0)</f>
        <v>15</v>
      </c>
      <c r="B14" s="170">
        <f>MATCH(F14,'MKT DATA'!B:B,0)</f>
        <v>14</v>
      </c>
      <c r="C14" s="360" t="str" cm="1">
        <f t="array" aca="1" ref="C14" ca="1">INDIRECT(ADDRESS($A14,2,,,"ANCHOR INPUTS"))</f>
        <v>intl agg - hedged</v>
      </c>
      <c r="D14" s="364"/>
      <c r="E14" s="112" t="str" cm="1">
        <f t="array" aca="1" ref="E14" ca="1">INDIRECT(ADDRESS($A14,5,,,"ANCHOR INPUTS"))</f>
        <v>IAGG</v>
      </c>
      <c r="F14" s="113" t="s">
        <v>51</v>
      </c>
      <c r="G14" s="142"/>
      <c r="H14" s="114" cm="1">
        <f t="array" aca="1" ref="H14" ca="1">INDIRECT(ADDRESS($B14,9,,,"mkt data"))</f>
        <v>0</v>
      </c>
      <c r="I14" s="115">
        <f t="shared" ca="1" si="2"/>
        <v>0</v>
      </c>
      <c r="J14" s="114">
        <f t="shared" ca="1" si="0"/>
        <v>0</v>
      </c>
      <c r="K14" s="262"/>
      <c r="L14" s="116" cm="1">
        <f t="array" aca="1" ref="L14" ca="1">INDIRECT(ADDRESS($B14,5,,,"mkt data"))</f>
        <v>49.57</v>
      </c>
      <c r="M14" s="117" cm="1">
        <f t="array" aca="1" ref="M14" ca="1">INDIRECT(ADDRESS($B14,6,,,"mkt data"))</f>
        <v>52</v>
      </c>
      <c r="N14" s="366"/>
      <c r="O14" s="118">
        <f t="shared" ca="1" si="3"/>
        <v>49.564999999999998</v>
      </c>
      <c r="P14" s="118">
        <f t="shared" ca="1" si="4"/>
        <v>52.005000000000003</v>
      </c>
      <c r="Q14" s="119" cm="1">
        <f t="array" aca="1" ref="Q14" ca="1">INDIRECT(ADDRESS($A14,6,,,"scalars"))</f>
        <v>1</v>
      </c>
      <c r="R14" s="120">
        <f ca="1">O14*Q14</f>
        <v>49.564999999999998</v>
      </c>
      <c r="S14" s="120">
        <f t="shared" ca="1" si="1"/>
        <v>52.005000000000003</v>
      </c>
      <c r="T14" s="243"/>
      <c r="U14" s="245"/>
      <c r="V14" s="243"/>
      <c r="W14" s="245"/>
      <c r="X14" s="89" t="b">
        <f ca="1">IF(U13&gt;X13,TRUE,FALSE)</f>
        <v>0</v>
      </c>
      <c r="Y14" s="60" t="b">
        <f ca="1">AND(IF(W13&gt;-Y13,TRUE,FALSE),IF(H13&gt;0,TRUE,FALSE))</f>
        <v>0</v>
      </c>
      <c r="Z14" s="60" t="b">
        <f ca="1">AND(IF(U13&gt;-Z13,TRUE,FALSE),IF(H13&lt;0,TRUE,FALSE))</f>
        <v>0</v>
      </c>
      <c r="AA14" s="90" t="b">
        <f ca="1">IF(W13&gt;AA13,TRUE,FALSE)</f>
        <v>0</v>
      </c>
      <c r="AC14" s="110">
        <v>0.01</v>
      </c>
      <c r="AD14" s="110">
        <v>0.01</v>
      </c>
      <c r="AE14" s="111" t="s">
        <v>89</v>
      </c>
    </row>
    <row r="15" spans="1:31" s="108" customFormat="1" x14ac:dyDescent="0.25">
      <c r="A15" s="167">
        <f>MATCH(F15,SCALARS!C:C,0)</f>
        <v>7</v>
      </c>
      <c r="B15" s="168">
        <f>MATCH(F15,'MKT DATA'!B:B,0)</f>
        <v>11</v>
      </c>
      <c r="C15" s="358" t="str" cm="1">
        <f t="array" aca="1" ref="C15" ca="1">INDIRECT(ADDRESS($A15,2,,,"ANCHOR INPUTS"))</f>
        <v>fallen angels</v>
      </c>
      <c r="D15" s="363"/>
      <c r="E15" s="99" t="str" cm="1">
        <f t="array" aca="1" ref="E15" ca="1">INDIRECT(ADDRESS($A15,5,,,"ANCHOR INPUTS"))</f>
        <v>ANGL</v>
      </c>
      <c r="F15" s="100" t="s">
        <v>50</v>
      </c>
      <c r="G15" s="140"/>
      <c r="H15" s="101" cm="1">
        <f t="array" aca="1" ref="H15" ca="1">INDIRECT(ADDRESS($B15,9,,,"mkt data"))</f>
        <v>0</v>
      </c>
      <c r="I15" s="102">
        <f t="shared" ca="1" si="2"/>
        <v>0</v>
      </c>
      <c r="J15" s="101">
        <f t="shared" ca="1" si="0"/>
        <v>0</v>
      </c>
      <c r="K15" s="305">
        <f ca="1">SUM(J15:J16)</f>
        <v>0</v>
      </c>
      <c r="L15" s="103" cm="1">
        <f t="array" aca="1" ref="L15" ca="1">INDIRECT(ADDRESS($B15,5,,,"mkt data"))</f>
        <v>26.26</v>
      </c>
      <c r="M15" s="104" cm="1">
        <f t="array" aca="1" ref="M15" ca="1">INDIRECT(ADDRESS($B15,6,,,"mkt data"))</f>
        <v>27.27</v>
      </c>
      <c r="N15" s="365"/>
      <c r="O15" s="105">
        <f t="shared" ca="1" si="3"/>
        <v>26.255000000000003</v>
      </c>
      <c r="P15" s="105">
        <f t="shared" ca="1" si="4"/>
        <v>27.274999999999999</v>
      </c>
      <c r="Q15" s="106" cm="1">
        <f t="array" aca="1" ref="Q15" ca="1">INDIRECT(ADDRESS($A15,6,,,"scalars"))</f>
        <v>1.0738183260697056</v>
      </c>
      <c r="R15" s="107">
        <f ca="1">O15*Q15</f>
        <v>28.193100150960124</v>
      </c>
      <c r="S15" s="107">
        <f t="shared" ca="1" si="1"/>
        <v>29.28839484355122</v>
      </c>
      <c r="T15" s="242">
        <f ca="1">R16-S15</f>
        <v>-0.59339484355121996</v>
      </c>
      <c r="U15" s="244">
        <f ca="1">T15/AVERAGE(R16,S16)</f>
        <v>-2.0668576926200624E-2</v>
      </c>
      <c r="V15" s="242">
        <f ca="1">R15-S16</f>
        <v>-0.53189984903987408</v>
      </c>
      <c r="W15" s="244">
        <f ca="1">V15/AVERAGE(R16,S16)</f>
        <v>-1.8526640509922469E-2</v>
      </c>
      <c r="X15" s="87">
        <f>AC15</f>
        <v>0.01</v>
      </c>
      <c r="Y15" s="58">
        <f>AC16</f>
        <v>0.01</v>
      </c>
      <c r="Z15" s="58">
        <f>AD16</f>
        <v>0.01</v>
      </c>
      <c r="AA15" s="88">
        <f>AD15</f>
        <v>0.01</v>
      </c>
      <c r="AC15" s="109">
        <v>0.01</v>
      </c>
      <c r="AD15" s="110">
        <v>0.01</v>
      </c>
      <c r="AE15" s="111" t="s">
        <v>88</v>
      </c>
    </row>
    <row r="16" spans="1:31" s="108" customFormat="1" ht="15.75" thickBot="1" x14ac:dyDescent="0.3">
      <c r="A16" s="169">
        <f>MATCH(F16,SCALARS!C:C,0)</f>
        <v>6</v>
      </c>
      <c r="B16" s="170">
        <f>MATCH(F16,'MKT DATA'!B:B,0)</f>
        <v>3</v>
      </c>
      <c r="C16" s="360" t="str" cm="1">
        <f t="array" aca="1" ref="C16" ca="1">INDIRECT(ADDRESS($A16,2,,,"ANCHOR INPUTS"))</f>
        <v>fallen angels</v>
      </c>
      <c r="D16" s="364"/>
      <c r="E16" s="112" t="str" cm="1">
        <f t="array" aca="1" ref="E16" ca="1">INDIRECT(ADDRESS($A16,5,,,"ANCHOR INPUTS"))</f>
        <v>ANGL</v>
      </c>
      <c r="F16" s="113" t="s">
        <v>44</v>
      </c>
      <c r="G16" s="142"/>
      <c r="H16" s="114" cm="1">
        <f t="array" aca="1" ref="H16" ca="1">INDIRECT(ADDRESS($B16,9,,,"mkt data"))</f>
        <v>0</v>
      </c>
      <c r="I16" s="115">
        <f t="shared" ca="1" si="2"/>
        <v>0</v>
      </c>
      <c r="J16" s="114">
        <f t="shared" ca="1" si="0"/>
        <v>0</v>
      </c>
      <c r="K16" s="306"/>
      <c r="L16" s="116" cm="1">
        <f t="array" aca="1" ref="L16" ca="1">INDIRECT(ADDRESS($B16,5,,,"mkt data"))</f>
        <v>28.7</v>
      </c>
      <c r="M16" s="117" cm="1">
        <f t="array" aca="1" ref="M16" ca="1">INDIRECT(ADDRESS($B16,6,,,"mkt data"))</f>
        <v>28.72</v>
      </c>
      <c r="N16" s="366"/>
      <c r="O16" s="118">
        <f t="shared" ca="1" si="3"/>
        <v>28.695</v>
      </c>
      <c r="P16" s="118">
        <f t="shared" ca="1" si="4"/>
        <v>28.724999999999998</v>
      </c>
      <c r="Q16" s="119" cm="1">
        <f t="array" aca="1" ref="Q16" ca="1">INDIRECT(ADDRESS($A16,6,,,"scalars"))</f>
        <v>1</v>
      </c>
      <c r="R16" s="120">
        <f ca="1">O16*Q16</f>
        <v>28.695</v>
      </c>
      <c r="S16" s="120">
        <f t="shared" ca="1" si="1"/>
        <v>28.724999999999998</v>
      </c>
      <c r="T16" s="243"/>
      <c r="U16" s="245"/>
      <c r="V16" s="243"/>
      <c r="W16" s="245"/>
      <c r="X16" s="89" t="b">
        <f ca="1">IF(U15&gt;X15,TRUE,FALSE)</f>
        <v>0</v>
      </c>
      <c r="Y16" s="60" t="b">
        <f ca="1">AND(IF(W15&gt;-Y15,TRUE,FALSE),IF(H15&gt;0,TRUE,FALSE))</f>
        <v>0</v>
      </c>
      <c r="Z16" s="60" t="b">
        <f ca="1">AND(IF(U15&gt;-Z15,TRUE,FALSE),IF(H15&lt;0,TRUE,FALSE))</f>
        <v>0</v>
      </c>
      <c r="AA16" s="90" t="b">
        <f ca="1">IF(W15&gt;AA15,TRUE,FALSE)</f>
        <v>0</v>
      </c>
      <c r="AC16" s="110">
        <v>0.01</v>
      </c>
      <c r="AD16" s="110">
        <v>0.01</v>
      </c>
      <c r="AE16" s="111" t="s">
        <v>89</v>
      </c>
    </row>
    <row r="17" spans="1:37" ht="15.75" thickBot="1" x14ac:dyDescent="0.3">
      <c r="A17" s="291" t="str">
        <f>'MKT DATA'!J2</f>
        <v>2026-09-01_16-47-17</v>
      </c>
      <c r="B17" s="291"/>
      <c r="C17" s="291"/>
      <c r="D17" s="291"/>
      <c r="E17" s="291"/>
      <c r="P17" s="10"/>
      <c r="Q17" s="10"/>
    </row>
    <row r="18" spans="1:37" s="12" customFormat="1" x14ac:dyDescent="0.25">
      <c r="A18" s="228" t="str">
        <f>A1</f>
        <v>rows</v>
      </c>
      <c r="B18" s="229">
        <f t="shared" ref="B18:S19" si="7">B1</f>
        <v>0</v>
      </c>
      <c r="C18" s="353"/>
      <c r="D18" s="153"/>
      <c r="E18" s="367"/>
      <c r="F18" s="74"/>
      <c r="G18" s="92"/>
      <c r="H18" s="230" t="str">
        <f t="shared" si="7"/>
        <v>current position</v>
      </c>
      <c r="I18" s="230">
        <f t="shared" si="7"/>
        <v>0</v>
      </c>
      <c r="J18" s="230">
        <f t="shared" si="7"/>
        <v>0</v>
      </c>
      <c r="K18" s="231">
        <f t="shared" si="7"/>
        <v>0</v>
      </c>
      <c r="L18" s="232" t="str">
        <f t="shared" si="7"/>
        <v>mkt prices</v>
      </c>
      <c r="M18" s="233">
        <f t="shared" si="7"/>
        <v>0</v>
      </c>
      <c r="N18" s="183"/>
      <c r="O18" s="234">
        <f t="shared" si="7"/>
        <v>5.0000000000000001E-3</v>
      </c>
      <c r="P18" s="234">
        <f t="shared" si="7"/>
        <v>0</v>
      </c>
      <c r="Q18" s="46"/>
      <c r="R18" s="237" t="str">
        <f t="shared" si="7"/>
        <v>unit cf</v>
      </c>
      <c r="S18" s="238">
        <f t="shared" si="7"/>
        <v>0</v>
      </c>
      <c r="T18" s="239" t="s">
        <v>66</v>
      </c>
      <c r="U18" s="278"/>
      <c r="V18" s="278"/>
      <c r="W18" s="240"/>
      <c r="X18" s="73"/>
      <c r="Y18" s="132"/>
      <c r="AC18" s="259" t="s">
        <v>87</v>
      </c>
      <c r="AD18" s="259"/>
      <c r="AE18"/>
      <c r="AF18"/>
      <c r="AG18" s="27" t="s">
        <v>84</v>
      </c>
      <c r="AH18" s="28">
        <v>46233</v>
      </c>
      <c r="AI18" s="29"/>
      <c r="AJ18" s="27" t="s">
        <v>84</v>
      </c>
      <c r="AK18" s="28">
        <v>46232</v>
      </c>
    </row>
    <row r="19" spans="1:37" s="15" customFormat="1" ht="15.75" thickBot="1" x14ac:dyDescent="0.3">
      <c r="A19" s="38" t="str">
        <f>A2</f>
        <v>admin</v>
      </c>
      <c r="B19" s="39" t="str">
        <f t="shared" si="7"/>
        <v>mkt data</v>
      </c>
      <c r="C19" s="354" t="str">
        <f>C2</f>
        <v>sector</v>
      </c>
      <c r="D19" s="154" t="str">
        <f>D2</f>
        <v>adv</v>
      </c>
      <c r="E19" s="152" t="str">
        <f t="shared" si="7"/>
        <v>anchor</v>
      </c>
      <c r="F19" s="75" t="str">
        <f t="shared" si="7"/>
        <v>symbol</v>
      </c>
      <c r="G19" s="93" t="str">
        <f t="shared" si="7"/>
        <v>margin</v>
      </c>
      <c r="H19" s="91" t="str">
        <f t="shared" si="7"/>
        <v>shs</v>
      </c>
      <c r="I19" s="76" t="str">
        <f t="shared" si="7"/>
        <v>$val</v>
      </c>
      <c r="J19" s="77" t="str">
        <f t="shared" si="7"/>
        <v>units</v>
      </c>
      <c r="K19" s="78" t="str">
        <f t="shared" si="7"/>
        <v>net units</v>
      </c>
      <c r="L19" s="79" t="str">
        <f t="shared" si="7"/>
        <v>bid</v>
      </c>
      <c r="M19" s="80" t="str">
        <f t="shared" si="7"/>
        <v>ask</v>
      </c>
      <c r="N19" s="184" t="str">
        <f>N2</f>
        <v>div adj</v>
      </c>
      <c r="O19" s="81" t="str">
        <f t="shared" si="7"/>
        <v>bid w/ comm</v>
      </c>
      <c r="P19" s="81" t="str">
        <f t="shared" si="7"/>
        <v>ask w/ comm</v>
      </c>
      <c r="Q19" s="82" t="str">
        <f t="shared" si="7"/>
        <v>scalar</v>
      </c>
      <c r="R19" s="83" t="str">
        <f t="shared" si="7"/>
        <v>hit bid</v>
      </c>
      <c r="S19" s="84" t="str">
        <f t="shared" si="7"/>
        <v>lift ask</v>
      </c>
      <c r="T19" s="47" t="s">
        <v>67</v>
      </c>
      <c r="U19" s="15" t="s">
        <v>68</v>
      </c>
      <c r="V19" s="48" t="s">
        <v>86</v>
      </c>
      <c r="W19" s="55" t="s">
        <v>32</v>
      </c>
      <c r="X19" s="47" t="s">
        <v>88</v>
      </c>
      <c r="Y19" s="55" t="s">
        <v>89</v>
      </c>
      <c r="AC19" s="15" t="s">
        <v>88</v>
      </c>
      <c r="AD19" s="15" t="s">
        <v>89</v>
      </c>
      <c r="AE19"/>
      <c r="AF19"/>
      <c r="AG19" s="27" t="s">
        <v>85</v>
      </c>
      <c r="AH19" s="30" t="b">
        <v>1</v>
      </c>
      <c r="AI19" s="29"/>
      <c r="AJ19" s="27" t="s">
        <v>85</v>
      </c>
      <c r="AK19" s="30" t="b">
        <v>1</v>
      </c>
    </row>
    <row r="20" spans="1:37" x14ac:dyDescent="0.25">
      <c r="A20" s="162">
        <f>MATCH(F20,SCALARS!C:C,0)</f>
        <v>30</v>
      </c>
      <c r="B20" s="163">
        <f>MATCH(F20,'MKT DATA'!B:B,0)</f>
        <v>32</v>
      </c>
      <c r="C20" s="355"/>
      <c r="D20" s="368"/>
      <c r="E20" s="17" t="str" cm="1">
        <f t="array" aca="1" ref="E20" ca="1">INDIRECT(ADDRESS($A20,5,,,"ANCHOR INPUTS"))</f>
        <v>MUB</v>
      </c>
      <c r="F20" s="18" t="s">
        <v>21</v>
      </c>
      <c r="G20" s="96">
        <v>0.1002</v>
      </c>
      <c r="H20" s="34" cm="1">
        <f t="array" aca="1" ref="H20" ca="1">INDIRECT(ADDRESS($B20,9,,,"mkt data"))</f>
        <v>0</v>
      </c>
      <c r="I20" s="69">
        <f ca="1">H20*AVERAGE(L20:M20)</f>
        <v>0</v>
      </c>
      <c r="J20" s="34">
        <f t="shared" ref="J20:J45" ca="1" si="8">H20/Q20</f>
        <v>0</v>
      </c>
      <c r="K20" s="235">
        <f ca="1">SUM(J20:J22)</f>
        <v>0</v>
      </c>
      <c r="L20" s="40" cm="1">
        <f t="array" aca="1" ref="L20" ca="1">INDIRECT(ADDRESS($B20,5,,,"mkt data"))</f>
        <v>40.04</v>
      </c>
      <c r="M20" s="41" cm="1">
        <f t="array" aca="1" ref="M20" ca="1">INDIRECT(ADDRESS($B20,6,,,"mkt data"))</f>
        <v>45.99</v>
      </c>
      <c r="N20" s="185"/>
      <c r="O20" s="19">
        <f t="shared" ref="O20:O45" ca="1" si="9">L20-O$18</f>
        <v>40.034999999999997</v>
      </c>
      <c r="P20" s="19">
        <f t="shared" ref="P20:P45" ca="1" si="10">M20+O$18</f>
        <v>45.995000000000005</v>
      </c>
      <c r="Q20" s="57" cm="1">
        <f t="array" aca="1" ref="Q20" ca="1">INDIRECT(ADDRESS($A20,6,,,"scalars"))</f>
        <v>2.3513336978186774</v>
      </c>
      <c r="R20" s="20">
        <f t="shared" ref="R20:R37" ca="1" si="11">O20*Q20</f>
        <v>94.135644592170735</v>
      </c>
      <c r="S20" s="20">
        <f t="shared" ref="S20:S45" ca="1" si="12">Q20*P20</f>
        <v>108.14959343117008</v>
      </c>
      <c r="T20" s="242">
        <f ca="1">MAX(R20:R22)</f>
        <v>104.19872951732988</v>
      </c>
      <c r="U20" s="264">
        <f ca="1">MIN(S20:S22)</f>
        <v>104.28385050539673</v>
      </c>
      <c r="V20" s="264">
        <f ca="1">T20-U20</f>
        <v>-8.5120988066847758E-2</v>
      </c>
      <c r="W20" s="244">
        <f ca="1">V20/AVERAGE(ABS(T20),ABS(U20))</f>
        <v>-8.1657650301112685E-4</v>
      </c>
      <c r="X20" s="87">
        <f>AC20</f>
        <v>1E-3</v>
      </c>
      <c r="Y20" s="88">
        <f>AD20</f>
        <v>1E-3</v>
      </c>
      <c r="AC20" s="288">
        <v>1E-3</v>
      </c>
      <c r="AD20" s="279">
        <v>1E-3</v>
      </c>
    </row>
    <row r="21" spans="1:37" x14ac:dyDescent="0.25">
      <c r="A21" s="166">
        <f>MATCH(F21,SCALARS!C:C,0)</f>
        <v>31</v>
      </c>
      <c r="B21" s="175">
        <f>MATCH(F21,'MKT DATA'!B:B,0)</f>
        <v>39</v>
      </c>
      <c r="C21" s="356"/>
      <c r="D21" s="369"/>
      <c r="E21" s="13" t="str" cm="1">
        <f t="array" aca="1" ref="E21" ca="1">INDIRECT(ADDRESS($A21,5,,,"ANCHOR INPUTS"))</f>
        <v>MUB</v>
      </c>
      <c r="F21" s="11" t="s">
        <v>3</v>
      </c>
      <c r="G21" s="94">
        <v>0.1002</v>
      </c>
      <c r="H21" s="35" cm="1">
        <f t="array" aca="1" ref="H21" ca="1">INDIRECT(ADDRESS($B21,9,,,"mkt data"))</f>
        <v>0</v>
      </c>
      <c r="I21" s="70">
        <f t="shared" ref="I21:I45" ca="1" si="13">H21*AVERAGE(L21:M21)</f>
        <v>0</v>
      </c>
      <c r="J21" s="35">
        <f t="shared" ca="1" si="8"/>
        <v>0</v>
      </c>
      <c r="K21" s="263"/>
      <c r="L21" s="42" cm="1">
        <f t="array" aca="1" ref="L21" ca="1">INDIRECT(ADDRESS($B21,5,,,"mkt data"))</f>
        <v>48.97</v>
      </c>
      <c r="M21" s="43" cm="1">
        <f t="array" aca="1" ref="M21" ca="1">INDIRECT(ADDRESS($B21,6,,,"mkt data"))</f>
        <v>49</v>
      </c>
      <c r="N21" s="314"/>
      <c r="O21" s="21">
        <f t="shared" ca="1" si="9"/>
        <v>48.964999999999996</v>
      </c>
      <c r="P21" s="21">
        <f t="shared" ca="1" si="10"/>
        <v>49.005000000000003</v>
      </c>
      <c r="Q21" s="61" cm="1">
        <f t="array" aca="1" ref="Q21" ca="1">INDIRECT(ADDRESS($A21,6,,,"scalars"))</f>
        <v>2.1280247016711913</v>
      </c>
      <c r="R21" s="22">
        <f t="shared" ca="1" si="11"/>
        <v>104.19872951732988</v>
      </c>
      <c r="S21" s="22">
        <f t="shared" ca="1" si="12"/>
        <v>104.28385050539673</v>
      </c>
      <c r="T21" s="296"/>
      <c r="U21" s="297"/>
      <c r="V21" s="265"/>
      <c r="W21" s="267"/>
      <c r="X21" s="133" t="b">
        <f ca="1">IF(W20&gt;AC20,TRUE,FALSE)</f>
        <v>0</v>
      </c>
      <c r="Y21" s="134" t="b" cm="1">
        <f t="array" aca="1" ref="Y21" ca="1">AND(IF(SUM(ABS(H20:H22)),TRUE,FALSE),IF(W20&lt;Y20,TRUE,FALSE))</f>
        <v>0</v>
      </c>
      <c r="AC21" s="289"/>
      <c r="AD21" s="280"/>
    </row>
    <row r="22" spans="1:37" ht="15.75" thickBot="1" x14ac:dyDescent="0.3">
      <c r="A22" s="164">
        <f>MATCH(F22,SCALARS!C:C,0)</f>
        <v>29</v>
      </c>
      <c r="B22" s="165">
        <f>MATCH(F22,'MKT DATA'!B:B,0)</f>
        <v>20</v>
      </c>
      <c r="C22" s="357"/>
      <c r="D22" s="370"/>
      <c r="E22" s="23" t="str" cm="1">
        <f t="array" aca="1" ref="E22" ca="1">INDIRECT(ADDRESS($A22,5,,,"ANCHOR INPUTS"))</f>
        <v>MUB</v>
      </c>
      <c r="F22" s="24" t="s">
        <v>4</v>
      </c>
      <c r="G22" s="95">
        <v>0.1002</v>
      </c>
      <c r="H22" s="36" cm="1">
        <f t="array" aca="1" ref="H22" ca="1">INDIRECT(ADDRESS($B22,9,,,"mkt data"))</f>
        <v>0</v>
      </c>
      <c r="I22" s="71">
        <f t="shared" ca="1" si="13"/>
        <v>0</v>
      </c>
      <c r="J22" s="36">
        <f t="shared" ca="1" si="8"/>
        <v>0</v>
      </c>
      <c r="K22" s="236"/>
      <c r="L22" s="44" cm="1">
        <f t="array" aca="1" ref="L22" ca="1">INDIRECT(ADDRESS($B22,5,,,"mkt data"))</f>
        <v>104.15</v>
      </c>
      <c r="M22" s="45" cm="1">
        <f t="array" aca="1" ref="M22" ca="1">INDIRECT(ADDRESS($B22,6,,,"mkt data"))</f>
        <v>105.96</v>
      </c>
      <c r="N22" s="186"/>
      <c r="O22" s="25">
        <f t="shared" ca="1" si="9"/>
        <v>104.14500000000001</v>
      </c>
      <c r="P22" s="25">
        <f t="shared" ca="1" si="10"/>
        <v>105.96499999999999</v>
      </c>
      <c r="Q22" s="59" cm="1">
        <f t="array" aca="1" ref="Q22" ca="1">INDIRECT(ADDRESS($A22,6,,,"scalars"))</f>
        <v>1</v>
      </c>
      <c r="R22" s="26">
        <f t="shared" ca="1" si="11"/>
        <v>104.14500000000001</v>
      </c>
      <c r="S22" s="26">
        <f t="shared" ca="1" si="12"/>
        <v>105.96499999999999</v>
      </c>
      <c r="T22" s="243"/>
      <c r="U22" s="298"/>
      <c r="V22" s="266"/>
      <c r="W22" s="245"/>
      <c r="X22" s="50"/>
      <c r="Y22" s="135"/>
      <c r="AC22" s="290"/>
      <c r="AD22" s="281"/>
    </row>
    <row r="23" spans="1:37" x14ac:dyDescent="0.25">
      <c r="A23" s="162">
        <f>MATCH(F23,SCALARS!C:C,0)</f>
        <v>27</v>
      </c>
      <c r="B23" s="163">
        <f>MATCH(F23,'MKT DATA'!B:B,0)</f>
        <v>30</v>
      </c>
      <c r="C23" s="355"/>
      <c r="D23" s="368"/>
      <c r="E23" s="17" t="str" cm="1">
        <f t="array" aca="1" ref="E23" ca="1">INDIRECT(ADDRESS($A23,5,,,"ANCHOR INPUTS"))</f>
        <v>MBB</v>
      </c>
      <c r="F23" s="18" t="s">
        <v>18</v>
      </c>
      <c r="G23" s="96">
        <v>0.16500000000000001</v>
      </c>
      <c r="H23" s="34" cm="1">
        <f t="array" aca="1" ref="H23" ca="1">INDIRECT(ADDRESS($B23,9,,,"mkt data"))</f>
        <v>0</v>
      </c>
      <c r="I23" s="69">
        <f t="shared" ca="1" si="13"/>
        <v>0</v>
      </c>
      <c r="J23" s="34">
        <f t="shared" ca="1" si="8"/>
        <v>0</v>
      </c>
      <c r="K23" s="235">
        <f ca="1">SUM(J23:J25)</f>
        <v>0</v>
      </c>
      <c r="L23" s="40" cm="1">
        <f t="array" aca="1" ref="L23" ca="1">INDIRECT(ADDRESS($B23,5,,,"mkt data"))</f>
        <v>21.18</v>
      </c>
      <c r="M23" s="41" cm="1">
        <f t="array" aca="1" ref="M23" ca="1">INDIRECT(ADDRESS($B23,6,,,"mkt data"))</f>
        <v>21.96</v>
      </c>
      <c r="N23" s="185"/>
      <c r="O23" s="19">
        <f t="shared" ca="1" si="9"/>
        <v>21.175000000000001</v>
      </c>
      <c r="P23" s="19">
        <f t="shared" ca="1" si="10"/>
        <v>21.965</v>
      </c>
      <c r="Q23" s="57" cm="1">
        <f t="array" aca="1" ref="Q23" ca="1">INDIRECT(ADDRESS($A23,6,,,"scalars"))</f>
        <v>4.2373402778562772</v>
      </c>
      <c r="R23" s="20">
        <f t="shared" ca="1" si="11"/>
        <v>89.725680383606672</v>
      </c>
      <c r="S23" s="20">
        <f t="shared" ca="1" si="12"/>
        <v>93.073179203113128</v>
      </c>
      <c r="T23" s="242">
        <f ca="1">MAX(R23:R25)</f>
        <v>92.288330112701431</v>
      </c>
      <c r="U23" s="264">
        <f ca="1">MIN(S23:S25)</f>
        <v>92.469940470417484</v>
      </c>
      <c r="V23" s="264">
        <f ca="1">T23-U23</f>
        <v>-0.18161035771605327</v>
      </c>
      <c r="W23" s="244">
        <f ca="1">V23/AVERAGE(ABS(T23),ABS(U23))</f>
        <v>-1.9659239842727424E-3</v>
      </c>
      <c r="X23" s="87">
        <f>AC23</f>
        <v>8.0000000000000004E-4</v>
      </c>
      <c r="Y23" s="88">
        <f>AD23</f>
        <v>8.0000000000000004E-4</v>
      </c>
      <c r="AC23" s="288">
        <v>8.0000000000000004E-4</v>
      </c>
      <c r="AD23" s="279">
        <v>8.0000000000000004E-4</v>
      </c>
    </row>
    <row r="24" spans="1:37" x14ac:dyDescent="0.25">
      <c r="A24" s="166">
        <f>MATCH(F24,SCALARS!C:C,0)</f>
        <v>28</v>
      </c>
      <c r="B24" s="175">
        <f>MATCH(F24,'MKT DATA'!B:B,0)</f>
        <v>37</v>
      </c>
      <c r="C24" s="356"/>
      <c r="D24" s="369"/>
      <c r="E24" s="13" t="str" cm="1">
        <f t="array" aca="1" ref="E24" ca="1">INDIRECT(ADDRESS($A24,5,,,"ANCHOR INPUTS"))</f>
        <v>MBB</v>
      </c>
      <c r="F24" s="11" t="s">
        <v>19</v>
      </c>
      <c r="G24" s="98">
        <v>0.16500000000000001</v>
      </c>
      <c r="H24" s="35" cm="1">
        <f t="array" aca="1" ref="H24" ca="1">INDIRECT(ADDRESS($B24,9,,,"mkt data"))</f>
        <v>0</v>
      </c>
      <c r="I24" s="70">
        <f t="shared" ca="1" si="13"/>
        <v>0</v>
      </c>
      <c r="J24" s="35">
        <f t="shared" ca="1" si="8"/>
        <v>0</v>
      </c>
      <c r="K24" s="263"/>
      <c r="L24" s="42" cm="1">
        <f t="array" aca="1" ref="L24" ca="1">INDIRECT(ADDRESS($B24,5,,,"mkt data"))</f>
        <v>45.74</v>
      </c>
      <c r="M24" s="43" cm="1">
        <f t="array" aca="1" ref="M24" ca="1">INDIRECT(ADDRESS($B24,6,,,"mkt data"))</f>
        <v>45.82</v>
      </c>
      <c r="N24" s="314"/>
      <c r="O24" s="21">
        <f t="shared" ca="1" si="9"/>
        <v>45.734999999999999</v>
      </c>
      <c r="P24" s="21">
        <f t="shared" ca="1" si="10"/>
        <v>45.825000000000003</v>
      </c>
      <c r="Q24" s="61" cm="1">
        <f t="array" aca="1" ref="Q24" ca="1">INDIRECT(ADDRESS($A24,6,,,"scalars"))</f>
        <v>2.0178928635115652</v>
      </c>
      <c r="R24" s="22">
        <f t="shared" ca="1" si="11"/>
        <v>92.288330112701431</v>
      </c>
      <c r="S24" s="22">
        <f t="shared" ca="1" si="12"/>
        <v>92.469940470417484</v>
      </c>
      <c r="T24" s="296"/>
      <c r="U24" s="297"/>
      <c r="V24" s="265"/>
      <c r="W24" s="267"/>
      <c r="X24" s="133" t="b">
        <f ca="1">IF(W23&gt;AC23,TRUE,FALSE)</f>
        <v>0</v>
      </c>
      <c r="Y24" s="134" t="b" cm="1">
        <f t="array" aca="1" ref="Y24" ca="1">AND(IF(SUM(ABS(H23:H25)),TRUE,FALSE),IF(W23&lt;Y23,TRUE,FALSE))</f>
        <v>0</v>
      </c>
      <c r="AC24" s="289"/>
      <c r="AD24" s="280"/>
    </row>
    <row r="25" spans="1:37" ht="15.75" thickBot="1" x14ac:dyDescent="0.3">
      <c r="A25" s="164">
        <f>MATCH(F25,SCALARS!C:C,0)</f>
        <v>26</v>
      </c>
      <c r="B25" s="165">
        <f>MATCH(F25,'MKT DATA'!B:B,0)</f>
        <v>19</v>
      </c>
      <c r="C25" s="357"/>
      <c r="D25" s="370"/>
      <c r="E25" s="23" t="str" cm="1">
        <f t="array" aca="1" ref="E25" ca="1">INDIRECT(ADDRESS($A25,5,,,"ANCHOR INPUTS"))</f>
        <v>MBB</v>
      </c>
      <c r="F25" s="24" t="s">
        <v>20</v>
      </c>
      <c r="G25" s="97">
        <v>0.16500000000000001</v>
      </c>
      <c r="H25" s="36" cm="1">
        <f t="array" aca="1" ref="H25" ca="1">INDIRECT(ADDRESS($B25,9,,,"mkt data"))</f>
        <v>0</v>
      </c>
      <c r="I25" s="71">
        <f t="shared" ca="1" si="13"/>
        <v>0</v>
      </c>
      <c r="J25" s="36">
        <f t="shared" ca="1" si="8"/>
        <v>0</v>
      </c>
      <c r="K25" s="236"/>
      <c r="L25" s="44" cm="1">
        <f t="array" aca="1" ref="L25" ca="1">INDIRECT(ADDRESS($B25,5,,,"mkt data"))</f>
        <v>91.24</v>
      </c>
      <c r="M25" s="45" cm="1">
        <f t="array" aca="1" ref="M25" ca="1">INDIRECT(ADDRESS($B25,6,,,"mkt data"))</f>
        <v>96.5</v>
      </c>
      <c r="N25" s="186"/>
      <c r="O25" s="25">
        <f t="shared" ca="1" si="9"/>
        <v>91.234999999999999</v>
      </c>
      <c r="P25" s="25">
        <f t="shared" ca="1" si="10"/>
        <v>96.504999999999995</v>
      </c>
      <c r="Q25" s="59" cm="1">
        <f t="array" aca="1" ref="Q25" ca="1">INDIRECT(ADDRESS($A25,6,,,"scalars"))</f>
        <v>1</v>
      </c>
      <c r="R25" s="26">
        <f t="shared" ca="1" si="11"/>
        <v>91.234999999999999</v>
      </c>
      <c r="S25" s="26">
        <f t="shared" ca="1" si="12"/>
        <v>96.504999999999995</v>
      </c>
      <c r="T25" s="243"/>
      <c r="U25" s="298"/>
      <c r="V25" s="266"/>
      <c r="W25" s="245"/>
      <c r="X25" s="50"/>
      <c r="Y25" s="135"/>
      <c r="AC25" s="290"/>
      <c r="AD25" s="281"/>
    </row>
    <row r="26" spans="1:37" x14ac:dyDescent="0.25">
      <c r="A26" s="162">
        <f>MATCH(F26,SCALARS!C:C,0)</f>
        <v>9</v>
      </c>
      <c r="B26" s="163">
        <f>MATCH(F26,'MKT DATA'!B:B,0)</f>
        <v>27</v>
      </c>
      <c r="C26" s="355"/>
      <c r="D26" s="368"/>
      <c r="E26" s="17" t="str" cm="1">
        <f t="array" aca="1" ref="E26" ca="1">INDIRECT(ADDRESS($A26,5,,,"ANCHOR INPUTS"))</f>
        <v>CORP</v>
      </c>
      <c r="F26" s="18" t="s">
        <v>28</v>
      </c>
      <c r="G26" s="96">
        <v>0.16500000000000001</v>
      </c>
      <c r="H26" s="34" cm="1">
        <f t="array" aca="1" ref="H26" ca="1">INDIRECT(ADDRESS($B26,9,,,"mkt data"))</f>
        <v>0</v>
      </c>
      <c r="I26" s="69">
        <f t="shared" ca="1" si="13"/>
        <v>0</v>
      </c>
      <c r="J26" s="34">
        <f t="shared" ca="1" si="8"/>
        <v>0</v>
      </c>
      <c r="K26" s="249">
        <f ca="1">SUM(J26:J29)</f>
        <v>0</v>
      </c>
      <c r="L26" s="40" cm="1">
        <f t="array" aca="1" ref="L26" ca="1">INDIRECT(ADDRESS($B26,5,,,"mkt data"))</f>
        <v>27.69</v>
      </c>
      <c r="M26" s="41" cm="1">
        <f t="array" aca="1" ref="M26" ca="1">INDIRECT(ADDRESS($B26,6,,,"mkt data"))</f>
        <v>29.82</v>
      </c>
      <c r="N26" s="185"/>
      <c r="O26" s="19">
        <f t="shared" ref="O26:O35" ca="1" si="14">L26-O$18</f>
        <v>27.685000000000002</v>
      </c>
      <c r="P26" s="19">
        <f t="shared" ref="P26:P35" ca="1" si="15">M26+O$18</f>
        <v>29.824999999999999</v>
      </c>
      <c r="Q26" s="57" cm="1">
        <f t="array" aca="1" ref="Q26" ca="1">INDIRECT(ADDRESS($A26,6,,,"scalars"))</f>
        <v>3.3417210651650655</v>
      </c>
      <c r="R26" s="20">
        <f t="shared" ref="R26:R28" ca="1" si="16">O26*Q26</f>
        <v>92.515547689094845</v>
      </c>
      <c r="S26" s="20">
        <f t="shared" ca="1" si="12"/>
        <v>99.666830768548081</v>
      </c>
      <c r="T26" s="242">
        <f ca="1">MAX(R26:R29)</f>
        <v>94.197271397543986</v>
      </c>
      <c r="U26" s="264">
        <f ca="1">MIN(S26:S29)</f>
        <v>94.361521216894531</v>
      </c>
      <c r="V26" s="264">
        <f ca="1">T26-U26</f>
        <v>-0.16424981935054461</v>
      </c>
      <c r="W26" s="244">
        <f ca="1">V26/AVERAGE(ABS(T26),ABS(U26))</f>
        <v>-1.7421602787455216E-3</v>
      </c>
      <c r="X26" s="49"/>
      <c r="Y26" s="143"/>
      <c r="AC26" s="288">
        <v>1E-3</v>
      </c>
      <c r="AD26" s="279">
        <v>8.0000000000000004E-4</v>
      </c>
    </row>
    <row r="27" spans="1:37" x14ac:dyDescent="0.25">
      <c r="A27" s="166">
        <f>MATCH(F27,SCALARS!C:C,0)</f>
        <v>10</v>
      </c>
      <c r="B27" s="175">
        <f>MATCH(F27,'MKT DATA'!B:B,0)</f>
        <v>34</v>
      </c>
      <c r="C27" s="356"/>
      <c r="D27" s="369"/>
      <c r="E27" s="13" t="str" cm="1">
        <f t="array" aca="1" ref="E27" ca="1">INDIRECT(ADDRESS($A27,5,,,"ANCHOR INPUTS"))</f>
        <v>CORP</v>
      </c>
      <c r="F27" s="11" t="s">
        <v>29</v>
      </c>
      <c r="G27" s="98">
        <v>0.16500000000000001</v>
      </c>
      <c r="H27" s="35" cm="1">
        <f t="array" aca="1" ref="H27" ca="1">INDIRECT(ADDRESS($B27,9,,,"mkt data"))</f>
        <v>0</v>
      </c>
      <c r="I27" s="70">
        <f t="shared" ca="1" si="13"/>
        <v>0</v>
      </c>
      <c r="J27" s="35">
        <f t="shared" ca="1" si="8"/>
        <v>0</v>
      </c>
      <c r="K27" s="277"/>
      <c r="L27" s="42" cm="1">
        <f t="array" aca="1" ref="L27" ca="1">INDIRECT(ADDRESS($B27,5,,,"mkt data"))</f>
        <v>45.08</v>
      </c>
      <c r="M27" s="43" cm="1">
        <f t="array" aca="1" ref="M27" ca="1">INDIRECT(ADDRESS($B27,6,,,"mkt data"))</f>
        <v>50.6</v>
      </c>
      <c r="N27" s="314"/>
      <c r="O27" s="21">
        <f t="shared" ca="1" si="14"/>
        <v>45.074999999999996</v>
      </c>
      <c r="P27" s="21">
        <f t="shared" ca="1" si="15"/>
        <v>50.605000000000004</v>
      </c>
      <c r="Q27" s="61" cm="1">
        <f t="array" aca="1" ref="Q27" ca="1">INDIRECT(ADDRESS($A27,6,,,"scalars"))</f>
        <v>1.889961289883912</v>
      </c>
      <c r="R27" s="22">
        <f t="shared" ca="1" si="16"/>
        <v>85.190005141517318</v>
      </c>
      <c r="S27" s="22">
        <f t="shared" ca="1" si="12"/>
        <v>95.64149107457537</v>
      </c>
      <c r="T27" s="292"/>
      <c r="U27" s="265"/>
      <c r="V27" s="265"/>
      <c r="W27" s="267"/>
      <c r="X27" s="145">
        <f>AC26</f>
        <v>1E-3</v>
      </c>
      <c r="Y27" s="146">
        <f>AD26</f>
        <v>8.0000000000000004E-4</v>
      </c>
      <c r="Z27" s="14"/>
      <c r="AC27" s="289"/>
      <c r="AD27" s="280"/>
    </row>
    <row r="28" spans="1:37" x14ac:dyDescent="0.25">
      <c r="A28" s="166">
        <f>MATCH(F28,SCALARS!C:C,0)</f>
        <v>11</v>
      </c>
      <c r="B28" s="175">
        <f>MATCH(F28,'MKT DATA'!B:B,0)</f>
        <v>38</v>
      </c>
      <c r="C28" s="356"/>
      <c r="D28" s="369"/>
      <c r="E28" s="13" t="str" cm="1">
        <f t="array" aca="1" ref="E28" ca="1">INDIRECT(ADDRESS($A28,5,,,"ANCHOR INPUTS"))</f>
        <v>CORP</v>
      </c>
      <c r="F28" s="11" t="s">
        <v>30</v>
      </c>
      <c r="G28" s="98">
        <v>0.16500000000000001</v>
      </c>
      <c r="H28" s="35" cm="1">
        <f t="array" aca="1" ref="H28" ca="1">INDIRECT(ADDRESS($B28,9,,,"mkt data"))</f>
        <v>0</v>
      </c>
      <c r="I28" s="70">
        <f t="shared" ca="1" si="13"/>
        <v>0</v>
      </c>
      <c r="J28" s="35">
        <f t="shared" ca="1" si="8"/>
        <v>0</v>
      </c>
      <c r="K28" s="277"/>
      <c r="L28" s="42" cm="1">
        <f t="array" aca="1" ref="L28" ca="1">INDIRECT(ADDRESS($B28,5,,,"mkt data"))</f>
        <v>74.56</v>
      </c>
      <c r="M28" s="43" cm="1">
        <f t="array" aca="1" ref="M28" ca="1">INDIRECT(ADDRESS($B28,6,,,"mkt data"))</f>
        <v>74.680000000000007</v>
      </c>
      <c r="N28" s="314"/>
      <c r="O28" s="21">
        <f t="shared" ca="1" si="14"/>
        <v>74.555000000000007</v>
      </c>
      <c r="P28" s="21">
        <f t="shared" ca="1" si="15"/>
        <v>74.685000000000002</v>
      </c>
      <c r="Q28" s="61" cm="1">
        <f t="array" aca="1" ref="Q28" ca="1">INDIRECT(ADDRESS($A28,6,,,"scalars"))</f>
        <v>1.2634601488504322</v>
      </c>
      <c r="R28" s="22">
        <f t="shared" ca="1" si="16"/>
        <v>94.197271397543986</v>
      </c>
      <c r="S28" s="22">
        <f t="shared" ca="1" si="12"/>
        <v>94.361521216894531</v>
      </c>
      <c r="T28" s="292"/>
      <c r="U28" s="265"/>
      <c r="V28" s="265"/>
      <c r="W28" s="267"/>
      <c r="X28" s="133" t="b">
        <f ca="1">IF(W26&gt;AC26,TRUE,FALSE)</f>
        <v>0</v>
      </c>
      <c r="Y28" s="134" t="b" cm="1">
        <f t="array" aca="1" ref="Y28" ca="1">AND(IF(SUM(ABS(H26:H28)),TRUE,FALSE),IF(W26&lt;Y27,TRUE,FALSE))</f>
        <v>0</v>
      </c>
      <c r="AC28" s="289"/>
      <c r="AD28" s="280"/>
    </row>
    <row r="29" spans="1:37" ht="15.75" thickBot="1" x14ac:dyDescent="0.3">
      <c r="A29" s="164">
        <f>MATCH(F29,SCALARS!C:C,0)</f>
        <v>8</v>
      </c>
      <c r="B29" s="165">
        <f>MATCH(F29,'MKT DATA'!B:B,0)</f>
        <v>8</v>
      </c>
      <c r="C29" s="357"/>
      <c r="D29" s="370"/>
      <c r="E29" s="23" t="str" cm="1">
        <f t="array" aca="1" ref="E29" ca="1">INDIRECT(ADDRESS($A29,5,,,"ANCHOR INPUTS"))</f>
        <v>CORP</v>
      </c>
      <c r="F29" s="24" t="s">
        <v>31</v>
      </c>
      <c r="G29" s="97">
        <v>0.16500000000000001</v>
      </c>
      <c r="H29" s="36" cm="1">
        <f t="array" aca="1" ref="H29" ca="1">INDIRECT(ADDRESS($B29,9,,,"mkt data"))</f>
        <v>0</v>
      </c>
      <c r="I29" s="71">
        <f t="shared" ca="1" si="13"/>
        <v>0</v>
      </c>
      <c r="J29" s="36">
        <f t="shared" ca="1" si="8"/>
        <v>0</v>
      </c>
      <c r="K29" s="250"/>
      <c r="L29" s="44" cm="1">
        <f t="array" aca="1" ref="L29" ca="1">INDIRECT(ADDRESS($B29,5,,,"mkt data"))</f>
        <v>89.94</v>
      </c>
      <c r="M29" s="45" cm="1">
        <f t="array" aca="1" ref="M29" ca="1">INDIRECT(ADDRESS($B29,6,,,"mkt data"))</f>
        <v>99.62</v>
      </c>
      <c r="N29" s="186"/>
      <c r="O29" s="25">
        <f t="shared" ca="1" si="14"/>
        <v>89.935000000000002</v>
      </c>
      <c r="P29" s="25">
        <f t="shared" ca="1" si="15"/>
        <v>99.625</v>
      </c>
      <c r="Q29" s="59" cm="1">
        <f t="array" aca="1" ref="Q29" ca="1">INDIRECT(ADDRESS($A29,6,,,"scalars"))</f>
        <v>1</v>
      </c>
      <c r="R29" s="26">
        <f ca="1">O29*Q29</f>
        <v>89.935000000000002</v>
      </c>
      <c r="S29" s="26">
        <f t="shared" ca="1" si="12"/>
        <v>99.625</v>
      </c>
      <c r="T29" s="293"/>
      <c r="U29" s="266"/>
      <c r="V29" s="266"/>
      <c r="W29" s="245"/>
      <c r="X29" s="50"/>
      <c r="Y29" s="135"/>
      <c r="AC29" s="290"/>
      <c r="AD29" s="281"/>
    </row>
    <row r="30" spans="1:37" x14ac:dyDescent="0.25">
      <c r="A30" s="162">
        <f>MATCH(F30,SCALARS!C:C,0)</f>
        <v>24</v>
      </c>
      <c r="B30" s="163">
        <f>MATCH(F30,'MKT DATA'!B:B,0)</f>
        <v>28</v>
      </c>
      <c r="C30" s="355"/>
      <c r="D30" s="368"/>
      <c r="E30" s="17" t="str" cm="1">
        <f t="array" aca="1" ref="E30" ca="1">INDIRECT(ADDRESS($A30,5,,,"ANCHOR INPUTS"))</f>
        <v>JNK</v>
      </c>
      <c r="F30" s="18" t="s">
        <v>12</v>
      </c>
      <c r="G30" s="96">
        <v>0.27500000000000002</v>
      </c>
      <c r="H30" s="34" cm="1">
        <f t="array" aca="1" ref="H30" ca="1">INDIRECT(ADDRESS($B30,9,,,"mkt data"))</f>
        <v>0</v>
      </c>
      <c r="I30" s="69">
        <f t="shared" ca="1" si="13"/>
        <v>0</v>
      </c>
      <c r="J30" s="34">
        <f t="shared" ca="1" si="8"/>
        <v>0</v>
      </c>
      <c r="K30" s="247">
        <f ca="1">SUM(J30:J35)</f>
        <v>0</v>
      </c>
      <c r="L30" s="40" cm="1">
        <f t="array" aca="1" ref="L30" ca="1">INDIRECT(ADDRESS($B30,5,,,"mkt data"))</f>
        <v>23.14</v>
      </c>
      <c r="M30" s="41" cm="1">
        <f t="array" aca="1" ref="M30" ca="1">INDIRECT(ADDRESS($B30,6,,,"mkt data"))</f>
        <v>23.19</v>
      </c>
      <c r="N30" s="185"/>
      <c r="O30" s="19">
        <f t="shared" ca="1" si="14"/>
        <v>23.135000000000002</v>
      </c>
      <c r="P30" s="19">
        <f t="shared" ca="1" si="15"/>
        <v>23.195</v>
      </c>
      <c r="Q30" s="57" cm="1">
        <f t="array" aca="1" ref="Q30" ca="1">INDIRECT(ADDRESS($A30,6,,,"scalars"))</f>
        <v>4.1152786388349156</v>
      </c>
      <c r="R30" s="20">
        <f t="shared" ref="R30:R35" ca="1" si="17">O30*Q30</f>
        <v>95.206971309445777</v>
      </c>
      <c r="S30" s="20">
        <f t="shared" ca="1" si="12"/>
        <v>95.453888027775875</v>
      </c>
      <c r="T30" s="242">
        <f ca="1">MAX(R30:R35)</f>
        <v>95.206971309445777</v>
      </c>
      <c r="U30" s="264">
        <f ca="1">MIN(S30:S35)</f>
        <v>95.217942832802422</v>
      </c>
      <c r="V30" s="264">
        <f ca="1">T30-U30</f>
        <v>-1.0971523356644752E-2</v>
      </c>
      <c r="W30" s="244">
        <f ca="1">V30/AVERAGE(ABS(T30),ABS(U30))</f>
        <v>-1.1523201579021302E-4</v>
      </c>
      <c r="X30" s="49"/>
      <c r="Y30" s="143"/>
      <c r="AC30" s="288">
        <v>1E-3</v>
      </c>
      <c r="AD30" s="279">
        <v>8.0000000000000004E-4</v>
      </c>
    </row>
    <row r="31" spans="1:37" x14ac:dyDescent="0.25">
      <c r="A31" s="166">
        <f>MATCH(F31,SCALARS!C:C,0)</f>
        <v>23</v>
      </c>
      <c r="B31" s="175">
        <f>MATCH(F31,'MKT DATA'!B:B,0)</f>
        <v>25</v>
      </c>
      <c r="C31" s="356"/>
      <c r="D31" s="369"/>
      <c r="E31" s="13" t="str" cm="1">
        <f t="array" aca="1" ref="E31" ca="1">INDIRECT(ADDRESS($A31,5,,,"ANCHOR INPUTS"))</f>
        <v>JNK</v>
      </c>
      <c r="F31" s="11" t="s">
        <v>13</v>
      </c>
      <c r="G31" s="98">
        <v>0.27500000000000002</v>
      </c>
      <c r="H31" s="35" cm="1">
        <f t="array" aca="1" ref="H31" ca="1">INDIRECT(ADDRESS($B31,9,,,"mkt data"))</f>
        <v>0</v>
      </c>
      <c r="I31" s="70">
        <f t="shared" ca="1" si="13"/>
        <v>0</v>
      </c>
      <c r="J31" s="35">
        <f t="shared" ca="1" si="8"/>
        <v>0</v>
      </c>
      <c r="K31" s="302"/>
      <c r="L31" s="42" cm="1">
        <f t="array" aca="1" ref="L31" ca="1">INDIRECT(ADDRESS($B31,5,,,"mkt data"))</f>
        <v>25.84</v>
      </c>
      <c r="M31" s="43" cm="1">
        <f t="array" aca="1" ref="M31" ca="1">INDIRECT(ADDRESS($B31,6,,,"mkt data"))</f>
        <v>26.08</v>
      </c>
      <c r="N31" s="314"/>
      <c r="O31" s="21">
        <f t="shared" ca="1" si="14"/>
        <v>25.835000000000001</v>
      </c>
      <c r="P31" s="21">
        <f t="shared" ca="1" si="15"/>
        <v>26.084999999999997</v>
      </c>
      <c r="Q31" s="61" cm="1">
        <f t="array" aca="1" ref="Q31" ca="1">INDIRECT(ADDRESS($A31,6,,,"scalars"))</f>
        <v>3.6826104220817419</v>
      </c>
      <c r="R31" s="22">
        <f t="shared" ca="1" si="17"/>
        <v>95.14024025448181</v>
      </c>
      <c r="S31" s="22">
        <f t="shared" ca="1" si="12"/>
        <v>96.060892860002227</v>
      </c>
      <c r="T31" s="292"/>
      <c r="U31" s="265"/>
      <c r="V31" s="265"/>
      <c r="W31" s="267"/>
      <c r="X31" s="50"/>
      <c r="Y31" s="135"/>
      <c r="AC31" s="289"/>
      <c r="AD31" s="280"/>
    </row>
    <row r="32" spans="1:37" x14ac:dyDescent="0.25">
      <c r="A32" s="166">
        <f>MATCH(F32,SCALARS!C:C,0)</f>
        <v>21</v>
      </c>
      <c r="B32" s="175">
        <f>MATCH(F32,'MKT DATA'!B:B,0)</f>
        <v>13</v>
      </c>
      <c r="C32" s="356"/>
      <c r="D32" s="369"/>
      <c r="E32" s="13" t="str" cm="1">
        <f t="array" aca="1" ref="E32" ca="1">INDIRECT(ADDRESS($A32,5,,,"ANCHOR INPUTS"))</f>
        <v>JNK</v>
      </c>
      <c r="F32" s="11" t="s">
        <v>14</v>
      </c>
      <c r="G32" s="98">
        <v>0.27500000000000002</v>
      </c>
      <c r="H32" s="35" cm="1">
        <f t="array" aca="1" ref="H32" ca="1">INDIRECT(ADDRESS($B32,9,,,"mkt data"))</f>
        <v>0</v>
      </c>
      <c r="I32" s="70">
        <f t="shared" ca="1" si="13"/>
        <v>0</v>
      </c>
      <c r="J32" s="35">
        <f t="shared" ca="1" si="8"/>
        <v>0</v>
      </c>
      <c r="K32" s="302"/>
      <c r="L32" s="42" cm="1">
        <f t="array" aca="1" ref="L32" ca="1">INDIRECT(ADDRESS($B32,5,,,"mkt data"))</f>
        <v>36.049999999999997</v>
      </c>
      <c r="M32" s="43" cm="1">
        <f t="array" aca="1" ref="M32" ca="1">INDIRECT(ADDRESS($B32,6,,,"mkt data"))</f>
        <v>36.5</v>
      </c>
      <c r="N32" s="314"/>
      <c r="O32" s="21">
        <f t="shared" ca="1" si="14"/>
        <v>36.044999999999995</v>
      </c>
      <c r="P32" s="21">
        <f t="shared" ca="1" si="15"/>
        <v>36.505000000000003</v>
      </c>
      <c r="Q32" s="61" cm="1">
        <f t="array" aca="1" ref="Q32" ca="1">INDIRECT(ADDRESS($A32,6,,,"scalars"))</f>
        <v>2.6381442655363458</v>
      </c>
      <c r="R32" s="22">
        <f t="shared" ca="1" si="17"/>
        <v>95.091910051257571</v>
      </c>
      <c r="S32" s="22">
        <f t="shared" ca="1" si="12"/>
        <v>96.305456413404315</v>
      </c>
      <c r="T32" s="292"/>
      <c r="U32" s="265"/>
      <c r="V32" s="265"/>
      <c r="W32" s="267"/>
      <c r="X32" s="145">
        <f>AC30</f>
        <v>1E-3</v>
      </c>
      <c r="Y32" s="146">
        <f>AD30</f>
        <v>8.0000000000000004E-4</v>
      </c>
      <c r="AC32" s="289"/>
      <c r="AD32" s="280"/>
    </row>
    <row r="33" spans="1:30" x14ac:dyDescent="0.25">
      <c r="A33" s="166">
        <f>MATCH(F33,SCALARS!C:C,0)</f>
        <v>25</v>
      </c>
      <c r="B33" s="175">
        <f>MATCH(F33,'MKT DATA'!B:B,0)</f>
        <v>33</v>
      </c>
      <c r="C33" s="356"/>
      <c r="D33" s="369"/>
      <c r="E33" s="13" t="str" cm="1">
        <f t="array" aca="1" ref="E33" ca="1">INDIRECT(ADDRESS($A33,5,,,"ANCHOR INPUTS"))</f>
        <v>JNK</v>
      </c>
      <c r="F33" s="11" t="s">
        <v>15</v>
      </c>
      <c r="G33" s="98">
        <v>0.27500000000000002</v>
      </c>
      <c r="H33" s="35" cm="1">
        <f t="array" aca="1" ref="H33" ca="1">INDIRECT(ADDRESS($B33,9,,,"mkt data"))</f>
        <v>0</v>
      </c>
      <c r="I33" s="70">
        <f t="shared" ca="1" si="13"/>
        <v>0</v>
      </c>
      <c r="J33" s="35">
        <f t="shared" ca="1" si="8"/>
        <v>0</v>
      </c>
      <c r="K33" s="302"/>
      <c r="L33" s="42" cm="1">
        <f t="array" aca="1" ref="L33" ca="1">INDIRECT(ADDRESS($B33,5,,,"mkt data"))</f>
        <v>36.58</v>
      </c>
      <c r="M33" s="43" cm="1">
        <f t="array" aca="1" ref="M33" ca="1">INDIRECT(ADDRESS($B33,6,,,"mkt data"))</f>
        <v>36.590000000000003</v>
      </c>
      <c r="N33" s="314"/>
      <c r="O33" s="21">
        <f t="shared" ca="1" si="14"/>
        <v>36.574999999999996</v>
      </c>
      <c r="P33" s="21">
        <f t="shared" ca="1" si="15"/>
        <v>36.595000000000006</v>
      </c>
      <c r="Q33" s="61" cm="1">
        <f t="array" aca="1" ref="Q33" ca="1">INDIRECT(ADDRESS($A33,6,,,"scalars"))</f>
        <v>2.602415036776299</v>
      </c>
      <c r="R33" s="22">
        <f t="shared" ca="1" si="17"/>
        <v>95.183329970093126</v>
      </c>
      <c r="S33" s="22">
        <f t="shared" ca="1" si="12"/>
        <v>95.235378270828676</v>
      </c>
      <c r="T33" s="292"/>
      <c r="U33" s="265"/>
      <c r="V33" s="265"/>
      <c r="W33" s="267"/>
      <c r="X33" s="133" t="b">
        <f ca="1">IF(W30&gt;AC30,TRUE,FALSE)</f>
        <v>0</v>
      </c>
      <c r="Y33" s="134" t="b" cm="1">
        <f t="array" aca="1" ref="Y33" ca="1">AND(IF(SUM(ABS(H30:H32)),TRUE,FALSE),IF(W30&lt;Y32,TRUE,FALSE))</f>
        <v>0</v>
      </c>
      <c r="AC33" s="289"/>
      <c r="AD33" s="280"/>
    </row>
    <row r="34" spans="1:30" x14ac:dyDescent="0.25">
      <c r="A34" s="166">
        <f>MATCH(F34,SCALARS!C:C,0)</f>
        <v>20</v>
      </c>
      <c r="B34" s="175">
        <f>MATCH(F34,'MKT DATA'!B:B,0)</f>
        <v>12</v>
      </c>
      <c r="C34" s="356"/>
      <c r="D34" s="369"/>
      <c r="E34" s="13" t="str" cm="1">
        <f t="array" aca="1" ref="E34" ca="1">INDIRECT(ADDRESS($A34,5,,,"ANCHOR INPUTS"))</f>
        <v>JNK</v>
      </c>
      <c r="F34" s="11" t="s">
        <v>16</v>
      </c>
      <c r="G34" s="98">
        <v>0.27500000000000002</v>
      </c>
      <c r="H34" s="35" cm="1">
        <f t="array" aca="1" ref="H34" ca="1">INDIRECT(ADDRESS($B34,9,,,"mkt data"))</f>
        <v>0</v>
      </c>
      <c r="I34" s="70">
        <f t="shared" ca="1" si="13"/>
        <v>0</v>
      </c>
      <c r="J34" s="35">
        <f t="shared" ca="1" si="8"/>
        <v>0</v>
      </c>
      <c r="K34" s="302"/>
      <c r="L34" s="42" cm="1">
        <f t="array" aca="1" ref="L34" ca="1">INDIRECT(ADDRESS($B34,5,,,"mkt data"))</f>
        <v>79.069999999999993</v>
      </c>
      <c r="M34" s="43" cm="1">
        <f t="array" aca="1" ref="M34" ca="1">INDIRECT(ADDRESS($B34,6,,,"mkt data"))</f>
        <v>79.099999999999994</v>
      </c>
      <c r="N34" s="314"/>
      <c r="O34" s="21">
        <f t="shared" ca="1" si="14"/>
        <v>79.064999999999998</v>
      </c>
      <c r="P34" s="21">
        <f t="shared" ca="1" si="15"/>
        <v>79.10499999999999</v>
      </c>
      <c r="Q34" s="61" cm="1">
        <f t="array" aca="1" ref="Q34" ca="1">INDIRECT(ADDRESS($A34,6,,,"scalars"))</f>
        <v>1.2036905737033365</v>
      </c>
      <c r="R34" s="22">
        <f t="shared" ca="1" si="17"/>
        <v>95.1697952098543</v>
      </c>
      <c r="S34" s="22">
        <f t="shared" ca="1" si="12"/>
        <v>95.217942832802422</v>
      </c>
      <c r="T34" s="292"/>
      <c r="U34" s="265"/>
      <c r="V34" s="265"/>
      <c r="W34" s="267"/>
      <c r="X34" s="50"/>
      <c r="Y34" s="135"/>
      <c r="AC34" s="289"/>
      <c r="AD34" s="280"/>
    </row>
    <row r="35" spans="1:30" ht="15.75" thickBot="1" x14ac:dyDescent="0.3">
      <c r="A35" s="164">
        <f>MATCH(F35,SCALARS!C:C,0)</f>
        <v>22</v>
      </c>
      <c r="B35" s="165">
        <f>MATCH(F35,'MKT DATA'!B:B,0)</f>
        <v>18</v>
      </c>
      <c r="C35" s="357"/>
      <c r="D35" s="370"/>
      <c r="E35" s="23" t="str" cm="1">
        <f t="array" aca="1" ref="E35" ca="1">INDIRECT(ADDRESS($A35,5,,,"ANCHOR INPUTS"))</f>
        <v>JNK</v>
      </c>
      <c r="F35" s="24" t="s">
        <v>17</v>
      </c>
      <c r="G35" s="97">
        <v>0.27500000000000002</v>
      </c>
      <c r="H35" s="36" cm="1">
        <f t="array" aca="1" ref="H35" ca="1">INDIRECT(ADDRESS($B35,9,,,"mkt data"))</f>
        <v>0</v>
      </c>
      <c r="I35" s="71">
        <f t="shared" ca="1" si="13"/>
        <v>0</v>
      </c>
      <c r="J35" s="36">
        <f t="shared" ca="1" si="8"/>
        <v>0</v>
      </c>
      <c r="K35" s="248"/>
      <c r="L35" s="44" cm="1">
        <f t="array" aca="1" ref="L35" ca="1">INDIRECT(ADDRESS($B35,5,,,"mkt data"))</f>
        <v>95.1</v>
      </c>
      <c r="M35" s="45" cm="1">
        <f t="array" aca="1" ref="M35" ca="1">INDIRECT(ADDRESS($B35,6,,,"mkt data"))</f>
        <v>96.05</v>
      </c>
      <c r="N35" s="186"/>
      <c r="O35" s="25">
        <f t="shared" ca="1" si="14"/>
        <v>95.094999999999999</v>
      </c>
      <c r="P35" s="25">
        <f t="shared" ca="1" si="15"/>
        <v>96.054999999999993</v>
      </c>
      <c r="Q35" s="59" cm="1">
        <f t="array" aca="1" ref="Q35" ca="1">INDIRECT(ADDRESS($A35,6,,,"scalars"))</f>
        <v>1</v>
      </c>
      <c r="R35" s="26">
        <f t="shared" ca="1" si="17"/>
        <v>95.094999999999999</v>
      </c>
      <c r="S35" s="26">
        <f t="shared" ca="1" si="12"/>
        <v>96.054999999999993</v>
      </c>
      <c r="T35" s="293"/>
      <c r="U35" s="266"/>
      <c r="V35" s="266"/>
      <c r="W35" s="245"/>
      <c r="X35" s="51"/>
      <c r="Y35" s="144"/>
      <c r="AC35" s="290"/>
      <c r="AD35" s="281"/>
    </row>
    <row r="36" spans="1:30" s="108" customFormat="1" x14ac:dyDescent="0.25">
      <c r="A36" s="171">
        <f>MATCH(F36,SCALARS!C:C,0)</f>
        <v>38</v>
      </c>
      <c r="B36" s="172">
        <f>MATCH(F36,'MKT DATA'!B:B,0)</f>
        <v>31</v>
      </c>
      <c r="C36" s="358"/>
      <c r="D36" s="371"/>
      <c r="E36" s="99" t="str" cm="1">
        <f t="array" aca="1" ref="E36" ca="1">INDIRECT(ADDRESS($A36,5,,,"ANCHOR INPUTS"))</f>
        <v>VGLT</v>
      </c>
      <c r="F36" s="100" t="s">
        <v>25</v>
      </c>
      <c r="G36" s="140"/>
      <c r="H36" s="101" cm="1">
        <f t="array" aca="1" ref="H36" ca="1">INDIRECT(ADDRESS($B36,9,,,"mkt data"))</f>
        <v>0</v>
      </c>
      <c r="I36" s="102">
        <f t="shared" ca="1" si="13"/>
        <v>0</v>
      </c>
      <c r="J36" s="101">
        <f t="shared" ca="1" si="8"/>
        <v>0</v>
      </c>
      <c r="K36" s="274">
        <f ca="1">SUM(J36:J38)</f>
        <v>0</v>
      </c>
      <c r="L36" s="103" cm="1">
        <f t="array" aca="1" ref="L36" ca="1">INDIRECT(ADDRESS($B36,5,,,"mkt data"))</f>
        <v>24.99</v>
      </c>
      <c r="M36" s="104" cm="1">
        <f t="array" aca="1" ref="M36" ca="1">INDIRECT(ADDRESS($B36,6,,,"mkt data"))</f>
        <v>25</v>
      </c>
      <c r="N36" s="365"/>
      <c r="O36" s="105">
        <f t="shared" ca="1" si="9"/>
        <v>24.984999999999999</v>
      </c>
      <c r="P36" s="105">
        <f t="shared" ca="1" si="10"/>
        <v>25.004999999999999</v>
      </c>
      <c r="Q36" s="106" cm="1">
        <f t="array" aca="1" ref="Q36" ca="1">INDIRECT(ADDRESS($A36,6,,,"scalars"))</f>
        <v>2.1025844909552989</v>
      </c>
      <c r="R36" s="107">
        <f t="shared" ca="1" si="11"/>
        <v>52.533073506518143</v>
      </c>
      <c r="S36" s="107">
        <f t="shared" ca="1" si="12"/>
        <v>52.575125196337247</v>
      </c>
      <c r="T36" s="299">
        <f ca="1">MAX(R36:R38)</f>
        <v>52.533073506518143</v>
      </c>
      <c r="U36" s="268">
        <f ca="1">MIN(S36:S38)</f>
        <v>52.555</v>
      </c>
      <c r="V36" s="264">
        <f ca="1">T36-U36</f>
        <v>-2.1926493481856824E-2</v>
      </c>
      <c r="W36" s="271">
        <f ca="1">V36/AVERAGE(ABS(T36),ABS(U36))</f>
        <v>-4.1729746773779843E-4</v>
      </c>
      <c r="X36" s="87"/>
      <c r="Y36" s="88"/>
      <c r="Z36" s="121"/>
      <c r="AA36" s="122"/>
      <c r="AC36" s="285">
        <v>0.01</v>
      </c>
      <c r="AD36" s="282">
        <v>0.01</v>
      </c>
    </row>
    <row r="37" spans="1:30" s="108" customFormat="1" x14ac:dyDescent="0.25">
      <c r="A37" s="176">
        <f>MATCH(F37,SCALARS!C:C,0)</f>
        <v>37</v>
      </c>
      <c r="B37" s="177">
        <f>MATCH(F37,'MKT DATA'!B:B,0)</f>
        <v>23</v>
      </c>
      <c r="C37" s="359"/>
      <c r="D37" s="372"/>
      <c r="E37" s="123" t="str" cm="1">
        <f t="array" aca="1" ref="E37" ca="1">INDIRECT(ADDRESS($A37,5,,,"ANCHOR INPUTS"))</f>
        <v>VGLT</v>
      </c>
      <c r="F37" s="124" t="s">
        <v>26</v>
      </c>
      <c r="G37" s="141"/>
      <c r="H37" s="125" cm="1">
        <f t="array" aca="1" ref="H37" ca="1">INDIRECT(ADDRESS($B37,9,,,"mkt data"))</f>
        <v>0</v>
      </c>
      <c r="I37" s="126">
        <f t="shared" ca="1" si="13"/>
        <v>0</v>
      </c>
      <c r="J37" s="125">
        <f t="shared" ca="1" si="8"/>
        <v>0</v>
      </c>
      <c r="K37" s="275"/>
      <c r="L37" s="127" cm="1">
        <f t="array" aca="1" ref="L37" ca="1">INDIRECT(ADDRESS($B37,5,,,"mkt data"))</f>
        <v>29.8</v>
      </c>
      <c r="M37" s="128" cm="1">
        <f t="array" aca="1" ref="M37" ca="1">INDIRECT(ADDRESS($B37,6,,,"mkt data"))</f>
        <v>29.84</v>
      </c>
      <c r="N37" s="374"/>
      <c r="O37" s="129">
        <f t="shared" ca="1" si="9"/>
        <v>29.795000000000002</v>
      </c>
      <c r="P37" s="129">
        <f t="shared" ca="1" si="10"/>
        <v>29.844999999999999</v>
      </c>
      <c r="Q37" s="130" cm="1">
        <f t="array" aca="1" ref="Q37" ca="1">INDIRECT(ADDRESS($A37,6,,,"scalars"))</f>
        <v>1.762773020227197</v>
      </c>
      <c r="R37" s="131">
        <f t="shared" ca="1" si="11"/>
        <v>52.521822137669339</v>
      </c>
      <c r="S37" s="131">
        <f t="shared" ca="1" si="12"/>
        <v>52.609960788680688</v>
      </c>
      <c r="T37" s="300"/>
      <c r="U37" s="294"/>
      <c r="V37" s="265"/>
      <c r="W37" s="272"/>
      <c r="X37" s="133"/>
      <c r="Y37" s="134"/>
      <c r="Z37" s="121"/>
      <c r="AA37" s="122"/>
      <c r="AC37" s="286"/>
      <c r="AD37" s="283"/>
    </row>
    <row r="38" spans="1:30" s="108" customFormat="1" ht="15.75" thickBot="1" x14ac:dyDescent="0.3">
      <c r="A38" s="173">
        <f>MATCH(F38,SCALARS!C:C,0)</f>
        <v>39</v>
      </c>
      <c r="B38" s="174">
        <f>MATCH(F38,'MKT DATA'!B:B,0)</f>
        <v>36</v>
      </c>
      <c r="C38" s="360"/>
      <c r="D38" s="373"/>
      <c r="E38" s="112" t="str" cm="1">
        <f t="array" aca="1" ref="E38" ca="1">INDIRECT(ADDRESS($A38,5,,,"ANCHOR INPUTS"))</f>
        <v>VGLT</v>
      </c>
      <c r="F38" s="113" t="s">
        <v>27</v>
      </c>
      <c r="G38" s="142"/>
      <c r="H38" s="114" cm="1">
        <f t="array" aca="1" ref="H38" ca="1">INDIRECT(ADDRESS($B38,9,,,"mkt data"))</f>
        <v>0</v>
      </c>
      <c r="I38" s="115">
        <f t="shared" ca="1" si="13"/>
        <v>0</v>
      </c>
      <c r="J38" s="114">
        <f t="shared" ca="1" si="8"/>
        <v>0</v>
      </c>
      <c r="K38" s="276"/>
      <c r="L38" s="116" cm="1">
        <f t="array" aca="1" ref="L38" ca="1">INDIRECT(ADDRESS($B38,5,,,"mkt data"))</f>
        <v>52.52</v>
      </c>
      <c r="M38" s="117" cm="1">
        <f t="array" aca="1" ref="M38" ca="1">INDIRECT(ADDRESS($B38,6,,,"mkt data"))</f>
        <v>52.55</v>
      </c>
      <c r="N38" s="366"/>
      <c r="O38" s="118">
        <f t="shared" ca="1" si="9"/>
        <v>52.515000000000001</v>
      </c>
      <c r="P38" s="118">
        <f t="shared" ca="1" si="10"/>
        <v>52.555</v>
      </c>
      <c r="Q38" s="119" cm="1">
        <f t="array" aca="1" ref="Q38" ca="1">INDIRECT(ADDRESS($A38,6,,,"scalars"))</f>
        <v>1</v>
      </c>
      <c r="R38" s="120">
        <f t="shared" ref="R38" ca="1" si="18">O38*Q38</f>
        <v>52.515000000000001</v>
      </c>
      <c r="S38" s="120">
        <f t="shared" ca="1" si="12"/>
        <v>52.555</v>
      </c>
      <c r="T38" s="301"/>
      <c r="U38" s="295"/>
      <c r="V38" s="266"/>
      <c r="W38" s="273"/>
      <c r="X38" s="136"/>
      <c r="Y38" s="137"/>
      <c r="Z38" s="121"/>
      <c r="AA38" s="122"/>
      <c r="AC38" s="287"/>
      <c r="AD38" s="284"/>
    </row>
    <row r="39" spans="1:30" s="108" customFormat="1" x14ac:dyDescent="0.25">
      <c r="A39" s="171">
        <f>MATCH(F39,SCALARS!C:C,0)</f>
        <v>35</v>
      </c>
      <c r="B39" s="172">
        <f>MATCH(F39,'MKT DATA'!B:B,0)</f>
        <v>29</v>
      </c>
      <c r="C39" s="358"/>
      <c r="D39" s="371"/>
      <c r="E39" s="99" t="str" cm="1">
        <f t="array" aca="1" ref="E39" ca="1">INDIRECT(ADDRESS($A39,5,,,"ANCHOR INPUTS"))</f>
        <v>VCLT</v>
      </c>
      <c r="F39" s="100" t="s">
        <v>22</v>
      </c>
      <c r="G39" s="140"/>
      <c r="H39" s="101" cm="1">
        <f t="array" aca="1" ref="H39" ca="1">INDIRECT(ADDRESS($B39,9,,,"mkt data"))</f>
        <v>0</v>
      </c>
      <c r="I39" s="102">
        <f t="shared" ca="1" si="13"/>
        <v>0</v>
      </c>
      <c r="J39" s="101">
        <f t="shared" ca="1" si="8"/>
        <v>0</v>
      </c>
      <c r="K39" s="274">
        <f ca="1">SUM(J39:J41)</f>
        <v>0</v>
      </c>
      <c r="L39" s="103" cm="1">
        <f t="array" aca="1" ref="L39" ca="1">INDIRECT(ADDRESS($B39,5,,,"mkt data"))</f>
        <v>15.96</v>
      </c>
      <c r="M39" s="104" cm="1">
        <f t="array" aca="1" ref="M39" ca="1">INDIRECT(ADDRESS($B39,6,,,"mkt data"))</f>
        <v>22.19</v>
      </c>
      <c r="N39" s="365"/>
      <c r="O39" s="105">
        <f t="shared" ca="1" si="9"/>
        <v>15.955</v>
      </c>
      <c r="P39" s="105">
        <f t="shared" ca="1" si="10"/>
        <v>22.195</v>
      </c>
      <c r="Q39" s="106" cm="1">
        <f t="array" aca="1" ref="Q39" ca="1">INDIRECT(ADDRESS($A39,6,,,"scalars"))</f>
        <v>3.3610790765429024</v>
      </c>
      <c r="R39" s="107">
        <f ca="1">O39*Q39</f>
        <v>53.626016666242009</v>
      </c>
      <c r="S39" s="107">
        <f t="shared" ca="1" si="12"/>
        <v>74.599150103869718</v>
      </c>
      <c r="T39" s="299">
        <f ca="1">MAX(R39:R41)</f>
        <v>71.285000000000011</v>
      </c>
      <c r="U39" s="268">
        <f ca="1">MIN(S39:S41)</f>
        <v>71.737256102301771</v>
      </c>
      <c r="V39" s="264">
        <f ca="1">T39-U39</f>
        <v>-0.45225610230176017</v>
      </c>
      <c r="W39" s="271">
        <f ca="1">V39/AVERAGE(ABS(T39),ABS(U39))</f>
        <v>-6.3242758802275895E-3</v>
      </c>
      <c r="X39" s="87"/>
      <c r="Y39" s="88"/>
      <c r="Z39" s="121"/>
      <c r="AA39" s="122"/>
      <c r="AC39" s="285">
        <v>0.01</v>
      </c>
      <c r="AD39" s="282">
        <v>0.01</v>
      </c>
    </row>
    <row r="40" spans="1:30" s="108" customFormat="1" x14ac:dyDescent="0.25">
      <c r="A40" s="176">
        <f>MATCH(F40,SCALARS!C:C,0)</f>
        <v>34</v>
      </c>
      <c r="B40" s="177">
        <f>MATCH(F40,'MKT DATA'!B:B,0)</f>
        <v>16</v>
      </c>
      <c r="C40" s="359"/>
      <c r="D40" s="372"/>
      <c r="E40" s="123" t="str" cm="1">
        <f t="array" aca="1" ref="E40" ca="1">INDIRECT(ADDRESS($A40,5,,,"ANCHOR INPUTS"))</f>
        <v>VCLT</v>
      </c>
      <c r="F40" s="124" t="s">
        <v>23</v>
      </c>
      <c r="G40" s="141"/>
      <c r="H40" s="125" cm="1">
        <f t="array" aca="1" ref="H40" ca="1">INDIRECT(ADDRESS($B40,9,,,"mkt data"))</f>
        <v>0</v>
      </c>
      <c r="I40" s="126">
        <f t="shared" ca="1" si="13"/>
        <v>0</v>
      </c>
      <c r="J40" s="125">
        <f t="shared" ca="1" si="8"/>
        <v>0</v>
      </c>
      <c r="K40" s="275"/>
      <c r="L40" s="127" cm="1">
        <f t="array" aca="1" ref="L40" ca="1">INDIRECT(ADDRESS($B40,5,,,"mkt data"))</f>
        <v>47.3</v>
      </c>
      <c r="M40" s="128" cm="1">
        <f t="array" aca="1" ref="M40" ca="1">INDIRECT(ADDRESS($B40,6,,,"mkt data"))</f>
        <v>47.8</v>
      </c>
      <c r="N40" s="374"/>
      <c r="O40" s="129">
        <f t="shared" ca="1" si="9"/>
        <v>47.294999999999995</v>
      </c>
      <c r="P40" s="129">
        <f t="shared" ca="1" si="10"/>
        <v>47.805</v>
      </c>
      <c r="Q40" s="130" cm="1">
        <f t="array" aca="1" ref="Q40" ca="1">INDIRECT(ADDRESS($A40,6,,,"scalars"))</f>
        <v>1.5006224474908854</v>
      </c>
      <c r="R40" s="131">
        <f t="shared" ref="R40:R41" ca="1" si="19">O40*Q40</f>
        <v>70.971938654081413</v>
      </c>
      <c r="S40" s="131">
        <f t="shared" ca="1" si="12"/>
        <v>71.737256102301771</v>
      </c>
      <c r="T40" s="300"/>
      <c r="U40" s="294"/>
      <c r="V40" s="265"/>
      <c r="W40" s="272"/>
      <c r="X40" s="133"/>
      <c r="Y40" s="134"/>
      <c r="Z40" s="121"/>
      <c r="AA40" s="122"/>
      <c r="AC40" s="286"/>
      <c r="AD40" s="283"/>
    </row>
    <row r="41" spans="1:30" s="108" customFormat="1" ht="15.75" thickBot="1" x14ac:dyDescent="0.3">
      <c r="A41" s="173">
        <f>MATCH(F41,SCALARS!C:C,0)</f>
        <v>36</v>
      </c>
      <c r="B41" s="174">
        <f>MATCH(F41,'MKT DATA'!B:B,0)</f>
        <v>35</v>
      </c>
      <c r="C41" s="360"/>
      <c r="D41" s="373"/>
      <c r="E41" s="112" t="str" cm="1">
        <f t="array" aca="1" ref="E41" ca="1">INDIRECT(ADDRESS($A41,5,,,"ANCHOR INPUTS"))</f>
        <v>VCLT</v>
      </c>
      <c r="F41" s="113" t="s">
        <v>24</v>
      </c>
      <c r="G41" s="142"/>
      <c r="H41" s="114" cm="1">
        <f t="array" aca="1" ref="H41" ca="1">INDIRECT(ADDRESS($B41,9,,,"mkt data"))</f>
        <v>0</v>
      </c>
      <c r="I41" s="115">
        <f t="shared" ca="1" si="13"/>
        <v>0</v>
      </c>
      <c r="J41" s="114">
        <f t="shared" ca="1" si="8"/>
        <v>0</v>
      </c>
      <c r="K41" s="276"/>
      <c r="L41" s="116" cm="1">
        <f t="array" aca="1" ref="L41" ca="1">INDIRECT(ADDRESS($B41,5,,,"mkt data"))</f>
        <v>71.290000000000006</v>
      </c>
      <c r="M41" s="117" cm="1">
        <f t="array" aca="1" ref="M41" ca="1">INDIRECT(ADDRESS($B41,6,,,"mkt data"))</f>
        <v>71.900000000000006</v>
      </c>
      <c r="N41" s="366"/>
      <c r="O41" s="118">
        <f t="shared" ca="1" si="9"/>
        <v>71.285000000000011</v>
      </c>
      <c r="P41" s="118">
        <f t="shared" ca="1" si="10"/>
        <v>71.905000000000001</v>
      </c>
      <c r="Q41" s="119" cm="1">
        <f t="array" aca="1" ref="Q41" ca="1">INDIRECT(ADDRESS($A41,6,,,"scalars"))</f>
        <v>1</v>
      </c>
      <c r="R41" s="120">
        <f t="shared" ca="1" si="19"/>
        <v>71.285000000000011</v>
      </c>
      <c r="S41" s="120">
        <f t="shared" ca="1" si="12"/>
        <v>71.905000000000001</v>
      </c>
      <c r="T41" s="301"/>
      <c r="U41" s="295"/>
      <c r="V41" s="266"/>
      <c r="W41" s="273"/>
      <c r="X41" s="136"/>
      <c r="Y41" s="137"/>
      <c r="Z41" s="121"/>
      <c r="AA41" s="122"/>
      <c r="AC41" s="287"/>
      <c r="AD41" s="284"/>
    </row>
    <row r="42" spans="1:30" s="108" customFormat="1" x14ac:dyDescent="0.25">
      <c r="A42" s="171">
        <f>MATCH(F42,SCALARS!C:C,0)</f>
        <v>4</v>
      </c>
      <c r="B42" s="172">
        <f>MATCH(F42,'MKT DATA'!B:B,0)</f>
        <v>24</v>
      </c>
      <c r="C42" s="358"/>
      <c r="D42" s="371"/>
      <c r="E42" s="99" t="str" cm="1">
        <f t="array" aca="1" ref="E42" ca="1">INDIRECT(ADDRESS($A42,5,,,"ANCHOR INPUTS"))</f>
        <v>AGG</v>
      </c>
      <c r="F42" s="100" t="s">
        <v>5</v>
      </c>
      <c r="G42" s="140"/>
      <c r="H42" s="101" cm="1">
        <f t="array" aca="1" ref="H42" ca="1">INDIRECT(ADDRESS($B42,9,,,"mkt data"))</f>
        <v>0</v>
      </c>
      <c r="I42" s="102">
        <f t="shared" ca="1" si="13"/>
        <v>0</v>
      </c>
      <c r="J42" s="101">
        <f t="shared" ca="1" si="8"/>
        <v>0</v>
      </c>
      <c r="K42" s="260">
        <f ca="1">SUM(J42:J45)</f>
        <v>0</v>
      </c>
      <c r="L42" s="103" cm="1">
        <f t="array" aca="1" ref="L42" ca="1">INDIRECT(ADDRESS($B42,5,,,"mkt data"))</f>
        <v>22.61</v>
      </c>
      <c r="M42" s="104" cm="1">
        <f t="array" aca="1" ref="M42" ca="1">INDIRECT(ADDRESS($B42,6,,,"mkt data"))</f>
        <v>22.7</v>
      </c>
      <c r="N42" s="365"/>
      <c r="O42" s="105">
        <f t="shared" ca="1" si="9"/>
        <v>22.605</v>
      </c>
      <c r="P42" s="105">
        <f t="shared" ca="1" si="10"/>
        <v>22.704999999999998</v>
      </c>
      <c r="Q42" s="106" cm="1">
        <f t="array" aca="1" ref="Q42" ca="1">INDIRECT(ADDRESS($A42,6,,,"scalars"))</f>
        <v>4.2775971896637133</v>
      </c>
      <c r="R42" s="107">
        <f ca="1">O42*Q42</f>
        <v>96.695084472348242</v>
      </c>
      <c r="S42" s="107">
        <f t="shared" ca="1" si="12"/>
        <v>97.122844191314599</v>
      </c>
      <c r="T42" s="299">
        <f ca="1">MAX(R42:R45)</f>
        <v>96.732872984666713</v>
      </c>
      <c r="U42" s="268">
        <f ca="1">MIN(S42:S45)</f>
        <v>96.935087895790659</v>
      </c>
      <c r="V42" s="268">
        <f ca="1">T42-U42</f>
        <v>-0.20221491112394574</v>
      </c>
      <c r="W42" s="271">
        <f ca="1">V42/AVERAGE(ABS(T42),ABS(U42))</f>
        <v>-2.0882639565639257E-3</v>
      </c>
      <c r="X42" s="87"/>
      <c r="Y42" s="88"/>
      <c r="Z42" s="121"/>
      <c r="AA42" s="122"/>
      <c r="AC42" s="285">
        <v>0.01</v>
      </c>
      <c r="AD42" s="282">
        <v>0.01</v>
      </c>
    </row>
    <row r="43" spans="1:30" s="108" customFormat="1" x14ac:dyDescent="0.25">
      <c r="A43" s="176">
        <f>MATCH(F43,SCALARS!C:C,0)</f>
        <v>5</v>
      </c>
      <c r="B43" s="177">
        <f>MATCH(F43,'MKT DATA'!B:B,0)</f>
        <v>26</v>
      </c>
      <c r="C43" s="359"/>
      <c r="D43" s="372"/>
      <c r="E43" s="123" t="str" cm="1">
        <f t="array" aca="1" ref="E43" ca="1">INDIRECT(ADDRESS($A43,5,,,"ANCHOR INPUTS"))</f>
        <v>AGG</v>
      </c>
      <c r="F43" s="124" t="s">
        <v>6</v>
      </c>
      <c r="G43" s="141"/>
      <c r="H43" s="125" cm="1">
        <f t="array" aca="1" ref="H43" ca="1">INDIRECT(ADDRESS($B43,9,,,"mkt data"))</f>
        <v>0</v>
      </c>
      <c r="I43" s="126">
        <f t="shared" ca="1" si="13"/>
        <v>0</v>
      </c>
      <c r="J43" s="125">
        <f t="shared" ca="1" si="8"/>
        <v>0</v>
      </c>
      <c r="K43" s="261"/>
      <c r="L43" s="127" cm="1">
        <f t="array" aca="1" ref="L43" ca="1">INDIRECT(ADDRESS($B43,5,,,"mkt data"))</f>
        <v>23.66</v>
      </c>
      <c r="M43" s="128" cm="1">
        <f t="array" aca="1" ref="M43" ca="1">INDIRECT(ADDRESS($B43,6,,,"mkt data"))</f>
        <v>25.8</v>
      </c>
      <c r="N43" s="374"/>
      <c r="O43" s="129">
        <f t="shared" ca="1" si="9"/>
        <v>23.655000000000001</v>
      </c>
      <c r="P43" s="129">
        <f t="shared" ca="1" si="10"/>
        <v>25.805</v>
      </c>
      <c r="Q43" s="130" cm="1">
        <f t="array" aca="1" ref="Q43" ca="1">INDIRECT(ADDRESS($A43,6,,,"scalars"))</f>
        <v>3.8800553718363253</v>
      </c>
      <c r="R43" s="131">
        <f ca="1">O43*Q43</f>
        <v>91.782709820788284</v>
      </c>
      <c r="S43" s="131">
        <f t="shared" ca="1" si="12"/>
        <v>100.12482887023637</v>
      </c>
      <c r="T43" s="303"/>
      <c r="U43" s="269"/>
      <c r="V43" s="269"/>
      <c r="W43" s="272"/>
      <c r="X43" s="133"/>
      <c r="Y43" s="134"/>
      <c r="Z43" s="121"/>
      <c r="AA43" s="122"/>
      <c r="AC43" s="286"/>
      <c r="AD43" s="283"/>
    </row>
    <row r="44" spans="1:30" s="108" customFormat="1" x14ac:dyDescent="0.25">
      <c r="A44" s="176">
        <f>MATCH(F44,SCALARS!C:C,0)</f>
        <v>3</v>
      </c>
      <c r="B44" s="177">
        <f>MATCH(F44,'MKT DATA'!B:B,0)</f>
        <v>4</v>
      </c>
      <c r="C44" s="359"/>
      <c r="D44" s="372"/>
      <c r="E44" s="123" t="str" cm="1">
        <f t="array" aca="1" ref="E44" ca="1">INDIRECT(ADDRESS($A44,5,,,"ANCHOR INPUTS"))</f>
        <v>AGG</v>
      </c>
      <c r="F44" s="124" t="s">
        <v>7</v>
      </c>
      <c r="G44" s="141"/>
      <c r="H44" s="125" cm="1">
        <f t="array" aca="1" ref="H44" ca="1">INDIRECT(ADDRESS($B44,9,,,"mkt data"))</f>
        <v>0</v>
      </c>
      <c r="I44" s="126">
        <f t="shared" ca="1" si="13"/>
        <v>0</v>
      </c>
      <c r="J44" s="125">
        <f t="shared" ca="1" si="8"/>
        <v>0</v>
      </c>
      <c r="K44" s="261"/>
      <c r="L44" s="127" cm="1">
        <f t="array" aca="1" ref="L44" ca="1">INDIRECT(ADDRESS($B44,5,,,"mkt data"))</f>
        <v>71.760000000000005</v>
      </c>
      <c r="M44" s="128" cm="1">
        <f t="array" aca="1" ref="M44" ca="1">INDIRECT(ADDRESS($B44,6,,,"mkt data"))</f>
        <v>71.900000000000006</v>
      </c>
      <c r="N44" s="374"/>
      <c r="O44" s="129">
        <f t="shared" ca="1" si="9"/>
        <v>71.75500000000001</v>
      </c>
      <c r="P44" s="129">
        <f t="shared" ca="1" si="10"/>
        <v>71.905000000000001</v>
      </c>
      <c r="Q44" s="130" cm="1">
        <f t="array" aca="1" ref="Q44" ca="1">INDIRECT(ADDRESS($A44,6,,,"scalars"))</f>
        <v>1.3480994074930903</v>
      </c>
      <c r="R44" s="131">
        <f ca="1">O44*Q44</f>
        <v>96.732872984666713</v>
      </c>
      <c r="S44" s="131">
        <f t="shared" ca="1" si="12"/>
        <v>96.935087895790659</v>
      </c>
      <c r="T44" s="303"/>
      <c r="U44" s="269"/>
      <c r="V44" s="269"/>
      <c r="W44" s="272"/>
      <c r="X44" s="136"/>
      <c r="Y44" s="137"/>
      <c r="Z44" s="121"/>
      <c r="AA44" s="122"/>
      <c r="AC44" s="286"/>
      <c r="AD44" s="283"/>
    </row>
    <row r="45" spans="1:30" s="108" customFormat="1" ht="15.75" thickBot="1" x14ac:dyDescent="0.3">
      <c r="A45" s="173">
        <f>MATCH(F45,SCALARS!C:C,0)</f>
        <v>2</v>
      </c>
      <c r="B45" s="174">
        <f>MATCH(F45,'MKT DATA'!B:B,0)</f>
        <v>2</v>
      </c>
      <c r="C45" s="360"/>
      <c r="D45" s="373"/>
      <c r="E45" s="112" t="str" cm="1">
        <f t="array" aca="1" ref="E45" ca="1">INDIRECT(ADDRESS($A45,5,,,"ANCHOR INPUTS"))</f>
        <v>AGG</v>
      </c>
      <c r="F45" s="113" t="s">
        <v>8</v>
      </c>
      <c r="G45" s="142"/>
      <c r="H45" s="114" cm="1">
        <f t="array" aca="1" ref="H45" ca="1">INDIRECT(ADDRESS($B45,9,,,"mkt data"))</f>
        <v>0</v>
      </c>
      <c r="I45" s="115">
        <f t="shared" ca="1" si="13"/>
        <v>0</v>
      </c>
      <c r="J45" s="114">
        <f t="shared" ca="1" si="8"/>
        <v>0</v>
      </c>
      <c r="K45" s="262"/>
      <c r="L45" s="116" cm="1">
        <f t="array" aca="1" ref="L45" ca="1">INDIRECT(ADDRESS($B45,5,,,"mkt data"))</f>
        <v>96.67</v>
      </c>
      <c r="M45" s="117" cm="1">
        <f t="array" aca="1" ref="M45" ca="1">INDIRECT(ADDRESS($B45,6,,,"mkt data"))</f>
        <v>98.1</v>
      </c>
      <c r="N45" s="366"/>
      <c r="O45" s="118">
        <f t="shared" ca="1" si="9"/>
        <v>96.665000000000006</v>
      </c>
      <c r="P45" s="118">
        <f t="shared" ca="1" si="10"/>
        <v>98.10499999999999</v>
      </c>
      <c r="Q45" s="119" cm="1">
        <f t="array" aca="1" ref="Q45" ca="1">INDIRECT(ADDRESS($A45,6,,,"scalars"))</f>
        <v>1</v>
      </c>
      <c r="R45" s="120">
        <f ca="1">O45*Q45</f>
        <v>96.665000000000006</v>
      </c>
      <c r="S45" s="120">
        <f t="shared" ca="1" si="12"/>
        <v>98.10499999999999</v>
      </c>
      <c r="T45" s="304"/>
      <c r="U45" s="270"/>
      <c r="V45" s="270"/>
      <c r="W45" s="273"/>
      <c r="X45" s="138"/>
      <c r="Y45" s="139"/>
      <c r="Z45" s="121"/>
      <c r="AA45" s="122"/>
      <c r="AC45" s="287"/>
      <c r="AD45" s="284"/>
    </row>
    <row r="46" spans="1:30" x14ac:dyDescent="0.25">
      <c r="G46" s="72"/>
      <c r="H46" s="72"/>
      <c r="Z46" s="32"/>
    </row>
    <row r="47" spans="1:30" x14ac:dyDescent="0.25">
      <c r="G47" s="72"/>
      <c r="H47" s="72"/>
    </row>
  </sheetData>
  <mergeCells count="100">
    <mergeCell ref="W15:W16"/>
    <mergeCell ref="AC1:AD1"/>
    <mergeCell ref="T13:T14"/>
    <mergeCell ref="U13:U14"/>
    <mergeCell ref="V13:V14"/>
    <mergeCell ref="W13:W14"/>
    <mergeCell ref="T11:T12"/>
    <mergeCell ref="U11:U12"/>
    <mergeCell ref="V11:V12"/>
    <mergeCell ref="W11:W12"/>
    <mergeCell ref="T9:T10"/>
    <mergeCell ref="U9:U10"/>
    <mergeCell ref="V9:V10"/>
    <mergeCell ref="T5:T6"/>
    <mergeCell ref="U5:U6"/>
    <mergeCell ref="V5:V6"/>
    <mergeCell ref="K11:K12"/>
    <mergeCell ref="K15:K16"/>
    <mergeCell ref="T15:T16"/>
    <mergeCell ref="U15:U16"/>
    <mergeCell ref="V15:V16"/>
    <mergeCell ref="K13:K14"/>
    <mergeCell ref="W5:W6"/>
    <mergeCell ref="K5:K6"/>
    <mergeCell ref="W9:W10"/>
    <mergeCell ref="K9:K10"/>
    <mergeCell ref="T7:T8"/>
    <mergeCell ref="U7:U8"/>
    <mergeCell ref="V7:V8"/>
    <mergeCell ref="W7:W8"/>
    <mergeCell ref="K7:K8"/>
    <mergeCell ref="A1:B1"/>
    <mergeCell ref="L1:M1"/>
    <mergeCell ref="O1:P1"/>
    <mergeCell ref="R1:S1"/>
    <mergeCell ref="T1:U1"/>
    <mergeCell ref="V1:W1"/>
    <mergeCell ref="H1:K1"/>
    <mergeCell ref="T3:T4"/>
    <mergeCell ref="U3:U4"/>
    <mergeCell ref="V3:V4"/>
    <mergeCell ref="W3:W4"/>
    <mergeCell ref="K3:K4"/>
    <mergeCell ref="V42:V45"/>
    <mergeCell ref="W42:W45"/>
    <mergeCell ref="K30:K35"/>
    <mergeCell ref="AC26:AC29"/>
    <mergeCell ref="AC42:AC45"/>
    <mergeCell ref="T42:T45"/>
    <mergeCell ref="U42:U45"/>
    <mergeCell ref="AC36:AC38"/>
    <mergeCell ref="U26:U29"/>
    <mergeCell ref="T39:T41"/>
    <mergeCell ref="AC20:AC22"/>
    <mergeCell ref="AC23:AC25"/>
    <mergeCell ref="K36:K38"/>
    <mergeCell ref="U23:U25"/>
    <mergeCell ref="V23:V25"/>
    <mergeCell ref="W23:W25"/>
    <mergeCell ref="V36:V38"/>
    <mergeCell ref="W30:W35"/>
    <mergeCell ref="W36:W38"/>
    <mergeCell ref="V30:V35"/>
    <mergeCell ref="A17:E17"/>
    <mergeCell ref="T30:T35"/>
    <mergeCell ref="U39:U41"/>
    <mergeCell ref="T20:T22"/>
    <mergeCell ref="U20:U22"/>
    <mergeCell ref="T23:T25"/>
    <mergeCell ref="U30:U35"/>
    <mergeCell ref="A18:B18"/>
    <mergeCell ref="L18:M18"/>
    <mergeCell ref="R18:S18"/>
    <mergeCell ref="T36:T38"/>
    <mergeCell ref="U36:U38"/>
    <mergeCell ref="O18:P18"/>
    <mergeCell ref="T26:T29"/>
    <mergeCell ref="AD36:AD38"/>
    <mergeCell ref="AD39:AD41"/>
    <mergeCell ref="AC39:AC41"/>
    <mergeCell ref="AD26:AD29"/>
    <mergeCell ref="AD42:AD45"/>
    <mergeCell ref="AD30:AD35"/>
    <mergeCell ref="AC30:AC35"/>
    <mergeCell ref="AC18:AD18"/>
    <mergeCell ref="K42:K45"/>
    <mergeCell ref="H18:K18"/>
    <mergeCell ref="K20:K22"/>
    <mergeCell ref="K23:K25"/>
    <mergeCell ref="V26:V29"/>
    <mergeCell ref="W26:W29"/>
    <mergeCell ref="V39:V41"/>
    <mergeCell ref="W39:W41"/>
    <mergeCell ref="V20:V22"/>
    <mergeCell ref="W20:W22"/>
    <mergeCell ref="K39:K41"/>
    <mergeCell ref="K26:K29"/>
    <mergeCell ref="T18:W18"/>
    <mergeCell ref="AD20:AD22"/>
    <mergeCell ref="AD23:AD25"/>
  </mergeCells>
  <conditionalFormatting sqref="R20:R22">
    <cfRule type="top10" dxfId="97" priority="55" rank="1"/>
  </conditionalFormatting>
  <conditionalFormatting sqref="R23:R25">
    <cfRule type="top10" dxfId="96" priority="54" rank="1"/>
  </conditionalFormatting>
  <conditionalFormatting sqref="R36:R38">
    <cfRule type="top10" dxfId="95" priority="53" rank="1"/>
  </conditionalFormatting>
  <conditionalFormatting sqref="R39:R41">
    <cfRule type="top10" dxfId="94" priority="52" rank="1"/>
  </conditionalFormatting>
  <conditionalFormatting sqref="S20:S22">
    <cfRule type="top10" dxfId="93" priority="50" rank="1"/>
  </conditionalFormatting>
  <conditionalFormatting sqref="S23:S25">
    <cfRule type="top10" dxfId="92" priority="49" rank="1"/>
  </conditionalFormatting>
  <conditionalFormatting sqref="S36:S38">
    <cfRule type="top10" dxfId="91" priority="48" rank="1"/>
  </conditionalFormatting>
  <conditionalFormatting sqref="S39:S41">
    <cfRule type="top10" dxfId="90" priority="47" rank="1"/>
  </conditionalFormatting>
  <conditionalFormatting sqref="R42:R45">
    <cfRule type="top10" dxfId="89" priority="44" rank="1"/>
  </conditionalFormatting>
  <conditionalFormatting sqref="S42:S45">
    <cfRule type="top10" dxfId="88" priority="43" rank="1"/>
  </conditionalFormatting>
  <conditionalFormatting sqref="R30:R35">
    <cfRule type="top10" dxfId="87" priority="42" rank="1"/>
  </conditionalFormatting>
  <conditionalFormatting sqref="S30:S35">
    <cfRule type="top10" dxfId="86" priority="41" rank="1"/>
  </conditionalFormatting>
  <conditionalFormatting sqref="R26:R29">
    <cfRule type="top10" dxfId="85" priority="56" rank="1"/>
  </conditionalFormatting>
  <conditionalFormatting sqref="S26:S29">
    <cfRule type="top10" dxfId="84" priority="57" rank="1"/>
  </conditionalFormatting>
  <conditionalFormatting sqref="Z27">
    <cfRule type="cellIs" dxfId="83" priority="37" operator="greaterThan">
      <formula>0</formula>
    </cfRule>
  </conditionalFormatting>
  <conditionalFormatting sqref="R13:R14">
    <cfRule type="top10" dxfId="82" priority="33" rank="1"/>
  </conditionalFormatting>
  <conditionalFormatting sqref="S13:S14">
    <cfRule type="top10" dxfId="81" priority="34" rank="1"/>
  </conditionalFormatting>
  <conditionalFormatting sqref="R15:R16">
    <cfRule type="top10" dxfId="80" priority="31" rank="1"/>
  </conditionalFormatting>
  <conditionalFormatting sqref="S15:S16">
    <cfRule type="top10" dxfId="79" priority="32" rank="1"/>
  </conditionalFormatting>
  <conditionalFormatting sqref="R11:R12">
    <cfRule type="top10" dxfId="78" priority="29" rank="1"/>
  </conditionalFormatting>
  <conditionalFormatting sqref="S11:S12">
    <cfRule type="top10" dxfId="77" priority="30" rank="1"/>
  </conditionalFormatting>
  <conditionalFormatting sqref="R5:R6">
    <cfRule type="top10" dxfId="76" priority="27" rank="1"/>
  </conditionalFormatting>
  <conditionalFormatting sqref="S5:S6">
    <cfRule type="top10" dxfId="75" priority="28" rank="1"/>
  </conditionalFormatting>
  <conditionalFormatting sqref="R7:R8">
    <cfRule type="top10" dxfId="74" priority="25" rank="1"/>
  </conditionalFormatting>
  <conditionalFormatting sqref="S7:S8">
    <cfRule type="top10" dxfId="73" priority="26" rank="1"/>
  </conditionalFormatting>
  <conditionalFormatting sqref="R9:R10">
    <cfRule type="top10" dxfId="72" priority="23" rank="1"/>
  </conditionalFormatting>
  <conditionalFormatting sqref="S9:S10">
    <cfRule type="top10" dxfId="71" priority="24" rank="1"/>
  </conditionalFormatting>
  <conditionalFormatting sqref="R3:R4">
    <cfRule type="top10" dxfId="70" priority="21" rank="1"/>
  </conditionalFormatting>
  <conditionalFormatting sqref="S3:S4">
    <cfRule type="top10" dxfId="69" priority="22" rank="1"/>
  </conditionalFormatting>
  <conditionalFormatting sqref="X21 X24 X28 X33 X37 X40 X43">
    <cfRule type="cellIs" dxfId="66" priority="18" operator="equal">
      <formula>TRUE</formula>
    </cfRule>
  </conditionalFormatting>
  <conditionalFormatting sqref="Y21 Y24 Y28 Y33 Y37 Y40 Y43">
    <cfRule type="cellIs" dxfId="65" priority="17" operator="equal">
      <formula>TRUE</formula>
    </cfRule>
  </conditionalFormatting>
  <conditionalFormatting sqref="W20:W45">
    <cfRule type="cellIs" dxfId="64" priority="16" operator="greaterThan">
      <formula>0</formula>
    </cfRule>
  </conditionalFormatting>
  <conditionalFormatting sqref="W3:W16 U3:U16">
    <cfRule type="cellIs" dxfId="16" priority="15" operator="greaterThan">
      <formula>0</formula>
    </cfRule>
  </conditionalFormatting>
  <conditionalFormatting sqref="X4 AA4">
    <cfRule type="cellIs" dxfId="13" priority="14" operator="equal">
      <formula>TRUE</formula>
    </cfRule>
  </conditionalFormatting>
  <conditionalFormatting sqref="Y4:Z4">
    <cfRule type="cellIs" dxfId="12" priority="13" operator="equal">
      <formula>TRUE</formula>
    </cfRule>
  </conditionalFormatting>
  <conditionalFormatting sqref="X6 AA6">
    <cfRule type="cellIs" dxfId="11" priority="12" operator="equal">
      <formula>TRUE</formula>
    </cfRule>
  </conditionalFormatting>
  <conditionalFormatting sqref="Y6:Z6">
    <cfRule type="cellIs" dxfId="10" priority="11" operator="equal">
      <formula>TRUE</formula>
    </cfRule>
  </conditionalFormatting>
  <conditionalFormatting sqref="X8 AA8">
    <cfRule type="cellIs" dxfId="9" priority="10" operator="equal">
      <formula>TRUE</formula>
    </cfRule>
  </conditionalFormatting>
  <conditionalFormatting sqref="Y8:Z8">
    <cfRule type="cellIs" dxfId="8" priority="9" operator="equal">
      <formula>TRUE</formula>
    </cfRule>
  </conditionalFormatting>
  <conditionalFormatting sqref="X10 AA10">
    <cfRule type="cellIs" dxfId="7" priority="8" operator="equal">
      <formula>TRUE</formula>
    </cfRule>
  </conditionalFormatting>
  <conditionalFormatting sqref="Y10:Z10">
    <cfRule type="cellIs" dxfId="6" priority="7" operator="equal">
      <formula>TRUE</formula>
    </cfRule>
  </conditionalFormatting>
  <conditionalFormatting sqref="X12 AA12">
    <cfRule type="cellIs" dxfId="5" priority="6" operator="equal">
      <formula>TRUE</formula>
    </cfRule>
  </conditionalFormatting>
  <conditionalFormatting sqref="Y12:Z12">
    <cfRule type="cellIs" dxfId="4" priority="5" operator="equal">
      <formula>TRUE</formula>
    </cfRule>
  </conditionalFormatting>
  <conditionalFormatting sqref="X14 AA14">
    <cfRule type="cellIs" dxfId="3" priority="4" operator="equal">
      <formula>TRUE</formula>
    </cfRule>
  </conditionalFormatting>
  <conditionalFormatting sqref="Y14:Z14">
    <cfRule type="cellIs" dxfId="2" priority="3" operator="equal">
      <formula>TRUE</formula>
    </cfRule>
  </conditionalFormatting>
  <conditionalFormatting sqref="X16 AA16">
    <cfRule type="cellIs" dxfId="1" priority="2" operator="equal">
      <formula>TRUE</formula>
    </cfRule>
  </conditionalFormatting>
  <conditionalFormatting sqref="Y16:Z16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FA12-AB4F-40C7-A18B-E9F901671E9A}">
  <dimension ref="A1:AE44"/>
  <sheetViews>
    <sheetView zoomScale="85" zoomScaleNormal="85" workbookViewId="0">
      <selection activeCell="X1" sqref="X1:AA4"/>
    </sheetView>
  </sheetViews>
  <sheetFormatPr defaultRowHeight="15" x14ac:dyDescent="0.25"/>
  <cols>
    <col min="1" max="1" width="7" bestFit="1" customWidth="1"/>
    <col min="2" max="2" width="9.42578125" bestFit="1" customWidth="1"/>
    <col min="3" max="4" width="12.7109375" style="1" customWidth="1"/>
    <col min="5" max="5" width="8" bestFit="1" customWidth="1"/>
    <col min="6" max="6" width="7.85546875" bestFit="1" customWidth="1"/>
    <col min="7" max="7" width="7.7109375" bestFit="1" customWidth="1"/>
    <col min="8" max="11" width="11" customWidth="1"/>
    <col min="12" max="13" width="12.5703125" customWidth="1"/>
    <col min="14" max="14" width="9.5703125" bestFit="1" customWidth="1"/>
    <col min="15" max="23" width="12.5703125" customWidth="1"/>
    <col min="24" max="24" width="9.7109375" bestFit="1" customWidth="1"/>
    <col min="25" max="25" width="9.5703125" bestFit="1" customWidth="1"/>
    <col min="26" max="26" width="9.7109375" bestFit="1" customWidth="1"/>
    <col min="27" max="27" width="9.5703125" bestFit="1" customWidth="1"/>
    <col min="29" max="29" width="19" bestFit="1" customWidth="1"/>
    <col min="30" max="30" width="17.42578125" bestFit="1" customWidth="1"/>
    <col min="31" max="31" width="5.5703125" bestFit="1" customWidth="1"/>
  </cols>
  <sheetData>
    <row r="1" spans="1:31" x14ac:dyDescent="0.25">
      <c r="A1" s="228" t="s">
        <v>70</v>
      </c>
      <c r="B1" s="229"/>
      <c r="C1" s="178"/>
      <c r="D1" s="153"/>
      <c r="E1" s="74"/>
      <c r="F1" s="74"/>
      <c r="G1" s="92"/>
      <c r="H1" s="230" t="s">
        <v>76</v>
      </c>
      <c r="I1" s="230"/>
      <c r="J1" s="230"/>
      <c r="K1" s="231"/>
      <c r="L1" s="232" t="s">
        <v>72</v>
      </c>
      <c r="M1" s="233"/>
      <c r="N1" s="183"/>
      <c r="O1" s="234">
        <v>5.0000000000000001E-3</v>
      </c>
      <c r="P1" s="234"/>
      <c r="Q1" s="46"/>
      <c r="R1" s="237" t="s">
        <v>75</v>
      </c>
      <c r="S1" s="238"/>
      <c r="T1" s="246" t="s">
        <v>90</v>
      </c>
      <c r="U1" s="238"/>
      <c r="V1" s="239" t="s">
        <v>91</v>
      </c>
      <c r="W1" s="240"/>
      <c r="X1" s="52" t="s">
        <v>88</v>
      </c>
      <c r="Y1" s="54" t="s">
        <v>89</v>
      </c>
      <c r="Z1" s="54" t="s">
        <v>89</v>
      </c>
      <c r="AA1" s="53" t="s">
        <v>88</v>
      </c>
      <c r="AC1" s="241" t="s">
        <v>92</v>
      </c>
      <c r="AD1" s="241"/>
      <c r="AE1" s="63"/>
    </row>
    <row r="2" spans="1:31" ht="15.75" thickBot="1" x14ac:dyDescent="0.3">
      <c r="A2" s="38" t="s">
        <v>69</v>
      </c>
      <c r="B2" s="39" t="s">
        <v>71</v>
      </c>
      <c r="C2" s="38" t="s">
        <v>128</v>
      </c>
      <c r="D2" s="154" t="s">
        <v>167</v>
      </c>
      <c r="E2" s="152" t="s">
        <v>99</v>
      </c>
      <c r="F2" s="75" t="s">
        <v>62</v>
      </c>
      <c r="G2" s="93" t="s">
        <v>83</v>
      </c>
      <c r="H2" s="91" t="s">
        <v>77</v>
      </c>
      <c r="I2" s="76" t="s">
        <v>96</v>
      </c>
      <c r="J2" s="77" t="s">
        <v>95</v>
      </c>
      <c r="K2" s="78" t="s">
        <v>78</v>
      </c>
      <c r="L2" s="79" t="s">
        <v>73</v>
      </c>
      <c r="M2" s="80" t="s">
        <v>74</v>
      </c>
      <c r="N2" s="184" t="s">
        <v>165</v>
      </c>
      <c r="O2" s="81" t="s">
        <v>64</v>
      </c>
      <c r="P2" s="81" t="s">
        <v>65</v>
      </c>
      <c r="Q2" s="82" t="s">
        <v>63</v>
      </c>
      <c r="R2" s="83" t="s">
        <v>67</v>
      </c>
      <c r="S2" s="84" t="s">
        <v>68</v>
      </c>
      <c r="T2" s="47" t="s">
        <v>86</v>
      </c>
      <c r="U2" s="55" t="s">
        <v>32</v>
      </c>
      <c r="V2" s="47" t="s">
        <v>86</v>
      </c>
      <c r="W2" s="55" t="s">
        <v>32</v>
      </c>
      <c r="X2" s="85" t="s">
        <v>93</v>
      </c>
      <c r="Y2" s="56" t="s">
        <v>94</v>
      </c>
      <c r="Z2" s="56" t="s">
        <v>93</v>
      </c>
      <c r="AA2" s="86" t="s">
        <v>94</v>
      </c>
      <c r="AC2" s="64" t="s">
        <v>90</v>
      </c>
      <c r="AD2" s="65" t="s">
        <v>91</v>
      </c>
      <c r="AE2" s="65"/>
    </row>
    <row r="3" spans="1:31" x14ac:dyDescent="0.25">
      <c r="A3" s="162">
        <f>MATCH(F3,SCALARS!C:C,0)</f>
        <v>42</v>
      </c>
      <c r="B3" s="163">
        <f>MATCH(F3,'MKT DATA'!B:B,0)</f>
        <v>42</v>
      </c>
      <c r="C3" s="162" t="str" cm="1">
        <f t="array" aca="1" ref="C3" ca="1">INDIRECT(ADDRESS($A3,2,,,"ANCHOR INPUTS"))</f>
        <v>energy</v>
      </c>
      <c r="D3" s="223">
        <v>1506663</v>
      </c>
      <c r="E3" s="17" t="str" cm="1">
        <f t="array" aca="1" ref="E3" ca="1">INDIRECT(ADDRESS($A3,5,,,"ANCHOR INPUTS"))</f>
        <v>VDE</v>
      </c>
      <c r="F3" s="18" t="s">
        <v>103</v>
      </c>
      <c r="G3" s="96"/>
      <c r="H3" s="34" cm="1">
        <f t="array" aca="1" ref="H3" ca="1">INDIRECT(ADDRESS($B3,9,,,"mkt data"))</f>
        <v>0</v>
      </c>
      <c r="I3" s="69">
        <f t="shared" ref="I3:I13" ca="1" si="0">H3*AVERAGE(L3:M3)</f>
        <v>0</v>
      </c>
      <c r="J3" s="34">
        <f t="shared" ref="J3:J18" ca="1" si="1">H3/Q3</f>
        <v>0</v>
      </c>
      <c r="K3" s="247">
        <f ca="1">SUM(J3:J4)</f>
        <v>0</v>
      </c>
      <c r="L3" s="40" cm="1">
        <f t="array" aca="1" ref="L3" ca="1">INDIRECT(ADDRESS($B3,5,,,"mkt data"))</f>
        <v>35.46</v>
      </c>
      <c r="M3" s="41" cm="1">
        <f t="array" aca="1" ref="M3" ca="1">INDIRECT(ADDRESS($B3,6,,,"mkt data"))</f>
        <v>36.28</v>
      </c>
      <c r="N3" s="185"/>
      <c r="O3" s="19">
        <f t="shared" ref="O3:O18" ca="1" si="2">L3-O$1</f>
        <v>35.454999999999998</v>
      </c>
      <c r="P3" s="19">
        <f t="shared" ref="P3:P18" ca="1" si="3">M3+O$1</f>
        <v>36.285000000000004</v>
      </c>
      <c r="Q3" s="57" cm="1">
        <f t="array" aca="1" ref="Q3" ca="1">INDIRECT(ADDRESS($A3,6,,,"scalars"))</f>
        <v>5.0830610366590321</v>
      </c>
      <c r="R3" s="20">
        <f ca="1">O3*Q3</f>
        <v>180.21992905474596</v>
      </c>
      <c r="S3" s="20">
        <f ca="1">Q3*P3</f>
        <v>184.43886971517298</v>
      </c>
      <c r="T3" s="242">
        <f ca="1">R4-S3</f>
        <v>-4.1838697151729889</v>
      </c>
      <c r="U3" s="244">
        <f ca="1">T3/AVERAGE(R4,S4)</f>
        <v>-2.3035124787606612E-2</v>
      </c>
      <c r="V3" s="242">
        <f ca="1">R3-S4</f>
        <v>-2.7850709452540343</v>
      </c>
      <c r="W3" s="244">
        <f ca="1">V3/AVERAGE(R4,S4)</f>
        <v>-1.5333760641160791E-2</v>
      </c>
      <c r="X3" s="87">
        <f>AC3</f>
        <v>1E-3</v>
      </c>
      <c r="Y3" s="58">
        <f>AC4</f>
        <v>0</v>
      </c>
      <c r="Z3" s="58">
        <f>AD4</f>
        <v>0</v>
      </c>
      <c r="AA3" s="88">
        <f>AD3</f>
        <v>1E-3</v>
      </c>
      <c r="AC3" s="66">
        <v>1E-3</v>
      </c>
      <c r="AD3" s="67">
        <v>1E-3</v>
      </c>
      <c r="AE3" s="68" t="s">
        <v>88</v>
      </c>
    </row>
    <row r="4" spans="1:31" ht="15.75" thickBot="1" x14ac:dyDescent="0.3">
      <c r="A4" s="164">
        <f>MATCH(F4,SCALARS!C:C,0)</f>
        <v>43</v>
      </c>
      <c r="B4" s="165">
        <f>MATCH(F4,'MKT DATA'!B:B,0)</f>
        <v>60</v>
      </c>
      <c r="C4" s="164" t="str" cm="1">
        <f t="array" aca="1" ref="C4" ca="1">INDIRECT(ADDRESS($A4,2,,,"ANCHOR INPUTS"))</f>
        <v>energy</v>
      </c>
      <c r="D4" s="224">
        <v>630430</v>
      </c>
      <c r="E4" s="23" t="str" cm="1">
        <f t="array" aca="1" ref="E4" ca="1">INDIRECT(ADDRESS($A4,5,,,"ANCHOR INPUTS"))</f>
        <v>VDE</v>
      </c>
      <c r="F4" s="24" t="s">
        <v>105</v>
      </c>
      <c r="G4" s="97"/>
      <c r="H4" s="36" cm="1">
        <f t="array" aca="1" ref="H4" ca="1">INDIRECT(ADDRESS($B4,9,,,"mkt data"))</f>
        <v>0</v>
      </c>
      <c r="I4" s="71">
        <f t="shared" ca="1" si="0"/>
        <v>0</v>
      </c>
      <c r="J4" s="36">
        <f t="shared" ca="1" si="1"/>
        <v>0</v>
      </c>
      <c r="K4" s="248"/>
      <c r="L4" s="44" cm="1">
        <f t="array" aca="1" ref="L4" ca="1">INDIRECT(ADDRESS($B4,5,,,"mkt data"))</f>
        <v>180.26</v>
      </c>
      <c r="M4" s="45" cm="1">
        <f t="array" aca="1" ref="M4" ca="1">INDIRECT(ADDRESS($B4,6,,,"mkt data"))</f>
        <v>183</v>
      </c>
      <c r="N4" s="186"/>
      <c r="O4" s="25">
        <f t="shared" ca="1" si="2"/>
        <v>180.255</v>
      </c>
      <c r="P4" s="25">
        <f t="shared" ca="1" si="3"/>
        <v>183.005</v>
      </c>
      <c r="Q4" s="59" cm="1">
        <f t="array" aca="1" ref="Q4" ca="1">INDIRECT(ADDRESS($A4,6,,,"scalars"))</f>
        <v>1</v>
      </c>
      <c r="R4" s="26">
        <f ca="1">O4*Q4</f>
        <v>180.255</v>
      </c>
      <c r="S4" s="26">
        <f ca="1">Q4*P4</f>
        <v>183.005</v>
      </c>
      <c r="T4" s="243"/>
      <c r="U4" s="245"/>
      <c r="V4" s="243"/>
      <c r="W4" s="245"/>
      <c r="X4" s="89" t="b">
        <f ca="1">IF(U3&gt;X3,TRUE,FALSE)</f>
        <v>0</v>
      </c>
      <c r="Y4" s="60" t="b">
        <f ca="1">AND(IF(W3&gt;-Y3,TRUE,FALSE),IF(H3&gt;0,TRUE,FALSE))</f>
        <v>0</v>
      </c>
      <c r="Z4" s="60" t="b">
        <f ca="1">AND(IF(U3&gt;-Z3,TRUE,FALSE),IF(H3&lt;0,TRUE,FALSE))</f>
        <v>0</v>
      </c>
      <c r="AA4" s="90" t="b">
        <f ca="1">IF(W3&gt;AA3,TRUE,FALSE)</f>
        <v>0</v>
      </c>
      <c r="AC4" s="67">
        <v>0</v>
      </c>
      <c r="AD4" s="67">
        <v>0</v>
      </c>
      <c r="AE4" s="68" t="s">
        <v>89</v>
      </c>
    </row>
    <row r="5" spans="1:31" x14ac:dyDescent="0.25">
      <c r="A5" s="189">
        <f>MATCH(F5,SCALARS!C:C,0)</f>
        <v>44</v>
      </c>
      <c r="B5" s="190">
        <f>MATCH(F5,'MKT DATA'!B:B,0)</f>
        <v>43</v>
      </c>
      <c r="C5" s="189" t="str" cm="1">
        <f t="array" aca="1" ref="C5" ca="1">INDIRECT(ADDRESS($A5,2,,,"ANCHOR INPUTS"))</f>
        <v>financials</v>
      </c>
      <c r="D5" s="315">
        <v>99337</v>
      </c>
      <c r="E5" s="191" t="str" cm="1">
        <f t="array" aca="1" ref="E5" ca="1">INDIRECT(ADDRESS($A5,5,,,"ANCHOR INPUTS"))</f>
        <v>VFH</v>
      </c>
      <c r="F5" s="347" t="s">
        <v>141</v>
      </c>
      <c r="G5" s="317"/>
      <c r="H5" s="318" cm="1">
        <f t="array" aca="1" ref="H5" ca="1">INDIRECT(ADDRESS($B5,9,,,"mkt data"))</f>
        <v>0</v>
      </c>
      <c r="I5" s="319">
        <f ca="1">H5*AVERAGE(L5:M5)</f>
        <v>0</v>
      </c>
      <c r="J5" s="318">
        <f ca="1">H5/Q5</f>
        <v>0</v>
      </c>
      <c r="K5" s="348">
        <f ca="1">SUM(J5:J6)</f>
        <v>0</v>
      </c>
      <c r="L5" s="321" cm="1">
        <f t="array" aca="1" ref="L5" ca="1">INDIRECT(ADDRESS($B5,5,,,"mkt data"))</f>
        <v>76.8</v>
      </c>
      <c r="M5" s="322" cm="1">
        <f t="array" aca="1" ref="M5" ca="1">INDIRECT(ADDRESS($B5,6,,,"mkt data"))</f>
        <v>86.06</v>
      </c>
      <c r="N5" s="323"/>
      <c r="O5" s="198">
        <f ca="1">L5-O$1</f>
        <v>76.795000000000002</v>
      </c>
      <c r="P5" s="198">
        <f ca="1">M5+O$1</f>
        <v>86.064999999999998</v>
      </c>
      <c r="Q5" s="349" cm="1">
        <f t="array" aca="1" ref="Q5" ca="1">INDIRECT(ADDRESS($A5,6,,,"scalars"))</f>
        <v>1.717746577033882</v>
      </c>
      <c r="R5" s="325">
        <f ca="1">O5*Q5</f>
        <v>131.91434838331696</v>
      </c>
      <c r="S5" s="325">
        <f ca="1">Q5*P5</f>
        <v>147.83785915242106</v>
      </c>
      <c r="T5" s="253">
        <f t="shared" ref="T5" ca="1" si="4">R6-S5</f>
        <v>-9.6428591524210674</v>
      </c>
      <c r="U5" s="326">
        <f t="shared" ref="U5" ca="1" si="5">T5/AVERAGE(R6,S6)</f>
        <v>-6.9077396414062589E-2</v>
      </c>
      <c r="V5" s="253">
        <f t="shared" ref="V5" ca="1" si="6">R5-S6</f>
        <v>-9.080651616683042</v>
      </c>
      <c r="W5" s="326">
        <f t="shared" ref="W5" ca="1" si="7">V5/AVERAGE(R6,S6)</f>
        <v>-6.5049977554232183E-2</v>
      </c>
      <c r="X5" s="201">
        <f>AC5</f>
        <v>1E-3</v>
      </c>
      <c r="Y5" s="202">
        <f>AC6</f>
        <v>0</v>
      </c>
      <c r="Z5" s="202">
        <f>AD6</f>
        <v>0</v>
      </c>
      <c r="AA5" s="203">
        <f>AD5</f>
        <v>1E-3</v>
      </c>
      <c r="AC5" s="66">
        <v>1E-3</v>
      </c>
      <c r="AD5" s="67">
        <v>1E-3</v>
      </c>
      <c r="AE5" s="68" t="s">
        <v>88</v>
      </c>
    </row>
    <row r="6" spans="1:31" ht="15.75" thickBot="1" x14ac:dyDescent="0.3">
      <c r="A6" s="204">
        <f>MATCH(F6,SCALARS!C:C,0)</f>
        <v>45</v>
      </c>
      <c r="B6" s="205">
        <f>MATCH(F6,'MKT DATA'!B:B,0)</f>
        <v>61</v>
      </c>
      <c r="C6" s="204" t="str" cm="1">
        <f t="array" aca="1" ref="C6" ca="1">INDIRECT(ADDRESS($A6,2,,,"ANCHOR INPUTS"))</f>
        <v>financials</v>
      </c>
      <c r="D6" s="327">
        <v>550401</v>
      </c>
      <c r="E6" s="206" t="str" cm="1">
        <f t="array" aca="1" ref="E6" ca="1">INDIRECT(ADDRESS($A6,5,,,"ANCHOR INPUTS"))</f>
        <v>VFH</v>
      </c>
      <c r="F6" s="350" t="s">
        <v>108</v>
      </c>
      <c r="G6" s="329"/>
      <c r="H6" s="330" cm="1">
        <f t="array" aca="1" ref="H6" ca="1">INDIRECT(ADDRESS($B6,9,,,"mkt data"))</f>
        <v>0</v>
      </c>
      <c r="I6" s="331">
        <f ca="1">H6*AVERAGE(L6:M6)</f>
        <v>0</v>
      </c>
      <c r="J6" s="330">
        <f ca="1">H6/Q6</f>
        <v>0</v>
      </c>
      <c r="K6" s="351"/>
      <c r="L6" s="333" cm="1">
        <f t="array" aca="1" ref="L6" ca="1">INDIRECT(ADDRESS($B6,5,,,"mkt data"))</f>
        <v>138.19999999999999</v>
      </c>
      <c r="M6" s="334" cm="1">
        <f t="array" aca="1" ref="M6" ca="1">INDIRECT(ADDRESS($B6,6,,,"mkt data"))</f>
        <v>140.99</v>
      </c>
      <c r="N6" s="335"/>
      <c r="O6" s="213">
        <f ca="1">L6-O$1</f>
        <v>138.19499999999999</v>
      </c>
      <c r="P6" s="213">
        <f ca="1">M6+O$1</f>
        <v>140.995</v>
      </c>
      <c r="Q6" s="352" cm="1">
        <f t="array" aca="1" ref="Q6" ca="1">INDIRECT(ADDRESS($A6,6,,,"scalars"))</f>
        <v>1</v>
      </c>
      <c r="R6" s="337">
        <f t="shared" ref="R6" ca="1" si="8">O6*Q6</f>
        <v>138.19499999999999</v>
      </c>
      <c r="S6" s="337">
        <f ca="1">Q6*P6</f>
        <v>140.995</v>
      </c>
      <c r="T6" s="254"/>
      <c r="U6" s="338"/>
      <c r="V6" s="254"/>
      <c r="W6" s="338"/>
      <c r="X6" s="216" t="b">
        <f ca="1">IF(U5&gt;X5,TRUE,FALSE)</f>
        <v>0</v>
      </c>
      <c r="Y6" s="217" t="b">
        <f ca="1">AND(IF(W5&gt;-Y5,TRUE,FALSE),IF(H5&gt;0,TRUE,FALSE))</f>
        <v>0</v>
      </c>
      <c r="Z6" s="217" t="b">
        <f ca="1">AND(IF(U5&gt;-Z5,TRUE,FALSE),IF(H5&lt;0,TRUE,FALSE))</f>
        <v>0</v>
      </c>
      <c r="AA6" s="218" t="b">
        <f ca="1">IF(W5&gt;AA5,TRUE,FALSE)</f>
        <v>0</v>
      </c>
      <c r="AC6" s="67">
        <v>0</v>
      </c>
      <c r="AD6" s="67">
        <v>0</v>
      </c>
      <c r="AE6" s="68" t="s">
        <v>89</v>
      </c>
    </row>
    <row r="7" spans="1:31" x14ac:dyDescent="0.25">
      <c r="A7" s="162">
        <f>MATCH(F7,SCALARS!C:C,0)</f>
        <v>46</v>
      </c>
      <c r="B7" s="163">
        <f>MATCH(F7,'MKT DATA'!B:B,0)</f>
        <v>44</v>
      </c>
      <c r="C7" s="162" t="str" cm="1">
        <f t="array" aca="1" ref="C7" ca="1">INDIRECT(ADDRESS($A7,2,,,"ANCHOR INPUTS"))</f>
        <v>healthcare</v>
      </c>
      <c r="D7" s="223">
        <v>213055</v>
      </c>
      <c r="E7" s="17" t="str" cm="1">
        <f t="array" aca="1" ref="E7" ca="1">INDIRECT(ADDRESS($A7,5,,,"ANCHOR INPUTS"))</f>
        <v>VHT</v>
      </c>
      <c r="F7" s="18" t="s">
        <v>110</v>
      </c>
      <c r="G7" s="96"/>
      <c r="H7" s="34" cm="1">
        <f t="array" aca="1" ref="H7" ca="1">INDIRECT(ADDRESS($B7,9,,,"mkt data"))</f>
        <v>0</v>
      </c>
      <c r="I7" s="69">
        <f t="shared" ca="1" si="0"/>
        <v>0</v>
      </c>
      <c r="J7" s="34">
        <f t="shared" ca="1" si="1"/>
        <v>0</v>
      </c>
      <c r="K7" s="247">
        <f ca="1">SUM(J7:J8)</f>
        <v>0</v>
      </c>
      <c r="L7" s="40" cm="1">
        <f t="array" aca="1" ref="L7" ca="1">INDIRECT(ADDRESS($B7,5,,,"mkt data"))</f>
        <v>81.83</v>
      </c>
      <c r="M7" s="41" cm="1">
        <f t="array" aca="1" ref="M7" ca="1">INDIRECT(ADDRESS($B7,6,,,"mkt data"))</f>
        <v>87.79</v>
      </c>
      <c r="N7" s="185"/>
      <c r="O7" s="19">
        <f t="shared" ca="1" si="2"/>
        <v>81.825000000000003</v>
      </c>
      <c r="P7" s="19">
        <f t="shared" ca="1" si="3"/>
        <v>87.795000000000002</v>
      </c>
      <c r="Q7" s="57" cm="1">
        <f t="array" aca="1" ref="Q7" ca="1">INDIRECT(ADDRESS($A7,6,,,"scalars"))</f>
        <v>3.8688729801302713</v>
      </c>
      <c r="R7" s="20">
        <f t="shared" ref="R7:R8" ca="1" si="9">O7*Q7</f>
        <v>316.57053159915944</v>
      </c>
      <c r="S7" s="20">
        <f ca="1">Q7*P7</f>
        <v>339.66770329053719</v>
      </c>
      <c r="T7" s="242">
        <f ca="1">R8-S7</f>
        <v>-19.172703290537186</v>
      </c>
      <c r="U7" s="244">
        <f ca="1">T7/AVERAGE(R8,S8)</f>
        <v>-5.958882141581099E-2</v>
      </c>
      <c r="V7" s="242">
        <f ca="1">R7-S8</f>
        <v>-6.4344684008405579</v>
      </c>
      <c r="W7" s="244">
        <f ca="1">V7/AVERAGE(R8,S8)</f>
        <v>-1.9998347788160242E-2</v>
      </c>
      <c r="X7" s="87">
        <f>AC7</f>
        <v>1E-3</v>
      </c>
      <c r="Y7" s="58">
        <f>AC8</f>
        <v>0</v>
      </c>
      <c r="Z7" s="58">
        <f>AD8</f>
        <v>0</v>
      </c>
      <c r="AA7" s="88">
        <f>AD7</f>
        <v>1E-3</v>
      </c>
      <c r="AC7" s="66">
        <v>1E-3</v>
      </c>
      <c r="AD7" s="67">
        <v>1E-3</v>
      </c>
      <c r="AE7" s="68" t="s">
        <v>88</v>
      </c>
    </row>
    <row r="8" spans="1:31" ht="15.75" thickBot="1" x14ac:dyDescent="0.3">
      <c r="A8" s="164">
        <f>MATCH(F8,SCALARS!C:C,0)</f>
        <v>47</v>
      </c>
      <c r="B8" s="165">
        <f>MATCH(F8,'MKT DATA'!B:B,0)</f>
        <v>62</v>
      </c>
      <c r="C8" s="164" t="str" cm="1">
        <f t="array" aca="1" ref="C8" ca="1">INDIRECT(ADDRESS($A8,2,,,"ANCHOR INPUTS"))</f>
        <v>healthcare</v>
      </c>
      <c r="D8" s="224">
        <v>254609</v>
      </c>
      <c r="E8" s="23" t="str" cm="1">
        <f t="array" aca="1" ref="E8" ca="1">INDIRECT(ADDRESS($A8,5,,,"ANCHOR INPUTS"))</f>
        <v>VHT</v>
      </c>
      <c r="F8" s="24" t="s">
        <v>112</v>
      </c>
      <c r="G8" s="97"/>
      <c r="H8" s="36" cm="1">
        <f t="array" aca="1" ref="H8" ca="1">INDIRECT(ADDRESS($B8,9,,,"mkt data"))</f>
        <v>0</v>
      </c>
      <c r="I8" s="71">
        <f t="shared" ca="1" si="0"/>
        <v>0</v>
      </c>
      <c r="J8" s="36">
        <f t="shared" ca="1" si="1"/>
        <v>0</v>
      </c>
      <c r="K8" s="248"/>
      <c r="L8" s="44" cm="1">
        <f t="array" aca="1" ref="L8" ca="1">INDIRECT(ADDRESS($B8,5,,,"mkt data"))</f>
        <v>320.5</v>
      </c>
      <c r="M8" s="45" cm="1">
        <f t="array" aca="1" ref="M8" ca="1">INDIRECT(ADDRESS($B8,6,,,"mkt data"))</f>
        <v>323</v>
      </c>
      <c r="N8" s="186"/>
      <c r="O8" s="25">
        <f t="shared" ca="1" si="2"/>
        <v>320.495</v>
      </c>
      <c r="P8" s="25">
        <f t="shared" ca="1" si="3"/>
        <v>323.005</v>
      </c>
      <c r="Q8" s="59" cm="1">
        <f t="array" aca="1" ref="Q8" ca="1">INDIRECT(ADDRESS($A8,6,,,"scalars"))</f>
        <v>1</v>
      </c>
      <c r="R8" s="26">
        <f t="shared" ca="1" si="9"/>
        <v>320.495</v>
      </c>
      <c r="S8" s="26">
        <f ca="1">Q8*P8</f>
        <v>323.005</v>
      </c>
      <c r="T8" s="243"/>
      <c r="U8" s="245"/>
      <c r="V8" s="243"/>
      <c r="W8" s="245"/>
      <c r="X8" s="89" t="b">
        <f ca="1">IF(U7&gt;X7,TRUE,FALSE)</f>
        <v>0</v>
      </c>
      <c r="Y8" s="60" t="b">
        <f ca="1">AND(IF(W7&gt;-Y7,TRUE,FALSE),IF(H7&gt;0,TRUE,FALSE))</f>
        <v>0</v>
      </c>
      <c r="Z8" s="60" t="b">
        <f ca="1">AND(IF(U7&gt;-Z7,TRUE,FALSE),IF(H7&lt;0,TRUE,FALSE))</f>
        <v>0</v>
      </c>
      <c r="AA8" s="90" t="b">
        <f ca="1">IF(W7&gt;AA7,TRUE,FALSE)</f>
        <v>0</v>
      </c>
      <c r="AC8" s="67">
        <v>0</v>
      </c>
      <c r="AD8" s="67">
        <v>0</v>
      </c>
      <c r="AE8" s="68" t="s">
        <v>89</v>
      </c>
    </row>
    <row r="9" spans="1:31" x14ac:dyDescent="0.25">
      <c r="A9" s="189">
        <f>MATCH(F9,SCALARS!C:C,0)</f>
        <v>48</v>
      </c>
      <c r="B9" s="190">
        <f>MATCH(F9,'MKT DATA'!B:B,0)</f>
        <v>45</v>
      </c>
      <c r="C9" s="189" t="str" cm="1">
        <f t="array" aca="1" ref="C9" ca="1">INDIRECT(ADDRESS($A9,2,,,"ANCHOR INPUTS"))</f>
        <v>industrials</v>
      </c>
      <c r="D9" s="315">
        <v>104100</v>
      </c>
      <c r="E9" s="191" t="str" cm="1">
        <f t="array" aca="1" ref="E9" ca="1">INDIRECT(ADDRESS($A9,5,,,"ANCHOR INPUTS"))</f>
        <v>VIS</v>
      </c>
      <c r="F9" s="347" t="s">
        <v>114</v>
      </c>
      <c r="G9" s="317"/>
      <c r="H9" s="318" cm="1">
        <f t="array" aca="1" ref="H9" ca="1">INDIRECT(ADDRESS($B9,9,,,"mkt data"))</f>
        <v>0</v>
      </c>
      <c r="I9" s="319">
        <f ca="1">H9*AVERAGE(L9:M9)</f>
        <v>0</v>
      </c>
      <c r="J9" s="318">
        <f t="shared" ref="J9:J10" ca="1" si="10">H9/Q9</f>
        <v>0</v>
      </c>
      <c r="K9" s="320">
        <f ca="1">SUM(J9:J10)</f>
        <v>0</v>
      </c>
      <c r="L9" s="321" cm="1">
        <f t="array" aca="1" ref="L9" ca="1">INDIRECT(ADDRESS($B9,5,,,"mkt data"))</f>
        <v>90</v>
      </c>
      <c r="M9" s="322" cm="1">
        <f t="array" aca="1" ref="M9" ca="1">INDIRECT(ADDRESS($B9,6,,,"mkt data"))</f>
        <v>96.67</v>
      </c>
      <c r="N9" s="323"/>
      <c r="O9" s="198">
        <f ca="1">L9-O$1</f>
        <v>89.995000000000005</v>
      </c>
      <c r="P9" s="198">
        <f ca="1">M9+O$1</f>
        <v>96.674999999999997</v>
      </c>
      <c r="Q9" s="349" cm="1">
        <f t="array" aca="1" ref="Q9" ca="1">INDIRECT(ADDRESS($A9,6,,,"scalars"))</f>
        <v>3.6171691526745349</v>
      </c>
      <c r="R9" s="325">
        <f ca="1">O9*Q9</f>
        <v>325.52713789494476</v>
      </c>
      <c r="S9" s="325">
        <f t="shared" ref="S9:S10" ca="1" si="11">Q9*P9</f>
        <v>349.68982783481067</v>
      </c>
      <c r="T9" s="253">
        <f t="shared" ref="T9" ca="1" si="12">R10-S9</f>
        <v>-20.454827834810658</v>
      </c>
      <c r="U9" s="326">
        <f t="shared" ref="U9" ca="1" si="13">T9/AVERAGE(R10,S10)</f>
        <v>-6.1358654432260906E-2</v>
      </c>
      <c r="V9" s="253">
        <f t="shared" ref="V9" ca="1" si="14">R9-S10</f>
        <v>-11.967862105055247</v>
      </c>
      <c r="W9" s="326">
        <f t="shared" ref="W9" ca="1" si="15">V9/AVERAGE(R10,S10)</f>
        <v>-3.5900175798464884E-2</v>
      </c>
      <c r="X9" s="201">
        <f>AC9</f>
        <v>1E-3</v>
      </c>
      <c r="Y9" s="202">
        <f>AC10</f>
        <v>0</v>
      </c>
      <c r="Z9" s="202">
        <f>AD10</f>
        <v>0</v>
      </c>
      <c r="AA9" s="203">
        <f>AD9</f>
        <v>1E-3</v>
      </c>
      <c r="AC9" s="66">
        <v>1E-3</v>
      </c>
      <c r="AD9" s="67">
        <v>1E-3</v>
      </c>
      <c r="AE9" s="68" t="s">
        <v>88</v>
      </c>
    </row>
    <row r="10" spans="1:31" ht="15.75" thickBot="1" x14ac:dyDescent="0.3">
      <c r="A10" s="204">
        <f>MATCH(F10,SCALARS!C:C,0)</f>
        <v>49</v>
      </c>
      <c r="B10" s="205">
        <f>MATCH(F10,'MKT DATA'!B:B,0)</f>
        <v>63</v>
      </c>
      <c r="C10" s="204" t="str" cm="1">
        <f t="array" aca="1" ref="C10" ca="1">INDIRECT(ADDRESS($A10,2,,,"ANCHOR INPUTS"))</f>
        <v>industrials</v>
      </c>
      <c r="D10" s="327">
        <v>85377</v>
      </c>
      <c r="E10" s="206" t="str" cm="1">
        <f t="array" aca="1" ref="E10" ca="1">INDIRECT(ADDRESS($A10,5,,,"ANCHOR INPUTS"))</f>
        <v>VIS</v>
      </c>
      <c r="F10" s="350" t="s">
        <v>142</v>
      </c>
      <c r="G10" s="329"/>
      <c r="H10" s="330" cm="1">
        <f t="array" aca="1" ref="H10" ca="1">INDIRECT(ADDRESS($B10,9,,,"mkt data"))</f>
        <v>0</v>
      </c>
      <c r="I10" s="331">
        <f ca="1">H10*AVERAGE(L10:M10)</f>
        <v>0</v>
      </c>
      <c r="J10" s="330">
        <f t="shared" ca="1" si="10"/>
        <v>0</v>
      </c>
      <c r="K10" s="332"/>
      <c r="L10" s="333" cm="1">
        <f t="array" aca="1" ref="L10" ca="1">INDIRECT(ADDRESS($B10,5,,,"mkt data"))</f>
        <v>329.24</v>
      </c>
      <c r="M10" s="334" cm="1">
        <f t="array" aca="1" ref="M10" ca="1">INDIRECT(ADDRESS($B10,6,,,"mkt data"))</f>
        <v>337.49</v>
      </c>
      <c r="N10" s="335"/>
      <c r="O10" s="213">
        <f ca="1">L10-O$1</f>
        <v>329.23500000000001</v>
      </c>
      <c r="P10" s="213">
        <f ca="1">M10+O$1</f>
        <v>337.495</v>
      </c>
      <c r="Q10" s="352" cm="1">
        <f t="array" aca="1" ref="Q10" ca="1">INDIRECT(ADDRESS($A10,6,,,"scalars"))</f>
        <v>1</v>
      </c>
      <c r="R10" s="337">
        <f ca="1">O10*Q10</f>
        <v>329.23500000000001</v>
      </c>
      <c r="S10" s="337">
        <f t="shared" ca="1" si="11"/>
        <v>337.495</v>
      </c>
      <c r="T10" s="254"/>
      <c r="U10" s="338"/>
      <c r="V10" s="254"/>
      <c r="W10" s="338"/>
      <c r="X10" s="216" t="b">
        <f ca="1">IF(U9&gt;X9,TRUE,FALSE)</f>
        <v>0</v>
      </c>
      <c r="Y10" s="217" t="b">
        <f ca="1">AND(IF(W9&gt;-Y9,TRUE,FALSE),IF(H9&gt;0,TRUE,FALSE))</f>
        <v>0</v>
      </c>
      <c r="Z10" s="217" t="b">
        <f ca="1">AND(IF(U9&gt;-Z9,TRUE,FALSE),IF(H9&lt;0,TRUE,FALSE))</f>
        <v>0</v>
      </c>
      <c r="AA10" s="218" t="b">
        <f ca="1">IF(W9&gt;AA9,TRUE,FALSE)</f>
        <v>0</v>
      </c>
      <c r="AC10" s="67">
        <v>0</v>
      </c>
      <c r="AD10" s="67">
        <v>0</v>
      </c>
      <c r="AE10" s="68" t="s">
        <v>89</v>
      </c>
    </row>
    <row r="11" spans="1:31" x14ac:dyDescent="0.25">
      <c r="A11" s="162">
        <f>MATCH(F11,SCALARS!C:C,0)</f>
        <v>50</v>
      </c>
      <c r="B11" s="163">
        <f>MATCH(F11,'MKT DATA'!B:B,0)</f>
        <v>46</v>
      </c>
      <c r="C11" s="162" t="str" cm="1">
        <f t="array" aca="1" ref="C11" ca="1">INDIRECT(ADDRESS($A11,2,,,"ANCHOR INPUTS"))</f>
        <v>real estate</v>
      </c>
      <c r="D11" s="223">
        <v>285845</v>
      </c>
      <c r="E11" s="17" t="str" cm="1">
        <f t="array" aca="1" ref="E11" ca="1">INDIRECT(ADDRESS($A11,5,,,"ANCHOR INPUTS"))</f>
        <v>VNQ</v>
      </c>
      <c r="F11" s="18" t="s">
        <v>116</v>
      </c>
      <c r="G11" s="96"/>
      <c r="H11" s="34" cm="1">
        <f t="array" aca="1" ref="H11" ca="1">INDIRECT(ADDRESS($B11,9,,,"mkt data"))</f>
        <v>0</v>
      </c>
      <c r="I11" s="69">
        <f t="shared" ca="1" si="0"/>
        <v>0</v>
      </c>
      <c r="J11" s="34">
        <f t="shared" ca="1" si="1"/>
        <v>0</v>
      </c>
      <c r="K11" s="247">
        <f ca="1">SUM(J11:J12)</f>
        <v>0</v>
      </c>
      <c r="L11" s="40" cm="1">
        <f t="array" aca="1" ref="L11" ca="1">INDIRECT(ADDRESS($B11,5,,,"mkt data"))</f>
        <v>14.66</v>
      </c>
      <c r="M11" s="41" cm="1">
        <f t="array" aca="1" ref="M11" ca="1">INDIRECT(ADDRESS($B11,6,,,"mkt data"))</f>
        <v>43.33</v>
      </c>
      <c r="N11" s="185"/>
      <c r="O11" s="19">
        <f t="shared" ca="1" si="2"/>
        <v>14.654999999999999</v>
      </c>
      <c r="P11" s="19">
        <f t="shared" ca="1" si="3"/>
        <v>43.335000000000001</v>
      </c>
      <c r="Q11" s="57" cm="1">
        <f t="array" aca="1" ref="Q11" ca="1">INDIRECT(ADDRESS($A11,6,,,"scalars"))</f>
        <v>3.2929797219317485</v>
      </c>
      <c r="R11" s="20">
        <f ca="1">O11*Q11</f>
        <v>48.25861782490977</v>
      </c>
      <c r="S11" s="20">
        <f t="shared" ref="S11:S16" ca="1" si="16">Q11*P11</f>
        <v>142.70127624991233</v>
      </c>
      <c r="T11" s="242">
        <f t="shared" ref="T11" ca="1" si="17">R12-S11</f>
        <v>-46.576276249912326</v>
      </c>
      <c r="U11" s="244">
        <f t="shared" ref="U11" ca="1" si="18">T11/AVERAGE(R12,S12)</f>
        <v>-0.48333187619895529</v>
      </c>
      <c r="V11" s="242">
        <f t="shared" ref="V11" ca="1" si="19">R11-S12</f>
        <v>-48.34638217509022</v>
      </c>
      <c r="W11" s="244">
        <f t="shared" ref="W11" ca="1" si="20">V11/AVERAGE(R12,S12)</f>
        <v>-0.50170064001546433</v>
      </c>
      <c r="X11" s="87">
        <f>AC11</f>
        <v>1E-3</v>
      </c>
      <c r="Y11" s="58">
        <f>AC12</f>
        <v>0</v>
      </c>
      <c r="Z11" s="58">
        <f>AD12</f>
        <v>0</v>
      </c>
      <c r="AA11" s="88">
        <f>AD11</f>
        <v>1E-3</v>
      </c>
      <c r="AC11" s="66">
        <v>1E-3</v>
      </c>
      <c r="AD11" s="67">
        <v>1E-3</v>
      </c>
      <c r="AE11" s="68" t="s">
        <v>88</v>
      </c>
    </row>
    <row r="12" spans="1:31" ht="15.75" thickBot="1" x14ac:dyDescent="0.3">
      <c r="A12" s="164">
        <f>MATCH(F12,SCALARS!C:C,0)</f>
        <v>51</v>
      </c>
      <c r="B12" s="165">
        <f>MATCH(F12,'MKT DATA'!B:B,0)</f>
        <v>64</v>
      </c>
      <c r="C12" s="164" t="str" cm="1">
        <f t="array" aca="1" ref="C12" ca="1">INDIRECT(ADDRESS($A12,2,,,"ANCHOR INPUTS"))</f>
        <v>real estate</v>
      </c>
      <c r="D12" s="224">
        <v>3162147</v>
      </c>
      <c r="E12" s="23" t="str" cm="1">
        <f t="array" aca="1" ref="E12" ca="1">INDIRECT(ADDRESS($A12,5,,,"ANCHOR INPUTS"))</f>
        <v>VNQ</v>
      </c>
      <c r="F12" s="24" t="s">
        <v>118</v>
      </c>
      <c r="G12" s="97"/>
      <c r="H12" s="36" cm="1">
        <f t="array" aca="1" ref="H12" ca="1">INDIRECT(ADDRESS($B12,9,,,"mkt data"))</f>
        <v>0</v>
      </c>
      <c r="I12" s="71">
        <f t="shared" ca="1" si="0"/>
        <v>0</v>
      </c>
      <c r="J12" s="36">
        <f t="shared" ca="1" si="1"/>
        <v>0</v>
      </c>
      <c r="K12" s="248"/>
      <c r="L12" s="44" cm="1">
        <f t="array" aca="1" ref="L12" ca="1">INDIRECT(ADDRESS($B12,5,,,"mkt data"))</f>
        <v>96.13</v>
      </c>
      <c r="M12" s="45" cm="1">
        <f t="array" aca="1" ref="M12" ca="1">INDIRECT(ADDRESS($B12,6,,,"mkt data"))</f>
        <v>96.6</v>
      </c>
      <c r="N12" s="186"/>
      <c r="O12" s="25">
        <f t="shared" ca="1" si="2"/>
        <v>96.125</v>
      </c>
      <c r="P12" s="25">
        <f t="shared" ca="1" si="3"/>
        <v>96.60499999999999</v>
      </c>
      <c r="Q12" s="59" cm="1">
        <f t="array" aca="1" ref="Q12" ca="1">INDIRECT(ADDRESS($A12,6,,,"scalars"))</f>
        <v>1</v>
      </c>
      <c r="R12" s="26">
        <f ca="1">O12*Q12</f>
        <v>96.125</v>
      </c>
      <c r="S12" s="26">
        <f t="shared" ca="1" si="16"/>
        <v>96.60499999999999</v>
      </c>
      <c r="T12" s="243"/>
      <c r="U12" s="245"/>
      <c r="V12" s="243"/>
      <c r="W12" s="245"/>
      <c r="X12" s="89" t="b">
        <f ca="1">IF(U11&gt;X11,TRUE,FALSE)</f>
        <v>0</v>
      </c>
      <c r="Y12" s="60" t="b">
        <f ca="1">AND(IF(W11&gt;-Y11,TRUE,FALSE),IF(H11&gt;0,TRUE,FALSE))</f>
        <v>0</v>
      </c>
      <c r="Z12" s="60" t="b">
        <f ca="1">AND(IF(U11&gt;-Z11,TRUE,FALSE),IF(H11&lt;0,TRUE,FALSE))</f>
        <v>0</v>
      </c>
      <c r="AA12" s="90" t="b">
        <f ca="1">IF(W11&gt;AA11,TRUE,FALSE)</f>
        <v>0</v>
      </c>
      <c r="AC12" s="67">
        <v>0</v>
      </c>
      <c r="AD12" s="67">
        <v>0</v>
      </c>
      <c r="AE12" s="68" t="s">
        <v>89</v>
      </c>
    </row>
    <row r="13" spans="1:31" x14ac:dyDescent="0.25">
      <c r="A13" s="162">
        <f>MATCH(F13,SCALARS!C:C,0)</f>
        <v>52</v>
      </c>
      <c r="B13" s="163">
        <f>MATCH(F13,'MKT DATA'!B:B,0)</f>
        <v>47</v>
      </c>
      <c r="C13" s="162" t="str" cm="1">
        <f t="array" aca="1" ref="C13" ca="1">INDIRECT(ADDRESS($A13,2,,,"ANCHOR INPUTS"))</f>
        <v>staples</v>
      </c>
      <c r="D13" s="223">
        <v>121983</v>
      </c>
      <c r="E13" s="17" t="str" cm="1">
        <f t="array" aca="1" ref="E13" ca="1">INDIRECT(ADDRESS($A13,5,,,"ANCHOR INPUTS"))</f>
        <v>VDC</v>
      </c>
      <c r="F13" s="18" t="s">
        <v>100</v>
      </c>
      <c r="G13" s="96"/>
      <c r="H13" s="34" cm="1">
        <f t="array" aca="1" ref="H13" ca="1">INDIRECT(ADDRESS($B13,9,,,"mkt data"))</f>
        <v>0</v>
      </c>
      <c r="I13" s="69">
        <f t="shared" ca="1" si="0"/>
        <v>0</v>
      </c>
      <c r="J13" s="34">
        <f t="shared" ca="1" si="1"/>
        <v>0</v>
      </c>
      <c r="K13" s="235">
        <f ca="1">SUM(J13:J14)</f>
        <v>0</v>
      </c>
      <c r="L13" s="40" cm="1">
        <f t="array" aca="1" ref="L13" ca="1">INDIRECT(ADDRESS($B13,5,,,"mkt data"))</f>
        <v>53</v>
      </c>
      <c r="M13" s="41" cm="1">
        <f t="array" aca="1" ref="M13" ca="1">INDIRECT(ADDRESS($B13,6,,,"mkt data"))</f>
        <v>55</v>
      </c>
      <c r="N13" s="185"/>
      <c r="O13" s="19">
        <f t="shared" ca="1" si="2"/>
        <v>52.994999999999997</v>
      </c>
      <c r="P13" s="19">
        <f t="shared" ca="1" si="3"/>
        <v>55.005000000000003</v>
      </c>
      <c r="Q13" s="57" cm="1">
        <f t="array" aca="1" ref="Q13" ca="1">INDIRECT(ADDRESS($A13,6,,,"scalars"))</f>
        <v>4.2919040125627728</v>
      </c>
      <c r="R13" s="20">
        <f ca="1">O13*Q13</f>
        <v>227.44945314576412</v>
      </c>
      <c r="S13" s="20">
        <f t="shared" ca="1" si="16"/>
        <v>236.07618021101533</v>
      </c>
      <c r="T13" s="242">
        <f t="shared" ref="T13" ca="1" si="21">R14-S13</f>
        <v>-9.0811802110153224</v>
      </c>
      <c r="U13" s="244">
        <f t="shared" ref="U13" ca="1" si="22">T13/AVERAGE(R14,S14)</f>
        <v>-3.9181016982052952E-2</v>
      </c>
      <c r="V13" s="242">
        <f t="shared" ref="V13" ca="1" si="23">R13-S14</f>
        <v>-9.1055468542358824</v>
      </c>
      <c r="W13" s="244">
        <f t="shared" ref="W13" ca="1" si="24">V13/AVERAGE(R14,S14)</f>
        <v>-3.9286147575173694E-2</v>
      </c>
      <c r="X13" s="87">
        <f>AC13</f>
        <v>1E-3</v>
      </c>
      <c r="Y13" s="58">
        <f>AC14</f>
        <v>0</v>
      </c>
      <c r="Z13" s="58">
        <f>AD14</f>
        <v>0</v>
      </c>
      <c r="AA13" s="88">
        <f>AD13</f>
        <v>1E-3</v>
      </c>
      <c r="AC13" s="66">
        <v>1E-3</v>
      </c>
      <c r="AD13" s="67">
        <v>1E-3</v>
      </c>
      <c r="AE13" s="68" t="s">
        <v>88</v>
      </c>
    </row>
    <row r="14" spans="1:31" ht="15.75" thickBot="1" x14ac:dyDescent="0.3">
      <c r="A14" s="164">
        <f>MATCH(F14,SCALARS!C:C,0)</f>
        <v>53</v>
      </c>
      <c r="B14" s="165">
        <f>MATCH(F14,'MKT DATA'!B:B,0)</f>
        <v>65</v>
      </c>
      <c r="C14" s="164" t="str" cm="1">
        <f t="array" aca="1" ref="C14" ca="1">INDIRECT(ADDRESS($A14,2,,,"ANCHOR INPUTS"))</f>
        <v>staples</v>
      </c>
      <c r="D14" s="224">
        <v>159020</v>
      </c>
      <c r="E14" s="23" t="str" cm="1">
        <f t="array" aca="1" ref="E14" ca="1">INDIRECT(ADDRESS($A14,5,,,"ANCHOR INPUTS"))</f>
        <v>VDC</v>
      </c>
      <c r="F14" s="24" t="s">
        <v>101</v>
      </c>
      <c r="G14" s="97"/>
      <c r="H14" s="36" cm="1">
        <f t="array" aca="1" ref="H14" ca="1">INDIRECT(ADDRESS($B14,9,,,"mkt data"))</f>
        <v>0</v>
      </c>
      <c r="I14" s="71">
        <f t="shared" ref="I14" ca="1" si="25">H14*AVERAGE(L14:M14)</f>
        <v>0</v>
      </c>
      <c r="J14" s="36">
        <f t="shared" ca="1" si="1"/>
        <v>0</v>
      </c>
      <c r="K14" s="236"/>
      <c r="L14" s="44" cm="1">
        <f t="array" aca="1" ref="L14" ca="1">INDIRECT(ADDRESS($B14,5,,,"mkt data"))</f>
        <v>227</v>
      </c>
      <c r="M14" s="45" cm="1">
        <f t="array" aca="1" ref="M14" ca="1">INDIRECT(ADDRESS($B14,6,,,"mkt data"))</f>
        <v>236.55</v>
      </c>
      <c r="N14" s="186"/>
      <c r="O14" s="25">
        <f t="shared" ca="1" si="2"/>
        <v>226.995</v>
      </c>
      <c r="P14" s="25">
        <f t="shared" ca="1" si="3"/>
        <v>236.55500000000001</v>
      </c>
      <c r="Q14" s="59" cm="1">
        <f t="array" aca="1" ref="Q14" ca="1">INDIRECT(ADDRESS($A14,6,,,"scalars"))</f>
        <v>1</v>
      </c>
      <c r="R14" s="26">
        <f ca="1">O14*Q14</f>
        <v>226.995</v>
      </c>
      <c r="S14" s="26">
        <f t="shared" ca="1" si="16"/>
        <v>236.55500000000001</v>
      </c>
      <c r="T14" s="243"/>
      <c r="U14" s="245"/>
      <c r="V14" s="243"/>
      <c r="W14" s="245"/>
      <c r="X14" s="89" t="b">
        <f ca="1">IF(U13&gt;X13,TRUE,FALSE)</f>
        <v>0</v>
      </c>
      <c r="Y14" s="60" t="b">
        <f ca="1">AND(IF(W13&gt;-Y13,TRUE,FALSE),IF(H13&gt;0,TRUE,FALSE))</f>
        <v>0</v>
      </c>
      <c r="Z14" s="60" t="b">
        <f ca="1">AND(IF(U13&gt;-Z13,TRUE,FALSE),IF(H13&lt;0,TRUE,FALSE))</f>
        <v>0</v>
      </c>
      <c r="AA14" s="90" t="b">
        <f ca="1">IF(W13&gt;AA13,TRUE,FALSE)</f>
        <v>0</v>
      </c>
      <c r="AC14" s="67">
        <v>0</v>
      </c>
      <c r="AD14" s="67">
        <v>0</v>
      </c>
      <c r="AE14" s="68" t="s">
        <v>89</v>
      </c>
    </row>
    <row r="15" spans="1:31" x14ac:dyDescent="0.25">
      <c r="A15" s="162">
        <f>MATCH(F15,SCALARS!C:C,0)</f>
        <v>55</v>
      </c>
      <c r="B15" s="163">
        <f>MATCH(F15,'MKT DATA'!B:B,0)</f>
        <v>66</v>
      </c>
      <c r="C15" s="162" t="str" cm="1">
        <f t="array" aca="1" ref="C15" ca="1">INDIRECT(ADDRESS($A15,2,,,"ANCHOR INPUTS"))</f>
        <v>technology</v>
      </c>
      <c r="D15" s="223">
        <v>4740666</v>
      </c>
      <c r="E15" s="17" t="str" cm="1">
        <f t="array" aca="1" ref="E15" ca="1">INDIRECT(ADDRESS($A15,5,,,"ANCHOR INPUTS"))</f>
        <v>FTEC</v>
      </c>
      <c r="F15" s="181" t="s">
        <v>122</v>
      </c>
      <c r="G15" s="96"/>
      <c r="H15" s="34" cm="1">
        <f t="array" aca="1" ref="H15" ca="1">INDIRECT(ADDRESS($B15,9,,,"mkt data"))</f>
        <v>0</v>
      </c>
      <c r="I15" s="69">
        <f ca="1">H15*AVERAGE(L15:M15)</f>
        <v>0</v>
      </c>
      <c r="J15" s="34">
        <f t="shared" ca="1" si="1"/>
        <v>0</v>
      </c>
      <c r="K15" s="235">
        <f ca="1">SUM(J15:J16)</f>
        <v>0</v>
      </c>
      <c r="L15" s="40" cm="1">
        <f t="array" aca="1" ref="L15" ca="1">INDIRECT(ADDRESS($B15,5,,,"mkt data"))</f>
        <v>118.9</v>
      </c>
      <c r="M15" s="41" cm="1">
        <f t="array" aca="1" ref="M15" ca="1">INDIRECT(ADDRESS($B15,6,,,"mkt data"))</f>
        <v>119</v>
      </c>
      <c r="N15" s="185"/>
      <c r="O15" s="19">
        <f t="shared" ca="1" si="2"/>
        <v>118.89500000000001</v>
      </c>
      <c r="P15" s="19">
        <f t="shared" ca="1" si="3"/>
        <v>119.005</v>
      </c>
      <c r="Q15" s="179" cm="1">
        <f t="array" aca="1" ref="Q15" ca="1">INDIRECT(ADDRESS($A15,6,,,"scalars"))</f>
        <v>2.3864808369535226</v>
      </c>
      <c r="R15" s="20">
        <f ca="1">O15*Q15</f>
        <v>283.7406391095891</v>
      </c>
      <c r="S15" s="20">
        <f t="shared" ca="1" si="16"/>
        <v>284.00315200165397</v>
      </c>
      <c r="T15" s="242">
        <f t="shared" ref="T15" ca="1" si="26">R16-S15</f>
        <v>-0.85815200165399119</v>
      </c>
      <c r="U15" s="244">
        <f t="shared" ref="U15" ca="1" si="27">T15/AVERAGE(R16,S16)</f>
        <v>-2.9997448279436905E-3</v>
      </c>
      <c r="V15" s="242">
        <f t="shared" ref="V15" ca="1" si="28">R15-S16</f>
        <v>-5.2643608904108987</v>
      </c>
      <c r="W15" s="244">
        <f t="shared" ref="W15" ca="1" si="29">V15/AVERAGE(R16,S16)</f>
        <v>-1.8402030552865153E-2</v>
      </c>
      <c r="X15" s="87">
        <f>AC15</f>
        <v>1E-3</v>
      </c>
      <c r="Y15" s="58">
        <f>AC16</f>
        <v>0</v>
      </c>
      <c r="Z15" s="58">
        <f>AD16</f>
        <v>0</v>
      </c>
      <c r="AA15" s="88">
        <f>AD15</f>
        <v>1E-3</v>
      </c>
      <c r="AC15" s="66">
        <v>1E-3</v>
      </c>
      <c r="AD15" s="67">
        <v>1E-3</v>
      </c>
      <c r="AE15" s="68" t="s">
        <v>88</v>
      </c>
    </row>
    <row r="16" spans="1:31" ht="15.75" thickBot="1" x14ac:dyDescent="0.3">
      <c r="A16" s="164">
        <f>MATCH(F16,SCALARS!C:C,0)</f>
        <v>54</v>
      </c>
      <c r="B16" s="165">
        <f>MATCH(F16,'MKT DATA'!B:B,0)</f>
        <v>48</v>
      </c>
      <c r="C16" s="164" t="str" cm="1">
        <f t="array" aca="1" ref="C16" ca="1">INDIRECT(ADDRESS($A16,2,,,"ANCHOR INPUTS"))</f>
        <v>technology</v>
      </c>
      <c r="D16" s="224">
        <v>329290</v>
      </c>
      <c r="E16" s="23" t="str" cm="1">
        <f t="array" aca="1" ref="E16" ca="1">INDIRECT(ADDRESS($A16,5,,,"ANCHOR INPUTS"))</f>
        <v>FTEC</v>
      </c>
      <c r="F16" s="182" t="s">
        <v>120</v>
      </c>
      <c r="G16" s="97"/>
      <c r="H16" s="36" cm="1">
        <f t="array" aca="1" ref="H16" ca="1">INDIRECT(ADDRESS($B16,9,,,"mkt data"))</f>
        <v>0</v>
      </c>
      <c r="I16" s="71">
        <f ca="1">H16*AVERAGE(L16:M16)</f>
        <v>0</v>
      </c>
      <c r="J16" s="36">
        <f t="shared" ca="1" si="1"/>
        <v>0</v>
      </c>
      <c r="K16" s="236"/>
      <c r="L16" s="44" cm="1">
        <f t="array" aca="1" ref="L16" ca="1">INDIRECT(ADDRESS($B16,5,,,"mkt data"))</f>
        <v>283.14999999999998</v>
      </c>
      <c r="M16" s="45" cm="1">
        <f t="array" aca="1" ref="M16" ca="1">INDIRECT(ADDRESS($B16,6,,,"mkt data"))</f>
        <v>289</v>
      </c>
      <c r="N16" s="186"/>
      <c r="O16" s="25">
        <f t="shared" ca="1" si="2"/>
        <v>283.14499999999998</v>
      </c>
      <c r="P16" s="25">
        <f t="shared" ca="1" si="3"/>
        <v>289.005</v>
      </c>
      <c r="Q16" s="180" cm="1">
        <f t="array" aca="1" ref="Q16" ca="1">INDIRECT(ADDRESS($A16,6,,,"scalars"))</f>
        <v>1</v>
      </c>
      <c r="R16" s="26">
        <f t="shared" ref="R16" ca="1" si="30">O16*Q16</f>
        <v>283.14499999999998</v>
      </c>
      <c r="S16" s="26">
        <f t="shared" ca="1" si="16"/>
        <v>289.005</v>
      </c>
      <c r="T16" s="243"/>
      <c r="U16" s="245"/>
      <c r="V16" s="243"/>
      <c r="W16" s="245"/>
      <c r="X16" s="89" t="b">
        <f ca="1">IF(U15&gt;X15,TRUE,FALSE)</f>
        <v>0</v>
      </c>
      <c r="Y16" s="60" t="b">
        <f ca="1">AND(IF(W15&gt;-Y15,TRUE,FALSE),IF(H15&gt;0,TRUE,FALSE))</f>
        <v>0</v>
      </c>
      <c r="Z16" s="60" t="b">
        <f ca="1">AND(IF(U15&gt;-Z15,TRUE,FALSE),IF(H15&lt;0,TRUE,FALSE))</f>
        <v>0</v>
      </c>
      <c r="AA16" s="90" t="b">
        <f ca="1">IF(W15&gt;AA15,TRUE,FALSE)</f>
        <v>0</v>
      </c>
      <c r="AC16" s="67">
        <v>0</v>
      </c>
      <c r="AD16" s="67">
        <v>0</v>
      </c>
      <c r="AE16" s="68" t="s">
        <v>89</v>
      </c>
    </row>
    <row r="17" spans="1:31" x14ac:dyDescent="0.25">
      <c r="A17" s="162">
        <f>MATCH(F17,SCALARS!C:C,0)</f>
        <v>56</v>
      </c>
      <c r="B17" s="163">
        <f>MATCH(F17,'MKT DATA'!B:B,0)</f>
        <v>49</v>
      </c>
      <c r="C17" s="162" t="str" cm="1">
        <f t="array" aca="1" ref="C17" ca="1">INDIRECT(ADDRESS($A17,2,,,"ANCHOR INPUTS"))</f>
        <v>utilities</v>
      </c>
      <c r="D17" s="223">
        <v>364377</v>
      </c>
      <c r="E17" s="17" t="str" cm="1">
        <f t="array" aca="1" ref="E17" ca="1">INDIRECT(ADDRESS($A17,5,,,"ANCHOR INPUTS"))</f>
        <v>VPU</v>
      </c>
      <c r="F17" s="18" t="s">
        <v>124</v>
      </c>
      <c r="G17" s="96"/>
      <c r="H17" s="34" cm="1">
        <f t="array" aca="1" ref="H17" ca="1">INDIRECT(ADDRESS($B17,9,,,"mkt data"))</f>
        <v>0</v>
      </c>
      <c r="I17" s="69">
        <f ca="1">H17*AVERAGE(L17:M17)</f>
        <v>0</v>
      </c>
      <c r="J17" s="34">
        <f t="shared" ca="1" si="1"/>
        <v>0</v>
      </c>
      <c r="K17" s="249">
        <f ca="1">SUM(J17:J18)</f>
        <v>0</v>
      </c>
      <c r="L17" s="40" cm="1">
        <f t="array" aca="1" ref="L17" ca="1">INDIRECT(ADDRESS($B17,5,,,"mkt data"))</f>
        <v>55</v>
      </c>
      <c r="M17" s="41" cm="1">
        <f t="array" aca="1" ref="M17" ca="1">INDIRECT(ADDRESS($B17,6,,,"mkt data"))</f>
        <v>55.17</v>
      </c>
      <c r="N17" s="185"/>
      <c r="O17" s="19">
        <f t="shared" ca="1" si="2"/>
        <v>54.994999999999997</v>
      </c>
      <c r="P17" s="19">
        <f t="shared" ca="1" si="3"/>
        <v>55.175000000000004</v>
      </c>
      <c r="Q17" s="57" cm="1">
        <f t="array" aca="1" ref="Q17" ca="1">INDIRECT(ADDRESS($A17,6,,,"scalars"))</f>
        <v>3.350232930996607</v>
      </c>
      <c r="R17" s="20">
        <f ca="1">O17*Q17</f>
        <v>184.2460600401584</v>
      </c>
      <c r="S17" s="20">
        <f t="shared" ref="S17:S18" ca="1" si="31">Q17*P17</f>
        <v>184.84910196773779</v>
      </c>
      <c r="T17" s="242">
        <f t="shared" ref="T17" ca="1" si="32">R18-S17</f>
        <v>-3.4841019677377858</v>
      </c>
      <c r="U17" s="244">
        <f t="shared" ref="U17" ca="1" si="33">T17/AVERAGE(R18,S18)</f>
        <v>-1.897814073991767E-2</v>
      </c>
      <c r="V17" s="242">
        <f t="shared" ref="V17" ca="1" si="34">R17-S18</f>
        <v>-1.5589399598416094</v>
      </c>
      <c r="W17" s="244">
        <f t="shared" ref="W17" ca="1" si="35">V17/AVERAGE(R18,S18)</f>
        <v>-8.4916521493673732E-3</v>
      </c>
      <c r="X17" s="87">
        <f>AC17</f>
        <v>1E-3</v>
      </c>
      <c r="Y17" s="58">
        <f>AC18</f>
        <v>0</v>
      </c>
      <c r="Z17" s="58">
        <f>AD18</f>
        <v>0</v>
      </c>
      <c r="AA17" s="88">
        <f>AD17</f>
        <v>1E-3</v>
      </c>
      <c r="AC17" s="66">
        <v>1E-3</v>
      </c>
      <c r="AD17" s="67">
        <v>1E-3</v>
      </c>
      <c r="AE17" s="68" t="s">
        <v>88</v>
      </c>
    </row>
    <row r="18" spans="1:31" ht="15.75" thickBot="1" x14ac:dyDescent="0.3">
      <c r="A18" s="164">
        <f>MATCH(F18,SCALARS!C:C,0)</f>
        <v>57</v>
      </c>
      <c r="B18" s="165">
        <f>MATCH(F18,'MKT DATA'!B:B,0)</f>
        <v>67</v>
      </c>
      <c r="C18" s="164" t="str" cm="1">
        <f t="array" aca="1" ref="C18" ca="1">INDIRECT(ADDRESS($A18,2,,,"ANCHOR INPUTS"))</f>
        <v>utilities</v>
      </c>
      <c r="D18" s="224">
        <v>243700</v>
      </c>
      <c r="E18" s="23" t="str" cm="1">
        <f t="array" aca="1" ref="E18" ca="1">INDIRECT(ADDRESS($A18,5,,,"ANCHOR INPUTS"))</f>
        <v>VPU</v>
      </c>
      <c r="F18" s="24" t="s">
        <v>126</v>
      </c>
      <c r="G18" s="97"/>
      <c r="H18" s="36" cm="1">
        <f t="array" aca="1" ref="H18" ca="1">INDIRECT(ADDRESS($B18,9,,,"mkt data"))</f>
        <v>0</v>
      </c>
      <c r="I18" s="71">
        <f ca="1">H18*AVERAGE(L18:M18)</f>
        <v>0</v>
      </c>
      <c r="J18" s="36">
        <f t="shared" ca="1" si="1"/>
        <v>0</v>
      </c>
      <c r="K18" s="250"/>
      <c r="L18" s="44" cm="1">
        <f t="array" aca="1" ref="L18" ca="1">INDIRECT(ADDRESS($B18,5,,,"mkt data"))</f>
        <v>181.37</v>
      </c>
      <c r="M18" s="45" cm="1">
        <f t="array" aca="1" ref="M18" ca="1">INDIRECT(ADDRESS($B18,6,,,"mkt data"))</f>
        <v>185.8</v>
      </c>
      <c r="N18" s="186"/>
      <c r="O18" s="25">
        <f t="shared" ca="1" si="2"/>
        <v>181.36500000000001</v>
      </c>
      <c r="P18" s="25">
        <f t="shared" ca="1" si="3"/>
        <v>185.80500000000001</v>
      </c>
      <c r="Q18" s="59" cm="1">
        <f t="array" aca="1" ref="Q18" ca="1">INDIRECT(ADDRESS($A18,6,,,"scalars"))</f>
        <v>1</v>
      </c>
      <c r="R18" s="26">
        <f t="shared" ref="R18" ca="1" si="36">O18*Q18</f>
        <v>181.36500000000001</v>
      </c>
      <c r="S18" s="26">
        <f t="shared" ca="1" si="31"/>
        <v>185.80500000000001</v>
      </c>
      <c r="T18" s="243"/>
      <c r="U18" s="245"/>
      <c r="V18" s="243"/>
      <c r="W18" s="245"/>
      <c r="X18" s="89" t="b">
        <f ca="1">IF(U17&gt;X17,TRUE,FALSE)</f>
        <v>0</v>
      </c>
      <c r="Y18" s="60" t="b">
        <f ca="1">AND(IF(W17&gt;-Y17,TRUE,FALSE),IF(H17&gt;0,TRUE,FALSE))</f>
        <v>0</v>
      </c>
      <c r="Z18" s="60" t="b">
        <f ca="1">AND(IF(U17&gt;-Z17,TRUE,FALSE),IF(H17&lt;0,TRUE,FALSE))</f>
        <v>0</v>
      </c>
      <c r="AA18" s="90" t="b">
        <f ca="1">IF(W17&gt;AA17,TRUE,FALSE)</f>
        <v>0</v>
      </c>
      <c r="AC18" s="67">
        <v>0</v>
      </c>
      <c r="AD18" s="67">
        <v>0</v>
      </c>
      <c r="AE18" s="68" t="s">
        <v>89</v>
      </c>
    </row>
    <row r="19" spans="1:31" ht="15.75" thickBot="1" x14ac:dyDescent="0.3">
      <c r="A19" s="227" t="str">
        <f>'MKT DATA'!J2</f>
        <v>2026-09-01_16-47-17</v>
      </c>
      <c r="B19" s="227"/>
      <c r="C19" s="227"/>
      <c r="D19" s="6"/>
    </row>
    <row r="20" spans="1:31" x14ac:dyDescent="0.25">
      <c r="A20" s="228" t="str">
        <f>A1</f>
        <v>rows</v>
      </c>
      <c r="B20" s="229">
        <f>B1</f>
        <v>0</v>
      </c>
      <c r="C20" s="178"/>
      <c r="D20" s="225"/>
      <c r="E20" s="74"/>
      <c r="F20" s="74"/>
      <c r="G20" s="92"/>
      <c r="H20" s="230" t="str">
        <f>H1</f>
        <v>current position</v>
      </c>
      <c r="I20" s="230">
        <f>I1</f>
        <v>0</v>
      </c>
      <c r="J20" s="230">
        <f>J1</f>
        <v>0</v>
      </c>
      <c r="K20" s="231">
        <f>K1</f>
        <v>0</v>
      </c>
      <c r="L20" s="232" t="str">
        <f>L1</f>
        <v>mkt prices</v>
      </c>
      <c r="M20" s="233">
        <f>M1</f>
        <v>0</v>
      </c>
      <c r="N20" s="183"/>
      <c r="O20" s="234">
        <f>O1</f>
        <v>5.0000000000000001E-3</v>
      </c>
      <c r="P20" s="234">
        <f>P1</f>
        <v>0</v>
      </c>
      <c r="Q20" s="46"/>
      <c r="R20" s="237" t="str">
        <f>R1</f>
        <v>unit cf</v>
      </c>
      <c r="S20" s="238">
        <f>S1</f>
        <v>0</v>
      </c>
      <c r="T20" s="246" t="str">
        <f>T1</f>
        <v>lift top/hit bottom</v>
      </c>
      <c r="U20" s="238">
        <f>U1</f>
        <v>0</v>
      </c>
      <c r="V20" s="239" t="str">
        <f>V1</f>
        <v>hit top/lift bottom</v>
      </c>
      <c r="W20" s="240">
        <f>W1</f>
        <v>0</v>
      </c>
      <c r="X20" s="52" t="str">
        <f>X1</f>
        <v>enter</v>
      </c>
      <c r="Y20" s="54" t="str">
        <f>Y1</f>
        <v>exit</v>
      </c>
      <c r="Z20" s="54" t="str">
        <f>Z1</f>
        <v>exit</v>
      </c>
      <c r="AA20" s="53" t="str">
        <f>AA1</f>
        <v>enter</v>
      </c>
      <c r="AC20" s="241" t="s">
        <v>92</v>
      </c>
      <c r="AD20" s="241"/>
      <c r="AE20" s="63"/>
    </row>
    <row r="21" spans="1:31" ht="15.75" thickBot="1" x14ac:dyDescent="0.3">
      <c r="A21" s="38" t="str">
        <f>A2</f>
        <v>admin</v>
      </c>
      <c r="B21" s="39" t="str">
        <f>B2</f>
        <v>mkt data</v>
      </c>
      <c r="C21" s="38" t="str">
        <f>C2</f>
        <v>sector</v>
      </c>
      <c r="D21" s="226" t="str">
        <f>D2</f>
        <v>adv</v>
      </c>
      <c r="E21" s="152" t="str">
        <f>E2</f>
        <v>anchor</v>
      </c>
      <c r="F21" s="75" t="str">
        <f>F2</f>
        <v>symbol</v>
      </c>
      <c r="G21" s="93" t="str">
        <f>G2</f>
        <v>margin</v>
      </c>
      <c r="H21" s="91" t="str">
        <f>H2</f>
        <v>shs</v>
      </c>
      <c r="I21" s="76" t="str">
        <f>I2</f>
        <v>$val</v>
      </c>
      <c r="J21" s="77" t="str">
        <f>J2</f>
        <v>units</v>
      </c>
      <c r="K21" s="78" t="str">
        <f>K2</f>
        <v>net units</v>
      </c>
      <c r="L21" s="79" t="str">
        <f>L2</f>
        <v>bid</v>
      </c>
      <c r="M21" s="80" t="str">
        <f>M2</f>
        <v>ask</v>
      </c>
      <c r="N21" s="184" t="s">
        <v>166</v>
      </c>
      <c r="O21" s="81" t="str">
        <f>O2</f>
        <v>bid w/ comm</v>
      </c>
      <c r="P21" s="81" t="str">
        <f>P2</f>
        <v>ask w/ comm</v>
      </c>
      <c r="Q21" s="82" t="str">
        <f>Q2</f>
        <v>scalar</v>
      </c>
      <c r="R21" s="83" t="str">
        <f>R2</f>
        <v>hit bid</v>
      </c>
      <c r="S21" s="84" t="str">
        <f>S2</f>
        <v>lift ask</v>
      </c>
      <c r="T21" s="47" t="str">
        <f>T2</f>
        <v>net price</v>
      </c>
      <c r="U21" s="55" t="str">
        <f>U2</f>
        <v>pct</v>
      </c>
      <c r="V21" s="47" t="str">
        <f>V2</f>
        <v>net price</v>
      </c>
      <c r="W21" s="55" t="str">
        <f>W2</f>
        <v>pct</v>
      </c>
      <c r="X21" s="85" t="str">
        <f>X2</f>
        <v>buy top</v>
      </c>
      <c r="Y21" s="56" t="str">
        <f>Y2</f>
        <v>sell top</v>
      </c>
      <c r="Z21" s="56" t="str">
        <f>Z2</f>
        <v>buy top</v>
      </c>
      <c r="AA21" s="86" t="str">
        <f>AA2</f>
        <v>sell top</v>
      </c>
      <c r="AC21" s="64" t="s">
        <v>90</v>
      </c>
      <c r="AD21" s="65" t="s">
        <v>91</v>
      </c>
      <c r="AE21" s="65"/>
    </row>
    <row r="22" spans="1:31" x14ac:dyDescent="0.25">
      <c r="A22" s="162">
        <f>MATCH(F22,SCALARS!C:C,0)</f>
        <v>59</v>
      </c>
      <c r="B22" s="163">
        <f>MATCH(F22,'MKT DATA'!B:B,0)</f>
        <v>68</v>
      </c>
      <c r="C22" s="162" t="str" cm="1">
        <f t="array" aca="1" ref="C22" ca="1">INDIRECT(ADDRESS($A22,2,,,"ANCHOR INPUTS"))</f>
        <v>energy</v>
      </c>
      <c r="D22" s="223">
        <v>31381123</v>
      </c>
      <c r="E22" s="17" t="str" cm="1">
        <f t="array" aca="1" ref="E22" ca="1">INDIRECT(ADDRESS($A22,5,,,"ANCHOR INPUTS"))</f>
        <v>IYE</v>
      </c>
      <c r="F22" s="18" t="s">
        <v>106</v>
      </c>
      <c r="G22" s="96"/>
      <c r="H22" s="34" cm="1">
        <f t="array" aca="1" ref="H22" ca="1">INDIRECT(ADDRESS($B22,9,,,"mkt data"))</f>
        <v>-3711</v>
      </c>
      <c r="I22" s="69">
        <f t="shared" ref="I22:I25" ca="1" si="37">H22*AVERAGE(L22:M22)</f>
        <v>-240398.58000000002</v>
      </c>
      <c r="J22" s="34">
        <f t="shared" ref="J22:J37" ca="1" si="38">H22/Q22</f>
        <v>-3500.4946079531687</v>
      </c>
      <c r="K22" s="235">
        <f ca="1">SUM(J22:J23)</f>
        <v>-0.49460795316872463</v>
      </c>
      <c r="L22" s="40" cm="1">
        <f t="array" aca="1" ref="L22" ca="1">INDIRECT(ADDRESS($B22,5,,,"mkt data"))</f>
        <v>64.72</v>
      </c>
      <c r="M22" s="41" cm="1">
        <f t="array" aca="1" ref="M22" ca="1">INDIRECT(ADDRESS($B22,6,,,"mkt data"))</f>
        <v>64.84</v>
      </c>
      <c r="N22" s="185"/>
      <c r="O22" s="19">
        <f t="shared" ref="O22:O37" ca="1" si="39">L22-O$20</f>
        <v>64.715000000000003</v>
      </c>
      <c r="P22" s="19">
        <f t="shared" ref="P22:P37" ca="1" si="40">M22+O$20</f>
        <v>64.844999999999999</v>
      </c>
      <c r="Q22" s="57" cm="1">
        <f t="array" aca="1" ref="Q22" ca="1">INDIRECT(ADDRESS($A22,6,,,"scalars"))</f>
        <v>1.0601358995293295</v>
      </c>
      <c r="R22" s="20">
        <f t="shared" ref="R22:R25" ca="1" si="41">O22*Q22</f>
        <v>68.606694738040559</v>
      </c>
      <c r="S22" s="20">
        <f t="shared" ref="S22:S25" ca="1" si="42">Q22*P22</f>
        <v>68.744512404979375</v>
      </c>
      <c r="T22" s="242">
        <f ca="1">R23-S22</f>
        <v>-1.709512404979364</v>
      </c>
      <c r="U22" s="244">
        <f ca="1">T22/AVERAGE(R23,S23)</f>
        <v>-2.5134343967938896E-2</v>
      </c>
      <c r="V22" s="311">
        <f ca="1">R22-S23</f>
        <v>-0.38830526195943094</v>
      </c>
      <c r="W22" s="244">
        <f ca="1">V22/AVERAGE(R23,S23)</f>
        <v>-5.709112136432124E-3</v>
      </c>
      <c r="X22" s="87">
        <f>AC22</f>
        <v>2E-3</v>
      </c>
      <c r="Y22" s="58">
        <f>AC23</f>
        <v>0</v>
      </c>
      <c r="Z22" s="58">
        <f>AD23</f>
        <v>0</v>
      </c>
      <c r="AA22" s="88">
        <f>AD22</f>
        <v>2E-3</v>
      </c>
      <c r="AC22" s="66">
        <v>2E-3</v>
      </c>
      <c r="AD22" s="67">
        <v>2E-3</v>
      </c>
      <c r="AE22" s="68" t="s">
        <v>88</v>
      </c>
    </row>
    <row r="23" spans="1:31" ht="15.75" thickBot="1" x14ac:dyDescent="0.3">
      <c r="A23" s="164">
        <f>MATCH(F23,SCALARS!C:C,0)</f>
        <v>58</v>
      </c>
      <c r="B23" s="165">
        <f>MATCH(F23,'MKT DATA'!B:B,0)</f>
        <v>50</v>
      </c>
      <c r="C23" s="164" t="str" cm="1">
        <f t="array" aca="1" ref="C23" ca="1">INDIRECT(ADDRESS($A23,2,,,"ANCHOR INPUTS"))</f>
        <v>energy</v>
      </c>
      <c r="D23" s="224">
        <v>1125625</v>
      </c>
      <c r="E23" s="23" t="str" cm="1">
        <f t="array" aca="1" ref="E23" ca="1">INDIRECT(ADDRESS($A23,5,,,"ANCHOR INPUTS"))</f>
        <v>IYE</v>
      </c>
      <c r="F23" s="24" t="s">
        <v>104</v>
      </c>
      <c r="G23" s="97"/>
      <c r="H23" s="36" cm="1">
        <f t="array" aca="1" ref="H23" ca="1">INDIRECT(ADDRESS($B23,9,,,"mkt data"))</f>
        <v>3500</v>
      </c>
      <c r="I23" s="71">
        <f t="shared" ca="1" si="37"/>
        <v>238052.5</v>
      </c>
      <c r="J23" s="36">
        <f t="shared" ca="1" si="38"/>
        <v>3500</v>
      </c>
      <c r="K23" s="236"/>
      <c r="L23" s="44" cm="1">
        <f t="array" aca="1" ref="L23" ca="1">INDIRECT(ADDRESS($B23,5,,,"mkt data"))</f>
        <v>67.040000000000006</v>
      </c>
      <c r="M23" s="45" cm="1">
        <f t="array" aca="1" ref="M23" ca="1">INDIRECT(ADDRESS($B23,6,,,"mkt data"))</f>
        <v>68.989999999999995</v>
      </c>
      <c r="N23" s="186"/>
      <c r="O23" s="25">
        <f t="shared" ca="1" si="39"/>
        <v>67.035000000000011</v>
      </c>
      <c r="P23" s="25">
        <f t="shared" ca="1" si="40"/>
        <v>68.99499999999999</v>
      </c>
      <c r="Q23" s="59" cm="1">
        <f t="array" aca="1" ref="Q23" ca="1">INDIRECT(ADDRESS($A23,6,,,"scalars"))</f>
        <v>1</v>
      </c>
      <c r="R23" s="26">
        <f t="shared" ca="1" si="41"/>
        <v>67.035000000000011</v>
      </c>
      <c r="S23" s="26">
        <f t="shared" ca="1" si="42"/>
        <v>68.99499999999999</v>
      </c>
      <c r="T23" s="243"/>
      <c r="U23" s="245"/>
      <c r="V23" s="312"/>
      <c r="W23" s="245"/>
      <c r="X23" s="89" t="b">
        <f ca="1">IF(U22&gt;X22,TRUE,FALSE)</f>
        <v>0</v>
      </c>
      <c r="Y23" s="60" t="b">
        <f ca="1">AND(IF(W22&gt;-Y22,TRUE,FALSE),IF(H22&gt;0,TRUE,FALSE))</f>
        <v>0</v>
      </c>
      <c r="Z23" s="60" t="b">
        <f ca="1">AND(IF(U22&gt;-Z22,TRUE,FALSE),IF(H22&lt;0,TRUE,FALSE))</f>
        <v>0</v>
      </c>
      <c r="AA23" s="90" t="b">
        <f ca="1">IF(W22&gt;AA22,TRUE,FALSE)</f>
        <v>0</v>
      </c>
      <c r="AC23" s="67">
        <v>0</v>
      </c>
      <c r="AD23" s="67">
        <v>0</v>
      </c>
      <c r="AE23" s="68" t="s">
        <v>89</v>
      </c>
    </row>
    <row r="24" spans="1:31" x14ac:dyDescent="0.25">
      <c r="A24" s="162">
        <f>MATCH(F24,SCALARS!C:C,0)</f>
        <v>61</v>
      </c>
      <c r="B24" s="163">
        <f>MATCH(F24,'MKT DATA'!B:B,0)</f>
        <v>69</v>
      </c>
      <c r="C24" s="162" t="str" cm="1">
        <f t="array" aca="1" ref="C24" ca="1">INDIRECT(ADDRESS($A24,2,,,"ANCHOR INPUTS"))</f>
        <v>financials</v>
      </c>
      <c r="D24" s="223">
        <v>34195769</v>
      </c>
      <c r="E24" s="17" t="str" cm="1">
        <f t="array" aca="1" ref="E24" ca="1">INDIRECT(ADDRESS($A24,5,,,"ANCHOR INPUTS"))</f>
        <v>IYF</v>
      </c>
      <c r="F24" s="18" t="s">
        <v>109</v>
      </c>
      <c r="G24" s="96"/>
      <c r="H24" s="34" cm="1">
        <f t="array" aca="1" ref="H24" ca="1">INDIRECT(ADDRESS($B24,9,,,"mkt data"))</f>
        <v>0</v>
      </c>
      <c r="I24" s="69">
        <f t="shared" ca="1" si="37"/>
        <v>0</v>
      </c>
      <c r="J24" s="34">
        <f t="shared" ca="1" si="38"/>
        <v>0</v>
      </c>
      <c r="K24" s="249">
        <f ca="1">SUM(J24:J25)</f>
        <v>0</v>
      </c>
      <c r="L24" s="40" cm="1">
        <f t="array" aca="1" ref="L24" ca="1">INDIRECT(ADDRESS($B24,5,,,"mkt data"))</f>
        <v>57.26</v>
      </c>
      <c r="M24" s="41" cm="1">
        <f t="array" aca="1" ref="M24" ca="1">INDIRECT(ADDRESS($B24,6,,,"mkt data"))</f>
        <v>57.29</v>
      </c>
      <c r="N24" s="185"/>
      <c r="O24" s="19">
        <f t="shared" ca="1" si="39"/>
        <v>57.254999999999995</v>
      </c>
      <c r="P24" s="19">
        <f t="shared" ca="1" si="40"/>
        <v>57.295000000000002</v>
      </c>
      <c r="Q24" s="57" cm="1">
        <f t="array" aca="1" ref="Q24" ca="1">INDIRECT(ADDRESS($A24,6,,,"scalars"))</f>
        <v>2.3698704536405915</v>
      </c>
      <c r="R24" s="20">
        <f t="shared" ca="1" si="41"/>
        <v>135.68693282319205</v>
      </c>
      <c r="S24" s="20">
        <f t="shared" ca="1" si="42"/>
        <v>135.78172764133768</v>
      </c>
      <c r="T24" s="242">
        <f ca="1">R25-S24</f>
        <v>-7.9267276413376777</v>
      </c>
      <c r="U24" s="244">
        <f ca="1">T24/AVERAGE(R25,S25)</f>
        <v>-5.8465316723245883E-2</v>
      </c>
      <c r="V24" s="242">
        <f ca="1">R24-S25</f>
        <v>-7.6180671768079549</v>
      </c>
      <c r="W24" s="244">
        <f ca="1">V24/AVERAGE(R25,S25)</f>
        <v>-5.6188723829532043E-2</v>
      </c>
      <c r="X24" s="87">
        <f>AC24</f>
        <v>4.0000000000000001E-3</v>
      </c>
      <c r="Y24" s="58">
        <f>AC25</f>
        <v>1E-3</v>
      </c>
      <c r="Z24" s="58">
        <f>AD25</f>
        <v>0</v>
      </c>
      <c r="AA24" s="88">
        <f>AD24</f>
        <v>4.0000000000000001E-3</v>
      </c>
      <c r="AC24" s="66">
        <v>4.0000000000000001E-3</v>
      </c>
      <c r="AD24" s="67">
        <v>4.0000000000000001E-3</v>
      </c>
      <c r="AE24" s="68" t="s">
        <v>88</v>
      </c>
    </row>
    <row r="25" spans="1:31" ht="15.75" thickBot="1" x14ac:dyDescent="0.3">
      <c r="A25" s="164">
        <f>MATCH(F25,SCALARS!C:C,0)</f>
        <v>60</v>
      </c>
      <c r="B25" s="165">
        <f>MATCH(F25,'MKT DATA'!B:B,0)</f>
        <v>51</v>
      </c>
      <c r="C25" s="164" t="str" cm="1">
        <f t="array" aca="1" ref="C25" ca="1">INDIRECT(ADDRESS($A25,2,,,"ANCHOR INPUTS"))</f>
        <v>financials</v>
      </c>
      <c r="D25" s="224">
        <v>350665</v>
      </c>
      <c r="E25" s="23" t="str" cm="1">
        <f t="array" aca="1" ref="E25" ca="1">INDIRECT(ADDRESS($A25,5,,,"ANCHOR INPUTS"))</f>
        <v>IYF</v>
      </c>
      <c r="F25" s="24" t="s">
        <v>107</v>
      </c>
      <c r="G25" s="97"/>
      <c r="H25" s="36" cm="1">
        <f t="array" aca="1" ref="H25" ca="1">INDIRECT(ADDRESS($B25,9,,,"mkt data"))</f>
        <v>0</v>
      </c>
      <c r="I25" s="71">
        <f t="shared" ca="1" si="37"/>
        <v>0</v>
      </c>
      <c r="J25" s="36">
        <f t="shared" ca="1" si="38"/>
        <v>0</v>
      </c>
      <c r="K25" s="250"/>
      <c r="L25" s="44" cm="1">
        <f t="array" aca="1" ref="L25" ca="1">INDIRECT(ADDRESS($B25,5,,,"mkt data"))</f>
        <v>127.86</v>
      </c>
      <c r="M25" s="45" cm="1">
        <f t="array" aca="1" ref="M25" ca="1">INDIRECT(ADDRESS($B25,6,,,"mkt data"))</f>
        <v>143.30000000000001</v>
      </c>
      <c r="N25" s="186"/>
      <c r="O25" s="25">
        <f t="shared" ca="1" si="39"/>
        <v>127.855</v>
      </c>
      <c r="P25" s="25">
        <f t="shared" ca="1" si="40"/>
        <v>143.30500000000001</v>
      </c>
      <c r="Q25" s="59" cm="1">
        <f t="array" aca="1" ref="Q25" ca="1">INDIRECT(ADDRESS($A25,6,,,"scalars"))</f>
        <v>1</v>
      </c>
      <c r="R25" s="26">
        <f t="shared" ca="1" si="41"/>
        <v>127.855</v>
      </c>
      <c r="S25" s="26">
        <f t="shared" ca="1" si="42"/>
        <v>143.30500000000001</v>
      </c>
      <c r="T25" s="243"/>
      <c r="U25" s="245"/>
      <c r="V25" s="243"/>
      <c r="W25" s="245"/>
      <c r="X25" s="89" t="b">
        <f ca="1">IF(U24&gt;X24,TRUE,FALSE)</f>
        <v>0</v>
      </c>
      <c r="Y25" s="60" t="b">
        <f ca="1">AND(IF(W24&gt;-Y24,TRUE,FALSE),IF(H24&gt;0,TRUE,FALSE))</f>
        <v>0</v>
      </c>
      <c r="Z25" s="60" t="b">
        <f ca="1">AND(IF(U24&gt;-Z24,TRUE,FALSE),IF(H24&lt;0,TRUE,FALSE))</f>
        <v>0</v>
      </c>
      <c r="AA25" s="90" t="b">
        <f ca="1">IF(W24&gt;AA24,TRUE,FALSE)</f>
        <v>0</v>
      </c>
      <c r="AC25" s="67">
        <v>1E-3</v>
      </c>
      <c r="AD25" s="67">
        <v>0</v>
      </c>
      <c r="AE25" s="68" t="s">
        <v>89</v>
      </c>
    </row>
    <row r="26" spans="1:31" x14ac:dyDescent="0.25">
      <c r="A26" s="189">
        <f>MATCH(F26,SCALARS!C:C,0)</f>
        <v>62</v>
      </c>
      <c r="B26" s="190">
        <f>MATCH(F26,'MKT DATA'!B:B,0)</f>
        <v>52</v>
      </c>
      <c r="C26" s="189" t="str" cm="1">
        <f t="array" aca="1" ref="C26" ca="1">INDIRECT(ADDRESS($A26,2,,,"ANCHOR INPUTS"))</f>
        <v>healthcare</v>
      </c>
      <c r="D26" s="223">
        <v>820641</v>
      </c>
      <c r="E26" s="191" t="str" cm="1">
        <f t="array" aca="1" ref="E26" ca="1">INDIRECT(ADDRESS($A26,5,,,"ANCHOR INPUTS"))</f>
        <v>XLV</v>
      </c>
      <c r="F26" s="192" t="s">
        <v>111</v>
      </c>
      <c r="G26" s="187"/>
      <c r="H26" s="193" cm="1">
        <f t="array" aca="1" ref="H26" ca="1">INDIRECT(ADDRESS($B26,9,,,"mkt data"))</f>
        <v>0</v>
      </c>
      <c r="I26" s="194">
        <f ca="1">H26*AVERAGE(L26:M26)</f>
        <v>0</v>
      </c>
      <c r="J26" s="193">
        <f ca="1">H26/Q26</f>
        <v>0</v>
      </c>
      <c r="K26" s="251">
        <f ca="1">SUM(J26:J27)</f>
        <v>0</v>
      </c>
      <c r="L26" s="195" cm="1">
        <f t="array" aca="1" ref="L26" ca="1">INDIRECT(ADDRESS($B26,5,,,"mkt data"))</f>
        <v>71.489999999999995</v>
      </c>
      <c r="M26" s="196" cm="1">
        <f t="array" aca="1" ref="M26" ca="1">INDIRECT(ADDRESS($B26,6,,,"mkt data"))</f>
        <v>76.430000000000007</v>
      </c>
      <c r="N26" s="197"/>
      <c r="O26" s="198">
        <f ca="1">L26-O$20</f>
        <v>71.484999999999999</v>
      </c>
      <c r="P26" s="198">
        <f ca="1">M26+O$20</f>
        <v>76.435000000000002</v>
      </c>
      <c r="Q26" s="199" cm="1">
        <f t="array" aca="1" ref="Q26" ca="1">INDIRECT(ADDRESS($A26,6,,,"scalars"))</f>
        <v>2.3674952928645183</v>
      </c>
      <c r="R26" s="200">
        <f ca="1">O26*Q26</f>
        <v>169.2404010104201</v>
      </c>
      <c r="S26" s="200">
        <f ca="1">Q26*P26</f>
        <v>180.95950271009946</v>
      </c>
      <c r="T26" s="253">
        <f ca="1">R27-S26</f>
        <v>-9.8345027100994571</v>
      </c>
      <c r="U26" s="255">
        <f ca="1">T26/AVERAGE(R27,S27)</f>
        <v>-5.7335681154930526E-2</v>
      </c>
      <c r="V26" s="253">
        <f ca="1">R26-S27</f>
        <v>-2.6845989895798823</v>
      </c>
      <c r="W26" s="255">
        <f ca="1">V26/AVERAGE(R27,S27)</f>
        <v>-1.5651356884301897E-2</v>
      </c>
      <c r="X26" s="201"/>
      <c r="Y26" s="202"/>
      <c r="Z26" s="202"/>
      <c r="AA26" s="203"/>
      <c r="AC26" s="67"/>
      <c r="AD26" s="67"/>
      <c r="AE26" s="188" t="s">
        <v>88</v>
      </c>
    </row>
    <row r="27" spans="1:31" ht="15.75" thickBot="1" x14ac:dyDescent="0.3">
      <c r="A27" s="204">
        <f>MATCH(F27,SCALARS!C:C,0)</f>
        <v>63</v>
      </c>
      <c r="B27" s="205">
        <f>MATCH(F27,'MKT DATA'!B:B,0)</f>
        <v>70</v>
      </c>
      <c r="C27" s="204" t="str" cm="1">
        <f t="array" aca="1" ref="C27" ca="1">INDIRECT(ADDRESS($A27,2,,,"ANCHOR INPUTS"))</f>
        <v>healthcare</v>
      </c>
      <c r="D27" s="224">
        <v>10362046</v>
      </c>
      <c r="E27" s="206" t="str" cm="1">
        <f t="array" aca="1" ref="E27" ca="1">INDIRECT(ADDRESS($A27,5,,,"ANCHOR INPUTS"))</f>
        <v>XLV</v>
      </c>
      <c r="F27" s="207" t="s">
        <v>113</v>
      </c>
      <c r="G27" s="95"/>
      <c r="H27" s="208" cm="1">
        <f t="array" aca="1" ref="H27" ca="1">INDIRECT(ADDRESS($B27,9,,,"mkt data"))</f>
        <v>0</v>
      </c>
      <c r="I27" s="209">
        <f ca="1">H27*AVERAGE(L27:M27)</f>
        <v>0</v>
      </c>
      <c r="J27" s="208">
        <f ca="1">H27/Q27</f>
        <v>0</v>
      </c>
      <c r="K27" s="252"/>
      <c r="L27" s="210" cm="1">
        <f t="array" aca="1" ref="L27" ca="1">INDIRECT(ADDRESS($B27,5,,,"mkt data"))</f>
        <v>171.13</v>
      </c>
      <c r="M27" s="211" cm="1">
        <f t="array" aca="1" ref="M27" ca="1">INDIRECT(ADDRESS($B27,6,,,"mkt data"))</f>
        <v>171.92</v>
      </c>
      <c r="N27" s="212"/>
      <c r="O27" s="213">
        <f ca="1">L27-O$20</f>
        <v>171.125</v>
      </c>
      <c r="P27" s="213">
        <f ca="1">M27+O$20</f>
        <v>171.92499999999998</v>
      </c>
      <c r="Q27" s="214" cm="1">
        <f t="array" aca="1" ref="Q27" ca="1">INDIRECT(ADDRESS($A27,6,,,"scalars"))</f>
        <v>1</v>
      </c>
      <c r="R27" s="215">
        <f ca="1">O27*Q27</f>
        <v>171.125</v>
      </c>
      <c r="S27" s="215">
        <f ca="1">Q27*P27</f>
        <v>171.92499999999998</v>
      </c>
      <c r="T27" s="254"/>
      <c r="U27" s="256"/>
      <c r="V27" s="254"/>
      <c r="W27" s="256"/>
      <c r="X27" s="216"/>
      <c r="Y27" s="217"/>
      <c r="Z27" s="217"/>
      <c r="AA27" s="218"/>
      <c r="AC27" s="67"/>
      <c r="AD27" s="67"/>
      <c r="AE27" s="188" t="s">
        <v>89</v>
      </c>
    </row>
    <row r="28" spans="1:31" x14ac:dyDescent="0.25">
      <c r="A28" s="189">
        <f>MATCH(F28,SCALARS!C:C,0)</f>
        <v>64</v>
      </c>
      <c r="B28" s="190">
        <f>MATCH(F28,'MKT DATA'!B:B,0)</f>
        <v>53</v>
      </c>
      <c r="C28" s="189" t="str" cm="1">
        <f t="array" aca="1" ref="C28" ca="1">INDIRECT(ADDRESS($A28,2,,,"ANCHOR INPUTS"))</f>
        <v>industrials</v>
      </c>
      <c r="D28" s="315">
        <v>7052938</v>
      </c>
      <c r="E28" s="191" t="str" cm="1">
        <f t="array" aca="1" ref="E28" ca="1">INDIRECT(ADDRESS($A28,5,,,"ANCHOR INPUTS"))</f>
        <v>XLI</v>
      </c>
      <c r="F28" s="316" t="s">
        <v>143</v>
      </c>
      <c r="G28" s="317"/>
      <c r="H28" s="318" cm="1">
        <f t="array" aca="1" ref="H28" ca="1">INDIRECT(ADDRESS($B28,9,,,"mkt data"))</f>
        <v>0</v>
      </c>
      <c r="I28" s="319">
        <f ca="1">H28*AVERAGE(L28:M28)</f>
        <v>0</v>
      </c>
      <c r="J28" s="318">
        <f ca="1">H28/Q28</f>
        <v>0</v>
      </c>
      <c r="K28" s="320">
        <f ca="1">SUM(J28:J29)</f>
        <v>0</v>
      </c>
      <c r="L28" s="321" cm="1">
        <f t="array" aca="1" ref="L28" ca="1">INDIRECT(ADDRESS($B28,5,,,"mkt data"))</f>
        <v>158</v>
      </c>
      <c r="M28" s="322" cm="1">
        <f t="array" aca="1" ref="M28" ca="1">INDIRECT(ADDRESS($B28,6,,,"mkt data"))</f>
        <v>160.1</v>
      </c>
      <c r="N28" s="323"/>
      <c r="O28" s="198">
        <f ca="1">L28-O$20</f>
        <v>157.995</v>
      </c>
      <c r="P28" s="198">
        <f ca="1">M28+O$20</f>
        <v>160.10499999999999</v>
      </c>
      <c r="Q28" s="324" cm="1">
        <f t="array" aca="1" ref="Q28" ca="1">INDIRECT(ADDRESS($A28,6,,,"scalars"))</f>
        <v>1</v>
      </c>
      <c r="R28" s="325">
        <f ca="1">O28*Q28</f>
        <v>157.995</v>
      </c>
      <c r="S28" s="325">
        <f ca="1">Q28*P28</f>
        <v>160.10499999999999</v>
      </c>
      <c r="T28" s="253">
        <f ca="1">R29-S28</f>
        <v>-2.7918335653806707</v>
      </c>
      <c r="U28" s="326">
        <f ca="1">T28/AVERAGE(R29,S29)</f>
        <v>-1.7700250057625398E-2</v>
      </c>
      <c r="V28" s="253">
        <f ca="1">R28-S29</f>
        <v>-0.14879674855649228</v>
      </c>
      <c r="W28" s="326">
        <f ca="1">V28/AVERAGE(R29,S29)</f>
        <v>-9.4337273176684151E-4</v>
      </c>
      <c r="X28" s="201"/>
      <c r="Y28" s="202"/>
      <c r="Z28" s="202"/>
      <c r="AA28" s="203"/>
      <c r="AC28" s="67"/>
      <c r="AD28" s="67"/>
      <c r="AE28" s="68"/>
    </row>
    <row r="29" spans="1:31" ht="15.75" thickBot="1" x14ac:dyDescent="0.3">
      <c r="A29" s="204">
        <f>MATCH(F29,SCALARS!C:C,0)</f>
        <v>65</v>
      </c>
      <c r="B29" s="205">
        <f>MATCH(F29,'MKT DATA'!B:B,0)</f>
        <v>71</v>
      </c>
      <c r="C29" s="204" t="str" cm="1">
        <f t="array" aca="1" ref="C29" ca="1">INDIRECT(ADDRESS($A29,2,,,"ANCHOR INPUTS"))</f>
        <v>industrials</v>
      </c>
      <c r="D29" s="327">
        <v>76609</v>
      </c>
      <c r="E29" s="206" t="str" cm="1">
        <f t="array" aca="1" ref="E29" ca="1">INDIRECT(ADDRESS($A29,5,,,"ANCHOR INPUTS"))</f>
        <v>XLI</v>
      </c>
      <c r="F29" s="328" t="s">
        <v>115</v>
      </c>
      <c r="G29" s="329"/>
      <c r="H29" s="330" cm="1">
        <f t="array" aca="1" ref="H29" ca="1">INDIRECT(ADDRESS($B29,9,,,"mkt data"))</f>
        <v>0</v>
      </c>
      <c r="I29" s="331">
        <f ca="1">H29*AVERAGE(L29:M29)</f>
        <v>0</v>
      </c>
      <c r="J29" s="330">
        <f ca="1">H29/Q29</f>
        <v>0</v>
      </c>
      <c r="K29" s="332"/>
      <c r="L29" s="333" cm="1">
        <f t="array" aca="1" ref="L29" ca="1">INDIRECT(ADDRESS($B29,5,,,"mkt data"))</f>
        <v>172.35</v>
      </c>
      <c r="M29" s="334" cm="1">
        <f t="array" aca="1" ref="M29" ca="1">INDIRECT(ADDRESS($B29,6,,,"mkt data"))</f>
        <v>173.25</v>
      </c>
      <c r="N29" s="335"/>
      <c r="O29" s="213">
        <f ca="1">L29-O$20</f>
        <v>172.345</v>
      </c>
      <c r="P29" s="213">
        <f ca="1">M29+O$20</f>
        <v>173.255</v>
      </c>
      <c r="Q29" s="336" cm="1">
        <f t="array" aca="1" ref="Q29" ca="1">INDIRECT(ADDRESS($A29,6,,,"scalars"))</f>
        <v>0.91278056476613367</v>
      </c>
      <c r="R29" s="337">
        <f ca="1">O29*Q29</f>
        <v>157.31316643461932</v>
      </c>
      <c r="S29" s="337">
        <f ca="1">Q29*P29</f>
        <v>158.1437967485565</v>
      </c>
      <c r="T29" s="254"/>
      <c r="U29" s="338"/>
      <c r="V29" s="254"/>
      <c r="W29" s="338"/>
      <c r="X29" s="216"/>
      <c r="Y29" s="217"/>
      <c r="Z29" s="217"/>
      <c r="AA29" s="218"/>
      <c r="AC29" s="67"/>
      <c r="AD29" s="67"/>
      <c r="AE29" s="68"/>
    </row>
    <row r="30" spans="1:31" x14ac:dyDescent="0.25">
      <c r="A30" s="189">
        <f>MATCH(F30,SCALARS!C:C,0)</f>
        <v>67</v>
      </c>
      <c r="B30" s="190">
        <f>MATCH(F30,'MKT DATA'!B:B,0)</f>
        <v>72</v>
      </c>
      <c r="C30" s="189" t="str" cm="1">
        <f t="array" aca="1" ref="C30" ca="1">INDIRECT(ADDRESS($A30,2,,,"ANCHOR INPUTS"))</f>
        <v>real estate</v>
      </c>
      <c r="D30" s="315">
        <v>5208804</v>
      </c>
      <c r="E30" s="191" t="str" cm="1">
        <f t="array" aca="1" ref="E30" ca="1">INDIRECT(ADDRESS($A30,5,,,"ANCHOR INPUTS"))</f>
        <v>IYR</v>
      </c>
      <c r="F30" s="219" t="s">
        <v>119</v>
      </c>
      <c r="G30" s="339"/>
      <c r="H30" s="193" cm="1">
        <f t="array" aca="1" ref="H30" ca="1">INDIRECT(ADDRESS($B30,9,,,"mkt data"))</f>
        <v>0</v>
      </c>
      <c r="I30" s="194">
        <f t="shared" ref="I30:I31" ca="1" si="43">H30*AVERAGE(L30:M30)</f>
        <v>0</v>
      </c>
      <c r="J30" s="193">
        <f ca="1">H30/Q30</f>
        <v>0</v>
      </c>
      <c r="K30" s="257">
        <f ca="1">SUM(J30:J31)</f>
        <v>0</v>
      </c>
      <c r="L30" s="195" cm="1">
        <f t="array" aca="1" ref="L30" ca="1">INDIRECT(ADDRESS($B30,5,,,"mkt data"))</f>
        <v>43.96</v>
      </c>
      <c r="M30" s="196" cm="1">
        <f t="array" aca="1" ref="M30" ca="1">INDIRECT(ADDRESS($B30,6,,,"mkt data"))</f>
        <v>44.1</v>
      </c>
      <c r="N30" s="197"/>
      <c r="O30" s="198">
        <f ca="1">L30-O$20</f>
        <v>43.954999999999998</v>
      </c>
      <c r="P30" s="198">
        <f ca="1">M30+O$20</f>
        <v>44.105000000000004</v>
      </c>
      <c r="Q30" s="220" cm="1">
        <f t="array" aca="1" ref="Q30" ca="1">INDIRECT(ADDRESS($A30,6,,,"scalars"))</f>
        <v>2.3253103293308022</v>
      </c>
      <c r="R30" s="200">
        <f t="shared" ref="R30:R31" ca="1" si="44">O30*Q30</f>
        <v>102.20901552573541</v>
      </c>
      <c r="S30" s="200">
        <f ca="1">Q30*P30</f>
        <v>102.55781207513503</v>
      </c>
      <c r="T30" s="253">
        <f ca="1">R31-S30</f>
        <v>-0.20281207513502864</v>
      </c>
      <c r="U30" s="255">
        <f ca="1">T30/AVERAGE(R31,S31)</f>
        <v>-1.9783648747503158E-3</v>
      </c>
      <c r="V30" s="253">
        <f ca="1">R30-S31</f>
        <v>-0.46598447426458733</v>
      </c>
      <c r="W30" s="255">
        <f ca="1">V30/AVERAGE(R31,S31)</f>
        <v>-4.5455247940748896E-3</v>
      </c>
      <c r="X30" s="201"/>
      <c r="Y30" s="202"/>
      <c r="Z30" s="202"/>
      <c r="AA30" s="203"/>
      <c r="AC30" s="67"/>
      <c r="AD30" s="67"/>
      <c r="AE30" s="188" t="s">
        <v>88</v>
      </c>
    </row>
    <row r="31" spans="1:31" ht="15.75" thickBot="1" x14ac:dyDescent="0.3">
      <c r="A31" s="204">
        <f>MATCH(F31,SCALARS!C:C,0)</f>
        <v>66</v>
      </c>
      <c r="B31" s="205">
        <f>MATCH(F31,'MKT DATA'!B:B,0)</f>
        <v>54</v>
      </c>
      <c r="C31" s="204" t="str" cm="1">
        <f t="array" aca="1" ref="C31" ca="1">INDIRECT(ADDRESS($A31,2,,,"ANCHOR INPUTS"))</f>
        <v>real estate</v>
      </c>
      <c r="D31" s="327">
        <v>5531253</v>
      </c>
      <c r="E31" s="206" t="str" cm="1">
        <f t="array" aca="1" ref="E31" ca="1">INDIRECT(ADDRESS($A31,5,,,"ANCHOR INPUTS"))</f>
        <v>IYR</v>
      </c>
      <c r="F31" s="221" t="s">
        <v>117</v>
      </c>
      <c r="G31" s="340"/>
      <c r="H31" s="208" cm="1">
        <f t="array" aca="1" ref="H31" ca="1">INDIRECT(ADDRESS($B31,9,,,"mkt data"))</f>
        <v>0</v>
      </c>
      <c r="I31" s="209">
        <f t="shared" ca="1" si="43"/>
        <v>0</v>
      </c>
      <c r="J31" s="208">
        <f ca="1">H31/Q31</f>
        <v>0</v>
      </c>
      <c r="K31" s="258"/>
      <c r="L31" s="210" cm="1">
        <f t="array" aca="1" ref="L31" ca="1">INDIRECT(ADDRESS($B31,5,,,"mkt data"))</f>
        <v>102.36</v>
      </c>
      <c r="M31" s="211" cm="1">
        <f t="array" aca="1" ref="M31" ca="1">INDIRECT(ADDRESS($B31,6,,,"mkt data"))</f>
        <v>102.67</v>
      </c>
      <c r="N31" s="212"/>
      <c r="O31" s="213">
        <f ca="1">L31-O$20</f>
        <v>102.355</v>
      </c>
      <c r="P31" s="213">
        <f ca="1">M31+O$20</f>
        <v>102.675</v>
      </c>
      <c r="Q31" s="222" cm="1">
        <f t="array" aca="1" ref="Q31" ca="1">INDIRECT(ADDRESS($A31,6,,,"scalars"))</f>
        <v>1</v>
      </c>
      <c r="R31" s="215">
        <f t="shared" ca="1" si="44"/>
        <v>102.355</v>
      </c>
      <c r="S31" s="215">
        <f ca="1">Q31*P31</f>
        <v>102.675</v>
      </c>
      <c r="T31" s="254"/>
      <c r="U31" s="256"/>
      <c r="V31" s="254"/>
      <c r="W31" s="256"/>
      <c r="X31" s="216"/>
      <c r="Y31" s="217"/>
      <c r="Z31" s="217"/>
      <c r="AA31" s="218"/>
      <c r="AC31" s="67"/>
      <c r="AD31" s="67"/>
      <c r="AE31" s="188" t="s">
        <v>89</v>
      </c>
    </row>
    <row r="32" spans="1:31" x14ac:dyDescent="0.25">
      <c r="A32" s="341">
        <f>MATCH(F32,SCALARS!C:C,0)</f>
        <v>68</v>
      </c>
      <c r="B32" s="342">
        <f>MATCH(F32,'MKT DATA'!B:B,0)</f>
        <v>55</v>
      </c>
      <c r="C32" s="341" t="str" cm="1">
        <f t="array" aca="1" ref="C32" ca="1">INDIRECT(ADDRESS($A32,2,,,"ANCHOR INPUTS"))</f>
        <v>staples</v>
      </c>
      <c r="D32" s="343">
        <v>11437698</v>
      </c>
      <c r="E32" s="191" t="str" cm="1">
        <f t="array" aca="1" ref="E32" ca="1">INDIRECT(ADDRESS($A32,5,,,"ANCHOR INPUTS"))</f>
        <v>XLP</v>
      </c>
      <c r="F32" s="316" t="s">
        <v>144</v>
      </c>
      <c r="G32" s="344"/>
      <c r="H32" s="318" cm="1">
        <f t="array" aca="1" ref="H32" ca="1">INDIRECT(ADDRESS($B32,9,,,"mkt data"))</f>
        <v>0</v>
      </c>
      <c r="I32" s="319">
        <f ca="1">H32*AVERAGE(L32:M32)</f>
        <v>0</v>
      </c>
      <c r="J32" s="318">
        <f t="shared" ref="J32:J33" ca="1" si="45">H32/Q32</f>
        <v>0</v>
      </c>
      <c r="K32" s="345">
        <f ca="1">SUM(J32:J33)</f>
        <v>0</v>
      </c>
      <c r="L32" s="321" cm="1">
        <f t="array" aca="1" ref="L32" ca="1">INDIRECT(ADDRESS($B32,5,,,"mkt data"))</f>
        <v>73.069999999999993</v>
      </c>
      <c r="M32" s="322" cm="1">
        <f t="array" aca="1" ref="M32" ca="1">INDIRECT(ADDRESS($B32,6,,,"mkt data"))</f>
        <v>79.400000000000006</v>
      </c>
      <c r="N32" s="323"/>
      <c r="O32" s="198">
        <f ca="1">L32-O$20</f>
        <v>73.064999999999998</v>
      </c>
      <c r="P32" s="198">
        <f ca="1">M32+O$20</f>
        <v>79.405000000000001</v>
      </c>
      <c r="Q32" s="324" cm="1">
        <f t="array" aca="1" ref="Q32" ca="1">INDIRECT(ADDRESS($A32,6,,,"scalars"))</f>
        <v>1</v>
      </c>
      <c r="R32" s="325">
        <f t="shared" ref="R32:R33" ca="1" si="46">O32*Q32</f>
        <v>73.064999999999998</v>
      </c>
      <c r="S32" s="325">
        <f t="shared" ref="S32:S33" ca="1" si="47">Q32*P32</f>
        <v>79.405000000000001</v>
      </c>
      <c r="T32" s="253">
        <f ca="1">R33-S32</f>
        <v>-4.9009847826830537</v>
      </c>
      <c r="U32" s="326">
        <f ca="1">T32/AVERAGE(R33,S33)</f>
        <v>-6.5723667294641769E-2</v>
      </c>
      <c r="V32" s="253">
        <f ca="1">R32-S33</f>
        <v>-1.570099637967914</v>
      </c>
      <c r="W32" s="326">
        <f ca="1">V32/AVERAGE(R33,S33)</f>
        <v>-2.1055504312083913E-2</v>
      </c>
      <c r="X32" s="201"/>
      <c r="Y32" s="202"/>
      <c r="Z32" s="202"/>
      <c r="AA32" s="203"/>
      <c r="AC32" s="66"/>
      <c r="AD32" s="67"/>
      <c r="AE32" s="68"/>
    </row>
    <row r="33" spans="1:31" ht="15.75" thickBot="1" x14ac:dyDescent="0.3">
      <c r="A33" s="204">
        <f>MATCH(F33,SCALARS!C:C,0)</f>
        <v>69</v>
      </c>
      <c r="B33" s="205">
        <f>MATCH(F33,'MKT DATA'!B:B,0)</f>
        <v>73</v>
      </c>
      <c r="C33" s="204" t="str" cm="1">
        <f t="array" aca="1" ref="C33" ca="1">INDIRECT(ADDRESS($A33,2,,,"ANCHOR INPUTS"))</f>
        <v>staples</v>
      </c>
      <c r="D33" s="327">
        <v>242123</v>
      </c>
      <c r="E33" s="206" t="str" cm="1">
        <f t="array" aca="1" ref="E33" ca="1">INDIRECT(ADDRESS($A33,5,,,"ANCHOR INPUTS"))</f>
        <v>XLP</v>
      </c>
      <c r="F33" s="328" t="s">
        <v>102</v>
      </c>
      <c r="G33" s="329"/>
      <c r="H33" s="330" cm="1">
        <f t="array" aca="1" ref="H33" ca="1">INDIRECT(ADDRESS($B33,9,,,"mkt data"))</f>
        <v>0</v>
      </c>
      <c r="I33" s="331">
        <f ca="1">H33*AVERAGE(L33:M33)</f>
        <v>0</v>
      </c>
      <c r="J33" s="330">
        <f t="shared" ca="1" si="45"/>
        <v>0</v>
      </c>
      <c r="K33" s="346"/>
      <c r="L33" s="333" cm="1">
        <f t="array" aca="1" ref="L33" ca="1">INDIRECT(ADDRESS($B33,5,,,"mkt data"))</f>
        <v>85.26</v>
      </c>
      <c r="M33" s="334" cm="1">
        <f t="array" aca="1" ref="M33" ca="1">INDIRECT(ADDRESS($B33,6,,,"mkt data"))</f>
        <v>85.4</v>
      </c>
      <c r="N33" s="335"/>
      <c r="O33" s="213">
        <f ca="1">L33-O$20</f>
        <v>85.25500000000001</v>
      </c>
      <c r="P33" s="213">
        <f ca="1">M33+O$20</f>
        <v>85.405000000000001</v>
      </c>
      <c r="Q33" s="336" cm="1">
        <f t="array" aca="1" ref="Q33" ca="1">INDIRECT(ADDRESS($A33,6,,,"scalars"))</f>
        <v>0.87389613767306251</v>
      </c>
      <c r="R33" s="337">
        <f t="shared" ca="1" si="46"/>
        <v>74.504015217316947</v>
      </c>
      <c r="S33" s="337">
        <f t="shared" ca="1" si="47"/>
        <v>74.635099637967912</v>
      </c>
      <c r="T33" s="254"/>
      <c r="U33" s="338"/>
      <c r="V33" s="254"/>
      <c r="W33" s="338"/>
      <c r="X33" s="216"/>
      <c r="Y33" s="217"/>
      <c r="Z33" s="217"/>
      <c r="AA33" s="218"/>
      <c r="AC33" s="67"/>
      <c r="AD33" s="67"/>
      <c r="AE33" s="68"/>
    </row>
    <row r="34" spans="1:31" x14ac:dyDescent="0.25">
      <c r="A34" s="162">
        <f>MATCH(F34,SCALARS!C:C,0)</f>
        <v>71</v>
      </c>
      <c r="B34" s="163">
        <f>MATCH(F34,'MKT DATA'!B:B,0)</f>
        <v>74</v>
      </c>
      <c r="C34" s="162" t="str" cm="1">
        <f t="array" aca="1" ref="C34" ca="1">INDIRECT(ADDRESS($A34,2,,,"ANCHOR INPUTS"))</f>
        <v>technology</v>
      </c>
      <c r="D34" s="223">
        <v>10731485</v>
      </c>
      <c r="E34" s="17" t="str" cm="1">
        <f t="array" aca="1" ref="E34" ca="1">INDIRECT(ADDRESS($A34,5,,,"ANCHOR INPUTS"))</f>
        <v>IYW</v>
      </c>
      <c r="F34" s="18" t="s">
        <v>123</v>
      </c>
      <c r="G34" s="96"/>
      <c r="H34" s="34" cm="1">
        <f t="array" aca="1" ref="H34" ca="1">INDIRECT(ADDRESS($B34,9,,,"mkt data"))</f>
        <v>0</v>
      </c>
      <c r="I34" s="69">
        <f ca="1">H34*AVERAGE(L34:M34)</f>
        <v>0</v>
      </c>
      <c r="J34" s="34">
        <f t="shared" ca="1" si="38"/>
        <v>0</v>
      </c>
      <c r="K34" s="247">
        <f ca="1">SUM(J34:J35)</f>
        <v>0</v>
      </c>
      <c r="L34" s="40" cm="1">
        <f t="array" aca="1" ref="L34" ca="1">INDIRECT(ADDRESS($B34,5,,,"mkt data"))</f>
        <v>183.79</v>
      </c>
      <c r="M34" s="41" cm="1">
        <f t="array" aca="1" ref="M34" ca="1">INDIRECT(ADDRESS($B34,6,,,"mkt data"))</f>
        <v>184.04</v>
      </c>
      <c r="N34" s="185"/>
      <c r="O34" s="19">
        <f t="shared" ca="1" si="39"/>
        <v>183.785</v>
      </c>
      <c r="P34" s="19">
        <f t="shared" ca="1" si="40"/>
        <v>184.04499999999999</v>
      </c>
      <c r="Q34" s="156" cm="1">
        <f t="array" aca="1" ref="Q34" ca="1">INDIRECT(ADDRESS($A34,6,,,"scalars"))</f>
        <v>1.3489486250461504</v>
      </c>
      <c r="R34" s="20">
        <f ca="1">O34*Q34</f>
        <v>247.91652305410676</v>
      </c>
      <c r="S34" s="20">
        <f ca="1">Q34*P34</f>
        <v>248.26724969661873</v>
      </c>
      <c r="T34" s="242">
        <f ca="1">R35-S34</f>
        <v>-0.77224969661872933</v>
      </c>
      <c r="U34" s="244">
        <f ca="1">T34/AVERAGE(R35,S35)</f>
        <v>-3.1108368612408279E-3</v>
      </c>
      <c r="V34" s="242">
        <f ca="1">R34-S35</f>
        <v>-1.0784769458932431</v>
      </c>
      <c r="W34" s="244">
        <f ca="1">V34/AVERAGE(R35,S35)</f>
        <v>-4.3444055102549624E-3</v>
      </c>
      <c r="X34" s="87">
        <f>AC34</f>
        <v>3.0000000000000001E-3</v>
      </c>
      <c r="Y34" s="58">
        <f>AC35</f>
        <v>0</v>
      </c>
      <c r="Z34" s="58">
        <f>AD35</f>
        <v>0</v>
      </c>
      <c r="AA34" s="88">
        <f>AD34</f>
        <v>2E-3</v>
      </c>
      <c r="AC34" s="66">
        <v>3.0000000000000001E-3</v>
      </c>
      <c r="AD34" s="67">
        <v>2E-3</v>
      </c>
      <c r="AE34" s="68" t="s">
        <v>88</v>
      </c>
    </row>
    <row r="35" spans="1:31" ht="15.75" thickBot="1" x14ac:dyDescent="0.3">
      <c r="A35" s="164">
        <f>MATCH(F35,SCALARS!C:C,0)</f>
        <v>70</v>
      </c>
      <c r="B35" s="165">
        <f>MATCH(F35,'MKT DATA'!B:B,0)</f>
        <v>56</v>
      </c>
      <c r="C35" s="164" t="str" cm="1">
        <f t="array" aca="1" ref="C35" ca="1">INDIRECT(ADDRESS($A35,2,,,"ANCHOR INPUTS"))</f>
        <v>technology</v>
      </c>
      <c r="D35" s="224">
        <v>635125</v>
      </c>
      <c r="E35" s="23" t="str" cm="1">
        <f t="array" aca="1" ref="E35" ca="1">INDIRECT(ADDRESS($A35,5,,,"ANCHOR INPUTS"))</f>
        <v>IYW</v>
      </c>
      <c r="F35" s="24" t="s">
        <v>121</v>
      </c>
      <c r="G35" s="97"/>
      <c r="H35" s="36" cm="1">
        <f t="array" aca="1" ref="H35" ca="1">INDIRECT(ADDRESS($B35,9,,,"mkt data"))</f>
        <v>0</v>
      </c>
      <c r="I35" s="71">
        <f ca="1">H35*AVERAGE(L35:M35)</f>
        <v>0</v>
      </c>
      <c r="J35" s="36">
        <f t="shared" ca="1" si="38"/>
        <v>0</v>
      </c>
      <c r="K35" s="248"/>
      <c r="L35" s="44" cm="1">
        <f t="array" aca="1" ref="L35" ca="1">INDIRECT(ADDRESS($B35,5,,,"mkt data"))</f>
        <v>247.5</v>
      </c>
      <c r="M35" s="45" cm="1">
        <f t="array" aca="1" ref="M35" ca="1">INDIRECT(ADDRESS($B35,6,,,"mkt data"))</f>
        <v>248.99</v>
      </c>
      <c r="N35" s="186"/>
      <c r="O35" s="25">
        <f t="shared" ca="1" si="39"/>
        <v>247.495</v>
      </c>
      <c r="P35" s="25">
        <f t="shared" ca="1" si="40"/>
        <v>248.995</v>
      </c>
      <c r="Q35" s="155" cm="1">
        <f t="array" aca="1" ref="Q35" ca="1">INDIRECT(ADDRESS($A35,6,,,"scalars"))</f>
        <v>1</v>
      </c>
      <c r="R35" s="26">
        <f t="shared" ref="R35:R37" ca="1" si="48">O35*Q35</f>
        <v>247.495</v>
      </c>
      <c r="S35" s="26">
        <f ca="1">Q35*P35</f>
        <v>248.995</v>
      </c>
      <c r="T35" s="243"/>
      <c r="U35" s="245"/>
      <c r="V35" s="243"/>
      <c r="W35" s="245"/>
      <c r="X35" s="89" t="b">
        <f ca="1">IF(U34&gt;X34,TRUE,FALSE)</f>
        <v>0</v>
      </c>
      <c r="Y35" s="60" t="b">
        <f ca="1">AND(IF(W34&gt;-Y34,TRUE,FALSE),IF(H34&gt;0,TRUE,FALSE))</f>
        <v>0</v>
      </c>
      <c r="Z35" s="60" t="b">
        <f ca="1">AND(IF(U34&gt;-Z34,TRUE,FALSE),IF(H34&lt;0,TRUE,FALSE))</f>
        <v>0</v>
      </c>
      <c r="AA35" s="90" t="b">
        <f ca="1">IF(W34&gt;AA34,TRUE,FALSE)</f>
        <v>0</v>
      </c>
      <c r="AC35" s="67">
        <v>0</v>
      </c>
      <c r="AD35" s="67">
        <v>0</v>
      </c>
      <c r="AE35" s="68" t="s">
        <v>89</v>
      </c>
    </row>
    <row r="36" spans="1:31" x14ac:dyDescent="0.25">
      <c r="A36" s="162">
        <f>MATCH(F36,SCALARS!C:C,0)</f>
        <v>73</v>
      </c>
      <c r="B36" s="163">
        <f>MATCH(F36,'MKT DATA'!B:B,0)</f>
        <v>75</v>
      </c>
      <c r="C36" s="162" t="str" cm="1">
        <f t="array" aca="1" ref="C36" ca="1">INDIRECT(ADDRESS($A36,2,,,"ANCHOR INPUTS"))</f>
        <v>utilities</v>
      </c>
      <c r="D36" s="223">
        <v>20027536</v>
      </c>
      <c r="E36" s="17" t="str" cm="1">
        <f t="array" aca="1" ref="E36" ca="1">INDIRECT(ADDRESS($A36,5,,,"ANCHOR INPUTS"))</f>
        <v>IDU</v>
      </c>
      <c r="F36" s="18" t="s">
        <v>127</v>
      </c>
      <c r="G36" s="96"/>
      <c r="H36" s="34" cm="1">
        <f t="array" aca="1" ref="H36" ca="1">INDIRECT(ADDRESS($B36,9,,,"mkt data"))</f>
        <v>3048</v>
      </c>
      <c r="I36" s="69">
        <f ca="1">H36*AVERAGE(L36:M36)</f>
        <v>129753.36</v>
      </c>
      <c r="J36" s="34">
        <f t="shared" ca="1" si="38"/>
        <v>1199.2272162090308</v>
      </c>
      <c r="K36" s="247">
        <f ca="1">SUM(J36:J37)</f>
        <v>-0.77278379096924255</v>
      </c>
      <c r="L36" s="40" cm="1">
        <f t="array" aca="1" ref="L36" ca="1">INDIRECT(ADDRESS($B36,5,,,"mkt data"))</f>
        <v>42.55</v>
      </c>
      <c r="M36" s="41" cm="1">
        <f t="array" aca="1" ref="M36" ca="1">INDIRECT(ADDRESS($B36,6,,,"mkt data"))</f>
        <v>42.59</v>
      </c>
      <c r="N36" s="185"/>
      <c r="O36" s="19">
        <f t="shared" ca="1" si="39"/>
        <v>42.544999999999995</v>
      </c>
      <c r="P36" s="19">
        <f t="shared" ca="1" si="40"/>
        <v>42.595000000000006</v>
      </c>
      <c r="Q36" s="156" cm="1">
        <f t="array" aca="1" ref="Q36" ca="1">INDIRECT(ADDRESS($A36,6,,,"scalars"))</f>
        <v>2.5416367797549384</v>
      </c>
      <c r="R36" s="20">
        <f t="shared" ca="1" si="48"/>
        <v>108.13393679467384</v>
      </c>
      <c r="S36" s="20">
        <f t="shared" ref="S36:S37" ca="1" si="49">Q36*P36</f>
        <v>108.26101863366162</v>
      </c>
      <c r="T36" s="311">
        <f ca="1">R37-S36</f>
        <v>-6.1060186336616198</v>
      </c>
      <c r="U36" s="244">
        <f ca="1">T36/AVERAGE(R37,S37)</f>
        <v>-5.6771127643174372E-2</v>
      </c>
      <c r="V36" s="242">
        <f ca="1">R36-S37</f>
        <v>-4.8210632053261548</v>
      </c>
      <c r="W36" s="244">
        <f ca="1">V36/AVERAGE(R37,S37)</f>
        <v>-4.4824166290048387E-2</v>
      </c>
      <c r="X36" s="87">
        <f>AC36</f>
        <v>1E-3</v>
      </c>
      <c r="Y36" s="58">
        <f>AC37</f>
        <v>0</v>
      </c>
      <c r="Z36" s="58">
        <f>AD37</f>
        <v>0</v>
      </c>
      <c r="AA36" s="88">
        <f>AD36</f>
        <v>1E-3</v>
      </c>
      <c r="AC36" s="66">
        <v>1E-3</v>
      </c>
      <c r="AD36" s="67">
        <v>1E-3</v>
      </c>
      <c r="AE36" s="68" t="s">
        <v>88</v>
      </c>
    </row>
    <row r="37" spans="1:31" ht="15.75" thickBot="1" x14ac:dyDescent="0.3">
      <c r="A37" s="164">
        <f>MATCH(F37,SCALARS!C:C,0)</f>
        <v>72</v>
      </c>
      <c r="B37" s="165">
        <f>MATCH(F37,'MKT DATA'!B:B,0)</f>
        <v>57</v>
      </c>
      <c r="C37" s="164" t="str" cm="1">
        <f t="array" aca="1" ref="C37" ca="1">INDIRECT(ADDRESS($A37,2,,,"ANCHOR INPUTS"))</f>
        <v>utilities</v>
      </c>
      <c r="D37" s="224">
        <v>129329</v>
      </c>
      <c r="E37" s="23" t="str" cm="1">
        <f t="array" aca="1" ref="E37" ca="1">INDIRECT(ADDRESS($A37,5,,,"ANCHOR INPUTS"))</f>
        <v>IDU</v>
      </c>
      <c r="F37" s="24" t="s">
        <v>125</v>
      </c>
      <c r="G37" s="97"/>
      <c r="H37" s="36" cm="1">
        <f t="array" aca="1" ref="H37" ca="1">INDIRECT(ADDRESS($B37,9,,,"mkt data"))</f>
        <v>-1200</v>
      </c>
      <c r="I37" s="71">
        <f ca="1">H37*AVERAGE(L37:M37)</f>
        <v>-129066.00000000001</v>
      </c>
      <c r="J37" s="36">
        <f t="shared" ca="1" si="38"/>
        <v>-1200</v>
      </c>
      <c r="K37" s="248"/>
      <c r="L37" s="44" cm="1">
        <f t="array" aca="1" ref="L37" ca="1">INDIRECT(ADDRESS($B37,5,,,"mkt data"))</f>
        <v>102.16</v>
      </c>
      <c r="M37" s="45" cm="1">
        <f t="array" aca="1" ref="M37" ca="1">INDIRECT(ADDRESS($B37,6,,,"mkt data"))</f>
        <v>112.95</v>
      </c>
      <c r="N37" s="186"/>
      <c r="O37" s="25">
        <f t="shared" ca="1" si="39"/>
        <v>102.155</v>
      </c>
      <c r="P37" s="25">
        <f t="shared" ca="1" si="40"/>
        <v>112.955</v>
      </c>
      <c r="Q37" s="155" cm="1">
        <f t="array" aca="1" ref="Q37" ca="1">INDIRECT(ADDRESS($A37,6,,,"scalars"))</f>
        <v>1</v>
      </c>
      <c r="R37" s="26">
        <f t="shared" ca="1" si="48"/>
        <v>102.155</v>
      </c>
      <c r="S37" s="26">
        <f t="shared" ca="1" si="49"/>
        <v>112.955</v>
      </c>
      <c r="T37" s="312"/>
      <c r="U37" s="245"/>
      <c r="V37" s="243"/>
      <c r="W37" s="245"/>
      <c r="X37" s="89" t="b">
        <f ca="1">IF(U36&gt;X36,TRUE,FALSE)</f>
        <v>0</v>
      </c>
      <c r="Y37" s="60" t="b">
        <f ca="1">AND(IF(W36&gt;-Y36,TRUE,FALSE),IF(H36&gt;0,TRUE,FALSE))</f>
        <v>0</v>
      </c>
      <c r="Z37" s="60" t="b">
        <f ca="1">AND(IF(U36&gt;-Z36,TRUE,FALSE),IF(H36&lt;0,TRUE,FALSE))</f>
        <v>0</v>
      </c>
      <c r="AA37" s="90" t="b">
        <f ca="1">IF(W36&gt;AA36,TRUE,FALSE)</f>
        <v>0</v>
      </c>
      <c r="AC37" s="67">
        <v>0</v>
      </c>
      <c r="AD37" s="67">
        <v>0</v>
      </c>
      <c r="AE37" s="68" t="s">
        <v>89</v>
      </c>
    </row>
    <row r="39" spans="1:31" x14ac:dyDescent="0.25">
      <c r="C39" s="157" t="s">
        <v>140</v>
      </c>
      <c r="D39" s="157"/>
      <c r="F39" t="s">
        <v>137</v>
      </c>
      <c r="H39" s="310"/>
      <c r="J39" t="s">
        <v>180</v>
      </c>
      <c r="K39" s="6">
        <v>3048</v>
      </c>
      <c r="L39">
        <v>42.439079999999997</v>
      </c>
      <c r="M39" s="2">
        <f ca="1">+L39*Q36</f>
        <v>107.86472662696221</v>
      </c>
      <c r="O39" t="s">
        <v>181</v>
      </c>
      <c r="P39" s="6">
        <v>-3181</v>
      </c>
      <c r="Q39">
        <v>64.464519999999993</v>
      </c>
      <c r="R39" s="2">
        <f ca="1">+Q39*Q22</f>
        <v>68.341151897926451</v>
      </c>
    </row>
    <row r="40" spans="1:31" ht="17.25" x14ac:dyDescent="0.4">
      <c r="J40" t="s">
        <v>179</v>
      </c>
      <c r="K40" s="6">
        <v>-1200</v>
      </c>
      <c r="L40">
        <v>108.11492</v>
      </c>
      <c r="M40" s="313">
        <f ca="1">+L40*Q37</f>
        <v>108.11492</v>
      </c>
      <c r="O40" t="s">
        <v>182</v>
      </c>
      <c r="P40" s="6">
        <v>3000</v>
      </c>
      <c r="Q40">
        <v>68.129750000000001</v>
      </c>
      <c r="R40" s="313">
        <f ca="1">+Q40*Q23</f>
        <v>68.129750000000001</v>
      </c>
    </row>
    <row r="41" spans="1:31" x14ac:dyDescent="0.25">
      <c r="C41" s="157" t="s">
        <v>138</v>
      </c>
      <c r="D41" s="157"/>
      <c r="F41" t="s">
        <v>139</v>
      </c>
      <c r="M41" s="2">
        <f ca="1">+M40-M39</f>
        <v>0.25019337303778855</v>
      </c>
      <c r="R41" s="2">
        <f ca="1">+R40-R39</f>
        <v>-0.21140189792645003</v>
      </c>
    </row>
    <row r="42" spans="1:31" x14ac:dyDescent="0.25">
      <c r="C42" s="157" t="s">
        <v>169</v>
      </c>
      <c r="D42" s="157"/>
      <c r="F42" t="s">
        <v>136</v>
      </c>
    </row>
    <row r="43" spans="1:31" x14ac:dyDescent="0.25">
      <c r="F43" t="s">
        <v>145</v>
      </c>
    </row>
    <row r="44" spans="1:31" x14ac:dyDescent="0.25">
      <c r="F44" t="s">
        <v>146</v>
      </c>
    </row>
  </sheetData>
  <mergeCells count="97">
    <mergeCell ref="V28:V29"/>
    <mergeCell ref="W28:W29"/>
    <mergeCell ref="V32:V33"/>
    <mergeCell ref="W32:W33"/>
    <mergeCell ref="K28:K29"/>
    <mergeCell ref="K32:K33"/>
    <mergeCell ref="T28:T29"/>
    <mergeCell ref="U28:U29"/>
    <mergeCell ref="T32:T33"/>
    <mergeCell ref="U32:U33"/>
    <mergeCell ref="T5:T6"/>
    <mergeCell ref="U5:U6"/>
    <mergeCell ref="V5:V6"/>
    <mergeCell ref="W5:W6"/>
    <mergeCell ref="T9:T10"/>
    <mergeCell ref="U9:U10"/>
    <mergeCell ref="V9:V10"/>
    <mergeCell ref="W9:W10"/>
    <mergeCell ref="K36:K37"/>
    <mergeCell ref="V36:V37"/>
    <mergeCell ref="W36:W37"/>
    <mergeCell ref="T36:T37"/>
    <mergeCell ref="U36:U37"/>
    <mergeCell ref="K30:K31"/>
    <mergeCell ref="V30:V31"/>
    <mergeCell ref="W30:W31"/>
    <mergeCell ref="T30:T31"/>
    <mergeCell ref="U30:U31"/>
    <mergeCell ref="K34:K35"/>
    <mergeCell ref="V34:V35"/>
    <mergeCell ref="W34:W35"/>
    <mergeCell ref="T34:T35"/>
    <mergeCell ref="U34:U35"/>
    <mergeCell ref="K24:K25"/>
    <mergeCell ref="V24:V25"/>
    <mergeCell ref="W24:W25"/>
    <mergeCell ref="T24:T25"/>
    <mergeCell ref="U24:U25"/>
    <mergeCell ref="K26:K27"/>
    <mergeCell ref="V26:V27"/>
    <mergeCell ref="W26:W27"/>
    <mergeCell ref="T26:T27"/>
    <mergeCell ref="U26:U27"/>
    <mergeCell ref="T20:U20"/>
    <mergeCell ref="V20:W20"/>
    <mergeCell ref="AC20:AD20"/>
    <mergeCell ref="K22:K23"/>
    <mergeCell ref="V22:V23"/>
    <mergeCell ref="W22:W23"/>
    <mergeCell ref="T22:T23"/>
    <mergeCell ref="U22:U23"/>
    <mergeCell ref="A20:B20"/>
    <mergeCell ref="H20:K20"/>
    <mergeCell ref="L20:M20"/>
    <mergeCell ref="O20:P20"/>
    <mergeCell ref="R20:S20"/>
    <mergeCell ref="U11:U12"/>
    <mergeCell ref="V11:V12"/>
    <mergeCell ref="W11:W12"/>
    <mergeCell ref="K7:K8"/>
    <mergeCell ref="T7:T8"/>
    <mergeCell ref="U7:U8"/>
    <mergeCell ref="V7:V8"/>
    <mergeCell ref="W7:W8"/>
    <mergeCell ref="T15:T16"/>
    <mergeCell ref="U15:U16"/>
    <mergeCell ref="V15:V16"/>
    <mergeCell ref="W15:W16"/>
    <mergeCell ref="K17:K18"/>
    <mergeCell ref="T17:T18"/>
    <mergeCell ref="U17:U18"/>
    <mergeCell ref="V17:V18"/>
    <mergeCell ref="W17:W18"/>
    <mergeCell ref="R1:S1"/>
    <mergeCell ref="V1:W1"/>
    <mergeCell ref="AC1:AD1"/>
    <mergeCell ref="K13:K14"/>
    <mergeCell ref="T13:T14"/>
    <mergeCell ref="U13:U14"/>
    <mergeCell ref="V13:V14"/>
    <mergeCell ref="W13:W14"/>
    <mergeCell ref="T1:U1"/>
    <mergeCell ref="K3:K4"/>
    <mergeCell ref="T3:T4"/>
    <mergeCell ref="U3:U4"/>
    <mergeCell ref="V3:V4"/>
    <mergeCell ref="W3:W4"/>
    <mergeCell ref="K11:K12"/>
    <mergeCell ref="T11:T12"/>
    <mergeCell ref="A19:C19"/>
    <mergeCell ref="A1:B1"/>
    <mergeCell ref="H1:K1"/>
    <mergeCell ref="L1:M1"/>
    <mergeCell ref="O1:P1"/>
    <mergeCell ref="K15:K16"/>
    <mergeCell ref="K5:K6"/>
    <mergeCell ref="K9:K10"/>
  </mergeCells>
  <conditionalFormatting sqref="R7:R8">
    <cfRule type="top10" dxfId="63" priority="65" rank="1"/>
  </conditionalFormatting>
  <conditionalFormatting sqref="S7:S8">
    <cfRule type="top10" dxfId="62" priority="66" rank="1"/>
  </conditionalFormatting>
  <conditionalFormatting sqref="R15:R16">
    <cfRule type="top10" dxfId="61" priority="55" rank="1"/>
  </conditionalFormatting>
  <conditionalFormatting sqref="S15:S16">
    <cfRule type="top10" dxfId="60" priority="56" rank="1"/>
  </conditionalFormatting>
  <conditionalFormatting sqref="R11:R12">
    <cfRule type="top10" dxfId="59" priority="53" rank="1"/>
  </conditionalFormatting>
  <conditionalFormatting sqref="S11:S12">
    <cfRule type="top10" dxfId="58" priority="54" rank="1"/>
  </conditionalFormatting>
  <conditionalFormatting sqref="R13:R14">
    <cfRule type="top10" dxfId="57" priority="51" rank="1"/>
  </conditionalFormatting>
  <conditionalFormatting sqref="S13:S14">
    <cfRule type="top10" dxfId="56" priority="52" rank="1"/>
  </conditionalFormatting>
  <conditionalFormatting sqref="X12 AA12 X14 AA14 X16 AA16 X35 AA35 X31 AA31 X37 AA37 X8:X10 AA8:AA10 X18 AA18 X4:X6 AA4:AA6">
    <cfRule type="cellIs" dxfId="55" priority="50" operator="equal">
      <formula>TRUE</formula>
    </cfRule>
  </conditionalFormatting>
  <conditionalFormatting sqref="Y12:Z12 Y14:Z14 Y16:Z16 Y35:Z35 Y37:Z37 Y8:Z10 Y18:Z18 Y4:Z6">
    <cfRule type="cellIs" dxfId="54" priority="49" operator="equal">
      <formula>TRUE</formula>
    </cfRule>
  </conditionalFormatting>
  <conditionalFormatting sqref="W3:W18 U3:U18 U22:U37 W22:W37">
    <cfRule type="cellIs" dxfId="53" priority="48" operator="greaterThan">
      <formula>0</formula>
    </cfRule>
  </conditionalFormatting>
  <conditionalFormatting sqref="R34:R35">
    <cfRule type="top10" dxfId="52" priority="44" rank="1"/>
  </conditionalFormatting>
  <conditionalFormatting sqref="S34:S35">
    <cfRule type="top10" dxfId="51" priority="45" rank="1"/>
  </conditionalFormatting>
  <conditionalFormatting sqref="R26:R27">
    <cfRule type="top10" dxfId="50" priority="40" rank="1"/>
  </conditionalFormatting>
  <conditionalFormatting sqref="S26:S27">
    <cfRule type="top10" dxfId="49" priority="41" rank="1"/>
  </conditionalFormatting>
  <conditionalFormatting sqref="R30:R31">
    <cfRule type="top10" dxfId="48" priority="38" rank="1"/>
  </conditionalFormatting>
  <conditionalFormatting sqref="S30:S31">
    <cfRule type="top10" dxfId="47" priority="39" rank="1"/>
  </conditionalFormatting>
  <conditionalFormatting sqref="R22:R23">
    <cfRule type="top10" dxfId="46" priority="36" rank="1"/>
  </conditionalFormatting>
  <conditionalFormatting sqref="S22:S23">
    <cfRule type="top10" dxfId="45" priority="37" rank="1"/>
  </conditionalFormatting>
  <conditionalFormatting sqref="X23 AA23">
    <cfRule type="cellIs" dxfId="44" priority="21" operator="equal">
      <formula>TRUE</formula>
    </cfRule>
  </conditionalFormatting>
  <conditionalFormatting sqref="Y23:Z23">
    <cfRule type="cellIs" dxfId="43" priority="20" operator="equal">
      <formula>TRUE</formula>
    </cfRule>
  </conditionalFormatting>
  <conditionalFormatting sqref="X25:X37 AA25:AA37">
    <cfRule type="cellIs" dxfId="42" priority="19" operator="equal">
      <formula>TRUE</formula>
    </cfRule>
  </conditionalFormatting>
  <conditionalFormatting sqref="Y25:Z37">
    <cfRule type="cellIs" dxfId="41" priority="18" operator="equal">
      <formula>TRUE</formula>
    </cfRule>
  </conditionalFormatting>
  <conditionalFormatting sqref="X27 AA27">
    <cfRule type="cellIs" dxfId="40" priority="17" operator="equal">
      <formula>TRUE</formula>
    </cfRule>
  </conditionalFormatting>
  <conditionalFormatting sqref="Y27:Z27">
    <cfRule type="cellIs" dxfId="39" priority="16" operator="equal">
      <formula>TRUE</formula>
    </cfRule>
  </conditionalFormatting>
  <conditionalFormatting sqref="Y31:Z31">
    <cfRule type="cellIs" dxfId="38" priority="15" operator="equal">
      <formula>TRUE</formula>
    </cfRule>
  </conditionalFormatting>
  <conditionalFormatting sqref="R3:R4">
    <cfRule type="top10" dxfId="37" priority="67" rank="1"/>
  </conditionalFormatting>
  <conditionalFormatting sqref="S3:S4">
    <cfRule type="top10" dxfId="36" priority="69" rank="1"/>
  </conditionalFormatting>
  <conditionalFormatting sqref="R9:R10">
    <cfRule type="top10" dxfId="35" priority="70" rank="1"/>
  </conditionalFormatting>
  <conditionalFormatting sqref="S9:S10">
    <cfRule type="top10" dxfId="34" priority="71" rank="1"/>
  </conditionalFormatting>
  <conditionalFormatting sqref="R17:R18">
    <cfRule type="top10" dxfId="33" priority="13" rank="1"/>
  </conditionalFormatting>
  <conditionalFormatting sqref="S17:S18">
    <cfRule type="top10" dxfId="32" priority="14" rank="1"/>
  </conditionalFormatting>
  <conditionalFormatting sqref="R5:R6">
    <cfRule type="top10" dxfId="31" priority="11" rank="1"/>
  </conditionalFormatting>
  <conditionalFormatting sqref="S5:S6">
    <cfRule type="top10" dxfId="30" priority="12" rank="1"/>
  </conditionalFormatting>
  <conditionalFormatting sqref="R36:R37">
    <cfRule type="top10" dxfId="29" priority="7" rank="1"/>
  </conditionalFormatting>
  <conditionalFormatting sqref="S36:S37">
    <cfRule type="top10" dxfId="28" priority="8" rank="1"/>
  </conditionalFormatting>
  <conditionalFormatting sqref="R32:R33">
    <cfRule type="top10" dxfId="27" priority="5" rank="1"/>
  </conditionalFormatting>
  <conditionalFormatting sqref="S32:S33">
    <cfRule type="top10" dxfId="26" priority="6" rank="1"/>
  </conditionalFormatting>
  <conditionalFormatting sqref="X29:X33 AA29:AA33">
    <cfRule type="cellIs" dxfId="25" priority="4" operator="equal">
      <formula>TRUE</formula>
    </cfRule>
  </conditionalFormatting>
  <conditionalFormatting sqref="Y29:Z33">
    <cfRule type="cellIs" dxfId="24" priority="3" operator="equal">
      <formula>TRUE</formula>
    </cfRule>
  </conditionalFormatting>
  <conditionalFormatting sqref="X33 AA33">
    <cfRule type="cellIs" dxfId="23" priority="2" operator="equal">
      <formula>TRUE</formula>
    </cfRule>
  </conditionalFormatting>
  <conditionalFormatting sqref="Y33:Z33">
    <cfRule type="cellIs" dxfId="22" priority="1" operator="equal">
      <formula>TRUE</formula>
    </cfRule>
  </conditionalFormatting>
  <conditionalFormatting sqref="R24:R25">
    <cfRule type="top10" dxfId="21" priority="82" rank="1"/>
  </conditionalFormatting>
  <conditionalFormatting sqref="S24:S25">
    <cfRule type="top10" dxfId="20" priority="83" rank="1"/>
  </conditionalFormatting>
  <conditionalFormatting sqref="R28:R29">
    <cfRule type="top10" dxfId="19" priority="84" rank="1"/>
  </conditionalFormatting>
  <conditionalFormatting sqref="S28:S29">
    <cfRule type="top10" dxfId="18" priority="85" rank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73"/>
  <sheetViews>
    <sheetView zoomScale="90" zoomScaleNormal="90" workbookViewId="0">
      <selection activeCell="H14" sqref="H14"/>
    </sheetView>
  </sheetViews>
  <sheetFormatPr defaultRowHeight="15" x14ac:dyDescent="0.25"/>
  <cols>
    <col min="1" max="1" width="13.42578125" customWidth="1"/>
    <col min="2" max="2" width="18.7109375" customWidth="1"/>
    <col min="3" max="3" width="13" customWidth="1"/>
    <col min="4" max="4" width="12.28515625" bestFit="1" customWidth="1"/>
    <col min="5" max="5" width="7.140625" bestFit="1" customWidth="1"/>
    <col min="6" max="6" width="9.85546875" style="4" bestFit="1" customWidth="1"/>
    <col min="7" max="7" width="18.7109375" style="9" bestFit="1" customWidth="1"/>
    <col min="8" max="8" width="34.42578125" style="4" bestFit="1" customWidth="1"/>
  </cols>
  <sheetData>
    <row r="1" spans="1:15" s="3" customFormat="1" x14ac:dyDescent="0.25">
      <c r="A1" s="5" t="s">
        <v>61</v>
      </c>
      <c r="B1" s="5" t="s">
        <v>128</v>
      </c>
      <c r="C1" s="5" t="s">
        <v>2</v>
      </c>
      <c r="D1" s="5" t="s">
        <v>1</v>
      </c>
      <c r="E1" s="5" t="s">
        <v>99</v>
      </c>
      <c r="F1" s="150" t="s">
        <v>33</v>
      </c>
      <c r="G1" s="7"/>
    </row>
    <row r="2" spans="1:15" x14ac:dyDescent="0.25">
      <c r="A2" t="s">
        <v>149</v>
      </c>
      <c r="B2" t="s">
        <v>150</v>
      </c>
      <c r="C2" t="s">
        <v>8</v>
      </c>
      <c r="D2" t="s">
        <v>0</v>
      </c>
      <c r="E2" t="s">
        <v>8</v>
      </c>
      <c r="F2" s="4">
        <v>1</v>
      </c>
      <c r="G2" s="8"/>
    </row>
    <row r="3" spans="1:15" x14ac:dyDescent="0.25">
      <c r="A3" t="s">
        <v>149</v>
      </c>
      <c r="B3" t="s">
        <v>150</v>
      </c>
      <c r="C3" t="s">
        <v>7</v>
      </c>
      <c r="D3" t="s">
        <v>0</v>
      </c>
      <c r="E3" t="s">
        <v>8</v>
      </c>
      <c r="F3" s="4">
        <v>1.3480994074930903</v>
      </c>
      <c r="G3" s="8"/>
    </row>
    <row r="4" spans="1:15" x14ac:dyDescent="0.25">
      <c r="A4" t="s">
        <v>149</v>
      </c>
      <c r="B4" t="s">
        <v>150</v>
      </c>
      <c r="C4" t="s">
        <v>5</v>
      </c>
      <c r="D4" t="s">
        <v>0</v>
      </c>
      <c r="E4" t="s">
        <v>8</v>
      </c>
      <c r="F4" s="4">
        <v>4.2775971896637133</v>
      </c>
      <c r="G4" s="8"/>
    </row>
    <row r="5" spans="1:15" x14ac:dyDescent="0.25">
      <c r="A5" t="s">
        <v>149</v>
      </c>
      <c r="B5" t="s">
        <v>150</v>
      </c>
      <c r="C5" t="s">
        <v>6</v>
      </c>
      <c r="D5" t="s">
        <v>0</v>
      </c>
      <c r="E5" t="s">
        <v>8</v>
      </c>
      <c r="F5" s="4">
        <v>3.8800553718363253</v>
      </c>
      <c r="G5" s="8"/>
    </row>
    <row r="6" spans="1:15" x14ac:dyDescent="0.25">
      <c r="A6" t="s">
        <v>149</v>
      </c>
      <c r="B6" t="s">
        <v>151</v>
      </c>
      <c r="C6" t="s">
        <v>44</v>
      </c>
      <c r="D6" t="s">
        <v>0</v>
      </c>
      <c r="E6" t="s">
        <v>44</v>
      </c>
      <c r="F6" s="4">
        <v>1</v>
      </c>
      <c r="G6" s="8"/>
    </row>
    <row r="7" spans="1:15" x14ac:dyDescent="0.25">
      <c r="A7" t="s">
        <v>149</v>
      </c>
      <c r="B7" t="s">
        <v>151</v>
      </c>
      <c r="C7" t="s">
        <v>50</v>
      </c>
      <c r="D7" t="s">
        <v>0</v>
      </c>
      <c r="E7" t="s">
        <v>44</v>
      </c>
      <c r="F7" s="4">
        <v>1.0738183260697056</v>
      </c>
      <c r="G7" s="8"/>
      <c r="H7"/>
      <c r="J7" s="11"/>
      <c r="M7" s="1"/>
      <c r="O7" s="1"/>
    </row>
    <row r="8" spans="1:15" x14ac:dyDescent="0.25">
      <c r="A8" t="s">
        <v>149</v>
      </c>
      <c r="B8" t="s">
        <v>152</v>
      </c>
      <c r="C8" t="s">
        <v>31</v>
      </c>
      <c r="D8" t="s">
        <v>0</v>
      </c>
      <c r="E8" t="s">
        <v>31</v>
      </c>
      <c r="F8" s="4">
        <v>1</v>
      </c>
      <c r="G8" s="8"/>
    </row>
    <row r="9" spans="1:15" x14ac:dyDescent="0.25">
      <c r="A9" t="s">
        <v>149</v>
      </c>
      <c r="B9" t="s">
        <v>152</v>
      </c>
      <c r="C9" t="s">
        <v>28</v>
      </c>
      <c r="D9" t="s">
        <v>0</v>
      </c>
      <c r="E9" t="s">
        <v>31</v>
      </c>
      <c r="F9" s="4">
        <v>3.3417210651650655</v>
      </c>
      <c r="G9" s="8"/>
    </row>
    <row r="10" spans="1:15" x14ac:dyDescent="0.25">
      <c r="A10" t="s">
        <v>149</v>
      </c>
      <c r="B10" t="s">
        <v>152</v>
      </c>
      <c r="C10" t="s">
        <v>29</v>
      </c>
      <c r="D10" t="s">
        <v>0</v>
      </c>
      <c r="E10" t="s">
        <v>31</v>
      </c>
      <c r="F10" s="4">
        <v>1.889961289883912</v>
      </c>
      <c r="G10" s="8"/>
    </row>
    <row r="11" spans="1:15" x14ac:dyDescent="0.25">
      <c r="A11" t="s">
        <v>149</v>
      </c>
      <c r="B11" t="s">
        <v>152</v>
      </c>
      <c r="C11" t="s">
        <v>30</v>
      </c>
      <c r="D11" t="s">
        <v>0</v>
      </c>
      <c r="E11" t="s">
        <v>31</v>
      </c>
      <c r="F11" s="4">
        <v>1.2634601488504322</v>
      </c>
      <c r="G11" s="8"/>
    </row>
    <row r="12" spans="1:15" x14ac:dyDescent="0.25">
      <c r="A12" t="s">
        <v>149</v>
      </c>
      <c r="B12" t="s">
        <v>153</v>
      </c>
      <c r="C12" t="s">
        <v>49</v>
      </c>
      <c r="D12" t="s">
        <v>0</v>
      </c>
      <c r="E12" t="s">
        <v>49</v>
      </c>
      <c r="F12" s="4">
        <v>1</v>
      </c>
      <c r="G12" s="8"/>
    </row>
    <row r="13" spans="1:15" x14ac:dyDescent="0.25">
      <c r="A13" t="s">
        <v>149</v>
      </c>
      <c r="B13" t="s">
        <v>153</v>
      </c>
      <c r="C13" t="s">
        <v>59</v>
      </c>
      <c r="D13" t="s">
        <v>0</v>
      </c>
      <c r="E13" t="s">
        <v>49</v>
      </c>
      <c r="F13" s="4">
        <v>1.4379660308607112</v>
      </c>
      <c r="G13" s="8"/>
    </row>
    <row r="14" spans="1:15" x14ac:dyDescent="0.25">
      <c r="A14" t="s">
        <v>149</v>
      </c>
      <c r="B14" t="s">
        <v>154</v>
      </c>
      <c r="C14" t="s">
        <v>45</v>
      </c>
      <c r="D14" t="s">
        <v>0</v>
      </c>
      <c r="E14" t="s">
        <v>51</v>
      </c>
      <c r="F14" s="4">
        <v>1.0441007563982159</v>
      </c>
      <c r="G14" s="8"/>
    </row>
    <row r="15" spans="1:15" x14ac:dyDescent="0.25">
      <c r="A15" t="s">
        <v>149</v>
      </c>
      <c r="B15" t="s">
        <v>154</v>
      </c>
      <c r="C15" t="s">
        <v>51</v>
      </c>
      <c r="D15" t="s">
        <v>0</v>
      </c>
      <c r="E15" t="s">
        <v>51</v>
      </c>
      <c r="F15" s="4">
        <v>1</v>
      </c>
      <c r="G15" s="8"/>
    </row>
    <row r="16" spans="1:15" x14ac:dyDescent="0.25">
      <c r="A16" t="s">
        <v>149</v>
      </c>
      <c r="B16" t="s">
        <v>155</v>
      </c>
      <c r="C16" t="s">
        <v>48</v>
      </c>
      <c r="D16" t="s">
        <v>0</v>
      </c>
      <c r="E16" t="s">
        <v>52</v>
      </c>
      <c r="F16" s="4">
        <v>1.1150615075218386</v>
      </c>
      <c r="G16" s="8"/>
    </row>
    <row r="17" spans="1:7" x14ac:dyDescent="0.25">
      <c r="A17" t="s">
        <v>149</v>
      </c>
      <c r="B17" t="s">
        <v>155</v>
      </c>
      <c r="C17" t="s">
        <v>52</v>
      </c>
      <c r="D17" t="s">
        <v>0</v>
      </c>
      <c r="E17" t="s">
        <v>52</v>
      </c>
      <c r="F17" s="4">
        <v>1</v>
      </c>
      <c r="G17" s="8"/>
    </row>
    <row r="18" spans="1:7" x14ac:dyDescent="0.25">
      <c r="A18" t="s">
        <v>149</v>
      </c>
      <c r="B18" t="s">
        <v>156</v>
      </c>
      <c r="C18" t="s">
        <v>46</v>
      </c>
      <c r="D18" t="s">
        <v>0</v>
      </c>
      <c r="E18" t="s">
        <v>53</v>
      </c>
      <c r="F18" s="4">
        <v>1.8900911436137335</v>
      </c>
      <c r="G18" s="8"/>
    </row>
    <row r="19" spans="1:7" x14ac:dyDescent="0.25">
      <c r="A19" t="s">
        <v>149</v>
      </c>
      <c r="B19" t="s">
        <v>156</v>
      </c>
      <c r="C19" t="s">
        <v>53</v>
      </c>
      <c r="D19" t="s">
        <v>0</v>
      </c>
      <c r="E19" t="s">
        <v>53</v>
      </c>
      <c r="F19" s="4">
        <v>1</v>
      </c>
      <c r="G19" s="8"/>
    </row>
    <row r="20" spans="1:7" x14ac:dyDescent="0.25">
      <c r="A20" t="s">
        <v>149</v>
      </c>
      <c r="B20" t="s">
        <v>157</v>
      </c>
      <c r="C20" t="s">
        <v>16</v>
      </c>
      <c r="D20" t="s">
        <v>0</v>
      </c>
      <c r="E20" t="s">
        <v>17</v>
      </c>
      <c r="F20" s="4">
        <v>1.2036905737033365</v>
      </c>
      <c r="G20" s="8"/>
    </row>
    <row r="21" spans="1:7" x14ac:dyDescent="0.25">
      <c r="A21" t="s">
        <v>149</v>
      </c>
      <c r="B21" t="s">
        <v>157</v>
      </c>
      <c r="C21" t="s">
        <v>14</v>
      </c>
      <c r="D21" t="s">
        <v>0</v>
      </c>
      <c r="E21" t="s">
        <v>17</v>
      </c>
      <c r="F21" s="4">
        <v>2.6381442655363458</v>
      </c>
      <c r="G21" s="8"/>
    </row>
    <row r="22" spans="1:7" x14ac:dyDescent="0.25">
      <c r="A22" t="s">
        <v>149</v>
      </c>
      <c r="B22" t="s">
        <v>157</v>
      </c>
      <c r="C22" t="s">
        <v>17</v>
      </c>
      <c r="D22" t="s">
        <v>0</v>
      </c>
      <c r="E22" t="s">
        <v>17</v>
      </c>
      <c r="F22" s="4">
        <v>1</v>
      </c>
      <c r="G22" s="8"/>
    </row>
    <row r="23" spans="1:7" x14ac:dyDescent="0.25">
      <c r="A23" t="s">
        <v>149</v>
      </c>
      <c r="B23" t="s">
        <v>157</v>
      </c>
      <c r="C23" t="s">
        <v>13</v>
      </c>
      <c r="D23" t="s">
        <v>0</v>
      </c>
      <c r="E23" t="s">
        <v>17</v>
      </c>
      <c r="F23" s="4">
        <v>3.6826104220817419</v>
      </c>
      <c r="G23" s="8"/>
    </row>
    <row r="24" spans="1:7" x14ac:dyDescent="0.25">
      <c r="A24" t="s">
        <v>149</v>
      </c>
      <c r="B24" t="s">
        <v>157</v>
      </c>
      <c r="C24" t="s">
        <v>12</v>
      </c>
      <c r="D24" t="s">
        <v>0</v>
      </c>
      <c r="E24" t="s">
        <v>17</v>
      </c>
      <c r="F24" s="4">
        <v>4.1152786388349156</v>
      </c>
      <c r="G24" s="8"/>
    </row>
    <row r="25" spans="1:7" x14ac:dyDescent="0.25">
      <c r="A25" t="s">
        <v>149</v>
      </c>
      <c r="B25" t="s">
        <v>157</v>
      </c>
      <c r="C25" t="s">
        <v>15</v>
      </c>
      <c r="D25" t="s">
        <v>0</v>
      </c>
      <c r="E25" t="s">
        <v>17</v>
      </c>
      <c r="F25" s="4">
        <v>2.602415036776299</v>
      </c>
      <c r="G25" s="8"/>
    </row>
    <row r="26" spans="1:7" x14ac:dyDescent="0.25">
      <c r="A26" t="s">
        <v>149</v>
      </c>
      <c r="B26" t="s">
        <v>158</v>
      </c>
      <c r="C26" t="s">
        <v>20</v>
      </c>
      <c r="D26" t="s">
        <v>0</v>
      </c>
      <c r="E26" t="s">
        <v>20</v>
      </c>
      <c r="F26" s="4">
        <v>1</v>
      </c>
      <c r="G26" s="8"/>
    </row>
    <row r="27" spans="1:7" x14ac:dyDescent="0.25">
      <c r="A27" t="s">
        <v>149</v>
      </c>
      <c r="B27" t="s">
        <v>158</v>
      </c>
      <c r="C27" t="s">
        <v>18</v>
      </c>
      <c r="D27" t="s">
        <v>0</v>
      </c>
      <c r="E27" t="s">
        <v>20</v>
      </c>
      <c r="F27" s="4">
        <v>4.2373402778562772</v>
      </c>
      <c r="G27" s="8"/>
    </row>
    <row r="28" spans="1:7" x14ac:dyDescent="0.25">
      <c r="A28" t="s">
        <v>149</v>
      </c>
      <c r="B28" t="s">
        <v>158</v>
      </c>
      <c r="C28" t="s">
        <v>19</v>
      </c>
      <c r="D28" t="s">
        <v>0</v>
      </c>
      <c r="E28" t="s">
        <v>20</v>
      </c>
      <c r="F28" s="4">
        <v>2.0178928635115652</v>
      </c>
      <c r="G28" s="8"/>
    </row>
    <row r="29" spans="1:7" x14ac:dyDescent="0.25">
      <c r="A29" t="s">
        <v>149</v>
      </c>
      <c r="B29" t="s">
        <v>159</v>
      </c>
      <c r="C29" t="s">
        <v>4</v>
      </c>
      <c r="D29" t="s">
        <v>0</v>
      </c>
      <c r="E29" t="s">
        <v>4</v>
      </c>
      <c r="F29" s="4">
        <v>1</v>
      </c>
    </row>
    <row r="30" spans="1:7" x14ac:dyDescent="0.25">
      <c r="A30" t="s">
        <v>149</v>
      </c>
      <c r="B30" t="s">
        <v>159</v>
      </c>
      <c r="C30" t="s">
        <v>21</v>
      </c>
      <c r="D30" t="s">
        <v>0</v>
      </c>
      <c r="E30" t="s">
        <v>4</v>
      </c>
      <c r="F30" s="4">
        <v>2.3513336978186774</v>
      </c>
    </row>
    <row r="31" spans="1:7" x14ac:dyDescent="0.25">
      <c r="A31" t="s">
        <v>149</v>
      </c>
      <c r="B31" t="s">
        <v>159</v>
      </c>
      <c r="C31" t="s">
        <v>3</v>
      </c>
      <c r="D31" t="s">
        <v>0</v>
      </c>
      <c r="E31" t="s">
        <v>4</v>
      </c>
      <c r="F31" s="4">
        <v>2.1280247016711913</v>
      </c>
    </row>
    <row r="32" spans="1:7" x14ac:dyDescent="0.25">
      <c r="A32" t="s">
        <v>149</v>
      </c>
      <c r="B32" t="s">
        <v>160</v>
      </c>
      <c r="C32" t="s">
        <v>54</v>
      </c>
      <c r="D32" t="s">
        <v>0</v>
      </c>
      <c r="E32" t="s">
        <v>54</v>
      </c>
      <c r="F32" s="4">
        <v>1</v>
      </c>
    </row>
    <row r="33" spans="1:8" x14ac:dyDescent="0.25">
      <c r="A33" t="s">
        <v>149</v>
      </c>
      <c r="B33" t="s">
        <v>160</v>
      </c>
      <c r="C33" t="s">
        <v>55</v>
      </c>
      <c r="D33" t="s">
        <v>0</v>
      </c>
      <c r="E33" t="s">
        <v>54</v>
      </c>
      <c r="F33" s="4">
        <v>1.6532415673651673</v>
      </c>
    </row>
    <row r="34" spans="1:8" x14ac:dyDescent="0.25">
      <c r="A34" t="s">
        <v>149</v>
      </c>
      <c r="B34" t="s">
        <v>161</v>
      </c>
      <c r="C34" t="s">
        <v>23</v>
      </c>
      <c r="D34" t="s">
        <v>0</v>
      </c>
      <c r="E34" t="s">
        <v>24</v>
      </c>
      <c r="F34" s="4">
        <v>1.5006224474908854</v>
      </c>
    </row>
    <row r="35" spans="1:8" x14ac:dyDescent="0.25">
      <c r="A35" t="s">
        <v>149</v>
      </c>
      <c r="B35" t="s">
        <v>161</v>
      </c>
      <c r="C35" t="s">
        <v>22</v>
      </c>
      <c r="D35" t="s">
        <v>0</v>
      </c>
      <c r="E35" t="s">
        <v>24</v>
      </c>
      <c r="F35" s="4">
        <v>3.3610790765429024</v>
      </c>
    </row>
    <row r="36" spans="1:8" x14ac:dyDescent="0.25">
      <c r="A36" t="s">
        <v>149</v>
      </c>
      <c r="B36" t="s">
        <v>161</v>
      </c>
      <c r="C36" t="s">
        <v>24</v>
      </c>
      <c r="D36" t="s">
        <v>0</v>
      </c>
      <c r="E36" t="s">
        <v>24</v>
      </c>
      <c r="F36" s="4">
        <v>1</v>
      </c>
    </row>
    <row r="37" spans="1:8" x14ac:dyDescent="0.25">
      <c r="A37" t="s">
        <v>149</v>
      </c>
      <c r="B37" t="s">
        <v>162</v>
      </c>
      <c r="C37" t="s">
        <v>26</v>
      </c>
      <c r="D37" t="s">
        <v>0</v>
      </c>
      <c r="E37" t="s">
        <v>27</v>
      </c>
      <c r="F37" s="4">
        <v>1.762773020227197</v>
      </c>
    </row>
    <row r="38" spans="1:8" x14ac:dyDescent="0.25">
      <c r="A38" t="s">
        <v>149</v>
      </c>
      <c r="B38" t="s">
        <v>162</v>
      </c>
      <c r="C38" t="s">
        <v>25</v>
      </c>
      <c r="D38" t="s">
        <v>0</v>
      </c>
      <c r="E38" t="s">
        <v>27</v>
      </c>
      <c r="F38" s="4">
        <v>2.1025844909552989</v>
      </c>
    </row>
    <row r="39" spans="1:8" x14ac:dyDescent="0.25">
      <c r="A39" t="s">
        <v>149</v>
      </c>
      <c r="B39" t="s">
        <v>162</v>
      </c>
      <c r="C39" t="s">
        <v>27</v>
      </c>
      <c r="D39" t="s">
        <v>0</v>
      </c>
      <c r="E39" t="s">
        <v>27</v>
      </c>
      <c r="F39" s="4">
        <v>1</v>
      </c>
    </row>
    <row r="40" spans="1:8" x14ac:dyDescent="0.25">
      <c r="A40" t="s">
        <v>149</v>
      </c>
      <c r="B40" t="s">
        <v>163</v>
      </c>
      <c r="C40" t="s">
        <v>47</v>
      </c>
      <c r="D40" t="s">
        <v>0</v>
      </c>
      <c r="E40" t="s">
        <v>58</v>
      </c>
      <c r="F40" s="4">
        <v>1.7448276939906624</v>
      </c>
    </row>
    <row r="41" spans="1:8" x14ac:dyDescent="0.25">
      <c r="A41" t="s">
        <v>149</v>
      </c>
      <c r="B41" t="s">
        <v>163</v>
      </c>
      <c r="C41" t="s">
        <v>58</v>
      </c>
      <c r="D41" t="s">
        <v>0</v>
      </c>
      <c r="E41" t="s">
        <v>58</v>
      </c>
      <c r="F41" s="4">
        <v>1</v>
      </c>
    </row>
    <row r="42" spans="1:8" x14ac:dyDescent="0.25">
      <c r="A42" t="s">
        <v>128</v>
      </c>
      <c r="B42" t="s">
        <v>132</v>
      </c>
      <c r="C42" t="s">
        <v>103</v>
      </c>
      <c r="D42" t="s">
        <v>0</v>
      </c>
      <c r="E42" t="s">
        <v>105</v>
      </c>
      <c r="F42" s="4">
        <v>5.0830610366590321</v>
      </c>
      <c r="G42" s="4"/>
      <c r="H42"/>
    </row>
    <row r="43" spans="1:8" x14ac:dyDescent="0.25">
      <c r="A43" t="s">
        <v>128</v>
      </c>
      <c r="B43" t="s">
        <v>132</v>
      </c>
      <c r="C43" t="s">
        <v>105</v>
      </c>
      <c r="D43" t="s">
        <v>0</v>
      </c>
      <c r="E43" t="s">
        <v>105</v>
      </c>
      <c r="F43" s="4">
        <v>1</v>
      </c>
      <c r="G43" s="4"/>
      <c r="H43"/>
    </row>
    <row r="44" spans="1:8" x14ac:dyDescent="0.25">
      <c r="A44" t="s">
        <v>128</v>
      </c>
      <c r="B44" t="s">
        <v>134</v>
      </c>
      <c r="C44" t="s">
        <v>141</v>
      </c>
      <c r="D44" t="s">
        <v>0</v>
      </c>
      <c r="E44" t="s">
        <v>108</v>
      </c>
      <c r="F44" s="4">
        <v>1.717746577033882</v>
      </c>
      <c r="G44" s="4"/>
      <c r="H44"/>
    </row>
    <row r="45" spans="1:8" x14ac:dyDescent="0.25">
      <c r="A45" t="s">
        <v>128</v>
      </c>
      <c r="B45" t="s">
        <v>134</v>
      </c>
      <c r="C45" t="s">
        <v>108</v>
      </c>
      <c r="D45" t="s">
        <v>0</v>
      </c>
      <c r="E45" t="s">
        <v>108</v>
      </c>
      <c r="F45" s="4">
        <v>1</v>
      </c>
    </row>
    <row r="46" spans="1:8" x14ac:dyDescent="0.25">
      <c r="A46" t="s">
        <v>128</v>
      </c>
      <c r="B46" t="s">
        <v>133</v>
      </c>
      <c r="C46" t="s">
        <v>110</v>
      </c>
      <c r="D46" t="s">
        <v>0</v>
      </c>
      <c r="E46" t="s">
        <v>112</v>
      </c>
      <c r="F46" s="4">
        <v>3.8688729801302713</v>
      </c>
    </row>
    <row r="47" spans="1:8" x14ac:dyDescent="0.25">
      <c r="A47" t="s">
        <v>128</v>
      </c>
      <c r="B47" t="s">
        <v>133</v>
      </c>
      <c r="C47" t="s">
        <v>112</v>
      </c>
      <c r="D47" t="s">
        <v>0</v>
      </c>
      <c r="E47" t="s">
        <v>112</v>
      </c>
      <c r="F47" s="4">
        <v>1</v>
      </c>
    </row>
    <row r="48" spans="1:8" x14ac:dyDescent="0.25">
      <c r="A48" t="s">
        <v>128</v>
      </c>
      <c r="B48" t="s">
        <v>168</v>
      </c>
      <c r="C48" t="s">
        <v>114</v>
      </c>
      <c r="D48" t="s">
        <v>0</v>
      </c>
      <c r="E48" t="s">
        <v>142</v>
      </c>
      <c r="F48" s="4">
        <v>3.6171691526745349</v>
      </c>
    </row>
    <row r="49" spans="1:8" x14ac:dyDescent="0.25">
      <c r="A49" t="s">
        <v>128</v>
      </c>
      <c r="B49" t="s">
        <v>168</v>
      </c>
      <c r="C49" t="s">
        <v>142</v>
      </c>
      <c r="D49" t="s">
        <v>0</v>
      </c>
      <c r="E49" t="s">
        <v>142</v>
      </c>
      <c r="F49" s="4">
        <v>1</v>
      </c>
    </row>
    <row r="50" spans="1:8" x14ac:dyDescent="0.25">
      <c r="A50" t="s">
        <v>128</v>
      </c>
      <c r="B50" t="s">
        <v>131</v>
      </c>
      <c r="C50" t="s">
        <v>116</v>
      </c>
      <c r="D50" t="s">
        <v>0</v>
      </c>
      <c r="E50" t="s">
        <v>118</v>
      </c>
      <c r="F50" s="4">
        <v>3.2929797219317485</v>
      </c>
    </row>
    <row r="51" spans="1:8" x14ac:dyDescent="0.25">
      <c r="A51" t="s">
        <v>128</v>
      </c>
      <c r="B51" t="s">
        <v>131</v>
      </c>
      <c r="C51" t="s">
        <v>118</v>
      </c>
      <c r="D51" t="s">
        <v>0</v>
      </c>
      <c r="E51" t="s">
        <v>118</v>
      </c>
      <c r="F51" s="4">
        <v>1</v>
      </c>
    </row>
    <row r="52" spans="1:8" x14ac:dyDescent="0.25">
      <c r="A52" t="s">
        <v>128</v>
      </c>
      <c r="B52" t="s">
        <v>129</v>
      </c>
      <c r="C52" t="s">
        <v>100</v>
      </c>
      <c r="D52" t="s">
        <v>0</v>
      </c>
      <c r="E52" t="s">
        <v>101</v>
      </c>
      <c r="F52" s="4">
        <v>4.2919040125627728</v>
      </c>
    </row>
    <row r="53" spans="1:8" x14ac:dyDescent="0.25">
      <c r="A53" t="s">
        <v>128</v>
      </c>
      <c r="B53" t="s">
        <v>129</v>
      </c>
      <c r="C53" t="s">
        <v>101</v>
      </c>
      <c r="D53" t="s">
        <v>0</v>
      </c>
      <c r="E53" t="s">
        <v>101</v>
      </c>
      <c r="F53" s="4">
        <v>1</v>
      </c>
    </row>
    <row r="54" spans="1:8" x14ac:dyDescent="0.25">
      <c r="A54" t="s">
        <v>128</v>
      </c>
      <c r="B54" t="s">
        <v>164</v>
      </c>
      <c r="C54" t="s">
        <v>120</v>
      </c>
      <c r="D54" t="s">
        <v>0</v>
      </c>
      <c r="E54" t="s">
        <v>120</v>
      </c>
      <c r="F54" s="4">
        <v>1</v>
      </c>
    </row>
    <row r="55" spans="1:8" x14ac:dyDescent="0.25">
      <c r="A55" t="s">
        <v>128</v>
      </c>
      <c r="B55" t="s">
        <v>164</v>
      </c>
      <c r="C55" t="s">
        <v>122</v>
      </c>
      <c r="D55" t="s">
        <v>0</v>
      </c>
      <c r="E55" t="s">
        <v>120</v>
      </c>
      <c r="F55" s="4">
        <v>2.3864808369535226</v>
      </c>
    </row>
    <row r="56" spans="1:8" x14ac:dyDescent="0.25">
      <c r="A56" t="s">
        <v>128</v>
      </c>
      <c r="B56" t="s">
        <v>130</v>
      </c>
      <c r="C56" t="s">
        <v>124</v>
      </c>
      <c r="D56" t="s">
        <v>0</v>
      </c>
      <c r="E56" t="s">
        <v>126</v>
      </c>
      <c r="F56" s="4">
        <v>3.350232930996607</v>
      </c>
    </row>
    <row r="57" spans="1:8" x14ac:dyDescent="0.25">
      <c r="A57" t="s">
        <v>128</v>
      </c>
      <c r="B57" t="s">
        <v>130</v>
      </c>
      <c r="C57" t="s">
        <v>126</v>
      </c>
      <c r="D57" t="s">
        <v>0</v>
      </c>
      <c r="E57" t="s">
        <v>126</v>
      </c>
      <c r="F57" s="4">
        <v>1</v>
      </c>
    </row>
    <row r="58" spans="1:8" x14ac:dyDescent="0.25">
      <c r="A58" t="s">
        <v>128</v>
      </c>
      <c r="B58" t="s">
        <v>132</v>
      </c>
      <c r="C58" t="s">
        <v>104</v>
      </c>
      <c r="D58" t="s">
        <v>0</v>
      </c>
      <c r="E58" t="s">
        <v>104</v>
      </c>
      <c r="F58" s="4">
        <v>1</v>
      </c>
      <c r="G58" s="4"/>
      <c r="H58"/>
    </row>
    <row r="59" spans="1:8" x14ac:dyDescent="0.25">
      <c r="A59" t="s">
        <v>128</v>
      </c>
      <c r="B59" t="s">
        <v>132</v>
      </c>
      <c r="C59" t="s">
        <v>106</v>
      </c>
      <c r="D59" t="s">
        <v>0</v>
      </c>
      <c r="E59" t="s">
        <v>104</v>
      </c>
      <c r="F59" s="4">
        <v>1.0601358995293295</v>
      </c>
      <c r="G59" s="4"/>
      <c r="H59"/>
    </row>
    <row r="60" spans="1:8" x14ac:dyDescent="0.25">
      <c r="A60" t="s">
        <v>128</v>
      </c>
      <c r="B60" t="s">
        <v>134</v>
      </c>
      <c r="C60" t="s">
        <v>107</v>
      </c>
      <c r="D60" t="s">
        <v>0</v>
      </c>
      <c r="E60" t="s">
        <v>107</v>
      </c>
      <c r="F60" s="4">
        <v>1</v>
      </c>
      <c r="G60" s="4"/>
      <c r="H60"/>
    </row>
    <row r="61" spans="1:8" x14ac:dyDescent="0.25">
      <c r="A61" t="s">
        <v>128</v>
      </c>
      <c r="B61" t="s">
        <v>134</v>
      </c>
      <c r="C61" t="s">
        <v>109</v>
      </c>
      <c r="D61" t="s">
        <v>0</v>
      </c>
      <c r="E61" t="s">
        <v>107</v>
      </c>
      <c r="F61" s="4">
        <v>2.3698704536405915</v>
      </c>
      <c r="G61" s="4"/>
      <c r="H61"/>
    </row>
    <row r="62" spans="1:8" x14ac:dyDescent="0.25">
      <c r="A62" t="s">
        <v>128</v>
      </c>
      <c r="B62" t="s">
        <v>133</v>
      </c>
      <c r="C62" t="s">
        <v>111</v>
      </c>
      <c r="D62" t="s">
        <v>0</v>
      </c>
      <c r="E62" t="s">
        <v>113</v>
      </c>
      <c r="F62" s="4">
        <v>2.3674952928645183</v>
      </c>
    </row>
    <row r="63" spans="1:8" x14ac:dyDescent="0.25">
      <c r="A63" t="s">
        <v>128</v>
      </c>
      <c r="B63" t="s">
        <v>133</v>
      </c>
      <c r="C63" t="s">
        <v>113</v>
      </c>
      <c r="D63" t="s">
        <v>0</v>
      </c>
      <c r="E63" t="s">
        <v>113</v>
      </c>
      <c r="F63" s="4">
        <v>1</v>
      </c>
    </row>
    <row r="64" spans="1:8" x14ac:dyDescent="0.25">
      <c r="A64" t="s">
        <v>128</v>
      </c>
      <c r="B64" t="s">
        <v>168</v>
      </c>
      <c r="C64" t="s">
        <v>143</v>
      </c>
      <c r="D64" t="s">
        <v>0</v>
      </c>
      <c r="E64" t="s">
        <v>143</v>
      </c>
      <c r="F64" s="4">
        <v>1</v>
      </c>
    </row>
    <row r="65" spans="1:6" x14ac:dyDescent="0.25">
      <c r="A65" t="s">
        <v>128</v>
      </c>
      <c r="B65" t="s">
        <v>168</v>
      </c>
      <c r="C65" t="s">
        <v>115</v>
      </c>
      <c r="D65" t="s">
        <v>0</v>
      </c>
      <c r="E65" t="s">
        <v>143</v>
      </c>
      <c r="F65" s="4">
        <v>0.91278056476613367</v>
      </c>
    </row>
    <row r="66" spans="1:6" x14ac:dyDescent="0.25">
      <c r="A66" t="s">
        <v>128</v>
      </c>
      <c r="B66" t="s">
        <v>131</v>
      </c>
      <c r="C66" t="s">
        <v>117</v>
      </c>
      <c r="D66" t="s">
        <v>0</v>
      </c>
      <c r="E66" t="s">
        <v>117</v>
      </c>
      <c r="F66" s="4">
        <v>1</v>
      </c>
    </row>
    <row r="67" spans="1:6" x14ac:dyDescent="0.25">
      <c r="A67" t="s">
        <v>128</v>
      </c>
      <c r="B67" t="s">
        <v>131</v>
      </c>
      <c r="C67" t="s">
        <v>119</v>
      </c>
      <c r="D67" t="s">
        <v>0</v>
      </c>
      <c r="E67" t="s">
        <v>117</v>
      </c>
      <c r="F67" s="4">
        <v>2.3253103293308022</v>
      </c>
    </row>
    <row r="68" spans="1:6" x14ac:dyDescent="0.25">
      <c r="A68" t="s">
        <v>128</v>
      </c>
      <c r="B68" t="s">
        <v>129</v>
      </c>
      <c r="C68" t="s">
        <v>144</v>
      </c>
      <c r="D68" t="s">
        <v>0</v>
      </c>
      <c r="E68" t="s">
        <v>144</v>
      </c>
      <c r="F68" s="4">
        <v>1</v>
      </c>
    </row>
    <row r="69" spans="1:6" x14ac:dyDescent="0.25">
      <c r="A69" t="s">
        <v>128</v>
      </c>
      <c r="B69" t="s">
        <v>129</v>
      </c>
      <c r="C69" t="s">
        <v>102</v>
      </c>
      <c r="D69" t="s">
        <v>0</v>
      </c>
      <c r="E69" t="s">
        <v>144</v>
      </c>
      <c r="F69" s="4">
        <v>0.87389613767306251</v>
      </c>
    </row>
    <row r="70" spans="1:6" x14ac:dyDescent="0.25">
      <c r="A70" t="s">
        <v>128</v>
      </c>
      <c r="B70" t="s">
        <v>164</v>
      </c>
      <c r="C70" t="s">
        <v>121</v>
      </c>
      <c r="D70" t="s">
        <v>0</v>
      </c>
      <c r="E70" t="s">
        <v>121</v>
      </c>
      <c r="F70" s="4">
        <v>1</v>
      </c>
    </row>
    <row r="71" spans="1:6" x14ac:dyDescent="0.25">
      <c r="A71" t="s">
        <v>128</v>
      </c>
      <c r="B71" t="s">
        <v>164</v>
      </c>
      <c r="C71" t="s">
        <v>123</v>
      </c>
      <c r="D71" t="s">
        <v>0</v>
      </c>
      <c r="E71" t="s">
        <v>121</v>
      </c>
      <c r="F71" s="4">
        <v>1.3489486250461504</v>
      </c>
    </row>
    <row r="72" spans="1:6" x14ac:dyDescent="0.25">
      <c r="A72" t="s">
        <v>128</v>
      </c>
      <c r="B72" t="s">
        <v>130</v>
      </c>
      <c r="C72" t="s">
        <v>125</v>
      </c>
      <c r="D72" t="s">
        <v>0</v>
      </c>
      <c r="E72" t="s">
        <v>125</v>
      </c>
      <c r="F72" s="4">
        <v>1</v>
      </c>
    </row>
    <row r="73" spans="1:6" x14ac:dyDescent="0.25">
      <c r="A73" t="s">
        <v>128</v>
      </c>
      <c r="B73" t="s">
        <v>130</v>
      </c>
      <c r="C73" t="s">
        <v>127</v>
      </c>
      <c r="D73" t="s">
        <v>0</v>
      </c>
      <c r="E73" t="s">
        <v>125</v>
      </c>
      <c r="F73" s="4">
        <v>2.5416367797549384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FACB9-06CC-446D-AFD6-C70DB69ED8F4}">
  <dimension ref="A1:O73"/>
  <sheetViews>
    <sheetView workbookViewId="0">
      <selection activeCell="O2" sqref="O2"/>
    </sheetView>
  </sheetViews>
  <sheetFormatPr defaultRowHeight="15" x14ac:dyDescent="0.25"/>
  <cols>
    <col min="1" max="1" width="11.140625" bestFit="1" customWidth="1"/>
    <col min="2" max="2" width="12.140625" bestFit="1" customWidth="1"/>
    <col min="3" max="3" width="17.85546875" bestFit="1" customWidth="1"/>
    <col min="4" max="4" width="11.42578125" bestFit="1" customWidth="1"/>
    <col min="5" max="5" width="12" bestFit="1" customWidth="1"/>
    <col min="6" max="6" width="7.28515625" bestFit="1" customWidth="1"/>
    <col min="7" max="7" width="9.5703125" style="151" bestFit="1" customWidth="1"/>
    <col min="8" max="8" width="9.5703125" style="308" customWidth="1"/>
    <col min="9" max="9" width="12.85546875" style="2" bestFit="1" customWidth="1"/>
    <col min="10" max="10" width="12.85546875" style="309" customWidth="1"/>
    <col min="11" max="11" width="8" customWidth="1"/>
    <col min="12" max="12" width="10.85546875" bestFit="1" customWidth="1"/>
    <col min="15" max="15" width="32.140625" bestFit="1" customWidth="1"/>
  </cols>
  <sheetData>
    <row r="1" spans="1:15" ht="15.75" x14ac:dyDescent="0.25">
      <c r="A1" s="307" t="s">
        <v>170</v>
      </c>
      <c r="B1" t="str">
        <f>SCALARS!A1</f>
        <v>group</v>
      </c>
      <c r="C1" t="str">
        <f>SCALARS!B1</f>
        <v>sector</v>
      </c>
      <c r="D1" t="str">
        <f>SCALARS!C1</f>
        <v>my_fi_name</v>
      </c>
      <c r="E1" t="str">
        <f>SCALARS!D1</f>
        <v>my_pf_name</v>
      </c>
      <c r="F1" t="str">
        <f>SCALARS!E1</f>
        <v>anchor</v>
      </c>
      <c r="G1" s="151" t="str">
        <f>SCALARS!F1</f>
        <v>multiplier</v>
      </c>
      <c r="H1" s="308" t="s">
        <v>173</v>
      </c>
      <c r="I1" s="2" t="s">
        <v>171</v>
      </c>
      <c r="J1" s="309" t="s">
        <v>172</v>
      </c>
      <c r="K1" s="151" t="s">
        <v>177</v>
      </c>
      <c r="L1" s="151" t="s">
        <v>178</v>
      </c>
      <c r="O1" s="147" t="s">
        <v>97</v>
      </c>
    </row>
    <row r="2" spans="1:15" ht="16.5" thickBot="1" x14ac:dyDescent="0.3">
      <c r="A2" s="307" t="b">
        <v>0</v>
      </c>
      <c r="B2" t="str">
        <f>SCALARS!A2</f>
        <v>fixed income</v>
      </c>
      <c r="C2" t="str">
        <f>SCALARS!B2</f>
        <v>agg</v>
      </c>
      <c r="D2" t="str">
        <f>SCALARS!C2</f>
        <v>AGG</v>
      </c>
      <c r="E2" t="str">
        <f>SCALARS!D2</f>
        <v>IBKR</v>
      </c>
      <c r="F2" t="str">
        <f>SCALARS!E2</f>
        <v>AGG</v>
      </c>
      <c r="G2" s="151">
        <f>SCALARS!F2</f>
        <v>1</v>
      </c>
      <c r="O2" s="148" t="s">
        <v>98</v>
      </c>
    </row>
    <row r="3" spans="1:15" x14ac:dyDescent="0.25">
      <c r="A3" s="307" t="b">
        <v>0</v>
      </c>
      <c r="B3" t="str">
        <f>SCALARS!A3</f>
        <v>fixed income</v>
      </c>
      <c r="C3" t="str">
        <f>SCALARS!B3</f>
        <v>agg</v>
      </c>
      <c r="D3" t="str">
        <f>SCALARS!C3</f>
        <v>BND</v>
      </c>
      <c r="E3" t="str">
        <f>SCALARS!D3</f>
        <v>IBKR</v>
      </c>
      <c r="F3" t="str">
        <f>SCALARS!E3</f>
        <v>AGG</v>
      </c>
      <c r="G3" s="151">
        <f>SCALARS!F3</f>
        <v>1.3480994074930903</v>
      </c>
    </row>
    <row r="4" spans="1:15" x14ac:dyDescent="0.25">
      <c r="A4" s="307" t="b">
        <v>0</v>
      </c>
      <c r="B4" t="str">
        <f>SCALARS!A4</f>
        <v>fixed income</v>
      </c>
      <c r="C4" t="str">
        <f>SCALARS!B4</f>
        <v>agg</v>
      </c>
      <c r="D4" t="str">
        <f>SCALARS!C4</f>
        <v>SCHZ</v>
      </c>
      <c r="E4" t="str">
        <f>SCALARS!D4</f>
        <v>IBKR</v>
      </c>
      <c r="F4" t="str">
        <f>SCALARS!E4</f>
        <v>AGG</v>
      </c>
      <c r="G4" s="151">
        <f>SCALARS!F4</f>
        <v>4.2775971896637133</v>
      </c>
    </row>
    <row r="5" spans="1:15" x14ac:dyDescent="0.25">
      <c r="A5" s="307" t="b">
        <v>0</v>
      </c>
      <c r="B5" t="str">
        <f>SCALARS!A5</f>
        <v>fixed income</v>
      </c>
      <c r="C5" t="str">
        <f>SCALARS!B5</f>
        <v>agg</v>
      </c>
      <c r="D5" t="str">
        <f>SCALARS!C5</f>
        <v>SPAB</v>
      </c>
      <c r="E5" t="str">
        <f>SCALARS!D5</f>
        <v>IBKR</v>
      </c>
      <c r="F5" t="str">
        <f>SCALARS!E5</f>
        <v>AGG</v>
      </c>
      <c r="G5" s="151">
        <f>SCALARS!F5</f>
        <v>3.8800553718363253</v>
      </c>
    </row>
    <row r="6" spans="1:15" x14ac:dyDescent="0.25">
      <c r="A6" s="307" t="b">
        <v>0</v>
      </c>
      <c r="B6" t="str">
        <f>SCALARS!A6</f>
        <v>fixed income</v>
      </c>
      <c r="C6" t="str">
        <f>SCALARS!B6</f>
        <v>fallen angels</v>
      </c>
      <c r="D6" t="str">
        <f>SCALARS!C6</f>
        <v>ANGL</v>
      </c>
      <c r="E6" t="str">
        <f>SCALARS!D6</f>
        <v>IBKR</v>
      </c>
      <c r="F6" t="str">
        <f>SCALARS!E6</f>
        <v>ANGL</v>
      </c>
      <c r="G6" s="151">
        <f>SCALARS!F6</f>
        <v>1</v>
      </c>
    </row>
    <row r="7" spans="1:15" x14ac:dyDescent="0.25">
      <c r="A7" s="307" t="b">
        <v>0</v>
      </c>
      <c r="B7" t="str">
        <f>SCALARS!A7</f>
        <v>fixed income</v>
      </c>
      <c r="C7" t="str">
        <f>SCALARS!B7</f>
        <v>fallen angels</v>
      </c>
      <c r="D7" t="str">
        <f>SCALARS!C7</f>
        <v>FALN</v>
      </c>
      <c r="E7" t="str">
        <f>SCALARS!D7</f>
        <v>IBKR</v>
      </c>
      <c r="F7" t="str">
        <f>SCALARS!E7</f>
        <v>ANGL</v>
      </c>
      <c r="G7" s="151">
        <f>SCALARS!F7</f>
        <v>1.0738183260697056</v>
      </c>
    </row>
    <row r="8" spans="1:15" x14ac:dyDescent="0.25">
      <c r="A8" s="307" t="b">
        <v>0</v>
      </c>
      <c r="B8" t="str">
        <f>SCALARS!A8</f>
        <v>fixed income</v>
      </c>
      <c r="C8" t="str">
        <f>SCALARS!B8</f>
        <v>corps</v>
      </c>
      <c r="D8" t="str">
        <f>SCALARS!C8</f>
        <v>CORP</v>
      </c>
      <c r="E8" t="str">
        <f>SCALARS!D8</f>
        <v>IBKR</v>
      </c>
      <c r="F8" t="str">
        <f>SCALARS!E8</f>
        <v>CORP</v>
      </c>
      <c r="G8" s="151">
        <f>SCALARS!F8</f>
        <v>1</v>
      </c>
    </row>
    <row r="9" spans="1:15" x14ac:dyDescent="0.25">
      <c r="A9" s="307" t="b">
        <v>0</v>
      </c>
      <c r="B9" t="str">
        <f>SCALARS!A9</f>
        <v>fixed income</v>
      </c>
      <c r="C9" t="str">
        <f>SCALARS!B9</f>
        <v>corps</v>
      </c>
      <c r="D9" t="str">
        <f>SCALARS!C9</f>
        <v>SPBO</v>
      </c>
      <c r="E9" t="str">
        <f>SCALARS!D9</f>
        <v>IBKR</v>
      </c>
      <c r="F9" t="str">
        <f>SCALARS!E9</f>
        <v>CORP</v>
      </c>
      <c r="G9" s="151">
        <f>SCALARS!F9</f>
        <v>3.3417210651650655</v>
      </c>
    </row>
    <row r="10" spans="1:15" x14ac:dyDescent="0.25">
      <c r="A10" s="307" t="b">
        <v>0</v>
      </c>
      <c r="B10" t="str">
        <f>SCALARS!A10</f>
        <v>fixed income</v>
      </c>
      <c r="C10" t="str">
        <f>SCALARS!B10</f>
        <v>corps</v>
      </c>
      <c r="D10" t="str">
        <f>SCALARS!C10</f>
        <v>USIG</v>
      </c>
      <c r="E10" t="str">
        <f>SCALARS!D10</f>
        <v>IBKR</v>
      </c>
      <c r="F10" t="str">
        <f>SCALARS!E10</f>
        <v>CORP</v>
      </c>
      <c r="G10" s="151">
        <f>SCALARS!F10</f>
        <v>1.889961289883912</v>
      </c>
    </row>
    <row r="11" spans="1:15" x14ac:dyDescent="0.25">
      <c r="A11" s="307" t="b">
        <v>0</v>
      </c>
      <c r="B11" t="str">
        <f>SCALARS!A11</f>
        <v>fixed income</v>
      </c>
      <c r="C11" t="str">
        <f>SCALARS!B11</f>
        <v>corps</v>
      </c>
      <c r="D11" t="str">
        <f>SCALARS!C11</f>
        <v>VTC</v>
      </c>
      <c r="E11" t="str">
        <f>SCALARS!D11</f>
        <v>IBKR</v>
      </c>
      <c r="F11" t="str">
        <f>SCALARS!E11</f>
        <v>CORP</v>
      </c>
      <c r="G11" s="151">
        <f>SCALARS!F11</f>
        <v>1.2634601488504322</v>
      </c>
    </row>
    <row r="12" spans="1:15" x14ac:dyDescent="0.25">
      <c r="A12" s="307" t="b">
        <v>0</v>
      </c>
      <c r="B12" t="str">
        <f>SCALARS!A12</f>
        <v>fixed income</v>
      </c>
      <c r="C12" t="str">
        <f>SCALARS!B12</f>
        <v>em gov -us</v>
      </c>
      <c r="D12" t="str">
        <f>SCALARS!C12</f>
        <v>EMB</v>
      </c>
      <c r="E12" t="str">
        <f>SCALARS!D12</f>
        <v>IBKR</v>
      </c>
      <c r="F12" t="str">
        <f>SCALARS!E12</f>
        <v>EMB</v>
      </c>
      <c r="G12" s="151">
        <f>SCALARS!F12</f>
        <v>1</v>
      </c>
    </row>
    <row r="13" spans="1:15" x14ac:dyDescent="0.25">
      <c r="A13" s="307" t="b">
        <v>0</v>
      </c>
      <c r="B13" t="str">
        <f>SCALARS!A13</f>
        <v>fixed income</v>
      </c>
      <c r="C13" t="str">
        <f>SCALARS!B13</f>
        <v>em gov -us</v>
      </c>
      <c r="D13" t="str">
        <f>SCALARS!C13</f>
        <v>VWOB</v>
      </c>
      <c r="E13" t="str">
        <f>SCALARS!D13</f>
        <v>IBKR</v>
      </c>
      <c r="F13" t="str">
        <f>SCALARS!E13</f>
        <v>EMB</v>
      </c>
      <c r="G13" s="151">
        <f>SCALARS!F13</f>
        <v>1.4379660308607112</v>
      </c>
    </row>
    <row r="14" spans="1:15" x14ac:dyDescent="0.25">
      <c r="A14" s="307" t="b">
        <v>0</v>
      </c>
      <c r="B14" t="str">
        <f>SCALARS!A14</f>
        <v>fixed income</v>
      </c>
      <c r="C14" t="str">
        <f>SCALARS!B14</f>
        <v>intl agg - hedged</v>
      </c>
      <c r="D14" t="str">
        <f>SCALARS!C14</f>
        <v>BNDX</v>
      </c>
      <c r="E14" t="str">
        <f>SCALARS!D14</f>
        <v>IBKR</v>
      </c>
      <c r="F14" t="str">
        <f>SCALARS!E14</f>
        <v>IAGG</v>
      </c>
      <c r="G14" s="151">
        <f>SCALARS!F14</f>
        <v>1.0441007563982159</v>
      </c>
    </row>
    <row r="15" spans="1:15" x14ac:dyDescent="0.25">
      <c r="A15" s="307" t="b">
        <v>0</v>
      </c>
      <c r="B15" t="str">
        <f>SCALARS!A15</f>
        <v>fixed income</v>
      </c>
      <c r="C15" t="str">
        <f>SCALARS!B15</f>
        <v>intl agg - hedged</v>
      </c>
      <c r="D15" t="str">
        <f>SCALARS!C15</f>
        <v>IAGG</v>
      </c>
      <c r="E15" t="str">
        <f>SCALARS!D15</f>
        <v>IBKR</v>
      </c>
      <c r="F15" t="str">
        <f>SCALARS!E15</f>
        <v>IAGG</v>
      </c>
      <c r="G15" s="151">
        <f>SCALARS!F15</f>
        <v>1</v>
      </c>
    </row>
    <row r="16" spans="1:15" x14ac:dyDescent="0.25">
      <c r="A16" s="307" t="b">
        <v>0</v>
      </c>
      <c r="B16" t="str">
        <f>SCALARS!A16</f>
        <v>fixed income</v>
      </c>
      <c r="C16" t="str">
        <f>SCALARS!B16</f>
        <v>converts</v>
      </c>
      <c r="D16" t="str">
        <f>SCALARS!C16</f>
        <v>CWB</v>
      </c>
      <c r="E16" t="str">
        <f>SCALARS!D16</f>
        <v>IBKR</v>
      </c>
      <c r="F16" t="str">
        <f>SCALARS!E16</f>
        <v>ICVT</v>
      </c>
      <c r="G16" s="151">
        <f>SCALARS!F16</f>
        <v>1.1150615075218386</v>
      </c>
    </row>
    <row r="17" spans="1:7" x14ac:dyDescent="0.25">
      <c r="A17" s="307" t="b">
        <v>0</v>
      </c>
      <c r="B17" t="str">
        <f>SCALARS!A17</f>
        <v>fixed income</v>
      </c>
      <c r="C17" t="str">
        <f>SCALARS!B17</f>
        <v>converts</v>
      </c>
      <c r="D17" t="str">
        <f>SCALARS!C17</f>
        <v>ICVT</v>
      </c>
      <c r="E17" t="str">
        <f>SCALARS!D17</f>
        <v>IBKR</v>
      </c>
      <c r="F17" t="str">
        <f>SCALARS!E17</f>
        <v>ICVT</v>
      </c>
      <c r="G17" s="151">
        <f>SCALARS!F17</f>
        <v>1</v>
      </c>
    </row>
    <row r="18" spans="1:7" x14ac:dyDescent="0.25">
      <c r="A18" s="307" t="b">
        <v>0</v>
      </c>
      <c r="B18" t="str">
        <f>SCALARS!A18</f>
        <v>fixed income</v>
      </c>
      <c r="C18" t="str">
        <f>SCALARS!B18</f>
        <v>intl gov - unhedged</v>
      </c>
      <c r="D18" t="str">
        <f>SCALARS!C18</f>
        <v>BWX</v>
      </c>
      <c r="E18" t="str">
        <f>SCALARS!D18</f>
        <v>IBKR</v>
      </c>
      <c r="F18" t="str">
        <f>SCALARS!E18</f>
        <v>IGOV</v>
      </c>
      <c r="G18" s="151">
        <f>SCALARS!F18</f>
        <v>1.8900911436137335</v>
      </c>
    </row>
    <row r="19" spans="1:7" x14ac:dyDescent="0.25">
      <c r="A19" s="307" t="b">
        <v>0</v>
      </c>
      <c r="B19" t="str">
        <f>SCALARS!A19</f>
        <v>fixed income</v>
      </c>
      <c r="C19" t="str">
        <f>SCALARS!B19</f>
        <v>intl gov - unhedged</v>
      </c>
      <c r="D19" t="str">
        <f>SCALARS!C19</f>
        <v>IGOV</v>
      </c>
      <c r="E19" t="str">
        <f>SCALARS!D19</f>
        <v>IBKR</v>
      </c>
      <c r="F19" t="str">
        <f>SCALARS!E19</f>
        <v>IGOV</v>
      </c>
      <c r="G19" s="151">
        <f>SCALARS!F19</f>
        <v>1</v>
      </c>
    </row>
    <row r="20" spans="1:7" x14ac:dyDescent="0.25">
      <c r="A20" s="307" t="b">
        <v>0</v>
      </c>
      <c r="B20" t="str">
        <f>SCALARS!A20</f>
        <v>fixed income</v>
      </c>
      <c r="C20" t="str">
        <f>SCALARS!B20</f>
        <v>hi yld</v>
      </c>
      <c r="D20" t="str">
        <f>SCALARS!C20</f>
        <v>HYG</v>
      </c>
      <c r="E20" t="str">
        <f>SCALARS!D20</f>
        <v>IBKR</v>
      </c>
      <c r="F20" t="str">
        <f>SCALARS!E20</f>
        <v>JNK</v>
      </c>
      <c r="G20" s="151">
        <f>SCALARS!F20</f>
        <v>1.2036905737033365</v>
      </c>
    </row>
    <row r="21" spans="1:7" x14ac:dyDescent="0.25">
      <c r="A21" s="307" t="b">
        <v>0</v>
      </c>
      <c r="B21" t="str">
        <f>SCALARS!A21</f>
        <v>fixed income</v>
      </c>
      <c r="C21" t="str">
        <f>SCALARS!B21</f>
        <v>hi yld</v>
      </c>
      <c r="D21" t="str">
        <f>SCALARS!C21</f>
        <v>HYLB</v>
      </c>
      <c r="E21" t="str">
        <f>SCALARS!D21</f>
        <v>IBKR</v>
      </c>
      <c r="F21" t="str">
        <f>SCALARS!E21</f>
        <v>JNK</v>
      </c>
      <c r="G21" s="151">
        <f>SCALARS!F21</f>
        <v>2.6381442655363458</v>
      </c>
    </row>
    <row r="22" spans="1:7" x14ac:dyDescent="0.25">
      <c r="A22" s="307" t="b">
        <v>0</v>
      </c>
      <c r="B22" t="str">
        <f>SCALARS!A22</f>
        <v>fixed income</v>
      </c>
      <c r="C22" t="str">
        <f>SCALARS!B22</f>
        <v>hi yld</v>
      </c>
      <c r="D22" t="str">
        <f>SCALARS!C22</f>
        <v>JNK</v>
      </c>
      <c r="E22" t="str">
        <f>SCALARS!D22</f>
        <v>IBKR</v>
      </c>
      <c r="F22" t="str">
        <f>SCALARS!E22</f>
        <v>JNK</v>
      </c>
      <c r="G22" s="151">
        <f>SCALARS!F22</f>
        <v>1</v>
      </c>
    </row>
    <row r="23" spans="1:7" x14ac:dyDescent="0.25">
      <c r="A23" s="307" t="b">
        <v>0</v>
      </c>
      <c r="B23" t="str">
        <f>SCALARS!A23</f>
        <v>fixed income</v>
      </c>
      <c r="C23" t="str">
        <f>SCALARS!B23</f>
        <v>hi yld</v>
      </c>
      <c r="D23" t="str">
        <f>SCALARS!C23</f>
        <v>SCYB</v>
      </c>
      <c r="E23" t="str">
        <f>SCALARS!D23</f>
        <v>IBKR</v>
      </c>
      <c r="F23" t="str">
        <f>SCALARS!E23</f>
        <v>JNK</v>
      </c>
      <c r="G23" s="151">
        <f>SCALARS!F23</f>
        <v>3.6826104220817419</v>
      </c>
    </row>
    <row r="24" spans="1:7" x14ac:dyDescent="0.25">
      <c r="A24" s="307" t="b">
        <v>0</v>
      </c>
      <c r="B24" t="str">
        <f>SCALARS!A24</f>
        <v>fixed income</v>
      </c>
      <c r="C24" t="str">
        <f>SCALARS!B24</f>
        <v>hi yld</v>
      </c>
      <c r="D24" t="str">
        <f>SCALARS!C24</f>
        <v>SPHY</v>
      </c>
      <c r="E24" t="str">
        <f>SCALARS!D24</f>
        <v>IBKR</v>
      </c>
      <c r="F24" t="str">
        <f>SCALARS!E24</f>
        <v>JNK</v>
      </c>
      <c r="G24" s="151">
        <f>SCALARS!F24</f>
        <v>4.1152786388349156</v>
      </c>
    </row>
    <row r="25" spans="1:7" x14ac:dyDescent="0.25">
      <c r="A25" s="307" t="b">
        <v>0</v>
      </c>
      <c r="B25" t="str">
        <f>SCALARS!A25</f>
        <v>fixed income</v>
      </c>
      <c r="C25" t="str">
        <f>SCALARS!B25</f>
        <v>hi yld</v>
      </c>
      <c r="D25" t="str">
        <f>SCALARS!C25</f>
        <v>USHY</v>
      </c>
      <c r="E25" t="str">
        <f>SCALARS!D25</f>
        <v>IBKR</v>
      </c>
      <c r="F25" t="str">
        <f>SCALARS!E25</f>
        <v>JNK</v>
      </c>
      <c r="G25" s="151">
        <f>SCALARS!F25</f>
        <v>2.602415036776299</v>
      </c>
    </row>
    <row r="26" spans="1:7" x14ac:dyDescent="0.25">
      <c r="A26" s="307" t="b">
        <v>0</v>
      </c>
      <c r="B26" t="str">
        <f>SCALARS!A26</f>
        <v>fixed income</v>
      </c>
      <c r="C26" t="str">
        <f>SCALARS!B26</f>
        <v>mortgages</v>
      </c>
      <c r="D26" t="str">
        <f>SCALARS!C26</f>
        <v>MBB</v>
      </c>
      <c r="E26" t="str">
        <f>SCALARS!D26</f>
        <v>IBKR</v>
      </c>
      <c r="F26" t="str">
        <f>SCALARS!E26</f>
        <v>MBB</v>
      </c>
      <c r="G26" s="151">
        <f>SCALARS!F26</f>
        <v>1</v>
      </c>
    </row>
    <row r="27" spans="1:7" x14ac:dyDescent="0.25">
      <c r="A27" s="307" t="b">
        <v>0</v>
      </c>
      <c r="B27" t="str">
        <f>SCALARS!A27</f>
        <v>fixed income</v>
      </c>
      <c r="C27" t="str">
        <f>SCALARS!B27</f>
        <v>mortgages</v>
      </c>
      <c r="D27" t="str">
        <f>SCALARS!C27</f>
        <v>SPMB</v>
      </c>
      <c r="E27" t="str">
        <f>SCALARS!D27</f>
        <v>IBKR</v>
      </c>
      <c r="F27" t="str">
        <f>SCALARS!E27</f>
        <v>MBB</v>
      </c>
      <c r="G27" s="151">
        <f>SCALARS!F27</f>
        <v>4.2373402778562772</v>
      </c>
    </row>
    <row r="28" spans="1:7" x14ac:dyDescent="0.25">
      <c r="A28" s="307" t="b">
        <v>0</v>
      </c>
      <c r="B28" t="str">
        <f>SCALARS!A28</f>
        <v>fixed income</v>
      </c>
      <c r="C28" t="str">
        <f>SCALARS!B28</f>
        <v>mortgages</v>
      </c>
      <c r="D28" t="str">
        <f>SCALARS!C28</f>
        <v>VMBS</v>
      </c>
      <c r="E28" t="str">
        <f>SCALARS!D28</f>
        <v>IBKR</v>
      </c>
      <c r="F28" t="str">
        <f>SCALARS!E28</f>
        <v>MBB</v>
      </c>
      <c r="G28" s="151">
        <f>SCALARS!F28</f>
        <v>2.0178928635115652</v>
      </c>
    </row>
    <row r="29" spans="1:7" x14ac:dyDescent="0.25">
      <c r="A29" s="307" t="b">
        <v>0</v>
      </c>
      <c r="B29" t="str">
        <f>SCALARS!A29</f>
        <v>fixed income</v>
      </c>
      <c r="C29" t="str">
        <f>SCALARS!B29</f>
        <v>munis</v>
      </c>
      <c r="D29" t="str">
        <f>SCALARS!C29</f>
        <v>MUB</v>
      </c>
      <c r="E29" t="str">
        <f>SCALARS!D29</f>
        <v>IBKR</v>
      </c>
      <c r="F29" t="str">
        <f>SCALARS!E29</f>
        <v>MUB</v>
      </c>
      <c r="G29" s="151">
        <f>SCALARS!F29</f>
        <v>1</v>
      </c>
    </row>
    <row r="30" spans="1:7" x14ac:dyDescent="0.25">
      <c r="A30" s="307" t="b">
        <v>0</v>
      </c>
      <c r="B30" t="str">
        <f>SCALARS!A30</f>
        <v>fixed income</v>
      </c>
      <c r="C30" t="str">
        <f>SCALARS!B30</f>
        <v>munis</v>
      </c>
      <c r="D30" t="str">
        <f>SCALARS!C30</f>
        <v>TFI</v>
      </c>
      <c r="E30" t="str">
        <f>SCALARS!D30</f>
        <v>IBKR</v>
      </c>
      <c r="F30" t="str">
        <f>SCALARS!E30</f>
        <v>MUB</v>
      </c>
      <c r="G30" s="151">
        <f>SCALARS!F30</f>
        <v>2.3513336978186774</v>
      </c>
    </row>
    <row r="31" spans="1:7" x14ac:dyDescent="0.25">
      <c r="A31" s="307" t="b">
        <v>0</v>
      </c>
      <c r="B31" t="str">
        <f>SCALARS!A31</f>
        <v>fixed income</v>
      </c>
      <c r="C31" t="str">
        <f>SCALARS!B31</f>
        <v>munis</v>
      </c>
      <c r="D31" t="str">
        <f>SCALARS!C31</f>
        <v>VTEB</v>
      </c>
      <c r="E31" t="str">
        <f>SCALARS!D31</f>
        <v>IBKR</v>
      </c>
      <c r="F31" t="str">
        <f>SCALARS!E31</f>
        <v>MUB</v>
      </c>
      <c r="G31" s="151">
        <f>SCALARS!F31</f>
        <v>2.1280247016711913</v>
      </c>
    </row>
    <row r="32" spans="1:7" x14ac:dyDescent="0.25">
      <c r="A32" s="307" t="b">
        <v>0</v>
      </c>
      <c r="B32" t="str">
        <f>SCALARS!A32</f>
        <v>fixed income</v>
      </c>
      <c r="C32" t="str">
        <f>SCALARS!B32</f>
        <v>prefs</v>
      </c>
      <c r="D32" t="str">
        <f>SCALARS!C32</f>
        <v>PFF</v>
      </c>
      <c r="E32" t="str">
        <f>SCALARS!D32</f>
        <v>IBKR</v>
      </c>
      <c r="F32" t="str">
        <f>SCALARS!E32</f>
        <v>PFF</v>
      </c>
      <c r="G32" s="151">
        <f>SCALARS!F32</f>
        <v>1</v>
      </c>
    </row>
    <row r="33" spans="1:7" x14ac:dyDescent="0.25">
      <c r="A33" s="307" t="b">
        <v>0</v>
      </c>
      <c r="B33" t="str">
        <f>SCALARS!A33</f>
        <v>fixed income</v>
      </c>
      <c r="C33" t="str">
        <f>SCALARS!B33</f>
        <v>prefs</v>
      </c>
      <c r="D33" t="str">
        <f>SCALARS!C33</f>
        <v>PFFD</v>
      </c>
      <c r="E33" t="str">
        <f>SCALARS!D33</f>
        <v>IBKR</v>
      </c>
      <c r="F33" t="str">
        <f>SCALARS!E33</f>
        <v>PFF</v>
      </c>
      <c r="G33" s="151">
        <f>SCALARS!F33</f>
        <v>1.6532415673651673</v>
      </c>
    </row>
    <row r="34" spans="1:7" x14ac:dyDescent="0.25">
      <c r="A34" s="307" t="b">
        <v>0</v>
      </c>
      <c r="B34" t="str">
        <f>SCALARS!A34</f>
        <v>fixed income</v>
      </c>
      <c r="C34" t="str">
        <f>SCALARS!B34</f>
        <v>long term corps</v>
      </c>
      <c r="D34" t="str">
        <f>SCALARS!C34</f>
        <v>IGLB</v>
      </c>
      <c r="E34" t="str">
        <f>SCALARS!D34</f>
        <v>IBKR</v>
      </c>
      <c r="F34" t="str">
        <f>SCALARS!E34</f>
        <v>VCLT</v>
      </c>
      <c r="G34" s="151">
        <f>SCALARS!F34</f>
        <v>1.5006224474908854</v>
      </c>
    </row>
    <row r="35" spans="1:7" x14ac:dyDescent="0.25">
      <c r="A35" s="307" t="b">
        <v>0</v>
      </c>
      <c r="B35" t="str">
        <f>SCALARS!A35</f>
        <v>fixed income</v>
      </c>
      <c r="C35" t="str">
        <f>SCALARS!B35</f>
        <v>long term corps</v>
      </c>
      <c r="D35" t="str">
        <f>SCALARS!C35</f>
        <v>SPLB</v>
      </c>
      <c r="E35" t="str">
        <f>SCALARS!D35</f>
        <v>IBKR</v>
      </c>
      <c r="F35" t="str">
        <f>SCALARS!E35</f>
        <v>VCLT</v>
      </c>
      <c r="G35" s="151">
        <f>SCALARS!F35</f>
        <v>3.3610790765429024</v>
      </c>
    </row>
    <row r="36" spans="1:7" x14ac:dyDescent="0.25">
      <c r="A36" s="307" t="b">
        <v>0</v>
      </c>
      <c r="B36" t="str">
        <f>SCALARS!A36</f>
        <v>fixed income</v>
      </c>
      <c r="C36" t="str">
        <f>SCALARS!B36</f>
        <v>long term corps</v>
      </c>
      <c r="D36" t="str">
        <f>SCALARS!C36</f>
        <v>VCLT</v>
      </c>
      <c r="E36" t="str">
        <f>SCALARS!D36</f>
        <v>IBKR</v>
      </c>
      <c r="F36" t="str">
        <f>SCALARS!E36</f>
        <v>VCLT</v>
      </c>
      <c r="G36" s="151">
        <f>SCALARS!F36</f>
        <v>1</v>
      </c>
    </row>
    <row r="37" spans="1:7" x14ac:dyDescent="0.25">
      <c r="A37" s="307" t="b">
        <v>0</v>
      </c>
      <c r="B37" t="str">
        <f>SCALARS!A37</f>
        <v>fixed income</v>
      </c>
      <c r="C37" t="str">
        <f>SCALARS!B37</f>
        <v>long term tsy</v>
      </c>
      <c r="D37" t="str">
        <f>SCALARS!C37</f>
        <v>SCHQ</v>
      </c>
      <c r="E37" t="str">
        <f>SCALARS!D37</f>
        <v>IBKR</v>
      </c>
      <c r="F37" t="str">
        <f>SCALARS!E37</f>
        <v>VGLT</v>
      </c>
      <c r="G37" s="151">
        <f>SCALARS!F37</f>
        <v>1.762773020227197</v>
      </c>
    </row>
    <row r="38" spans="1:7" x14ac:dyDescent="0.25">
      <c r="A38" s="307" t="b">
        <v>0</v>
      </c>
      <c r="B38" t="str">
        <f>SCALARS!A38</f>
        <v>fixed income</v>
      </c>
      <c r="C38" t="str">
        <f>SCALARS!B38</f>
        <v>long term tsy</v>
      </c>
      <c r="D38" t="str">
        <f>SCALARS!C38</f>
        <v>SPTL</v>
      </c>
      <c r="E38" t="str">
        <f>SCALARS!D38</f>
        <v>IBKR</v>
      </c>
      <c r="F38" t="str">
        <f>SCALARS!E38</f>
        <v>VGLT</v>
      </c>
      <c r="G38" s="151">
        <f>SCALARS!F38</f>
        <v>2.1025844909552989</v>
      </c>
    </row>
    <row r="39" spans="1:7" x14ac:dyDescent="0.25">
      <c r="A39" s="307" t="b">
        <v>0</v>
      </c>
      <c r="B39" t="str">
        <f>SCALARS!A39</f>
        <v>fixed income</v>
      </c>
      <c r="C39" t="str">
        <f>SCALARS!B39</f>
        <v>long term tsy</v>
      </c>
      <c r="D39" t="str">
        <f>SCALARS!C39</f>
        <v>VGLT</v>
      </c>
      <c r="E39" t="str">
        <f>SCALARS!D39</f>
        <v>IBKR</v>
      </c>
      <c r="F39" t="str">
        <f>SCALARS!E39</f>
        <v>VGLT</v>
      </c>
      <c r="G39" s="151">
        <f>SCALARS!F39</f>
        <v>1</v>
      </c>
    </row>
    <row r="40" spans="1:7" x14ac:dyDescent="0.25">
      <c r="A40" s="307" t="b">
        <v>0</v>
      </c>
      <c r="B40" t="str">
        <f>SCALARS!A40</f>
        <v>fixed income</v>
      </c>
      <c r="C40" t="str">
        <f>SCALARS!B40</f>
        <v>calif munis</v>
      </c>
      <c r="D40" t="str">
        <f>SCALARS!C40</f>
        <v>CMF</v>
      </c>
      <c r="E40" t="str">
        <f>SCALARS!D40</f>
        <v>IBKR</v>
      </c>
      <c r="F40" t="str">
        <f>SCALARS!E40</f>
        <v>VTEC</v>
      </c>
      <c r="G40" s="151">
        <f>SCALARS!F40</f>
        <v>1.7448276939906624</v>
      </c>
    </row>
    <row r="41" spans="1:7" x14ac:dyDescent="0.25">
      <c r="A41" s="307" t="b">
        <v>0</v>
      </c>
      <c r="B41" t="str">
        <f>SCALARS!A41</f>
        <v>fixed income</v>
      </c>
      <c r="C41" t="str">
        <f>SCALARS!B41</f>
        <v>calif munis</v>
      </c>
      <c r="D41" t="str">
        <f>SCALARS!C41</f>
        <v>VTEC</v>
      </c>
      <c r="E41" t="str">
        <f>SCALARS!D41</f>
        <v>IBKR</v>
      </c>
      <c r="F41" t="str">
        <f>SCALARS!E41</f>
        <v>VTEC</v>
      </c>
      <c r="G41" s="151">
        <f>SCALARS!F41</f>
        <v>1</v>
      </c>
    </row>
    <row r="42" spans="1:7" x14ac:dyDescent="0.25">
      <c r="A42" s="307" t="b">
        <v>0</v>
      </c>
      <c r="B42" t="str">
        <f>SCALARS!A42</f>
        <v>sector</v>
      </c>
      <c r="C42" t="str">
        <f>SCALARS!B42</f>
        <v>energy</v>
      </c>
      <c r="D42" t="str">
        <f>SCALARS!C42</f>
        <v>FENY</v>
      </c>
      <c r="E42" t="str">
        <f>SCALARS!D42</f>
        <v>IBKR</v>
      </c>
      <c r="F42" t="str">
        <f>SCALARS!E42</f>
        <v>VDE</v>
      </c>
      <c r="G42" s="151">
        <f>SCALARS!F42</f>
        <v>5.0830610366590321</v>
      </c>
    </row>
    <row r="43" spans="1:7" x14ac:dyDescent="0.25">
      <c r="A43" s="307" t="b">
        <v>0</v>
      </c>
      <c r="B43" t="str">
        <f>SCALARS!A43</f>
        <v>sector</v>
      </c>
      <c r="C43" t="str">
        <f>SCALARS!B43</f>
        <v>energy</v>
      </c>
      <c r="D43" t="str">
        <f>SCALARS!C43</f>
        <v>VDE</v>
      </c>
      <c r="E43" t="str">
        <f>SCALARS!D43</f>
        <v>IBKR</v>
      </c>
      <c r="F43" t="str">
        <f>SCALARS!E43</f>
        <v>VDE</v>
      </c>
      <c r="G43" s="151">
        <f>SCALARS!F43</f>
        <v>1</v>
      </c>
    </row>
    <row r="44" spans="1:7" x14ac:dyDescent="0.25">
      <c r="A44" s="307" t="b">
        <v>0</v>
      </c>
      <c r="B44" t="str">
        <f>SCALARS!A44</f>
        <v>sector</v>
      </c>
      <c r="C44" t="str">
        <f>SCALARS!B44</f>
        <v>financials</v>
      </c>
      <c r="D44" t="str">
        <f>SCALARS!C44</f>
        <v>FNCL</v>
      </c>
      <c r="E44" t="str">
        <f>SCALARS!D44</f>
        <v>IBKR</v>
      </c>
      <c r="F44" t="str">
        <f>SCALARS!E44</f>
        <v>VFH</v>
      </c>
      <c r="G44" s="151">
        <f>SCALARS!F44</f>
        <v>1.717746577033882</v>
      </c>
    </row>
    <row r="45" spans="1:7" x14ac:dyDescent="0.25">
      <c r="A45" s="307" t="b">
        <v>0</v>
      </c>
      <c r="B45" t="str">
        <f>SCALARS!A45</f>
        <v>sector</v>
      </c>
      <c r="C45" t="str">
        <f>SCALARS!B45</f>
        <v>financials</v>
      </c>
      <c r="D45" t="str">
        <f>SCALARS!C45</f>
        <v>VFH</v>
      </c>
      <c r="E45" t="str">
        <f>SCALARS!D45</f>
        <v>IBKR</v>
      </c>
      <c r="F45" t="str">
        <f>SCALARS!E45</f>
        <v>VFH</v>
      </c>
      <c r="G45" s="151">
        <f>SCALARS!F45</f>
        <v>1</v>
      </c>
    </row>
    <row r="46" spans="1:7" x14ac:dyDescent="0.25">
      <c r="A46" s="307" t="b">
        <v>0</v>
      </c>
      <c r="B46" t="str">
        <f>SCALARS!A46</f>
        <v>sector</v>
      </c>
      <c r="C46" t="str">
        <f>SCALARS!B46</f>
        <v>healthcare</v>
      </c>
      <c r="D46" t="str">
        <f>SCALARS!C46</f>
        <v>FHLC</v>
      </c>
      <c r="E46" t="str">
        <f>SCALARS!D46</f>
        <v>IBKR</v>
      </c>
      <c r="F46" t="str">
        <f>SCALARS!E46</f>
        <v>VHT</v>
      </c>
      <c r="G46" s="151">
        <f>SCALARS!F46</f>
        <v>3.8688729801302713</v>
      </c>
    </row>
    <row r="47" spans="1:7" x14ac:dyDescent="0.25">
      <c r="A47" s="307" t="b">
        <v>0</v>
      </c>
      <c r="B47" t="str">
        <f>SCALARS!A47</f>
        <v>sector</v>
      </c>
      <c r="C47" t="str">
        <f>SCALARS!B47</f>
        <v>healthcare</v>
      </c>
      <c r="D47" t="str">
        <f>SCALARS!C47</f>
        <v>VHT</v>
      </c>
      <c r="E47" t="str">
        <f>SCALARS!D47</f>
        <v>IBKR</v>
      </c>
      <c r="F47" t="str">
        <f>SCALARS!E47</f>
        <v>VHT</v>
      </c>
      <c r="G47" s="151">
        <f>SCALARS!F47</f>
        <v>1</v>
      </c>
    </row>
    <row r="48" spans="1:7" x14ac:dyDescent="0.25">
      <c r="A48" s="307" t="b">
        <v>0</v>
      </c>
      <c r="B48" t="str">
        <f>SCALARS!A48</f>
        <v>sector</v>
      </c>
      <c r="C48" t="str">
        <f>SCALARS!B48</f>
        <v>industrials</v>
      </c>
      <c r="D48" t="str">
        <f>SCALARS!C48</f>
        <v>FIDU</v>
      </c>
      <c r="E48" t="str">
        <f>SCALARS!D48</f>
        <v>IBKR</v>
      </c>
      <c r="F48" t="str">
        <f>SCALARS!E48</f>
        <v>VIS</v>
      </c>
      <c r="G48" s="151">
        <f>SCALARS!F48</f>
        <v>3.6171691526745349</v>
      </c>
    </row>
    <row r="49" spans="1:12" x14ac:dyDescent="0.25">
      <c r="A49" s="307" t="b">
        <v>0</v>
      </c>
      <c r="B49" t="str">
        <f>SCALARS!A49</f>
        <v>sector</v>
      </c>
      <c r="C49" t="str">
        <f>SCALARS!B49</f>
        <v>industrials</v>
      </c>
      <c r="D49" t="str">
        <f>SCALARS!C49</f>
        <v>VIS</v>
      </c>
      <c r="E49" t="str">
        <f>SCALARS!D49</f>
        <v>IBKR</v>
      </c>
      <c r="F49" t="str">
        <f>SCALARS!E49</f>
        <v>VIS</v>
      </c>
      <c r="G49" s="151">
        <f>SCALARS!F49</f>
        <v>1</v>
      </c>
    </row>
    <row r="50" spans="1:12" x14ac:dyDescent="0.25">
      <c r="A50" s="307" t="b">
        <v>0</v>
      </c>
      <c r="B50" t="str">
        <f>SCALARS!A50</f>
        <v>sector</v>
      </c>
      <c r="C50" t="str">
        <f>SCALARS!B50</f>
        <v>real estate</v>
      </c>
      <c r="D50" t="str">
        <f>SCALARS!C50</f>
        <v>FREL</v>
      </c>
      <c r="E50" t="str">
        <f>SCALARS!D50</f>
        <v>IBKR</v>
      </c>
      <c r="F50" t="str">
        <f>SCALARS!E50</f>
        <v>VNQ</v>
      </c>
      <c r="G50" s="151">
        <f>SCALARS!F50</f>
        <v>3.2929797219317485</v>
      </c>
    </row>
    <row r="51" spans="1:12" x14ac:dyDescent="0.25">
      <c r="A51" s="307" t="b">
        <v>0</v>
      </c>
      <c r="B51" t="str">
        <f>SCALARS!A51</f>
        <v>sector</v>
      </c>
      <c r="C51" t="str">
        <f>SCALARS!B51</f>
        <v>real estate</v>
      </c>
      <c r="D51" t="str">
        <f>SCALARS!C51</f>
        <v>VNQ</v>
      </c>
      <c r="E51" t="str">
        <f>SCALARS!D51</f>
        <v>IBKR</v>
      </c>
      <c r="F51" t="str">
        <f>SCALARS!E51</f>
        <v>VNQ</v>
      </c>
      <c r="G51" s="151">
        <f>SCALARS!F51</f>
        <v>1</v>
      </c>
    </row>
    <row r="52" spans="1:12" x14ac:dyDescent="0.25">
      <c r="A52" s="307" t="b">
        <v>0</v>
      </c>
      <c r="B52" t="str">
        <f>SCALARS!A52</f>
        <v>sector</v>
      </c>
      <c r="C52" t="str">
        <f>SCALARS!B52</f>
        <v>staples</v>
      </c>
      <c r="D52" t="str">
        <f>SCALARS!C52</f>
        <v>FSTA</v>
      </c>
      <c r="E52" t="str">
        <f>SCALARS!D52</f>
        <v>IBKR</v>
      </c>
      <c r="F52" t="str">
        <f>SCALARS!E52</f>
        <v>VDC</v>
      </c>
      <c r="G52" s="151">
        <f>SCALARS!F52</f>
        <v>4.2919040125627728</v>
      </c>
    </row>
    <row r="53" spans="1:12" x14ac:dyDescent="0.25">
      <c r="A53" s="307" t="b">
        <v>0</v>
      </c>
      <c r="B53" t="str">
        <f>SCALARS!A53</f>
        <v>sector</v>
      </c>
      <c r="C53" t="str">
        <f>SCALARS!B53</f>
        <v>staples</v>
      </c>
      <c r="D53" t="str">
        <f>SCALARS!C53</f>
        <v>VDC</v>
      </c>
      <c r="E53" t="str">
        <f>SCALARS!D53</f>
        <v>IBKR</v>
      </c>
      <c r="F53" t="str">
        <f>SCALARS!E53</f>
        <v>VDC</v>
      </c>
      <c r="G53" s="151">
        <f>SCALARS!F53</f>
        <v>1</v>
      </c>
    </row>
    <row r="54" spans="1:12" x14ac:dyDescent="0.25">
      <c r="A54" s="307" t="b">
        <v>0</v>
      </c>
      <c r="B54" t="str">
        <f>SCALARS!A54</f>
        <v>sector</v>
      </c>
      <c r="C54" t="str">
        <f>SCALARS!B54</f>
        <v>technology</v>
      </c>
      <c r="D54" t="str">
        <f>SCALARS!C54</f>
        <v>FTEC</v>
      </c>
      <c r="E54" t="str">
        <f>SCALARS!D54</f>
        <v>IBKR</v>
      </c>
      <c r="F54" t="str">
        <f>SCALARS!E54</f>
        <v>FTEC</v>
      </c>
      <c r="G54" s="151">
        <f>SCALARS!F54</f>
        <v>1</v>
      </c>
    </row>
    <row r="55" spans="1:12" x14ac:dyDescent="0.25">
      <c r="A55" s="307" t="b">
        <v>0</v>
      </c>
      <c r="B55" t="str">
        <f>SCALARS!A55</f>
        <v>sector</v>
      </c>
      <c r="C55" t="str">
        <f>SCALARS!B55</f>
        <v>technology</v>
      </c>
      <c r="D55" t="str">
        <f>SCALARS!C55</f>
        <v>VGT</v>
      </c>
      <c r="E55" t="str">
        <f>SCALARS!D55</f>
        <v>IBKR</v>
      </c>
      <c r="F55" t="str">
        <f>SCALARS!E55</f>
        <v>FTEC</v>
      </c>
      <c r="G55" s="151">
        <f>SCALARS!F55</f>
        <v>2.3864808369535226</v>
      </c>
    </row>
    <row r="56" spans="1:12" x14ac:dyDescent="0.25">
      <c r="A56" s="307" t="b">
        <v>0</v>
      </c>
      <c r="B56" t="str">
        <f>SCALARS!A56</f>
        <v>sector</v>
      </c>
      <c r="C56" t="str">
        <f>SCALARS!B56</f>
        <v>utilities</v>
      </c>
      <c r="D56" t="str">
        <f>SCALARS!C56</f>
        <v>FUTY</v>
      </c>
      <c r="E56" t="str">
        <f>SCALARS!D56</f>
        <v>IBKR</v>
      </c>
      <c r="F56" t="str">
        <f>SCALARS!E56</f>
        <v>VPU</v>
      </c>
      <c r="G56" s="151">
        <f>SCALARS!F56</f>
        <v>3.350232930996607</v>
      </c>
    </row>
    <row r="57" spans="1:12" x14ac:dyDescent="0.25">
      <c r="A57" s="307" t="b">
        <v>0</v>
      </c>
      <c r="B57" t="str">
        <f>SCALARS!A57</f>
        <v>sector</v>
      </c>
      <c r="C57" t="str">
        <f>SCALARS!B57</f>
        <v>utilities</v>
      </c>
      <c r="D57" t="str">
        <f>SCALARS!C57</f>
        <v>VPU</v>
      </c>
      <c r="E57" t="str">
        <f>SCALARS!D57</f>
        <v>IBKR</v>
      </c>
      <c r="F57" t="str">
        <f>SCALARS!E57</f>
        <v>VPU</v>
      </c>
      <c r="G57" s="151">
        <f>SCALARS!F57</f>
        <v>1</v>
      </c>
    </row>
    <row r="58" spans="1:12" x14ac:dyDescent="0.25">
      <c r="A58" s="307" t="b">
        <v>1</v>
      </c>
      <c r="B58" t="str">
        <f>SCALARS!A58</f>
        <v>sector</v>
      </c>
      <c r="C58" t="str">
        <f>SCALARS!B58</f>
        <v>energy</v>
      </c>
      <c r="D58" t="str">
        <f>SCALARS!C58</f>
        <v>IYE</v>
      </c>
      <c r="E58" t="str">
        <f>SCALARS!D58</f>
        <v>IBKR</v>
      </c>
      <c r="F58" t="str">
        <f>SCALARS!E58</f>
        <v>IYE</v>
      </c>
      <c r="G58" s="151">
        <f>SCALARS!F58</f>
        <v>1</v>
      </c>
      <c r="H58" s="308" t="s">
        <v>174</v>
      </c>
      <c r="I58" s="2">
        <v>0.15</v>
      </c>
      <c r="J58" s="309" t="s">
        <v>175</v>
      </c>
      <c r="K58">
        <v>500</v>
      </c>
    </row>
    <row r="59" spans="1:12" x14ac:dyDescent="0.25">
      <c r="A59" s="307" t="b">
        <v>1</v>
      </c>
      <c r="B59" t="str">
        <f>SCALARS!A59</f>
        <v>sector</v>
      </c>
      <c r="C59" t="str">
        <f>SCALARS!B59</f>
        <v>energy</v>
      </c>
      <c r="D59" t="str">
        <f>SCALARS!C59</f>
        <v>XLE</v>
      </c>
      <c r="E59" t="str">
        <f>SCALARS!D59</f>
        <v>IBKR</v>
      </c>
      <c r="F59" t="str">
        <f>SCALARS!E59</f>
        <v>IYE</v>
      </c>
      <c r="G59" s="151">
        <f>SCALARS!F59</f>
        <v>1.0601358995293295</v>
      </c>
      <c r="H59" s="308" t="s">
        <v>174</v>
      </c>
      <c r="I59" s="2">
        <v>0.15</v>
      </c>
      <c r="J59" s="309" t="s">
        <v>176</v>
      </c>
      <c r="L59">
        <v>530</v>
      </c>
    </row>
    <row r="60" spans="1:12" x14ac:dyDescent="0.25">
      <c r="A60" s="307" t="b">
        <v>0</v>
      </c>
      <c r="B60" t="str">
        <f>SCALARS!A60</f>
        <v>sector</v>
      </c>
      <c r="C60" t="str">
        <f>SCALARS!B60</f>
        <v>financials</v>
      </c>
      <c r="D60" t="str">
        <f>SCALARS!C60</f>
        <v>IYF</v>
      </c>
      <c r="E60" t="str">
        <f>SCALARS!D60</f>
        <v>IBKR</v>
      </c>
      <c r="F60" t="str">
        <f>SCALARS!E60</f>
        <v>IYF</v>
      </c>
      <c r="G60" s="151">
        <f>SCALARS!F60</f>
        <v>1</v>
      </c>
    </row>
    <row r="61" spans="1:12" x14ac:dyDescent="0.25">
      <c r="A61" s="307" t="b">
        <v>0</v>
      </c>
      <c r="B61" t="str">
        <f>SCALARS!A61</f>
        <v>sector</v>
      </c>
      <c r="C61" t="str">
        <f>SCALARS!B61</f>
        <v>financials</v>
      </c>
      <c r="D61" t="str">
        <f>SCALARS!C61</f>
        <v>XLF</v>
      </c>
      <c r="E61" t="str">
        <f>SCALARS!D61</f>
        <v>IBKR</v>
      </c>
      <c r="F61" t="str">
        <f>SCALARS!E61</f>
        <v>IYF</v>
      </c>
      <c r="G61" s="151">
        <f>SCALARS!F61</f>
        <v>2.3698704536405915</v>
      </c>
    </row>
    <row r="62" spans="1:12" x14ac:dyDescent="0.25">
      <c r="A62" s="307" t="b">
        <v>0</v>
      </c>
      <c r="B62" t="str">
        <f>SCALARS!A62</f>
        <v>sector</v>
      </c>
      <c r="C62" t="str">
        <f>SCALARS!B62</f>
        <v>healthcare</v>
      </c>
      <c r="D62" t="str">
        <f>SCALARS!C62</f>
        <v>IYH</v>
      </c>
      <c r="E62" t="str">
        <f>SCALARS!D62</f>
        <v>IBKR</v>
      </c>
      <c r="F62" t="str">
        <f>SCALARS!E62</f>
        <v>XLV</v>
      </c>
      <c r="G62" s="151">
        <f>SCALARS!F62</f>
        <v>2.3674952928645183</v>
      </c>
    </row>
    <row r="63" spans="1:12" x14ac:dyDescent="0.25">
      <c r="A63" s="307" t="b">
        <v>0</v>
      </c>
      <c r="B63" t="str">
        <f>SCALARS!A63</f>
        <v>sector</v>
      </c>
      <c r="C63" t="str">
        <f>SCALARS!B63</f>
        <v>healthcare</v>
      </c>
      <c r="D63" t="str">
        <f>SCALARS!C63</f>
        <v>XLV</v>
      </c>
      <c r="E63" t="str">
        <f>SCALARS!D63</f>
        <v>IBKR</v>
      </c>
      <c r="F63" t="str">
        <f>SCALARS!E63</f>
        <v>XLV</v>
      </c>
      <c r="G63" s="151">
        <f>SCALARS!F63</f>
        <v>1</v>
      </c>
    </row>
    <row r="64" spans="1:12" x14ac:dyDescent="0.25">
      <c r="A64" s="307" t="b">
        <v>0</v>
      </c>
      <c r="B64" t="str">
        <f>SCALARS!A64</f>
        <v>sector</v>
      </c>
      <c r="C64" t="str">
        <f>SCALARS!B64</f>
        <v>industrials</v>
      </c>
      <c r="D64" t="str">
        <f>SCALARS!C64</f>
        <v>IYJ</v>
      </c>
      <c r="E64" t="str">
        <f>SCALARS!D64</f>
        <v>IBKR</v>
      </c>
      <c r="F64" t="str">
        <f>SCALARS!E64</f>
        <v>IYJ</v>
      </c>
      <c r="G64" s="151">
        <f>SCALARS!F64</f>
        <v>1</v>
      </c>
    </row>
    <row r="65" spans="1:7" x14ac:dyDescent="0.25">
      <c r="A65" s="307" t="b">
        <v>0</v>
      </c>
      <c r="B65" t="str">
        <f>SCALARS!A65</f>
        <v>sector</v>
      </c>
      <c r="C65" t="str">
        <f>SCALARS!B65</f>
        <v>industrials</v>
      </c>
      <c r="D65" t="str">
        <f>SCALARS!C65</f>
        <v>XLI</v>
      </c>
      <c r="E65" t="str">
        <f>SCALARS!D65</f>
        <v>IBKR</v>
      </c>
      <c r="F65" t="str">
        <f>SCALARS!E65</f>
        <v>IYJ</v>
      </c>
      <c r="G65" s="151">
        <f>SCALARS!F65</f>
        <v>0.91278056476613367</v>
      </c>
    </row>
    <row r="66" spans="1:7" x14ac:dyDescent="0.25">
      <c r="A66" s="307" t="b">
        <v>0</v>
      </c>
      <c r="B66" t="str">
        <f>SCALARS!A66</f>
        <v>sector</v>
      </c>
      <c r="C66" t="str">
        <f>SCALARS!B66</f>
        <v>real estate</v>
      </c>
      <c r="D66" t="str">
        <f>SCALARS!C66</f>
        <v>IYR</v>
      </c>
      <c r="E66" t="str">
        <f>SCALARS!D66</f>
        <v>IBKR</v>
      </c>
      <c r="F66" t="str">
        <f>SCALARS!E66</f>
        <v>IYR</v>
      </c>
      <c r="G66" s="151">
        <f>SCALARS!F66</f>
        <v>1</v>
      </c>
    </row>
    <row r="67" spans="1:7" x14ac:dyDescent="0.25">
      <c r="A67" s="307" t="b">
        <v>0</v>
      </c>
      <c r="B67" t="str">
        <f>SCALARS!A67</f>
        <v>sector</v>
      </c>
      <c r="C67" t="str">
        <f>SCALARS!B67</f>
        <v>real estate</v>
      </c>
      <c r="D67" t="str">
        <f>SCALARS!C67</f>
        <v>XLRE</v>
      </c>
      <c r="E67" t="str">
        <f>SCALARS!D67</f>
        <v>IBKR</v>
      </c>
      <c r="F67" t="str">
        <f>SCALARS!E67</f>
        <v>IYR</v>
      </c>
      <c r="G67" s="151">
        <f>SCALARS!F67</f>
        <v>2.3253103293308022</v>
      </c>
    </row>
    <row r="68" spans="1:7" x14ac:dyDescent="0.25">
      <c r="A68" s="307" t="b">
        <v>0</v>
      </c>
      <c r="B68" t="str">
        <f>SCALARS!A68</f>
        <v>sector</v>
      </c>
      <c r="C68" t="str">
        <f>SCALARS!B68</f>
        <v>staples</v>
      </c>
      <c r="D68" t="str">
        <f>SCALARS!C68</f>
        <v>IYK</v>
      </c>
      <c r="E68" t="str">
        <f>SCALARS!D68</f>
        <v>IBKR</v>
      </c>
      <c r="F68" t="str">
        <f>SCALARS!E68</f>
        <v>IYK</v>
      </c>
      <c r="G68" s="151">
        <f>SCALARS!F68</f>
        <v>1</v>
      </c>
    </row>
    <row r="69" spans="1:7" x14ac:dyDescent="0.25">
      <c r="A69" s="307" t="b">
        <v>0</v>
      </c>
      <c r="B69" t="str">
        <f>SCALARS!A69</f>
        <v>sector</v>
      </c>
      <c r="C69" t="str">
        <f>SCALARS!B69</f>
        <v>staples</v>
      </c>
      <c r="D69" t="str">
        <f>SCALARS!C69</f>
        <v>XLP</v>
      </c>
      <c r="E69" t="str">
        <f>SCALARS!D69</f>
        <v>IBKR</v>
      </c>
      <c r="F69" t="str">
        <f>SCALARS!E69</f>
        <v>IYK</v>
      </c>
      <c r="G69" s="151">
        <f>SCALARS!F69</f>
        <v>0.87389613767306251</v>
      </c>
    </row>
    <row r="70" spans="1:7" x14ac:dyDescent="0.25">
      <c r="A70" s="307" t="b">
        <v>0</v>
      </c>
      <c r="B70" t="str">
        <f>SCALARS!A70</f>
        <v>sector</v>
      </c>
      <c r="C70" t="str">
        <f>SCALARS!B70</f>
        <v>technology</v>
      </c>
      <c r="D70" t="str">
        <f>SCALARS!C70</f>
        <v>IYW</v>
      </c>
      <c r="E70" t="str">
        <f>SCALARS!D70</f>
        <v>IBKR</v>
      </c>
      <c r="F70" t="str">
        <f>SCALARS!E70</f>
        <v>IYW</v>
      </c>
      <c r="G70" s="151">
        <f>SCALARS!F70</f>
        <v>1</v>
      </c>
    </row>
    <row r="71" spans="1:7" x14ac:dyDescent="0.25">
      <c r="A71" s="307" t="b">
        <v>0</v>
      </c>
      <c r="B71" t="str">
        <f>SCALARS!A71</f>
        <v>sector</v>
      </c>
      <c r="C71" t="str">
        <f>SCALARS!B71</f>
        <v>technology</v>
      </c>
      <c r="D71" t="str">
        <f>SCALARS!C71</f>
        <v>XLK</v>
      </c>
      <c r="E71" t="str">
        <f>SCALARS!D71</f>
        <v>IBKR</v>
      </c>
      <c r="F71" t="str">
        <f>SCALARS!E71</f>
        <v>IYW</v>
      </c>
      <c r="G71" s="151">
        <f>SCALARS!F71</f>
        <v>1.3489486250461504</v>
      </c>
    </row>
    <row r="72" spans="1:7" x14ac:dyDescent="0.25">
      <c r="A72" s="307" t="b">
        <v>0</v>
      </c>
      <c r="B72" t="str">
        <f>SCALARS!A72</f>
        <v>sector</v>
      </c>
      <c r="C72" t="str">
        <f>SCALARS!B72</f>
        <v>utilities</v>
      </c>
      <c r="D72" t="str">
        <f>SCALARS!C72</f>
        <v>IDU</v>
      </c>
      <c r="E72" t="str">
        <f>SCALARS!D72</f>
        <v>IBKR</v>
      </c>
      <c r="F72" t="str">
        <f>SCALARS!E72</f>
        <v>IDU</v>
      </c>
      <c r="G72" s="151">
        <f>SCALARS!F72</f>
        <v>1</v>
      </c>
    </row>
    <row r="73" spans="1:7" x14ac:dyDescent="0.25">
      <c r="A73" s="307" t="b">
        <v>0</v>
      </c>
      <c r="B73" t="str">
        <f>SCALARS!A73</f>
        <v>sector</v>
      </c>
      <c r="C73" t="str">
        <f>SCALARS!B73</f>
        <v>utilities</v>
      </c>
      <c r="D73" t="str">
        <f>SCALARS!C73</f>
        <v>XLU</v>
      </c>
      <c r="E73" t="str">
        <f>SCALARS!D73</f>
        <v>IBKR</v>
      </c>
      <c r="F73" t="str">
        <f>SCALARS!E73</f>
        <v>IDU</v>
      </c>
      <c r="G73" s="151">
        <f>SCALARS!F73</f>
        <v>2.5416367797549384</v>
      </c>
    </row>
  </sheetData>
  <conditionalFormatting sqref="A1:A1048576">
    <cfRule type="cellIs" dxfId="17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ADMIN INPUTS</vt:lpstr>
      <vt:lpstr>ANCHOR INPUTS</vt:lpstr>
      <vt:lpstr>MKT DATA</vt:lpstr>
      <vt:lpstr>FIXED INCOME</vt:lpstr>
      <vt:lpstr>SECTORS</vt:lpstr>
      <vt:lpstr>SCALARS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2026-09-01T20:47:47Z</dcterms:modified>
</cp:coreProperties>
</file>