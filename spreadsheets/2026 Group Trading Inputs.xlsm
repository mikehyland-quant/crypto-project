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41052C44-5A0C-4D9E-8793-BE2DBF9E8898}" xr6:coauthVersionLast="47" xr6:coauthVersionMax="47" xr10:uidLastSave="{00000000-0000-0000-0000-000000000000}"/>
  <bookViews>
    <workbookView xWindow="29040" yWindow="0" windowWidth="23430" windowHeight="15585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1" l="1"/>
  <c r="G26" i="21"/>
  <c r="H27" i="21"/>
  <c r="H26" i="21"/>
  <c r="H25" i="21"/>
  <c r="G25" i="21"/>
  <c r="H23" i="21"/>
  <c r="G23" i="21"/>
  <c r="H22" i="21"/>
  <c r="G22" i="21"/>
  <c r="H19" i="21"/>
  <c r="H21" i="21" s="1"/>
  <c r="G19" i="21"/>
  <c r="G21" i="21" s="1"/>
  <c r="H18" i="21"/>
  <c r="G18" i="21"/>
  <c r="H17" i="21"/>
  <c r="G17" i="21"/>
  <c r="H15" i="21"/>
  <c r="G15" i="21"/>
  <c r="H14" i="21"/>
  <c r="G14" i="21"/>
  <c r="H13" i="21"/>
  <c r="G13" i="21"/>
  <c r="H9" i="21"/>
  <c r="G9" i="21"/>
  <c r="H8" i="21"/>
  <c r="G8" i="21"/>
  <c r="H7" i="21"/>
  <c r="G7" i="21"/>
  <c r="H5" i="21"/>
  <c r="H4" i="21"/>
  <c r="G5" i="21"/>
  <c r="G4" i="21"/>
  <c r="H11" i="21"/>
  <c r="G11" i="21"/>
  <c r="H10" i="21"/>
  <c r="G10" i="21"/>
  <c r="H20" i="21"/>
  <c r="G20" i="21"/>
  <c r="H3" i="21"/>
  <c r="G3" i="21"/>
  <c r="A29" i="20"/>
  <c r="I4" i="20" a="1"/>
  <c r="I5" i="20" a="1"/>
  <c r="I6" i="20" a="1"/>
  <c r="I7" i="20" a="1"/>
  <c r="I8" i="20" a="1"/>
  <c r="I9" i="20" a="1"/>
  <c r="I10" i="20" a="1"/>
  <c r="I11" i="20" a="1"/>
  <c r="I12" i="20" a="1"/>
  <c r="I13" i="20" a="1"/>
  <c r="I14" i="20" a="1"/>
  <c r="I15" i="20" a="1"/>
  <c r="I16" i="20" a="1"/>
  <c r="I17" i="20" a="1"/>
  <c r="I18" i="20" a="1"/>
  <c r="I19" i="20" a="1"/>
  <c r="I20" i="20" a="1"/>
  <c r="I21" i="20" a="1"/>
  <c r="I22" i="20" a="1"/>
  <c r="I23" i="20" a="1"/>
  <c r="I24" i="20" a="1"/>
  <c r="I25" i="20" a="1"/>
  <c r="I26" i="20" a="1"/>
  <c r="I27" i="20" a="1"/>
  <c r="I28" i="20" a="1"/>
  <c r="I3" i="20" a="1"/>
  <c r="F27" i="20" a="1"/>
  <c r="H27" i="20" s="1"/>
  <c r="F26" i="20" a="1"/>
  <c r="H26" i="20" s="1"/>
  <c r="F25" i="20" a="1"/>
  <c r="H25" i="20" s="1"/>
  <c r="F24" i="20" a="1"/>
  <c r="H24" i="20" s="1"/>
  <c r="F23" i="20" a="1"/>
  <c r="H23" i="20" s="1"/>
  <c r="F22" i="20" a="1"/>
  <c r="H22" i="20" s="1"/>
  <c r="F21" i="20" a="1"/>
  <c r="H21" i="20" s="1"/>
  <c r="F20" i="20" a="1"/>
  <c r="H20" i="20" s="1"/>
  <c r="F19" i="20" a="1"/>
  <c r="H19" i="20" s="1"/>
  <c r="F18" i="20" a="1"/>
  <c r="H18" i="20" s="1"/>
  <c r="F17" i="20" a="1"/>
  <c r="H17" i="20" s="1"/>
  <c r="F16" i="20" a="1"/>
  <c r="H16" i="20" s="1"/>
  <c r="F15" i="20" a="1"/>
  <c r="H15" i="20" s="1"/>
  <c r="F14" i="20" a="1"/>
  <c r="H14" i="20" s="1"/>
  <c r="F13" i="20" a="1"/>
  <c r="H13" i="20" s="1"/>
  <c r="F12" i="20" a="1"/>
  <c r="H12" i="20" s="1"/>
  <c r="F11" i="20" a="1"/>
  <c r="H11" i="20" s="1"/>
  <c r="F10" i="20" a="1"/>
  <c r="H10" i="20" s="1"/>
  <c r="F9" i="20" a="1"/>
  <c r="H9" i="20" s="1"/>
  <c r="F8" i="20" a="1"/>
  <c r="H8" i="20" s="1"/>
  <c r="F7" i="20" a="1"/>
  <c r="H7" i="20" s="1"/>
  <c r="F6" i="20" a="1"/>
  <c r="H6" i="20" s="1"/>
  <c r="F5" i="20" a="1"/>
  <c r="H5" i="20" s="1"/>
  <c r="F4" i="20" a="1"/>
  <c r="H4" i="20" s="1"/>
  <c r="F3" i="20" a="1"/>
  <c r="H3" i="20" s="1"/>
  <c r="F28" i="20" a="1"/>
  <c r="H28" i="20" s="1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B3" i="20"/>
  <c r="A3" i="20"/>
  <c r="P4" i="20" a="1"/>
  <c r="Q4" i="20" s="1"/>
  <c r="P3" i="20" a="1"/>
  <c r="Q3" i="20" s="1"/>
  <c r="P5" i="20" a="1"/>
  <c r="Q5" i="20" s="1"/>
  <c r="P6" i="20" a="1"/>
  <c r="Q6" i="20" s="1"/>
  <c r="P7" i="20" a="1"/>
  <c r="Q7" i="20" s="1"/>
  <c r="P8" i="20" a="1"/>
  <c r="Q8" i="20" s="1"/>
  <c r="P9" i="20" a="1"/>
  <c r="Q9" i="20" s="1"/>
  <c r="P10" i="20" a="1"/>
  <c r="Q10" i="20" s="1"/>
  <c r="P11" i="20" a="1"/>
  <c r="Q11" i="20" s="1"/>
  <c r="P12" i="20" a="1"/>
  <c r="Q12" i="20" s="1"/>
  <c r="P13" i="20" a="1"/>
  <c r="Q13" i="20" s="1"/>
  <c r="P14" i="20" a="1"/>
  <c r="Q14" i="20" s="1"/>
  <c r="P15" i="20" a="1"/>
  <c r="P16" i="20" a="1"/>
  <c r="Q16" i="20" s="1"/>
  <c r="P17" i="20" a="1"/>
  <c r="Q17" i="20" s="1"/>
  <c r="P18" i="20" a="1"/>
  <c r="Q18" i="20" s="1"/>
  <c r="P19" i="20" a="1"/>
  <c r="Q19" i="20" s="1"/>
  <c r="P20" i="20" a="1"/>
  <c r="Q20" i="20" s="1"/>
  <c r="P21" i="20" a="1"/>
  <c r="Q21" i="20" s="1"/>
  <c r="P22" i="20" a="1"/>
  <c r="Q22" i="20" s="1"/>
  <c r="P23" i="20" a="1"/>
  <c r="Q23" i="20" s="1"/>
  <c r="P24" i="20" a="1"/>
  <c r="Q24" i="20" s="1"/>
  <c r="P25" i="20" a="1"/>
  <c r="Q25" i="20" s="1"/>
  <c r="P26" i="20" a="1"/>
  <c r="Q26" i="20" s="1"/>
  <c r="P27" i="20" a="1"/>
  <c r="Q27" i="20" s="1"/>
  <c r="P28" i="20" a="1"/>
  <c r="Q28" i="20" s="1"/>
  <c r="E27" i="20" a="1"/>
  <c r="G27" i="20" s="1"/>
  <c r="J27" i="20" s="1"/>
  <c r="E25" i="20" a="1"/>
  <c r="G25" i="20" s="1"/>
  <c r="J25" i="20" s="1"/>
  <c r="E26" i="20" a="1"/>
  <c r="G26" i="20" s="1"/>
  <c r="J26" i="20" s="1"/>
  <c r="E23" i="20" a="1"/>
  <c r="G23" i="20" s="1"/>
  <c r="J23" i="20" s="1"/>
  <c r="E24" i="20" a="1"/>
  <c r="G24" i="20" s="1"/>
  <c r="J24" i="20" s="1"/>
  <c r="E28" i="20" a="1"/>
  <c r="G28" i="20" s="1"/>
  <c r="J28" i="20" s="1"/>
  <c r="E7" i="20" a="1"/>
  <c r="G7" i="20" s="1"/>
  <c r="J7" i="20" s="1"/>
  <c r="E6" i="20" a="1"/>
  <c r="G6" i="20" s="1"/>
  <c r="J6" i="20" s="1"/>
  <c r="E8" i="20" a="1"/>
  <c r="G8" i="20" s="1"/>
  <c r="J8" i="20" s="1"/>
  <c r="E4" i="20" a="1"/>
  <c r="G4" i="20" s="1"/>
  <c r="J4" i="20" s="1"/>
  <c r="E3" i="20" a="1"/>
  <c r="G3" i="20" s="1"/>
  <c r="J3" i="20" s="1"/>
  <c r="E5" i="20" a="1"/>
  <c r="G5" i="20" s="1"/>
  <c r="J5" i="20" s="1"/>
  <c r="E14" i="20" a="1"/>
  <c r="G14" i="20" s="1"/>
  <c r="J14" i="20" s="1"/>
  <c r="E12" i="20" a="1"/>
  <c r="G12" i="20" s="1"/>
  <c r="J12" i="20" s="1"/>
  <c r="E13" i="20" a="1"/>
  <c r="G13" i="20" s="1"/>
  <c r="J13" i="20" s="1"/>
  <c r="E11" i="20" a="1"/>
  <c r="G11" i="20" s="1"/>
  <c r="J11" i="20" s="1"/>
  <c r="E9" i="20" a="1"/>
  <c r="G9" i="20" s="1"/>
  <c r="J9" i="20" s="1"/>
  <c r="E10" i="20" a="1"/>
  <c r="G10" i="20" s="1"/>
  <c r="J10" i="20" s="1"/>
  <c r="E17" i="20" a="1"/>
  <c r="G17" i="20" s="1"/>
  <c r="J17" i="20" s="1"/>
  <c r="E16" i="20" a="1"/>
  <c r="G16" i="20" s="1"/>
  <c r="J16" i="20" s="1"/>
  <c r="E15" i="20" a="1"/>
  <c r="G15" i="20" s="1"/>
  <c r="J15" i="20" s="1"/>
  <c r="E18" i="20" a="1"/>
  <c r="G18" i="20" s="1"/>
  <c r="J18" i="20" s="1"/>
  <c r="E21" i="20" a="1"/>
  <c r="G21" i="20" s="1"/>
  <c r="J21" i="20" s="1"/>
  <c r="E19" i="20" a="1"/>
  <c r="G19" i="20" s="1"/>
  <c r="J19" i="20" s="1"/>
  <c r="E20" i="20" a="1"/>
  <c r="G20" i="20" s="1"/>
  <c r="J20" i="20" s="1"/>
  <c r="E22" i="20" a="1"/>
  <c r="G22" i="20" s="1"/>
  <c r="J22" i="20" s="1"/>
  <c r="B4" i="15" a="1"/>
  <c r="B2" i="15" a="1"/>
  <c r="R23" i="20" l="1"/>
  <c r="R19" i="20"/>
  <c r="Q15" i="20"/>
  <c r="R15" i="20" s="1"/>
  <c r="R12" i="20"/>
  <c r="R9" i="20"/>
  <c r="R6" i="20"/>
  <c r="R3" i="20"/>
  <c r="L23" i="20"/>
  <c r="L19" i="20"/>
  <c r="L15" i="20"/>
  <c r="L12" i="20"/>
  <c r="L9" i="20"/>
  <c r="L6" i="20"/>
  <c r="L3" i="20"/>
  <c r="K25" i="20"/>
  <c r="K27" i="20"/>
  <c r="K26" i="20"/>
  <c r="K23" i="20"/>
  <c r="K24" i="20"/>
  <c r="K28" i="20"/>
  <c r="K7" i="20"/>
  <c r="K6" i="20"/>
  <c r="K8" i="20"/>
  <c r="K4" i="20"/>
  <c r="K3" i="20"/>
  <c r="K5" i="20"/>
  <c r="K14" i="20"/>
  <c r="K12" i="20"/>
  <c r="K13" i="20"/>
  <c r="K11" i="20"/>
  <c r="K9" i="20"/>
  <c r="K10" i="20"/>
  <c r="K17" i="20"/>
  <c r="K16" i="20"/>
  <c r="K15" i="20"/>
  <c r="K18" i="20"/>
  <c r="K19" i="20"/>
  <c r="K20" i="20"/>
  <c r="K21" i="20"/>
  <c r="K22" i="20"/>
  <c r="M23" i="20" l="1"/>
  <c r="N23" i="20" s="1"/>
  <c r="O23" i="20" s="1"/>
  <c r="M19" i="20"/>
  <c r="N19" i="20" s="1"/>
  <c r="O19" i="20" s="1"/>
  <c r="M15" i="20"/>
  <c r="N15" i="20" s="1"/>
  <c r="O15" i="20" s="1"/>
  <c r="M12" i="20"/>
  <c r="N12" i="20" s="1"/>
  <c r="O12" i="20" s="1"/>
  <c r="M6" i="20"/>
  <c r="N6" i="20" s="1"/>
  <c r="O6" i="20" s="1"/>
  <c r="M9" i="20"/>
  <c r="N9" i="20" s="1"/>
  <c r="O9" i="20" s="1"/>
  <c r="M3" i="20"/>
  <c r="N3" i="20" s="1"/>
  <c r="O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<sst xmlns="http://schemas.openxmlformats.org/spreadsheetml/2006/main" count="559" uniqueCount="120">
  <si>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</si>
  <si>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</si>
  <si>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</si>
  <si>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</si>
  <si>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</si>
  <si>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</si>
  <si>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</si>
  <si>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</si>
  <si>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</si>
  <si>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</si>
  <si>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</si>
  <si>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</si>
  <si>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</si>
  <si>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</si>
  <si>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</si>
  <si>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</si>
  <si>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</si>
  <si>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</si>
  <si>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</si>
  <si>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</si>
  <si>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</si>
  <si>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</si>
  <si>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</si>
  <si>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</si>
  <si>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</si>
  <si>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</si>
  <si>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</si>
  <si>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</si>
  <si>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</si>
  <si>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</si>
  <si>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</si>
  <si>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</si>
  <si>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</si>
  <si>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</si>
  <si>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</si>
  <si>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</si>
  <si>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</si>
  <si>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</si>
  <si>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</si>
  <si>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</si>
  <si>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</si>
  <si>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</si>
  <si>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</si>
  <si>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</si>
  <si>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</si>
  <si>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</si>
  <si>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</si>
  <si>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</si>
  <si>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</si>
  <si>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</si>
  <si>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</si>
  <si>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</si>
  <si>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</si>
  <si>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</si>
  <si>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</si>
  <si>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</si>
  <si>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</si>
  <si>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</si>
  <si>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</si>
  <si>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</si>
  <si>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</si>
  <si>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</si>
  <si>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</si>
  <si>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</si>
  <si>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</si>
  <si>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</si>
  <si>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</si>
  <si>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</si>
  <si>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</si>
  <si>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</si>
  <si>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</si>
  <si>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</si>
  <si>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</si>
  <si>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</si>
  <si>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</si>
  <si>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</si>
  <si>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</si>
  <si>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</si>
  <si>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</si>
  <si>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</si>
  <si>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</si>
  <si>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</si>
  <si>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</si>
  <si>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</si>
  <si>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</si>
  <si>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</si>
  <si>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</si>
  <si>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</si>
  <si>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</si>
  <si>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</si>
  <si>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</si>
  <si>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</si>
  <si>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</si>
  <si>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</si>
  <si>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</si>
  <si>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</si>
  <si>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total</t>
  </si>
  <si>
    <t>leveraged</t>
  </si>
  <si>
    <t>margin</t>
  </si>
  <si>
    <t>ln ( t / b )</t>
  </si>
  <si>
    <t>bounds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</si>
  <si>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</si>
  <si>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</si>
  <si>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</si>
  <si>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</si>
  <si>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</si>
  <si>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</si>
  <si>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</si>
  <si>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2026-08-21_16-04-51</t>
  </si>
  <si>
    <t>lift top/hit bottom</t>
  </si>
  <si>
    <t>hit top/lift bottom</t>
  </si>
  <si>
    <t>thresholds</t>
  </si>
  <si>
    <t>pair</t>
  </si>
  <si>
    <t>hurdle</t>
  </si>
  <si>
    <t>CWB_ICVT</t>
  </si>
  <si>
    <t>BWX_IGOV</t>
  </si>
  <si>
    <t>VWOB_EMB</t>
  </si>
  <si>
    <t>CMF_VTEC</t>
  </si>
  <si>
    <t>PFFD_PFF</t>
  </si>
  <si>
    <t>SCHH_USRT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</si>
</sst>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* #,##0.0000_);_(* \(#,##0.0000\);_(* &quot;-&quot;????_);_(@_)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0" fontId="5" fillId="0" borderId="0" xfId="0" applyFont="1"/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7" fontId="8" fillId="0" borderId="0" xfId="1" applyNumberFormat="1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11" fillId="0" borderId="0" xfId="0" applyFont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170" fontId="0" fillId="0" borderId="0" xfId="0" applyNumberFormat="1"/>
    <xf numFmtId="10" fontId="19" fillId="0" borderId="3" xfId="2" applyNumberFormat="1" applyFont="1" applyFill="1" applyBorder="1" applyAlignment="1">
      <alignment horizontal="center" vertical="center"/>
    </xf>
    <xf numFmtId="10" fontId="19" fillId="0" borderId="5" xfId="2" applyNumberFormat="1" applyFont="1" applyFill="1" applyBorder="1" applyAlignment="1">
      <alignment horizontal="center" vertical="center"/>
    </xf>
    <xf numFmtId="10" fontId="19" fillId="0" borderId="8" xfId="2" applyNumberFormat="1" applyFont="1" applyFill="1" applyBorder="1" applyAlignment="1">
      <alignment horizontal="center" vertical="center"/>
    </xf>
    <xf numFmtId="43" fontId="18" fillId="0" borderId="3" xfId="3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167" fontId="0" fillId="0" borderId="7" xfId="0" applyNumberFormat="1" applyBorder="1" applyAlignment="1">
      <alignment vertical="center"/>
    </xf>
    <xf numFmtId="0" fontId="8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5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43" fontId="18" fillId="0" borderId="3" xfId="0" applyNumberFormat="1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8" fillId="0" borderId="4" xfId="1" applyFont="1" applyBorder="1" applyAlignment="1">
      <alignment horizontal="center"/>
    </xf>
    <xf numFmtId="44" fontId="8" fillId="0" borderId="5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11" xfId="3" applyNumberFormat="1" applyFont="1" applyBorder="1"/>
    <xf numFmtId="164" fontId="8" fillId="0" borderId="12" xfId="3" applyNumberFormat="1" applyFont="1" applyBorder="1" applyAlignment="1">
      <alignment horizontal="center"/>
    </xf>
    <xf numFmtId="164" fontId="0" fillId="0" borderId="11" xfId="3" applyNumberFormat="1" applyFont="1" applyBorder="1"/>
    <xf numFmtId="164" fontId="0" fillId="0" borderId="12" xfId="3" applyNumberFormat="1" applyFont="1" applyBorder="1"/>
    <xf numFmtId="164" fontId="0" fillId="0" borderId="13" xfId="3" applyNumberFormat="1" applyFont="1" applyBorder="1"/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7" fillId="0" borderId="2" xfId="0" applyFont="1" applyBorder="1" applyAlignment="1">
      <alignment horizontal="center"/>
    </xf>
    <xf numFmtId="167" fontId="8" fillId="0" borderId="0" xfId="0" applyNumberFormat="1" applyFont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168" fontId="0" fillId="4" borderId="3" xfId="2" applyNumberFormat="1" applyFont="1" applyFill="1" applyBorder="1" applyAlignment="1">
      <alignment vertical="center"/>
    </xf>
    <xf numFmtId="167" fontId="0" fillId="0" borderId="0" xfId="0" applyNumberFormat="1" applyBorder="1" applyAlignment="1">
      <alignment vertical="center"/>
    </xf>
    <xf numFmtId="168" fontId="0" fillId="4" borderId="5" xfId="2" applyNumberFormat="1" applyFont="1" applyFill="1" applyBorder="1" applyAlignment="1">
      <alignment vertical="center"/>
    </xf>
    <xf numFmtId="168" fontId="0" fillId="4" borderId="8" xfId="2" applyNumberFormat="1" applyFont="1" applyFill="1" applyBorder="1" applyAlignment="1">
      <alignment vertical="center"/>
    </xf>
    <xf numFmtId="0" fontId="8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166" fontId="16" fillId="0" borderId="1" xfId="3" applyNumberFormat="1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166" fontId="17" fillId="0" borderId="4" xfId="3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0"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28" totalsRowShown="0">
  <autoFilter ref="A1:D28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E14" sqref="E1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90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91</v>
      </c>
      <c r="B3" t="s">
        <v>92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94</v>
      </c>
    </row>
    <row r="6" spans="1:4" x14ac:dyDescent="0.25">
      <c r="A6" t="s">
        <v>95</v>
      </c>
      <c r="B6" t="s">
        <v>39</v>
      </c>
      <c r="D6" s="49">
        <v>46255.490520833337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28"/>
  <sheetViews>
    <sheetView workbookViewId="0">
      <selection activeCell="H29" sqref="H29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10</v>
      </c>
      <c r="B2" t="s">
        <v>0</v>
      </c>
      <c r="C2" t="s">
        <v>10</v>
      </c>
      <c r="D2">
        <v>20</v>
      </c>
    </row>
    <row r="3" spans="1:4" x14ac:dyDescent="0.25">
      <c r="A3" t="s">
        <v>9</v>
      </c>
      <c r="B3" t="s">
        <v>0</v>
      </c>
      <c r="C3" t="s">
        <v>10</v>
      </c>
      <c r="D3">
        <v>20</v>
      </c>
    </row>
    <row r="4" spans="1:4" x14ac:dyDescent="0.25">
      <c r="A4" t="s">
        <v>6</v>
      </c>
      <c r="B4" t="s">
        <v>0</v>
      </c>
      <c r="C4" t="s">
        <v>10</v>
      </c>
      <c r="D4">
        <v>20</v>
      </c>
    </row>
    <row r="5" spans="1:4" x14ac:dyDescent="0.25">
      <c r="A5" t="s">
        <v>7</v>
      </c>
      <c r="B5" t="s">
        <v>0</v>
      </c>
      <c r="C5" t="s">
        <v>10</v>
      </c>
      <c r="D5">
        <v>20</v>
      </c>
    </row>
    <row r="6" spans="1:4" x14ac:dyDescent="0.25">
      <c r="A6" t="s">
        <v>35</v>
      </c>
      <c r="B6" t="s">
        <v>0</v>
      </c>
      <c r="C6" t="s">
        <v>35</v>
      </c>
      <c r="D6">
        <v>20</v>
      </c>
    </row>
    <row r="7" spans="1:4" x14ac:dyDescent="0.25">
      <c r="A7" t="s">
        <v>32</v>
      </c>
      <c r="B7" t="s">
        <v>0</v>
      </c>
      <c r="C7" t="s">
        <v>35</v>
      </c>
      <c r="D7">
        <v>20</v>
      </c>
    </row>
    <row r="8" spans="1:4" x14ac:dyDescent="0.25">
      <c r="A8" t="s">
        <v>33</v>
      </c>
      <c r="B8" t="s">
        <v>0</v>
      </c>
      <c r="C8" t="s">
        <v>35</v>
      </c>
      <c r="D8">
        <v>20</v>
      </c>
    </row>
    <row r="9" spans="1:4" x14ac:dyDescent="0.25">
      <c r="A9" t="s">
        <v>34</v>
      </c>
      <c r="B9" t="s">
        <v>0</v>
      </c>
      <c r="C9" t="s">
        <v>35</v>
      </c>
      <c r="D9">
        <v>20</v>
      </c>
    </row>
    <row r="10" spans="1:4" x14ac:dyDescent="0.25">
      <c r="A10" t="s">
        <v>19</v>
      </c>
      <c r="B10" t="s">
        <v>0</v>
      </c>
      <c r="C10" t="s">
        <v>20</v>
      </c>
      <c r="D10">
        <v>20</v>
      </c>
    </row>
    <row r="11" spans="1:4" x14ac:dyDescent="0.25">
      <c r="A11" t="s">
        <v>17</v>
      </c>
      <c r="B11" t="s">
        <v>0</v>
      </c>
      <c r="C11" t="s">
        <v>20</v>
      </c>
      <c r="D11">
        <v>20</v>
      </c>
    </row>
    <row r="12" spans="1:4" x14ac:dyDescent="0.25">
      <c r="A12" t="s">
        <v>20</v>
      </c>
      <c r="B12" t="s">
        <v>0</v>
      </c>
      <c r="C12" t="s">
        <v>20</v>
      </c>
      <c r="D12">
        <v>20</v>
      </c>
    </row>
    <row r="13" spans="1:4" x14ac:dyDescent="0.25">
      <c r="A13" t="s">
        <v>16</v>
      </c>
      <c r="B13" t="s">
        <v>0</v>
      </c>
      <c r="C13" t="s">
        <v>20</v>
      </c>
      <c r="D13">
        <v>20</v>
      </c>
    </row>
    <row r="14" spans="1:4" x14ac:dyDescent="0.25">
      <c r="A14" t="s">
        <v>15</v>
      </c>
      <c r="B14" t="s">
        <v>0</v>
      </c>
      <c r="C14" t="s">
        <v>20</v>
      </c>
      <c r="D14">
        <v>20</v>
      </c>
    </row>
    <row r="15" spans="1:4" x14ac:dyDescent="0.25">
      <c r="A15" t="s">
        <v>18</v>
      </c>
      <c r="B15" t="s">
        <v>0</v>
      </c>
      <c r="C15" t="s">
        <v>20</v>
      </c>
      <c r="D15">
        <v>20</v>
      </c>
    </row>
    <row r="16" spans="1:4" x14ac:dyDescent="0.25">
      <c r="A16" t="s">
        <v>23</v>
      </c>
      <c r="B16" t="s">
        <v>0</v>
      </c>
      <c r="C16" t="s">
        <v>23</v>
      </c>
      <c r="D16">
        <v>20</v>
      </c>
    </row>
    <row r="17" spans="1:4" x14ac:dyDescent="0.25">
      <c r="A17" t="s">
        <v>21</v>
      </c>
      <c r="B17" t="s">
        <v>0</v>
      </c>
      <c r="C17" t="s">
        <v>23</v>
      </c>
      <c r="D17">
        <v>20</v>
      </c>
    </row>
    <row r="18" spans="1:4" x14ac:dyDescent="0.25">
      <c r="A18" t="s">
        <v>22</v>
      </c>
      <c r="B18" t="s">
        <v>0</v>
      </c>
      <c r="C18" t="s">
        <v>23</v>
      </c>
      <c r="D18">
        <v>20</v>
      </c>
    </row>
    <row r="19" spans="1:4" x14ac:dyDescent="0.25">
      <c r="A19" t="s">
        <v>4</v>
      </c>
      <c r="B19" t="s">
        <v>0</v>
      </c>
      <c r="C19" t="s">
        <v>4</v>
      </c>
      <c r="D19">
        <v>20</v>
      </c>
    </row>
    <row r="20" spans="1:4" x14ac:dyDescent="0.25">
      <c r="A20" t="s">
        <v>24</v>
      </c>
      <c r="B20" t="s">
        <v>0</v>
      </c>
      <c r="C20" t="s">
        <v>4</v>
      </c>
      <c r="D20">
        <v>20</v>
      </c>
    </row>
    <row r="21" spans="1:4" x14ac:dyDescent="0.25">
      <c r="A21" t="s">
        <v>3</v>
      </c>
      <c r="B21" t="s">
        <v>0</v>
      </c>
      <c r="C21" t="s">
        <v>4</v>
      </c>
      <c r="D21">
        <v>20</v>
      </c>
    </row>
    <row r="22" spans="1:4" x14ac:dyDescent="0.25">
      <c r="A22" t="s">
        <v>26</v>
      </c>
      <c r="B22" t="s">
        <v>0</v>
      </c>
      <c r="C22" t="s">
        <v>27</v>
      </c>
      <c r="D22">
        <v>20</v>
      </c>
    </row>
    <row r="23" spans="1:4" x14ac:dyDescent="0.25">
      <c r="A23" t="s">
        <v>25</v>
      </c>
      <c r="B23" t="s">
        <v>0</v>
      </c>
      <c r="C23" t="s">
        <v>27</v>
      </c>
      <c r="D23">
        <v>20</v>
      </c>
    </row>
    <row r="24" spans="1:4" x14ac:dyDescent="0.25">
      <c r="A24" t="s">
        <v>27</v>
      </c>
      <c r="B24" t="s">
        <v>0</v>
      </c>
      <c r="C24" t="s">
        <v>27</v>
      </c>
      <c r="D24">
        <v>20</v>
      </c>
    </row>
    <row r="25" spans="1:4" x14ac:dyDescent="0.25">
      <c r="A25" t="s">
        <v>29</v>
      </c>
      <c r="B25" t="s">
        <v>0</v>
      </c>
      <c r="C25" t="s">
        <v>31</v>
      </c>
      <c r="D25">
        <v>20</v>
      </c>
    </row>
    <row r="26" spans="1:4" x14ac:dyDescent="0.25">
      <c r="A26" t="s">
        <v>28</v>
      </c>
      <c r="B26" t="s">
        <v>0</v>
      </c>
      <c r="C26" t="s">
        <v>31</v>
      </c>
      <c r="D26">
        <v>20</v>
      </c>
    </row>
    <row r="27" spans="1:4" x14ac:dyDescent="0.25">
      <c r="A27" t="s">
        <v>30</v>
      </c>
      <c r="B27" t="s">
        <v>0</v>
      </c>
      <c r="C27" t="s">
        <v>31</v>
      </c>
      <c r="D27">
        <v>20</v>
      </c>
    </row>
    <row r="28" spans="1:4" x14ac:dyDescent="0.25">
      <c r="A28" t="s">
        <v>31</v>
      </c>
      <c r="B28" t="s">
        <v>0</v>
      </c>
      <c r="C28" t="s">
        <v>31</v>
      </c>
      <c r="D28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P10" sqref="P10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200</v>
      </c>
      <c r="E2" s="2">
        <v>97.28</v>
      </c>
      <c r="F2" s="2">
        <v>98.1</v>
      </c>
      <c r="G2" s="6">
        <v>1000</v>
      </c>
      <c r="H2" s="2">
        <v>97.489998</v>
      </c>
      <c r="I2" s="6">
        <v>0</v>
      </c>
      <c r="J2" t="s">
        <v>108</v>
      </c>
    </row>
    <row r="3" spans="1:10" x14ac:dyDescent="0.25">
      <c r="A3" t="s">
        <v>47</v>
      </c>
      <c r="B3" t="s">
        <v>48</v>
      </c>
      <c r="C3" t="s">
        <v>0</v>
      </c>
      <c r="D3" s="6">
        <v>200</v>
      </c>
      <c r="E3" s="2">
        <v>28.85</v>
      </c>
      <c r="F3" s="2">
        <v>29.02</v>
      </c>
      <c r="G3" s="6">
        <v>100</v>
      </c>
      <c r="H3" s="2">
        <v>28.99</v>
      </c>
      <c r="I3" s="6">
        <v>0</v>
      </c>
      <c r="J3" t="s">
        <v>108</v>
      </c>
    </row>
    <row r="4" spans="1:10" x14ac:dyDescent="0.25">
      <c r="A4" t="s">
        <v>47</v>
      </c>
      <c r="B4" t="s">
        <v>9</v>
      </c>
      <c r="C4" t="s">
        <v>0</v>
      </c>
      <c r="D4" s="6">
        <v>500</v>
      </c>
      <c r="E4" s="2">
        <v>72.209999999999994</v>
      </c>
      <c r="F4" s="2">
        <v>72.5</v>
      </c>
      <c r="G4" s="6">
        <v>100</v>
      </c>
      <c r="H4" s="2">
        <v>72.339995999999999</v>
      </c>
      <c r="I4" s="6">
        <v>0</v>
      </c>
      <c r="J4" t="s">
        <v>108</v>
      </c>
    </row>
    <row r="5" spans="1:10" x14ac:dyDescent="0.25">
      <c r="A5" t="s">
        <v>47</v>
      </c>
      <c r="B5" t="s">
        <v>49</v>
      </c>
      <c r="C5" t="s">
        <v>0</v>
      </c>
      <c r="D5" s="6">
        <v>100</v>
      </c>
      <c r="E5" s="2">
        <v>47.55</v>
      </c>
      <c r="F5" s="2">
        <v>47.91</v>
      </c>
      <c r="G5" s="6">
        <v>2500</v>
      </c>
      <c r="H5" s="2">
        <v>47.650002000000001</v>
      </c>
      <c r="I5" s="6">
        <v>0</v>
      </c>
      <c r="J5" t="s">
        <v>108</v>
      </c>
    </row>
    <row r="6" spans="1:10" x14ac:dyDescent="0.25">
      <c r="A6" t="s">
        <v>47</v>
      </c>
      <c r="B6" t="s">
        <v>50</v>
      </c>
      <c r="C6" t="s">
        <v>0</v>
      </c>
      <c r="D6" s="6">
        <v>100</v>
      </c>
      <c r="E6" s="2">
        <v>21.77</v>
      </c>
      <c r="F6" s="2">
        <v>22.42</v>
      </c>
      <c r="G6" s="6">
        <v>100</v>
      </c>
      <c r="H6" s="2">
        <v>21.93</v>
      </c>
      <c r="I6" s="6">
        <v>-2415</v>
      </c>
      <c r="J6" t="s">
        <v>108</v>
      </c>
    </row>
    <row r="7" spans="1:10" x14ac:dyDescent="0.25">
      <c r="A7" t="s">
        <v>47</v>
      </c>
      <c r="B7" t="s">
        <v>51</v>
      </c>
      <c r="C7" t="s">
        <v>0</v>
      </c>
      <c r="D7" s="6">
        <v>200</v>
      </c>
      <c r="E7" s="2">
        <v>56.4</v>
      </c>
      <c r="F7" s="2">
        <v>56.65</v>
      </c>
      <c r="G7" s="6">
        <v>2500</v>
      </c>
      <c r="H7" s="2">
        <v>56.580002</v>
      </c>
      <c r="I7" s="6">
        <v>0</v>
      </c>
      <c r="J7" t="s">
        <v>108</v>
      </c>
    </row>
    <row r="8" spans="1:10" x14ac:dyDescent="0.25">
      <c r="A8" t="s">
        <v>47</v>
      </c>
      <c r="B8" t="s">
        <v>35</v>
      </c>
      <c r="C8" t="s">
        <v>0</v>
      </c>
      <c r="D8" s="6">
        <v>1000</v>
      </c>
      <c r="E8" s="2">
        <v>90.57</v>
      </c>
      <c r="F8" s="2">
        <v>100.29</v>
      </c>
      <c r="G8" s="6">
        <v>100</v>
      </c>
      <c r="H8" s="2">
        <v>95.009804000000003</v>
      </c>
      <c r="I8" s="6">
        <v>-200</v>
      </c>
      <c r="J8" t="s">
        <v>108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103.11</v>
      </c>
      <c r="F9" s="2">
        <v>109.6</v>
      </c>
      <c r="G9" s="6">
        <v>100</v>
      </c>
      <c r="H9" s="2">
        <v>103.57</v>
      </c>
      <c r="I9" s="6">
        <v>-884</v>
      </c>
      <c r="J9" t="s">
        <v>108</v>
      </c>
    </row>
    <row r="10" spans="1:10" x14ac:dyDescent="0.25">
      <c r="A10" t="s">
        <v>47</v>
      </c>
      <c r="B10" t="s">
        <v>53</v>
      </c>
      <c r="C10" t="s">
        <v>0</v>
      </c>
      <c r="D10" s="6">
        <v>100</v>
      </c>
      <c r="E10" s="2">
        <v>94.7</v>
      </c>
      <c r="F10" s="2">
        <v>95</v>
      </c>
      <c r="G10" s="6">
        <v>200</v>
      </c>
      <c r="H10" s="2">
        <v>94.669998000000007</v>
      </c>
      <c r="I10" s="6">
        <v>0</v>
      </c>
      <c r="J10" t="s">
        <v>108</v>
      </c>
    </row>
    <row r="11" spans="1:10" x14ac:dyDescent="0.25">
      <c r="A11" t="s">
        <v>47</v>
      </c>
      <c r="B11" t="s">
        <v>54</v>
      </c>
      <c r="C11" t="s">
        <v>0</v>
      </c>
      <c r="D11" s="6">
        <v>200</v>
      </c>
      <c r="E11" s="2">
        <v>25.85</v>
      </c>
      <c r="F11" s="2">
        <v>26</v>
      </c>
      <c r="G11" s="6">
        <v>6600</v>
      </c>
      <c r="H11" s="2">
        <v>25.719999000000001</v>
      </c>
      <c r="I11" s="6">
        <v>0</v>
      </c>
      <c r="J11" t="s">
        <v>108</v>
      </c>
    </row>
    <row r="12" spans="1:10" x14ac:dyDescent="0.25">
      <c r="A12" t="s">
        <v>47</v>
      </c>
      <c r="B12" t="s">
        <v>55</v>
      </c>
      <c r="C12" t="s">
        <v>0</v>
      </c>
      <c r="D12" s="6">
        <v>8900</v>
      </c>
      <c r="E12" s="2">
        <v>26.93</v>
      </c>
      <c r="F12" s="2">
        <v>27.07</v>
      </c>
      <c r="G12" s="6">
        <v>7000</v>
      </c>
      <c r="H12" s="2">
        <v>27</v>
      </c>
      <c r="I12" s="6">
        <v>0</v>
      </c>
      <c r="J12" t="s">
        <v>108</v>
      </c>
    </row>
    <row r="13" spans="1:10" x14ac:dyDescent="0.25">
      <c r="A13" t="s">
        <v>47</v>
      </c>
      <c r="B13" t="s">
        <v>19</v>
      </c>
      <c r="C13" t="s">
        <v>0</v>
      </c>
      <c r="D13" s="6">
        <v>10000</v>
      </c>
      <c r="E13" s="2">
        <v>79.569999999999993</v>
      </c>
      <c r="F13" s="2">
        <v>79.58</v>
      </c>
      <c r="G13" s="6">
        <v>1200</v>
      </c>
      <c r="H13" s="2">
        <v>79.559997999999993</v>
      </c>
      <c r="I13" s="6">
        <v>0</v>
      </c>
      <c r="J13" t="s">
        <v>108</v>
      </c>
    </row>
    <row r="14" spans="1:10" x14ac:dyDescent="0.25">
      <c r="A14" t="s">
        <v>47</v>
      </c>
      <c r="B14" t="s">
        <v>17</v>
      </c>
      <c r="C14" t="s">
        <v>0</v>
      </c>
      <c r="D14" s="6">
        <v>300</v>
      </c>
      <c r="E14" s="2">
        <v>36.299999999999997</v>
      </c>
      <c r="F14" s="2">
        <v>36.83</v>
      </c>
      <c r="G14" s="6">
        <v>3000</v>
      </c>
      <c r="H14" s="2">
        <v>36.290000999999997</v>
      </c>
      <c r="I14" s="6">
        <v>0</v>
      </c>
      <c r="J14" t="s">
        <v>108</v>
      </c>
    </row>
    <row r="15" spans="1:10" x14ac:dyDescent="0.25">
      <c r="A15" t="s">
        <v>47</v>
      </c>
      <c r="B15" t="s">
        <v>56</v>
      </c>
      <c r="C15" t="s">
        <v>0</v>
      </c>
      <c r="D15" s="6">
        <v>200</v>
      </c>
      <c r="E15" s="2">
        <v>49.5</v>
      </c>
      <c r="F15" s="2">
        <v>52.78</v>
      </c>
      <c r="G15" s="6">
        <v>300</v>
      </c>
      <c r="H15" s="2">
        <v>49.790000999999997</v>
      </c>
      <c r="I15" s="6">
        <v>0</v>
      </c>
      <c r="J15" t="s">
        <v>108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109.7</v>
      </c>
      <c r="F16" s="2">
        <v>121.3</v>
      </c>
      <c r="G16" s="6">
        <v>300</v>
      </c>
      <c r="H16" s="2">
        <v>115.620003</v>
      </c>
      <c r="I16" s="6">
        <v>788</v>
      </c>
      <c r="J16" t="s">
        <v>108</v>
      </c>
    </row>
    <row r="17" spans="1:10" x14ac:dyDescent="0.25">
      <c r="A17" t="s">
        <v>47</v>
      </c>
      <c r="B17" t="s">
        <v>26</v>
      </c>
      <c r="C17" t="s">
        <v>0</v>
      </c>
      <c r="D17" s="6">
        <v>100</v>
      </c>
      <c r="E17" s="2">
        <v>47.51</v>
      </c>
      <c r="F17" s="2">
        <v>48.95</v>
      </c>
      <c r="G17" s="6">
        <v>100</v>
      </c>
      <c r="H17" s="2">
        <v>47.869999</v>
      </c>
      <c r="I17" s="6">
        <v>0</v>
      </c>
      <c r="J17" t="s">
        <v>108</v>
      </c>
    </row>
    <row r="18" spans="1:10" x14ac:dyDescent="0.25">
      <c r="A18" t="s">
        <v>47</v>
      </c>
      <c r="B18" t="s">
        <v>58</v>
      </c>
      <c r="C18" t="s">
        <v>0</v>
      </c>
      <c r="D18" s="6">
        <v>100</v>
      </c>
      <c r="E18" s="2">
        <v>41.46</v>
      </c>
      <c r="F18" s="2">
        <v>41.58</v>
      </c>
      <c r="G18" s="6">
        <v>100</v>
      </c>
      <c r="H18" s="2">
        <v>41.459999000000003</v>
      </c>
      <c r="I18" s="6">
        <v>1277</v>
      </c>
      <c r="J18" t="s">
        <v>108</v>
      </c>
    </row>
    <row r="19" spans="1:10" x14ac:dyDescent="0.25">
      <c r="A19" t="s">
        <v>47</v>
      </c>
      <c r="B19" t="s">
        <v>8</v>
      </c>
      <c r="C19" t="s">
        <v>0</v>
      </c>
      <c r="D19" s="6">
        <v>100</v>
      </c>
      <c r="E19" s="2">
        <v>43.99</v>
      </c>
      <c r="F19" s="2">
        <v>45.93</v>
      </c>
      <c r="G19" s="6">
        <v>3000</v>
      </c>
      <c r="H19" s="2">
        <v>45.5</v>
      </c>
      <c r="I19" s="6">
        <v>0</v>
      </c>
      <c r="J19" t="s">
        <v>108</v>
      </c>
    </row>
    <row r="20" spans="1:10" x14ac:dyDescent="0.25">
      <c r="A20" t="s">
        <v>47</v>
      </c>
      <c r="B20" t="s">
        <v>20</v>
      </c>
      <c r="C20" t="s">
        <v>0</v>
      </c>
      <c r="D20" s="6">
        <v>5200</v>
      </c>
      <c r="E20" s="2">
        <v>95.7</v>
      </c>
      <c r="F20" s="2">
        <v>95.97</v>
      </c>
      <c r="G20" s="6">
        <v>7600</v>
      </c>
      <c r="H20" s="2">
        <v>95.769997000000004</v>
      </c>
      <c r="I20" s="6">
        <v>0</v>
      </c>
      <c r="J20" t="s">
        <v>108</v>
      </c>
    </row>
    <row r="21" spans="1:10" x14ac:dyDescent="0.25">
      <c r="A21" t="s">
        <v>47</v>
      </c>
      <c r="B21" t="s">
        <v>59</v>
      </c>
      <c r="C21" t="s">
        <v>0</v>
      </c>
      <c r="D21" s="6">
        <v>5000</v>
      </c>
      <c r="E21" s="2">
        <v>105.83</v>
      </c>
      <c r="F21" s="2">
        <v>105.95</v>
      </c>
      <c r="G21" s="6">
        <v>300</v>
      </c>
      <c r="H21" s="2">
        <v>106.05999799999999</v>
      </c>
      <c r="I21" s="6">
        <v>0</v>
      </c>
      <c r="J21" t="s">
        <v>108</v>
      </c>
    </row>
    <row r="22" spans="1:10" x14ac:dyDescent="0.25">
      <c r="A22" t="s">
        <v>47</v>
      </c>
      <c r="B22" t="s">
        <v>23</v>
      </c>
      <c r="C22" t="s">
        <v>0</v>
      </c>
      <c r="D22" s="6">
        <v>100</v>
      </c>
      <c r="E22" s="2">
        <v>91.58</v>
      </c>
      <c r="F22" s="2">
        <v>96.5</v>
      </c>
      <c r="G22" s="6">
        <v>300</v>
      </c>
      <c r="H22" s="2">
        <v>93.300003000000004</v>
      </c>
      <c r="I22" s="6">
        <v>0</v>
      </c>
      <c r="J22" t="s">
        <v>108</v>
      </c>
    </row>
    <row r="23" spans="1:10" x14ac:dyDescent="0.25">
      <c r="A23" t="s">
        <v>47</v>
      </c>
      <c r="B23" t="s">
        <v>4</v>
      </c>
      <c r="C23" t="s">
        <v>0</v>
      </c>
      <c r="D23" s="6">
        <v>300</v>
      </c>
      <c r="E23" s="2">
        <v>105.25</v>
      </c>
      <c r="F23" s="2">
        <v>105.54</v>
      </c>
      <c r="G23" s="6">
        <v>100</v>
      </c>
      <c r="H23" s="2">
        <v>105.470001</v>
      </c>
      <c r="I23" s="6">
        <v>0</v>
      </c>
      <c r="J23" t="s">
        <v>108</v>
      </c>
    </row>
    <row r="24" spans="1:10" x14ac:dyDescent="0.25">
      <c r="A24" t="s">
        <v>47</v>
      </c>
      <c r="B24" t="s">
        <v>60</v>
      </c>
      <c r="C24" t="s">
        <v>0</v>
      </c>
      <c r="D24" s="6">
        <v>100</v>
      </c>
      <c r="E24" s="2">
        <v>21</v>
      </c>
      <c r="F24" s="2">
        <v>21.19</v>
      </c>
      <c r="G24" s="6">
        <v>1500</v>
      </c>
      <c r="H24" s="2">
        <v>21.084999</v>
      </c>
      <c r="I24" s="6">
        <v>0</v>
      </c>
      <c r="J24" t="s">
        <v>108</v>
      </c>
    </row>
    <row r="25" spans="1:10" x14ac:dyDescent="0.25">
      <c r="A25" t="s">
        <v>47</v>
      </c>
      <c r="B25" t="s">
        <v>61</v>
      </c>
      <c r="C25" t="s">
        <v>0</v>
      </c>
      <c r="D25" s="6">
        <v>200</v>
      </c>
      <c r="E25" s="2">
        <v>30.46</v>
      </c>
      <c r="F25" s="2">
        <v>30.57</v>
      </c>
      <c r="G25" s="6">
        <v>100</v>
      </c>
      <c r="H25" s="2">
        <v>30.450001</v>
      </c>
      <c r="I25" s="6">
        <v>-3000</v>
      </c>
      <c r="J25" t="s">
        <v>108</v>
      </c>
    </row>
    <row r="26" spans="1:10" x14ac:dyDescent="0.25">
      <c r="A26" t="s">
        <v>47</v>
      </c>
      <c r="B26" t="s">
        <v>62</v>
      </c>
      <c r="C26" t="s">
        <v>0</v>
      </c>
      <c r="D26" s="6">
        <v>1700</v>
      </c>
      <c r="E26" s="2">
        <v>18.38</v>
      </c>
      <c r="F26" s="2">
        <v>18.600000000000001</v>
      </c>
      <c r="G26" s="6">
        <v>2000</v>
      </c>
      <c r="H26" s="2">
        <v>18.420000000000002</v>
      </c>
      <c r="I26" s="6">
        <v>1650</v>
      </c>
      <c r="J26" t="s">
        <v>108</v>
      </c>
    </row>
    <row r="27" spans="1:10" x14ac:dyDescent="0.25">
      <c r="A27" t="s">
        <v>47</v>
      </c>
      <c r="B27" t="s">
        <v>63</v>
      </c>
      <c r="C27" t="s">
        <v>0</v>
      </c>
      <c r="D27" s="6">
        <v>21600</v>
      </c>
      <c r="E27" s="2">
        <v>23.82</v>
      </c>
      <c r="F27" s="2">
        <v>24.1</v>
      </c>
      <c r="G27" s="6">
        <v>7900</v>
      </c>
      <c r="H27" s="2">
        <v>24.059999000000001</v>
      </c>
      <c r="I27" s="6">
        <v>0</v>
      </c>
      <c r="J27" t="s">
        <v>108</v>
      </c>
    </row>
    <row r="28" spans="1:10" x14ac:dyDescent="0.25">
      <c r="A28" t="s">
        <v>47</v>
      </c>
      <c r="B28" t="s">
        <v>29</v>
      </c>
      <c r="C28" t="s">
        <v>0</v>
      </c>
      <c r="D28" s="6">
        <v>4000</v>
      </c>
      <c r="E28" s="2">
        <v>29.91</v>
      </c>
      <c r="F28" s="2">
        <v>29.92</v>
      </c>
      <c r="G28" s="6">
        <v>23400</v>
      </c>
      <c r="H28" s="2">
        <v>30.030000999999999</v>
      </c>
      <c r="I28" s="6">
        <v>0</v>
      </c>
      <c r="J28" t="s">
        <v>108</v>
      </c>
    </row>
    <row r="29" spans="1:10" x14ac:dyDescent="0.25">
      <c r="A29" t="s">
        <v>47</v>
      </c>
      <c r="B29" t="s">
        <v>6</v>
      </c>
      <c r="C29" t="s">
        <v>0</v>
      </c>
      <c r="D29" s="6">
        <v>18700</v>
      </c>
      <c r="E29" s="2">
        <v>22.73</v>
      </c>
      <c r="F29" s="2">
        <v>22.78</v>
      </c>
      <c r="G29" s="6">
        <v>7500</v>
      </c>
      <c r="H29" s="2">
        <v>22.799999</v>
      </c>
      <c r="I29" s="6">
        <v>0</v>
      </c>
      <c r="J29" t="s">
        <v>108</v>
      </c>
    </row>
    <row r="30" spans="1:10" x14ac:dyDescent="0.25">
      <c r="A30" t="s">
        <v>47</v>
      </c>
      <c r="B30" t="s">
        <v>16</v>
      </c>
      <c r="C30" t="s">
        <v>0</v>
      </c>
      <c r="D30" s="6">
        <v>1500</v>
      </c>
      <c r="E30" s="2">
        <v>26.02</v>
      </c>
      <c r="F30" s="2">
        <v>26.08</v>
      </c>
      <c r="G30" s="6">
        <v>400</v>
      </c>
      <c r="H30" s="2">
        <v>26.01</v>
      </c>
      <c r="I30" s="6">
        <v>0</v>
      </c>
      <c r="J30" t="s">
        <v>108</v>
      </c>
    </row>
    <row r="31" spans="1:10" x14ac:dyDescent="0.25">
      <c r="A31" t="s">
        <v>47</v>
      </c>
      <c r="B31" t="s">
        <v>7</v>
      </c>
      <c r="C31" t="s">
        <v>0</v>
      </c>
      <c r="D31" s="6">
        <v>300</v>
      </c>
      <c r="E31" s="2">
        <v>22.17</v>
      </c>
      <c r="F31" s="2">
        <v>25.8</v>
      </c>
      <c r="G31" s="6">
        <v>1600</v>
      </c>
      <c r="H31" s="2">
        <v>25.129999000000002</v>
      </c>
      <c r="I31" s="6">
        <v>0</v>
      </c>
      <c r="J31" t="s">
        <v>108</v>
      </c>
    </row>
    <row r="32" spans="1:10" x14ac:dyDescent="0.25">
      <c r="A32" t="s">
        <v>47</v>
      </c>
      <c r="B32" t="s">
        <v>32</v>
      </c>
      <c r="C32" t="s">
        <v>0</v>
      </c>
      <c r="D32" s="6">
        <v>200</v>
      </c>
      <c r="E32" s="2">
        <v>28.34</v>
      </c>
      <c r="F32" s="2">
        <v>28.41</v>
      </c>
      <c r="G32" s="6">
        <v>300</v>
      </c>
      <c r="H32" s="2">
        <v>28.42</v>
      </c>
      <c r="I32" s="6">
        <v>0</v>
      </c>
      <c r="J32" t="s">
        <v>108</v>
      </c>
    </row>
    <row r="33" spans="1:10" x14ac:dyDescent="0.25">
      <c r="A33" t="s">
        <v>47</v>
      </c>
      <c r="B33" t="s">
        <v>15</v>
      </c>
      <c r="C33" t="s">
        <v>0</v>
      </c>
      <c r="D33" s="6">
        <v>14500</v>
      </c>
      <c r="E33" s="2">
        <v>23.28</v>
      </c>
      <c r="F33" s="2">
        <v>23.31</v>
      </c>
      <c r="G33" s="6">
        <v>700</v>
      </c>
      <c r="H33" s="2">
        <v>23.27</v>
      </c>
      <c r="I33" s="6">
        <v>0</v>
      </c>
      <c r="J33" t="s">
        <v>108</v>
      </c>
    </row>
    <row r="34" spans="1:10" x14ac:dyDescent="0.25">
      <c r="A34" t="s">
        <v>47</v>
      </c>
      <c r="B34" t="s">
        <v>25</v>
      </c>
      <c r="C34" t="s">
        <v>0</v>
      </c>
      <c r="D34" s="6">
        <v>100</v>
      </c>
      <c r="E34" s="2">
        <v>16.07</v>
      </c>
      <c r="F34" s="2">
        <v>22.19</v>
      </c>
      <c r="G34" s="6">
        <v>5000</v>
      </c>
      <c r="H34" s="2">
        <v>21.360001</v>
      </c>
      <c r="I34" s="6">
        <v>0</v>
      </c>
      <c r="J34" t="s">
        <v>108</v>
      </c>
    </row>
    <row r="35" spans="1:10" x14ac:dyDescent="0.25">
      <c r="A35" t="s">
        <v>47</v>
      </c>
      <c r="B35" t="s">
        <v>21</v>
      </c>
      <c r="C35" t="s">
        <v>0</v>
      </c>
      <c r="D35" s="6">
        <v>100</v>
      </c>
      <c r="E35" s="2">
        <v>21.26</v>
      </c>
      <c r="F35" s="2">
        <v>22.5</v>
      </c>
      <c r="G35" s="6">
        <v>100</v>
      </c>
      <c r="H35" s="2">
        <v>22</v>
      </c>
      <c r="I35" s="6">
        <v>0</v>
      </c>
      <c r="J35" t="s">
        <v>108</v>
      </c>
    </row>
    <row r="36" spans="1:10" x14ac:dyDescent="0.25">
      <c r="A36" t="s">
        <v>47</v>
      </c>
      <c r="B36" t="s">
        <v>28</v>
      </c>
      <c r="C36" t="s">
        <v>0</v>
      </c>
      <c r="D36" s="6">
        <v>106100</v>
      </c>
      <c r="E36" s="2">
        <v>25.08</v>
      </c>
      <c r="F36" s="2">
        <v>25.09</v>
      </c>
      <c r="G36" s="6">
        <v>101400</v>
      </c>
      <c r="H36" s="2">
        <v>25.18</v>
      </c>
      <c r="I36" s="6">
        <v>0</v>
      </c>
      <c r="J36" t="s">
        <v>108</v>
      </c>
    </row>
    <row r="37" spans="1:10" x14ac:dyDescent="0.25">
      <c r="A37" t="s">
        <v>47</v>
      </c>
      <c r="B37" t="s">
        <v>24</v>
      </c>
      <c r="C37" t="s">
        <v>0</v>
      </c>
      <c r="D37" s="6">
        <v>100</v>
      </c>
      <c r="E37" s="2">
        <v>42.51</v>
      </c>
      <c r="F37" s="2">
        <v>45.99</v>
      </c>
      <c r="G37" s="6">
        <v>400</v>
      </c>
      <c r="H37" s="2">
        <v>44.91</v>
      </c>
      <c r="I37" s="6">
        <v>0</v>
      </c>
      <c r="J37" t="s">
        <v>108</v>
      </c>
    </row>
    <row r="38" spans="1:10" x14ac:dyDescent="0.25">
      <c r="A38" t="s">
        <v>47</v>
      </c>
      <c r="B38" t="s">
        <v>30</v>
      </c>
      <c r="C38" t="s">
        <v>0</v>
      </c>
      <c r="D38" s="6">
        <v>18900</v>
      </c>
      <c r="E38" s="2">
        <v>82.01</v>
      </c>
      <c r="F38" s="2">
        <v>82.02</v>
      </c>
      <c r="G38" s="6">
        <v>41600</v>
      </c>
      <c r="H38" s="2">
        <v>82.339995999999999</v>
      </c>
      <c r="I38" s="6">
        <v>2414</v>
      </c>
      <c r="J38" t="s">
        <v>108</v>
      </c>
    </row>
    <row r="39" spans="1:10" x14ac:dyDescent="0.25">
      <c r="A39" t="s">
        <v>47</v>
      </c>
      <c r="B39" t="s">
        <v>18</v>
      </c>
      <c r="C39" t="s">
        <v>0</v>
      </c>
      <c r="D39" s="6">
        <v>1200</v>
      </c>
      <c r="E39" s="2">
        <v>36.81</v>
      </c>
      <c r="F39" s="2">
        <v>36.89</v>
      </c>
      <c r="G39" s="6">
        <v>700</v>
      </c>
      <c r="H39" s="2">
        <v>36.799999</v>
      </c>
      <c r="I39" s="6">
        <v>0</v>
      </c>
      <c r="J39" t="s">
        <v>108</v>
      </c>
    </row>
    <row r="40" spans="1:10" x14ac:dyDescent="0.25">
      <c r="A40" t="s">
        <v>47</v>
      </c>
      <c r="B40" t="s">
        <v>33</v>
      </c>
      <c r="C40" t="s">
        <v>0</v>
      </c>
      <c r="D40" s="6">
        <v>100</v>
      </c>
      <c r="E40" s="2">
        <v>45.36</v>
      </c>
      <c r="F40" s="2">
        <v>51.77</v>
      </c>
      <c r="G40" s="6">
        <v>800</v>
      </c>
      <c r="H40" s="2">
        <v>50.25</v>
      </c>
      <c r="I40" s="6">
        <v>0</v>
      </c>
      <c r="J40" t="s">
        <v>108</v>
      </c>
    </row>
    <row r="41" spans="1:10" x14ac:dyDescent="0.25">
      <c r="A41" t="s">
        <v>47</v>
      </c>
      <c r="B41" t="s">
        <v>64</v>
      </c>
      <c r="C41" t="s">
        <v>0</v>
      </c>
      <c r="D41" s="6">
        <v>4500</v>
      </c>
      <c r="E41" s="2">
        <v>66.47</v>
      </c>
      <c r="F41" s="2">
        <v>67.790000000000006</v>
      </c>
      <c r="G41" s="6">
        <v>4400</v>
      </c>
      <c r="H41" s="2">
        <v>67.190002000000007</v>
      </c>
      <c r="I41" s="6">
        <v>0</v>
      </c>
      <c r="J41" t="s">
        <v>108</v>
      </c>
    </row>
    <row r="42" spans="1:10" x14ac:dyDescent="0.25">
      <c r="A42" t="s">
        <v>47</v>
      </c>
      <c r="B42" t="s">
        <v>27</v>
      </c>
      <c r="C42" t="s">
        <v>0</v>
      </c>
      <c r="D42" s="6">
        <v>100</v>
      </c>
      <c r="E42" s="2">
        <v>71.66</v>
      </c>
      <c r="F42" s="2">
        <v>72.150000000000006</v>
      </c>
      <c r="G42" s="6">
        <v>1000</v>
      </c>
      <c r="H42" s="2">
        <v>71.819999999999993</v>
      </c>
      <c r="I42" s="6">
        <v>0</v>
      </c>
      <c r="J42" t="s">
        <v>108</v>
      </c>
    </row>
    <row r="43" spans="1:10" x14ac:dyDescent="0.25">
      <c r="A43" t="s">
        <v>47</v>
      </c>
      <c r="B43" t="s">
        <v>31</v>
      </c>
      <c r="C43" t="s">
        <v>0</v>
      </c>
      <c r="D43" s="6">
        <v>37000</v>
      </c>
      <c r="E43" s="2">
        <v>52.73</v>
      </c>
      <c r="F43" s="2">
        <v>52.75</v>
      </c>
      <c r="G43" s="6">
        <v>14900</v>
      </c>
      <c r="H43" s="2">
        <v>52.939999</v>
      </c>
      <c r="I43" s="6">
        <v>-3764</v>
      </c>
      <c r="J43" t="s">
        <v>108</v>
      </c>
    </row>
    <row r="44" spans="1:10" x14ac:dyDescent="0.25">
      <c r="A44" t="s">
        <v>47</v>
      </c>
      <c r="B44" t="s">
        <v>22</v>
      </c>
      <c r="C44" t="s">
        <v>0</v>
      </c>
      <c r="D44" s="6">
        <v>100</v>
      </c>
      <c r="E44" s="2">
        <v>46.07</v>
      </c>
      <c r="F44" s="2">
        <v>47.35</v>
      </c>
      <c r="G44" s="6">
        <v>200</v>
      </c>
      <c r="H44" s="2">
        <v>46.240001999999997</v>
      </c>
      <c r="I44" s="6">
        <v>0</v>
      </c>
      <c r="J44" t="s">
        <v>108</v>
      </c>
    </row>
    <row r="45" spans="1:10" x14ac:dyDescent="0.25">
      <c r="A45" t="s">
        <v>47</v>
      </c>
      <c r="B45" t="s">
        <v>34</v>
      </c>
      <c r="C45" t="s">
        <v>0</v>
      </c>
      <c r="D45" s="6">
        <v>100</v>
      </c>
      <c r="E45" s="2">
        <v>74.7</v>
      </c>
      <c r="F45" s="2">
        <v>75.099999999999994</v>
      </c>
      <c r="G45" s="6">
        <v>900</v>
      </c>
      <c r="H45" s="2">
        <v>75.141998000000001</v>
      </c>
      <c r="I45" s="6">
        <v>253</v>
      </c>
      <c r="J45" t="s">
        <v>108</v>
      </c>
    </row>
    <row r="46" spans="1:10" x14ac:dyDescent="0.25">
      <c r="A46" t="s">
        <v>47</v>
      </c>
      <c r="B46" t="s">
        <v>3</v>
      </c>
      <c r="C46" t="s">
        <v>0</v>
      </c>
      <c r="D46" s="6">
        <v>400</v>
      </c>
      <c r="E46" s="2">
        <v>49.52</v>
      </c>
      <c r="F46" s="2">
        <v>49.6</v>
      </c>
      <c r="G46" s="6">
        <v>100</v>
      </c>
      <c r="H46" s="2">
        <v>49.57</v>
      </c>
      <c r="I46" s="6">
        <v>0</v>
      </c>
      <c r="J46" t="s">
        <v>108</v>
      </c>
    </row>
    <row r="47" spans="1:10" x14ac:dyDescent="0.25">
      <c r="A47" t="s">
        <v>47</v>
      </c>
      <c r="B47" t="s">
        <v>65</v>
      </c>
      <c r="C47" t="s">
        <v>0</v>
      </c>
      <c r="D47" s="6">
        <v>1000</v>
      </c>
      <c r="E47" s="2">
        <v>98.5</v>
      </c>
      <c r="F47" s="2">
        <v>99.05</v>
      </c>
      <c r="G47" s="6">
        <v>100</v>
      </c>
      <c r="H47" s="2">
        <v>98.620002999999997</v>
      </c>
      <c r="I47" s="6">
        <v>0</v>
      </c>
      <c r="J47" t="s">
        <v>108</v>
      </c>
    </row>
    <row r="48" spans="1:10" x14ac:dyDescent="0.25">
      <c r="A48" t="s">
        <v>47</v>
      </c>
      <c r="B48" t="s">
        <v>66</v>
      </c>
      <c r="C48" t="s">
        <v>0</v>
      </c>
      <c r="D48" s="6">
        <v>100</v>
      </c>
      <c r="E48" s="2">
        <v>65.7</v>
      </c>
      <c r="F48" s="2">
        <v>66.13</v>
      </c>
      <c r="G48" s="6">
        <v>200</v>
      </c>
      <c r="H48" s="2">
        <v>65.879997000000003</v>
      </c>
      <c r="I48" s="6">
        <v>0</v>
      </c>
      <c r="J48" t="s">
        <v>108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103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Y49"/>
  <sheetViews>
    <sheetView tabSelected="1" zoomScale="85" zoomScaleNormal="85" workbookViewId="0">
      <selection activeCell="O19" sqref="O19:O22"/>
    </sheetView>
  </sheetViews>
  <sheetFormatPr defaultRowHeight="15" x14ac:dyDescent="0.25"/>
  <cols>
    <col min="1" max="1" width="5.5703125" style="16" bestFit="1" customWidth="1"/>
    <col min="2" max="2" width="7.42578125" style="16" bestFit="1" customWidth="1"/>
    <col min="3" max="3" width="5.85546875" style="16" bestFit="1" customWidth="1"/>
    <col min="4" max="4" width="6.42578125" style="14" bestFit="1" customWidth="1"/>
    <col min="5" max="6" width="9.5703125" style="2" bestFit="1" customWidth="1"/>
    <col min="7" max="7" width="11.28515625" style="22" bestFit="1" customWidth="1"/>
    <col min="8" max="8" width="11.7109375" style="22" bestFit="1" customWidth="1"/>
    <col min="9" max="9" width="8.42578125" style="4" bestFit="1" customWidth="1"/>
    <col min="10" max="10" width="10.5703125" style="13" bestFit="1" customWidth="1"/>
    <col min="11" max="11" width="11.28515625" style="13" bestFit="1" customWidth="1"/>
    <col min="12" max="12" width="10.5703125" bestFit="1" customWidth="1"/>
    <col min="13" max="13" width="11.28515625" bestFit="1" customWidth="1"/>
    <col min="14" max="14" width="9" style="17" bestFit="1" customWidth="1"/>
    <col min="15" max="15" width="9.28515625" bestFit="1" customWidth="1"/>
    <col min="16" max="16" width="7.85546875" style="55" bestFit="1" customWidth="1"/>
    <col min="17" max="17" width="9.28515625" style="51" bestFit="1" customWidth="1"/>
    <col min="18" max="18" width="10.5703125" style="51" bestFit="1" customWidth="1"/>
    <col min="19" max="19" width="3.7109375" style="1" customWidth="1"/>
    <col min="20" max="21" width="9.28515625" bestFit="1" customWidth="1"/>
    <col min="29" max="29" width="10.42578125" bestFit="1" customWidth="1"/>
    <col min="32" max="32" width="10.42578125" bestFit="1" customWidth="1"/>
  </cols>
  <sheetData>
    <row r="1" spans="1:32" s="15" customFormat="1" x14ac:dyDescent="0.25">
      <c r="A1" s="79" t="s">
        <v>77</v>
      </c>
      <c r="B1" s="80"/>
      <c r="C1" s="38"/>
      <c r="E1" s="86" t="s">
        <v>79</v>
      </c>
      <c r="F1" s="87"/>
      <c r="G1" s="75">
        <v>5.0000000000000001E-3</v>
      </c>
      <c r="H1" s="75"/>
      <c r="I1" s="96"/>
      <c r="J1" s="74" t="s">
        <v>82</v>
      </c>
      <c r="K1" s="74"/>
      <c r="L1" s="101" t="s">
        <v>73</v>
      </c>
      <c r="M1" s="109"/>
      <c r="N1" s="109"/>
      <c r="O1" s="102"/>
      <c r="P1" s="118" t="s">
        <v>83</v>
      </c>
      <c r="Q1" s="119"/>
      <c r="R1" s="120"/>
      <c r="T1" s="66" t="s">
        <v>105</v>
      </c>
      <c r="U1" s="66"/>
      <c r="W1" s="41"/>
      <c r="X1" s="41" t="s">
        <v>96</v>
      </c>
      <c r="Y1" s="41" t="s">
        <v>97</v>
      </c>
      <c r="Z1" s="41" t="s">
        <v>97</v>
      </c>
      <c r="AA1"/>
      <c r="AB1" s="43" t="s">
        <v>101</v>
      </c>
      <c r="AC1" s="44">
        <v>46233</v>
      </c>
      <c r="AD1" s="45"/>
      <c r="AE1" s="43" t="s">
        <v>101</v>
      </c>
      <c r="AF1" s="44">
        <v>46232</v>
      </c>
    </row>
    <row r="2" spans="1:32" s="19" customFormat="1" ht="15.75" thickBot="1" x14ac:dyDescent="0.3">
      <c r="A2" s="81" t="s">
        <v>76</v>
      </c>
      <c r="B2" s="82" t="s">
        <v>78</v>
      </c>
      <c r="C2" s="18" t="s">
        <v>68</v>
      </c>
      <c r="D2" s="19" t="s">
        <v>69</v>
      </c>
      <c r="E2" s="88" t="s">
        <v>80</v>
      </c>
      <c r="F2" s="89" t="s">
        <v>81</v>
      </c>
      <c r="G2" s="21" t="s">
        <v>71</v>
      </c>
      <c r="H2" s="21" t="s">
        <v>72</v>
      </c>
      <c r="I2" s="97" t="s">
        <v>70</v>
      </c>
      <c r="J2" s="20" t="s">
        <v>74</v>
      </c>
      <c r="K2" s="20" t="s">
        <v>75</v>
      </c>
      <c r="L2" s="103" t="s">
        <v>74</v>
      </c>
      <c r="M2" s="116" t="s">
        <v>75</v>
      </c>
      <c r="N2" s="110" t="s">
        <v>104</v>
      </c>
      <c r="O2" s="111" t="s">
        <v>36</v>
      </c>
      <c r="P2" s="121" t="s">
        <v>84</v>
      </c>
      <c r="Q2" s="122" t="s">
        <v>85</v>
      </c>
      <c r="R2" s="123" t="s">
        <v>86</v>
      </c>
      <c r="T2" s="19" t="s">
        <v>106</v>
      </c>
      <c r="U2" s="19" t="s">
        <v>107</v>
      </c>
      <c r="W2" s="42" t="s">
        <v>98</v>
      </c>
      <c r="X2" s="42" t="s">
        <v>98</v>
      </c>
      <c r="Y2" s="42" t="s">
        <v>99</v>
      </c>
      <c r="Z2" s="42" t="s">
        <v>100</v>
      </c>
      <c r="AA2"/>
      <c r="AB2" s="43" t="s">
        <v>102</v>
      </c>
      <c r="AC2" s="46" t="b">
        <v>1</v>
      </c>
      <c r="AD2" s="45"/>
      <c r="AE2" s="43" t="s">
        <v>102</v>
      </c>
      <c r="AF2" s="46" t="b">
        <v>1</v>
      </c>
    </row>
    <row r="3" spans="1:32" x14ac:dyDescent="0.25">
      <c r="A3" s="25">
        <f>MATCH(D3,'TRADING INPUTS'!B:B,0)</f>
        <v>20</v>
      </c>
      <c r="B3" s="83">
        <f>MATCH(D3,'MKT DATA'!B:B,0)</f>
        <v>37</v>
      </c>
      <c r="C3" s="26" t="s">
        <v>4</v>
      </c>
      <c r="D3" s="27" t="s">
        <v>24</v>
      </c>
      <c r="E3" s="90" cm="1">
        <f t="array" aca="1" ref="E3" ca="1">INDIRECT(ADDRESS($B3,5,,,"mkt data"))</f>
        <v>42.51</v>
      </c>
      <c r="F3" s="91" cm="1">
        <f t="array" aca="1" ref="F3" ca="1">INDIRECT(ADDRESS($B3,6,,,"mkt data"))</f>
        <v>45.99</v>
      </c>
      <c r="G3" s="28">
        <f ca="1">E3-G$1</f>
        <v>42.504999999999995</v>
      </c>
      <c r="H3" s="28">
        <f ca="1">F3+G$1</f>
        <v>45.995000000000005</v>
      </c>
      <c r="I3" s="98" cm="1">
        <f t="array" aca="1" ref="I3" ca="1">INDIRECT(ADDRESS($A3,5,,,"trading inputs"))</f>
        <v>2.3508998173094029</v>
      </c>
      <c r="J3" s="29">
        <f ca="1">G3*I3</f>
        <v>99.924996734736155</v>
      </c>
      <c r="K3" s="29">
        <f ca="1">-I3*H3</f>
        <v>-108.129637097146</v>
      </c>
      <c r="L3" s="104">
        <f ca="1">MAX(J3:J5)</f>
        <v>105.37069644631043</v>
      </c>
      <c r="M3" s="63">
        <f ca="1">MAX(K3:K5)</f>
        <v>-105.545</v>
      </c>
      <c r="N3" s="63">
        <f ca="1">L3+M3</f>
        <v>-0.17430355368956896</v>
      </c>
      <c r="O3" s="112">
        <f ca="1">N3/AVERAGE(ABS(L3),ABS(M3))</f>
        <v>-1.6528267608943816E-3</v>
      </c>
      <c r="P3" s="124" cm="1">
        <f t="array" aca="1" ref="P3" ca="1">INDIRECT(ADDRESS($B3,9,,,"mkt data"))</f>
        <v>0</v>
      </c>
      <c r="Q3" s="52">
        <f ca="1">P3/I3</f>
        <v>0</v>
      </c>
      <c r="R3" s="60">
        <f ca="1">SUM(Q3:Q5)</f>
        <v>0</v>
      </c>
      <c r="T3" s="71">
        <v>1E-3</v>
      </c>
      <c r="U3" s="57">
        <v>1E-3</v>
      </c>
    </row>
    <row r="4" spans="1:32" x14ac:dyDescent="0.25">
      <c r="A4" s="30">
        <f>MATCH(D4,'TRADING INPUTS'!B:B,0)</f>
        <v>21</v>
      </c>
      <c r="B4" s="84">
        <f>MATCH(D4,'MKT DATA'!B:B,0)</f>
        <v>46</v>
      </c>
      <c r="C4" s="16" t="s">
        <v>4</v>
      </c>
      <c r="D4" s="14" t="s">
        <v>3</v>
      </c>
      <c r="E4" s="92" cm="1">
        <f t="array" aca="1" ref="E4" ca="1">INDIRECT(ADDRESS($B4,5,,,"mkt data"))</f>
        <v>49.52</v>
      </c>
      <c r="F4" s="93" cm="1">
        <f t="array" aca="1" ref="F4" ca="1">INDIRECT(ADDRESS($B4,6,,,"mkt data"))</f>
        <v>49.6</v>
      </c>
      <c r="G4" s="31">
        <f ca="1">E4-G$1</f>
        <v>49.515000000000001</v>
      </c>
      <c r="H4" s="31">
        <f ca="1">F4+G$1</f>
        <v>49.605000000000004</v>
      </c>
      <c r="I4" s="99" cm="1">
        <f t="array" aca="1" ref="I4" ca="1">INDIRECT(ADDRESS($A4,5,,,"trading inputs"))</f>
        <v>2.1280560728326856</v>
      </c>
      <c r="J4" s="32">
        <f ca="1">G4*I4</f>
        <v>105.37069644631043</v>
      </c>
      <c r="K4" s="32">
        <f ca="1">-I4*H4</f>
        <v>-105.56222149286538</v>
      </c>
      <c r="L4" s="105"/>
      <c r="M4" s="117"/>
      <c r="N4" s="113"/>
      <c r="O4" s="114"/>
      <c r="P4" s="125" cm="1">
        <f t="array" aca="1" ref="P4" ca="1">INDIRECT(ADDRESS($B4,9,,,"mkt data"))</f>
        <v>0</v>
      </c>
      <c r="Q4" s="53">
        <f ca="1">P4/I4</f>
        <v>0</v>
      </c>
      <c r="R4" s="61"/>
      <c r="T4" s="72"/>
      <c r="U4" s="58"/>
    </row>
    <row r="5" spans="1:32" ht="15.75" thickBot="1" x14ac:dyDescent="0.3">
      <c r="A5" s="33">
        <f>MATCH(D5,'TRADING INPUTS'!B:B,0)</f>
        <v>19</v>
      </c>
      <c r="B5" s="85">
        <f>MATCH(D5,'MKT DATA'!B:B,0)</f>
        <v>23</v>
      </c>
      <c r="C5" s="34" t="s">
        <v>4</v>
      </c>
      <c r="D5" s="35" t="s">
        <v>4</v>
      </c>
      <c r="E5" s="94" cm="1">
        <f t="array" aca="1" ref="E5" ca="1">INDIRECT(ADDRESS($B5,5,,,"mkt data"))</f>
        <v>105.25</v>
      </c>
      <c r="F5" s="95" cm="1">
        <f t="array" aca="1" ref="F5" ca="1">INDIRECT(ADDRESS($B5,6,,,"mkt data"))</f>
        <v>105.54</v>
      </c>
      <c r="G5" s="36">
        <f ca="1">E5-G$1</f>
        <v>105.245</v>
      </c>
      <c r="H5" s="36">
        <f ca="1">F5+G$1</f>
        <v>105.545</v>
      </c>
      <c r="I5" s="100" cm="1">
        <f t="array" aca="1" ref="I5" ca="1">INDIRECT(ADDRESS($A5,5,,,"trading inputs"))</f>
        <v>1</v>
      </c>
      <c r="J5" s="37">
        <f ca="1">G5*I5</f>
        <v>105.245</v>
      </c>
      <c r="K5" s="37">
        <f ca="1">-I5*H5</f>
        <v>-105.545</v>
      </c>
      <c r="L5" s="106"/>
      <c r="M5" s="64"/>
      <c r="N5" s="65"/>
      <c r="O5" s="115"/>
      <c r="P5" s="126" cm="1">
        <f t="array" aca="1" ref="P5" ca="1">INDIRECT(ADDRESS($B5,9,,,"mkt data"))</f>
        <v>0</v>
      </c>
      <c r="Q5" s="54">
        <f ca="1">P5/I5</f>
        <v>0</v>
      </c>
      <c r="R5" s="62"/>
      <c r="T5" s="73"/>
      <c r="U5" s="59"/>
    </row>
    <row r="6" spans="1:32" x14ac:dyDescent="0.25">
      <c r="A6" s="25">
        <f>MATCH(D6,'TRADING INPUTS'!B:B,0)</f>
        <v>17</v>
      </c>
      <c r="B6" s="83">
        <f>MATCH(D6,'MKT DATA'!B:B,0)</f>
        <v>35</v>
      </c>
      <c r="C6" s="26" t="s">
        <v>23</v>
      </c>
      <c r="D6" s="27" t="s">
        <v>21</v>
      </c>
      <c r="E6" s="90" cm="1">
        <f t="array" aca="1" ref="E6" ca="1">INDIRECT(ADDRESS($B6,5,,,"mkt data"))</f>
        <v>21.26</v>
      </c>
      <c r="F6" s="91" cm="1">
        <f t="array" aca="1" ref="F6" ca="1">INDIRECT(ADDRESS($B6,6,,,"mkt data"))</f>
        <v>22.5</v>
      </c>
      <c r="G6" s="28">
        <f ca="1">E6-G$1</f>
        <v>21.255000000000003</v>
      </c>
      <c r="H6" s="28">
        <f ca="1">F6+G$1</f>
        <v>22.504999999999999</v>
      </c>
      <c r="I6" s="98" cm="1">
        <f t="array" aca="1" ref="I6" ca="1">INDIRECT(ADDRESS($A6,5,,,"trading inputs"))</f>
        <v>4.2367881497607058</v>
      </c>
      <c r="J6" s="29">
        <f ca="1">G6*I6</f>
        <v>90.052932123163814</v>
      </c>
      <c r="K6" s="29">
        <f ca="1">-I6*H6</f>
        <v>-95.348917310364683</v>
      </c>
      <c r="L6" s="104">
        <f ca="1">MAX(J6:J8)</f>
        <v>92.940679918733139</v>
      </c>
      <c r="M6" s="63">
        <f ca="1">MAX(K6:K8)</f>
        <v>-95.348917310364683</v>
      </c>
      <c r="N6" s="63">
        <f ca="1">L6+M6</f>
        <v>-2.4082373916315447</v>
      </c>
      <c r="O6" s="112">
        <f ca="1">N6/AVERAGE(ABS(L6),ABS(M6))</f>
        <v>-2.5580142791440223E-2</v>
      </c>
      <c r="P6" s="124" cm="1">
        <f t="array" aca="1" ref="P6" ca="1">INDIRECT(ADDRESS($B6,9,,,"mkt data"))</f>
        <v>0</v>
      </c>
      <c r="Q6" s="52">
        <f ca="1">P6/I6</f>
        <v>0</v>
      </c>
      <c r="R6" s="60">
        <f ca="1">SUM(Q6:Q8)</f>
        <v>0</v>
      </c>
      <c r="T6" s="71">
        <v>8.0000000000000004E-4</v>
      </c>
      <c r="U6" s="57">
        <v>8.0000000000000004E-4</v>
      </c>
    </row>
    <row r="7" spans="1:32" x14ac:dyDescent="0.25">
      <c r="A7" s="30">
        <f>MATCH(D7,'TRADING INPUTS'!B:B,0)</f>
        <v>18</v>
      </c>
      <c r="B7" s="84">
        <f>MATCH(D7,'MKT DATA'!B:B,0)</f>
        <v>44</v>
      </c>
      <c r="C7" s="16" t="s">
        <v>23</v>
      </c>
      <c r="D7" s="14" t="s">
        <v>22</v>
      </c>
      <c r="E7" s="92" cm="1">
        <f t="array" aca="1" ref="E7" ca="1">INDIRECT(ADDRESS($B7,5,,,"mkt data"))</f>
        <v>46.07</v>
      </c>
      <c r="F7" s="93" cm="1">
        <f t="array" aca="1" ref="F7" ca="1">INDIRECT(ADDRESS($B7,6,,,"mkt data"))</f>
        <v>47.35</v>
      </c>
      <c r="G7" s="31">
        <f ca="1">E7-G$1</f>
        <v>46.064999999999998</v>
      </c>
      <c r="H7" s="31">
        <f ca="1">F7+G$1</f>
        <v>47.355000000000004</v>
      </c>
      <c r="I7" s="99" cm="1">
        <f t="array" aca="1" ref="I7" ca="1">INDIRECT(ADDRESS($A7,5,,,"trading inputs"))</f>
        <v>2.0175986088946738</v>
      </c>
      <c r="J7" s="32">
        <f ca="1">G7*I7</f>
        <v>92.940679918733139</v>
      </c>
      <c r="K7" s="32">
        <f ca="1">-I7*H7</f>
        <v>-95.543382124207284</v>
      </c>
      <c r="L7" s="105"/>
      <c r="M7" s="117"/>
      <c r="N7" s="113"/>
      <c r="O7" s="114"/>
      <c r="P7" s="125" cm="1">
        <f t="array" aca="1" ref="P7" ca="1">INDIRECT(ADDRESS($B7,9,,,"mkt data"))</f>
        <v>0</v>
      </c>
      <c r="Q7" s="53">
        <f ca="1">P7/I7</f>
        <v>0</v>
      </c>
      <c r="R7" s="61"/>
      <c r="T7" s="72"/>
      <c r="U7" s="58"/>
    </row>
    <row r="8" spans="1:32" ht="15.75" thickBot="1" x14ac:dyDescent="0.3">
      <c r="A8" s="33">
        <f>MATCH(D8,'TRADING INPUTS'!B:B,0)</f>
        <v>16</v>
      </c>
      <c r="B8" s="85">
        <f>MATCH(D8,'MKT DATA'!B:B,0)</f>
        <v>22</v>
      </c>
      <c r="C8" s="34" t="s">
        <v>23</v>
      </c>
      <c r="D8" s="35" t="s">
        <v>23</v>
      </c>
      <c r="E8" s="94" cm="1">
        <f t="array" aca="1" ref="E8" ca="1">INDIRECT(ADDRESS($B8,5,,,"mkt data"))</f>
        <v>91.58</v>
      </c>
      <c r="F8" s="95" cm="1">
        <f t="array" aca="1" ref="F8" ca="1">INDIRECT(ADDRESS($B8,6,,,"mkt data"))</f>
        <v>96.5</v>
      </c>
      <c r="G8" s="36">
        <f ca="1">E8-G$1</f>
        <v>91.575000000000003</v>
      </c>
      <c r="H8" s="36">
        <f ca="1">F8+G$1</f>
        <v>96.504999999999995</v>
      </c>
      <c r="I8" s="100" cm="1">
        <f t="array" aca="1" ref="I8" ca="1">INDIRECT(ADDRESS($A8,5,,,"trading inputs"))</f>
        <v>1</v>
      </c>
      <c r="J8" s="37">
        <f ca="1">G8*I8</f>
        <v>91.575000000000003</v>
      </c>
      <c r="K8" s="37">
        <f ca="1">-I8*H8</f>
        <v>-96.504999999999995</v>
      </c>
      <c r="L8" s="106"/>
      <c r="M8" s="64"/>
      <c r="N8" s="65"/>
      <c r="O8" s="115"/>
      <c r="P8" s="126" cm="1">
        <f t="array" aca="1" ref="P8" ca="1">INDIRECT(ADDRESS($B8,9,,,"mkt data"))</f>
        <v>0</v>
      </c>
      <c r="Q8" s="54">
        <f ca="1">P8/I8</f>
        <v>0</v>
      </c>
      <c r="R8" s="62"/>
      <c r="T8" s="73"/>
      <c r="U8" s="59"/>
    </row>
    <row r="9" spans="1:32" x14ac:dyDescent="0.25">
      <c r="A9" s="25">
        <f>MATCH(D9,'TRADING INPUTS'!B:B,0)</f>
        <v>26</v>
      </c>
      <c r="B9" s="83">
        <f>MATCH(D9,'MKT DATA'!B:B,0)</f>
        <v>36</v>
      </c>
      <c r="C9" s="26" t="s">
        <v>31</v>
      </c>
      <c r="D9" s="27" t="s">
        <v>28</v>
      </c>
      <c r="E9" s="90" cm="1">
        <f t="array" aca="1" ref="E9" ca="1">INDIRECT(ADDRESS($B9,5,,,"mkt data"))</f>
        <v>25.08</v>
      </c>
      <c r="F9" s="91" cm="1">
        <f t="array" aca="1" ref="F9" ca="1">INDIRECT(ADDRESS($B9,6,,,"mkt data"))</f>
        <v>25.09</v>
      </c>
      <c r="G9" s="28">
        <f ca="1">E9-G$1</f>
        <v>25.074999999999999</v>
      </c>
      <c r="H9" s="28">
        <f ca="1">F9+G$1</f>
        <v>25.094999999999999</v>
      </c>
      <c r="I9" s="98" cm="1">
        <f t="array" aca="1" ref="I9" ca="1">INDIRECT(ADDRESS($A9,5,,,"trading inputs"))</f>
        <v>2.1027424698958193</v>
      </c>
      <c r="J9" s="29">
        <f ca="1">G9*I9</f>
        <v>52.72626743263767</v>
      </c>
      <c r="K9" s="29">
        <f ca="1">-I9*H9</f>
        <v>-52.768322282035584</v>
      </c>
      <c r="L9" s="104">
        <f ca="1">MAX(J9:J11)</f>
        <v>52.72626743263767</v>
      </c>
      <c r="M9" s="63">
        <f ca="1">MAX(K9:K11)</f>
        <v>-52.745279399083678</v>
      </c>
      <c r="N9" s="63">
        <f ca="1">L9+M9</f>
        <v>-1.9011966446008444E-2</v>
      </c>
      <c r="O9" s="112">
        <f ca="1">N9/AVERAGE(ABS(L9),ABS(M9))</f>
        <v>-3.6051365542864026E-4</v>
      </c>
      <c r="P9" s="124" cm="1">
        <f t="array" aca="1" ref="P9" ca="1">INDIRECT(ADDRESS($B9,9,,,"mkt data"))</f>
        <v>0</v>
      </c>
      <c r="Q9" s="52">
        <f ca="1">P9/I9</f>
        <v>0</v>
      </c>
      <c r="R9" s="60">
        <f ca="1">SUM(Q9:Q11)</f>
        <v>-3764</v>
      </c>
      <c r="T9" s="71"/>
      <c r="U9" s="57"/>
    </row>
    <row r="10" spans="1:32" x14ac:dyDescent="0.25">
      <c r="A10" s="30">
        <f>MATCH(D10,'TRADING INPUTS'!B:B,0)</f>
        <v>25</v>
      </c>
      <c r="B10" s="84">
        <f>MATCH(D10,'MKT DATA'!B:B,0)</f>
        <v>28</v>
      </c>
      <c r="C10" s="16" t="s">
        <v>31</v>
      </c>
      <c r="D10" s="14" t="s">
        <v>29</v>
      </c>
      <c r="E10" s="92" cm="1">
        <f t="array" aca="1" ref="E10" ca="1">INDIRECT(ADDRESS($B10,5,,,"mkt data"))</f>
        <v>29.91</v>
      </c>
      <c r="F10" s="93" cm="1">
        <f t="array" aca="1" ref="F10" ca="1">INDIRECT(ADDRESS($B10,6,,,"mkt data"))</f>
        <v>29.92</v>
      </c>
      <c r="G10" s="31">
        <f ca="1">E10-G$1</f>
        <v>29.905000000000001</v>
      </c>
      <c r="H10" s="31">
        <f ca="1">F10+G$1</f>
        <v>29.925000000000001</v>
      </c>
      <c r="I10" s="99" cm="1">
        <f t="array" aca="1" ref="I10" ca="1">INDIRECT(ADDRESS($A10,5,,,"trading inputs"))</f>
        <v>1.762582436059605</v>
      </c>
      <c r="J10" s="32">
        <f ca="1">G10*I10</f>
        <v>52.710027750362485</v>
      </c>
      <c r="K10" s="32">
        <f ca="1">-I10*H10</f>
        <v>-52.745279399083678</v>
      </c>
      <c r="L10" s="105"/>
      <c r="M10" s="117"/>
      <c r="N10" s="113"/>
      <c r="O10" s="114"/>
      <c r="P10" s="125" cm="1">
        <f t="array" aca="1" ref="P10" ca="1">INDIRECT(ADDRESS($B10,9,,,"mkt data"))</f>
        <v>0</v>
      </c>
      <c r="Q10" s="53">
        <f ca="1">P10/I10</f>
        <v>0</v>
      </c>
      <c r="R10" s="61"/>
      <c r="T10" s="72"/>
      <c r="U10" s="58"/>
    </row>
    <row r="11" spans="1:32" ht="15.75" thickBot="1" x14ac:dyDescent="0.3">
      <c r="A11" s="33">
        <f>MATCH(D11,'TRADING INPUTS'!B:B,0)</f>
        <v>28</v>
      </c>
      <c r="B11" s="85">
        <f>MATCH(D11,'MKT DATA'!B:B,0)</f>
        <v>43</v>
      </c>
      <c r="C11" s="34" t="s">
        <v>31</v>
      </c>
      <c r="D11" s="35" t="s">
        <v>31</v>
      </c>
      <c r="E11" s="94" cm="1">
        <f t="array" aca="1" ref="E11" ca="1">INDIRECT(ADDRESS($B11,5,,,"mkt data"))</f>
        <v>52.73</v>
      </c>
      <c r="F11" s="95" cm="1">
        <f t="array" aca="1" ref="F11" ca="1">INDIRECT(ADDRESS($B11,6,,,"mkt data"))</f>
        <v>52.75</v>
      </c>
      <c r="G11" s="36">
        <f ca="1">E11-G$1</f>
        <v>52.724999999999994</v>
      </c>
      <c r="H11" s="36">
        <f ca="1">F11+G$1</f>
        <v>52.755000000000003</v>
      </c>
      <c r="I11" s="100" cm="1">
        <f t="array" aca="1" ref="I11" ca="1">INDIRECT(ADDRESS($A11,5,,,"trading inputs"))</f>
        <v>1</v>
      </c>
      <c r="J11" s="37">
        <f t="shared" ref="J11" ca="1" si="0">G11*I11</f>
        <v>52.724999999999994</v>
      </c>
      <c r="K11" s="37">
        <f t="shared" ref="K11" ca="1" si="1">-I11*H11</f>
        <v>-52.755000000000003</v>
      </c>
      <c r="L11" s="106"/>
      <c r="M11" s="64"/>
      <c r="N11" s="65"/>
      <c r="O11" s="115"/>
      <c r="P11" s="126" cm="1">
        <f t="array" aca="1" ref="P11" ca="1">INDIRECT(ADDRESS($B11,9,,,"mkt data"))</f>
        <v>-3764</v>
      </c>
      <c r="Q11" s="54">
        <f ca="1">P11/I11</f>
        <v>-3764</v>
      </c>
      <c r="R11" s="62"/>
      <c r="T11" s="73"/>
      <c r="U11" s="59"/>
    </row>
    <row r="12" spans="1:32" x14ac:dyDescent="0.25">
      <c r="A12" s="25">
        <f>MATCH(D12,'TRADING INPUTS'!B:B,0)</f>
        <v>23</v>
      </c>
      <c r="B12" s="83">
        <f>MATCH(D12,'MKT DATA'!B:B,0)</f>
        <v>34</v>
      </c>
      <c r="C12" s="26" t="s">
        <v>27</v>
      </c>
      <c r="D12" s="27" t="s">
        <v>25</v>
      </c>
      <c r="E12" s="90" cm="1">
        <f t="array" aca="1" ref="E12" ca="1">INDIRECT(ADDRESS($B12,5,,,"mkt data"))</f>
        <v>16.07</v>
      </c>
      <c r="F12" s="91" cm="1">
        <f t="array" aca="1" ref="F12" ca="1">INDIRECT(ADDRESS($B12,6,,,"mkt data"))</f>
        <v>22.19</v>
      </c>
      <c r="G12" s="28">
        <f ca="1">E12-G$1</f>
        <v>16.065000000000001</v>
      </c>
      <c r="H12" s="28">
        <f ca="1">F12+G$1</f>
        <v>22.195</v>
      </c>
      <c r="I12" s="98" cm="1">
        <f t="array" aca="1" ref="I12" ca="1">INDIRECT(ADDRESS($A12,5,,,"trading inputs"))</f>
        <v>3.3610103209415505</v>
      </c>
      <c r="J12" s="29">
        <f ca="1">G12*I12</f>
        <v>53.994630805926015</v>
      </c>
      <c r="K12" s="29">
        <f ca="1">-I12*H12</f>
        <v>-74.597624073297709</v>
      </c>
      <c r="L12" s="104">
        <f ca="1">MAX(J12:J14)</f>
        <v>71.655000000000001</v>
      </c>
      <c r="M12" s="63">
        <f ca="1">MAX(K12:K14)</f>
        <v>-72.155000000000001</v>
      </c>
      <c r="N12" s="63">
        <f ca="1">L12+M12</f>
        <v>-0.5</v>
      </c>
      <c r="O12" s="112">
        <f ca="1">N12/AVERAGE(ABS(L12),ABS(M12))</f>
        <v>-6.9536193588762953E-3</v>
      </c>
      <c r="P12" s="124" cm="1">
        <f t="array" aca="1" ref="P12" ca="1">INDIRECT(ADDRESS($B12,9,,,"mkt data"))</f>
        <v>0</v>
      </c>
      <c r="Q12" s="52">
        <f ca="1">P12/I12</f>
        <v>0</v>
      </c>
      <c r="R12" s="60">
        <f ca="1">SUM(Q12:Q14)</f>
        <v>0</v>
      </c>
      <c r="T12" s="71"/>
      <c r="U12" s="57"/>
    </row>
    <row r="13" spans="1:32" x14ac:dyDescent="0.25">
      <c r="A13" s="30">
        <f>MATCH(D13,'TRADING INPUTS'!B:B,0)</f>
        <v>22</v>
      </c>
      <c r="B13" s="84">
        <f>MATCH(D13,'MKT DATA'!B:B,0)</f>
        <v>17</v>
      </c>
      <c r="C13" s="16" t="s">
        <v>27</v>
      </c>
      <c r="D13" s="14" t="s">
        <v>26</v>
      </c>
      <c r="E13" s="92" cm="1">
        <f t="array" aca="1" ref="E13" ca="1">INDIRECT(ADDRESS($B13,5,,,"mkt data"))</f>
        <v>47.51</v>
      </c>
      <c r="F13" s="93" cm="1">
        <f t="array" aca="1" ref="F13" ca="1">INDIRECT(ADDRESS($B13,6,,,"mkt data"))</f>
        <v>48.95</v>
      </c>
      <c r="G13" s="31">
        <f ca="1">E13-G$1</f>
        <v>47.504999999999995</v>
      </c>
      <c r="H13" s="31">
        <f ca="1">F13+G$1</f>
        <v>48.955000000000005</v>
      </c>
      <c r="I13" s="99" cm="1">
        <f t="array" aca="1" ref="I13" ca="1">INDIRECT(ADDRESS($A13,5,,,"trading inputs"))</f>
        <v>1.5009138090723424</v>
      </c>
      <c r="J13" s="32">
        <f t="shared" ref="J13:J14" ca="1" si="2">G13*I13</f>
        <v>71.300910499981612</v>
      </c>
      <c r="K13" s="32">
        <f t="shared" ref="K13:K14" ca="1" si="3">-I13*H13</f>
        <v>-73.477235523136528</v>
      </c>
      <c r="L13" s="105"/>
      <c r="M13" s="117"/>
      <c r="N13" s="113"/>
      <c r="O13" s="114"/>
      <c r="P13" s="125" cm="1">
        <f t="array" aca="1" ref="P13" ca="1">INDIRECT(ADDRESS($B13,9,,,"mkt data"))</f>
        <v>0</v>
      </c>
      <c r="Q13" s="53">
        <f ca="1">P13/I13</f>
        <v>0</v>
      </c>
      <c r="R13" s="61"/>
      <c r="T13" s="72"/>
      <c r="U13" s="58"/>
    </row>
    <row r="14" spans="1:32" ht="15.75" thickBot="1" x14ac:dyDescent="0.3">
      <c r="A14" s="33">
        <f>MATCH(D14,'TRADING INPUTS'!B:B,0)</f>
        <v>24</v>
      </c>
      <c r="B14" s="85">
        <f>MATCH(D14,'MKT DATA'!B:B,0)</f>
        <v>42</v>
      </c>
      <c r="C14" s="34" t="s">
        <v>27</v>
      </c>
      <c r="D14" s="35" t="s">
        <v>27</v>
      </c>
      <c r="E14" s="94" cm="1">
        <f t="array" aca="1" ref="E14" ca="1">INDIRECT(ADDRESS($B14,5,,,"mkt data"))</f>
        <v>71.66</v>
      </c>
      <c r="F14" s="95" cm="1">
        <f t="array" aca="1" ref="F14" ca="1">INDIRECT(ADDRESS($B14,6,,,"mkt data"))</f>
        <v>72.150000000000006</v>
      </c>
      <c r="G14" s="36">
        <f ca="1">E14-G$1</f>
        <v>71.655000000000001</v>
      </c>
      <c r="H14" s="36">
        <f ca="1">F14+G$1</f>
        <v>72.155000000000001</v>
      </c>
      <c r="I14" s="100" cm="1">
        <f t="array" aca="1" ref="I14" ca="1">INDIRECT(ADDRESS($A14,5,,,"trading inputs"))</f>
        <v>1</v>
      </c>
      <c r="J14" s="37">
        <f t="shared" ca="1" si="2"/>
        <v>71.655000000000001</v>
      </c>
      <c r="K14" s="37">
        <f t="shared" ca="1" si="3"/>
        <v>-72.155000000000001</v>
      </c>
      <c r="L14" s="106"/>
      <c r="M14" s="64"/>
      <c r="N14" s="65"/>
      <c r="O14" s="115"/>
      <c r="P14" s="126" cm="1">
        <f t="array" aca="1" ref="P14" ca="1">INDIRECT(ADDRESS($B14,9,,,"mkt data"))</f>
        <v>0</v>
      </c>
      <c r="Q14" s="54">
        <f ca="1">P14/I14</f>
        <v>0</v>
      </c>
      <c r="R14" s="62"/>
      <c r="T14" s="73"/>
      <c r="U14" s="59"/>
    </row>
    <row r="15" spans="1:32" x14ac:dyDescent="0.25">
      <c r="A15" s="25">
        <f>MATCH(D15,'TRADING INPUTS'!B:B,0)</f>
        <v>7</v>
      </c>
      <c r="B15" s="83">
        <f>MATCH(D15,'MKT DATA'!B:B,0)</f>
        <v>32</v>
      </c>
      <c r="C15" s="26" t="s">
        <v>35</v>
      </c>
      <c r="D15" s="27" t="s">
        <v>32</v>
      </c>
      <c r="E15" s="90" cm="1">
        <f t="array" aca="1" ref="E15" ca="1">INDIRECT(ADDRESS($B15,5,,,"mkt data"))</f>
        <v>28.34</v>
      </c>
      <c r="F15" s="91" cm="1">
        <f t="array" aca="1" ref="F15" ca="1">INDIRECT(ADDRESS($B15,6,,,"mkt data"))</f>
        <v>28.41</v>
      </c>
      <c r="G15" s="28">
        <f ca="1">E15-G$1</f>
        <v>28.335000000000001</v>
      </c>
      <c r="H15" s="28">
        <f ca="1">F15+G$1</f>
        <v>28.414999999999999</v>
      </c>
      <c r="I15" s="98" cm="1">
        <f t="array" aca="1" ref="I15" ca="1">INDIRECT(ADDRESS($A15,5,,,"trading inputs"))</f>
        <v>3.341816600880807</v>
      </c>
      <c r="J15" s="29">
        <f t="shared" ref="J15:J17" ca="1" si="4">G15*I15</f>
        <v>94.69037338595767</v>
      </c>
      <c r="K15" s="29">
        <f t="shared" ref="K15:K17" ca="1" si="5">-I15*H15</f>
        <v>-94.957718714028132</v>
      </c>
      <c r="L15" s="104">
        <f ca="1">MAX(J15:J18)</f>
        <v>94.69037338595767</v>
      </c>
      <c r="M15" s="63">
        <f ca="1">MAX(K15:K18)</f>
        <v>-94.877637034602955</v>
      </c>
      <c r="N15" s="63">
        <f ca="1">L15+M15</f>
        <v>-0.18726364864528477</v>
      </c>
      <c r="O15" s="112">
        <f ca="1">N15/AVERAGE(ABS(L15),ABS(M15))</f>
        <v>-1.9756882844298089E-3</v>
      </c>
      <c r="P15" s="124" cm="1">
        <f t="array" aca="1" ref="P15" ca="1">INDIRECT(ADDRESS($B15,9,,,"mkt data"))</f>
        <v>0</v>
      </c>
      <c r="Q15" s="52">
        <f ca="1">P15/I15</f>
        <v>0</v>
      </c>
      <c r="R15" s="76">
        <f ca="1">SUM(Q15:Q18)</f>
        <v>0.27443340594487609</v>
      </c>
      <c r="T15" s="71">
        <v>1E-3</v>
      </c>
      <c r="U15" s="57">
        <v>8.0000000000000004E-4</v>
      </c>
    </row>
    <row r="16" spans="1:32" x14ac:dyDescent="0.25">
      <c r="A16" s="30">
        <f>MATCH(D16,'TRADING INPUTS'!B:B,0)</f>
        <v>8</v>
      </c>
      <c r="B16" s="84">
        <f>MATCH(D16,'MKT DATA'!B:B,0)</f>
        <v>40</v>
      </c>
      <c r="C16" s="16" t="s">
        <v>35</v>
      </c>
      <c r="D16" s="14" t="s">
        <v>33</v>
      </c>
      <c r="E16" s="92" cm="1">
        <f t="array" aca="1" ref="E16" ca="1">INDIRECT(ADDRESS($B16,5,,,"mkt data"))</f>
        <v>45.36</v>
      </c>
      <c r="F16" s="93" cm="1">
        <f t="array" aca="1" ref="F16" ca="1">INDIRECT(ADDRESS($B16,6,,,"mkt data"))</f>
        <v>51.77</v>
      </c>
      <c r="G16" s="31">
        <f ca="1">E16-G$1</f>
        <v>45.354999999999997</v>
      </c>
      <c r="H16" s="31">
        <f ca="1">F16+G$1</f>
        <v>51.775000000000006</v>
      </c>
      <c r="I16" s="99" cm="1">
        <f t="array" aca="1" ref="I16" ca="1">INDIRECT(ADDRESS($A16,5,,,"trading inputs"))</f>
        <v>1.8900154782646215</v>
      </c>
      <c r="J16" s="32">
        <f t="shared" ca="1" si="4"/>
        <v>85.721652016691905</v>
      </c>
      <c r="K16" s="32">
        <f t="shared" ca="1" si="5"/>
        <v>-97.855551387150783</v>
      </c>
      <c r="L16" s="107"/>
      <c r="M16" s="113"/>
      <c r="N16" s="113"/>
      <c r="O16" s="114"/>
      <c r="P16" s="125" cm="1">
        <f t="array" aca="1" ref="P16" ca="1">INDIRECT(ADDRESS($B16,9,,,"mkt data"))</f>
        <v>0</v>
      </c>
      <c r="Q16" s="53">
        <f ca="1">P16/I16</f>
        <v>0</v>
      </c>
      <c r="R16" s="77"/>
      <c r="T16" s="72"/>
      <c r="U16" s="58"/>
    </row>
    <row r="17" spans="1:42" x14ac:dyDescent="0.25">
      <c r="A17" s="30">
        <f>MATCH(D17,'TRADING INPUTS'!B:B,0)</f>
        <v>9</v>
      </c>
      <c r="B17" s="84">
        <f>MATCH(D17,'MKT DATA'!B:B,0)</f>
        <v>45</v>
      </c>
      <c r="C17" s="16" t="s">
        <v>35</v>
      </c>
      <c r="D17" s="14" t="s">
        <v>34</v>
      </c>
      <c r="E17" s="92" cm="1">
        <f t="array" aca="1" ref="E17" ca="1">INDIRECT(ADDRESS($B17,5,,,"mkt data"))</f>
        <v>74.7</v>
      </c>
      <c r="F17" s="93" cm="1">
        <f t="array" aca="1" ref="F17" ca="1">INDIRECT(ADDRESS($B17,6,,,"mkt data"))</f>
        <v>75.099999999999994</v>
      </c>
      <c r="G17" s="31">
        <f ca="1">E17-G$1</f>
        <v>74.695000000000007</v>
      </c>
      <c r="H17" s="31">
        <f ca="1">F17+G$1</f>
        <v>75.10499999999999</v>
      </c>
      <c r="I17" s="99" cm="1">
        <f t="array" aca="1" ref="I17" ca="1">INDIRECT(ADDRESS($A17,5,,,"trading inputs"))</f>
        <v>1.2632665872392379</v>
      </c>
      <c r="J17" s="32">
        <f t="shared" ca="1" si="4"/>
        <v>94.359697733834878</v>
      </c>
      <c r="K17" s="32">
        <f t="shared" ca="1" si="5"/>
        <v>-94.877637034602955</v>
      </c>
      <c r="L17" s="107"/>
      <c r="M17" s="113"/>
      <c r="N17" s="113"/>
      <c r="O17" s="114"/>
      <c r="P17" s="125" cm="1">
        <f t="array" aca="1" ref="P17" ca="1">INDIRECT(ADDRESS($B17,9,,,"mkt data"))</f>
        <v>253</v>
      </c>
      <c r="Q17" s="53">
        <f ca="1">P17/I17</f>
        <v>200.27443340594488</v>
      </c>
      <c r="R17" s="77"/>
      <c r="T17" s="72"/>
      <c r="U17" s="58"/>
    </row>
    <row r="18" spans="1:42" ht="15.75" thickBot="1" x14ac:dyDescent="0.3">
      <c r="A18" s="33">
        <f>MATCH(D18,'TRADING INPUTS'!B:B,0)</f>
        <v>6</v>
      </c>
      <c r="B18" s="85">
        <f>MATCH(D18,'MKT DATA'!B:B,0)</f>
        <v>8</v>
      </c>
      <c r="C18" s="34" t="s">
        <v>35</v>
      </c>
      <c r="D18" s="35" t="s">
        <v>35</v>
      </c>
      <c r="E18" s="94" cm="1">
        <f t="array" aca="1" ref="E18" ca="1">INDIRECT(ADDRESS($B18,5,,,"mkt data"))</f>
        <v>90.57</v>
      </c>
      <c r="F18" s="95" cm="1">
        <f t="array" aca="1" ref="F18" ca="1">INDIRECT(ADDRESS($B18,6,,,"mkt data"))</f>
        <v>100.29</v>
      </c>
      <c r="G18" s="36">
        <f ca="1">E18-G$1</f>
        <v>90.564999999999998</v>
      </c>
      <c r="H18" s="36">
        <f ca="1">F18+G$1</f>
        <v>100.295</v>
      </c>
      <c r="I18" s="100" cm="1">
        <f t="array" aca="1" ref="I18" ca="1">INDIRECT(ADDRESS($A18,5,,,"trading inputs"))</f>
        <v>1</v>
      </c>
      <c r="J18" s="37">
        <f ca="1">G18*I18</f>
        <v>90.564999999999998</v>
      </c>
      <c r="K18" s="37">
        <f ca="1">-I18*H18</f>
        <v>-100.295</v>
      </c>
      <c r="L18" s="108"/>
      <c r="M18" s="65"/>
      <c r="N18" s="65"/>
      <c r="O18" s="115"/>
      <c r="P18" s="126" cm="1">
        <f t="array" aca="1" ref="P18" ca="1">INDIRECT(ADDRESS($B18,9,,,"mkt data"))</f>
        <v>-200</v>
      </c>
      <c r="Q18" s="54">
        <f ca="1">P18/I18</f>
        <v>-200</v>
      </c>
      <c r="R18" s="78"/>
      <c r="T18" s="73"/>
      <c r="U18" s="59"/>
    </row>
    <row r="19" spans="1:42" x14ac:dyDescent="0.25">
      <c r="A19" s="25">
        <f>MATCH(D19,'TRADING INPUTS'!B:B,0)</f>
        <v>4</v>
      </c>
      <c r="B19" s="83">
        <f>MATCH(D19,'MKT DATA'!B:B,0)</f>
        <v>29</v>
      </c>
      <c r="C19" s="26" t="s">
        <v>10</v>
      </c>
      <c r="D19" s="27" t="s">
        <v>6</v>
      </c>
      <c r="E19" s="90" cm="1">
        <f t="array" aca="1" ref="E19" ca="1">INDIRECT(ADDRESS($B19,5,,,"mkt data"))</f>
        <v>22.73</v>
      </c>
      <c r="F19" s="91" cm="1">
        <f t="array" aca="1" ref="F19" ca="1">INDIRECT(ADDRESS($B19,6,,,"mkt data"))</f>
        <v>22.78</v>
      </c>
      <c r="G19" s="28">
        <f ca="1">E19-G$1</f>
        <v>22.725000000000001</v>
      </c>
      <c r="H19" s="28">
        <f ca="1">F19+G$1</f>
        <v>22.785</v>
      </c>
      <c r="I19" s="98" cm="1">
        <f t="array" aca="1" ref="I19" ca="1">INDIRECT(ADDRESS($A19,5,,,"trading inputs"))</f>
        <v>4.2773425411012687</v>
      </c>
      <c r="J19" s="29">
        <f ca="1">G19*I19</f>
        <v>97.202609246526336</v>
      </c>
      <c r="K19" s="29">
        <f ca="1">-I19*H19</f>
        <v>-97.459249798992403</v>
      </c>
      <c r="L19" s="104">
        <f ca="1">MAX(J19:J22)</f>
        <v>97.331642138080198</v>
      </c>
      <c r="M19" s="63">
        <f ca="1">MAX(K19:K22)</f>
        <v>-97.459249798992403</v>
      </c>
      <c r="N19" s="63">
        <f ca="1">L19+M19</f>
        <v>-0.12760766091220432</v>
      </c>
      <c r="O19" s="112">
        <f ca="1">N19/AVERAGE(ABS(L19),ABS(M19))</f>
        <v>-1.3102015155146791E-3</v>
      </c>
      <c r="P19" s="124" cm="1">
        <f t="array" aca="1" ref="P19" ca="1">INDIRECT(ADDRESS($B19,9,,,"mkt data"))</f>
        <v>0</v>
      </c>
      <c r="Q19" s="52">
        <f ca="1">P19/I19</f>
        <v>0</v>
      </c>
      <c r="R19" s="76">
        <f ca="1">SUM(Q19:Q22)</f>
        <v>0</v>
      </c>
      <c r="T19" s="71"/>
      <c r="U19" s="57"/>
    </row>
    <row r="20" spans="1:42" x14ac:dyDescent="0.25">
      <c r="A20" s="30">
        <f>MATCH(D20,'TRADING INPUTS'!B:B,0)</f>
        <v>5</v>
      </c>
      <c r="B20" s="84">
        <f>MATCH(D20,'MKT DATA'!B:B,0)</f>
        <v>31</v>
      </c>
      <c r="C20" s="16" t="s">
        <v>10</v>
      </c>
      <c r="D20" s="14" t="s">
        <v>7</v>
      </c>
      <c r="E20" s="92" cm="1">
        <f t="array" aca="1" ref="E20" ca="1">INDIRECT(ADDRESS($B20,5,,,"mkt data"))</f>
        <v>22.17</v>
      </c>
      <c r="F20" s="93" cm="1">
        <f t="array" aca="1" ref="F20" ca="1">INDIRECT(ADDRESS($B20,6,,,"mkt data"))</f>
        <v>25.8</v>
      </c>
      <c r="G20" s="31">
        <f ca="1">E20-G$1</f>
        <v>22.165000000000003</v>
      </c>
      <c r="H20" s="31">
        <f ca="1">F20+G$1</f>
        <v>25.805</v>
      </c>
      <c r="I20" s="99" cm="1">
        <f t="array" aca="1" ref="I20" ca="1">INDIRECT(ADDRESS($A20,5,,,"trading inputs"))</f>
        <v>3.8794973096925758</v>
      </c>
      <c r="J20" s="32">
        <f ca="1">G20*I20</f>
        <v>85.989057869335952</v>
      </c>
      <c r="K20" s="32">
        <f ca="1">-I20*H20</f>
        <v>-100.11042807661691</v>
      </c>
      <c r="L20" s="107"/>
      <c r="M20" s="113"/>
      <c r="N20" s="113"/>
      <c r="O20" s="114"/>
      <c r="P20" s="125" cm="1">
        <f t="array" aca="1" ref="P20" ca="1">INDIRECT(ADDRESS($B20,9,,,"mkt data"))</f>
        <v>0</v>
      </c>
      <c r="Q20" s="53">
        <f ca="1">P20/I20</f>
        <v>0</v>
      </c>
      <c r="R20" s="77"/>
      <c r="T20" s="72"/>
      <c r="U20" s="58"/>
    </row>
    <row r="21" spans="1:42" x14ac:dyDescent="0.25">
      <c r="A21" s="30">
        <f>MATCH(D21,'TRADING INPUTS'!B:B,0)</f>
        <v>3</v>
      </c>
      <c r="B21" s="84">
        <f>MATCH(D21,'MKT DATA'!B:B,0)</f>
        <v>4</v>
      </c>
      <c r="C21" s="16" t="s">
        <v>10</v>
      </c>
      <c r="D21" s="14" t="s">
        <v>9</v>
      </c>
      <c r="E21" s="92" cm="1">
        <f t="array" aca="1" ref="E21" ca="1">INDIRECT(ADDRESS($B21,5,,,"mkt data"))</f>
        <v>72.209999999999994</v>
      </c>
      <c r="F21" s="93" cm="1">
        <f t="array" aca="1" ref="F21" ca="1">INDIRECT(ADDRESS($B21,6,,,"mkt data"))</f>
        <v>72.5</v>
      </c>
      <c r="G21" s="31">
        <f ca="1">E21-G$1</f>
        <v>72.204999999999998</v>
      </c>
      <c r="H21" s="31">
        <f ca="1">F21+G$1</f>
        <v>72.504999999999995</v>
      </c>
      <c r="I21" s="99" cm="1">
        <f t="array" aca="1" ref="I21" ca="1">INDIRECT(ADDRESS($A21,5,,,"trading inputs"))</f>
        <v>1.3479903349917624</v>
      </c>
      <c r="J21" s="32">
        <f ca="1">G21*I21</f>
        <v>97.331642138080198</v>
      </c>
      <c r="K21" s="32">
        <f ca="1">-I21*H21</f>
        <v>-97.736039238577717</v>
      </c>
      <c r="L21" s="107"/>
      <c r="M21" s="113"/>
      <c r="N21" s="113"/>
      <c r="O21" s="114"/>
      <c r="P21" s="125" cm="1">
        <f t="array" aca="1" ref="P21" ca="1">INDIRECT(ADDRESS($B21,9,,,"mkt data"))</f>
        <v>0</v>
      </c>
      <c r="Q21" s="53">
        <f ca="1">P21/I21</f>
        <v>0</v>
      </c>
      <c r="R21" s="77"/>
      <c r="T21" s="72"/>
      <c r="U21" s="58"/>
    </row>
    <row r="22" spans="1:42" ht="15.75" thickBot="1" x14ac:dyDescent="0.3">
      <c r="A22" s="33">
        <f>MATCH(D22,'TRADING INPUTS'!B:B,0)</f>
        <v>2</v>
      </c>
      <c r="B22" s="85">
        <f>MATCH(D22,'MKT DATA'!B:B,0)</f>
        <v>2</v>
      </c>
      <c r="C22" s="34" t="s">
        <v>10</v>
      </c>
      <c r="D22" s="35" t="s">
        <v>10</v>
      </c>
      <c r="E22" s="94" cm="1">
        <f t="array" aca="1" ref="E22" ca="1">INDIRECT(ADDRESS($B22,5,,,"mkt data"))</f>
        <v>97.28</v>
      </c>
      <c r="F22" s="95" cm="1">
        <f t="array" aca="1" ref="F22" ca="1">INDIRECT(ADDRESS($B22,6,,,"mkt data"))</f>
        <v>98.1</v>
      </c>
      <c r="G22" s="36">
        <f ca="1">E22-G$1</f>
        <v>97.275000000000006</v>
      </c>
      <c r="H22" s="36">
        <f ca="1">F22+G$1</f>
        <v>98.10499999999999</v>
      </c>
      <c r="I22" s="100" cm="1">
        <f t="array" aca="1" ref="I22" ca="1">INDIRECT(ADDRESS($A22,5,,,"trading inputs"))</f>
        <v>1</v>
      </c>
      <c r="J22" s="37">
        <f ca="1">G22*I22</f>
        <v>97.275000000000006</v>
      </c>
      <c r="K22" s="37">
        <f ca="1">-I22*H22</f>
        <v>-98.10499999999999</v>
      </c>
      <c r="L22" s="108"/>
      <c r="M22" s="65"/>
      <c r="N22" s="65"/>
      <c r="O22" s="115"/>
      <c r="P22" s="126" cm="1">
        <f t="array" aca="1" ref="P22" ca="1">INDIRECT(ADDRESS($B22,9,,,"mkt data"))</f>
        <v>0</v>
      </c>
      <c r="Q22" s="54">
        <f ca="1">P22/I22</f>
        <v>0</v>
      </c>
      <c r="R22" s="78"/>
      <c r="T22" s="73"/>
      <c r="U22" s="59"/>
    </row>
    <row r="23" spans="1:42" x14ac:dyDescent="0.25">
      <c r="A23" s="25">
        <f>MATCH(D23,'TRADING INPUTS'!B:B,0)</f>
        <v>14</v>
      </c>
      <c r="B23" s="83">
        <f>MATCH(D23,'MKT DATA'!B:B,0)</f>
        <v>33</v>
      </c>
      <c r="C23" s="26" t="s">
        <v>20</v>
      </c>
      <c r="D23" s="27" t="s">
        <v>15</v>
      </c>
      <c r="E23" s="90" cm="1">
        <f t="array" aca="1" ref="E23" ca="1">INDIRECT(ADDRESS($B23,5,,,"mkt data"))</f>
        <v>23.28</v>
      </c>
      <c r="F23" s="91" cm="1">
        <f t="array" aca="1" ref="F23" ca="1">INDIRECT(ADDRESS($B23,6,,,"mkt data"))</f>
        <v>23.31</v>
      </c>
      <c r="G23" s="28">
        <f t="shared" ref="G23:G28" ca="1" si="6">E23-G$1</f>
        <v>23.275000000000002</v>
      </c>
      <c r="H23" s="28">
        <f t="shared" ref="H23:H28" ca="1" si="7">F23+G$1</f>
        <v>23.314999999999998</v>
      </c>
      <c r="I23" s="98" cm="1">
        <f t="array" aca="1" ref="I23" ca="1">INDIRECT(ADDRESS($A23,5,,,"trading inputs"))</f>
        <v>4.1147120902885641</v>
      </c>
      <c r="J23" s="29">
        <f t="shared" ref="J23:J28" ca="1" si="8">G23*I23</f>
        <v>95.769923901466342</v>
      </c>
      <c r="K23" s="29">
        <f t="shared" ref="K23:K28" ca="1" si="9">-I23*H23</f>
        <v>-95.934512385077866</v>
      </c>
      <c r="L23" s="104">
        <f ca="1">MAX(J23:J28)</f>
        <v>95.782821696149085</v>
      </c>
      <c r="M23" s="63">
        <f ca="1">MAX(K23:K28)</f>
        <v>-95.798106514169362</v>
      </c>
      <c r="N23" s="63">
        <f ca="1">L23+M23</f>
        <v>-1.5284818020276703E-2</v>
      </c>
      <c r="O23" s="112">
        <f ca="1">N23/AVERAGE(ABS(L23),ABS(M23))</f>
        <v>-1.5956513169721107E-4</v>
      </c>
      <c r="P23" s="124" cm="1">
        <f t="array" aca="1" ref="P23" ca="1">INDIRECT(ADDRESS($B23,9,,,"mkt data"))</f>
        <v>0</v>
      </c>
      <c r="Q23" s="52">
        <f t="shared" ref="Q23:Q28" ca="1" si="10">P23/I23</f>
        <v>0</v>
      </c>
      <c r="R23" s="68">
        <f ca="1">SUM(Q23:Q28)</f>
        <v>0</v>
      </c>
      <c r="T23" s="71">
        <v>1E-3</v>
      </c>
      <c r="U23" s="57">
        <v>8.0000000000000004E-4</v>
      </c>
    </row>
    <row r="24" spans="1:42" x14ac:dyDescent="0.25">
      <c r="A24" s="30">
        <f>MATCH(D24,'TRADING INPUTS'!B:B,0)</f>
        <v>13</v>
      </c>
      <c r="B24" s="84">
        <f>MATCH(D24,'MKT DATA'!B:B,0)</f>
        <v>30</v>
      </c>
      <c r="C24" s="16" t="s">
        <v>20</v>
      </c>
      <c r="D24" s="14" t="s">
        <v>16</v>
      </c>
      <c r="E24" s="92" cm="1">
        <f t="array" aca="1" ref="E24" ca="1">INDIRECT(ADDRESS($B24,5,,,"mkt data"))</f>
        <v>26.02</v>
      </c>
      <c r="F24" s="93" cm="1">
        <f t="array" aca="1" ref="F24" ca="1">INDIRECT(ADDRESS($B24,6,,,"mkt data"))</f>
        <v>26.08</v>
      </c>
      <c r="G24" s="31">
        <f t="shared" ca="1" si="6"/>
        <v>26.015000000000001</v>
      </c>
      <c r="H24" s="31">
        <f t="shared" ca="1" si="7"/>
        <v>26.084999999999997</v>
      </c>
      <c r="I24" s="99" cm="1">
        <f t="array" aca="1" ref="I24" ca="1">INDIRECT(ADDRESS($A24,5,,,"trading inputs"))</f>
        <v>3.6818305476128805</v>
      </c>
      <c r="J24" s="32">
        <f t="shared" ca="1" si="8"/>
        <v>95.782821696149085</v>
      </c>
      <c r="K24" s="32">
        <f t="shared" ca="1" si="9"/>
        <v>-96.040549834481979</v>
      </c>
      <c r="L24" s="107"/>
      <c r="M24" s="113"/>
      <c r="N24" s="113"/>
      <c r="O24" s="114"/>
      <c r="P24" s="125" cm="1">
        <f t="array" aca="1" ref="P24" ca="1">INDIRECT(ADDRESS($B24,9,,,"mkt data"))</f>
        <v>0</v>
      </c>
      <c r="Q24" s="53">
        <f t="shared" ca="1" si="10"/>
        <v>0</v>
      </c>
      <c r="R24" s="69"/>
      <c r="T24" s="72"/>
      <c r="U24" s="58"/>
    </row>
    <row r="25" spans="1:42" x14ac:dyDescent="0.25">
      <c r="A25" s="30">
        <f>MATCH(D25,'TRADING INPUTS'!B:B,0)</f>
        <v>11</v>
      </c>
      <c r="B25" s="84">
        <f>MATCH(D25,'MKT DATA'!B:B,0)</f>
        <v>14</v>
      </c>
      <c r="C25" s="16" t="s">
        <v>20</v>
      </c>
      <c r="D25" s="14" t="s">
        <v>17</v>
      </c>
      <c r="E25" s="92" cm="1">
        <f t="array" aca="1" ref="E25" ca="1">INDIRECT(ADDRESS($B25,5,,,"mkt data"))</f>
        <v>36.299999999999997</v>
      </c>
      <c r="F25" s="93" cm="1">
        <f t="array" aca="1" ref="F25" ca="1">INDIRECT(ADDRESS($B25,6,,,"mkt data"))</f>
        <v>36.83</v>
      </c>
      <c r="G25" s="31">
        <f t="shared" ca="1" si="6"/>
        <v>36.294999999999995</v>
      </c>
      <c r="H25" s="31">
        <f t="shared" ca="1" si="7"/>
        <v>36.835000000000001</v>
      </c>
      <c r="I25" s="99" cm="1">
        <f t="array" aca="1" ref="I25" ca="1">INDIRECT(ADDRESS($A25,5,,,"trading inputs"))</f>
        <v>2.6375986744244972</v>
      </c>
      <c r="J25" s="32">
        <f t="shared" ca="1" si="8"/>
        <v>95.731643888237116</v>
      </c>
      <c r="K25" s="32">
        <f t="shared" ca="1" si="9"/>
        <v>-97.155947172426352</v>
      </c>
      <c r="L25" s="107"/>
      <c r="M25" s="113"/>
      <c r="N25" s="113"/>
      <c r="O25" s="114"/>
      <c r="P25" s="125" cm="1">
        <f t="array" aca="1" ref="P25" ca="1">INDIRECT(ADDRESS($B25,9,,,"mkt data"))</f>
        <v>0</v>
      </c>
      <c r="Q25" s="53">
        <f t="shared" ca="1" si="10"/>
        <v>0</v>
      </c>
      <c r="R25" s="69"/>
      <c r="T25" s="72"/>
      <c r="U25" s="58"/>
    </row>
    <row r="26" spans="1:42" x14ac:dyDescent="0.25">
      <c r="A26" s="30">
        <f>MATCH(D26,'TRADING INPUTS'!B:B,0)</f>
        <v>15</v>
      </c>
      <c r="B26" s="84">
        <f>MATCH(D26,'MKT DATA'!B:B,0)</f>
        <v>39</v>
      </c>
      <c r="C26" s="16" t="s">
        <v>20</v>
      </c>
      <c r="D26" s="14" t="s">
        <v>18</v>
      </c>
      <c r="E26" s="92" cm="1">
        <f t="array" aca="1" ref="E26" ca="1">INDIRECT(ADDRESS($B26,5,,,"mkt data"))</f>
        <v>36.81</v>
      </c>
      <c r="F26" s="93" cm="1">
        <f t="array" aca="1" ref="F26" ca="1">INDIRECT(ADDRESS($B26,6,,,"mkt data"))</f>
        <v>36.89</v>
      </c>
      <c r="G26" s="31">
        <f t="shared" ca="1" si="6"/>
        <v>36.805</v>
      </c>
      <c r="H26" s="31">
        <f t="shared" ca="1" si="7"/>
        <v>36.895000000000003</v>
      </c>
      <c r="I26" s="99" cm="1">
        <f t="array" aca="1" ref="I26" ca="1">INDIRECT(ADDRESS($A26,5,,,"trading inputs"))</f>
        <v>2.6020631503283229</v>
      </c>
      <c r="J26" s="32">
        <f t="shared" ca="1" si="8"/>
        <v>95.768934247833926</v>
      </c>
      <c r="K26" s="32">
        <f t="shared" ca="1" si="9"/>
        <v>-96.003119931363486</v>
      </c>
      <c r="L26" s="107"/>
      <c r="M26" s="113"/>
      <c r="N26" s="113"/>
      <c r="O26" s="114"/>
      <c r="P26" s="125" cm="1">
        <f t="array" aca="1" ref="P26" ca="1">INDIRECT(ADDRESS($B26,9,,,"mkt data"))</f>
        <v>0</v>
      </c>
      <c r="Q26" s="53">
        <f t="shared" ca="1" si="10"/>
        <v>0</v>
      </c>
      <c r="R26" s="69"/>
      <c r="T26" s="72"/>
      <c r="U26" s="58"/>
    </row>
    <row r="27" spans="1:42" x14ac:dyDescent="0.25">
      <c r="A27" s="30">
        <f>MATCH(D27,'TRADING INPUTS'!B:B,0)</f>
        <v>10</v>
      </c>
      <c r="B27" s="84">
        <f>MATCH(D27,'MKT DATA'!B:B,0)</f>
        <v>13</v>
      </c>
      <c r="C27" s="16" t="s">
        <v>20</v>
      </c>
      <c r="D27" s="14" t="s">
        <v>19</v>
      </c>
      <c r="E27" s="92" cm="1">
        <f t="array" aca="1" ref="E27" ca="1">INDIRECT(ADDRESS($B27,5,,,"mkt data"))</f>
        <v>79.569999999999993</v>
      </c>
      <c r="F27" s="93" cm="1">
        <f t="array" aca="1" ref="F27" ca="1">INDIRECT(ADDRESS($B27,6,,,"mkt data"))</f>
        <v>79.58</v>
      </c>
      <c r="G27" s="31">
        <f t="shared" ca="1" si="6"/>
        <v>79.564999999999998</v>
      </c>
      <c r="H27" s="31">
        <f t="shared" ca="1" si="7"/>
        <v>79.584999999999994</v>
      </c>
      <c r="I27" s="99" cm="1">
        <f t="array" aca="1" ref="I27" ca="1">INDIRECT(ADDRESS($A27,5,,,"trading inputs"))</f>
        <v>1.2037206322066893</v>
      </c>
      <c r="J27" s="32">
        <f t="shared" ca="1" si="8"/>
        <v>95.774032101525236</v>
      </c>
      <c r="K27" s="32">
        <f t="shared" ca="1" si="9"/>
        <v>-95.798106514169362</v>
      </c>
      <c r="L27" s="107"/>
      <c r="M27" s="113"/>
      <c r="N27" s="113"/>
      <c r="O27" s="114"/>
      <c r="P27" s="125" cm="1">
        <f t="array" aca="1" ref="P27" ca="1">INDIRECT(ADDRESS($B27,9,,,"mkt data"))</f>
        <v>0</v>
      </c>
      <c r="Q27" s="53">
        <f t="shared" ca="1" si="10"/>
        <v>0</v>
      </c>
      <c r="R27" s="69"/>
      <c r="T27" s="72"/>
      <c r="U27" s="58"/>
    </row>
    <row r="28" spans="1:42" ht="15.75" thickBot="1" x14ac:dyDescent="0.3">
      <c r="A28" s="33">
        <f>MATCH(D28,'TRADING INPUTS'!B:B,0)</f>
        <v>12</v>
      </c>
      <c r="B28" s="85">
        <f>MATCH(D28,'MKT DATA'!B:B,0)</f>
        <v>20</v>
      </c>
      <c r="C28" s="34" t="s">
        <v>20</v>
      </c>
      <c r="D28" s="35" t="s">
        <v>20</v>
      </c>
      <c r="E28" s="94" cm="1">
        <f t="array" aca="1" ref="E28" ca="1">INDIRECT(ADDRESS($B28,5,,,"mkt data"))</f>
        <v>95.7</v>
      </c>
      <c r="F28" s="95" cm="1">
        <f t="array" aca="1" ref="F28" ca="1">INDIRECT(ADDRESS($B28,6,,,"mkt data"))</f>
        <v>95.97</v>
      </c>
      <c r="G28" s="36">
        <f t="shared" ca="1" si="6"/>
        <v>95.695000000000007</v>
      </c>
      <c r="H28" s="36">
        <f t="shared" ca="1" si="7"/>
        <v>95.974999999999994</v>
      </c>
      <c r="I28" s="100" cm="1">
        <f t="array" aca="1" ref="I28" ca="1">INDIRECT(ADDRESS($A28,5,,,"trading inputs"))</f>
        <v>1</v>
      </c>
      <c r="J28" s="37">
        <f t="shared" ca="1" si="8"/>
        <v>95.695000000000007</v>
      </c>
      <c r="K28" s="37">
        <f t="shared" ca="1" si="9"/>
        <v>-95.974999999999994</v>
      </c>
      <c r="L28" s="108"/>
      <c r="M28" s="65"/>
      <c r="N28" s="65"/>
      <c r="O28" s="115"/>
      <c r="P28" s="126" cm="1">
        <f t="array" aca="1" ref="P28" ca="1">INDIRECT(ADDRESS($B28,9,,,"mkt data"))</f>
        <v>0</v>
      </c>
      <c r="Q28" s="54">
        <f t="shared" ca="1" si="10"/>
        <v>0</v>
      </c>
      <c r="R28" s="70"/>
      <c r="T28" s="73"/>
      <c r="U28" s="59"/>
    </row>
    <row r="29" spans="1:42" x14ac:dyDescent="0.25">
      <c r="A29" s="67" t="str">
        <f>'MKT DATA'!J2</f>
        <v>2026-08-21_16-04-51</v>
      </c>
      <c r="B29" s="67"/>
      <c r="C29" s="67"/>
      <c r="R29" s="50"/>
    </row>
    <row r="31" spans="1:42" x14ac:dyDescent="0.25">
      <c r="A31" s="16" t="s">
        <v>77</v>
      </c>
      <c r="E31" s="2" t="s">
        <v>79</v>
      </c>
      <c r="G31" s="22">
        <v>5.0000000000000001E-3</v>
      </c>
      <c r="J31" s="13" t="s">
        <v>82</v>
      </c>
      <c r="L31" t="s">
        <v>109</v>
      </c>
      <c r="O31" t="s">
        <v>110</v>
      </c>
      <c r="R31" s="51" t="s">
        <v>83</v>
      </c>
      <c r="V31" t="s">
        <v>111</v>
      </c>
      <c r="AG31">
        <v>5969.0700000000006</v>
      </c>
      <c r="AH31">
        <v>7234.57</v>
      </c>
      <c r="AI31">
        <v>13203.64</v>
      </c>
      <c r="AJ31">
        <v>-3753.8350000000005</v>
      </c>
      <c r="AK31">
        <v>-895.62822800000004</v>
      </c>
      <c r="AL31">
        <v>8554.1767719999989</v>
      </c>
      <c r="AO31">
        <v>343066.59768699994</v>
      </c>
      <c r="AP31">
        <v>1.7153329884349999</v>
      </c>
    </row>
    <row r="32" spans="1:42" x14ac:dyDescent="0.25">
      <c r="A32" s="16" t="s">
        <v>76</v>
      </c>
      <c r="B32" s="16" t="s">
        <v>78</v>
      </c>
      <c r="C32" s="16" t="s">
        <v>112</v>
      </c>
      <c r="D32" s="14" t="s">
        <v>69</v>
      </c>
      <c r="E32" s="2" t="s">
        <v>80</v>
      </c>
      <c r="F32" s="2" t="s">
        <v>81</v>
      </c>
      <c r="G32" s="22" t="s">
        <v>71</v>
      </c>
      <c r="H32" s="22" t="s">
        <v>72</v>
      </c>
      <c r="I32" s="4" t="s">
        <v>70</v>
      </c>
      <c r="J32" s="13" t="s">
        <v>74</v>
      </c>
      <c r="K32" s="13" t="s">
        <v>75</v>
      </c>
      <c r="L32" t="s">
        <v>104</v>
      </c>
      <c r="M32" t="s">
        <v>36</v>
      </c>
      <c r="N32" s="17" t="s">
        <v>113</v>
      </c>
      <c r="O32" t="s">
        <v>104</v>
      </c>
      <c r="P32" s="55" t="s">
        <v>36</v>
      </c>
      <c r="Q32" s="51" t="s">
        <v>113</v>
      </c>
      <c r="R32" s="51" t="s">
        <v>84</v>
      </c>
      <c r="S32" s="1" t="s">
        <v>85</v>
      </c>
      <c r="T32" t="s">
        <v>86</v>
      </c>
      <c r="V32" t="s">
        <v>109</v>
      </c>
      <c r="W32" t="s">
        <v>110</v>
      </c>
    </row>
    <row r="33" spans="1:51" x14ac:dyDescent="0.25">
      <c r="A33" s="16">
        <v>2</v>
      </c>
      <c r="B33" s="16">
        <v>9</v>
      </c>
      <c r="C33" s="16" t="s">
        <v>57</v>
      </c>
      <c r="D33" s="14" t="s">
        <v>52</v>
      </c>
      <c r="E33" s="2">
        <v>103.11</v>
      </c>
      <c r="F33" s="2">
        <v>109.6</v>
      </c>
      <c r="G33" s="22">
        <v>103.105</v>
      </c>
      <c r="H33" s="22">
        <v>109.60499999999999</v>
      </c>
      <c r="I33" s="4">
        <v>1.1151801073393748</v>
      </c>
      <c r="J33" s="13">
        <v>114.98064496722624</v>
      </c>
      <c r="K33" s="13">
        <v>-122.22931566493216</v>
      </c>
      <c r="L33">
        <v>-12.534315664932151</v>
      </c>
      <c r="M33">
        <v>-0.10852221354919611</v>
      </c>
      <c r="N33" s="17">
        <v>2E-3</v>
      </c>
      <c r="O33">
        <v>-6.3243550327737523</v>
      </c>
      <c r="P33" s="55">
        <v>-5.475632063007578E-2</v>
      </c>
      <c r="Q33" s="51">
        <v>2E-3</v>
      </c>
      <c r="R33" s="51">
        <v>-884</v>
      </c>
      <c r="S33" s="1">
        <v>-792.69706676266833</v>
      </c>
      <c r="T33">
        <v>-4.697066762668328</v>
      </c>
      <c r="V33">
        <v>2E-3</v>
      </c>
      <c r="W33">
        <v>2E-3</v>
      </c>
      <c r="X33" t="s">
        <v>106</v>
      </c>
      <c r="Z33" t="s">
        <v>114</v>
      </c>
      <c r="AA33">
        <v>20</v>
      </c>
      <c r="AB33">
        <v>-2E-3</v>
      </c>
      <c r="AC33">
        <v>-1.5E-3</v>
      </c>
      <c r="AD33">
        <v>1.5E-3</v>
      </c>
      <c r="AE33">
        <v>2E-3</v>
      </c>
      <c r="AG33">
        <v>2041.74</v>
      </c>
      <c r="AH33">
        <v>2567.1799999999998</v>
      </c>
      <c r="AI33">
        <v>4608.92</v>
      </c>
      <c r="AJ33">
        <v>-423.31</v>
      </c>
      <c r="AK33">
        <v>-297.59116</v>
      </c>
      <c r="AL33">
        <v>3888.0188400000002</v>
      </c>
      <c r="AM33">
        <v>-58292.256716000004</v>
      </c>
      <c r="AN33">
        <v>-216.00611900000001</v>
      </c>
      <c r="AO33">
        <v>116368.50731299999</v>
      </c>
      <c r="AP33">
        <v>0.58184253656499996</v>
      </c>
      <c r="AQ33">
        <v>6.2833E-2</v>
      </c>
      <c r="AR33">
        <v>2.4503879999999998</v>
      </c>
      <c r="AS33">
        <v>-1018.776283</v>
      </c>
      <c r="AT33">
        <v>42</v>
      </c>
      <c r="AU33">
        <v>11</v>
      </c>
      <c r="AV33">
        <v>11</v>
      </c>
      <c r="AW33">
        <v>1</v>
      </c>
      <c r="AX33">
        <v>1</v>
      </c>
      <c r="AY33">
        <v>84662</v>
      </c>
    </row>
    <row r="34" spans="1:51" x14ac:dyDescent="0.25">
      <c r="A34" s="16">
        <v>3</v>
      </c>
      <c r="B34" s="16">
        <v>16</v>
      </c>
      <c r="C34" s="16" t="s">
        <v>57</v>
      </c>
      <c r="D34" s="14" t="s">
        <v>57</v>
      </c>
      <c r="E34" s="2">
        <v>109.7</v>
      </c>
      <c r="F34" s="2">
        <v>121.3</v>
      </c>
      <c r="G34" s="22">
        <v>109.69500000000001</v>
      </c>
      <c r="H34" s="22">
        <v>121.30499999999999</v>
      </c>
      <c r="I34" s="4">
        <v>1</v>
      </c>
      <c r="J34" s="13">
        <v>109.69500000000001</v>
      </c>
      <c r="K34" s="13">
        <v>-121.30499999999999</v>
      </c>
      <c r="N34" s="17">
        <v>1.5E-3</v>
      </c>
      <c r="Q34" s="51">
        <v>1.5E-3</v>
      </c>
      <c r="R34" s="51">
        <v>788</v>
      </c>
      <c r="S34" s="1">
        <v>788</v>
      </c>
      <c r="V34">
        <v>1.5E-3</v>
      </c>
      <c r="W34">
        <v>1.5E-3</v>
      </c>
      <c r="X34" t="s">
        <v>107</v>
      </c>
    </row>
    <row r="35" spans="1:51" x14ac:dyDescent="0.25">
      <c r="A35" s="16">
        <v>12</v>
      </c>
      <c r="B35" s="16">
        <v>6</v>
      </c>
      <c r="C35" s="16" t="s">
        <v>58</v>
      </c>
      <c r="D35" s="14" t="s">
        <v>50</v>
      </c>
      <c r="E35" s="2">
        <v>21.77</v>
      </c>
      <c r="F35" s="2">
        <v>22.42</v>
      </c>
      <c r="G35" s="22">
        <v>21.765000000000001</v>
      </c>
      <c r="H35" s="22">
        <v>22.425000000000001</v>
      </c>
      <c r="I35" s="4">
        <v>1.8904480235491772</v>
      </c>
      <c r="J35" s="13">
        <v>41.14560123254784</v>
      </c>
      <c r="K35" s="13">
        <v>-42.393296928090301</v>
      </c>
      <c r="L35">
        <v>-0.93829692809030263</v>
      </c>
      <c r="M35">
        <v>-2.2598673605257774E-2</v>
      </c>
      <c r="N35" s="17">
        <v>4.0000000000000001E-3</v>
      </c>
      <c r="O35">
        <v>-0.43939876745216111</v>
      </c>
      <c r="P35" s="55">
        <v>-1.0582821952123341E-2</v>
      </c>
      <c r="Q35" s="51">
        <v>2E-3</v>
      </c>
      <c r="R35" s="51">
        <v>-2415</v>
      </c>
      <c r="S35" s="1">
        <v>-1277.4749529828464</v>
      </c>
      <c r="T35">
        <v>-0.4749529828463892</v>
      </c>
      <c r="V35">
        <v>4.0000000000000001E-3</v>
      </c>
      <c r="W35">
        <v>2E-3</v>
      </c>
      <c r="X35" t="s">
        <v>106</v>
      </c>
      <c r="Z35" t="s">
        <v>115</v>
      </c>
      <c r="AA35">
        <v>20</v>
      </c>
      <c r="AB35">
        <v>-4.0000000000000001E-3</v>
      </c>
      <c r="AC35">
        <v>-3.0000000000000001E-3</v>
      </c>
      <c r="AD35">
        <v>2E-3</v>
      </c>
      <c r="AE35">
        <v>2E-3</v>
      </c>
      <c r="AG35">
        <v>1324.9</v>
      </c>
      <c r="AH35">
        <v>1070.73</v>
      </c>
      <c r="AI35">
        <v>2395.63</v>
      </c>
      <c r="AJ35">
        <v>-895.37</v>
      </c>
      <c r="AK35">
        <v>-100.08193199999999</v>
      </c>
      <c r="AL35">
        <v>1400.1780679999999</v>
      </c>
      <c r="AM35">
        <v>-18668.626119</v>
      </c>
      <c r="AN35">
        <v>-72.598955000000004</v>
      </c>
      <c r="AO35">
        <v>37264.653284</v>
      </c>
      <c r="AP35">
        <v>0.18632326641999999</v>
      </c>
      <c r="AQ35">
        <v>7.0661000000000002E-2</v>
      </c>
      <c r="AR35">
        <v>2.9181360000000001</v>
      </c>
      <c r="AS35">
        <v>-154.35770500000001</v>
      </c>
      <c r="AT35">
        <v>26</v>
      </c>
      <c r="AU35">
        <v>8</v>
      </c>
      <c r="AV35">
        <v>5</v>
      </c>
      <c r="AW35">
        <v>0</v>
      </c>
      <c r="AX35">
        <v>0</v>
      </c>
      <c r="AY35">
        <v>179074</v>
      </c>
    </row>
    <row r="36" spans="1:51" x14ac:dyDescent="0.25">
      <c r="A36" s="16">
        <v>13</v>
      </c>
      <c r="B36" s="16">
        <v>18</v>
      </c>
      <c r="C36" s="16" t="s">
        <v>58</v>
      </c>
      <c r="D36" s="14" t="s">
        <v>58</v>
      </c>
      <c r="E36" s="2">
        <v>41.46</v>
      </c>
      <c r="F36" s="2">
        <v>41.58</v>
      </c>
      <c r="G36" s="22">
        <v>41.454999999999998</v>
      </c>
      <c r="H36" s="22">
        <v>41.585000000000001</v>
      </c>
      <c r="I36" s="4">
        <v>1</v>
      </c>
      <c r="J36" s="13">
        <v>41.454999999999998</v>
      </c>
      <c r="K36" s="13">
        <v>-41.585000000000001</v>
      </c>
      <c r="N36" s="17">
        <v>3.0000000000000001E-3</v>
      </c>
      <c r="Q36" s="51">
        <v>2E-3</v>
      </c>
      <c r="R36" s="51">
        <v>1277</v>
      </c>
      <c r="S36" s="1">
        <v>1277</v>
      </c>
      <c r="V36">
        <v>3.0000000000000001E-3</v>
      </c>
      <c r="W36">
        <v>2E-3</v>
      </c>
      <c r="X36" t="s">
        <v>107</v>
      </c>
    </row>
    <row r="37" spans="1:51" x14ac:dyDescent="0.25">
      <c r="A37" s="16">
        <v>8</v>
      </c>
      <c r="B37" s="16">
        <v>48</v>
      </c>
      <c r="C37" s="16" t="s">
        <v>53</v>
      </c>
      <c r="D37" s="14" t="s">
        <v>66</v>
      </c>
      <c r="E37" s="2">
        <v>65.7</v>
      </c>
      <c r="F37" s="2">
        <v>66.13</v>
      </c>
      <c r="G37" s="22">
        <v>65.695000000000007</v>
      </c>
      <c r="H37" s="22">
        <v>66.134999999999991</v>
      </c>
      <c r="I37" s="4">
        <v>1.4382898139715363</v>
      </c>
      <c r="J37" s="13">
        <v>94.488449328860085</v>
      </c>
      <c r="K37" s="13">
        <v>-95.121296847007542</v>
      </c>
      <c r="L37">
        <v>-0.42629684700753501</v>
      </c>
      <c r="M37">
        <v>-4.4944317027678969E-3</v>
      </c>
      <c r="N37" s="17">
        <v>1E-3</v>
      </c>
      <c r="O37">
        <v>-0.51655067113991038</v>
      </c>
      <c r="P37" s="55">
        <v>-5.4459743926189817E-3</v>
      </c>
      <c r="Q37" s="51">
        <v>1E-3</v>
      </c>
      <c r="R37" s="51">
        <v>0</v>
      </c>
      <c r="S37" s="1">
        <v>0</v>
      </c>
      <c r="T37">
        <v>0</v>
      </c>
      <c r="V37">
        <v>1E-3</v>
      </c>
      <c r="W37">
        <v>1E-3</v>
      </c>
      <c r="X37" t="s">
        <v>106</v>
      </c>
      <c r="Z37" t="s">
        <v>116</v>
      </c>
      <c r="AA37">
        <v>20</v>
      </c>
      <c r="AB37">
        <v>-1E-3</v>
      </c>
      <c r="AC37">
        <v>-1E-3</v>
      </c>
      <c r="AD37">
        <v>1E-3</v>
      </c>
      <c r="AE37">
        <v>1E-3</v>
      </c>
      <c r="AG37">
        <v>1272.2</v>
      </c>
      <c r="AH37">
        <v>472.81</v>
      </c>
      <c r="AI37">
        <v>1745.01</v>
      </c>
      <c r="AJ37">
        <v>-484.43</v>
      </c>
      <c r="AK37">
        <v>-133.34520900000001</v>
      </c>
      <c r="AL37">
        <v>1127.2347910000001</v>
      </c>
      <c r="AM37">
        <v>-29107.705895999999</v>
      </c>
      <c r="AN37">
        <v>-42.940148999999998</v>
      </c>
      <c r="AO37">
        <v>58172.471641999997</v>
      </c>
      <c r="AP37">
        <v>0.29086235821</v>
      </c>
      <c r="AQ37">
        <v>3.6441000000000001E-2</v>
      </c>
      <c r="AR37">
        <v>2.9476149999999999</v>
      </c>
      <c r="AS37">
        <v>-171.868425</v>
      </c>
      <c r="AT37">
        <v>37</v>
      </c>
      <c r="AU37">
        <v>17</v>
      </c>
      <c r="AV37">
        <v>2</v>
      </c>
      <c r="AW37">
        <v>0</v>
      </c>
      <c r="AX37">
        <v>1</v>
      </c>
      <c r="AY37">
        <v>96886</v>
      </c>
    </row>
    <row r="38" spans="1:51" x14ac:dyDescent="0.25">
      <c r="A38" s="16">
        <v>9</v>
      </c>
      <c r="B38" s="16">
        <v>10</v>
      </c>
      <c r="C38" s="16" t="s">
        <v>53</v>
      </c>
      <c r="D38" s="14" t="s">
        <v>53</v>
      </c>
      <c r="E38" s="2">
        <v>94.7</v>
      </c>
      <c r="F38" s="2">
        <v>95</v>
      </c>
      <c r="G38" s="22">
        <v>94.695000000000007</v>
      </c>
      <c r="H38" s="22">
        <v>95.004999999999995</v>
      </c>
      <c r="I38" s="4">
        <v>1</v>
      </c>
      <c r="J38" s="13">
        <v>94.695000000000007</v>
      </c>
      <c r="K38" s="13">
        <v>-95.004999999999995</v>
      </c>
      <c r="N38" s="17">
        <v>1E-3</v>
      </c>
      <c r="Q38" s="51">
        <v>1E-3</v>
      </c>
      <c r="R38" s="51">
        <v>0</v>
      </c>
      <c r="S38" s="1">
        <v>0</v>
      </c>
      <c r="V38">
        <v>1E-3</v>
      </c>
      <c r="W38">
        <v>1E-3</v>
      </c>
      <c r="X38" t="s">
        <v>107</v>
      </c>
    </row>
    <row r="39" spans="1:51" x14ac:dyDescent="0.25">
      <c r="A39" s="16">
        <v>14</v>
      </c>
      <c r="B39" s="16">
        <v>7</v>
      </c>
      <c r="C39" s="16" t="s">
        <v>65</v>
      </c>
      <c r="D39" s="14" t="s">
        <v>51</v>
      </c>
      <c r="E39" s="2">
        <v>56.4</v>
      </c>
      <c r="F39" s="2">
        <v>56.65</v>
      </c>
      <c r="G39" s="22">
        <v>56.394999999999996</v>
      </c>
      <c r="H39" s="22">
        <v>56.655000000000001</v>
      </c>
      <c r="I39" s="4">
        <v>1.7448035127941128</v>
      </c>
      <c r="J39" s="13">
        <v>98.398194104023986</v>
      </c>
      <c r="K39" s="13">
        <v>-98.851843017350461</v>
      </c>
      <c r="L39">
        <v>-0.35684301735045665</v>
      </c>
      <c r="M39">
        <v>-3.6126855717586092E-3</v>
      </c>
      <c r="N39" s="17">
        <v>1E-3</v>
      </c>
      <c r="O39">
        <v>-0.65680589597600658</v>
      </c>
      <c r="P39" s="55">
        <v>-6.6495155249405875E-3</v>
      </c>
      <c r="Q39" s="51">
        <v>1E-3</v>
      </c>
      <c r="R39" s="51">
        <v>0</v>
      </c>
      <c r="S39" s="1">
        <v>0</v>
      </c>
      <c r="T39">
        <v>0</v>
      </c>
      <c r="V39">
        <v>1E-3</v>
      </c>
      <c r="W39">
        <v>1E-3</v>
      </c>
      <c r="X39" t="s">
        <v>106</v>
      </c>
      <c r="Z39" t="s">
        <v>117</v>
      </c>
      <c r="AA39">
        <v>20</v>
      </c>
      <c r="AB39">
        <v>-1E-3</v>
      </c>
      <c r="AC39">
        <v>-1E-3</v>
      </c>
      <c r="AD39">
        <v>1E-3</v>
      </c>
      <c r="AE39">
        <v>1E-3</v>
      </c>
      <c r="AG39">
        <v>215.72</v>
      </c>
      <c r="AH39">
        <v>216.53</v>
      </c>
      <c r="AI39">
        <v>432.25</v>
      </c>
      <c r="AJ39">
        <v>-166.5</v>
      </c>
      <c r="AK39">
        <v>-27.804898000000001</v>
      </c>
      <c r="AL39">
        <v>237.94510199999999</v>
      </c>
      <c r="AM39">
        <v>-5974.9691789999997</v>
      </c>
      <c r="AN39">
        <v>-7.4297009999999997</v>
      </c>
      <c r="AO39">
        <v>11942.508657</v>
      </c>
      <c r="AP39">
        <v>5.9712543285000003E-2</v>
      </c>
      <c r="AQ39">
        <v>3.7469000000000002E-2</v>
      </c>
      <c r="AR39">
        <v>1.8513809999999999</v>
      </c>
      <c r="AS39">
        <v>-44.437958000000002</v>
      </c>
      <c r="AT39">
        <v>12</v>
      </c>
      <c r="AU39">
        <v>3</v>
      </c>
      <c r="AV39">
        <v>3</v>
      </c>
      <c r="AW39">
        <v>0</v>
      </c>
      <c r="AX39">
        <v>0</v>
      </c>
      <c r="AY39">
        <v>33300</v>
      </c>
    </row>
    <row r="40" spans="1:51" x14ac:dyDescent="0.25">
      <c r="A40" s="16">
        <v>15</v>
      </c>
      <c r="B40" s="16">
        <v>47</v>
      </c>
      <c r="C40" s="16" t="s">
        <v>65</v>
      </c>
      <c r="D40" s="14" t="s">
        <v>65</v>
      </c>
      <c r="E40" s="2">
        <v>98.5</v>
      </c>
      <c r="F40" s="2">
        <v>99.05</v>
      </c>
      <c r="G40" s="22">
        <v>98.495000000000005</v>
      </c>
      <c r="H40" s="22">
        <v>99.054999999999993</v>
      </c>
      <c r="I40" s="4">
        <v>1</v>
      </c>
      <c r="J40" s="13">
        <v>98.495000000000005</v>
      </c>
      <c r="K40" s="13">
        <v>-99.054999999999993</v>
      </c>
      <c r="N40" s="17">
        <v>1E-3</v>
      </c>
      <c r="Q40" s="51">
        <v>1E-3</v>
      </c>
      <c r="R40" s="51">
        <v>0</v>
      </c>
      <c r="S40" s="1">
        <v>0</v>
      </c>
      <c r="V40">
        <v>1E-3</v>
      </c>
      <c r="W40">
        <v>1E-3</v>
      </c>
      <c r="X40" t="s">
        <v>107</v>
      </c>
    </row>
    <row r="41" spans="1:51" x14ac:dyDescent="0.25">
      <c r="A41" s="16">
        <v>6</v>
      </c>
      <c r="B41" s="16">
        <v>26</v>
      </c>
      <c r="C41" s="16" t="s">
        <v>61</v>
      </c>
      <c r="D41" s="14" t="s">
        <v>62</v>
      </c>
      <c r="E41">
        <v>18.38</v>
      </c>
      <c r="F41">
        <v>18.600000000000001</v>
      </c>
      <c r="G41" s="16">
        <v>18.375</v>
      </c>
      <c r="H41" s="16">
        <v>18.605</v>
      </c>
      <c r="I41">
        <v>1.647839709023744</v>
      </c>
      <c r="J41">
        <v>30.279054653311295</v>
      </c>
      <c r="K41">
        <v>-30.658057786386756</v>
      </c>
      <c r="L41">
        <v>-0.2030577863867542</v>
      </c>
      <c r="M41">
        <v>-6.6543597046290082E-3</v>
      </c>
      <c r="N41" s="17">
        <v>5.0000000000000001E-3</v>
      </c>
      <c r="O41">
        <v>-0.29594534668870409</v>
      </c>
      <c r="P41" s="55">
        <v>-9.6983564374472902E-3</v>
      </c>
      <c r="Q41" s="51">
        <v>3.0000000000000001E-3</v>
      </c>
      <c r="R41" s="51">
        <v>1650</v>
      </c>
      <c r="S41" s="1">
        <v>1001.3109836863538</v>
      </c>
      <c r="T41">
        <v>-1998.6890163136463</v>
      </c>
      <c r="V41">
        <v>5.0000000000000001E-3</v>
      </c>
      <c r="W41">
        <v>3.0000000000000001E-3</v>
      </c>
      <c r="X41" t="s">
        <v>106</v>
      </c>
      <c r="Z41" t="s">
        <v>118</v>
      </c>
      <c r="AA41">
        <v>20</v>
      </c>
      <c r="AB41">
        <v>-5.0000000000000001E-3</v>
      </c>
      <c r="AC41">
        <v>-4.0000000000000001E-3</v>
      </c>
      <c r="AD41">
        <v>2E-3</v>
      </c>
      <c r="AE41">
        <v>3.0000000000000001E-3</v>
      </c>
      <c r="AG41">
        <v>791.67</v>
      </c>
      <c r="AH41">
        <v>1280.75</v>
      </c>
      <c r="AI41">
        <v>2072.42</v>
      </c>
      <c r="AJ41">
        <v>-1162.53</v>
      </c>
      <c r="AK41">
        <v>-178.32597100000001</v>
      </c>
      <c r="AL41">
        <v>731.564029</v>
      </c>
      <c r="AM41">
        <v>-30686.509328</v>
      </c>
      <c r="AN41">
        <v>-180.603433</v>
      </c>
      <c r="AO41">
        <v>61192.415223999997</v>
      </c>
      <c r="AP41">
        <v>0.30596207611999998</v>
      </c>
      <c r="AQ41">
        <v>2.2483E-2</v>
      </c>
      <c r="AR41">
        <v>0.63427599999999995</v>
      </c>
      <c r="AS41">
        <v>-1125.6526980000001</v>
      </c>
      <c r="AT41">
        <v>27</v>
      </c>
      <c r="AU41">
        <v>6</v>
      </c>
      <c r="AV41">
        <v>8</v>
      </c>
      <c r="AW41">
        <v>0</v>
      </c>
      <c r="AX41">
        <v>0</v>
      </c>
      <c r="AY41">
        <v>232506</v>
      </c>
    </row>
    <row r="42" spans="1:51" x14ac:dyDescent="0.25">
      <c r="A42" s="16">
        <v>7</v>
      </c>
      <c r="B42" s="16">
        <v>25</v>
      </c>
      <c r="C42" s="16" t="s">
        <v>61</v>
      </c>
      <c r="D42" s="14" t="s">
        <v>61</v>
      </c>
      <c r="E42" s="2">
        <v>30.46</v>
      </c>
      <c r="F42" s="2">
        <v>30.57</v>
      </c>
      <c r="G42" s="22">
        <v>30.455000000000002</v>
      </c>
      <c r="H42" s="22">
        <v>30.574999999999999</v>
      </c>
      <c r="I42" s="4">
        <v>1</v>
      </c>
      <c r="J42" s="13">
        <v>30.455000000000002</v>
      </c>
      <c r="K42" s="13">
        <v>-30.574999999999999</v>
      </c>
      <c r="N42" s="17">
        <v>4.0000000000000001E-3</v>
      </c>
      <c r="Q42" s="51">
        <v>2E-3</v>
      </c>
      <c r="R42" s="51">
        <v>-3000</v>
      </c>
      <c r="S42" s="1">
        <v>-3000</v>
      </c>
      <c r="V42">
        <v>4.0000000000000001E-3</v>
      </c>
      <c r="W42">
        <v>2E-3</v>
      </c>
      <c r="X42" t="s">
        <v>107</v>
      </c>
    </row>
    <row r="43" spans="1:51" x14ac:dyDescent="0.25">
      <c r="A43" s="16">
        <v>16</v>
      </c>
      <c r="B43" s="16">
        <v>27</v>
      </c>
      <c r="C43" s="16" t="s">
        <v>64</v>
      </c>
      <c r="D43" s="14" t="s">
        <v>63</v>
      </c>
      <c r="E43" s="2">
        <v>23.82</v>
      </c>
      <c r="F43" s="2">
        <v>24.1</v>
      </c>
      <c r="G43" s="22">
        <v>23.815000000000001</v>
      </c>
      <c r="H43" s="22">
        <v>24.105</v>
      </c>
      <c r="I43" s="4">
        <v>2.7966782574473563</v>
      </c>
      <c r="J43" s="13">
        <v>66.6028927011088</v>
      </c>
      <c r="K43" s="13">
        <v>-67.41392939576852</v>
      </c>
      <c r="L43">
        <v>-0.94892939576851632</v>
      </c>
      <c r="M43">
        <v>-1.4135697836563628E-2</v>
      </c>
      <c r="N43" s="17">
        <v>5.0000000000000001E-3</v>
      </c>
      <c r="O43">
        <v>-1.1921072988912016</v>
      </c>
      <c r="P43" s="55">
        <v>-1.7758190062434107E-2</v>
      </c>
      <c r="Q43" s="51">
        <v>2E-3</v>
      </c>
      <c r="R43" s="51">
        <v>0</v>
      </c>
      <c r="S43" s="1">
        <v>0</v>
      </c>
      <c r="T43">
        <v>0</v>
      </c>
      <c r="V43">
        <v>5.0000000000000001E-3</v>
      </c>
      <c r="W43">
        <v>2E-3</v>
      </c>
      <c r="X43" t="s">
        <v>106</v>
      </c>
      <c r="Z43" t="s">
        <v>119</v>
      </c>
      <c r="AA43">
        <v>20</v>
      </c>
      <c r="AB43">
        <v>-5.0000000000000001E-3</v>
      </c>
      <c r="AC43">
        <v>-3.0000000000000001E-3</v>
      </c>
      <c r="AD43">
        <v>1E-3</v>
      </c>
      <c r="AE43">
        <v>2E-3</v>
      </c>
      <c r="AG43">
        <v>322.83999999999997</v>
      </c>
      <c r="AH43">
        <v>1626.57</v>
      </c>
      <c r="AI43">
        <v>1949.41</v>
      </c>
      <c r="AJ43">
        <v>-621.69500000000005</v>
      </c>
      <c r="AK43">
        <v>-158.47905800000001</v>
      </c>
      <c r="AL43">
        <v>1169.235942</v>
      </c>
      <c r="AM43">
        <v>-29134.976268999999</v>
      </c>
      <c r="AN43">
        <v>-143.91096999999999</v>
      </c>
      <c r="AO43">
        <v>58126.041567</v>
      </c>
      <c r="AP43">
        <v>0.29063020783499999</v>
      </c>
      <c r="AQ43">
        <v>3.7829000000000002E-2</v>
      </c>
      <c r="AR43">
        <v>1.6052869999999999</v>
      </c>
      <c r="AS43">
        <v>-990.74087399999996</v>
      </c>
      <c r="AT43">
        <v>21</v>
      </c>
      <c r="AU43">
        <v>4</v>
      </c>
      <c r="AV43">
        <v>7</v>
      </c>
      <c r="AW43">
        <v>0</v>
      </c>
      <c r="AX43">
        <v>0</v>
      </c>
      <c r="AY43">
        <v>124339</v>
      </c>
    </row>
    <row r="44" spans="1:51" x14ac:dyDescent="0.25">
      <c r="A44" s="16">
        <v>17</v>
      </c>
      <c r="B44" s="16">
        <v>41</v>
      </c>
      <c r="C44" s="16" t="s">
        <v>64</v>
      </c>
      <c r="D44" s="14" t="s">
        <v>64</v>
      </c>
      <c r="E44" s="2">
        <v>66.47</v>
      </c>
      <c r="F44" s="2">
        <v>67.790000000000006</v>
      </c>
      <c r="G44" s="22">
        <v>66.465000000000003</v>
      </c>
      <c r="H44" s="22">
        <v>67.795000000000002</v>
      </c>
      <c r="I44" s="4">
        <v>1</v>
      </c>
      <c r="J44" s="13">
        <v>66.465000000000003</v>
      </c>
      <c r="K44" s="13">
        <v>-67.795000000000002</v>
      </c>
      <c r="N44" s="17">
        <v>3.0000000000000001E-3</v>
      </c>
      <c r="Q44" s="51">
        <v>1E-3</v>
      </c>
      <c r="R44" s="51">
        <v>0</v>
      </c>
      <c r="S44" s="1">
        <v>0</v>
      </c>
      <c r="V44">
        <v>3.0000000000000001E-3</v>
      </c>
      <c r="W44">
        <v>1E-3</v>
      </c>
      <c r="X44" t="s">
        <v>107</v>
      </c>
    </row>
    <row r="45" spans="1:51" x14ac:dyDescent="0.25">
      <c r="A45" s="16">
        <v>10</v>
      </c>
      <c r="B45" s="16">
        <v>5</v>
      </c>
      <c r="C45" s="16" t="s">
        <v>56</v>
      </c>
      <c r="D45" s="14" t="s">
        <v>49</v>
      </c>
      <c r="E45" s="2">
        <v>47.55</v>
      </c>
      <c r="F45" s="2">
        <v>47.91</v>
      </c>
      <c r="G45" s="22">
        <v>47.544999999999995</v>
      </c>
      <c r="H45" s="22">
        <v>47.914999999999999</v>
      </c>
      <c r="I45" s="4">
        <v>1.0429715511399629</v>
      </c>
      <c r="J45" s="13">
        <v>49.588082398949531</v>
      </c>
      <c r="K45" s="13">
        <v>-49.97398187287132</v>
      </c>
      <c r="L45">
        <v>-0.47898187287132288</v>
      </c>
      <c r="M45">
        <v>-9.3660905919304427E-3</v>
      </c>
      <c r="N45" s="17">
        <v>0.01</v>
      </c>
      <c r="O45">
        <v>-3.1969176010504725</v>
      </c>
      <c r="P45" s="55">
        <v>-6.2513054381119912E-2</v>
      </c>
      <c r="Q45" s="51">
        <v>0.01</v>
      </c>
      <c r="R45" s="51">
        <v>0</v>
      </c>
      <c r="S45" s="1">
        <v>0</v>
      </c>
      <c r="T45">
        <v>0</v>
      </c>
      <c r="V45">
        <v>0.01</v>
      </c>
      <c r="W45">
        <v>0.01</v>
      </c>
      <c r="X45" t="s">
        <v>106</v>
      </c>
    </row>
    <row r="46" spans="1:51" x14ac:dyDescent="0.25">
      <c r="A46" s="16">
        <v>11</v>
      </c>
      <c r="B46" s="16">
        <v>15</v>
      </c>
      <c r="C46" s="16" t="s">
        <v>56</v>
      </c>
      <c r="D46" s="14" t="s">
        <v>56</v>
      </c>
      <c r="E46" s="2">
        <v>49.5</v>
      </c>
      <c r="F46" s="2">
        <v>52.78</v>
      </c>
      <c r="G46" s="22">
        <v>49.494999999999997</v>
      </c>
      <c r="H46" s="22">
        <v>52.785000000000004</v>
      </c>
      <c r="I46" s="4">
        <v>1</v>
      </c>
      <c r="J46" s="13">
        <v>49.494999999999997</v>
      </c>
      <c r="K46" s="13">
        <v>-52.785000000000004</v>
      </c>
      <c r="N46" s="17">
        <v>0.01</v>
      </c>
      <c r="Q46" s="51">
        <v>0.01</v>
      </c>
      <c r="R46" s="51">
        <v>0</v>
      </c>
      <c r="S46" s="1">
        <v>0</v>
      </c>
      <c r="V46">
        <v>0.01</v>
      </c>
      <c r="W46">
        <v>0.01</v>
      </c>
      <c r="X46" t="s">
        <v>107</v>
      </c>
    </row>
    <row r="47" spans="1:51" x14ac:dyDescent="0.25">
      <c r="A47" s="16">
        <v>4</v>
      </c>
      <c r="B47" s="16">
        <v>12</v>
      </c>
      <c r="C47" s="16" t="s">
        <v>48</v>
      </c>
      <c r="D47" s="14" t="s">
        <v>55</v>
      </c>
      <c r="E47" s="2">
        <v>26.93</v>
      </c>
      <c r="F47" s="2">
        <v>27.07</v>
      </c>
      <c r="G47" s="22">
        <v>26.925000000000001</v>
      </c>
      <c r="H47" s="22">
        <v>27.074999999999999</v>
      </c>
      <c r="I47" s="4">
        <v>1.0736852299969759</v>
      </c>
      <c r="J47" s="13">
        <v>28.908974817668579</v>
      </c>
      <c r="K47" s="13">
        <v>-29.070027602168121</v>
      </c>
      <c r="L47">
        <v>-0.22502760216811879</v>
      </c>
      <c r="M47">
        <v>-7.7770037037538887E-3</v>
      </c>
      <c r="N47" s="17">
        <v>0.01</v>
      </c>
      <c r="O47">
        <v>-0.11602518233141978</v>
      </c>
      <c r="P47" s="55">
        <v>-4.0098559644520396E-3</v>
      </c>
      <c r="Q47" s="51">
        <v>0.01</v>
      </c>
      <c r="R47" s="51">
        <v>0</v>
      </c>
      <c r="S47" s="1">
        <v>0</v>
      </c>
      <c r="T47">
        <v>0</v>
      </c>
      <c r="V47">
        <v>0.01</v>
      </c>
      <c r="W47">
        <v>0.01</v>
      </c>
      <c r="X47" t="s">
        <v>106</v>
      </c>
      <c r="AA47">
        <v>1.3178397090237439</v>
      </c>
    </row>
    <row r="48" spans="1:51" x14ac:dyDescent="0.25">
      <c r="A48" s="16">
        <v>5</v>
      </c>
      <c r="B48" s="16">
        <v>3</v>
      </c>
      <c r="C48" s="16" t="s">
        <v>48</v>
      </c>
      <c r="D48" s="14" t="s">
        <v>48</v>
      </c>
      <c r="E48" s="2">
        <v>28.85</v>
      </c>
      <c r="F48" s="2">
        <v>29.02</v>
      </c>
      <c r="G48" s="22">
        <v>28.845000000000002</v>
      </c>
      <c r="H48" s="22">
        <v>29.024999999999999</v>
      </c>
      <c r="I48" s="4">
        <v>1</v>
      </c>
      <c r="J48" s="13">
        <v>28.845000000000002</v>
      </c>
      <c r="K48" s="13">
        <v>-29.024999999999999</v>
      </c>
      <c r="N48" s="17">
        <v>0.01</v>
      </c>
      <c r="Q48" s="51">
        <v>0.01</v>
      </c>
      <c r="R48" s="51">
        <v>0</v>
      </c>
      <c r="S48" s="1">
        <v>0</v>
      </c>
      <c r="V48">
        <v>0.01</v>
      </c>
      <c r="W48">
        <v>0.01</v>
      </c>
      <c r="X48" t="s">
        <v>107</v>
      </c>
    </row>
    <row r="49" spans="1:1" x14ac:dyDescent="0.25">
      <c r="A49" s="16" t="s">
        <v>108</v>
      </c>
    </row>
  </sheetData>
  <mergeCells count="57">
    <mergeCell ref="R19:R22"/>
    <mergeCell ref="P1:R1"/>
    <mergeCell ref="R3:R5"/>
    <mergeCell ref="R6:R8"/>
    <mergeCell ref="N15:N18"/>
    <mergeCell ref="O15:O18"/>
    <mergeCell ref="N12:N14"/>
    <mergeCell ref="O12:O14"/>
    <mergeCell ref="N3:N5"/>
    <mergeCell ref="O3:O5"/>
    <mergeCell ref="R12:R14"/>
    <mergeCell ref="R15:R18"/>
    <mergeCell ref="L1:O1"/>
    <mergeCell ref="T23:T28"/>
    <mergeCell ref="A1:B1"/>
    <mergeCell ref="E1:F1"/>
    <mergeCell ref="J1:K1"/>
    <mergeCell ref="L19:L22"/>
    <mergeCell ref="M19:M22"/>
    <mergeCell ref="L9:L11"/>
    <mergeCell ref="M9:M11"/>
    <mergeCell ref="G1:H1"/>
    <mergeCell ref="L15:L18"/>
    <mergeCell ref="M15:M18"/>
    <mergeCell ref="L12:L14"/>
    <mergeCell ref="T3:T5"/>
    <mergeCell ref="T6:T8"/>
    <mergeCell ref="T9:T11"/>
    <mergeCell ref="A29:C29"/>
    <mergeCell ref="L23:L28"/>
    <mergeCell ref="M12:M14"/>
    <mergeCell ref="L3:L5"/>
    <mergeCell ref="M3:M5"/>
    <mergeCell ref="L6:L8"/>
    <mergeCell ref="M23:M28"/>
    <mergeCell ref="T1:U1"/>
    <mergeCell ref="U3:U5"/>
    <mergeCell ref="U6:U8"/>
    <mergeCell ref="U9:U11"/>
    <mergeCell ref="U12:U14"/>
    <mergeCell ref="T12:T14"/>
    <mergeCell ref="U15:U18"/>
    <mergeCell ref="U19:U22"/>
    <mergeCell ref="U23:U28"/>
    <mergeCell ref="R9:R11"/>
    <mergeCell ref="M6:M8"/>
    <mergeCell ref="N6:N8"/>
    <mergeCell ref="O6:O8"/>
    <mergeCell ref="N9:N11"/>
    <mergeCell ref="O9:O11"/>
    <mergeCell ref="N23:N28"/>
    <mergeCell ref="O23:O28"/>
    <mergeCell ref="N19:N22"/>
    <mergeCell ref="O19:O22"/>
    <mergeCell ref="R23:R28"/>
    <mergeCell ref="T15:T18"/>
    <mergeCell ref="T19:T22"/>
  </mergeCells>
  <conditionalFormatting sqref="J3:J5">
    <cfRule type="top10" dxfId="14" priority="15" rank="1"/>
  </conditionalFormatting>
  <conditionalFormatting sqref="J6:J8">
    <cfRule type="top10" dxfId="13" priority="14" rank="1"/>
  </conditionalFormatting>
  <conditionalFormatting sqref="J9:J11">
    <cfRule type="top10" dxfId="12" priority="13" rank="1"/>
  </conditionalFormatting>
  <conditionalFormatting sqref="J12:J14">
    <cfRule type="top10" dxfId="11" priority="12" rank="1"/>
  </conditionalFormatting>
  <conditionalFormatting sqref="K3:K5">
    <cfRule type="top10" dxfId="9" priority="10" rank="1"/>
  </conditionalFormatting>
  <conditionalFormatting sqref="K6:K8">
    <cfRule type="top10" dxfId="8" priority="9" rank="1"/>
  </conditionalFormatting>
  <conditionalFormatting sqref="K9:K11">
    <cfRule type="top10" dxfId="7" priority="8" rank="1"/>
  </conditionalFormatting>
  <conditionalFormatting sqref="K12:K14">
    <cfRule type="top10" dxfId="6" priority="7" rank="1"/>
  </conditionalFormatting>
  <conditionalFormatting sqref="J15:J18">
    <cfRule type="top10" dxfId="5" priority="6" rank="1"/>
  </conditionalFormatting>
  <conditionalFormatting sqref="K15:K18">
    <cfRule type="top10" dxfId="4" priority="5" rank="1"/>
  </conditionalFormatting>
  <conditionalFormatting sqref="J19:J22">
    <cfRule type="top10" dxfId="3" priority="4" rank="1"/>
  </conditionalFormatting>
  <conditionalFormatting sqref="K19:K22">
    <cfRule type="top10" dxfId="2" priority="3" rank="1"/>
  </conditionalFormatting>
  <conditionalFormatting sqref="J23:J28">
    <cfRule type="top10" dxfId="1" priority="2" rank="1"/>
  </conditionalFormatting>
  <conditionalFormatting sqref="K23:K28">
    <cfRule type="top10" dxfId="0" priority="1" rank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M28"/>
  <sheetViews>
    <sheetView workbookViewId="0">
      <selection activeCell="K18" sqref="K18"/>
    </sheetView>
  </sheetViews>
  <sheetFormatPr defaultRowHeight="15" x14ac:dyDescent="0.25"/>
  <cols>
    <col min="1" max="1" width="13.42578125" style="24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12.42578125" style="48" bestFit="1" customWidth="1"/>
    <col min="8" max="8" width="13" style="48" customWidth="1"/>
    <col min="9" max="9" width="18.140625" style="10" bestFit="1" customWidth="1"/>
    <col min="10" max="10" width="18.7109375" style="12" bestFit="1" customWidth="1"/>
    <col min="11" max="11" width="11" style="4" bestFit="1" customWidth="1"/>
  </cols>
  <sheetData>
    <row r="1" spans="1:13" s="3" customFormat="1" x14ac:dyDescent="0.25">
      <c r="A1" s="23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39" t="s">
        <v>89</v>
      </c>
      <c r="G1" s="47" t="s">
        <v>87</v>
      </c>
      <c r="H1" s="47" t="s">
        <v>88</v>
      </c>
      <c r="I1" s="8"/>
      <c r="J1" s="9"/>
      <c r="K1" s="7"/>
    </row>
    <row r="2" spans="1:13" x14ac:dyDescent="0.25">
      <c r="A2" s="24" t="b">
        <v>0</v>
      </c>
      <c r="B2" t="s">
        <v>10</v>
      </c>
      <c r="C2" t="s">
        <v>0</v>
      </c>
      <c r="D2" t="s">
        <v>10</v>
      </c>
      <c r="E2" s="4">
        <v>1</v>
      </c>
      <c r="F2" s="40">
        <v>0.05</v>
      </c>
      <c r="G2" s="48">
        <v>200</v>
      </c>
      <c r="H2" s="48">
        <v>200</v>
      </c>
      <c r="J2" s="11"/>
      <c r="M2" s="56"/>
    </row>
    <row r="3" spans="1:13" x14ac:dyDescent="0.25">
      <c r="A3" s="24" t="b">
        <v>0</v>
      </c>
      <c r="B3" t="s">
        <v>9</v>
      </c>
      <c r="C3" t="s">
        <v>0</v>
      </c>
      <c r="D3" t="s">
        <v>10</v>
      </c>
      <c r="E3" s="4">
        <v>1.3479903349917624</v>
      </c>
      <c r="F3" s="40">
        <v>0.05</v>
      </c>
      <c r="G3" s="48">
        <f>G2*E3</f>
        <v>269.59806699835246</v>
      </c>
      <c r="H3" s="48">
        <f>H2*E3</f>
        <v>269.59806699835246</v>
      </c>
      <c r="J3" s="11"/>
      <c r="M3" s="56"/>
    </row>
    <row r="4" spans="1:13" x14ac:dyDescent="0.25">
      <c r="A4" s="24" t="b">
        <v>0</v>
      </c>
      <c r="B4" t="s">
        <v>6</v>
      </c>
      <c r="C4" t="s">
        <v>0</v>
      </c>
      <c r="D4" t="s">
        <v>10</v>
      </c>
      <c r="E4" s="4">
        <v>4.2773425411012687</v>
      </c>
      <c r="F4" s="40">
        <v>0.05</v>
      </c>
      <c r="G4" s="48">
        <f>G2*E4</f>
        <v>855.46850822025374</v>
      </c>
      <c r="H4" s="48">
        <f>H2*E4</f>
        <v>855.46850822025374</v>
      </c>
      <c r="J4" s="11"/>
      <c r="M4" s="56"/>
    </row>
    <row r="5" spans="1:13" x14ac:dyDescent="0.25">
      <c r="A5" s="24" t="b">
        <v>0</v>
      </c>
      <c r="B5" t="s">
        <v>7</v>
      </c>
      <c r="C5" t="s">
        <v>0</v>
      </c>
      <c r="D5" t="s">
        <v>10</v>
      </c>
      <c r="E5" s="4">
        <v>3.8794973096925758</v>
      </c>
      <c r="F5" s="40">
        <v>0.05</v>
      </c>
      <c r="G5" s="48">
        <f>G2*E5</f>
        <v>775.89946193851517</v>
      </c>
      <c r="H5" s="48">
        <f>H2*E5</f>
        <v>775.89946193851517</v>
      </c>
      <c r="J5" s="11"/>
      <c r="M5" s="56"/>
    </row>
    <row r="6" spans="1:13" x14ac:dyDescent="0.25">
      <c r="A6" s="24" t="b">
        <v>0</v>
      </c>
      <c r="B6" t="s">
        <v>35</v>
      </c>
      <c r="C6" t="s">
        <v>0</v>
      </c>
      <c r="D6" t="s">
        <v>35</v>
      </c>
      <c r="E6" s="4">
        <v>1</v>
      </c>
      <c r="F6" s="40">
        <v>0.05</v>
      </c>
      <c r="G6" s="48">
        <v>200</v>
      </c>
      <c r="H6" s="48">
        <v>200</v>
      </c>
      <c r="J6" s="11"/>
      <c r="M6" s="56"/>
    </row>
    <row r="7" spans="1:13" x14ac:dyDescent="0.25">
      <c r="A7" s="24" t="b">
        <v>0</v>
      </c>
      <c r="B7" t="s">
        <v>32</v>
      </c>
      <c r="C7" t="s">
        <v>0</v>
      </c>
      <c r="D7" t="s">
        <v>35</v>
      </c>
      <c r="E7" s="4">
        <v>3.341816600880807</v>
      </c>
      <c r="F7" s="40">
        <v>0.05</v>
      </c>
      <c r="G7" s="48">
        <f>G6*E7</f>
        <v>668.36332017616144</v>
      </c>
      <c r="H7" s="48">
        <f>H6*E7</f>
        <v>668.36332017616144</v>
      </c>
      <c r="J7" s="11"/>
      <c r="M7" s="56"/>
    </row>
    <row r="8" spans="1:13" x14ac:dyDescent="0.25">
      <c r="A8" s="24" t="b">
        <v>0</v>
      </c>
      <c r="B8" t="s">
        <v>33</v>
      </c>
      <c r="C8" t="s">
        <v>0</v>
      </c>
      <c r="D8" t="s">
        <v>35</v>
      </c>
      <c r="E8" s="4">
        <v>1.8900154782646215</v>
      </c>
      <c r="F8" s="40">
        <v>0.05</v>
      </c>
      <c r="G8" s="48">
        <f>G6*E8</f>
        <v>378.00309565292429</v>
      </c>
      <c r="H8" s="48">
        <f>H6*E8</f>
        <v>378.00309565292429</v>
      </c>
      <c r="J8" s="11"/>
      <c r="M8" s="56"/>
    </row>
    <row r="9" spans="1:13" x14ac:dyDescent="0.25">
      <c r="A9" s="24" t="b">
        <v>0</v>
      </c>
      <c r="B9" t="s">
        <v>34</v>
      </c>
      <c r="C9" t="s">
        <v>0</v>
      </c>
      <c r="D9" t="s">
        <v>35</v>
      </c>
      <c r="E9" s="4">
        <v>1.2632665872392379</v>
      </c>
      <c r="F9" s="40">
        <v>0.05</v>
      </c>
      <c r="G9" s="48">
        <f>G6*E9</f>
        <v>252.65331744784757</v>
      </c>
      <c r="H9" s="48">
        <f>H6*E9</f>
        <v>252.65331744784757</v>
      </c>
      <c r="J9" s="11"/>
      <c r="M9" s="56"/>
    </row>
    <row r="10" spans="1:13" x14ac:dyDescent="0.25">
      <c r="A10" s="24" t="b">
        <v>0</v>
      </c>
      <c r="B10" t="s">
        <v>19</v>
      </c>
      <c r="C10" t="s">
        <v>0</v>
      </c>
      <c r="D10" t="s">
        <v>20</v>
      </c>
      <c r="E10" s="4">
        <v>1.2037206322066893</v>
      </c>
      <c r="F10" s="40">
        <v>0.05</v>
      </c>
      <c r="G10" s="48">
        <f>E10*G12</f>
        <v>240.74412644133787</v>
      </c>
      <c r="H10" s="48">
        <f>E10*H12</f>
        <v>240.74412644133787</v>
      </c>
      <c r="J10" s="11"/>
      <c r="M10" s="56"/>
    </row>
    <row r="11" spans="1:13" x14ac:dyDescent="0.25">
      <c r="A11" s="24" t="b">
        <v>0</v>
      </c>
      <c r="B11" t="s">
        <v>17</v>
      </c>
      <c r="C11" t="s">
        <v>0</v>
      </c>
      <c r="D11" t="s">
        <v>20</v>
      </c>
      <c r="E11" s="4">
        <v>2.6375986744244972</v>
      </c>
      <c r="F11" s="40">
        <v>0.05</v>
      </c>
      <c r="G11" s="48">
        <f>E11*G12</f>
        <v>527.51973488489944</v>
      </c>
      <c r="H11" s="48">
        <f>E11*H12</f>
        <v>527.51973488489944</v>
      </c>
      <c r="J11" s="11"/>
      <c r="M11" s="56"/>
    </row>
    <row r="12" spans="1:13" x14ac:dyDescent="0.25">
      <c r="A12" s="24" t="b">
        <v>0</v>
      </c>
      <c r="B12" t="s">
        <v>20</v>
      </c>
      <c r="C12" t="s">
        <v>0</v>
      </c>
      <c r="D12" t="s">
        <v>20</v>
      </c>
      <c r="E12" s="4">
        <v>1</v>
      </c>
      <c r="F12" s="40">
        <v>0.05</v>
      </c>
      <c r="G12" s="48">
        <v>200</v>
      </c>
      <c r="H12" s="48">
        <v>200</v>
      </c>
      <c r="J12" s="11"/>
      <c r="M12" s="56"/>
    </row>
    <row r="13" spans="1:13" x14ac:dyDescent="0.25">
      <c r="A13" s="24" t="b">
        <v>0</v>
      </c>
      <c r="B13" t="s">
        <v>16</v>
      </c>
      <c r="C13" t="s">
        <v>0</v>
      </c>
      <c r="D13" t="s">
        <v>20</v>
      </c>
      <c r="E13" s="4">
        <v>3.6818305476128805</v>
      </c>
      <c r="F13" s="40">
        <v>0.05</v>
      </c>
      <c r="G13" s="48">
        <f>G12*E13</f>
        <v>736.36610952257615</v>
      </c>
      <c r="H13" s="48">
        <f>H12*E13</f>
        <v>736.36610952257615</v>
      </c>
      <c r="J13" s="11"/>
      <c r="M13" s="56"/>
    </row>
    <row r="14" spans="1:13" x14ac:dyDescent="0.25">
      <c r="A14" s="24" t="b">
        <v>0</v>
      </c>
      <c r="B14" t="s">
        <v>15</v>
      </c>
      <c r="C14" t="s">
        <v>0</v>
      </c>
      <c r="D14" t="s">
        <v>20</v>
      </c>
      <c r="E14" s="4">
        <v>4.1147120902885641</v>
      </c>
      <c r="F14" s="40">
        <v>0.05</v>
      </c>
      <c r="G14" s="48">
        <f>G12*E14</f>
        <v>822.94241805771287</v>
      </c>
      <c r="H14" s="48">
        <f>H12*E14</f>
        <v>822.94241805771287</v>
      </c>
      <c r="J14" s="11"/>
      <c r="M14" s="56"/>
    </row>
    <row r="15" spans="1:13" x14ac:dyDescent="0.25">
      <c r="A15" s="24" t="b">
        <v>0</v>
      </c>
      <c r="B15" t="s">
        <v>18</v>
      </c>
      <c r="C15" t="s">
        <v>0</v>
      </c>
      <c r="D15" t="s">
        <v>20</v>
      </c>
      <c r="E15" s="4">
        <v>2.6020631503283229</v>
      </c>
      <c r="F15" s="40">
        <v>0.05</v>
      </c>
      <c r="G15" s="48">
        <f>G12*E15</f>
        <v>520.41263006566453</v>
      </c>
      <c r="H15" s="48">
        <f>H12*E15</f>
        <v>520.41263006566453</v>
      </c>
      <c r="J15" s="11"/>
      <c r="M15" s="56"/>
    </row>
    <row r="16" spans="1:13" x14ac:dyDescent="0.25">
      <c r="A16" s="24" t="b">
        <v>0</v>
      </c>
      <c r="B16" t="s">
        <v>23</v>
      </c>
      <c r="C16" t="s">
        <v>0</v>
      </c>
      <c r="D16" t="s">
        <v>23</v>
      </c>
      <c r="E16" s="4">
        <v>1</v>
      </c>
      <c r="F16" s="40">
        <v>0.05</v>
      </c>
      <c r="G16" s="48">
        <v>200</v>
      </c>
      <c r="H16" s="48">
        <v>200</v>
      </c>
      <c r="J16" s="11"/>
      <c r="M16" s="56"/>
    </row>
    <row r="17" spans="1:13" x14ac:dyDescent="0.25">
      <c r="A17" s="24" t="b">
        <v>0</v>
      </c>
      <c r="B17" t="s">
        <v>21</v>
      </c>
      <c r="C17" t="s">
        <v>0</v>
      </c>
      <c r="D17" t="s">
        <v>23</v>
      </c>
      <c r="E17" s="4">
        <v>4.2367881497607058</v>
      </c>
      <c r="F17" s="40">
        <v>0.05</v>
      </c>
      <c r="G17" s="48">
        <f>G16*E17</f>
        <v>847.35762995214122</v>
      </c>
      <c r="H17" s="48">
        <f>H16*E17</f>
        <v>847.35762995214122</v>
      </c>
      <c r="J17" s="11"/>
      <c r="M17" s="56"/>
    </row>
    <row r="18" spans="1:13" x14ac:dyDescent="0.25">
      <c r="A18" s="24" t="b">
        <v>0</v>
      </c>
      <c r="B18" t="s">
        <v>22</v>
      </c>
      <c r="C18" t="s">
        <v>0</v>
      </c>
      <c r="D18" t="s">
        <v>23</v>
      </c>
      <c r="E18" s="4">
        <v>2.0175986088946738</v>
      </c>
      <c r="F18" s="40">
        <v>0.05</v>
      </c>
      <c r="G18" s="48">
        <f>G16*E18</f>
        <v>403.51972177893475</v>
      </c>
      <c r="H18" s="48">
        <f>H16*E18</f>
        <v>403.51972177893475</v>
      </c>
      <c r="J18" s="11"/>
      <c r="M18" s="56"/>
    </row>
    <row r="19" spans="1:13" x14ac:dyDescent="0.25">
      <c r="A19" s="24" t="b">
        <v>0</v>
      </c>
      <c r="B19" t="s">
        <v>4</v>
      </c>
      <c r="C19" t="s">
        <v>0</v>
      </c>
      <c r="D19" t="s">
        <v>4</v>
      </c>
      <c r="E19" s="4">
        <v>1</v>
      </c>
      <c r="F19" s="40">
        <v>0.05</v>
      </c>
      <c r="G19" s="48">
        <f>G16*E19</f>
        <v>200</v>
      </c>
      <c r="H19" s="48">
        <f>H16*E19</f>
        <v>200</v>
      </c>
      <c r="J19" s="11"/>
      <c r="M19" s="56"/>
    </row>
    <row r="20" spans="1:13" x14ac:dyDescent="0.25">
      <c r="A20" s="24" t="b">
        <v>0</v>
      </c>
      <c r="B20" t="s">
        <v>24</v>
      </c>
      <c r="C20" t="s">
        <v>0</v>
      </c>
      <c r="D20" t="s">
        <v>4</v>
      </c>
      <c r="E20" s="4">
        <v>2.3508998173094029</v>
      </c>
      <c r="F20" s="40">
        <v>0.05</v>
      </c>
      <c r="G20" s="48">
        <f>G19*E20</f>
        <v>470.17996346188056</v>
      </c>
      <c r="H20" s="48">
        <f>H19*E20</f>
        <v>470.17996346188056</v>
      </c>
      <c r="J20" s="11"/>
      <c r="M20" s="56"/>
    </row>
    <row r="21" spans="1:13" x14ac:dyDescent="0.25">
      <c r="A21" s="24" t="b">
        <v>0</v>
      </c>
      <c r="B21" t="s">
        <v>3</v>
      </c>
      <c r="C21" t="s">
        <v>0</v>
      </c>
      <c r="D21" t="s">
        <v>4</v>
      </c>
      <c r="E21" s="4">
        <v>2.1280560728326856</v>
      </c>
      <c r="F21" s="40">
        <v>0.05</v>
      </c>
      <c r="G21" s="48">
        <f>G19*E21</f>
        <v>425.61121456653711</v>
      </c>
      <c r="H21" s="48">
        <f>H19*E21</f>
        <v>425.61121456653711</v>
      </c>
      <c r="J21" s="11"/>
      <c r="M21" s="56"/>
    </row>
    <row r="22" spans="1:13" x14ac:dyDescent="0.25">
      <c r="A22" s="24" t="b">
        <v>0</v>
      </c>
      <c r="B22" t="s">
        <v>26</v>
      </c>
      <c r="C22" t="s">
        <v>0</v>
      </c>
      <c r="D22" t="s">
        <v>27</v>
      </c>
      <c r="E22" s="4">
        <v>1.5009138090723424</v>
      </c>
      <c r="F22" s="40">
        <v>0.05</v>
      </c>
      <c r="G22" s="48">
        <f>E22*G24</f>
        <v>300.18276181446851</v>
      </c>
      <c r="H22" s="48">
        <f>E22*H24</f>
        <v>300.18276181446851</v>
      </c>
      <c r="J22" s="11"/>
      <c r="M22" s="56"/>
    </row>
    <row r="23" spans="1:13" x14ac:dyDescent="0.25">
      <c r="A23" s="24" t="b">
        <v>0</v>
      </c>
      <c r="B23" t="s">
        <v>25</v>
      </c>
      <c r="C23" t="s">
        <v>0</v>
      </c>
      <c r="D23" t="s">
        <v>27</v>
      </c>
      <c r="E23" s="4">
        <v>3.3610103209415505</v>
      </c>
      <c r="F23" s="40">
        <v>0.05</v>
      </c>
      <c r="G23" s="48">
        <f>E23*G24</f>
        <v>672.20206418831015</v>
      </c>
      <c r="H23" s="48">
        <f>E23*H24</f>
        <v>672.20206418831015</v>
      </c>
      <c r="J23" s="11"/>
      <c r="M23" s="56"/>
    </row>
    <row r="24" spans="1:13" x14ac:dyDescent="0.25">
      <c r="A24" s="24" t="b">
        <v>0</v>
      </c>
      <c r="B24" t="s">
        <v>27</v>
      </c>
      <c r="C24" t="s">
        <v>0</v>
      </c>
      <c r="D24" t="s">
        <v>27</v>
      </c>
      <c r="E24" s="4">
        <v>1</v>
      </c>
      <c r="F24" s="40">
        <v>0.05</v>
      </c>
      <c r="G24" s="48">
        <v>200</v>
      </c>
      <c r="H24" s="48">
        <v>200</v>
      </c>
      <c r="J24" s="11"/>
      <c r="M24" s="56"/>
    </row>
    <row r="25" spans="1:13" x14ac:dyDescent="0.25">
      <c r="A25" s="24" t="b">
        <v>0</v>
      </c>
      <c r="B25" t="s">
        <v>29</v>
      </c>
      <c r="C25" t="s">
        <v>0</v>
      </c>
      <c r="D25" t="s">
        <v>31</v>
      </c>
      <c r="E25" s="4">
        <v>1.762582436059605</v>
      </c>
      <c r="F25" s="40">
        <v>0.05</v>
      </c>
      <c r="G25" s="48">
        <f>E25*G28</f>
        <v>352.516487211921</v>
      </c>
      <c r="H25" s="48">
        <f>E25*H28</f>
        <v>352.516487211921</v>
      </c>
      <c r="J25" s="11"/>
      <c r="M25" s="56"/>
    </row>
    <row r="26" spans="1:13" x14ac:dyDescent="0.25">
      <c r="A26" s="24" t="b">
        <v>0</v>
      </c>
      <c r="B26" t="s">
        <v>28</v>
      </c>
      <c r="C26" t="s">
        <v>0</v>
      </c>
      <c r="D26" t="s">
        <v>31</v>
      </c>
      <c r="E26" s="4">
        <v>2.1027424698958193</v>
      </c>
      <c r="F26" s="40">
        <v>0.05</v>
      </c>
      <c r="G26" s="48">
        <f>E26*G28</f>
        <v>420.54849397916382</v>
      </c>
      <c r="H26" s="48">
        <f>E26*H28</f>
        <v>420.54849397916382</v>
      </c>
      <c r="J26" s="11"/>
      <c r="M26" s="56"/>
    </row>
    <row r="27" spans="1:13" x14ac:dyDescent="0.25">
      <c r="A27" s="24" t="b">
        <v>0</v>
      </c>
      <c r="B27" t="s">
        <v>30</v>
      </c>
      <c r="C27" t="s">
        <v>0</v>
      </c>
      <c r="D27" t="s">
        <v>31</v>
      </c>
      <c r="E27" s="4">
        <v>0.64181919649547947</v>
      </c>
      <c r="F27" s="40">
        <v>0.05</v>
      </c>
      <c r="G27" s="48">
        <f>E27*G28</f>
        <v>128.3638392990959</v>
      </c>
      <c r="H27" s="48">
        <f>E27*H28</f>
        <v>128.3638392990959</v>
      </c>
      <c r="J27" s="11"/>
      <c r="M27" s="56"/>
    </row>
    <row r="28" spans="1:13" x14ac:dyDescent="0.25">
      <c r="A28" s="24" t="b">
        <v>0</v>
      </c>
      <c r="B28" t="s">
        <v>31</v>
      </c>
      <c r="C28" t="s">
        <v>0</v>
      </c>
      <c r="D28" t="s">
        <v>31</v>
      </c>
      <c r="E28" s="4">
        <v>1</v>
      </c>
      <c r="F28" s="40">
        <v>0.05</v>
      </c>
      <c r="G28" s="48">
        <v>200</v>
      </c>
      <c r="H28" s="48">
        <v>200</v>
      </c>
      <c r="J28" s="11"/>
      <c r="M28" s="5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2026-08-21T21:43:38Z</dcterms:modified>
</cp:coreProperties>
</file>