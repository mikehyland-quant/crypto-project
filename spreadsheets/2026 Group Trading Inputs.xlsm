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7D772888-44CD-4BCC-9E01-37C013B75C08}" xr6:coauthVersionLast="47" xr6:coauthVersionMax="47" xr10:uidLastSave="{00000000-0000-0000-0000-000000000000}"/>
  <bookViews>
    <workbookView xWindow="30210" yWindow="0" windowWidth="27480" windowHeight="15585" tabRatio="762" activeTab="5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2" i="23" l="1"/>
  <c r="W49" i="23"/>
  <c r="X46" i="23"/>
  <c r="T52" i="23"/>
  <c r="T49" i="23"/>
  <c r="R40" i="23"/>
  <c r="R43" i="23"/>
  <c r="R46" i="23"/>
  <c r="R49" i="23"/>
  <c r="R52" i="23"/>
  <c r="S53" i="23"/>
  <c r="S50" i="23"/>
  <c r="S47" i="23"/>
  <c r="S44" i="23"/>
  <c r="S41" i="23"/>
  <c r="D37" i="23" a="1"/>
  <c r="D36" i="23" a="1"/>
  <c r="D35" i="23" a="1"/>
  <c r="D34" i="23" a="1"/>
  <c r="D33" i="23" a="1"/>
  <c r="D32" i="23" a="1"/>
  <c r="D31" i="23" a="1"/>
  <c r="D30" i="23" a="1"/>
  <c r="D29" i="23" a="1"/>
  <c r="D28" i="23" a="1"/>
  <c r="D27" i="23" a="1"/>
  <c r="D26" i="23" a="1"/>
  <c r="D25" i="23" a="1"/>
  <c r="D24" i="23" a="1"/>
  <c r="D23" i="23" a="1"/>
  <c r="D22" i="23" a="1"/>
  <c r="D18" i="23" a="1"/>
  <c r="D17" i="23" a="1"/>
  <c r="D16" i="23" a="1"/>
  <c r="D15" i="23" a="1"/>
  <c r="D14" i="23" a="1"/>
  <c r="D13" i="23" a="1"/>
  <c r="D12" i="23" a="1"/>
  <c r="D11" i="23" a="1"/>
  <c r="D10" i="23" a="1"/>
  <c r="D9" i="23" a="1"/>
  <c r="D8" i="23" a="1"/>
  <c r="D7" i="23" a="1"/>
  <c r="D6" i="23" a="1"/>
  <c r="D5" i="23" a="1"/>
  <c r="D4" i="23" a="1"/>
  <c r="D3" i="23" a="1"/>
  <c r="A19" i="23"/>
  <c r="D21" i="23"/>
  <c r="AA32" i="23"/>
  <c r="Z32" i="23"/>
  <c r="Y32" i="23"/>
  <c r="X32" i="23"/>
  <c r="AA28" i="23"/>
  <c r="Z28" i="23"/>
  <c r="Y28" i="23"/>
  <c r="X28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N19" i="20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M33" i="23" a="1"/>
  <c r="P33" i="23" s="1"/>
  <c r="L33" i="23" a="1"/>
  <c r="O33" i="23" s="1"/>
  <c r="R33" i="23" s="1"/>
  <c r="H33" i="23" a="1"/>
  <c r="M32" i="23" a="1"/>
  <c r="P32" i="23" s="1"/>
  <c r="L32" i="23" a="1"/>
  <c r="O32" i="23" s="1"/>
  <c r="R32" i="23" s="1"/>
  <c r="H32" i="23" a="1"/>
  <c r="M29" i="23" a="1"/>
  <c r="P29" i="23" s="1"/>
  <c r="L29" i="23" a="1"/>
  <c r="O29" i="23" s="1"/>
  <c r="R29" i="23" s="1"/>
  <c r="H29" i="23" a="1"/>
  <c r="M28" i="23" a="1"/>
  <c r="P28" i="23" s="1"/>
  <c r="L28" i="23" a="1"/>
  <c r="O28" i="23" s="1"/>
  <c r="R28" i="23" s="1"/>
  <c r="H28" i="23" a="1"/>
  <c r="AA17" i="23"/>
  <c r="Z17" i="23"/>
  <c r="Y17" i="23"/>
  <c r="X17" i="23"/>
  <c r="M10" i="23" a="1"/>
  <c r="P10" i="23" s="1"/>
  <c r="L10" i="23" a="1"/>
  <c r="O10" i="23" s="1"/>
  <c r="R10" i="23" s="1"/>
  <c r="M9" i="23" a="1"/>
  <c r="P9" i="23" s="1"/>
  <c r="L9" i="23" a="1"/>
  <c r="O9" i="23" s="1"/>
  <c r="R9" i="23" s="1"/>
  <c r="M6" i="23" a="1"/>
  <c r="P6" i="23" s="1"/>
  <c r="L6" i="23" a="1"/>
  <c r="O6" i="23" s="1"/>
  <c r="R6" i="23" s="1"/>
  <c r="M5" i="23" a="1"/>
  <c r="P5" i="23" s="1"/>
  <c r="L5" i="23" a="1"/>
  <c r="O5" i="23" s="1"/>
  <c r="R5" i="23" s="1"/>
  <c r="H10" i="23" a="1"/>
  <c r="H9" i="23" a="1"/>
  <c r="H6" i="23" a="1"/>
  <c r="H5" i="23" a="1"/>
  <c r="E33" i="23" a="1"/>
  <c r="E32" i="23" a="1"/>
  <c r="E29" i="23" a="1"/>
  <c r="E28" i="23" a="1"/>
  <c r="Q33" i="23" a="1"/>
  <c r="Q32" i="23" a="1"/>
  <c r="O46" i="23" s="1"/>
  <c r="N46" i="23" s="1"/>
  <c r="Q29" i="23" a="1"/>
  <c r="Q28" i="23" a="1"/>
  <c r="Q10" i="23" a="1"/>
  <c r="Q9" i="23" a="1"/>
  <c r="Q6" i="23" a="1"/>
  <c r="Q5" i="23" a="1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E37" i="23" a="1"/>
  <c r="C37" i="23" a="1"/>
  <c r="E36" i="23" a="1"/>
  <c r="C36" i="23" a="1"/>
  <c r="E35" i="23" a="1"/>
  <c r="C35" i="23" a="1"/>
  <c r="E34" i="23" a="1"/>
  <c r="C34" i="23" a="1"/>
  <c r="C33" i="23" a="1"/>
  <c r="C32" i="23" a="1"/>
  <c r="E31" i="23" a="1"/>
  <c r="C31" i="23" a="1"/>
  <c r="E30" i="23" a="1"/>
  <c r="C30" i="23" a="1"/>
  <c r="C29" i="23" a="1"/>
  <c r="C28" i="23" a="1"/>
  <c r="E27" i="23" a="1"/>
  <c r="C27" i="23" a="1"/>
  <c r="E26" i="23" a="1"/>
  <c r="C26" i="23" a="1"/>
  <c r="E25" i="23" a="1"/>
  <c r="C25" i="23" a="1"/>
  <c r="E24" i="23" a="1"/>
  <c r="C24" i="23" a="1"/>
  <c r="E23" i="23" a="1"/>
  <c r="C23" i="23" a="1"/>
  <c r="E22" i="23" a="1"/>
  <c r="C22" i="23" a="1"/>
  <c r="E18" i="23" a="1"/>
  <c r="C18" i="23" a="1"/>
  <c r="E17" i="23" a="1"/>
  <c r="C17" i="23" a="1"/>
  <c r="E16" i="23" a="1"/>
  <c r="C16" i="23" a="1"/>
  <c r="E15" i="23" a="1"/>
  <c r="C15" i="23" a="1"/>
  <c r="E14" i="23" a="1"/>
  <c r="C14" i="23" a="1"/>
  <c r="E13" i="23" a="1"/>
  <c r="C13" i="23" a="1"/>
  <c r="E12" i="23" a="1"/>
  <c r="C12" i="23" a="1"/>
  <c r="E11" i="23" a="1"/>
  <c r="C11" i="23" a="1"/>
  <c r="E10" i="23" a="1"/>
  <c r="C10" i="23" a="1"/>
  <c r="E9" i="23" a="1"/>
  <c r="C9" i="23" a="1"/>
  <c r="E8" i="23" a="1"/>
  <c r="C8" i="23" a="1"/>
  <c r="E7" i="23" a="1"/>
  <c r="C7" i="23" a="1"/>
  <c r="E6" i="23" a="1"/>
  <c r="C6" i="23" a="1"/>
  <c r="E5" i="23" a="1"/>
  <c r="C5" i="23" a="1"/>
  <c r="E4" i="23" a="1"/>
  <c r="C4" i="23" a="1"/>
  <c r="C3" i="23" a="1"/>
  <c r="E3" i="23" a="1"/>
  <c r="E45" i="20" a="1"/>
  <c r="E44" i="20" a="1"/>
  <c r="E43" i="20" a="1"/>
  <c r="E42" i="20" a="1"/>
  <c r="E41" i="20" a="1"/>
  <c r="E40" i="20" a="1"/>
  <c r="E39" i="20" a="1"/>
  <c r="E38" i="20" a="1"/>
  <c r="E37" i="20" a="1"/>
  <c r="E36" i="20" a="1"/>
  <c r="E35" i="20" a="1"/>
  <c r="E34" i="20" a="1"/>
  <c r="E33" i="20" a="1"/>
  <c r="E32" i="20" a="1"/>
  <c r="E31" i="20" a="1"/>
  <c r="E30" i="20" a="1"/>
  <c r="E29" i="20" a="1"/>
  <c r="E28" i="20" a="1"/>
  <c r="E27" i="20" a="1"/>
  <c r="E26" i="20" a="1"/>
  <c r="E25" i="20" a="1"/>
  <c r="E24" i="20" a="1"/>
  <c r="E23" i="20" a="1"/>
  <c r="E22" i="20" a="1"/>
  <c r="E21" i="20" a="1"/>
  <c r="E20" i="20" a="1"/>
  <c r="E16" i="20" a="1"/>
  <c r="E15" i="20" a="1"/>
  <c r="E14" i="20" a="1"/>
  <c r="E13" i="20" a="1"/>
  <c r="E12" i="20" a="1"/>
  <c r="E11" i="20" a="1"/>
  <c r="E10" i="20" a="1"/>
  <c r="E9" i="20" a="1"/>
  <c r="E8" i="20" a="1"/>
  <c r="E7" i="20" a="1"/>
  <c r="E6" i="20" a="1"/>
  <c r="E5" i="20" a="1"/>
  <c r="E4" i="20" a="1"/>
  <c r="E3" i="20" a="1"/>
  <c r="L3" i="20" a="1"/>
  <c r="O3" i="20" s="1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Q37" i="23" a="1"/>
  <c r="Q36" i="23" a="1"/>
  <c r="O52" i="23" s="1"/>
  <c r="N52" i="23" s="1"/>
  <c r="Q35" i="23" a="1"/>
  <c r="Q34" i="23" a="1"/>
  <c r="O49" i="23" s="1"/>
  <c r="N49" i="23" s="1"/>
  <c r="Q31" i="23" a="1"/>
  <c r="Q30" i="23" a="1"/>
  <c r="Q27" i="23" a="1"/>
  <c r="Q26" i="23" a="1"/>
  <c r="Q25" i="23" a="1"/>
  <c r="Q24" i="23" a="1"/>
  <c r="Q23" i="23" a="1"/>
  <c r="Q22" i="23" a="1"/>
  <c r="O40" i="23" s="1"/>
  <c r="N40" i="23" s="1"/>
  <c r="Q18" i="23" a="1"/>
  <c r="Q17" i="23" a="1"/>
  <c r="Q16" i="23" a="1"/>
  <c r="Q15" i="23" a="1"/>
  <c r="Q14" i="23" a="1"/>
  <c r="Q13" i="23" a="1"/>
  <c r="Q12" i="23" a="1"/>
  <c r="Q11" i="23" a="1"/>
  <c r="Q8" i="23" a="1"/>
  <c r="Q7" i="23" a="1"/>
  <c r="Q4" i="23" a="1"/>
  <c r="Q3" i="23" a="1"/>
  <c r="Q45" i="20" a="1"/>
  <c r="Q44" i="20" a="1"/>
  <c r="Q43" i="20" a="1"/>
  <c r="Q42" i="20" a="1"/>
  <c r="Q41" i="20" a="1"/>
  <c r="Q40" i="20" a="1"/>
  <c r="Q39" i="20" a="1"/>
  <c r="Q38" i="20" a="1"/>
  <c r="Q37" i="20" a="1"/>
  <c r="Q36" i="20" a="1"/>
  <c r="Q35" i="20" a="1"/>
  <c r="Q34" i="20" a="1"/>
  <c r="Q33" i="20" a="1"/>
  <c r="Q32" i="20" a="1"/>
  <c r="Q31" i="20" a="1"/>
  <c r="Q30" i="20" a="1"/>
  <c r="Q29" i="20" a="1"/>
  <c r="Q28" i="20" a="1"/>
  <c r="Q27" i="20" a="1"/>
  <c r="Q26" i="20" a="1"/>
  <c r="Q25" i="20" a="1"/>
  <c r="Q24" i="20" a="1"/>
  <c r="Q23" i="20" a="1"/>
  <c r="Q22" i="20" a="1"/>
  <c r="Q21" i="20" a="1"/>
  <c r="Q20" i="20" a="1"/>
  <c r="Q16" i="20" a="1"/>
  <c r="Q15" i="20" a="1"/>
  <c r="Q14" i="20" a="1"/>
  <c r="Q13" i="20" a="1"/>
  <c r="Q12" i="20" a="1"/>
  <c r="Q11" i="20" a="1"/>
  <c r="Q10" i="20" a="1"/>
  <c r="Q9" i="20" a="1"/>
  <c r="Q8" i="20" a="1"/>
  <c r="Q7" i="20" a="1"/>
  <c r="Q6" i="20" a="1"/>
  <c r="Q5" i="20" a="1"/>
  <c r="Q4" i="20" a="1"/>
  <c r="Q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M30" i="23" a="1"/>
  <c r="P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H12" i="20" a="1"/>
  <c r="H11" i="20" a="1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0"/>
  <c r="M34" i="20" a="1"/>
  <c r="P34" i="20" s="1"/>
  <c r="M33" i="20" a="1"/>
  <c r="P33" i="20" s="1"/>
  <c r="M32" i="20" a="1"/>
  <c r="P32" i="20" s="1"/>
  <c r="M31" i="20" a="1"/>
  <c r="P31" i="20" s="1"/>
  <c r="M30" i="20" a="1"/>
  <c r="P30" i="20" s="1"/>
  <c r="M45" i="20" a="1"/>
  <c r="P45" i="20" s="1"/>
  <c r="M44" i="20" a="1"/>
  <c r="P44" i="20" s="1"/>
  <c r="M43" i="20" a="1"/>
  <c r="P43" i="20" s="1"/>
  <c r="M42" i="20" a="1"/>
  <c r="P42" i="20" s="1"/>
  <c r="M29" i="20" a="1"/>
  <c r="P29" i="20" s="1"/>
  <c r="M28" i="20" a="1"/>
  <c r="P28" i="20" s="1"/>
  <c r="M27" i="20" a="1"/>
  <c r="P27" i="20" s="1"/>
  <c r="M26" i="20" a="1"/>
  <c r="P26" i="20" s="1"/>
  <c r="M41" i="20" a="1"/>
  <c r="P41" i="20" s="1"/>
  <c r="M40" i="20" a="1"/>
  <c r="P40" i="20" s="1"/>
  <c r="M39" i="20" a="1"/>
  <c r="P39" i="20" s="1"/>
  <c r="M38" i="20" a="1"/>
  <c r="P38" i="20" s="1"/>
  <c r="M37" i="20" a="1"/>
  <c r="P37" i="20" s="1"/>
  <c r="M36" i="20" a="1"/>
  <c r="P36" i="20" s="1"/>
  <c r="M25" i="20" a="1"/>
  <c r="P25" i="20" s="1"/>
  <c r="M24" i="20" a="1"/>
  <c r="P24" i="20" s="1"/>
  <c r="M23" i="20" a="1"/>
  <c r="P23" i="20" s="1"/>
  <c r="M22" i="20" a="1"/>
  <c r="P22" i="20" s="1"/>
  <c r="M21" i="20" a="1"/>
  <c r="P21" i="20" s="1"/>
  <c r="M20" i="20" a="1"/>
  <c r="P20" i="20" s="1"/>
  <c r="M35" i="20" a="1"/>
  <c r="P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H21" i="20" a="1"/>
  <c r="I21" i="20" s="1"/>
  <c r="H20" i="20" a="1"/>
  <c r="H22" i="20" a="1"/>
  <c r="I22" i="20" s="1"/>
  <c r="H23" i="20" a="1"/>
  <c r="H24" i="20" a="1"/>
  <c r="I24" i="20" s="1"/>
  <c r="H25" i="20" a="1"/>
  <c r="I25" i="20" s="1"/>
  <c r="H36" i="20" a="1"/>
  <c r="H37" i="20" a="1"/>
  <c r="I37" i="20" s="1"/>
  <c r="H38" i="20" a="1"/>
  <c r="I38" i="20" s="1"/>
  <c r="H39" i="20" a="1"/>
  <c r="H40" i="20" a="1"/>
  <c r="I40" i="20" s="1"/>
  <c r="H41" i="20" a="1"/>
  <c r="I41" i="20" s="1"/>
  <c r="H26" i="20" a="1"/>
  <c r="H27" i="20" a="1"/>
  <c r="I27" i="20" s="1"/>
  <c r="H28" i="20" a="1"/>
  <c r="I28" i="20" s="1"/>
  <c r="H29" i="20" a="1"/>
  <c r="I29" i="20" s="1"/>
  <c r="H42" i="20" a="1"/>
  <c r="H43" i="20" a="1"/>
  <c r="I43" i="20" s="1"/>
  <c r="H44" i="20" a="1"/>
  <c r="I44" i="20" s="1"/>
  <c r="H45" i="20" a="1"/>
  <c r="I45" i="20" s="1"/>
  <c r="H30" i="20" a="1"/>
  <c r="H31" i="20" a="1"/>
  <c r="I31" i="20" s="1"/>
  <c r="H32" i="20" a="1"/>
  <c r="I32" i="20" s="1"/>
  <c r="H33" i="20" a="1"/>
  <c r="I33" i="20" s="1"/>
  <c r="H34" i="20" a="1"/>
  <c r="I34" i="20" s="1"/>
  <c r="H35" i="20" a="1"/>
  <c r="I35" i="20" s="1"/>
  <c r="L34" i="20" a="1"/>
  <c r="O34" i="20" s="1"/>
  <c r="R34" i="20" s="1"/>
  <c r="L32" i="20" a="1"/>
  <c r="O32" i="20" s="1"/>
  <c r="R32" i="20" s="1"/>
  <c r="L33" i="20" a="1"/>
  <c r="O33" i="20" s="1"/>
  <c r="R33" i="20" s="1"/>
  <c r="L30" i="20" a="1"/>
  <c r="O30" i="20" s="1"/>
  <c r="R30" i="20" s="1"/>
  <c r="L31" i="20" a="1"/>
  <c r="O31" i="20" s="1"/>
  <c r="R31" i="20" s="1"/>
  <c r="L35" i="20" a="1"/>
  <c r="O35" i="20" s="1"/>
  <c r="R35" i="20" s="1"/>
  <c r="L24" i="20" a="1"/>
  <c r="O24" i="20" s="1"/>
  <c r="R24" i="20" s="1"/>
  <c r="L23" i="20" a="1"/>
  <c r="O23" i="20" s="1"/>
  <c r="R23" i="20" s="1"/>
  <c r="L25" i="20" a="1"/>
  <c r="O25" i="20" s="1"/>
  <c r="R25" i="20" s="1"/>
  <c r="L21" i="20" a="1"/>
  <c r="O21" i="20" s="1"/>
  <c r="R21" i="20" s="1"/>
  <c r="L20" i="20" a="1"/>
  <c r="O20" i="20" s="1"/>
  <c r="R20" i="20" s="1"/>
  <c r="L22" i="20" a="1"/>
  <c r="O22" i="20" s="1"/>
  <c r="R22" i="20" s="1"/>
  <c r="L41" i="20" a="1"/>
  <c r="O41" i="20" s="1"/>
  <c r="R41" i="20" s="1"/>
  <c r="L39" i="20" a="1"/>
  <c r="O39" i="20" s="1"/>
  <c r="R39" i="20" s="1"/>
  <c r="L40" i="20" a="1"/>
  <c r="O40" i="20" s="1"/>
  <c r="R40" i="20" s="1"/>
  <c r="L38" i="20" a="1"/>
  <c r="O38" i="20" s="1"/>
  <c r="R38" i="20" s="1"/>
  <c r="L36" i="20" a="1"/>
  <c r="O36" i="20" s="1"/>
  <c r="R36" i="20" s="1"/>
  <c r="L37" i="20" a="1"/>
  <c r="O37" i="20" s="1"/>
  <c r="R37" i="20" s="1"/>
  <c r="L28" i="20" a="1"/>
  <c r="O28" i="20" s="1"/>
  <c r="R28" i="20" s="1"/>
  <c r="L27" i="20" a="1"/>
  <c r="O27" i="20" s="1"/>
  <c r="R27" i="20" s="1"/>
  <c r="L26" i="20" a="1"/>
  <c r="O26" i="20" s="1"/>
  <c r="R26" i="20" s="1"/>
  <c r="L29" i="20" a="1"/>
  <c r="O29" i="20" s="1"/>
  <c r="R29" i="20" s="1"/>
  <c r="L44" i="20" a="1"/>
  <c r="O44" i="20" s="1"/>
  <c r="R44" i="20" s="1"/>
  <c r="L42" i="20" a="1"/>
  <c r="O42" i="20" s="1"/>
  <c r="R42" i="20" s="1"/>
  <c r="L43" i="20" a="1"/>
  <c r="O43" i="20" s="1"/>
  <c r="R43" i="20" s="1"/>
  <c r="L45" i="20" a="1"/>
  <c r="O45" i="20" s="1"/>
  <c r="R45" i="20" s="1"/>
  <c r="B2" i="15" a="1"/>
  <c r="O43" i="23" l="1"/>
  <c r="N43" i="23" s="1"/>
  <c r="S52" i="23"/>
  <c r="S49" i="23"/>
  <c r="S46" i="23"/>
  <c r="S43" i="23"/>
  <c r="S40" i="23"/>
  <c r="T40" i="23"/>
  <c r="U40" i="23"/>
  <c r="T43" i="23"/>
  <c r="U43" i="23"/>
  <c r="T46" i="23"/>
  <c r="U46" i="23"/>
  <c r="U49" i="23"/>
  <c r="U52" i="23"/>
  <c r="S29" i="23"/>
  <c r="V28" i="23" s="1"/>
  <c r="W28" i="23" s="1"/>
  <c r="S32" i="23"/>
  <c r="T32" i="23" s="1"/>
  <c r="S28" i="23"/>
  <c r="T28" i="23" s="1"/>
  <c r="S33" i="23"/>
  <c r="V32" i="23" s="1"/>
  <c r="W32" i="23" s="1"/>
  <c r="S10" i="23"/>
  <c r="V9" i="23" s="1"/>
  <c r="W9" i="23" s="1"/>
  <c r="S9" i="23"/>
  <c r="T9" i="23" s="1"/>
  <c r="S5" i="23"/>
  <c r="T5" i="23" s="1"/>
  <c r="S6" i="23"/>
  <c r="V5" i="23" s="1"/>
  <c r="W5" i="23" s="1"/>
  <c r="J33" i="23"/>
  <c r="W46" i="23" s="1"/>
  <c r="I33" i="23"/>
  <c r="J32" i="23"/>
  <c r="I32" i="23"/>
  <c r="I29" i="23"/>
  <c r="J29" i="23"/>
  <c r="W43" i="23" s="1"/>
  <c r="J28" i="23"/>
  <c r="I28" i="23"/>
  <c r="J10" i="23"/>
  <c r="I10" i="23"/>
  <c r="J9" i="23"/>
  <c r="I9" i="23"/>
  <c r="J6" i="23"/>
  <c r="I6" i="23"/>
  <c r="J5" i="23"/>
  <c r="I5" i="23"/>
  <c r="S30" i="23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M37" i="23" a="1"/>
  <c r="L37" i="23" a="1"/>
  <c r="H37" i="23" a="1"/>
  <c r="M36" i="23" a="1"/>
  <c r="H36" i="23" a="1"/>
  <c r="L36" i="23" a="1"/>
  <c r="M35" i="23" a="1"/>
  <c r="H35" i="23" a="1"/>
  <c r="L35" i="23" a="1"/>
  <c r="M34" i="23" a="1"/>
  <c r="H34" i="23" a="1"/>
  <c r="L34" i="23" a="1"/>
  <c r="L31" i="23" a="1"/>
  <c r="H31" i="23" a="1"/>
  <c r="M31" i="23" a="1"/>
  <c r="L30" i="23" a="1"/>
  <c r="H30" i="23" a="1"/>
  <c r="M27" i="23" a="1"/>
  <c r="H27" i="23" a="1"/>
  <c r="L27" i="23" a="1"/>
  <c r="H26" i="23" a="1"/>
  <c r="L26" i="23" a="1"/>
  <c r="M26" i="23" a="1"/>
  <c r="L25" i="23" a="1"/>
  <c r="M25" i="23" a="1"/>
  <c r="H25" i="23" a="1"/>
  <c r="L24" i="23" a="1"/>
  <c r="M24" i="23" a="1"/>
  <c r="H24" i="23" a="1"/>
  <c r="L23" i="23" a="1"/>
  <c r="H23" i="23" a="1"/>
  <c r="M23" i="23" a="1"/>
  <c r="H22" i="23" a="1"/>
  <c r="L22" i="23" a="1"/>
  <c r="M22" i="23" a="1"/>
  <c r="M8" i="23" a="1"/>
  <c r="H8" i="23" a="1"/>
  <c r="L8" i="23" a="1"/>
  <c r="L7" i="23" a="1"/>
  <c r="H7" i="23" a="1"/>
  <c r="M7" i="23" a="1"/>
  <c r="M4" i="23" a="1"/>
  <c r="P4" i="23" s="1"/>
  <c r="S4" i="23" s="1"/>
  <c r="L4" i="23" a="1"/>
  <c r="O4" i="23" s="1"/>
  <c r="H4" i="23" a="1"/>
  <c r="L3" i="23" a="1"/>
  <c r="O3" i="23" s="1"/>
  <c r="H3" i="23" a="1"/>
  <c r="M3" i="23" a="1"/>
  <c r="P3" i="23" s="1"/>
  <c r="S3" i="23" s="1"/>
  <c r="L12" i="23" a="1"/>
  <c r="O12" i="23" s="1"/>
  <c r="M12" i="23" a="1"/>
  <c r="P12" i="23" s="1"/>
  <c r="S12" i="23" s="1"/>
  <c r="H12" i="23" a="1"/>
  <c r="M11" i="23" a="1"/>
  <c r="P11" i="23" s="1"/>
  <c r="S11" i="23" s="1"/>
  <c r="L11" i="23" a="1"/>
  <c r="O11" i="23" s="1"/>
  <c r="H11" i="23" a="1"/>
  <c r="H16" i="23" a="1"/>
  <c r="L16" i="23" a="1"/>
  <c r="O16" i="23" s="1"/>
  <c r="M16" i="23" a="1"/>
  <c r="P16" i="23" s="1"/>
  <c r="S16" i="23" s="1"/>
  <c r="M15" i="23" a="1"/>
  <c r="P15" i="23" s="1"/>
  <c r="S15" i="23" s="1"/>
  <c r="L15" i="23" a="1"/>
  <c r="O15" i="23" s="1"/>
  <c r="H15" i="23" a="1"/>
  <c r="H18" i="23" a="1"/>
  <c r="M18" i="23" a="1"/>
  <c r="P18" i="23" s="1"/>
  <c r="S18" i="23" s="1"/>
  <c r="L18" i="23" a="1"/>
  <c r="O18" i="23" s="1"/>
  <c r="R18" i="23" s="1"/>
  <c r="L17" i="23" a="1"/>
  <c r="O17" i="23" s="1"/>
  <c r="R17" i="23" s="1"/>
  <c r="H17" i="23" a="1"/>
  <c r="M17" i="23" a="1"/>
  <c r="P17" i="23" s="1"/>
  <c r="S17" i="23" s="1"/>
  <c r="L14" i="23" a="1"/>
  <c r="O14" i="23" s="1"/>
  <c r="H14" i="23" a="1"/>
  <c r="M14" i="23" a="1"/>
  <c r="P14" i="23" s="1"/>
  <c r="S14" i="23" s="1"/>
  <c r="L13" i="23" a="1"/>
  <c r="O13" i="23" s="1"/>
  <c r="H13" i="23" a="1"/>
  <c r="M13" i="23" a="1"/>
  <c r="P13" i="23" s="1"/>
  <c r="S13" i="23" s="1"/>
  <c r="I42" i="20"/>
  <c r="I39" i="20"/>
  <c r="I36" i="20"/>
  <c r="I30" i="20"/>
  <c r="I23" i="20"/>
  <c r="I20" i="20"/>
  <c r="I26" i="20"/>
  <c r="J21" i="20"/>
  <c r="J22" i="20"/>
  <c r="J23" i="20"/>
  <c r="J24" i="20"/>
  <c r="J25" i="20"/>
  <c r="J36" i="20"/>
  <c r="J37" i="20"/>
  <c r="J38" i="20"/>
  <c r="J39" i="20"/>
  <c r="J40" i="20"/>
  <c r="J41" i="20"/>
  <c r="J27" i="20"/>
  <c r="J28" i="20"/>
  <c r="J29" i="20"/>
  <c r="J42" i="20"/>
  <c r="J43" i="20"/>
  <c r="J44" i="20"/>
  <c r="J45" i="20"/>
  <c r="J30" i="20"/>
  <c r="J31" i="20"/>
  <c r="J32" i="20"/>
  <c r="J33" i="20"/>
  <c r="J34" i="20"/>
  <c r="J35" i="20"/>
  <c r="J20" i="20"/>
  <c r="H16" i="20" a="1"/>
  <c r="I16" i="20" s="1"/>
  <c r="M16" i="20" a="1"/>
  <c r="L16" i="20" a="1"/>
  <c r="M15" i="20" a="1"/>
  <c r="L15" i="20" a="1"/>
  <c r="H15" i="20" a="1"/>
  <c r="I15" i="20" s="1"/>
  <c r="L14" i="20" a="1"/>
  <c r="M14" i="20" a="1"/>
  <c r="H14" i="20" a="1"/>
  <c r="I14" i="20" s="1"/>
  <c r="H13" i="20" a="1"/>
  <c r="I13" i="20" s="1"/>
  <c r="L13" i="20" a="1"/>
  <c r="M13" i="20" a="1"/>
  <c r="L12" i="20" a="1"/>
  <c r="O12" i="20" s="1"/>
  <c r="M12" i="20" a="1"/>
  <c r="L11" i="20" a="1"/>
  <c r="O11" i="20" s="1"/>
  <c r="M11" i="20" a="1"/>
  <c r="L10" i="20" a="1"/>
  <c r="M10" i="20" a="1"/>
  <c r="H10" i="20" a="1"/>
  <c r="I10" i="20" s="1"/>
  <c r="H9" i="20" a="1"/>
  <c r="I9" i="20" s="1"/>
  <c r="M9" i="20" a="1"/>
  <c r="L9" i="20" a="1"/>
  <c r="M8" i="20" a="1"/>
  <c r="L8" i="20" a="1"/>
  <c r="H8" i="20" a="1"/>
  <c r="I8" i="20" s="1"/>
  <c r="H7" i="20" a="1"/>
  <c r="I7" i="20" s="1"/>
  <c r="L7" i="20" a="1"/>
  <c r="M7" i="20" a="1"/>
  <c r="M6" i="20" a="1"/>
  <c r="H6" i="20" a="1"/>
  <c r="I6" i="20" s="1"/>
  <c r="L6" i="20" a="1"/>
  <c r="H5" i="20" a="1"/>
  <c r="L5" i="20" a="1"/>
  <c r="M5" i="20" a="1"/>
  <c r="L4" i="20" a="1"/>
  <c r="H4" i="20" a="1"/>
  <c r="I4" i="20" s="1"/>
  <c r="M4" i="20" a="1"/>
  <c r="R3" i="20"/>
  <c r="H3" i="20" a="1"/>
  <c r="I3" i="20" s="1"/>
  <c r="M3" i="20" a="1"/>
  <c r="J26" i="20"/>
  <c r="T30" i="20"/>
  <c r="T42" i="20"/>
  <c r="T26" i="20"/>
  <c r="T39" i="20"/>
  <c r="T36" i="20"/>
  <c r="T23" i="20"/>
  <c r="T20" i="20"/>
  <c r="U28" i="23" l="1"/>
  <c r="AA33" i="23"/>
  <c r="Y33" i="23"/>
  <c r="AA29" i="23"/>
  <c r="Y29" i="23"/>
  <c r="U9" i="23"/>
  <c r="U32" i="23"/>
  <c r="U36" i="20"/>
  <c r="V36" i="20" s="1"/>
  <c r="W36" i="20" s="1"/>
  <c r="U42" i="20"/>
  <c r="V42" i="20" s="1"/>
  <c r="W42" i="20" s="1"/>
  <c r="U39" i="20"/>
  <c r="V39" i="20" s="1"/>
  <c r="W39" i="20" s="1"/>
  <c r="U20" i="20"/>
  <c r="V20" i="20" s="1"/>
  <c r="W20" i="20" s="1"/>
  <c r="U30" i="20"/>
  <c r="V30" i="20" s="1"/>
  <c r="W30" i="20" s="1"/>
  <c r="U26" i="20"/>
  <c r="V26" i="20" s="1"/>
  <c r="W26" i="20" s="1"/>
  <c r="U23" i="20"/>
  <c r="V23" i="20" s="1"/>
  <c r="W23" i="20" s="1"/>
  <c r="U5" i="23"/>
  <c r="K32" i="23"/>
  <c r="K5" i="23"/>
  <c r="V17" i="23"/>
  <c r="W17" i="23" s="1"/>
  <c r="K28" i="23"/>
  <c r="T17" i="23"/>
  <c r="U17" i="23" s="1"/>
  <c r="K9" i="23"/>
  <c r="P37" i="23"/>
  <c r="S37" i="23" s="1"/>
  <c r="O37" i="23"/>
  <c r="R37" i="23" s="1"/>
  <c r="P36" i="23"/>
  <c r="S36" i="23" s="1"/>
  <c r="O36" i="23"/>
  <c r="R36" i="23" s="1"/>
  <c r="P35" i="23"/>
  <c r="S35" i="23" s="1"/>
  <c r="O35" i="23"/>
  <c r="R35" i="23" s="1"/>
  <c r="P34" i="23"/>
  <c r="S34" i="23" s="1"/>
  <c r="O34" i="23"/>
  <c r="R34" i="23" s="1"/>
  <c r="O31" i="23"/>
  <c r="R31" i="23" s="1"/>
  <c r="T30" i="23" s="1"/>
  <c r="P31" i="23"/>
  <c r="S31" i="23" s="1"/>
  <c r="O30" i="23"/>
  <c r="R30" i="23" s="1"/>
  <c r="P27" i="23"/>
  <c r="S27" i="23" s="1"/>
  <c r="O27" i="23"/>
  <c r="R27" i="23" s="1"/>
  <c r="O26" i="23"/>
  <c r="R26" i="23" s="1"/>
  <c r="P26" i="23"/>
  <c r="S26" i="23" s="1"/>
  <c r="O25" i="23"/>
  <c r="R25" i="23" s="1"/>
  <c r="P25" i="23"/>
  <c r="S25" i="23" s="1"/>
  <c r="O24" i="23"/>
  <c r="R24" i="23" s="1"/>
  <c r="P24" i="23"/>
  <c r="S24" i="23" s="1"/>
  <c r="O23" i="23"/>
  <c r="R23" i="23" s="1"/>
  <c r="P23" i="23"/>
  <c r="S23" i="23" s="1"/>
  <c r="P22" i="23"/>
  <c r="S22" i="23" s="1"/>
  <c r="O22" i="23"/>
  <c r="R22" i="23" s="1"/>
  <c r="R12" i="23"/>
  <c r="T11" i="23" s="1"/>
  <c r="U11" i="23" s="1"/>
  <c r="R11" i="23"/>
  <c r="V11" i="23" s="1"/>
  <c r="R16" i="23"/>
  <c r="T15" i="23" s="1"/>
  <c r="U15" i="23" s="1"/>
  <c r="R15" i="23"/>
  <c r="V15" i="23" s="1"/>
  <c r="R14" i="23"/>
  <c r="T13" i="23" s="1"/>
  <c r="U13" i="23" s="1"/>
  <c r="R13" i="23"/>
  <c r="V13" i="23" s="1"/>
  <c r="P8" i="23"/>
  <c r="S8" i="23" s="1"/>
  <c r="O8" i="23"/>
  <c r="R8" i="23" s="1"/>
  <c r="O7" i="23"/>
  <c r="R7" i="23" s="1"/>
  <c r="P7" i="23"/>
  <c r="S7" i="23" s="1"/>
  <c r="R4" i="23"/>
  <c r="T3" i="23" s="1"/>
  <c r="U3" i="23" s="1"/>
  <c r="X4" i="23" s="1"/>
  <c r="R3" i="23"/>
  <c r="V3" i="23" s="1"/>
  <c r="P16" i="20"/>
  <c r="S16" i="20" s="1"/>
  <c r="O16" i="20"/>
  <c r="R16" i="20" s="1"/>
  <c r="P15" i="20"/>
  <c r="S15" i="20" s="1"/>
  <c r="O15" i="20"/>
  <c r="R15" i="20" s="1"/>
  <c r="O14" i="20"/>
  <c r="R14" i="20" s="1"/>
  <c r="P14" i="20"/>
  <c r="S14" i="20" s="1"/>
  <c r="O13" i="20"/>
  <c r="R13" i="20" s="1"/>
  <c r="P13" i="20"/>
  <c r="S13" i="20" s="1"/>
  <c r="P12" i="20"/>
  <c r="S12" i="20" s="1"/>
  <c r="P11" i="20"/>
  <c r="S11" i="20" s="1"/>
  <c r="O10" i="20"/>
  <c r="R10" i="20" s="1"/>
  <c r="P10" i="20"/>
  <c r="S10" i="20" s="1"/>
  <c r="P9" i="20"/>
  <c r="S9" i="20" s="1"/>
  <c r="O9" i="20"/>
  <c r="R9" i="20" s="1"/>
  <c r="P8" i="20"/>
  <c r="S8" i="20" s="1"/>
  <c r="O8" i="20"/>
  <c r="R8" i="20" s="1"/>
  <c r="O7" i="20"/>
  <c r="R7" i="20" s="1"/>
  <c r="P7" i="20"/>
  <c r="S7" i="20" s="1"/>
  <c r="P6" i="20"/>
  <c r="S6" i="20" s="1"/>
  <c r="O6" i="20"/>
  <c r="R6" i="20" s="1"/>
  <c r="O5" i="20"/>
  <c r="R5" i="20" s="1"/>
  <c r="P5" i="20"/>
  <c r="S5" i="20" s="1"/>
  <c r="O4" i="20"/>
  <c r="R4" i="20" s="1"/>
  <c r="P4" i="20"/>
  <c r="S4" i="20" s="1"/>
  <c r="V3" i="20" s="1"/>
  <c r="P3" i="20"/>
  <c r="S3" i="20" s="1"/>
  <c r="I37" i="23"/>
  <c r="J37" i="23"/>
  <c r="I36" i="23"/>
  <c r="J36" i="23"/>
  <c r="I35" i="23"/>
  <c r="J35" i="23"/>
  <c r="I34" i="23"/>
  <c r="J34" i="23"/>
  <c r="I31" i="23"/>
  <c r="J31" i="23"/>
  <c r="I30" i="23"/>
  <c r="J30" i="23"/>
  <c r="I27" i="23"/>
  <c r="J27" i="23"/>
  <c r="I26" i="23"/>
  <c r="J26" i="23"/>
  <c r="I25" i="23"/>
  <c r="J25" i="23"/>
  <c r="J24" i="23"/>
  <c r="I24" i="23"/>
  <c r="J23" i="23"/>
  <c r="W40" i="23" s="1"/>
  <c r="I23" i="23"/>
  <c r="I22" i="23"/>
  <c r="J22" i="23"/>
  <c r="I8" i="23"/>
  <c r="J8" i="23"/>
  <c r="I7" i="23"/>
  <c r="J7" i="23"/>
  <c r="I4" i="23"/>
  <c r="J4" i="23"/>
  <c r="I3" i="23"/>
  <c r="J3" i="23"/>
  <c r="I12" i="23"/>
  <c r="J12" i="23"/>
  <c r="I11" i="23"/>
  <c r="J11" i="23"/>
  <c r="I16" i="23"/>
  <c r="J16" i="23"/>
  <c r="I15" i="23"/>
  <c r="J15" i="23"/>
  <c r="J18" i="23"/>
  <c r="I18" i="23"/>
  <c r="J17" i="23"/>
  <c r="I17" i="23"/>
  <c r="I14" i="23"/>
  <c r="J14" i="23"/>
  <c r="I13" i="23"/>
  <c r="J13" i="23"/>
  <c r="K20" i="20"/>
  <c r="R12" i="20"/>
  <c r="I12" i="20"/>
  <c r="R11" i="20"/>
  <c r="I11" i="20"/>
  <c r="J16" i="20"/>
  <c r="J15" i="20"/>
  <c r="J14" i="20"/>
  <c r="J13" i="20"/>
  <c r="J12" i="20"/>
  <c r="J11" i="20"/>
  <c r="J10" i="20"/>
  <c r="J9" i="20"/>
  <c r="J8" i="20"/>
  <c r="J7" i="20"/>
  <c r="J6" i="20"/>
  <c r="J5" i="20"/>
  <c r="I5" i="20"/>
  <c r="J4" i="20"/>
  <c r="J3" i="20"/>
  <c r="K23" i="20"/>
  <c r="K36" i="20"/>
  <c r="K39" i="20"/>
  <c r="K42" i="20"/>
  <c r="K30" i="20"/>
  <c r="K26" i="20"/>
  <c r="V22" i="23" l="1"/>
  <c r="Z29" i="23"/>
  <c r="X29" i="23"/>
  <c r="Z33" i="23"/>
  <c r="X33" i="23"/>
  <c r="W3" i="20"/>
  <c r="V7" i="20"/>
  <c r="W7" i="20" s="1"/>
  <c r="V15" i="20"/>
  <c r="W15" i="20" s="1"/>
  <c r="V13" i="20"/>
  <c r="W13" i="20" s="1"/>
  <c r="V9" i="20"/>
  <c r="W9" i="20" s="1"/>
  <c r="T9" i="20"/>
  <c r="U9" i="20" s="1"/>
  <c r="T13" i="20"/>
  <c r="U13" i="20" s="1"/>
  <c r="T15" i="20"/>
  <c r="U15" i="20" s="1"/>
  <c r="T11" i="20"/>
  <c r="U11" i="20" s="1"/>
  <c r="V11" i="20"/>
  <c r="W11" i="20" s="1"/>
  <c r="V5" i="20"/>
  <c r="W5" i="20" s="1"/>
  <c r="T7" i="20"/>
  <c r="U7" i="20" s="1"/>
  <c r="T5" i="20"/>
  <c r="U5" i="20" s="1"/>
  <c r="T3" i="20"/>
  <c r="U3" i="20" s="1"/>
  <c r="AA18" i="23"/>
  <c r="Y18" i="23"/>
  <c r="Z18" i="23"/>
  <c r="X18" i="23"/>
  <c r="W11" i="23"/>
  <c r="V36" i="23"/>
  <c r="W3" i="23"/>
  <c r="W13" i="23"/>
  <c r="Z16" i="23"/>
  <c r="X16" i="23"/>
  <c r="Z14" i="23"/>
  <c r="X14" i="23"/>
  <c r="Z12" i="23"/>
  <c r="X12" i="23"/>
  <c r="W15" i="23"/>
  <c r="V34" i="23"/>
  <c r="W34" i="23" s="1"/>
  <c r="V7" i="23"/>
  <c r="W7" i="23" s="1"/>
  <c r="T7" i="23"/>
  <c r="U7" i="23" s="1"/>
  <c r="U30" i="23"/>
  <c r="T36" i="23"/>
  <c r="T34" i="23"/>
  <c r="V30" i="23"/>
  <c r="W30" i="23" s="1"/>
  <c r="V24" i="23"/>
  <c r="W24" i="23" s="1"/>
  <c r="V26" i="23"/>
  <c r="W26" i="23" s="1"/>
  <c r="T26" i="23"/>
  <c r="U26" i="23" s="1"/>
  <c r="T24" i="23"/>
  <c r="U24" i="23" s="1"/>
  <c r="T22" i="23"/>
  <c r="U22" i="23" s="1"/>
  <c r="K17" i="23"/>
  <c r="K13" i="23"/>
  <c r="K24" i="23"/>
  <c r="K36" i="23"/>
  <c r="K7" i="23"/>
  <c r="K3" i="23"/>
  <c r="K34" i="23"/>
  <c r="K30" i="23"/>
  <c r="K26" i="23"/>
  <c r="K22" i="23"/>
  <c r="K11" i="23"/>
  <c r="K15" i="23"/>
  <c r="K5" i="20"/>
  <c r="K9" i="20"/>
  <c r="K11" i="20"/>
  <c r="X33" i="20"/>
  <c r="Y33" i="20" a="1"/>
  <c r="X28" i="20"/>
  <c r="Y28" i="20" a="1"/>
  <c r="X24" i="20"/>
  <c r="Y24" i="20" a="1"/>
  <c r="X21" i="20"/>
  <c r="Y21" i="20" a="1"/>
  <c r="K7" i="20"/>
  <c r="K15" i="20"/>
  <c r="K13" i="20"/>
  <c r="K3" i="20"/>
  <c r="U36" i="23" l="1"/>
  <c r="U34" i="23"/>
  <c r="W22" i="23"/>
  <c r="AA4" i="20"/>
  <c r="Y4" i="20"/>
  <c r="Y16" i="20"/>
  <c r="AA16" i="20"/>
  <c r="X16" i="20"/>
  <c r="Z16" i="20"/>
  <c r="Z14" i="20"/>
  <c r="X14" i="20"/>
  <c r="AA14" i="20"/>
  <c r="Y14" i="20"/>
  <c r="Z12" i="20"/>
  <c r="X12" i="20"/>
  <c r="AA12" i="20"/>
  <c r="Y12" i="20"/>
  <c r="AA10" i="20"/>
  <c r="Y10" i="20"/>
  <c r="Z10" i="20"/>
  <c r="X10" i="20"/>
  <c r="AA8" i="20"/>
  <c r="Y8" i="20"/>
  <c r="Z8" i="20"/>
  <c r="X8" i="20"/>
  <c r="AA6" i="20"/>
  <c r="Y6" i="20"/>
  <c r="Z6" i="20"/>
  <c r="X6" i="20"/>
  <c r="X4" i="20"/>
  <c r="Z4" i="20"/>
  <c r="W36" i="23"/>
  <c r="Y14" i="23"/>
  <c r="AA14" i="23"/>
  <c r="AA12" i="23"/>
  <c r="Y12" i="23"/>
  <c r="AA4" i="23"/>
  <c r="Y4" i="23"/>
  <c r="AA35" i="23"/>
  <c r="Y35" i="23"/>
  <c r="AA25" i="23"/>
  <c r="Y25" i="23"/>
  <c r="Z25" i="23"/>
  <c r="X25" i="23"/>
  <c r="Z23" i="23"/>
  <c r="X23" i="23"/>
  <c r="AA16" i="23"/>
  <c r="Y16" i="23"/>
  <c r="AA8" i="23"/>
  <c r="Y8" i="23"/>
  <c r="Z8" i="23"/>
  <c r="X8" i="23"/>
  <c r="Z4" i="23"/>
  <c r="Z37" i="23" l="1"/>
  <c r="X37" i="23"/>
  <c r="Z35" i="23"/>
  <c r="X35" i="23"/>
  <c r="AA23" i="23"/>
  <c r="Y23" i="23"/>
  <c r="AA37" i="23"/>
  <c r="Y37" i="23"/>
  <c r="G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<sst xmlns="http://schemas.openxmlformats.org/spreadsheetml/2006/main" count="1409" uniqueCount="194">
  <si>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</si>
  <si>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</si>
  <si>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</si>
  <si>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</si>
  <si>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</si>
  <si>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</si>
  <si>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</si>
  <si>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</si>
  <si>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</si>
  <si>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</si>
  <si>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</si>
  <si>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</si>
  <si>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</si>
  <si>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</si>
  <si>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</si>
  <si>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</si>
  <si>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</si>
  <si>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</si>
  <si>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</si>
  <si>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</si>
  <si>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</si>
  <si>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</si>
  <si>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</si>
  <si>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</si>
  <si>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</si>
  <si>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</si>
  <si>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</si>
  <si>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</si>
  <si>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</si>
  <si>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</si>
  <si>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</si>
  <si>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</si>
  <si>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</si>
  <si>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</si>
  <si>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</si>
  <si>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</si>
  <si>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</si>
  <si>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</si>
  <si>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</si>
  <si>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</si>
  <si>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</si>
  <si>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</si>
  <si>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</si>
  <si>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</si>
  <si>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</si>
  <si>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</si>
  <si>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</si>
  <si>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</si>
  <si>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</si>
  <si>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</si>
  <si>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</si>
  <si>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</si>
  <si>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</si>
  <si>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</si>
  <si>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</si>
  <si>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</si>
  <si>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</si>
  <si>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</si>
  <si>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</si>
  <si>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</si>
  <si>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</si>
  <si>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</si>
  <si>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</si>
  <si>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</si>
  <si>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</si>
  <si>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</si>
  <si>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</si>
  <si>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</si>
  <si>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</si>
  <si>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</si>
  <si>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</si>
  <si>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</si>
  <si>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</si>
  <si>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</si>
  <si>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</si>
  <si>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</si>
  <si>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</si>
  <si>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</si>
  <si>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</si>
  <si>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</si>
  <si>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</si>
  <si>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</si>
  <si>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</si>
  <si>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</si>
  <si>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</si>
  <si>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</si>
  <si>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</si>
  <si>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</si>
  <si>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</si>
  <si>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</si>
  <si>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</si>
  <si>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</si>
  <si>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</si>
  <si>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</si>
  <si>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</si>
  <si>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</si>
  <si>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</si>
  <si>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</si>
  <si>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</si>
  <si>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</si>
  <si>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</si>
  <si>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</si>
  <si>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</si>
  <si>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</si>
  <si>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</si>
  <si>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</si>
  <si>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</si>
  <si>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</si>
  <si>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</si>
  <si>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</si>
  <si>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</si>
  <si>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</si>
  <si>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</si>
  <si>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</si>
  <si>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</si>
  <si>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</si>
  <si>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</si>
  <si>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</si>
  <si>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</si>
  <si>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</si>
  <si>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</si>
  <si>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</si>
  <si>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</si>
  <si>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</si>
  <si>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</si>
  <si>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</si>
  <si>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</si>
  <si>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</si>
  <si>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</si>
  <si>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</si>
  <si>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</si>
  <si>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</si>
  <si>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</si>
  <si>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</si>
  <si>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add divs for first ex-date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</si>
  <si>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</si>
  <si>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</si>
  <si>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</si>
  <si>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</si>
  <si>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</si>
  <si>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</si>
  <si>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</si>
  <si>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</si>
  <si>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</si>
  <si>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</si>
  <si>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</si>
  <si>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</si>
  <si>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</si>
  <si>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</si>
  <si>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</si>
  <si>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</si>
  <si>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</si>
  <si>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</si>
  <si>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</si>
  <si>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</si>
  <si>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</si>
  <si>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</si>
  <si>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</si>
  <si>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</si>
  <si>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</si>
  <si>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</si>
  <si>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</si>
  <si>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</si>
  <si>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</si>
  <si>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</si>
  <si>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</si>
  <si>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</si>
  <si>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</si>
  <si>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</si>
  <si>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</si>
  <si>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</si>
  <si>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</si>
  <si>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</si>
  <si>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</si>
  <si>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</si>
  <si>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</si>
  <si>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</si>
  <si>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</si>
  <si>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SCALARS</t>
  </si>
  <si>
    <t>scalar_outputs_download_cell</t>
  </si>
  <si>
    <t>scalar_outputs_sheet</t>
  </si>
  <si>
    <t>avg_daily_volume</t>
  </si>
  <si>
    <t>STAPLES TOO MUCH</t>
  </si>
  <si>
    <t>ENERGY STILL HAVE ROOM</t>
  </si>
  <si>
    <t>TECH STILL HAVE 1000 UNITS</t>
  </si>
  <si>
    <t>2026-09-02_16-28-11</t>
  </si>
  <si>
    <t>CLOSE</t>
  </si>
  <si>
    <t>UNIT</t>
  </si>
  <si>
    <t>DIFF</t>
  </si>
  <si>
    <t>% DIFF</t>
  </si>
  <si>
    <t>SCALAR</t>
  </si>
  <si>
    <t>SCALAR CHG</t>
  </si>
  <si>
    <t>UNIT CHG</t>
  </si>
  <si>
    <t>2026-09-03_07-51-27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</si>
</sst>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8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165" fontId="11" fillId="0" borderId="0" xfId="3" applyNumberFormat="1" applyFont="1" applyAlignment="1">
      <alignment horizontal="right" vertical="center"/>
    </xf>
    <xf numFmtId="14" fontId="4" fillId="2" borderId="0" xfId="1" applyNumberFormat="1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10" fontId="21" fillId="2" borderId="0" xfId="0" applyNumberFormat="1" applyFont="1" applyFill="1"/>
    <xf numFmtId="10" fontId="21" fillId="2" borderId="0" xfId="2" applyNumberFormat="1" applyFont="1" applyFill="1"/>
    <xf numFmtId="10" fontId="21" fillId="0" borderId="0" xfId="2" applyNumberFormat="1" applyFont="1" applyFill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22" fillId="0" borderId="0" xfId="0" applyFont="1"/>
    <xf numFmtId="0" fontId="21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/>
    <xf numFmtId="0" fontId="19" fillId="0" borderId="3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0" borderId="0" xfId="2" applyNumberFormat="1" applyFont="1" applyFill="1"/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44" fontId="0" fillId="0" borderId="10" xfId="1" applyFont="1" applyBorder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8" fillId="0" borderId="9" xfId="0" applyFont="1" applyBorder="1"/>
    <xf numFmtId="0" fontId="8" fillId="0" borderId="11" xfId="0" applyFont="1" applyBorder="1"/>
    <xf numFmtId="0" fontId="19" fillId="0" borderId="9" xfId="0" applyFont="1" applyBorder="1"/>
    <xf numFmtId="0" fontId="19" fillId="0" borderId="11" xfId="0" applyFont="1" applyBorder="1"/>
    <xf numFmtId="44" fontId="21" fillId="0" borderId="9" xfId="1" applyFont="1" applyBorder="1"/>
    <xf numFmtId="44" fontId="21" fillId="0" borderId="11" xfId="1" applyFont="1" applyBorder="1"/>
    <xf numFmtId="0" fontId="9" fillId="0" borderId="2" xfId="0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44" fontId="21" fillId="0" borderId="10" xfId="1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0" fillId="0" borderId="0" xfId="3" applyNumberFormat="1" applyFont="1" applyFill="1"/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3" fillId="0" borderId="0" xfId="0" applyNumberFormat="1" applyFont="1"/>
    <xf numFmtId="165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166" fontId="29" fillId="0" borderId="1" xfId="0" applyNumberFormat="1" applyFont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1" fillId="4" borderId="3" xfId="2" applyNumberFormat="1" applyFont="1" applyFill="1" applyBorder="1" applyAlignment="1">
      <alignment vertical="center"/>
    </xf>
    <xf numFmtId="167" fontId="1" fillId="4" borderId="8" xfId="2" applyNumberFormat="1" applyFont="1" applyFill="1" applyBorder="1" applyAlignment="1">
      <alignment vertical="center"/>
    </xf>
    <xf numFmtId="167" fontId="0" fillId="4" borderId="3" xfId="2" applyNumberFormat="1" applyFont="1" applyFill="1" applyBorder="1" applyAlignment="1">
      <alignment vertical="center"/>
    </xf>
    <xf numFmtId="167" fontId="0" fillId="4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10" fillId="0" borderId="2" xfId="0" applyFont="1" applyBorder="1"/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43" fontId="22" fillId="0" borderId="3" xfId="0" applyNumberFormat="1" applyFont="1" applyBorder="1" applyAlignment="1">
      <alignment horizontal="center" vertical="center"/>
    </xf>
    <xf numFmtId="43" fontId="22" fillId="0" borderId="8" xfId="0" applyNumberFormat="1" applyFont="1" applyBorder="1" applyAlignment="1">
      <alignment horizontal="center" vertical="center"/>
    </xf>
    <xf numFmtId="43" fontId="22" fillId="0" borderId="3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166" fontId="21" fillId="0" borderId="2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0" fontId="10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3" fontId="22" fillId="0" borderId="5" xfId="0" applyNumberFormat="1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44" fontId="0" fillId="0" borderId="0" xfId="0" applyNumberForma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51"/>
    <tableColumn id="2" xr3:uid="{F486AEE1-C7BF-4FB6-956C-83C2ABB71F18}" name="sector"/>
    <tableColumn id="1" xr3:uid="{4425B6E4-20BC-47CF-A149-57992AA900B4}" name="my_fi_name" dataDxfId="50"/>
    <tableColumn id="6" xr3:uid="{3FB674DC-28D9-413B-AEF2-94CC07DCB1E2}" name="my_pf_name" dataDxfId="49"/>
    <tableColumn id="5" xr3:uid="{1C677B6D-D63E-4271-8F12-49B31EA5C0F2}" name="anchor"/>
    <tableColumn id="3" xr3:uid="{B174390F-1C67-417C-A283-D8C2F19DC00A}" name="moving_avg_days" dataDxfId="48"/>
    <tableColumn id="7" xr3:uid="{C52E743F-9654-49BA-BB50-AD02E79E39CB}" name="div_trea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K17" sqref="K17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146</v>
      </c>
    </row>
    <row r="4" spans="1:4" x14ac:dyDescent="0.25">
      <c r="A4" t="s">
        <v>180</v>
      </c>
      <c r="B4" t="s">
        <v>178</v>
      </c>
    </row>
    <row r="5" spans="1:4" x14ac:dyDescent="0.25">
      <c r="A5" t="s">
        <v>179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8">
        <v>46268.317615740743</v>
      </c>
    </row>
    <row r="7" spans="1:4" x14ac:dyDescent="0.25">
      <c r="A7" t="s">
        <v>81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workbookViewId="0">
      <selection activeCell="O36" sqref="O36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22.42578125" style="1" bestFit="1" customWidth="1"/>
  </cols>
  <sheetData>
    <row r="1" spans="1:9" ht="15" customHeight="1" x14ac:dyDescent="0.25">
      <c r="A1" t="s">
        <v>61</v>
      </c>
      <c r="B1" t="s">
        <v>127</v>
      </c>
      <c r="C1" s="8" t="s">
        <v>2</v>
      </c>
      <c r="D1" t="s">
        <v>1</v>
      </c>
      <c r="E1" t="s">
        <v>98</v>
      </c>
      <c r="F1" s="1" t="s">
        <v>9</v>
      </c>
      <c r="G1" t="s">
        <v>147</v>
      </c>
      <c r="H1" s="1"/>
      <c r="I1" s="1"/>
    </row>
    <row r="2" spans="1:9" ht="15" customHeight="1" x14ac:dyDescent="0.25">
      <c r="A2" t="s">
        <v>148</v>
      </c>
      <c r="B2" t="s">
        <v>149</v>
      </c>
      <c r="C2" s="8" t="s">
        <v>8</v>
      </c>
      <c r="D2" t="s">
        <v>0</v>
      </c>
      <c r="E2" t="s">
        <v>8</v>
      </c>
      <c r="F2" s="1">
        <v>20</v>
      </c>
      <c r="G2"/>
      <c r="H2" s="1"/>
      <c r="I2" s="1"/>
    </row>
    <row r="3" spans="1:9" ht="15" customHeight="1" x14ac:dyDescent="0.25">
      <c r="A3" t="s">
        <v>148</v>
      </c>
      <c r="B3" t="s">
        <v>149</v>
      </c>
      <c r="C3" s="8" t="s">
        <v>7</v>
      </c>
      <c r="D3" t="s">
        <v>0</v>
      </c>
      <c r="E3" t="s">
        <v>8</v>
      </c>
      <c r="F3" s="1">
        <v>20</v>
      </c>
      <c r="G3"/>
      <c r="H3" s="1"/>
      <c r="I3" s="1"/>
    </row>
    <row r="4" spans="1:9" ht="15" customHeight="1" x14ac:dyDescent="0.25">
      <c r="A4" t="s">
        <v>148</v>
      </c>
      <c r="B4" t="s">
        <v>149</v>
      </c>
      <c r="C4" s="8" t="s">
        <v>5</v>
      </c>
      <c r="D4" t="s">
        <v>0</v>
      </c>
      <c r="E4" t="s">
        <v>8</v>
      </c>
      <c r="F4" s="1">
        <v>20</v>
      </c>
      <c r="G4"/>
      <c r="H4" s="1"/>
      <c r="I4" s="1"/>
    </row>
    <row r="5" spans="1:9" ht="15" customHeight="1" x14ac:dyDescent="0.25">
      <c r="A5" t="s">
        <v>148</v>
      </c>
      <c r="B5" t="s">
        <v>149</v>
      </c>
      <c r="C5" s="8" t="s">
        <v>6</v>
      </c>
      <c r="D5" t="s">
        <v>0</v>
      </c>
      <c r="E5" t="s">
        <v>8</v>
      </c>
      <c r="F5" s="1">
        <v>20</v>
      </c>
      <c r="G5"/>
      <c r="H5" s="1"/>
      <c r="I5" s="1"/>
    </row>
    <row r="6" spans="1:9" ht="15" customHeight="1" x14ac:dyDescent="0.25">
      <c r="A6" t="s">
        <v>148</v>
      </c>
      <c r="B6" t="s">
        <v>150</v>
      </c>
      <c r="C6" s="8" t="s">
        <v>44</v>
      </c>
      <c r="D6" t="s">
        <v>0</v>
      </c>
      <c r="E6" t="s">
        <v>44</v>
      </c>
      <c r="F6" s="1">
        <v>20</v>
      </c>
      <c r="G6"/>
      <c r="H6" s="1"/>
      <c r="I6" s="1"/>
    </row>
    <row r="7" spans="1:9" ht="15" customHeight="1" x14ac:dyDescent="0.25">
      <c r="A7" t="s">
        <v>148</v>
      </c>
      <c r="B7" t="s">
        <v>150</v>
      </c>
      <c r="C7" s="8" t="s">
        <v>50</v>
      </c>
      <c r="D7" t="s">
        <v>0</v>
      </c>
      <c r="E7" t="s">
        <v>44</v>
      </c>
      <c r="F7" s="1">
        <v>20</v>
      </c>
      <c r="G7"/>
      <c r="H7" s="1"/>
      <c r="I7" s="1"/>
    </row>
    <row r="8" spans="1:9" ht="15" customHeight="1" x14ac:dyDescent="0.25">
      <c r="A8" t="s">
        <v>148</v>
      </c>
      <c r="B8" t="s">
        <v>151</v>
      </c>
      <c r="C8" s="8" t="s">
        <v>31</v>
      </c>
      <c r="D8" t="s">
        <v>0</v>
      </c>
      <c r="E8" t="s">
        <v>31</v>
      </c>
      <c r="F8" s="1">
        <v>20</v>
      </c>
      <c r="G8"/>
      <c r="H8" s="1"/>
      <c r="I8" s="1"/>
    </row>
    <row r="9" spans="1:9" ht="15" customHeight="1" x14ac:dyDescent="0.25">
      <c r="A9" t="s">
        <v>148</v>
      </c>
      <c r="B9" t="s">
        <v>151</v>
      </c>
      <c r="C9" s="8" t="s">
        <v>28</v>
      </c>
      <c r="D9" t="s">
        <v>0</v>
      </c>
      <c r="E9" t="s">
        <v>31</v>
      </c>
      <c r="F9" s="1">
        <v>20</v>
      </c>
      <c r="G9"/>
      <c r="H9" s="1"/>
      <c r="I9" s="1"/>
    </row>
    <row r="10" spans="1:9" ht="15" customHeight="1" x14ac:dyDescent="0.25">
      <c r="A10" t="s">
        <v>148</v>
      </c>
      <c r="B10" t="s">
        <v>151</v>
      </c>
      <c r="C10" s="8" t="s">
        <v>29</v>
      </c>
      <c r="D10" t="s">
        <v>0</v>
      </c>
      <c r="E10" t="s">
        <v>31</v>
      </c>
      <c r="F10" s="1">
        <v>20</v>
      </c>
      <c r="G10"/>
      <c r="H10" s="1"/>
      <c r="I10" s="1"/>
    </row>
    <row r="11" spans="1:9" ht="15" customHeight="1" x14ac:dyDescent="0.25">
      <c r="A11" t="s">
        <v>148</v>
      </c>
      <c r="B11" t="s">
        <v>151</v>
      </c>
      <c r="C11" s="8" t="s">
        <v>30</v>
      </c>
      <c r="D11" t="s">
        <v>0</v>
      </c>
      <c r="E11" t="s">
        <v>31</v>
      </c>
      <c r="F11" s="1">
        <v>20</v>
      </c>
      <c r="G11"/>
      <c r="H11" s="1"/>
      <c r="I11" s="1"/>
    </row>
    <row r="12" spans="1:9" ht="15" customHeight="1" x14ac:dyDescent="0.25">
      <c r="A12" t="s">
        <v>148</v>
      </c>
      <c r="B12" t="s">
        <v>152</v>
      </c>
      <c r="C12" s="8" t="s">
        <v>49</v>
      </c>
      <c r="D12" t="s">
        <v>0</v>
      </c>
      <c r="E12" t="s">
        <v>49</v>
      </c>
      <c r="F12" s="1">
        <v>20</v>
      </c>
      <c r="G12"/>
      <c r="H12" s="1"/>
      <c r="I12" s="1"/>
    </row>
    <row r="13" spans="1:9" ht="15" customHeight="1" x14ac:dyDescent="0.25">
      <c r="A13" t="s">
        <v>148</v>
      </c>
      <c r="B13" t="s">
        <v>152</v>
      </c>
      <c r="C13" s="8" t="s">
        <v>59</v>
      </c>
      <c r="D13" t="s">
        <v>0</v>
      </c>
      <c r="E13" t="s">
        <v>49</v>
      </c>
      <c r="F13" s="1">
        <v>20</v>
      </c>
      <c r="G13"/>
      <c r="H13" s="1"/>
      <c r="I13" s="1"/>
    </row>
    <row r="14" spans="1:9" ht="15" customHeight="1" x14ac:dyDescent="0.25">
      <c r="A14" t="s">
        <v>148</v>
      </c>
      <c r="B14" t="s">
        <v>153</v>
      </c>
      <c r="C14" s="8" t="s">
        <v>45</v>
      </c>
      <c r="D14" t="s">
        <v>0</v>
      </c>
      <c r="E14" t="s">
        <v>51</v>
      </c>
      <c r="F14" s="1">
        <v>20</v>
      </c>
      <c r="G14"/>
      <c r="H14" s="1"/>
      <c r="I14" s="1"/>
    </row>
    <row r="15" spans="1:9" ht="15" customHeight="1" x14ac:dyDescent="0.25">
      <c r="A15" t="s">
        <v>148</v>
      </c>
      <c r="B15" t="s">
        <v>153</v>
      </c>
      <c r="C15" s="8" t="s">
        <v>51</v>
      </c>
      <c r="D15" t="s">
        <v>0</v>
      </c>
      <c r="E15" t="s">
        <v>51</v>
      </c>
      <c r="F15" s="1">
        <v>20</v>
      </c>
      <c r="G15"/>
      <c r="H15" s="1"/>
      <c r="I15" s="1"/>
    </row>
    <row r="16" spans="1:9" ht="15" customHeight="1" x14ac:dyDescent="0.25">
      <c r="A16" t="s">
        <v>148</v>
      </c>
      <c r="B16" t="s">
        <v>154</v>
      </c>
      <c r="C16" s="8" t="s">
        <v>48</v>
      </c>
      <c r="D16" t="s">
        <v>0</v>
      </c>
      <c r="E16" t="s">
        <v>52</v>
      </c>
      <c r="F16" s="1">
        <v>20</v>
      </c>
      <c r="G16"/>
      <c r="H16" s="1"/>
      <c r="I16" s="1"/>
    </row>
    <row r="17" spans="1:9" ht="15" customHeight="1" x14ac:dyDescent="0.25">
      <c r="A17" t="s">
        <v>148</v>
      </c>
      <c r="B17" t="s">
        <v>154</v>
      </c>
      <c r="C17" s="8" t="s">
        <v>52</v>
      </c>
      <c r="D17" t="s">
        <v>0</v>
      </c>
      <c r="E17" t="s">
        <v>52</v>
      </c>
      <c r="F17" s="1">
        <v>20</v>
      </c>
      <c r="G17"/>
      <c r="H17" s="1"/>
      <c r="I17" s="1"/>
    </row>
    <row r="18" spans="1:9" ht="15" customHeight="1" x14ac:dyDescent="0.25">
      <c r="A18" t="s">
        <v>148</v>
      </c>
      <c r="B18" t="s">
        <v>155</v>
      </c>
      <c r="C18" s="8" t="s">
        <v>46</v>
      </c>
      <c r="D18" t="s">
        <v>0</v>
      </c>
      <c r="E18" t="s">
        <v>53</v>
      </c>
      <c r="F18" s="1">
        <v>20</v>
      </c>
      <c r="G18"/>
      <c r="H18" s="1"/>
      <c r="I18" s="1"/>
    </row>
    <row r="19" spans="1:9" ht="15" customHeight="1" x14ac:dyDescent="0.25">
      <c r="A19" t="s">
        <v>148</v>
      </c>
      <c r="B19" t="s">
        <v>155</v>
      </c>
      <c r="C19" s="8" t="s">
        <v>53</v>
      </c>
      <c r="D19" t="s">
        <v>0</v>
      </c>
      <c r="E19" t="s">
        <v>53</v>
      </c>
      <c r="F19" s="1">
        <v>20</v>
      </c>
      <c r="G19"/>
      <c r="H19" s="1"/>
      <c r="I19" s="1"/>
    </row>
    <row r="20" spans="1:9" ht="15" customHeight="1" x14ac:dyDescent="0.25">
      <c r="A20" t="s">
        <v>148</v>
      </c>
      <c r="B20" t="s">
        <v>156</v>
      </c>
      <c r="C20" s="8" t="s">
        <v>16</v>
      </c>
      <c r="D20" t="s">
        <v>0</v>
      </c>
      <c r="E20" t="s">
        <v>17</v>
      </c>
      <c r="F20" s="1">
        <v>20</v>
      </c>
      <c r="G20"/>
      <c r="H20" s="1"/>
      <c r="I20" s="1"/>
    </row>
    <row r="21" spans="1:9" ht="15" customHeight="1" x14ac:dyDescent="0.25">
      <c r="A21" t="s">
        <v>148</v>
      </c>
      <c r="B21" t="s">
        <v>156</v>
      </c>
      <c r="C21" s="8" t="s">
        <v>14</v>
      </c>
      <c r="D21" t="s">
        <v>0</v>
      </c>
      <c r="E21" t="s">
        <v>17</v>
      </c>
      <c r="F21" s="1">
        <v>20</v>
      </c>
      <c r="G21"/>
      <c r="H21" s="1"/>
      <c r="I21" s="1"/>
    </row>
    <row r="22" spans="1:9" ht="15" customHeight="1" x14ac:dyDescent="0.25">
      <c r="A22" t="s">
        <v>148</v>
      </c>
      <c r="B22" t="s">
        <v>156</v>
      </c>
      <c r="C22" s="8" t="s">
        <v>17</v>
      </c>
      <c r="D22" t="s">
        <v>0</v>
      </c>
      <c r="E22" t="s">
        <v>17</v>
      </c>
      <c r="F22" s="1">
        <v>20</v>
      </c>
      <c r="G22"/>
      <c r="H22" s="1"/>
      <c r="I22" s="1"/>
    </row>
    <row r="23" spans="1:9" ht="15" customHeight="1" x14ac:dyDescent="0.25">
      <c r="A23" t="s">
        <v>148</v>
      </c>
      <c r="B23" t="s">
        <v>156</v>
      </c>
      <c r="C23" s="8" t="s">
        <v>13</v>
      </c>
      <c r="D23" t="s">
        <v>0</v>
      </c>
      <c r="E23" t="s">
        <v>17</v>
      </c>
      <c r="F23" s="1">
        <v>20</v>
      </c>
      <c r="G23"/>
      <c r="H23" s="1"/>
      <c r="I23" s="1"/>
    </row>
    <row r="24" spans="1:9" ht="15" customHeight="1" x14ac:dyDescent="0.25">
      <c r="A24" t="s">
        <v>148</v>
      </c>
      <c r="B24" t="s">
        <v>156</v>
      </c>
      <c r="C24" s="8" t="s">
        <v>12</v>
      </c>
      <c r="D24" t="s">
        <v>0</v>
      </c>
      <c r="E24" t="s">
        <v>17</v>
      </c>
      <c r="F24" s="1">
        <v>20</v>
      </c>
      <c r="G24"/>
      <c r="H24" s="1"/>
      <c r="I24" s="1"/>
    </row>
    <row r="25" spans="1:9" ht="15" customHeight="1" x14ac:dyDescent="0.25">
      <c r="A25" t="s">
        <v>148</v>
      </c>
      <c r="B25" t="s">
        <v>156</v>
      </c>
      <c r="C25" s="8" t="s">
        <v>15</v>
      </c>
      <c r="D25" t="s">
        <v>0</v>
      </c>
      <c r="E25" t="s">
        <v>17</v>
      </c>
      <c r="F25" s="1">
        <v>20</v>
      </c>
      <c r="G25"/>
      <c r="H25" s="1"/>
      <c r="I25" s="1"/>
    </row>
    <row r="26" spans="1:9" ht="15" customHeight="1" x14ac:dyDescent="0.25">
      <c r="A26" t="s">
        <v>148</v>
      </c>
      <c r="B26" t="s">
        <v>157</v>
      </c>
      <c r="C26" s="8" t="s">
        <v>20</v>
      </c>
      <c r="D26" t="s">
        <v>0</v>
      </c>
      <c r="E26" t="s">
        <v>20</v>
      </c>
      <c r="F26" s="1">
        <v>20</v>
      </c>
      <c r="G26"/>
      <c r="H26" s="1"/>
      <c r="I26" s="1"/>
    </row>
    <row r="27" spans="1:9" ht="15" customHeight="1" x14ac:dyDescent="0.25">
      <c r="A27" t="s">
        <v>148</v>
      </c>
      <c r="B27" t="s">
        <v>157</v>
      </c>
      <c r="C27" s="8" t="s">
        <v>18</v>
      </c>
      <c r="D27" t="s">
        <v>0</v>
      </c>
      <c r="E27" t="s">
        <v>20</v>
      </c>
      <c r="F27" s="1">
        <v>20</v>
      </c>
      <c r="G27"/>
      <c r="H27" s="1"/>
      <c r="I27" s="1"/>
    </row>
    <row r="28" spans="1:9" ht="15" customHeight="1" x14ac:dyDescent="0.25">
      <c r="A28" t="s">
        <v>148</v>
      </c>
      <c r="B28" t="s">
        <v>157</v>
      </c>
      <c r="C28" s="8" t="s">
        <v>19</v>
      </c>
      <c r="D28" t="s">
        <v>0</v>
      </c>
      <c r="E28" t="s">
        <v>20</v>
      </c>
      <c r="F28" s="1">
        <v>20</v>
      </c>
      <c r="G28"/>
      <c r="H28" s="1"/>
      <c r="I28" s="1"/>
    </row>
    <row r="29" spans="1:9" ht="15" customHeight="1" x14ac:dyDescent="0.25">
      <c r="A29" t="s">
        <v>148</v>
      </c>
      <c r="B29" t="s">
        <v>158</v>
      </c>
      <c r="C29" s="8" t="s">
        <v>4</v>
      </c>
      <c r="D29" t="s">
        <v>0</v>
      </c>
      <c r="E29" t="s">
        <v>4</v>
      </c>
      <c r="F29" s="1">
        <v>20</v>
      </c>
      <c r="G29"/>
      <c r="H29" s="1"/>
      <c r="I29" s="1"/>
    </row>
    <row r="30" spans="1:9" ht="15" customHeight="1" x14ac:dyDescent="0.25">
      <c r="A30" t="s">
        <v>148</v>
      </c>
      <c r="B30" t="s">
        <v>158</v>
      </c>
      <c r="C30" s="8" t="s">
        <v>21</v>
      </c>
      <c r="D30" t="s">
        <v>0</v>
      </c>
      <c r="E30" t="s">
        <v>4</v>
      </c>
      <c r="F30" s="1">
        <v>20</v>
      </c>
      <c r="G30"/>
      <c r="H30" s="1"/>
      <c r="I30" s="1"/>
    </row>
    <row r="31" spans="1:9" ht="15" customHeight="1" x14ac:dyDescent="0.25">
      <c r="A31" t="s">
        <v>148</v>
      </c>
      <c r="B31" t="s">
        <v>158</v>
      </c>
      <c r="C31" s="8" t="s">
        <v>3</v>
      </c>
      <c r="D31" t="s">
        <v>0</v>
      </c>
      <c r="E31" t="s">
        <v>4</v>
      </c>
      <c r="F31" s="1">
        <v>20</v>
      </c>
      <c r="G31"/>
      <c r="H31" s="1"/>
      <c r="I31" s="1"/>
    </row>
    <row r="32" spans="1:9" ht="15" customHeight="1" x14ac:dyDescent="0.25">
      <c r="A32" t="s">
        <v>148</v>
      </c>
      <c r="B32" t="s">
        <v>159</v>
      </c>
      <c r="C32" s="8" t="s">
        <v>54</v>
      </c>
      <c r="D32" t="s">
        <v>0</v>
      </c>
      <c r="E32" t="s">
        <v>54</v>
      </c>
      <c r="F32" s="1">
        <v>20</v>
      </c>
      <c r="G32"/>
      <c r="H32" s="1"/>
      <c r="I32" s="1"/>
    </row>
    <row r="33" spans="1:9" ht="15" customHeight="1" x14ac:dyDescent="0.25">
      <c r="A33" t="s">
        <v>148</v>
      </c>
      <c r="B33" t="s">
        <v>159</v>
      </c>
      <c r="C33" s="8" t="s">
        <v>55</v>
      </c>
      <c r="D33" t="s">
        <v>0</v>
      </c>
      <c r="E33" t="s">
        <v>54</v>
      </c>
      <c r="F33" s="1">
        <v>20</v>
      </c>
      <c r="G33"/>
      <c r="H33" s="1"/>
      <c r="I33" s="1"/>
    </row>
    <row r="34" spans="1:9" ht="15" customHeight="1" x14ac:dyDescent="0.25">
      <c r="A34" t="s">
        <v>148</v>
      </c>
      <c r="B34" t="s">
        <v>160</v>
      </c>
      <c r="C34" s="8" t="s">
        <v>23</v>
      </c>
      <c r="D34" t="s">
        <v>0</v>
      </c>
      <c r="E34" t="s">
        <v>24</v>
      </c>
      <c r="F34" s="1">
        <v>20</v>
      </c>
      <c r="G34"/>
      <c r="H34" s="1"/>
      <c r="I34" s="1"/>
    </row>
    <row r="35" spans="1:9" ht="15" customHeight="1" x14ac:dyDescent="0.25">
      <c r="A35" t="s">
        <v>148</v>
      </c>
      <c r="B35" t="s">
        <v>160</v>
      </c>
      <c r="C35" s="8" t="s">
        <v>22</v>
      </c>
      <c r="D35" t="s">
        <v>0</v>
      </c>
      <c r="E35" t="s">
        <v>24</v>
      </c>
      <c r="F35" s="1">
        <v>20</v>
      </c>
      <c r="G35"/>
      <c r="H35" s="1"/>
      <c r="I35" s="1"/>
    </row>
    <row r="36" spans="1:9" ht="15" customHeight="1" x14ac:dyDescent="0.25">
      <c r="A36" t="s">
        <v>148</v>
      </c>
      <c r="B36" t="s">
        <v>160</v>
      </c>
      <c r="C36" s="8" t="s">
        <v>24</v>
      </c>
      <c r="D36" t="s">
        <v>0</v>
      </c>
      <c r="E36" t="s">
        <v>24</v>
      </c>
      <c r="F36" s="1">
        <v>20</v>
      </c>
      <c r="G36"/>
      <c r="H36" s="1"/>
      <c r="I36" s="1"/>
    </row>
    <row r="37" spans="1:9" ht="15" customHeight="1" x14ac:dyDescent="0.25">
      <c r="A37" t="s">
        <v>148</v>
      </c>
      <c r="B37" t="s">
        <v>161</v>
      </c>
      <c r="C37" s="8" t="s">
        <v>26</v>
      </c>
      <c r="D37" t="s">
        <v>0</v>
      </c>
      <c r="E37" t="s">
        <v>27</v>
      </c>
      <c r="F37" s="1">
        <v>20</v>
      </c>
      <c r="G37"/>
      <c r="H37" s="1"/>
      <c r="I37" s="1"/>
    </row>
    <row r="38" spans="1:9" ht="15" customHeight="1" x14ac:dyDescent="0.25">
      <c r="A38" t="s">
        <v>148</v>
      </c>
      <c r="B38" t="s">
        <v>161</v>
      </c>
      <c r="C38" s="8" t="s">
        <v>25</v>
      </c>
      <c r="D38" t="s">
        <v>0</v>
      </c>
      <c r="E38" t="s">
        <v>27</v>
      </c>
      <c r="F38" s="1">
        <v>20</v>
      </c>
      <c r="G38"/>
      <c r="H38" s="1"/>
      <c r="I38" s="1"/>
    </row>
    <row r="39" spans="1:9" ht="15" customHeight="1" x14ac:dyDescent="0.25">
      <c r="A39" t="s">
        <v>148</v>
      </c>
      <c r="B39" t="s">
        <v>161</v>
      </c>
      <c r="C39" s="8" t="s">
        <v>27</v>
      </c>
      <c r="D39" t="s">
        <v>0</v>
      </c>
      <c r="E39" t="s">
        <v>27</v>
      </c>
      <c r="F39" s="1">
        <v>20</v>
      </c>
      <c r="G39"/>
      <c r="H39" s="1"/>
      <c r="I39" s="1"/>
    </row>
    <row r="40" spans="1:9" ht="15" customHeight="1" x14ac:dyDescent="0.25">
      <c r="A40" t="s">
        <v>148</v>
      </c>
      <c r="B40" t="s">
        <v>162</v>
      </c>
      <c r="C40" s="8" t="s">
        <v>47</v>
      </c>
      <c r="D40" t="s">
        <v>0</v>
      </c>
      <c r="E40" t="s">
        <v>58</v>
      </c>
      <c r="F40" s="1">
        <v>20</v>
      </c>
      <c r="G40"/>
      <c r="H40" s="1"/>
      <c r="I40" s="1"/>
    </row>
    <row r="41" spans="1:9" ht="15" customHeight="1" x14ac:dyDescent="0.25">
      <c r="A41" t="s">
        <v>148</v>
      </c>
      <c r="B41" t="s">
        <v>162</v>
      </c>
      <c r="C41" s="8" t="s">
        <v>58</v>
      </c>
      <c r="D41" t="s">
        <v>0</v>
      </c>
      <c r="E41" t="s">
        <v>58</v>
      </c>
      <c r="F41" s="1">
        <v>20</v>
      </c>
      <c r="G41"/>
      <c r="H41" s="1"/>
      <c r="I41" s="1"/>
    </row>
    <row r="42" spans="1:9" ht="15" customHeight="1" x14ac:dyDescent="0.25">
      <c r="A42" t="s">
        <v>127</v>
      </c>
      <c r="B42" s="146" t="s">
        <v>131</v>
      </c>
      <c r="C42" s="8" t="s">
        <v>102</v>
      </c>
      <c r="D42" t="s">
        <v>0</v>
      </c>
      <c r="E42" t="s">
        <v>104</v>
      </c>
      <c r="F42" s="1">
        <v>20</v>
      </c>
      <c r="G42" t="s">
        <v>134</v>
      </c>
      <c r="H42" s="1"/>
      <c r="I42" s="1"/>
    </row>
    <row r="43" spans="1:9" ht="15" customHeight="1" x14ac:dyDescent="0.25">
      <c r="A43" t="s">
        <v>127</v>
      </c>
      <c r="B43" s="146" t="s">
        <v>131</v>
      </c>
      <c r="C43" s="8" t="s">
        <v>104</v>
      </c>
      <c r="D43" t="s">
        <v>0</v>
      </c>
      <c r="E43" t="s">
        <v>104</v>
      </c>
      <c r="F43" s="1">
        <v>20</v>
      </c>
      <c r="G43" t="s">
        <v>134</v>
      </c>
      <c r="H43" s="1"/>
      <c r="I43" s="1"/>
    </row>
    <row r="44" spans="1:9" ht="15" customHeight="1" x14ac:dyDescent="0.25">
      <c r="A44" s="146" t="s">
        <v>127</v>
      </c>
      <c r="B44" s="146" t="s">
        <v>133</v>
      </c>
      <c r="C44" s="8" t="s">
        <v>140</v>
      </c>
      <c r="D44" s="146" t="s">
        <v>0</v>
      </c>
      <c r="E44" t="s">
        <v>107</v>
      </c>
      <c r="F44" s="1">
        <v>20</v>
      </c>
      <c r="G44" t="s">
        <v>134</v>
      </c>
      <c r="H44" s="1"/>
      <c r="I44" s="1"/>
    </row>
    <row r="45" spans="1:9" ht="15" customHeight="1" x14ac:dyDescent="0.25">
      <c r="A45" s="146" t="s">
        <v>127</v>
      </c>
      <c r="B45" s="146" t="s">
        <v>133</v>
      </c>
      <c r="C45" s="8" t="s">
        <v>107</v>
      </c>
      <c r="D45" s="146" t="s">
        <v>0</v>
      </c>
      <c r="E45" t="s">
        <v>107</v>
      </c>
      <c r="F45" s="1">
        <v>20</v>
      </c>
      <c r="G45" t="s">
        <v>134</v>
      </c>
      <c r="H45" s="1"/>
      <c r="I45" s="1"/>
    </row>
    <row r="46" spans="1:9" ht="15" customHeight="1" x14ac:dyDescent="0.25">
      <c r="A46" t="s">
        <v>127</v>
      </c>
      <c r="B46" s="146" t="s">
        <v>132</v>
      </c>
      <c r="C46" s="8" t="s">
        <v>109</v>
      </c>
      <c r="D46" t="s">
        <v>0</v>
      </c>
      <c r="E46" t="s">
        <v>111</v>
      </c>
      <c r="F46" s="1">
        <v>20</v>
      </c>
      <c r="G46" t="s">
        <v>134</v>
      </c>
      <c r="H46" s="1"/>
      <c r="I46" s="1"/>
    </row>
    <row r="47" spans="1:9" ht="15" customHeight="1" x14ac:dyDescent="0.25">
      <c r="A47" t="s">
        <v>127</v>
      </c>
      <c r="B47" s="146" t="s">
        <v>132</v>
      </c>
      <c r="C47" s="8" t="s">
        <v>111</v>
      </c>
      <c r="D47" t="s">
        <v>0</v>
      </c>
      <c r="E47" t="s">
        <v>111</v>
      </c>
      <c r="F47" s="1">
        <v>20</v>
      </c>
      <c r="G47" t="s">
        <v>134</v>
      </c>
      <c r="H47" s="1"/>
      <c r="I47" s="1"/>
    </row>
    <row r="48" spans="1:9" ht="15" customHeight="1" x14ac:dyDescent="0.25">
      <c r="A48" s="146" t="s">
        <v>127</v>
      </c>
      <c r="B48" s="146" t="s">
        <v>167</v>
      </c>
      <c r="C48" s="8" t="s">
        <v>113</v>
      </c>
      <c r="D48" s="146" t="s">
        <v>0</v>
      </c>
      <c r="E48" t="s">
        <v>141</v>
      </c>
      <c r="F48" s="1">
        <v>20</v>
      </c>
      <c r="G48" t="s">
        <v>134</v>
      </c>
      <c r="H48" s="1"/>
      <c r="I48" s="1"/>
    </row>
    <row r="49" spans="1:18" ht="15" customHeight="1" x14ac:dyDescent="0.25">
      <c r="A49" s="146" t="s">
        <v>127</v>
      </c>
      <c r="B49" s="146" t="s">
        <v>167</v>
      </c>
      <c r="C49" s="8" t="s">
        <v>141</v>
      </c>
      <c r="D49" s="146" t="s">
        <v>0</v>
      </c>
      <c r="E49" t="s">
        <v>141</v>
      </c>
      <c r="F49" s="1">
        <v>20</v>
      </c>
      <c r="G49" t="s">
        <v>134</v>
      </c>
      <c r="H49" s="1"/>
      <c r="I49" s="1"/>
    </row>
    <row r="50" spans="1:18" ht="15" customHeight="1" x14ac:dyDescent="0.25">
      <c r="A50" t="s">
        <v>127</v>
      </c>
      <c r="B50" s="146" t="s">
        <v>130</v>
      </c>
      <c r="C50" s="8" t="s">
        <v>115</v>
      </c>
      <c r="D50" t="s">
        <v>0</v>
      </c>
      <c r="E50" t="s">
        <v>117</v>
      </c>
      <c r="F50" s="1">
        <v>20</v>
      </c>
      <c r="G50" t="s">
        <v>134</v>
      </c>
      <c r="H50" s="1"/>
      <c r="I50" s="1"/>
    </row>
    <row r="51" spans="1:18" ht="15" customHeight="1" x14ac:dyDescent="0.25">
      <c r="A51" t="s">
        <v>127</v>
      </c>
      <c r="B51" s="146" t="s">
        <v>130</v>
      </c>
      <c r="C51" s="8" t="s">
        <v>117</v>
      </c>
      <c r="D51" t="s">
        <v>0</v>
      </c>
      <c r="E51" t="s">
        <v>117</v>
      </c>
      <c r="F51" s="1">
        <v>20</v>
      </c>
      <c r="G51" t="s">
        <v>134</v>
      </c>
      <c r="H51" s="1"/>
      <c r="I51" s="1"/>
    </row>
    <row r="52" spans="1:18" ht="15" customHeight="1" x14ac:dyDescent="0.25">
      <c r="A52" t="s">
        <v>127</v>
      </c>
      <c r="B52" s="146" t="s">
        <v>128</v>
      </c>
      <c r="C52" s="8" t="s">
        <v>99</v>
      </c>
      <c r="D52" t="s">
        <v>0</v>
      </c>
      <c r="E52" t="s">
        <v>100</v>
      </c>
      <c r="F52" s="1">
        <v>20</v>
      </c>
      <c r="G52" t="s">
        <v>134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127</v>
      </c>
      <c r="B53" s="146" t="s">
        <v>128</v>
      </c>
      <c r="C53" s="8" t="s">
        <v>100</v>
      </c>
      <c r="D53" t="s">
        <v>0</v>
      </c>
      <c r="E53" t="s">
        <v>100</v>
      </c>
      <c r="F53" s="1">
        <v>20</v>
      </c>
      <c r="G53" t="s">
        <v>134</v>
      </c>
      <c r="H53" s="1"/>
      <c r="I53" s="1"/>
    </row>
    <row r="54" spans="1:18" ht="15" customHeight="1" x14ac:dyDescent="0.25">
      <c r="A54" t="s">
        <v>127</v>
      </c>
      <c r="B54" s="146" t="s">
        <v>163</v>
      </c>
      <c r="C54" s="8" t="s">
        <v>119</v>
      </c>
      <c r="D54" t="s">
        <v>0</v>
      </c>
      <c r="E54" t="s">
        <v>119</v>
      </c>
      <c r="F54" s="1">
        <v>20</v>
      </c>
      <c r="G54" t="s">
        <v>134</v>
      </c>
      <c r="H54" s="1"/>
      <c r="I54" s="1"/>
    </row>
    <row r="55" spans="1:18" ht="15" customHeight="1" x14ac:dyDescent="0.25">
      <c r="A55" t="s">
        <v>127</v>
      </c>
      <c r="B55" s="146" t="s">
        <v>163</v>
      </c>
      <c r="C55" s="8" t="s">
        <v>121</v>
      </c>
      <c r="D55" t="s">
        <v>0</v>
      </c>
      <c r="E55" t="s">
        <v>119</v>
      </c>
      <c r="F55" s="1">
        <v>20</v>
      </c>
      <c r="G55" t="s">
        <v>134</v>
      </c>
      <c r="H55" s="1"/>
      <c r="I55" s="1"/>
    </row>
    <row r="56" spans="1:18" ht="15" customHeight="1" x14ac:dyDescent="0.25">
      <c r="A56" t="s">
        <v>127</v>
      </c>
      <c r="B56" s="146" t="s">
        <v>129</v>
      </c>
      <c r="C56" s="8" t="s">
        <v>123</v>
      </c>
      <c r="D56" t="s">
        <v>0</v>
      </c>
      <c r="E56" t="s">
        <v>125</v>
      </c>
      <c r="F56" s="1">
        <v>20</v>
      </c>
      <c r="G56" t="s">
        <v>134</v>
      </c>
      <c r="H56" s="1"/>
      <c r="I56" s="1"/>
    </row>
    <row r="57" spans="1:18" ht="15" customHeight="1" x14ac:dyDescent="0.25">
      <c r="A57" t="s">
        <v>127</v>
      </c>
      <c r="B57" s="146" t="s">
        <v>129</v>
      </c>
      <c r="C57" s="8" t="s">
        <v>125</v>
      </c>
      <c r="D57" t="s">
        <v>0</v>
      </c>
      <c r="E57" t="s">
        <v>125</v>
      </c>
      <c r="F57" s="1">
        <v>20</v>
      </c>
      <c r="G57" t="s">
        <v>134</v>
      </c>
      <c r="H57" s="1"/>
      <c r="I57" s="1"/>
    </row>
    <row r="58" spans="1:18" ht="15" customHeight="1" x14ac:dyDescent="0.25">
      <c r="A58" t="s">
        <v>127</v>
      </c>
      <c r="B58" s="146" t="s">
        <v>131</v>
      </c>
      <c r="C58" s="8" t="s">
        <v>103</v>
      </c>
      <c r="D58" t="s">
        <v>0</v>
      </c>
      <c r="E58" t="s">
        <v>103</v>
      </c>
      <c r="F58" s="1">
        <v>20</v>
      </c>
      <c r="G58" t="s">
        <v>134</v>
      </c>
      <c r="H58" s="1"/>
      <c r="I58" s="1"/>
    </row>
    <row r="59" spans="1:18" ht="15" customHeight="1" x14ac:dyDescent="0.25">
      <c r="A59" t="s">
        <v>127</v>
      </c>
      <c r="B59" s="146" t="s">
        <v>131</v>
      </c>
      <c r="C59" s="8" t="s">
        <v>105</v>
      </c>
      <c r="D59" t="s">
        <v>0</v>
      </c>
      <c r="E59" t="s">
        <v>103</v>
      </c>
      <c r="F59" s="1">
        <v>20</v>
      </c>
      <c r="G59" t="s">
        <v>134</v>
      </c>
      <c r="H59" s="1"/>
      <c r="I59" s="1"/>
    </row>
    <row r="60" spans="1:18" ht="15" customHeight="1" x14ac:dyDescent="0.25">
      <c r="A60" t="s">
        <v>127</v>
      </c>
      <c r="B60" s="146" t="s">
        <v>133</v>
      </c>
      <c r="C60" s="8" t="s">
        <v>106</v>
      </c>
      <c r="D60" t="s">
        <v>0</v>
      </c>
      <c r="E60" t="s">
        <v>106</v>
      </c>
      <c r="F60" s="1">
        <v>20</v>
      </c>
      <c r="G60" t="s">
        <v>134</v>
      </c>
      <c r="H60" s="1"/>
      <c r="I60" s="1"/>
    </row>
    <row r="61" spans="1:18" ht="15" customHeight="1" x14ac:dyDescent="0.25">
      <c r="A61" t="s">
        <v>127</v>
      </c>
      <c r="B61" s="146" t="s">
        <v>133</v>
      </c>
      <c r="C61" s="8" t="s">
        <v>108</v>
      </c>
      <c r="D61" t="s">
        <v>0</v>
      </c>
      <c r="E61" t="s">
        <v>106</v>
      </c>
      <c r="F61" s="1">
        <v>20</v>
      </c>
      <c r="G61" t="s">
        <v>134</v>
      </c>
      <c r="H61" s="1"/>
      <c r="I61" s="1"/>
    </row>
    <row r="62" spans="1:18" ht="15" customHeight="1" x14ac:dyDescent="0.25">
      <c r="A62" t="s">
        <v>127</v>
      </c>
      <c r="B62" s="146" t="s">
        <v>132</v>
      </c>
      <c r="C62" s="8" t="s">
        <v>110</v>
      </c>
      <c r="D62" t="s">
        <v>0</v>
      </c>
      <c r="E62" t="s">
        <v>112</v>
      </c>
      <c r="F62" s="1">
        <v>20</v>
      </c>
      <c r="G62" t="s">
        <v>134</v>
      </c>
      <c r="H62" s="1"/>
      <c r="I62" s="1"/>
    </row>
    <row r="63" spans="1:18" ht="15" customHeight="1" x14ac:dyDescent="0.25">
      <c r="A63" t="s">
        <v>127</v>
      </c>
      <c r="B63" s="146" t="s">
        <v>132</v>
      </c>
      <c r="C63" s="8" t="s">
        <v>112</v>
      </c>
      <c r="D63" t="s">
        <v>0</v>
      </c>
      <c r="E63" t="s">
        <v>112</v>
      </c>
      <c r="F63" s="1">
        <v>20</v>
      </c>
      <c r="G63" t="s">
        <v>134</v>
      </c>
      <c r="H63" s="1"/>
      <c r="I63" s="1"/>
    </row>
    <row r="64" spans="1:18" ht="15" customHeight="1" x14ac:dyDescent="0.25">
      <c r="A64" s="146" t="s">
        <v>127</v>
      </c>
      <c r="B64" s="146" t="s">
        <v>167</v>
      </c>
      <c r="C64" s="8" t="s">
        <v>142</v>
      </c>
      <c r="D64" t="s">
        <v>0</v>
      </c>
      <c r="E64" t="s">
        <v>114</v>
      </c>
      <c r="F64" s="1">
        <v>20</v>
      </c>
      <c r="G64" t="s">
        <v>134</v>
      </c>
      <c r="H64" s="1"/>
      <c r="I64" s="1"/>
    </row>
    <row r="65" spans="1:9" ht="15" customHeight="1" x14ac:dyDescent="0.25">
      <c r="A65" s="146" t="s">
        <v>127</v>
      </c>
      <c r="B65" s="146" t="s">
        <v>167</v>
      </c>
      <c r="C65" s="8" t="s">
        <v>114</v>
      </c>
      <c r="D65" t="s">
        <v>0</v>
      </c>
      <c r="E65" t="s">
        <v>114</v>
      </c>
      <c r="F65" s="1">
        <v>20</v>
      </c>
      <c r="G65" t="s">
        <v>134</v>
      </c>
    </row>
    <row r="66" spans="1:9" ht="15" customHeight="1" x14ac:dyDescent="0.25">
      <c r="A66" t="s">
        <v>127</v>
      </c>
      <c r="B66" s="146" t="s">
        <v>130</v>
      </c>
      <c r="C66" s="8" t="s">
        <v>116</v>
      </c>
      <c r="D66" t="s">
        <v>0</v>
      </c>
      <c r="E66" t="s">
        <v>116</v>
      </c>
      <c r="F66" s="1">
        <v>20</v>
      </c>
      <c r="G66" t="s">
        <v>134</v>
      </c>
      <c r="H66" s="1"/>
      <c r="I66" s="1"/>
    </row>
    <row r="67" spans="1:9" ht="15" customHeight="1" x14ac:dyDescent="0.25">
      <c r="A67" t="s">
        <v>127</v>
      </c>
      <c r="B67" s="146" t="s">
        <v>130</v>
      </c>
      <c r="C67" s="8" t="s">
        <v>118</v>
      </c>
      <c r="D67" t="s">
        <v>0</v>
      </c>
      <c r="E67" t="s">
        <v>116</v>
      </c>
      <c r="F67" s="1">
        <v>20</v>
      </c>
      <c r="G67" t="s">
        <v>134</v>
      </c>
      <c r="H67" s="1"/>
      <c r="I67" s="1"/>
    </row>
    <row r="68" spans="1:9" ht="15" customHeight="1" x14ac:dyDescent="0.25">
      <c r="A68" s="146" t="s">
        <v>127</v>
      </c>
      <c r="B68" s="146" t="s">
        <v>128</v>
      </c>
      <c r="C68" s="8" t="s">
        <v>143</v>
      </c>
      <c r="D68" t="s">
        <v>0</v>
      </c>
      <c r="E68" t="s">
        <v>101</v>
      </c>
      <c r="F68" s="1">
        <v>20</v>
      </c>
      <c r="G68" t="s">
        <v>134</v>
      </c>
      <c r="H68" s="1"/>
      <c r="I68" s="1"/>
    </row>
    <row r="69" spans="1:9" ht="15" customHeight="1" x14ac:dyDescent="0.25">
      <c r="A69" s="146" t="s">
        <v>127</v>
      </c>
      <c r="B69" s="146" t="s">
        <v>128</v>
      </c>
      <c r="C69" s="8" t="s">
        <v>101</v>
      </c>
      <c r="D69" t="s">
        <v>0</v>
      </c>
      <c r="E69" t="s">
        <v>101</v>
      </c>
      <c r="F69" s="1">
        <v>20</v>
      </c>
      <c r="G69" t="s">
        <v>134</v>
      </c>
    </row>
    <row r="70" spans="1:9" ht="15" customHeight="1" x14ac:dyDescent="0.25">
      <c r="A70" t="s">
        <v>127</v>
      </c>
      <c r="B70" s="146" t="s">
        <v>163</v>
      </c>
      <c r="C70" s="8" t="s">
        <v>120</v>
      </c>
      <c r="D70" t="s">
        <v>0</v>
      </c>
      <c r="E70" t="s">
        <v>120</v>
      </c>
      <c r="F70" s="1">
        <v>20</v>
      </c>
      <c r="G70" t="s">
        <v>134</v>
      </c>
      <c r="H70" s="1"/>
      <c r="I70" s="1"/>
    </row>
    <row r="71" spans="1:9" ht="15" customHeight="1" x14ac:dyDescent="0.25">
      <c r="A71" t="s">
        <v>127</v>
      </c>
      <c r="B71" s="146" t="s">
        <v>163</v>
      </c>
      <c r="C71" s="8" t="s">
        <v>122</v>
      </c>
      <c r="D71" t="s">
        <v>0</v>
      </c>
      <c r="E71" t="s">
        <v>120</v>
      </c>
      <c r="F71" s="1">
        <v>20</v>
      </c>
      <c r="G71" t="s">
        <v>134</v>
      </c>
      <c r="H71" s="1"/>
      <c r="I71" s="1"/>
    </row>
    <row r="72" spans="1:9" ht="15" customHeight="1" x14ac:dyDescent="0.25">
      <c r="A72" t="s">
        <v>127</v>
      </c>
      <c r="B72" s="146" t="s">
        <v>129</v>
      </c>
      <c r="C72" s="8" t="s">
        <v>124</v>
      </c>
      <c r="D72" t="s">
        <v>0</v>
      </c>
      <c r="E72" t="s">
        <v>124</v>
      </c>
      <c r="F72" s="1">
        <v>20</v>
      </c>
      <c r="G72" t="s">
        <v>134</v>
      </c>
      <c r="H72" s="1"/>
      <c r="I72" s="1"/>
    </row>
    <row r="73" spans="1:9" ht="15" customHeight="1" x14ac:dyDescent="0.25">
      <c r="A73" t="s">
        <v>127</v>
      </c>
      <c r="B73" s="146" t="s">
        <v>129</v>
      </c>
      <c r="C73" s="8" t="s">
        <v>126</v>
      </c>
      <c r="D73" t="s">
        <v>0</v>
      </c>
      <c r="E73" t="s">
        <v>124</v>
      </c>
      <c r="F73" s="1">
        <v>20</v>
      </c>
      <c r="G73" t="s">
        <v>134</v>
      </c>
      <c r="H73" s="1"/>
      <c r="I73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S73"/>
  <sheetViews>
    <sheetView zoomScale="90" zoomScaleNormal="90" workbookViewId="0">
      <pane ySplit="1" topLeftCell="A32" activePane="bottomLeft" state="frozen"/>
      <selection pane="bottomLeft" activeCell="C74" sqref="C74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9.85546875" style="4" bestFit="1" customWidth="1"/>
    <col min="7" max="7" width="16.85546875" style="287" bestFit="1" customWidth="1"/>
    <col min="8" max="8" width="34.42578125" style="6" bestFit="1" customWidth="1"/>
    <col min="13" max="13" width="13.42578125" customWidth="1"/>
    <col min="14" max="14" width="18.7109375" customWidth="1"/>
    <col min="15" max="15" width="13" customWidth="1"/>
    <col min="16" max="16" width="12.28515625" bestFit="1" customWidth="1"/>
    <col min="17" max="17" width="7.140625" bestFit="1" customWidth="1"/>
    <col min="18" max="18" width="9.85546875" style="4" bestFit="1" customWidth="1"/>
  </cols>
  <sheetData>
    <row r="1" spans="1:19" s="3" customFormat="1" x14ac:dyDescent="0.25">
      <c r="A1" s="5" t="s">
        <v>61</v>
      </c>
      <c r="B1" s="5" t="s">
        <v>127</v>
      </c>
      <c r="C1" s="5" t="s">
        <v>2</v>
      </c>
      <c r="D1" s="5" t="s">
        <v>1</v>
      </c>
      <c r="E1" s="5" t="s">
        <v>98</v>
      </c>
      <c r="F1" s="147" t="s">
        <v>33</v>
      </c>
      <c r="G1" s="147" t="s">
        <v>181</v>
      </c>
      <c r="H1" s="285"/>
      <c r="M1" s="5"/>
      <c r="N1" s="5"/>
      <c r="O1" s="5"/>
      <c r="P1" s="5"/>
      <c r="Q1" s="5"/>
      <c r="R1" s="147"/>
    </row>
    <row r="2" spans="1:19" x14ac:dyDescent="0.25">
      <c r="A2" t="s">
        <v>148</v>
      </c>
      <c r="B2" t="s">
        <v>149</v>
      </c>
      <c r="C2" t="s">
        <v>8</v>
      </c>
      <c r="D2" t="s">
        <v>0</v>
      </c>
      <c r="E2" t="s">
        <v>8</v>
      </c>
      <c r="F2" s="4">
        <v>1</v>
      </c>
      <c r="G2" s="287">
        <v>8452500</v>
      </c>
      <c r="S2" s="284"/>
    </row>
    <row r="3" spans="1:19" x14ac:dyDescent="0.25">
      <c r="A3" t="s">
        <v>148</v>
      </c>
      <c r="B3" t="s">
        <v>149</v>
      </c>
      <c r="C3" t="s">
        <v>7</v>
      </c>
      <c r="D3" t="s">
        <v>0</v>
      </c>
      <c r="E3" t="s">
        <v>8</v>
      </c>
      <c r="F3" s="4">
        <v>1.348075618621267</v>
      </c>
      <c r="G3" s="287">
        <v>7926900</v>
      </c>
      <c r="S3" s="284"/>
    </row>
    <row r="4" spans="1:19" x14ac:dyDescent="0.25">
      <c r="A4" t="s">
        <v>148</v>
      </c>
      <c r="B4" t="s">
        <v>149</v>
      </c>
      <c r="C4" t="s">
        <v>5</v>
      </c>
      <c r="D4" t="s">
        <v>0</v>
      </c>
      <c r="E4" t="s">
        <v>8</v>
      </c>
      <c r="F4" s="4">
        <v>4.2774908701103964</v>
      </c>
      <c r="G4" s="287">
        <v>1783000</v>
      </c>
      <c r="S4" s="284"/>
    </row>
    <row r="5" spans="1:19" x14ac:dyDescent="0.25">
      <c r="A5" t="s">
        <v>148</v>
      </c>
      <c r="B5" t="s">
        <v>149</v>
      </c>
      <c r="C5" t="s">
        <v>6</v>
      </c>
      <c r="D5" t="s">
        <v>0</v>
      </c>
      <c r="E5" t="s">
        <v>8</v>
      </c>
      <c r="F5" s="4">
        <v>3.8797956599225869</v>
      </c>
      <c r="G5" s="287">
        <v>2563200</v>
      </c>
      <c r="S5" s="284"/>
    </row>
    <row r="6" spans="1:19" x14ac:dyDescent="0.25">
      <c r="A6" t="s">
        <v>148</v>
      </c>
      <c r="B6" t="s">
        <v>150</v>
      </c>
      <c r="C6" t="s">
        <v>44</v>
      </c>
      <c r="D6" t="s">
        <v>0</v>
      </c>
      <c r="E6" t="s">
        <v>44</v>
      </c>
      <c r="F6" s="4">
        <v>1</v>
      </c>
      <c r="G6" s="287">
        <v>720100</v>
      </c>
      <c r="S6" s="284"/>
    </row>
    <row r="7" spans="1:19" x14ac:dyDescent="0.25">
      <c r="A7" t="s">
        <v>148</v>
      </c>
      <c r="B7" t="s">
        <v>150</v>
      </c>
      <c r="C7" t="s">
        <v>50</v>
      </c>
      <c r="D7" t="s">
        <v>0</v>
      </c>
      <c r="E7" t="s">
        <v>44</v>
      </c>
      <c r="F7" s="4">
        <v>1.0737600019731681</v>
      </c>
      <c r="G7" s="287">
        <v>825500</v>
      </c>
      <c r="H7" s="286"/>
      <c r="J7" s="8"/>
      <c r="S7" s="284"/>
    </row>
    <row r="8" spans="1:19" x14ac:dyDescent="0.25">
      <c r="A8" t="s">
        <v>148</v>
      </c>
      <c r="B8" t="s">
        <v>151</v>
      </c>
      <c r="C8" t="s">
        <v>31</v>
      </c>
      <c r="D8" t="s">
        <v>0</v>
      </c>
      <c r="E8" t="s">
        <v>31</v>
      </c>
      <c r="F8" s="4">
        <v>1</v>
      </c>
      <c r="G8" s="287">
        <v>104700</v>
      </c>
      <c r="S8" s="284"/>
    </row>
    <row r="9" spans="1:19" x14ac:dyDescent="0.25">
      <c r="A9" t="s">
        <v>148</v>
      </c>
      <c r="B9" t="s">
        <v>151</v>
      </c>
      <c r="C9" t="s">
        <v>28</v>
      </c>
      <c r="D9" t="s">
        <v>0</v>
      </c>
      <c r="E9" t="s">
        <v>31</v>
      </c>
      <c r="F9" s="4">
        <v>3.3419415394552168</v>
      </c>
      <c r="G9" s="287">
        <v>549300</v>
      </c>
      <c r="S9" s="284"/>
    </row>
    <row r="10" spans="1:19" x14ac:dyDescent="0.25">
      <c r="A10" t="s">
        <v>148</v>
      </c>
      <c r="B10" t="s">
        <v>151</v>
      </c>
      <c r="C10" t="s">
        <v>29</v>
      </c>
      <c r="D10" t="s">
        <v>0</v>
      </c>
      <c r="E10" t="s">
        <v>31</v>
      </c>
      <c r="F10" s="4">
        <v>1.8898030709832834</v>
      </c>
      <c r="G10" s="287">
        <v>2040100</v>
      </c>
      <c r="S10" s="284"/>
    </row>
    <row r="11" spans="1:19" x14ac:dyDescent="0.25">
      <c r="A11" t="s">
        <v>148</v>
      </c>
      <c r="B11" t="s">
        <v>151</v>
      </c>
      <c r="C11" t="s">
        <v>30</v>
      </c>
      <c r="D11" t="s">
        <v>0</v>
      </c>
      <c r="E11" t="s">
        <v>31</v>
      </c>
      <c r="F11" s="4">
        <v>1.2635048920060759</v>
      </c>
      <c r="G11" s="287">
        <v>79100</v>
      </c>
      <c r="S11" s="284"/>
    </row>
    <row r="12" spans="1:19" x14ac:dyDescent="0.25">
      <c r="A12" t="s">
        <v>148</v>
      </c>
      <c r="B12" t="s">
        <v>152</v>
      </c>
      <c r="C12" t="s">
        <v>49</v>
      </c>
      <c r="D12" t="s">
        <v>0</v>
      </c>
      <c r="E12" t="s">
        <v>49</v>
      </c>
      <c r="F12" s="4">
        <v>1</v>
      </c>
      <c r="G12" s="287">
        <v>5699300</v>
      </c>
      <c r="S12" s="284"/>
    </row>
    <row r="13" spans="1:19" x14ac:dyDescent="0.25">
      <c r="A13" t="s">
        <v>148</v>
      </c>
      <c r="B13" t="s">
        <v>152</v>
      </c>
      <c r="C13" t="s">
        <v>59</v>
      </c>
      <c r="D13" t="s">
        <v>0</v>
      </c>
      <c r="E13" t="s">
        <v>49</v>
      </c>
      <c r="F13" s="4">
        <v>1.437873753567215</v>
      </c>
      <c r="G13" s="287">
        <v>512100</v>
      </c>
      <c r="S13" s="284"/>
    </row>
    <row r="14" spans="1:19" x14ac:dyDescent="0.25">
      <c r="A14" t="s">
        <v>148</v>
      </c>
      <c r="B14" t="s">
        <v>153</v>
      </c>
      <c r="C14" t="s">
        <v>45</v>
      </c>
      <c r="D14" t="s">
        <v>0</v>
      </c>
      <c r="E14" t="s">
        <v>51</v>
      </c>
      <c r="F14" s="4">
        <v>1.0447269012781422</v>
      </c>
      <c r="G14" s="287">
        <v>4208500</v>
      </c>
      <c r="S14" s="284"/>
    </row>
    <row r="15" spans="1:19" x14ac:dyDescent="0.25">
      <c r="A15" t="s">
        <v>148</v>
      </c>
      <c r="B15" t="s">
        <v>153</v>
      </c>
      <c r="C15" t="s">
        <v>51</v>
      </c>
      <c r="D15" t="s">
        <v>0</v>
      </c>
      <c r="E15" t="s">
        <v>51</v>
      </c>
      <c r="F15" s="4">
        <v>1</v>
      </c>
      <c r="G15" s="287">
        <v>1068700</v>
      </c>
      <c r="S15" s="284"/>
    </row>
    <row r="16" spans="1:19" x14ac:dyDescent="0.25">
      <c r="A16" t="s">
        <v>148</v>
      </c>
      <c r="B16" t="s">
        <v>154</v>
      </c>
      <c r="C16" t="s">
        <v>48</v>
      </c>
      <c r="D16" t="s">
        <v>0</v>
      </c>
      <c r="E16" t="s">
        <v>52</v>
      </c>
      <c r="F16" s="4">
        <v>1.1151914911749363</v>
      </c>
      <c r="G16" s="287">
        <v>733100</v>
      </c>
      <c r="S16" s="284"/>
    </row>
    <row r="17" spans="1:19" x14ac:dyDescent="0.25">
      <c r="A17" t="s">
        <v>148</v>
      </c>
      <c r="B17" t="s">
        <v>154</v>
      </c>
      <c r="C17" t="s">
        <v>52</v>
      </c>
      <c r="D17" t="s">
        <v>0</v>
      </c>
      <c r="E17" t="s">
        <v>52</v>
      </c>
      <c r="F17" s="4">
        <v>1</v>
      </c>
      <c r="G17" s="287">
        <v>652900</v>
      </c>
      <c r="S17" s="284"/>
    </row>
    <row r="18" spans="1:19" x14ac:dyDescent="0.25">
      <c r="A18" t="s">
        <v>148</v>
      </c>
      <c r="B18" t="s">
        <v>155</v>
      </c>
      <c r="C18" t="s">
        <v>46</v>
      </c>
      <c r="D18" t="s">
        <v>0</v>
      </c>
      <c r="E18" t="s">
        <v>53</v>
      </c>
      <c r="F18" s="4">
        <v>1.8900092727276789</v>
      </c>
      <c r="G18" s="287">
        <v>493700</v>
      </c>
      <c r="S18" s="284"/>
    </row>
    <row r="19" spans="1:19" x14ac:dyDescent="0.25">
      <c r="A19" t="s">
        <v>148</v>
      </c>
      <c r="B19" t="s">
        <v>155</v>
      </c>
      <c r="C19" t="s">
        <v>53</v>
      </c>
      <c r="D19" t="s">
        <v>0</v>
      </c>
      <c r="E19" t="s">
        <v>53</v>
      </c>
      <c r="F19" s="4">
        <v>1</v>
      </c>
      <c r="G19" s="287">
        <v>283300</v>
      </c>
      <c r="S19" s="284"/>
    </row>
    <row r="20" spans="1:19" x14ac:dyDescent="0.25">
      <c r="A20" t="s">
        <v>148</v>
      </c>
      <c r="B20" t="s">
        <v>156</v>
      </c>
      <c r="C20" t="s">
        <v>16</v>
      </c>
      <c r="D20" t="s">
        <v>0</v>
      </c>
      <c r="E20" t="s">
        <v>17</v>
      </c>
      <c r="F20" s="4">
        <v>1.2037126373142839</v>
      </c>
      <c r="G20" s="287">
        <v>32269400</v>
      </c>
      <c r="S20" s="284"/>
    </row>
    <row r="21" spans="1:19" x14ac:dyDescent="0.25">
      <c r="A21" t="s">
        <v>148</v>
      </c>
      <c r="B21" t="s">
        <v>156</v>
      </c>
      <c r="C21" t="s">
        <v>14</v>
      </c>
      <c r="D21" t="s">
        <v>0</v>
      </c>
      <c r="E21" t="s">
        <v>17</v>
      </c>
      <c r="F21" s="4">
        <v>2.6380381483131461</v>
      </c>
      <c r="G21" s="287">
        <v>997300</v>
      </c>
      <c r="S21" s="284"/>
    </row>
    <row r="22" spans="1:19" x14ac:dyDescent="0.25">
      <c r="A22" t="s">
        <v>148</v>
      </c>
      <c r="B22" t="s">
        <v>156</v>
      </c>
      <c r="C22" t="s">
        <v>17</v>
      </c>
      <c r="D22" t="s">
        <v>0</v>
      </c>
      <c r="E22" t="s">
        <v>17</v>
      </c>
      <c r="F22" s="4">
        <v>1</v>
      </c>
      <c r="G22" s="287">
        <v>2739700</v>
      </c>
      <c r="S22" s="284"/>
    </row>
    <row r="23" spans="1:19" x14ac:dyDescent="0.25">
      <c r="A23" t="s">
        <v>148</v>
      </c>
      <c r="B23" t="s">
        <v>156</v>
      </c>
      <c r="C23" t="s">
        <v>13</v>
      </c>
      <c r="D23" t="s">
        <v>0</v>
      </c>
      <c r="E23" t="s">
        <v>17</v>
      </c>
      <c r="F23" s="4">
        <v>3.6825282472209082</v>
      </c>
      <c r="G23" s="287">
        <v>1143000</v>
      </c>
      <c r="S23" s="284"/>
    </row>
    <row r="24" spans="1:19" x14ac:dyDescent="0.25">
      <c r="A24" t="s">
        <v>148</v>
      </c>
      <c r="B24" t="s">
        <v>156</v>
      </c>
      <c r="C24" t="s">
        <v>12</v>
      </c>
      <c r="D24" t="s">
        <v>0</v>
      </c>
      <c r="E24" t="s">
        <v>17</v>
      </c>
      <c r="F24" s="4">
        <v>4.1153401871469573</v>
      </c>
      <c r="G24" s="287">
        <v>5385800</v>
      </c>
      <c r="S24" s="284"/>
    </row>
    <row r="25" spans="1:19" x14ac:dyDescent="0.25">
      <c r="A25" t="s">
        <v>148</v>
      </c>
      <c r="B25" t="s">
        <v>156</v>
      </c>
      <c r="C25" t="s">
        <v>15</v>
      </c>
      <c r="D25" t="s">
        <v>0</v>
      </c>
      <c r="E25" t="s">
        <v>17</v>
      </c>
      <c r="F25" s="4">
        <v>2.6025414570014549</v>
      </c>
      <c r="G25" s="287">
        <v>10440300</v>
      </c>
      <c r="S25" s="284"/>
    </row>
    <row r="26" spans="1:19" x14ac:dyDescent="0.25">
      <c r="A26" t="s">
        <v>148</v>
      </c>
      <c r="B26" t="s">
        <v>157</v>
      </c>
      <c r="C26" t="s">
        <v>20</v>
      </c>
      <c r="D26" t="s">
        <v>0</v>
      </c>
      <c r="E26" t="s">
        <v>20</v>
      </c>
      <c r="F26" s="4">
        <v>1</v>
      </c>
      <c r="G26" s="287">
        <v>2212100</v>
      </c>
      <c r="S26" s="284"/>
    </row>
    <row r="27" spans="1:19" x14ac:dyDescent="0.25">
      <c r="A27" t="s">
        <v>148</v>
      </c>
      <c r="B27" t="s">
        <v>157</v>
      </c>
      <c r="C27" t="s">
        <v>18</v>
      </c>
      <c r="D27" t="s">
        <v>0</v>
      </c>
      <c r="E27" t="s">
        <v>20</v>
      </c>
      <c r="F27" s="4">
        <v>4.237379624472033</v>
      </c>
      <c r="G27" s="287">
        <v>1143900</v>
      </c>
      <c r="S27" s="284"/>
    </row>
    <row r="28" spans="1:19" x14ac:dyDescent="0.25">
      <c r="A28" t="s">
        <v>148</v>
      </c>
      <c r="B28" t="s">
        <v>157</v>
      </c>
      <c r="C28" t="s">
        <v>19</v>
      </c>
      <c r="D28" t="s">
        <v>0</v>
      </c>
      <c r="E28" t="s">
        <v>20</v>
      </c>
      <c r="F28" s="4">
        <v>2.0178441911760019</v>
      </c>
      <c r="G28" s="287">
        <v>1314600</v>
      </c>
      <c r="S28" s="284"/>
    </row>
    <row r="29" spans="1:19" x14ac:dyDescent="0.25">
      <c r="A29" t="s">
        <v>148</v>
      </c>
      <c r="B29" t="s">
        <v>158</v>
      </c>
      <c r="C29" t="s">
        <v>4</v>
      </c>
      <c r="D29" t="s">
        <v>0</v>
      </c>
      <c r="E29" t="s">
        <v>4</v>
      </c>
      <c r="F29" s="4">
        <v>1</v>
      </c>
      <c r="G29" s="287">
        <v>4060000</v>
      </c>
      <c r="S29" s="284"/>
    </row>
    <row r="30" spans="1:19" x14ac:dyDescent="0.25">
      <c r="A30" t="s">
        <v>148</v>
      </c>
      <c r="B30" t="s">
        <v>158</v>
      </c>
      <c r="C30" t="s">
        <v>21</v>
      </c>
      <c r="D30" t="s">
        <v>0</v>
      </c>
      <c r="E30" t="s">
        <v>4</v>
      </c>
      <c r="F30" s="4">
        <v>2.3514193693819037</v>
      </c>
      <c r="G30" s="287">
        <v>513100</v>
      </c>
      <c r="S30" s="284"/>
    </row>
    <row r="31" spans="1:19" x14ac:dyDescent="0.25">
      <c r="A31" t="s">
        <v>148</v>
      </c>
      <c r="B31" t="s">
        <v>158</v>
      </c>
      <c r="C31" t="s">
        <v>3</v>
      </c>
      <c r="D31" t="s">
        <v>0</v>
      </c>
      <c r="E31" t="s">
        <v>4</v>
      </c>
      <c r="F31" s="4">
        <v>2.1280186537983319</v>
      </c>
      <c r="G31" s="287">
        <v>7463300</v>
      </c>
      <c r="S31" s="284"/>
    </row>
    <row r="32" spans="1:19" x14ac:dyDescent="0.25">
      <c r="A32" t="s">
        <v>148</v>
      </c>
      <c r="B32" t="s">
        <v>159</v>
      </c>
      <c r="C32" t="s">
        <v>54</v>
      </c>
      <c r="D32" t="s">
        <v>0</v>
      </c>
      <c r="E32" t="s">
        <v>54</v>
      </c>
      <c r="F32" s="4">
        <v>1</v>
      </c>
      <c r="G32" s="287">
        <v>2900600</v>
      </c>
      <c r="S32" s="284"/>
    </row>
    <row r="33" spans="1:19" x14ac:dyDescent="0.25">
      <c r="A33" t="s">
        <v>148</v>
      </c>
      <c r="B33" t="s">
        <v>159</v>
      </c>
      <c r="C33" t="s">
        <v>55</v>
      </c>
      <c r="D33" t="s">
        <v>0</v>
      </c>
      <c r="E33" t="s">
        <v>54</v>
      </c>
      <c r="F33" s="4">
        <v>1.6547428267785862</v>
      </c>
      <c r="G33" s="287">
        <v>699700</v>
      </c>
      <c r="S33" s="284"/>
    </row>
    <row r="34" spans="1:19" x14ac:dyDescent="0.25">
      <c r="A34" t="s">
        <v>148</v>
      </c>
      <c r="B34" t="s">
        <v>160</v>
      </c>
      <c r="C34" t="s">
        <v>23</v>
      </c>
      <c r="D34" t="s">
        <v>0</v>
      </c>
      <c r="E34" t="s">
        <v>24</v>
      </c>
      <c r="F34" s="4">
        <v>1.500472445303173</v>
      </c>
      <c r="G34" s="287">
        <v>2009100</v>
      </c>
      <c r="S34" s="284"/>
    </row>
    <row r="35" spans="1:19" x14ac:dyDescent="0.25">
      <c r="A35" t="s">
        <v>148</v>
      </c>
      <c r="B35" t="s">
        <v>160</v>
      </c>
      <c r="C35" t="s">
        <v>22</v>
      </c>
      <c r="D35" t="s">
        <v>0</v>
      </c>
      <c r="E35" t="s">
        <v>24</v>
      </c>
      <c r="F35" s="4">
        <v>3.361172781778401</v>
      </c>
      <c r="G35" s="287">
        <v>2696900</v>
      </c>
      <c r="S35" s="284"/>
    </row>
    <row r="36" spans="1:19" x14ac:dyDescent="0.25">
      <c r="A36" t="s">
        <v>148</v>
      </c>
      <c r="B36" t="s">
        <v>160</v>
      </c>
      <c r="C36" t="s">
        <v>24</v>
      </c>
      <c r="D36" t="s">
        <v>0</v>
      </c>
      <c r="E36" t="s">
        <v>24</v>
      </c>
      <c r="F36" s="4">
        <v>1</v>
      </c>
      <c r="G36" s="287">
        <v>4214100</v>
      </c>
      <c r="S36" s="284"/>
    </row>
    <row r="37" spans="1:19" x14ac:dyDescent="0.25">
      <c r="A37" t="s">
        <v>148</v>
      </c>
      <c r="B37" t="s">
        <v>161</v>
      </c>
      <c r="C37" t="s">
        <v>26</v>
      </c>
      <c r="D37" t="s">
        <v>0</v>
      </c>
      <c r="E37" t="s">
        <v>27</v>
      </c>
      <c r="F37" s="4">
        <v>1.7626915227597677</v>
      </c>
      <c r="G37" s="287">
        <v>638800</v>
      </c>
      <c r="S37" s="284"/>
    </row>
    <row r="38" spans="1:19" x14ac:dyDescent="0.25">
      <c r="A38" t="s">
        <v>148</v>
      </c>
      <c r="B38" t="s">
        <v>161</v>
      </c>
      <c r="C38" t="s">
        <v>25</v>
      </c>
      <c r="D38" t="s">
        <v>0</v>
      </c>
      <c r="E38" t="s">
        <v>27</v>
      </c>
      <c r="F38" s="4">
        <v>2.1025629779594235</v>
      </c>
      <c r="G38" s="287">
        <v>5207900</v>
      </c>
      <c r="S38" s="284"/>
    </row>
    <row r="39" spans="1:19" x14ac:dyDescent="0.25">
      <c r="A39" t="s">
        <v>148</v>
      </c>
      <c r="B39" t="s">
        <v>161</v>
      </c>
      <c r="C39" t="s">
        <v>27</v>
      </c>
      <c r="D39" t="s">
        <v>0</v>
      </c>
      <c r="E39" t="s">
        <v>27</v>
      </c>
      <c r="F39" s="4">
        <v>1</v>
      </c>
      <c r="G39" s="287">
        <v>1966400</v>
      </c>
      <c r="S39" s="284"/>
    </row>
    <row r="40" spans="1:19" x14ac:dyDescent="0.25">
      <c r="A40" t="s">
        <v>148</v>
      </c>
      <c r="B40" t="s">
        <v>162</v>
      </c>
      <c r="C40" t="s">
        <v>47</v>
      </c>
      <c r="D40" t="s">
        <v>0</v>
      </c>
      <c r="E40" t="s">
        <v>58</v>
      </c>
      <c r="F40" s="4">
        <v>1.7451182226669257</v>
      </c>
      <c r="G40" s="287">
        <v>503800</v>
      </c>
      <c r="S40" s="284"/>
    </row>
    <row r="41" spans="1:19" x14ac:dyDescent="0.25">
      <c r="A41" t="s">
        <v>148</v>
      </c>
      <c r="B41" t="s">
        <v>162</v>
      </c>
      <c r="C41" t="s">
        <v>58</v>
      </c>
      <c r="D41" t="s">
        <v>0</v>
      </c>
      <c r="E41" t="s">
        <v>58</v>
      </c>
      <c r="F41" s="4">
        <v>1</v>
      </c>
      <c r="G41" s="287">
        <v>353600</v>
      </c>
      <c r="S41" s="284"/>
    </row>
    <row r="42" spans="1:19" x14ac:dyDescent="0.25">
      <c r="A42" t="s">
        <v>127</v>
      </c>
      <c r="B42" t="s">
        <v>131</v>
      </c>
      <c r="C42" t="s">
        <v>102</v>
      </c>
      <c r="D42" t="s">
        <v>0</v>
      </c>
      <c r="E42" t="s">
        <v>104</v>
      </c>
      <c r="F42" s="4">
        <v>5.083007724279657</v>
      </c>
      <c r="G42" s="287">
        <v>1412300</v>
      </c>
      <c r="H42" s="286"/>
      <c r="S42" s="284"/>
    </row>
    <row r="43" spans="1:19" x14ac:dyDescent="0.25">
      <c r="A43" t="s">
        <v>127</v>
      </c>
      <c r="B43" t="s">
        <v>131</v>
      </c>
      <c r="C43" t="s">
        <v>104</v>
      </c>
      <c r="D43" t="s">
        <v>0</v>
      </c>
      <c r="E43" t="s">
        <v>104</v>
      </c>
      <c r="F43" s="4">
        <v>1</v>
      </c>
      <c r="G43" s="287">
        <v>602000</v>
      </c>
      <c r="H43" s="286"/>
      <c r="S43" s="284"/>
    </row>
    <row r="44" spans="1:19" x14ac:dyDescent="0.25">
      <c r="A44" t="s">
        <v>127</v>
      </c>
      <c r="B44" t="s">
        <v>133</v>
      </c>
      <c r="C44" t="s">
        <v>140</v>
      </c>
      <c r="D44" t="s">
        <v>0</v>
      </c>
      <c r="E44" t="s">
        <v>107</v>
      </c>
      <c r="F44" s="4">
        <v>1.7176982937817926</v>
      </c>
      <c r="G44" s="287">
        <v>97500</v>
      </c>
      <c r="H44" s="286"/>
      <c r="S44" s="284"/>
    </row>
    <row r="45" spans="1:19" x14ac:dyDescent="0.25">
      <c r="A45" t="s">
        <v>127</v>
      </c>
      <c r="B45" t="s">
        <v>133</v>
      </c>
      <c r="C45" t="s">
        <v>107</v>
      </c>
      <c r="D45" t="s">
        <v>0</v>
      </c>
      <c r="E45" t="s">
        <v>107</v>
      </c>
      <c r="F45" s="4">
        <v>1</v>
      </c>
      <c r="G45" s="287">
        <v>509800</v>
      </c>
      <c r="S45" s="284"/>
    </row>
    <row r="46" spans="1:19" x14ac:dyDescent="0.25">
      <c r="A46" t="s">
        <v>127</v>
      </c>
      <c r="B46" t="s">
        <v>132</v>
      </c>
      <c r="C46" t="s">
        <v>109</v>
      </c>
      <c r="D46" t="s">
        <v>0</v>
      </c>
      <c r="E46" t="s">
        <v>111</v>
      </c>
      <c r="F46" s="4">
        <v>3.868846504150425</v>
      </c>
      <c r="G46" s="287">
        <v>216700</v>
      </c>
      <c r="S46" s="284"/>
    </row>
    <row r="47" spans="1:19" x14ac:dyDescent="0.25">
      <c r="A47" t="s">
        <v>127</v>
      </c>
      <c r="B47" t="s">
        <v>132</v>
      </c>
      <c r="C47" t="s">
        <v>111</v>
      </c>
      <c r="D47" t="s">
        <v>0</v>
      </c>
      <c r="E47" t="s">
        <v>111</v>
      </c>
      <c r="F47" s="4">
        <v>1</v>
      </c>
      <c r="G47" s="287">
        <v>630000</v>
      </c>
      <c r="S47" s="284"/>
    </row>
    <row r="48" spans="1:19" x14ac:dyDescent="0.25">
      <c r="A48" t="s">
        <v>127</v>
      </c>
      <c r="B48" t="s">
        <v>167</v>
      </c>
      <c r="C48" t="s">
        <v>113</v>
      </c>
      <c r="D48" t="s">
        <v>0</v>
      </c>
      <c r="E48" t="s">
        <v>141</v>
      </c>
      <c r="F48" s="4">
        <v>3.6167811211693959</v>
      </c>
      <c r="G48" s="287">
        <v>97100</v>
      </c>
      <c r="S48" s="284"/>
    </row>
    <row r="49" spans="1:19" x14ac:dyDescent="0.25">
      <c r="A49" t="s">
        <v>127</v>
      </c>
      <c r="B49" t="s">
        <v>167</v>
      </c>
      <c r="C49" t="s">
        <v>141</v>
      </c>
      <c r="D49" t="s">
        <v>0</v>
      </c>
      <c r="E49" t="s">
        <v>141</v>
      </c>
      <c r="F49" s="4">
        <v>1</v>
      </c>
      <c r="G49" s="287">
        <v>217600</v>
      </c>
      <c r="S49" s="284"/>
    </row>
    <row r="50" spans="1:19" x14ac:dyDescent="0.25">
      <c r="A50" t="s">
        <v>127</v>
      </c>
      <c r="B50" t="s">
        <v>130</v>
      </c>
      <c r="C50" t="s">
        <v>115</v>
      </c>
      <c r="D50" t="s">
        <v>0</v>
      </c>
      <c r="E50" t="s">
        <v>117</v>
      </c>
      <c r="F50" s="4">
        <v>3.293484248093324</v>
      </c>
      <c r="G50" s="287">
        <v>281500</v>
      </c>
      <c r="S50" s="284"/>
    </row>
    <row r="51" spans="1:19" x14ac:dyDescent="0.25">
      <c r="A51" t="s">
        <v>127</v>
      </c>
      <c r="B51" t="s">
        <v>130</v>
      </c>
      <c r="C51" t="s">
        <v>117</v>
      </c>
      <c r="D51" t="s">
        <v>0</v>
      </c>
      <c r="E51" t="s">
        <v>117</v>
      </c>
      <c r="F51" s="4">
        <v>1</v>
      </c>
      <c r="G51" s="287">
        <v>3120800</v>
      </c>
      <c r="S51" s="284"/>
    </row>
    <row r="52" spans="1:19" x14ac:dyDescent="0.25">
      <c r="A52" t="s">
        <v>127</v>
      </c>
      <c r="B52" t="s">
        <v>128</v>
      </c>
      <c r="C52" t="s">
        <v>99</v>
      </c>
      <c r="D52" t="s">
        <v>0</v>
      </c>
      <c r="E52" t="s">
        <v>100</v>
      </c>
      <c r="F52" s="4">
        <v>4.2918353865450012</v>
      </c>
      <c r="G52" s="287">
        <v>117400</v>
      </c>
      <c r="S52" s="284"/>
    </row>
    <row r="53" spans="1:19" x14ac:dyDescent="0.25">
      <c r="A53" t="s">
        <v>127</v>
      </c>
      <c r="B53" t="s">
        <v>128</v>
      </c>
      <c r="C53" t="s">
        <v>100</v>
      </c>
      <c r="D53" t="s">
        <v>0</v>
      </c>
      <c r="E53" t="s">
        <v>100</v>
      </c>
      <c r="F53" s="4">
        <v>1</v>
      </c>
      <c r="G53" s="287">
        <v>152800</v>
      </c>
      <c r="S53" s="284"/>
    </row>
    <row r="54" spans="1:19" x14ac:dyDescent="0.25">
      <c r="A54" t="s">
        <v>127</v>
      </c>
      <c r="B54" t="s">
        <v>163</v>
      </c>
      <c r="C54" t="s">
        <v>119</v>
      </c>
      <c r="D54" t="s">
        <v>0</v>
      </c>
      <c r="E54" t="s">
        <v>119</v>
      </c>
      <c r="F54" s="4">
        <v>1</v>
      </c>
      <c r="G54" s="287">
        <v>310800</v>
      </c>
      <c r="S54" s="284"/>
    </row>
    <row r="55" spans="1:19" x14ac:dyDescent="0.25">
      <c r="A55" t="s">
        <v>127</v>
      </c>
      <c r="B55" t="s">
        <v>163</v>
      </c>
      <c r="C55" t="s">
        <v>121</v>
      </c>
      <c r="D55" t="s">
        <v>0</v>
      </c>
      <c r="E55" t="s">
        <v>119</v>
      </c>
      <c r="F55" s="4">
        <v>2.3864359326393201</v>
      </c>
      <c r="G55" s="287">
        <v>11124800</v>
      </c>
      <c r="S55" s="284"/>
    </row>
    <row r="56" spans="1:19" x14ac:dyDescent="0.25">
      <c r="A56" t="s">
        <v>127</v>
      </c>
      <c r="B56" t="s">
        <v>129</v>
      </c>
      <c r="C56" t="s">
        <v>123</v>
      </c>
      <c r="D56" t="s">
        <v>0</v>
      </c>
      <c r="E56" t="s">
        <v>125</v>
      </c>
      <c r="F56" s="4">
        <v>3.3501955507584049</v>
      </c>
      <c r="G56" s="287">
        <v>377100</v>
      </c>
      <c r="S56" s="284"/>
    </row>
    <row r="57" spans="1:19" x14ac:dyDescent="0.25">
      <c r="A57" t="s">
        <v>127</v>
      </c>
      <c r="B57" t="s">
        <v>129</v>
      </c>
      <c r="C57" t="s">
        <v>125</v>
      </c>
      <c r="D57" t="s">
        <v>0</v>
      </c>
      <c r="E57" t="s">
        <v>125</v>
      </c>
      <c r="F57" s="4">
        <v>1</v>
      </c>
      <c r="G57" s="287">
        <v>244400</v>
      </c>
      <c r="S57" s="284"/>
    </row>
    <row r="58" spans="1:19" x14ac:dyDescent="0.25">
      <c r="A58" t="s">
        <v>127</v>
      </c>
      <c r="B58" t="s">
        <v>131</v>
      </c>
      <c r="C58" t="s">
        <v>103</v>
      </c>
      <c r="D58" t="s">
        <v>0</v>
      </c>
      <c r="E58" t="s">
        <v>103</v>
      </c>
      <c r="F58" s="4">
        <v>1</v>
      </c>
      <c r="G58" s="287">
        <v>1006200</v>
      </c>
      <c r="H58" s="286"/>
      <c r="S58" s="284"/>
    </row>
    <row r="59" spans="1:19" x14ac:dyDescent="0.25">
      <c r="A59" t="s">
        <v>127</v>
      </c>
      <c r="B59" t="s">
        <v>131</v>
      </c>
      <c r="C59" t="s">
        <v>105</v>
      </c>
      <c r="D59" t="s">
        <v>0</v>
      </c>
      <c r="E59" t="s">
        <v>103</v>
      </c>
      <c r="F59" s="4">
        <v>1.0595602216248958</v>
      </c>
      <c r="G59" s="287">
        <v>30037300</v>
      </c>
      <c r="H59" s="286"/>
      <c r="S59" s="284"/>
    </row>
    <row r="60" spans="1:19" x14ac:dyDescent="0.25">
      <c r="A60" t="s">
        <v>127</v>
      </c>
      <c r="B60" t="s">
        <v>133</v>
      </c>
      <c r="C60" t="s">
        <v>106</v>
      </c>
      <c r="D60" t="s">
        <v>0</v>
      </c>
      <c r="E60" t="s">
        <v>106</v>
      </c>
      <c r="F60" s="4">
        <v>1</v>
      </c>
      <c r="G60" s="287">
        <v>385000</v>
      </c>
      <c r="H60" s="286"/>
      <c r="S60" s="284"/>
    </row>
    <row r="61" spans="1:19" x14ac:dyDescent="0.25">
      <c r="A61" t="s">
        <v>127</v>
      </c>
      <c r="B61" t="s">
        <v>133</v>
      </c>
      <c r="C61" t="s">
        <v>108</v>
      </c>
      <c r="D61" t="s">
        <v>0</v>
      </c>
      <c r="E61" t="s">
        <v>106</v>
      </c>
      <c r="F61" s="4">
        <v>2.3694851424419241</v>
      </c>
      <c r="G61" s="287">
        <v>32691700</v>
      </c>
      <c r="H61" s="286"/>
      <c r="S61" s="284"/>
    </row>
    <row r="62" spans="1:19" x14ac:dyDescent="0.25">
      <c r="A62" t="s">
        <v>127</v>
      </c>
      <c r="B62" t="s">
        <v>132</v>
      </c>
      <c r="C62" t="s">
        <v>110</v>
      </c>
      <c r="D62" t="s">
        <v>0</v>
      </c>
      <c r="E62" t="s">
        <v>112</v>
      </c>
      <c r="F62" s="4">
        <v>2.3669710095634038</v>
      </c>
      <c r="G62" s="287">
        <v>813800</v>
      </c>
      <c r="S62" s="284"/>
    </row>
    <row r="63" spans="1:19" x14ac:dyDescent="0.25">
      <c r="A63" t="s">
        <v>127</v>
      </c>
      <c r="B63" t="s">
        <v>132</v>
      </c>
      <c r="C63" t="s">
        <v>112</v>
      </c>
      <c r="D63" t="s">
        <v>0</v>
      </c>
      <c r="E63" t="s">
        <v>112</v>
      </c>
      <c r="F63" s="4">
        <v>1</v>
      </c>
      <c r="G63" s="287">
        <v>9859300</v>
      </c>
      <c r="S63" s="284"/>
    </row>
    <row r="64" spans="1:19" x14ac:dyDescent="0.25">
      <c r="A64" t="s">
        <v>127</v>
      </c>
      <c r="B64" t="s">
        <v>167</v>
      </c>
      <c r="C64" t="s">
        <v>142</v>
      </c>
      <c r="D64" t="s">
        <v>0</v>
      </c>
      <c r="E64" t="s">
        <v>114</v>
      </c>
      <c r="F64" s="4">
        <v>1.0944435273372788</v>
      </c>
      <c r="G64" s="287">
        <v>91000</v>
      </c>
      <c r="S64" s="284"/>
    </row>
    <row r="65" spans="1:19" x14ac:dyDescent="0.25">
      <c r="A65" t="s">
        <v>127</v>
      </c>
      <c r="B65" t="s">
        <v>167</v>
      </c>
      <c r="C65" t="s">
        <v>114</v>
      </c>
      <c r="D65" t="s">
        <v>0</v>
      </c>
      <c r="E65" t="s">
        <v>114</v>
      </c>
      <c r="F65" s="4">
        <v>1</v>
      </c>
      <c r="G65" s="287">
        <v>7095600</v>
      </c>
      <c r="S65" s="284"/>
    </row>
    <row r="66" spans="1:19" x14ac:dyDescent="0.25">
      <c r="A66" t="s">
        <v>127</v>
      </c>
      <c r="B66" t="s">
        <v>130</v>
      </c>
      <c r="C66" t="s">
        <v>116</v>
      </c>
      <c r="D66" t="s">
        <v>0</v>
      </c>
      <c r="E66" t="s">
        <v>116</v>
      </c>
      <c r="F66" s="4">
        <v>1</v>
      </c>
      <c r="G66" s="287">
        <v>5386800</v>
      </c>
      <c r="S66" s="284"/>
    </row>
    <row r="67" spans="1:19" x14ac:dyDescent="0.25">
      <c r="A67" t="s">
        <v>127</v>
      </c>
      <c r="B67" t="s">
        <v>130</v>
      </c>
      <c r="C67" t="s">
        <v>118</v>
      </c>
      <c r="D67" t="s">
        <v>0</v>
      </c>
      <c r="E67" t="s">
        <v>116</v>
      </c>
      <c r="F67" s="4">
        <v>2.3254011192539137</v>
      </c>
      <c r="G67" s="287">
        <v>5234900</v>
      </c>
      <c r="S67" s="284"/>
    </row>
    <row r="68" spans="1:19" x14ac:dyDescent="0.25">
      <c r="A68" t="s">
        <v>127</v>
      </c>
      <c r="B68" t="s">
        <v>128</v>
      </c>
      <c r="C68" t="s">
        <v>143</v>
      </c>
      <c r="D68" t="s">
        <v>0</v>
      </c>
      <c r="E68" t="s">
        <v>101</v>
      </c>
      <c r="F68" s="4">
        <v>1.143424686716251</v>
      </c>
      <c r="G68" s="287">
        <v>231300</v>
      </c>
      <c r="S68" s="284"/>
    </row>
    <row r="69" spans="1:19" x14ac:dyDescent="0.25">
      <c r="A69" t="s">
        <v>127</v>
      </c>
      <c r="B69" t="s">
        <v>128</v>
      </c>
      <c r="C69" t="s">
        <v>101</v>
      </c>
      <c r="D69" t="s">
        <v>0</v>
      </c>
      <c r="E69" t="s">
        <v>101</v>
      </c>
      <c r="F69" s="4">
        <v>1</v>
      </c>
      <c r="G69" s="287">
        <v>10862800</v>
      </c>
      <c r="S69" s="284"/>
    </row>
    <row r="70" spans="1:19" x14ac:dyDescent="0.25">
      <c r="A70" t="s">
        <v>127</v>
      </c>
      <c r="B70" t="s">
        <v>163</v>
      </c>
      <c r="C70" t="s">
        <v>120</v>
      </c>
      <c r="D70" t="s">
        <v>0</v>
      </c>
      <c r="E70" t="s">
        <v>120</v>
      </c>
      <c r="F70" s="4">
        <v>1</v>
      </c>
      <c r="G70" s="287">
        <v>615900</v>
      </c>
      <c r="S70" s="284"/>
    </row>
    <row r="71" spans="1:19" x14ac:dyDescent="0.25">
      <c r="A71" t="s">
        <v>127</v>
      </c>
      <c r="B71" t="s">
        <v>163</v>
      </c>
      <c r="C71" t="s">
        <v>122</v>
      </c>
      <c r="D71" t="s">
        <v>0</v>
      </c>
      <c r="E71" t="s">
        <v>120</v>
      </c>
      <c r="F71" s="4">
        <v>1.3486885275814857</v>
      </c>
      <c r="G71" s="287">
        <v>10018000</v>
      </c>
      <c r="S71" s="284"/>
    </row>
    <row r="72" spans="1:19" x14ac:dyDescent="0.25">
      <c r="A72" t="s">
        <v>127</v>
      </c>
      <c r="B72" t="s">
        <v>129</v>
      </c>
      <c r="C72" t="s">
        <v>124</v>
      </c>
      <c r="D72" t="s">
        <v>0</v>
      </c>
      <c r="E72" t="s">
        <v>124</v>
      </c>
      <c r="F72" s="4">
        <v>1</v>
      </c>
      <c r="G72" s="287">
        <v>121700</v>
      </c>
      <c r="S72" s="284"/>
    </row>
    <row r="73" spans="1:19" x14ac:dyDescent="0.25">
      <c r="A73" t="s">
        <v>127</v>
      </c>
      <c r="B73" t="s">
        <v>129</v>
      </c>
      <c r="C73" t="s">
        <v>126</v>
      </c>
      <c r="D73" t="s">
        <v>0</v>
      </c>
      <c r="E73" t="s">
        <v>124</v>
      </c>
      <c r="F73" s="4">
        <v>2.5425545381996812</v>
      </c>
      <c r="G73" s="287">
        <v>20070500</v>
      </c>
      <c r="S73" s="28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K75"/>
  <sheetViews>
    <sheetView workbookViewId="0">
      <selection activeCell="E29" sqref="E2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4.28515625" style="6" bestFit="1" customWidth="1"/>
    <col min="11" max="11" width="11.42578125" bestFit="1" customWidth="1"/>
  </cols>
  <sheetData>
    <row r="1" spans="1:11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s="6" t="s">
        <v>42</v>
      </c>
      <c r="K1" t="s">
        <v>42</v>
      </c>
    </row>
    <row r="2" spans="1:11" x14ac:dyDescent="0.25">
      <c r="A2" t="s">
        <v>43</v>
      </c>
      <c r="B2" t="s">
        <v>8</v>
      </c>
      <c r="C2" t="s">
        <v>0</v>
      </c>
      <c r="D2" s="6">
        <v>500</v>
      </c>
      <c r="E2" s="2">
        <v>96.83</v>
      </c>
      <c r="F2" s="2">
        <v>97.04</v>
      </c>
      <c r="G2" s="6">
        <v>1000</v>
      </c>
      <c r="H2" s="2">
        <v>96.839995999999999</v>
      </c>
      <c r="I2" s="6">
        <v>0</v>
      </c>
      <c r="J2" s="6" t="s">
        <v>193</v>
      </c>
      <c r="K2" t="s">
        <v>185</v>
      </c>
    </row>
    <row r="3" spans="1:11" x14ac:dyDescent="0.25">
      <c r="A3" t="s">
        <v>43</v>
      </c>
      <c r="B3" t="s">
        <v>44</v>
      </c>
      <c r="C3" t="s">
        <v>0</v>
      </c>
      <c r="D3" s="6">
        <v>300</v>
      </c>
      <c r="E3" s="2">
        <v>28.7</v>
      </c>
      <c r="F3" s="2">
        <v>28.94</v>
      </c>
      <c r="G3" s="6">
        <v>600</v>
      </c>
      <c r="H3" s="2">
        <v>28.77</v>
      </c>
      <c r="I3" s="6">
        <v>0</v>
      </c>
      <c r="J3" s="6" t="s">
        <v>193</v>
      </c>
      <c r="K3" t="s">
        <v>185</v>
      </c>
    </row>
    <row r="4" spans="1:11" x14ac:dyDescent="0.25">
      <c r="A4" t="s">
        <v>43</v>
      </c>
      <c r="B4" t="s">
        <v>7</v>
      </c>
      <c r="C4" t="s">
        <v>0</v>
      </c>
      <c r="D4" s="6">
        <v>100</v>
      </c>
      <c r="E4" s="2">
        <v>71.8</v>
      </c>
      <c r="F4" s="2">
        <v>71.900000000000006</v>
      </c>
      <c r="G4" s="6">
        <v>100</v>
      </c>
      <c r="H4" s="2">
        <v>71.830001999999993</v>
      </c>
      <c r="I4" s="6">
        <v>0</v>
      </c>
      <c r="J4" s="6" t="s">
        <v>193</v>
      </c>
      <c r="K4" t="s">
        <v>185</v>
      </c>
    </row>
    <row r="5" spans="1:11" x14ac:dyDescent="0.25">
      <c r="A5" t="s">
        <v>43</v>
      </c>
      <c r="B5" t="s">
        <v>45</v>
      </c>
      <c r="C5" t="s">
        <v>0</v>
      </c>
      <c r="D5" s="6">
        <v>600</v>
      </c>
      <c r="E5" s="2">
        <v>47.21</v>
      </c>
      <c r="F5" s="2">
        <v>47.4</v>
      </c>
      <c r="G5" s="6">
        <v>600</v>
      </c>
      <c r="H5" s="2">
        <v>47.25</v>
      </c>
      <c r="I5" s="6">
        <v>0</v>
      </c>
      <c r="J5" s="6" t="s">
        <v>193</v>
      </c>
      <c r="K5" t="s">
        <v>185</v>
      </c>
    </row>
    <row r="6" spans="1:11" x14ac:dyDescent="0.25">
      <c r="A6" t="s">
        <v>43</v>
      </c>
      <c r="B6" t="s">
        <v>46</v>
      </c>
      <c r="C6" t="s">
        <v>0</v>
      </c>
      <c r="D6" s="6">
        <v>200</v>
      </c>
      <c r="E6" s="2">
        <v>21</v>
      </c>
      <c r="F6" s="2">
        <v>22.42</v>
      </c>
      <c r="G6" s="6">
        <v>100</v>
      </c>
      <c r="H6" s="2">
        <v>21.719999000000001</v>
      </c>
      <c r="I6" s="6">
        <v>0</v>
      </c>
      <c r="J6" s="6" t="s">
        <v>193</v>
      </c>
      <c r="K6" t="s">
        <v>185</v>
      </c>
    </row>
    <row r="7" spans="1:11" x14ac:dyDescent="0.25">
      <c r="A7" t="s">
        <v>43</v>
      </c>
      <c r="B7" t="s">
        <v>47</v>
      </c>
      <c r="C7" t="s">
        <v>0</v>
      </c>
      <c r="D7" s="6">
        <v>200</v>
      </c>
      <c r="E7" s="2">
        <v>55.72</v>
      </c>
      <c r="F7" s="2">
        <v>56.06</v>
      </c>
      <c r="G7" s="6">
        <v>300</v>
      </c>
      <c r="H7" s="2">
        <v>55.724997999999999</v>
      </c>
      <c r="I7" s="6">
        <v>0</v>
      </c>
      <c r="J7" s="6" t="s">
        <v>193</v>
      </c>
      <c r="K7" t="s">
        <v>185</v>
      </c>
    </row>
    <row r="8" spans="1:11" x14ac:dyDescent="0.25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99.7</v>
      </c>
      <c r="G8" s="6">
        <v>100</v>
      </c>
      <c r="H8" s="2">
        <v>94.279999000000004</v>
      </c>
      <c r="I8" s="6">
        <v>0</v>
      </c>
      <c r="J8" s="6" t="s">
        <v>193</v>
      </c>
      <c r="K8" t="s">
        <v>185</v>
      </c>
    </row>
    <row r="9" spans="1:11" x14ac:dyDescent="0.25">
      <c r="A9" t="s">
        <v>43</v>
      </c>
      <c r="B9" t="s">
        <v>48</v>
      </c>
      <c r="C9" t="s">
        <v>0</v>
      </c>
      <c r="D9" s="6">
        <v>100</v>
      </c>
      <c r="E9" s="2">
        <v>95.61</v>
      </c>
      <c r="F9" s="2">
        <v>102.46</v>
      </c>
      <c r="G9" s="6">
        <v>100</v>
      </c>
      <c r="H9" s="2">
        <v>101.30999799999999</v>
      </c>
      <c r="I9" s="6">
        <v>0</v>
      </c>
      <c r="J9" s="6" t="s">
        <v>193</v>
      </c>
      <c r="K9" t="s">
        <v>185</v>
      </c>
    </row>
    <row r="10" spans="1:11" x14ac:dyDescent="0.25">
      <c r="A10" t="s">
        <v>43</v>
      </c>
      <c r="B10" t="s">
        <v>49</v>
      </c>
      <c r="C10" t="s">
        <v>0</v>
      </c>
      <c r="D10" s="6">
        <v>300</v>
      </c>
      <c r="E10" s="2">
        <v>94.03</v>
      </c>
      <c r="F10" s="2">
        <v>94.55</v>
      </c>
      <c r="G10" s="6">
        <v>300</v>
      </c>
      <c r="H10" s="2">
        <v>94.150002000000001</v>
      </c>
      <c r="I10" s="6">
        <v>0</v>
      </c>
      <c r="J10" s="6" t="s">
        <v>193</v>
      </c>
      <c r="K10" t="s">
        <v>185</v>
      </c>
    </row>
    <row r="11" spans="1:11" x14ac:dyDescent="0.25">
      <c r="A11" t="s">
        <v>43</v>
      </c>
      <c r="B11" t="s">
        <v>50</v>
      </c>
      <c r="C11" t="s">
        <v>0</v>
      </c>
      <c r="D11" s="6">
        <v>400</v>
      </c>
      <c r="E11" s="2">
        <v>26.24</v>
      </c>
      <c r="F11" s="2">
        <v>27.27</v>
      </c>
      <c r="G11" s="6">
        <v>3900</v>
      </c>
      <c r="H11" s="2">
        <v>26.799999</v>
      </c>
      <c r="I11" s="6">
        <v>0</v>
      </c>
      <c r="J11" s="6" t="s">
        <v>193</v>
      </c>
      <c r="K11" t="s">
        <v>185</v>
      </c>
    </row>
    <row r="12" spans="1:11" x14ac:dyDescent="0.25">
      <c r="A12" t="s">
        <v>43</v>
      </c>
      <c r="B12" t="s">
        <v>16</v>
      </c>
      <c r="C12" t="s">
        <v>0</v>
      </c>
      <c r="D12" s="6">
        <v>100</v>
      </c>
      <c r="E12" s="2">
        <v>79.06</v>
      </c>
      <c r="F12" s="2">
        <v>79.28</v>
      </c>
      <c r="G12" s="6">
        <v>2500</v>
      </c>
      <c r="H12" s="2">
        <v>79.110000999999997</v>
      </c>
      <c r="I12" s="6">
        <v>0</v>
      </c>
      <c r="J12" s="6" t="s">
        <v>193</v>
      </c>
      <c r="K12" t="s">
        <v>185</v>
      </c>
    </row>
    <row r="13" spans="1:11" x14ac:dyDescent="0.25">
      <c r="A13" t="s">
        <v>43</v>
      </c>
      <c r="B13" t="s">
        <v>14</v>
      </c>
      <c r="C13" t="s">
        <v>0</v>
      </c>
      <c r="D13" s="6">
        <v>100</v>
      </c>
      <c r="E13" s="2">
        <v>36.049999999999997</v>
      </c>
      <c r="F13" s="2">
        <v>36.229999999999997</v>
      </c>
      <c r="G13" s="6">
        <v>800</v>
      </c>
      <c r="H13" s="2">
        <v>36.119999</v>
      </c>
      <c r="I13" s="6">
        <v>0</v>
      </c>
      <c r="J13" s="6" t="s">
        <v>193</v>
      </c>
      <c r="K13" t="s">
        <v>185</v>
      </c>
    </row>
    <row r="14" spans="1:11" x14ac:dyDescent="0.25">
      <c r="A14" t="s">
        <v>43</v>
      </c>
      <c r="B14" t="s">
        <v>51</v>
      </c>
      <c r="C14" t="s">
        <v>0</v>
      </c>
      <c r="D14" s="6">
        <v>200</v>
      </c>
      <c r="E14" s="2">
        <v>49.5</v>
      </c>
      <c r="F14" s="2">
        <v>49.78</v>
      </c>
      <c r="G14" s="6">
        <v>600</v>
      </c>
      <c r="H14" s="2">
        <v>49.59</v>
      </c>
      <c r="I14" s="6">
        <v>0</v>
      </c>
      <c r="J14" s="6" t="s">
        <v>193</v>
      </c>
      <c r="K14" t="s">
        <v>185</v>
      </c>
    </row>
    <row r="15" spans="1:11" x14ac:dyDescent="0.25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114.25</v>
      </c>
      <c r="G15" s="6">
        <v>100</v>
      </c>
      <c r="H15" s="2">
        <v>112.82</v>
      </c>
      <c r="I15" s="6">
        <v>0</v>
      </c>
      <c r="J15" s="6" t="s">
        <v>193</v>
      </c>
      <c r="K15" t="s">
        <v>185</v>
      </c>
    </row>
    <row r="16" spans="1:11" x14ac:dyDescent="0.25">
      <c r="A16" t="s">
        <v>43</v>
      </c>
      <c r="B16" t="s">
        <v>23</v>
      </c>
      <c r="C16" t="s">
        <v>0</v>
      </c>
      <c r="D16" s="6">
        <v>200</v>
      </c>
      <c r="E16" s="2">
        <v>47.4</v>
      </c>
      <c r="F16" s="2">
        <v>48.19</v>
      </c>
      <c r="G16" s="6">
        <v>100</v>
      </c>
      <c r="H16" s="2">
        <v>47.639999000000003</v>
      </c>
      <c r="I16" s="6">
        <v>0</v>
      </c>
      <c r="J16" s="6" t="s">
        <v>193</v>
      </c>
      <c r="K16" t="s">
        <v>185</v>
      </c>
    </row>
    <row r="17" spans="1:11" x14ac:dyDescent="0.25">
      <c r="A17" t="s">
        <v>43</v>
      </c>
      <c r="B17" t="s">
        <v>53</v>
      </c>
      <c r="C17" t="s">
        <v>0</v>
      </c>
      <c r="D17" s="6">
        <v>100</v>
      </c>
      <c r="E17" s="2">
        <v>39.700000000000003</v>
      </c>
      <c r="F17" s="2">
        <v>42.31</v>
      </c>
      <c r="G17" s="6">
        <v>500</v>
      </c>
      <c r="H17" s="2">
        <v>41.09</v>
      </c>
      <c r="I17" s="6">
        <v>0</v>
      </c>
      <c r="J17" s="6" t="s">
        <v>193</v>
      </c>
      <c r="K17" t="s">
        <v>185</v>
      </c>
    </row>
    <row r="18" spans="1:11" x14ac:dyDescent="0.25">
      <c r="A18" t="s">
        <v>43</v>
      </c>
      <c r="B18" t="s">
        <v>17</v>
      </c>
      <c r="C18" t="s">
        <v>0</v>
      </c>
      <c r="D18" s="6">
        <v>2000</v>
      </c>
      <c r="E18" s="2">
        <v>95.1</v>
      </c>
      <c r="F18" s="2">
        <v>95.51</v>
      </c>
      <c r="G18" s="6">
        <v>300</v>
      </c>
      <c r="H18" s="2">
        <v>95.209998999999996</v>
      </c>
      <c r="I18" s="6">
        <v>0</v>
      </c>
      <c r="J18" s="6" t="s">
        <v>193</v>
      </c>
      <c r="K18" t="s">
        <v>185</v>
      </c>
    </row>
    <row r="19" spans="1:11" x14ac:dyDescent="0.25">
      <c r="A19" t="s">
        <v>43</v>
      </c>
      <c r="B19" t="s">
        <v>20</v>
      </c>
      <c r="C19" t="s">
        <v>0</v>
      </c>
      <c r="D19" s="6">
        <v>200</v>
      </c>
      <c r="E19" s="2">
        <v>92.16</v>
      </c>
      <c r="F19" s="2">
        <v>92.95</v>
      </c>
      <c r="G19" s="6">
        <v>200</v>
      </c>
      <c r="H19" s="2">
        <v>92.510002</v>
      </c>
      <c r="I19" s="6">
        <v>0</v>
      </c>
      <c r="J19" s="6" t="s">
        <v>193</v>
      </c>
      <c r="K19" t="s">
        <v>185</v>
      </c>
    </row>
    <row r="20" spans="1:11" x14ac:dyDescent="0.25">
      <c r="A20" t="s">
        <v>43</v>
      </c>
      <c r="B20" t="s">
        <v>4</v>
      </c>
      <c r="C20" t="s">
        <v>0</v>
      </c>
      <c r="D20" s="6">
        <v>100</v>
      </c>
      <c r="E20" s="2">
        <v>103.95</v>
      </c>
      <c r="F20" s="2">
        <v>104.6</v>
      </c>
      <c r="G20" s="6">
        <v>200</v>
      </c>
      <c r="H20" s="2">
        <v>104.220001</v>
      </c>
      <c r="I20" s="6">
        <v>0</v>
      </c>
      <c r="J20" s="6" t="s">
        <v>193</v>
      </c>
      <c r="K20" t="s">
        <v>185</v>
      </c>
    </row>
    <row r="21" spans="1:11" x14ac:dyDescent="0.25">
      <c r="A21" t="s">
        <v>43</v>
      </c>
      <c r="B21" t="s">
        <v>54</v>
      </c>
      <c r="C21" t="s">
        <v>0</v>
      </c>
      <c r="D21" s="6">
        <v>1200</v>
      </c>
      <c r="E21" s="2">
        <v>30.2</v>
      </c>
      <c r="F21" s="2">
        <v>30.29</v>
      </c>
      <c r="G21" s="6">
        <v>100</v>
      </c>
      <c r="H21" s="2">
        <v>30.200001</v>
      </c>
      <c r="I21" s="6">
        <v>0</v>
      </c>
      <c r="J21" s="6" t="s">
        <v>193</v>
      </c>
      <c r="K21" t="s">
        <v>185</v>
      </c>
    </row>
    <row r="22" spans="1:11" x14ac:dyDescent="0.25">
      <c r="A22" t="s">
        <v>43</v>
      </c>
      <c r="B22" t="s">
        <v>55</v>
      </c>
      <c r="C22" t="s">
        <v>0</v>
      </c>
      <c r="D22" s="6">
        <v>1000</v>
      </c>
      <c r="E22" s="2">
        <v>18.100000000000001</v>
      </c>
      <c r="F22" s="2">
        <v>18.399999999999999</v>
      </c>
      <c r="G22" s="6">
        <v>300</v>
      </c>
      <c r="H22" s="2">
        <v>18.139999</v>
      </c>
      <c r="I22" s="6">
        <v>0</v>
      </c>
      <c r="J22" s="6" t="s">
        <v>193</v>
      </c>
      <c r="K22" t="s">
        <v>185</v>
      </c>
    </row>
    <row r="23" spans="1:11" x14ac:dyDescent="0.25">
      <c r="A23" t="s">
        <v>43</v>
      </c>
      <c r="B23" t="s">
        <v>26</v>
      </c>
      <c r="C23" t="s">
        <v>0</v>
      </c>
      <c r="D23" s="6">
        <v>52800</v>
      </c>
      <c r="E23" s="2">
        <v>29.89</v>
      </c>
      <c r="F23" s="2">
        <v>29.93</v>
      </c>
      <c r="G23" s="6">
        <v>12000</v>
      </c>
      <c r="H23" s="2">
        <v>29.860001</v>
      </c>
      <c r="I23" s="6">
        <v>0</v>
      </c>
      <c r="J23" s="6" t="s">
        <v>193</v>
      </c>
      <c r="K23" t="s">
        <v>185</v>
      </c>
    </row>
    <row r="24" spans="1:11" x14ac:dyDescent="0.25">
      <c r="A24" t="s">
        <v>43</v>
      </c>
      <c r="B24" t="s">
        <v>5</v>
      </c>
      <c r="C24" t="s">
        <v>0</v>
      </c>
      <c r="D24" s="6">
        <v>4600</v>
      </c>
      <c r="E24" s="2">
        <v>22.6</v>
      </c>
      <c r="F24" s="2">
        <v>22.72</v>
      </c>
      <c r="G24" s="6">
        <v>1300</v>
      </c>
      <c r="H24" s="2">
        <v>22.629999000000002</v>
      </c>
      <c r="I24" s="6">
        <v>0</v>
      </c>
      <c r="J24" s="6" t="s">
        <v>193</v>
      </c>
      <c r="K24" t="s">
        <v>185</v>
      </c>
    </row>
    <row r="25" spans="1:11" x14ac:dyDescent="0.25">
      <c r="A25" t="s">
        <v>43</v>
      </c>
      <c r="B25" t="s">
        <v>13</v>
      </c>
      <c r="C25" t="s">
        <v>0</v>
      </c>
      <c r="D25" s="6">
        <v>500</v>
      </c>
      <c r="E25" s="2">
        <v>25.87</v>
      </c>
      <c r="F25" s="2">
        <v>25.91</v>
      </c>
      <c r="G25" s="6">
        <v>400</v>
      </c>
      <c r="H25" s="2">
        <v>25.870000999999998</v>
      </c>
      <c r="I25" s="6">
        <v>0</v>
      </c>
      <c r="J25" s="6" t="s">
        <v>193</v>
      </c>
      <c r="K25" t="s">
        <v>185</v>
      </c>
    </row>
    <row r="26" spans="1:11" x14ac:dyDescent="0.25">
      <c r="A26" t="s">
        <v>43</v>
      </c>
      <c r="B26" t="s">
        <v>6</v>
      </c>
      <c r="C26" t="s">
        <v>0</v>
      </c>
      <c r="D26" s="6">
        <v>1200</v>
      </c>
      <c r="E26" s="2">
        <v>24.89</v>
      </c>
      <c r="F26" s="2">
        <v>25.05</v>
      </c>
      <c r="G26" s="6">
        <v>1100</v>
      </c>
      <c r="H26" s="2">
        <v>24.969999000000001</v>
      </c>
      <c r="I26" s="6">
        <v>0</v>
      </c>
      <c r="J26" s="6" t="s">
        <v>193</v>
      </c>
      <c r="K26" t="s">
        <v>185</v>
      </c>
    </row>
    <row r="27" spans="1:11" x14ac:dyDescent="0.25">
      <c r="A27" t="s">
        <v>43</v>
      </c>
      <c r="B27" t="s">
        <v>28</v>
      </c>
      <c r="C27" t="s">
        <v>0</v>
      </c>
      <c r="D27" s="6">
        <v>1000</v>
      </c>
      <c r="E27" s="2">
        <v>28.1</v>
      </c>
      <c r="F27" s="2">
        <v>28.4</v>
      </c>
      <c r="G27" s="6">
        <v>1000</v>
      </c>
      <c r="H27" s="2">
        <v>28.209999</v>
      </c>
      <c r="I27" s="6">
        <v>0</v>
      </c>
      <c r="J27" s="6" t="s">
        <v>193</v>
      </c>
      <c r="K27" t="s">
        <v>185</v>
      </c>
    </row>
    <row r="28" spans="1:11" x14ac:dyDescent="0.25">
      <c r="A28" t="s">
        <v>43</v>
      </c>
      <c r="B28" t="s">
        <v>12</v>
      </c>
      <c r="C28" t="s">
        <v>0</v>
      </c>
      <c r="D28" s="6">
        <v>300</v>
      </c>
      <c r="E28" s="2">
        <v>23.13</v>
      </c>
      <c r="F28" s="2">
        <v>23.19</v>
      </c>
      <c r="G28" s="6">
        <v>300</v>
      </c>
      <c r="H28" s="2">
        <v>23.139999</v>
      </c>
      <c r="I28" s="6">
        <v>0</v>
      </c>
      <c r="J28" s="6" t="s">
        <v>193</v>
      </c>
      <c r="K28" t="s">
        <v>185</v>
      </c>
    </row>
    <row r="29" spans="1:11" x14ac:dyDescent="0.25">
      <c r="A29" t="s">
        <v>43</v>
      </c>
      <c r="B29" t="s">
        <v>22</v>
      </c>
      <c r="C29" t="s">
        <v>0</v>
      </c>
      <c r="D29" s="6">
        <v>100</v>
      </c>
      <c r="E29" s="2">
        <v>20.98</v>
      </c>
      <c r="F29" s="2">
        <v>21.61</v>
      </c>
      <c r="G29" s="6">
        <v>100</v>
      </c>
      <c r="H29" s="2">
        <v>21.25</v>
      </c>
      <c r="I29" s="6">
        <v>0</v>
      </c>
      <c r="J29" s="6" t="s">
        <v>193</v>
      </c>
      <c r="K29" t="s">
        <v>185</v>
      </c>
    </row>
    <row r="30" spans="1:11" x14ac:dyDescent="0.25">
      <c r="A30" t="s">
        <v>43</v>
      </c>
      <c r="B30" t="s">
        <v>18</v>
      </c>
      <c r="C30" t="s">
        <v>0</v>
      </c>
      <c r="D30" s="6">
        <v>900</v>
      </c>
      <c r="E30" s="2">
        <v>21.75</v>
      </c>
      <c r="F30" s="2">
        <v>21.93</v>
      </c>
      <c r="G30" s="6">
        <v>900</v>
      </c>
      <c r="H30" s="2">
        <v>21.82</v>
      </c>
      <c r="I30" s="6">
        <v>0</v>
      </c>
      <c r="J30" s="6" t="s">
        <v>193</v>
      </c>
      <c r="K30" t="s">
        <v>185</v>
      </c>
    </row>
    <row r="31" spans="1:11" x14ac:dyDescent="0.25">
      <c r="A31" t="s">
        <v>43</v>
      </c>
      <c r="B31" t="s">
        <v>25</v>
      </c>
      <c r="C31" t="s">
        <v>0</v>
      </c>
      <c r="D31" s="6">
        <v>21700</v>
      </c>
      <c r="E31" s="2">
        <v>25.07</v>
      </c>
      <c r="F31" s="2">
        <v>25.09</v>
      </c>
      <c r="G31" s="6">
        <v>21700</v>
      </c>
      <c r="H31" s="2">
        <v>25.030000999999999</v>
      </c>
      <c r="I31" s="6">
        <v>0</v>
      </c>
      <c r="J31" s="6" t="s">
        <v>193</v>
      </c>
      <c r="K31" t="s">
        <v>185</v>
      </c>
    </row>
    <row r="32" spans="1:11" x14ac:dyDescent="0.25">
      <c r="A32" t="s">
        <v>43</v>
      </c>
      <c r="B32" t="s">
        <v>21</v>
      </c>
      <c r="C32" t="s">
        <v>0</v>
      </c>
      <c r="D32" s="6">
        <v>400</v>
      </c>
      <c r="E32" s="2">
        <v>44.13</v>
      </c>
      <c r="F32" s="2">
        <v>44.49</v>
      </c>
      <c r="G32" s="6">
        <v>400</v>
      </c>
      <c r="H32" s="2">
        <v>44.290000999999997</v>
      </c>
      <c r="I32" s="6">
        <v>0</v>
      </c>
      <c r="J32" s="6" t="s">
        <v>193</v>
      </c>
      <c r="K32" t="s">
        <v>185</v>
      </c>
    </row>
    <row r="33" spans="1:11" x14ac:dyDescent="0.25">
      <c r="A33" t="s">
        <v>43</v>
      </c>
      <c r="B33" t="s">
        <v>15</v>
      </c>
      <c r="C33" t="s">
        <v>0</v>
      </c>
      <c r="D33" s="6">
        <v>1000</v>
      </c>
      <c r="E33" s="2">
        <v>36.53</v>
      </c>
      <c r="F33" s="2">
        <v>36.590000000000003</v>
      </c>
      <c r="G33" s="6">
        <v>200</v>
      </c>
      <c r="H33" s="2">
        <v>36.580002</v>
      </c>
      <c r="I33" s="6">
        <v>0</v>
      </c>
      <c r="J33" s="6" t="s">
        <v>193</v>
      </c>
      <c r="K33" t="s">
        <v>185</v>
      </c>
    </row>
    <row r="34" spans="1:11" x14ac:dyDescent="0.25">
      <c r="A34" t="s">
        <v>43</v>
      </c>
      <c r="B34" t="s">
        <v>29</v>
      </c>
      <c r="C34" t="s">
        <v>0</v>
      </c>
      <c r="D34" s="6">
        <v>600</v>
      </c>
      <c r="E34" s="2">
        <v>49.85</v>
      </c>
      <c r="F34" s="2">
        <v>50.13</v>
      </c>
      <c r="G34" s="6">
        <v>500</v>
      </c>
      <c r="H34" s="2">
        <v>49.93</v>
      </c>
      <c r="I34" s="6">
        <v>0</v>
      </c>
      <c r="J34" s="6" t="s">
        <v>193</v>
      </c>
      <c r="K34" t="s">
        <v>185</v>
      </c>
    </row>
    <row r="35" spans="1:11" x14ac:dyDescent="0.25">
      <c r="A35" t="s">
        <v>43</v>
      </c>
      <c r="B35" t="s">
        <v>24</v>
      </c>
      <c r="C35" t="s">
        <v>0</v>
      </c>
      <c r="D35" s="6">
        <v>600</v>
      </c>
      <c r="E35" s="2">
        <v>71.31</v>
      </c>
      <c r="F35" s="2">
        <v>71.55</v>
      </c>
      <c r="G35" s="6">
        <v>900</v>
      </c>
      <c r="H35" s="2">
        <v>71.440002000000007</v>
      </c>
      <c r="I35" s="6">
        <v>0</v>
      </c>
      <c r="J35" s="6" t="s">
        <v>193</v>
      </c>
      <c r="K35" t="s">
        <v>185</v>
      </c>
    </row>
    <row r="36" spans="1:11" x14ac:dyDescent="0.25">
      <c r="A36" t="s">
        <v>43</v>
      </c>
      <c r="B36" t="s">
        <v>27</v>
      </c>
      <c r="C36" t="s">
        <v>0</v>
      </c>
      <c r="D36" s="6">
        <v>13300</v>
      </c>
      <c r="E36" s="2">
        <v>52.7</v>
      </c>
      <c r="F36" s="2">
        <v>52.72</v>
      </c>
      <c r="G36" s="6">
        <v>11400</v>
      </c>
      <c r="H36" s="2">
        <v>52.619999</v>
      </c>
      <c r="I36" s="6">
        <v>0</v>
      </c>
      <c r="J36" s="6" t="s">
        <v>193</v>
      </c>
      <c r="K36" t="s">
        <v>185</v>
      </c>
    </row>
    <row r="37" spans="1:11" x14ac:dyDescent="0.25">
      <c r="A37" t="s">
        <v>43</v>
      </c>
      <c r="B37" t="s">
        <v>19</v>
      </c>
      <c r="C37" t="s">
        <v>0</v>
      </c>
      <c r="D37" s="6">
        <v>100</v>
      </c>
      <c r="E37" s="2">
        <v>45.64</v>
      </c>
      <c r="F37" s="2">
        <v>46.43</v>
      </c>
      <c r="G37" s="6">
        <v>100</v>
      </c>
      <c r="H37" s="2">
        <v>45.810001</v>
      </c>
      <c r="I37" s="6">
        <v>0</v>
      </c>
      <c r="J37" s="6" t="s">
        <v>193</v>
      </c>
      <c r="K37" t="s">
        <v>185</v>
      </c>
    </row>
    <row r="38" spans="1:11" x14ac:dyDescent="0.25">
      <c r="A38" t="s">
        <v>43</v>
      </c>
      <c r="B38" t="s">
        <v>30</v>
      </c>
      <c r="C38" t="s">
        <v>0</v>
      </c>
      <c r="D38" s="6">
        <v>100</v>
      </c>
      <c r="E38" s="2">
        <v>74.37</v>
      </c>
      <c r="F38" s="2">
        <v>75.22</v>
      </c>
      <c r="G38" s="6">
        <v>200</v>
      </c>
      <c r="H38" s="2">
        <v>74.680000000000007</v>
      </c>
      <c r="I38" s="6">
        <v>0</v>
      </c>
      <c r="J38" s="6" t="s">
        <v>193</v>
      </c>
      <c r="K38" t="s">
        <v>185</v>
      </c>
    </row>
    <row r="39" spans="1:11" x14ac:dyDescent="0.25">
      <c r="A39" t="s">
        <v>43</v>
      </c>
      <c r="B39" t="s">
        <v>3</v>
      </c>
      <c r="C39" t="s">
        <v>0</v>
      </c>
      <c r="D39" s="6">
        <v>200</v>
      </c>
      <c r="E39" s="2">
        <v>48.9</v>
      </c>
      <c r="F39" s="2">
        <v>49.02</v>
      </c>
      <c r="G39" s="6">
        <v>1000</v>
      </c>
      <c r="H39" s="2">
        <v>48.950001</v>
      </c>
      <c r="I39" s="6">
        <v>0</v>
      </c>
      <c r="J39" s="6" t="s">
        <v>193</v>
      </c>
      <c r="K39" t="s">
        <v>185</v>
      </c>
    </row>
    <row r="40" spans="1:11" x14ac:dyDescent="0.25">
      <c r="A40" t="s">
        <v>43</v>
      </c>
      <c r="B40" t="s">
        <v>58</v>
      </c>
      <c r="C40" t="s">
        <v>0</v>
      </c>
      <c r="D40" s="6">
        <v>1700</v>
      </c>
      <c r="E40" s="2">
        <v>97.25</v>
      </c>
      <c r="F40" s="2">
        <v>97.87</v>
      </c>
      <c r="G40" s="6">
        <v>200</v>
      </c>
      <c r="H40" s="2">
        <v>97.419998000000007</v>
      </c>
      <c r="I40" s="6">
        <v>0</v>
      </c>
      <c r="J40" s="6" t="s">
        <v>193</v>
      </c>
      <c r="K40" t="s">
        <v>185</v>
      </c>
    </row>
    <row r="41" spans="1:11" x14ac:dyDescent="0.25">
      <c r="A41" t="s">
        <v>43</v>
      </c>
      <c r="B41" t="s">
        <v>59</v>
      </c>
      <c r="C41" t="s">
        <v>0</v>
      </c>
      <c r="D41" s="6">
        <v>1400</v>
      </c>
      <c r="E41" s="2">
        <v>65.31</v>
      </c>
      <c r="F41" s="2">
        <v>65.790000000000006</v>
      </c>
      <c r="G41" s="6">
        <v>400</v>
      </c>
      <c r="H41" s="2">
        <v>65.449996999999996</v>
      </c>
      <c r="I41" s="6">
        <v>0</v>
      </c>
      <c r="J41" s="6" t="s">
        <v>193</v>
      </c>
      <c r="K41" t="s">
        <v>185</v>
      </c>
    </row>
    <row r="42" spans="1:11" x14ac:dyDescent="0.25">
      <c r="A42" t="s">
        <v>43</v>
      </c>
      <c r="B42" t="s">
        <v>102</v>
      </c>
      <c r="C42" t="s">
        <v>0</v>
      </c>
      <c r="D42" s="6">
        <v>500</v>
      </c>
      <c r="E42" s="2">
        <v>35.89</v>
      </c>
      <c r="F42" s="2">
        <v>36.700000000000003</v>
      </c>
      <c r="G42" s="6">
        <v>100</v>
      </c>
      <c r="H42" s="2">
        <v>36.110000999999997</v>
      </c>
      <c r="I42" s="6">
        <v>0</v>
      </c>
      <c r="J42" s="6" t="s">
        <v>193</v>
      </c>
      <c r="K42" t="s">
        <v>185</v>
      </c>
    </row>
    <row r="43" spans="1:11" x14ac:dyDescent="0.25">
      <c r="A43" t="s">
        <v>43</v>
      </c>
      <c r="B43" t="s">
        <v>140</v>
      </c>
      <c r="C43" t="s">
        <v>0</v>
      </c>
      <c r="D43" s="6">
        <v>100</v>
      </c>
      <c r="E43" s="2">
        <v>78.31</v>
      </c>
      <c r="F43" s="2">
        <v>86.5</v>
      </c>
      <c r="G43" s="6">
        <v>100</v>
      </c>
      <c r="H43" s="2">
        <v>82</v>
      </c>
      <c r="I43" s="6">
        <v>0</v>
      </c>
      <c r="J43" s="6" t="s">
        <v>193</v>
      </c>
      <c r="K43" t="s">
        <v>185</v>
      </c>
    </row>
    <row r="44" spans="1:11" x14ac:dyDescent="0.25">
      <c r="A44" t="s">
        <v>43</v>
      </c>
      <c r="B44" t="s">
        <v>109</v>
      </c>
      <c r="C44" t="s">
        <v>0</v>
      </c>
      <c r="D44" s="6">
        <v>100</v>
      </c>
      <c r="E44" s="2">
        <v>80.599999999999994</v>
      </c>
      <c r="F44" s="2">
        <v>88.68</v>
      </c>
      <c r="G44" s="6">
        <v>100</v>
      </c>
      <c r="H44" s="2">
        <v>83.889999000000003</v>
      </c>
      <c r="I44" s="6">
        <v>0</v>
      </c>
      <c r="J44" s="6" t="s">
        <v>193</v>
      </c>
      <c r="K44" t="s">
        <v>185</v>
      </c>
    </row>
    <row r="45" spans="1:11" x14ac:dyDescent="0.25">
      <c r="A45" t="s">
        <v>43</v>
      </c>
      <c r="B45" t="s">
        <v>113</v>
      </c>
      <c r="C45" t="s">
        <v>0</v>
      </c>
      <c r="D45" s="6">
        <v>100</v>
      </c>
      <c r="E45" s="2">
        <v>90</v>
      </c>
      <c r="F45" s="2">
        <v>96.84</v>
      </c>
      <c r="G45" s="6">
        <v>100</v>
      </c>
      <c r="H45" s="2">
        <v>91.559997999999993</v>
      </c>
      <c r="I45" s="6">
        <v>0</v>
      </c>
      <c r="J45" s="6" t="s">
        <v>193</v>
      </c>
      <c r="K45" t="s">
        <v>185</v>
      </c>
    </row>
    <row r="46" spans="1:11" x14ac:dyDescent="0.25">
      <c r="A46" t="s">
        <v>43</v>
      </c>
      <c r="B46" t="s">
        <v>115</v>
      </c>
      <c r="C46" t="s">
        <v>0</v>
      </c>
      <c r="D46" s="6">
        <v>100</v>
      </c>
      <c r="E46" s="2">
        <v>27.75</v>
      </c>
      <c r="F46" s="2">
        <v>30.37</v>
      </c>
      <c r="G46" s="6">
        <v>200</v>
      </c>
      <c r="H46" s="2">
        <v>29.059999000000001</v>
      </c>
      <c r="I46" s="6">
        <v>0</v>
      </c>
      <c r="J46" s="6" t="s">
        <v>193</v>
      </c>
      <c r="K46" t="s">
        <v>185</v>
      </c>
    </row>
    <row r="47" spans="1:11" x14ac:dyDescent="0.25">
      <c r="A47" t="s">
        <v>43</v>
      </c>
      <c r="B47" t="s">
        <v>99</v>
      </c>
      <c r="C47" t="s">
        <v>0</v>
      </c>
      <c r="D47" s="6">
        <v>100</v>
      </c>
      <c r="E47" s="2">
        <v>53</v>
      </c>
      <c r="F47" s="2">
        <v>55</v>
      </c>
      <c r="G47" s="6">
        <v>100</v>
      </c>
      <c r="H47" s="2">
        <v>53.740001999999997</v>
      </c>
      <c r="I47" s="6">
        <v>0</v>
      </c>
      <c r="J47" s="6" t="s">
        <v>193</v>
      </c>
      <c r="K47" t="s">
        <v>185</v>
      </c>
    </row>
    <row r="48" spans="1:11" x14ac:dyDescent="0.25">
      <c r="A48" t="s">
        <v>43</v>
      </c>
      <c r="B48" t="s">
        <v>119</v>
      </c>
      <c r="C48" t="s">
        <v>0</v>
      </c>
      <c r="D48" s="6">
        <v>100</v>
      </c>
      <c r="E48" s="2">
        <v>282.76</v>
      </c>
      <c r="F48" s="2">
        <v>285.92</v>
      </c>
      <c r="G48" s="6">
        <v>100</v>
      </c>
      <c r="H48" s="2">
        <v>284.23001099999999</v>
      </c>
      <c r="I48" s="6">
        <v>0</v>
      </c>
      <c r="J48" s="6" t="s">
        <v>193</v>
      </c>
      <c r="K48" t="s">
        <v>185</v>
      </c>
    </row>
    <row r="49" spans="1:11" x14ac:dyDescent="0.25">
      <c r="A49" t="s">
        <v>43</v>
      </c>
      <c r="B49" t="s">
        <v>123</v>
      </c>
      <c r="C49" t="s">
        <v>0</v>
      </c>
      <c r="D49" s="6">
        <v>100</v>
      </c>
      <c r="E49" s="2">
        <v>52.49</v>
      </c>
      <c r="F49" s="2">
        <v>57</v>
      </c>
      <c r="G49" s="6">
        <v>100</v>
      </c>
      <c r="H49" s="2">
        <v>55.119999</v>
      </c>
      <c r="I49" s="6">
        <v>0</v>
      </c>
      <c r="J49" s="6" t="s">
        <v>193</v>
      </c>
      <c r="K49" t="s">
        <v>185</v>
      </c>
    </row>
    <row r="50" spans="1:11" x14ac:dyDescent="0.25">
      <c r="A50" t="s">
        <v>43</v>
      </c>
      <c r="B50" t="s">
        <v>103</v>
      </c>
      <c r="C50" t="s">
        <v>0</v>
      </c>
      <c r="D50" s="6">
        <v>100</v>
      </c>
      <c r="E50" s="2">
        <v>64.58</v>
      </c>
      <c r="F50" s="2">
        <v>70</v>
      </c>
      <c r="G50" s="6">
        <v>100</v>
      </c>
      <c r="H50" s="2">
        <v>68.800003000000004</v>
      </c>
      <c r="I50" s="6">
        <v>4700</v>
      </c>
      <c r="J50" s="6" t="s">
        <v>193</v>
      </c>
      <c r="K50" t="s">
        <v>185</v>
      </c>
    </row>
    <row r="51" spans="1:11" x14ac:dyDescent="0.25">
      <c r="A51" t="s">
        <v>43</v>
      </c>
      <c r="B51" t="s">
        <v>106</v>
      </c>
      <c r="C51" t="s">
        <v>0</v>
      </c>
      <c r="D51" s="6">
        <v>100</v>
      </c>
      <c r="E51" s="2">
        <v>128.61000000000001</v>
      </c>
      <c r="F51" s="2">
        <v>144.15</v>
      </c>
      <c r="G51" s="6">
        <v>100</v>
      </c>
      <c r="H51" s="2">
        <v>136.270004</v>
      </c>
      <c r="I51" s="6">
        <v>0</v>
      </c>
      <c r="J51" s="6" t="s">
        <v>193</v>
      </c>
      <c r="K51" t="s">
        <v>185</v>
      </c>
    </row>
    <row r="52" spans="1:11" x14ac:dyDescent="0.25">
      <c r="A52" t="s">
        <v>43</v>
      </c>
      <c r="B52" t="s">
        <v>110</v>
      </c>
      <c r="C52" t="s">
        <v>0</v>
      </c>
      <c r="D52" s="6">
        <v>100</v>
      </c>
      <c r="E52" s="2">
        <v>71.489999999999995</v>
      </c>
      <c r="F52" s="2">
        <v>77.19</v>
      </c>
      <c r="G52" s="6">
        <v>100</v>
      </c>
      <c r="H52" s="2">
        <v>73.010002</v>
      </c>
      <c r="I52" s="6">
        <v>0</v>
      </c>
      <c r="J52" s="6" t="s">
        <v>193</v>
      </c>
      <c r="K52" t="s">
        <v>185</v>
      </c>
    </row>
    <row r="53" spans="1:11" x14ac:dyDescent="0.25">
      <c r="A53" t="s">
        <v>43</v>
      </c>
      <c r="B53" t="s">
        <v>142</v>
      </c>
      <c r="C53" t="s">
        <v>0</v>
      </c>
      <c r="D53" s="6">
        <v>600</v>
      </c>
      <c r="E53" s="2">
        <v>156.36000000000001</v>
      </c>
      <c r="F53" s="2">
        <v>160</v>
      </c>
      <c r="G53" s="6">
        <v>700</v>
      </c>
      <c r="H53" s="2">
        <v>159.429993</v>
      </c>
      <c r="I53" s="6">
        <v>-835</v>
      </c>
      <c r="J53" s="6" t="s">
        <v>193</v>
      </c>
      <c r="K53" t="s">
        <v>185</v>
      </c>
    </row>
    <row r="54" spans="1:11" x14ac:dyDescent="0.25">
      <c r="A54" t="s">
        <v>43</v>
      </c>
      <c r="B54" t="s">
        <v>116</v>
      </c>
      <c r="C54" t="s">
        <v>0</v>
      </c>
      <c r="D54" s="6">
        <v>1100</v>
      </c>
      <c r="E54" s="2">
        <v>101.68</v>
      </c>
      <c r="F54" s="2">
        <v>102.4</v>
      </c>
      <c r="G54" s="6">
        <v>4900</v>
      </c>
      <c r="H54" s="2">
        <v>101.839996</v>
      </c>
      <c r="I54" s="6">
        <v>0</v>
      </c>
      <c r="J54" s="6" t="s">
        <v>193</v>
      </c>
      <c r="K54" t="s">
        <v>185</v>
      </c>
    </row>
    <row r="55" spans="1:11" x14ac:dyDescent="0.25">
      <c r="A55" t="s">
        <v>43</v>
      </c>
      <c r="B55" t="s">
        <v>143</v>
      </c>
      <c r="C55" t="s">
        <v>0</v>
      </c>
      <c r="D55" s="6">
        <v>100</v>
      </c>
      <c r="E55" s="2">
        <v>74.510000000000005</v>
      </c>
      <c r="F55" s="2">
        <v>79.92</v>
      </c>
      <c r="G55" s="6">
        <v>100</v>
      </c>
      <c r="H55" s="2">
        <v>75.540001000000004</v>
      </c>
      <c r="I55" s="6">
        <v>-2770</v>
      </c>
      <c r="J55" s="6" t="s">
        <v>193</v>
      </c>
      <c r="K55" t="s">
        <v>185</v>
      </c>
    </row>
    <row r="56" spans="1:11" x14ac:dyDescent="0.25">
      <c r="A56" t="s">
        <v>43</v>
      </c>
      <c r="B56" t="s">
        <v>120</v>
      </c>
      <c r="C56" t="s">
        <v>0</v>
      </c>
      <c r="D56" s="6">
        <v>1500</v>
      </c>
      <c r="E56" s="2">
        <v>247.76</v>
      </c>
      <c r="F56" s="2">
        <v>248.98</v>
      </c>
      <c r="G56" s="6">
        <v>2200</v>
      </c>
      <c r="H56" s="2">
        <v>248.38000500000001</v>
      </c>
      <c r="I56" s="6">
        <v>-5000</v>
      </c>
      <c r="J56" s="6" t="s">
        <v>193</v>
      </c>
      <c r="K56" t="s">
        <v>185</v>
      </c>
    </row>
    <row r="57" spans="1:11" x14ac:dyDescent="0.25">
      <c r="A57" t="s">
        <v>43</v>
      </c>
      <c r="B57" t="s">
        <v>124</v>
      </c>
      <c r="C57" t="s">
        <v>0</v>
      </c>
      <c r="D57" s="6">
        <v>100</v>
      </c>
      <c r="E57" s="2">
        <v>103.11</v>
      </c>
      <c r="F57" s="2">
        <v>110.1</v>
      </c>
      <c r="G57" s="6">
        <v>100</v>
      </c>
      <c r="H57" s="2">
        <v>108.58000199999999</v>
      </c>
      <c r="I57" s="6">
        <v>-1200</v>
      </c>
      <c r="J57" s="6" t="s">
        <v>193</v>
      </c>
      <c r="K57" t="s">
        <v>185</v>
      </c>
    </row>
    <row r="58" spans="1:11" x14ac:dyDescent="0.25">
      <c r="A58" t="s">
        <v>43</v>
      </c>
      <c r="B58" t="s">
        <v>56</v>
      </c>
      <c r="C58" t="s">
        <v>0</v>
      </c>
      <c r="D58" s="6">
        <v>8600</v>
      </c>
      <c r="E58" s="2">
        <v>23.4</v>
      </c>
      <c r="F58" s="2">
        <v>23.72</v>
      </c>
      <c r="G58" s="6">
        <v>10900</v>
      </c>
      <c r="H58" s="2">
        <v>23.450001</v>
      </c>
      <c r="I58" s="6">
        <v>0</v>
      </c>
      <c r="J58" s="6" t="s">
        <v>193</v>
      </c>
      <c r="K58" t="s">
        <v>185</v>
      </c>
    </row>
    <row r="59" spans="1:11" x14ac:dyDescent="0.25">
      <c r="A59" t="s">
        <v>43</v>
      </c>
      <c r="B59" t="s">
        <v>57</v>
      </c>
      <c r="C59" t="s">
        <v>0</v>
      </c>
      <c r="D59" s="6">
        <v>100</v>
      </c>
      <c r="E59" s="2">
        <v>61.68</v>
      </c>
      <c r="F59" s="2">
        <v>69.14</v>
      </c>
      <c r="G59" s="6">
        <v>100</v>
      </c>
      <c r="H59" s="2">
        <v>65.349997999999999</v>
      </c>
      <c r="I59" s="6">
        <v>0</v>
      </c>
      <c r="J59" s="6" t="s">
        <v>193</v>
      </c>
      <c r="K59" t="s">
        <v>185</v>
      </c>
    </row>
    <row r="60" spans="1:11" x14ac:dyDescent="0.25">
      <c r="A60" t="s">
        <v>43</v>
      </c>
      <c r="B60" t="s">
        <v>104</v>
      </c>
      <c r="C60" t="s">
        <v>0</v>
      </c>
      <c r="D60" s="6">
        <v>200</v>
      </c>
      <c r="E60" s="2">
        <v>184.08</v>
      </c>
      <c r="F60" s="2">
        <v>185</v>
      </c>
      <c r="G60" s="6">
        <v>600</v>
      </c>
      <c r="H60" s="2">
        <v>183.61000100000001</v>
      </c>
      <c r="I60" s="6">
        <v>0</v>
      </c>
      <c r="J60" s="6" t="s">
        <v>193</v>
      </c>
      <c r="K60" t="s">
        <v>185</v>
      </c>
    </row>
    <row r="61" spans="1:11" x14ac:dyDescent="0.25">
      <c r="A61" t="s">
        <v>43</v>
      </c>
      <c r="B61" t="s">
        <v>107</v>
      </c>
      <c r="C61" t="s">
        <v>0</v>
      </c>
      <c r="D61" s="6">
        <v>1000</v>
      </c>
      <c r="E61" s="2">
        <v>139.91999999999999</v>
      </c>
      <c r="F61" s="2">
        <v>142.15</v>
      </c>
      <c r="G61" s="6">
        <v>200</v>
      </c>
      <c r="H61" s="2">
        <v>140.86000100000001</v>
      </c>
      <c r="I61" s="6">
        <v>0</v>
      </c>
      <c r="J61" s="6" t="s">
        <v>193</v>
      </c>
      <c r="K61" t="s">
        <v>185</v>
      </c>
    </row>
    <row r="62" spans="1:11" x14ac:dyDescent="0.25">
      <c r="A62" t="s">
        <v>43</v>
      </c>
      <c r="B62" t="s">
        <v>111</v>
      </c>
      <c r="C62" t="s">
        <v>0</v>
      </c>
      <c r="D62" s="6">
        <v>100</v>
      </c>
      <c r="E62" s="2">
        <v>322</v>
      </c>
      <c r="F62" s="2">
        <v>328.97</v>
      </c>
      <c r="G62" s="6">
        <v>200</v>
      </c>
      <c r="H62" s="2">
        <v>324.47000100000002</v>
      </c>
      <c r="I62" s="6">
        <v>0</v>
      </c>
      <c r="J62" s="6" t="s">
        <v>193</v>
      </c>
      <c r="K62" t="s">
        <v>185</v>
      </c>
    </row>
    <row r="63" spans="1:11" x14ac:dyDescent="0.25">
      <c r="A63" t="s">
        <v>43</v>
      </c>
      <c r="B63" t="s">
        <v>141</v>
      </c>
      <c r="C63" t="s">
        <v>0</v>
      </c>
      <c r="D63" s="6">
        <v>300</v>
      </c>
      <c r="E63" s="2">
        <v>323.32</v>
      </c>
      <c r="F63" s="2">
        <v>344</v>
      </c>
      <c r="G63" s="6">
        <v>500</v>
      </c>
      <c r="H63" s="2">
        <v>331.22000100000002</v>
      </c>
      <c r="I63" s="6">
        <v>0</v>
      </c>
      <c r="J63" s="6" t="s">
        <v>193</v>
      </c>
      <c r="K63" t="s">
        <v>185</v>
      </c>
    </row>
    <row r="64" spans="1:11" x14ac:dyDescent="0.25">
      <c r="A64" t="s">
        <v>43</v>
      </c>
      <c r="B64" t="s">
        <v>117</v>
      </c>
      <c r="C64" t="s">
        <v>0</v>
      </c>
      <c r="D64" s="6">
        <v>1800</v>
      </c>
      <c r="E64" s="2">
        <v>95.5</v>
      </c>
      <c r="F64" s="2">
        <v>96.16</v>
      </c>
      <c r="G64" s="6">
        <v>1600</v>
      </c>
      <c r="H64" s="2">
        <v>95.779999000000004</v>
      </c>
      <c r="I64" s="6">
        <v>0</v>
      </c>
      <c r="J64" s="6" t="s">
        <v>193</v>
      </c>
      <c r="K64" t="s">
        <v>185</v>
      </c>
    </row>
    <row r="65" spans="1:11" x14ac:dyDescent="0.25">
      <c r="A65" t="s">
        <v>43</v>
      </c>
      <c r="B65" t="s">
        <v>100</v>
      </c>
      <c r="C65" t="s">
        <v>0</v>
      </c>
      <c r="D65" s="6">
        <v>100</v>
      </c>
      <c r="E65" s="2">
        <v>228</v>
      </c>
      <c r="F65" s="2">
        <v>236.55</v>
      </c>
      <c r="G65" s="6">
        <v>1000</v>
      </c>
      <c r="H65" s="2">
        <v>230.61000100000001</v>
      </c>
      <c r="I65" s="6">
        <v>0</v>
      </c>
      <c r="J65" s="6" t="s">
        <v>193</v>
      </c>
      <c r="K65" t="s">
        <v>185</v>
      </c>
    </row>
    <row r="66" spans="1:11" x14ac:dyDescent="0.25">
      <c r="A66" t="s">
        <v>43</v>
      </c>
      <c r="B66" t="s">
        <v>121</v>
      </c>
      <c r="C66" t="s">
        <v>0</v>
      </c>
      <c r="D66" s="6">
        <v>1400</v>
      </c>
      <c r="E66" s="2">
        <v>118.8</v>
      </c>
      <c r="F66" s="2">
        <v>118.92</v>
      </c>
      <c r="G66" s="6">
        <v>700</v>
      </c>
      <c r="H66" s="2">
        <v>119.129997</v>
      </c>
      <c r="I66" s="6">
        <v>0</v>
      </c>
      <c r="J66" s="6" t="s">
        <v>193</v>
      </c>
      <c r="K66" t="s">
        <v>185</v>
      </c>
    </row>
    <row r="67" spans="1:11" x14ac:dyDescent="0.25">
      <c r="A67" t="s">
        <v>43</v>
      </c>
      <c r="B67" t="s">
        <v>125</v>
      </c>
      <c r="C67" t="s">
        <v>0</v>
      </c>
      <c r="D67" s="6">
        <v>100</v>
      </c>
      <c r="E67" s="2">
        <v>184</v>
      </c>
      <c r="F67" s="2">
        <v>187.28</v>
      </c>
      <c r="G67" s="6">
        <v>200</v>
      </c>
      <c r="H67" s="2">
        <v>184.64999399999999</v>
      </c>
      <c r="I67" s="6">
        <v>0</v>
      </c>
      <c r="J67" s="6" t="s">
        <v>193</v>
      </c>
      <c r="K67" t="s">
        <v>185</v>
      </c>
    </row>
    <row r="68" spans="1:11" x14ac:dyDescent="0.25">
      <c r="A68" t="s">
        <v>43</v>
      </c>
      <c r="B68" t="s">
        <v>105</v>
      </c>
      <c r="C68" t="s">
        <v>0</v>
      </c>
      <c r="D68" s="6">
        <v>100</v>
      </c>
      <c r="E68" s="2">
        <v>65.5</v>
      </c>
      <c r="F68" s="2">
        <v>65.53</v>
      </c>
      <c r="G68" s="6">
        <v>200</v>
      </c>
      <c r="H68" s="2">
        <v>65.099997999999999</v>
      </c>
      <c r="I68" s="6">
        <v>-4986</v>
      </c>
      <c r="J68" s="6" t="s">
        <v>193</v>
      </c>
      <c r="K68" t="s">
        <v>185</v>
      </c>
    </row>
    <row r="69" spans="1:11" x14ac:dyDescent="0.25">
      <c r="A69" t="s">
        <v>43</v>
      </c>
      <c r="B69" t="s">
        <v>108</v>
      </c>
      <c r="C69" t="s">
        <v>0</v>
      </c>
      <c r="D69" s="6">
        <v>1400</v>
      </c>
      <c r="E69" s="2">
        <v>57.73</v>
      </c>
      <c r="F69" s="2">
        <v>57.78</v>
      </c>
      <c r="G69" s="6">
        <v>500</v>
      </c>
      <c r="H69" s="2">
        <v>57.66</v>
      </c>
      <c r="I69" s="6">
        <v>0</v>
      </c>
      <c r="J69" s="6" t="s">
        <v>193</v>
      </c>
      <c r="K69" t="s">
        <v>185</v>
      </c>
    </row>
    <row r="70" spans="1:11" x14ac:dyDescent="0.25">
      <c r="A70" t="s">
        <v>43</v>
      </c>
      <c r="B70" t="s">
        <v>112</v>
      </c>
      <c r="C70" t="s">
        <v>0</v>
      </c>
      <c r="D70" s="6">
        <v>100</v>
      </c>
      <c r="E70" s="2">
        <v>173.01</v>
      </c>
      <c r="F70" s="2">
        <v>173.3</v>
      </c>
      <c r="G70" s="6">
        <v>100</v>
      </c>
      <c r="H70" s="2">
        <v>172.949997</v>
      </c>
      <c r="I70" s="6">
        <v>0</v>
      </c>
      <c r="J70" s="6" t="s">
        <v>193</v>
      </c>
      <c r="K70" t="s">
        <v>185</v>
      </c>
    </row>
    <row r="71" spans="1:11" x14ac:dyDescent="0.25">
      <c r="A71" t="s">
        <v>43</v>
      </c>
      <c r="B71" t="s">
        <v>114</v>
      </c>
      <c r="C71" t="s">
        <v>0</v>
      </c>
      <c r="D71" s="6">
        <v>700</v>
      </c>
      <c r="E71" s="2">
        <v>172.6</v>
      </c>
      <c r="F71" s="2">
        <v>173.48</v>
      </c>
      <c r="G71" s="6">
        <v>2600</v>
      </c>
      <c r="H71" s="2">
        <v>172.779999</v>
      </c>
      <c r="I71" s="6">
        <v>765</v>
      </c>
      <c r="J71" s="6" t="s">
        <v>193</v>
      </c>
      <c r="K71" t="s">
        <v>185</v>
      </c>
    </row>
    <row r="72" spans="1:11" x14ac:dyDescent="0.25">
      <c r="A72" t="s">
        <v>43</v>
      </c>
      <c r="B72" t="s">
        <v>118</v>
      </c>
      <c r="C72" t="s">
        <v>0</v>
      </c>
      <c r="D72" s="6">
        <v>500</v>
      </c>
      <c r="E72" s="2">
        <v>43.71</v>
      </c>
      <c r="F72" s="2">
        <v>43.85</v>
      </c>
      <c r="G72" s="6">
        <v>5900</v>
      </c>
      <c r="H72" s="2">
        <v>43.73</v>
      </c>
      <c r="I72" s="6">
        <v>0</v>
      </c>
      <c r="J72" s="6" t="s">
        <v>193</v>
      </c>
      <c r="K72" t="s">
        <v>185</v>
      </c>
    </row>
    <row r="73" spans="1:11" x14ac:dyDescent="0.25">
      <c r="A73" t="s">
        <v>43</v>
      </c>
      <c r="B73" t="s">
        <v>101</v>
      </c>
      <c r="C73" t="s">
        <v>0</v>
      </c>
      <c r="D73" s="6">
        <v>500</v>
      </c>
      <c r="E73" s="2">
        <v>85.43</v>
      </c>
      <c r="F73" s="2">
        <v>85.57</v>
      </c>
      <c r="G73" s="6">
        <v>3600</v>
      </c>
      <c r="H73" s="2">
        <v>85.529999000000004</v>
      </c>
      <c r="I73" s="6">
        <v>2420</v>
      </c>
      <c r="J73" s="6" t="s">
        <v>193</v>
      </c>
      <c r="K73" t="s">
        <v>185</v>
      </c>
    </row>
    <row r="74" spans="1:11" x14ac:dyDescent="0.25">
      <c r="A74" t="s">
        <v>43</v>
      </c>
      <c r="B74" t="s">
        <v>122</v>
      </c>
      <c r="C74" t="s">
        <v>0</v>
      </c>
      <c r="D74" s="6">
        <v>200</v>
      </c>
      <c r="E74" s="2">
        <v>182.81</v>
      </c>
      <c r="F74" s="2">
        <v>183.01</v>
      </c>
      <c r="G74" s="6">
        <v>800</v>
      </c>
      <c r="H74" s="2">
        <v>183.60000600000001</v>
      </c>
      <c r="I74" s="6">
        <v>6750</v>
      </c>
      <c r="J74" s="6" t="s">
        <v>193</v>
      </c>
      <c r="K74" t="s">
        <v>185</v>
      </c>
    </row>
    <row r="75" spans="1:11" x14ac:dyDescent="0.25">
      <c r="A75" t="s">
        <v>43</v>
      </c>
      <c r="B75" t="s">
        <v>126</v>
      </c>
      <c r="C75" t="s">
        <v>0</v>
      </c>
      <c r="D75" s="6">
        <v>400</v>
      </c>
      <c r="E75" s="2">
        <v>42.63</v>
      </c>
      <c r="F75" s="2">
        <v>42.67</v>
      </c>
      <c r="G75" s="6">
        <v>1800</v>
      </c>
      <c r="H75" s="2">
        <v>42.669998</v>
      </c>
      <c r="I75" s="6">
        <v>3048</v>
      </c>
      <c r="J75" s="6" t="s">
        <v>193</v>
      </c>
      <c r="K75" t="s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7"/>
  <sheetViews>
    <sheetView zoomScale="85" zoomScaleNormal="85" workbookViewId="0">
      <selection activeCell="U9" sqref="U9:U10"/>
    </sheetView>
  </sheetViews>
  <sheetFormatPr defaultRowHeight="15" x14ac:dyDescent="0.25"/>
  <cols>
    <col min="1" max="1" width="7" style="10" bestFit="1" customWidth="1"/>
    <col min="2" max="2" width="9.42578125" style="10" bestFit="1" customWidth="1"/>
    <col min="3" max="3" width="17.85546875" style="10" bestFit="1" customWidth="1"/>
    <col min="4" max="4" width="9.42578125" style="10" customWidth="1"/>
    <col min="5" max="5" width="8" style="10" bestFit="1" customWidth="1"/>
    <col min="6" max="6" width="7.85546875" style="8" bestFit="1" customWidth="1"/>
    <col min="7" max="7" width="7.7109375" style="8" bestFit="1" customWidth="1"/>
    <col min="8" max="8" width="8" style="8" bestFit="1" customWidth="1"/>
    <col min="9" max="9" width="10.7109375" style="69" bestFit="1" customWidth="1"/>
    <col min="10" max="10" width="7.7109375" style="8" bestFit="1" customWidth="1"/>
    <col min="11" max="11" width="10.28515625" style="8" bestFit="1" customWidth="1"/>
    <col min="12" max="13" width="9" style="2" bestFit="1" customWidth="1"/>
    <col min="14" max="14" width="9" style="2" customWidth="1"/>
    <col min="15" max="15" width="14.28515625" style="13" bestFit="1" customWidth="1"/>
    <col min="16" max="16" width="14.5703125" style="13" bestFit="1" customWidth="1"/>
    <col min="17" max="17" width="8.5703125" style="59" bestFit="1" customWidth="1"/>
    <col min="18" max="18" width="10" style="7" bestFit="1" customWidth="1"/>
    <col min="19" max="19" width="10.7109375" style="7" bestFit="1" customWidth="1"/>
    <col min="20" max="20" width="10" bestFit="1" customWidth="1"/>
    <col min="21" max="21" width="14.140625" bestFit="1" customWidth="1"/>
    <col min="22" max="22" width="11" style="11" bestFit="1" customWidth="1"/>
    <col min="23" max="23" width="14.140625" bestFit="1" customWidth="1"/>
    <col min="24" max="24" width="9.7109375" style="34" bestFit="1" customWidth="1"/>
    <col min="25" max="25" width="9.5703125" style="30" bestFit="1" customWidth="1"/>
    <col min="26" max="26" width="9.7109375" style="30" bestFit="1" customWidth="1"/>
    <col min="27" max="27" width="9.5703125" style="1" bestFit="1" customWidth="1"/>
    <col min="28" max="28" width="6.42578125" bestFit="1" customWidth="1"/>
    <col min="29" max="29" width="19" bestFit="1" customWidth="1"/>
    <col min="30" max="30" width="17.42578125" bestFit="1" customWidth="1"/>
    <col min="31" max="31" width="5.5703125" bestFit="1" customWidth="1"/>
    <col min="33" max="33" width="16.42578125" bestFit="1" customWidth="1"/>
    <col min="34" max="34" width="9.5703125" bestFit="1" customWidth="1"/>
    <col min="36" max="36" width="16.42578125" bestFit="1" customWidth="1"/>
    <col min="37" max="37" width="9.5703125" bestFit="1" customWidth="1"/>
  </cols>
  <sheetData>
    <row r="1" spans="1:31" x14ac:dyDescent="0.25">
      <c r="A1" s="318" t="s">
        <v>70</v>
      </c>
      <c r="B1" s="319"/>
      <c r="C1" s="174"/>
      <c r="D1" s="149"/>
      <c r="E1" s="71"/>
      <c r="F1" s="71"/>
      <c r="G1" s="89"/>
      <c r="H1" s="335" t="s">
        <v>76</v>
      </c>
      <c r="I1" s="335"/>
      <c r="J1" s="335"/>
      <c r="K1" s="336"/>
      <c r="L1" s="322" t="s">
        <v>72</v>
      </c>
      <c r="M1" s="323"/>
      <c r="N1" s="179"/>
      <c r="O1" s="324">
        <v>5.0000000000000001E-3</v>
      </c>
      <c r="P1" s="324"/>
      <c r="Q1" s="43"/>
      <c r="R1" s="325" t="s">
        <v>75</v>
      </c>
      <c r="S1" s="312"/>
      <c r="T1" s="311" t="s">
        <v>89</v>
      </c>
      <c r="U1" s="312"/>
      <c r="V1" s="313" t="s">
        <v>90</v>
      </c>
      <c r="W1" s="314"/>
      <c r="X1" s="49" t="s">
        <v>87</v>
      </c>
      <c r="Y1" s="51" t="s">
        <v>88</v>
      </c>
      <c r="Z1" s="51" t="s">
        <v>88</v>
      </c>
      <c r="AA1" s="50" t="s">
        <v>87</v>
      </c>
      <c r="AC1" s="315" t="s">
        <v>91</v>
      </c>
      <c r="AD1" s="315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166</v>
      </c>
      <c r="E2" s="148" t="s">
        <v>98</v>
      </c>
      <c r="F2" s="72" t="s">
        <v>62</v>
      </c>
      <c r="G2" s="90" t="s">
        <v>82</v>
      </c>
      <c r="H2" s="88" t="s">
        <v>77</v>
      </c>
      <c r="I2" s="73" t="s">
        <v>95</v>
      </c>
      <c r="J2" s="74" t="s">
        <v>94</v>
      </c>
      <c r="K2" s="75" t="s">
        <v>78</v>
      </c>
      <c r="L2" s="76" t="s">
        <v>73</v>
      </c>
      <c r="M2" s="77" t="s">
        <v>74</v>
      </c>
      <c r="N2" s="180" t="s">
        <v>164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4">
        <f>MATCH(F3,SCALARS!C:C,0)</f>
        <v>16</v>
      </c>
      <c r="B3" s="155">
        <f>MATCH(F3,'MKT DATA'!B:B,0)</f>
        <v>9</v>
      </c>
      <c r="C3" s="158" t="str" cm="1">
        <f t="array" aca="1" ref="C3" ca="1">INDIRECT(ADDRESS($A3,2,,,"ANCHOR INPUTS"))</f>
        <v>converts</v>
      </c>
      <c r="D3" s="249"/>
      <c r="E3" s="14" t="str" cm="1">
        <f t="array" aca="1" ref="E3" ca="1">INDIRECT(ADDRESS($A3,5,,,"ANCHOR INPUTS"))</f>
        <v>ICVT</v>
      </c>
      <c r="F3" s="15" t="s">
        <v>48</v>
      </c>
      <c r="G3" s="93">
        <v>0.16500000000000001</v>
      </c>
      <c r="H3" s="31" cm="1">
        <f t="array" aca="1" ref="H3" ca="1">INDIRECT(ADDRESS($B3,9,,,"mkt data"))</f>
        <v>0</v>
      </c>
      <c r="I3" s="66">
        <f ca="1">H3*AVERAGE(L3:M3)</f>
        <v>0</v>
      </c>
      <c r="J3" s="31">
        <f t="shared" ref="J3:J16" ca="1" si="0">H3/Q3</f>
        <v>0</v>
      </c>
      <c r="K3" s="316">
        <f ca="1">SUM(J3:J4)</f>
        <v>0</v>
      </c>
      <c r="L3" s="37" cm="1">
        <f t="array" aca="1" ref="L3" ca="1">INDIRECT(ADDRESS($B3,5,,,"mkt data"))</f>
        <v>95.61</v>
      </c>
      <c r="M3" s="38" cm="1">
        <f t="array" aca="1" ref="M3" ca="1">INDIRECT(ADDRESS($B3,6,,,"mkt data"))</f>
        <v>102.46</v>
      </c>
      <c r="N3" s="181"/>
      <c r="O3" s="16">
        <f ca="1">L3-O$1</f>
        <v>95.605000000000004</v>
      </c>
      <c r="P3" s="16">
        <f ca="1">M3+O$1</f>
        <v>102.46499999999999</v>
      </c>
      <c r="Q3" s="54" cm="1">
        <f t="array" aca="1" ref="Q3" ca="1">INDIRECT(ADDRESS($A3,6,,,"scalars"))</f>
        <v>1.1151914911749363</v>
      </c>
      <c r="R3" s="17">
        <f ca="1">O3*Q3</f>
        <v>106.61788251377979</v>
      </c>
      <c r="S3" s="17">
        <f t="shared" ref="S3:S16" ca="1" si="1">Q3*P3</f>
        <v>114.26809614323984</v>
      </c>
      <c r="T3" s="296">
        <f ca="1">R4-S3</f>
        <v>-4.7130961432398379</v>
      </c>
      <c r="U3" s="292">
        <f ca="1">T3/AVERAGE(R4,S4)</f>
        <v>-4.2116939754611837E-2</v>
      </c>
      <c r="V3" s="296">
        <f ca="1">R3-S4</f>
        <v>-7.6371174862202054</v>
      </c>
      <c r="W3" s="292">
        <f ca="1">V3/AVERAGE(R4,S4)</f>
        <v>-6.8246436586570799E-2</v>
      </c>
      <c r="X3" s="84">
        <f>AC3</f>
        <v>2E-3</v>
      </c>
      <c r="Y3" s="55">
        <f>AC4</f>
        <v>1.5E-3</v>
      </c>
      <c r="Z3" s="55">
        <f>AD4</f>
        <v>1.5E-3</v>
      </c>
      <c r="AA3" s="85">
        <f>AD3</f>
        <v>2E-3</v>
      </c>
      <c r="AC3" s="63">
        <v>2E-3</v>
      </c>
      <c r="AD3" s="64">
        <v>2E-3</v>
      </c>
      <c r="AE3" s="65" t="s">
        <v>87</v>
      </c>
    </row>
    <row r="4" spans="1:31" ht="15.75" thickBot="1" x14ac:dyDescent="0.3">
      <c r="A4" s="156">
        <f>MATCH(F4,SCALARS!C:C,0)</f>
        <v>17</v>
      </c>
      <c r="B4" s="157">
        <f>MATCH(F4,'MKT DATA'!B:B,0)</f>
        <v>15</v>
      </c>
      <c r="C4" s="245" t="str" cm="1">
        <f t="array" aca="1" ref="C4" ca="1">INDIRECT(ADDRESS($A4,2,,,"ANCHOR INPUTS"))</f>
        <v>converts</v>
      </c>
      <c r="D4" s="250"/>
      <c r="E4" s="20" t="str" cm="1">
        <f t="array" aca="1" ref="E4" ca="1">INDIRECT(ADDRESS($A4,5,,,"ANCHOR INPUTS"))</f>
        <v>ICVT</v>
      </c>
      <c r="F4" s="21" t="s">
        <v>52</v>
      </c>
      <c r="G4" s="94">
        <v>0.16500000000000001</v>
      </c>
      <c r="H4" s="33" cm="1">
        <f t="array" aca="1" ref="H4" ca="1">INDIRECT(ADDRESS($B4,9,,,"mkt data"))</f>
        <v>0</v>
      </c>
      <c r="I4" s="68">
        <f t="shared" ref="I4:I16" ca="1" si="2">H4*AVERAGE(L4:M4)</f>
        <v>0</v>
      </c>
      <c r="J4" s="33">
        <f t="shared" ca="1" si="0"/>
        <v>0</v>
      </c>
      <c r="K4" s="317"/>
      <c r="L4" s="41" cm="1">
        <f t="array" aca="1" ref="L4" ca="1">INDIRECT(ADDRESS($B4,5,,,"mkt data"))</f>
        <v>109.56</v>
      </c>
      <c r="M4" s="42" cm="1">
        <f t="array" aca="1" ref="M4" ca="1">INDIRECT(ADDRESS($B4,6,,,"mkt data"))</f>
        <v>114.25</v>
      </c>
      <c r="N4" s="182"/>
      <c r="O4" s="22">
        <f t="shared" ref="O4:O16" ca="1" si="3">L4-O$1</f>
        <v>109.55500000000001</v>
      </c>
      <c r="P4" s="22">
        <f t="shared" ref="P4:P16" ca="1" si="4">M4+O$1</f>
        <v>114.255</v>
      </c>
      <c r="Q4" s="56" cm="1">
        <f t="array" aca="1" ref="Q4" ca="1">INDIRECT(ADDRESS($A4,6,,,"scalars"))</f>
        <v>1</v>
      </c>
      <c r="R4" s="23">
        <f ca="1">O4*Q4</f>
        <v>109.55500000000001</v>
      </c>
      <c r="S4" s="23">
        <f t="shared" ca="1" si="1"/>
        <v>114.255</v>
      </c>
      <c r="T4" s="297"/>
      <c r="U4" s="293"/>
      <c r="V4" s="297"/>
      <c r="W4" s="293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1.5E-3</v>
      </c>
      <c r="AD4" s="64">
        <v>1.5E-3</v>
      </c>
      <c r="AE4" s="65" t="s">
        <v>88</v>
      </c>
    </row>
    <row r="5" spans="1:31" x14ac:dyDescent="0.25">
      <c r="A5" s="154">
        <f>MATCH(F5,SCALARS!C:C,0)</f>
        <v>18</v>
      </c>
      <c r="B5" s="155">
        <f>MATCH(F5,'MKT DATA'!B:B,0)</f>
        <v>6</v>
      </c>
      <c r="C5" s="244" t="str" cm="1">
        <f t="array" aca="1" ref="C5" ca="1">INDIRECT(ADDRESS($A5,2,,,"ANCHOR INPUTS"))</f>
        <v>intl gov - unhedged</v>
      </c>
      <c r="D5" s="249"/>
      <c r="E5" s="14" t="str" cm="1">
        <f t="array" aca="1" ref="E5" ca="1">INDIRECT(ADDRESS($A5,5,,,"ANCHOR INPUTS"))</f>
        <v>IGOV</v>
      </c>
      <c r="F5" s="15" t="s">
        <v>46</v>
      </c>
      <c r="G5" s="93">
        <v>0.16500000000000001</v>
      </c>
      <c r="H5" s="31" cm="1">
        <f t="array" aca="1" ref="H5" ca="1">INDIRECT(ADDRESS($B5,9,,,"mkt data"))</f>
        <v>0</v>
      </c>
      <c r="I5" s="66">
        <f t="shared" ca="1" si="2"/>
        <v>0</v>
      </c>
      <c r="J5" s="31">
        <f t="shared" ca="1" si="0"/>
        <v>0</v>
      </c>
      <c r="K5" s="294">
        <f ca="1">SUM(J5:J6)</f>
        <v>0</v>
      </c>
      <c r="L5" s="37" cm="1">
        <f t="array" aca="1" ref="L5" ca="1">INDIRECT(ADDRESS($B5,5,,,"mkt data"))</f>
        <v>21</v>
      </c>
      <c r="M5" s="38" cm="1">
        <f t="array" aca="1" ref="M5" ca="1">INDIRECT(ADDRESS($B5,6,,,"mkt data"))</f>
        <v>22.42</v>
      </c>
      <c r="N5" s="181"/>
      <c r="O5" s="16">
        <f t="shared" ca="1" si="3"/>
        <v>20.995000000000001</v>
      </c>
      <c r="P5" s="16">
        <f t="shared" ca="1" si="4"/>
        <v>22.425000000000001</v>
      </c>
      <c r="Q5" s="54" cm="1">
        <f t="array" aca="1" ref="Q5" ca="1">INDIRECT(ADDRESS($A5,6,,,"scalars"))</f>
        <v>1.8900092727276789</v>
      </c>
      <c r="R5" s="17">
        <f ca="1">O5*Q5</f>
        <v>39.68074468091762</v>
      </c>
      <c r="S5" s="17">
        <f t="shared" ca="1" si="1"/>
        <v>42.383457940918198</v>
      </c>
      <c r="T5" s="296">
        <f ca="1">R6-S5</f>
        <v>-2.6884579409181981</v>
      </c>
      <c r="U5" s="292">
        <f ca="1">T5/AVERAGE(R6,S6)</f>
        <v>-6.5564149272483788E-2</v>
      </c>
      <c r="V5" s="296">
        <f ca="1">R5-S6</f>
        <v>-2.634255319082385</v>
      </c>
      <c r="W5" s="292">
        <f ca="1">V5/AVERAGE(R6,S6)</f>
        <v>-6.4242295307459701E-2</v>
      </c>
      <c r="X5" s="84">
        <f>AC5</f>
        <v>4.0000000000000001E-3</v>
      </c>
      <c r="Y5" s="55">
        <f>AC6</f>
        <v>3.0000000000000001E-3</v>
      </c>
      <c r="Z5" s="55">
        <f>AD6</f>
        <v>2E-3</v>
      </c>
      <c r="AA5" s="85">
        <f>AD5</f>
        <v>2E-3</v>
      </c>
      <c r="AC5" s="63">
        <v>4.0000000000000001E-3</v>
      </c>
      <c r="AD5" s="64">
        <v>2E-3</v>
      </c>
      <c r="AE5" s="65" t="s">
        <v>87</v>
      </c>
    </row>
    <row r="6" spans="1:31" ht="15.75" thickBot="1" x14ac:dyDescent="0.3">
      <c r="A6" s="156">
        <f>MATCH(F6,SCALARS!C:C,0)</f>
        <v>19</v>
      </c>
      <c r="B6" s="157">
        <f>MATCH(F6,'MKT DATA'!B:B,0)</f>
        <v>17</v>
      </c>
      <c r="C6" s="245" t="str" cm="1">
        <f t="array" aca="1" ref="C6" ca="1">INDIRECT(ADDRESS($A6,2,,,"ANCHOR INPUTS"))</f>
        <v>intl gov - unhedged</v>
      </c>
      <c r="D6" s="250"/>
      <c r="E6" s="20" t="str" cm="1">
        <f t="array" aca="1" ref="E6" ca="1">INDIRECT(ADDRESS($A6,5,,,"ANCHOR INPUTS"))</f>
        <v>IGOV</v>
      </c>
      <c r="F6" s="21" t="s">
        <v>53</v>
      </c>
      <c r="G6" s="94">
        <v>0.16500000000000001</v>
      </c>
      <c r="H6" s="33" cm="1">
        <f t="array" aca="1" ref="H6" ca="1">INDIRECT(ADDRESS($B6,9,,,"mkt data"))</f>
        <v>0</v>
      </c>
      <c r="I6" s="68">
        <f t="shared" ca="1" si="2"/>
        <v>0</v>
      </c>
      <c r="J6" s="33">
        <f t="shared" ca="1" si="0"/>
        <v>0</v>
      </c>
      <c r="K6" s="295"/>
      <c r="L6" s="41" cm="1">
        <f t="array" aca="1" ref="L6" ca="1">INDIRECT(ADDRESS($B6,5,,,"mkt data"))</f>
        <v>39.700000000000003</v>
      </c>
      <c r="M6" s="42" cm="1">
        <f t="array" aca="1" ref="M6" ca="1">INDIRECT(ADDRESS($B6,6,,,"mkt data"))</f>
        <v>42.31</v>
      </c>
      <c r="N6" s="182"/>
      <c r="O6" s="22">
        <f t="shared" ca="1" si="3"/>
        <v>39.695</v>
      </c>
      <c r="P6" s="22">
        <f t="shared" ca="1" si="4"/>
        <v>42.315000000000005</v>
      </c>
      <c r="Q6" s="56" cm="1">
        <f t="array" aca="1" ref="Q6" ca="1">INDIRECT(ADDRESS($A6,6,,,"scalars"))</f>
        <v>1</v>
      </c>
      <c r="R6" s="23">
        <f ca="1">O6*Q6</f>
        <v>39.695</v>
      </c>
      <c r="S6" s="23">
        <f t="shared" ca="1" si="1"/>
        <v>42.315000000000005</v>
      </c>
      <c r="T6" s="297"/>
      <c r="U6" s="293"/>
      <c r="V6" s="297"/>
      <c r="W6" s="293"/>
      <c r="X6" s="86" t="b">
        <f ca="1">IF(U5&gt;X5,TRUE,FALSE)</f>
        <v>0</v>
      </c>
      <c r="Y6" s="57" t="b">
        <f ca="1">AND(IF(W5&gt;-Y5,TRUE,FALSE),IF(H5&gt;0,TRUE,FALSE))</f>
        <v>0</v>
      </c>
      <c r="Z6" s="57" t="b">
        <f ca="1">AND(IF(U5&gt;-Z5,TRUE,FALSE),IF(H5&lt;0,TRUE,FALSE))</f>
        <v>0</v>
      </c>
      <c r="AA6" s="87" t="b">
        <f ca="1">IF(W5&gt;AA5,TRUE,FALSE)</f>
        <v>0</v>
      </c>
      <c r="AC6" s="64">
        <v>3.0000000000000001E-3</v>
      </c>
      <c r="AD6" s="64">
        <v>2E-3</v>
      </c>
      <c r="AE6" s="65" t="s">
        <v>88</v>
      </c>
    </row>
    <row r="7" spans="1:31" x14ac:dyDescent="0.25">
      <c r="A7" s="154">
        <f>MATCH(F7,SCALARS!C:C,0)</f>
        <v>13</v>
      </c>
      <c r="B7" s="155">
        <f>MATCH(F7,'MKT DATA'!B:B,0)</f>
        <v>41</v>
      </c>
      <c r="C7" s="244" t="str" cm="1">
        <f t="array" aca="1" ref="C7" ca="1">INDIRECT(ADDRESS($A7,2,,,"ANCHOR INPUTS"))</f>
        <v>em gov -us</v>
      </c>
      <c r="D7" s="249"/>
      <c r="E7" s="14" t="str" cm="1">
        <f t="array" aca="1" ref="E7" ca="1">INDIRECT(ADDRESS($A7,5,,,"ANCHOR INPUTS"))</f>
        <v>EMB</v>
      </c>
      <c r="F7" s="15" t="s">
        <v>59</v>
      </c>
      <c r="G7" s="93">
        <v>0.16500000000000001</v>
      </c>
      <c r="H7" s="31" cm="1">
        <f t="array" aca="1" ref="H7" ca="1">INDIRECT(ADDRESS($B7,9,,,"mkt data"))</f>
        <v>0</v>
      </c>
      <c r="I7" s="66">
        <f t="shared" ca="1" si="2"/>
        <v>0</v>
      </c>
      <c r="J7" s="31">
        <f t="shared" ca="1" si="0"/>
        <v>0</v>
      </c>
      <c r="K7" s="316">
        <f ca="1">SUM(J7:J8)</f>
        <v>0</v>
      </c>
      <c r="L7" s="37" cm="1">
        <f t="array" aca="1" ref="L7" ca="1">INDIRECT(ADDRESS($B7,5,,,"mkt data"))</f>
        <v>65.31</v>
      </c>
      <c r="M7" s="38" cm="1">
        <f t="array" aca="1" ref="M7" ca="1">INDIRECT(ADDRESS($B7,6,,,"mkt data"))</f>
        <v>65.790000000000006</v>
      </c>
      <c r="N7" s="181"/>
      <c r="O7" s="16">
        <f t="shared" ca="1" si="3"/>
        <v>65.305000000000007</v>
      </c>
      <c r="P7" s="16">
        <f t="shared" ca="1" si="4"/>
        <v>65.795000000000002</v>
      </c>
      <c r="Q7" s="54" cm="1">
        <f t="array" aca="1" ref="Q7" ca="1">INDIRECT(ADDRESS($A7,6,,,"scalars"))</f>
        <v>1.437873753567215</v>
      </c>
      <c r="R7" s="17">
        <f ca="1">O7*Q7</f>
        <v>93.900345476706988</v>
      </c>
      <c r="S7" s="17">
        <f t="shared" ca="1" si="1"/>
        <v>94.60490361595491</v>
      </c>
      <c r="T7" s="296">
        <f ca="1">R8-S7</f>
        <v>-0.57990361595490469</v>
      </c>
      <c r="U7" s="292">
        <f ca="1">T7/AVERAGE(R8,S8)</f>
        <v>-6.1502133413395346E-3</v>
      </c>
      <c r="V7" s="296">
        <f ca="1">R7-S8</f>
        <v>-0.65465452329300433</v>
      </c>
      <c r="W7" s="292">
        <f ca="1">V7/AVERAGE(R8,S8)</f>
        <v>-6.942989959624609E-3</v>
      </c>
      <c r="X7" s="84">
        <f>AC7</f>
        <v>1E-3</v>
      </c>
      <c r="Y7" s="55">
        <f>AC8</f>
        <v>1E-3</v>
      </c>
      <c r="Z7" s="55">
        <f>AD8</f>
        <v>1E-3</v>
      </c>
      <c r="AA7" s="85">
        <f>AD7</f>
        <v>1E-3</v>
      </c>
      <c r="AC7" s="64">
        <v>1E-3</v>
      </c>
      <c r="AD7" s="64">
        <v>1E-3</v>
      </c>
      <c r="AE7" s="65" t="s">
        <v>87</v>
      </c>
    </row>
    <row r="8" spans="1:31" ht="15.75" thickBot="1" x14ac:dyDescent="0.3">
      <c r="A8" s="156">
        <f>MATCH(F8,SCALARS!C:C,0)</f>
        <v>12</v>
      </c>
      <c r="B8" s="157">
        <f>MATCH(F8,'MKT DATA'!B:B,0)</f>
        <v>10</v>
      </c>
      <c r="C8" s="245" t="str" cm="1">
        <f t="array" aca="1" ref="C8" ca="1">INDIRECT(ADDRESS($A8,2,,,"ANCHOR INPUTS"))</f>
        <v>em gov -us</v>
      </c>
      <c r="D8" s="250"/>
      <c r="E8" s="20" t="str" cm="1">
        <f t="array" aca="1" ref="E8" ca="1">INDIRECT(ADDRESS($A8,5,,,"ANCHOR INPUTS"))</f>
        <v>EMB</v>
      </c>
      <c r="F8" s="21" t="s">
        <v>49</v>
      </c>
      <c r="G8" s="94">
        <v>0.16500000000000001</v>
      </c>
      <c r="H8" s="33" cm="1">
        <f t="array" aca="1" ref="H8" ca="1">INDIRECT(ADDRESS($B8,9,,,"mkt data"))</f>
        <v>0</v>
      </c>
      <c r="I8" s="68">
        <f t="shared" ca="1" si="2"/>
        <v>0</v>
      </c>
      <c r="J8" s="33">
        <f t="shared" ca="1" si="0"/>
        <v>0</v>
      </c>
      <c r="K8" s="317"/>
      <c r="L8" s="41" cm="1">
        <f t="array" aca="1" ref="L8" ca="1">INDIRECT(ADDRESS($B8,5,,,"mkt data"))</f>
        <v>94.03</v>
      </c>
      <c r="M8" s="42" cm="1">
        <f t="array" aca="1" ref="M8" ca="1">INDIRECT(ADDRESS($B8,6,,,"mkt data"))</f>
        <v>94.55</v>
      </c>
      <c r="N8" s="182"/>
      <c r="O8" s="22">
        <f t="shared" ca="1" si="3"/>
        <v>94.025000000000006</v>
      </c>
      <c r="P8" s="22">
        <f t="shared" ca="1" si="4"/>
        <v>94.554999999999993</v>
      </c>
      <c r="Q8" s="56" cm="1">
        <f t="array" aca="1" ref="Q8" ca="1">INDIRECT(ADDRESS($A8,6,,,"scalars"))</f>
        <v>1</v>
      </c>
      <c r="R8" s="23">
        <f t="shared" ref="R8:R10" ca="1" si="5">O8*Q8</f>
        <v>94.025000000000006</v>
      </c>
      <c r="S8" s="23">
        <f t="shared" ca="1" si="1"/>
        <v>94.554999999999993</v>
      </c>
      <c r="T8" s="297"/>
      <c r="U8" s="293"/>
      <c r="V8" s="297"/>
      <c r="W8" s="293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1E-3</v>
      </c>
      <c r="AD8" s="64">
        <v>1E-3</v>
      </c>
      <c r="AE8" s="65" t="s">
        <v>88</v>
      </c>
    </row>
    <row r="9" spans="1:31" x14ac:dyDescent="0.25">
      <c r="A9" s="154">
        <f>MATCH(F9,SCALARS!C:C,0)</f>
        <v>40</v>
      </c>
      <c r="B9" s="155">
        <f>MATCH(F9,'MKT DATA'!B:B,0)</f>
        <v>7</v>
      </c>
      <c r="C9" s="244" t="str" cm="1">
        <f t="array" aca="1" ref="C9" ca="1">INDIRECT(ADDRESS($A9,2,,,"ANCHOR INPUTS"))</f>
        <v>calif munis</v>
      </c>
      <c r="D9" s="249"/>
      <c r="E9" s="14" t="str" cm="1">
        <f t="array" aca="1" ref="E9" ca="1">INDIRECT(ADDRESS($A9,5,,,"ANCHOR INPUTS"))</f>
        <v>VTEC</v>
      </c>
      <c r="F9" s="15" t="s">
        <v>47</v>
      </c>
      <c r="G9" s="93">
        <v>0.1002</v>
      </c>
      <c r="H9" s="31" cm="1">
        <f t="array" aca="1" ref="H9" ca="1">INDIRECT(ADDRESS($B9,9,,,"mkt data"))</f>
        <v>0</v>
      </c>
      <c r="I9" s="66">
        <f t="shared" ca="1" si="2"/>
        <v>0</v>
      </c>
      <c r="J9" s="31">
        <f t="shared" ca="1" si="0"/>
        <v>0</v>
      </c>
      <c r="K9" s="306">
        <f ca="1">SUM(J9:J10)</f>
        <v>0</v>
      </c>
      <c r="L9" s="37" cm="1">
        <f t="array" aca="1" ref="L9" ca="1">INDIRECT(ADDRESS($B9,5,,,"mkt data"))</f>
        <v>55.72</v>
      </c>
      <c r="M9" s="38" cm="1">
        <f t="array" aca="1" ref="M9" ca="1">INDIRECT(ADDRESS($B9,6,,,"mkt data"))</f>
        <v>56.06</v>
      </c>
      <c r="N9" s="181"/>
      <c r="O9" s="16">
        <f t="shared" ca="1" si="3"/>
        <v>55.714999999999996</v>
      </c>
      <c r="P9" s="16">
        <f t="shared" ca="1" si="4"/>
        <v>56.065000000000005</v>
      </c>
      <c r="Q9" s="54" cm="1">
        <f t="array" aca="1" ref="Q9" ca="1">INDIRECT(ADDRESS($A9,6,,,"scalars"))</f>
        <v>1.7451182226669257</v>
      </c>
      <c r="R9" s="17">
        <f t="shared" ca="1" si="5"/>
        <v>97.229261775887764</v>
      </c>
      <c r="S9" s="17">
        <f t="shared" ca="1" si="1"/>
        <v>97.840053153821202</v>
      </c>
      <c r="T9" s="296">
        <f ca="1">R10-S9</f>
        <v>-0.59505315382119761</v>
      </c>
      <c r="U9" s="292">
        <f ca="1">T9/AVERAGE(R10,S10)</f>
        <v>-6.0993558202254777E-3</v>
      </c>
      <c r="V9" s="296">
        <f ca="1">R9-S10</f>
        <v>-0.64573822411223603</v>
      </c>
      <c r="W9" s="292">
        <f ca="1">V9/AVERAGE(R10,S10)</f>
        <v>-6.6188829859802787E-3</v>
      </c>
      <c r="X9" s="84">
        <f>AC9</f>
        <v>1E-3</v>
      </c>
      <c r="Y9" s="55">
        <f>AC10</f>
        <v>1E-3</v>
      </c>
      <c r="Z9" s="55">
        <f>AD10</f>
        <v>1E-3</v>
      </c>
      <c r="AA9" s="85">
        <f>AD9</f>
        <v>1E-3</v>
      </c>
      <c r="AC9" s="64">
        <v>1E-3</v>
      </c>
      <c r="AD9" s="64">
        <v>1E-3</v>
      </c>
      <c r="AE9" s="65" t="s">
        <v>87</v>
      </c>
    </row>
    <row r="10" spans="1:31" ht="15.75" thickBot="1" x14ac:dyDescent="0.3">
      <c r="A10" s="156">
        <f>MATCH(F10,SCALARS!C:C,0)</f>
        <v>41</v>
      </c>
      <c r="B10" s="157">
        <f>MATCH(F10,'MKT DATA'!B:B,0)</f>
        <v>40</v>
      </c>
      <c r="C10" s="245" t="str" cm="1">
        <f t="array" aca="1" ref="C10" ca="1">INDIRECT(ADDRESS($A10,2,,,"ANCHOR INPUTS"))</f>
        <v>calif munis</v>
      </c>
      <c r="D10" s="250"/>
      <c r="E10" s="20" t="str" cm="1">
        <f t="array" aca="1" ref="E10" ca="1">INDIRECT(ADDRESS($A10,5,,,"ANCHOR INPUTS"))</f>
        <v>VTEC</v>
      </c>
      <c r="F10" s="21" t="s">
        <v>58</v>
      </c>
      <c r="G10" s="94">
        <v>0.1002</v>
      </c>
      <c r="H10" s="33" cm="1">
        <f t="array" aca="1" ref="H10" ca="1">INDIRECT(ADDRESS($B10,9,,,"mkt data"))</f>
        <v>0</v>
      </c>
      <c r="I10" s="68">
        <f t="shared" ca="1" si="2"/>
        <v>0</v>
      </c>
      <c r="J10" s="33">
        <f t="shared" ca="1" si="0"/>
        <v>0</v>
      </c>
      <c r="K10" s="307"/>
      <c r="L10" s="41" cm="1">
        <f t="array" aca="1" ref="L10" ca="1">INDIRECT(ADDRESS($B10,5,,,"mkt data"))</f>
        <v>97.25</v>
      </c>
      <c r="M10" s="42" cm="1">
        <f t="array" aca="1" ref="M10" ca="1">INDIRECT(ADDRESS($B10,6,,,"mkt data"))</f>
        <v>97.87</v>
      </c>
      <c r="N10" s="182"/>
      <c r="O10" s="22">
        <f t="shared" ca="1" si="3"/>
        <v>97.245000000000005</v>
      </c>
      <c r="P10" s="22">
        <f t="shared" ca="1" si="4"/>
        <v>97.875</v>
      </c>
      <c r="Q10" s="56" cm="1">
        <f t="array" aca="1" ref="Q10" ca="1">INDIRECT(ADDRESS($A10,6,,,"scalars"))</f>
        <v>1</v>
      </c>
      <c r="R10" s="23">
        <f t="shared" ca="1" si="5"/>
        <v>97.245000000000005</v>
      </c>
      <c r="S10" s="23">
        <f t="shared" ca="1" si="1"/>
        <v>97.875</v>
      </c>
      <c r="T10" s="297"/>
      <c r="U10" s="293"/>
      <c r="V10" s="297"/>
      <c r="W10" s="293"/>
      <c r="X10" s="86" t="b">
        <f ca="1">IF(U9&gt;X9,TRUE,FALSE)</f>
        <v>0</v>
      </c>
      <c r="Y10" s="57" t="b">
        <f ca="1">AND(IF(W9&gt;-Y9,TRUE,FALSE),IF(H9&gt;0,TRUE,FALSE))</f>
        <v>0</v>
      </c>
      <c r="Z10" s="57" t="b">
        <f ca="1">AND(IF(U9&gt;-Z9,TRUE,FALSE),IF(H9&lt;0,TRUE,FALSE))</f>
        <v>0</v>
      </c>
      <c r="AA10" s="87" t="b">
        <f ca="1">IF(W9&gt;AA9,TRUE,FALSE)</f>
        <v>0</v>
      </c>
      <c r="AC10" s="64">
        <v>1E-3</v>
      </c>
      <c r="AD10" s="64">
        <v>1E-3</v>
      </c>
      <c r="AE10" s="65" t="s">
        <v>88</v>
      </c>
    </row>
    <row r="11" spans="1:31" x14ac:dyDescent="0.25">
      <c r="A11" s="154">
        <f>MATCH(F11,SCALARS!C:C,0)</f>
        <v>33</v>
      </c>
      <c r="B11" s="155">
        <f>MATCH(F11,'MKT DATA'!B:B,0)</f>
        <v>22</v>
      </c>
      <c r="C11" s="244" t="str" cm="1">
        <f t="array" aca="1" ref="C11" ca="1">INDIRECT(ADDRESS($A11,2,,,"ANCHOR INPUTS"))</f>
        <v>prefs</v>
      </c>
      <c r="D11" s="249"/>
      <c r="E11" s="14" t="str" cm="1">
        <f t="array" aca="1" ref="E11" ca="1">INDIRECT(ADDRESS($A11,5,,,"ANCHOR INPUTS"))</f>
        <v>PFF</v>
      </c>
      <c r="F11" s="15" t="s">
        <v>55</v>
      </c>
      <c r="G11" s="93">
        <v>0.16500000000000001</v>
      </c>
      <c r="H11" s="31" cm="1">
        <f t="array" aca="1" ref="H11" ca="1">INDIRECT(ADDRESS($B11,9,,,"mkt data"))</f>
        <v>0</v>
      </c>
      <c r="I11" s="66">
        <f t="shared" ca="1" si="2"/>
        <v>0</v>
      </c>
      <c r="J11" s="31">
        <f t="shared" ca="1" si="0"/>
        <v>0</v>
      </c>
      <c r="K11" s="306">
        <f ca="1">SUM(J11:J12)</f>
        <v>0</v>
      </c>
      <c r="L11" s="37" cm="1">
        <f t="array" aca="1" ref="L11" ca="1">INDIRECT(ADDRESS($B11,5,,,"mkt data"))</f>
        <v>18.100000000000001</v>
      </c>
      <c r="M11" s="38" cm="1">
        <f t="array" aca="1" ref="M11" ca="1">INDIRECT(ADDRESS($B11,6,,,"mkt data"))</f>
        <v>18.399999999999999</v>
      </c>
      <c r="N11" s="181"/>
      <c r="O11" s="16">
        <f t="shared" ca="1" si="3"/>
        <v>18.095000000000002</v>
      </c>
      <c r="P11" s="16">
        <f t="shared" ca="1" si="4"/>
        <v>18.404999999999998</v>
      </c>
      <c r="Q11" s="54" cm="1">
        <f t="array" aca="1" ref="Q11" ca="1">INDIRECT(ADDRESS($A11,6,,,"scalars"))</f>
        <v>1.6547428267785862</v>
      </c>
      <c r="R11" s="17">
        <f ca="1">O11*Q11</f>
        <v>29.942571450558521</v>
      </c>
      <c r="S11" s="17">
        <f t="shared" ca="1" si="1"/>
        <v>30.455541726859874</v>
      </c>
      <c r="T11" s="296">
        <f ca="1">R12-S11</f>
        <v>-0.26054172685987353</v>
      </c>
      <c r="U11" s="292">
        <f ca="1">T11/AVERAGE(R12,S12)</f>
        <v>-8.6143735116506383E-3</v>
      </c>
      <c r="V11" s="296">
        <f ca="1">R11-S12</f>
        <v>-0.35242854944147695</v>
      </c>
      <c r="W11" s="292">
        <f ca="1">V11/AVERAGE(R12,S12)</f>
        <v>-1.1652456585930797E-2</v>
      </c>
      <c r="X11" s="84">
        <f>AC11</f>
        <v>5.0000000000000001E-3</v>
      </c>
      <c r="Y11" s="55">
        <f>AC12</f>
        <v>4.0000000000000001E-3</v>
      </c>
      <c r="Z11" s="55">
        <f>AD12</f>
        <v>2E-3</v>
      </c>
      <c r="AA11" s="85">
        <f>AD11</f>
        <v>3.0000000000000001E-3</v>
      </c>
      <c r="AC11" s="63">
        <v>5.0000000000000001E-3</v>
      </c>
      <c r="AD11" s="64">
        <v>3.0000000000000001E-3</v>
      </c>
      <c r="AE11" s="65" t="s">
        <v>87</v>
      </c>
    </row>
    <row r="12" spans="1:31" ht="15.75" thickBot="1" x14ac:dyDescent="0.3">
      <c r="A12" s="156">
        <f>MATCH(F12,SCALARS!C:C,0)</f>
        <v>32</v>
      </c>
      <c r="B12" s="157">
        <f>MATCH(F12,'MKT DATA'!B:B,0)</f>
        <v>21</v>
      </c>
      <c r="C12" s="245" t="str" cm="1">
        <f t="array" aca="1" ref="C12" ca="1">INDIRECT(ADDRESS($A12,2,,,"ANCHOR INPUTS"))</f>
        <v>prefs</v>
      </c>
      <c r="D12" s="250"/>
      <c r="E12" s="20" t="str" cm="1">
        <f t="array" aca="1" ref="E12" ca="1">INDIRECT(ADDRESS($A12,5,,,"ANCHOR INPUTS"))</f>
        <v>PFF</v>
      </c>
      <c r="F12" s="21" t="s">
        <v>54</v>
      </c>
      <c r="G12" s="94">
        <v>0.16500000000000001</v>
      </c>
      <c r="H12" s="33" cm="1">
        <f t="array" aca="1" ref="H12" ca="1">INDIRECT(ADDRESS($B12,9,,,"mkt data"))</f>
        <v>0</v>
      </c>
      <c r="I12" s="68">
        <f t="shared" ca="1" si="2"/>
        <v>0</v>
      </c>
      <c r="J12" s="33">
        <f t="shared" ca="1" si="0"/>
        <v>0</v>
      </c>
      <c r="K12" s="307"/>
      <c r="L12" s="41" cm="1">
        <f t="array" aca="1" ref="L12" ca="1">INDIRECT(ADDRESS($B12,5,,,"mkt data"))</f>
        <v>30.2</v>
      </c>
      <c r="M12" s="42" cm="1">
        <f t="array" aca="1" ref="M12" ca="1">INDIRECT(ADDRESS($B12,6,,,"mkt data"))</f>
        <v>30.29</v>
      </c>
      <c r="N12" s="182"/>
      <c r="O12" s="22">
        <f t="shared" ca="1" si="3"/>
        <v>30.195</v>
      </c>
      <c r="P12" s="22">
        <f t="shared" ca="1" si="4"/>
        <v>30.294999999999998</v>
      </c>
      <c r="Q12" s="56" cm="1">
        <f t="array" aca="1" ref="Q12" ca="1">INDIRECT(ADDRESS($A12,6,,,"scalars"))</f>
        <v>1</v>
      </c>
      <c r="R12" s="23">
        <f t="shared" ref="R12:R13" ca="1" si="6">O12*Q12</f>
        <v>30.195</v>
      </c>
      <c r="S12" s="23">
        <f t="shared" ca="1" si="1"/>
        <v>30.294999999999998</v>
      </c>
      <c r="T12" s="297"/>
      <c r="U12" s="293"/>
      <c r="V12" s="297"/>
      <c r="W12" s="293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4.0000000000000001E-3</v>
      </c>
      <c r="AD12" s="64">
        <v>2E-3</v>
      </c>
      <c r="AE12" s="65" t="s">
        <v>88</v>
      </c>
    </row>
    <row r="13" spans="1:31" s="105" customFormat="1" x14ac:dyDescent="0.25">
      <c r="A13" s="163">
        <f>MATCH(F13,SCALARS!C:C,0)</f>
        <v>14</v>
      </c>
      <c r="B13" s="164">
        <f>MATCH(F13,'MKT DATA'!B:B,0)</f>
        <v>5</v>
      </c>
      <c r="C13" s="246" t="str" cm="1">
        <f t="array" aca="1" ref="C13" ca="1">INDIRECT(ADDRESS($A13,2,,,"ANCHOR INPUTS"))</f>
        <v>intl agg - hedged</v>
      </c>
      <c r="D13" s="251"/>
      <c r="E13" s="96" t="str" cm="1">
        <f t="array" aca="1" ref="E13" ca="1">INDIRECT(ADDRESS($A13,5,,,"ANCHOR INPUTS"))</f>
        <v>IAGG</v>
      </c>
      <c r="F13" s="97" t="s">
        <v>45</v>
      </c>
      <c r="G13" s="137"/>
      <c r="H13" s="98" cm="1">
        <f t="array" aca="1" ref="H13" ca="1">INDIRECT(ADDRESS($B13,9,,,"mkt data"))</f>
        <v>0</v>
      </c>
      <c r="I13" s="99">
        <f t="shared" ca="1" si="2"/>
        <v>0</v>
      </c>
      <c r="J13" s="98">
        <f t="shared" ca="1" si="0"/>
        <v>0</v>
      </c>
      <c r="K13" s="333">
        <f ca="1">SUM(J13:J14)</f>
        <v>0</v>
      </c>
      <c r="L13" s="100" cm="1">
        <f t="array" aca="1" ref="L13" ca="1">INDIRECT(ADDRESS($B13,5,,,"mkt data"))</f>
        <v>47.21</v>
      </c>
      <c r="M13" s="101" cm="1">
        <f t="array" aca="1" ref="M13" ca="1">INDIRECT(ADDRESS($B13,6,,,"mkt data"))</f>
        <v>47.4</v>
      </c>
      <c r="N13" s="253"/>
      <c r="O13" s="102">
        <f t="shared" ca="1" si="3"/>
        <v>47.204999999999998</v>
      </c>
      <c r="P13" s="102">
        <f t="shared" ca="1" si="4"/>
        <v>47.405000000000001</v>
      </c>
      <c r="Q13" s="103" cm="1">
        <f t="array" aca="1" ref="Q13" ca="1">INDIRECT(ADDRESS($A13,6,,,"scalars"))</f>
        <v>1.0447269012781422</v>
      </c>
      <c r="R13" s="104">
        <f t="shared" ca="1" si="6"/>
        <v>49.316333374834699</v>
      </c>
      <c r="S13" s="104">
        <f t="shared" ca="1" si="1"/>
        <v>49.525278755090334</v>
      </c>
      <c r="T13" s="296">
        <f ca="1">R14-S13</f>
        <v>-3.0278755090336062E-2</v>
      </c>
      <c r="U13" s="292">
        <f ca="1">T13/AVERAGE(R14,S14)</f>
        <v>-6.0996686322191906E-4</v>
      </c>
      <c r="V13" s="296">
        <f ca="1">R13-S14</f>
        <v>-0.46866662516530511</v>
      </c>
      <c r="W13" s="292">
        <f ca="1">V13/AVERAGE(R14,S14)</f>
        <v>-9.4413099348369285E-3</v>
      </c>
      <c r="X13" s="84">
        <f>AC13</f>
        <v>0.01</v>
      </c>
      <c r="Y13" s="55">
        <f>AC14</f>
        <v>0.01</v>
      </c>
      <c r="Z13" s="55">
        <f>AD14</f>
        <v>0.01</v>
      </c>
      <c r="AA13" s="85">
        <f>AD13</f>
        <v>0.01</v>
      </c>
      <c r="AC13" s="106">
        <v>0.01</v>
      </c>
      <c r="AD13" s="107">
        <v>0.01</v>
      </c>
      <c r="AE13" s="108" t="s">
        <v>87</v>
      </c>
    </row>
    <row r="14" spans="1:31" s="105" customFormat="1" ht="15.75" thickBot="1" x14ac:dyDescent="0.3">
      <c r="A14" s="165">
        <f>MATCH(F14,SCALARS!C:C,0)</f>
        <v>15</v>
      </c>
      <c r="B14" s="166">
        <f>MATCH(F14,'MKT DATA'!B:B,0)</f>
        <v>14</v>
      </c>
      <c r="C14" s="248" t="str" cm="1">
        <f t="array" aca="1" ref="C14" ca="1">INDIRECT(ADDRESS($A14,2,,,"ANCHOR INPUTS"))</f>
        <v>intl agg - hedged</v>
      </c>
      <c r="D14" s="252"/>
      <c r="E14" s="109" t="str" cm="1">
        <f t="array" aca="1" ref="E14" ca="1">INDIRECT(ADDRESS($A14,5,,,"ANCHOR INPUTS"))</f>
        <v>IAGG</v>
      </c>
      <c r="F14" s="110" t="s">
        <v>51</v>
      </c>
      <c r="G14" s="139"/>
      <c r="H14" s="111" cm="1">
        <f t="array" aca="1" ref="H14" ca="1">INDIRECT(ADDRESS($B14,9,,,"mkt data"))</f>
        <v>0</v>
      </c>
      <c r="I14" s="112">
        <f t="shared" ca="1" si="2"/>
        <v>0</v>
      </c>
      <c r="J14" s="111">
        <f t="shared" ca="1" si="0"/>
        <v>0</v>
      </c>
      <c r="K14" s="334"/>
      <c r="L14" s="113" cm="1">
        <f t="array" aca="1" ref="L14" ca="1">INDIRECT(ADDRESS($B14,5,,,"mkt data"))</f>
        <v>49.5</v>
      </c>
      <c r="M14" s="114" cm="1">
        <f t="array" aca="1" ref="M14" ca="1">INDIRECT(ADDRESS($B14,6,,,"mkt data"))</f>
        <v>49.78</v>
      </c>
      <c r="N14" s="254"/>
      <c r="O14" s="115">
        <f t="shared" ca="1" si="3"/>
        <v>49.494999999999997</v>
      </c>
      <c r="P14" s="115">
        <f t="shared" ca="1" si="4"/>
        <v>49.785000000000004</v>
      </c>
      <c r="Q14" s="116" cm="1">
        <f t="array" aca="1" ref="Q14" ca="1">INDIRECT(ADDRESS($A14,6,,,"scalars"))</f>
        <v>1</v>
      </c>
      <c r="R14" s="117">
        <f ca="1">O14*Q14</f>
        <v>49.494999999999997</v>
      </c>
      <c r="S14" s="117">
        <f t="shared" ca="1" si="1"/>
        <v>49.785000000000004</v>
      </c>
      <c r="T14" s="297"/>
      <c r="U14" s="293"/>
      <c r="V14" s="297"/>
      <c r="W14" s="293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107">
        <v>0.01</v>
      </c>
      <c r="AD14" s="107">
        <v>0.01</v>
      </c>
      <c r="AE14" s="108" t="s">
        <v>88</v>
      </c>
    </row>
    <row r="15" spans="1:31" s="105" customFormat="1" x14ac:dyDescent="0.25">
      <c r="A15" s="163">
        <f>MATCH(F15,SCALARS!C:C,0)</f>
        <v>7</v>
      </c>
      <c r="B15" s="164">
        <f>MATCH(F15,'MKT DATA'!B:B,0)</f>
        <v>11</v>
      </c>
      <c r="C15" s="246" t="str" cm="1">
        <f t="array" aca="1" ref="C15" ca="1">INDIRECT(ADDRESS($A15,2,,,"ANCHOR INPUTS"))</f>
        <v>fallen angels</v>
      </c>
      <c r="D15" s="251"/>
      <c r="E15" s="96" t="str" cm="1">
        <f t="array" aca="1" ref="E15" ca="1">INDIRECT(ADDRESS($A15,5,,,"ANCHOR INPUTS"))</f>
        <v>ANGL</v>
      </c>
      <c r="F15" s="97" t="s">
        <v>50</v>
      </c>
      <c r="G15" s="137"/>
      <c r="H15" s="98" cm="1">
        <f t="array" aca="1" ref="H15" ca="1">INDIRECT(ADDRESS($B15,9,,,"mkt data"))</f>
        <v>0</v>
      </c>
      <c r="I15" s="99">
        <f t="shared" ca="1" si="2"/>
        <v>0</v>
      </c>
      <c r="J15" s="98">
        <f t="shared" ca="1" si="0"/>
        <v>0</v>
      </c>
      <c r="K15" s="331">
        <f ca="1">SUM(J15:J16)</f>
        <v>0</v>
      </c>
      <c r="L15" s="100" cm="1">
        <f t="array" aca="1" ref="L15" ca="1">INDIRECT(ADDRESS($B15,5,,,"mkt data"))</f>
        <v>26.24</v>
      </c>
      <c r="M15" s="101" cm="1">
        <f t="array" aca="1" ref="M15" ca="1">INDIRECT(ADDRESS($B15,6,,,"mkt data"))</f>
        <v>27.27</v>
      </c>
      <c r="N15" s="253"/>
      <c r="O15" s="102">
        <f t="shared" ca="1" si="3"/>
        <v>26.234999999999999</v>
      </c>
      <c r="P15" s="102">
        <f t="shared" ca="1" si="4"/>
        <v>27.274999999999999</v>
      </c>
      <c r="Q15" s="103" cm="1">
        <f t="array" aca="1" ref="Q15" ca="1">INDIRECT(ADDRESS($A15,6,,,"scalars"))</f>
        <v>1.0737600019731681</v>
      </c>
      <c r="R15" s="104">
        <f ca="1">O15*Q15</f>
        <v>28.170093651766067</v>
      </c>
      <c r="S15" s="104">
        <f t="shared" ca="1" si="1"/>
        <v>29.286804053818159</v>
      </c>
      <c r="T15" s="296">
        <f ca="1">R16-S15</f>
        <v>-0.59180405381815859</v>
      </c>
      <c r="U15" s="292">
        <f ca="1">T15/AVERAGE(R16,S16)</f>
        <v>-2.0534491804932636E-2</v>
      </c>
      <c r="V15" s="296">
        <f ca="1">R15-S16</f>
        <v>-0.77490634823393378</v>
      </c>
      <c r="W15" s="292">
        <f ca="1">V15/AVERAGE(R16,S16)</f>
        <v>-2.6887798342607003E-2</v>
      </c>
      <c r="X15" s="84">
        <f>AC15</f>
        <v>0.01</v>
      </c>
      <c r="Y15" s="55">
        <f>AC16</f>
        <v>0.01</v>
      </c>
      <c r="Z15" s="55">
        <f>AD16</f>
        <v>0.01</v>
      </c>
      <c r="AA15" s="85">
        <f>AD15</f>
        <v>0.01</v>
      </c>
      <c r="AC15" s="106">
        <v>0.01</v>
      </c>
      <c r="AD15" s="107">
        <v>0.01</v>
      </c>
      <c r="AE15" s="108" t="s">
        <v>87</v>
      </c>
    </row>
    <row r="16" spans="1:31" s="105" customFormat="1" ht="15.75" thickBot="1" x14ac:dyDescent="0.3">
      <c r="A16" s="165">
        <f>MATCH(F16,SCALARS!C:C,0)</f>
        <v>6</v>
      </c>
      <c r="B16" s="166">
        <f>MATCH(F16,'MKT DATA'!B:B,0)</f>
        <v>3</v>
      </c>
      <c r="C16" s="248" t="str" cm="1">
        <f t="array" aca="1" ref="C16" ca="1">INDIRECT(ADDRESS($A16,2,,,"ANCHOR INPUTS"))</f>
        <v>fallen angels</v>
      </c>
      <c r="D16" s="252"/>
      <c r="E16" s="109" t="str" cm="1">
        <f t="array" aca="1" ref="E16" ca="1">INDIRECT(ADDRESS($A16,5,,,"ANCHOR INPUTS"))</f>
        <v>ANGL</v>
      </c>
      <c r="F16" s="110" t="s">
        <v>44</v>
      </c>
      <c r="G16" s="139"/>
      <c r="H16" s="111" cm="1">
        <f t="array" aca="1" ref="H16" ca="1">INDIRECT(ADDRESS($B16,9,,,"mkt data"))</f>
        <v>0</v>
      </c>
      <c r="I16" s="112">
        <f t="shared" ca="1" si="2"/>
        <v>0</v>
      </c>
      <c r="J16" s="111">
        <f t="shared" ca="1" si="0"/>
        <v>0</v>
      </c>
      <c r="K16" s="332"/>
      <c r="L16" s="113" cm="1">
        <f t="array" aca="1" ref="L16" ca="1">INDIRECT(ADDRESS($B16,5,,,"mkt data"))</f>
        <v>28.7</v>
      </c>
      <c r="M16" s="114" cm="1">
        <f t="array" aca="1" ref="M16" ca="1">INDIRECT(ADDRESS($B16,6,,,"mkt data"))</f>
        <v>28.94</v>
      </c>
      <c r="N16" s="254"/>
      <c r="O16" s="115">
        <f t="shared" ca="1" si="3"/>
        <v>28.695</v>
      </c>
      <c r="P16" s="115">
        <f t="shared" ca="1" si="4"/>
        <v>28.945</v>
      </c>
      <c r="Q16" s="116" cm="1">
        <f t="array" aca="1" ref="Q16" ca="1">INDIRECT(ADDRESS($A16,6,,,"scalars"))</f>
        <v>1</v>
      </c>
      <c r="R16" s="117">
        <f ca="1">O16*Q16</f>
        <v>28.695</v>
      </c>
      <c r="S16" s="117">
        <f t="shared" ca="1" si="1"/>
        <v>28.945</v>
      </c>
      <c r="T16" s="297"/>
      <c r="U16" s="293"/>
      <c r="V16" s="297"/>
      <c r="W16" s="293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107">
        <v>0.01</v>
      </c>
      <c r="AD16" s="107">
        <v>0.01</v>
      </c>
      <c r="AE16" s="108" t="s">
        <v>88</v>
      </c>
    </row>
    <row r="17" spans="1:37" ht="15.75" thickBot="1" x14ac:dyDescent="0.3">
      <c r="A17" s="364" t="str">
        <f>'MKT DATA'!J2</f>
        <v>2026-09-03_07-51-27</v>
      </c>
      <c r="B17" s="364"/>
      <c r="C17" s="364"/>
      <c r="D17" s="364"/>
      <c r="E17" s="364"/>
      <c r="P17" s="7"/>
      <c r="Q17" s="7"/>
    </row>
    <row r="18" spans="1:37" s="9" customFormat="1" x14ac:dyDescent="0.25">
      <c r="A18" s="318" t="str">
        <f>A1</f>
        <v>rows</v>
      </c>
      <c r="B18" s="319">
        <f t="shared" ref="B18:S19" si="7">B1</f>
        <v>0</v>
      </c>
      <c r="C18" s="242"/>
      <c r="D18" s="149"/>
      <c r="E18" s="255"/>
      <c r="F18" s="71"/>
      <c r="G18" s="89"/>
      <c r="H18" s="335" t="str">
        <f t="shared" si="7"/>
        <v>current position</v>
      </c>
      <c r="I18" s="335">
        <f t="shared" si="7"/>
        <v>0</v>
      </c>
      <c r="J18" s="335">
        <f t="shared" si="7"/>
        <v>0</v>
      </c>
      <c r="K18" s="336">
        <f t="shared" si="7"/>
        <v>0</v>
      </c>
      <c r="L18" s="322" t="str">
        <f t="shared" si="7"/>
        <v>mkt prices</v>
      </c>
      <c r="M18" s="323">
        <f t="shared" si="7"/>
        <v>0</v>
      </c>
      <c r="N18" s="179"/>
      <c r="O18" s="324">
        <f t="shared" si="7"/>
        <v>5.0000000000000001E-3</v>
      </c>
      <c r="P18" s="324">
        <f t="shared" si="7"/>
        <v>0</v>
      </c>
      <c r="Q18" s="43"/>
      <c r="R18" s="325" t="str">
        <f t="shared" si="7"/>
        <v>unit cf</v>
      </c>
      <c r="S18" s="312">
        <f t="shared" si="7"/>
        <v>0</v>
      </c>
      <c r="T18" s="313" t="s">
        <v>66</v>
      </c>
      <c r="U18" s="380"/>
      <c r="V18" s="380"/>
      <c r="W18" s="314"/>
      <c r="X18" s="70"/>
      <c r="Y18" s="129"/>
      <c r="AC18" s="376" t="s">
        <v>86</v>
      </c>
      <c r="AD18" s="376"/>
      <c r="AE18"/>
      <c r="AF18"/>
      <c r="AG18" s="24" t="s">
        <v>83</v>
      </c>
      <c r="AH18" s="25">
        <v>46233</v>
      </c>
      <c r="AI18" s="26"/>
      <c r="AJ18" s="24" t="s">
        <v>83</v>
      </c>
      <c r="AK18" s="25">
        <v>46232</v>
      </c>
    </row>
    <row r="19" spans="1:37" s="12" customFormat="1" ht="15.75" thickBot="1" x14ac:dyDescent="0.3">
      <c r="A19" s="35" t="str">
        <f>A2</f>
        <v>admin</v>
      </c>
      <c r="B19" s="36" t="str">
        <f t="shared" si="7"/>
        <v>mkt data</v>
      </c>
      <c r="C19" s="243" t="str">
        <f>C2</f>
        <v>sector</v>
      </c>
      <c r="D19" s="150" t="str">
        <f>D2</f>
        <v>adv</v>
      </c>
      <c r="E19" s="148" t="str">
        <f t="shared" si="7"/>
        <v>anchor</v>
      </c>
      <c r="F19" s="72" t="str">
        <f t="shared" si="7"/>
        <v>symbol</v>
      </c>
      <c r="G19" s="90" t="str">
        <f t="shared" si="7"/>
        <v>margin</v>
      </c>
      <c r="H19" s="88" t="str">
        <f t="shared" si="7"/>
        <v>shs</v>
      </c>
      <c r="I19" s="73" t="str">
        <f t="shared" si="7"/>
        <v>$val</v>
      </c>
      <c r="J19" s="74" t="str">
        <f t="shared" si="7"/>
        <v>units</v>
      </c>
      <c r="K19" s="75" t="str">
        <f t="shared" si="7"/>
        <v>net units</v>
      </c>
      <c r="L19" s="76" t="str">
        <f t="shared" si="7"/>
        <v>bid</v>
      </c>
      <c r="M19" s="77" t="str">
        <f t="shared" si="7"/>
        <v>ask</v>
      </c>
      <c r="N19" s="180" t="str">
        <f>N2</f>
        <v>div adj</v>
      </c>
      <c r="O19" s="78" t="str">
        <f t="shared" si="7"/>
        <v>bid w/ comm</v>
      </c>
      <c r="P19" s="78" t="str">
        <f t="shared" si="7"/>
        <v>ask w/ comm</v>
      </c>
      <c r="Q19" s="79" t="str">
        <f t="shared" si="7"/>
        <v>scalar</v>
      </c>
      <c r="R19" s="80" t="str">
        <f t="shared" si="7"/>
        <v>hit bid</v>
      </c>
      <c r="S19" s="81" t="str">
        <f t="shared" si="7"/>
        <v>lift ask</v>
      </c>
      <c r="T19" s="44" t="s">
        <v>67</v>
      </c>
      <c r="U19" s="12" t="s">
        <v>68</v>
      </c>
      <c r="V19" s="45" t="s">
        <v>85</v>
      </c>
      <c r="W19" s="52" t="s">
        <v>32</v>
      </c>
      <c r="X19" s="44" t="s">
        <v>87</v>
      </c>
      <c r="Y19" s="52" t="s">
        <v>88</v>
      </c>
      <c r="AC19" s="12" t="s">
        <v>87</v>
      </c>
      <c r="AD19" s="12" t="s">
        <v>88</v>
      </c>
      <c r="AE19"/>
      <c r="AF19"/>
      <c r="AG19" s="24" t="s">
        <v>84</v>
      </c>
      <c r="AH19" s="27" t="b">
        <v>1</v>
      </c>
      <c r="AI19" s="26"/>
      <c r="AJ19" s="24" t="s">
        <v>84</v>
      </c>
      <c r="AK19" s="27" t="b">
        <v>1</v>
      </c>
    </row>
    <row r="20" spans="1:37" x14ac:dyDescent="0.25">
      <c r="A20" s="158">
        <f>MATCH(F20,SCALARS!C:C,0)</f>
        <v>30</v>
      </c>
      <c r="B20" s="159">
        <f>MATCH(F20,'MKT DATA'!B:B,0)</f>
        <v>32</v>
      </c>
      <c r="C20" s="244"/>
      <c r="D20" s="256"/>
      <c r="E20" s="14" t="str" cm="1">
        <f t="array" aca="1" ref="E20" ca="1">INDIRECT(ADDRESS($A20,5,,,"ANCHOR INPUTS"))</f>
        <v>MUB</v>
      </c>
      <c r="F20" s="15" t="s">
        <v>21</v>
      </c>
      <c r="G20" s="93">
        <v>0.1002</v>
      </c>
      <c r="H20" s="31" cm="1">
        <f t="array" aca="1" ref="H20" ca="1">INDIRECT(ADDRESS($B20,9,,,"mkt data"))</f>
        <v>0</v>
      </c>
      <c r="I20" s="66">
        <f ca="1">H20*AVERAGE(L20:M20)</f>
        <v>0</v>
      </c>
      <c r="J20" s="31">
        <f t="shared" ref="J20:J45" ca="1" si="8">H20/Q20</f>
        <v>0</v>
      </c>
      <c r="K20" s="316">
        <f ca="1">SUM(J20:J22)</f>
        <v>0</v>
      </c>
      <c r="L20" s="37" cm="1">
        <f t="array" aca="1" ref="L20" ca="1">INDIRECT(ADDRESS($B20,5,,,"mkt data"))</f>
        <v>44.13</v>
      </c>
      <c r="M20" s="38" cm="1">
        <f t="array" aca="1" ref="M20" ca="1">INDIRECT(ADDRESS($B20,6,,,"mkt data"))</f>
        <v>44.49</v>
      </c>
      <c r="N20" s="181"/>
      <c r="O20" s="16">
        <f t="shared" ref="O20:O45" ca="1" si="9">L20-O$18</f>
        <v>44.125</v>
      </c>
      <c r="P20" s="16">
        <f t="shared" ref="P20:P45" ca="1" si="10">M20+O$18</f>
        <v>44.495000000000005</v>
      </c>
      <c r="Q20" s="54" cm="1">
        <f t="array" aca="1" ref="Q20" ca="1">INDIRECT(ADDRESS($A20,6,,,"scalars"))</f>
        <v>2.3514193693819037</v>
      </c>
      <c r="R20" s="17">
        <f t="shared" ref="R20:R37" ca="1" si="11">O20*Q20</f>
        <v>103.7563796739765</v>
      </c>
      <c r="S20" s="17">
        <f t="shared" ref="S20:S45" ca="1" si="12">Q20*P20</f>
        <v>104.62640484064781</v>
      </c>
      <c r="T20" s="296">
        <f ca="1">MAX(R20:R22)</f>
        <v>104.04947207746943</v>
      </c>
      <c r="U20" s="353">
        <f ca="1">MIN(S20:S22)</f>
        <v>104.32611450246323</v>
      </c>
      <c r="V20" s="353">
        <f ca="1">T20-U20</f>
        <v>-0.27664242499379554</v>
      </c>
      <c r="W20" s="292">
        <f ca="1">V20/AVERAGE(ABS(T20),ABS(U20))</f>
        <v>-2.655228758170054E-3</v>
      </c>
      <c r="X20" s="84">
        <f>AC20</f>
        <v>1E-3</v>
      </c>
      <c r="Y20" s="85">
        <f>AD20</f>
        <v>1E-3</v>
      </c>
      <c r="AC20" s="344">
        <v>1E-3</v>
      </c>
      <c r="AD20" s="373">
        <v>1E-3</v>
      </c>
    </row>
    <row r="21" spans="1:37" x14ac:dyDescent="0.25">
      <c r="A21" s="162">
        <f>MATCH(F21,SCALARS!C:C,0)</f>
        <v>31</v>
      </c>
      <c r="B21" s="171">
        <f>MATCH(F21,'MKT DATA'!B:B,0)</f>
        <v>39</v>
      </c>
      <c r="C21" s="153"/>
      <c r="D21" s="257"/>
      <c r="E21" s="10" t="str" cm="1">
        <f t="array" aca="1" ref="E21" ca="1">INDIRECT(ADDRESS($A21,5,,,"ANCHOR INPUTS"))</f>
        <v>MUB</v>
      </c>
      <c r="F21" s="8" t="s">
        <v>3</v>
      </c>
      <c r="G21" s="91">
        <v>0.1002</v>
      </c>
      <c r="H21" s="32" cm="1">
        <f t="array" aca="1" ref="H21" ca="1">INDIRECT(ADDRESS($B21,9,,,"mkt data"))</f>
        <v>0</v>
      </c>
      <c r="I21" s="67">
        <f t="shared" ref="I21:I45" ca="1" si="13">H21*AVERAGE(L21:M21)</f>
        <v>0</v>
      </c>
      <c r="J21" s="32">
        <f t="shared" ca="1" si="8"/>
        <v>0</v>
      </c>
      <c r="K21" s="378"/>
      <c r="L21" s="39" cm="1">
        <f t="array" aca="1" ref="L21" ca="1">INDIRECT(ADDRESS($B21,5,,,"mkt data"))</f>
        <v>48.9</v>
      </c>
      <c r="M21" s="40" cm="1">
        <f t="array" aca="1" ref="M21" ca="1">INDIRECT(ADDRESS($B21,6,,,"mkt data"))</f>
        <v>49.02</v>
      </c>
      <c r="N21" s="221"/>
      <c r="O21" s="18">
        <f t="shared" ca="1" si="9"/>
        <v>48.894999999999996</v>
      </c>
      <c r="P21" s="18">
        <f t="shared" ca="1" si="10"/>
        <v>49.025000000000006</v>
      </c>
      <c r="Q21" s="58" cm="1">
        <f t="array" aca="1" ref="Q21" ca="1">INDIRECT(ADDRESS($A21,6,,,"scalars"))</f>
        <v>2.1280186537983319</v>
      </c>
      <c r="R21" s="19">
        <f t="shared" ca="1" si="11"/>
        <v>104.04947207746943</v>
      </c>
      <c r="S21" s="19">
        <f t="shared" ca="1" si="12"/>
        <v>104.32611450246323</v>
      </c>
      <c r="T21" s="369"/>
      <c r="U21" s="361"/>
      <c r="V21" s="354"/>
      <c r="W21" s="363"/>
      <c r="X21" s="130" t="b">
        <f ca="1">IF(W20&gt;AC20,TRUE,FALSE)</f>
        <v>0</v>
      </c>
      <c r="Y21" s="131" t="b" cm="1">
        <f t="array" aca="1" ref="Y21" ca="1">AND(IF(SUM(ABS(H20:H22)),TRUE,FALSE),IF(W20&lt;Y20,TRUE,FALSE))</f>
        <v>0</v>
      </c>
      <c r="AC21" s="345"/>
      <c r="AD21" s="374"/>
    </row>
    <row r="22" spans="1:37" ht="15.75" thickBot="1" x14ac:dyDescent="0.3">
      <c r="A22" s="160">
        <f>MATCH(F22,SCALARS!C:C,0)</f>
        <v>29</v>
      </c>
      <c r="B22" s="161">
        <f>MATCH(F22,'MKT DATA'!B:B,0)</f>
        <v>20</v>
      </c>
      <c r="C22" s="245"/>
      <c r="D22" s="258"/>
      <c r="E22" s="20" t="str" cm="1">
        <f t="array" aca="1" ref="E22" ca="1">INDIRECT(ADDRESS($A22,5,,,"ANCHOR INPUTS"))</f>
        <v>MUB</v>
      </c>
      <c r="F22" s="21" t="s">
        <v>4</v>
      </c>
      <c r="G22" s="92">
        <v>0.1002</v>
      </c>
      <c r="H22" s="33" cm="1">
        <f t="array" aca="1" ref="H22" ca="1">INDIRECT(ADDRESS($B22,9,,,"mkt data"))</f>
        <v>0</v>
      </c>
      <c r="I22" s="68">
        <f t="shared" ca="1" si="13"/>
        <v>0</v>
      </c>
      <c r="J22" s="33">
        <f t="shared" ca="1" si="8"/>
        <v>0</v>
      </c>
      <c r="K22" s="317"/>
      <c r="L22" s="41" cm="1">
        <f t="array" aca="1" ref="L22" ca="1">INDIRECT(ADDRESS($B22,5,,,"mkt data"))</f>
        <v>103.95</v>
      </c>
      <c r="M22" s="42" cm="1">
        <f t="array" aca="1" ref="M22" ca="1">INDIRECT(ADDRESS($B22,6,,,"mkt data"))</f>
        <v>104.6</v>
      </c>
      <c r="N22" s="182"/>
      <c r="O22" s="22">
        <f t="shared" ca="1" si="9"/>
        <v>103.94500000000001</v>
      </c>
      <c r="P22" s="22">
        <f t="shared" ca="1" si="10"/>
        <v>104.60499999999999</v>
      </c>
      <c r="Q22" s="56" cm="1">
        <f t="array" aca="1" ref="Q22" ca="1">INDIRECT(ADDRESS($A22,6,,,"scalars"))</f>
        <v>1</v>
      </c>
      <c r="R22" s="23">
        <f t="shared" ca="1" si="11"/>
        <v>103.94500000000001</v>
      </c>
      <c r="S22" s="23">
        <f t="shared" ca="1" si="12"/>
        <v>104.60499999999999</v>
      </c>
      <c r="T22" s="297"/>
      <c r="U22" s="362"/>
      <c r="V22" s="355"/>
      <c r="W22" s="293"/>
      <c r="X22" s="47"/>
      <c r="Y22" s="132"/>
      <c r="AC22" s="346"/>
      <c r="AD22" s="375"/>
    </row>
    <row r="23" spans="1:37" x14ac:dyDescent="0.25">
      <c r="A23" s="158">
        <f>MATCH(F23,SCALARS!C:C,0)</f>
        <v>27</v>
      </c>
      <c r="B23" s="159">
        <f>MATCH(F23,'MKT DATA'!B:B,0)</f>
        <v>30</v>
      </c>
      <c r="C23" s="244"/>
      <c r="D23" s="256"/>
      <c r="E23" s="14" t="str" cm="1">
        <f t="array" aca="1" ref="E23" ca="1">INDIRECT(ADDRESS($A23,5,,,"ANCHOR INPUTS"))</f>
        <v>MBB</v>
      </c>
      <c r="F23" s="15" t="s">
        <v>18</v>
      </c>
      <c r="G23" s="93">
        <v>0.16500000000000001</v>
      </c>
      <c r="H23" s="31" cm="1">
        <f t="array" aca="1" ref="H23" ca="1">INDIRECT(ADDRESS($B23,9,,,"mkt data"))</f>
        <v>0</v>
      </c>
      <c r="I23" s="66">
        <f t="shared" ca="1" si="13"/>
        <v>0</v>
      </c>
      <c r="J23" s="31">
        <f t="shared" ca="1" si="8"/>
        <v>0</v>
      </c>
      <c r="K23" s="316">
        <f ca="1">SUM(J23:J25)</f>
        <v>0</v>
      </c>
      <c r="L23" s="37" cm="1">
        <f t="array" aca="1" ref="L23" ca="1">INDIRECT(ADDRESS($B23,5,,,"mkt data"))</f>
        <v>21.75</v>
      </c>
      <c r="M23" s="38" cm="1">
        <f t="array" aca="1" ref="M23" ca="1">INDIRECT(ADDRESS($B23,6,,,"mkt data"))</f>
        <v>21.93</v>
      </c>
      <c r="N23" s="181"/>
      <c r="O23" s="16">
        <f t="shared" ca="1" si="9"/>
        <v>21.745000000000001</v>
      </c>
      <c r="P23" s="16">
        <f t="shared" ca="1" si="10"/>
        <v>21.934999999999999</v>
      </c>
      <c r="Q23" s="54" cm="1">
        <f t="array" aca="1" ref="Q23" ca="1">INDIRECT(ADDRESS($A23,6,,,"scalars"))</f>
        <v>4.237379624472033</v>
      </c>
      <c r="R23" s="17">
        <f t="shared" ca="1" si="11"/>
        <v>92.141819934144365</v>
      </c>
      <c r="S23" s="17">
        <f t="shared" ca="1" si="12"/>
        <v>92.946922062794044</v>
      </c>
      <c r="T23" s="296">
        <f ca="1">MAX(R23:R25)</f>
        <v>92.155000000000001</v>
      </c>
      <c r="U23" s="353">
        <f ca="1">MIN(S23:S25)</f>
        <v>92.946922062794044</v>
      </c>
      <c r="V23" s="353">
        <f ca="1">T23-U23</f>
        <v>-0.79192206279404331</v>
      </c>
      <c r="W23" s="292">
        <f ca="1">V23/AVERAGE(ABS(T23),ABS(U23))</f>
        <v>-8.5566055065099903E-3</v>
      </c>
      <c r="X23" s="84">
        <f>AC23</f>
        <v>8.0000000000000004E-4</v>
      </c>
      <c r="Y23" s="85">
        <f>AD23</f>
        <v>8.0000000000000004E-4</v>
      </c>
      <c r="AC23" s="344">
        <v>8.0000000000000004E-4</v>
      </c>
      <c r="AD23" s="373">
        <v>8.0000000000000004E-4</v>
      </c>
    </row>
    <row r="24" spans="1:37" x14ac:dyDescent="0.25">
      <c r="A24" s="162">
        <f>MATCH(F24,SCALARS!C:C,0)</f>
        <v>28</v>
      </c>
      <c r="B24" s="171">
        <f>MATCH(F24,'MKT DATA'!B:B,0)</f>
        <v>37</v>
      </c>
      <c r="C24" s="153"/>
      <c r="D24" s="257"/>
      <c r="E24" s="10" t="str" cm="1">
        <f t="array" aca="1" ref="E24" ca="1">INDIRECT(ADDRESS($A24,5,,,"ANCHOR INPUTS"))</f>
        <v>MBB</v>
      </c>
      <c r="F24" s="8" t="s">
        <v>19</v>
      </c>
      <c r="G24" s="95">
        <v>0.16500000000000001</v>
      </c>
      <c r="H24" s="32" cm="1">
        <f t="array" aca="1" ref="H24" ca="1">INDIRECT(ADDRESS($B24,9,,,"mkt data"))</f>
        <v>0</v>
      </c>
      <c r="I24" s="67">
        <f t="shared" ca="1" si="13"/>
        <v>0</v>
      </c>
      <c r="J24" s="32">
        <f t="shared" ca="1" si="8"/>
        <v>0</v>
      </c>
      <c r="K24" s="378"/>
      <c r="L24" s="39" cm="1">
        <f t="array" aca="1" ref="L24" ca="1">INDIRECT(ADDRESS($B24,5,,,"mkt data"))</f>
        <v>45.64</v>
      </c>
      <c r="M24" s="40" cm="1">
        <f t="array" aca="1" ref="M24" ca="1">INDIRECT(ADDRESS($B24,6,,,"mkt data"))</f>
        <v>46.43</v>
      </c>
      <c r="N24" s="221"/>
      <c r="O24" s="18">
        <f t="shared" ca="1" si="9"/>
        <v>45.634999999999998</v>
      </c>
      <c r="P24" s="18">
        <f t="shared" ca="1" si="10"/>
        <v>46.435000000000002</v>
      </c>
      <c r="Q24" s="58" cm="1">
        <f t="array" aca="1" ref="Q24" ca="1">INDIRECT(ADDRESS($A24,6,,,"scalars"))</f>
        <v>2.0178441911760019</v>
      </c>
      <c r="R24" s="19">
        <f t="shared" ca="1" si="11"/>
        <v>92.084319664316837</v>
      </c>
      <c r="S24" s="19">
        <f t="shared" ca="1" si="12"/>
        <v>93.698595017257659</v>
      </c>
      <c r="T24" s="369"/>
      <c r="U24" s="361"/>
      <c r="V24" s="354"/>
      <c r="W24" s="363"/>
      <c r="X24" s="130" t="b">
        <f ca="1">IF(W23&gt;AC23,TRUE,FALSE)</f>
        <v>0</v>
      </c>
      <c r="Y24" s="131" t="b" cm="1">
        <f t="array" aca="1" ref="Y24" ca="1">AND(IF(SUM(ABS(H23:H25)),TRUE,FALSE),IF(W23&lt;Y23,TRUE,FALSE))</f>
        <v>0</v>
      </c>
      <c r="AC24" s="345"/>
      <c r="AD24" s="374"/>
    </row>
    <row r="25" spans="1:37" ht="15.75" thickBot="1" x14ac:dyDescent="0.3">
      <c r="A25" s="160">
        <f>MATCH(F25,SCALARS!C:C,0)</f>
        <v>26</v>
      </c>
      <c r="B25" s="161">
        <f>MATCH(F25,'MKT DATA'!B:B,0)</f>
        <v>19</v>
      </c>
      <c r="C25" s="245"/>
      <c r="D25" s="258"/>
      <c r="E25" s="20" t="str" cm="1">
        <f t="array" aca="1" ref="E25" ca="1">INDIRECT(ADDRESS($A25,5,,,"ANCHOR INPUTS"))</f>
        <v>MBB</v>
      </c>
      <c r="F25" s="21" t="s">
        <v>20</v>
      </c>
      <c r="G25" s="94">
        <v>0.16500000000000001</v>
      </c>
      <c r="H25" s="33" cm="1">
        <f t="array" aca="1" ref="H25" ca="1">INDIRECT(ADDRESS($B25,9,,,"mkt data"))</f>
        <v>0</v>
      </c>
      <c r="I25" s="68">
        <f t="shared" ca="1" si="13"/>
        <v>0</v>
      </c>
      <c r="J25" s="33">
        <f t="shared" ca="1" si="8"/>
        <v>0</v>
      </c>
      <c r="K25" s="317"/>
      <c r="L25" s="41" cm="1">
        <f t="array" aca="1" ref="L25" ca="1">INDIRECT(ADDRESS($B25,5,,,"mkt data"))</f>
        <v>92.16</v>
      </c>
      <c r="M25" s="42" cm="1">
        <f t="array" aca="1" ref="M25" ca="1">INDIRECT(ADDRESS($B25,6,,,"mkt data"))</f>
        <v>92.95</v>
      </c>
      <c r="N25" s="182"/>
      <c r="O25" s="22">
        <f t="shared" ca="1" si="9"/>
        <v>92.155000000000001</v>
      </c>
      <c r="P25" s="22">
        <f t="shared" ca="1" si="10"/>
        <v>92.954999999999998</v>
      </c>
      <c r="Q25" s="56" cm="1">
        <f t="array" aca="1" ref="Q25" ca="1">INDIRECT(ADDRESS($A25,6,,,"scalars"))</f>
        <v>1</v>
      </c>
      <c r="R25" s="23">
        <f t="shared" ca="1" si="11"/>
        <v>92.155000000000001</v>
      </c>
      <c r="S25" s="23">
        <f t="shared" ca="1" si="12"/>
        <v>92.954999999999998</v>
      </c>
      <c r="T25" s="297"/>
      <c r="U25" s="362"/>
      <c r="V25" s="355"/>
      <c r="W25" s="293"/>
      <c r="X25" s="47"/>
      <c r="Y25" s="132"/>
      <c r="AC25" s="346"/>
      <c r="AD25" s="375"/>
    </row>
    <row r="26" spans="1:37" x14ac:dyDescent="0.25">
      <c r="A26" s="158">
        <f>MATCH(F26,SCALARS!C:C,0)</f>
        <v>9</v>
      </c>
      <c r="B26" s="159">
        <f>MATCH(F26,'MKT DATA'!B:B,0)</f>
        <v>27</v>
      </c>
      <c r="C26" s="244"/>
      <c r="D26" s="256"/>
      <c r="E26" s="14" t="str" cm="1">
        <f t="array" aca="1" ref="E26" ca="1">INDIRECT(ADDRESS($A26,5,,,"ANCHOR INPUTS"))</f>
        <v>CORP</v>
      </c>
      <c r="F26" s="15" t="s">
        <v>28</v>
      </c>
      <c r="G26" s="93">
        <v>0.16500000000000001</v>
      </c>
      <c r="H26" s="31" cm="1">
        <f t="array" aca="1" ref="H26" ca="1">INDIRECT(ADDRESS($B26,9,,,"mkt data"))</f>
        <v>0</v>
      </c>
      <c r="I26" s="66">
        <f t="shared" ca="1" si="13"/>
        <v>0</v>
      </c>
      <c r="J26" s="31">
        <f t="shared" ca="1" si="8"/>
        <v>0</v>
      </c>
      <c r="K26" s="294">
        <f ca="1">SUM(J26:J29)</f>
        <v>0</v>
      </c>
      <c r="L26" s="37" cm="1">
        <f t="array" aca="1" ref="L26" ca="1">INDIRECT(ADDRESS($B26,5,,,"mkt data"))</f>
        <v>28.1</v>
      </c>
      <c r="M26" s="38" cm="1">
        <f t="array" aca="1" ref="M26" ca="1">INDIRECT(ADDRESS($B26,6,,,"mkt data"))</f>
        <v>28.4</v>
      </c>
      <c r="N26" s="181"/>
      <c r="O26" s="16">
        <f t="shared" ref="O26:O35" ca="1" si="14">L26-O$18</f>
        <v>28.095000000000002</v>
      </c>
      <c r="P26" s="16">
        <f t="shared" ref="P26:P35" ca="1" si="15">M26+O$18</f>
        <v>28.404999999999998</v>
      </c>
      <c r="Q26" s="54" cm="1">
        <f t="array" aca="1" ref="Q26" ca="1">INDIRECT(ADDRESS($A26,6,,,"scalars"))</f>
        <v>3.3419415394552168</v>
      </c>
      <c r="R26" s="17">
        <f t="shared" ref="R26:R28" ca="1" si="16">O26*Q26</f>
        <v>93.891847550994328</v>
      </c>
      <c r="S26" s="17">
        <f t="shared" ca="1" si="12"/>
        <v>94.927849428225429</v>
      </c>
      <c r="T26" s="296">
        <f ca="1">MAX(R26:R29)</f>
        <v>94.197234073161752</v>
      </c>
      <c r="U26" s="353">
        <f ca="1">MIN(S26:S29)</f>
        <v>94.745276963746917</v>
      </c>
      <c r="V26" s="353">
        <f ca="1">T26-U26</f>
        <v>-0.54804289058516531</v>
      </c>
      <c r="W26" s="292">
        <f ca="1">V26/AVERAGE(ABS(T26),ABS(U26))</f>
        <v>-5.8011602320465483E-3</v>
      </c>
      <c r="X26" s="46"/>
      <c r="Y26" s="140"/>
      <c r="AC26" s="344">
        <v>1E-3</v>
      </c>
      <c r="AD26" s="373">
        <v>8.0000000000000004E-4</v>
      </c>
    </row>
    <row r="27" spans="1:37" x14ac:dyDescent="0.25">
      <c r="A27" s="162">
        <f>MATCH(F27,SCALARS!C:C,0)</f>
        <v>10</v>
      </c>
      <c r="B27" s="171">
        <f>MATCH(F27,'MKT DATA'!B:B,0)</f>
        <v>34</v>
      </c>
      <c r="C27" s="153"/>
      <c r="D27" s="257"/>
      <c r="E27" s="10" t="str" cm="1">
        <f t="array" aca="1" ref="E27" ca="1">INDIRECT(ADDRESS($A27,5,,,"ANCHOR INPUTS"))</f>
        <v>CORP</v>
      </c>
      <c r="F27" s="8" t="s">
        <v>29</v>
      </c>
      <c r="G27" s="95">
        <v>0.16500000000000001</v>
      </c>
      <c r="H27" s="32" cm="1">
        <f t="array" aca="1" ref="H27" ca="1">INDIRECT(ADDRESS($B27,9,,,"mkt data"))</f>
        <v>0</v>
      </c>
      <c r="I27" s="67">
        <f t="shared" ca="1" si="13"/>
        <v>0</v>
      </c>
      <c r="J27" s="32">
        <f t="shared" ca="1" si="8"/>
        <v>0</v>
      </c>
      <c r="K27" s="379"/>
      <c r="L27" s="39" cm="1">
        <f t="array" aca="1" ref="L27" ca="1">INDIRECT(ADDRESS($B27,5,,,"mkt data"))</f>
        <v>49.85</v>
      </c>
      <c r="M27" s="40" cm="1">
        <f t="array" aca="1" ref="M27" ca="1">INDIRECT(ADDRESS($B27,6,,,"mkt data"))</f>
        <v>50.13</v>
      </c>
      <c r="N27" s="221"/>
      <c r="O27" s="18">
        <f t="shared" ca="1" si="14"/>
        <v>49.844999999999999</v>
      </c>
      <c r="P27" s="18">
        <f t="shared" ca="1" si="15"/>
        <v>50.135000000000005</v>
      </c>
      <c r="Q27" s="58" cm="1">
        <f t="array" aca="1" ref="Q27" ca="1">INDIRECT(ADDRESS($A27,6,,,"scalars"))</f>
        <v>1.8898030709832834</v>
      </c>
      <c r="R27" s="19">
        <f t="shared" ca="1" si="16"/>
        <v>94.197234073161752</v>
      </c>
      <c r="S27" s="19">
        <f t="shared" ca="1" si="12"/>
        <v>94.745276963746917</v>
      </c>
      <c r="T27" s="365"/>
      <c r="U27" s="354"/>
      <c r="V27" s="354"/>
      <c r="W27" s="363"/>
      <c r="X27" s="142">
        <f>AC26</f>
        <v>1E-3</v>
      </c>
      <c r="Y27" s="143">
        <f>AD26</f>
        <v>8.0000000000000004E-4</v>
      </c>
      <c r="Z27" s="11"/>
      <c r="AC27" s="345"/>
      <c r="AD27" s="374"/>
    </row>
    <row r="28" spans="1:37" x14ac:dyDescent="0.25">
      <c r="A28" s="162">
        <f>MATCH(F28,SCALARS!C:C,0)</f>
        <v>11</v>
      </c>
      <c r="B28" s="171">
        <f>MATCH(F28,'MKT DATA'!B:B,0)</f>
        <v>38</v>
      </c>
      <c r="C28" s="153"/>
      <c r="D28" s="257"/>
      <c r="E28" s="10" t="str" cm="1">
        <f t="array" aca="1" ref="E28" ca="1">INDIRECT(ADDRESS($A28,5,,,"ANCHOR INPUTS"))</f>
        <v>CORP</v>
      </c>
      <c r="F28" s="8" t="s">
        <v>30</v>
      </c>
      <c r="G28" s="95">
        <v>0.16500000000000001</v>
      </c>
      <c r="H28" s="32" cm="1">
        <f t="array" aca="1" ref="H28" ca="1">INDIRECT(ADDRESS($B28,9,,,"mkt data"))</f>
        <v>0</v>
      </c>
      <c r="I28" s="67">
        <f t="shared" ca="1" si="13"/>
        <v>0</v>
      </c>
      <c r="J28" s="32">
        <f t="shared" ca="1" si="8"/>
        <v>0</v>
      </c>
      <c r="K28" s="379"/>
      <c r="L28" s="39" cm="1">
        <f t="array" aca="1" ref="L28" ca="1">INDIRECT(ADDRESS($B28,5,,,"mkt data"))</f>
        <v>74.37</v>
      </c>
      <c r="M28" s="40" cm="1">
        <f t="array" aca="1" ref="M28" ca="1">INDIRECT(ADDRESS($B28,6,,,"mkt data"))</f>
        <v>75.22</v>
      </c>
      <c r="N28" s="221"/>
      <c r="O28" s="18">
        <f t="shared" ca="1" si="14"/>
        <v>74.365000000000009</v>
      </c>
      <c r="P28" s="18">
        <f t="shared" ca="1" si="15"/>
        <v>75.224999999999994</v>
      </c>
      <c r="Q28" s="58" cm="1">
        <f t="array" aca="1" ref="Q28" ca="1">INDIRECT(ADDRESS($A28,6,,,"scalars"))</f>
        <v>1.2635048920060759</v>
      </c>
      <c r="R28" s="19">
        <f t="shared" ca="1" si="16"/>
        <v>93.960541294031842</v>
      </c>
      <c r="S28" s="19">
        <f t="shared" ca="1" si="12"/>
        <v>95.04715550115705</v>
      </c>
      <c r="T28" s="365"/>
      <c r="U28" s="354"/>
      <c r="V28" s="354"/>
      <c r="W28" s="363"/>
      <c r="X28" s="130" t="b">
        <f ca="1">IF(W26&gt;AC26,TRUE,FALSE)</f>
        <v>0</v>
      </c>
      <c r="Y28" s="131" t="b" cm="1">
        <f t="array" aca="1" ref="Y28" ca="1">AND(IF(SUM(ABS(H26:H28)),TRUE,FALSE),IF(W26&lt;Y27,TRUE,FALSE))</f>
        <v>0</v>
      </c>
      <c r="AC28" s="345"/>
      <c r="AD28" s="374"/>
    </row>
    <row r="29" spans="1:37" ht="15.75" thickBot="1" x14ac:dyDescent="0.3">
      <c r="A29" s="160">
        <f>MATCH(F29,SCALARS!C:C,0)</f>
        <v>8</v>
      </c>
      <c r="B29" s="161">
        <f>MATCH(F29,'MKT DATA'!B:B,0)</f>
        <v>8</v>
      </c>
      <c r="C29" s="245"/>
      <c r="D29" s="258"/>
      <c r="E29" s="20" t="str" cm="1">
        <f t="array" aca="1" ref="E29" ca="1">INDIRECT(ADDRESS($A29,5,,,"ANCHOR INPUTS"))</f>
        <v>CORP</v>
      </c>
      <c r="F29" s="21" t="s">
        <v>31</v>
      </c>
      <c r="G29" s="94">
        <v>0.16500000000000001</v>
      </c>
      <c r="H29" s="33" cm="1">
        <f t="array" aca="1" ref="H29" ca="1">INDIRECT(ADDRESS($B29,9,,,"mkt data"))</f>
        <v>0</v>
      </c>
      <c r="I29" s="68">
        <f t="shared" ca="1" si="13"/>
        <v>0</v>
      </c>
      <c r="J29" s="33">
        <f t="shared" ca="1" si="8"/>
        <v>0</v>
      </c>
      <c r="K29" s="295"/>
      <c r="L29" s="41" cm="1">
        <f t="array" aca="1" ref="L29" ca="1">INDIRECT(ADDRESS($B29,5,,,"mkt data"))</f>
        <v>89.94</v>
      </c>
      <c r="M29" s="42" cm="1">
        <f t="array" aca="1" ref="M29" ca="1">INDIRECT(ADDRESS($B29,6,,,"mkt data"))</f>
        <v>99.7</v>
      </c>
      <c r="N29" s="182"/>
      <c r="O29" s="22">
        <f t="shared" ca="1" si="14"/>
        <v>89.935000000000002</v>
      </c>
      <c r="P29" s="22">
        <f t="shared" ca="1" si="15"/>
        <v>99.704999999999998</v>
      </c>
      <c r="Q29" s="56" cm="1">
        <f t="array" aca="1" ref="Q29" ca="1">INDIRECT(ADDRESS($A29,6,,,"scalars"))</f>
        <v>1</v>
      </c>
      <c r="R29" s="23">
        <f ca="1">O29*Q29</f>
        <v>89.935000000000002</v>
      </c>
      <c r="S29" s="23">
        <f t="shared" ca="1" si="12"/>
        <v>99.704999999999998</v>
      </c>
      <c r="T29" s="366"/>
      <c r="U29" s="355"/>
      <c r="V29" s="355"/>
      <c r="W29" s="293"/>
      <c r="X29" s="47"/>
      <c r="Y29" s="132"/>
      <c r="AC29" s="346"/>
      <c r="AD29" s="375"/>
    </row>
    <row r="30" spans="1:37" x14ac:dyDescent="0.25">
      <c r="A30" s="158">
        <f>MATCH(F30,SCALARS!C:C,0)</f>
        <v>24</v>
      </c>
      <c r="B30" s="159">
        <f>MATCH(F30,'MKT DATA'!B:B,0)</f>
        <v>28</v>
      </c>
      <c r="C30" s="244"/>
      <c r="D30" s="256"/>
      <c r="E30" s="14" t="str" cm="1">
        <f t="array" aca="1" ref="E30" ca="1">INDIRECT(ADDRESS($A30,5,,,"ANCHOR INPUTS"))</f>
        <v>JNK</v>
      </c>
      <c r="F30" s="15" t="s">
        <v>12</v>
      </c>
      <c r="G30" s="93">
        <v>0.27500000000000002</v>
      </c>
      <c r="H30" s="31" cm="1">
        <f t="array" aca="1" ref="H30" ca="1">INDIRECT(ADDRESS($B30,9,,,"mkt data"))</f>
        <v>0</v>
      </c>
      <c r="I30" s="66">
        <f t="shared" ca="1" si="13"/>
        <v>0</v>
      </c>
      <c r="J30" s="31">
        <f t="shared" ca="1" si="8"/>
        <v>0</v>
      </c>
      <c r="K30" s="306">
        <f ca="1">SUM(J30:J35)</f>
        <v>0</v>
      </c>
      <c r="L30" s="37" cm="1">
        <f t="array" aca="1" ref="L30" ca="1">INDIRECT(ADDRESS($B30,5,,,"mkt data"))</f>
        <v>23.13</v>
      </c>
      <c r="M30" s="38" cm="1">
        <f t="array" aca="1" ref="M30" ca="1">INDIRECT(ADDRESS($B30,6,,,"mkt data"))</f>
        <v>23.19</v>
      </c>
      <c r="N30" s="181"/>
      <c r="O30" s="16">
        <f t="shared" ca="1" si="14"/>
        <v>23.125</v>
      </c>
      <c r="P30" s="16">
        <f t="shared" ca="1" si="15"/>
        <v>23.195</v>
      </c>
      <c r="Q30" s="54" cm="1">
        <f t="array" aca="1" ref="Q30" ca="1">INDIRECT(ADDRESS($A30,6,,,"scalars"))</f>
        <v>4.1153401871469573</v>
      </c>
      <c r="R30" s="17">
        <f t="shared" ref="R30:R35" ca="1" si="17">O30*Q30</f>
        <v>95.167241827773381</v>
      </c>
      <c r="S30" s="17">
        <f t="shared" ca="1" si="12"/>
        <v>95.455315640873678</v>
      </c>
      <c r="T30" s="296">
        <f ca="1">MAX(R30:R35)</f>
        <v>95.248593114368802</v>
      </c>
      <c r="U30" s="353">
        <f ca="1">MIN(S30:S35)</f>
        <v>95.240004618968257</v>
      </c>
      <c r="V30" s="353">
        <f ca="1">T30-U30</f>
        <v>8.5884954005450709E-3</v>
      </c>
      <c r="W30" s="292">
        <f ca="1">V30/AVERAGE(ABS(T30),ABS(U30))</f>
        <v>9.0173327986465765E-5</v>
      </c>
      <c r="X30" s="46"/>
      <c r="Y30" s="140"/>
      <c r="AC30" s="344">
        <v>1E-3</v>
      </c>
      <c r="AD30" s="373">
        <v>8.0000000000000004E-4</v>
      </c>
    </row>
    <row r="31" spans="1:37" x14ac:dyDescent="0.25">
      <c r="A31" s="162">
        <f>MATCH(F31,SCALARS!C:C,0)</f>
        <v>23</v>
      </c>
      <c r="B31" s="171">
        <f>MATCH(F31,'MKT DATA'!B:B,0)</f>
        <v>25</v>
      </c>
      <c r="C31" s="153"/>
      <c r="D31" s="257"/>
      <c r="E31" s="10" t="str" cm="1">
        <f t="array" aca="1" ref="E31" ca="1">INDIRECT(ADDRESS($A31,5,,,"ANCHOR INPUTS"))</f>
        <v>JNK</v>
      </c>
      <c r="F31" s="8" t="s">
        <v>13</v>
      </c>
      <c r="G31" s="95">
        <v>0.27500000000000002</v>
      </c>
      <c r="H31" s="32" cm="1">
        <f t="array" aca="1" ref="H31" ca="1">INDIRECT(ADDRESS($B31,9,,,"mkt data"))</f>
        <v>0</v>
      </c>
      <c r="I31" s="67">
        <f t="shared" ca="1" si="13"/>
        <v>0</v>
      </c>
      <c r="J31" s="32">
        <f t="shared" ca="1" si="8"/>
        <v>0</v>
      </c>
      <c r="K31" s="343"/>
      <c r="L31" s="39" cm="1">
        <f t="array" aca="1" ref="L31" ca="1">INDIRECT(ADDRESS($B31,5,,,"mkt data"))</f>
        <v>25.87</v>
      </c>
      <c r="M31" s="40" cm="1">
        <f t="array" aca="1" ref="M31" ca="1">INDIRECT(ADDRESS($B31,6,,,"mkt data"))</f>
        <v>25.91</v>
      </c>
      <c r="N31" s="221"/>
      <c r="O31" s="18">
        <f t="shared" ca="1" si="14"/>
        <v>25.865000000000002</v>
      </c>
      <c r="P31" s="18">
        <f t="shared" ca="1" si="15"/>
        <v>25.914999999999999</v>
      </c>
      <c r="Q31" s="58" cm="1">
        <f t="array" aca="1" ref="Q31" ca="1">INDIRECT(ADDRESS($A31,6,,,"scalars"))</f>
        <v>3.6825282472209082</v>
      </c>
      <c r="R31" s="19">
        <f t="shared" ca="1" si="17"/>
        <v>95.248593114368802</v>
      </c>
      <c r="S31" s="19">
        <f t="shared" ca="1" si="12"/>
        <v>95.432719526729826</v>
      </c>
      <c r="T31" s="365"/>
      <c r="U31" s="354"/>
      <c r="V31" s="354"/>
      <c r="W31" s="363"/>
      <c r="X31" s="47"/>
      <c r="Y31" s="132"/>
      <c r="AC31" s="345"/>
      <c r="AD31" s="374"/>
    </row>
    <row r="32" spans="1:37" x14ac:dyDescent="0.25">
      <c r="A32" s="162">
        <f>MATCH(F32,SCALARS!C:C,0)</f>
        <v>21</v>
      </c>
      <c r="B32" s="171">
        <f>MATCH(F32,'MKT DATA'!B:B,0)</f>
        <v>13</v>
      </c>
      <c r="C32" s="153"/>
      <c r="D32" s="257"/>
      <c r="E32" s="10" t="str" cm="1">
        <f t="array" aca="1" ref="E32" ca="1">INDIRECT(ADDRESS($A32,5,,,"ANCHOR INPUTS"))</f>
        <v>JNK</v>
      </c>
      <c r="F32" s="8" t="s">
        <v>14</v>
      </c>
      <c r="G32" s="95">
        <v>0.27500000000000002</v>
      </c>
      <c r="H32" s="32" cm="1">
        <f t="array" aca="1" ref="H32" ca="1">INDIRECT(ADDRESS($B32,9,,,"mkt data"))</f>
        <v>0</v>
      </c>
      <c r="I32" s="67">
        <f t="shared" ca="1" si="13"/>
        <v>0</v>
      </c>
      <c r="J32" s="32">
        <f t="shared" ca="1" si="8"/>
        <v>0</v>
      </c>
      <c r="K32" s="343"/>
      <c r="L32" s="39" cm="1">
        <f t="array" aca="1" ref="L32" ca="1">INDIRECT(ADDRESS($B32,5,,,"mkt data"))</f>
        <v>36.049999999999997</v>
      </c>
      <c r="M32" s="40" cm="1">
        <f t="array" aca="1" ref="M32" ca="1">INDIRECT(ADDRESS($B32,6,,,"mkt data"))</f>
        <v>36.229999999999997</v>
      </c>
      <c r="N32" s="221"/>
      <c r="O32" s="18">
        <f t="shared" ca="1" si="14"/>
        <v>36.044999999999995</v>
      </c>
      <c r="P32" s="18">
        <f t="shared" ca="1" si="15"/>
        <v>36.234999999999999</v>
      </c>
      <c r="Q32" s="58" cm="1">
        <f t="array" aca="1" ref="Q32" ca="1">INDIRECT(ADDRESS($A32,6,,,"scalars"))</f>
        <v>2.6380381483131461</v>
      </c>
      <c r="R32" s="19">
        <f t="shared" ca="1" si="17"/>
        <v>95.088085055947332</v>
      </c>
      <c r="S32" s="19">
        <f t="shared" ca="1" si="12"/>
        <v>95.58931230412685</v>
      </c>
      <c r="T32" s="365"/>
      <c r="U32" s="354"/>
      <c r="V32" s="354"/>
      <c r="W32" s="363"/>
      <c r="X32" s="142">
        <f>AC30</f>
        <v>1E-3</v>
      </c>
      <c r="Y32" s="143">
        <f>AD30</f>
        <v>8.0000000000000004E-4</v>
      </c>
      <c r="AC32" s="345"/>
      <c r="AD32" s="374"/>
    </row>
    <row r="33" spans="1:30" x14ac:dyDescent="0.25">
      <c r="A33" s="162">
        <f>MATCH(F33,SCALARS!C:C,0)</f>
        <v>25</v>
      </c>
      <c r="B33" s="171">
        <f>MATCH(F33,'MKT DATA'!B:B,0)</f>
        <v>33</v>
      </c>
      <c r="C33" s="153"/>
      <c r="D33" s="257"/>
      <c r="E33" s="10" t="str" cm="1">
        <f t="array" aca="1" ref="E33" ca="1">INDIRECT(ADDRESS($A33,5,,,"ANCHOR INPUTS"))</f>
        <v>JNK</v>
      </c>
      <c r="F33" s="8" t="s">
        <v>15</v>
      </c>
      <c r="G33" s="95">
        <v>0.27500000000000002</v>
      </c>
      <c r="H33" s="32" cm="1">
        <f t="array" aca="1" ref="H33" ca="1">INDIRECT(ADDRESS($B33,9,,,"mkt data"))</f>
        <v>0</v>
      </c>
      <c r="I33" s="67">
        <f t="shared" ca="1" si="13"/>
        <v>0</v>
      </c>
      <c r="J33" s="32">
        <f t="shared" ca="1" si="8"/>
        <v>0</v>
      </c>
      <c r="K33" s="343"/>
      <c r="L33" s="39" cm="1">
        <f t="array" aca="1" ref="L33" ca="1">INDIRECT(ADDRESS($B33,5,,,"mkt data"))</f>
        <v>36.53</v>
      </c>
      <c r="M33" s="40" cm="1">
        <f t="array" aca="1" ref="M33" ca="1">INDIRECT(ADDRESS($B33,6,,,"mkt data"))</f>
        <v>36.590000000000003</v>
      </c>
      <c r="N33" s="221"/>
      <c r="O33" s="18">
        <f t="shared" ca="1" si="14"/>
        <v>36.524999999999999</v>
      </c>
      <c r="P33" s="18">
        <f t="shared" ca="1" si="15"/>
        <v>36.595000000000006</v>
      </c>
      <c r="Q33" s="58" cm="1">
        <f t="array" aca="1" ref="Q33" ca="1">INDIRECT(ADDRESS($A33,6,,,"scalars"))</f>
        <v>2.6025414570014549</v>
      </c>
      <c r="R33" s="19">
        <f t="shared" ca="1" si="17"/>
        <v>95.057826716978141</v>
      </c>
      <c r="S33" s="19">
        <f t="shared" ca="1" si="12"/>
        <v>95.240004618968257</v>
      </c>
      <c r="T33" s="365"/>
      <c r="U33" s="354"/>
      <c r="V33" s="354"/>
      <c r="W33" s="363"/>
      <c r="X33" s="130" t="b">
        <f ca="1">IF(W30&gt;AC30,TRUE,FALSE)</f>
        <v>0</v>
      </c>
      <c r="Y33" s="131" t="b" cm="1">
        <f t="array" aca="1" ref="Y33" ca="1">AND(IF(SUM(ABS(H30:H32)),TRUE,FALSE),IF(W30&lt;Y32,TRUE,FALSE))</f>
        <v>0</v>
      </c>
      <c r="AC33" s="345"/>
      <c r="AD33" s="374"/>
    </row>
    <row r="34" spans="1:30" x14ac:dyDescent="0.25">
      <c r="A34" s="162">
        <f>MATCH(F34,SCALARS!C:C,0)</f>
        <v>20</v>
      </c>
      <c r="B34" s="171">
        <f>MATCH(F34,'MKT DATA'!B:B,0)</f>
        <v>12</v>
      </c>
      <c r="C34" s="153"/>
      <c r="D34" s="257"/>
      <c r="E34" s="10" t="str" cm="1">
        <f t="array" aca="1" ref="E34" ca="1">INDIRECT(ADDRESS($A34,5,,,"ANCHOR INPUTS"))</f>
        <v>JNK</v>
      </c>
      <c r="F34" s="8" t="s">
        <v>16</v>
      </c>
      <c r="G34" s="95">
        <v>0.27500000000000002</v>
      </c>
      <c r="H34" s="32" cm="1">
        <f t="array" aca="1" ref="H34" ca="1">INDIRECT(ADDRESS($B34,9,,,"mkt data"))</f>
        <v>0</v>
      </c>
      <c r="I34" s="67">
        <f t="shared" ca="1" si="13"/>
        <v>0</v>
      </c>
      <c r="J34" s="32">
        <f t="shared" ca="1" si="8"/>
        <v>0</v>
      </c>
      <c r="K34" s="343"/>
      <c r="L34" s="39" cm="1">
        <f t="array" aca="1" ref="L34" ca="1">INDIRECT(ADDRESS($B34,5,,,"mkt data"))</f>
        <v>79.06</v>
      </c>
      <c r="M34" s="40" cm="1">
        <f t="array" aca="1" ref="M34" ca="1">INDIRECT(ADDRESS($B34,6,,,"mkt data"))</f>
        <v>79.28</v>
      </c>
      <c r="N34" s="221"/>
      <c r="O34" s="18">
        <f t="shared" ca="1" si="14"/>
        <v>79.055000000000007</v>
      </c>
      <c r="P34" s="18">
        <f t="shared" ca="1" si="15"/>
        <v>79.284999999999997</v>
      </c>
      <c r="Q34" s="58" cm="1">
        <f t="array" aca="1" ref="Q34" ca="1">INDIRECT(ADDRESS($A34,6,,,"scalars"))</f>
        <v>1.2037126373142839</v>
      </c>
      <c r="R34" s="19">
        <f t="shared" ca="1" si="17"/>
        <v>95.159502542880716</v>
      </c>
      <c r="S34" s="19">
        <f t="shared" ca="1" si="12"/>
        <v>95.436356449462991</v>
      </c>
      <c r="T34" s="365"/>
      <c r="U34" s="354"/>
      <c r="V34" s="354"/>
      <c r="W34" s="363"/>
      <c r="X34" s="47"/>
      <c r="Y34" s="132"/>
      <c r="AC34" s="345"/>
      <c r="AD34" s="374"/>
    </row>
    <row r="35" spans="1:30" ht="15.75" thickBot="1" x14ac:dyDescent="0.3">
      <c r="A35" s="160">
        <f>MATCH(F35,SCALARS!C:C,0)</f>
        <v>22</v>
      </c>
      <c r="B35" s="161">
        <f>MATCH(F35,'MKT DATA'!B:B,0)</f>
        <v>18</v>
      </c>
      <c r="C35" s="245"/>
      <c r="D35" s="258"/>
      <c r="E35" s="20" t="str" cm="1">
        <f t="array" aca="1" ref="E35" ca="1">INDIRECT(ADDRESS($A35,5,,,"ANCHOR INPUTS"))</f>
        <v>JNK</v>
      </c>
      <c r="F35" s="21" t="s">
        <v>17</v>
      </c>
      <c r="G35" s="94">
        <v>0.27500000000000002</v>
      </c>
      <c r="H35" s="33" cm="1">
        <f t="array" aca="1" ref="H35" ca="1">INDIRECT(ADDRESS($B35,9,,,"mkt data"))</f>
        <v>0</v>
      </c>
      <c r="I35" s="68">
        <f t="shared" ca="1" si="13"/>
        <v>0</v>
      </c>
      <c r="J35" s="33">
        <f t="shared" ca="1" si="8"/>
        <v>0</v>
      </c>
      <c r="K35" s="307"/>
      <c r="L35" s="41" cm="1">
        <f t="array" aca="1" ref="L35" ca="1">INDIRECT(ADDRESS($B35,5,,,"mkt data"))</f>
        <v>95.1</v>
      </c>
      <c r="M35" s="42" cm="1">
        <f t="array" aca="1" ref="M35" ca="1">INDIRECT(ADDRESS($B35,6,,,"mkt data"))</f>
        <v>95.51</v>
      </c>
      <c r="N35" s="182"/>
      <c r="O35" s="22">
        <f t="shared" ca="1" si="14"/>
        <v>95.094999999999999</v>
      </c>
      <c r="P35" s="22">
        <f t="shared" ca="1" si="15"/>
        <v>95.515000000000001</v>
      </c>
      <c r="Q35" s="56" cm="1">
        <f t="array" aca="1" ref="Q35" ca="1">INDIRECT(ADDRESS($A35,6,,,"scalars"))</f>
        <v>1</v>
      </c>
      <c r="R35" s="23">
        <f t="shared" ca="1" si="17"/>
        <v>95.094999999999999</v>
      </c>
      <c r="S35" s="23">
        <f t="shared" ca="1" si="12"/>
        <v>95.515000000000001</v>
      </c>
      <c r="T35" s="366"/>
      <c r="U35" s="355"/>
      <c r="V35" s="355"/>
      <c r="W35" s="293"/>
      <c r="X35" s="48"/>
      <c r="Y35" s="141"/>
      <c r="AC35" s="346"/>
      <c r="AD35" s="375"/>
    </row>
    <row r="36" spans="1:30" s="105" customFormat="1" x14ac:dyDescent="0.25">
      <c r="A36" s="167">
        <f>MATCH(F36,SCALARS!C:C,0)</f>
        <v>38</v>
      </c>
      <c r="B36" s="168">
        <f>MATCH(F36,'MKT DATA'!B:B,0)</f>
        <v>31</v>
      </c>
      <c r="C36" s="246"/>
      <c r="D36" s="259"/>
      <c r="E36" s="96" t="str" cm="1">
        <f t="array" aca="1" ref="E36" ca="1">INDIRECT(ADDRESS($A36,5,,,"ANCHOR INPUTS"))</f>
        <v>VGLT</v>
      </c>
      <c r="F36" s="97" t="s">
        <v>25</v>
      </c>
      <c r="G36" s="137"/>
      <c r="H36" s="98" cm="1">
        <f t="array" aca="1" ref="H36" ca="1">INDIRECT(ADDRESS($B36,9,,,"mkt data"))</f>
        <v>0</v>
      </c>
      <c r="I36" s="99">
        <f t="shared" ca="1" si="13"/>
        <v>0</v>
      </c>
      <c r="J36" s="98">
        <f t="shared" ca="1" si="8"/>
        <v>0</v>
      </c>
      <c r="K36" s="358">
        <f ca="1">SUM(J36:J38)</f>
        <v>0</v>
      </c>
      <c r="L36" s="100" cm="1">
        <f t="array" aca="1" ref="L36" ca="1">INDIRECT(ADDRESS($B36,5,,,"mkt data"))</f>
        <v>25.07</v>
      </c>
      <c r="M36" s="101" cm="1">
        <f t="array" aca="1" ref="M36" ca="1">INDIRECT(ADDRESS($B36,6,,,"mkt data"))</f>
        <v>25.09</v>
      </c>
      <c r="N36" s="253"/>
      <c r="O36" s="102">
        <f t="shared" ca="1" si="9"/>
        <v>25.065000000000001</v>
      </c>
      <c r="P36" s="102">
        <f t="shared" ca="1" si="10"/>
        <v>25.094999999999999</v>
      </c>
      <c r="Q36" s="103" cm="1">
        <f t="array" aca="1" ref="Q36" ca="1">INDIRECT(ADDRESS($A36,6,,,"scalars"))</f>
        <v>2.1025629779594235</v>
      </c>
      <c r="R36" s="104">
        <f t="shared" ca="1" si="11"/>
        <v>52.700741042552956</v>
      </c>
      <c r="S36" s="104">
        <f t="shared" ca="1" si="12"/>
        <v>52.76381793189173</v>
      </c>
      <c r="T36" s="350">
        <f ca="1">MAX(R36:R38)</f>
        <v>52.700741042552956</v>
      </c>
      <c r="U36" s="337">
        <f ca="1">MIN(S36:S38)</f>
        <v>52.725000000000001</v>
      </c>
      <c r="V36" s="353">
        <f ca="1">T36-U36</f>
        <v>-2.4258957447045759E-2</v>
      </c>
      <c r="W36" s="340">
        <f ca="1">V36/AVERAGE(ABS(T36),ABS(U36))</f>
        <v>-4.6020937974254551E-4</v>
      </c>
      <c r="X36" s="84"/>
      <c r="Y36" s="85"/>
      <c r="Z36" s="118"/>
      <c r="AA36" s="119"/>
      <c r="AC36" s="347">
        <v>0.01</v>
      </c>
      <c r="AD36" s="370">
        <v>0.01</v>
      </c>
    </row>
    <row r="37" spans="1:30" s="105" customFormat="1" x14ac:dyDescent="0.25">
      <c r="A37" s="172">
        <f>MATCH(F37,SCALARS!C:C,0)</f>
        <v>37</v>
      </c>
      <c r="B37" s="173">
        <f>MATCH(F37,'MKT DATA'!B:B,0)</f>
        <v>23</v>
      </c>
      <c r="C37" s="247"/>
      <c r="D37" s="260"/>
      <c r="E37" s="120" t="str" cm="1">
        <f t="array" aca="1" ref="E37" ca="1">INDIRECT(ADDRESS($A37,5,,,"ANCHOR INPUTS"))</f>
        <v>VGLT</v>
      </c>
      <c r="F37" s="121" t="s">
        <v>26</v>
      </c>
      <c r="G37" s="138"/>
      <c r="H37" s="122" cm="1">
        <f t="array" aca="1" ref="H37" ca="1">INDIRECT(ADDRESS($B37,9,,,"mkt data"))</f>
        <v>0</v>
      </c>
      <c r="I37" s="123">
        <f t="shared" ca="1" si="13"/>
        <v>0</v>
      </c>
      <c r="J37" s="122">
        <f t="shared" ca="1" si="8"/>
        <v>0</v>
      </c>
      <c r="K37" s="359"/>
      <c r="L37" s="124" cm="1">
        <f t="array" aca="1" ref="L37" ca="1">INDIRECT(ADDRESS($B37,5,,,"mkt data"))</f>
        <v>29.89</v>
      </c>
      <c r="M37" s="125" cm="1">
        <f t="array" aca="1" ref="M37" ca="1">INDIRECT(ADDRESS($B37,6,,,"mkt data"))</f>
        <v>29.93</v>
      </c>
      <c r="N37" s="262"/>
      <c r="O37" s="126">
        <f t="shared" ca="1" si="9"/>
        <v>29.885000000000002</v>
      </c>
      <c r="P37" s="126">
        <f t="shared" ca="1" si="10"/>
        <v>29.934999999999999</v>
      </c>
      <c r="Q37" s="127" cm="1">
        <f t="array" aca="1" ref="Q37" ca="1">INDIRECT(ADDRESS($A37,6,,,"scalars"))</f>
        <v>1.7626915227597677</v>
      </c>
      <c r="R37" s="128">
        <f t="shared" ca="1" si="11"/>
        <v>52.678036157675663</v>
      </c>
      <c r="S37" s="128">
        <f t="shared" ca="1" si="12"/>
        <v>52.766170733813645</v>
      </c>
      <c r="T37" s="356"/>
      <c r="U37" s="367"/>
      <c r="V37" s="354"/>
      <c r="W37" s="341"/>
      <c r="X37" s="130"/>
      <c r="Y37" s="131"/>
      <c r="Z37" s="118"/>
      <c r="AA37" s="119"/>
      <c r="AC37" s="348"/>
      <c r="AD37" s="371"/>
    </row>
    <row r="38" spans="1:30" s="105" customFormat="1" ht="15.75" thickBot="1" x14ac:dyDescent="0.3">
      <c r="A38" s="169">
        <f>MATCH(F38,SCALARS!C:C,0)</f>
        <v>39</v>
      </c>
      <c r="B38" s="170">
        <f>MATCH(F38,'MKT DATA'!B:B,0)</f>
        <v>36</v>
      </c>
      <c r="C38" s="248"/>
      <c r="D38" s="261"/>
      <c r="E38" s="109" t="str" cm="1">
        <f t="array" aca="1" ref="E38" ca="1">INDIRECT(ADDRESS($A38,5,,,"ANCHOR INPUTS"))</f>
        <v>VGLT</v>
      </c>
      <c r="F38" s="110" t="s">
        <v>27</v>
      </c>
      <c r="G38" s="139"/>
      <c r="H38" s="111" cm="1">
        <f t="array" aca="1" ref="H38" ca="1">INDIRECT(ADDRESS($B38,9,,,"mkt data"))</f>
        <v>0</v>
      </c>
      <c r="I38" s="112">
        <f t="shared" ca="1" si="13"/>
        <v>0</v>
      </c>
      <c r="J38" s="111">
        <f t="shared" ca="1" si="8"/>
        <v>0</v>
      </c>
      <c r="K38" s="360"/>
      <c r="L38" s="113" cm="1">
        <f t="array" aca="1" ref="L38" ca="1">INDIRECT(ADDRESS($B38,5,,,"mkt data"))</f>
        <v>52.7</v>
      </c>
      <c r="M38" s="114" cm="1">
        <f t="array" aca="1" ref="M38" ca="1">INDIRECT(ADDRESS($B38,6,,,"mkt data"))</f>
        <v>52.72</v>
      </c>
      <c r="N38" s="254"/>
      <c r="O38" s="115">
        <f t="shared" ca="1" si="9"/>
        <v>52.695</v>
      </c>
      <c r="P38" s="115">
        <f t="shared" ca="1" si="10"/>
        <v>52.725000000000001</v>
      </c>
      <c r="Q38" s="116" cm="1">
        <f t="array" aca="1" ref="Q38" ca="1">INDIRECT(ADDRESS($A38,6,,,"scalars"))</f>
        <v>1</v>
      </c>
      <c r="R38" s="117">
        <f t="shared" ref="R38" ca="1" si="18">O38*Q38</f>
        <v>52.695</v>
      </c>
      <c r="S38" s="117">
        <f t="shared" ca="1" si="12"/>
        <v>52.725000000000001</v>
      </c>
      <c r="T38" s="357"/>
      <c r="U38" s="368"/>
      <c r="V38" s="355"/>
      <c r="W38" s="342"/>
      <c r="X38" s="133"/>
      <c r="Y38" s="134"/>
      <c r="Z38" s="118"/>
      <c r="AA38" s="119"/>
      <c r="AC38" s="349"/>
      <c r="AD38" s="372"/>
    </row>
    <row r="39" spans="1:30" s="105" customFormat="1" x14ac:dyDescent="0.25">
      <c r="A39" s="167">
        <f>MATCH(F39,SCALARS!C:C,0)</f>
        <v>35</v>
      </c>
      <c r="B39" s="168">
        <f>MATCH(F39,'MKT DATA'!B:B,0)</f>
        <v>29</v>
      </c>
      <c r="C39" s="246"/>
      <c r="D39" s="259"/>
      <c r="E39" s="96" t="str" cm="1">
        <f t="array" aca="1" ref="E39" ca="1">INDIRECT(ADDRESS($A39,5,,,"ANCHOR INPUTS"))</f>
        <v>VCLT</v>
      </c>
      <c r="F39" s="97" t="s">
        <v>22</v>
      </c>
      <c r="G39" s="137"/>
      <c r="H39" s="98" cm="1">
        <f t="array" aca="1" ref="H39" ca="1">INDIRECT(ADDRESS($B39,9,,,"mkt data"))</f>
        <v>0</v>
      </c>
      <c r="I39" s="99">
        <f t="shared" ca="1" si="13"/>
        <v>0</v>
      </c>
      <c r="J39" s="98">
        <f t="shared" ca="1" si="8"/>
        <v>0</v>
      </c>
      <c r="K39" s="358">
        <f ca="1">SUM(J39:J41)</f>
        <v>0</v>
      </c>
      <c r="L39" s="100" cm="1">
        <f t="array" aca="1" ref="L39" ca="1">INDIRECT(ADDRESS($B39,5,,,"mkt data"))</f>
        <v>20.98</v>
      </c>
      <c r="M39" s="101" cm="1">
        <f t="array" aca="1" ref="M39" ca="1">INDIRECT(ADDRESS($B39,6,,,"mkt data"))</f>
        <v>21.61</v>
      </c>
      <c r="N39" s="253"/>
      <c r="O39" s="102">
        <f t="shared" ca="1" si="9"/>
        <v>20.975000000000001</v>
      </c>
      <c r="P39" s="102">
        <f t="shared" ca="1" si="10"/>
        <v>21.614999999999998</v>
      </c>
      <c r="Q39" s="103" cm="1">
        <f t="array" aca="1" ref="Q39" ca="1">INDIRECT(ADDRESS($A39,6,,,"scalars"))</f>
        <v>3.361172781778401</v>
      </c>
      <c r="R39" s="104">
        <f ca="1">O39*Q39</f>
        <v>70.500599097801967</v>
      </c>
      <c r="S39" s="104">
        <f t="shared" ca="1" si="12"/>
        <v>72.651749678140135</v>
      </c>
      <c r="T39" s="350">
        <f ca="1">MAX(R39:R41)</f>
        <v>71.305000000000007</v>
      </c>
      <c r="U39" s="337">
        <f ca="1">MIN(S39:S41)</f>
        <v>71.554999999999993</v>
      </c>
      <c r="V39" s="353">
        <f ca="1">T39-U39</f>
        <v>-0.24999999999998579</v>
      </c>
      <c r="W39" s="340">
        <f ca="1">V39/AVERAGE(ABS(T39),ABS(U39))</f>
        <v>-3.4999300013997727E-3</v>
      </c>
      <c r="X39" s="84"/>
      <c r="Y39" s="85"/>
      <c r="Z39" s="118"/>
      <c r="AA39" s="119"/>
      <c r="AC39" s="347">
        <v>0.01</v>
      </c>
      <c r="AD39" s="370">
        <v>0.01</v>
      </c>
    </row>
    <row r="40" spans="1:30" s="105" customFormat="1" x14ac:dyDescent="0.25">
      <c r="A40" s="172">
        <f>MATCH(F40,SCALARS!C:C,0)</f>
        <v>34</v>
      </c>
      <c r="B40" s="173">
        <f>MATCH(F40,'MKT DATA'!B:B,0)</f>
        <v>16</v>
      </c>
      <c r="C40" s="247"/>
      <c r="D40" s="260"/>
      <c r="E40" s="120" t="str" cm="1">
        <f t="array" aca="1" ref="E40" ca="1">INDIRECT(ADDRESS($A40,5,,,"ANCHOR INPUTS"))</f>
        <v>VCLT</v>
      </c>
      <c r="F40" s="121" t="s">
        <v>23</v>
      </c>
      <c r="G40" s="138"/>
      <c r="H40" s="122" cm="1">
        <f t="array" aca="1" ref="H40" ca="1">INDIRECT(ADDRESS($B40,9,,,"mkt data"))</f>
        <v>0</v>
      </c>
      <c r="I40" s="123">
        <f t="shared" ca="1" si="13"/>
        <v>0</v>
      </c>
      <c r="J40" s="122">
        <f t="shared" ca="1" si="8"/>
        <v>0</v>
      </c>
      <c r="K40" s="359"/>
      <c r="L40" s="124" cm="1">
        <f t="array" aca="1" ref="L40" ca="1">INDIRECT(ADDRESS($B40,5,,,"mkt data"))</f>
        <v>47.4</v>
      </c>
      <c r="M40" s="125" cm="1">
        <f t="array" aca="1" ref="M40" ca="1">INDIRECT(ADDRESS($B40,6,,,"mkt data"))</f>
        <v>48.19</v>
      </c>
      <c r="N40" s="262"/>
      <c r="O40" s="126">
        <f t="shared" ca="1" si="9"/>
        <v>47.394999999999996</v>
      </c>
      <c r="P40" s="126">
        <f t="shared" ca="1" si="10"/>
        <v>48.195</v>
      </c>
      <c r="Q40" s="127" cm="1">
        <f t="array" aca="1" ref="Q40" ca="1">INDIRECT(ADDRESS($A40,6,,,"scalars"))</f>
        <v>1.500472445303173</v>
      </c>
      <c r="R40" s="128">
        <f t="shared" ref="R40:R41" ca="1" si="19">O40*Q40</f>
        <v>71.114891545143877</v>
      </c>
      <c r="S40" s="128">
        <f t="shared" ca="1" si="12"/>
        <v>72.315269501386425</v>
      </c>
      <c r="T40" s="356"/>
      <c r="U40" s="367"/>
      <c r="V40" s="354"/>
      <c r="W40" s="341"/>
      <c r="X40" s="130"/>
      <c r="Y40" s="131"/>
      <c r="Z40" s="118"/>
      <c r="AA40" s="119"/>
      <c r="AC40" s="348"/>
      <c r="AD40" s="371"/>
    </row>
    <row r="41" spans="1:30" s="105" customFormat="1" ht="15.75" thickBot="1" x14ac:dyDescent="0.3">
      <c r="A41" s="169">
        <f>MATCH(F41,SCALARS!C:C,0)</f>
        <v>36</v>
      </c>
      <c r="B41" s="170">
        <f>MATCH(F41,'MKT DATA'!B:B,0)</f>
        <v>35</v>
      </c>
      <c r="C41" s="248"/>
      <c r="D41" s="261"/>
      <c r="E41" s="109" t="str" cm="1">
        <f t="array" aca="1" ref="E41" ca="1">INDIRECT(ADDRESS($A41,5,,,"ANCHOR INPUTS"))</f>
        <v>VCLT</v>
      </c>
      <c r="F41" s="110" t="s">
        <v>24</v>
      </c>
      <c r="G41" s="139"/>
      <c r="H41" s="111" cm="1">
        <f t="array" aca="1" ref="H41" ca="1">INDIRECT(ADDRESS($B41,9,,,"mkt data"))</f>
        <v>0</v>
      </c>
      <c r="I41" s="112">
        <f t="shared" ca="1" si="13"/>
        <v>0</v>
      </c>
      <c r="J41" s="111">
        <f t="shared" ca="1" si="8"/>
        <v>0</v>
      </c>
      <c r="K41" s="360"/>
      <c r="L41" s="113" cm="1">
        <f t="array" aca="1" ref="L41" ca="1">INDIRECT(ADDRESS($B41,5,,,"mkt data"))</f>
        <v>71.31</v>
      </c>
      <c r="M41" s="114" cm="1">
        <f t="array" aca="1" ref="M41" ca="1">INDIRECT(ADDRESS($B41,6,,,"mkt data"))</f>
        <v>71.55</v>
      </c>
      <c r="N41" s="254"/>
      <c r="O41" s="115">
        <f t="shared" ca="1" si="9"/>
        <v>71.305000000000007</v>
      </c>
      <c r="P41" s="115">
        <f t="shared" ca="1" si="10"/>
        <v>71.554999999999993</v>
      </c>
      <c r="Q41" s="116" cm="1">
        <f t="array" aca="1" ref="Q41" ca="1">INDIRECT(ADDRESS($A41,6,,,"scalars"))</f>
        <v>1</v>
      </c>
      <c r="R41" s="117">
        <f t="shared" ca="1" si="19"/>
        <v>71.305000000000007</v>
      </c>
      <c r="S41" s="117">
        <f t="shared" ca="1" si="12"/>
        <v>71.554999999999993</v>
      </c>
      <c r="T41" s="357"/>
      <c r="U41" s="368"/>
      <c r="V41" s="355"/>
      <c r="W41" s="342"/>
      <c r="X41" s="133"/>
      <c r="Y41" s="134"/>
      <c r="Z41" s="118"/>
      <c r="AA41" s="119"/>
      <c r="AC41" s="349"/>
      <c r="AD41" s="372"/>
    </row>
    <row r="42" spans="1:30" s="105" customFormat="1" x14ac:dyDescent="0.25">
      <c r="A42" s="167">
        <f>MATCH(F42,SCALARS!C:C,0)</f>
        <v>4</v>
      </c>
      <c r="B42" s="168">
        <f>MATCH(F42,'MKT DATA'!B:B,0)</f>
        <v>24</v>
      </c>
      <c r="C42" s="246"/>
      <c r="D42" s="259"/>
      <c r="E42" s="96" t="str" cm="1">
        <f t="array" aca="1" ref="E42" ca="1">INDIRECT(ADDRESS($A42,5,,,"ANCHOR INPUTS"))</f>
        <v>AGG</v>
      </c>
      <c r="F42" s="97" t="s">
        <v>5</v>
      </c>
      <c r="G42" s="137"/>
      <c r="H42" s="98" cm="1">
        <f t="array" aca="1" ref="H42" ca="1">INDIRECT(ADDRESS($B42,9,,,"mkt data"))</f>
        <v>0</v>
      </c>
      <c r="I42" s="99">
        <f t="shared" ca="1" si="13"/>
        <v>0</v>
      </c>
      <c r="J42" s="98">
        <f t="shared" ca="1" si="8"/>
        <v>0</v>
      </c>
      <c r="K42" s="333">
        <f ca="1">SUM(J42:J45)</f>
        <v>0</v>
      </c>
      <c r="L42" s="100" cm="1">
        <f t="array" aca="1" ref="L42" ca="1">INDIRECT(ADDRESS($B42,5,,,"mkt data"))</f>
        <v>22.6</v>
      </c>
      <c r="M42" s="101" cm="1">
        <f t="array" aca="1" ref="M42" ca="1">INDIRECT(ADDRESS($B42,6,,,"mkt data"))</f>
        <v>22.72</v>
      </c>
      <c r="N42" s="253"/>
      <c r="O42" s="102">
        <f t="shared" ca="1" si="9"/>
        <v>22.595000000000002</v>
      </c>
      <c r="P42" s="102">
        <f t="shared" ca="1" si="10"/>
        <v>22.724999999999998</v>
      </c>
      <c r="Q42" s="103" cm="1">
        <f t="array" aca="1" ref="Q42" ca="1">INDIRECT(ADDRESS($A42,6,,,"scalars"))</f>
        <v>4.2774908701103964</v>
      </c>
      <c r="R42" s="104">
        <f ca="1">O42*Q42</f>
        <v>96.649906210144422</v>
      </c>
      <c r="S42" s="104">
        <f t="shared" ca="1" si="12"/>
        <v>97.205980023258746</v>
      </c>
      <c r="T42" s="350">
        <f ca="1">MAX(R42:R45)</f>
        <v>96.825000000000003</v>
      </c>
      <c r="U42" s="337">
        <f ca="1">MIN(S42:S45)</f>
        <v>96.933377356962211</v>
      </c>
      <c r="V42" s="337">
        <f ca="1">T42-U42</f>
        <v>-0.10837735696220818</v>
      </c>
      <c r="W42" s="340">
        <f ca="1">V42/AVERAGE(ABS(T42),ABS(U42))</f>
        <v>-1.1186856376541997E-3</v>
      </c>
      <c r="X42" s="84"/>
      <c r="Y42" s="85"/>
      <c r="Z42" s="118"/>
      <c r="AA42" s="119"/>
      <c r="AC42" s="347">
        <v>0.01</v>
      </c>
      <c r="AD42" s="370">
        <v>0.01</v>
      </c>
    </row>
    <row r="43" spans="1:30" s="105" customFormat="1" x14ac:dyDescent="0.25">
      <c r="A43" s="172">
        <f>MATCH(F43,SCALARS!C:C,0)</f>
        <v>5</v>
      </c>
      <c r="B43" s="173">
        <f>MATCH(F43,'MKT DATA'!B:B,0)</f>
        <v>26</v>
      </c>
      <c r="C43" s="247"/>
      <c r="D43" s="260"/>
      <c r="E43" s="120" t="str" cm="1">
        <f t="array" aca="1" ref="E43" ca="1">INDIRECT(ADDRESS($A43,5,,,"ANCHOR INPUTS"))</f>
        <v>AGG</v>
      </c>
      <c r="F43" s="121" t="s">
        <v>6</v>
      </c>
      <c r="G43" s="138"/>
      <c r="H43" s="122" cm="1">
        <f t="array" aca="1" ref="H43" ca="1">INDIRECT(ADDRESS($B43,9,,,"mkt data"))</f>
        <v>0</v>
      </c>
      <c r="I43" s="123">
        <f t="shared" ca="1" si="13"/>
        <v>0</v>
      </c>
      <c r="J43" s="122">
        <f t="shared" ca="1" si="8"/>
        <v>0</v>
      </c>
      <c r="K43" s="377"/>
      <c r="L43" s="124" cm="1">
        <f t="array" aca="1" ref="L43" ca="1">INDIRECT(ADDRESS($B43,5,,,"mkt data"))</f>
        <v>24.89</v>
      </c>
      <c r="M43" s="125" cm="1">
        <f t="array" aca="1" ref="M43" ca="1">INDIRECT(ADDRESS($B43,6,,,"mkt data"))</f>
        <v>25.05</v>
      </c>
      <c r="N43" s="262"/>
      <c r="O43" s="126">
        <f t="shared" ca="1" si="9"/>
        <v>24.885000000000002</v>
      </c>
      <c r="P43" s="126">
        <f t="shared" ca="1" si="10"/>
        <v>25.055</v>
      </c>
      <c r="Q43" s="127" cm="1">
        <f t="array" aca="1" ref="Q43" ca="1">INDIRECT(ADDRESS($A43,6,,,"scalars"))</f>
        <v>3.8797956599225869</v>
      </c>
      <c r="R43" s="128">
        <f ca="1">O43*Q43</f>
        <v>96.548714997173576</v>
      </c>
      <c r="S43" s="128">
        <f t="shared" ca="1" si="12"/>
        <v>97.208280259360407</v>
      </c>
      <c r="T43" s="351"/>
      <c r="U43" s="338"/>
      <c r="V43" s="338"/>
      <c r="W43" s="341"/>
      <c r="X43" s="130"/>
      <c r="Y43" s="131"/>
      <c r="Z43" s="118"/>
      <c r="AA43" s="119"/>
      <c r="AC43" s="348"/>
      <c r="AD43" s="371"/>
    </row>
    <row r="44" spans="1:30" s="105" customFormat="1" x14ac:dyDescent="0.25">
      <c r="A44" s="172">
        <f>MATCH(F44,SCALARS!C:C,0)</f>
        <v>3</v>
      </c>
      <c r="B44" s="173">
        <f>MATCH(F44,'MKT DATA'!B:B,0)</f>
        <v>4</v>
      </c>
      <c r="C44" s="247"/>
      <c r="D44" s="260"/>
      <c r="E44" s="120" t="str" cm="1">
        <f t="array" aca="1" ref="E44" ca="1">INDIRECT(ADDRESS($A44,5,,,"ANCHOR INPUTS"))</f>
        <v>AGG</v>
      </c>
      <c r="F44" s="121" t="s">
        <v>7</v>
      </c>
      <c r="G44" s="138"/>
      <c r="H44" s="122" cm="1">
        <f t="array" aca="1" ref="H44" ca="1">INDIRECT(ADDRESS($B44,9,,,"mkt data"))</f>
        <v>0</v>
      </c>
      <c r="I44" s="123">
        <f t="shared" ca="1" si="13"/>
        <v>0</v>
      </c>
      <c r="J44" s="122">
        <f t="shared" ca="1" si="8"/>
        <v>0</v>
      </c>
      <c r="K44" s="377"/>
      <c r="L44" s="124" cm="1">
        <f t="array" aca="1" ref="L44" ca="1">INDIRECT(ADDRESS($B44,5,,,"mkt data"))</f>
        <v>71.8</v>
      </c>
      <c r="M44" s="125" cm="1">
        <f t="array" aca="1" ref="M44" ca="1">INDIRECT(ADDRESS($B44,6,,,"mkt data"))</f>
        <v>71.900000000000006</v>
      </c>
      <c r="N44" s="262"/>
      <c r="O44" s="126">
        <f t="shared" ca="1" si="9"/>
        <v>71.795000000000002</v>
      </c>
      <c r="P44" s="126">
        <f t="shared" ca="1" si="10"/>
        <v>71.905000000000001</v>
      </c>
      <c r="Q44" s="127" cm="1">
        <f t="array" aca="1" ref="Q44" ca="1">INDIRECT(ADDRESS($A44,6,,,"scalars"))</f>
        <v>1.348075618621267</v>
      </c>
      <c r="R44" s="128">
        <f ca="1">O44*Q44</f>
        <v>96.785089038913867</v>
      </c>
      <c r="S44" s="128">
        <f t="shared" ca="1" si="12"/>
        <v>96.933377356962211</v>
      </c>
      <c r="T44" s="351"/>
      <c r="U44" s="338"/>
      <c r="V44" s="338"/>
      <c r="W44" s="341"/>
      <c r="X44" s="133"/>
      <c r="Y44" s="134"/>
      <c r="Z44" s="118"/>
      <c r="AA44" s="119"/>
      <c r="AC44" s="348"/>
      <c r="AD44" s="371"/>
    </row>
    <row r="45" spans="1:30" s="105" customFormat="1" ht="15.75" thickBot="1" x14ac:dyDescent="0.3">
      <c r="A45" s="169">
        <f>MATCH(F45,SCALARS!C:C,0)</f>
        <v>2</v>
      </c>
      <c r="B45" s="170">
        <f>MATCH(F45,'MKT DATA'!B:B,0)</f>
        <v>2</v>
      </c>
      <c r="C45" s="248"/>
      <c r="D45" s="261"/>
      <c r="E45" s="109" t="str" cm="1">
        <f t="array" aca="1" ref="E45" ca="1">INDIRECT(ADDRESS($A45,5,,,"ANCHOR INPUTS"))</f>
        <v>AGG</v>
      </c>
      <c r="F45" s="110" t="s">
        <v>8</v>
      </c>
      <c r="G45" s="139"/>
      <c r="H45" s="111" cm="1">
        <f t="array" aca="1" ref="H45" ca="1">INDIRECT(ADDRESS($B45,9,,,"mkt data"))</f>
        <v>0</v>
      </c>
      <c r="I45" s="112">
        <f t="shared" ca="1" si="13"/>
        <v>0</v>
      </c>
      <c r="J45" s="111">
        <f t="shared" ca="1" si="8"/>
        <v>0</v>
      </c>
      <c r="K45" s="334"/>
      <c r="L45" s="113" cm="1">
        <f t="array" aca="1" ref="L45" ca="1">INDIRECT(ADDRESS($B45,5,,,"mkt data"))</f>
        <v>96.83</v>
      </c>
      <c r="M45" s="114" cm="1">
        <f t="array" aca="1" ref="M45" ca="1">INDIRECT(ADDRESS($B45,6,,,"mkt data"))</f>
        <v>97.04</v>
      </c>
      <c r="N45" s="254"/>
      <c r="O45" s="115">
        <f t="shared" ca="1" si="9"/>
        <v>96.825000000000003</v>
      </c>
      <c r="P45" s="115">
        <f t="shared" ca="1" si="10"/>
        <v>97.045000000000002</v>
      </c>
      <c r="Q45" s="116" cm="1">
        <f t="array" aca="1" ref="Q45" ca="1">INDIRECT(ADDRESS($A45,6,,,"scalars"))</f>
        <v>1</v>
      </c>
      <c r="R45" s="117">
        <f ca="1">O45*Q45</f>
        <v>96.825000000000003</v>
      </c>
      <c r="S45" s="117">
        <f t="shared" ca="1" si="12"/>
        <v>97.045000000000002</v>
      </c>
      <c r="T45" s="352"/>
      <c r="U45" s="339"/>
      <c r="V45" s="339"/>
      <c r="W45" s="342"/>
      <c r="X45" s="135"/>
      <c r="Y45" s="136"/>
      <c r="Z45" s="118"/>
      <c r="AA45" s="119"/>
      <c r="AC45" s="349"/>
      <c r="AD45" s="372"/>
    </row>
    <row r="46" spans="1:30" x14ac:dyDescent="0.25">
      <c r="G46" s="69"/>
      <c r="H46" s="69"/>
      <c r="Z46" s="29"/>
    </row>
    <row r="47" spans="1:30" x14ac:dyDescent="0.25">
      <c r="G47" s="69"/>
      <c r="H47" s="69"/>
    </row>
  </sheetData>
  <mergeCells count="100"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  <mergeCell ref="AD36:AD38"/>
    <mergeCell ref="AD39:AD41"/>
    <mergeCell ref="AC39:AC41"/>
    <mergeCell ref="AD26:AD29"/>
    <mergeCell ref="AD42:AD45"/>
    <mergeCell ref="AD30:AD35"/>
    <mergeCell ref="AC30:AC35"/>
    <mergeCell ref="A17:E17"/>
    <mergeCell ref="T30:T35"/>
    <mergeCell ref="U39:U41"/>
    <mergeCell ref="T20:T22"/>
    <mergeCell ref="U20:U22"/>
    <mergeCell ref="T23:T25"/>
    <mergeCell ref="U30:U35"/>
    <mergeCell ref="A18:B18"/>
    <mergeCell ref="L18:M18"/>
    <mergeCell ref="R18:S18"/>
    <mergeCell ref="T36:T38"/>
    <mergeCell ref="U36:U38"/>
    <mergeCell ref="O18:P18"/>
    <mergeCell ref="T26:T29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V1:W1"/>
    <mergeCell ref="H1:K1"/>
    <mergeCell ref="T3:T4"/>
    <mergeCell ref="U3:U4"/>
    <mergeCell ref="V3:V4"/>
    <mergeCell ref="W3:W4"/>
    <mergeCell ref="K3:K4"/>
    <mergeCell ref="A1:B1"/>
    <mergeCell ref="L1:M1"/>
    <mergeCell ref="O1:P1"/>
    <mergeCell ref="R1:S1"/>
    <mergeCell ref="T1:U1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K11:K12"/>
    <mergeCell ref="K15:K16"/>
    <mergeCell ref="T15:T16"/>
    <mergeCell ref="U15:U16"/>
    <mergeCell ref="V15:V16"/>
    <mergeCell ref="K13:K14"/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</mergeCells>
  <conditionalFormatting sqref="R20:R22">
    <cfRule type="top10" dxfId="47" priority="55" rank="1"/>
  </conditionalFormatting>
  <conditionalFormatting sqref="R23:R25">
    <cfRule type="top10" dxfId="46" priority="54" rank="1"/>
  </conditionalFormatting>
  <conditionalFormatting sqref="R36:R38">
    <cfRule type="top10" dxfId="45" priority="53" rank="1"/>
  </conditionalFormatting>
  <conditionalFormatting sqref="R39:R41">
    <cfRule type="top10" dxfId="44" priority="52" rank="1"/>
  </conditionalFormatting>
  <conditionalFormatting sqref="S20:S22">
    <cfRule type="top10" dxfId="43" priority="50" rank="1"/>
  </conditionalFormatting>
  <conditionalFormatting sqref="S23:S25">
    <cfRule type="top10" dxfId="42" priority="49" rank="1"/>
  </conditionalFormatting>
  <conditionalFormatting sqref="S36:S38">
    <cfRule type="top10" dxfId="41" priority="48" rank="1"/>
  </conditionalFormatting>
  <conditionalFormatting sqref="S39:S41">
    <cfRule type="top10" dxfId="40" priority="47" rank="1"/>
  </conditionalFormatting>
  <conditionalFormatting sqref="R42:R45">
    <cfRule type="top10" dxfId="39" priority="44" rank="1"/>
  </conditionalFormatting>
  <conditionalFormatting sqref="S42:S45">
    <cfRule type="top10" dxfId="38" priority="43" rank="1"/>
  </conditionalFormatting>
  <conditionalFormatting sqref="R30:R35">
    <cfRule type="top10" dxfId="37" priority="42" rank="1"/>
  </conditionalFormatting>
  <conditionalFormatting sqref="S30:S35">
    <cfRule type="top10" dxfId="36" priority="41" rank="1"/>
  </conditionalFormatting>
  <conditionalFormatting sqref="R26:R29">
    <cfRule type="top10" dxfId="35" priority="56" rank="1"/>
  </conditionalFormatting>
  <conditionalFormatting sqref="S26:S29">
    <cfRule type="top10" dxfId="34" priority="57" rank="1"/>
  </conditionalFormatting>
  <conditionalFormatting sqref="Z27">
    <cfRule type="cellIs" dxfId="33" priority="37" operator="greaterThan">
      <formula>0</formula>
    </cfRule>
  </conditionalFormatting>
  <conditionalFormatting sqref="R13:R14">
    <cfRule type="top10" dxfId="32" priority="33" rank="1"/>
  </conditionalFormatting>
  <conditionalFormatting sqref="S13:S14">
    <cfRule type="top10" dxfId="31" priority="34" rank="1"/>
  </conditionalFormatting>
  <conditionalFormatting sqref="R15:R16">
    <cfRule type="top10" dxfId="30" priority="31" rank="1"/>
  </conditionalFormatting>
  <conditionalFormatting sqref="S15:S16">
    <cfRule type="top10" dxfId="29" priority="32" rank="1"/>
  </conditionalFormatting>
  <conditionalFormatting sqref="R11:R12">
    <cfRule type="top10" dxfId="28" priority="29" rank="1"/>
  </conditionalFormatting>
  <conditionalFormatting sqref="S11:S12">
    <cfRule type="top10" dxfId="27" priority="30" rank="1"/>
  </conditionalFormatting>
  <conditionalFormatting sqref="R5:R6">
    <cfRule type="top10" dxfId="26" priority="27" rank="1"/>
  </conditionalFormatting>
  <conditionalFormatting sqref="S5:S6">
    <cfRule type="top10" dxfId="25" priority="28" rank="1"/>
  </conditionalFormatting>
  <conditionalFormatting sqref="R7:R8">
    <cfRule type="top10" dxfId="24" priority="25" rank="1"/>
  </conditionalFormatting>
  <conditionalFormatting sqref="S7:S8">
    <cfRule type="top10" dxfId="23" priority="26" rank="1"/>
  </conditionalFormatting>
  <conditionalFormatting sqref="R9:R10">
    <cfRule type="top10" dxfId="22" priority="23" rank="1"/>
  </conditionalFormatting>
  <conditionalFormatting sqref="S9:S10">
    <cfRule type="top10" dxfId="21" priority="24" rank="1"/>
  </conditionalFormatting>
  <conditionalFormatting sqref="R3:R4">
    <cfRule type="top10" dxfId="20" priority="21" rank="1"/>
  </conditionalFormatting>
  <conditionalFormatting sqref="S3:S4">
    <cfRule type="top10" dxfId="19" priority="22" rank="1"/>
  </conditionalFormatting>
  <conditionalFormatting sqref="X21 X24 X28 X33 X37 X40 X43">
    <cfRule type="cellIs" dxfId="18" priority="18" operator="equal">
      <formula>TRUE</formula>
    </cfRule>
  </conditionalFormatting>
  <conditionalFormatting sqref="Y21 Y24 Y28 Y33 Y37 Y40 Y43">
    <cfRule type="cellIs" dxfId="17" priority="17" operator="equal">
      <formula>TRUE</formula>
    </cfRule>
  </conditionalFormatting>
  <conditionalFormatting sqref="W20:W45">
    <cfRule type="cellIs" dxfId="16" priority="16" operator="greaterThan">
      <formula>0</formula>
    </cfRule>
  </conditionalFormatting>
  <conditionalFormatting sqref="W3:W16 U3:U16">
    <cfRule type="cellIs" dxfId="15" priority="15" operator="greaterThan">
      <formula>0</formula>
    </cfRule>
  </conditionalFormatting>
  <conditionalFormatting sqref="X4 AA4">
    <cfRule type="cellIs" dxfId="14" priority="14" operator="equal">
      <formula>TRUE</formula>
    </cfRule>
  </conditionalFormatting>
  <conditionalFormatting sqref="Y4:Z4">
    <cfRule type="cellIs" dxfId="13" priority="13" operator="equal">
      <formula>TRUE</formula>
    </cfRule>
  </conditionalFormatting>
  <conditionalFormatting sqref="X6 AA6">
    <cfRule type="cellIs" dxfId="12" priority="12" operator="equal">
      <formula>TRUE</formula>
    </cfRule>
  </conditionalFormatting>
  <conditionalFormatting sqref="Y6:Z6">
    <cfRule type="cellIs" dxfId="11" priority="11" operator="equal">
      <formula>TRUE</formula>
    </cfRule>
  </conditionalFormatting>
  <conditionalFormatting sqref="X8 AA8">
    <cfRule type="cellIs" dxfId="10" priority="10" operator="equal">
      <formula>TRUE</formula>
    </cfRule>
  </conditionalFormatting>
  <conditionalFormatting sqref="Y8:Z8">
    <cfRule type="cellIs" dxfId="9" priority="9" operator="equal">
      <formula>TRUE</formula>
    </cfRule>
  </conditionalFormatting>
  <conditionalFormatting sqref="X10 AA10">
    <cfRule type="cellIs" dxfId="8" priority="8" operator="equal">
      <formula>TRUE</formula>
    </cfRule>
  </conditionalFormatting>
  <conditionalFormatting sqref="Y10:Z10">
    <cfRule type="cellIs" dxfId="7" priority="7" operator="equal">
      <formula>TRUE</formula>
    </cfRule>
  </conditionalFormatting>
  <conditionalFormatting sqref="X12 AA12">
    <cfRule type="cellIs" dxfId="6" priority="6" operator="equal">
      <formula>TRUE</formula>
    </cfRule>
  </conditionalFormatting>
  <conditionalFormatting sqref="Y12:Z12">
    <cfRule type="cellIs" dxfId="5" priority="5" operator="equal">
      <formula>TRUE</formula>
    </cfRule>
  </conditionalFormatting>
  <conditionalFormatting sqref="X14 AA14">
    <cfRule type="cellIs" dxfId="4" priority="4" operator="equal">
      <formula>TRUE</formula>
    </cfRule>
  </conditionalFormatting>
  <conditionalFormatting sqref="Y14:Z14">
    <cfRule type="cellIs" dxfId="3" priority="3" operator="equal">
      <formula>TRUE</formula>
    </cfRule>
  </conditionalFormatting>
  <conditionalFormatting sqref="X16 AA16">
    <cfRule type="cellIs" dxfId="2" priority="2" operator="equal">
      <formula>TRUE</formula>
    </cfRule>
  </conditionalFormatting>
  <conditionalFormatting sqref="Y16:Z1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65"/>
  <sheetViews>
    <sheetView tabSelected="1" topLeftCell="A9" zoomScale="85" zoomScaleNormal="85" workbookViewId="0">
      <selection activeCell="K47" sqref="K47"/>
    </sheetView>
  </sheetViews>
  <sheetFormatPr defaultRowHeight="15" x14ac:dyDescent="0.25"/>
  <cols>
    <col min="1" max="1" width="7" bestFit="1" customWidth="1"/>
    <col min="2" max="2" width="9.42578125" bestFit="1" customWidth="1"/>
    <col min="3" max="4" width="12.7109375" style="1" customWidth="1"/>
    <col min="5" max="5" width="8" bestFit="1" customWidth="1"/>
    <col min="6" max="6" width="7.85546875" bestFit="1" customWidth="1"/>
    <col min="7" max="7" width="7.7109375" bestFit="1" customWidth="1"/>
    <col min="8" max="8" width="11" customWidth="1"/>
    <col min="9" max="9" width="12.28515625" bestFit="1" customWidth="1"/>
    <col min="10" max="11" width="11" customWidth="1"/>
    <col min="12" max="13" width="12.5703125" customWidth="1"/>
    <col min="14" max="14" width="9.5703125" bestFit="1" customWidth="1"/>
    <col min="15" max="23" width="12.5703125" customWidth="1"/>
    <col min="24" max="24" width="9.7109375" bestFit="1" customWidth="1"/>
    <col min="25" max="25" width="9.5703125" bestFit="1" customWidth="1"/>
    <col min="26" max="26" width="9.7109375" bestFit="1" customWidth="1"/>
    <col min="27" max="27" width="9.5703125" bestFit="1" customWidth="1"/>
    <col min="29" max="29" width="19" bestFit="1" customWidth="1"/>
    <col min="30" max="30" width="17.42578125" bestFit="1" customWidth="1"/>
    <col min="31" max="31" width="5.5703125" bestFit="1" customWidth="1"/>
  </cols>
  <sheetData>
    <row r="1" spans="1:31" x14ac:dyDescent="0.25">
      <c r="A1" s="318" t="s">
        <v>70</v>
      </c>
      <c r="B1" s="319"/>
      <c r="C1" s="174"/>
      <c r="D1" s="149"/>
      <c r="E1" s="71"/>
      <c r="F1" s="71"/>
      <c r="G1" s="89"/>
      <c r="H1" s="320" t="s">
        <v>76</v>
      </c>
      <c r="I1" s="320"/>
      <c r="J1" s="320"/>
      <c r="K1" s="321"/>
      <c r="L1" s="322" t="s">
        <v>72</v>
      </c>
      <c r="M1" s="323"/>
      <c r="N1" s="179"/>
      <c r="O1" s="324">
        <v>5.0000000000000001E-3</v>
      </c>
      <c r="P1" s="324"/>
      <c r="Q1" s="43"/>
      <c r="R1" s="325" t="s">
        <v>75</v>
      </c>
      <c r="S1" s="312"/>
      <c r="T1" s="311" t="s">
        <v>89</v>
      </c>
      <c r="U1" s="312"/>
      <c r="V1" s="313" t="s">
        <v>90</v>
      </c>
      <c r="W1" s="314"/>
      <c r="X1" s="49" t="s">
        <v>87</v>
      </c>
      <c r="Y1" s="51" t="s">
        <v>88</v>
      </c>
      <c r="Z1" s="51" t="s">
        <v>88</v>
      </c>
      <c r="AA1" s="50" t="s">
        <v>87</v>
      </c>
      <c r="AC1" s="315" t="s">
        <v>91</v>
      </c>
      <c r="AD1" s="315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166</v>
      </c>
      <c r="E2" s="148" t="s">
        <v>98</v>
      </c>
      <c r="F2" s="72" t="s">
        <v>62</v>
      </c>
      <c r="G2" s="90" t="s">
        <v>82</v>
      </c>
      <c r="H2" s="280" t="s">
        <v>77</v>
      </c>
      <c r="I2" s="281" t="s">
        <v>95</v>
      </c>
      <c r="J2" s="282" t="s">
        <v>94</v>
      </c>
      <c r="K2" s="283" t="s">
        <v>78</v>
      </c>
      <c r="L2" s="76" t="s">
        <v>73</v>
      </c>
      <c r="M2" s="77" t="s">
        <v>74</v>
      </c>
      <c r="N2" s="180" t="s">
        <v>164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8">
        <f>MATCH(F3,SCALARS!C:C,0)</f>
        <v>42</v>
      </c>
      <c r="B3" s="159">
        <f>MATCH(F3,'MKT DATA'!B:B,0)</f>
        <v>42</v>
      </c>
      <c r="C3" s="158" t="str" cm="1">
        <f t="array" aca="1" ref="C3" ca="1">INDIRECT(ADDRESS($A3,2,,,"ANCHOR INPUTS"))</f>
        <v>energy</v>
      </c>
      <c r="D3" s="273" cm="1">
        <f t="array" aca="1" ref="D3" ca="1">INDIRECT(ADDRESS($A3,7,,,"SCALARS"))</f>
        <v>1412300</v>
      </c>
      <c r="E3" s="14" t="str" cm="1">
        <f t="array" aca="1" ref="E3" ca="1">INDIRECT(ADDRESS($A3,5,,,"ANCHOR INPUTS"))</f>
        <v>VDE</v>
      </c>
      <c r="F3" s="15" t="s">
        <v>102</v>
      </c>
      <c r="G3" s="278"/>
      <c r="H3" s="31" cm="1">
        <f t="array" aca="1" ref="H3" ca="1">INDIRECT(ADDRESS($B3,9,,,"mkt data"))</f>
        <v>0</v>
      </c>
      <c r="I3" s="66">
        <f t="shared" ref="I3:I13" ca="1" si="0">H3*AVERAGE(L3:M3)</f>
        <v>0</v>
      </c>
      <c r="J3" s="31">
        <f t="shared" ref="J3:J18" ca="1" si="1">H3/Q3</f>
        <v>0</v>
      </c>
      <c r="K3" s="306">
        <f ca="1">SUM(J3:J4)</f>
        <v>0</v>
      </c>
      <c r="L3" s="37" cm="1">
        <f t="array" aca="1" ref="L3" ca="1">INDIRECT(ADDRESS($B3,5,,,"mkt data"))</f>
        <v>35.89</v>
      </c>
      <c r="M3" s="38" cm="1">
        <f t="array" aca="1" ref="M3" ca="1">INDIRECT(ADDRESS($B3,6,,,"mkt data"))</f>
        <v>36.700000000000003</v>
      </c>
      <c r="N3" s="181"/>
      <c r="O3" s="16">
        <f t="shared" ref="O3:O18" ca="1" si="2">L3-O$1</f>
        <v>35.884999999999998</v>
      </c>
      <c r="P3" s="16">
        <f t="shared" ref="P3:P18" ca="1" si="3">M3+O$1</f>
        <v>36.705000000000005</v>
      </c>
      <c r="Q3" s="54" cm="1">
        <f t="array" aca="1" ref="Q3" ca="1">INDIRECT(ADDRESS($A3,6,,,"scalars"))</f>
        <v>5.083007724279657</v>
      </c>
      <c r="R3" s="17">
        <f ca="1">O3*Q3</f>
        <v>182.40373218577548</v>
      </c>
      <c r="S3" s="17">
        <f t="shared" ref="S3:S8" ca="1" si="4">Q3*P3</f>
        <v>186.57179851968485</v>
      </c>
      <c r="T3" s="296">
        <f ca="1">R4-S3</f>
        <v>-2.4967985196848304</v>
      </c>
      <c r="U3" s="292">
        <f ca="1">T3/AVERAGE(R4,S4)</f>
        <v>-1.3529850003711012E-2</v>
      </c>
      <c r="V3" s="296">
        <f ca="1">R3-S4</f>
        <v>-2.6012678142245136</v>
      </c>
      <c r="W3" s="292">
        <f ca="1">V3/AVERAGE(R4,S4)</f>
        <v>-1.4095956509290741E-2</v>
      </c>
      <c r="X3" s="84">
        <f>AC3</f>
        <v>1E-3</v>
      </c>
      <c r="Y3" s="55">
        <f>AC4</f>
        <v>0</v>
      </c>
      <c r="Z3" s="55">
        <f>AD4</f>
        <v>0</v>
      </c>
      <c r="AA3" s="85">
        <f>AD3</f>
        <v>1E-3</v>
      </c>
      <c r="AC3" s="63">
        <v>1E-3</v>
      </c>
      <c r="AD3" s="64">
        <v>1E-3</v>
      </c>
      <c r="AE3" s="65" t="s">
        <v>87</v>
      </c>
    </row>
    <row r="4" spans="1:31" ht="15.75" thickBot="1" x14ac:dyDescent="0.3">
      <c r="A4" s="160">
        <f>MATCH(F4,SCALARS!C:C,0)</f>
        <v>43</v>
      </c>
      <c r="B4" s="161">
        <f>MATCH(F4,'MKT DATA'!B:B,0)</f>
        <v>60</v>
      </c>
      <c r="C4" s="160" t="str" cm="1">
        <f t="array" aca="1" ref="C4" ca="1">INDIRECT(ADDRESS($A4,2,,,"ANCHOR INPUTS"))</f>
        <v>energy</v>
      </c>
      <c r="D4" s="274" cm="1">
        <f t="array" aca="1" ref="D4" ca="1">INDIRECT(ADDRESS($A4,7,,,"SCALARS"))</f>
        <v>602000</v>
      </c>
      <c r="E4" s="20" t="str" cm="1">
        <f t="array" aca="1" ref="E4" ca="1">INDIRECT(ADDRESS($A4,5,,,"ANCHOR INPUTS"))</f>
        <v>VDE</v>
      </c>
      <c r="F4" s="21" t="s">
        <v>104</v>
      </c>
      <c r="G4" s="279"/>
      <c r="H4" s="33" cm="1">
        <f t="array" aca="1" ref="H4" ca="1">INDIRECT(ADDRESS($B4,9,,,"mkt data"))</f>
        <v>0</v>
      </c>
      <c r="I4" s="68">
        <f t="shared" ca="1" si="0"/>
        <v>0</v>
      </c>
      <c r="J4" s="33">
        <f t="shared" ca="1" si="1"/>
        <v>0</v>
      </c>
      <c r="K4" s="307"/>
      <c r="L4" s="41" cm="1">
        <f t="array" aca="1" ref="L4" ca="1">INDIRECT(ADDRESS($B4,5,,,"mkt data"))</f>
        <v>184.08</v>
      </c>
      <c r="M4" s="42" cm="1">
        <f t="array" aca="1" ref="M4" ca="1">INDIRECT(ADDRESS($B4,6,,,"mkt data"))</f>
        <v>185</v>
      </c>
      <c r="N4" s="182"/>
      <c r="O4" s="22">
        <f t="shared" ca="1" si="2"/>
        <v>184.07500000000002</v>
      </c>
      <c r="P4" s="22">
        <f t="shared" ca="1" si="3"/>
        <v>185.005</v>
      </c>
      <c r="Q4" s="56" cm="1">
        <f t="array" aca="1" ref="Q4" ca="1">INDIRECT(ADDRESS($A4,6,,,"scalars"))</f>
        <v>1</v>
      </c>
      <c r="R4" s="23">
        <f ca="1">O4*Q4</f>
        <v>184.07500000000002</v>
      </c>
      <c r="S4" s="23">
        <f t="shared" ca="1" si="4"/>
        <v>185.005</v>
      </c>
      <c r="T4" s="297"/>
      <c r="U4" s="293"/>
      <c r="V4" s="297"/>
      <c r="W4" s="293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0</v>
      </c>
      <c r="AD4" s="64">
        <v>0</v>
      </c>
      <c r="AE4" s="65" t="s">
        <v>88</v>
      </c>
    </row>
    <row r="5" spans="1:31" x14ac:dyDescent="0.25">
      <c r="A5" s="184">
        <f>MATCH(F5,SCALARS!C:C,0)</f>
        <v>44</v>
      </c>
      <c r="B5" s="185">
        <f>MATCH(F5,'MKT DATA'!B:B,0)</f>
        <v>43</v>
      </c>
      <c r="C5" s="184" t="str" cm="1">
        <f t="array" aca="1" ref="C5" ca="1">INDIRECT(ADDRESS($A5,2,,,"ANCHOR INPUTS"))</f>
        <v>financials</v>
      </c>
      <c r="D5" s="222" cm="1">
        <f t="array" aca="1" ref="D5" ca="1">INDIRECT(ADDRESS($A5,7,,,"SCALARS"))</f>
        <v>97500</v>
      </c>
      <c r="E5" s="186" t="str" cm="1">
        <f t="array" aca="1" ref="E5" ca="1">INDIRECT(ADDRESS($A5,5,,,"ANCHOR INPUTS"))</f>
        <v>VFH</v>
      </c>
      <c r="F5" s="238" t="s">
        <v>140</v>
      </c>
      <c r="G5" s="223"/>
      <c r="H5" s="224" cm="1">
        <f t="array" aca="1" ref="H5" ca="1">INDIRECT(ADDRESS($B5,9,,,"mkt data"))</f>
        <v>0</v>
      </c>
      <c r="I5" s="225">
        <f ca="1">H5*AVERAGE(L5:M5)</f>
        <v>0</v>
      </c>
      <c r="J5" s="224">
        <f ca="1">H5/Q5</f>
        <v>0</v>
      </c>
      <c r="K5" s="327">
        <f ca="1">SUM(J5:J6)</f>
        <v>0</v>
      </c>
      <c r="L5" s="226" cm="1">
        <f t="array" aca="1" ref="L5" ca="1">INDIRECT(ADDRESS($B5,5,,,"mkt data"))</f>
        <v>78.31</v>
      </c>
      <c r="M5" s="227" cm="1">
        <f t="array" aca="1" ref="M5" ca="1">INDIRECT(ADDRESS($B5,6,,,"mkt data"))</f>
        <v>86.5</v>
      </c>
      <c r="N5" s="228"/>
      <c r="O5" s="193">
        <f ca="1">L5-O$1</f>
        <v>78.305000000000007</v>
      </c>
      <c r="P5" s="193">
        <f ca="1">M5+O$1</f>
        <v>86.504999999999995</v>
      </c>
      <c r="Q5" s="239" cm="1">
        <f t="array" aca="1" ref="Q5" ca="1">INDIRECT(ADDRESS($A5,6,,,"scalars"))</f>
        <v>1.7176982937817926</v>
      </c>
      <c r="R5" s="229">
        <f ca="1">O5*Q5</f>
        <v>134.50436489458329</v>
      </c>
      <c r="S5" s="229">
        <f t="shared" ca="1" si="4"/>
        <v>148.58949090359397</v>
      </c>
      <c r="T5" s="300">
        <f t="shared" ref="T5" ca="1" si="5">R6-S5</f>
        <v>-8.674490903593977</v>
      </c>
      <c r="U5" s="304">
        <f t="shared" ref="U5" ca="1" si="6">T5/AVERAGE(R6,S6)</f>
        <v>-6.1505944649157845E-2</v>
      </c>
      <c r="V5" s="300">
        <f t="shared" ref="V5" ca="1" si="7">R5-S6</f>
        <v>-7.6506351054167112</v>
      </c>
      <c r="W5" s="304">
        <f t="shared" ref="W5" ca="1" si="8">V5/AVERAGE(R6,S6)</f>
        <v>-5.4246358034648924E-2</v>
      </c>
      <c r="X5" s="196"/>
      <c r="Y5" s="197"/>
      <c r="Z5" s="197"/>
      <c r="AA5" s="198"/>
      <c r="AC5" s="63"/>
      <c r="AD5" s="64"/>
      <c r="AE5" s="65" t="s">
        <v>87</v>
      </c>
    </row>
    <row r="6" spans="1:31" ht="15.75" thickBot="1" x14ac:dyDescent="0.3">
      <c r="A6" s="199">
        <f>MATCH(F6,SCALARS!C:C,0)</f>
        <v>45</v>
      </c>
      <c r="B6" s="200">
        <f>MATCH(F6,'MKT DATA'!B:B,0)</f>
        <v>61</v>
      </c>
      <c r="C6" s="199" t="str" cm="1">
        <f t="array" aca="1" ref="C6" ca="1">INDIRECT(ADDRESS($A6,2,,,"ANCHOR INPUTS"))</f>
        <v>financials</v>
      </c>
      <c r="D6" s="230" cm="1">
        <f t="array" aca="1" ref="D6" ca="1">INDIRECT(ADDRESS($A6,7,,,"SCALARS"))</f>
        <v>509800</v>
      </c>
      <c r="E6" s="201" t="str" cm="1">
        <f t="array" aca="1" ref="E6" ca="1">INDIRECT(ADDRESS($A6,5,,,"ANCHOR INPUTS"))</f>
        <v>VFH</v>
      </c>
      <c r="F6" s="240" t="s">
        <v>107</v>
      </c>
      <c r="G6" s="231"/>
      <c r="H6" s="232" cm="1">
        <f t="array" aca="1" ref="H6" ca="1">INDIRECT(ADDRESS($B6,9,,,"mkt data"))</f>
        <v>0</v>
      </c>
      <c r="I6" s="233">
        <f ca="1">H6*AVERAGE(L6:M6)</f>
        <v>0</v>
      </c>
      <c r="J6" s="232">
        <f ca="1">H6/Q6</f>
        <v>0</v>
      </c>
      <c r="K6" s="328"/>
      <c r="L6" s="234" cm="1">
        <f t="array" aca="1" ref="L6" ca="1">INDIRECT(ADDRESS($B6,5,,,"mkt data"))</f>
        <v>139.91999999999999</v>
      </c>
      <c r="M6" s="235" cm="1">
        <f t="array" aca="1" ref="M6" ca="1">INDIRECT(ADDRESS($B6,6,,,"mkt data"))</f>
        <v>142.15</v>
      </c>
      <c r="N6" s="236"/>
      <c r="O6" s="208">
        <f ca="1">L6-O$1</f>
        <v>139.91499999999999</v>
      </c>
      <c r="P6" s="208">
        <f ca="1">M6+O$1</f>
        <v>142.155</v>
      </c>
      <c r="Q6" s="241" cm="1">
        <f t="array" aca="1" ref="Q6" ca="1">INDIRECT(ADDRESS($A6,6,,,"scalars"))</f>
        <v>1</v>
      </c>
      <c r="R6" s="237">
        <f t="shared" ref="R6" ca="1" si="9">O6*Q6</f>
        <v>139.91499999999999</v>
      </c>
      <c r="S6" s="237">
        <f t="shared" ca="1" si="4"/>
        <v>142.155</v>
      </c>
      <c r="T6" s="301"/>
      <c r="U6" s="305"/>
      <c r="V6" s="301"/>
      <c r="W6" s="305"/>
      <c r="X6" s="211"/>
      <c r="Y6" s="212"/>
      <c r="Z6" s="212"/>
      <c r="AA6" s="213"/>
      <c r="AC6" s="64"/>
      <c r="AD6" s="64"/>
      <c r="AE6" s="65" t="s">
        <v>88</v>
      </c>
    </row>
    <row r="7" spans="1:31" x14ac:dyDescent="0.25">
      <c r="A7" s="158">
        <f>MATCH(F7,SCALARS!C:C,0)</f>
        <v>46</v>
      </c>
      <c r="B7" s="159">
        <f>MATCH(F7,'MKT DATA'!B:B,0)</f>
        <v>44</v>
      </c>
      <c r="C7" s="158" t="str" cm="1">
        <f t="array" aca="1" ref="C7" ca="1">INDIRECT(ADDRESS($A7,2,,,"ANCHOR INPUTS"))</f>
        <v>healthcare</v>
      </c>
      <c r="D7" s="273" cm="1">
        <f t="array" aca="1" ref="D7" ca="1">INDIRECT(ADDRESS($A7,7,,,"SCALARS"))</f>
        <v>216700</v>
      </c>
      <c r="E7" s="14" t="str" cm="1">
        <f t="array" aca="1" ref="E7" ca="1">INDIRECT(ADDRESS($A7,5,,,"ANCHOR INPUTS"))</f>
        <v>VHT</v>
      </c>
      <c r="F7" s="15" t="s">
        <v>109</v>
      </c>
      <c r="G7" s="278"/>
      <c r="H7" s="31" cm="1">
        <f t="array" aca="1" ref="H7" ca="1">INDIRECT(ADDRESS($B7,9,,,"mkt data"))</f>
        <v>0</v>
      </c>
      <c r="I7" s="66">
        <f t="shared" ca="1" si="0"/>
        <v>0</v>
      </c>
      <c r="J7" s="31">
        <f t="shared" ca="1" si="1"/>
        <v>0</v>
      </c>
      <c r="K7" s="306">
        <f ca="1">SUM(J7:J8)</f>
        <v>0</v>
      </c>
      <c r="L7" s="37" cm="1">
        <f t="array" aca="1" ref="L7" ca="1">INDIRECT(ADDRESS($B7,5,,,"mkt data"))</f>
        <v>80.599999999999994</v>
      </c>
      <c r="M7" s="38" cm="1">
        <f t="array" aca="1" ref="M7" ca="1">INDIRECT(ADDRESS($B7,6,,,"mkt data"))</f>
        <v>88.68</v>
      </c>
      <c r="N7" s="181"/>
      <c r="O7" s="16">
        <f t="shared" ca="1" si="2"/>
        <v>80.594999999999999</v>
      </c>
      <c r="P7" s="16">
        <f t="shared" ca="1" si="3"/>
        <v>88.685000000000002</v>
      </c>
      <c r="Q7" s="54" cm="1">
        <f t="array" aca="1" ref="Q7" ca="1">INDIRECT(ADDRESS($A7,6,,,"scalars"))</f>
        <v>3.868846504150425</v>
      </c>
      <c r="R7" s="17">
        <f t="shared" ref="R7:R8" ca="1" si="10">O7*Q7</f>
        <v>311.80968400200351</v>
      </c>
      <c r="S7" s="17">
        <f t="shared" ca="1" si="4"/>
        <v>343.10865222058044</v>
      </c>
      <c r="T7" s="296">
        <f ca="1">R8-S7</f>
        <v>-21.113652220580434</v>
      </c>
      <c r="U7" s="292">
        <f ca="1">T7/AVERAGE(R8,S8)</f>
        <v>-6.4868280321920921E-2</v>
      </c>
      <c r="V7" s="296">
        <f ca="1">R7-S8</f>
        <v>-17.165315997996515</v>
      </c>
      <c r="W7" s="292">
        <f ca="1">V7/AVERAGE(R8,S8)</f>
        <v>-5.2737656107029553E-2</v>
      </c>
      <c r="X7" s="84">
        <f>AC7</f>
        <v>1E-3</v>
      </c>
      <c r="Y7" s="55">
        <f>AC8</f>
        <v>0</v>
      </c>
      <c r="Z7" s="55">
        <f>AD8</f>
        <v>0</v>
      </c>
      <c r="AA7" s="85">
        <f>AD7</f>
        <v>1E-3</v>
      </c>
      <c r="AC7" s="63">
        <v>1E-3</v>
      </c>
      <c r="AD7" s="64">
        <v>1E-3</v>
      </c>
      <c r="AE7" s="65" t="s">
        <v>87</v>
      </c>
    </row>
    <row r="8" spans="1:31" ht="15.75" thickBot="1" x14ac:dyDescent="0.3">
      <c r="A8" s="160">
        <f>MATCH(F8,SCALARS!C:C,0)</f>
        <v>47</v>
      </c>
      <c r="B8" s="161">
        <f>MATCH(F8,'MKT DATA'!B:B,0)</f>
        <v>62</v>
      </c>
      <c r="C8" s="160" t="str" cm="1">
        <f t="array" aca="1" ref="C8" ca="1">INDIRECT(ADDRESS($A8,2,,,"ANCHOR INPUTS"))</f>
        <v>healthcare</v>
      </c>
      <c r="D8" s="274" cm="1">
        <f t="array" aca="1" ref="D8" ca="1">INDIRECT(ADDRESS($A8,7,,,"SCALARS"))</f>
        <v>630000</v>
      </c>
      <c r="E8" s="20" t="str" cm="1">
        <f t="array" aca="1" ref="E8" ca="1">INDIRECT(ADDRESS($A8,5,,,"ANCHOR INPUTS"))</f>
        <v>VHT</v>
      </c>
      <c r="F8" s="21" t="s">
        <v>111</v>
      </c>
      <c r="G8" s="279"/>
      <c r="H8" s="33" cm="1">
        <f t="array" aca="1" ref="H8" ca="1">INDIRECT(ADDRESS($B8,9,,,"mkt data"))</f>
        <v>0</v>
      </c>
      <c r="I8" s="68">
        <f t="shared" ca="1" si="0"/>
        <v>0</v>
      </c>
      <c r="J8" s="33">
        <f t="shared" ca="1" si="1"/>
        <v>0</v>
      </c>
      <c r="K8" s="307"/>
      <c r="L8" s="41" cm="1">
        <f t="array" aca="1" ref="L8" ca="1">INDIRECT(ADDRESS($B8,5,,,"mkt data"))</f>
        <v>322</v>
      </c>
      <c r="M8" s="42" cm="1">
        <f t="array" aca="1" ref="M8" ca="1">INDIRECT(ADDRESS($B8,6,,,"mkt data"))</f>
        <v>328.97</v>
      </c>
      <c r="N8" s="182"/>
      <c r="O8" s="22">
        <f t="shared" ca="1" si="2"/>
        <v>321.995</v>
      </c>
      <c r="P8" s="22">
        <f t="shared" ca="1" si="3"/>
        <v>328.97500000000002</v>
      </c>
      <c r="Q8" s="56" cm="1">
        <f t="array" aca="1" ref="Q8" ca="1">INDIRECT(ADDRESS($A8,6,,,"scalars"))</f>
        <v>1</v>
      </c>
      <c r="R8" s="23">
        <f t="shared" ca="1" si="10"/>
        <v>321.995</v>
      </c>
      <c r="S8" s="23">
        <f t="shared" ca="1" si="4"/>
        <v>328.97500000000002</v>
      </c>
      <c r="T8" s="297"/>
      <c r="U8" s="293"/>
      <c r="V8" s="297"/>
      <c r="W8" s="293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0</v>
      </c>
      <c r="AD8" s="64">
        <v>0</v>
      </c>
      <c r="AE8" s="65" t="s">
        <v>88</v>
      </c>
    </row>
    <row r="9" spans="1:31" x14ac:dyDescent="0.25">
      <c r="A9" s="184">
        <f>MATCH(F9,SCALARS!C:C,0)</f>
        <v>48</v>
      </c>
      <c r="B9" s="185">
        <f>MATCH(F9,'MKT DATA'!B:B,0)</f>
        <v>45</v>
      </c>
      <c r="C9" s="184" t="str" cm="1">
        <f t="array" aca="1" ref="C9" ca="1">INDIRECT(ADDRESS($A9,2,,,"ANCHOR INPUTS"))</f>
        <v>industrials</v>
      </c>
      <c r="D9" s="222" cm="1">
        <f t="array" aca="1" ref="D9" ca="1">INDIRECT(ADDRESS($A9,7,,,"SCALARS"))</f>
        <v>97100</v>
      </c>
      <c r="E9" s="186" t="str" cm="1">
        <f t="array" aca="1" ref="E9" ca="1">INDIRECT(ADDRESS($A9,5,,,"ANCHOR INPUTS"))</f>
        <v>VIS</v>
      </c>
      <c r="F9" s="238" t="s">
        <v>113</v>
      </c>
      <c r="G9" s="223"/>
      <c r="H9" s="224" cm="1">
        <f t="array" aca="1" ref="H9" ca="1">INDIRECT(ADDRESS($B9,9,,,"mkt data"))</f>
        <v>0</v>
      </c>
      <c r="I9" s="225">
        <f ca="1">H9*AVERAGE(L9:M9)</f>
        <v>0</v>
      </c>
      <c r="J9" s="224">
        <f t="shared" ref="J9:J10" ca="1" si="11">H9/Q9</f>
        <v>0</v>
      </c>
      <c r="K9" s="329">
        <f ca="1">SUM(J9:J10)</f>
        <v>0</v>
      </c>
      <c r="L9" s="226" cm="1">
        <f t="array" aca="1" ref="L9" ca="1">INDIRECT(ADDRESS($B9,5,,,"mkt data"))</f>
        <v>90</v>
      </c>
      <c r="M9" s="227" cm="1">
        <f t="array" aca="1" ref="M9" ca="1">INDIRECT(ADDRESS($B9,6,,,"mkt data"))</f>
        <v>96.84</v>
      </c>
      <c r="N9" s="228"/>
      <c r="O9" s="193">
        <f ca="1">L9-O$1</f>
        <v>89.995000000000005</v>
      </c>
      <c r="P9" s="193">
        <f ca="1">M9+O$1</f>
        <v>96.844999999999999</v>
      </c>
      <c r="Q9" s="239" cm="1">
        <f t="array" aca="1" ref="Q9" ca="1">INDIRECT(ADDRESS($A9,6,,,"scalars"))</f>
        <v>3.6167811211693959</v>
      </c>
      <c r="R9" s="229">
        <f t="shared" ref="R9:R15" ca="1" si="12">O9*Q9</f>
        <v>325.49221699963982</v>
      </c>
      <c r="S9" s="229">
        <f t="shared" ref="S9:S10" ca="1" si="13">Q9*P9</f>
        <v>350.26716767965013</v>
      </c>
      <c r="T9" s="300">
        <f t="shared" ref="T9" ca="1" si="14">R10-S9</f>
        <v>-26.952167679650131</v>
      </c>
      <c r="U9" s="304">
        <f t="shared" ref="U9" ca="1" si="15">T9/AVERAGE(R10,S10)</f>
        <v>-8.0777341244530759E-2</v>
      </c>
      <c r="V9" s="300">
        <f t="shared" ref="V9" ca="1" si="16">R9-S10</f>
        <v>-18.512783000360173</v>
      </c>
      <c r="W9" s="304">
        <f t="shared" ref="W9" ca="1" si="17">V9/AVERAGE(R10,S10)</f>
        <v>-5.5483974705868772E-2</v>
      </c>
      <c r="X9" s="196"/>
      <c r="Y9" s="197"/>
      <c r="Z9" s="197"/>
      <c r="AA9" s="198"/>
      <c r="AC9" s="63"/>
      <c r="AD9" s="64"/>
      <c r="AE9" s="65" t="s">
        <v>87</v>
      </c>
    </row>
    <row r="10" spans="1:31" ht="15.75" thickBot="1" x14ac:dyDescent="0.3">
      <c r="A10" s="199">
        <f>MATCH(F10,SCALARS!C:C,0)</f>
        <v>49</v>
      </c>
      <c r="B10" s="200">
        <f>MATCH(F10,'MKT DATA'!B:B,0)</f>
        <v>63</v>
      </c>
      <c r="C10" s="199" t="str" cm="1">
        <f t="array" aca="1" ref="C10" ca="1">INDIRECT(ADDRESS($A10,2,,,"ANCHOR INPUTS"))</f>
        <v>industrials</v>
      </c>
      <c r="D10" s="230" cm="1">
        <f t="array" aca="1" ref="D10" ca="1">INDIRECT(ADDRESS($A10,7,,,"SCALARS"))</f>
        <v>217600</v>
      </c>
      <c r="E10" s="201" t="str" cm="1">
        <f t="array" aca="1" ref="E10" ca="1">INDIRECT(ADDRESS($A10,5,,,"ANCHOR INPUTS"))</f>
        <v>VIS</v>
      </c>
      <c r="F10" s="240" t="s">
        <v>141</v>
      </c>
      <c r="G10" s="231"/>
      <c r="H10" s="232" cm="1">
        <f t="array" aca="1" ref="H10" ca="1">INDIRECT(ADDRESS($B10,9,,,"mkt data"))</f>
        <v>0</v>
      </c>
      <c r="I10" s="233">
        <f ca="1">H10*AVERAGE(L10:M10)</f>
        <v>0</v>
      </c>
      <c r="J10" s="232">
        <f t="shared" ca="1" si="11"/>
        <v>0</v>
      </c>
      <c r="K10" s="330"/>
      <c r="L10" s="234" cm="1">
        <f t="array" aca="1" ref="L10" ca="1">INDIRECT(ADDRESS($B10,5,,,"mkt data"))</f>
        <v>323.32</v>
      </c>
      <c r="M10" s="235" cm="1">
        <f t="array" aca="1" ref="M10" ca="1">INDIRECT(ADDRESS($B10,6,,,"mkt data"))</f>
        <v>344</v>
      </c>
      <c r="N10" s="236"/>
      <c r="O10" s="208">
        <f ca="1">L10-O$1</f>
        <v>323.315</v>
      </c>
      <c r="P10" s="208">
        <f ca="1">M10+O$1</f>
        <v>344.005</v>
      </c>
      <c r="Q10" s="241" cm="1">
        <f t="array" aca="1" ref="Q10" ca="1">INDIRECT(ADDRESS($A10,6,,,"scalars"))</f>
        <v>1</v>
      </c>
      <c r="R10" s="237">
        <f t="shared" ca="1" si="12"/>
        <v>323.315</v>
      </c>
      <c r="S10" s="237">
        <f t="shared" ca="1" si="13"/>
        <v>344.005</v>
      </c>
      <c r="T10" s="301"/>
      <c r="U10" s="305"/>
      <c r="V10" s="301"/>
      <c r="W10" s="305"/>
      <c r="X10" s="211"/>
      <c r="Y10" s="212"/>
      <c r="Z10" s="212"/>
      <c r="AA10" s="213"/>
      <c r="AC10" s="64"/>
      <c r="AD10" s="64"/>
      <c r="AE10" s="65" t="s">
        <v>88</v>
      </c>
    </row>
    <row r="11" spans="1:31" x14ac:dyDescent="0.25">
      <c r="A11" s="158">
        <f>MATCH(F11,SCALARS!C:C,0)</f>
        <v>50</v>
      </c>
      <c r="B11" s="159">
        <f>MATCH(F11,'MKT DATA'!B:B,0)</f>
        <v>46</v>
      </c>
      <c r="C11" s="158" t="str" cm="1">
        <f t="array" aca="1" ref="C11" ca="1">INDIRECT(ADDRESS($A11,2,,,"ANCHOR INPUTS"))</f>
        <v>real estate</v>
      </c>
      <c r="D11" s="273" cm="1">
        <f t="array" aca="1" ref="D11" ca="1">INDIRECT(ADDRESS($A11,7,,,"SCALARS"))</f>
        <v>281500</v>
      </c>
      <c r="E11" s="14" t="str" cm="1">
        <f t="array" aca="1" ref="E11" ca="1">INDIRECT(ADDRESS($A11,5,,,"ANCHOR INPUTS"))</f>
        <v>VNQ</v>
      </c>
      <c r="F11" s="15" t="s">
        <v>115</v>
      </c>
      <c r="G11" s="278"/>
      <c r="H11" s="31" cm="1">
        <f t="array" aca="1" ref="H11" ca="1">INDIRECT(ADDRESS($B11,9,,,"mkt data"))</f>
        <v>0</v>
      </c>
      <c r="I11" s="66">
        <f t="shared" ca="1" si="0"/>
        <v>0</v>
      </c>
      <c r="J11" s="31">
        <f t="shared" ca="1" si="1"/>
        <v>0</v>
      </c>
      <c r="K11" s="306">
        <f ca="1">SUM(J11:J12)</f>
        <v>0</v>
      </c>
      <c r="L11" s="37" cm="1">
        <f t="array" aca="1" ref="L11" ca="1">INDIRECT(ADDRESS($B11,5,,,"mkt data"))</f>
        <v>27.75</v>
      </c>
      <c r="M11" s="38" cm="1">
        <f t="array" aca="1" ref="M11" ca="1">INDIRECT(ADDRESS($B11,6,,,"mkt data"))</f>
        <v>30.37</v>
      </c>
      <c r="N11" s="181"/>
      <c r="O11" s="16">
        <f t="shared" ca="1" si="2"/>
        <v>27.745000000000001</v>
      </c>
      <c r="P11" s="16">
        <f t="shared" ca="1" si="3"/>
        <v>30.375</v>
      </c>
      <c r="Q11" s="54" cm="1">
        <f t="array" aca="1" ref="Q11" ca="1">INDIRECT(ADDRESS($A11,6,,,"scalars"))</f>
        <v>3.293484248093324</v>
      </c>
      <c r="R11" s="17">
        <f t="shared" ca="1" si="12"/>
        <v>91.377720463349277</v>
      </c>
      <c r="S11" s="17">
        <f t="shared" ref="S11:S16" ca="1" si="18">Q11*P11</f>
        <v>100.03958403583472</v>
      </c>
      <c r="T11" s="296">
        <f t="shared" ref="T11" ca="1" si="19">R12-S11</f>
        <v>-4.5445840358347169</v>
      </c>
      <c r="U11" s="292">
        <f t="shared" ref="U11" ca="1" si="20">T11/AVERAGE(R12,S12)</f>
        <v>-4.7423395970309055E-2</v>
      </c>
      <c r="V11" s="296">
        <f t="shared" ref="V11" ca="1" si="21">R11-S12</f>
        <v>-4.7872795366507148</v>
      </c>
      <c r="W11" s="292">
        <f t="shared" ref="W11" ca="1" si="22">V11/AVERAGE(R12,S12)</f>
        <v>-4.9955958850576174E-2</v>
      </c>
      <c r="X11" s="84">
        <f>AC11</f>
        <v>1E-3</v>
      </c>
      <c r="Y11" s="55">
        <f>AC12</f>
        <v>0</v>
      </c>
      <c r="Z11" s="55">
        <f>AD12</f>
        <v>0</v>
      </c>
      <c r="AA11" s="85">
        <f>AD11</f>
        <v>1E-3</v>
      </c>
      <c r="AC11" s="63">
        <v>1E-3</v>
      </c>
      <c r="AD11" s="64">
        <v>1E-3</v>
      </c>
      <c r="AE11" s="65" t="s">
        <v>87</v>
      </c>
    </row>
    <row r="12" spans="1:31" ht="15.75" thickBot="1" x14ac:dyDescent="0.3">
      <c r="A12" s="160">
        <f>MATCH(F12,SCALARS!C:C,0)</f>
        <v>51</v>
      </c>
      <c r="B12" s="161">
        <f>MATCH(F12,'MKT DATA'!B:B,0)</f>
        <v>64</v>
      </c>
      <c r="C12" s="160" t="str" cm="1">
        <f t="array" aca="1" ref="C12" ca="1">INDIRECT(ADDRESS($A12,2,,,"ANCHOR INPUTS"))</f>
        <v>real estate</v>
      </c>
      <c r="D12" s="274" cm="1">
        <f t="array" aca="1" ref="D12" ca="1">INDIRECT(ADDRESS($A12,7,,,"SCALARS"))</f>
        <v>3120800</v>
      </c>
      <c r="E12" s="20" t="str" cm="1">
        <f t="array" aca="1" ref="E12" ca="1">INDIRECT(ADDRESS($A12,5,,,"ANCHOR INPUTS"))</f>
        <v>VNQ</v>
      </c>
      <c r="F12" s="21" t="s">
        <v>117</v>
      </c>
      <c r="G12" s="279"/>
      <c r="H12" s="33" cm="1">
        <f t="array" aca="1" ref="H12" ca="1">INDIRECT(ADDRESS($B12,9,,,"mkt data"))</f>
        <v>0</v>
      </c>
      <c r="I12" s="68">
        <f t="shared" ca="1" si="0"/>
        <v>0</v>
      </c>
      <c r="J12" s="33">
        <f t="shared" ca="1" si="1"/>
        <v>0</v>
      </c>
      <c r="K12" s="307"/>
      <c r="L12" s="41" cm="1">
        <f t="array" aca="1" ref="L12" ca="1">INDIRECT(ADDRESS($B12,5,,,"mkt data"))</f>
        <v>95.5</v>
      </c>
      <c r="M12" s="42" cm="1">
        <f t="array" aca="1" ref="M12" ca="1">INDIRECT(ADDRESS($B12,6,,,"mkt data"))</f>
        <v>96.16</v>
      </c>
      <c r="N12" s="182"/>
      <c r="O12" s="22">
        <f t="shared" ca="1" si="2"/>
        <v>95.495000000000005</v>
      </c>
      <c r="P12" s="22">
        <f t="shared" ca="1" si="3"/>
        <v>96.164999999999992</v>
      </c>
      <c r="Q12" s="56" cm="1">
        <f t="array" aca="1" ref="Q12" ca="1">INDIRECT(ADDRESS($A12,6,,,"scalars"))</f>
        <v>1</v>
      </c>
      <c r="R12" s="23">
        <f t="shared" ca="1" si="12"/>
        <v>95.495000000000005</v>
      </c>
      <c r="S12" s="23">
        <f t="shared" ca="1" si="18"/>
        <v>96.164999999999992</v>
      </c>
      <c r="T12" s="297"/>
      <c r="U12" s="293"/>
      <c r="V12" s="297"/>
      <c r="W12" s="293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0</v>
      </c>
      <c r="AD12" s="64">
        <v>0</v>
      </c>
      <c r="AE12" s="65" t="s">
        <v>88</v>
      </c>
    </row>
    <row r="13" spans="1:31" x14ac:dyDescent="0.25">
      <c r="A13" s="158">
        <f>MATCH(F13,SCALARS!C:C,0)</f>
        <v>52</v>
      </c>
      <c r="B13" s="159">
        <f>MATCH(F13,'MKT DATA'!B:B,0)</f>
        <v>47</v>
      </c>
      <c r="C13" s="158" t="str" cm="1">
        <f t="array" aca="1" ref="C13" ca="1">INDIRECT(ADDRESS($A13,2,,,"ANCHOR INPUTS"))</f>
        <v>staples</v>
      </c>
      <c r="D13" s="273" cm="1">
        <f t="array" aca="1" ref="D13" ca="1">INDIRECT(ADDRESS($A13,7,,,"SCALARS"))</f>
        <v>117400</v>
      </c>
      <c r="E13" s="14" t="str" cm="1">
        <f t="array" aca="1" ref="E13" ca="1">INDIRECT(ADDRESS($A13,5,,,"ANCHOR INPUTS"))</f>
        <v>VDC</v>
      </c>
      <c r="F13" s="15" t="s">
        <v>99</v>
      </c>
      <c r="G13" s="278"/>
      <c r="H13" s="31" cm="1">
        <f t="array" aca="1" ref="H13" ca="1">INDIRECT(ADDRESS($B13,9,,,"mkt data"))</f>
        <v>0</v>
      </c>
      <c r="I13" s="66">
        <f t="shared" ca="1" si="0"/>
        <v>0</v>
      </c>
      <c r="J13" s="31">
        <f t="shared" ca="1" si="1"/>
        <v>0</v>
      </c>
      <c r="K13" s="316">
        <f ca="1">SUM(J13:J14)</f>
        <v>0</v>
      </c>
      <c r="L13" s="37" cm="1">
        <f t="array" aca="1" ref="L13" ca="1">INDIRECT(ADDRESS($B13,5,,,"mkt data"))</f>
        <v>53</v>
      </c>
      <c r="M13" s="38" cm="1">
        <f t="array" aca="1" ref="M13" ca="1">INDIRECT(ADDRESS($B13,6,,,"mkt data"))</f>
        <v>55</v>
      </c>
      <c r="N13" s="181"/>
      <c r="O13" s="16">
        <f t="shared" ca="1" si="2"/>
        <v>52.994999999999997</v>
      </c>
      <c r="P13" s="16">
        <f t="shared" ca="1" si="3"/>
        <v>55.005000000000003</v>
      </c>
      <c r="Q13" s="54" cm="1">
        <f t="array" aca="1" ref="Q13" ca="1">INDIRECT(ADDRESS($A13,6,,,"scalars"))</f>
        <v>4.2918353865450012</v>
      </c>
      <c r="R13" s="17">
        <f t="shared" ca="1" si="12"/>
        <v>227.44581630995233</v>
      </c>
      <c r="S13" s="17">
        <f t="shared" ca="1" si="18"/>
        <v>236.07240543690781</v>
      </c>
      <c r="T13" s="296">
        <f t="shared" ref="T13" ca="1" si="23">R14-S13</f>
        <v>-8.0774054369078101</v>
      </c>
      <c r="U13" s="292">
        <f t="shared" ref="U13" ca="1" si="24">T13/AVERAGE(R14,S14)</f>
        <v>-3.4775182162987021E-2</v>
      </c>
      <c r="V13" s="296">
        <f t="shared" ref="V13" ca="1" si="25">R13-S14</f>
        <v>-9.1091836900476721</v>
      </c>
      <c r="W13" s="292">
        <f t="shared" ref="W13" ca="1" si="26">V13/AVERAGE(R14,S14)</f>
        <v>-3.9217236853073607E-2</v>
      </c>
      <c r="X13" s="84">
        <f>AC13</f>
        <v>1E-3</v>
      </c>
      <c r="Y13" s="55">
        <f>AC14</f>
        <v>0</v>
      </c>
      <c r="Z13" s="55">
        <f>AD14</f>
        <v>0</v>
      </c>
      <c r="AA13" s="85">
        <f>AD13</f>
        <v>1E-3</v>
      </c>
      <c r="AC13" s="63">
        <v>1E-3</v>
      </c>
      <c r="AD13" s="64">
        <v>1E-3</v>
      </c>
      <c r="AE13" s="65" t="s">
        <v>87</v>
      </c>
    </row>
    <row r="14" spans="1:31" ht="15.75" thickBot="1" x14ac:dyDescent="0.3">
      <c r="A14" s="160">
        <f>MATCH(F14,SCALARS!C:C,0)</f>
        <v>53</v>
      </c>
      <c r="B14" s="161">
        <f>MATCH(F14,'MKT DATA'!B:B,0)</f>
        <v>65</v>
      </c>
      <c r="C14" s="160" t="str" cm="1">
        <f t="array" aca="1" ref="C14" ca="1">INDIRECT(ADDRESS($A14,2,,,"ANCHOR INPUTS"))</f>
        <v>staples</v>
      </c>
      <c r="D14" s="274" cm="1">
        <f t="array" aca="1" ref="D14" ca="1">INDIRECT(ADDRESS($A14,7,,,"SCALARS"))</f>
        <v>152800</v>
      </c>
      <c r="E14" s="20" t="str" cm="1">
        <f t="array" aca="1" ref="E14" ca="1">INDIRECT(ADDRESS($A14,5,,,"ANCHOR INPUTS"))</f>
        <v>VDC</v>
      </c>
      <c r="F14" s="21" t="s">
        <v>100</v>
      </c>
      <c r="G14" s="279"/>
      <c r="H14" s="33" cm="1">
        <f t="array" aca="1" ref="H14" ca="1">INDIRECT(ADDRESS($B14,9,,,"mkt data"))</f>
        <v>0</v>
      </c>
      <c r="I14" s="68">
        <f t="shared" ref="I14" ca="1" si="27">H14*AVERAGE(L14:M14)</f>
        <v>0</v>
      </c>
      <c r="J14" s="33">
        <f t="shared" ca="1" si="1"/>
        <v>0</v>
      </c>
      <c r="K14" s="317"/>
      <c r="L14" s="41" cm="1">
        <f t="array" aca="1" ref="L14" ca="1">INDIRECT(ADDRESS($B14,5,,,"mkt data"))</f>
        <v>228</v>
      </c>
      <c r="M14" s="42" cm="1">
        <f t="array" aca="1" ref="M14" ca="1">INDIRECT(ADDRESS($B14,6,,,"mkt data"))</f>
        <v>236.55</v>
      </c>
      <c r="N14" s="182"/>
      <c r="O14" s="22">
        <f t="shared" ca="1" si="2"/>
        <v>227.995</v>
      </c>
      <c r="P14" s="22">
        <f t="shared" ca="1" si="3"/>
        <v>236.55500000000001</v>
      </c>
      <c r="Q14" s="56" cm="1">
        <f t="array" aca="1" ref="Q14" ca="1">INDIRECT(ADDRESS($A14,6,,,"scalars"))</f>
        <v>1</v>
      </c>
      <c r="R14" s="23">
        <f t="shared" ca="1" si="12"/>
        <v>227.995</v>
      </c>
      <c r="S14" s="23">
        <f t="shared" ca="1" si="18"/>
        <v>236.55500000000001</v>
      </c>
      <c r="T14" s="297"/>
      <c r="U14" s="293"/>
      <c r="V14" s="297"/>
      <c r="W14" s="293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64">
        <v>0</v>
      </c>
      <c r="AD14" s="64">
        <v>0</v>
      </c>
      <c r="AE14" s="65" t="s">
        <v>88</v>
      </c>
    </row>
    <row r="15" spans="1:31" x14ac:dyDescent="0.25">
      <c r="A15" s="158">
        <f>MATCH(F15,SCALARS!C:C,0)</f>
        <v>55</v>
      </c>
      <c r="B15" s="159">
        <f>MATCH(F15,'MKT DATA'!B:B,0)</f>
        <v>66</v>
      </c>
      <c r="C15" s="158" t="str" cm="1">
        <f t="array" aca="1" ref="C15" ca="1">INDIRECT(ADDRESS($A15,2,,,"ANCHOR INPUTS"))</f>
        <v>technology</v>
      </c>
      <c r="D15" s="273" cm="1">
        <f t="array" aca="1" ref="D15" ca="1">INDIRECT(ADDRESS($A15,7,,,"SCALARS"))</f>
        <v>11124800</v>
      </c>
      <c r="E15" s="14" t="str" cm="1">
        <f t="array" aca="1" ref="E15" ca="1">INDIRECT(ADDRESS($A15,5,,,"ANCHOR INPUTS"))</f>
        <v>FTEC</v>
      </c>
      <c r="F15" s="177" t="s">
        <v>121</v>
      </c>
      <c r="G15" s="278"/>
      <c r="H15" s="31" cm="1">
        <f t="array" aca="1" ref="H15" ca="1">INDIRECT(ADDRESS($B15,9,,,"mkt data"))</f>
        <v>0</v>
      </c>
      <c r="I15" s="66">
        <f ca="1">H15*AVERAGE(L15:M15)</f>
        <v>0</v>
      </c>
      <c r="J15" s="31">
        <f t="shared" ca="1" si="1"/>
        <v>0</v>
      </c>
      <c r="K15" s="316">
        <f ca="1">SUM(J15:J16)</f>
        <v>0</v>
      </c>
      <c r="L15" s="37" cm="1">
        <f t="array" aca="1" ref="L15" ca="1">INDIRECT(ADDRESS($B15,5,,,"mkt data"))</f>
        <v>118.8</v>
      </c>
      <c r="M15" s="38" cm="1">
        <f t="array" aca="1" ref="M15" ca="1">INDIRECT(ADDRESS($B15,6,,,"mkt data"))</f>
        <v>118.92</v>
      </c>
      <c r="N15" s="181"/>
      <c r="O15" s="16">
        <f t="shared" ca="1" si="2"/>
        <v>118.795</v>
      </c>
      <c r="P15" s="16">
        <f t="shared" ca="1" si="3"/>
        <v>118.925</v>
      </c>
      <c r="Q15" s="175" cm="1">
        <f t="array" aca="1" ref="Q15" ca="1">INDIRECT(ADDRESS($A15,6,,,"scalars"))</f>
        <v>2.3864359326393201</v>
      </c>
      <c r="R15" s="17">
        <f t="shared" ca="1" si="12"/>
        <v>283.49665661788805</v>
      </c>
      <c r="S15" s="17">
        <f t="shared" ca="1" si="18"/>
        <v>283.80689328913115</v>
      </c>
      <c r="T15" s="296">
        <f t="shared" ref="T15" ca="1" si="28">R16-S15</f>
        <v>-1.0518932891311579</v>
      </c>
      <c r="U15" s="292">
        <f t="shared" ref="U15" ca="1" si="29">T15/AVERAGE(R16,S16)</f>
        <v>-3.6994207256494257E-3</v>
      </c>
      <c r="V15" s="296">
        <f t="shared" ref="V15" ca="1" si="30">R15-S16</f>
        <v>-2.4283433821119615</v>
      </c>
      <c r="W15" s="292">
        <f t="shared" ref="W15" ca="1" si="31">V15/AVERAGE(R16,S16)</f>
        <v>-8.5402805870154093E-3</v>
      </c>
      <c r="X15" s="84">
        <f>AC15</f>
        <v>1E-3</v>
      </c>
      <c r="Y15" s="55">
        <f>AC16</f>
        <v>0</v>
      </c>
      <c r="Z15" s="55">
        <f>AD16</f>
        <v>0</v>
      </c>
      <c r="AA15" s="85">
        <f>AD15</f>
        <v>1E-3</v>
      </c>
      <c r="AC15" s="63">
        <v>1E-3</v>
      </c>
      <c r="AD15" s="64">
        <v>1E-3</v>
      </c>
      <c r="AE15" s="65" t="s">
        <v>87</v>
      </c>
    </row>
    <row r="16" spans="1:31" ht="15.75" thickBot="1" x14ac:dyDescent="0.3">
      <c r="A16" s="160">
        <f>MATCH(F16,SCALARS!C:C,0)</f>
        <v>54</v>
      </c>
      <c r="B16" s="161">
        <f>MATCH(F16,'MKT DATA'!B:B,0)</f>
        <v>48</v>
      </c>
      <c r="C16" s="160" t="str" cm="1">
        <f t="array" aca="1" ref="C16" ca="1">INDIRECT(ADDRESS($A16,2,,,"ANCHOR INPUTS"))</f>
        <v>technology</v>
      </c>
      <c r="D16" s="274" cm="1">
        <f t="array" aca="1" ref="D16" ca="1">INDIRECT(ADDRESS($A16,7,,,"SCALARS"))</f>
        <v>310800</v>
      </c>
      <c r="E16" s="20" t="str" cm="1">
        <f t="array" aca="1" ref="E16" ca="1">INDIRECT(ADDRESS($A16,5,,,"ANCHOR INPUTS"))</f>
        <v>FTEC</v>
      </c>
      <c r="F16" s="178" t="s">
        <v>119</v>
      </c>
      <c r="G16" s="279"/>
      <c r="H16" s="33" cm="1">
        <f t="array" aca="1" ref="H16" ca="1">INDIRECT(ADDRESS($B16,9,,,"mkt data"))</f>
        <v>0</v>
      </c>
      <c r="I16" s="68">
        <f ca="1">H16*AVERAGE(L16:M16)</f>
        <v>0</v>
      </c>
      <c r="J16" s="33">
        <f t="shared" ca="1" si="1"/>
        <v>0</v>
      </c>
      <c r="K16" s="317"/>
      <c r="L16" s="41" cm="1">
        <f t="array" aca="1" ref="L16" ca="1">INDIRECT(ADDRESS($B16,5,,,"mkt data"))</f>
        <v>282.76</v>
      </c>
      <c r="M16" s="42" cm="1">
        <f t="array" aca="1" ref="M16" ca="1">INDIRECT(ADDRESS($B16,6,,,"mkt data"))</f>
        <v>285.92</v>
      </c>
      <c r="N16" s="182"/>
      <c r="O16" s="22">
        <f t="shared" ca="1" si="2"/>
        <v>282.755</v>
      </c>
      <c r="P16" s="22">
        <f t="shared" ca="1" si="3"/>
        <v>285.92500000000001</v>
      </c>
      <c r="Q16" s="176" cm="1">
        <f t="array" aca="1" ref="Q16" ca="1">INDIRECT(ADDRESS($A16,6,,,"scalars"))</f>
        <v>1</v>
      </c>
      <c r="R16" s="23">
        <f t="shared" ref="R16" ca="1" si="32">O16*Q16</f>
        <v>282.755</v>
      </c>
      <c r="S16" s="23">
        <f t="shared" ca="1" si="18"/>
        <v>285.92500000000001</v>
      </c>
      <c r="T16" s="297"/>
      <c r="U16" s="293"/>
      <c r="V16" s="297"/>
      <c r="W16" s="293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64">
        <v>0</v>
      </c>
      <c r="AD16" s="64">
        <v>0</v>
      </c>
      <c r="AE16" s="65" t="s">
        <v>88</v>
      </c>
    </row>
    <row r="17" spans="1:31" x14ac:dyDescent="0.25">
      <c r="A17" s="158">
        <f>MATCH(F17,SCALARS!C:C,0)</f>
        <v>56</v>
      </c>
      <c r="B17" s="159">
        <f>MATCH(F17,'MKT DATA'!B:B,0)</f>
        <v>49</v>
      </c>
      <c r="C17" s="158" t="str" cm="1">
        <f t="array" aca="1" ref="C17" ca="1">INDIRECT(ADDRESS($A17,2,,,"ANCHOR INPUTS"))</f>
        <v>utilities</v>
      </c>
      <c r="D17" s="273" cm="1">
        <f t="array" aca="1" ref="D17" ca="1">INDIRECT(ADDRESS($A17,7,,,"SCALARS"))</f>
        <v>377100</v>
      </c>
      <c r="E17" s="14" t="str" cm="1">
        <f t="array" aca="1" ref="E17" ca="1">INDIRECT(ADDRESS($A17,5,,,"ANCHOR INPUTS"))</f>
        <v>VPU</v>
      </c>
      <c r="F17" s="15" t="s">
        <v>123</v>
      </c>
      <c r="G17" s="278"/>
      <c r="H17" s="31" cm="1">
        <f t="array" aca="1" ref="H17" ca="1">INDIRECT(ADDRESS($B17,9,,,"mkt data"))</f>
        <v>0</v>
      </c>
      <c r="I17" s="66">
        <f ca="1">H17*AVERAGE(L17:M17)</f>
        <v>0</v>
      </c>
      <c r="J17" s="31">
        <f t="shared" ca="1" si="1"/>
        <v>0</v>
      </c>
      <c r="K17" s="294">
        <f ca="1">SUM(J17:J18)</f>
        <v>0</v>
      </c>
      <c r="L17" s="37" cm="1">
        <f t="array" aca="1" ref="L17" ca="1">INDIRECT(ADDRESS($B17,5,,,"mkt data"))</f>
        <v>52.49</v>
      </c>
      <c r="M17" s="38" cm="1">
        <f t="array" aca="1" ref="M17" ca="1">INDIRECT(ADDRESS($B17,6,,,"mkt data"))</f>
        <v>57</v>
      </c>
      <c r="N17" s="181"/>
      <c r="O17" s="16">
        <f t="shared" ca="1" si="2"/>
        <v>52.484999999999999</v>
      </c>
      <c r="P17" s="16">
        <f t="shared" ca="1" si="3"/>
        <v>57.005000000000003</v>
      </c>
      <c r="Q17" s="54" cm="1">
        <f t="array" aca="1" ref="Q17" ca="1">INDIRECT(ADDRESS($A17,6,,,"scalars"))</f>
        <v>3.3501955507584049</v>
      </c>
      <c r="R17" s="17">
        <f ca="1">O17*Q17</f>
        <v>175.83501348155488</v>
      </c>
      <c r="S17" s="17">
        <f t="shared" ref="S17:S18" ca="1" si="33">Q17*P17</f>
        <v>190.97789737098287</v>
      </c>
      <c r="T17" s="296">
        <f t="shared" ref="T17" ca="1" si="34">R18-S17</f>
        <v>-6.9828973709828688</v>
      </c>
      <c r="U17" s="292">
        <f t="shared" ref="U17" ca="1" si="35">T17/AVERAGE(R18,S18)</f>
        <v>-3.7615262718071911E-2</v>
      </c>
      <c r="V17" s="296">
        <f t="shared" ref="V17" ca="1" si="36">R17-S18</f>
        <v>-11.449986518445115</v>
      </c>
      <c r="W17" s="292">
        <f t="shared" ref="W17" ca="1" si="37">V17/AVERAGE(R18,S18)</f>
        <v>-6.167844493883385E-2</v>
      </c>
      <c r="X17" s="84">
        <f>AC17</f>
        <v>1E-3</v>
      </c>
      <c r="Y17" s="55">
        <f>AC18</f>
        <v>0</v>
      </c>
      <c r="Z17" s="55">
        <f>AD18</f>
        <v>0</v>
      </c>
      <c r="AA17" s="85">
        <f>AD17</f>
        <v>1E-3</v>
      </c>
      <c r="AC17" s="63">
        <v>1E-3</v>
      </c>
      <c r="AD17" s="64">
        <v>1E-3</v>
      </c>
      <c r="AE17" s="65" t="s">
        <v>87</v>
      </c>
    </row>
    <row r="18" spans="1:31" ht="15.75" thickBot="1" x14ac:dyDescent="0.3">
      <c r="A18" s="160">
        <f>MATCH(F18,SCALARS!C:C,0)</f>
        <v>57</v>
      </c>
      <c r="B18" s="161">
        <f>MATCH(F18,'MKT DATA'!B:B,0)</f>
        <v>67</v>
      </c>
      <c r="C18" s="160" t="str" cm="1">
        <f t="array" aca="1" ref="C18" ca="1">INDIRECT(ADDRESS($A18,2,,,"ANCHOR INPUTS"))</f>
        <v>utilities</v>
      </c>
      <c r="D18" s="274" cm="1">
        <f t="array" aca="1" ref="D18" ca="1">INDIRECT(ADDRESS($A18,7,,,"SCALARS"))</f>
        <v>244400</v>
      </c>
      <c r="E18" s="20" t="str" cm="1">
        <f t="array" aca="1" ref="E18" ca="1">INDIRECT(ADDRESS($A18,5,,,"ANCHOR INPUTS"))</f>
        <v>VPU</v>
      </c>
      <c r="F18" s="21" t="s">
        <v>125</v>
      </c>
      <c r="G18" s="279"/>
      <c r="H18" s="33" cm="1">
        <f t="array" aca="1" ref="H18" ca="1">INDIRECT(ADDRESS($B18,9,,,"mkt data"))</f>
        <v>0</v>
      </c>
      <c r="I18" s="68">
        <f ca="1">H18*AVERAGE(L18:M18)</f>
        <v>0</v>
      </c>
      <c r="J18" s="33">
        <f t="shared" ca="1" si="1"/>
        <v>0</v>
      </c>
      <c r="K18" s="295"/>
      <c r="L18" s="41" cm="1">
        <f t="array" aca="1" ref="L18" ca="1">INDIRECT(ADDRESS($B18,5,,,"mkt data"))</f>
        <v>184</v>
      </c>
      <c r="M18" s="42" cm="1">
        <f t="array" aca="1" ref="M18" ca="1">INDIRECT(ADDRESS($B18,6,,,"mkt data"))</f>
        <v>187.28</v>
      </c>
      <c r="N18" s="182"/>
      <c r="O18" s="22">
        <f t="shared" ca="1" si="2"/>
        <v>183.995</v>
      </c>
      <c r="P18" s="22">
        <f t="shared" ca="1" si="3"/>
        <v>187.285</v>
      </c>
      <c r="Q18" s="56" cm="1">
        <f t="array" aca="1" ref="Q18" ca="1">INDIRECT(ADDRESS($A18,6,,,"scalars"))</f>
        <v>1</v>
      </c>
      <c r="R18" s="23">
        <f t="shared" ref="R18" ca="1" si="38">O18*Q18</f>
        <v>183.995</v>
      </c>
      <c r="S18" s="23">
        <f t="shared" ca="1" si="33"/>
        <v>187.285</v>
      </c>
      <c r="T18" s="297"/>
      <c r="U18" s="293"/>
      <c r="V18" s="297"/>
      <c r="W18" s="293"/>
      <c r="X18" s="86" t="b">
        <f ca="1">IF(U17&gt;X17,TRUE,FALSE)</f>
        <v>0</v>
      </c>
      <c r="Y18" s="57" t="b">
        <f ca="1">AND(IF(W17&gt;-Y17,TRUE,FALSE),IF(H17&gt;0,TRUE,FALSE))</f>
        <v>0</v>
      </c>
      <c r="Z18" s="57" t="b">
        <f ca="1">AND(IF(U17&gt;-Z17,TRUE,FALSE),IF(H17&lt;0,TRUE,FALSE))</f>
        <v>0</v>
      </c>
      <c r="AA18" s="87" t="b">
        <f ca="1">IF(W17&gt;AA17,TRUE,FALSE)</f>
        <v>0</v>
      </c>
      <c r="AC18" s="64">
        <v>0</v>
      </c>
      <c r="AD18" s="64">
        <v>0</v>
      </c>
      <c r="AE18" s="65" t="s">
        <v>88</v>
      </c>
    </row>
    <row r="19" spans="1:31" ht="15.75" thickBot="1" x14ac:dyDescent="0.3">
      <c r="A19" s="326" t="str">
        <f>'MKT DATA'!K2</f>
        <v>2026-09-02_16-28-11</v>
      </c>
      <c r="B19" s="326"/>
      <c r="C19" s="326"/>
      <c r="D19" s="275"/>
    </row>
    <row r="20" spans="1:31" x14ac:dyDescent="0.25">
      <c r="A20" s="318" t="str">
        <f>A1</f>
        <v>rows</v>
      </c>
      <c r="B20" s="319">
        <f>B1</f>
        <v>0</v>
      </c>
      <c r="C20" s="174"/>
      <c r="D20" s="276"/>
      <c r="E20" s="71"/>
      <c r="F20" s="71"/>
      <c r="G20" s="89"/>
      <c r="H20" s="320" t="str">
        <f t="shared" ref="H20:M21" si="39">H1</f>
        <v>current position</v>
      </c>
      <c r="I20" s="320">
        <f t="shared" si="39"/>
        <v>0</v>
      </c>
      <c r="J20" s="320">
        <f t="shared" si="39"/>
        <v>0</v>
      </c>
      <c r="K20" s="321">
        <f t="shared" si="39"/>
        <v>0</v>
      </c>
      <c r="L20" s="322" t="str">
        <f t="shared" si="39"/>
        <v>mkt prices</v>
      </c>
      <c r="M20" s="323">
        <f t="shared" si="39"/>
        <v>0</v>
      </c>
      <c r="N20" s="179"/>
      <c r="O20" s="324">
        <f>O1</f>
        <v>5.0000000000000001E-3</v>
      </c>
      <c r="P20" s="324">
        <f>P1</f>
        <v>0</v>
      </c>
      <c r="Q20" s="43"/>
      <c r="R20" s="325" t="str">
        <f t="shared" ref="R20:AA20" si="40">R1</f>
        <v>unit cf</v>
      </c>
      <c r="S20" s="312">
        <f t="shared" si="40"/>
        <v>0</v>
      </c>
      <c r="T20" s="311" t="str">
        <f t="shared" si="40"/>
        <v>lift top/hit bottom</v>
      </c>
      <c r="U20" s="312">
        <f t="shared" si="40"/>
        <v>0</v>
      </c>
      <c r="V20" s="313" t="str">
        <f t="shared" si="40"/>
        <v>hit top/lift bottom</v>
      </c>
      <c r="W20" s="314">
        <f t="shared" si="40"/>
        <v>0</v>
      </c>
      <c r="X20" s="49" t="str">
        <f t="shared" si="40"/>
        <v>enter</v>
      </c>
      <c r="Y20" s="51" t="str">
        <f t="shared" si="40"/>
        <v>exit</v>
      </c>
      <c r="Z20" s="51" t="str">
        <f t="shared" si="40"/>
        <v>exit</v>
      </c>
      <c r="AA20" s="50" t="str">
        <f t="shared" si="40"/>
        <v>enter</v>
      </c>
      <c r="AC20" s="315" t="s">
        <v>91</v>
      </c>
      <c r="AD20" s="315"/>
      <c r="AE20" s="60"/>
    </row>
    <row r="21" spans="1:31" ht="15.75" thickBot="1" x14ac:dyDescent="0.3">
      <c r="A21" s="35" t="str">
        <f>A2</f>
        <v>admin</v>
      </c>
      <c r="B21" s="36" t="str">
        <f>B2</f>
        <v>mkt data</v>
      </c>
      <c r="C21" s="35" t="str">
        <f>C2</f>
        <v>sector</v>
      </c>
      <c r="D21" s="277" t="str">
        <f>D2</f>
        <v>adv</v>
      </c>
      <c r="E21" s="148" t="str">
        <f>E2</f>
        <v>anchor</v>
      </c>
      <c r="F21" s="72" t="str">
        <f>F2</f>
        <v>symbol</v>
      </c>
      <c r="G21" s="90" t="str">
        <f>G2</f>
        <v>margin</v>
      </c>
      <c r="H21" s="280" t="str">
        <f t="shared" si="39"/>
        <v>shs</v>
      </c>
      <c r="I21" s="281" t="str">
        <f t="shared" si="39"/>
        <v>$val</v>
      </c>
      <c r="J21" s="282" t="str">
        <f t="shared" si="39"/>
        <v>units</v>
      </c>
      <c r="K21" s="283" t="str">
        <f t="shared" si="39"/>
        <v>net units</v>
      </c>
      <c r="L21" s="76" t="str">
        <f t="shared" si="39"/>
        <v>bid</v>
      </c>
      <c r="M21" s="77" t="str">
        <f t="shared" si="39"/>
        <v>ask</v>
      </c>
      <c r="N21" s="180" t="s">
        <v>165</v>
      </c>
      <c r="O21" s="78" t="str">
        <f>O2</f>
        <v>bid w/ comm</v>
      </c>
      <c r="P21" s="78" t="str">
        <f>P2</f>
        <v>ask w/ comm</v>
      </c>
      <c r="Q21" s="79" t="str">
        <f>Q2</f>
        <v>scalar</v>
      </c>
      <c r="R21" s="80" t="str">
        <f t="shared" ref="R21:AA21" si="41">R2</f>
        <v>hit bid</v>
      </c>
      <c r="S21" s="81" t="str">
        <f t="shared" si="41"/>
        <v>lift ask</v>
      </c>
      <c r="T21" s="44" t="str">
        <f t="shared" si="41"/>
        <v>net price</v>
      </c>
      <c r="U21" s="52" t="str">
        <f t="shared" si="41"/>
        <v>pct</v>
      </c>
      <c r="V21" s="44" t="str">
        <f t="shared" si="41"/>
        <v>net price</v>
      </c>
      <c r="W21" s="52" t="str">
        <f t="shared" si="41"/>
        <v>pct</v>
      </c>
      <c r="X21" s="82" t="str">
        <f t="shared" si="41"/>
        <v>buy top</v>
      </c>
      <c r="Y21" s="53" t="str">
        <f t="shared" si="41"/>
        <v>sell top</v>
      </c>
      <c r="Z21" s="53" t="str">
        <f t="shared" si="41"/>
        <v>buy top</v>
      </c>
      <c r="AA21" s="83" t="str">
        <f t="shared" si="41"/>
        <v>sell top</v>
      </c>
      <c r="AC21" s="61" t="s">
        <v>89</v>
      </c>
      <c r="AD21" s="62" t="s">
        <v>90</v>
      </c>
      <c r="AE21" s="62"/>
    </row>
    <row r="22" spans="1:31" x14ac:dyDescent="0.25">
      <c r="A22" s="158">
        <f>MATCH(F22,SCALARS!C:C,0)</f>
        <v>59</v>
      </c>
      <c r="B22" s="159">
        <f>MATCH(F22,'MKT DATA'!B:B,0)</f>
        <v>68</v>
      </c>
      <c r="C22" s="158" t="str" cm="1">
        <f t="array" aca="1" ref="C22" ca="1">INDIRECT(ADDRESS($A22,2,,,"ANCHOR INPUTS"))</f>
        <v>energy</v>
      </c>
      <c r="D22" s="273" cm="1">
        <f t="array" aca="1" ref="D22" ca="1">INDIRECT(ADDRESS($A22,7,,,"SCALARS"))</f>
        <v>30037300</v>
      </c>
      <c r="E22" s="14" t="str" cm="1">
        <f t="array" aca="1" ref="E22" ca="1">INDIRECT(ADDRESS($A22,5,,,"ANCHOR INPUTS"))</f>
        <v>IYE</v>
      </c>
      <c r="F22" s="15" t="s">
        <v>105</v>
      </c>
      <c r="G22" s="278"/>
      <c r="H22" s="31" cm="1">
        <f t="array" aca="1" ref="H22" ca="1">INDIRECT(ADDRESS($B22,9,,,"mkt data"))</f>
        <v>-4986</v>
      </c>
      <c r="I22" s="66">
        <f t="shared" ref="I22:I25" ca="1" si="42">H22*AVERAGE(L22:M22)</f>
        <v>-326657.78999999998</v>
      </c>
      <c r="J22" s="31">
        <f t="shared" ref="J22:J37" ca="1" si="43">H22/Q22</f>
        <v>-4705.7259212257759</v>
      </c>
      <c r="K22" s="316">
        <f ca="1">SUM(J22:J23)</f>
        <v>-5.7259212257758918</v>
      </c>
      <c r="L22" s="37" cm="1">
        <f t="array" aca="1" ref="L22" ca="1">INDIRECT(ADDRESS($B22,5,,,"mkt data"))</f>
        <v>65.5</v>
      </c>
      <c r="M22" s="38" cm="1">
        <f t="array" aca="1" ref="M22" ca="1">INDIRECT(ADDRESS($B22,6,,,"mkt data"))</f>
        <v>65.53</v>
      </c>
      <c r="N22" s="181"/>
      <c r="O22" s="16">
        <f t="shared" ref="O22:O37" ca="1" si="44">L22-O$20</f>
        <v>65.495000000000005</v>
      </c>
      <c r="P22" s="16">
        <f t="shared" ref="P22:P37" ca="1" si="45">M22+O$20</f>
        <v>65.534999999999997</v>
      </c>
      <c r="Q22" s="54" cm="1">
        <f t="array" aca="1" ref="Q22" ca="1">INDIRECT(ADDRESS($A22,6,,,"scalars"))</f>
        <v>1.0595602216248958</v>
      </c>
      <c r="R22" s="17">
        <f t="shared" ref="R22:R25" ca="1" si="46">O22*Q22</f>
        <v>69.39589671532255</v>
      </c>
      <c r="S22" s="17">
        <f t="shared" ref="S22:S25" ca="1" si="47">Q22*P22</f>
        <v>69.438279124187545</v>
      </c>
      <c r="T22" s="296">
        <f ca="1">R23-S22</f>
        <v>-4.8632791241875424</v>
      </c>
      <c r="U22" s="292">
        <f ca="1">T22/AVERAGE(R23,S23)</f>
        <v>-7.2273430289605339E-2</v>
      </c>
      <c r="V22" s="290">
        <f ca="1">R22-S23</f>
        <v>-0.60910328467744534</v>
      </c>
      <c r="W22" s="292">
        <f ca="1">V22/AVERAGE(R23,S23)</f>
        <v>-9.0519138754264448E-3</v>
      </c>
      <c r="X22" s="84">
        <f>AC22</f>
        <v>2E-3</v>
      </c>
      <c r="Y22" s="55">
        <f>AC23</f>
        <v>0</v>
      </c>
      <c r="Z22" s="55">
        <f>AD23</f>
        <v>0</v>
      </c>
      <c r="AA22" s="85">
        <f>AD22</f>
        <v>2E-3</v>
      </c>
      <c r="AC22" s="63">
        <v>2E-3</v>
      </c>
      <c r="AD22" s="64">
        <v>2E-3</v>
      </c>
      <c r="AE22" s="65" t="s">
        <v>87</v>
      </c>
    </row>
    <row r="23" spans="1:31" ht="15.75" thickBot="1" x14ac:dyDescent="0.3">
      <c r="A23" s="160">
        <f>MATCH(F23,SCALARS!C:C,0)</f>
        <v>58</v>
      </c>
      <c r="B23" s="161">
        <f>MATCH(F23,'MKT DATA'!B:B,0)</f>
        <v>50</v>
      </c>
      <c r="C23" s="160" t="str" cm="1">
        <f t="array" aca="1" ref="C23" ca="1">INDIRECT(ADDRESS($A23,2,,,"ANCHOR INPUTS"))</f>
        <v>energy</v>
      </c>
      <c r="D23" s="274" cm="1">
        <f t="array" aca="1" ref="D23" ca="1">INDIRECT(ADDRESS($A23,7,,,"SCALARS"))</f>
        <v>1006200</v>
      </c>
      <c r="E23" s="20" t="str" cm="1">
        <f t="array" aca="1" ref="E23" ca="1">INDIRECT(ADDRESS($A23,5,,,"ANCHOR INPUTS"))</f>
        <v>IYE</v>
      </c>
      <c r="F23" s="21" t="s">
        <v>103</v>
      </c>
      <c r="G23" s="279"/>
      <c r="H23" s="33" cm="1">
        <f t="array" aca="1" ref="H23" ca="1">INDIRECT(ADDRESS($B23,9,,,"mkt data"))</f>
        <v>4700</v>
      </c>
      <c r="I23" s="68">
        <f t="shared" ca="1" si="42"/>
        <v>316262.99999999994</v>
      </c>
      <c r="J23" s="33">
        <f t="shared" ca="1" si="43"/>
        <v>4700</v>
      </c>
      <c r="K23" s="317"/>
      <c r="L23" s="41" cm="1">
        <f t="array" aca="1" ref="L23" ca="1">INDIRECT(ADDRESS($B23,5,,,"mkt data"))</f>
        <v>64.58</v>
      </c>
      <c r="M23" s="42" cm="1">
        <f t="array" aca="1" ref="M23" ca="1">INDIRECT(ADDRESS($B23,6,,,"mkt data"))</f>
        <v>70</v>
      </c>
      <c r="N23" s="182"/>
      <c r="O23" s="22">
        <f t="shared" ca="1" si="44"/>
        <v>64.575000000000003</v>
      </c>
      <c r="P23" s="22">
        <f t="shared" ca="1" si="45"/>
        <v>70.004999999999995</v>
      </c>
      <c r="Q23" s="56" cm="1">
        <f t="array" aca="1" ref="Q23" ca="1">INDIRECT(ADDRESS($A23,6,,,"scalars"))</f>
        <v>1</v>
      </c>
      <c r="R23" s="23">
        <f t="shared" ca="1" si="46"/>
        <v>64.575000000000003</v>
      </c>
      <c r="S23" s="23">
        <f t="shared" ca="1" si="47"/>
        <v>70.004999999999995</v>
      </c>
      <c r="T23" s="297"/>
      <c r="U23" s="293"/>
      <c r="V23" s="291"/>
      <c r="W23" s="293"/>
      <c r="X23" s="86" t="b">
        <f ca="1">IF(U22&gt;X22,TRUE,FALSE)</f>
        <v>0</v>
      </c>
      <c r="Y23" s="57" t="b">
        <f ca="1">AND(IF(W22&gt;-Y22,TRUE,FALSE),IF(H22&gt;0,TRUE,FALSE))</f>
        <v>0</v>
      </c>
      <c r="Z23" s="57" t="b">
        <f ca="1">AND(IF(U22&gt;-Z22,TRUE,FALSE),IF(H22&lt;0,TRUE,FALSE))</f>
        <v>0</v>
      </c>
      <c r="AA23" s="87" t="b">
        <f ca="1">IF(W22&gt;AA22,TRUE,FALSE)</f>
        <v>0</v>
      </c>
      <c r="AC23" s="64">
        <v>0</v>
      </c>
      <c r="AD23" s="64">
        <v>0</v>
      </c>
      <c r="AE23" s="65" t="s">
        <v>88</v>
      </c>
    </row>
    <row r="24" spans="1:31" x14ac:dyDescent="0.25">
      <c r="A24" s="158">
        <f>MATCH(F24,SCALARS!C:C,0)</f>
        <v>61</v>
      </c>
      <c r="B24" s="159">
        <f>MATCH(F24,'MKT DATA'!B:B,0)</f>
        <v>69</v>
      </c>
      <c r="C24" s="158" t="str" cm="1">
        <f t="array" aca="1" ref="C24" ca="1">INDIRECT(ADDRESS($A24,2,,,"ANCHOR INPUTS"))</f>
        <v>financials</v>
      </c>
      <c r="D24" s="273" cm="1">
        <f t="array" aca="1" ref="D24" ca="1">INDIRECT(ADDRESS($A24,7,,,"SCALARS"))</f>
        <v>32691700</v>
      </c>
      <c r="E24" s="14" t="str" cm="1">
        <f t="array" aca="1" ref="E24" ca="1">INDIRECT(ADDRESS($A24,5,,,"ANCHOR INPUTS"))</f>
        <v>IYF</v>
      </c>
      <c r="F24" s="15" t="s">
        <v>108</v>
      </c>
      <c r="G24" s="278"/>
      <c r="H24" s="31" cm="1">
        <f t="array" aca="1" ref="H24" ca="1">INDIRECT(ADDRESS($B24,9,,,"mkt data"))</f>
        <v>0</v>
      </c>
      <c r="I24" s="66">
        <f t="shared" ca="1" si="42"/>
        <v>0</v>
      </c>
      <c r="J24" s="31">
        <f t="shared" ca="1" si="43"/>
        <v>0</v>
      </c>
      <c r="K24" s="294">
        <f ca="1">SUM(J24:J25)</f>
        <v>0</v>
      </c>
      <c r="L24" s="37" cm="1">
        <f t="array" aca="1" ref="L24" ca="1">INDIRECT(ADDRESS($B24,5,,,"mkt data"))</f>
        <v>57.73</v>
      </c>
      <c r="M24" s="38" cm="1">
        <f t="array" aca="1" ref="M24" ca="1">INDIRECT(ADDRESS($B24,6,,,"mkt data"))</f>
        <v>57.78</v>
      </c>
      <c r="N24" s="181"/>
      <c r="O24" s="16">
        <f t="shared" ca="1" si="44"/>
        <v>57.724999999999994</v>
      </c>
      <c r="P24" s="16">
        <f t="shared" ca="1" si="45"/>
        <v>57.785000000000004</v>
      </c>
      <c r="Q24" s="54" cm="1">
        <f t="array" aca="1" ref="Q24" ca="1">INDIRECT(ADDRESS($A24,6,,,"scalars"))</f>
        <v>2.3694851424419241</v>
      </c>
      <c r="R24" s="17">
        <f t="shared" ca="1" si="46"/>
        <v>136.77852984746005</v>
      </c>
      <c r="S24" s="17">
        <f t="shared" ca="1" si="47"/>
        <v>136.92069895600659</v>
      </c>
      <c r="T24" s="296">
        <f ca="1">R25-S24</f>
        <v>-8.3156989560065711</v>
      </c>
      <c r="U24" s="292">
        <f ca="1">T24/AVERAGE(R25,S25)</f>
        <v>-6.0974475406999351E-2</v>
      </c>
      <c r="V24" s="296">
        <f ca="1">R24-S25</f>
        <v>-7.3764701525399516</v>
      </c>
      <c r="W24" s="292">
        <f ca="1">V24/AVERAGE(R25,S25)</f>
        <v>-5.4087623937087194E-2</v>
      </c>
      <c r="X24" s="84">
        <f>AC24</f>
        <v>4.0000000000000001E-3</v>
      </c>
      <c r="Y24" s="55">
        <f>AC25</f>
        <v>1E-3</v>
      </c>
      <c r="Z24" s="55">
        <f>AD25</f>
        <v>0</v>
      </c>
      <c r="AA24" s="85">
        <f>AD24</f>
        <v>4.0000000000000001E-3</v>
      </c>
      <c r="AC24" s="63">
        <v>4.0000000000000001E-3</v>
      </c>
      <c r="AD24" s="64">
        <v>4.0000000000000001E-3</v>
      </c>
      <c r="AE24" s="65" t="s">
        <v>87</v>
      </c>
    </row>
    <row r="25" spans="1:31" ht="15.75" thickBot="1" x14ac:dyDescent="0.3">
      <c r="A25" s="160">
        <f>MATCH(F25,SCALARS!C:C,0)</f>
        <v>60</v>
      </c>
      <c r="B25" s="161">
        <f>MATCH(F25,'MKT DATA'!B:B,0)</f>
        <v>51</v>
      </c>
      <c r="C25" s="160" t="str" cm="1">
        <f t="array" aca="1" ref="C25" ca="1">INDIRECT(ADDRESS($A25,2,,,"ANCHOR INPUTS"))</f>
        <v>financials</v>
      </c>
      <c r="D25" s="274" cm="1">
        <f t="array" aca="1" ref="D25" ca="1">INDIRECT(ADDRESS($A25,7,,,"SCALARS"))</f>
        <v>385000</v>
      </c>
      <c r="E25" s="20" t="str" cm="1">
        <f t="array" aca="1" ref="E25" ca="1">INDIRECT(ADDRESS($A25,5,,,"ANCHOR INPUTS"))</f>
        <v>IYF</v>
      </c>
      <c r="F25" s="21" t="s">
        <v>106</v>
      </c>
      <c r="G25" s="279"/>
      <c r="H25" s="33" cm="1">
        <f t="array" aca="1" ref="H25" ca="1">INDIRECT(ADDRESS($B25,9,,,"mkt data"))</f>
        <v>0</v>
      </c>
      <c r="I25" s="68">
        <f t="shared" ca="1" si="42"/>
        <v>0</v>
      </c>
      <c r="J25" s="33">
        <f t="shared" ca="1" si="43"/>
        <v>0</v>
      </c>
      <c r="K25" s="295"/>
      <c r="L25" s="41" cm="1">
        <f t="array" aca="1" ref="L25" ca="1">INDIRECT(ADDRESS($B25,5,,,"mkt data"))</f>
        <v>128.61000000000001</v>
      </c>
      <c r="M25" s="42" cm="1">
        <f t="array" aca="1" ref="M25" ca="1">INDIRECT(ADDRESS($B25,6,,,"mkt data"))</f>
        <v>144.15</v>
      </c>
      <c r="N25" s="182"/>
      <c r="O25" s="22">
        <f t="shared" ca="1" si="44"/>
        <v>128.60500000000002</v>
      </c>
      <c r="P25" s="22">
        <f t="shared" ca="1" si="45"/>
        <v>144.155</v>
      </c>
      <c r="Q25" s="56" cm="1">
        <f t="array" aca="1" ref="Q25" ca="1">INDIRECT(ADDRESS($A25,6,,,"scalars"))</f>
        <v>1</v>
      </c>
      <c r="R25" s="23">
        <f t="shared" ca="1" si="46"/>
        <v>128.60500000000002</v>
      </c>
      <c r="S25" s="23">
        <f t="shared" ca="1" si="47"/>
        <v>144.155</v>
      </c>
      <c r="T25" s="297"/>
      <c r="U25" s="293"/>
      <c r="V25" s="297"/>
      <c r="W25" s="293"/>
      <c r="X25" s="86" t="b">
        <f ca="1">IF(U24&gt;X24,TRUE,FALSE)</f>
        <v>0</v>
      </c>
      <c r="Y25" s="57" t="b">
        <f ca="1">AND(IF(W24&gt;-Y24,TRUE,FALSE),IF(H24&gt;0,TRUE,FALSE))</f>
        <v>0</v>
      </c>
      <c r="Z25" s="57" t="b">
        <f ca="1">AND(IF(U24&gt;-Z24,TRUE,FALSE),IF(H24&lt;0,TRUE,FALSE))</f>
        <v>0</v>
      </c>
      <c r="AA25" s="87" t="b">
        <f ca="1">IF(W24&gt;AA24,TRUE,FALSE)</f>
        <v>0</v>
      </c>
      <c r="AC25" s="64">
        <v>1E-3</v>
      </c>
      <c r="AD25" s="64">
        <v>0</v>
      </c>
      <c r="AE25" s="65" t="s">
        <v>88</v>
      </c>
    </row>
    <row r="26" spans="1:31" x14ac:dyDescent="0.25">
      <c r="A26" s="184">
        <f>MATCH(F26,SCALARS!C:C,0)</f>
        <v>62</v>
      </c>
      <c r="B26" s="185">
        <f>MATCH(F26,'MKT DATA'!B:B,0)</f>
        <v>52</v>
      </c>
      <c r="C26" s="184" t="str" cm="1">
        <f t="array" aca="1" ref="C26" ca="1">INDIRECT(ADDRESS($A26,2,,,"ANCHOR INPUTS"))</f>
        <v>healthcare</v>
      </c>
      <c r="D26" s="222" cm="1">
        <f t="array" aca="1" ref="D26" ca="1">INDIRECT(ADDRESS($A26,7,,,"SCALARS"))</f>
        <v>813800</v>
      </c>
      <c r="E26" s="186" t="str" cm="1">
        <f t="array" aca="1" ref="E26" ca="1">INDIRECT(ADDRESS($A26,5,,,"ANCHOR INPUTS"))</f>
        <v>XLV</v>
      </c>
      <c r="F26" s="187" t="s">
        <v>110</v>
      </c>
      <c r="G26" s="223"/>
      <c r="H26" s="188" cm="1">
        <f t="array" aca="1" ref="H26" ca="1">INDIRECT(ADDRESS($B26,9,,,"mkt data"))</f>
        <v>0</v>
      </c>
      <c r="I26" s="189">
        <f ca="1">H26*AVERAGE(L26:M26)</f>
        <v>0</v>
      </c>
      <c r="J26" s="188">
        <f ca="1">H26/Q26</f>
        <v>0</v>
      </c>
      <c r="K26" s="309">
        <f ca="1">SUM(J26:J27)</f>
        <v>0</v>
      </c>
      <c r="L26" s="190" cm="1">
        <f t="array" aca="1" ref="L26" ca="1">INDIRECT(ADDRESS($B26,5,,,"mkt data"))</f>
        <v>71.489999999999995</v>
      </c>
      <c r="M26" s="191" cm="1">
        <f t="array" aca="1" ref="M26" ca="1">INDIRECT(ADDRESS($B26,6,,,"mkt data"))</f>
        <v>77.19</v>
      </c>
      <c r="N26" s="192"/>
      <c r="O26" s="193">
        <f ca="1">L26-O$20</f>
        <v>71.484999999999999</v>
      </c>
      <c r="P26" s="193">
        <f ca="1">M26+O$20</f>
        <v>77.194999999999993</v>
      </c>
      <c r="Q26" s="194" cm="1">
        <f t="array" aca="1" ref="Q26" ca="1">INDIRECT(ADDRESS($A26,6,,,"scalars"))</f>
        <v>2.3669710095634038</v>
      </c>
      <c r="R26" s="195">
        <f ca="1">O26*Q26</f>
        <v>169.20292261863992</v>
      </c>
      <c r="S26" s="229">
        <f ca="1">Q26*P26</f>
        <v>182.71832708324695</v>
      </c>
      <c r="T26" s="300">
        <f ca="1">R27-S26</f>
        <v>-9.713327083246952</v>
      </c>
      <c r="U26" s="302">
        <f ca="1">T26/AVERAGE(R27,S27)</f>
        <v>-5.6096139777927011E-2</v>
      </c>
      <c r="V26" s="300">
        <f ca="1">R26-S27</f>
        <v>-4.1020773813600897</v>
      </c>
      <c r="W26" s="302">
        <f ca="1">V26/AVERAGE(R27,S27)</f>
        <v>-2.3690204622217607E-2</v>
      </c>
      <c r="X26" s="196"/>
      <c r="Y26" s="197"/>
      <c r="Z26" s="197"/>
      <c r="AA26" s="198"/>
      <c r="AC26" s="64"/>
      <c r="AD26" s="64"/>
      <c r="AE26" s="183" t="s">
        <v>87</v>
      </c>
    </row>
    <row r="27" spans="1:31" ht="15.75" thickBot="1" x14ac:dyDescent="0.3">
      <c r="A27" s="199">
        <f>MATCH(F27,SCALARS!C:C,0)</f>
        <v>63</v>
      </c>
      <c r="B27" s="200">
        <f>MATCH(F27,'MKT DATA'!B:B,0)</f>
        <v>70</v>
      </c>
      <c r="C27" s="199" t="str" cm="1">
        <f t="array" aca="1" ref="C27" ca="1">INDIRECT(ADDRESS($A27,2,,,"ANCHOR INPUTS"))</f>
        <v>healthcare</v>
      </c>
      <c r="D27" s="230" cm="1">
        <f t="array" aca="1" ref="D27" ca="1">INDIRECT(ADDRESS($A27,7,,,"SCALARS"))</f>
        <v>9859300</v>
      </c>
      <c r="E27" s="201" t="str" cm="1">
        <f t="array" aca="1" ref="E27" ca="1">INDIRECT(ADDRESS($A27,5,,,"ANCHOR INPUTS"))</f>
        <v>XLV</v>
      </c>
      <c r="F27" s="202" t="s">
        <v>112</v>
      </c>
      <c r="G27" s="231"/>
      <c r="H27" s="203" cm="1">
        <f t="array" aca="1" ref="H27" ca="1">INDIRECT(ADDRESS($B27,9,,,"mkt data"))</f>
        <v>0</v>
      </c>
      <c r="I27" s="204">
        <f ca="1">H27*AVERAGE(L27:M27)</f>
        <v>0</v>
      </c>
      <c r="J27" s="203">
        <f ca="1">H27/Q27</f>
        <v>0</v>
      </c>
      <c r="K27" s="310"/>
      <c r="L27" s="205" cm="1">
        <f t="array" aca="1" ref="L27" ca="1">INDIRECT(ADDRESS($B27,5,,,"mkt data"))</f>
        <v>173.01</v>
      </c>
      <c r="M27" s="206" cm="1">
        <f t="array" aca="1" ref="M27" ca="1">INDIRECT(ADDRESS($B27,6,,,"mkt data"))</f>
        <v>173.3</v>
      </c>
      <c r="N27" s="207"/>
      <c r="O27" s="208">
        <f ca="1">L27-O$20</f>
        <v>173.005</v>
      </c>
      <c r="P27" s="208">
        <f ca="1">M27+O$20</f>
        <v>173.30500000000001</v>
      </c>
      <c r="Q27" s="209" cm="1">
        <f t="array" aca="1" ref="Q27" ca="1">INDIRECT(ADDRESS($A27,6,,,"scalars"))</f>
        <v>1</v>
      </c>
      <c r="R27" s="210">
        <f ca="1">O27*Q27</f>
        <v>173.005</v>
      </c>
      <c r="S27" s="237">
        <f ca="1">Q27*P27</f>
        <v>173.30500000000001</v>
      </c>
      <c r="T27" s="301"/>
      <c r="U27" s="303"/>
      <c r="V27" s="301"/>
      <c r="W27" s="303"/>
      <c r="X27" s="211"/>
      <c r="Y27" s="212"/>
      <c r="Z27" s="212"/>
      <c r="AA27" s="213"/>
      <c r="AC27" s="64"/>
      <c r="AD27" s="64"/>
      <c r="AE27" s="183" t="s">
        <v>88</v>
      </c>
    </row>
    <row r="28" spans="1:31" x14ac:dyDescent="0.25">
      <c r="A28" s="158">
        <f>MATCH(F28,SCALARS!C:C,0)</f>
        <v>64</v>
      </c>
      <c r="B28" s="159">
        <f>MATCH(F28,'MKT DATA'!B:B,0)</f>
        <v>53</v>
      </c>
      <c r="C28" s="158" t="str" cm="1">
        <f t="array" aca="1" ref="C28" ca="1">INDIRECT(ADDRESS($A28,2,,,"ANCHOR INPUTS"))</f>
        <v>industrials</v>
      </c>
      <c r="D28" s="273" cm="1">
        <f t="array" aca="1" ref="D28" ca="1">INDIRECT(ADDRESS($A28,7,,,"SCALARS"))</f>
        <v>91000</v>
      </c>
      <c r="E28" s="14" t="str" cm="1">
        <f t="array" aca="1" ref="E28" ca="1">INDIRECT(ADDRESS($A28,5,,,"ANCHOR INPUTS"))</f>
        <v>XLI</v>
      </c>
      <c r="F28" s="177" t="s">
        <v>142</v>
      </c>
      <c r="G28" s="278"/>
      <c r="H28" s="31" cm="1">
        <f t="array" aca="1" ref="H28" ca="1">INDIRECT(ADDRESS($B28,9,,,"mkt data"))</f>
        <v>-835</v>
      </c>
      <c r="I28" s="66">
        <f ca="1">H28*AVERAGE(L28:M28)</f>
        <v>-132080.30000000002</v>
      </c>
      <c r="J28" s="31">
        <f t="shared" ref="J28:J29" ca="1" si="48">H28/Q28</f>
        <v>-762.94480175830483</v>
      </c>
      <c r="K28" s="294">
        <f ca="1">SUM(J28:J29)</f>
        <v>2.055198241695166</v>
      </c>
      <c r="L28" s="37" cm="1">
        <f t="array" aca="1" ref="L28" ca="1">INDIRECT(ADDRESS($B28,5,,,"mkt data"))</f>
        <v>156.36000000000001</v>
      </c>
      <c r="M28" s="38" cm="1">
        <f t="array" aca="1" ref="M28" ca="1">INDIRECT(ADDRESS($B28,6,,,"mkt data"))</f>
        <v>160</v>
      </c>
      <c r="N28" s="181"/>
      <c r="O28" s="16">
        <f t="shared" ref="O28:O33" ca="1" si="49">L28-O$20</f>
        <v>156.35500000000002</v>
      </c>
      <c r="P28" s="16">
        <f t="shared" ref="P28:P33" ca="1" si="50">M28+O$20</f>
        <v>160.005</v>
      </c>
      <c r="Q28" s="175" cm="1">
        <f t="array" aca="1" ref="Q28" ca="1">INDIRECT(ADDRESS($A28,6,,,"scalars"))</f>
        <v>1.0944435273372788</v>
      </c>
      <c r="R28" s="17">
        <f ca="1">O28*Q28</f>
        <v>171.12171771682026</v>
      </c>
      <c r="S28" s="17">
        <f t="shared" ref="S28:S29" ca="1" si="51">Q28*P28</f>
        <v>175.11643659160129</v>
      </c>
      <c r="T28" s="296">
        <f ca="1">R29-S28</f>
        <v>-2.5214365916012866</v>
      </c>
      <c r="U28" s="292">
        <f ca="1">T28/AVERAGE(R29,S29)</f>
        <v>-1.4571408874256165E-2</v>
      </c>
      <c r="V28" s="290">
        <f ca="1">R28-S29</f>
        <v>-2.3632822831797284</v>
      </c>
      <c r="W28" s="292">
        <f ca="1">V28/AVERAGE(R29,S29)</f>
        <v>-1.3657433444173188E-2</v>
      </c>
      <c r="X28" s="84">
        <f>AC28</f>
        <v>-5.0000000000000001E-3</v>
      </c>
      <c r="Y28" s="55">
        <f>AC29</f>
        <v>0</v>
      </c>
      <c r="Z28" s="55">
        <f>AD29</f>
        <v>0</v>
      </c>
      <c r="AA28" s="85">
        <f>AD28</f>
        <v>4.0000000000000001E-3</v>
      </c>
      <c r="AC28" s="63">
        <v>-5.0000000000000001E-3</v>
      </c>
      <c r="AD28" s="64">
        <v>4.0000000000000001E-3</v>
      </c>
      <c r="AE28" s="183" t="s">
        <v>87</v>
      </c>
    </row>
    <row r="29" spans="1:31" ht="15.75" thickBot="1" x14ac:dyDescent="0.3">
      <c r="A29" s="160">
        <f>MATCH(F29,SCALARS!C:C,0)</f>
        <v>65</v>
      </c>
      <c r="B29" s="161">
        <f>MATCH(F29,'MKT DATA'!B:B,0)</f>
        <v>71</v>
      </c>
      <c r="C29" s="160" t="str" cm="1">
        <f t="array" aca="1" ref="C29" ca="1">INDIRECT(ADDRESS($A29,2,,,"ANCHOR INPUTS"))</f>
        <v>industrials</v>
      </c>
      <c r="D29" s="274" cm="1">
        <f t="array" aca="1" ref="D29" ca="1">INDIRECT(ADDRESS($A29,7,,,"SCALARS"))</f>
        <v>7095600</v>
      </c>
      <c r="E29" s="20" t="str" cm="1">
        <f t="array" aca="1" ref="E29" ca="1">INDIRECT(ADDRESS($A29,5,,,"ANCHOR INPUTS"))</f>
        <v>XLI</v>
      </c>
      <c r="F29" s="178" t="s">
        <v>114</v>
      </c>
      <c r="G29" s="279"/>
      <c r="H29" s="33" cm="1">
        <f t="array" aca="1" ref="H29" ca="1">INDIRECT(ADDRESS($B29,9,,,"mkt data"))</f>
        <v>765</v>
      </c>
      <c r="I29" s="68">
        <f ca="1">H29*AVERAGE(L29:M29)</f>
        <v>132375.6</v>
      </c>
      <c r="J29" s="33">
        <f t="shared" ca="1" si="48"/>
        <v>765</v>
      </c>
      <c r="K29" s="295"/>
      <c r="L29" s="41" cm="1">
        <f t="array" aca="1" ref="L29" ca="1">INDIRECT(ADDRESS($B29,5,,,"mkt data"))</f>
        <v>172.6</v>
      </c>
      <c r="M29" s="42" cm="1">
        <f t="array" aca="1" ref="M29" ca="1">INDIRECT(ADDRESS($B29,6,,,"mkt data"))</f>
        <v>173.48</v>
      </c>
      <c r="N29" s="182"/>
      <c r="O29" s="22">
        <f t="shared" ca="1" si="49"/>
        <v>172.595</v>
      </c>
      <c r="P29" s="22">
        <f t="shared" ca="1" si="50"/>
        <v>173.48499999999999</v>
      </c>
      <c r="Q29" s="176" cm="1">
        <f t="array" aca="1" ref="Q29" ca="1">INDIRECT(ADDRESS($A29,6,,,"scalars"))</f>
        <v>1</v>
      </c>
      <c r="R29" s="23">
        <f ca="1">O29*Q29</f>
        <v>172.595</v>
      </c>
      <c r="S29" s="23">
        <f t="shared" ca="1" si="51"/>
        <v>173.48499999999999</v>
      </c>
      <c r="T29" s="297"/>
      <c r="U29" s="293"/>
      <c r="V29" s="291"/>
      <c r="W29" s="293"/>
      <c r="X29" s="86" t="b">
        <f ca="1">IF(U28&gt;X28,TRUE,FALSE)</f>
        <v>0</v>
      </c>
      <c r="Y29" s="57" t="b">
        <f ca="1">AND(IF(W28&gt;-Y28,TRUE,FALSE),IF(H28&gt;0,TRUE,FALSE))</f>
        <v>0</v>
      </c>
      <c r="Z29" s="57" t="b">
        <f ca="1">AND(IF(U28&gt;-Z28,TRUE,FALSE),IF(H28&lt;0,TRUE,FALSE))</f>
        <v>0</v>
      </c>
      <c r="AA29" s="87" t="b">
        <f ca="1">IF(W28&gt;AA28,TRUE,FALSE)</f>
        <v>0</v>
      </c>
      <c r="AC29" s="64">
        <v>0</v>
      </c>
      <c r="AD29" s="64">
        <v>0</v>
      </c>
      <c r="AE29" s="183" t="s">
        <v>88</v>
      </c>
    </row>
    <row r="30" spans="1:31" x14ac:dyDescent="0.25">
      <c r="A30" s="184">
        <f>MATCH(F30,SCALARS!C:C,0)</f>
        <v>67</v>
      </c>
      <c r="B30" s="185">
        <f>MATCH(F30,'MKT DATA'!B:B,0)</f>
        <v>72</v>
      </c>
      <c r="C30" s="184" t="str" cm="1">
        <f t="array" aca="1" ref="C30" ca="1">INDIRECT(ADDRESS($A30,2,,,"ANCHOR INPUTS"))</f>
        <v>real estate</v>
      </c>
      <c r="D30" s="222" cm="1">
        <f t="array" aca="1" ref="D30" ca="1">INDIRECT(ADDRESS($A30,7,,,"SCALARS"))</f>
        <v>5234900</v>
      </c>
      <c r="E30" s="186" t="str" cm="1">
        <f t="array" aca="1" ref="E30" ca="1">INDIRECT(ADDRESS($A30,5,,,"ANCHOR INPUTS"))</f>
        <v>IYR</v>
      </c>
      <c r="F30" s="214" t="s">
        <v>118</v>
      </c>
      <c r="G30" s="223"/>
      <c r="H30" s="188" cm="1">
        <f t="array" aca="1" ref="H30" ca="1">INDIRECT(ADDRESS($B30,9,,,"mkt data"))</f>
        <v>0</v>
      </c>
      <c r="I30" s="189">
        <f t="shared" ref="I30:I31" ca="1" si="52">H30*AVERAGE(L30:M30)</f>
        <v>0</v>
      </c>
      <c r="J30" s="188">
        <f ca="1">H30/Q30</f>
        <v>0</v>
      </c>
      <c r="K30" s="298">
        <f ca="1">SUM(J30:J31)</f>
        <v>0</v>
      </c>
      <c r="L30" s="190" cm="1">
        <f t="array" aca="1" ref="L30" ca="1">INDIRECT(ADDRESS($B30,5,,,"mkt data"))</f>
        <v>43.71</v>
      </c>
      <c r="M30" s="191" cm="1">
        <f t="array" aca="1" ref="M30" ca="1">INDIRECT(ADDRESS($B30,6,,,"mkt data"))</f>
        <v>43.85</v>
      </c>
      <c r="N30" s="192"/>
      <c r="O30" s="193">
        <f ca="1">L30-O$20</f>
        <v>43.704999999999998</v>
      </c>
      <c r="P30" s="193">
        <f ca="1">M30+O$20</f>
        <v>43.855000000000004</v>
      </c>
      <c r="Q30" s="215" cm="1">
        <f t="array" aca="1" ref="Q30" ca="1">INDIRECT(ADDRESS($A30,6,,,"scalars"))</f>
        <v>2.3254011192539137</v>
      </c>
      <c r="R30" s="195">
        <f t="shared" ref="R30:R31" ca="1" si="53">O30*Q30</f>
        <v>101.63165591699229</v>
      </c>
      <c r="S30" s="229">
        <f ca="1">Q30*P30</f>
        <v>101.98046608488039</v>
      </c>
      <c r="T30" s="300">
        <f ca="1">R31-S30</f>
        <v>-0.30546608488037919</v>
      </c>
      <c r="U30" s="302">
        <f ca="1">T30/AVERAGE(R31,S31)</f>
        <v>-2.9935915805603605E-3</v>
      </c>
      <c r="V30" s="300">
        <f ca="1">R30-S31</f>
        <v>-0.77334408300771429</v>
      </c>
      <c r="W30" s="302">
        <f ca="1">V30/AVERAGE(R31,S31)</f>
        <v>-7.5788326441367524E-3</v>
      </c>
      <c r="X30" s="196"/>
      <c r="Y30" s="197"/>
      <c r="Z30" s="197"/>
      <c r="AA30" s="198"/>
      <c r="AC30" s="64"/>
      <c r="AD30" s="64"/>
      <c r="AE30" t="s">
        <v>87</v>
      </c>
    </row>
    <row r="31" spans="1:31" ht="15.75" thickBot="1" x14ac:dyDescent="0.3">
      <c r="A31" s="199">
        <f>MATCH(F31,SCALARS!C:C,0)</f>
        <v>66</v>
      </c>
      <c r="B31" s="200">
        <f>MATCH(F31,'MKT DATA'!B:B,0)</f>
        <v>54</v>
      </c>
      <c r="C31" s="199" t="str" cm="1">
        <f t="array" aca="1" ref="C31" ca="1">INDIRECT(ADDRESS($A31,2,,,"ANCHOR INPUTS"))</f>
        <v>real estate</v>
      </c>
      <c r="D31" s="230" cm="1">
        <f t="array" aca="1" ref="D31" ca="1">INDIRECT(ADDRESS($A31,7,,,"SCALARS"))</f>
        <v>5386800</v>
      </c>
      <c r="E31" s="201" t="str" cm="1">
        <f t="array" aca="1" ref="E31" ca="1">INDIRECT(ADDRESS($A31,5,,,"ANCHOR INPUTS"))</f>
        <v>IYR</v>
      </c>
      <c r="F31" s="216" t="s">
        <v>116</v>
      </c>
      <c r="G31" s="231"/>
      <c r="H31" s="203" cm="1">
        <f t="array" aca="1" ref="H31" ca="1">INDIRECT(ADDRESS($B31,9,,,"mkt data"))</f>
        <v>0</v>
      </c>
      <c r="I31" s="204">
        <f t="shared" ca="1" si="52"/>
        <v>0</v>
      </c>
      <c r="J31" s="203">
        <f ca="1">H31/Q31</f>
        <v>0</v>
      </c>
      <c r="K31" s="299"/>
      <c r="L31" s="205" cm="1">
        <f t="array" aca="1" ref="L31" ca="1">INDIRECT(ADDRESS($B31,5,,,"mkt data"))</f>
        <v>101.68</v>
      </c>
      <c r="M31" s="206" cm="1">
        <f t="array" aca="1" ref="M31" ca="1">INDIRECT(ADDRESS($B31,6,,,"mkt data"))</f>
        <v>102.4</v>
      </c>
      <c r="N31" s="207"/>
      <c r="O31" s="208">
        <f ca="1">L31-O$20</f>
        <v>101.67500000000001</v>
      </c>
      <c r="P31" s="208">
        <f ca="1">M31+O$20</f>
        <v>102.405</v>
      </c>
      <c r="Q31" s="217" cm="1">
        <f t="array" aca="1" ref="Q31" ca="1">INDIRECT(ADDRESS($A31,6,,,"scalars"))</f>
        <v>1</v>
      </c>
      <c r="R31" s="210">
        <f t="shared" ca="1" si="53"/>
        <v>101.67500000000001</v>
      </c>
      <c r="S31" s="237">
        <f ca="1">Q31*P31</f>
        <v>102.405</v>
      </c>
      <c r="T31" s="301"/>
      <c r="U31" s="303"/>
      <c r="V31" s="301"/>
      <c r="W31" s="303"/>
      <c r="X31" s="211"/>
      <c r="Y31" s="212"/>
      <c r="Z31" s="212"/>
      <c r="AA31" s="213"/>
      <c r="AC31" s="64"/>
      <c r="AD31" s="64"/>
      <c r="AE31" t="s">
        <v>88</v>
      </c>
    </row>
    <row r="32" spans="1:31" x14ac:dyDescent="0.25">
      <c r="A32" s="158">
        <f>MATCH(F32,SCALARS!C:C,0)</f>
        <v>68</v>
      </c>
      <c r="B32" s="159">
        <f>MATCH(F32,'MKT DATA'!B:B,0)</f>
        <v>55</v>
      </c>
      <c r="C32" s="158" t="str" cm="1">
        <f t="array" aca="1" ref="C32" ca="1">INDIRECT(ADDRESS($A32,2,,,"ANCHOR INPUTS"))</f>
        <v>staples</v>
      </c>
      <c r="D32" s="273" cm="1">
        <f t="array" aca="1" ref="D32" ca="1">INDIRECT(ADDRESS($A32,7,,,"SCALARS"))</f>
        <v>231300</v>
      </c>
      <c r="E32" s="14" t="str" cm="1">
        <f t="array" aca="1" ref="E32" ca="1">INDIRECT(ADDRESS($A32,5,,,"ANCHOR INPUTS"))</f>
        <v>XLP</v>
      </c>
      <c r="F32" s="177" t="s">
        <v>143</v>
      </c>
      <c r="G32" s="278"/>
      <c r="H32" s="31" cm="1">
        <f t="array" aca="1" ref="H32" ca="1">INDIRECT(ADDRESS($B32,9,,,"mkt data"))</f>
        <v>-2770</v>
      </c>
      <c r="I32" s="66">
        <f t="shared" ref="I32:I37" ca="1" si="54">H32*AVERAGE(L32:M32)</f>
        <v>-213885.55000000002</v>
      </c>
      <c r="J32" s="31">
        <f t="shared" ref="J32:J33" ca="1" si="55">H32/Q32</f>
        <v>-2422.5469610552454</v>
      </c>
      <c r="K32" s="294">
        <f ca="1">SUM(J32:J33)</f>
        <v>-2.5469610552454469</v>
      </c>
      <c r="L32" s="37" cm="1">
        <f t="array" aca="1" ref="L32" ca="1">INDIRECT(ADDRESS($B32,5,,,"mkt data"))</f>
        <v>74.510000000000005</v>
      </c>
      <c r="M32" s="38" cm="1">
        <f t="array" aca="1" ref="M32" ca="1">INDIRECT(ADDRESS($B32,6,,,"mkt data"))</f>
        <v>79.92</v>
      </c>
      <c r="N32" s="181"/>
      <c r="O32" s="16">
        <f t="shared" ca="1" si="49"/>
        <v>74.50500000000001</v>
      </c>
      <c r="P32" s="16">
        <f t="shared" ca="1" si="50"/>
        <v>79.924999999999997</v>
      </c>
      <c r="Q32" s="175" cm="1">
        <f t="array" aca="1" ref="Q32" ca="1">INDIRECT(ADDRESS($A32,6,,,"scalars"))</f>
        <v>1.143424686716251</v>
      </c>
      <c r="R32" s="17">
        <f t="shared" ref="R32:R33" ca="1" si="56">O32*Q32</f>
        <v>85.19085628379429</v>
      </c>
      <c r="S32" s="17">
        <f t="shared" ref="S32:S33" ca="1" si="57">Q32*P32</f>
        <v>91.388218085796353</v>
      </c>
      <c r="T32" s="296">
        <f ca="1">R33-S32</f>
        <v>-5.9632180857963419</v>
      </c>
      <c r="U32" s="292">
        <f ca="1">T32/AVERAGE(R33,S33)</f>
        <v>-6.9745240769547856E-2</v>
      </c>
      <c r="V32" s="290">
        <f ca="1">R32-S33</f>
        <v>-0.38414371620569909</v>
      </c>
      <c r="W32" s="292">
        <f ca="1">V32/AVERAGE(R33,S33)</f>
        <v>-4.4929089614701651E-3</v>
      </c>
      <c r="X32" s="84">
        <f>AC32</f>
        <v>-3.0000000000000001E-3</v>
      </c>
      <c r="Y32" s="55">
        <f>AC33</f>
        <v>0</v>
      </c>
      <c r="Z32" s="55">
        <f>AD33</f>
        <v>0</v>
      </c>
      <c r="AA32" s="85">
        <f>AD32</f>
        <v>3.0000000000000001E-3</v>
      </c>
      <c r="AC32" s="64">
        <v>-3.0000000000000001E-3</v>
      </c>
      <c r="AD32" s="64">
        <v>3.0000000000000001E-3</v>
      </c>
      <c r="AE32" s="183" t="s">
        <v>87</v>
      </c>
    </row>
    <row r="33" spans="1:31" ht="15.75" thickBot="1" x14ac:dyDescent="0.3">
      <c r="A33" s="160">
        <f>MATCH(F33,SCALARS!C:C,0)</f>
        <v>69</v>
      </c>
      <c r="B33" s="161">
        <f>MATCH(F33,'MKT DATA'!B:B,0)</f>
        <v>73</v>
      </c>
      <c r="C33" s="160" t="str" cm="1">
        <f t="array" aca="1" ref="C33" ca="1">INDIRECT(ADDRESS($A33,2,,,"ANCHOR INPUTS"))</f>
        <v>staples</v>
      </c>
      <c r="D33" s="274" cm="1">
        <f t="array" aca="1" ref="D33" ca="1">INDIRECT(ADDRESS($A33,7,,,"SCALARS"))</f>
        <v>10862800</v>
      </c>
      <c r="E33" s="20" t="str" cm="1">
        <f t="array" aca="1" ref="E33" ca="1">INDIRECT(ADDRESS($A33,5,,,"ANCHOR INPUTS"))</f>
        <v>XLP</v>
      </c>
      <c r="F33" s="178" t="s">
        <v>101</v>
      </c>
      <c r="G33" s="279"/>
      <c r="H33" s="33" cm="1">
        <f t="array" aca="1" ref="H33" ca="1">INDIRECT(ADDRESS($B33,9,,,"mkt data"))</f>
        <v>2420</v>
      </c>
      <c r="I33" s="68">
        <f t="shared" ca="1" si="54"/>
        <v>206910</v>
      </c>
      <c r="J33" s="33">
        <f t="shared" ca="1" si="55"/>
        <v>2420</v>
      </c>
      <c r="K33" s="295"/>
      <c r="L33" s="41" cm="1">
        <f t="array" aca="1" ref="L33" ca="1">INDIRECT(ADDRESS($B33,5,,,"mkt data"))</f>
        <v>85.43</v>
      </c>
      <c r="M33" s="42" cm="1">
        <f t="array" aca="1" ref="M33" ca="1">INDIRECT(ADDRESS($B33,6,,,"mkt data"))</f>
        <v>85.57</v>
      </c>
      <c r="N33" s="182"/>
      <c r="O33" s="22">
        <f t="shared" ca="1" si="49"/>
        <v>85.425000000000011</v>
      </c>
      <c r="P33" s="22">
        <f t="shared" ca="1" si="50"/>
        <v>85.574999999999989</v>
      </c>
      <c r="Q33" s="176" cm="1">
        <f t="array" aca="1" ref="Q33" ca="1">INDIRECT(ADDRESS($A33,6,,,"scalars"))</f>
        <v>1</v>
      </c>
      <c r="R33" s="23">
        <f t="shared" ca="1" si="56"/>
        <v>85.425000000000011</v>
      </c>
      <c r="S33" s="23">
        <f t="shared" ca="1" si="57"/>
        <v>85.574999999999989</v>
      </c>
      <c r="T33" s="297"/>
      <c r="U33" s="293"/>
      <c r="V33" s="291"/>
      <c r="W33" s="293"/>
      <c r="X33" s="86" t="b">
        <f ca="1">IF(U32&gt;X32,TRUE,FALSE)</f>
        <v>0</v>
      </c>
      <c r="Y33" s="57" t="b">
        <f ca="1">AND(IF(W32&gt;-Y32,TRUE,FALSE),IF(H32&gt;0,TRUE,FALSE))</f>
        <v>0</v>
      </c>
      <c r="Z33" s="57" t="b">
        <f ca="1">AND(IF(U32&gt;-Z32,TRUE,FALSE),IF(H32&lt;0,TRUE,FALSE))</f>
        <v>0</v>
      </c>
      <c r="AA33" s="87" t="b">
        <f ca="1">IF(W32&gt;AA32,TRUE,FALSE)</f>
        <v>0</v>
      </c>
      <c r="AC33" s="64">
        <v>0</v>
      </c>
      <c r="AD33" s="64">
        <v>0</v>
      </c>
      <c r="AE33" s="183" t="s">
        <v>88</v>
      </c>
    </row>
    <row r="34" spans="1:31" x14ac:dyDescent="0.25">
      <c r="A34" s="158">
        <f>MATCH(F34,SCALARS!C:C,0)</f>
        <v>71</v>
      </c>
      <c r="B34" s="159">
        <f>MATCH(F34,'MKT DATA'!B:B,0)</f>
        <v>74</v>
      </c>
      <c r="C34" s="158" t="str" cm="1">
        <f t="array" aca="1" ref="C34" ca="1">INDIRECT(ADDRESS($A34,2,,,"ANCHOR INPUTS"))</f>
        <v>technology</v>
      </c>
      <c r="D34" s="273" cm="1">
        <f t="array" aca="1" ref="D34" ca="1">INDIRECT(ADDRESS($A34,7,,,"SCALARS"))</f>
        <v>10018000</v>
      </c>
      <c r="E34" s="14" t="str" cm="1">
        <f t="array" aca="1" ref="E34" ca="1">INDIRECT(ADDRESS($A34,5,,,"ANCHOR INPUTS"))</f>
        <v>IYW</v>
      </c>
      <c r="F34" s="15" t="s">
        <v>122</v>
      </c>
      <c r="G34" s="278"/>
      <c r="H34" s="31" cm="1">
        <f t="array" aca="1" ref="H34" ca="1">INDIRECT(ADDRESS($B34,9,,,"mkt data"))</f>
        <v>6750</v>
      </c>
      <c r="I34" s="66">
        <f t="shared" ca="1" si="54"/>
        <v>1234642.5</v>
      </c>
      <c r="J34" s="31">
        <f t="shared" ca="1" si="43"/>
        <v>5004.8620285250963</v>
      </c>
      <c r="K34" s="306">
        <f ca="1">SUM(J34:J35)</f>
        <v>4.8620285250963207</v>
      </c>
      <c r="L34" s="37" cm="1">
        <f t="array" aca="1" ref="L34" ca="1">INDIRECT(ADDRESS($B34,5,,,"mkt data"))</f>
        <v>182.81</v>
      </c>
      <c r="M34" s="38" cm="1">
        <f t="array" aca="1" ref="M34" ca="1">INDIRECT(ADDRESS($B34,6,,,"mkt data"))</f>
        <v>183.01</v>
      </c>
      <c r="N34" s="181"/>
      <c r="O34" s="16">
        <f t="shared" ca="1" si="44"/>
        <v>182.80500000000001</v>
      </c>
      <c r="P34" s="16">
        <f t="shared" ca="1" si="45"/>
        <v>183.01499999999999</v>
      </c>
      <c r="Q34" s="152" cm="1">
        <f t="array" aca="1" ref="Q34" ca="1">INDIRECT(ADDRESS($A34,6,,,"scalars"))</f>
        <v>1.3486885275814857</v>
      </c>
      <c r="R34" s="17">
        <f ca="1">O34*Q34</f>
        <v>246.5470062845335</v>
      </c>
      <c r="S34" s="17">
        <f ca="1">Q34*P34</f>
        <v>246.83023087532558</v>
      </c>
      <c r="T34" s="290">
        <f ca="1">R35-S34</f>
        <v>0.92476912467441252</v>
      </c>
      <c r="U34" s="292">
        <f ca="1">T34/AVERAGE(R35,S35)</f>
        <v>3.7233527586842713E-3</v>
      </c>
      <c r="V34" s="296">
        <f ca="1">R34-S35</f>
        <v>-2.4379937154664901</v>
      </c>
      <c r="W34" s="292">
        <f ca="1">V34/AVERAGE(R35,S35)</f>
        <v>-9.8159750189897744E-3</v>
      </c>
      <c r="X34" s="84">
        <f>AC34</f>
        <v>3.0000000000000001E-3</v>
      </c>
      <c r="Y34" s="55">
        <f>AC35</f>
        <v>0</v>
      </c>
      <c r="Z34" s="55">
        <f>AD35</f>
        <v>0</v>
      </c>
      <c r="AA34" s="85">
        <f>AD34</f>
        <v>2E-3</v>
      </c>
      <c r="AC34" s="63">
        <v>3.0000000000000001E-3</v>
      </c>
      <c r="AD34" s="64">
        <v>2E-3</v>
      </c>
      <c r="AE34" s="65" t="s">
        <v>87</v>
      </c>
    </row>
    <row r="35" spans="1:31" ht="15.75" thickBot="1" x14ac:dyDescent="0.3">
      <c r="A35" s="160">
        <f>MATCH(F35,SCALARS!C:C,0)</f>
        <v>70</v>
      </c>
      <c r="B35" s="161">
        <f>MATCH(F35,'MKT DATA'!B:B,0)</f>
        <v>56</v>
      </c>
      <c r="C35" s="160" t="str" cm="1">
        <f t="array" aca="1" ref="C35" ca="1">INDIRECT(ADDRESS($A35,2,,,"ANCHOR INPUTS"))</f>
        <v>technology</v>
      </c>
      <c r="D35" s="274" cm="1">
        <f t="array" aca="1" ref="D35" ca="1">INDIRECT(ADDRESS($A35,7,,,"SCALARS"))</f>
        <v>615900</v>
      </c>
      <c r="E35" s="20" t="str" cm="1">
        <f t="array" aca="1" ref="E35" ca="1">INDIRECT(ADDRESS($A35,5,,,"ANCHOR INPUTS"))</f>
        <v>IYW</v>
      </c>
      <c r="F35" s="21" t="s">
        <v>120</v>
      </c>
      <c r="G35" s="279"/>
      <c r="H35" s="33" cm="1">
        <f t="array" aca="1" ref="H35" ca="1">INDIRECT(ADDRESS($B35,9,,,"mkt data"))</f>
        <v>-5000</v>
      </c>
      <c r="I35" s="68">
        <f t="shared" ca="1" si="54"/>
        <v>-1241850</v>
      </c>
      <c r="J35" s="33">
        <f t="shared" ca="1" si="43"/>
        <v>-5000</v>
      </c>
      <c r="K35" s="307"/>
      <c r="L35" s="41" cm="1">
        <f t="array" aca="1" ref="L35" ca="1">INDIRECT(ADDRESS($B35,5,,,"mkt data"))</f>
        <v>247.76</v>
      </c>
      <c r="M35" s="42" cm="1">
        <f t="array" aca="1" ref="M35" ca="1">INDIRECT(ADDRESS($B35,6,,,"mkt data"))</f>
        <v>248.98</v>
      </c>
      <c r="N35" s="182"/>
      <c r="O35" s="22">
        <f t="shared" ca="1" si="44"/>
        <v>247.755</v>
      </c>
      <c r="P35" s="22">
        <f t="shared" ca="1" si="45"/>
        <v>248.98499999999999</v>
      </c>
      <c r="Q35" s="151" cm="1">
        <f t="array" aca="1" ref="Q35" ca="1">INDIRECT(ADDRESS($A35,6,,,"scalars"))</f>
        <v>1</v>
      </c>
      <c r="R35" s="23">
        <f t="shared" ref="R35:R37" ca="1" si="58">O35*Q35</f>
        <v>247.755</v>
      </c>
      <c r="S35" s="23">
        <f ca="1">Q35*P35</f>
        <v>248.98499999999999</v>
      </c>
      <c r="T35" s="308"/>
      <c r="U35" s="293"/>
      <c r="V35" s="297"/>
      <c r="W35" s="293"/>
      <c r="X35" s="86" t="b">
        <f ca="1">IF(U34&gt;X34,TRUE,FALSE)</f>
        <v>1</v>
      </c>
      <c r="Y35" s="57" t="b">
        <f ca="1">AND(IF(W34&gt;-Y34,TRUE,FALSE),IF(H34&gt;0,TRUE,FALSE))</f>
        <v>0</v>
      </c>
      <c r="Z35" s="57" t="b">
        <f ca="1">AND(IF(U34&gt;-Z34,TRUE,FALSE),IF(H34&lt;0,TRUE,FALSE))</f>
        <v>0</v>
      </c>
      <c r="AA35" s="87" t="b">
        <f ca="1">IF(W34&gt;AA34,TRUE,FALSE)</f>
        <v>0</v>
      </c>
      <c r="AC35" s="64">
        <v>0</v>
      </c>
      <c r="AD35" s="64">
        <v>0</v>
      </c>
      <c r="AE35" s="65" t="s">
        <v>88</v>
      </c>
    </row>
    <row r="36" spans="1:31" x14ac:dyDescent="0.25">
      <c r="A36" s="158">
        <f>MATCH(F36,SCALARS!C:C,0)</f>
        <v>73</v>
      </c>
      <c r="B36" s="159">
        <f>MATCH(F36,'MKT DATA'!B:B,0)</f>
        <v>75</v>
      </c>
      <c r="C36" s="158" t="str" cm="1">
        <f t="array" aca="1" ref="C36" ca="1">INDIRECT(ADDRESS($A36,2,,,"ANCHOR INPUTS"))</f>
        <v>utilities</v>
      </c>
      <c r="D36" s="273" cm="1">
        <f t="array" aca="1" ref="D36" ca="1">INDIRECT(ADDRESS($A36,7,,,"SCALARS"))</f>
        <v>20070500</v>
      </c>
      <c r="E36" s="14" t="str" cm="1">
        <f t="array" aca="1" ref="E36" ca="1">INDIRECT(ADDRESS($A36,5,,,"ANCHOR INPUTS"))</f>
        <v>IDU</v>
      </c>
      <c r="F36" s="15" t="s">
        <v>126</v>
      </c>
      <c r="G36" s="278"/>
      <c r="H36" s="31" cm="1">
        <f t="array" aca="1" ref="H36" ca="1">INDIRECT(ADDRESS($B36,9,,,"mkt data"))</f>
        <v>3048</v>
      </c>
      <c r="I36" s="66">
        <f t="shared" ca="1" si="54"/>
        <v>129997.20000000001</v>
      </c>
      <c r="J36" s="31">
        <f t="shared" ca="1" si="43"/>
        <v>1198.7943441159032</v>
      </c>
      <c r="K36" s="306">
        <f ca="1">SUM(J36:J37)</f>
        <v>-1.2056558840968137</v>
      </c>
      <c r="L36" s="37" cm="1">
        <f t="array" aca="1" ref="L36" ca="1">INDIRECT(ADDRESS($B36,5,,,"mkt data"))</f>
        <v>42.63</v>
      </c>
      <c r="M36" s="38" cm="1">
        <f t="array" aca="1" ref="M36" ca="1">INDIRECT(ADDRESS($B36,6,,,"mkt data"))</f>
        <v>42.67</v>
      </c>
      <c r="N36" s="181"/>
      <c r="O36" s="16">
        <f t="shared" ca="1" si="44"/>
        <v>42.625</v>
      </c>
      <c r="P36" s="16">
        <f t="shared" ca="1" si="45"/>
        <v>42.675000000000004</v>
      </c>
      <c r="Q36" s="152" cm="1">
        <f t="array" aca="1" ref="Q36" ca="1">INDIRECT(ADDRESS($A36,6,,,"scalars"))</f>
        <v>2.5425545381996812</v>
      </c>
      <c r="R36" s="17">
        <f t="shared" ca="1" si="58"/>
        <v>108.37638719076142</v>
      </c>
      <c r="S36" s="17">
        <f t="shared" ref="S36:S37" ca="1" si="59">Q36*P36</f>
        <v>108.50351491767141</v>
      </c>
      <c r="T36" s="290">
        <f ca="1">R37-S36</f>
        <v>-5.398514917671406</v>
      </c>
      <c r="U36" s="292">
        <f ca="1">T36/AVERAGE(R37,S37)</f>
        <v>-5.0640353807714519E-2</v>
      </c>
      <c r="V36" s="296">
        <f ca="1">R36-S37</f>
        <v>-1.7286128092385695</v>
      </c>
      <c r="W36" s="292">
        <f ca="1">V36/AVERAGE(R37,S37)</f>
        <v>-1.6215119452545095E-2</v>
      </c>
      <c r="X36" s="84">
        <f>AC36</f>
        <v>1E-3</v>
      </c>
      <c r="Y36" s="55">
        <f>AC37</f>
        <v>0</v>
      </c>
      <c r="Z36" s="55">
        <f>AD37</f>
        <v>0</v>
      </c>
      <c r="AA36" s="85">
        <f>AD36</f>
        <v>1E-3</v>
      </c>
      <c r="AC36" s="63">
        <v>1E-3</v>
      </c>
      <c r="AD36" s="64">
        <v>1E-3</v>
      </c>
      <c r="AE36" s="65" t="s">
        <v>87</v>
      </c>
    </row>
    <row r="37" spans="1:31" ht="15.75" thickBot="1" x14ac:dyDescent="0.3">
      <c r="A37" s="160">
        <f>MATCH(F37,SCALARS!C:C,0)</f>
        <v>72</v>
      </c>
      <c r="B37" s="161">
        <f>MATCH(F37,'MKT DATA'!B:B,0)</f>
        <v>57</v>
      </c>
      <c r="C37" s="160" t="str" cm="1">
        <f t="array" aca="1" ref="C37" ca="1">INDIRECT(ADDRESS($A37,2,,,"ANCHOR INPUTS"))</f>
        <v>utilities</v>
      </c>
      <c r="D37" s="274" cm="1">
        <f t="array" aca="1" ref="D37" ca="1">INDIRECT(ADDRESS($A37,7,,,"SCALARS"))</f>
        <v>121700</v>
      </c>
      <c r="E37" s="20" t="str" cm="1">
        <f t="array" aca="1" ref="E37" ca="1">INDIRECT(ADDRESS($A37,5,,,"ANCHOR INPUTS"))</f>
        <v>IDU</v>
      </c>
      <c r="F37" s="21" t="s">
        <v>124</v>
      </c>
      <c r="G37" s="279"/>
      <c r="H37" s="33" cm="1">
        <f t="array" aca="1" ref="H37" ca="1">INDIRECT(ADDRESS($B37,9,,,"mkt data"))</f>
        <v>-1200</v>
      </c>
      <c r="I37" s="68">
        <f t="shared" ca="1" si="54"/>
        <v>-127925.99999999999</v>
      </c>
      <c r="J37" s="33">
        <f t="shared" ca="1" si="43"/>
        <v>-1200</v>
      </c>
      <c r="K37" s="307"/>
      <c r="L37" s="41" cm="1">
        <f t="array" aca="1" ref="L37" ca="1">INDIRECT(ADDRESS($B37,5,,,"mkt data"))</f>
        <v>103.11</v>
      </c>
      <c r="M37" s="42" cm="1">
        <f t="array" aca="1" ref="M37" ca="1">INDIRECT(ADDRESS($B37,6,,,"mkt data"))</f>
        <v>110.1</v>
      </c>
      <c r="N37" s="182"/>
      <c r="O37" s="22">
        <f t="shared" ca="1" si="44"/>
        <v>103.105</v>
      </c>
      <c r="P37" s="22">
        <f t="shared" ca="1" si="45"/>
        <v>110.10499999999999</v>
      </c>
      <c r="Q37" s="151" cm="1">
        <f t="array" aca="1" ref="Q37" ca="1">INDIRECT(ADDRESS($A37,6,,,"scalars"))</f>
        <v>1</v>
      </c>
      <c r="R37" s="23">
        <f t="shared" ca="1" si="58"/>
        <v>103.105</v>
      </c>
      <c r="S37" s="23">
        <f t="shared" ca="1" si="59"/>
        <v>110.10499999999999</v>
      </c>
      <c r="T37" s="308"/>
      <c r="U37" s="293"/>
      <c r="V37" s="297"/>
      <c r="W37" s="293"/>
      <c r="X37" s="86" t="b">
        <f ca="1">IF(U36&gt;X36,TRUE,FALSE)</f>
        <v>0</v>
      </c>
      <c r="Y37" s="57" t="b">
        <f ca="1">AND(IF(W36&gt;-Y36,TRUE,FALSE),IF(H36&gt;0,TRUE,FALSE))</f>
        <v>0</v>
      </c>
      <c r="Z37" s="57" t="b">
        <f ca="1">AND(IF(U36&gt;-Z36,TRUE,FALSE),IF(H36&lt;0,TRUE,FALSE))</f>
        <v>0</v>
      </c>
      <c r="AA37" s="87" t="b">
        <f ca="1">IF(W36&gt;AA36,TRUE,FALSE)</f>
        <v>0</v>
      </c>
      <c r="AC37" s="64">
        <v>0</v>
      </c>
      <c r="AD37" s="64">
        <v>0</v>
      </c>
      <c r="AE37" s="65" t="s">
        <v>88</v>
      </c>
    </row>
    <row r="38" spans="1:31" x14ac:dyDescent="0.25">
      <c r="T38" s="263"/>
    </row>
    <row r="39" spans="1:31" x14ac:dyDescent="0.25">
      <c r="C39" s="153" t="s">
        <v>139</v>
      </c>
      <c r="D39" s="153"/>
      <c r="F39" t="s">
        <v>136</v>
      </c>
      <c r="H39" s="220"/>
      <c r="I39" s="220"/>
      <c r="J39" s="220"/>
      <c r="K39" s="220"/>
      <c r="L39" s="220"/>
      <c r="M39" s="220"/>
      <c r="N39" s="220" t="s">
        <v>192</v>
      </c>
      <c r="O39" s="220" t="s">
        <v>191</v>
      </c>
      <c r="P39" s="220"/>
      <c r="Q39" s="220" t="s">
        <v>186</v>
      </c>
      <c r="R39" s="220" t="s">
        <v>190</v>
      </c>
      <c r="S39" s="220" t="s">
        <v>187</v>
      </c>
      <c r="T39" s="220" t="s">
        <v>188</v>
      </c>
      <c r="U39" s="220" t="s">
        <v>189</v>
      </c>
      <c r="V39" s="2"/>
      <c r="W39" s="2"/>
      <c r="X39" s="220"/>
      <c r="Y39" s="220"/>
    </row>
    <row r="40" spans="1:31" x14ac:dyDescent="0.25">
      <c r="I40" t="s">
        <v>182</v>
      </c>
      <c r="N40" s="381">
        <f ca="1">O40*Q40</f>
        <v>-1.9466934217726536E-2</v>
      </c>
      <c r="O40" s="288">
        <f ca="1">+Q22-R40</f>
        <v>-2.9903124758412503E-4</v>
      </c>
      <c r="Q40" s="2">
        <v>65.099999999999994</v>
      </c>
      <c r="R40" s="288">
        <f>1.05985925287248-0.003*0</f>
        <v>1.05985925287248</v>
      </c>
      <c r="S40" s="2">
        <f>+Q40*R40</f>
        <v>68.996837361998445</v>
      </c>
      <c r="T40" s="2">
        <f>+S40-S41</f>
        <v>0.19683736199844759</v>
      </c>
      <c r="U40" s="289">
        <f>LN(S40/S41)</f>
        <v>2.8569232741345305E-3</v>
      </c>
      <c r="V40" s="286">
        <v>4700</v>
      </c>
      <c r="W40" s="2">
        <f>+T40*V40</f>
        <v>925.13560139270362</v>
      </c>
      <c r="X40" s="2"/>
    </row>
    <row r="41" spans="1:31" x14ac:dyDescent="0.25">
      <c r="C41" s="153" t="s">
        <v>137</v>
      </c>
      <c r="D41" s="153"/>
      <c r="F41" t="s">
        <v>138</v>
      </c>
      <c r="I41" t="s">
        <v>183</v>
      </c>
      <c r="O41" s="288"/>
      <c r="Q41" s="2">
        <v>68.8</v>
      </c>
      <c r="S41" s="2">
        <f>+Q41</f>
        <v>68.8</v>
      </c>
      <c r="T41" s="2"/>
      <c r="W41" s="2"/>
      <c r="X41" s="2"/>
    </row>
    <row r="42" spans="1:31" x14ac:dyDescent="0.25">
      <c r="C42" s="153" t="s">
        <v>168</v>
      </c>
      <c r="D42" s="153"/>
      <c r="F42" t="s">
        <v>135</v>
      </c>
      <c r="I42" t="s">
        <v>184</v>
      </c>
      <c r="O42" s="288"/>
      <c r="Q42" s="2"/>
      <c r="S42" s="2"/>
      <c r="T42" s="2"/>
      <c r="W42" s="2"/>
      <c r="X42" s="2"/>
    </row>
    <row r="43" spans="1:31" x14ac:dyDescent="0.25">
      <c r="F43" t="s">
        <v>144</v>
      </c>
      <c r="M43" s="270"/>
      <c r="N43" s="381">
        <f ca="1">+O43*Q43</f>
        <v>-0.10946304475882015</v>
      </c>
      <c r="O43" s="288">
        <f ca="1">+Q28-R43</f>
        <v>-6.8659000664128556E-4</v>
      </c>
      <c r="Q43" s="2">
        <v>159.43</v>
      </c>
      <c r="R43" s="288">
        <f>1.09513011734392-0.011*0</f>
        <v>1.0951301173439201</v>
      </c>
      <c r="S43" s="2">
        <f>+Q43*R43</f>
        <v>174.59659460814117</v>
      </c>
      <c r="T43" s="2">
        <f>+S43-S44</f>
        <v>1.8165946081411732</v>
      </c>
      <c r="U43" s="289">
        <f>LN(S43/S44)</f>
        <v>1.0459030322022741E-2</v>
      </c>
      <c r="V43" s="286">
        <v>765</v>
      </c>
      <c r="W43" s="2">
        <f>+T43*V43</f>
        <v>1389.6948752279975</v>
      </c>
      <c r="X43" s="2"/>
    </row>
    <row r="44" spans="1:31" x14ac:dyDescent="0.25">
      <c r="F44" t="s">
        <v>145</v>
      </c>
      <c r="O44" s="288"/>
      <c r="Q44" s="2">
        <v>172.78</v>
      </c>
      <c r="S44" s="2">
        <f>+Q44</f>
        <v>172.78</v>
      </c>
      <c r="T44" s="2"/>
      <c r="W44" s="2"/>
      <c r="X44" s="2"/>
    </row>
    <row r="45" spans="1:31" x14ac:dyDescent="0.25">
      <c r="O45" s="288"/>
      <c r="Q45" s="2"/>
      <c r="S45" s="2"/>
      <c r="T45" s="2"/>
      <c r="W45" s="2"/>
      <c r="X45" s="2"/>
    </row>
    <row r="46" spans="1:31" x14ac:dyDescent="0.25">
      <c r="N46" s="381">
        <f ca="1">+O46*Q46</f>
        <v>-3.5090769231089988E-2</v>
      </c>
      <c r="O46" s="288">
        <f ca="1">+Q32-R46</f>
        <v>-4.6453229058895928E-4</v>
      </c>
      <c r="Q46" s="2">
        <v>75.540000000000006</v>
      </c>
      <c r="R46" s="288">
        <f>1.14388921900684-0.012*0</f>
        <v>1.1438892190068399</v>
      </c>
      <c r="S46" s="2">
        <f>+Q46*R46</f>
        <v>86.409391603776697</v>
      </c>
      <c r="T46" s="2">
        <f>+S46-S47</f>
        <v>0.87939160377669623</v>
      </c>
      <c r="U46" s="289">
        <f>LN(S46/S47)</f>
        <v>1.022917742778439E-2</v>
      </c>
      <c r="V46" s="286">
        <v>2420</v>
      </c>
      <c r="W46" s="2">
        <f>+T46*V46</f>
        <v>2128.1276811396046</v>
      </c>
      <c r="X46" s="220">
        <f>SUM(W40:W55)</f>
        <v>8433.0209783685732</v>
      </c>
    </row>
    <row r="47" spans="1:31" x14ac:dyDescent="0.25">
      <c r="H47" s="270"/>
      <c r="I47" s="270"/>
      <c r="J47" s="270"/>
      <c r="K47" s="270"/>
      <c r="L47" s="270"/>
      <c r="M47" s="270"/>
      <c r="N47" s="270"/>
      <c r="O47" s="288"/>
      <c r="P47" s="270"/>
      <c r="Q47" s="2">
        <v>85.53</v>
      </c>
      <c r="R47" s="270"/>
      <c r="S47" s="2">
        <f>+Q47</f>
        <v>85.53</v>
      </c>
      <c r="T47" s="2"/>
      <c r="V47" s="270"/>
      <c r="W47" s="2"/>
      <c r="X47" s="2"/>
      <c r="Y47" s="270"/>
    </row>
    <row r="48" spans="1:31" x14ac:dyDescent="0.25">
      <c r="O48" s="288"/>
      <c r="Q48" s="2"/>
      <c r="S48" s="2"/>
      <c r="T48" s="2"/>
      <c r="V48" s="7"/>
      <c r="W48" s="2"/>
      <c r="X48" s="2"/>
    </row>
    <row r="49" spans="5:30" x14ac:dyDescent="0.25">
      <c r="N49" s="381">
        <f ca="1">+O49*Q49</f>
        <v>1.1606099726086682E-2</v>
      </c>
      <c r="O49" s="288">
        <f ca="1">+Q34-R49</f>
        <v>6.32140507956791E-5</v>
      </c>
      <c r="Q49" s="2">
        <v>183.6</v>
      </c>
      <c r="R49" s="288">
        <f>1.34862531353069+0.004*0</f>
        <v>1.34862531353069</v>
      </c>
      <c r="S49" s="2">
        <f>+Q49*R49</f>
        <v>247.60760756423468</v>
      </c>
      <c r="T49" s="2">
        <f>+S50-S49</f>
        <v>0.7723924357653118</v>
      </c>
      <c r="U49" s="289">
        <f>LN(S49/S50)</f>
        <v>-3.1145659624137764E-3</v>
      </c>
      <c r="V49" s="286">
        <v>-5000</v>
      </c>
      <c r="W49" s="2">
        <f>+-T49*V49</f>
        <v>3861.962178826559</v>
      </c>
      <c r="X49" s="2"/>
    </row>
    <row r="50" spans="5:30" x14ac:dyDescent="0.25">
      <c r="O50" s="288"/>
      <c r="Q50" s="2">
        <v>248.38</v>
      </c>
      <c r="S50" s="2">
        <f>+Q50</f>
        <v>248.38</v>
      </c>
      <c r="T50" s="2"/>
      <c r="W50" s="2"/>
      <c r="X50" s="2"/>
    </row>
    <row r="51" spans="5:30" x14ac:dyDescent="0.25">
      <c r="O51" s="288"/>
      <c r="Q51" s="2"/>
      <c r="S51" s="2"/>
      <c r="T51" s="2"/>
      <c r="W51" s="2"/>
      <c r="X51" s="2"/>
    </row>
    <row r="52" spans="5:30" x14ac:dyDescent="0.25">
      <c r="N52" s="381">
        <f ca="1">+O52*Q52</f>
        <v>1.7552679798495618E-2</v>
      </c>
      <c r="O52" s="288">
        <f ca="1">+Q36-R52</f>
        <v>4.1135879537135267E-4</v>
      </c>
      <c r="Q52" s="2">
        <v>42.67</v>
      </c>
      <c r="R52" s="288">
        <f>2.54214317940431+0.0025*0</f>
        <v>2.5421431794043099</v>
      </c>
      <c r="S52" s="2">
        <f>+Q52*R52</f>
        <v>108.47324946518191</v>
      </c>
      <c r="T52" s="2">
        <f>+S53-S52</f>
        <v>0.10675053481809016</v>
      </c>
      <c r="U52" s="289">
        <f>LN(S52/S53)</f>
        <v>-9.8363460292084036E-4</v>
      </c>
      <c r="V52" s="286">
        <v>-1200</v>
      </c>
      <c r="W52" s="2">
        <f>+-T52*V52</f>
        <v>128.10064178170819</v>
      </c>
      <c r="X52" s="2"/>
    </row>
    <row r="53" spans="5:30" x14ac:dyDescent="0.25">
      <c r="O53" s="288"/>
      <c r="Q53" s="2">
        <v>108.58</v>
      </c>
      <c r="S53" s="2">
        <f>+Q53</f>
        <v>108.58</v>
      </c>
      <c r="T53" s="2"/>
    </row>
    <row r="58" spans="5:3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5:3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5:3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5:3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5:3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5:3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5:3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5:3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</sheetData>
  <mergeCells count="97">
    <mergeCell ref="A19:C19"/>
    <mergeCell ref="A1:B1"/>
    <mergeCell ref="H1:K1"/>
    <mergeCell ref="L1:M1"/>
    <mergeCell ref="O1:P1"/>
    <mergeCell ref="K15:K16"/>
    <mergeCell ref="K5:K6"/>
    <mergeCell ref="K9:K10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T11:T12"/>
    <mergeCell ref="T15:T16"/>
    <mergeCell ref="U15:U16"/>
    <mergeCell ref="V15:V16"/>
    <mergeCell ref="W15:W16"/>
    <mergeCell ref="K17:K18"/>
    <mergeCell ref="T17:T18"/>
    <mergeCell ref="U17:U18"/>
    <mergeCell ref="V17:V18"/>
    <mergeCell ref="W17:W18"/>
    <mergeCell ref="U11:U12"/>
    <mergeCell ref="V11:V12"/>
    <mergeCell ref="W11:W12"/>
    <mergeCell ref="K7:K8"/>
    <mergeCell ref="T7:T8"/>
    <mergeCell ref="U7:U8"/>
    <mergeCell ref="V7:V8"/>
    <mergeCell ref="W7:W8"/>
    <mergeCell ref="A20:B20"/>
    <mergeCell ref="H20:K20"/>
    <mergeCell ref="L20:M20"/>
    <mergeCell ref="O20:P20"/>
    <mergeCell ref="R20:S20"/>
    <mergeCell ref="T20:U20"/>
    <mergeCell ref="V20:W20"/>
    <mergeCell ref="AC20:AD20"/>
    <mergeCell ref="K22:K23"/>
    <mergeCell ref="V22:V23"/>
    <mergeCell ref="W22:W23"/>
    <mergeCell ref="T22:T23"/>
    <mergeCell ref="U22:U23"/>
    <mergeCell ref="K26:K27"/>
    <mergeCell ref="V26:V27"/>
    <mergeCell ref="W26:W27"/>
    <mergeCell ref="T26:T27"/>
    <mergeCell ref="U26:U27"/>
    <mergeCell ref="K24:K25"/>
    <mergeCell ref="V24:V25"/>
    <mergeCell ref="W24:W25"/>
    <mergeCell ref="T24:T25"/>
    <mergeCell ref="U24:U25"/>
    <mergeCell ref="K34:K35"/>
    <mergeCell ref="V34:V35"/>
    <mergeCell ref="W34:W35"/>
    <mergeCell ref="T34:T35"/>
    <mergeCell ref="U34:U35"/>
    <mergeCell ref="K36:K37"/>
    <mergeCell ref="V36:V37"/>
    <mergeCell ref="W36:W37"/>
    <mergeCell ref="T36:T37"/>
    <mergeCell ref="U36:U37"/>
    <mergeCell ref="T5:T6"/>
    <mergeCell ref="U5:U6"/>
    <mergeCell ref="V5:V6"/>
    <mergeCell ref="W5:W6"/>
    <mergeCell ref="T9:T10"/>
    <mergeCell ref="U9:U10"/>
    <mergeCell ref="V9:V10"/>
    <mergeCell ref="W9:W10"/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K30:K31"/>
    <mergeCell ref="V30:V31"/>
    <mergeCell ref="W30:W31"/>
    <mergeCell ref="T30:T31"/>
    <mergeCell ref="U30:U31"/>
  </mergeCells>
  <conditionalFormatting sqref="R7:R8">
    <cfRule type="top10" dxfId="91" priority="84" rank="1"/>
  </conditionalFormatting>
  <conditionalFormatting sqref="R15:R16">
    <cfRule type="top10" dxfId="90" priority="74" rank="1"/>
  </conditionalFormatting>
  <conditionalFormatting sqref="R11:R12">
    <cfRule type="top10" dxfId="89" priority="72" rank="1"/>
  </conditionalFormatting>
  <conditionalFormatting sqref="R13:R14">
    <cfRule type="top10" dxfId="88" priority="70" rank="1"/>
  </conditionalFormatting>
  <conditionalFormatting sqref="X12 AA12 X14 AA14 X16 AA16 X8:X10 AA8:AA10 X18 AA18 X4:X6 AA4:AA6 X25:X27 AA25:AA27 X29:X31 AA29:AA31 X33:X37 AA33:AA37">
    <cfRule type="cellIs" dxfId="87" priority="69" operator="equal">
      <formula>TRUE</formula>
    </cfRule>
  </conditionalFormatting>
  <conditionalFormatting sqref="Y12:Z12 Y14:Z14 Y16:Z16 Y8:Z10 Y18:Z18 Y4:Z6 Y25:Z27 Y29:Z31 Y33:Z37">
    <cfRule type="cellIs" dxfId="86" priority="68" operator="equal">
      <formula>TRUE</formula>
    </cfRule>
  </conditionalFormatting>
  <conditionalFormatting sqref="W3:W18 U3:U18 U22:U37 W22:W37">
    <cfRule type="cellIs" dxfId="85" priority="67" operator="greaterThan">
      <formula>0</formula>
    </cfRule>
  </conditionalFormatting>
  <conditionalFormatting sqref="R34:R35">
    <cfRule type="top10" dxfId="84" priority="63" rank="1"/>
  </conditionalFormatting>
  <conditionalFormatting sqref="R26:R27">
    <cfRule type="top10" dxfId="83" priority="59" rank="1"/>
  </conditionalFormatting>
  <conditionalFormatting sqref="R30:R31">
    <cfRule type="top10" dxfId="82" priority="57" rank="1"/>
  </conditionalFormatting>
  <conditionalFormatting sqref="R22:R23">
    <cfRule type="top10" dxfId="81" priority="55" rank="1"/>
  </conditionalFormatting>
  <conditionalFormatting sqref="S22:S23">
    <cfRule type="top10" dxfId="80" priority="56" bottom="1" rank="1"/>
  </conditionalFormatting>
  <conditionalFormatting sqref="X23 AA23">
    <cfRule type="cellIs" dxfId="79" priority="40" operator="equal">
      <formula>TRUE</formula>
    </cfRule>
  </conditionalFormatting>
  <conditionalFormatting sqref="Y23:Z23">
    <cfRule type="cellIs" dxfId="78" priority="39" operator="equal">
      <formula>TRUE</formula>
    </cfRule>
  </conditionalFormatting>
  <conditionalFormatting sqref="X27 AA27">
    <cfRule type="cellIs" dxfId="77" priority="36" operator="equal">
      <formula>TRUE</formula>
    </cfRule>
  </conditionalFormatting>
  <conditionalFormatting sqref="Y27:Z27">
    <cfRule type="cellIs" dxfId="76" priority="35" operator="equal">
      <formula>TRUE</formula>
    </cfRule>
  </conditionalFormatting>
  <conditionalFormatting sqref="Y31:Z31">
    <cfRule type="cellIs" dxfId="75" priority="34" operator="equal">
      <formula>TRUE</formula>
    </cfRule>
  </conditionalFormatting>
  <conditionalFormatting sqref="R3:R4">
    <cfRule type="top10" dxfId="74" priority="86" rank="1"/>
  </conditionalFormatting>
  <conditionalFormatting sqref="R9:R10">
    <cfRule type="top10" dxfId="73" priority="89" rank="1"/>
  </conditionalFormatting>
  <conditionalFormatting sqref="R17:R18">
    <cfRule type="top10" dxfId="72" priority="32" rank="1"/>
  </conditionalFormatting>
  <conditionalFormatting sqref="R5:R6">
    <cfRule type="top10" dxfId="71" priority="30" rank="1"/>
  </conditionalFormatting>
  <conditionalFormatting sqref="R36:R37">
    <cfRule type="top10" dxfId="70" priority="26" rank="1"/>
  </conditionalFormatting>
  <conditionalFormatting sqref="R24:R25">
    <cfRule type="top10" dxfId="69" priority="101" rank="1"/>
  </conditionalFormatting>
  <conditionalFormatting sqref="R28:R29">
    <cfRule type="top10" dxfId="68" priority="18" rank="1"/>
  </conditionalFormatting>
  <conditionalFormatting sqref="R32:R33">
    <cfRule type="top10" dxfId="67" priority="16" rank="1"/>
  </conditionalFormatting>
  <conditionalFormatting sqref="S26:S27">
    <cfRule type="top10" dxfId="66" priority="15" bottom="1" rank="1"/>
  </conditionalFormatting>
  <conditionalFormatting sqref="S30:S31">
    <cfRule type="top10" dxfId="65" priority="14" bottom="1" rank="1"/>
  </conditionalFormatting>
  <conditionalFormatting sqref="S34:S35">
    <cfRule type="top10" dxfId="64" priority="13" bottom="1" rank="1"/>
  </conditionalFormatting>
  <conditionalFormatting sqref="S24:S25">
    <cfRule type="top10" dxfId="63" priority="12" bottom="1" rank="1"/>
  </conditionalFormatting>
  <conditionalFormatting sqref="S28:S29">
    <cfRule type="top10" dxfId="62" priority="11" bottom="1" rank="1"/>
  </conditionalFormatting>
  <conditionalFormatting sqref="S32:S33">
    <cfRule type="top10" dxfId="61" priority="10" bottom="1" rank="1"/>
  </conditionalFormatting>
  <conditionalFormatting sqref="S36:S37">
    <cfRule type="top10" dxfId="60" priority="9" bottom="1" rank="1"/>
  </conditionalFormatting>
  <conditionalFormatting sqref="S3:S4">
    <cfRule type="top10" dxfId="59" priority="8" bottom="1" rank="1"/>
  </conditionalFormatting>
  <conditionalFormatting sqref="S7:S8">
    <cfRule type="top10" dxfId="58" priority="7" bottom="1" rank="1"/>
  </conditionalFormatting>
  <conditionalFormatting sqref="S11:S12">
    <cfRule type="top10" dxfId="57" priority="6" bottom="1" rank="1"/>
  </conditionalFormatting>
  <conditionalFormatting sqref="S15:S16">
    <cfRule type="top10" dxfId="56" priority="5" bottom="1" rank="1"/>
  </conditionalFormatting>
  <conditionalFormatting sqref="S5:S6">
    <cfRule type="top10" dxfId="55" priority="4" bottom="1" rank="1"/>
  </conditionalFormatting>
  <conditionalFormatting sqref="S9:S10">
    <cfRule type="top10" dxfId="54" priority="3" bottom="1" rank="1"/>
  </conditionalFormatting>
  <conditionalFormatting sqref="S13:S14">
    <cfRule type="top10" dxfId="53" priority="2" bottom="1" rank="1"/>
  </conditionalFormatting>
  <conditionalFormatting sqref="S17:S18">
    <cfRule type="top10" dxfId="52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zoomScale="85" zoomScaleNormal="85" workbookViewId="0">
      <pane ySplit="1" topLeftCell="A31" activePane="bottomLeft" state="frozen"/>
      <selection pane="bottomLeft" activeCell="G70" sqref="G70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6" width="12.5703125" bestFit="1" customWidth="1"/>
    <col min="7" max="7" width="12.140625" style="1" bestFit="1" customWidth="1"/>
    <col min="8" max="8" width="7.7109375" style="218" customWidth="1"/>
    <col min="9" max="9" width="12.5703125" style="219" bestFit="1" customWidth="1"/>
    <col min="10" max="10" width="14.5703125" style="7" bestFit="1" customWidth="1"/>
    <col min="11" max="11" width="9.7109375" style="6" bestFit="1" customWidth="1"/>
    <col min="12" max="12" width="8.7109375" style="6" bestFit="1" customWidth="1"/>
    <col min="15" max="15" width="34.5703125" bestFit="1" customWidth="1"/>
  </cols>
  <sheetData>
    <row r="1" spans="1:15" ht="15.75" x14ac:dyDescent="0.25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66" t="str">
        <f>SCALARS!F1</f>
        <v>multiplier</v>
      </c>
      <c r="G1" s="267" t="s">
        <v>169</v>
      </c>
      <c r="H1" s="268" t="s">
        <v>172</v>
      </c>
      <c r="I1" s="269" t="s">
        <v>171</v>
      </c>
      <c r="J1" s="271" t="s">
        <v>170</v>
      </c>
      <c r="K1" s="272" t="s">
        <v>176</v>
      </c>
      <c r="L1" s="272" t="s">
        <v>177</v>
      </c>
      <c r="O1" s="144" t="s">
        <v>96</v>
      </c>
    </row>
    <row r="2" spans="1:15" ht="16.5" thickBot="1" x14ac:dyDescent="0.3">
      <c r="A2" t="str">
        <f>SCALARS!A2</f>
        <v>fixed income</v>
      </c>
      <c r="B2" t="str">
        <f>SCALARS!B2</f>
        <v>agg</v>
      </c>
      <c r="C2" t="str">
        <f>SCALARS!C2</f>
        <v>AGG</v>
      </c>
      <c r="D2" t="str">
        <f>SCALARS!D2</f>
        <v>IBKR</v>
      </c>
      <c r="E2" t="str">
        <f>SCALARS!E2</f>
        <v>AGG</v>
      </c>
      <c r="F2" s="265">
        <f>SCALARS!F2</f>
        <v>1</v>
      </c>
      <c r="G2" s="264" t="b">
        <v>0</v>
      </c>
      <c r="O2" s="145" t="s">
        <v>97</v>
      </c>
    </row>
    <row r="3" spans="1:15" x14ac:dyDescent="0.25">
      <c r="A3" t="str">
        <f>SCALARS!A3</f>
        <v>fixed income</v>
      </c>
      <c r="B3" t="str">
        <f>SCALARS!B3</f>
        <v>agg</v>
      </c>
      <c r="C3" t="str">
        <f>SCALARS!C3</f>
        <v>BND</v>
      </c>
      <c r="D3" t="str">
        <f>SCALARS!D3</f>
        <v>IBKR</v>
      </c>
      <c r="E3" t="str">
        <f>SCALARS!E3</f>
        <v>AGG</v>
      </c>
      <c r="F3" s="265">
        <f>SCALARS!F3</f>
        <v>1.348075618621267</v>
      </c>
      <c r="G3" s="264" t="b">
        <v>0</v>
      </c>
    </row>
    <row r="4" spans="1:15" x14ac:dyDescent="0.25">
      <c r="A4" t="str">
        <f>SCALARS!A4</f>
        <v>fixed income</v>
      </c>
      <c r="B4" t="str">
        <f>SCALARS!B4</f>
        <v>agg</v>
      </c>
      <c r="C4" t="str">
        <f>SCALARS!C4</f>
        <v>SCHZ</v>
      </c>
      <c r="D4" t="str">
        <f>SCALARS!D4</f>
        <v>IBKR</v>
      </c>
      <c r="E4" t="str">
        <f>SCALARS!E4</f>
        <v>AGG</v>
      </c>
      <c r="F4" s="265">
        <f>SCALARS!F4</f>
        <v>4.2774908701103964</v>
      </c>
      <c r="G4" s="264" t="b">
        <v>0</v>
      </c>
    </row>
    <row r="5" spans="1:15" x14ac:dyDescent="0.25">
      <c r="A5" t="str">
        <f>SCALARS!A5</f>
        <v>fixed income</v>
      </c>
      <c r="B5" t="str">
        <f>SCALARS!B5</f>
        <v>agg</v>
      </c>
      <c r="C5" t="str">
        <f>SCALARS!C5</f>
        <v>SPAB</v>
      </c>
      <c r="D5" t="str">
        <f>SCALARS!D5</f>
        <v>IBKR</v>
      </c>
      <c r="E5" t="str">
        <f>SCALARS!E5</f>
        <v>AGG</v>
      </c>
      <c r="F5" s="265">
        <f>SCALARS!F5</f>
        <v>3.8797956599225869</v>
      </c>
      <c r="G5" s="264" t="b">
        <v>0</v>
      </c>
    </row>
    <row r="6" spans="1:15" x14ac:dyDescent="0.25">
      <c r="A6" t="str">
        <f>SCALARS!A6</f>
        <v>fixed income</v>
      </c>
      <c r="B6" t="str">
        <f>SCALARS!B6</f>
        <v>fallen angels</v>
      </c>
      <c r="C6" t="str">
        <f>SCALARS!C6</f>
        <v>ANGL</v>
      </c>
      <c r="D6" t="str">
        <f>SCALARS!D6</f>
        <v>IBKR</v>
      </c>
      <c r="E6" t="str">
        <f>SCALARS!E6</f>
        <v>ANGL</v>
      </c>
      <c r="F6" s="265">
        <f>SCALARS!F6</f>
        <v>1</v>
      </c>
      <c r="G6" s="264" t="b">
        <v>0</v>
      </c>
    </row>
    <row r="7" spans="1:15" x14ac:dyDescent="0.25">
      <c r="A7" t="str">
        <f>SCALARS!A7</f>
        <v>fixed income</v>
      </c>
      <c r="B7" t="str">
        <f>SCALARS!B7</f>
        <v>fallen angels</v>
      </c>
      <c r="C7" t="str">
        <f>SCALARS!C7</f>
        <v>FALN</v>
      </c>
      <c r="D7" t="str">
        <f>SCALARS!D7</f>
        <v>IBKR</v>
      </c>
      <c r="E7" t="str">
        <f>SCALARS!E7</f>
        <v>ANGL</v>
      </c>
      <c r="F7" s="265">
        <f>SCALARS!F7</f>
        <v>1.0737600019731681</v>
      </c>
      <c r="G7" s="264" t="b">
        <v>0</v>
      </c>
    </row>
    <row r="8" spans="1:15" x14ac:dyDescent="0.25">
      <c r="A8" t="str">
        <f>SCALARS!A8</f>
        <v>fixed income</v>
      </c>
      <c r="B8" t="str">
        <f>SCALARS!B8</f>
        <v>corps</v>
      </c>
      <c r="C8" t="str">
        <f>SCALARS!C8</f>
        <v>CORP</v>
      </c>
      <c r="D8" t="str">
        <f>SCALARS!D8</f>
        <v>IBKR</v>
      </c>
      <c r="E8" t="str">
        <f>SCALARS!E8</f>
        <v>CORP</v>
      </c>
      <c r="F8" s="265">
        <f>SCALARS!F8</f>
        <v>1</v>
      </c>
      <c r="G8" s="264" t="b">
        <v>0</v>
      </c>
    </row>
    <row r="9" spans="1:15" x14ac:dyDescent="0.25">
      <c r="A9" t="str">
        <f>SCALARS!A9</f>
        <v>fixed income</v>
      </c>
      <c r="B9" t="str">
        <f>SCALARS!B9</f>
        <v>corps</v>
      </c>
      <c r="C9" t="str">
        <f>SCALARS!C9</f>
        <v>SPBO</v>
      </c>
      <c r="D9" t="str">
        <f>SCALARS!D9</f>
        <v>IBKR</v>
      </c>
      <c r="E9" t="str">
        <f>SCALARS!E9</f>
        <v>CORP</v>
      </c>
      <c r="F9" s="265">
        <f>SCALARS!F9</f>
        <v>3.3419415394552168</v>
      </c>
      <c r="G9" s="264" t="b">
        <v>0</v>
      </c>
    </row>
    <row r="10" spans="1:15" x14ac:dyDescent="0.25">
      <c r="A10" t="str">
        <f>SCALARS!A10</f>
        <v>fixed income</v>
      </c>
      <c r="B10" t="str">
        <f>SCALARS!B10</f>
        <v>corps</v>
      </c>
      <c r="C10" t="str">
        <f>SCALARS!C10</f>
        <v>USIG</v>
      </c>
      <c r="D10" t="str">
        <f>SCALARS!D10</f>
        <v>IBKR</v>
      </c>
      <c r="E10" t="str">
        <f>SCALARS!E10</f>
        <v>CORP</v>
      </c>
      <c r="F10" s="265">
        <f>SCALARS!F10</f>
        <v>1.8898030709832834</v>
      </c>
      <c r="G10" s="264" t="b">
        <v>0</v>
      </c>
    </row>
    <row r="11" spans="1:15" x14ac:dyDescent="0.25">
      <c r="A11" t="str">
        <f>SCALARS!A11</f>
        <v>fixed income</v>
      </c>
      <c r="B11" t="str">
        <f>SCALARS!B11</f>
        <v>corps</v>
      </c>
      <c r="C11" t="str">
        <f>SCALARS!C11</f>
        <v>VTC</v>
      </c>
      <c r="D11" t="str">
        <f>SCALARS!D11</f>
        <v>IBKR</v>
      </c>
      <c r="E11" t="str">
        <f>SCALARS!E11</f>
        <v>CORP</v>
      </c>
      <c r="F11" s="265">
        <f>SCALARS!F11</f>
        <v>1.2635048920060759</v>
      </c>
      <c r="G11" s="264" t="b">
        <v>0</v>
      </c>
    </row>
    <row r="12" spans="1:15" x14ac:dyDescent="0.25">
      <c r="A12" t="str">
        <f>SCALARS!A12</f>
        <v>fixed income</v>
      </c>
      <c r="B12" t="str">
        <f>SCALARS!B12</f>
        <v>em gov -us</v>
      </c>
      <c r="C12" t="str">
        <f>SCALARS!C12</f>
        <v>EMB</v>
      </c>
      <c r="D12" t="str">
        <f>SCALARS!D12</f>
        <v>IBKR</v>
      </c>
      <c r="E12" t="str">
        <f>SCALARS!E12</f>
        <v>EMB</v>
      </c>
      <c r="F12" s="265">
        <f>SCALARS!F12</f>
        <v>1</v>
      </c>
      <c r="G12" s="264" t="b">
        <v>0</v>
      </c>
    </row>
    <row r="13" spans="1:15" x14ac:dyDescent="0.25">
      <c r="A13" t="str">
        <f>SCALARS!A13</f>
        <v>fixed income</v>
      </c>
      <c r="B13" t="str">
        <f>SCALARS!B13</f>
        <v>em gov -us</v>
      </c>
      <c r="C13" t="str">
        <f>SCALARS!C13</f>
        <v>VWOB</v>
      </c>
      <c r="D13" t="str">
        <f>SCALARS!D13</f>
        <v>IBKR</v>
      </c>
      <c r="E13" t="str">
        <f>SCALARS!E13</f>
        <v>EMB</v>
      </c>
      <c r="F13" s="265">
        <f>SCALARS!F13</f>
        <v>1.437873753567215</v>
      </c>
      <c r="G13" s="264" t="b">
        <v>0</v>
      </c>
    </row>
    <row r="14" spans="1:15" x14ac:dyDescent="0.25">
      <c r="A14" t="str">
        <f>SCALARS!A14</f>
        <v>fixed income</v>
      </c>
      <c r="B14" t="str">
        <f>SCALARS!B14</f>
        <v>intl agg - hedged</v>
      </c>
      <c r="C14" t="str">
        <f>SCALARS!C14</f>
        <v>BNDX</v>
      </c>
      <c r="D14" t="str">
        <f>SCALARS!D14</f>
        <v>IBKR</v>
      </c>
      <c r="E14" t="str">
        <f>SCALARS!E14</f>
        <v>IAGG</v>
      </c>
      <c r="F14" s="265">
        <f>SCALARS!F14</f>
        <v>1.0447269012781422</v>
      </c>
      <c r="G14" s="264" t="b">
        <v>0</v>
      </c>
    </row>
    <row r="15" spans="1:15" x14ac:dyDescent="0.25">
      <c r="A15" t="str">
        <f>SCALARS!A15</f>
        <v>fixed income</v>
      </c>
      <c r="B15" t="str">
        <f>SCALARS!B15</f>
        <v>intl agg - hedged</v>
      </c>
      <c r="C15" t="str">
        <f>SCALARS!C15</f>
        <v>IAGG</v>
      </c>
      <c r="D15" t="str">
        <f>SCALARS!D15</f>
        <v>IBKR</v>
      </c>
      <c r="E15" t="str">
        <f>SCALARS!E15</f>
        <v>IAGG</v>
      </c>
      <c r="F15" s="265">
        <f>SCALARS!F15</f>
        <v>1</v>
      </c>
      <c r="G15" s="264" t="b">
        <v>0</v>
      </c>
    </row>
    <row r="16" spans="1:15" x14ac:dyDescent="0.25">
      <c r="A16" t="str">
        <f>SCALARS!A16</f>
        <v>fixed income</v>
      </c>
      <c r="B16" t="str">
        <f>SCALARS!B16</f>
        <v>converts</v>
      </c>
      <c r="C16" t="str">
        <f>SCALARS!C16</f>
        <v>CWB</v>
      </c>
      <c r="D16" t="str">
        <f>SCALARS!D16</f>
        <v>IBKR</v>
      </c>
      <c r="E16" t="str">
        <f>SCALARS!E16</f>
        <v>ICVT</v>
      </c>
      <c r="F16" s="265">
        <f>SCALARS!F16</f>
        <v>1.1151914911749363</v>
      </c>
      <c r="G16" s="264" t="b">
        <v>0</v>
      </c>
    </row>
    <row r="17" spans="1:7" x14ac:dyDescent="0.25">
      <c r="A17" t="str">
        <f>SCALARS!A17</f>
        <v>fixed income</v>
      </c>
      <c r="B17" t="str">
        <f>SCALARS!B17</f>
        <v>converts</v>
      </c>
      <c r="C17" t="str">
        <f>SCALARS!C17</f>
        <v>ICVT</v>
      </c>
      <c r="D17" t="str">
        <f>SCALARS!D17</f>
        <v>IBKR</v>
      </c>
      <c r="E17" t="str">
        <f>SCALARS!E17</f>
        <v>ICVT</v>
      </c>
      <c r="F17" s="265">
        <f>SCALARS!F17</f>
        <v>1</v>
      </c>
      <c r="G17" s="264" t="b">
        <v>0</v>
      </c>
    </row>
    <row r="18" spans="1:7" x14ac:dyDescent="0.25">
      <c r="A18" t="str">
        <f>SCALARS!A18</f>
        <v>fixed income</v>
      </c>
      <c r="B18" t="str">
        <f>SCALARS!B18</f>
        <v>intl gov - unhedged</v>
      </c>
      <c r="C18" t="str">
        <f>SCALARS!C18</f>
        <v>BWX</v>
      </c>
      <c r="D18" t="str">
        <f>SCALARS!D18</f>
        <v>IBKR</v>
      </c>
      <c r="E18" t="str">
        <f>SCALARS!E18</f>
        <v>IGOV</v>
      </c>
      <c r="F18" s="265">
        <f>SCALARS!F18</f>
        <v>1.8900092727276789</v>
      </c>
      <c r="G18" s="264" t="b">
        <v>0</v>
      </c>
    </row>
    <row r="19" spans="1:7" x14ac:dyDescent="0.25">
      <c r="A19" t="str">
        <f>SCALARS!A19</f>
        <v>fixed income</v>
      </c>
      <c r="B19" t="str">
        <f>SCALARS!B19</f>
        <v>intl gov - unhedged</v>
      </c>
      <c r="C19" t="str">
        <f>SCALARS!C19</f>
        <v>IGOV</v>
      </c>
      <c r="D19" t="str">
        <f>SCALARS!D19</f>
        <v>IBKR</v>
      </c>
      <c r="E19" t="str">
        <f>SCALARS!E19</f>
        <v>IGOV</v>
      </c>
      <c r="F19" s="265">
        <f>SCALARS!F19</f>
        <v>1</v>
      </c>
      <c r="G19" s="264" t="b">
        <v>0</v>
      </c>
    </row>
    <row r="20" spans="1:7" x14ac:dyDescent="0.25">
      <c r="A20" t="str">
        <f>SCALARS!A20</f>
        <v>fixed income</v>
      </c>
      <c r="B20" t="str">
        <f>SCALARS!B20</f>
        <v>hi yld</v>
      </c>
      <c r="C20" t="str">
        <f>SCALARS!C20</f>
        <v>HYG</v>
      </c>
      <c r="D20" t="str">
        <f>SCALARS!D20</f>
        <v>IBKR</v>
      </c>
      <c r="E20" t="str">
        <f>SCALARS!E20</f>
        <v>JNK</v>
      </c>
      <c r="F20" s="265">
        <f>SCALARS!F20</f>
        <v>1.2037126373142839</v>
      </c>
      <c r="G20" s="264" t="b">
        <v>0</v>
      </c>
    </row>
    <row r="21" spans="1:7" x14ac:dyDescent="0.25">
      <c r="A21" t="str">
        <f>SCALARS!A21</f>
        <v>fixed income</v>
      </c>
      <c r="B21" t="str">
        <f>SCALARS!B21</f>
        <v>hi yld</v>
      </c>
      <c r="C21" t="str">
        <f>SCALARS!C21</f>
        <v>HYLB</v>
      </c>
      <c r="D21" t="str">
        <f>SCALARS!D21</f>
        <v>IBKR</v>
      </c>
      <c r="E21" t="str">
        <f>SCALARS!E21</f>
        <v>JNK</v>
      </c>
      <c r="F21" s="265">
        <f>SCALARS!F21</f>
        <v>2.6380381483131461</v>
      </c>
      <c r="G21" s="264" t="b">
        <v>0</v>
      </c>
    </row>
    <row r="22" spans="1:7" x14ac:dyDescent="0.25">
      <c r="A22" t="str">
        <f>SCALARS!A22</f>
        <v>fixed income</v>
      </c>
      <c r="B22" t="str">
        <f>SCALARS!B22</f>
        <v>hi yld</v>
      </c>
      <c r="C22" t="str">
        <f>SCALARS!C22</f>
        <v>JNK</v>
      </c>
      <c r="D22" t="str">
        <f>SCALARS!D22</f>
        <v>IBKR</v>
      </c>
      <c r="E22" t="str">
        <f>SCALARS!E22</f>
        <v>JNK</v>
      </c>
      <c r="F22" s="265">
        <f>SCALARS!F22</f>
        <v>1</v>
      </c>
      <c r="G22" s="264" t="b">
        <v>0</v>
      </c>
    </row>
    <row r="23" spans="1:7" x14ac:dyDescent="0.25">
      <c r="A23" t="str">
        <f>SCALARS!A23</f>
        <v>fixed income</v>
      </c>
      <c r="B23" t="str">
        <f>SCALARS!B23</f>
        <v>hi yld</v>
      </c>
      <c r="C23" t="str">
        <f>SCALARS!C23</f>
        <v>SCYB</v>
      </c>
      <c r="D23" t="str">
        <f>SCALARS!D23</f>
        <v>IBKR</v>
      </c>
      <c r="E23" t="str">
        <f>SCALARS!E23</f>
        <v>JNK</v>
      </c>
      <c r="F23" s="265">
        <f>SCALARS!F23</f>
        <v>3.6825282472209082</v>
      </c>
      <c r="G23" s="264" t="b">
        <v>0</v>
      </c>
    </row>
    <row r="24" spans="1:7" x14ac:dyDescent="0.25">
      <c r="A24" t="str">
        <f>SCALARS!A24</f>
        <v>fixed income</v>
      </c>
      <c r="B24" t="str">
        <f>SCALARS!B24</f>
        <v>hi yld</v>
      </c>
      <c r="C24" t="str">
        <f>SCALARS!C24</f>
        <v>SPHY</v>
      </c>
      <c r="D24" t="str">
        <f>SCALARS!D24</f>
        <v>IBKR</v>
      </c>
      <c r="E24" t="str">
        <f>SCALARS!E24</f>
        <v>JNK</v>
      </c>
      <c r="F24" s="265">
        <f>SCALARS!F24</f>
        <v>4.1153401871469573</v>
      </c>
      <c r="G24" s="264" t="b">
        <v>0</v>
      </c>
    </row>
    <row r="25" spans="1:7" x14ac:dyDescent="0.25">
      <c r="A25" t="str">
        <f>SCALARS!A25</f>
        <v>fixed income</v>
      </c>
      <c r="B25" t="str">
        <f>SCALARS!B25</f>
        <v>hi yld</v>
      </c>
      <c r="C25" t="str">
        <f>SCALARS!C25</f>
        <v>USHY</v>
      </c>
      <c r="D25" t="str">
        <f>SCALARS!D25</f>
        <v>IBKR</v>
      </c>
      <c r="E25" t="str">
        <f>SCALARS!E25</f>
        <v>JNK</v>
      </c>
      <c r="F25" s="265">
        <f>SCALARS!F25</f>
        <v>2.6025414570014549</v>
      </c>
      <c r="G25" s="264" t="b">
        <v>0</v>
      </c>
    </row>
    <row r="26" spans="1:7" x14ac:dyDescent="0.25">
      <c r="A26" t="str">
        <f>SCALARS!A26</f>
        <v>fixed income</v>
      </c>
      <c r="B26" t="str">
        <f>SCALARS!B26</f>
        <v>mortgages</v>
      </c>
      <c r="C26" t="str">
        <f>SCALARS!C26</f>
        <v>MBB</v>
      </c>
      <c r="D26" t="str">
        <f>SCALARS!D26</f>
        <v>IBKR</v>
      </c>
      <c r="E26" t="str">
        <f>SCALARS!E26</f>
        <v>MBB</v>
      </c>
      <c r="F26" s="265">
        <f>SCALARS!F26</f>
        <v>1</v>
      </c>
      <c r="G26" s="264" t="b">
        <v>0</v>
      </c>
    </row>
    <row r="27" spans="1:7" x14ac:dyDescent="0.25">
      <c r="A27" t="str">
        <f>SCALARS!A27</f>
        <v>fixed income</v>
      </c>
      <c r="B27" t="str">
        <f>SCALARS!B27</f>
        <v>mortgages</v>
      </c>
      <c r="C27" t="str">
        <f>SCALARS!C27</f>
        <v>SPMB</v>
      </c>
      <c r="D27" t="str">
        <f>SCALARS!D27</f>
        <v>IBKR</v>
      </c>
      <c r="E27" t="str">
        <f>SCALARS!E27</f>
        <v>MBB</v>
      </c>
      <c r="F27" s="265">
        <f>SCALARS!F27</f>
        <v>4.237379624472033</v>
      </c>
      <c r="G27" s="264" t="b">
        <v>0</v>
      </c>
    </row>
    <row r="28" spans="1:7" x14ac:dyDescent="0.25">
      <c r="A28" t="str">
        <f>SCALARS!A28</f>
        <v>fixed income</v>
      </c>
      <c r="B28" t="str">
        <f>SCALARS!B28</f>
        <v>mortgages</v>
      </c>
      <c r="C28" t="str">
        <f>SCALARS!C28</f>
        <v>VMBS</v>
      </c>
      <c r="D28" t="str">
        <f>SCALARS!D28</f>
        <v>IBKR</v>
      </c>
      <c r="E28" t="str">
        <f>SCALARS!E28</f>
        <v>MBB</v>
      </c>
      <c r="F28" s="265">
        <f>SCALARS!F28</f>
        <v>2.0178441911760019</v>
      </c>
      <c r="G28" s="264" t="b">
        <v>0</v>
      </c>
    </row>
    <row r="29" spans="1:7" x14ac:dyDescent="0.25">
      <c r="A29" t="str">
        <f>SCALARS!A29</f>
        <v>fixed income</v>
      </c>
      <c r="B29" t="str">
        <f>SCALARS!B29</f>
        <v>munis</v>
      </c>
      <c r="C29" t="str">
        <f>SCALARS!C29</f>
        <v>MUB</v>
      </c>
      <c r="D29" t="str">
        <f>SCALARS!D29</f>
        <v>IBKR</v>
      </c>
      <c r="E29" t="str">
        <f>SCALARS!E29</f>
        <v>MUB</v>
      </c>
      <c r="F29" s="265">
        <f>SCALARS!F29</f>
        <v>1</v>
      </c>
      <c r="G29" s="264" t="b">
        <v>0</v>
      </c>
    </row>
    <row r="30" spans="1:7" x14ac:dyDescent="0.25">
      <c r="A30" t="str">
        <f>SCALARS!A30</f>
        <v>fixed income</v>
      </c>
      <c r="B30" t="str">
        <f>SCALARS!B30</f>
        <v>munis</v>
      </c>
      <c r="C30" t="str">
        <f>SCALARS!C30</f>
        <v>TFI</v>
      </c>
      <c r="D30" t="str">
        <f>SCALARS!D30</f>
        <v>IBKR</v>
      </c>
      <c r="E30" t="str">
        <f>SCALARS!E30</f>
        <v>MUB</v>
      </c>
      <c r="F30" s="265">
        <f>SCALARS!F30</f>
        <v>2.3514193693819037</v>
      </c>
      <c r="G30" s="264" t="b">
        <v>0</v>
      </c>
    </row>
    <row r="31" spans="1:7" x14ac:dyDescent="0.25">
      <c r="A31" t="str">
        <f>SCALARS!A31</f>
        <v>fixed income</v>
      </c>
      <c r="B31" t="str">
        <f>SCALARS!B31</f>
        <v>munis</v>
      </c>
      <c r="C31" t="str">
        <f>SCALARS!C31</f>
        <v>VTEB</v>
      </c>
      <c r="D31" t="str">
        <f>SCALARS!D31</f>
        <v>IBKR</v>
      </c>
      <c r="E31" t="str">
        <f>SCALARS!E31</f>
        <v>MUB</v>
      </c>
      <c r="F31" s="265">
        <f>SCALARS!F31</f>
        <v>2.1280186537983319</v>
      </c>
      <c r="G31" s="264" t="b">
        <v>0</v>
      </c>
    </row>
    <row r="32" spans="1:7" x14ac:dyDescent="0.25">
      <c r="A32" t="str">
        <f>SCALARS!A32</f>
        <v>fixed income</v>
      </c>
      <c r="B32" t="str">
        <f>SCALARS!B32</f>
        <v>prefs</v>
      </c>
      <c r="C32" t="str">
        <f>SCALARS!C32</f>
        <v>PFF</v>
      </c>
      <c r="D32" t="str">
        <f>SCALARS!D32</f>
        <v>IBKR</v>
      </c>
      <c r="E32" t="str">
        <f>SCALARS!E32</f>
        <v>PFF</v>
      </c>
      <c r="F32" s="265">
        <f>SCALARS!F32</f>
        <v>1</v>
      </c>
      <c r="G32" s="264" t="b">
        <v>0</v>
      </c>
    </row>
    <row r="33" spans="1:7" x14ac:dyDescent="0.25">
      <c r="A33" t="str">
        <f>SCALARS!A33</f>
        <v>fixed income</v>
      </c>
      <c r="B33" t="str">
        <f>SCALARS!B33</f>
        <v>prefs</v>
      </c>
      <c r="C33" t="str">
        <f>SCALARS!C33</f>
        <v>PFFD</v>
      </c>
      <c r="D33" t="str">
        <f>SCALARS!D33</f>
        <v>IBKR</v>
      </c>
      <c r="E33" t="str">
        <f>SCALARS!E33</f>
        <v>PFF</v>
      </c>
      <c r="F33" s="265">
        <f>SCALARS!F33</f>
        <v>1.6547428267785862</v>
      </c>
      <c r="G33" s="264" t="b">
        <v>0</v>
      </c>
    </row>
    <row r="34" spans="1:7" x14ac:dyDescent="0.25">
      <c r="A34" t="str">
        <f>SCALARS!A34</f>
        <v>fixed income</v>
      </c>
      <c r="B34" t="str">
        <f>SCALARS!B34</f>
        <v>long term corps</v>
      </c>
      <c r="C34" t="str">
        <f>SCALARS!C34</f>
        <v>IGLB</v>
      </c>
      <c r="D34" t="str">
        <f>SCALARS!D34</f>
        <v>IBKR</v>
      </c>
      <c r="E34" t="str">
        <f>SCALARS!E34</f>
        <v>VCLT</v>
      </c>
      <c r="F34" s="265">
        <f>SCALARS!F34</f>
        <v>1.500472445303173</v>
      </c>
      <c r="G34" s="264" t="b">
        <v>0</v>
      </c>
    </row>
    <row r="35" spans="1:7" x14ac:dyDescent="0.25">
      <c r="A35" t="str">
        <f>SCALARS!A35</f>
        <v>fixed income</v>
      </c>
      <c r="B35" t="str">
        <f>SCALARS!B35</f>
        <v>long term corps</v>
      </c>
      <c r="C35" t="str">
        <f>SCALARS!C35</f>
        <v>SPLB</v>
      </c>
      <c r="D35" t="str">
        <f>SCALARS!D35</f>
        <v>IBKR</v>
      </c>
      <c r="E35" t="str">
        <f>SCALARS!E35</f>
        <v>VCLT</v>
      </c>
      <c r="F35" s="265">
        <f>SCALARS!F35</f>
        <v>3.361172781778401</v>
      </c>
      <c r="G35" s="264" t="b">
        <v>0</v>
      </c>
    </row>
    <row r="36" spans="1:7" x14ac:dyDescent="0.25">
      <c r="A36" t="str">
        <f>SCALARS!A36</f>
        <v>fixed income</v>
      </c>
      <c r="B36" t="str">
        <f>SCALARS!B36</f>
        <v>long term corps</v>
      </c>
      <c r="C36" t="str">
        <f>SCALARS!C36</f>
        <v>VCLT</v>
      </c>
      <c r="D36" t="str">
        <f>SCALARS!D36</f>
        <v>IBKR</v>
      </c>
      <c r="E36" t="str">
        <f>SCALARS!E36</f>
        <v>VCLT</v>
      </c>
      <c r="F36" s="265">
        <f>SCALARS!F36</f>
        <v>1</v>
      </c>
      <c r="G36" s="264" t="b">
        <v>0</v>
      </c>
    </row>
    <row r="37" spans="1:7" x14ac:dyDescent="0.25">
      <c r="A37" t="str">
        <f>SCALARS!A37</f>
        <v>fixed income</v>
      </c>
      <c r="B37" t="str">
        <f>SCALARS!B37</f>
        <v>long term tsy</v>
      </c>
      <c r="C37" t="str">
        <f>SCALARS!C37</f>
        <v>SCHQ</v>
      </c>
      <c r="D37" t="str">
        <f>SCALARS!D37</f>
        <v>IBKR</v>
      </c>
      <c r="E37" t="str">
        <f>SCALARS!E37</f>
        <v>VGLT</v>
      </c>
      <c r="F37" s="265">
        <f>SCALARS!F37</f>
        <v>1.7626915227597677</v>
      </c>
      <c r="G37" s="264" t="b">
        <v>0</v>
      </c>
    </row>
    <row r="38" spans="1:7" x14ac:dyDescent="0.25">
      <c r="A38" t="str">
        <f>SCALARS!A38</f>
        <v>fixed income</v>
      </c>
      <c r="B38" t="str">
        <f>SCALARS!B38</f>
        <v>long term tsy</v>
      </c>
      <c r="C38" t="str">
        <f>SCALARS!C38</f>
        <v>SPTL</v>
      </c>
      <c r="D38" t="str">
        <f>SCALARS!D38</f>
        <v>IBKR</v>
      </c>
      <c r="E38" t="str">
        <f>SCALARS!E38</f>
        <v>VGLT</v>
      </c>
      <c r="F38" s="265">
        <f>SCALARS!F38</f>
        <v>2.1025629779594235</v>
      </c>
      <c r="G38" s="264" t="b">
        <v>0</v>
      </c>
    </row>
    <row r="39" spans="1:7" x14ac:dyDescent="0.25">
      <c r="A39" t="str">
        <f>SCALARS!A39</f>
        <v>fixed income</v>
      </c>
      <c r="B39" t="str">
        <f>SCALARS!B39</f>
        <v>long term tsy</v>
      </c>
      <c r="C39" t="str">
        <f>SCALARS!C39</f>
        <v>VGLT</v>
      </c>
      <c r="D39" t="str">
        <f>SCALARS!D39</f>
        <v>IBKR</v>
      </c>
      <c r="E39" t="str">
        <f>SCALARS!E39</f>
        <v>VGLT</v>
      </c>
      <c r="F39" s="265">
        <f>SCALARS!F39</f>
        <v>1</v>
      </c>
      <c r="G39" s="264" t="b">
        <v>0</v>
      </c>
    </row>
    <row r="40" spans="1:7" x14ac:dyDescent="0.25">
      <c r="A40" t="str">
        <f>SCALARS!A40</f>
        <v>fixed income</v>
      </c>
      <c r="B40" t="str">
        <f>SCALARS!B40</f>
        <v>calif munis</v>
      </c>
      <c r="C40" t="str">
        <f>SCALARS!C40</f>
        <v>CMF</v>
      </c>
      <c r="D40" t="str">
        <f>SCALARS!D40</f>
        <v>IBKR</v>
      </c>
      <c r="E40" t="str">
        <f>SCALARS!E40</f>
        <v>VTEC</v>
      </c>
      <c r="F40" s="265">
        <f>SCALARS!F40</f>
        <v>1.7451182226669257</v>
      </c>
      <c r="G40" s="264" t="b">
        <v>0</v>
      </c>
    </row>
    <row r="41" spans="1:7" x14ac:dyDescent="0.25">
      <c r="A41" t="str">
        <f>SCALARS!A41</f>
        <v>fixed income</v>
      </c>
      <c r="B41" t="str">
        <f>SCALARS!B41</f>
        <v>calif munis</v>
      </c>
      <c r="C41" t="str">
        <f>SCALARS!C41</f>
        <v>VTEC</v>
      </c>
      <c r="D41" t="str">
        <f>SCALARS!D41</f>
        <v>IBKR</v>
      </c>
      <c r="E41" t="str">
        <f>SCALARS!E41</f>
        <v>VTEC</v>
      </c>
      <c r="F41" s="265">
        <f>SCALARS!F41</f>
        <v>1</v>
      </c>
      <c r="G41" s="264" t="b">
        <v>0</v>
      </c>
    </row>
    <row r="42" spans="1:7" x14ac:dyDescent="0.25">
      <c r="A42" t="str">
        <f>SCALARS!A42</f>
        <v>sector</v>
      </c>
      <c r="B42" t="str">
        <f>SCALARS!B42</f>
        <v>energy</v>
      </c>
      <c r="C42" t="str">
        <f>SCALARS!C42</f>
        <v>FENY</v>
      </c>
      <c r="D42" t="str">
        <f>SCALARS!D42</f>
        <v>IBKR</v>
      </c>
      <c r="E42" t="str">
        <f>SCALARS!E42</f>
        <v>VDE</v>
      </c>
      <c r="F42" s="265">
        <f>SCALARS!F42</f>
        <v>5.083007724279657</v>
      </c>
      <c r="G42" s="264" t="b">
        <v>0</v>
      </c>
    </row>
    <row r="43" spans="1:7" x14ac:dyDescent="0.25">
      <c r="A43" t="str">
        <f>SCALARS!A43</f>
        <v>sector</v>
      </c>
      <c r="B43" t="str">
        <f>SCALARS!B43</f>
        <v>energy</v>
      </c>
      <c r="C43" t="str">
        <f>SCALARS!C43</f>
        <v>VDE</v>
      </c>
      <c r="D43" t="str">
        <f>SCALARS!D43</f>
        <v>IBKR</v>
      </c>
      <c r="E43" t="str">
        <f>SCALARS!E43</f>
        <v>VDE</v>
      </c>
      <c r="F43" s="265">
        <f>SCALARS!F43</f>
        <v>1</v>
      </c>
      <c r="G43" s="264" t="b">
        <v>0</v>
      </c>
    </row>
    <row r="44" spans="1:7" x14ac:dyDescent="0.25">
      <c r="A44" t="str">
        <f>SCALARS!A44</f>
        <v>sector</v>
      </c>
      <c r="B44" t="str">
        <f>SCALARS!B44</f>
        <v>financials</v>
      </c>
      <c r="C44" t="str">
        <f>SCALARS!C44</f>
        <v>FNCL</v>
      </c>
      <c r="D44" t="str">
        <f>SCALARS!D44</f>
        <v>IBKR</v>
      </c>
      <c r="E44" t="str">
        <f>SCALARS!E44</f>
        <v>VFH</v>
      </c>
      <c r="F44" s="265">
        <f>SCALARS!F44</f>
        <v>1.7176982937817926</v>
      </c>
      <c r="G44" s="264" t="b">
        <v>0</v>
      </c>
    </row>
    <row r="45" spans="1:7" x14ac:dyDescent="0.25">
      <c r="A45" t="str">
        <f>SCALARS!A45</f>
        <v>sector</v>
      </c>
      <c r="B45" t="str">
        <f>SCALARS!B45</f>
        <v>financials</v>
      </c>
      <c r="C45" t="str">
        <f>SCALARS!C45</f>
        <v>VFH</v>
      </c>
      <c r="D45" t="str">
        <f>SCALARS!D45</f>
        <v>IBKR</v>
      </c>
      <c r="E45" t="str">
        <f>SCALARS!E45</f>
        <v>VFH</v>
      </c>
      <c r="F45" s="265">
        <f>SCALARS!F45</f>
        <v>1</v>
      </c>
      <c r="G45" s="264" t="b">
        <v>0</v>
      </c>
    </row>
    <row r="46" spans="1:7" x14ac:dyDescent="0.25">
      <c r="A46" t="str">
        <f>SCALARS!A46</f>
        <v>sector</v>
      </c>
      <c r="B46" t="str">
        <f>SCALARS!B46</f>
        <v>healthcare</v>
      </c>
      <c r="C46" t="str">
        <f>SCALARS!C46</f>
        <v>FHLC</v>
      </c>
      <c r="D46" t="str">
        <f>SCALARS!D46</f>
        <v>IBKR</v>
      </c>
      <c r="E46" t="str">
        <f>SCALARS!E46</f>
        <v>VHT</v>
      </c>
      <c r="F46" s="265">
        <f>SCALARS!F46</f>
        <v>3.868846504150425</v>
      </c>
      <c r="G46" s="264" t="b">
        <v>0</v>
      </c>
    </row>
    <row r="47" spans="1:7" x14ac:dyDescent="0.25">
      <c r="A47" t="str">
        <f>SCALARS!A47</f>
        <v>sector</v>
      </c>
      <c r="B47" t="str">
        <f>SCALARS!B47</f>
        <v>healthcare</v>
      </c>
      <c r="C47" t="str">
        <f>SCALARS!C47</f>
        <v>VHT</v>
      </c>
      <c r="D47" t="str">
        <f>SCALARS!D47</f>
        <v>IBKR</v>
      </c>
      <c r="E47" t="str">
        <f>SCALARS!E47</f>
        <v>VHT</v>
      </c>
      <c r="F47" s="265">
        <f>SCALARS!F47</f>
        <v>1</v>
      </c>
      <c r="G47" s="264" t="b">
        <v>0</v>
      </c>
    </row>
    <row r="48" spans="1:7" x14ac:dyDescent="0.25">
      <c r="A48" t="str">
        <f>SCALARS!A48</f>
        <v>sector</v>
      </c>
      <c r="B48" t="str">
        <f>SCALARS!B48</f>
        <v>industrials</v>
      </c>
      <c r="C48" t="str">
        <f>SCALARS!C48</f>
        <v>FIDU</v>
      </c>
      <c r="D48" t="str">
        <f>SCALARS!D48</f>
        <v>IBKR</v>
      </c>
      <c r="E48" t="str">
        <f>SCALARS!E48</f>
        <v>VIS</v>
      </c>
      <c r="F48" s="265">
        <f>SCALARS!F48</f>
        <v>3.6167811211693959</v>
      </c>
      <c r="G48" s="264" t="b">
        <v>0</v>
      </c>
    </row>
    <row r="49" spans="1:12" x14ac:dyDescent="0.25">
      <c r="A49" t="str">
        <f>SCALARS!A49</f>
        <v>sector</v>
      </c>
      <c r="B49" t="str">
        <f>SCALARS!B49</f>
        <v>industrials</v>
      </c>
      <c r="C49" t="str">
        <f>SCALARS!C49</f>
        <v>VIS</v>
      </c>
      <c r="D49" t="str">
        <f>SCALARS!D49</f>
        <v>IBKR</v>
      </c>
      <c r="E49" t="str">
        <f>SCALARS!E49</f>
        <v>VIS</v>
      </c>
      <c r="F49" s="265">
        <f>SCALARS!F49</f>
        <v>1</v>
      </c>
      <c r="G49" s="264" t="b">
        <v>0</v>
      </c>
    </row>
    <row r="50" spans="1:12" x14ac:dyDescent="0.25">
      <c r="A50" t="str">
        <f>SCALARS!A50</f>
        <v>sector</v>
      </c>
      <c r="B50" t="str">
        <f>SCALARS!B50</f>
        <v>real estate</v>
      </c>
      <c r="C50" t="str">
        <f>SCALARS!C50</f>
        <v>FREL</v>
      </c>
      <c r="D50" t="str">
        <f>SCALARS!D50</f>
        <v>IBKR</v>
      </c>
      <c r="E50" t="str">
        <f>SCALARS!E50</f>
        <v>VNQ</v>
      </c>
      <c r="F50" s="265">
        <f>SCALARS!F50</f>
        <v>3.293484248093324</v>
      </c>
      <c r="G50" s="264" t="b">
        <v>0</v>
      </c>
    </row>
    <row r="51" spans="1:12" x14ac:dyDescent="0.25">
      <c r="A51" t="str">
        <f>SCALARS!A51</f>
        <v>sector</v>
      </c>
      <c r="B51" t="str">
        <f>SCALARS!B51</f>
        <v>real estate</v>
      </c>
      <c r="C51" t="str">
        <f>SCALARS!C51</f>
        <v>VNQ</v>
      </c>
      <c r="D51" t="str">
        <f>SCALARS!D51</f>
        <v>IBKR</v>
      </c>
      <c r="E51" t="str">
        <f>SCALARS!E51</f>
        <v>VNQ</v>
      </c>
      <c r="F51" s="265">
        <f>SCALARS!F51</f>
        <v>1</v>
      </c>
      <c r="G51" s="264" t="b">
        <v>0</v>
      </c>
    </row>
    <row r="52" spans="1:12" x14ac:dyDescent="0.25">
      <c r="A52" t="str">
        <f>SCALARS!A52</f>
        <v>sector</v>
      </c>
      <c r="B52" t="str">
        <f>SCALARS!B52</f>
        <v>staples</v>
      </c>
      <c r="C52" t="str">
        <f>SCALARS!C52</f>
        <v>FSTA</v>
      </c>
      <c r="D52" t="str">
        <f>SCALARS!D52</f>
        <v>IBKR</v>
      </c>
      <c r="E52" t="str">
        <f>SCALARS!E52</f>
        <v>VDC</v>
      </c>
      <c r="F52" s="265">
        <f>SCALARS!F52</f>
        <v>4.2918353865450012</v>
      </c>
      <c r="G52" s="264" t="b">
        <v>0</v>
      </c>
    </row>
    <row r="53" spans="1:12" x14ac:dyDescent="0.25">
      <c r="A53" t="str">
        <f>SCALARS!A53</f>
        <v>sector</v>
      </c>
      <c r="B53" t="str">
        <f>SCALARS!B53</f>
        <v>staples</v>
      </c>
      <c r="C53" t="str">
        <f>SCALARS!C53</f>
        <v>VDC</v>
      </c>
      <c r="D53" t="str">
        <f>SCALARS!D53</f>
        <v>IBKR</v>
      </c>
      <c r="E53" t="str">
        <f>SCALARS!E53</f>
        <v>VDC</v>
      </c>
      <c r="F53" s="265">
        <f>SCALARS!F53</f>
        <v>1</v>
      </c>
      <c r="G53" s="264" t="b">
        <v>0</v>
      </c>
    </row>
    <row r="54" spans="1:12" x14ac:dyDescent="0.25">
      <c r="A54" t="str">
        <f>SCALARS!A54</f>
        <v>sector</v>
      </c>
      <c r="B54" t="str">
        <f>SCALARS!B54</f>
        <v>technology</v>
      </c>
      <c r="C54" t="str">
        <f>SCALARS!C54</f>
        <v>FTEC</v>
      </c>
      <c r="D54" t="str">
        <f>SCALARS!D54</f>
        <v>IBKR</v>
      </c>
      <c r="E54" t="str">
        <f>SCALARS!E54</f>
        <v>FTEC</v>
      </c>
      <c r="F54" s="265">
        <f>SCALARS!F54</f>
        <v>1</v>
      </c>
      <c r="G54" s="264" t="b">
        <v>0</v>
      </c>
    </row>
    <row r="55" spans="1:12" x14ac:dyDescent="0.25">
      <c r="A55" t="str">
        <f>SCALARS!A55</f>
        <v>sector</v>
      </c>
      <c r="B55" t="str">
        <f>SCALARS!B55</f>
        <v>technology</v>
      </c>
      <c r="C55" t="str">
        <f>SCALARS!C55</f>
        <v>VGT</v>
      </c>
      <c r="D55" t="str">
        <f>SCALARS!D55</f>
        <v>IBKR</v>
      </c>
      <c r="E55" t="str">
        <f>SCALARS!E55</f>
        <v>FTEC</v>
      </c>
      <c r="F55" s="265">
        <f>SCALARS!F55</f>
        <v>2.3864359326393201</v>
      </c>
      <c r="G55" s="264" t="b">
        <v>0</v>
      </c>
    </row>
    <row r="56" spans="1:12" x14ac:dyDescent="0.25">
      <c r="A56" t="str">
        <f>SCALARS!A56</f>
        <v>sector</v>
      </c>
      <c r="B56" t="str">
        <f>SCALARS!B56</f>
        <v>utilities</v>
      </c>
      <c r="C56" t="str">
        <f>SCALARS!C56</f>
        <v>FUTY</v>
      </c>
      <c r="D56" t="str">
        <f>SCALARS!D56</f>
        <v>IBKR</v>
      </c>
      <c r="E56" t="str">
        <f>SCALARS!E56</f>
        <v>VPU</v>
      </c>
      <c r="F56" s="265">
        <f>SCALARS!F56</f>
        <v>3.3501955507584049</v>
      </c>
      <c r="G56" s="264" t="b">
        <v>0</v>
      </c>
    </row>
    <row r="57" spans="1:12" x14ac:dyDescent="0.25">
      <c r="A57" t="str">
        <f>SCALARS!A57</f>
        <v>sector</v>
      </c>
      <c r="B57" t="str">
        <f>SCALARS!B57</f>
        <v>utilities</v>
      </c>
      <c r="C57" t="str">
        <f>SCALARS!C57</f>
        <v>VPU</v>
      </c>
      <c r="D57" t="str">
        <f>SCALARS!D57</f>
        <v>IBKR</v>
      </c>
      <c r="E57" t="str">
        <f>SCALARS!E57</f>
        <v>VPU</v>
      </c>
      <c r="F57" s="265">
        <f>SCALARS!F57</f>
        <v>1</v>
      </c>
      <c r="G57" s="264" t="b">
        <v>0</v>
      </c>
    </row>
    <row r="58" spans="1:12" x14ac:dyDescent="0.25">
      <c r="A58" t="str">
        <f>SCALARS!A58</f>
        <v>sector</v>
      </c>
      <c r="B58" t="str">
        <f>SCALARS!B58</f>
        <v>energy</v>
      </c>
      <c r="C58" t="str">
        <f>SCALARS!C58</f>
        <v>IYE</v>
      </c>
      <c r="D58" t="str">
        <f>SCALARS!D58</f>
        <v>IBKR</v>
      </c>
      <c r="E58" t="str">
        <f>SCALARS!E58</f>
        <v>IYE</v>
      </c>
      <c r="F58" s="265">
        <f>SCALARS!F58</f>
        <v>1</v>
      </c>
      <c r="G58" s="264" t="b">
        <v>0</v>
      </c>
      <c r="H58" s="218" t="s">
        <v>173</v>
      </c>
      <c r="I58" s="219" t="s">
        <v>174</v>
      </c>
      <c r="J58" s="7">
        <v>0.16</v>
      </c>
      <c r="K58" s="6">
        <v>200</v>
      </c>
    </row>
    <row r="59" spans="1:12" x14ac:dyDescent="0.25">
      <c r="A59" t="str">
        <f>SCALARS!A59</f>
        <v>sector</v>
      </c>
      <c r="B59" t="str">
        <f>SCALARS!B59</f>
        <v>energy</v>
      </c>
      <c r="C59" t="str">
        <f>SCALARS!C59</f>
        <v>XLE</v>
      </c>
      <c r="D59" t="str">
        <f>SCALARS!D59</f>
        <v>IBKR</v>
      </c>
      <c r="E59" t="str">
        <f>SCALARS!E59</f>
        <v>IYE</v>
      </c>
      <c r="F59" s="265">
        <f>SCALARS!F59</f>
        <v>1.0595602216248958</v>
      </c>
      <c r="G59" s="264" t="b">
        <v>0</v>
      </c>
      <c r="H59" s="218" t="s">
        <v>173</v>
      </c>
      <c r="I59" s="219" t="s">
        <v>175</v>
      </c>
      <c r="J59" s="7">
        <v>0.16</v>
      </c>
      <c r="L59" s="6">
        <v>215</v>
      </c>
    </row>
    <row r="60" spans="1:12" x14ac:dyDescent="0.25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65">
        <f>SCALARS!F60</f>
        <v>1</v>
      </c>
      <c r="G60" s="264" t="b">
        <v>0</v>
      </c>
    </row>
    <row r="61" spans="1:12" x14ac:dyDescent="0.25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65">
        <f>SCALARS!F61</f>
        <v>2.3694851424419241</v>
      </c>
      <c r="G61" s="264" t="b">
        <v>0</v>
      </c>
    </row>
    <row r="62" spans="1:12" x14ac:dyDescent="0.25">
      <c r="A62" t="str">
        <f>SCALARS!A62</f>
        <v>sector</v>
      </c>
      <c r="B62" t="str">
        <f>SCALARS!B62</f>
        <v>healthcare</v>
      </c>
      <c r="C62" t="str">
        <f>SCALARS!C62</f>
        <v>IYH</v>
      </c>
      <c r="D62" t="str">
        <f>SCALARS!D62</f>
        <v>IBKR</v>
      </c>
      <c r="E62" t="str">
        <f>SCALARS!E62</f>
        <v>XLV</v>
      </c>
      <c r="F62" s="265">
        <f>SCALARS!F62</f>
        <v>2.3669710095634038</v>
      </c>
      <c r="G62" s="264" t="b">
        <v>0</v>
      </c>
    </row>
    <row r="63" spans="1:12" x14ac:dyDescent="0.25">
      <c r="A63" t="str">
        <f>SCALARS!A63</f>
        <v>sector</v>
      </c>
      <c r="B63" t="str">
        <f>SCALARS!B63</f>
        <v>healthcare</v>
      </c>
      <c r="C63" t="str">
        <f>SCALARS!C63</f>
        <v>XLV</v>
      </c>
      <c r="D63" t="str">
        <f>SCALARS!D63</f>
        <v>IBKR</v>
      </c>
      <c r="E63" t="str">
        <f>SCALARS!E63</f>
        <v>XLV</v>
      </c>
      <c r="F63" s="265">
        <f>SCALARS!F63</f>
        <v>1</v>
      </c>
      <c r="G63" s="264" t="b">
        <v>0</v>
      </c>
    </row>
    <row r="64" spans="1:12" x14ac:dyDescent="0.25">
      <c r="A64" t="str">
        <f>SCALARS!A64</f>
        <v>sector</v>
      </c>
      <c r="B64" t="str">
        <f>SCALARS!B64</f>
        <v>industrials</v>
      </c>
      <c r="C64" t="str">
        <f>SCALARS!C64</f>
        <v>IYJ</v>
      </c>
      <c r="D64" t="str">
        <f>SCALARS!D64</f>
        <v>IBKR</v>
      </c>
      <c r="E64" t="str">
        <f>SCALARS!E64</f>
        <v>XLI</v>
      </c>
      <c r="F64" s="265">
        <f>SCALARS!F64</f>
        <v>1.0944435273372788</v>
      </c>
      <c r="G64" s="264" t="b">
        <v>0</v>
      </c>
    </row>
    <row r="65" spans="1:12" x14ac:dyDescent="0.25">
      <c r="A65" t="str">
        <f>SCALARS!A65</f>
        <v>sector</v>
      </c>
      <c r="B65" t="str">
        <f>SCALARS!B65</f>
        <v>industrials</v>
      </c>
      <c r="C65" t="str">
        <f>SCALARS!C65</f>
        <v>XLI</v>
      </c>
      <c r="D65" t="str">
        <f>SCALARS!D65</f>
        <v>IBKR</v>
      </c>
      <c r="E65" t="str">
        <f>SCALARS!E65</f>
        <v>XLI</v>
      </c>
      <c r="F65" s="265">
        <f>SCALARS!F65</f>
        <v>1</v>
      </c>
      <c r="G65" s="264" t="b">
        <v>0</v>
      </c>
    </row>
    <row r="66" spans="1:12" x14ac:dyDescent="0.25">
      <c r="A66" t="str">
        <f>SCALARS!A66</f>
        <v>sector</v>
      </c>
      <c r="B66" t="str">
        <f>SCALARS!B66</f>
        <v>real estate</v>
      </c>
      <c r="C66" t="str">
        <f>SCALARS!C66</f>
        <v>IYR</v>
      </c>
      <c r="D66" t="str">
        <f>SCALARS!D66</f>
        <v>IBKR</v>
      </c>
      <c r="E66" t="str">
        <f>SCALARS!E66</f>
        <v>IYR</v>
      </c>
      <c r="F66" s="265">
        <f>SCALARS!F66</f>
        <v>1</v>
      </c>
      <c r="G66" s="264" t="b">
        <v>0</v>
      </c>
    </row>
    <row r="67" spans="1:12" x14ac:dyDescent="0.25">
      <c r="A67" t="str">
        <f>SCALARS!A67</f>
        <v>sector</v>
      </c>
      <c r="B67" t="str">
        <f>SCALARS!B67</f>
        <v>real estate</v>
      </c>
      <c r="C67" t="str">
        <f>SCALARS!C67</f>
        <v>XLRE</v>
      </c>
      <c r="D67" t="str">
        <f>SCALARS!D67</f>
        <v>IBKR</v>
      </c>
      <c r="E67" t="str">
        <f>SCALARS!E67</f>
        <v>IYR</v>
      </c>
      <c r="F67" s="265">
        <f>SCALARS!F67</f>
        <v>2.3254011192539137</v>
      </c>
      <c r="G67" s="264" t="b">
        <v>0</v>
      </c>
    </row>
    <row r="68" spans="1:12" x14ac:dyDescent="0.25">
      <c r="A68" t="str">
        <f>SCALARS!A68</f>
        <v>sector</v>
      </c>
      <c r="B68" t="str">
        <f>SCALARS!B68</f>
        <v>staples</v>
      </c>
      <c r="C68" t="str">
        <f>SCALARS!C68</f>
        <v>IYK</v>
      </c>
      <c r="D68" t="str">
        <f>SCALARS!D68</f>
        <v>IBKR</v>
      </c>
      <c r="E68" t="str">
        <f>SCALARS!E68</f>
        <v>XLP</v>
      </c>
      <c r="F68" s="265">
        <f>SCALARS!F68</f>
        <v>1.143424686716251</v>
      </c>
      <c r="G68" s="264" t="b">
        <v>0</v>
      </c>
    </row>
    <row r="69" spans="1:12" x14ac:dyDescent="0.25">
      <c r="A69" t="str">
        <f>SCALARS!A69</f>
        <v>sector</v>
      </c>
      <c r="B69" t="str">
        <f>SCALARS!B69</f>
        <v>staples</v>
      </c>
      <c r="C69" t="str">
        <f>SCALARS!C69</f>
        <v>XLP</v>
      </c>
      <c r="D69" t="str">
        <f>SCALARS!D69</f>
        <v>IBKR</v>
      </c>
      <c r="E69" t="str">
        <f>SCALARS!E69</f>
        <v>XLP</v>
      </c>
      <c r="F69" s="265">
        <f>SCALARS!F69</f>
        <v>1</v>
      </c>
      <c r="G69" s="264" t="b">
        <v>0</v>
      </c>
    </row>
    <row r="70" spans="1:12" x14ac:dyDescent="0.25">
      <c r="A70" t="str">
        <f>SCALARS!A70</f>
        <v>sector</v>
      </c>
      <c r="B70" t="str">
        <f>SCALARS!B70</f>
        <v>technology</v>
      </c>
      <c r="C70" t="str">
        <f>SCALARS!C70</f>
        <v>IYW</v>
      </c>
      <c r="D70" t="str">
        <f>SCALARS!D70</f>
        <v>IBKR</v>
      </c>
      <c r="E70" t="str">
        <f>SCALARS!E70</f>
        <v>IYW</v>
      </c>
      <c r="F70" s="265">
        <f>SCALARS!F70</f>
        <v>1</v>
      </c>
      <c r="G70" s="264" t="b">
        <v>0</v>
      </c>
      <c r="H70" s="218" t="s">
        <v>173</v>
      </c>
      <c r="I70" s="219" t="s">
        <v>175</v>
      </c>
      <c r="J70" s="7">
        <v>0.95</v>
      </c>
      <c r="L70" s="6">
        <v>200</v>
      </c>
    </row>
    <row r="71" spans="1:12" x14ac:dyDescent="0.25">
      <c r="A71" t="str">
        <f>SCALARS!A71</f>
        <v>sector</v>
      </c>
      <c r="B71" t="str">
        <f>SCALARS!B71</f>
        <v>technology</v>
      </c>
      <c r="C71" t="str">
        <f>SCALARS!C71</f>
        <v>XLK</v>
      </c>
      <c r="D71" t="str">
        <f>SCALARS!D71</f>
        <v>IBKR</v>
      </c>
      <c r="E71" t="str">
        <f>SCALARS!E71</f>
        <v>IYW</v>
      </c>
      <c r="F71" s="265">
        <f>SCALARS!F71</f>
        <v>1.3486885275814857</v>
      </c>
      <c r="G71" s="264" t="b">
        <v>0</v>
      </c>
      <c r="H71" s="218" t="s">
        <v>173</v>
      </c>
      <c r="I71" s="219" t="s">
        <v>174</v>
      </c>
      <c r="J71" s="7">
        <v>0.95</v>
      </c>
      <c r="K71" s="6">
        <v>275</v>
      </c>
    </row>
    <row r="72" spans="1:12" x14ac:dyDescent="0.25">
      <c r="A72" t="str">
        <f>SCALARS!A72</f>
        <v>sector</v>
      </c>
      <c r="B72" t="str">
        <f>SCALARS!B72</f>
        <v>utilities</v>
      </c>
      <c r="C72" t="str">
        <f>SCALARS!C72</f>
        <v>IDU</v>
      </c>
      <c r="D72" t="str">
        <f>SCALARS!D72</f>
        <v>IBKR</v>
      </c>
      <c r="E72" t="str">
        <f>SCALARS!E72</f>
        <v>IDU</v>
      </c>
      <c r="F72" s="265">
        <f>SCALARS!F72</f>
        <v>1</v>
      </c>
      <c r="G72" s="264" t="b">
        <v>0</v>
      </c>
    </row>
    <row r="73" spans="1:12" x14ac:dyDescent="0.25">
      <c r="A73" t="str">
        <f>SCALARS!A73</f>
        <v>sector</v>
      </c>
      <c r="B73" t="str">
        <f>SCALARS!B73</f>
        <v>utilities</v>
      </c>
      <c r="C73" t="str">
        <f>SCALARS!C73</f>
        <v>XLU</v>
      </c>
      <c r="D73" t="str">
        <f>SCALARS!D73</f>
        <v>IBKR</v>
      </c>
      <c r="E73" t="str">
        <f>SCALARS!E73</f>
        <v>IDU</v>
      </c>
      <c r="F73" s="265">
        <f>SCALARS!F73</f>
        <v>2.5425545381996812</v>
      </c>
      <c r="G73" s="264" t="b">
        <v>0</v>
      </c>
    </row>
  </sheetData>
  <conditionalFormatting sqref="G1:G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SCALARS</vt:lpstr>
      <vt:lpstr>MKT DATA</vt:lpstr>
      <vt:lpstr>FIXED INCOME</vt:lpstr>
      <vt:lpstr>SECTORS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2026-09-03T11:51:47Z</dcterms:modified>
</cp:coreProperties>
</file>