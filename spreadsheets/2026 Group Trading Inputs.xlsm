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0EB203E8-9F7B-4B50-A6A3-83C1C1700361}" xr6:coauthVersionLast="47" xr6:coauthVersionMax="47" xr10:uidLastSave="{00000000-0000-0000-0000-000000000000}"/>
  <bookViews>
    <workbookView xWindow="28770" yWindow="435" windowWidth="21690" windowHeight="13890" tabRatio="762" activeTab="3" xr2:uid="{7864433A-DFC4-4915-B0C9-D347D4BABFCE}"/>
  </bookViews>
  <sheets>
    <sheet name="ADMIN INPUTS" sheetId="15" r:id="rId1"/>
    <sheet name="FI INPUTS" sheetId="16" r:id="rId2"/>
    <sheet name="MKT DATA" sheetId="19" r:id="rId3"/>
    <sheet name="WATCH SCREEN" sheetId="20" r:id="rId4"/>
    <sheet name="TRADING INPUTS" sheetId="21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35" i="20" l="1"/>
  <c r="V30" i="20"/>
  <c r="V26" i="20"/>
  <c r="U35" i="20"/>
  <c r="U30" i="20"/>
  <c r="U26" i="20"/>
  <c r="V23" i="20"/>
  <c r="U23" i="20"/>
  <c r="F11" i="20" a="1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18" i="20" a="1"/>
  <c r="N17" i="20" a="1"/>
  <c r="N16" i="20" a="1"/>
  <c r="N15" i="20" a="1"/>
  <c r="N14" i="20" a="1"/>
  <c r="X13" i="20"/>
  <c r="W13" i="20"/>
  <c r="V13" i="20"/>
  <c r="U13" i="20"/>
  <c r="N13" i="20" a="1"/>
  <c r="N12" i="20" a="1"/>
  <c r="X11" i="20"/>
  <c r="W11" i="20"/>
  <c r="V11" i="20"/>
  <c r="U11" i="20"/>
  <c r="N11" i="20" a="1"/>
  <c r="N10" i="20" a="1"/>
  <c r="X9" i="20"/>
  <c r="W9" i="20"/>
  <c r="V9" i="20"/>
  <c r="U9" i="20"/>
  <c r="N9" i="20" a="1"/>
  <c r="N8" i="20" a="1"/>
  <c r="X7" i="20"/>
  <c r="W7" i="20"/>
  <c r="V7" i="20"/>
  <c r="U7" i="20"/>
  <c r="N7" i="20" a="1"/>
  <c r="N6" i="20" a="1"/>
  <c r="X5" i="20"/>
  <c r="W5" i="20"/>
  <c r="V5" i="20"/>
  <c r="U5" i="20"/>
  <c r="N5" i="20" a="1"/>
  <c r="N4" i="20" a="1"/>
  <c r="X3" i="20"/>
  <c r="W3" i="20"/>
  <c r="V3" i="20"/>
  <c r="U3" i="20"/>
  <c r="N3" i="20" a="1"/>
  <c r="G43" i="21"/>
  <c r="G41" i="21"/>
  <c r="G39" i="21"/>
  <c r="G37" i="21"/>
  <c r="G35" i="21"/>
  <c r="G33" i="21"/>
  <c r="G31" i="21"/>
  <c r="G29" i="21"/>
  <c r="G27" i="21"/>
  <c r="G26" i="21"/>
  <c r="H27" i="21"/>
  <c r="H26" i="21"/>
  <c r="H25" i="21"/>
  <c r="G25" i="21"/>
  <c r="H23" i="21"/>
  <c r="G23" i="21"/>
  <c r="H22" i="21"/>
  <c r="G22" i="21"/>
  <c r="H19" i="21"/>
  <c r="H21" i="21" s="1"/>
  <c r="G19" i="21"/>
  <c r="G21" i="21" s="1"/>
  <c r="H18" i="21"/>
  <c r="G18" i="21"/>
  <c r="H17" i="21"/>
  <c r="G17" i="21"/>
  <c r="H15" i="21"/>
  <c r="G15" i="21"/>
  <c r="H14" i="21"/>
  <c r="G14" i="21"/>
  <c r="H13" i="21"/>
  <c r="G13" i="21"/>
  <c r="H9" i="21"/>
  <c r="G9" i="21"/>
  <c r="H8" i="21"/>
  <c r="G8" i="21"/>
  <c r="H7" i="21"/>
  <c r="G7" i="21"/>
  <c r="H5" i="21"/>
  <c r="H4" i="21"/>
  <c r="G5" i="21"/>
  <c r="G4" i="21"/>
  <c r="H11" i="21"/>
  <c r="G11" i="21"/>
  <c r="H10" i="21"/>
  <c r="G10" i="21"/>
  <c r="H20" i="21"/>
  <c r="G20" i="21"/>
  <c r="H3" i="21"/>
  <c r="G3" i="21"/>
  <c r="A19" i="20"/>
  <c r="N24" i="20" a="1"/>
  <c r="N25" i="20" a="1"/>
  <c r="N26" i="20" a="1"/>
  <c r="N27" i="20" a="1"/>
  <c r="N28" i="20" a="1"/>
  <c r="N39" i="20" a="1"/>
  <c r="N40" i="20" a="1"/>
  <c r="N41" i="20" a="1"/>
  <c r="N42" i="20" a="1"/>
  <c r="N43" i="20" a="1"/>
  <c r="N44" i="20" a="1"/>
  <c r="N29" i="20" a="1"/>
  <c r="N30" i="20" a="1"/>
  <c r="N31" i="20" a="1"/>
  <c r="N32" i="20" a="1"/>
  <c r="N45" i="20" a="1"/>
  <c r="N46" i="20" a="1"/>
  <c r="N47" i="20" a="1"/>
  <c r="N48" i="20" a="1"/>
  <c r="N33" i="20" a="1"/>
  <c r="N34" i="20" a="1"/>
  <c r="N35" i="20" a="1"/>
  <c r="N36" i="20" a="1"/>
  <c r="N37" i="20" a="1"/>
  <c r="N38" i="20" a="1"/>
  <c r="N23" i="20" a="1"/>
  <c r="K37" i="20" a="1"/>
  <c r="M37" i="20" s="1"/>
  <c r="K36" i="20" a="1"/>
  <c r="M36" i="20" s="1"/>
  <c r="K35" i="20" a="1"/>
  <c r="M35" i="20" s="1"/>
  <c r="K34" i="20" a="1"/>
  <c r="M34" i="20" s="1"/>
  <c r="K33" i="20" a="1"/>
  <c r="M33" i="20" s="1"/>
  <c r="K48" i="20" a="1"/>
  <c r="M48" i="20" s="1"/>
  <c r="K47" i="20" a="1"/>
  <c r="M47" i="20" s="1"/>
  <c r="K46" i="20" a="1"/>
  <c r="M46" i="20" s="1"/>
  <c r="K45" i="20" a="1"/>
  <c r="M45" i="20" s="1"/>
  <c r="K32" i="20" a="1"/>
  <c r="M32" i="20" s="1"/>
  <c r="K31" i="20" a="1"/>
  <c r="M31" i="20" s="1"/>
  <c r="K30" i="20" a="1"/>
  <c r="M30" i="20" s="1"/>
  <c r="K29" i="20" a="1"/>
  <c r="M29" i="20" s="1"/>
  <c r="K44" i="20" a="1"/>
  <c r="M44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28" i="20" a="1"/>
  <c r="M2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38" i="20" a="1"/>
  <c r="M38" i="20" s="1"/>
  <c r="A24" i="20"/>
  <c r="B24" i="20"/>
  <c r="A25" i="20"/>
  <c r="B25" i="20"/>
  <c r="A26" i="20"/>
  <c r="B26" i="20"/>
  <c r="A27" i="20"/>
  <c r="B27" i="20"/>
  <c r="A28" i="20"/>
  <c r="B28" i="20"/>
  <c r="A39" i="20"/>
  <c r="B39" i="20"/>
  <c r="A40" i="20"/>
  <c r="B40" i="20"/>
  <c r="A41" i="20"/>
  <c r="B41" i="20"/>
  <c r="A42" i="20"/>
  <c r="B42" i="20"/>
  <c r="A43" i="20"/>
  <c r="B43" i="20"/>
  <c r="A44" i="20"/>
  <c r="B44" i="20"/>
  <c r="A29" i="20"/>
  <c r="B29" i="20"/>
  <c r="A30" i="20"/>
  <c r="B30" i="20"/>
  <c r="A31" i="20"/>
  <c r="B31" i="20"/>
  <c r="A32" i="20"/>
  <c r="B32" i="20"/>
  <c r="A45" i="20"/>
  <c r="B45" i="20"/>
  <c r="A46" i="20"/>
  <c r="B46" i="20"/>
  <c r="A47" i="20"/>
  <c r="B47" i="20"/>
  <c r="A48" i="20"/>
  <c r="B48" i="20"/>
  <c r="A33" i="20"/>
  <c r="B33" i="20"/>
  <c r="A34" i="20"/>
  <c r="B34" i="20"/>
  <c r="A35" i="20"/>
  <c r="B35" i="20"/>
  <c r="A36" i="20"/>
  <c r="B36" i="20"/>
  <c r="A37" i="20"/>
  <c r="B37" i="20"/>
  <c r="A38" i="20"/>
  <c r="B38" i="20"/>
  <c r="B23" i="20"/>
  <c r="A23" i="20"/>
  <c r="F24" i="20" a="1"/>
  <c r="G24" i="20" s="1"/>
  <c r="F23" i="20" a="1"/>
  <c r="F25" i="20" a="1"/>
  <c r="G25" i="20" s="1"/>
  <c r="F26" i="20" a="1"/>
  <c r="F27" i="20" a="1"/>
  <c r="G27" i="20" s="1"/>
  <c r="F28" i="20" a="1"/>
  <c r="G28" i="20" s="1"/>
  <c r="F39" i="20" a="1"/>
  <c r="F40" i="20" a="1"/>
  <c r="G40" i="20" s="1"/>
  <c r="F41" i="20" a="1"/>
  <c r="G41" i="20" s="1"/>
  <c r="F42" i="20" a="1"/>
  <c r="F43" i="20" a="1"/>
  <c r="G43" i="20" s="1"/>
  <c r="F44" i="20" a="1"/>
  <c r="G44" i="20" s="1"/>
  <c r="F29" i="20" a="1"/>
  <c r="F30" i="20" a="1"/>
  <c r="G30" i="20" s="1"/>
  <c r="F31" i="20" a="1"/>
  <c r="G31" i="20" s="1"/>
  <c r="F32" i="20" a="1"/>
  <c r="G32" i="20" s="1"/>
  <c r="F45" i="20" a="1"/>
  <c r="F46" i="20" a="1"/>
  <c r="G46" i="20" s="1"/>
  <c r="F47" i="20" a="1"/>
  <c r="G47" i="20" s="1"/>
  <c r="F48" i="20" a="1"/>
  <c r="G48" i="20" s="1"/>
  <c r="F33" i="20" a="1"/>
  <c r="F34" i="20" a="1"/>
  <c r="G34" i="20" s="1"/>
  <c r="F35" i="20" a="1"/>
  <c r="G35" i="20" s="1"/>
  <c r="F36" i="20" a="1"/>
  <c r="G36" i="20" s="1"/>
  <c r="F37" i="20" a="1"/>
  <c r="G37" i="20" s="1"/>
  <c r="F38" i="20" a="1"/>
  <c r="G38" i="20" s="1"/>
  <c r="J37" i="20" a="1"/>
  <c r="L37" i="20" s="1"/>
  <c r="O37" i="20" s="1"/>
  <c r="J35" i="20" a="1"/>
  <c r="L35" i="20" s="1"/>
  <c r="O35" i="20" s="1"/>
  <c r="J36" i="20" a="1"/>
  <c r="L36" i="20" s="1"/>
  <c r="O36" i="20" s="1"/>
  <c r="J33" i="20" a="1"/>
  <c r="L33" i="20" s="1"/>
  <c r="O33" i="20" s="1"/>
  <c r="J34" i="20" a="1"/>
  <c r="L34" i="20" s="1"/>
  <c r="O34" i="20" s="1"/>
  <c r="J38" i="20" a="1"/>
  <c r="L38" i="20" s="1"/>
  <c r="O38" i="20" s="1"/>
  <c r="J27" i="20" a="1"/>
  <c r="L27" i="20" s="1"/>
  <c r="O27" i="20" s="1"/>
  <c r="J26" i="20" a="1"/>
  <c r="L26" i="20" s="1"/>
  <c r="O26" i="20" s="1"/>
  <c r="J28" i="20" a="1"/>
  <c r="L28" i="20" s="1"/>
  <c r="O28" i="20" s="1"/>
  <c r="J24" i="20" a="1"/>
  <c r="L24" i="20" s="1"/>
  <c r="O24" i="20" s="1"/>
  <c r="J23" i="20" a="1"/>
  <c r="L23" i="20" s="1"/>
  <c r="O23" i="20" s="1"/>
  <c r="J25" i="20" a="1"/>
  <c r="L25" i="20" s="1"/>
  <c r="O25" i="20" s="1"/>
  <c r="J44" i="20" a="1"/>
  <c r="L44" i="20" s="1"/>
  <c r="O44" i="20" s="1"/>
  <c r="J42" i="20" a="1"/>
  <c r="L42" i="20" s="1"/>
  <c r="O42" i="20" s="1"/>
  <c r="J43" i="20" a="1"/>
  <c r="L43" i="20" s="1"/>
  <c r="O43" i="20" s="1"/>
  <c r="J41" i="20" a="1"/>
  <c r="L41" i="20" s="1"/>
  <c r="O41" i="20" s="1"/>
  <c r="J39" i="20" a="1"/>
  <c r="L39" i="20" s="1"/>
  <c r="O39" i="20" s="1"/>
  <c r="J40" i="20" a="1"/>
  <c r="L40" i="20" s="1"/>
  <c r="O40" i="20" s="1"/>
  <c r="J31" i="20" a="1"/>
  <c r="L31" i="20" s="1"/>
  <c r="O31" i="20" s="1"/>
  <c r="J30" i="20" a="1"/>
  <c r="L30" i="20" s="1"/>
  <c r="O30" i="20" s="1"/>
  <c r="J29" i="20" a="1"/>
  <c r="L29" i="20" s="1"/>
  <c r="O29" i="20" s="1"/>
  <c r="J32" i="20" a="1"/>
  <c r="L32" i="20" s="1"/>
  <c r="O32" i="20" s="1"/>
  <c r="J47" i="20" a="1"/>
  <c r="L47" i="20" s="1"/>
  <c r="O47" i="20" s="1"/>
  <c r="J45" i="20" a="1"/>
  <c r="L45" i="20" s="1"/>
  <c r="O45" i="20" s="1"/>
  <c r="J46" i="20" a="1"/>
  <c r="L46" i="20" s="1"/>
  <c r="O46" i="20" s="1"/>
  <c r="J48" i="20" a="1"/>
  <c r="L48" i="20" s="1"/>
  <c r="O48" i="20" s="1"/>
  <c r="B4" i="15" a="1"/>
  <c r="B2" i="15" a="1"/>
  <c r="G45" i="20" l="1"/>
  <c r="G42" i="20"/>
  <c r="G39" i="20"/>
  <c r="G33" i="20"/>
  <c r="G26" i="20"/>
  <c r="G23" i="20"/>
  <c r="G29" i="20"/>
  <c r="H24" i="20"/>
  <c r="H25" i="20"/>
  <c r="H26" i="20"/>
  <c r="H27" i="20"/>
  <c r="H28" i="20"/>
  <c r="H39" i="20"/>
  <c r="H40" i="20"/>
  <c r="H41" i="20"/>
  <c r="H42" i="20"/>
  <c r="H43" i="20"/>
  <c r="H44" i="20"/>
  <c r="H30" i="20"/>
  <c r="H31" i="20"/>
  <c r="H32" i="20"/>
  <c r="H45" i="20"/>
  <c r="H46" i="20"/>
  <c r="H47" i="20"/>
  <c r="H48" i="20"/>
  <c r="H33" i="20"/>
  <c r="H34" i="20"/>
  <c r="H35" i="20"/>
  <c r="H36" i="20"/>
  <c r="H37" i="20"/>
  <c r="H38" i="20"/>
  <c r="H23" i="20"/>
  <c r="I23" i="20" s="1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F12" i="20" a="1"/>
  <c r="G12" i="20" s="1"/>
  <c r="J12" i="20" a="1"/>
  <c r="L12" i="20" s="1"/>
  <c r="O12" i="20" s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9" i="20"/>
  <c r="Q33" i="20"/>
  <c r="Q45" i="20"/>
  <c r="Q29" i="20"/>
  <c r="Q42" i="20"/>
  <c r="Q39" i="20"/>
  <c r="Q26" i="20"/>
  <c r="Q23" i="20"/>
  <c r="P35" i="20"/>
  <c r="P37" i="20"/>
  <c r="P36" i="20"/>
  <c r="P33" i="20"/>
  <c r="P34" i="20"/>
  <c r="P38" i="20"/>
  <c r="P27" i="20"/>
  <c r="P26" i="20"/>
  <c r="P28" i="20"/>
  <c r="P24" i="20"/>
  <c r="P23" i="20"/>
  <c r="P25" i="20"/>
  <c r="P44" i="20"/>
  <c r="P42" i="20"/>
  <c r="P43" i="20"/>
  <c r="P41" i="20"/>
  <c r="P39" i="20"/>
  <c r="P40" i="20"/>
  <c r="P31" i="20"/>
  <c r="P30" i="20"/>
  <c r="P29" i="20"/>
  <c r="P32" i="20"/>
  <c r="W30" i="20" s="1"/>
  <c r="X30" i="20" s="1"/>
  <c r="P45" i="20"/>
  <c r="P46" i="20"/>
  <c r="P47" i="20"/>
  <c r="P48" i="20"/>
  <c r="L11" i="20" l="1"/>
  <c r="O11" i="20" s="1"/>
  <c r="G11" i="20"/>
  <c r="S7" i="20"/>
  <c r="T7" i="20" s="1"/>
  <c r="Q11" i="20"/>
  <c r="R11" i="20" s="1"/>
  <c r="Q7" i="20"/>
  <c r="R7" i="20" s="1"/>
  <c r="Q15" i="20"/>
  <c r="R15" i="20" s="1"/>
  <c r="Q13" i="20"/>
  <c r="R13" i="20" s="1"/>
  <c r="S3" i="20"/>
  <c r="S9" i="20"/>
  <c r="T9" i="20" s="1"/>
  <c r="Q9" i="20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6" i="20"/>
  <c r="I39" i="20"/>
  <c r="I42" i="20"/>
  <c r="I45" i="20"/>
  <c r="I33" i="20"/>
  <c r="I29" i="20"/>
  <c r="S11" i="20"/>
  <c r="T11" i="20" s="1"/>
  <c r="S15" i="20"/>
  <c r="T15" i="20" s="1"/>
  <c r="S13" i="20"/>
  <c r="T13" i="20" s="1"/>
  <c r="I5" i="20"/>
  <c r="R9" i="20"/>
  <c r="Q17" i="20"/>
  <c r="R17" i="20" s="1"/>
  <c r="I9" i="20"/>
  <c r="T3" i="20"/>
  <c r="Q3" i="20"/>
  <c r="R3" i="20" s="1"/>
  <c r="X6" i="20"/>
  <c r="V6" i="20"/>
  <c r="W12" i="20"/>
  <c r="U12" i="20"/>
  <c r="W6" i="20"/>
  <c r="U6" i="20"/>
  <c r="R33" i="20"/>
  <c r="S33" i="20" s="1"/>
  <c r="T33" i="20" s="1"/>
  <c r="R45" i="20"/>
  <c r="S45" i="20" s="1"/>
  <c r="T45" i="20" s="1"/>
  <c r="R29" i="20"/>
  <c r="S29" i="20" s="1"/>
  <c r="T29" i="20" s="1"/>
  <c r="R42" i="20"/>
  <c r="S42" i="20" s="1"/>
  <c r="T42" i="20" s="1"/>
  <c r="R26" i="20"/>
  <c r="S26" i="20" s="1"/>
  <c r="T26" i="20" s="1"/>
  <c r="R39" i="20"/>
  <c r="S39" i="20" s="1"/>
  <c r="T39" i="20" s="1"/>
  <c r="R23" i="20"/>
  <c r="S23" i="20" s="1"/>
  <c r="T23" i="20" s="1"/>
  <c r="U8" i="20" l="1"/>
  <c r="W8" i="20"/>
  <c r="I11" i="20"/>
  <c r="U10" i="20"/>
  <c r="W10" i="20"/>
  <c r="U4" i="20"/>
  <c r="W4" i="20"/>
  <c r="X8" i="20"/>
  <c r="V8" i="20"/>
  <c r="U36" i="20"/>
  <c r="V36" i="20" a="1"/>
  <c r="U31" i="20"/>
  <c r="V31" i="20" a="1"/>
  <c r="U27" i="20"/>
  <c r="V27" i="20" a="1"/>
  <c r="U24" i="20"/>
  <c r="V24" i="20" a="1"/>
  <c r="W14" i="20"/>
  <c r="U14" i="20"/>
  <c r="X10" i="20"/>
  <c r="V10" i="20"/>
  <c r="I13" i="20"/>
  <c r="X4" i="20"/>
  <c r="V4" i="20"/>
  <c r="I7" i="20"/>
  <c r="I17" i="20"/>
  <c r="I15" i="20"/>
  <c r="V12" i="20"/>
  <c r="X12" i="20"/>
  <c r="I3" i="20"/>
  <c r="V14" i="20"/>
  <c r="X14" i="2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<sst xmlns="http://schemas.openxmlformats.org/spreadsheetml/2006/main" count="668" uniqueCount="115">
  <si>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</si>
  <si>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</si>
  <si>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</si>
  <si>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</si>
  <si>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</si>
  <si>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</si>
  <si>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</si>
  <si>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</si>
  <si>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</si>
  <si>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</si>
  <si>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</si>
  <si>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</si>
  <si>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</si>
  <si>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</si>
  <si>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</si>
  <si>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</si>
  <si>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</si>
  <si>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</si>
  <si>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</si>
  <si>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</si>
  <si>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</si>
  <si>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</si>
  <si>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</si>
  <si>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</si>
  <si>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</si>
  <si>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</si>
  <si>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</si>
  <si>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</si>
  <si>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</si>
  <si>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</si>
  <si>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</si>
  <si>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</si>
  <si>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</si>
  <si>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</si>
  <si>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</si>
  <si>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</si>
  <si>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</si>
  <si>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</si>
  <si>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</si>
  <si>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</si>
  <si>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</si>
  <si>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</si>
  <si>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</si>
  <si>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</si>
  <si>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</si>
  <si>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</si>
  <si>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</si>
  <si>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</si>
  <si>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</si>
  <si>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</si>
  <si>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</si>
  <si>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</si>
  <si>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</si>
  <si>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</si>
  <si>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</si>
  <si>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</si>
  <si>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</si>
  <si>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</si>
  <si>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</si>
  <si>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</si>
  <si>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</si>
  <si>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</si>
  <si>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</si>
  <si>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</si>
  <si>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</si>
  <si>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</si>
  <si>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</si>
  <si>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</si>
  <si>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</si>
  <si>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</si>
  <si>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</si>
  <si>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</si>
  <si>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</si>
  <si>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</si>
  <si>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</si>
  <si>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</si>
  <si>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</si>
  <si>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</si>
  <si>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</si>
  <si>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</si>
  <si>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</si>
  <si>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</si>
  <si>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</si>
  <si>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</si>
  <si>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</si>
  <si>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</si>
  <si>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</si>
  <si>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</si>
  <si>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</si>
  <si>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</si>
  <si>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</si>
  <si>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</si>
  <si>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</si>
  <si>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</si>
  <si>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</si>
  <si>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</si>
  <si>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</si>
  <si>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</si>
  <si>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</si>
  <si>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</si>
  <si>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</si>
  <si>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</si>
  <si>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</si>
  <si>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</si>
  <si>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</si>
  <si>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</si>
  <si>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</si>
  <si>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</t>
  </si>
  <si>
    <t>sell</t>
  </si>
  <si>
    <t>buy top</t>
  </si>
  <si>
    <t>sell top</t>
  </si>
  <si>
    <t>units</t>
  </si>
  <si>
    <t>$ val</t>
  </si>
  <si>
    <t>$val</t>
  </si>
  <si>
    <t>2026-08-24_13-44-54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</si>
</sst>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* #,##0.0000_);_(* \(#,##0.0000\);_(* &quot;-&quot;????_);_(@_)"/>
    <numFmt numFmtId="173" formatCode="_(&quot;$&quot;* #,##0_);_(&quot;$&quot;* \(#,##0\);_(&quot;$&quot;* &quot;-&quot;??_);_(@_)"/>
  </numFmts>
  <fonts count="2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52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3" applyNumberFormat="1" applyFont="1" applyAlignment="1">
      <alignment horizontal="right"/>
    </xf>
    <xf numFmtId="0" fontId="5" fillId="0" borderId="0" xfId="0" applyFont="1"/>
    <xf numFmtId="166" fontId="3" fillId="0" borderId="0" xfId="3" applyNumberFormat="1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43" fontId="4" fillId="2" borderId="0" xfId="3" applyFont="1" applyFill="1" applyAlignment="1">
      <alignment horizontal="right"/>
    </xf>
    <xf numFmtId="43" fontId="0" fillId="2" borderId="0" xfId="3" applyFont="1" applyFill="1"/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170" fontId="0" fillId="0" borderId="0" xfId="0" applyNumberForma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43" fontId="18" fillId="0" borderId="3" xfId="0" applyNumberFormat="1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43" fontId="18" fillId="0" borderId="3" xfId="3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167" fontId="0" fillId="0" borderId="2" xfId="0" applyNumberFormat="1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7" fontId="0" fillId="0" borderId="1" xfId="0" applyNumberFormat="1" applyBorder="1" applyAlignment="1">
      <alignment vertic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0" fontId="12" fillId="0" borderId="2" xfId="0" applyFont="1" applyBorder="1" applyAlignment="1">
      <alignment horizontal="center"/>
    </xf>
    <xf numFmtId="0" fontId="8" fillId="0" borderId="0" xfId="0" applyFont="1" applyAlignment="1">
      <alignment horizontal="center"/>
    </xf>
    <xf numFmtId="43" fontId="18" fillId="0" borderId="3" xfId="0" applyNumberFormat="1" applyFont="1" applyBorder="1" applyAlignment="1">
      <alignment horizontal="center" vertical="center"/>
    </xf>
    <xf numFmtId="43" fontId="18" fillId="0" borderId="5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0" fontId="0" fillId="2" borderId="0" xfId="0" applyFill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68" fontId="0" fillId="0" borderId="3" xfId="2" applyNumberFormat="1" applyFont="1" applyFill="1" applyBorder="1" applyAlignment="1">
      <alignment vertical="center"/>
    </xf>
    <xf numFmtId="10" fontId="20" fillId="0" borderId="2" xfId="0" applyNumberFormat="1" applyFont="1" applyBorder="1"/>
    <xf numFmtId="164" fontId="6" fillId="0" borderId="11" xfId="3" applyNumberFormat="1" applyFont="1" applyBorder="1"/>
    <xf numFmtId="168" fontId="0" fillId="0" borderId="8" xfId="2" applyNumberFormat="1" applyFont="1" applyFill="1" applyBorder="1" applyAlignment="1">
      <alignment vertical="center"/>
    </xf>
    <xf numFmtId="10" fontId="20" fillId="0" borderId="7" xfId="0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3" fontId="18" fillId="0" borderId="2" xfId="1" applyNumberFormat="1" applyFont="1" applyBorder="1"/>
    <xf numFmtId="173" fontId="18" fillId="0" borderId="0" xfId="1" applyNumberFormat="1" applyFont="1" applyBorder="1"/>
    <xf numFmtId="173" fontId="18" fillId="0" borderId="7" xfId="1" applyNumberFormat="1" applyFont="1" applyBorder="1"/>
    <xf numFmtId="173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3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0" fontId="8" fillId="0" borderId="5" xfId="0" applyFont="1" applyFill="1" applyBorder="1" applyAlignment="1">
      <alignment horizontal="center"/>
    </xf>
    <xf numFmtId="168" fontId="0" fillId="0" borderId="5" xfId="2" applyNumberFormat="1" applyFont="1" applyFill="1" applyBorder="1" applyAlignment="1">
      <alignment vertical="center"/>
    </xf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0" fontId="0" fillId="0" borderId="0" xfId="0" applyFill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3" fontId="26" fillId="0" borderId="2" xfId="1" applyNumberFormat="1" applyFont="1" applyBorder="1"/>
    <xf numFmtId="43" fontId="26" fillId="0" borderId="3" xfId="0" applyNumberFormat="1" applyFont="1" applyBorder="1" applyAlignment="1">
      <alignment vertical="center"/>
    </xf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67" fontId="25" fillId="0" borderId="1" xfId="0" applyNumberFormat="1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3" fontId="26" fillId="0" borderId="7" xfId="1" applyNumberFormat="1" applyFont="1" applyBorder="1"/>
    <xf numFmtId="43" fontId="26" fillId="0" borderId="8" xfId="0" applyNumberFormat="1" applyFont="1" applyBorder="1" applyAlignment="1">
      <alignment vertical="center"/>
    </xf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0" fontId="25" fillId="0" borderId="6" xfId="0" applyFont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43" fontId="26" fillId="0" borderId="3" xfId="3" applyFont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0" fontId="26" fillId="0" borderId="0" xfId="0" applyFont="1"/>
    <xf numFmtId="0" fontId="25" fillId="0" borderId="0" xfId="0" applyFont="1" applyAlignment="1">
      <alignment horizontal="center"/>
    </xf>
    <xf numFmtId="10" fontId="28" fillId="2" borderId="1" xfId="2" applyNumberFormat="1" applyFont="1" applyFill="1" applyBorder="1" applyAlignment="1">
      <alignment horizontal="center" vertic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3" fontId="26" fillId="0" borderId="0" xfId="1" applyNumberFormat="1" applyFont="1" applyBorder="1"/>
    <xf numFmtId="43" fontId="26" fillId="0" borderId="5" xfId="3" applyFont="1" applyBorder="1" applyAlignment="1">
      <alignment vertical="center"/>
    </xf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25" fillId="0" borderId="4" xfId="0" applyFont="1" applyBorder="1" applyAlignment="1">
      <alignment vertical="center"/>
    </xf>
    <xf numFmtId="0" fontId="25" fillId="0" borderId="0" xfId="0" applyFont="1" applyAlignment="1">
      <alignment vertical="center"/>
    </xf>
    <xf numFmtId="167" fontId="25" fillId="0" borderId="0" xfId="0" applyNumberFormat="1" applyFont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10" fontId="28" fillId="2" borderId="4" xfId="2" applyNumberFormat="1" applyFont="1" applyFill="1" applyBorder="1" applyAlignment="1">
      <alignment horizontal="center" vertical="center"/>
    </xf>
    <xf numFmtId="43" fontId="26" fillId="0" borderId="8" xfId="3" applyFont="1" applyBorder="1" applyAlignment="1">
      <alignment vertical="center"/>
    </xf>
    <xf numFmtId="0" fontId="25" fillId="0" borderId="7" xfId="0" applyFont="1" applyBorder="1" applyAlignment="1">
      <alignment vertical="center"/>
    </xf>
    <xf numFmtId="167" fontId="25" fillId="0" borderId="7" xfId="0" applyNumberFormat="1" applyFont="1" applyBorder="1" applyAlignment="1">
      <alignment vertical="center"/>
    </xf>
    <xf numFmtId="10" fontId="28" fillId="2" borderId="6" xfId="2" applyNumberFormat="1" applyFont="1" applyFill="1" applyBorder="1" applyAlignment="1">
      <alignment horizontal="center" vertical="center"/>
    </xf>
    <xf numFmtId="43" fontId="26" fillId="0" borderId="5" xfId="0" applyNumberFormat="1" applyFont="1" applyBorder="1" applyAlignment="1">
      <alignment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0" fillId="0" borderId="0" xfId="2" applyNumberFormat="1" applyFont="1" applyAlignment="1">
      <alignment horizontal="center"/>
    </xf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9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fi_inputs" displayName="fi_inputs" ref="A1:D44" totalsRowShown="0">
  <autoFilter ref="A1:D44" xr:uid="{41E0AE69-AE86-439F-8B86-A6C16D189F1B}"/>
  <sortState xmlns:xlrd2="http://schemas.microsoft.com/office/spreadsheetml/2017/richdata2" ref="A2:D44">
    <sortCondition ref="C1:C44"/>
  </sortState>
  <tableColumns count="4">
    <tableColumn id="1" xr3:uid="{4425B6E4-20BC-47CF-A149-57992AA900B4}" name="my_fi_name"/>
    <tableColumn id="2" xr3:uid="{37DFEB1C-D09E-4AD1-B1A8-D6941BD84D2E}" name="my_pf_name"/>
    <tableColumn id="5" xr3:uid="{1C677B6D-D63E-4271-8F12-49B31EA5C0F2}" name="anchor_fi"/>
    <tableColumn id="3" xr3:uid="{B174390F-1C67-417C-A283-D8C2F19DC00A}" name="moving_avg_days" dataDxfId="3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I15" sqref="I15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_xlfn.TEXTAFTER(CELL("filename",'FI INPUTS'!A1),"]")</f>
        <v>FI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43">
        <v>46258.494293981479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D44"/>
  <sheetViews>
    <sheetView workbookViewId="0">
      <selection activeCell="F11" sqref="F11"/>
    </sheetView>
  </sheetViews>
  <sheetFormatPr defaultRowHeight="15" x14ac:dyDescent="0.25"/>
  <cols>
    <col min="1" max="1" width="14" bestFit="1" customWidth="1"/>
    <col min="2" max="2" width="14.5703125" bestFit="1" customWidth="1"/>
    <col min="3" max="3" width="11.5703125" bestFit="1" customWidth="1"/>
    <col min="4" max="4" width="18.85546875" style="1" bestFit="1" customWidth="1"/>
    <col min="5" max="5" width="16.42578125" bestFit="1" customWidth="1"/>
  </cols>
  <sheetData>
    <row r="1" spans="1:4" x14ac:dyDescent="0.25">
      <c r="A1" t="s">
        <v>2</v>
      </c>
      <c r="B1" t="s">
        <v>1</v>
      </c>
      <c r="C1" t="s">
        <v>14</v>
      </c>
      <c r="D1" s="1" t="s">
        <v>11</v>
      </c>
    </row>
    <row r="2" spans="1:4" x14ac:dyDescent="0.25">
      <c r="A2" t="s">
        <v>10</v>
      </c>
      <c r="B2" t="s">
        <v>0</v>
      </c>
      <c r="C2" t="s">
        <v>10</v>
      </c>
      <c r="D2" s="1">
        <v>20</v>
      </c>
    </row>
    <row r="3" spans="1:4" x14ac:dyDescent="0.25">
      <c r="A3" t="s">
        <v>9</v>
      </c>
      <c r="B3" t="s">
        <v>0</v>
      </c>
      <c r="C3" t="s">
        <v>10</v>
      </c>
      <c r="D3" s="1">
        <v>20</v>
      </c>
    </row>
    <row r="4" spans="1:4" x14ac:dyDescent="0.25">
      <c r="A4" t="s">
        <v>6</v>
      </c>
      <c r="B4" t="s">
        <v>0</v>
      </c>
      <c r="C4" t="s">
        <v>10</v>
      </c>
      <c r="D4" s="1">
        <v>20</v>
      </c>
    </row>
    <row r="5" spans="1:4" x14ac:dyDescent="0.25">
      <c r="A5" t="s">
        <v>7</v>
      </c>
      <c r="B5" t="s">
        <v>0</v>
      </c>
      <c r="C5" t="s">
        <v>10</v>
      </c>
      <c r="D5" s="1">
        <v>20</v>
      </c>
    </row>
    <row r="6" spans="1:4" x14ac:dyDescent="0.25">
      <c r="A6" t="s">
        <v>48</v>
      </c>
      <c r="B6" t="s">
        <v>0</v>
      </c>
      <c r="C6" t="s">
        <v>48</v>
      </c>
      <c r="D6" s="155">
        <v>20</v>
      </c>
    </row>
    <row r="7" spans="1:4" x14ac:dyDescent="0.25">
      <c r="A7" t="s">
        <v>55</v>
      </c>
      <c r="B7" t="s">
        <v>0</v>
      </c>
      <c r="C7" t="s">
        <v>48</v>
      </c>
      <c r="D7" s="155">
        <v>20</v>
      </c>
    </row>
    <row r="8" spans="1:4" x14ac:dyDescent="0.25">
      <c r="A8" t="s">
        <v>35</v>
      </c>
      <c r="B8" t="s">
        <v>0</v>
      </c>
      <c r="C8" t="s">
        <v>35</v>
      </c>
      <c r="D8" s="1">
        <v>20</v>
      </c>
    </row>
    <row r="9" spans="1:4" x14ac:dyDescent="0.25">
      <c r="A9" t="s">
        <v>32</v>
      </c>
      <c r="B9" t="s">
        <v>0</v>
      </c>
      <c r="C9" t="s">
        <v>35</v>
      </c>
      <c r="D9" s="1">
        <v>20</v>
      </c>
    </row>
    <row r="10" spans="1:4" x14ac:dyDescent="0.25">
      <c r="A10" t="s">
        <v>33</v>
      </c>
      <c r="B10" t="s">
        <v>0</v>
      </c>
      <c r="C10" t="s">
        <v>35</v>
      </c>
      <c r="D10" s="1">
        <v>20</v>
      </c>
    </row>
    <row r="11" spans="1:4" x14ac:dyDescent="0.25">
      <c r="A11" t="s">
        <v>34</v>
      </c>
      <c r="B11" t="s">
        <v>0</v>
      </c>
      <c r="C11" t="s">
        <v>35</v>
      </c>
      <c r="D11" s="1">
        <v>20</v>
      </c>
    </row>
    <row r="12" spans="1:4" x14ac:dyDescent="0.25">
      <c r="A12" t="s">
        <v>53</v>
      </c>
      <c r="B12" t="s">
        <v>0</v>
      </c>
      <c r="C12" t="s">
        <v>53</v>
      </c>
      <c r="D12" s="155">
        <v>20</v>
      </c>
    </row>
    <row r="13" spans="1:4" x14ac:dyDescent="0.25">
      <c r="A13" t="s">
        <v>66</v>
      </c>
      <c r="B13" t="s">
        <v>0</v>
      </c>
      <c r="C13" t="s">
        <v>53</v>
      </c>
      <c r="D13" s="155">
        <v>20</v>
      </c>
    </row>
    <row r="14" spans="1:4" x14ac:dyDescent="0.25">
      <c r="A14" t="s">
        <v>49</v>
      </c>
      <c r="B14" t="s">
        <v>0</v>
      </c>
      <c r="C14" t="s">
        <v>56</v>
      </c>
      <c r="D14" s="155">
        <v>20</v>
      </c>
    </row>
    <row r="15" spans="1:4" x14ac:dyDescent="0.25">
      <c r="A15" t="s">
        <v>56</v>
      </c>
      <c r="B15" t="s">
        <v>0</v>
      </c>
      <c r="C15" t="s">
        <v>56</v>
      </c>
      <c r="D15" s="155">
        <v>20</v>
      </c>
    </row>
    <row r="16" spans="1:4" x14ac:dyDescent="0.25">
      <c r="A16" t="s">
        <v>52</v>
      </c>
      <c r="B16" t="s">
        <v>0</v>
      </c>
      <c r="C16" t="s">
        <v>57</v>
      </c>
      <c r="D16" s="155">
        <v>20</v>
      </c>
    </row>
    <row r="17" spans="1:4" x14ac:dyDescent="0.25">
      <c r="A17" t="s">
        <v>57</v>
      </c>
      <c r="B17" t="s">
        <v>0</v>
      </c>
      <c r="C17" t="s">
        <v>57</v>
      </c>
      <c r="D17" s="155">
        <v>20</v>
      </c>
    </row>
    <row r="18" spans="1:4" x14ac:dyDescent="0.25">
      <c r="A18" t="s">
        <v>50</v>
      </c>
      <c r="B18" t="s">
        <v>0</v>
      </c>
      <c r="C18" t="s">
        <v>58</v>
      </c>
      <c r="D18" s="155">
        <v>20</v>
      </c>
    </row>
    <row r="19" spans="1:4" x14ac:dyDescent="0.25">
      <c r="A19" t="s">
        <v>58</v>
      </c>
      <c r="B19" t="s">
        <v>0</v>
      </c>
      <c r="C19" t="s">
        <v>58</v>
      </c>
      <c r="D19" s="155">
        <v>20</v>
      </c>
    </row>
    <row r="20" spans="1:4" x14ac:dyDescent="0.25">
      <c r="A20" t="s">
        <v>19</v>
      </c>
      <c r="B20" t="s">
        <v>0</v>
      </c>
      <c r="C20" t="s">
        <v>20</v>
      </c>
      <c r="D20" s="1">
        <v>20</v>
      </c>
    </row>
    <row r="21" spans="1:4" x14ac:dyDescent="0.25">
      <c r="A21" t="s">
        <v>17</v>
      </c>
      <c r="B21" t="s">
        <v>0</v>
      </c>
      <c r="C21" t="s">
        <v>20</v>
      </c>
      <c r="D21" s="1">
        <v>20</v>
      </c>
    </row>
    <row r="22" spans="1:4" x14ac:dyDescent="0.25">
      <c r="A22" t="s">
        <v>20</v>
      </c>
      <c r="B22" t="s">
        <v>0</v>
      </c>
      <c r="C22" t="s">
        <v>20</v>
      </c>
      <c r="D22" s="1">
        <v>20</v>
      </c>
    </row>
    <row r="23" spans="1:4" x14ac:dyDescent="0.25">
      <c r="A23" t="s">
        <v>16</v>
      </c>
      <c r="B23" t="s">
        <v>0</v>
      </c>
      <c r="C23" t="s">
        <v>20</v>
      </c>
      <c r="D23" s="1">
        <v>20</v>
      </c>
    </row>
    <row r="24" spans="1:4" x14ac:dyDescent="0.25">
      <c r="A24" t="s">
        <v>15</v>
      </c>
      <c r="B24" t="s">
        <v>0</v>
      </c>
      <c r="C24" t="s">
        <v>20</v>
      </c>
      <c r="D24" s="1">
        <v>20</v>
      </c>
    </row>
    <row r="25" spans="1:4" x14ac:dyDescent="0.25">
      <c r="A25" t="s">
        <v>18</v>
      </c>
      <c r="B25" t="s">
        <v>0</v>
      </c>
      <c r="C25" t="s">
        <v>20</v>
      </c>
      <c r="D25" s="1">
        <v>20</v>
      </c>
    </row>
    <row r="26" spans="1:4" x14ac:dyDescent="0.25">
      <c r="A26" t="s">
        <v>23</v>
      </c>
      <c r="B26" t="s">
        <v>0</v>
      </c>
      <c r="C26" t="s">
        <v>23</v>
      </c>
      <c r="D26" s="1">
        <v>20</v>
      </c>
    </row>
    <row r="27" spans="1:4" x14ac:dyDescent="0.25">
      <c r="A27" t="s">
        <v>21</v>
      </c>
      <c r="B27" t="s">
        <v>0</v>
      </c>
      <c r="C27" t="s">
        <v>23</v>
      </c>
      <c r="D27" s="1">
        <v>20</v>
      </c>
    </row>
    <row r="28" spans="1:4" x14ac:dyDescent="0.25">
      <c r="A28" t="s">
        <v>22</v>
      </c>
      <c r="B28" t="s">
        <v>0</v>
      </c>
      <c r="C28" t="s">
        <v>23</v>
      </c>
      <c r="D28" s="1">
        <v>20</v>
      </c>
    </row>
    <row r="29" spans="1:4" x14ac:dyDescent="0.25">
      <c r="A29" t="s">
        <v>4</v>
      </c>
      <c r="B29" t="s">
        <v>0</v>
      </c>
      <c r="C29" t="s">
        <v>4</v>
      </c>
      <c r="D29" s="1">
        <v>20</v>
      </c>
    </row>
    <row r="30" spans="1:4" x14ac:dyDescent="0.25">
      <c r="A30" t="s">
        <v>24</v>
      </c>
      <c r="B30" t="s">
        <v>0</v>
      </c>
      <c r="C30" t="s">
        <v>4</v>
      </c>
      <c r="D30" s="1">
        <v>20</v>
      </c>
    </row>
    <row r="31" spans="1:4" x14ac:dyDescent="0.25">
      <c r="A31" t="s">
        <v>3</v>
      </c>
      <c r="B31" t="s">
        <v>0</v>
      </c>
      <c r="C31" t="s">
        <v>4</v>
      </c>
      <c r="D31" s="1">
        <v>20</v>
      </c>
    </row>
    <row r="32" spans="1:4" x14ac:dyDescent="0.25">
      <c r="A32" t="s">
        <v>61</v>
      </c>
      <c r="B32" t="s">
        <v>0</v>
      </c>
      <c r="C32" t="s">
        <v>61</v>
      </c>
      <c r="D32" s="155">
        <v>20</v>
      </c>
    </row>
    <row r="33" spans="1:4" x14ac:dyDescent="0.25">
      <c r="A33" t="s">
        <v>62</v>
      </c>
      <c r="B33" t="s">
        <v>0</v>
      </c>
      <c r="C33" t="s">
        <v>61</v>
      </c>
      <c r="D33" s="155">
        <v>20</v>
      </c>
    </row>
    <row r="34" spans="1:4" x14ac:dyDescent="0.25">
      <c r="A34" t="s">
        <v>63</v>
      </c>
      <c r="B34" t="s">
        <v>0</v>
      </c>
      <c r="C34" t="s">
        <v>64</v>
      </c>
      <c r="D34" s="155">
        <v>20</v>
      </c>
    </row>
    <row r="35" spans="1:4" x14ac:dyDescent="0.25">
      <c r="A35" t="s">
        <v>64</v>
      </c>
      <c r="B35" t="s">
        <v>0</v>
      </c>
      <c r="C35" t="s">
        <v>64</v>
      </c>
      <c r="D35" s="155">
        <v>20</v>
      </c>
    </row>
    <row r="36" spans="1:4" x14ac:dyDescent="0.25">
      <c r="A36" t="s">
        <v>26</v>
      </c>
      <c r="B36" t="s">
        <v>0</v>
      </c>
      <c r="C36" t="s">
        <v>27</v>
      </c>
      <c r="D36" s="1">
        <v>20</v>
      </c>
    </row>
    <row r="37" spans="1:4" x14ac:dyDescent="0.25">
      <c r="A37" t="s">
        <v>25</v>
      </c>
      <c r="B37" t="s">
        <v>0</v>
      </c>
      <c r="C37" t="s">
        <v>27</v>
      </c>
      <c r="D37" s="1">
        <v>20</v>
      </c>
    </row>
    <row r="38" spans="1:4" x14ac:dyDescent="0.25">
      <c r="A38" t="s">
        <v>27</v>
      </c>
      <c r="B38" t="s">
        <v>0</v>
      </c>
      <c r="C38" t="s">
        <v>27</v>
      </c>
      <c r="D38" s="1">
        <v>20</v>
      </c>
    </row>
    <row r="39" spans="1:4" x14ac:dyDescent="0.25">
      <c r="A39" t="s">
        <v>29</v>
      </c>
      <c r="B39" t="s">
        <v>0</v>
      </c>
      <c r="C39" t="s">
        <v>31</v>
      </c>
      <c r="D39" s="1">
        <v>20</v>
      </c>
    </row>
    <row r="40" spans="1:4" x14ac:dyDescent="0.25">
      <c r="A40" t="s">
        <v>28</v>
      </c>
      <c r="B40" t="s">
        <v>0</v>
      </c>
      <c r="C40" t="s">
        <v>31</v>
      </c>
      <c r="D40" s="1">
        <v>20</v>
      </c>
    </row>
    <row r="41" spans="1:4" x14ac:dyDescent="0.25">
      <c r="A41" t="s">
        <v>30</v>
      </c>
      <c r="B41" t="s">
        <v>0</v>
      </c>
      <c r="C41" t="s">
        <v>31</v>
      </c>
      <c r="D41" s="1">
        <v>20</v>
      </c>
    </row>
    <row r="42" spans="1:4" x14ac:dyDescent="0.25">
      <c r="A42" t="s">
        <v>31</v>
      </c>
      <c r="B42" t="s">
        <v>0</v>
      </c>
      <c r="C42" t="s">
        <v>31</v>
      </c>
      <c r="D42" s="1">
        <v>20</v>
      </c>
    </row>
    <row r="43" spans="1:4" x14ac:dyDescent="0.25">
      <c r="A43" t="s">
        <v>51</v>
      </c>
      <c r="B43" t="s">
        <v>0</v>
      </c>
      <c r="C43" t="s">
        <v>65</v>
      </c>
      <c r="D43" s="155">
        <v>20</v>
      </c>
    </row>
    <row r="44" spans="1:4" x14ac:dyDescent="0.25">
      <c r="A44" t="s">
        <v>65</v>
      </c>
      <c r="B44" t="s">
        <v>0</v>
      </c>
      <c r="C44" t="s">
        <v>65</v>
      </c>
      <c r="D44" s="155">
        <v>20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P10" sqref="P10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25600</v>
      </c>
      <c r="E2" s="2">
        <v>97.55</v>
      </c>
      <c r="F2" s="2">
        <v>97.56</v>
      </c>
      <c r="G2" s="6">
        <v>48600</v>
      </c>
      <c r="H2" s="2">
        <v>97.349997999999999</v>
      </c>
      <c r="I2" s="6">
        <v>0</v>
      </c>
      <c r="J2" t="s">
        <v>114</v>
      </c>
    </row>
    <row r="3" spans="1:10" x14ac:dyDescent="0.25">
      <c r="A3" t="s">
        <v>47</v>
      </c>
      <c r="B3" t="s">
        <v>48</v>
      </c>
      <c r="C3" t="s">
        <v>0</v>
      </c>
      <c r="D3" s="6">
        <v>7700</v>
      </c>
      <c r="E3" s="2">
        <v>29.02</v>
      </c>
      <c r="F3" s="2">
        <v>29.03</v>
      </c>
      <c r="G3" s="6">
        <v>8600</v>
      </c>
      <c r="H3" s="2">
        <v>29</v>
      </c>
      <c r="I3" s="6">
        <v>0</v>
      </c>
      <c r="J3" t="s">
        <v>114</v>
      </c>
    </row>
    <row r="4" spans="1:10" x14ac:dyDescent="0.25">
      <c r="A4" t="s">
        <v>47</v>
      </c>
      <c r="B4" t="s">
        <v>9</v>
      </c>
      <c r="C4" t="s">
        <v>0</v>
      </c>
      <c r="D4" s="6">
        <v>52900</v>
      </c>
      <c r="E4" s="2">
        <v>72.36</v>
      </c>
      <c r="F4" s="2">
        <v>72.37</v>
      </c>
      <c r="G4" s="6">
        <v>29200</v>
      </c>
      <c r="H4" s="2">
        <v>72.230002999999996</v>
      </c>
      <c r="I4" s="6">
        <v>0</v>
      </c>
      <c r="J4" t="s">
        <v>114</v>
      </c>
    </row>
    <row r="5" spans="1:10" x14ac:dyDescent="0.25">
      <c r="A5" t="s">
        <v>47</v>
      </c>
      <c r="B5" t="s">
        <v>49</v>
      </c>
      <c r="C5" t="s">
        <v>0</v>
      </c>
      <c r="D5" s="6">
        <v>36700</v>
      </c>
      <c r="E5" s="2">
        <v>47.67</v>
      </c>
      <c r="F5" s="2">
        <v>47.68</v>
      </c>
      <c r="G5" s="6">
        <v>14300</v>
      </c>
      <c r="H5" s="2">
        <v>47.650002000000001</v>
      </c>
      <c r="I5" s="6">
        <v>0</v>
      </c>
      <c r="J5" t="s">
        <v>114</v>
      </c>
    </row>
    <row r="6" spans="1:10" x14ac:dyDescent="0.25">
      <c r="A6" t="s">
        <v>47</v>
      </c>
      <c r="B6" t="s">
        <v>50</v>
      </c>
      <c r="C6" t="s">
        <v>0</v>
      </c>
      <c r="D6" s="6">
        <v>7500</v>
      </c>
      <c r="E6" s="2">
        <v>21.95</v>
      </c>
      <c r="F6" s="2">
        <v>21.96</v>
      </c>
      <c r="G6" s="6">
        <v>9400</v>
      </c>
      <c r="H6" s="2">
        <v>21.959999</v>
      </c>
      <c r="I6" s="6">
        <v>-2415</v>
      </c>
      <c r="J6" t="s">
        <v>114</v>
      </c>
    </row>
    <row r="7" spans="1:10" x14ac:dyDescent="0.25">
      <c r="A7" t="s">
        <v>47</v>
      </c>
      <c r="B7" t="s">
        <v>51</v>
      </c>
      <c r="C7" t="s">
        <v>0</v>
      </c>
      <c r="D7" s="6">
        <v>2900</v>
      </c>
      <c r="E7" s="2">
        <v>56.51</v>
      </c>
      <c r="F7" s="2">
        <v>56.52</v>
      </c>
      <c r="G7" s="6">
        <v>3100</v>
      </c>
      <c r="H7" s="2">
        <v>56.509998000000003</v>
      </c>
      <c r="I7" s="6">
        <v>0</v>
      </c>
      <c r="J7" t="s">
        <v>114</v>
      </c>
    </row>
    <row r="8" spans="1:10" x14ac:dyDescent="0.25">
      <c r="A8" t="s">
        <v>47</v>
      </c>
      <c r="B8" t="s">
        <v>35</v>
      </c>
      <c r="C8" t="s">
        <v>0</v>
      </c>
      <c r="D8" s="6">
        <v>700</v>
      </c>
      <c r="E8" s="2">
        <v>95.01</v>
      </c>
      <c r="F8" s="2">
        <v>95.02</v>
      </c>
      <c r="G8" s="6">
        <v>100</v>
      </c>
      <c r="H8" s="2">
        <v>94.894997000000004</v>
      </c>
      <c r="I8" s="6">
        <v>-200</v>
      </c>
      <c r="J8" t="s">
        <v>114</v>
      </c>
    </row>
    <row r="9" spans="1:10" x14ac:dyDescent="0.25">
      <c r="A9" t="s">
        <v>47</v>
      </c>
      <c r="B9" t="s">
        <v>52</v>
      </c>
      <c r="C9" t="s">
        <v>0</v>
      </c>
      <c r="D9" s="6">
        <v>100</v>
      </c>
      <c r="E9" s="2">
        <v>102.69</v>
      </c>
      <c r="F9" s="2">
        <v>102.9</v>
      </c>
      <c r="G9" s="6">
        <v>600</v>
      </c>
      <c r="H9" s="2">
        <v>103.69000200000001</v>
      </c>
      <c r="I9" s="6">
        <v>0</v>
      </c>
      <c r="J9" t="s">
        <v>114</v>
      </c>
    </row>
    <row r="10" spans="1:10" x14ac:dyDescent="0.25">
      <c r="A10" t="s">
        <v>47</v>
      </c>
      <c r="B10" t="s">
        <v>53</v>
      </c>
      <c r="C10" t="s">
        <v>0</v>
      </c>
      <c r="D10" s="6">
        <v>6300</v>
      </c>
      <c r="E10" s="2">
        <v>94.87</v>
      </c>
      <c r="F10" s="2">
        <v>94.88</v>
      </c>
      <c r="G10" s="6">
        <v>7600</v>
      </c>
      <c r="H10" s="2">
        <v>94.720000999999996</v>
      </c>
      <c r="I10" s="6">
        <v>0</v>
      </c>
      <c r="J10" t="s">
        <v>114</v>
      </c>
    </row>
    <row r="11" spans="1:10" x14ac:dyDescent="0.25">
      <c r="A11" t="s">
        <v>47</v>
      </c>
      <c r="B11" t="s">
        <v>54</v>
      </c>
      <c r="C11" t="s">
        <v>0</v>
      </c>
      <c r="D11" s="6">
        <v>26300</v>
      </c>
      <c r="E11" s="2">
        <v>25.81</v>
      </c>
      <c r="F11" s="2">
        <v>25.82</v>
      </c>
      <c r="G11" s="6">
        <v>23600</v>
      </c>
      <c r="H11" s="2">
        <v>25.85</v>
      </c>
      <c r="I11" s="6">
        <v>0</v>
      </c>
      <c r="J11" t="s">
        <v>114</v>
      </c>
    </row>
    <row r="12" spans="1:10" x14ac:dyDescent="0.25">
      <c r="A12" t="s">
        <v>47</v>
      </c>
      <c r="B12" t="s">
        <v>55</v>
      </c>
      <c r="C12" t="s">
        <v>0</v>
      </c>
      <c r="D12" s="6">
        <v>7600</v>
      </c>
      <c r="E12" s="2">
        <v>27.01</v>
      </c>
      <c r="F12" s="2">
        <v>27.02</v>
      </c>
      <c r="G12" s="6">
        <v>16100</v>
      </c>
      <c r="H12" s="2">
        <v>27</v>
      </c>
      <c r="I12" s="6">
        <v>0</v>
      </c>
      <c r="J12" t="s">
        <v>114</v>
      </c>
    </row>
    <row r="13" spans="1:10" x14ac:dyDescent="0.25">
      <c r="A13" t="s">
        <v>47</v>
      </c>
      <c r="B13" t="s">
        <v>19</v>
      </c>
      <c r="C13" t="s">
        <v>0</v>
      </c>
      <c r="D13" s="6">
        <v>46600</v>
      </c>
      <c r="E13" s="2">
        <v>79.67</v>
      </c>
      <c r="F13" s="2">
        <v>79.680000000000007</v>
      </c>
      <c r="G13" s="6">
        <v>138200</v>
      </c>
      <c r="H13" s="2">
        <v>79.610000999999997</v>
      </c>
      <c r="I13" s="6">
        <v>0</v>
      </c>
      <c r="J13" t="s">
        <v>114</v>
      </c>
    </row>
    <row r="14" spans="1:10" x14ac:dyDescent="0.25">
      <c r="A14" t="s">
        <v>47</v>
      </c>
      <c r="B14" t="s">
        <v>17</v>
      </c>
      <c r="C14" t="s">
        <v>0</v>
      </c>
      <c r="D14" s="6">
        <v>40500</v>
      </c>
      <c r="E14" s="2">
        <v>36.35</v>
      </c>
      <c r="F14" s="2">
        <v>36.36</v>
      </c>
      <c r="G14" s="6">
        <v>16300</v>
      </c>
      <c r="H14" s="2">
        <v>36.32</v>
      </c>
      <c r="I14" s="6">
        <v>0</v>
      </c>
      <c r="J14" t="s">
        <v>114</v>
      </c>
    </row>
    <row r="15" spans="1:10" x14ac:dyDescent="0.25">
      <c r="A15" t="s">
        <v>47</v>
      </c>
      <c r="B15" t="s">
        <v>56</v>
      </c>
      <c r="C15" t="s">
        <v>0</v>
      </c>
      <c r="D15" s="6">
        <v>8700</v>
      </c>
      <c r="E15" s="2">
        <v>49.8</v>
      </c>
      <c r="F15" s="2">
        <v>49.81</v>
      </c>
      <c r="G15" s="6">
        <v>8500</v>
      </c>
      <c r="H15" s="2">
        <v>49.77</v>
      </c>
      <c r="I15" s="6">
        <v>0</v>
      </c>
      <c r="J15" t="s">
        <v>114</v>
      </c>
    </row>
    <row r="16" spans="1:10" x14ac:dyDescent="0.25">
      <c r="A16" t="s">
        <v>47</v>
      </c>
      <c r="B16" t="s">
        <v>57</v>
      </c>
      <c r="C16" t="s">
        <v>0</v>
      </c>
      <c r="D16" s="6">
        <v>600</v>
      </c>
      <c r="E16" s="2">
        <v>114.66</v>
      </c>
      <c r="F16" s="2">
        <v>114.74</v>
      </c>
      <c r="G16" s="6">
        <v>600</v>
      </c>
      <c r="H16" s="2">
        <v>115.860001</v>
      </c>
      <c r="I16" s="6">
        <v>0</v>
      </c>
      <c r="J16" t="s">
        <v>114</v>
      </c>
    </row>
    <row r="17" spans="1:10" x14ac:dyDescent="0.25">
      <c r="A17" t="s">
        <v>47</v>
      </c>
      <c r="B17" t="s">
        <v>26</v>
      </c>
      <c r="C17" t="s">
        <v>0</v>
      </c>
      <c r="D17" s="6">
        <v>12900</v>
      </c>
      <c r="E17" s="2">
        <v>48</v>
      </c>
      <c r="F17" s="2">
        <v>48.01</v>
      </c>
      <c r="G17" s="6">
        <v>29100</v>
      </c>
      <c r="H17" s="2">
        <v>47.790000999999997</v>
      </c>
      <c r="I17" s="6">
        <v>0</v>
      </c>
      <c r="J17" t="s">
        <v>114</v>
      </c>
    </row>
    <row r="18" spans="1:10" x14ac:dyDescent="0.25">
      <c r="A18" t="s">
        <v>47</v>
      </c>
      <c r="B18" t="s">
        <v>58</v>
      </c>
      <c r="C18" t="s">
        <v>0</v>
      </c>
      <c r="D18" s="6">
        <v>700</v>
      </c>
      <c r="E18" s="2">
        <v>41.4</v>
      </c>
      <c r="F18" s="2">
        <v>41.57</v>
      </c>
      <c r="G18" s="6">
        <v>13000</v>
      </c>
      <c r="H18" s="2">
        <v>41.490001999999997</v>
      </c>
      <c r="I18" s="6">
        <v>1277</v>
      </c>
      <c r="J18" t="s">
        <v>114</v>
      </c>
    </row>
    <row r="19" spans="1:10" x14ac:dyDescent="0.25">
      <c r="A19" t="s">
        <v>47</v>
      </c>
      <c r="B19" t="s">
        <v>8</v>
      </c>
      <c r="C19" t="s">
        <v>0</v>
      </c>
      <c r="D19" s="6">
        <v>38800</v>
      </c>
      <c r="E19" s="2">
        <v>45.51</v>
      </c>
      <c r="F19" s="2">
        <v>45.52</v>
      </c>
      <c r="G19" s="6">
        <v>62500</v>
      </c>
      <c r="H19" s="2">
        <v>45.43</v>
      </c>
      <c r="I19" s="6">
        <v>0</v>
      </c>
      <c r="J19" t="s">
        <v>114</v>
      </c>
    </row>
    <row r="20" spans="1:10" x14ac:dyDescent="0.25">
      <c r="A20" t="s">
        <v>47</v>
      </c>
      <c r="B20" t="s">
        <v>20</v>
      </c>
      <c r="C20" t="s">
        <v>0</v>
      </c>
      <c r="D20" s="6">
        <v>10400</v>
      </c>
      <c r="E20" s="2">
        <v>95.91</v>
      </c>
      <c r="F20" s="2">
        <v>95.92</v>
      </c>
      <c r="G20" s="6">
        <v>34200</v>
      </c>
      <c r="H20" s="2">
        <v>95.870002999999997</v>
      </c>
      <c r="I20" s="6">
        <v>0</v>
      </c>
      <c r="J20" t="s">
        <v>114</v>
      </c>
    </row>
    <row r="21" spans="1:10" x14ac:dyDescent="0.25">
      <c r="A21" t="s">
        <v>47</v>
      </c>
      <c r="B21" t="s">
        <v>59</v>
      </c>
      <c r="C21" t="s">
        <v>0</v>
      </c>
      <c r="D21" s="6">
        <v>34500</v>
      </c>
      <c r="E21" s="2">
        <v>106.19</v>
      </c>
      <c r="F21" s="2">
        <v>106.2</v>
      </c>
      <c r="G21" s="6">
        <v>32500</v>
      </c>
      <c r="H21" s="2">
        <v>105.91999800000001</v>
      </c>
      <c r="I21" s="6">
        <v>0</v>
      </c>
      <c r="J21" t="s">
        <v>114</v>
      </c>
    </row>
    <row r="22" spans="1:10" x14ac:dyDescent="0.25">
      <c r="A22" t="s">
        <v>47</v>
      </c>
      <c r="B22" t="s">
        <v>23</v>
      </c>
      <c r="C22" t="s">
        <v>0</v>
      </c>
      <c r="D22" s="6">
        <v>5100</v>
      </c>
      <c r="E22" s="2">
        <v>93.27</v>
      </c>
      <c r="F22" s="2">
        <v>93.28</v>
      </c>
      <c r="G22" s="6">
        <v>2400</v>
      </c>
      <c r="H22" s="2">
        <v>93.120002999999997</v>
      </c>
      <c r="I22" s="6">
        <v>0</v>
      </c>
      <c r="J22" t="s">
        <v>114</v>
      </c>
    </row>
    <row r="23" spans="1:10" x14ac:dyDescent="0.25">
      <c r="A23" t="s">
        <v>47</v>
      </c>
      <c r="B23" t="s">
        <v>4</v>
      </c>
      <c r="C23" t="s">
        <v>0</v>
      </c>
      <c r="D23" s="6">
        <v>3200</v>
      </c>
      <c r="E23" s="2">
        <v>105.41</v>
      </c>
      <c r="F23" s="2">
        <v>105.42</v>
      </c>
      <c r="G23" s="6">
        <v>2600</v>
      </c>
      <c r="H23" s="2">
        <v>105.339996</v>
      </c>
      <c r="I23" s="6">
        <v>0</v>
      </c>
      <c r="J23" t="s">
        <v>114</v>
      </c>
    </row>
    <row r="24" spans="1:10" x14ac:dyDescent="0.25">
      <c r="A24" t="s">
        <v>47</v>
      </c>
      <c r="B24" t="s">
        <v>60</v>
      </c>
      <c r="C24" t="s">
        <v>0</v>
      </c>
      <c r="D24" s="6">
        <v>3500</v>
      </c>
      <c r="E24" s="2">
        <v>21.02</v>
      </c>
      <c r="F24" s="2">
        <v>21.03</v>
      </c>
      <c r="G24" s="6">
        <v>20400</v>
      </c>
      <c r="H24" s="2">
        <v>20.976600999999999</v>
      </c>
      <c r="I24" s="6">
        <v>0</v>
      </c>
      <c r="J24" t="s">
        <v>114</v>
      </c>
    </row>
    <row r="25" spans="1:10" x14ac:dyDescent="0.25">
      <c r="A25" t="s">
        <v>47</v>
      </c>
      <c r="B25" t="s">
        <v>61</v>
      </c>
      <c r="C25" t="s">
        <v>0</v>
      </c>
      <c r="D25" s="6">
        <v>23000</v>
      </c>
      <c r="E25" s="2">
        <v>30.46</v>
      </c>
      <c r="F25" s="2">
        <v>30.47</v>
      </c>
      <c r="G25" s="6">
        <v>11300</v>
      </c>
      <c r="H25" s="2">
        <v>30.459999</v>
      </c>
      <c r="I25" s="6">
        <v>-3000</v>
      </c>
      <c r="J25" t="s">
        <v>114</v>
      </c>
    </row>
    <row r="26" spans="1:10" x14ac:dyDescent="0.25">
      <c r="A26" t="s">
        <v>47</v>
      </c>
      <c r="B26" t="s">
        <v>62</v>
      </c>
      <c r="C26" t="s">
        <v>0</v>
      </c>
      <c r="D26" s="6">
        <v>9400</v>
      </c>
      <c r="E26" s="2">
        <v>18.37</v>
      </c>
      <c r="F26" s="2">
        <v>18.38</v>
      </c>
      <c r="G26" s="6">
        <v>12300</v>
      </c>
      <c r="H26" s="2">
        <v>18.389999</v>
      </c>
      <c r="I26" s="6">
        <v>4945</v>
      </c>
      <c r="J26" t="s">
        <v>114</v>
      </c>
    </row>
    <row r="27" spans="1:10" x14ac:dyDescent="0.25">
      <c r="A27" t="s">
        <v>47</v>
      </c>
      <c r="B27" t="s">
        <v>63</v>
      </c>
      <c r="C27" t="s">
        <v>0</v>
      </c>
      <c r="D27" s="6">
        <v>47900</v>
      </c>
      <c r="E27" s="2">
        <v>24.07</v>
      </c>
      <c r="F27" s="2">
        <v>24.08</v>
      </c>
      <c r="G27" s="6">
        <v>252800</v>
      </c>
      <c r="H27" s="2">
        <v>24.040001</v>
      </c>
      <c r="I27" s="6">
        <v>0</v>
      </c>
      <c r="J27" t="s">
        <v>114</v>
      </c>
    </row>
    <row r="28" spans="1:10" x14ac:dyDescent="0.25">
      <c r="A28" t="s">
        <v>47</v>
      </c>
      <c r="B28" t="s">
        <v>29</v>
      </c>
      <c r="C28" t="s">
        <v>0</v>
      </c>
      <c r="D28" s="6">
        <v>31400</v>
      </c>
      <c r="E28" s="2">
        <v>30.1</v>
      </c>
      <c r="F28" s="2">
        <v>30.11</v>
      </c>
      <c r="G28" s="6">
        <v>51800</v>
      </c>
      <c r="H28" s="2">
        <v>29.93</v>
      </c>
      <c r="I28" s="6">
        <v>0</v>
      </c>
      <c r="J28" t="s">
        <v>114</v>
      </c>
    </row>
    <row r="29" spans="1:10" x14ac:dyDescent="0.25">
      <c r="A29" t="s">
        <v>47</v>
      </c>
      <c r="B29" t="s">
        <v>6</v>
      </c>
      <c r="C29" t="s">
        <v>0</v>
      </c>
      <c r="D29" s="6">
        <v>50100</v>
      </c>
      <c r="E29" s="2">
        <v>22.8</v>
      </c>
      <c r="F29" s="2">
        <v>22.81</v>
      </c>
      <c r="G29" s="6">
        <v>212900</v>
      </c>
      <c r="H29" s="2">
        <v>22.77</v>
      </c>
      <c r="I29" s="6">
        <v>0</v>
      </c>
      <c r="J29" t="s">
        <v>114</v>
      </c>
    </row>
    <row r="30" spans="1:10" x14ac:dyDescent="0.25">
      <c r="A30" t="s">
        <v>47</v>
      </c>
      <c r="B30" t="s">
        <v>16</v>
      </c>
      <c r="C30" t="s">
        <v>0</v>
      </c>
      <c r="D30" s="6">
        <v>21100</v>
      </c>
      <c r="E30" s="2">
        <v>26.03</v>
      </c>
      <c r="F30" s="2">
        <v>26.04</v>
      </c>
      <c r="G30" s="6">
        <v>14100</v>
      </c>
      <c r="H30" s="2">
        <v>26.030000999999999</v>
      </c>
      <c r="I30" s="6">
        <v>0</v>
      </c>
      <c r="J30" t="s">
        <v>114</v>
      </c>
    </row>
    <row r="31" spans="1:10" x14ac:dyDescent="0.25">
      <c r="A31" t="s">
        <v>47</v>
      </c>
      <c r="B31" t="s">
        <v>7</v>
      </c>
      <c r="C31" t="s">
        <v>0</v>
      </c>
      <c r="D31" s="6">
        <v>180800</v>
      </c>
      <c r="E31" s="2">
        <v>25.14</v>
      </c>
      <c r="F31" s="2">
        <v>25.15</v>
      </c>
      <c r="G31" s="6">
        <v>308900</v>
      </c>
      <c r="H31" s="2">
        <v>25.09</v>
      </c>
      <c r="I31" s="6">
        <v>0</v>
      </c>
      <c r="J31" t="s">
        <v>114</v>
      </c>
    </row>
    <row r="32" spans="1:10" x14ac:dyDescent="0.25">
      <c r="A32" t="s">
        <v>47</v>
      </c>
      <c r="B32" t="s">
        <v>32</v>
      </c>
      <c r="C32" t="s">
        <v>0</v>
      </c>
      <c r="D32" s="6">
        <v>73500</v>
      </c>
      <c r="E32" s="2">
        <v>28.43</v>
      </c>
      <c r="F32" s="2">
        <v>28.44</v>
      </c>
      <c r="G32" s="6">
        <v>34600</v>
      </c>
      <c r="H32" s="2">
        <v>28.389999</v>
      </c>
      <c r="I32" s="6">
        <v>0</v>
      </c>
      <c r="J32" t="s">
        <v>114</v>
      </c>
    </row>
    <row r="33" spans="1:10" x14ac:dyDescent="0.25">
      <c r="A33" t="s">
        <v>47</v>
      </c>
      <c r="B33" t="s">
        <v>15</v>
      </c>
      <c r="C33" t="s">
        <v>0</v>
      </c>
      <c r="D33" s="6">
        <v>418900</v>
      </c>
      <c r="E33" s="2">
        <v>23.3</v>
      </c>
      <c r="F33" s="2">
        <v>23.31</v>
      </c>
      <c r="G33" s="6">
        <v>255500</v>
      </c>
      <c r="H33" s="2">
        <v>23.299999</v>
      </c>
      <c r="I33" s="6">
        <v>0</v>
      </c>
      <c r="J33" t="s">
        <v>114</v>
      </c>
    </row>
    <row r="34" spans="1:10" x14ac:dyDescent="0.25">
      <c r="A34" t="s">
        <v>47</v>
      </c>
      <c r="B34" t="s">
        <v>25</v>
      </c>
      <c r="C34" t="s">
        <v>0</v>
      </c>
      <c r="D34" s="6">
        <v>110500</v>
      </c>
      <c r="E34" s="2">
        <v>21.42</v>
      </c>
      <c r="F34" s="2">
        <v>21.43</v>
      </c>
      <c r="G34" s="6">
        <v>56600</v>
      </c>
      <c r="H34" s="2">
        <v>21.33</v>
      </c>
      <c r="I34" s="6">
        <v>0</v>
      </c>
      <c r="J34" t="s">
        <v>114</v>
      </c>
    </row>
    <row r="35" spans="1:10" x14ac:dyDescent="0.25">
      <c r="A35" t="s">
        <v>47</v>
      </c>
      <c r="B35" t="s">
        <v>21</v>
      </c>
      <c r="C35" t="s">
        <v>0</v>
      </c>
      <c r="D35" s="6">
        <v>43800</v>
      </c>
      <c r="E35" s="2">
        <v>22</v>
      </c>
      <c r="F35" s="2">
        <v>22.01</v>
      </c>
      <c r="G35" s="6">
        <v>28800</v>
      </c>
      <c r="H35" s="2">
        <v>21.959999</v>
      </c>
      <c r="I35" s="6">
        <v>0</v>
      </c>
      <c r="J35" t="s">
        <v>114</v>
      </c>
    </row>
    <row r="36" spans="1:10" x14ac:dyDescent="0.25">
      <c r="A36" t="s">
        <v>47</v>
      </c>
      <c r="B36" t="s">
        <v>28</v>
      </c>
      <c r="C36" t="s">
        <v>0</v>
      </c>
      <c r="D36" s="6">
        <v>488200</v>
      </c>
      <c r="E36" s="2">
        <v>25.23</v>
      </c>
      <c r="F36" s="2">
        <v>25.24</v>
      </c>
      <c r="G36" s="6">
        <v>172400</v>
      </c>
      <c r="H36" s="2">
        <v>25.09</v>
      </c>
      <c r="I36" s="6">
        <v>0</v>
      </c>
      <c r="J36" t="s">
        <v>114</v>
      </c>
    </row>
    <row r="37" spans="1:10" x14ac:dyDescent="0.25">
      <c r="A37" t="s">
        <v>47</v>
      </c>
      <c r="B37" t="s">
        <v>24</v>
      </c>
      <c r="C37" t="s">
        <v>0</v>
      </c>
      <c r="D37" s="6">
        <v>7700</v>
      </c>
      <c r="E37" s="2">
        <v>44.86</v>
      </c>
      <c r="F37" s="2">
        <v>44.87</v>
      </c>
      <c r="G37" s="6">
        <v>7600</v>
      </c>
      <c r="H37" s="2">
        <v>44.869999</v>
      </c>
      <c r="I37" s="6">
        <v>0</v>
      </c>
      <c r="J37" t="s">
        <v>114</v>
      </c>
    </row>
    <row r="38" spans="1:10" x14ac:dyDescent="0.25">
      <c r="A38" t="s">
        <v>47</v>
      </c>
      <c r="B38" t="s">
        <v>30</v>
      </c>
      <c r="C38" t="s">
        <v>0</v>
      </c>
      <c r="D38" s="6">
        <v>31000</v>
      </c>
      <c r="E38" s="2">
        <v>82.61</v>
      </c>
      <c r="F38" s="2">
        <v>82.62</v>
      </c>
      <c r="G38" s="6">
        <v>37000</v>
      </c>
      <c r="H38" s="2">
        <v>82.050003000000004</v>
      </c>
      <c r="I38" s="6">
        <v>2414</v>
      </c>
      <c r="J38" t="s">
        <v>114</v>
      </c>
    </row>
    <row r="39" spans="1:10" x14ac:dyDescent="0.25">
      <c r="A39" t="s">
        <v>47</v>
      </c>
      <c r="B39" t="s">
        <v>18</v>
      </c>
      <c r="C39" t="s">
        <v>0</v>
      </c>
      <c r="D39" s="6">
        <v>187500</v>
      </c>
      <c r="E39" s="2">
        <v>36.85</v>
      </c>
      <c r="F39" s="2">
        <v>36.86</v>
      </c>
      <c r="G39" s="6">
        <v>172600</v>
      </c>
      <c r="H39" s="2">
        <v>36.840000000000003</v>
      </c>
      <c r="I39" s="6">
        <v>0</v>
      </c>
      <c r="J39" t="s">
        <v>114</v>
      </c>
    </row>
    <row r="40" spans="1:10" x14ac:dyDescent="0.25">
      <c r="A40" t="s">
        <v>47</v>
      </c>
      <c r="B40" t="s">
        <v>33</v>
      </c>
      <c r="C40" t="s">
        <v>0</v>
      </c>
      <c r="D40" s="6">
        <v>53900</v>
      </c>
      <c r="E40" s="2">
        <v>50.29</v>
      </c>
      <c r="F40" s="2">
        <v>50.3</v>
      </c>
      <c r="G40" s="6">
        <v>26100</v>
      </c>
      <c r="H40" s="2">
        <v>50.200001</v>
      </c>
      <c r="I40" s="6">
        <v>0</v>
      </c>
      <c r="J40" t="s">
        <v>114</v>
      </c>
    </row>
    <row r="41" spans="1:10" x14ac:dyDescent="0.25">
      <c r="A41" t="s">
        <v>47</v>
      </c>
      <c r="B41" t="s">
        <v>64</v>
      </c>
      <c r="C41" t="s">
        <v>0</v>
      </c>
      <c r="D41" s="6">
        <v>100</v>
      </c>
      <c r="E41" s="2">
        <v>67.14</v>
      </c>
      <c r="F41" s="2">
        <v>67.150000000000006</v>
      </c>
      <c r="G41" s="6">
        <v>2600</v>
      </c>
      <c r="H41" s="2">
        <v>67.120002999999997</v>
      </c>
      <c r="I41" s="6">
        <v>0</v>
      </c>
      <c r="J41" t="s">
        <v>114</v>
      </c>
    </row>
    <row r="42" spans="1:10" x14ac:dyDescent="0.25">
      <c r="A42" t="s">
        <v>47</v>
      </c>
      <c r="B42" t="s">
        <v>27</v>
      </c>
      <c r="C42" t="s">
        <v>0</v>
      </c>
      <c r="D42" s="6">
        <v>600</v>
      </c>
      <c r="E42" s="2">
        <v>72.02</v>
      </c>
      <c r="F42" s="2">
        <v>72.03</v>
      </c>
      <c r="G42" s="6">
        <v>11300</v>
      </c>
      <c r="H42" s="2">
        <v>71.720000999999996</v>
      </c>
      <c r="I42" s="6">
        <v>0</v>
      </c>
      <c r="J42" t="s">
        <v>114</v>
      </c>
    </row>
    <row r="43" spans="1:10" x14ac:dyDescent="0.25">
      <c r="A43" t="s">
        <v>47</v>
      </c>
      <c r="B43" t="s">
        <v>31</v>
      </c>
      <c r="C43" t="s">
        <v>0</v>
      </c>
      <c r="D43" s="6">
        <v>55500</v>
      </c>
      <c r="E43" s="2">
        <v>53.06</v>
      </c>
      <c r="F43" s="2">
        <v>53.07</v>
      </c>
      <c r="G43" s="6">
        <v>16900</v>
      </c>
      <c r="H43" s="2">
        <v>52.75</v>
      </c>
      <c r="I43" s="6">
        <v>-3764</v>
      </c>
      <c r="J43" t="s">
        <v>114</v>
      </c>
    </row>
    <row r="44" spans="1:10" x14ac:dyDescent="0.25">
      <c r="A44" t="s">
        <v>47</v>
      </c>
      <c r="B44" t="s">
        <v>22</v>
      </c>
      <c r="C44" t="s">
        <v>0</v>
      </c>
      <c r="D44" s="6">
        <v>7200</v>
      </c>
      <c r="E44" s="2">
        <v>46.22</v>
      </c>
      <c r="F44" s="2">
        <v>46.23</v>
      </c>
      <c r="G44" s="6">
        <v>9900</v>
      </c>
      <c r="H44" s="2">
        <v>46.150002000000001</v>
      </c>
      <c r="I44" s="6">
        <v>0</v>
      </c>
      <c r="J44" t="s">
        <v>114</v>
      </c>
    </row>
    <row r="45" spans="1:10" x14ac:dyDescent="0.25">
      <c r="A45" t="s">
        <v>47</v>
      </c>
      <c r="B45" t="s">
        <v>34</v>
      </c>
      <c r="C45" t="s">
        <v>0</v>
      </c>
      <c r="D45" s="6">
        <v>1300</v>
      </c>
      <c r="E45" s="2">
        <v>75.22</v>
      </c>
      <c r="F45" s="2">
        <v>75.23</v>
      </c>
      <c r="G45" s="6">
        <v>1000</v>
      </c>
      <c r="H45" s="2">
        <v>75.075301999999994</v>
      </c>
      <c r="I45" s="6">
        <v>253</v>
      </c>
      <c r="J45" t="s">
        <v>114</v>
      </c>
    </row>
    <row r="46" spans="1:10" x14ac:dyDescent="0.25">
      <c r="A46" t="s">
        <v>47</v>
      </c>
      <c r="B46" t="s">
        <v>3</v>
      </c>
      <c r="C46" t="s">
        <v>0</v>
      </c>
      <c r="D46" s="6">
        <v>39300</v>
      </c>
      <c r="E46" s="2">
        <v>49.51</v>
      </c>
      <c r="F46" s="2">
        <v>49.52</v>
      </c>
      <c r="G46" s="6">
        <v>57100</v>
      </c>
      <c r="H46" s="2">
        <v>49.540000999999997</v>
      </c>
      <c r="I46" s="6">
        <v>0</v>
      </c>
      <c r="J46" t="s">
        <v>114</v>
      </c>
    </row>
    <row r="47" spans="1:10" x14ac:dyDescent="0.25">
      <c r="A47" t="s">
        <v>47</v>
      </c>
      <c r="B47" t="s">
        <v>65</v>
      </c>
      <c r="C47" t="s">
        <v>0</v>
      </c>
      <c r="D47" s="6">
        <v>1400</v>
      </c>
      <c r="E47" s="2">
        <v>98.61</v>
      </c>
      <c r="F47" s="2">
        <v>98.62</v>
      </c>
      <c r="G47" s="6">
        <v>3600</v>
      </c>
      <c r="H47" s="2">
        <v>98.550003000000004</v>
      </c>
      <c r="I47" s="6">
        <v>0</v>
      </c>
      <c r="J47" t="s">
        <v>114</v>
      </c>
    </row>
    <row r="48" spans="1:10" x14ac:dyDescent="0.25">
      <c r="A48" t="s">
        <v>47</v>
      </c>
      <c r="B48" t="s">
        <v>66</v>
      </c>
      <c r="C48" t="s">
        <v>0</v>
      </c>
      <c r="D48" s="6">
        <v>2800</v>
      </c>
      <c r="E48" s="2">
        <v>65.97</v>
      </c>
      <c r="F48" s="2">
        <v>65.98</v>
      </c>
      <c r="G48" s="6">
        <v>2200</v>
      </c>
      <c r="H48" s="2">
        <v>65.910004000000001</v>
      </c>
      <c r="I48" s="6">
        <v>0</v>
      </c>
      <c r="J48" t="s">
        <v>114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50"/>
  <sheetViews>
    <sheetView tabSelected="1" zoomScale="85" zoomScaleNormal="85" workbookViewId="0">
      <selection activeCell="X20" sqref="X20"/>
    </sheetView>
  </sheetViews>
  <sheetFormatPr defaultRowHeight="15" x14ac:dyDescent="0.25"/>
  <cols>
    <col min="1" max="1" width="7" style="16" bestFit="1" customWidth="1"/>
    <col min="2" max="2" width="9.42578125" style="16" bestFit="1" customWidth="1"/>
    <col min="3" max="3" width="6.85546875" style="16" bestFit="1" customWidth="1"/>
    <col min="4" max="4" width="7.85546875" style="14" bestFit="1" customWidth="1"/>
    <col min="5" max="6" width="7.7109375" style="14" bestFit="1" customWidth="1"/>
    <col min="7" max="7" width="10.7109375" style="127" bestFit="1" customWidth="1"/>
    <col min="8" max="8" width="7.7109375" style="14" bestFit="1" customWidth="1"/>
    <col min="9" max="9" width="10.28515625" style="14" bestFit="1" customWidth="1"/>
    <col min="10" max="11" width="9" style="2" bestFit="1" customWidth="1"/>
    <col min="12" max="12" width="14.28515625" style="19" bestFit="1" customWidth="1"/>
    <col min="13" max="13" width="14.5703125" style="19" bestFit="1" customWidth="1"/>
    <col min="14" max="14" width="8.5703125" style="116" bestFit="1" customWidth="1"/>
    <col min="15" max="15" width="10" style="13" bestFit="1" customWidth="1"/>
    <col min="16" max="16" width="10.7109375" style="13" bestFit="1" customWidth="1"/>
    <col min="17" max="17" width="10" bestFit="1" customWidth="1"/>
    <col min="18" max="18" width="10.7109375" bestFit="1" customWidth="1"/>
    <col min="19" max="19" width="11" style="17" bestFit="1" customWidth="1"/>
    <col min="20" max="20" width="7.85546875" bestFit="1" customWidth="1"/>
    <col min="21" max="21" width="9.7109375" style="49" bestFit="1" customWidth="1"/>
    <col min="22" max="22" width="9.5703125" style="45" bestFit="1" customWidth="1"/>
    <col min="23" max="23" width="9.7109375" style="45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85" t="s">
        <v>77</v>
      </c>
      <c r="B1" s="86"/>
      <c r="C1" s="128"/>
      <c r="D1" s="129"/>
      <c r="E1" s="153"/>
      <c r="F1" s="71" t="s">
        <v>83</v>
      </c>
      <c r="G1" s="71"/>
      <c r="H1" s="71"/>
      <c r="I1" s="72"/>
      <c r="J1" s="87" t="s">
        <v>79</v>
      </c>
      <c r="K1" s="88"/>
      <c r="L1" s="130">
        <v>5.0000000000000001E-3</v>
      </c>
      <c r="M1" s="130"/>
      <c r="N1" s="62"/>
      <c r="O1" s="131" t="s">
        <v>82</v>
      </c>
      <c r="P1" s="103"/>
      <c r="Q1" s="102" t="s">
        <v>103</v>
      </c>
      <c r="R1" s="103"/>
      <c r="S1" s="79" t="s">
        <v>104</v>
      </c>
      <c r="T1" s="81"/>
      <c r="U1" s="113" t="s">
        <v>101</v>
      </c>
      <c r="V1" s="104" t="s">
        <v>102</v>
      </c>
      <c r="W1" s="104" t="s">
        <v>102</v>
      </c>
      <c r="X1" s="114" t="s">
        <v>101</v>
      </c>
      <c r="Z1" s="117" t="s">
        <v>105</v>
      </c>
      <c r="AA1" s="117"/>
      <c r="AB1" s="118"/>
    </row>
    <row r="2" spans="1:28" ht="15.75" thickBot="1" x14ac:dyDescent="0.3">
      <c r="A2" s="51" t="s">
        <v>76</v>
      </c>
      <c r="B2" s="52" t="s">
        <v>78</v>
      </c>
      <c r="C2" s="132" t="s">
        <v>106</v>
      </c>
      <c r="D2" s="133" t="s">
        <v>69</v>
      </c>
      <c r="E2" s="154" t="str">
        <f>E22</f>
        <v>margin</v>
      </c>
      <c r="F2" s="152" t="s">
        <v>84</v>
      </c>
      <c r="G2" s="134" t="s">
        <v>113</v>
      </c>
      <c r="H2" s="135" t="s">
        <v>111</v>
      </c>
      <c r="I2" s="136" t="s">
        <v>85</v>
      </c>
      <c r="J2" s="137" t="s">
        <v>80</v>
      </c>
      <c r="K2" s="138" t="s">
        <v>81</v>
      </c>
      <c r="L2" s="139" t="s">
        <v>71</v>
      </c>
      <c r="M2" s="139" t="s">
        <v>72</v>
      </c>
      <c r="N2" s="140" t="s">
        <v>70</v>
      </c>
      <c r="O2" s="141" t="s">
        <v>74</v>
      </c>
      <c r="P2" s="142" t="s">
        <v>75</v>
      </c>
      <c r="Q2" s="63" t="s">
        <v>99</v>
      </c>
      <c r="R2" s="105" t="s">
        <v>36</v>
      </c>
      <c r="S2" s="63" t="s">
        <v>99</v>
      </c>
      <c r="T2" s="105" t="s">
        <v>36</v>
      </c>
      <c r="U2" s="144" t="s">
        <v>109</v>
      </c>
      <c r="V2" s="106" t="s">
        <v>110</v>
      </c>
      <c r="W2" s="106" t="s">
        <v>109</v>
      </c>
      <c r="X2" s="145" t="s">
        <v>110</v>
      </c>
      <c r="Z2" s="119" t="s">
        <v>103</v>
      </c>
      <c r="AA2" s="120" t="s">
        <v>104</v>
      </c>
      <c r="AB2" s="120"/>
    </row>
    <row r="3" spans="1:28" x14ac:dyDescent="0.25">
      <c r="A3" s="22">
        <f>MATCH(D3,'TRADING INPUTS'!B:B,0)</f>
        <v>29</v>
      </c>
      <c r="B3" s="53">
        <f>MATCH(D3,'MKT DATA'!B:B,0)</f>
        <v>9</v>
      </c>
      <c r="C3" s="23" t="s">
        <v>57</v>
      </c>
      <c r="D3" s="24" t="s">
        <v>52</v>
      </c>
      <c r="E3" s="158">
        <v>0.16500000000000001</v>
      </c>
      <c r="F3" s="46" cm="1">
        <f t="array" aca="1" ref="F3" ca="1">INDIRECT(ADDRESS($B3,9,,,"mkt data"))</f>
        <v>0</v>
      </c>
      <c r="G3" s="124">
        <f ca="1">F3*AVERAGE(J3:K3)</f>
        <v>0</v>
      </c>
      <c r="H3" s="46">
        <f ca="1">F3/N3</f>
        <v>0</v>
      </c>
      <c r="I3" s="73">
        <f ca="1">SUM(H3:H4)</f>
        <v>0</v>
      </c>
      <c r="J3" s="56" cm="1">
        <f t="array" aca="1" ref="J3" ca="1">INDIRECT(ADDRESS($B3,5,,,"mkt data"))</f>
        <v>102.69</v>
      </c>
      <c r="K3" s="57" cm="1">
        <f t="array" aca="1" ref="K3" ca="1">INDIRECT(ADDRESS($B3,6,,,"mkt data"))</f>
        <v>102.9</v>
      </c>
      <c r="L3" s="25">
        <f ca="1">J3-L$21</f>
        <v>102.685</v>
      </c>
      <c r="M3" s="25">
        <f ca="1">K3+L$21</f>
        <v>102.905</v>
      </c>
      <c r="N3" s="107" cm="1">
        <f t="array" aca="1" ref="N3" ca="1">INDIRECT(ADDRESS($A3,5,,,"trading inputs"))</f>
        <v>1.1150030351730265</v>
      </c>
      <c r="O3" s="26">
        <f ca="1">L3*N3</f>
        <v>114.49408666674222</v>
      </c>
      <c r="P3" s="26">
        <f ca="1">-N3*M3</f>
        <v>-114.73938733448028</v>
      </c>
      <c r="Q3" s="89">
        <f ca="1">P3+O4</f>
        <v>-8.4387334480283016E-2</v>
      </c>
      <c r="R3" s="108">
        <f ca="1">Q3/AVERAGE(O4,-P4)</f>
        <v>-7.3572218378625126E-4</v>
      </c>
      <c r="S3" s="89">
        <f ca="1">O3+P4</f>
        <v>-0.25091333325777043</v>
      </c>
      <c r="T3" s="108">
        <f ca="1">S3/AVERAGE(O4,-P4)</f>
        <v>-2.1875617546449036E-3</v>
      </c>
      <c r="U3" s="146">
        <f>Z3</f>
        <v>2E-3</v>
      </c>
      <c r="V3" s="109">
        <f>Z4</f>
        <v>1.5E-3</v>
      </c>
      <c r="W3" s="109">
        <f>AA4</f>
        <v>1.5E-3</v>
      </c>
      <c r="X3" s="147">
        <f>AA3</f>
        <v>2E-3</v>
      </c>
      <c r="Z3" s="121">
        <v>2E-3</v>
      </c>
      <c r="AA3" s="122">
        <v>2E-3</v>
      </c>
      <c r="AB3" s="123" t="s">
        <v>101</v>
      </c>
    </row>
    <row r="4" spans="1:28" ht="15.75" thickBot="1" x14ac:dyDescent="0.3">
      <c r="A4" s="30">
        <f>MATCH(D4,'TRADING INPUTS'!B:B,0)</f>
        <v>30</v>
      </c>
      <c r="B4" s="55">
        <f>MATCH(D4,'MKT DATA'!B:B,0)</f>
        <v>16</v>
      </c>
      <c r="C4" s="31" t="s">
        <v>57</v>
      </c>
      <c r="D4" s="32" t="s">
        <v>57</v>
      </c>
      <c r="E4" s="159">
        <v>0.16500000000000001</v>
      </c>
      <c r="F4" s="48" cm="1">
        <f t="array" aca="1" ref="F4" ca="1">INDIRECT(ADDRESS($B4,9,,,"mkt data"))</f>
        <v>0</v>
      </c>
      <c r="G4" s="126">
        <f t="shared" ref="G4:G18" ca="1" si="0">F4*AVERAGE(J4:K4)</f>
        <v>0</v>
      </c>
      <c r="H4" s="48">
        <f ca="1">F4/N4</f>
        <v>0</v>
      </c>
      <c r="I4" s="75"/>
      <c r="J4" s="60" cm="1">
        <f t="array" aca="1" ref="J4" ca="1">INDIRECT(ADDRESS($B4,5,,,"mkt data"))</f>
        <v>114.66</v>
      </c>
      <c r="K4" s="61" cm="1">
        <f t="array" aca="1" ref="K4" ca="1">INDIRECT(ADDRESS($B4,6,,,"mkt data"))</f>
        <v>114.74</v>
      </c>
      <c r="L4" s="33">
        <f ca="1">J4-L$21</f>
        <v>114.655</v>
      </c>
      <c r="M4" s="33">
        <f ca="1">K4+L$21</f>
        <v>114.74499999999999</v>
      </c>
      <c r="N4" s="110" cm="1">
        <f t="array" aca="1" ref="N4" ca="1">INDIRECT(ADDRESS($A4,5,,,"trading inputs"))</f>
        <v>1</v>
      </c>
      <c r="O4" s="34">
        <f ca="1">L4*N4</f>
        <v>114.655</v>
      </c>
      <c r="P4" s="34">
        <f ca="1">-N4*M4</f>
        <v>-114.74499999999999</v>
      </c>
      <c r="Q4" s="93"/>
      <c r="R4" s="111"/>
      <c r="S4" s="93"/>
      <c r="T4" s="111"/>
      <c r="U4" s="148" t="b">
        <f ca="1">IF(R3&gt;U3,TRUE,FALSE)</f>
        <v>0</v>
      </c>
      <c r="V4" s="112" t="b">
        <f ca="1">AND(IF(T3&gt;-V3,TRUE,FALSE),IF(F3&gt;0,TRUE,FALSE))</f>
        <v>0</v>
      </c>
      <c r="W4" s="112" t="b">
        <f ca="1">AND(IF(R3&gt;-W3,TRUE,FALSE),IF(F3&lt;0,TRUE,FALSE))</f>
        <v>0</v>
      </c>
      <c r="X4" s="149" t="b">
        <f ca="1">IF(T3&gt;X3,TRUE,FALSE)</f>
        <v>0</v>
      </c>
      <c r="Z4" s="122">
        <v>1.5E-3</v>
      </c>
      <c r="AA4" s="122">
        <v>1.5E-3</v>
      </c>
      <c r="AB4" s="123" t="s">
        <v>102</v>
      </c>
    </row>
    <row r="5" spans="1:28" x14ac:dyDescent="0.25">
      <c r="A5" s="22">
        <f>MATCH(D5,'TRADING INPUTS'!B:B,0)</f>
        <v>39</v>
      </c>
      <c r="B5" s="53">
        <f>MATCH(D5,'MKT DATA'!B:B,0)</f>
        <v>6</v>
      </c>
      <c r="C5" s="23" t="s">
        <v>58</v>
      </c>
      <c r="D5" s="24" t="s">
        <v>50</v>
      </c>
      <c r="E5" s="158">
        <v>0.16500000000000001</v>
      </c>
      <c r="F5" s="46" cm="1">
        <f t="array" aca="1" ref="F5" ca="1">INDIRECT(ADDRESS($B5,9,,,"mkt data"))</f>
        <v>-2415</v>
      </c>
      <c r="G5" s="124">
        <f t="shared" ca="1" si="0"/>
        <v>-53021.324999999997</v>
      </c>
      <c r="H5" s="46">
        <f ca="1">F5/N5</f>
        <v>-1277.4876357622954</v>
      </c>
      <c r="I5" s="68">
        <f ca="1">SUM(H5:H6)</f>
        <v>-0.48763576229544014</v>
      </c>
      <c r="J5" s="56" cm="1">
        <f t="array" aca="1" ref="J5" ca="1">INDIRECT(ADDRESS($B5,5,,,"mkt data"))</f>
        <v>21.95</v>
      </c>
      <c r="K5" s="57" cm="1">
        <f t="array" aca="1" ref="K5" ca="1">INDIRECT(ADDRESS($B5,6,,,"mkt data"))</f>
        <v>21.96</v>
      </c>
      <c r="L5" s="25">
        <f ca="1">J5-L$21</f>
        <v>21.945</v>
      </c>
      <c r="M5" s="25">
        <f ca="1">K5+L$21</f>
        <v>21.965</v>
      </c>
      <c r="N5" s="107" cm="1">
        <f t="array" aca="1" ref="N5" ca="1">INDIRECT(ADDRESS($A5,5,,,"trading inputs"))</f>
        <v>1.8904292553555202</v>
      </c>
      <c r="O5" s="26">
        <f ca="1">L5*N5</f>
        <v>41.485470008776893</v>
      </c>
      <c r="P5" s="26">
        <f ca="1">-N5*M5</f>
        <v>-41.523278593884001</v>
      </c>
      <c r="Q5" s="89">
        <f ca="1">P5+O6</f>
        <v>-0.12827859388400498</v>
      </c>
      <c r="R5" s="108">
        <f ca="1">Q5/AVERAGE(O6,-P6)</f>
        <v>-3.0921681061589724E-3</v>
      </c>
      <c r="S5" s="89">
        <f ca="1">O5+P6</f>
        <v>-8.9529991223109562E-2</v>
      </c>
      <c r="T5" s="108">
        <f ca="1">S5/AVERAGE(O6,-P6)</f>
        <v>-2.1581292328096799E-3</v>
      </c>
      <c r="U5" s="146">
        <f>Z5</f>
        <v>4.0000000000000001E-3</v>
      </c>
      <c r="V5" s="109">
        <f>Z6</f>
        <v>3.0000000000000001E-3</v>
      </c>
      <c r="W5" s="109">
        <f>AA6</f>
        <v>2E-3</v>
      </c>
      <c r="X5" s="147">
        <f>AA5</f>
        <v>2E-3</v>
      </c>
      <c r="Z5" s="121">
        <v>4.0000000000000001E-3</v>
      </c>
      <c r="AA5" s="122">
        <v>2E-3</v>
      </c>
      <c r="AB5" s="123" t="s">
        <v>101</v>
      </c>
    </row>
    <row r="6" spans="1:28" ht="15.75" thickBot="1" x14ac:dyDescent="0.3">
      <c r="A6" s="30">
        <f>MATCH(D6,'TRADING INPUTS'!B:B,0)</f>
        <v>40</v>
      </c>
      <c r="B6" s="55">
        <f>MATCH(D6,'MKT DATA'!B:B,0)</f>
        <v>18</v>
      </c>
      <c r="C6" s="31" t="s">
        <v>58</v>
      </c>
      <c r="D6" s="32" t="s">
        <v>58</v>
      </c>
      <c r="E6" s="159">
        <v>0.16500000000000001</v>
      </c>
      <c r="F6" s="48" cm="1">
        <f t="array" aca="1" ref="F6" ca="1">INDIRECT(ADDRESS($B6,9,,,"mkt data"))</f>
        <v>1277</v>
      </c>
      <c r="G6" s="126">
        <f t="shared" ca="1" si="0"/>
        <v>52976.345000000001</v>
      </c>
      <c r="H6" s="48">
        <f ca="1">F6/N6</f>
        <v>1277</v>
      </c>
      <c r="I6" s="70"/>
      <c r="J6" s="60" cm="1">
        <f t="array" aca="1" ref="J6" ca="1">INDIRECT(ADDRESS($B6,5,,,"mkt data"))</f>
        <v>41.4</v>
      </c>
      <c r="K6" s="61" cm="1">
        <f t="array" aca="1" ref="K6" ca="1">INDIRECT(ADDRESS($B6,6,,,"mkt data"))</f>
        <v>41.57</v>
      </c>
      <c r="L6" s="33">
        <f ca="1">J6-L$21</f>
        <v>41.394999999999996</v>
      </c>
      <c r="M6" s="33">
        <f ca="1">K6+L$21</f>
        <v>41.575000000000003</v>
      </c>
      <c r="N6" s="110" cm="1">
        <f t="array" aca="1" ref="N6" ca="1">INDIRECT(ADDRESS($A6,5,,,"trading inputs"))</f>
        <v>1</v>
      </c>
      <c r="O6" s="34">
        <f ca="1">L6*N6</f>
        <v>41.394999999999996</v>
      </c>
      <c r="P6" s="34">
        <f ca="1">-N6*M6</f>
        <v>-41.575000000000003</v>
      </c>
      <c r="Q6" s="93"/>
      <c r="R6" s="111"/>
      <c r="S6" s="93"/>
      <c r="T6" s="111"/>
      <c r="U6" s="148" t="b">
        <f ca="1">IF(R5&gt;U5,TRUE,FALSE)</f>
        <v>0</v>
      </c>
      <c r="V6" s="112" t="b">
        <f ca="1">AND(IF(T5&gt;-V5,TRUE,FALSE),IF(F5&gt;0,TRUE,FALSE))</f>
        <v>0</v>
      </c>
      <c r="W6" s="112" t="b">
        <f ca="1">AND(IF(R5&gt;-W5,TRUE,FALSE),IF(F5&lt;0,TRUE,FALSE))</f>
        <v>0</v>
      </c>
      <c r="X6" s="149" t="b">
        <f ca="1">IF(T5&gt;X5,TRUE,FALSE)</f>
        <v>0</v>
      </c>
      <c r="Z6" s="122">
        <v>3.0000000000000001E-3</v>
      </c>
      <c r="AA6" s="122">
        <v>2E-3</v>
      </c>
      <c r="AB6" s="123" t="s">
        <v>102</v>
      </c>
    </row>
    <row r="7" spans="1:28" x14ac:dyDescent="0.25">
      <c r="A7" s="22">
        <f>MATCH(D7,'TRADING INPUTS'!B:B,0)</f>
        <v>35</v>
      </c>
      <c r="B7" s="53">
        <f>MATCH(D7,'MKT DATA'!B:B,0)</f>
        <v>48</v>
      </c>
      <c r="C7" s="23" t="s">
        <v>53</v>
      </c>
      <c r="D7" s="24" t="s">
        <v>66</v>
      </c>
      <c r="E7" s="158">
        <v>0.16500000000000001</v>
      </c>
      <c r="F7" s="46" cm="1">
        <f t="array" aca="1" ref="F7" ca="1">INDIRECT(ADDRESS($B7,9,,,"mkt data"))</f>
        <v>0</v>
      </c>
      <c r="G7" s="124">
        <f t="shared" ca="1" si="0"/>
        <v>0</v>
      </c>
      <c r="H7" s="46">
        <f ca="1">F7/N7</f>
        <v>0</v>
      </c>
      <c r="I7" s="73">
        <f ca="1">SUM(H7:H8)</f>
        <v>0</v>
      </c>
      <c r="J7" s="56" cm="1">
        <f t="array" aca="1" ref="J7" ca="1">INDIRECT(ADDRESS($B7,5,,,"mkt data"))</f>
        <v>65.97</v>
      </c>
      <c r="K7" s="57" cm="1">
        <f t="array" aca="1" ref="K7" ca="1">INDIRECT(ADDRESS($B7,6,,,"mkt data"))</f>
        <v>65.98</v>
      </c>
      <c r="L7" s="25">
        <f ca="1">J7-L$21</f>
        <v>65.965000000000003</v>
      </c>
      <c r="M7" s="25">
        <f ca="1">K7+L$21</f>
        <v>65.984999999999999</v>
      </c>
      <c r="N7" s="107" cm="1">
        <f t="array" aca="1" ref="N7" ca="1">INDIRECT(ADDRESS($A7,5,,,"trading inputs"))</f>
        <v>1.4382850860499452</v>
      </c>
      <c r="O7" s="26">
        <f ca="1">L7*N7</f>
        <v>94.876475701284647</v>
      </c>
      <c r="P7" s="26">
        <f ca="1">-N7*M7</f>
        <v>-94.905241403005633</v>
      </c>
      <c r="Q7" s="89">
        <f ca="1">P7+O8</f>
        <v>-4.0241403005623511E-2</v>
      </c>
      <c r="R7" s="108">
        <f ca="1">Q7/AVERAGE(O8,-P8)</f>
        <v>-4.2415181033595269E-4</v>
      </c>
      <c r="S7" s="89">
        <f ca="1">O7+P8</f>
        <v>-8.5242987153435479E-3</v>
      </c>
      <c r="T7" s="108">
        <f ca="1">S7/AVERAGE(O8,-P8)</f>
        <v>-8.9847680794134888E-5</v>
      </c>
      <c r="U7" s="146">
        <f>Z7</f>
        <v>1E-3</v>
      </c>
      <c r="V7" s="109">
        <f>Z8</f>
        <v>1E-3</v>
      </c>
      <c r="W7" s="109">
        <f>AA8</f>
        <v>1E-3</v>
      </c>
      <c r="X7" s="147">
        <f>AA7</f>
        <v>1E-3</v>
      </c>
      <c r="Z7" s="122">
        <v>1E-3</v>
      </c>
      <c r="AA7" s="122">
        <v>1E-3</v>
      </c>
      <c r="AB7" s="123" t="s">
        <v>101</v>
      </c>
    </row>
    <row r="8" spans="1:28" ht="15.75" thickBot="1" x14ac:dyDescent="0.3">
      <c r="A8" s="30">
        <f>MATCH(D8,'TRADING INPUTS'!B:B,0)</f>
        <v>36</v>
      </c>
      <c r="B8" s="55">
        <f>MATCH(D8,'MKT DATA'!B:B,0)</f>
        <v>10</v>
      </c>
      <c r="C8" s="31" t="s">
        <v>53</v>
      </c>
      <c r="D8" s="32" t="s">
        <v>53</v>
      </c>
      <c r="E8" s="159">
        <v>0.16500000000000001</v>
      </c>
      <c r="F8" s="48" cm="1">
        <f t="array" aca="1" ref="F8" ca="1">INDIRECT(ADDRESS($B8,9,,,"mkt data"))</f>
        <v>0</v>
      </c>
      <c r="G8" s="126">
        <f t="shared" ca="1" si="0"/>
        <v>0</v>
      </c>
      <c r="H8" s="48">
        <f ca="1">F8/N8</f>
        <v>0</v>
      </c>
      <c r="I8" s="75"/>
      <c r="J8" s="60" cm="1">
        <f t="array" aca="1" ref="J8" ca="1">INDIRECT(ADDRESS($B8,5,,,"mkt data"))</f>
        <v>94.87</v>
      </c>
      <c r="K8" s="61" cm="1">
        <f t="array" aca="1" ref="K8" ca="1">INDIRECT(ADDRESS($B8,6,,,"mkt data"))</f>
        <v>94.88</v>
      </c>
      <c r="L8" s="33">
        <f ca="1">J8-L$21</f>
        <v>94.865000000000009</v>
      </c>
      <c r="M8" s="33">
        <f ca="1">K8+L$21</f>
        <v>94.884999999999991</v>
      </c>
      <c r="N8" s="110" cm="1">
        <f t="array" aca="1" ref="N8" ca="1">INDIRECT(ADDRESS($A8,5,,,"trading inputs"))</f>
        <v>1</v>
      </c>
      <c r="O8" s="34">
        <f t="shared" ref="O8:O10" ca="1" si="1">L8*N8</f>
        <v>94.865000000000009</v>
      </c>
      <c r="P8" s="34">
        <f t="shared" ref="P8:P10" ca="1" si="2">-N8*M8</f>
        <v>-94.884999999999991</v>
      </c>
      <c r="Q8" s="93"/>
      <c r="R8" s="111"/>
      <c r="S8" s="93"/>
      <c r="T8" s="111"/>
      <c r="U8" s="148" t="b">
        <f ca="1">IF(R7&gt;U7,TRUE,FALSE)</f>
        <v>0</v>
      </c>
      <c r="V8" s="112" t="b">
        <f ca="1">AND(IF(T7&gt;-V7,TRUE,FALSE),IF(F7&gt;0,TRUE,FALSE))</f>
        <v>0</v>
      </c>
      <c r="W8" s="112" t="b">
        <f ca="1">AND(IF(R7&gt;-W7,TRUE,FALSE),IF(F7&lt;0,TRUE,FALSE))</f>
        <v>0</v>
      </c>
      <c r="X8" s="149" t="b">
        <f ca="1">IF(T7&gt;X7,TRUE,FALSE)</f>
        <v>0</v>
      </c>
      <c r="Z8" s="122">
        <v>1E-3</v>
      </c>
      <c r="AA8" s="122">
        <v>1E-3</v>
      </c>
      <c r="AB8" s="123" t="s">
        <v>102</v>
      </c>
    </row>
    <row r="9" spans="1:28" x14ac:dyDescent="0.25">
      <c r="A9" s="22">
        <f>MATCH(D9,'TRADING INPUTS'!B:B,0)</f>
        <v>41</v>
      </c>
      <c r="B9" s="53">
        <f>MATCH(D9,'MKT DATA'!B:B,0)</f>
        <v>7</v>
      </c>
      <c r="C9" s="23" t="s">
        <v>65</v>
      </c>
      <c r="D9" s="24" t="s">
        <v>51</v>
      </c>
      <c r="E9" s="158">
        <v>0.1002</v>
      </c>
      <c r="F9" s="46" cm="1">
        <f t="array" aca="1" ref="F9" ca="1">INDIRECT(ADDRESS($B9,9,,,"mkt data"))</f>
        <v>0</v>
      </c>
      <c r="G9" s="124">
        <f t="shared" ca="1" si="0"/>
        <v>0</v>
      </c>
      <c r="H9" s="46">
        <f ca="1">F9/N9</f>
        <v>0</v>
      </c>
      <c r="I9" s="98">
        <f ca="1">SUM(H9:H10)</f>
        <v>0</v>
      </c>
      <c r="J9" s="56" cm="1">
        <f t="array" aca="1" ref="J9" ca="1">INDIRECT(ADDRESS($B9,5,,,"mkt data"))</f>
        <v>56.51</v>
      </c>
      <c r="K9" s="57" cm="1">
        <f t="array" aca="1" ref="K9" ca="1">INDIRECT(ADDRESS($B9,6,,,"mkt data"))</f>
        <v>56.52</v>
      </c>
      <c r="L9" s="25">
        <f ca="1">J9-L$21</f>
        <v>56.504999999999995</v>
      </c>
      <c r="M9" s="25">
        <f ca="1">K9+L$21</f>
        <v>56.525000000000006</v>
      </c>
      <c r="N9" s="107" cm="1">
        <f t="array" aca="1" ref="N9" ca="1">INDIRECT(ADDRESS($A9,5,,,"trading inputs"))</f>
        <v>1.7447835547184389</v>
      </c>
      <c r="O9" s="26">
        <f t="shared" ca="1" si="1"/>
        <v>98.588994759365377</v>
      </c>
      <c r="P9" s="26">
        <f t="shared" ca="1" si="2"/>
        <v>-98.623890430459767</v>
      </c>
      <c r="Q9" s="89">
        <f ca="1">P9+O10</f>
        <v>-1.8890430459762797E-2</v>
      </c>
      <c r="R9" s="108">
        <f ca="1">Q9/AVERAGE(O10,-P10)</f>
        <v>-1.9155737423072347E-4</v>
      </c>
      <c r="S9" s="89">
        <f ca="1">O9+P10</f>
        <v>-3.6005240634622737E-2</v>
      </c>
      <c r="T9" s="108">
        <f ca="1">S9/AVERAGE(O10,-P10)</f>
        <v>-3.6510916832756409E-4</v>
      </c>
      <c r="U9" s="146">
        <f>Z9</f>
        <v>1E-3</v>
      </c>
      <c r="V9" s="109">
        <f>Z10</f>
        <v>1E-3</v>
      </c>
      <c r="W9" s="109">
        <f>AA10</f>
        <v>1E-3</v>
      </c>
      <c r="X9" s="147">
        <f>AA9</f>
        <v>1E-3</v>
      </c>
      <c r="Z9" s="122">
        <v>1E-3</v>
      </c>
      <c r="AA9" s="122">
        <v>1E-3</v>
      </c>
      <c r="AB9" s="123" t="s">
        <v>101</v>
      </c>
    </row>
    <row r="10" spans="1:28" ht="15.75" thickBot="1" x14ac:dyDescent="0.3">
      <c r="A10" s="30">
        <f>MATCH(D10,'TRADING INPUTS'!B:B,0)</f>
        <v>42</v>
      </c>
      <c r="B10" s="55">
        <f>MATCH(D10,'MKT DATA'!B:B,0)</f>
        <v>47</v>
      </c>
      <c r="C10" s="31" t="s">
        <v>65</v>
      </c>
      <c r="D10" s="32" t="s">
        <v>65</v>
      </c>
      <c r="E10" s="159">
        <v>0.1002</v>
      </c>
      <c r="F10" s="48" cm="1">
        <f t="array" aca="1" ref="F10" ca="1">INDIRECT(ADDRESS($B10,9,,,"mkt data"))</f>
        <v>0</v>
      </c>
      <c r="G10" s="126">
        <f t="shared" ca="1" si="0"/>
        <v>0</v>
      </c>
      <c r="H10" s="48">
        <f ca="1">F10/N10</f>
        <v>0</v>
      </c>
      <c r="I10" s="100"/>
      <c r="J10" s="60" cm="1">
        <f t="array" aca="1" ref="J10" ca="1">INDIRECT(ADDRESS($B10,5,,,"mkt data"))</f>
        <v>98.61</v>
      </c>
      <c r="K10" s="61" cm="1">
        <f t="array" aca="1" ref="K10" ca="1">INDIRECT(ADDRESS($B10,6,,,"mkt data"))</f>
        <v>98.62</v>
      </c>
      <c r="L10" s="33">
        <f ca="1">J10-L$21</f>
        <v>98.605000000000004</v>
      </c>
      <c r="M10" s="33">
        <f ca="1">K10+L$21</f>
        <v>98.625</v>
      </c>
      <c r="N10" s="110" cm="1">
        <f t="array" aca="1" ref="N10" ca="1">INDIRECT(ADDRESS($A10,5,,,"trading inputs"))</f>
        <v>1</v>
      </c>
      <c r="O10" s="34">
        <f t="shared" ca="1" si="1"/>
        <v>98.605000000000004</v>
      </c>
      <c r="P10" s="34">
        <f t="shared" ca="1" si="2"/>
        <v>-98.625</v>
      </c>
      <c r="Q10" s="93"/>
      <c r="R10" s="111"/>
      <c r="S10" s="93"/>
      <c r="T10" s="111"/>
      <c r="U10" s="148" t="b">
        <f ca="1">IF(R9&gt;U9,TRUE,FALSE)</f>
        <v>0</v>
      </c>
      <c r="V10" s="112" t="b">
        <f ca="1">AND(IF(T9&gt;-V9,TRUE,FALSE),IF(F9&gt;0,TRUE,FALSE))</f>
        <v>0</v>
      </c>
      <c r="W10" s="112" t="b">
        <f ca="1">AND(IF(R9&gt;-W9,TRUE,FALSE),IF(F9&lt;0,TRUE,FALSE))</f>
        <v>0</v>
      </c>
      <c r="X10" s="149" t="b">
        <f ca="1">IF(T9&gt;X9,TRUE,FALSE)</f>
        <v>0</v>
      </c>
      <c r="Z10" s="122">
        <v>1E-3</v>
      </c>
      <c r="AA10" s="122">
        <v>1E-3</v>
      </c>
      <c r="AB10" s="123" t="s">
        <v>102</v>
      </c>
    </row>
    <row r="11" spans="1:28" x14ac:dyDescent="0.25">
      <c r="A11" s="22">
        <f>MATCH(D11,'TRADING INPUTS'!B:B,0)</f>
        <v>33</v>
      </c>
      <c r="B11" s="53">
        <f>MATCH(D11,'MKT DATA'!B:B,0)</f>
        <v>26</v>
      </c>
      <c r="C11" s="23" t="s">
        <v>61</v>
      </c>
      <c r="D11" s="24" t="s">
        <v>62</v>
      </c>
      <c r="E11" s="158">
        <v>0.16500000000000001</v>
      </c>
      <c r="F11" s="46" cm="1">
        <f t="array" aca="1" ref="F11" ca="1">INDIRECT(ADDRESS($B11,9,,,"mkt data"))</f>
        <v>4945</v>
      </c>
      <c r="G11" s="124">
        <f t="shared" ca="1" si="0"/>
        <v>90864.375</v>
      </c>
      <c r="H11" s="46">
        <f ca="1">F11/N11</f>
        <v>2999.6577884777421</v>
      </c>
      <c r="I11" s="98">
        <f ca="1">SUM(H11:H12)</f>
        <v>-0.34221152225791229</v>
      </c>
      <c r="J11" s="56" cm="1">
        <f t="array" aca="1" ref="J11" ca="1">INDIRECT(ADDRESS($B11,5,,,"mkt data"))</f>
        <v>18.37</v>
      </c>
      <c r="K11" s="57" cm="1">
        <f t="array" aca="1" ref="K11" ca="1">INDIRECT(ADDRESS($B11,6,,,"mkt data"))</f>
        <v>18.38</v>
      </c>
      <c r="L11" s="25">
        <f ca="1">J11-L$21</f>
        <v>18.365000000000002</v>
      </c>
      <c r="M11" s="25">
        <f ca="1">K11+L$21</f>
        <v>18.384999999999998</v>
      </c>
      <c r="N11" s="107" cm="1">
        <f t="array" aca="1" ref="N11" ca="1">INDIRECT(ADDRESS($A11,5,,,"trading inputs"))</f>
        <v>1.648521381003756</v>
      </c>
      <c r="O11" s="26">
        <f ca="1">L11*N11</f>
        <v>30.275095162133983</v>
      </c>
      <c r="P11" s="26">
        <f ca="1">-N11*M11</f>
        <v>-30.308065589754051</v>
      </c>
      <c r="Q11" s="89">
        <f ca="1">P11+O12</f>
        <v>0.14693441024595089</v>
      </c>
      <c r="R11" s="108">
        <f ca="1">Q11/AVERAGE(O12,-P12)</f>
        <v>4.8230563021812211E-3</v>
      </c>
      <c r="S11" s="89">
        <f ca="1">O11+P12</f>
        <v>-0.19990483786601487</v>
      </c>
      <c r="T11" s="108">
        <f ca="1">S11/AVERAGE(O12,-P12)</f>
        <v>-6.5617868986054444E-3</v>
      </c>
      <c r="U11" s="146">
        <f>Z11</f>
        <v>5.0000000000000001E-3</v>
      </c>
      <c r="V11" s="109">
        <f>Z12</f>
        <v>4.0000000000000001E-3</v>
      </c>
      <c r="W11" s="109">
        <f>AA12</f>
        <v>2E-3</v>
      </c>
      <c r="X11" s="147">
        <f>AA11</f>
        <v>3.0000000000000001E-3</v>
      </c>
      <c r="Z11" s="121">
        <v>5.0000000000000001E-3</v>
      </c>
      <c r="AA11" s="122">
        <v>3.0000000000000001E-3</v>
      </c>
      <c r="AB11" s="123" t="s">
        <v>101</v>
      </c>
    </row>
    <row r="12" spans="1:28" ht="15.75" thickBot="1" x14ac:dyDescent="0.3">
      <c r="A12" s="30">
        <f>MATCH(D12,'TRADING INPUTS'!B:B,0)</f>
        <v>34</v>
      </c>
      <c r="B12" s="55">
        <f>MATCH(D12,'MKT DATA'!B:B,0)</f>
        <v>25</v>
      </c>
      <c r="C12" s="31" t="s">
        <v>61</v>
      </c>
      <c r="D12" s="32" t="s">
        <v>61</v>
      </c>
      <c r="E12" s="159">
        <v>0.16500000000000001</v>
      </c>
      <c r="F12" s="48" cm="1">
        <f t="array" aca="1" ref="F12" ca="1">INDIRECT(ADDRESS($B12,9,,,"mkt data"))</f>
        <v>-3000</v>
      </c>
      <c r="G12" s="126">
        <f t="shared" ca="1" si="0"/>
        <v>-91395</v>
      </c>
      <c r="H12" s="48">
        <f ca="1">F12/N12</f>
        <v>-3000</v>
      </c>
      <c r="I12" s="100"/>
      <c r="J12" s="60" cm="1">
        <f t="array" aca="1" ref="J12" ca="1">INDIRECT(ADDRESS($B12,5,,,"mkt data"))</f>
        <v>30.46</v>
      </c>
      <c r="K12" s="61" cm="1">
        <f t="array" aca="1" ref="K12" ca="1">INDIRECT(ADDRESS($B12,6,,,"mkt data"))</f>
        <v>30.47</v>
      </c>
      <c r="L12" s="33">
        <f ca="1">J12-L$21</f>
        <v>30.455000000000002</v>
      </c>
      <c r="M12" s="33">
        <f ca="1">K12+L$21</f>
        <v>30.474999999999998</v>
      </c>
      <c r="N12" s="110" cm="1">
        <f t="array" aca="1" ref="N12" ca="1">INDIRECT(ADDRESS($A12,5,,,"trading inputs"))</f>
        <v>1</v>
      </c>
      <c r="O12" s="34">
        <f t="shared" ref="O12:O15" ca="1" si="3">L12*N12</f>
        <v>30.455000000000002</v>
      </c>
      <c r="P12" s="34">
        <f t="shared" ref="P12:P15" ca="1" si="4">-N12*M12</f>
        <v>-30.474999999999998</v>
      </c>
      <c r="Q12" s="93"/>
      <c r="R12" s="111"/>
      <c r="S12" s="93"/>
      <c r="T12" s="111"/>
      <c r="U12" s="148" t="b">
        <f ca="1">IF(R11&gt;U11,TRUE,FALSE)</f>
        <v>0</v>
      </c>
      <c r="V12" s="112" t="b">
        <f ca="1">AND(IF(T11&gt;-V11,TRUE,FALSE),IF(F11&gt;0,TRUE,FALSE))</f>
        <v>0</v>
      </c>
      <c r="W12" s="112" t="b">
        <f ca="1">AND(IF(R11&gt;-W11,TRUE,FALSE),IF(F11&lt;0,TRUE,FALSE))</f>
        <v>0</v>
      </c>
      <c r="X12" s="149" t="b">
        <f ca="1">IF(T11&gt;X11,TRUE,FALSE)</f>
        <v>0</v>
      </c>
      <c r="Z12" s="122">
        <v>4.0000000000000001E-3</v>
      </c>
      <c r="AA12" s="122">
        <v>2E-3</v>
      </c>
      <c r="AB12" s="123" t="s">
        <v>102</v>
      </c>
    </row>
    <row r="13" spans="1:28" x14ac:dyDescent="0.25">
      <c r="A13" s="22">
        <f>MATCH(D13,'TRADING INPUTS'!B:B,0)</f>
        <v>43</v>
      </c>
      <c r="B13" s="53">
        <f>MATCH(D13,'MKT DATA'!B:B,0)</f>
        <v>27</v>
      </c>
      <c r="C13" s="23" t="s">
        <v>64</v>
      </c>
      <c r="D13" s="24" t="s">
        <v>63</v>
      </c>
      <c r="E13" s="158">
        <v>0.16500000000000001</v>
      </c>
      <c r="F13" s="46" cm="1">
        <f t="array" aca="1" ref="F13" ca="1">INDIRECT(ADDRESS($B13,9,,,"mkt data"))</f>
        <v>0</v>
      </c>
      <c r="G13" s="124">
        <f t="shared" ca="1" si="0"/>
        <v>0</v>
      </c>
      <c r="H13" s="46">
        <f ca="1">F13/N13</f>
        <v>0</v>
      </c>
      <c r="I13" s="98">
        <f ca="1">SUM(H13:H14)</f>
        <v>0</v>
      </c>
      <c r="J13" s="56" cm="1">
        <f t="array" aca="1" ref="J13" ca="1">INDIRECT(ADDRESS($B13,5,,,"mkt data"))</f>
        <v>24.07</v>
      </c>
      <c r="K13" s="57" cm="1">
        <f t="array" aca="1" ref="K13" ca="1">INDIRECT(ADDRESS($B13,6,,,"mkt data"))</f>
        <v>24.08</v>
      </c>
      <c r="L13" s="25">
        <f ca="1">J13-L$21</f>
        <v>24.065000000000001</v>
      </c>
      <c r="M13" s="25">
        <f ca="1">K13+L$21</f>
        <v>24.084999999999997</v>
      </c>
      <c r="N13" s="107" cm="1">
        <f t="array" aca="1" ref="N13" ca="1">INDIRECT(ADDRESS($A13,5,,,"trading inputs"))</f>
        <v>2.79585253523324</v>
      </c>
      <c r="O13" s="26">
        <f t="shared" ca="1" si="3"/>
        <v>67.282191260387918</v>
      </c>
      <c r="P13" s="26">
        <f t="shared" ca="1" si="4"/>
        <v>-67.338108311092583</v>
      </c>
      <c r="Q13" s="89">
        <f ca="1">P13+O14</f>
        <v>-0.20310831109257776</v>
      </c>
      <c r="R13" s="108">
        <f ca="1">Q13/AVERAGE(O14,-P14)</f>
        <v>-3.0249208592237355E-3</v>
      </c>
      <c r="S13" s="89">
        <f ca="1">O13+P14</f>
        <v>0.12719126038791728</v>
      </c>
      <c r="T13" s="108">
        <f ca="1">S13/AVERAGE(O14,-P14)</f>
        <v>1.8942774650073312E-3</v>
      </c>
      <c r="U13" s="146">
        <f>Z13</f>
        <v>5.0000000000000001E-3</v>
      </c>
      <c r="V13" s="109">
        <f>Z14</f>
        <v>3.0000000000000001E-3</v>
      </c>
      <c r="W13" s="109">
        <f>AA14</f>
        <v>1E-3</v>
      </c>
      <c r="X13" s="147">
        <f>AA13</f>
        <v>2E-3</v>
      </c>
      <c r="Z13" s="121">
        <v>5.0000000000000001E-3</v>
      </c>
      <c r="AA13" s="122">
        <v>2E-3</v>
      </c>
      <c r="AB13" s="123" t="s">
        <v>101</v>
      </c>
    </row>
    <row r="14" spans="1:28" ht="15.75" thickBot="1" x14ac:dyDescent="0.3">
      <c r="A14" s="30">
        <f>MATCH(D14,'TRADING INPUTS'!B:B,0)</f>
        <v>44</v>
      </c>
      <c r="B14" s="55">
        <f>MATCH(D14,'MKT DATA'!B:B,0)</f>
        <v>41</v>
      </c>
      <c r="C14" s="31" t="s">
        <v>64</v>
      </c>
      <c r="D14" s="32" t="s">
        <v>64</v>
      </c>
      <c r="E14" s="159">
        <v>0.16500000000000001</v>
      </c>
      <c r="F14" s="48" cm="1">
        <f t="array" aca="1" ref="F14" ca="1">INDIRECT(ADDRESS($B14,9,,,"mkt data"))</f>
        <v>0</v>
      </c>
      <c r="G14" s="126">
        <f t="shared" ca="1" si="0"/>
        <v>0</v>
      </c>
      <c r="H14" s="48">
        <f ca="1">F14/N14</f>
        <v>0</v>
      </c>
      <c r="I14" s="100"/>
      <c r="J14" s="60" cm="1">
        <f t="array" aca="1" ref="J14" ca="1">INDIRECT(ADDRESS($B14,5,,,"mkt data"))</f>
        <v>67.14</v>
      </c>
      <c r="K14" s="61" cm="1">
        <f t="array" aca="1" ref="K14" ca="1">INDIRECT(ADDRESS($B14,6,,,"mkt data"))</f>
        <v>67.150000000000006</v>
      </c>
      <c r="L14" s="33">
        <f ca="1">J14-L$21</f>
        <v>67.135000000000005</v>
      </c>
      <c r="M14" s="33">
        <f ca="1">K14+L$21</f>
        <v>67.155000000000001</v>
      </c>
      <c r="N14" s="110" cm="1">
        <f t="array" aca="1" ref="N14" ca="1">INDIRECT(ADDRESS($A14,5,,,"trading inputs"))</f>
        <v>1</v>
      </c>
      <c r="O14" s="34">
        <f t="shared" ca="1" si="3"/>
        <v>67.135000000000005</v>
      </c>
      <c r="P14" s="34">
        <f t="shared" ca="1" si="4"/>
        <v>-67.155000000000001</v>
      </c>
      <c r="Q14" s="93"/>
      <c r="R14" s="111"/>
      <c r="S14" s="93"/>
      <c r="T14" s="111"/>
      <c r="U14" s="148" t="b">
        <f ca="1">IF(R13&gt;U13,TRUE,FALSE)</f>
        <v>0</v>
      </c>
      <c r="V14" s="112" t="b">
        <f ca="1">AND(IF(T13&gt;-V13,TRUE,FALSE),IF(F13&gt;0,TRUE,FALSE))</f>
        <v>0</v>
      </c>
      <c r="W14" s="112" t="b">
        <f ca="1">AND(IF(R13&gt;-W13,TRUE,FALSE),IF(F13&lt;0,TRUE,FALSE))</f>
        <v>0</v>
      </c>
      <c r="X14" s="149" t="b">
        <f ca="1">IF(T13&gt;X13,TRUE,FALSE)</f>
        <v>0</v>
      </c>
      <c r="Z14" s="122">
        <v>3.0000000000000001E-3</v>
      </c>
      <c r="AA14" s="122">
        <v>1E-3</v>
      </c>
      <c r="AB14" s="123" t="s">
        <v>102</v>
      </c>
    </row>
    <row r="15" spans="1:28" s="178" customFormat="1" x14ac:dyDescent="0.25">
      <c r="A15" s="161">
        <f>MATCH(D15,'TRADING INPUTS'!B:B,0)</f>
        <v>37</v>
      </c>
      <c r="B15" s="162">
        <f>MATCH(D15,'MKT DATA'!B:B,0)</f>
        <v>5</v>
      </c>
      <c r="C15" s="163" t="s">
        <v>56</v>
      </c>
      <c r="D15" s="164" t="s">
        <v>49</v>
      </c>
      <c r="E15" s="245"/>
      <c r="F15" s="165" cm="1">
        <f t="array" aca="1" ref="F15" ca="1">INDIRECT(ADDRESS($B15,9,,,"mkt data"))</f>
        <v>0</v>
      </c>
      <c r="G15" s="166">
        <f t="shared" ca="1" si="0"/>
        <v>0</v>
      </c>
      <c r="H15" s="165">
        <f ca="1">F15/N15</f>
        <v>0</v>
      </c>
      <c r="I15" s="167">
        <f ca="1">SUM(H15:H16)</f>
        <v>0</v>
      </c>
      <c r="J15" s="168" cm="1">
        <f t="array" aca="1" ref="J15" ca="1">INDIRECT(ADDRESS($B15,5,,,"mkt data"))</f>
        <v>47.67</v>
      </c>
      <c r="K15" s="169" cm="1">
        <f t="array" aca="1" ref="K15" ca="1">INDIRECT(ADDRESS($B15,6,,,"mkt data"))</f>
        <v>47.68</v>
      </c>
      <c r="L15" s="170">
        <f ca="1">J15-L$21</f>
        <v>47.664999999999999</v>
      </c>
      <c r="M15" s="170">
        <f ca="1">K15+L$21</f>
        <v>47.685000000000002</v>
      </c>
      <c r="N15" s="171" cm="1">
        <f t="array" aca="1" ref="N15" ca="1">INDIRECT(ADDRESS($A15,5,,,"trading inputs"))</f>
        <v>1.0431563562258619</v>
      </c>
      <c r="O15" s="172">
        <f t="shared" ca="1" si="3"/>
        <v>49.722047719505703</v>
      </c>
      <c r="P15" s="172">
        <f t="shared" ca="1" si="4"/>
        <v>-49.742910846630224</v>
      </c>
      <c r="Q15" s="173">
        <f ca="1">P15+O16</f>
        <v>5.2089153369770713E-2</v>
      </c>
      <c r="R15" s="174">
        <f ca="1">Q15/AVERAGE(O16,-P16)</f>
        <v>1.0458619289181953E-3</v>
      </c>
      <c r="S15" s="173">
        <f ca="1">O15+P16</f>
        <v>-9.2952280494301931E-2</v>
      </c>
      <c r="T15" s="174">
        <f ca="1">S15/AVERAGE(O16,-P16)</f>
        <v>-1.8663242745568102E-3</v>
      </c>
      <c r="U15" s="175"/>
      <c r="V15" s="176"/>
      <c r="W15" s="176"/>
      <c r="X15" s="177"/>
      <c r="Z15" s="179">
        <v>0.01</v>
      </c>
      <c r="AA15" s="180">
        <v>0.01</v>
      </c>
      <c r="AB15" s="181" t="s">
        <v>101</v>
      </c>
    </row>
    <row r="16" spans="1:28" s="178" customFormat="1" ht="15.75" thickBot="1" x14ac:dyDescent="0.3">
      <c r="A16" s="182">
        <f>MATCH(D16,'TRADING INPUTS'!B:B,0)</f>
        <v>38</v>
      </c>
      <c r="B16" s="183">
        <f>MATCH(D16,'MKT DATA'!B:B,0)</f>
        <v>15</v>
      </c>
      <c r="C16" s="184" t="s">
        <v>56</v>
      </c>
      <c r="D16" s="185" t="s">
        <v>56</v>
      </c>
      <c r="E16" s="247"/>
      <c r="F16" s="186" cm="1">
        <f t="array" aca="1" ref="F16" ca="1">INDIRECT(ADDRESS($B16,9,,,"mkt data"))</f>
        <v>0</v>
      </c>
      <c r="G16" s="187">
        <f t="shared" ca="1" si="0"/>
        <v>0</v>
      </c>
      <c r="H16" s="186">
        <f ca="1">F16/N16</f>
        <v>0</v>
      </c>
      <c r="I16" s="188"/>
      <c r="J16" s="189" cm="1">
        <f t="array" aca="1" ref="J16" ca="1">INDIRECT(ADDRESS($B16,5,,,"mkt data"))</f>
        <v>49.8</v>
      </c>
      <c r="K16" s="190" cm="1">
        <f t="array" aca="1" ref="K16" ca="1">INDIRECT(ADDRESS($B16,6,,,"mkt data"))</f>
        <v>49.81</v>
      </c>
      <c r="L16" s="191">
        <f ca="1">J16-L$21</f>
        <v>49.794999999999995</v>
      </c>
      <c r="M16" s="191">
        <f ca="1">K16+L$21</f>
        <v>49.815000000000005</v>
      </c>
      <c r="N16" s="192" cm="1">
        <f t="array" aca="1" ref="N16" ca="1">INDIRECT(ADDRESS($A16,5,,,"trading inputs"))</f>
        <v>1</v>
      </c>
      <c r="O16" s="193">
        <f ca="1">L16*N16</f>
        <v>49.794999999999995</v>
      </c>
      <c r="P16" s="193">
        <f ca="1">-N16*M16</f>
        <v>-49.815000000000005</v>
      </c>
      <c r="Q16" s="194"/>
      <c r="R16" s="195"/>
      <c r="S16" s="194"/>
      <c r="T16" s="195"/>
      <c r="U16" s="196"/>
      <c r="V16" s="197"/>
      <c r="W16" s="197"/>
      <c r="X16" s="198"/>
      <c r="Z16" s="180">
        <v>0.01</v>
      </c>
      <c r="AA16" s="180">
        <v>0.01</v>
      </c>
      <c r="AB16" s="181" t="s">
        <v>102</v>
      </c>
    </row>
    <row r="17" spans="1:34" s="178" customFormat="1" x14ac:dyDescent="0.25">
      <c r="A17" s="161">
        <f>MATCH(D17,'TRADING INPUTS'!B:B,0)</f>
        <v>31</v>
      </c>
      <c r="B17" s="162">
        <f>MATCH(D17,'MKT DATA'!B:B,0)</f>
        <v>12</v>
      </c>
      <c r="C17" s="163" t="s">
        <v>48</v>
      </c>
      <c r="D17" s="164" t="s">
        <v>55</v>
      </c>
      <c r="E17" s="245"/>
      <c r="F17" s="165" cm="1">
        <f t="array" aca="1" ref="F17" ca="1">INDIRECT(ADDRESS($B17,9,,,"mkt data"))</f>
        <v>0</v>
      </c>
      <c r="G17" s="166">
        <f t="shared" ca="1" si="0"/>
        <v>0</v>
      </c>
      <c r="H17" s="165">
        <f ca="1">F17/N17</f>
        <v>0</v>
      </c>
      <c r="I17" s="199">
        <f ca="1">SUM(H17:H18)</f>
        <v>0</v>
      </c>
      <c r="J17" s="168" cm="1">
        <f t="array" aca="1" ref="J17" ca="1">INDIRECT(ADDRESS($B17,5,,,"mkt data"))</f>
        <v>27.01</v>
      </c>
      <c r="K17" s="169" cm="1">
        <f t="array" aca="1" ref="K17" ca="1">INDIRECT(ADDRESS($B17,6,,,"mkt data"))</f>
        <v>27.02</v>
      </c>
      <c r="L17" s="170">
        <f ca="1">J17-L$21</f>
        <v>27.005000000000003</v>
      </c>
      <c r="M17" s="170">
        <f ca="1">K17+L$21</f>
        <v>27.024999999999999</v>
      </c>
      <c r="N17" s="171" cm="1">
        <f t="array" aca="1" ref="N17" ca="1">INDIRECT(ADDRESS($A17,5,,,"trading inputs"))</f>
        <v>1.0737603516389007</v>
      </c>
      <c r="O17" s="172">
        <f ca="1">L17*N17</f>
        <v>28.996898296008517</v>
      </c>
      <c r="P17" s="172">
        <f ca="1">-N17*M17</f>
        <v>-29.018373503041289</v>
      </c>
      <c r="Q17" s="173">
        <f ca="1">P17+O18</f>
        <v>-3.3735030412884726E-3</v>
      </c>
      <c r="R17" s="174">
        <f ca="1">Q17/AVERAGE(O18,-P18)</f>
        <v>-1.1622749496256582E-4</v>
      </c>
      <c r="S17" s="173">
        <f ca="1">O17+P18</f>
        <v>-3.8101703991483049E-2</v>
      </c>
      <c r="T17" s="174">
        <f ca="1">S17/AVERAGE(O18,-P18)</f>
        <v>-1.3127202064249113E-3</v>
      </c>
      <c r="U17" s="175"/>
      <c r="V17" s="176"/>
      <c r="W17" s="176"/>
      <c r="X17" s="177"/>
      <c r="Z17" s="179">
        <v>0.01</v>
      </c>
      <c r="AA17" s="180">
        <v>0.01</v>
      </c>
      <c r="AB17" s="181" t="s">
        <v>101</v>
      </c>
    </row>
    <row r="18" spans="1:34" s="178" customFormat="1" ht="15.75" thickBot="1" x14ac:dyDescent="0.3">
      <c r="A18" s="182">
        <f>MATCH(D18,'TRADING INPUTS'!B:B,0)</f>
        <v>32</v>
      </c>
      <c r="B18" s="183">
        <f>MATCH(D18,'MKT DATA'!B:B,0)</f>
        <v>3</v>
      </c>
      <c r="C18" s="184" t="s">
        <v>48</v>
      </c>
      <c r="D18" s="185" t="s">
        <v>48</v>
      </c>
      <c r="E18" s="247"/>
      <c r="F18" s="186" cm="1">
        <f t="array" aca="1" ref="F18" ca="1">INDIRECT(ADDRESS($B18,9,,,"mkt data"))</f>
        <v>0</v>
      </c>
      <c r="G18" s="187">
        <f t="shared" ca="1" si="0"/>
        <v>0</v>
      </c>
      <c r="H18" s="186">
        <f ca="1">F18/N18</f>
        <v>0</v>
      </c>
      <c r="I18" s="200"/>
      <c r="J18" s="189" cm="1">
        <f t="array" aca="1" ref="J18" ca="1">INDIRECT(ADDRESS($B18,5,,,"mkt data"))</f>
        <v>29.02</v>
      </c>
      <c r="K18" s="190" cm="1">
        <f t="array" aca="1" ref="K18" ca="1">INDIRECT(ADDRESS($B18,6,,,"mkt data"))</f>
        <v>29.03</v>
      </c>
      <c r="L18" s="191">
        <f ca="1">J18-L$21</f>
        <v>29.015000000000001</v>
      </c>
      <c r="M18" s="191">
        <f ca="1">K18+L$21</f>
        <v>29.035</v>
      </c>
      <c r="N18" s="192" cm="1">
        <f t="array" aca="1" ref="N18" ca="1">INDIRECT(ADDRESS($A18,5,,,"trading inputs"))</f>
        <v>1</v>
      </c>
      <c r="O18" s="193">
        <f ca="1">L18*N18</f>
        <v>29.015000000000001</v>
      </c>
      <c r="P18" s="193">
        <f ca="1">-N18*M18</f>
        <v>-29.035</v>
      </c>
      <c r="Q18" s="194"/>
      <c r="R18" s="195"/>
      <c r="S18" s="194"/>
      <c r="T18" s="195"/>
      <c r="U18" s="196"/>
      <c r="V18" s="197"/>
      <c r="W18" s="197"/>
      <c r="X18" s="198"/>
      <c r="Z18" s="180">
        <v>0.01</v>
      </c>
      <c r="AA18" s="180">
        <v>0.01</v>
      </c>
      <c r="AB18" s="181" t="s">
        <v>102</v>
      </c>
    </row>
    <row r="19" spans="1:34" x14ac:dyDescent="0.25">
      <c r="A19" s="96" t="str">
        <f>'MKT DATA'!J2</f>
        <v>2026-08-24_13-44-54</v>
      </c>
      <c r="B19" s="96"/>
      <c r="C19" s="96"/>
    </row>
    <row r="20" spans="1:34" ht="15.75" thickBot="1" x14ac:dyDescent="0.3"/>
    <row r="21" spans="1:34" s="15" customFormat="1" x14ac:dyDescent="0.25">
      <c r="A21" s="85" t="s">
        <v>77</v>
      </c>
      <c r="B21" s="86"/>
      <c r="C21" s="143"/>
      <c r="D21" s="129"/>
      <c r="E21" s="153"/>
      <c r="F21" s="71" t="s">
        <v>83</v>
      </c>
      <c r="G21" s="71"/>
      <c r="H21" s="71"/>
      <c r="I21" s="72"/>
      <c r="J21" s="87" t="s">
        <v>79</v>
      </c>
      <c r="K21" s="88"/>
      <c r="L21" s="130">
        <v>5.0000000000000001E-3</v>
      </c>
      <c r="M21" s="130"/>
      <c r="N21" s="62"/>
      <c r="O21" s="131" t="s">
        <v>82</v>
      </c>
      <c r="P21" s="103"/>
      <c r="Q21" s="79" t="s">
        <v>73</v>
      </c>
      <c r="R21" s="80"/>
      <c r="S21" s="80"/>
      <c r="T21" s="81"/>
      <c r="U21" s="128"/>
      <c r="V21" s="236"/>
      <c r="Z21" s="97" t="s">
        <v>100</v>
      </c>
      <c r="AA21" s="97"/>
      <c r="AB21"/>
      <c r="AC21"/>
      <c r="AD21" s="37" t="s">
        <v>96</v>
      </c>
      <c r="AE21" s="38">
        <v>46233</v>
      </c>
      <c r="AF21" s="39"/>
      <c r="AG21" s="37" t="s">
        <v>96</v>
      </c>
      <c r="AH21" s="38">
        <v>46232</v>
      </c>
    </row>
    <row r="22" spans="1:34" s="18" customFormat="1" ht="15.75" thickBot="1" x14ac:dyDescent="0.3">
      <c r="A22" s="51" t="s">
        <v>76</v>
      </c>
      <c r="B22" s="52" t="s">
        <v>78</v>
      </c>
      <c r="C22" s="132" t="s">
        <v>68</v>
      </c>
      <c r="D22" s="133" t="s">
        <v>69</v>
      </c>
      <c r="E22" s="154" t="s">
        <v>95</v>
      </c>
      <c r="F22" s="152" t="s">
        <v>84</v>
      </c>
      <c r="G22" s="134" t="s">
        <v>112</v>
      </c>
      <c r="H22" s="135" t="s">
        <v>111</v>
      </c>
      <c r="I22" s="136" t="s">
        <v>85</v>
      </c>
      <c r="J22" s="137" t="s">
        <v>80</v>
      </c>
      <c r="K22" s="138" t="s">
        <v>81</v>
      </c>
      <c r="L22" s="139" t="s">
        <v>71</v>
      </c>
      <c r="M22" s="139" t="s">
        <v>72</v>
      </c>
      <c r="N22" s="140" t="s">
        <v>70</v>
      </c>
      <c r="O22" s="141" t="s">
        <v>74</v>
      </c>
      <c r="P22" s="142" t="s">
        <v>75</v>
      </c>
      <c r="Q22" s="63" t="s">
        <v>74</v>
      </c>
      <c r="R22" s="18" t="s">
        <v>75</v>
      </c>
      <c r="S22" s="64" t="s">
        <v>99</v>
      </c>
      <c r="T22" s="150" t="s">
        <v>36</v>
      </c>
      <c r="U22" s="63" t="s">
        <v>101</v>
      </c>
      <c r="V22" s="105" t="s">
        <v>102</v>
      </c>
      <c r="Z22" s="18" t="s">
        <v>101</v>
      </c>
      <c r="AA22" s="18" t="s">
        <v>102</v>
      </c>
      <c r="AB22"/>
      <c r="AC22"/>
      <c r="AD22" s="37" t="s">
        <v>97</v>
      </c>
      <c r="AE22" s="40" t="b">
        <v>1</v>
      </c>
      <c r="AF22" s="39"/>
      <c r="AG22" s="37" t="s">
        <v>97</v>
      </c>
      <c r="AH22" s="40" t="b">
        <v>1</v>
      </c>
    </row>
    <row r="23" spans="1:34" x14ac:dyDescent="0.25">
      <c r="A23" s="22">
        <f>MATCH(D23,'TRADING INPUTS'!B:B,0)</f>
        <v>20</v>
      </c>
      <c r="B23" s="53">
        <f>MATCH(D23,'MKT DATA'!B:B,0)</f>
        <v>37</v>
      </c>
      <c r="C23" s="23" t="s">
        <v>4</v>
      </c>
      <c r="D23" s="24" t="s">
        <v>24</v>
      </c>
      <c r="E23" s="158">
        <v>0.1002</v>
      </c>
      <c r="F23" s="46" cm="1">
        <f t="array" aca="1" ref="F23" ca="1">INDIRECT(ADDRESS($B23,9,,,"mkt data"))</f>
        <v>0</v>
      </c>
      <c r="G23" s="124">
        <f ca="1">F23*AVERAGE(J23:K23)</f>
        <v>0</v>
      </c>
      <c r="H23" s="46">
        <f ca="1">F23/N23</f>
        <v>0</v>
      </c>
      <c r="I23" s="73">
        <f ca="1">SUM(H23:H25)</f>
        <v>0</v>
      </c>
      <c r="J23" s="56" cm="1">
        <f t="array" aca="1" ref="J23" ca="1">INDIRECT(ADDRESS($B23,5,,,"mkt data"))</f>
        <v>44.86</v>
      </c>
      <c r="K23" s="57" cm="1">
        <f t="array" aca="1" ref="K23" ca="1">INDIRECT(ADDRESS($B23,6,,,"mkt data"))</f>
        <v>44.87</v>
      </c>
      <c r="L23" s="25">
        <f t="shared" ref="L23:L48" ca="1" si="5">J23-L$21</f>
        <v>44.854999999999997</v>
      </c>
      <c r="M23" s="25">
        <f t="shared" ref="M23:M48" ca="1" si="6">K23+L$21</f>
        <v>44.875</v>
      </c>
      <c r="N23" s="107" cm="1">
        <f t="array" aca="1" ref="N23" ca="1">INDIRECT(ADDRESS($A23,5,,,"trading inputs"))</f>
        <v>2.3507182105161237</v>
      </c>
      <c r="O23" s="26">
        <f t="shared" ref="O23:O40" ca="1" si="7">L23*N23</f>
        <v>105.44146533270072</v>
      </c>
      <c r="P23" s="26">
        <f t="shared" ref="P23:P40" ca="1" si="8">-N23*M23</f>
        <v>-105.48847969691106</v>
      </c>
      <c r="Q23" s="89">
        <f ca="1">MAX(O23:O25)</f>
        <v>105.44146533270072</v>
      </c>
      <c r="R23" s="76">
        <f ca="1">MAX(P23:P25)</f>
        <v>-105.38892451491958</v>
      </c>
      <c r="S23" s="76">
        <f ca="1">Q23+R23</f>
        <v>5.2540817781135729E-2</v>
      </c>
      <c r="T23" s="108">
        <f ca="1">S23/AVERAGE(ABS(Q23),ABS(R23))</f>
        <v>4.9841787817316192E-4</v>
      </c>
      <c r="U23" s="146">
        <f>Z23</f>
        <v>1E-3</v>
      </c>
      <c r="V23" s="147">
        <f>AA23</f>
        <v>1E-3</v>
      </c>
      <c r="Z23" s="82">
        <v>1E-3</v>
      </c>
      <c r="AA23" s="230">
        <v>1E-3</v>
      </c>
    </row>
    <row r="24" spans="1:34" x14ac:dyDescent="0.25">
      <c r="A24" s="27">
        <f>MATCH(D24,'TRADING INPUTS'!B:B,0)</f>
        <v>21</v>
      </c>
      <c r="B24" s="54">
        <f>MATCH(D24,'MKT DATA'!B:B,0)</f>
        <v>46</v>
      </c>
      <c r="C24" s="16" t="s">
        <v>4</v>
      </c>
      <c r="D24" s="14" t="s">
        <v>3</v>
      </c>
      <c r="E24" s="156">
        <v>0.1002</v>
      </c>
      <c r="F24" s="47" cm="1">
        <f t="array" aca="1" ref="F24" ca="1">INDIRECT(ADDRESS($B24,9,,,"mkt data"))</f>
        <v>0</v>
      </c>
      <c r="G24" s="125">
        <f t="shared" ref="G24:G48" ca="1" si="9">F24*AVERAGE(J24:K24)</f>
        <v>0</v>
      </c>
      <c r="H24" s="47">
        <f ca="1">F24/N24</f>
        <v>0</v>
      </c>
      <c r="I24" s="74"/>
      <c r="J24" s="58" cm="1">
        <f t="array" aca="1" ref="J24" ca="1">INDIRECT(ADDRESS($B24,5,,,"mkt data"))</f>
        <v>49.51</v>
      </c>
      <c r="K24" s="59" cm="1">
        <f t="array" aca="1" ref="K24" ca="1">INDIRECT(ADDRESS($B24,6,,,"mkt data"))</f>
        <v>49.52</v>
      </c>
      <c r="L24" s="28">
        <f t="shared" ca="1" si="5"/>
        <v>49.504999999999995</v>
      </c>
      <c r="M24" s="28">
        <f t="shared" ca="1" si="6"/>
        <v>49.525000000000006</v>
      </c>
      <c r="N24" s="115" cm="1">
        <f t="array" aca="1" ref="N24" ca="1">INDIRECT(ADDRESS($A24,5,,,"trading inputs"))</f>
        <v>2.1279944374542064</v>
      </c>
      <c r="O24" s="29">
        <f t="shared" ca="1" si="7"/>
        <v>105.34636462617047</v>
      </c>
      <c r="P24" s="29">
        <f t="shared" ca="1" si="8"/>
        <v>-105.38892451491958</v>
      </c>
      <c r="Q24" s="92"/>
      <c r="R24" s="94"/>
      <c r="S24" s="77"/>
      <c r="T24" s="151"/>
      <c r="U24" s="237" t="b">
        <f ca="1">IF(T23&gt;Z23,TRUE,FALSE)</f>
        <v>0</v>
      </c>
      <c r="V24" s="238" t="b" cm="1">
        <f t="array" aca="1" ref="V24" ca="1">AND(IF(SUM(ABS(F23:F25)),TRUE,FALSE),IF(T23&lt;V23,TRUE,FALSE))</f>
        <v>0</v>
      </c>
      <c r="Z24" s="83"/>
      <c r="AA24" s="231"/>
    </row>
    <row r="25" spans="1:34" ht="15.75" thickBot="1" x14ac:dyDescent="0.3">
      <c r="A25" s="30">
        <f>MATCH(D25,'TRADING INPUTS'!B:B,0)</f>
        <v>19</v>
      </c>
      <c r="B25" s="55">
        <f>MATCH(D25,'MKT DATA'!B:B,0)</f>
        <v>23</v>
      </c>
      <c r="C25" s="31" t="s">
        <v>4</v>
      </c>
      <c r="D25" s="32" t="s">
        <v>4</v>
      </c>
      <c r="E25" s="157">
        <v>0.1002</v>
      </c>
      <c r="F25" s="48" cm="1">
        <f t="array" aca="1" ref="F25" ca="1">INDIRECT(ADDRESS($B25,9,,,"mkt data"))</f>
        <v>0</v>
      </c>
      <c r="G25" s="126">
        <f t="shared" ca="1" si="9"/>
        <v>0</v>
      </c>
      <c r="H25" s="48">
        <f ca="1">F25/N25</f>
        <v>0</v>
      </c>
      <c r="I25" s="75"/>
      <c r="J25" s="60" cm="1">
        <f t="array" aca="1" ref="J25" ca="1">INDIRECT(ADDRESS($B25,5,,,"mkt data"))</f>
        <v>105.41</v>
      </c>
      <c r="K25" s="61" cm="1">
        <f t="array" aca="1" ref="K25" ca="1">INDIRECT(ADDRESS($B25,6,,,"mkt data"))</f>
        <v>105.42</v>
      </c>
      <c r="L25" s="33">
        <f t="shared" ca="1" si="5"/>
        <v>105.405</v>
      </c>
      <c r="M25" s="33">
        <f t="shared" ca="1" si="6"/>
        <v>105.425</v>
      </c>
      <c r="N25" s="110" cm="1">
        <f t="array" aca="1" ref="N25" ca="1">INDIRECT(ADDRESS($A25,5,,,"trading inputs"))</f>
        <v>1</v>
      </c>
      <c r="O25" s="34">
        <f t="shared" ca="1" si="7"/>
        <v>105.405</v>
      </c>
      <c r="P25" s="34">
        <f t="shared" ca="1" si="8"/>
        <v>-105.425</v>
      </c>
      <c r="Q25" s="93"/>
      <c r="R25" s="95"/>
      <c r="S25" s="78"/>
      <c r="T25" s="111"/>
      <c r="U25" s="66"/>
      <c r="V25" s="239"/>
      <c r="Z25" s="84"/>
      <c r="AA25" s="232"/>
    </row>
    <row r="26" spans="1:34" x14ac:dyDescent="0.25">
      <c r="A26" s="22">
        <f>MATCH(D26,'TRADING INPUTS'!B:B,0)</f>
        <v>17</v>
      </c>
      <c r="B26" s="53">
        <f>MATCH(D26,'MKT DATA'!B:B,0)</f>
        <v>35</v>
      </c>
      <c r="C26" s="23" t="s">
        <v>23</v>
      </c>
      <c r="D26" s="24" t="s">
        <v>21</v>
      </c>
      <c r="E26" s="158">
        <v>0.16500000000000001</v>
      </c>
      <c r="F26" s="46" cm="1">
        <f t="array" aca="1" ref="F26" ca="1">INDIRECT(ADDRESS($B26,9,,,"mkt data"))</f>
        <v>0</v>
      </c>
      <c r="G26" s="124">
        <f t="shared" ca="1" si="9"/>
        <v>0</v>
      </c>
      <c r="H26" s="46">
        <f ca="1">F26/N26</f>
        <v>0</v>
      </c>
      <c r="I26" s="73">
        <f ca="1">SUM(H26:H28)</f>
        <v>0</v>
      </c>
      <c r="J26" s="56" cm="1">
        <f t="array" aca="1" ref="J26" ca="1">INDIRECT(ADDRESS($B26,5,,,"mkt data"))</f>
        <v>22</v>
      </c>
      <c r="K26" s="57" cm="1">
        <f t="array" aca="1" ref="K26" ca="1">INDIRECT(ADDRESS($B26,6,,,"mkt data"))</f>
        <v>22.01</v>
      </c>
      <c r="L26" s="25">
        <f t="shared" ca="1" si="5"/>
        <v>21.995000000000001</v>
      </c>
      <c r="M26" s="25">
        <f t="shared" ca="1" si="6"/>
        <v>22.015000000000001</v>
      </c>
      <c r="N26" s="107" cm="1">
        <f t="array" aca="1" ref="N26" ca="1">INDIRECT(ADDRESS($A26,5,,,"trading inputs"))</f>
        <v>4.2369074132372297</v>
      </c>
      <c r="O26" s="26">
        <f t="shared" ca="1" si="7"/>
        <v>93.190778554152871</v>
      </c>
      <c r="P26" s="26">
        <f t="shared" ca="1" si="8"/>
        <v>-93.275516702417619</v>
      </c>
      <c r="Q26" s="89">
        <f ca="1">MAX(O26:O28)</f>
        <v>93.265000000000001</v>
      </c>
      <c r="R26" s="76">
        <f ca="1">MAX(P26:P28)</f>
        <v>-93.275516702417619</v>
      </c>
      <c r="S26" s="76">
        <f ca="1">Q26+R26</f>
        <v>-1.0516702417618262E-2</v>
      </c>
      <c r="T26" s="108">
        <f ca="1">S26/AVERAGE(ABS(Q26),ABS(R26))</f>
        <v>-1.127551547891897E-4</v>
      </c>
      <c r="U26" s="146">
        <f>Z26</f>
        <v>8.0000000000000004E-4</v>
      </c>
      <c r="V26" s="147">
        <f>AA26</f>
        <v>8.0000000000000004E-4</v>
      </c>
      <c r="Z26" s="82">
        <v>8.0000000000000004E-4</v>
      </c>
      <c r="AA26" s="230">
        <v>8.0000000000000004E-4</v>
      </c>
    </row>
    <row r="27" spans="1:34" x14ac:dyDescent="0.25">
      <c r="A27" s="27">
        <f>MATCH(D27,'TRADING INPUTS'!B:B,0)</f>
        <v>18</v>
      </c>
      <c r="B27" s="54">
        <f>MATCH(D27,'MKT DATA'!B:B,0)</f>
        <v>44</v>
      </c>
      <c r="C27" s="16" t="s">
        <v>23</v>
      </c>
      <c r="D27" s="14" t="s">
        <v>22</v>
      </c>
      <c r="E27" s="160">
        <v>0.16500000000000001</v>
      </c>
      <c r="F27" s="47" cm="1">
        <f t="array" aca="1" ref="F27" ca="1">INDIRECT(ADDRESS($B27,9,,,"mkt data"))</f>
        <v>0</v>
      </c>
      <c r="G27" s="125">
        <f t="shared" ca="1" si="9"/>
        <v>0</v>
      </c>
      <c r="H27" s="47">
        <f ca="1">F27/N27</f>
        <v>0</v>
      </c>
      <c r="I27" s="74"/>
      <c r="J27" s="58" cm="1">
        <f t="array" aca="1" ref="J27" ca="1">INDIRECT(ADDRESS($B27,5,,,"mkt data"))</f>
        <v>46.22</v>
      </c>
      <c r="K27" s="59" cm="1">
        <f t="array" aca="1" ref="K27" ca="1">INDIRECT(ADDRESS($B27,6,,,"mkt data"))</f>
        <v>46.23</v>
      </c>
      <c r="L27" s="28">
        <f t="shared" ca="1" si="5"/>
        <v>46.214999999999996</v>
      </c>
      <c r="M27" s="28">
        <f t="shared" ca="1" si="6"/>
        <v>46.234999999999999</v>
      </c>
      <c r="N27" s="115" cm="1">
        <f t="array" aca="1" ref="N27" ca="1">INDIRECT(ADDRESS($A27,5,,,"trading inputs"))</f>
        <v>2.0176968019298478</v>
      </c>
      <c r="O27" s="29">
        <f t="shared" ca="1" si="7"/>
        <v>93.247857701187911</v>
      </c>
      <c r="P27" s="29">
        <f t="shared" ca="1" si="8"/>
        <v>-93.28821163722651</v>
      </c>
      <c r="Q27" s="92"/>
      <c r="R27" s="94"/>
      <c r="S27" s="77"/>
      <c r="T27" s="151"/>
      <c r="U27" s="237" t="b">
        <f ca="1">IF(T26&gt;Z26,TRUE,FALSE)</f>
        <v>0</v>
      </c>
      <c r="V27" s="238" t="b" cm="1">
        <f t="array" aca="1" ref="V27" ca="1">AND(IF(SUM(ABS(F26:F28)),TRUE,FALSE),IF(T26&lt;V26,TRUE,FALSE))</f>
        <v>0</v>
      </c>
      <c r="Z27" s="83"/>
      <c r="AA27" s="231"/>
    </row>
    <row r="28" spans="1:34" ht="15.75" thickBot="1" x14ac:dyDescent="0.3">
      <c r="A28" s="30">
        <f>MATCH(D28,'TRADING INPUTS'!B:B,0)</f>
        <v>16</v>
      </c>
      <c r="B28" s="55">
        <f>MATCH(D28,'MKT DATA'!B:B,0)</f>
        <v>22</v>
      </c>
      <c r="C28" s="31" t="s">
        <v>23</v>
      </c>
      <c r="D28" s="32" t="s">
        <v>23</v>
      </c>
      <c r="E28" s="159">
        <v>0.16500000000000001</v>
      </c>
      <c r="F28" s="48" cm="1">
        <f t="array" aca="1" ref="F28" ca="1">INDIRECT(ADDRESS($B28,9,,,"mkt data"))</f>
        <v>0</v>
      </c>
      <c r="G28" s="126">
        <f t="shared" ca="1" si="9"/>
        <v>0</v>
      </c>
      <c r="H28" s="48">
        <f ca="1">F28/N28</f>
        <v>0</v>
      </c>
      <c r="I28" s="75"/>
      <c r="J28" s="60" cm="1">
        <f t="array" aca="1" ref="J28" ca="1">INDIRECT(ADDRESS($B28,5,,,"mkt data"))</f>
        <v>93.27</v>
      </c>
      <c r="K28" s="61" cm="1">
        <f t="array" aca="1" ref="K28" ca="1">INDIRECT(ADDRESS($B28,6,,,"mkt data"))</f>
        <v>93.28</v>
      </c>
      <c r="L28" s="33">
        <f t="shared" ca="1" si="5"/>
        <v>93.265000000000001</v>
      </c>
      <c r="M28" s="33">
        <f t="shared" ca="1" si="6"/>
        <v>93.284999999999997</v>
      </c>
      <c r="N28" s="110" cm="1">
        <f t="array" aca="1" ref="N28" ca="1">INDIRECT(ADDRESS($A28,5,,,"trading inputs"))</f>
        <v>1</v>
      </c>
      <c r="O28" s="34">
        <f t="shared" ca="1" si="7"/>
        <v>93.265000000000001</v>
      </c>
      <c r="P28" s="34">
        <f t="shared" ca="1" si="8"/>
        <v>-93.284999999999997</v>
      </c>
      <c r="Q28" s="93"/>
      <c r="R28" s="95"/>
      <c r="S28" s="78"/>
      <c r="T28" s="111"/>
      <c r="U28" s="66"/>
      <c r="V28" s="239"/>
      <c r="Z28" s="84"/>
      <c r="AA28" s="232"/>
    </row>
    <row r="29" spans="1:34" x14ac:dyDescent="0.25">
      <c r="A29" s="22">
        <f>MATCH(D29,'TRADING INPUTS'!B:B,0)</f>
        <v>7</v>
      </c>
      <c r="B29" s="53">
        <f>MATCH(D29,'MKT DATA'!B:B,0)</f>
        <v>32</v>
      </c>
      <c r="C29" s="23" t="s">
        <v>35</v>
      </c>
      <c r="D29" s="24" t="s">
        <v>32</v>
      </c>
      <c r="E29" s="158">
        <v>0.16500000000000001</v>
      </c>
      <c r="F29" s="46" cm="1">
        <f t="array" aca="1" ref="F29" ca="1">INDIRECT(ADDRESS($B29,9,,,"mkt data"))</f>
        <v>0</v>
      </c>
      <c r="G29" s="124">
        <f t="shared" ca="1" si="9"/>
        <v>0</v>
      </c>
      <c r="H29" s="46">
        <f ca="1">F29/N29</f>
        <v>0</v>
      </c>
      <c r="I29" s="68">
        <f ca="1">SUM(H29:H32)</f>
        <v>0.26283585171091772</v>
      </c>
      <c r="J29" s="56" cm="1">
        <f t="array" aca="1" ref="J29" ca="1">INDIRECT(ADDRESS($B29,5,,,"mkt data"))</f>
        <v>28.43</v>
      </c>
      <c r="K29" s="57" cm="1">
        <f t="array" aca="1" ref="K29" ca="1">INDIRECT(ADDRESS($B29,6,,,"mkt data"))</f>
        <v>28.44</v>
      </c>
      <c r="L29" s="25">
        <f ca="1">J29-L$21</f>
        <v>28.425000000000001</v>
      </c>
      <c r="M29" s="25">
        <f ca="1">K29+L$21</f>
        <v>28.445</v>
      </c>
      <c r="N29" s="107" cm="1">
        <f t="array" aca="1" ref="N29" ca="1">INDIRECT(ADDRESS($A29,5,,,"trading inputs"))</f>
        <v>3.3419405770574726</v>
      </c>
      <c r="O29" s="26">
        <f t="shared" ref="O29:O31" ca="1" si="10">L29*N29</f>
        <v>94.994660902858655</v>
      </c>
      <c r="P29" s="26">
        <f t="shared" ref="P29:P31" ca="1" si="11">-N29*M29</f>
        <v>-95.061499714399815</v>
      </c>
      <c r="Q29" s="89">
        <f ca="1">MAX(O29:O32)</f>
        <v>95.042378639677509</v>
      </c>
      <c r="R29" s="76">
        <f ca="1">MAX(P29:P32)</f>
        <v>-95.024999999999991</v>
      </c>
      <c r="S29" s="76">
        <f ca="1">Q29+R29</f>
        <v>1.7378639677517072E-2</v>
      </c>
      <c r="T29" s="108">
        <f ca="1">S29/AVERAGE(ABS(Q29),ABS(R29))</f>
        <v>1.8286819970788186E-4</v>
      </c>
      <c r="U29" s="65"/>
      <c r="V29" s="248"/>
      <c r="Z29" s="82">
        <v>1E-3</v>
      </c>
      <c r="AA29" s="230">
        <v>8.0000000000000004E-4</v>
      </c>
    </row>
    <row r="30" spans="1:34" x14ac:dyDescent="0.25">
      <c r="A30" s="27">
        <f>MATCH(D30,'TRADING INPUTS'!B:B,0)</f>
        <v>8</v>
      </c>
      <c r="B30" s="54">
        <f>MATCH(D30,'MKT DATA'!B:B,0)</f>
        <v>40</v>
      </c>
      <c r="C30" s="16" t="s">
        <v>35</v>
      </c>
      <c r="D30" s="14" t="s">
        <v>33</v>
      </c>
      <c r="E30" s="160">
        <v>0.16500000000000001</v>
      </c>
      <c r="F30" s="47" cm="1">
        <f t="array" aca="1" ref="F30" ca="1">INDIRECT(ADDRESS($B30,9,,,"mkt data"))</f>
        <v>0</v>
      </c>
      <c r="G30" s="125">
        <f t="shared" ca="1" si="9"/>
        <v>0</v>
      </c>
      <c r="H30" s="47">
        <f ca="1">F30/N30</f>
        <v>0</v>
      </c>
      <c r="I30" s="69"/>
      <c r="J30" s="58" cm="1">
        <f t="array" aca="1" ref="J30" ca="1">INDIRECT(ADDRESS($B30,5,,,"mkt data"))</f>
        <v>50.29</v>
      </c>
      <c r="K30" s="59" cm="1">
        <f t="array" aca="1" ref="K30" ca="1">INDIRECT(ADDRESS($B30,6,,,"mkt data"))</f>
        <v>50.3</v>
      </c>
      <c r="L30" s="28">
        <f ca="1">J30-L$21</f>
        <v>50.284999999999997</v>
      </c>
      <c r="M30" s="28">
        <f ca="1">K30+L$21</f>
        <v>50.305</v>
      </c>
      <c r="N30" s="115" cm="1">
        <f t="array" aca="1" ref="N30" ca="1">INDIRECT(ADDRESS($A30,5,,,"trading inputs"))</f>
        <v>1.8900741501377651</v>
      </c>
      <c r="O30" s="29">
        <f t="shared" ca="1" si="10"/>
        <v>95.042378639677509</v>
      </c>
      <c r="P30" s="29">
        <f t="shared" ca="1" si="11"/>
        <v>-95.080180122680275</v>
      </c>
      <c r="Q30" s="90"/>
      <c r="R30" s="77"/>
      <c r="S30" s="77"/>
      <c r="T30" s="151"/>
      <c r="U30" s="250">
        <f>Z29</f>
        <v>1E-3</v>
      </c>
      <c r="V30" s="251">
        <f>AA29</f>
        <v>8.0000000000000004E-4</v>
      </c>
      <c r="W30" s="17">
        <f ca="1">O31+P32</f>
        <v>-2.9010715161206235E-3</v>
      </c>
      <c r="X30" s="244">
        <f ca="1">W30/AVERAGE(J32:K32)</f>
        <v>-3.0532773942226209E-5</v>
      </c>
      <c r="Z30" s="83"/>
      <c r="AA30" s="231"/>
    </row>
    <row r="31" spans="1:34" x14ac:dyDescent="0.25">
      <c r="A31" s="27">
        <f>MATCH(D31,'TRADING INPUTS'!B:B,0)</f>
        <v>9</v>
      </c>
      <c r="B31" s="54">
        <f>MATCH(D31,'MKT DATA'!B:B,0)</f>
        <v>45</v>
      </c>
      <c r="C31" s="16" t="s">
        <v>35</v>
      </c>
      <c r="D31" s="14" t="s">
        <v>34</v>
      </c>
      <c r="E31" s="160">
        <v>0.16500000000000001</v>
      </c>
      <c r="F31" s="47" cm="1">
        <f t="array" aca="1" ref="F31" ca="1">INDIRECT(ADDRESS($B31,9,,,"mkt data"))</f>
        <v>253</v>
      </c>
      <c r="G31" s="125">
        <f t="shared" ca="1" si="9"/>
        <v>19031.924999999999</v>
      </c>
      <c r="H31" s="47">
        <f ca="1">F31/N31</f>
        <v>200.26283585171092</v>
      </c>
      <c r="I31" s="69"/>
      <c r="J31" s="58" cm="1">
        <f t="array" aca="1" ref="J31" ca="1">INDIRECT(ADDRESS($B31,5,,,"mkt data"))</f>
        <v>75.22</v>
      </c>
      <c r="K31" s="59" cm="1">
        <f t="array" aca="1" ref="K31" ca="1">INDIRECT(ADDRESS($B31,6,,,"mkt data"))</f>
        <v>75.23</v>
      </c>
      <c r="L31" s="28">
        <f ca="1">J31-L$21</f>
        <v>75.215000000000003</v>
      </c>
      <c r="M31" s="28">
        <f ca="1">K31+L$21</f>
        <v>75.234999999999999</v>
      </c>
      <c r="N31" s="115" cm="1">
        <f t="array" aca="1" ref="N31" ca="1">INDIRECT(ADDRESS($A31,5,,,"trading inputs"))</f>
        <v>1.2633397451104682</v>
      </c>
      <c r="O31" s="29">
        <f t="shared" ca="1" si="10"/>
        <v>95.022098928483871</v>
      </c>
      <c r="P31" s="29">
        <f t="shared" ca="1" si="11"/>
        <v>-95.047365723386079</v>
      </c>
      <c r="Q31" s="90"/>
      <c r="R31" s="77"/>
      <c r="S31" s="77"/>
      <c r="T31" s="151"/>
      <c r="U31" s="237" t="b">
        <f ca="1">IF(T29&gt;Z29,TRUE,FALSE)</f>
        <v>0</v>
      </c>
      <c r="V31" s="238" t="b" cm="1">
        <f t="array" aca="1" ref="V31" ca="1">AND(IF(SUM(ABS(F29:F31)),TRUE,FALSE),IF(T29&lt;V30,TRUE,FALSE))</f>
        <v>1</v>
      </c>
      <c r="Z31" s="83"/>
      <c r="AA31" s="231"/>
    </row>
    <row r="32" spans="1:34" ht="15.75" thickBot="1" x14ac:dyDescent="0.3">
      <c r="A32" s="30">
        <f>MATCH(D32,'TRADING INPUTS'!B:B,0)</f>
        <v>6</v>
      </c>
      <c r="B32" s="55">
        <f>MATCH(D32,'MKT DATA'!B:B,0)</f>
        <v>8</v>
      </c>
      <c r="C32" s="31" t="s">
        <v>35</v>
      </c>
      <c r="D32" s="32" t="s">
        <v>35</v>
      </c>
      <c r="E32" s="159">
        <v>0.16500000000000001</v>
      </c>
      <c r="F32" s="48" cm="1">
        <f t="array" aca="1" ref="F32" ca="1">INDIRECT(ADDRESS($B32,9,,,"mkt data"))</f>
        <v>-200</v>
      </c>
      <c r="G32" s="126">
        <f t="shared" ca="1" si="9"/>
        <v>-19003</v>
      </c>
      <c r="H32" s="48">
        <f ca="1">F32/N32</f>
        <v>-200</v>
      </c>
      <c r="I32" s="70"/>
      <c r="J32" s="60" cm="1">
        <f t="array" aca="1" ref="J32" ca="1">INDIRECT(ADDRESS($B32,5,,,"mkt data"))</f>
        <v>95.01</v>
      </c>
      <c r="K32" s="61" cm="1">
        <f t="array" aca="1" ref="K32" ca="1">INDIRECT(ADDRESS($B32,6,,,"mkt data"))</f>
        <v>95.02</v>
      </c>
      <c r="L32" s="33">
        <f ca="1">J32-L$21</f>
        <v>95.00500000000001</v>
      </c>
      <c r="M32" s="33">
        <f ca="1">K32+L$21</f>
        <v>95.024999999999991</v>
      </c>
      <c r="N32" s="110" cm="1">
        <f t="array" aca="1" ref="N32" ca="1">INDIRECT(ADDRESS($A32,5,,,"trading inputs"))</f>
        <v>1</v>
      </c>
      <c r="O32" s="34">
        <f ca="1">L32*N32</f>
        <v>95.00500000000001</v>
      </c>
      <c r="P32" s="34">
        <f ca="1">-N32*M32</f>
        <v>-95.024999999999991</v>
      </c>
      <c r="Q32" s="91"/>
      <c r="R32" s="78"/>
      <c r="S32" s="78"/>
      <c r="T32" s="111"/>
      <c r="U32" s="66"/>
      <c r="V32" s="239"/>
      <c r="Z32" s="84"/>
      <c r="AA32" s="232"/>
    </row>
    <row r="33" spans="1:27" x14ac:dyDescent="0.25">
      <c r="A33" s="22">
        <f>MATCH(D33,'TRADING INPUTS'!B:B,0)</f>
        <v>14</v>
      </c>
      <c r="B33" s="53">
        <f>MATCH(D33,'MKT DATA'!B:B,0)</f>
        <v>33</v>
      </c>
      <c r="C33" s="23" t="s">
        <v>20</v>
      </c>
      <c r="D33" s="24" t="s">
        <v>15</v>
      </c>
      <c r="E33" s="158">
        <v>0.27500000000000002</v>
      </c>
      <c r="F33" s="46" cm="1">
        <f t="array" aca="1" ref="F33" ca="1">INDIRECT(ADDRESS($B33,9,,,"mkt data"))</f>
        <v>0</v>
      </c>
      <c r="G33" s="124">
        <f t="shared" ca="1" si="9"/>
        <v>0</v>
      </c>
      <c r="H33" s="46">
        <f ca="1">F33/N33</f>
        <v>0</v>
      </c>
      <c r="I33" s="98">
        <f ca="1">SUM(H33:H38)</f>
        <v>0</v>
      </c>
      <c r="J33" s="56" cm="1">
        <f t="array" aca="1" ref="J33" ca="1">INDIRECT(ADDRESS($B33,5,,,"mkt data"))</f>
        <v>23.3</v>
      </c>
      <c r="K33" s="57" cm="1">
        <f t="array" aca="1" ref="K33" ca="1">INDIRECT(ADDRESS($B33,6,,,"mkt data"))</f>
        <v>23.31</v>
      </c>
      <c r="L33" s="25">
        <f ca="1">J33-L$21</f>
        <v>23.295000000000002</v>
      </c>
      <c r="M33" s="25">
        <f ca="1">K33+L$21</f>
        <v>23.314999999999998</v>
      </c>
      <c r="N33" s="107" cm="1">
        <f t="array" aca="1" ref="N33" ca="1">INDIRECT(ADDRESS($A33,5,,,"trading inputs"))</f>
        <v>4.114682428785196</v>
      </c>
      <c r="O33" s="26">
        <f t="shared" ref="O33:O38" ca="1" si="12">L33*N33</f>
        <v>95.851527178551152</v>
      </c>
      <c r="P33" s="26">
        <f t="shared" ref="P33:P38" ca="1" si="13">-N33*M33</f>
        <v>-95.933820827126837</v>
      </c>
      <c r="Q33" s="89">
        <f ca="1">MAX(O33:O38)</f>
        <v>95.905000000000001</v>
      </c>
      <c r="R33" s="76">
        <f ca="1">MAX(P33:P38)</f>
        <v>-95.897037845128168</v>
      </c>
      <c r="S33" s="76">
        <f ca="1">Q33+R33</f>
        <v>7.9621548718336044E-3</v>
      </c>
      <c r="T33" s="108">
        <f ca="1">S33/AVERAGE(ABS(Q33),ABS(R33))</f>
        <v>8.3024716121761957E-5</v>
      </c>
      <c r="U33" s="65"/>
      <c r="V33" s="248"/>
      <c r="Z33" s="82">
        <v>1E-3</v>
      </c>
      <c r="AA33" s="230">
        <v>8.0000000000000004E-4</v>
      </c>
    </row>
    <row r="34" spans="1:27" x14ac:dyDescent="0.25">
      <c r="A34" s="27">
        <f>MATCH(D34,'TRADING INPUTS'!B:B,0)</f>
        <v>13</v>
      </c>
      <c r="B34" s="54">
        <f>MATCH(D34,'MKT DATA'!B:B,0)</f>
        <v>30</v>
      </c>
      <c r="C34" s="16" t="s">
        <v>20</v>
      </c>
      <c r="D34" s="14" t="s">
        <v>16</v>
      </c>
      <c r="E34" s="160">
        <v>0.27500000000000002</v>
      </c>
      <c r="F34" s="47" cm="1">
        <f t="array" aca="1" ref="F34" ca="1">INDIRECT(ADDRESS($B34,9,,,"mkt data"))</f>
        <v>0</v>
      </c>
      <c r="G34" s="125">
        <f t="shared" ca="1" si="9"/>
        <v>0</v>
      </c>
      <c r="H34" s="47">
        <f ca="1">F34/N34</f>
        <v>0</v>
      </c>
      <c r="I34" s="99"/>
      <c r="J34" s="58" cm="1">
        <f t="array" aca="1" ref="J34" ca="1">INDIRECT(ADDRESS($B34,5,,,"mkt data"))</f>
        <v>26.03</v>
      </c>
      <c r="K34" s="59" cm="1">
        <f t="array" aca="1" ref="K34" ca="1">INDIRECT(ADDRESS($B34,6,,,"mkt data"))</f>
        <v>26.04</v>
      </c>
      <c r="L34" s="28">
        <f ca="1">J34-L$21</f>
        <v>26.025000000000002</v>
      </c>
      <c r="M34" s="28">
        <f ca="1">K34+L$21</f>
        <v>26.044999999999998</v>
      </c>
      <c r="N34" s="115" cm="1">
        <f t="array" aca="1" ref="N34" ca="1">INDIRECT(ADDRESS($A34,5,,,"trading inputs"))</f>
        <v>3.6819749604579832</v>
      </c>
      <c r="O34" s="29">
        <f t="shared" ca="1" si="12"/>
        <v>95.823398345919017</v>
      </c>
      <c r="P34" s="29">
        <f t="shared" ca="1" si="13"/>
        <v>-95.897037845128168</v>
      </c>
      <c r="Q34" s="90"/>
      <c r="R34" s="77"/>
      <c r="S34" s="77"/>
      <c r="T34" s="151"/>
      <c r="U34" s="66"/>
      <c r="V34" s="239"/>
      <c r="Z34" s="83"/>
      <c r="AA34" s="231"/>
    </row>
    <row r="35" spans="1:27" x14ac:dyDescent="0.25">
      <c r="A35" s="27">
        <f>MATCH(D35,'TRADING INPUTS'!B:B,0)</f>
        <v>11</v>
      </c>
      <c r="B35" s="54">
        <f>MATCH(D35,'MKT DATA'!B:B,0)</f>
        <v>14</v>
      </c>
      <c r="C35" s="16" t="s">
        <v>20</v>
      </c>
      <c r="D35" s="14" t="s">
        <v>17</v>
      </c>
      <c r="E35" s="160">
        <v>0.27500000000000002</v>
      </c>
      <c r="F35" s="47" cm="1">
        <f t="array" aca="1" ref="F35" ca="1">INDIRECT(ADDRESS($B35,9,,,"mkt data"))</f>
        <v>0</v>
      </c>
      <c r="G35" s="125">
        <f t="shared" ca="1" si="9"/>
        <v>0</v>
      </c>
      <c r="H35" s="47">
        <f ca="1">F35/N35</f>
        <v>0</v>
      </c>
      <c r="I35" s="99"/>
      <c r="J35" s="58" cm="1">
        <f t="array" aca="1" ref="J35" ca="1">INDIRECT(ADDRESS($B35,5,,,"mkt data"))</f>
        <v>36.35</v>
      </c>
      <c r="K35" s="59" cm="1">
        <f t="array" aca="1" ref="K35" ca="1">INDIRECT(ADDRESS($B35,6,,,"mkt data"))</f>
        <v>36.36</v>
      </c>
      <c r="L35" s="28">
        <f ca="1">J35-L$21</f>
        <v>36.344999999999999</v>
      </c>
      <c r="M35" s="28">
        <f ca="1">K35+L$21</f>
        <v>36.365000000000002</v>
      </c>
      <c r="N35" s="115" cm="1">
        <f t="array" aca="1" ref="N35" ca="1">INDIRECT(ADDRESS($A35,5,,,"trading inputs"))</f>
        <v>2.6377148772491426</v>
      </c>
      <c r="O35" s="29">
        <f t="shared" ca="1" si="12"/>
        <v>95.867747213620078</v>
      </c>
      <c r="P35" s="29">
        <f t="shared" ca="1" si="13"/>
        <v>-95.920501511165071</v>
      </c>
      <c r="Q35" s="90"/>
      <c r="R35" s="77"/>
      <c r="S35" s="77"/>
      <c r="T35" s="151"/>
      <c r="U35" s="250">
        <f>Z33</f>
        <v>1E-3</v>
      </c>
      <c r="V35" s="251">
        <f>AA33</f>
        <v>8.0000000000000004E-4</v>
      </c>
      <c r="Z35" s="83"/>
      <c r="AA35" s="231"/>
    </row>
    <row r="36" spans="1:27" x14ac:dyDescent="0.25">
      <c r="A36" s="27">
        <f>MATCH(D36,'TRADING INPUTS'!B:B,0)</f>
        <v>15</v>
      </c>
      <c r="B36" s="54">
        <f>MATCH(D36,'MKT DATA'!B:B,0)</f>
        <v>39</v>
      </c>
      <c r="C36" s="16" t="s">
        <v>20</v>
      </c>
      <c r="D36" s="14" t="s">
        <v>18</v>
      </c>
      <c r="E36" s="160">
        <v>0.27500000000000002</v>
      </c>
      <c r="F36" s="47" cm="1">
        <f t="array" aca="1" ref="F36" ca="1">INDIRECT(ADDRESS($B36,9,,,"mkt data"))</f>
        <v>0</v>
      </c>
      <c r="G36" s="125">
        <f t="shared" ca="1" si="9"/>
        <v>0</v>
      </c>
      <c r="H36" s="47">
        <f ca="1">F36/N36</f>
        <v>0</v>
      </c>
      <c r="I36" s="99"/>
      <c r="J36" s="58" cm="1">
        <f t="array" aca="1" ref="J36" ca="1">INDIRECT(ADDRESS($B36,5,,,"mkt data"))</f>
        <v>36.85</v>
      </c>
      <c r="K36" s="59" cm="1">
        <f t="array" aca="1" ref="K36" ca="1">INDIRECT(ADDRESS($B36,6,,,"mkt data"))</f>
        <v>36.86</v>
      </c>
      <c r="L36" s="28">
        <f ca="1">J36-L$21</f>
        <v>36.844999999999999</v>
      </c>
      <c r="M36" s="28">
        <f ca="1">K36+L$21</f>
        <v>36.865000000000002</v>
      </c>
      <c r="N36" s="115" cm="1">
        <f t="array" aca="1" ref="N36" ca="1">INDIRECT(ADDRESS($A36,5,,,"trading inputs"))</f>
        <v>2.6020789438424528</v>
      </c>
      <c r="O36" s="29">
        <f t="shared" ca="1" si="12"/>
        <v>95.873598685875166</v>
      </c>
      <c r="P36" s="29">
        <f t="shared" ca="1" si="13"/>
        <v>-95.925640264752019</v>
      </c>
      <c r="Q36" s="90"/>
      <c r="R36" s="77"/>
      <c r="S36" s="77"/>
      <c r="T36" s="151"/>
      <c r="U36" s="237" t="b">
        <f ca="1">IF(T33&gt;Z33,TRUE,FALSE)</f>
        <v>0</v>
      </c>
      <c r="V36" s="238" t="b" cm="1">
        <f t="array" aca="1" ref="V36" ca="1">AND(IF(SUM(ABS(F33:F35)),TRUE,FALSE),IF(T33&lt;V35,TRUE,FALSE))</f>
        <v>0</v>
      </c>
      <c r="Z36" s="83"/>
      <c r="AA36" s="231"/>
    </row>
    <row r="37" spans="1:27" x14ac:dyDescent="0.25">
      <c r="A37" s="27">
        <f>MATCH(D37,'TRADING INPUTS'!B:B,0)</f>
        <v>10</v>
      </c>
      <c r="B37" s="54">
        <f>MATCH(D37,'MKT DATA'!B:B,0)</f>
        <v>13</v>
      </c>
      <c r="C37" s="16" t="s">
        <v>20</v>
      </c>
      <c r="D37" s="14" t="s">
        <v>19</v>
      </c>
      <c r="E37" s="160">
        <v>0.27500000000000002</v>
      </c>
      <c r="F37" s="47" cm="1">
        <f t="array" aca="1" ref="F37" ca="1">INDIRECT(ADDRESS($B37,9,,,"mkt data"))</f>
        <v>0</v>
      </c>
      <c r="G37" s="125">
        <f t="shared" ca="1" si="9"/>
        <v>0</v>
      </c>
      <c r="H37" s="47">
        <f ca="1">F37/N37</f>
        <v>0</v>
      </c>
      <c r="I37" s="99"/>
      <c r="J37" s="58" cm="1">
        <f t="array" aca="1" ref="J37" ca="1">INDIRECT(ADDRESS($B37,5,,,"mkt data"))</f>
        <v>79.67</v>
      </c>
      <c r="K37" s="59" cm="1">
        <f t="array" aca="1" ref="K37" ca="1">INDIRECT(ADDRESS($B37,6,,,"mkt data"))</f>
        <v>79.680000000000007</v>
      </c>
      <c r="L37" s="28">
        <f ca="1">J37-L$21</f>
        <v>79.665000000000006</v>
      </c>
      <c r="M37" s="28">
        <f ca="1">K37+L$21</f>
        <v>79.685000000000002</v>
      </c>
      <c r="N37" s="115" cm="1">
        <f t="array" aca="1" ref="N37" ca="1">INDIRECT(ADDRESS($A37,5,,,"trading inputs"))</f>
        <v>1.20373475983186</v>
      </c>
      <c r="O37" s="29">
        <f t="shared" ca="1" si="12"/>
        <v>95.89552964200513</v>
      </c>
      <c r="P37" s="29">
        <f t="shared" ca="1" si="13"/>
        <v>-95.919604337201761</v>
      </c>
      <c r="Q37" s="90"/>
      <c r="R37" s="77"/>
      <c r="S37" s="77"/>
      <c r="T37" s="151"/>
      <c r="U37" s="66"/>
      <c r="V37" s="239"/>
      <c r="Z37" s="83"/>
      <c r="AA37" s="231"/>
    </row>
    <row r="38" spans="1:27" ht="15.75" thickBot="1" x14ac:dyDescent="0.3">
      <c r="A38" s="30">
        <f>MATCH(D38,'TRADING INPUTS'!B:B,0)</f>
        <v>12</v>
      </c>
      <c r="B38" s="55">
        <f>MATCH(D38,'MKT DATA'!B:B,0)</f>
        <v>20</v>
      </c>
      <c r="C38" s="31" t="s">
        <v>20</v>
      </c>
      <c r="D38" s="32" t="s">
        <v>20</v>
      </c>
      <c r="E38" s="159">
        <v>0.27500000000000002</v>
      </c>
      <c r="F38" s="48" cm="1">
        <f t="array" aca="1" ref="F38" ca="1">INDIRECT(ADDRESS($B38,9,,,"mkt data"))</f>
        <v>0</v>
      </c>
      <c r="G38" s="126">
        <f t="shared" ca="1" si="9"/>
        <v>0</v>
      </c>
      <c r="H38" s="48">
        <f ca="1">F38/N38</f>
        <v>0</v>
      </c>
      <c r="I38" s="100"/>
      <c r="J38" s="60" cm="1">
        <f t="array" aca="1" ref="J38" ca="1">INDIRECT(ADDRESS($B38,5,,,"mkt data"))</f>
        <v>95.91</v>
      </c>
      <c r="K38" s="61" cm="1">
        <f t="array" aca="1" ref="K38" ca="1">INDIRECT(ADDRESS($B38,6,,,"mkt data"))</f>
        <v>95.92</v>
      </c>
      <c r="L38" s="33">
        <f ca="1">J38-L$21</f>
        <v>95.905000000000001</v>
      </c>
      <c r="M38" s="33">
        <f ca="1">K38+L$21</f>
        <v>95.924999999999997</v>
      </c>
      <c r="N38" s="110" cm="1">
        <f t="array" aca="1" ref="N38" ca="1">INDIRECT(ADDRESS($A38,5,,,"trading inputs"))</f>
        <v>1</v>
      </c>
      <c r="O38" s="34">
        <f t="shared" ca="1" si="12"/>
        <v>95.905000000000001</v>
      </c>
      <c r="P38" s="34">
        <f t="shared" ca="1" si="13"/>
        <v>-95.924999999999997</v>
      </c>
      <c r="Q38" s="91"/>
      <c r="R38" s="78"/>
      <c r="S38" s="78"/>
      <c r="T38" s="111"/>
      <c r="U38" s="67"/>
      <c r="V38" s="249"/>
      <c r="Z38" s="84"/>
      <c r="AA38" s="232"/>
    </row>
    <row r="39" spans="1:27" s="178" customFormat="1" x14ac:dyDescent="0.25">
      <c r="A39" s="161">
        <f>MATCH(D39,'TRADING INPUTS'!B:B,0)</f>
        <v>26</v>
      </c>
      <c r="B39" s="162">
        <f>MATCH(D39,'MKT DATA'!B:B,0)</f>
        <v>36</v>
      </c>
      <c r="C39" s="163" t="s">
        <v>31</v>
      </c>
      <c r="D39" s="164" t="s">
        <v>28</v>
      </c>
      <c r="E39" s="245"/>
      <c r="F39" s="165" cm="1">
        <f t="array" aca="1" ref="F39" ca="1">INDIRECT(ADDRESS($B39,9,,,"mkt data"))</f>
        <v>0</v>
      </c>
      <c r="G39" s="166">
        <f t="shared" ca="1" si="9"/>
        <v>0</v>
      </c>
      <c r="H39" s="165">
        <f ca="1">F39/N39</f>
        <v>0</v>
      </c>
      <c r="I39" s="201">
        <f ca="1">SUM(H39:H41)</f>
        <v>-3764</v>
      </c>
      <c r="J39" s="168" cm="1">
        <f t="array" aca="1" ref="J39" ca="1">INDIRECT(ADDRESS($B39,5,,,"mkt data"))</f>
        <v>25.23</v>
      </c>
      <c r="K39" s="169" cm="1">
        <f t="array" aca="1" ref="K39" ca="1">INDIRECT(ADDRESS($B39,6,,,"mkt data"))</f>
        <v>25.24</v>
      </c>
      <c r="L39" s="170">
        <f t="shared" ca="1" si="5"/>
        <v>25.225000000000001</v>
      </c>
      <c r="M39" s="170">
        <f t="shared" ca="1" si="6"/>
        <v>25.244999999999997</v>
      </c>
      <c r="N39" s="171" cm="1">
        <f t="array" aca="1" ref="N39" ca="1">INDIRECT(ADDRESS($A39,5,,,"trading inputs"))</f>
        <v>2.1026984171293117</v>
      </c>
      <c r="O39" s="172">
        <f t="shared" ca="1" si="7"/>
        <v>53.040567572086893</v>
      </c>
      <c r="P39" s="172">
        <f t="shared" ca="1" si="8"/>
        <v>-53.082621540429471</v>
      </c>
      <c r="Q39" s="173">
        <f ca="1">MAX(O39:O41)</f>
        <v>53.055</v>
      </c>
      <c r="R39" s="202">
        <f ca="1">MAX(P39:P41)</f>
        <v>-53.075000000000003</v>
      </c>
      <c r="S39" s="202">
        <f ca="1">Q39+R39</f>
        <v>-2.0000000000003126E-2</v>
      </c>
      <c r="T39" s="174">
        <f ca="1">S39/AVERAGE(ABS(Q39),ABS(R39))</f>
        <v>-3.7689625930468535E-4</v>
      </c>
      <c r="U39" s="146"/>
      <c r="V39" s="147"/>
      <c r="W39" s="203"/>
      <c r="X39" s="204"/>
      <c r="Z39" s="205">
        <v>0.01</v>
      </c>
      <c r="AA39" s="233">
        <v>0.01</v>
      </c>
    </row>
    <row r="40" spans="1:27" s="178" customFormat="1" x14ac:dyDescent="0.25">
      <c r="A40" s="206">
        <f>MATCH(D40,'TRADING INPUTS'!B:B,0)</f>
        <v>25</v>
      </c>
      <c r="B40" s="207">
        <f>MATCH(D40,'MKT DATA'!B:B,0)</f>
        <v>28</v>
      </c>
      <c r="C40" s="208" t="s">
        <v>31</v>
      </c>
      <c r="D40" s="209" t="s">
        <v>29</v>
      </c>
      <c r="E40" s="246"/>
      <c r="F40" s="210" cm="1">
        <f t="array" aca="1" ref="F40" ca="1">INDIRECT(ADDRESS($B40,9,,,"mkt data"))</f>
        <v>0</v>
      </c>
      <c r="G40" s="211">
        <f t="shared" ca="1" si="9"/>
        <v>0</v>
      </c>
      <c r="H40" s="210">
        <f ca="1">F40/N40</f>
        <v>0</v>
      </c>
      <c r="I40" s="212"/>
      <c r="J40" s="213" cm="1">
        <f t="array" aca="1" ref="J40" ca="1">INDIRECT(ADDRESS($B40,5,,,"mkt data"))</f>
        <v>30.1</v>
      </c>
      <c r="K40" s="214" cm="1">
        <f t="array" aca="1" ref="K40" ca="1">INDIRECT(ADDRESS($B40,6,,,"mkt data"))</f>
        <v>30.11</v>
      </c>
      <c r="L40" s="215">
        <f t="shared" ca="1" si="5"/>
        <v>30.095000000000002</v>
      </c>
      <c r="M40" s="215">
        <f t="shared" ca="1" si="6"/>
        <v>30.114999999999998</v>
      </c>
      <c r="N40" s="216" cm="1">
        <f t="array" aca="1" ref="N40" ca="1">INDIRECT(ADDRESS($A40,5,,,"trading inputs"))</f>
        <v>1.762597684722077</v>
      </c>
      <c r="O40" s="217">
        <f t="shared" ca="1" si="7"/>
        <v>53.045377321710909</v>
      </c>
      <c r="P40" s="217">
        <f t="shared" ca="1" si="8"/>
        <v>-53.080629275405343</v>
      </c>
      <c r="Q40" s="218"/>
      <c r="R40" s="219"/>
      <c r="S40" s="220"/>
      <c r="T40" s="221"/>
      <c r="U40" s="237"/>
      <c r="V40" s="238"/>
      <c r="W40" s="203"/>
      <c r="X40" s="204"/>
      <c r="Z40" s="222"/>
      <c r="AA40" s="234"/>
    </row>
    <row r="41" spans="1:27" s="178" customFormat="1" ht="15.75" thickBot="1" x14ac:dyDescent="0.3">
      <c r="A41" s="182">
        <f>MATCH(D41,'TRADING INPUTS'!B:B,0)</f>
        <v>28</v>
      </c>
      <c r="B41" s="183">
        <f>MATCH(D41,'MKT DATA'!B:B,0)</f>
        <v>43</v>
      </c>
      <c r="C41" s="184" t="s">
        <v>31</v>
      </c>
      <c r="D41" s="185" t="s">
        <v>31</v>
      </c>
      <c r="E41" s="247"/>
      <c r="F41" s="186" cm="1">
        <f t="array" aca="1" ref="F41" ca="1">INDIRECT(ADDRESS($B41,9,,,"mkt data"))</f>
        <v>-3764</v>
      </c>
      <c r="G41" s="187">
        <f t="shared" ca="1" si="9"/>
        <v>-199736.66</v>
      </c>
      <c r="H41" s="186">
        <f ca="1">F41/N41</f>
        <v>-3764</v>
      </c>
      <c r="I41" s="223"/>
      <c r="J41" s="189" cm="1">
        <f t="array" aca="1" ref="J41" ca="1">INDIRECT(ADDRESS($B41,5,,,"mkt data"))</f>
        <v>53.06</v>
      </c>
      <c r="K41" s="190" cm="1">
        <f t="array" aca="1" ref="K41" ca="1">INDIRECT(ADDRESS($B41,6,,,"mkt data"))</f>
        <v>53.07</v>
      </c>
      <c r="L41" s="191">
        <f t="shared" ca="1" si="5"/>
        <v>53.055</v>
      </c>
      <c r="M41" s="191">
        <f t="shared" ca="1" si="6"/>
        <v>53.075000000000003</v>
      </c>
      <c r="N41" s="192" cm="1">
        <f t="array" aca="1" ref="N41" ca="1">INDIRECT(ADDRESS($A41,5,,,"trading inputs"))</f>
        <v>1</v>
      </c>
      <c r="O41" s="193">
        <f t="shared" ref="O41" ca="1" si="14">L41*N41</f>
        <v>53.055</v>
      </c>
      <c r="P41" s="193">
        <f t="shared" ref="P41" ca="1" si="15">-N41*M41</f>
        <v>-53.075000000000003</v>
      </c>
      <c r="Q41" s="194"/>
      <c r="R41" s="224"/>
      <c r="S41" s="225"/>
      <c r="T41" s="195"/>
      <c r="U41" s="240"/>
      <c r="V41" s="241"/>
      <c r="W41" s="203"/>
      <c r="X41" s="204"/>
      <c r="Z41" s="226"/>
      <c r="AA41" s="235"/>
    </row>
    <row r="42" spans="1:27" s="178" customFormat="1" x14ac:dyDescent="0.25">
      <c r="A42" s="161">
        <f>MATCH(D42,'TRADING INPUTS'!B:B,0)</f>
        <v>23</v>
      </c>
      <c r="B42" s="162">
        <f>MATCH(D42,'MKT DATA'!B:B,0)</f>
        <v>34</v>
      </c>
      <c r="C42" s="163" t="s">
        <v>27</v>
      </c>
      <c r="D42" s="164" t="s">
        <v>25</v>
      </c>
      <c r="E42" s="245"/>
      <c r="F42" s="165" cm="1">
        <f t="array" aca="1" ref="F42" ca="1">INDIRECT(ADDRESS($B42,9,,,"mkt data"))</f>
        <v>0</v>
      </c>
      <c r="G42" s="166">
        <f t="shared" ca="1" si="9"/>
        <v>0</v>
      </c>
      <c r="H42" s="165">
        <f ca="1">F42/N42</f>
        <v>0</v>
      </c>
      <c r="I42" s="201">
        <f ca="1">SUM(H42:H44)</f>
        <v>0</v>
      </c>
      <c r="J42" s="168" cm="1">
        <f t="array" aca="1" ref="J42" ca="1">INDIRECT(ADDRESS($B42,5,,,"mkt data"))</f>
        <v>21.42</v>
      </c>
      <c r="K42" s="169" cm="1">
        <f t="array" aca="1" ref="K42" ca="1">INDIRECT(ADDRESS($B42,6,,,"mkt data"))</f>
        <v>21.43</v>
      </c>
      <c r="L42" s="170">
        <f t="shared" ca="1" si="5"/>
        <v>21.415000000000003</v>
      </c>
      <c r="M42" s="170">
        <f t="shared" ca="1" si="6"/>
        <v>21.434999999999999</v>
      </c>
      <c r="N42" s="171" cm="1">
        <f t="array" aca="1" ref="N42" ca="1">INDIRECT(ADDRESS($A42,5,,,"trading inputs"))</f>
        <v>3.3610986970700041</v>
      </c>
      <c r="O42" s="172">
        <f ca="1">L42*N42</f>
        <v>71.977928597754143</v>
      </c>
      <c r="P42" s="172">
        <f ca="1">-N42*M42</f>
        <v>-72.04515057169553</v>
      </c>
      <c r="Q42" s="173">
        <f ca="1">MAX(O42:O44)</f>
        <v>72.03387416894401</v>
      </c>
      <c r="R42" s="202">
        <f ca="1">MAX(P42:P44)</f>
        <v>-72.034999999999997</v>
      </c>
      <c r="S42" s="202">
        <f ca="1">Q42+R42</f>
        <v>-1.1258310559867368E-3</v>
      </c>
      <c r="T42" s="174">
        <f ca="1">S42/AVERAGE(ABS(Q42),ABS(R42))</f>
        <v>-1.5629067173337082E-5</v>
      </c>
      <c r="U42" s="146"/>
      <c r="V42" s="147"/>
      <c r="W42" s="203"/>
      <c r="X42" s="204"/>
      <c r="Z42" s="205">
        <v>0.01</v>
      </c>
      <c r="AA42" s="233">
        <v>0.01</v>
      </c>
    </row>
    <row r="43" spans="1:27" s="178" customFormat="1" x14ac:dyDescent="0.25">
      <c r="A43" s="206">
        <f>MATCH(D43,'TRADING INPUTS'!B:B,0)</f>
        <v>22</v>
      </c>
      <c r="B43" s="207">
        <f>MATCH(D43,'MKT DATA'!B:B,0)</f>
        <v>17</v>
      </c>
      <c r="C43" s="208" t="s">
        <v>27</v>
      </c>
      <c r="D43" s="209" t="s">
        <v>26</v>
      </c>
      <c r="E43" s="246"/>
      <c r="F43" s="210" cm="1">
        <f t="array" aca="1" ref="F43" ca="1">INDIRECT(ADDRESS($B43,9,,,"mkt data"))</f>
        <v>0</v>
      </c>
      <c r="G43" s="211">
        <f t="shared" ca="1" si="9"/>
        <v>0</v>
      </c>
      <c r="H43" s="210">
        <f ca="1">F43/N43</f>
        <v>0</v>
      </c>
      <c r="I43" s="212"/>
      <c r="J43" s="213" cm="1">
        <f t="array" aca="1" ref="J43" ca="1">INDIRECT(ADDRESS($B43,5,,,"mkt data"))</f>
        <v>48</v>
      </c>
      <c r="K43" s="214" cm="1">
        <f t="array" aca="1" ref="K43" ca="1">INDIRECT(ADDRESS($B43,6,,,"mkt data"))</f>
        <v>48.01</v>
      </c>
      <c r="L43" s="215">
        <f t="shared" ca="1" si="5"/>
        <v>47.994999999999997</v>
      </c>
      <c r="M43" s="215">
        <f t="shared" ca="1" si="6"/>
        <v>48.015000000000001</v>
      </c>
      <c r="N43" s="216" cm="1">
        <f t="array" aca="1" ref="N43" ca="1">INDIRECT(ADDRESS($A43,5,,,"trading inputs"))</f>
        <v>1.5008620516500473</v>
      </c>
      <c r="O43" s="217">
        <f t="shared" ref="O43:O44" ca="1" si="16">L43*N43</f>
        <v>72.03387416894401</v>
      </c>
      <c r="P43" s="217">
        <f t="shared" ref="P43:P44" ca="1" si="17">-N43*M43</f>
        <v>-72.063891409977018</v>
      </c>
      <c r="Q43" s="218"/>
      <c r="R43" s="219"/>
      <c r="S43" s="220"/>
      <c r="T43" s="221"/>
      <c r="U43" s="237"/>
      <c r="V43" s="238"/>
      <c r="W43" s="203"/>
      <c r="X43" s="204"/>
      <c r="Z43" s="222"/>
      <c r="AA43" s="234"/>
    </row>
    <row r="44" spans="1:27" s="178" customFormat="1" ht="15.75" thickBot="1" x14ac:dyDescent="0.3">
      <c r="A44" s="182">
        <f>MATCH(D44,'TRADING INPUTS'!B:B,0)</f>
        <v>24</v>
      </c>
      <c r="B44" s="183">
        <f>MATCH(D44,'MKT DATA'!B:B,0)</f>
        <v>42</v>
      </c>
      <c r="C44" s="184" t="s">
        <v>27</v>
      </c>
      <c r="D44" s="185" t="s">
        <v>27</v>
      </c>
      <c r="E44" s="247"/>
      <c r="F44" s="186" cm="1">
        <f t="array" aca="1" ref="F44" ca="1">INDIRECT(ADDRESS($B44,9,,,"mkt data"))</f>
        <v>0</v>
      </c>
      <c r="G44" s="187">
        <f t="shared" ca="1" si="9"/>
        <v>0</v>
      </c>
      <c r="H44" s="186">
        <f ca="1">F44/N44</f>
        <v>0</v>
      </c>
      <c r="I44" s="223"/>
      <c r="J44" s="189" cm="1">
        <f t="array" aca="1" ref="J44" ca="1">INDIRECT(ADDRESS($B44,5,,,"mkt data"))</f>
        <v>72.02</v>
      </c>
      <c r="K44" s="190" cm="1">
        <f t="array" aca="1" ref="K44" ca="1">INDIRECT(ADDRESS($B44,6,,,"mkt data"))</f>
        <v>72.03</v>
      </c>
      <c r="L44" s="191">
        <f t="shared" ca="1" si="5"/>
        <v>72.015000000000001</v>
      </c>
      <c r="M44" s="191">
        <f t="shared" ca="1" si="6"/>
        <v>72.034999999999997</v>
      </c>
      <c r="N44" s="192" cm="1">
        <f t="array" aca="1" ref="N44" ca="1">INDIRECT(ADDRESS($A44,5,,,"trading inputs"))</f>
        <v>1</v>
      </c>
      <c r="O44" s="193">
        <f t="shared" ca="1" si="16"/>
        <v>72.015000000000001</v>
      </c>
      <c r="P44" s="193">
        <f t="shared" ca="1" si="17"/>
        <v>-72.034999999999997</v>
      </c>
      <c r="Q44" s="194"/>
      <c r="R44" s="224"/>
      <c r="S44" s="225"/>
      <c r="T44" s="195"/>
      <c r="U44" s="240"/>
      <c r="V44" s="241"/>
      <c r="W44" s="203"/>
      <c r="X44" s="204"/>
      <c r="Z44" s="226"/>
      <c r="AA44" s="235"/>
    </row>
    <row r="45" spans="1:27" s="178" customFormat="1" x14ac:dyDescent="0.25">
      <c r="A45" s="161">
        <f>MATCH(D45,'TRADING INPUTS'!B:B,0)</f>
        <v>4</v>
      </c>
      <c r="B45" s="162">
        <f>MATCH(D45,'MKT DATA'!B:B,0)</f>
        <v>29</v>
      </c>
      <c r="C45" s="163" t="s">
        <v>10</v>
      </c>
      <c r="D45" s="164" t="s">
        <v>6</v>
      </c>
      <c r="E45" s="245"/>
      <c r="F45" s="165" cm="1">
        <f t="array" aca="1" ref="F45" ca="1">INDIRECT(ADDRESS($B45,9,,,"mkt data"))</f>
        <v>0</v>
      </c>
      <c r="G45" s="166">
        <f t="shared" ca="1" si="9"/>
        <v>0</v>
      </c>
      <c r="H45" s="165">
        <f ca="1">F45/N45</f>
        <v>0</v>
      </c>
      <c r="I45" s="167">
        <f ca="1">SUM(H45:H48)</f>
        <v>0</v>
      </c>
      <c r="J45" s="168" cm="1">
        <f t="array" aca="1" ref="J45" ca="1">INDIRECT(ADDRESS($B45,5,,,"mkt data"))</f>
        <v>22.8</v>
      </c>
      <c r="K45" s="169" cm="1">
        <f t="array" aca="1" ref="K45" ca="1">INDIRECT(ADDRESS($B45,6,,,"mkt data"))</f>
        <v>22.81</v>
      </c>
      <c r="L45" s="170">
        <f t="shared" ca="1" si="5"/>
        <v>22.795000000000002</v>
      </c>
      <c r="M45" s="170">
        <f t="shared" ca="1" si="6"/>
        <v>22.814999999999998</v>
      </c>
      <c r="N45" s="171" cm="1">
        <f t="array" aca="1" ref="N45" ca="1">INDIRECT(ADDRESS($A45,5,,,"trading inputs"))</f>
        <v>4.2772888053539599</v>
      </c>
      <c r="O45" s="172">
        <f ca="1">L45*N45</f>
        <v>97.500798318043522</v>
      </c>
      <c r="P45" s="172">
        <f ca="1">-N45*M45</f>
        <v>-97.58634409415059</v>
      </c>
      <c r="Q45" s="173">
        <f ca="1">MAX(O45:O48)</f>
        <v>97.545000000000002</v>
      </c>
      <c r="R45" s="202">
        <f ca="1">MAX(P45:P48)</f>
        <v>-97.56069150887474</v>
      </c>
      <c r="S45" s="202">
        <f ca="1">Q45+R45</f>
        <v>-1.5691508874738247E-2</v>
      </c>
      <c r="T45" s="174">
        <f ca="1">S45/AVERAGE(ABS(Q45),ABS(R45))</f>
        <v>-1.6085136987430723E-4</v>
      </c>
      <c r="U45" s="146"/>
      <c r="V45" s="147"/>
      <c r="W45" s="203"/>
      <c r="X45" s="204"/>
      <c r="Z45" s="205">
        <v>0.01</v>
      </c>
      <c r="AA45" s="233">
        <v>0.01</v>
      </c>
    </row>
    <row r="46" spans="1:27" s="178" customFormat="1" x14ac:dyDescent="0.25">
      <c r="A46" s="206">
        <f>MATCH(D46,'TRADING INPUTS'!B:B,0)</f>
        <v>5</v>
      </c>
      <c r="B46" s="207">
        <f>MATCH(D46,'MKT DATA'!B:B,0)</f>
        <v>31</v>
      </c>
      <c r="C46" s="208" t="s">
        <v>10</v>
      </c>
      <c r="D46" s="209" t="s">
        <v>7</v>
      </c>
      <c r="E46" s="246"/>
      <c r="F46" s="210" cm="1">
        <f t="array" aca="1" ref="F46" ca="1">INDIRECT(ADDRESS($B46,9,,,"mkt data"))</f>
        <v>0</v>
      </c>
      <c r="G46" s="211">
        <f t="shared" ca="1" si="9"/>
        <v>0</v>
      </c>
      <c r="H46" s="210">
        <f ca="1">F46/N46</f>
        <v>0</v>
      </c>
      <c r="I46" s="227"/>
      <c r="J46" s="213" cm="1">
        <f t="array" aca="1" ref="J46" ca="1">INDIRECT(ADDRESS($B46,5,,,"mkt data"))</f>
        <v>25.14</v>
      </c>
      <c r="K46" s="214" cm="1">
        <f t="array" aca="1" ref="K46" ca="1">INDIRECT(ADDRESS($B46,6,,,"mkt data"))</f>
        <v>25.15</v>
      </c>
      <c r="L46" s="215">
        <f t="shared" ca="1" si="5"/>
        <v>25.135000000000002</v>
      </c>
      <c r="M46" s="215">
        <f t="shared" ca="1" si="6"/>
        <v>25.154999999999998</v>
      </c>
      <c r="N46" s="216" cm="1">
        <f t="array" aca="1" ref="N46" ca="1">INDIRECT(ADDRESS($A46,5,,,"trading inputs"))</f>
        <v>3.8795872445819688</v>
      </c>
      <c r="O46" s="217">
        <f ca="1">L46*N46</f>
        <v>97.513425392567797</v>
      </c>
      <c r="P46" s="217">
        <f ca="1">-N46*M46</f>
        <v>-97.591017137459417</v>
      </c>
      <c r="Q46" s="228"/>
      <c r="R46" s="220"/>
      <c r="S46" s="220"/>
      <c r="T46" s="221"/>
      <c r="U46" s="237"/>
      <c r="V46" s="238"/>
      <c r="W46" s="203"/>
      <c r="X46" s="204"/>
      <c r="Z46" s="222"/>
      <c r="AA46" s="234"/>
    </row>
    <row r="47" spans="1:27" s="178" customFormat="1" x14ac:dyDescent="0.25">
      <c r="A47" s="206">
        <f>MATCH(D47,'TRADING INPUTS'!B:B,0)</f>
        <v>3</v>
      </c>
      <c r="B47" s="207">
        <f>MATCH(D47,'MKT DATA'!B:B,0)</f>
        <v>4</v>
      </c>
      <c r="C47" s="208" t="s">
        <v>10</v>
      </c>
      <c r="D47" s="209" t="s">
        <v>9</v>
      </c>
      <c r="E47" s="246"/>
      <c r="F47" s="210" cm="1">
        <f t="array" aca="1" ref="F47" ca="1">INDIRECT(ADDRESS($B47,9,,,"mkt data"))</f>
        <v>0</v>
      </c>
      <c r="G47" s="211">
        <f t="shared" ca="1" si="9"/>
        <v>0</v>
      </c>
      <c r="H47" s="210">
        <f ca="1">F47/N47</f>
        <v>0</v>
      </c>
      <c r="I47" s="227"/>
      <c r="J47" s="213" cm="1">
        <f t="array" aca="1" ref="J47" ca="1">INDIRECT(ADDRESS($B47,5,,,"mkt data"))</f>
        <v>72.36</v>
      </c>
      <c r="K47" s="214" cm="1">
        <f t="array" aca="1" ref="K47" ca="1">INDIRECT(ADDRESS($B47,6,,,"mkt data"))</f>
        <v>72.37</v>
      </c>
      <c r="L47" s="215">
        <f t="shared" ca="1" si="5"/>
        <v>72.355000000000004</v>
      </c>
      <c r="M47" s="215">
        <f t="shared" ca="1" si="6"/>
        <v>72.375</v>
      </c>
      <c r="N47" s="216" cm="1">
        <f t="array" aca="1" ref="N47" ca="1">INDIRECT(ADDRESS($A47,5,,,"trading inputs"))</f>
        <v>1.3479888291381656</v>
      </c>
      <c r="O47" s="217">
        <f ca="1">L47*N47</f>
        <v>97.533731732291983</v>
      </c>
      <c r="P47" s="217">
        <f ca="1">-N47*M47</f>
        <v>-97.56069150887474</v>
      </c>
      <c r="Q47" s="228"/>
      <c r="R47" s="220"/>
      <c r="S47" s="220"/>
      <c r="T47" s="221"/>
      <c r="U47" s="240"/>
      <c r="V47" s="241"/>
      <c r="W47" s="203"/>
      <c r="X47" s="204"/>
      <c r="Z47" s="222"/>
      <c r="AA47" s="234"/>
    </row>
    <row r="48" spans="1:27" s="178" customFormat="1" ht="15.75" thickBot="1" x14ac:dyDescent="0.3">
      <c r="A48" s="182">
        <f>MATCH(D48,'TRADING INPUTS'!B:B,0)</f>
        <v>2</v>
      </c>
      <c r="B48" s="183">
        <f>MATCH(D48,'MKT DATA'!B:B,0)</f>
        <v>2</v>
      </c>
      <c r="C48" s="184" t="s">
        <v>10</v>
      </c>
      <c r="D48" s="185" t="s">
        <v>10</v>
      </c>
      <c r="E48" s="247"/>
      <c r="F48" s="186" cm="1">
        <f t="array" aca="1" ref="F48" ca="1">INDIRECT(ADDRESS($B48,9,,,"mkt data"))</f>
        <v>0</v>
      </c>
      <c r="G48" s="187">
        <f t="shared" ca="1" si="9"/>
        <v>0</v>
      </c>
      <c r="H48" s="186">
        <f ca="1">F48/N48</f>
        <v>0</v>
      </c>
      <c r="I48" s="188"/>
      <c r="J48" s="189" cm="1">
        <f t="array" aca="1" ref="J48" ca="1">INDIRECT(ADDRESS($B48,5,,,"mkt data"))</f>
        <v>97.55</v>
      </c>
      <c r="K48" s="190" cm="1">
        <f t="array" aca="1" ref="K48" ca="1">INDIRECT(ADDRESS($B48,6,,,"mkt data"))</f>
        <v>97.56</v>
      </c>
      <c r="L48" s="191">
        <f t="shared" ca="1" si="5"/>
        <v>97.545000000000002</v>
      </c>
      <c r="M48" s="191">
        <f t="shared" ca="1" si="6"/>
        <v>97.564999999999998</v>
      </c>
      <c r="N48" s="192" cm="1">
        <f t="array" aca="1" ref="N48" ca="1">INDIRECT(ADDRESS($A48,5,,,"trading inputs"))</f>
        <v>1</v>
      </c>
      <c r="O48" s="193">
        <f ca="1">L48*N48</f>
        <v>97.545000000000002</v>
      </c>
      <c r="P48" s="193">
        <f ca="1">-N48*M48</f>
        <v>-97.564999999999998</v>
      </c>
      <c r="Q48" s="229"/>
      <c r="R48" s="225"/>
      <c r="S48" s="225"/>
      <c r="T48" s="195"/>
      <c r="U48" s="242"/>
      <c r="V48" s="243"/>
      <c r="W48" s="203"/>
      <c r="X48" s="204"/>
      <c r="Z48" s="226"/>
      <c r="AA48" s="235"/>
    </row>
    <row r="49" spans="5:23" x14ac:dyDescent="0.25">
      <c r="E49" s="127"/>
      <c r="F49" s="127"/>
      <c r="W49" s="44"/>
    </row>
    <row r="50" spans="5:23" x14ac:dyDescent="0.25">
      <c r="E50" s="127"/>
      <c r="F50" s="127"/>
    </row>
  </sheetData>
  <mergeCells count="105"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AA29:AA32"/>
    <mergeCell ref="AA45:AA48"/>
    <mergeCell ref="AA33:AA38"/>
    <mergeCell ref="I39:I41"/>
    <mergeCell ref="R26:R28"/>
    <mergeCell ref="S26:S28"/>
    <mergeCell ref="T26:T28"/>
    <mergeCell ref="S39:S41"/>
    <mergeCell ref="T39:T41"/>
    <mergeCell ref="S33:S38"/>
    <mergeCell ref="T33:T38"/>
    <mergeCell ref="S45:S48"/>
    <mergeCell ref="T45:T48"/>
    <mergeCell ref="I33:I38"/>
    <mergeCell ref="Z29:Z32"/>
    <mergeCell ref="Z45:Z48"/>
    <mergeCell ref="AA23:AA25"/>
    <mergeCell ref="AA26:AA28"/>
    <mergeCell ref="AA39:AA41"/>
    <mergeCell ref="AA42:AA44"/>
    <mergeCell ref="Z42:Z44"/>
    <mergeCell ref="A19:C19"/>
    <mergeCell ref="Q33:Q38"/>
    <mergeCell ref="R42:R44"/>
    <mergeCell ref="Q23:Q25"/>
    <mergeCell ref="R23:R25"/>
    <mergeCell ref="Q26:Q28"/>
    <mergeCell ref="R33:R38"/>
    <mergeCell ref="Z33:Z38"/>
    <mergeCell ref="A21:B21"/>
    <mergeCell ref="J21:K21"/>
    <mergeCell ref="O21:P21"/>
    <mergeCell ref="Q45:Q48"/>
    <mergeCell ref="R45:R48"/>
    <mergeCell ref="Q39:Q41"/>
    <mergeCell ref="R39:R41"/>
    <mergeCell ref="L21:M21"/>
    <mergeCell ref="Q29:Q32"/>
    <mergeCell ref="R29:R32"/>
    <mergeCell ref="Q42:Q44"/>
    <mergeCell ref="Z23:Z25"/>
    <mergeCell ref="Z26:Z28"/>
    <mergeCell ref="Z39:Z41"/>
    <mergeCell ref="Z21:AA21"/>
    <mergeCell ref="I45:I48"/>
    <mergeCell ref="F21:I21"/>
    <mergeCell ref="I23:I25"/>
    <mergeCell ref="I26:I28"/>
    <mergeCell ref="S29:S32"/>
    <mergeCell ref="T29:T32"/>
    <mergeCell ref="S42:S44"/>
    <mergeCell ref="T42:T44"/>
    <mergeCell ref="S23:S25"/>
    <mergeCell ref="T23:T25"/>
    <mergeCell ref="I42:I44"/>
    <mergeCell ref="I29:I32"/>
    <mergeCell ref="Q21:T21"/>
  </mergeCells>
  <conditionalFormatting sqref="O23:O25">
    <cfRule type="top10" dxfId="37" priority="40" rank="1"/>
  </conditionalFormatting>
  <conditionalFormatting sqref="O26:O28">
    <cfRule type="top10" dxfId="36" priority="39" rank="1"/>
  </conditionalFormatting>
  <conditionalFormatting sqref="O39:O41">
    <cfRule type="top10" dxfId="35" priority="38" rank="1"/>
  </conditionalFormatting>
  <conditionalFormatting sqref="O42:O44">
    <cfRule type="top10" dxfId="34" priority="37" rank="1"/>
  </conditionalFormatting>
  <conditionalFormatting sqref="P23:P25">
    <cfRule type="top10" dxfId="33" priority="35" rank="1"/>
  </conditionalFormatting>
  <conditionalFormatting sqref="P26:P28">
    <cfRule type="top10" dxfId="32" priority="34" rank="1"/>
  </conditionalFormatting>
  <conditionalFormatting sqref="P39:P41">
    <cfRule type="top10" dxfId="31" priority="33" rank="1"/>
  </conditionalFormatting>
  <conditionalFormatting sqref="P42:P44">
    <cfRule type="top10" dxfId="30" priority="32" rank="1"/>
  </conditionalFormatting>
  <conditionalFormatting sqref="O45:O48">
    <cfRule type="top10" dxfId="29" priority="29" rank="1"/>
  </conditionalFormatting>
  <conditionalFormatting sqref="P45:P48">
    <cfRule type="top10" dxfId="28" priority="28" rank="1"/>
  </conditionalFormatting>
  <conditionalFormatting sqref="O33:O38">
    <cfRule type="top10" dxfId="27" priority="27" rank="1"/>
  </conditionalFormatting>
  <conditionalFormatting sqref="P33:P38">
    <cfRule type="top10" dxfId="26" priority="26" rank="1"/>
  </conditionalFormatting>
  <conditionalFormatting sqref="O29:O32">
    <cfRule type="top10" dxfId="25" priority="41" rank="1"/>
  </conditionalFormatting>
  <conditionalFormatting sqref="P29:P32">
    <cfRule type="top10" dxfId="24" priority="42" rank="1"/>
  </conditionalFormatting>
  <conditionalFormatting sqref="W30">
    <cfRule type="cellIs" dxfId="23" priority="22" operator="greaterThan">
      <formula>0</formula>
    </cfRule>
  </conditionalFormatting>
  <conditionalFormatting sqref="O13:O14">
    <cfRule type="top10" dxfId="22" priority="20" rank="1"/>
  </conditionalFormatting>
  <conditionalFormatting sqref="P13:P14">
    <cfRule type="top10" dxfId="21" priority="21" rank="1"/>
  </conditionalFormatting>
  <conditionalFormatting sqref="O15:O16">
    <cfRule type="top10" dxfId="20" priority="18" rank="1"/>
  </conditionalFormatting>
  <conditionalFormatting sqref="P15:P16">
    <cfRule type="top10" dxfId="19" priority="19" rank="1"/>
  </conditionalFormatting>
  <conditionalFormatting sqref="O17:O18">
    <cfRule type="top10" dxfId="18" priority="16" rank="1"/>
  </conditionalFormatting>
  <conditionalFormatting sqref="P17:P18">
    <cfRule type="top10" dxfId="17" priority="17" rank="1"/>
  </conditionalFormatting>
  <conditionalFormatting sqref="O11:O12">
    <cfRule type="top10" dxfId="16" priority="14" rank="1"/>
  </conditionalFormatting>
  <conditionalFormatting sqref="P11:P12">
    <cfRule type="top10" dxfId="15" priority="15" rank="1"/>
  </conditionalFormatting>
  <conditionalFormatting sqref="O5:O6">
    <cfRule type="top10" dxfId="14" priority="12" rank="1"/>
  </conditionalFormatting>
  <conditionalFormatting sqref="P5:P6">
    <cfRule type="top10" dxfId="13" priority="13" rank="1"/>
  </conditionalFormatting>
  <conditionalFormatting sqref="O7:O8">
    <cfRule type="top10" dxfId="12" priority="10" rank="1"/>
  </conditionalFormatting>
  <conditionalFormatting sqref="P7:P8">
    <cfRule type="top10" dxfId="11" priority="11" rank="1"/>
  </conditionalFormatting>
  <conditionalFormatting sqref="O9:O10">
    <cfRule type="top10" dxfId="10" priority="8" rank="1"/>
  </conditionalFormatting>
  <conditionalFormatting sqref="P9:P10">
    <cfRule type="top10" dxfId="9" priority="9" rank="1"/>
  </conditionalFormatting>
  <conditionalFormatting sqref="O3:O4">
    <cfRule type="top10" dxfId="8" priority="6" rank="1"/>
  </conditionalFormatting>
  <conditionalFormatting sqref="P3:P4">
    <cfRule type="top10" dxfId="7" priority="7" rank="1"/>
  </conditionalFormatting>
  <conditionalFormatting sqref="U4 U6 U8 U10 U12 U14 U16 U18 X4 X6 X8 X10 X12 X14 X16 X18">
    <cfRule type="cellIs" dxfId="6" priority="5" operator="equal">
      <formula>TRUE</formula>
    </cfRule>
  </conditionalFormatting>
  <conditionalFormatting sqref="V4:W4 V6:W6 V8:W8 V10:W10 V12:W12 V14:W14 V16:W16 V18:W18">
    <cfRule type="cellIs" dxfId="5" priority="4" operator="equal">
      <formula>TRUE</formula>
    </cfRule>
  </conditionalFormatting>
  <conditionalFormatting sqref="U24 U27 U31 U36 U40 U43 U46">
    <cfRule type="cellIs" dxfId="4" priority="3" operator="equal">
      <formula>TRUE</formula>
    </cfRule>
  </conditionalFormatting>
  <conditionalFormatting sqref="V24 V27 V31 V36 V40 V43 V46">
    <cfRule type="cellIs" dxfId="3" priority="2" operator="equal">
      <formula>TRUE</formula>
    </cfRule>
  </conditionalFormatting>
  <conditionalFormatting sqref="R3:R18 T3:T18 T23:T48">
    <cfRule type="cellIs" dxfId="2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M44"/>
  <sheetViews>
    <sheetView workbookViewId="0">
      <selection activeCell="D30" sqref="D30"/>
    </sheetView>
  </sheetViews>
  <sheetFormatPr defaultRowHeight="15" x14ac:dyDescent="0.25"/>
  <cols>
    <col min="1" max="1" width="13.42578125" style="21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13.140625" style="36" bestFit="1" customWidth="1"/>
    <col min="7" max="7" width="12.42578125" style="42" bestFit="1" customWidth="1"/>
    <col min="8" max="8" width="13" style="42" customWidth="1"/>
    <col min="9" max="9" width="18.140625" style="10" bestFit="1" customWidth="1"/>
    <col min="10" max="10" width="18.7109375" style="12" bestFit="1" customWidth="1"/>
    <col min="11" max="11" width="11" style="4" bestFit="1" customWidth="1"/>
  </cols>
  <sheetData>
    <row r="1" spans="1:13" s="3" customFormat="1" x14ac:dyDescent="0.25">
      <c r="A1" s="20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35" t="s">
        <v>88</v>
      </c>
      <c r="G1" s="41" t="s">
        <v>86</v>
      </c>
      <c r="H1" s="41" t="s">
        <v>87</v>
      </c>
      <c r="I1" s="8"/>
      <c r="J1" s="9"/>
      <c r="K1" s="7"/>
    </row>
    <row r="2" spans="1:13" x14ac:dyDescent="0.25">
      <c r="A2" s="21" t="b">
        <v>0</v>
      </c>
      <c r="B2" t="s">
        <v>10</v>
      </c>
      <c r="C2" t="s">
        <v>0</v>
      </c>
      <c r="D2" t="s">
        <v>10</v>
      </c>
      <c r="E2" s="4">
        <v>1</v>
      </c>
      <c r="F2" s="36">
        <v>0.05</v>
      </c>
      <c r="G2" s="42">
        <v>200</v>
      </c>
      <c r="H2" s="42">
        <v>200</v>
      </c>
      <c r="J2" s="11"/>
      <c r="M2" s="50"/>
    </row>
    <row r="3" spans="1:13" x14ac:dyDescent="0.25">
      <c r="A3" s="21" t="b">
        <v>0</v>
      </c>
      <c r="B3" t="s">
        <v>9</v>
      </c>
      <c r="C3" t="s">
        <v>0</v>
      </c>
      <c r="D3" t="s">
        <v>10</v>
      </c>
      <c r="E3" s="4">
        <v>1.3479888291381656</v>
      </c>
      <c r="F3" s="36">
        <v>0.05</v>
      </c>
      <c r="G3" s="42">
        <f>G2*E3</f>
        <v>269.59776582763311</v>
      </c>
      <c r="H3" s="42">
        <f>H2*E3</f>
        <v>269.59776582763311</v>
      </c>
      <c r="J3" s="11"/>
      <c r="M3" s="50"/>
    </row>
    <row r="4" spans="1:13" x14ac:dyDescent="0.25">
      <c r="A4" s="21" t="b">
        <v>0</v>
      </c>
      <c r="B4" t="s">
        <v>6</v>
      </c>
      <c r="C4" t="s">
        <v>0</v>
      </c>
      <c r="D4" t="s">
        <v>10</v>
      </c>
      <c r="E4" s="4">
        <v>4.2772888053539599</v>
      </c>
      <c r="F4" s="36">
        <v>0.05</v>
      </c>
      <c r="G4" s="42">
        <f>G2*E4</f>
        <v>855.457761070792</v>
      </c>
      <c r="H4" s="42">
        <f>H2*E4</f>
        <v>855.457761070792</v>
      </c>
      <c r="J4" s="11"/>
      <c r="M4" s="50"/>
    </row>
    <row r="5" spans="1:13" x14ac:dyDescent="0.25">
      <c r="A5" s="21" t="b">
        <v>0</v>
      </c>
      <c r="B5" t="s">
        <v>7</v>
      </c>
      <c r="C5" t="s">
        <v>0</v>
      </c>
      <c r="D5" t="s">
        <v>10</v>
      </c>
      <c r="E5" s="4">
        <v>3.8795872445819688</v>
      </c>
      <c r="F5" s="36">
        <v>0.05</v>
      </c>
      <c r="G5" s="42">
        <f>G2*E5</f>
        <v>775.91744891639371</v>
      </c>
      <c r="H5" s="42">
        <f>H2*E5</f>
        <v>775.91744891639371</v>
      </c>
      <c r="J5" s="11"/>
      <c r="M5" s="50"/>
    </row>
    <row r="6" spans="1:13" x14ac:dyDescent="0.25">
      <c r="A6" s="21" t="b">
        <v>1</v>
      </c>
      <c r="B6" t="s">
        <v>35</v>
      </c>
      <c r="C6" t="s">
        <v>0</v>
      </c>
      <c r="D6" t="s">
        <v>35</v>
      </c>
      <c r="E6" s="4">
        <v>1</v>
      </c>
      <c r="F6" s="36">
        <v>0.05</v>
      </c>
      <c r="G6" s="42">
        <v>200</v>
      </c>
      <c r="H6" s="42">
        <v>200</v>
      </c>
      <c r="J6" s="11"/>
      <c r="M6" s="50"/>
    </row>
    <row r="7" spans="1:13" x14ac:dyDescent="0.25">
      <c r="A7" s="21" t="b">
        <v>0</v>
      </c>
      <c r="B7" t="s">
        <v>32</v>
      </c>
      <c r="C7" t="s">
        <v>0</v>
      </c>
      <c r="D7" t="s">
        <v>35</v>
      </c>
      <c r="E7" s="4">
        <v>3.3419405770574726</v>
      </c>
      <c r="F7" s="36">
        <v>0.05</v>
      </c>
      <c r="G7" s="42">
        <f>G6*E7</f>
        <v>668.38811541149448</v>
      </c>
      <c r="H7" s="42">
        <f>H6*E7</f>
        <v>668.38811541149448</v>
      </c>
      <c r="J7" s="11"/>
      <c r="M7" s="50"/>
    </row>
    <row r="8" spans="1:13" x14ac:dyDescent="0.25">
      <c r="A8" s="21" t="b">
        <v>0</v>
      </c>
      <c r="B8" t="s">
        <v>33</v>
      </c>
      <c r="C8" t="s">
        <v>0</v>
      </c>
      <c r="D8" t="s">
        <v>35</v>
      </c>
      <c r="E8" s="4">
        <v>1.8900741501377651</v>
      </c>
      <c r="F8" s="36">
        <v>0.05</v>
      </c>
      <c r="G8" s="42">
        <f>G6*E8</f>
        <v>378.01483002755305</v>
      </c>
      <c r="H8" s="42">
        <f>H6*E8</f>
        <v>378.01483002755305</v>
      </c>
      <c r="J8" s="11"/>
      <c r="M8" s="50"/>
    </row>
    <row r="9" spans="1:13" x14ac:dyDescent="0.25">
      <c r="A9" s="21" t="b">
        <v>1</v>
      </c>
      <c r="B9" t="s">
        <v>34</v>
      </c>
      <c r="C9" t="s">
        <v>0</v>
      </c>
      <c r="D9" t="s">
        <v>35</v>
      </c>
      <c r="E9" s="4">
        <v>1.2633397451104682</v>
      </c>
      <c r="F9" s="36">
        <v>0.05</v>
      </c>
      <c r="G9" s="42">
        <f>G6*E9</f>
        <v>252.66794902209364</v>
      </c>
      <c r="H9" s="42">
        <f>H6*E9</f>
        <v>252.66794902209364</v>
      </c>
      <c r="J9" s="11"/>
      <c r="M9" s="50"/>
    </row>
    <row r="10" spans="1:13" x14ac:dyDescent="0.25">
      <c r="A10" s="21" t="b">
        <v>0</v>
      </c>
      <c r="B10" t="s">
        <v>19</v>
      </c>
      <c r="C10" t="s">
        <v>0</v>
      </c>
      <c r="D10" t="s">
        <v>20</v>
      </c>
      <c r="E10" s="4">
        <v>1.20373475983186</v>
      </c>
      <c r="F10" s="36">
        <v>0.05</v>
      </c>
      <c r="G10" s="42">
        <f>E10*G12</f>
        <v>240.746951966372</v>
      </c>
      <c r="H10" s="42">
        <f>E10*H12</f>
        <v>240.746951966372</v>
      </c>
      <c r="J10" s="11"/>
      <c r="M10" s="50"/>
    </row>
    <row r="11" spans="1:13" x14ac:dyDescent="0.25">
      <c r="A11" s="21" t="b">
        <v>0</v>
      </c>
      <c r="B11" t="s">
        <v>17</v>
      </c>
      <c r="C11" t="s">
        <v>0</v>
      </c>
      <c r="D11" t="s">
        <v>20</v>
      </c>
      <c r="E11" s="4">
        <v>2.6377148772491426</v>
      </c>
      <c r="F11" s="36">
        <v>0.05</v>
      </c>
      <c r="G11" s="42">
        <f>E11*G12</f>
        <v>527.54297544982853</v>
      </c>
      <c r="H11" s="42">
        <f>E11*H12</f>
        <v>527.54297544982853</v>
      </c>
      <c r="J11" s="11"/>
      <c r="M11" s="50"/>
    </row>
    <row r="12" spans="1:13" x14ac:dyDescent="0.25">
      <c r="A12" s="21" t="b">
        <v>0</v>
      </c>
      <c r="B12" t="s">
        <v>20</v>
      </c>
      <c r="C12" t="s">
        <v>0</v>
      </c>
      <c r="D12" t="s">
        <v>20</v>
      </c>
      <c r="E12" s="4">
        <v>1</v>
      </c>
      <c r="F12" s="36">
        <v>0.05</v>
      </c>
      <c r="G12" s="42">
        <v>200</v>
      </c>
      <c r="H12" s="42">
        <v>200</v>
      </c>
      <c r="J12" s="11"/>
      <c r="M12" s="50"/>
    </row>
    <row r="13" spans="1:13" x14ac:dyDescent="0.25">
      <c r="A13" s="21" t="b">
        <v>0</v>
      </c>
      <c r="B13" t="s">
        <v>16</v>
      </c>
      <c r="C13" t="s">
        <v>0</v>
      </c>
      <c r="D13" t="s">
        <v>20</v>
      </c>
      <c r="E13" s="4">
        <v>3.6819749604579832</v>
      </c>
      <c r="F13" s="36">
        <v>0.05</v>
      </c>
      <c r="G13" s="42">
        <f>G12*E13</f>
        <v>736.39499209159669</v>
      </c>
      <c r="H13" s="42">
        <f>H12*E13</f>
        <v>736.39499209159669</v>
      </c>
      <c r="J13" s="11"/>
      <c r="M13" s="50"/>
    </row>
    <row r="14" spans="1:13" x14ac:dyDescent="0.25">
      <c r="A14" s="21" t="b">
        <v>0</v>
      </c>
      <c r="B14" t="s">
        <v>15</v>
      </c>
      <c r="C14" t="s">
        <v>0</v>
      </c>
      <c r="D14" t="s">
        <v>20</v>
      </c>
      <c r="E14" s="4">
        <v>4.114682428785196</v>
      </c>
      <c r="F14" s="36">
        <v>0.05</v>
      </c>
      <c r="G14" s="42">
        <f>G12*E14</f>
        <v>822.93648575703924</v>
      </c>
      <c r="H14" s="42">
        <f>H12*E14</f>
        <v>822.93648575703924</v>
      </c>
      <c r="J14" s="11"/>
      <c r="M14" s="50"/>
    </row>
    <row r="15" spans="1:13" x14ac:dyDescent="0.25">
      <c r="A15" s="21" t="b">
        <v>0</v>
      </c>
      <c r="B15" t="s">
        <v>18</v>
      </c>
      <c r="C15" t="s">
        <v>0</v>
      </c>
      <c r="D15" t="s">
        <v>20</v>
      </c>
      <c r="E15" s="4">
        <v>2.6020789438424528</v>
      </c>
      <c r="F15" s="36">
        <v>0.05</v>
      </c>
      <c r="G15" s="42">
        <f>G12*E15</f>
        <v>520.41578876849053</v>
      </c>
      <c r="H15" s="42">
        <f>H12*E15</f>
        <v>520.41578876849053</v>
      </c>
      <c r="J15" s="11"/>
      <c r="M15" s="50"/>
    </row>
    <row r="16" spans="1:13" x14ac:dyDescent="0.25">
      <c r="A16" s="21" t="b">
        <v>0</v>
      </c>
      <c r="B16" t="s">
        <v>23</v>
      </c>
      <c r="C16" t="s">
        <v>0</v>
      </c>
      <c r="D16" t="s">
        <v>23</v>
      </c>
      <c r="E16" s="4">
        <v>1</v>
      </c>
      <c r="F16" s="36">
        <v>0.05</v>
      </c>
      <c r="G16" s="42">
        <v>200</v>
      </c>
      <c r="H16" s="42">
        <v>200</v>
      </c>
      <c r="J16" s="11"/>
      <c r="M16" s="50"/>
    </row>
    <row r="17" spans="1:13" x14ac:dyDescent="0.25">
      <c r="A17" s="21" t="b">
        <v>0</v>
      </c>
      <c r="B17" t="s">
        <v>21</v>
      </c>
      <c r="C17" t="s">
        <v>0</v>
      </c>
      <c r="D17" t="s">
        <v>23</v>
      </c>
      <c r="E17" s="4">
        <v>4.2369074132372297</v>
      </c>
      <c r="F17" s="36">
        <v>0.05</v>
      </c>
      <c r="G17" s="42">
        <f>G16*E17</f>
        <v>847.38148264744598</v>
      </c>
      <c r="H17" s="42">
        <f>H16*E17</f>
        <v>847.38148264744598</v>
      </c>
      <c r="J17" s="11"/>
      <c r="M17" s="50"/>
    </row>
    <row r="18" spans="1:13" x14ac:dyDescent="0.25">
      <c r="A18" s="21" t="b">
        <v>0</v>
      </c>
      <c r="B18" t="s">
        <v>22</v>
      </c>
      <c r="C18" t="s">
        <v>0</v>
      </c>
      <c r="D18" t="s">
        <v>23</v>
      </c>
      <c r="E18" s="4">
        <v>2.0176968019298478</v>
      </c>
      <c r="F18" s="36">
        <v>0.05</v>
      </c>
      <c r="G18" s="42">
        <f>G16*E18</f>
        <v>403.53936038596953</v>
      </c>
      <c r="H18" s="42">
        <f>H16*E18</f>
        <v>403.53936038596953</v>
      </c>
      <c r="J18" s="11"/>
      <c r="M18" s="50"/>
    </row>
    <row r="19" spans="1:13" x14ac:dyDescent="0.25">
      <c r="A19" s="21" t="b">
        <v>0</v>
      </c>
      <c r="B19" t="s">
        <v>4</v>
      </c>
      <c r="C19" t="s">
        <v>0</v>
      </c>
      <c r="D19" t="s">
        <v>4</v>
      </c>
      <c r="E19" s="4">
        <v>1</v>
      </c>
      <c r="F19" s="36">
        <v>0.05</v>
      </c>
      <c r="G19" s="42">
        <f>G16*E19</f>
        <v>200</v>
      </c>
      <c r="H19" s="42">
        <f>H16*E19</f>
        <v>200</v>
      </c>
      <c r="J19" s="11"/>
      <c r="M19" s="50"/>
    </row>
    <row r="20" spans="1:13" x14ac:dyDescent="0.25">
      <c r="A20" s="21" t="b">
        <v>0</v>
      </c>
      <c r="B20" t="s">
        <v>24</v>
      </c>
      <c r="C20" t="s">
        <v>0</v>
      </c>
      <c r="D20" t="s">
        <v>4</v>
      </c>
      <c r="E20" s="4">
        <v>2.3507182105161237</v>
      </c>
      <c r="F20" s="36">
        <v>0.05</v>
      </c>
      <c r="G20" s="42">
        <f>G19*E20</f>
        <v>470.14364210322475</v>
      </c>
      <c r="H20" s="42">
        <f>H19*E20</f>
        <v>470.14364210322475</v>
      </c>
      <c r="J20" s="11"/>
      <c r="M20" s="50"/>
    </row>
    <row r="21" spans="1:13" x14ac:dyDescent="0.25">
      <c r="A21" s="21" t="b">
        <v>0</v>
      </c>
      <c r="B21" t="s">
        <v>3</v>
      </c>
      <c r="C21" t="s">
        <v>0</v>
      </c>
      <c r="D21" t="s">
        <v>4</v>
      </c>
      <c r="E21" s="4">
        <v>2.1279944374542064</v>
      </c>
      <c r="F21" s="36">
        <v>0.05</v>
      </c>
      <c r="G21" s="42">
        <f>G19*E21</f>
        <v>425.59888749084126</v>
      </c>
      <c r="H21" s="42">
        <f>H19*E21</f>
        <v>425.59888749084126</v>
      </c>
      <c r="J21" s="11"/>
      <c r="M21" s="50"/>
    </row>
    <row r="22" spans="1:13" x14ac:dyDescent="0.25">
      <c r="A22" s="21" t="b">
        <v>0</v>
      </c>
      <c r="B22" t="s">
        <v>26</v>
      </c>
      <c r="C22" t="s">
        <v>0</v>
      </c>
      <c r="D22" t="s">
        <v>27</v>
      </c>
      <c r="E22" s="4">
        <v>1.5008620516500473</v>
      </c>
      <c r="F22" s="36">
        <v>0.05</v>
      </c>
      <c r="G22" s="42">
        <f>E22*G24</f>
        <v>300.17241033000943</v>
      </c>
      <c r="H22" s="42">
        <f>E22*H24</f>
        <v>300.17241033000943</v>
      </c>
      <c r="J22" s="11"/>
      <c r="M22" s="50"/>
    </row>
    <row r="23" spans="1:13" x14ac:dyDescent="0.25">
      <c r="A23" s="21" t="b">
        <v>0</v>
      </c>
      <c r="B23" t="s">
        <v>25</v>
      </c>
      <c r="C23" t="s">
        <v>0</v>
      </c>
      <c r="D23" t="s">
        <v>27</v>
      </c>
      <c r="E23" s="4">
        <v>3.3610986970700041</v>
      </c>
      <c r="F23" s="36">
        <v>0.05</v>
      </c>
      <c r="G23" s="42">
        <f>E23*G24</f>
        <v>672.21973941400086</v>
      </c>
      <c r="H23" s="42">
        <f>E23*H24</f>
        <v>672.21973941400086</v>
      </c>
      <c r="J23" s="11"/>
      <c r="M23" s="50"/>
    </row>
    <row r="24" spans="1:13" x14ac:dyDescent="0.25">
      <c r="A24" s="21" t="b">
        <v>0</v>
      </c>
      <c r="B24" t="s">
        <v>27</v>
      </c>
      <c r="C24" t="s">
        <v>0</v>
      </c>
      <c r="D24" t="s">
        <v>27</v>
      </c>
      <c r="E24" s="4">
        <v>1</v>
      </c>
      <c r="F24" s="36">
        <v>0.05</v>
      </c>
      <c r="G24" s="42">
        <v>200</v>
      </c>
      <c r="H24" s="42">
        <v>200</v>
      </c>
      <c r="J24" s="11"/>
      <c r="M24" s="50"/>
    </row>
    <row r="25" spans="1:13" x14ac:dyDescent="0.25">
      <c r="A25" s="21" t="b">
        <v>0</v>
      </c>
      <c r="B25" t="s">
        <v>29</v>
      </c>
      <c r="C25" t="s">
        <v>0</v>
      </c>
      <c r="D25" t="s">
        <v>31</v>
      </c>
      <c r="E25" s="4">
        <v>1.762597684722077</v>
      </c>
      <c r="F25" s="36">
        <v>0.05</v>
      </c>
      <c r="G25" s="42">
        <f>E25*G28</f>
        <v>352.51953694441539</v>
      </c>
      <c r="H25" s="42">
        <f>E25*H28</f>
        <v>352.51953694441539</v>
      </c>
      <c r="J25" s="11"/>
      <c r="M25" s="50"/>
    </row>
    <row r="26" spans="1:13" x14ac:dyDescent="0.25">
      <c r="A26" s="21" t="b">
        <v>0</v>
      </c>
      <c r="B26" t="s">
        <v>28</v>
      </c>
      <c r="C26" t="s">
        <v>0</v>
      </c>
      <c r="D26" t="s">
        <v>31</v>
      </c>
      <c r="E26" s="4">
        <v>2.1026984171293117</v>
      </c>
      <c r="F26" s="36">
        <v>0.05</v>
      </c>
      <c r="G26" s="42">
        <f>E26*G28</f>
        <v>420.53968342586234</v>
      </c>
      <c r="H26" s="42">
        <f>E26*H28</f>
        <v>420.53968342586234</v>
      </c>
      <c r="J26" s="11"/>
      <c r="M26" s="50"/>
    </row>
    <row r="27" spans="1:13" x14ac:dyDescent="0.25">
      <c r="A27" s="21" t="b">
        <v>0</v>
      </c>
      <c r="B27" t="s">
        <v>30</v>
      </c>
      <c r="C27" t="s">
        <v>0</v>
      </c>
      <c r="D27" t="s">
        <v>31</v>
      </c>
      <c r="E27" s="4">
        <v>0.64192819397559209</v>
      </c>
      <c r="F27" s="36">
        <v>0.05</v>
      </c>
      <c r="G27" s="42">
        <f>E27*G28</f>
        <v>128.38563879511841</v>
      </c>
      <c r="H27" s="42">
        <f>E27*H28</f>
        <v>128.38563879511841</v>
      </c>
      <c r="J27" s="11"/>
      <c r="M27" s="50"/>
    </row>
    <row r="28" spans="1:13" x14ac:dyDescent="0.25">
      <c r="A28" s="21" t="b">
        <v>0</v>
      </c>
      <c r="B28" t="s">
        <v>31</v>
      </c>
      <c r="C28" t="s">
        <v>0</v>
      </c>
      <c r="D28" t="s">
        <v>31</v>
      </c>
      <c r="E28" s="4">
        <v>1</v>
      </c>
      <c r="F28" s="36">
        <v>0.05</v>
      </c>
      <c r="G28" s="42">
        <v>200</v>
      </c>
      <c r="H28" s="42">
        <v>200</v>
      </c>
      <c r="J28" s="11"/>
      <c r="M28" s="50"/>
    </row>
    <row r="29" spans="1:13" x14ac:dyDescent="0.25">
      <c r="A29" s="21" t="b">
        <v>0</v>
      </c>
      <c r="B29" t="s">
        <v>52</v>
      </c>
      <c r="C29" t="s">
        <v>0</v>
      </c>
      <c r="D29" t="s">
        <v>57</v>
      </c>
      <c r="E29" s="4">
        <v>1.1150030351730265</v>
      </c>
      <c r="F29" s="36">
        <v>0.05</v>
      </c>
      <c r="G29" s="42">
        <f t="shared" ref="G29" si="0">ROUND(G30*E29,0)</f>
        <v>223</v>
      </c>
      <c r="H29" s="101" t="s">
        <v>107</v>
      </c>
    </row>
    <row r="30" spans="1:13" x14ac:dyDescent="0.25">
      <c r="A30" s="21" t="b">
        <v>0</v>
      </c>
      <c r="B30" t="s">
        <v>57</v>
      </c>
      <c r="C30" t="s">
        <v>0</v>
      </c>
      <c r="D30" t="s">
        <v>57</v>
      </c>
      <c r="E30" s="4">
        <v>1</v>
      </c>
      <c r="F30" s="36">
        <v>0.05</v>
      </c>
      <c r="G30" s="42">
        <v>200</v>
      </c>
      <c r="H30" s="101" t="s">
        <v>108</v>
      </c>
    </row>
    <row r="31" spans="1:13" x14ac:dyDescent="0.25">
      <c r="A31" s="21" t="b">
        <v>0</v>
      </c>
      <c r="B31" t="s">
        <v>55</v>
      </c>
      <c r="C31" t="s">
        <v>0</v>
      </c>
      <c r="D31" t="s">
        <v>48</v>
      </c>
      <c r="E31" s="4">
        <v>1.0737603516389007</v>
      </c>
      <c r="F31" s="36">
        <v>0.05</v>
      </c>
      <c r="G31" s="42">
        <f>ROUND(G32*E31,0)</f>
        <v>215</v>
      </c>
      <c r="H31" s="101" t="s">
        <v>107</v>
      </c>
    </row>
    <row r="32" spans="1:13" x14ac:dyDescent="0.25">
      <c r="A32" s="21" t="b">
        <v>0</v>
      </c>
      <c r="B32" t="s">
        <v>48</v>
      </c>
      <c r="C32" t="s">
        <v>0</v>
      </c>
      <c r="D32" t="s">
        <v>48</v>
      </c>
      <c r="E32" s="4">
        <v>1</v>
      </c>
      <c r="F32" s="36">
        <v>0.05</v>
      </c>
      <c r="G32" s="42">
        <v>200</v>
      </c>
      <c r="H32" s="101" t="s">
        <v>108</v>
      </c>
    </row>
    <row r="33" spans="1:8" x14ac:dyDescent="0.25">
      <c r="A33" s="21" t="b">
        <v>0</v>
      </c>
      <c r="B33" t="s">
        <v>62</v>
      </c>
      <c r="C33" t="s">
        <v>0</v>
      </c>
      <c r="D33" t="s">
        <v>61</v>
      </c>
      <c r="E33" s="4">
        <v>1.648521381003756</v>
      </c>
      <c r="F33" s="36">
        <v>0.05</v>
      </c>
      <c r="G33" s="42">
        <f>ROUND(G34*E33,0)</f>
        <v>330</v>
      </c>
      <c r="H33" s="101" t="s">
        <v>107</v>
      </c>
    </row>
    <row r="34" spans="1:8" x14ac:dyDescent="0.25">
      <c r="A34" s="21" t="b">
        <v>0</v>
      </c>
      <c r="B34" t="s">
        <v>61</v>
      </c>
      <c r="C34" t="s">
        <v>0</v>
      </c>
      <c r="D34" t="s">
        <v>61</v>
      </c>
      <c r="E34" s="4">
        <v>1</v>
      </c>
      <c r="F34" s="36">
        <v>0.05</v>
      </c>
      <c r="G34" s="42">
        <v>200</v>
      </c>
      <c r="H34" s="101" t="s">
        <v>108</v>
      </c>
    </row>
    <row r="35" spans="1:8" x14ac:dyDescent="0.25">
      <c r="A35" s="21" t="b">
        <v>0</v>
      </c>
      <c r="B35" t="s">
        <v>66</v>
      </c>
      <c r="C35" t="s">
        <v>0</v>
      </c>
      <c r="D35" t="s">
        <v>53</v>
      </c>
      <c r="E35" s="4">
        <v>1.4382850860499452</v>
      </c>
      <c r="F35" s="36">
        <v>0.05</v>
      </c>
      <c r="G35" s="42">
        <f>ROUND(G36*E35,0)</f>
        <v>288</v>
      </c>
      <c r="H35" s="101" t="s">
        <v>107</v>
      </c>
    </row>
    <row r="36" spans="1:8" x14ac:dyDescent="0.25">
      <c r="A36" s="21" t="b">
        <v>0</v>
      </c>
      <c r="B36" t="s">
        <v>53</v>
      </c>
      <c r="C36" t="s">
        <v>0</v>
      </c>
      <c r="D36" t="s">
        <v>53</v>
      </c>
      <c r="E36" s="4">
        <v>1</v>
      </c>
      <c r="F36" s="36">
        <v>0.05</v>
      </c>
      <c r="G36" s="42">
        <v>200</v>
      </c>
      <c r="H36" s="101" t="s">
        <v>108</v>
      </c>
    </row>
    <row r="37" spans="1:8" x14ac:dyDescent="0.25">
      <c r="A37" s="21" t="b">
        <v>0</v>
      </c>
      <c r="B37" t="s">
        <v>49</v>
      </c>
      <c r="C37" t="s">
        <v>0</v>
      </c>
      <c r="D37" t="s">
        <v>56</v>
      </c>
      <c r="E37" s="4">
        <v>1.0431563562258619</v>
      </c>
      <c r="F37" s="36">
        <v>0.16500000000000001</v>
      </c>
      <c r="G37" s="42">
        <f>ROUND(G38*E37,0)</f>
        <v>209</v>
      </c>
      <c r="H37" s="101" t="s">
        <v>107</v>
      </c>
    </row>
    <row r="38" spans="1:8" x14ac:dyDescent="0.25">
      <c r="A38" s="21" t="b">
        <v>0</v>
      </c>
      <c r="B38" t="s">
        <v>56</v>
      </c>
      <c r="C38" t="s">
        <v>0</v>
      </c>
      <c r="D38" t="s">
        <v>56</v>
      </c>
      <c r="E38" s="4">
        <v>1</v>
      </c>
      <c r="F38" s="36">
        <v>0.16500000000000001</v>
      </c>
      <c r="G38" s="42">
        <v>200</v>
      </c>
      <c r="H38" s="101" t="s">
        <v>108</v>
      </c>
    </row>
    <row r="39" spans="1:8" x14ac:dyDescent="0.25">
      <c r="A39" s="21" t="b">
        <v>0</v>
      </c>
      <c r="B39" t="s">
        <v>50</v>
      </c>
      <c r="C39" t="s">
        <v>0</v>
      </c>
      <c r="D39" t="s">
        <v>58</v>
      </c>
      <c r="E39" s="4">
        <v>1.8904292553555202</v>
      </c>
      <c r="F39" s="36">
        <v>0.05</v>
      </c>
      <c r="G39" s="42">
        <f>ROUND(G40*E39,0)</f>
        <v>378</v>
      </c>
      <c r="H39" s="101" t="s">
        <v>107</v>
      </c>
    </row>
    <row r="40" spans="1:8" x14ac:dyDescent="0.25">
      <c r="A40" s="21" t="b">
        <v>0</v>
      </c>
      <c r="B40" t="s">
        <v>58</v>
      </c>
      <c r="C40" t="s">
        <v>0</v>
      </c>
      <c r="D40" t="s">
        <v>58</v>
      </c>
      <c r="E40" s="4">
        <v>1</v>
      </c>
      <c r="F40" s="36">
        <v>0.05</v>
      </c>
      <c r="G40" s="42">
        <v>200</v>
      </c>
      <c r="H40" s="101" t="s">
        <v>108</v>
      </c>
    </row>
    <row r="41" spans="1:8" x14ac:dyDescent="0.25">
      <c r="A41" s="21" t="b">
        <v>0</v>
      </c>
      <c r="B41" t="s">
        <v>51</v>
      </c>
      <c r="C41" t="s">
        <v>0</v>
      </c>
      <c r="D41" t="s">
        <v>65</v>
      </c>
      <c r="E41" s="4">
        <v>1.7447835547184389</v>
      </c>
      <c r="F41" s="36">
        <v>0.05</v>
      </c>
      <c r="G41" s="42">
        <f>ROUND(G42*E41,0)</f>
        <v>349</v>
      </c>
      <c r="H41" s="101" t="s">
        <v>107</v>
      </c>
    </row>
    <row r="42" spans="1:8" x14ac:dyDescent="0.25">
      <c r="A42" s="21" t="b">
        <v>0</v>
      </c>
      <c r="B42" t="s">
        <v>65</v>
      </c>
      <c r="C42" t="s">
        <v>0</v>
      </c>
      <c r="D42" t="s">
        <v>65</v>
      </c>
      <c r="E42" s="4">
        <v>1</v>
      </c>
      <c r="F42" s="36">
        <v>0.05</v>
      </c>
      <c r="G42" s="42">
        <v>200</v>
      </c>
      <c r="H42" s="101" t="s">
        <v>108</v>
      </c>
    </row>
    <row r="43" spans="1:8" x14ac:dyDescent="0.25">
      <c r="A43" s="21" t="b">
        <v>0</v>
      </c>
      <c r="B43" t="s">
        <v>63</v>
      </c>
      <c r="C43" t="s">
        <v>0</v>
      </c>
      <c r="D43" t="s">
        <v>64</v>
      </c>
      <c r="E43" s="4">
        <v>2.79585253523324</v>
      </c>
      <c r="F43" s="36">
        <v>0.05</v>
      </c>
      <c r="G43" s="42">
        <f>ROUND(G44*E43,0)</f>
        <v>559</v>
      </c>
      <c r="H43" s="101" t="s">
        <v>107</v>
      </c>
    </row>
    <row r="44" spans="1:8" x14ac:dyDescent="0.25">
      <c r="A44" s="21" t="b">
        <v>0</v>
      </c>
      <c r="B44" t="s">
        <v>64</v>
      </c>
      <c r="C44" t="s">
        <v>0</v>
      </c>
      <c r="D44" t="s">
        <v>64</v>
      </c>
      <c r="E44" s="4">
        <v>1</v>
      </c>
      <c r="F44" s="36">
        <v>0.05</v>
      </c>
      <c r="G44" s="42">
        <v>200</v>
      </c>
      <c r="H44" s="101" t="s">
        <v>108</v>
      </c>
    </row>
  </sheetData>
  <conditionalFormatting sqref="A29:A44">
    <cfRule type="cellIs" dxfId="1" priority="2" operator="equal">
      <formula>TRUE</formula>
    </cfRule>
  </conditionalFormatting>
  <conditionalFormatting sqref="A1:A1048576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FI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2026-08-24T17:45:11Z</dcterms:modified>
</cp:coreProperties>
</file>