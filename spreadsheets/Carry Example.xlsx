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"/>
    </mc:Choice>
  </mc:AlternateContent>
  <xr:revisionPtr revIDLastSave="467" documentId="8_{0CC77C19-829E-46C7-8E78-D66840836F04}" xr6:coauthVersionLast="47" xr6:coauthVersionMax="47" xr10:uidLastSave="{A3308950-BC0E-445C-B9CC-ED1D2520C455}"/>
  <bookViews>
    <workbookView xWindow="28860" yWindow="3015" windowWidth="28590" windowHeight="11295" activeTab="2" xr2:uid="{503D0471-0072-49B3-8765-46F5A86F648C}"/>
  </bookViews>
  <sheets>
    <sheet name="Summary" sheetId="1" r:id="rId1"/>
    <sheet name="Native" sheetId="5" r:id="rId2"/>
    <sheet name="ETF" sheetId="2" r:id="rId3"/>
    <sheet name="CME-Fut" sheetId="4" r:id="rId4"/>
    <sheet name="CME-Combo" sheetId="3" r:id="rId5"/>
    <sheet name="IBIT-Comb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U2" i="2"/>
  <c r="G5" i="2"/>
  <c r="G6" i="2"/>
  <c r="G7" i="2"/>
  <c r="G8" i="2"/>
  <c r="G9" i="2"/>
  <c r="G10" i="2" s="1"/>
  <c r="G11" i="2" s="1"/>
  <c r="G4" i="2"/>
  <c r="O5" i="2"/>
  <c r="O6" i="2" s="1"/>
  <c r="O7" i="2" s="1"/>
  <c r="O8" i="2" s="1"/>
  <c r="O9" i="2" s="1"/>
  <c r="O10" i="2" s="1"/>
  <c r="O11" i="2" s="1"/>
  <c r="P5" i="2"/>
  <c r="P6" i="2" s="1"/>
  <c r="P7" i="2" s="1"/>
  <c r="P8" i="2" s="1"/>
  <c r="P9" i="2" s="1"/>
  <c r="P10" i="2" s="1"/>
  <c r="P11" i="2" s="1"/>
  <c r="Q5" i="2"/>
  <c r="Q6" i="2"/>
  <c r="R6" i="2" s="1"/>
  <c r="S6" i="2" s="1"/>
  <c r="U6" i="2" s="1"/>
  <c r="O4" i="2"/>
  <c r="P4" i="2"/>
  <c r="Q4" i="2"/>
  <c r="R4" i="2"/>
  <c r="S4" i="2" s="1"/>
  <c r="U4" i="2" s="1"/>
  <c r="R5" i="2"/>
  <c r="S5" i="2" s="1"/>
  <c r="U5" i="2" s="1"/>
  <c r="R3" i="2"/>
  <c r="S3" i="2" s="1"/>
  <c r="U3" i="2" s="1"/>
  <c r="M2" i="2"/>
  <c r="L2" i="2"/>
  <c r="I2" i="2"/>
  <c r="H2" i="2"/>
  <c r="L4" i="2"/>
  <c r="L5" i="2"/>
  <c r="L6" i="2"/>
  <c r="L7" i="2"/>
  <c r="L8" i="2"/>
  <c r="L9" i="2"/>
  <c r="L10" i="2"/>
  <c r="L11" i="2"/>
  <c r="I4" i="2"/>
  <c r="I5" i="2"/>
  <c r="I6" i="2"/>
  <c r="I7" i="2"/>
  <c r="I8" i="2"/>
  <c r="I9" i="2"/>
  <c r="I10" i="2"/>
  <c r="I11" i="2"/>
  <c r="O3" i="2"/>
  <c r="P3" i="2"/>
  <c r="T5" i="2" l="1"/>
  <c r="V5" i="2" s="1"/>
  <c r="T6" i="2"/>
  <c r="V6" i="2" s="1"/>
  <c r="T3" i="2"/>
  <c r="V3" i="2" s="1"/>
  <c r="T4" i="2"/>
  <c r="V4" i="2" s="1"/>
  <c r="Q7" i="2"/>
  <c r="M4" i="2"/>
  <c r="M5" i="2"/>
  <c r="M6" i="2"/>
  <c r="M7" i="2"/>
  <c r="M8" i="2"/>
  <c r="M9" i="2"/>
  <c r="M10" i="2"/>
  <c r="M11" i="2"/>
  <c r="H4" i="2"/>
  <c r="H5" i="2"/>
  <c r="H6" i="2"/>
  <c r="H7" i="2"/>
  <c r="H8" i="2"/>
  <c r="H9" i="2"/>
  <c r="H10" i="2"/>
  <c r="H11" i="2"/>
  <c r="O3" i="3"/>
  <c r="K3" i="3" s="1"/>
  <c r="O4" i="3"/>
  <c r="K4" i="3" s="1"/>
  <c r="O5" i="3"/>
  <c r="O6" i="3"/>
  <c r="O7" i="3"/>
  <c r="K7" i="3" s="1"/>
  <c r="O8" i="3"/>
  <c r="O9" i="3"/>
  <c r="O10" i="3"/>
  <c r="K10" i="3" s="1"/>
  <c r="O11" i="3"/>
  <c r="K11" i="3" s="1"/>
  <c r="O12" i="3"/>
  <c r="I3" i="3"/>
  <c r="J3" i="3"/>
  <c r="M3" i="3"/>
  <c r="N3" i="3"/>
  <c r="I4" i="3"/>
  <c r="J4" i="3"/>
  <c r="M4" i="3"/>
  <c r="L4" i="3" s="1"/>
  <c r="N4" i="3"/>
  <c r="I5" i="3"/>
  <c r="J5" i="3"/>
  <c r="K5" i="3" s="1"/>
  <c r="M5" i="3"/>
  <c r="L5" i="3" s="1"/>
  <c r="N5" i="3"/>
  <c r="I6" i="3"/>
  <c r="J6" i="3"/>
  <c r="K6" i="3"/>
  <c r="M6" i="3"/>
  <c r="L6" i="3" s="1"/>
  <c r="N6" i="3"/>
  <c r="I7" i="3"/>
  <c r="J7" i="3"/>
  <c r="M7" i="3"/>
  <c r="N7" i="3"/>
  <c r="I8" i="3"/>
  <c r="J8" i="3"/>
  <c r="K8" i="3"/>
  <c r="M8" i="3"/>
  <c r="L8" i="3" s="1"/>
  <c r="N8" i="3"/>
  <c r="I9" i="3"/>
  <c r="J9" i="3"/>
  <c r="K9" i="3"/>
  <c r="M9" i="3"/>
  <c r="N9" i="3"/>
  <c r="I10" i="3"/>
  <c r="J10" i="3"/>
  <c r="M10" i="3"/>
  <c r="N10" i="3"/>
  <c r="I11" i="3"/>
  <c r="J11" i="3"/>
  <c r="M11" i="3"/>
  <c r="N11" i="3"/>
  <c r="I12" i="3"/>
  <c r="J12" i="3"/>
  <c r="K12" i="3" s="1"/>
  <c r="M12" i="3"/>
  <c r="N12" i="3"/>
  <c r="C3" i="3"/>
  <c r="C4" i="3"/>
  <c r="C5" i="3"/>
  <c r="C6" i="3"/>
  <c r="C7" i="3"/>
  <c r="C8" i="3"/>
  <c r="C9" i="3"/>
  <c r="C10" i="3"/>
  <c r="C11" i="3"/>
  <c r="C12" i="3"/>
  <c r="M2" i="3"/>
  <c r="J2" i="3"/>
  <c r="C2" i="3"/>
  <c r="O2" i="3" s="1"/>
  <c r="L2" i="3" s="1"/>
  <c r="B2" i="3"/>
  <c r="C3" i="4"/>
  <c r="C4" i="4"/>
  <c r="C2" i="4"/>
  <c r="M3" i="4"/>
  <c r="M4" i="4"/>
  <c r="M2" i="4"/>
  <c r="J3" i="4"/>
  <c r="J4" i="4"/>
  <c r="J2" i="4"/>
  <c r="I3" i="4"/>
  <c r="I4" i="4"/>
  <c r="I2" i="4"/>
  <c r="N3" i="4"/>
  <c r="N4" i="4"/>
  <c r="N2" i="4"/>
  <c r="O4" i="4"/>
  <c r="L4" i="4" s="1"/>
  <c r="O3" i="4"/>
  <c r="K3" i="4" s="1"/>
  <c r="O2" i="4"/>
  <c r="L2" i="4" s="1"/>
  <c r="N3" i="5"/>
  <c r="N4" i="5"/>
  <c r="N5" i="5"/>
  <c r="N6" i="5"/>
  <c r="N7" i="5"/>
  <c r="N8" i="5"/>
  <c r="N9" i="5"/>
  <c r="N10" i="5"/>
  <c r="N11" i="5"/>
  <c r="N2" i="5"/>
  <c r="I3" i="5"/>
  <c r="I4" i="5"/>
  <c r="I5" i="5"/>
  <c r="I6" i="5"/>
  <c r="I7" i="5"/>
  <c r="I8" i="5"/>
  <c r="I9" i="5"/>
  <c r="I10" i="5"/>
  <c r="I11" i="5"/>
  <c r="I2" i="5"/>
  <c r="F3" i="2"/>
  <c r="Q8" i="2" l="1"/>
  <c r="R7" i="2"/>
  <c r="H3" i="2"/>
  <c r="L3" i="2"/>
  <c r="I3" i="2"/>
  <c r="M3" i="2"/>
  <c r="L11" i="3"/>
  <c r="L7" i="3"/>
  <c r="L3" i="3"/>
  <c r="L10" i="3"/>
  <c r="L12" i="3"/>
  <c r="L9" i="3"/>
  <c r="K2" i="3"/>
  <c r="I2" i="3"/>
  <c r="N2" i="3"/>
  <c r="K4" i="4"/>
  <c r="L3" i="4"/>
  <c r="K2" i="4"/>
  <c r="N4" i="2"/>
  <c r="K4" i="2" s="1"/>
  <c r="N5" i="2"/>
  <c r="N6" i="2"/>
  <c r="N7" i="2"/>
  <c r="N8" i="2"/>
  <c r="N9" i="2"/>
  <c r="J9" i="2" s="1"/>
  <c r="N10" i="2"/>
  <c r="N11" i="2"/>
  <c r="K11" i="2" s="1"/>
  <c r="N3" i="2"/>
  <c r="C3" i="6"/>
  <c r="O3" i="6" s="1"/>
  <c r="C4" i="6"/>
  <c r="O4" i="6" s="1"/>
  <c r="C5" i="6"/>
  <c r="O5" i="6" s="1"/>
  <c r="C6" i="6"/>
  <c r="O6" i="6" s="1"/>
  <c r="C7" i="6"/>
  <c r="O7" i="6" s="1"/>
  <c r="C8" i="6"/>
  <c r="O8" i="6" s="1"/>
  <c r="C9" i="6"/>
  <c r="O9" i="6" s="1"/>
  <c r="C10" i="6"/>
  <c r="O10" i="6" s="1"/>
  <c r="C11" i="6"/>
  <c r="C12" i="6"/>
  <c r="C2" i="6"/>
  <c r="O2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3" i="3"/>
  <c r="B4" i="3" s="1"/>
  <c r="B5" i="3" s="1"/>
  <c r="B6" i="3" s="1"/>
  <c r="B7" i="3" s="1"/>
  <c r="B8" i="3" s="1"/>
  <c r="B9" i="3" s="1"/>
  <c r="B10" i="3" s="1"/>
  <c r="B11" i="3" s="1"/>
  <c r="B12" i="3" s="1"/>
  <c r="B2" i="4"/>
  <c r="B3" i="4" s="1"/>
  <c r="B4" i="4" s="1"/>
  <c r="J5" i="1"/>
  <c r="B2" i="5"/>
  <c r="B3" i="5" s="1"/>
  <c r="B4" i="5" s="1"/>
  <c r="B5" i="5" s="1"/>
  <c r="B6" i="5" s="1"/>
  <c r="B7" i="5" s="1"/>
  <c r="B8" i="5" s="1"/>
  <c r="B9" i="5" s="1"/>
  <c r="B10" i="5" s="1"/>
  <c r="B11" i="5" s="1"/>
  <c r="S7" i="2" l="1"/>
  <c r="U7" i="2" s="1"/>
  <c r="T7" i="2"/>
  <c r="V7" i="2" s="1"/>
  <c r="R8" i="2"/>
  <c r="Q9" i="2"/>
  <c r="J11" i="2"/>
  <c r="J8" i="2"/>
  <c r="K8" i="2"/>
  <c r="K9" i="2"/>
  <c r="J4" i="2"/>
  <c r="K5" i="2"/>
  <c r="J5" i="2"/>
  <c r="K6" i="2"/>
  <c r="J10" i="2"/>
  <c r="K10" i="2"/>
  <c r="J7" i="2"/>
  <c r="J6" i="2"/>
  <c r="K7" i="2"/>
  <c r="G7" i="5"/>
  <c r="M7" i="5" s="1"/>
  <c r="F2" i="5"/>
  <c r="J3" i="2"/>
  <c r="G6" i="5"/>
  <c r="M6" i="5" s="1"/>
  <c r="F10" i="5"/>
  <c r="G5" i="5"/>
  <c r="M5" i="5" s="1"/>
  <c r="F9" i="5"/>
  <c r="G4" i="5"/>
  <c r="M4" i="5" s="1"/>
  <c r="F8" i="5"/>
  <c r="G3" i="5"/>
  <c r="M3" i="5" s="1"/>
  <c r="F7" i="5"/>
  <c r="F6" i="5"/>
  <c r="F5" i="5"/>
  <c r="F4" i="5"/>
  <c r="F3" i="5"/>
  <c r="K3" i="2"/>
  <c r="G2" i="5"/>
  <c r="M2" i="5" s="1"/>
  <c r="G10" i="5"/>
  <c r="G9" i="5"/>
  <c r="M9" i="5" s="1"/>
  <c r="G8" i="5"/>
  <c r="M8" i="5" s="1"/>
  <c r="S8" i="2" l="1"/>
  <c r="U8" i="2" s="1"/>
  <c r="T8" i="2"/>
  <c r="V8" i="2" s="1"/>
  <c r="R9" i="2"/>
  <c r="Q10" i="2"/>
  <c r="K13" i="2"/>
  <c r="J13" i="2"/>
  <c r="J3" i="5"/>
  <c r="O3" i="5"/>
  <c r="L3" i="5" s="1"/>
  <c r="J4" i="5"/>
  <c r="O4" i="5"/>
  <c r="L4" i="5" s="1"/>
  <c r="J9" i="5"/>
  <c r="O9" i="5"/>
  <c r="J5" i="5"/>
  <c r="O5" i="5"/>
  <c r="L5" i="5" s="1"/>
  <c r="J6" i="5"/>
  <c r="O6" i="5"/>
  <c r="L6" i="5" s="1"/>
  <c r="J10" i="5"/>
  <c r="O10" i="5"/>
  <c r="J7" i="5"/>
  <c r="O7" i="5"/>
  <c r="L7" i="5" s="1"/>
  <c r="G11" i="5"/>
  <c r="M11" i="5" s="1"/>
  <c r="M10" i="5"/>
  <c r="J2" i="5"/>
  <c r="O2" i="5"/>
  <c r="O8" i="5"/>
  <c r="J8" i="5"/>
  <c r="F11" i="5"/>
  <c r="S9" i="2" l="1"/>
  <c r="U9" i="2" s="1"/>
  <c r="T9" i="2"/>
  <c r="V9" i="2" s="1"/>
  <c r="Q11" i="2"/>
  <c r="R11" i="2" s="1"/>
  <c r="R10" i="2"/>
  <c r="L13" i="2"/>
  <c r="K2" i="5"/>
  <c r="K9" i="5"/>
  <c r="L2" i="5"/>
  <c r="K10" i="5"/>
  <c r="J11" i="5"/>
  <c r="O11" i="5"/>
  <c r="L11" i="5" s="1"/>
  <c r="K8" i="5"/>
  <c r="K6" i="5"/>
  <c r="L8" i="5"/>
  <c r="K5" i="5"/>
  <c r="K4" i="5"/>
  <c r="K7" i="5"/>
  <c r="L9" i="5"/>
  <c r="L10" i="5"/>
  <c r="K3" i="5"/>
  <c r="S10" i="2" l="1"/>
  <c r="U10" i="2" s="1"/>
  <c r="T10" i="2"/>
  <c r="V10" i="2" s="1"/>
  <c r="S11" i="2"/>
  <c r="U11" i="2" s="1"/>
  <c r="U13" i="2" s="1"/>
  <c r="T11" i="2"/>
  <c r="V11" i="2" s="1"/>
  <c r="V13" i="2" s="1"/>
  <c r="K11" i="5"/>
  <c r="W13" i="2" l="1"/>
</calcChain>
</file>

<file path=xl/sharedStrings.xml><?xml version="1.0" encoding="utf-8"?>
<sst xmlns="http://schemas.openxmlformats.org/spreadsheetml/2006/main" count="167" uniqueCount="79">
  <si>
    <t>Venue</t>
  </si>
  <si>
    <t>Mkt_Price</t>
  </si>
  <si>
    <t>Mkt_Size</t>
  </si>
  <si>
    <t>Crypto_Price</t>
  </si>
  <si>
    <t>Crypto_Size</t>
  </si>
  <si>
    <t>Cashflow</t>
  </si>
  <si>
    <t>days_fwd</t>
  </si>
  <si>
    <t>ETF</t>
  </si>
  <si>
    <t>Ratio</t>
  </si>
  <si>
    <t>Mkt_Bid_Size</t>
  </si>
  <si>
    <t>Mkt_Bid_Price</t>
  </si>
  <si>
    <t>Mkt_Ask_Price</t>
  </si>
  <si>
    <t>Mkt_Ask_Size</t>
  </si>
  <si>
    <t>Unit_Bid_Size</t>
  </si>
  <si>
    <t>Unit_Bid_Price</t>
  </si>
  <si>
    <t>Unit_Ask_Size</t>
  </si>
  <si>
    <t>Unit_Ask_Price</t>
  </si>
  <si>
    <t>Est_Comm_per_Share</t>
  </si>
  <si>
    <t>Unit_Hit_Bid_CF</t>
  </si>
  <si>
    <t>Unit_Lift_Ask_CF</t>
  </si>
  <si>
    <t>IBIT</t>
  </si>
  <si>
    <t>Settle_Date</t>
  </si>
  <si>
    <t>Coinbase</t>
  </si>
  <si>
    <t>ARKB</t>
  </si>
  <si>
    <t>BITB</t>
  </si>
  <si>
    <t>BRRR</t>
  </si>
  <si>
    <t>BTC</t>
  </si>
  <si>
    <t>BTCW</t>
  </si>
  <si>
    <t>EZBC</t>
  </si>
  <si>
    <t>FBTC</t>
  </si>
  <si>
    <t>GBTC</t>
  </si>
  <si>
    <t>Implied</t>
  </si>
  <si>
    <t>Rate</t>
  </si>
  <si>
    <t>Buy</t>
  </si>
  <si>
    <t>Sell</t>
  </si>
  <si>
    <t>= now</t>
  </si>
  <si>
    <t>type</t>
  </si>
  <si>
    <t>Native</t>
  </si>
  <si>
    <t>Contract</t>
  </si>
  <si>
    <t>Contract could be future or options combo</t>
  </si>
  <si>
    <t>CME-Fut</t>
  </si>
  <si>
    <t>CME-Combo</t>
  </si>
  <si>
    <t>Product</t>
  </si>
  <si>
    <t>IBIT-Combo</t>
  </si>
  <si>
    <t>Binance</t>
  </si>
  <si>
    <t>Kraken</t>
  </si>
  <si>
    <t>ByBit</t>
  </si>
  <si>
    <t>Bitstamp</t>
  </si>
  <si>
    <t>OKX</t>
  </si>
  <si>
    <t>LMAX Digital</t>
  </si>
  <si>
    <t>Bitget</t>
  </si>
  <si>
    <t>Bitfinex</t>
  </si>
  <si>
    <t>Huobi</t>
  </si>
  <si>
    <t>Est_Comm_per_Unit</t>
  </si>
  <si>
    <t>Scalar</t>
  </si>
  <si>
    <t>Strike</t>
  </si>
  <si>
    <t>nyc_settlement_time</t>
  </si>
  <si>
    <t>Highest Bid to Hit After Commissions</t>
  </si>
  <si>
    <t>Lowest Ask to Lift After Commissions</t>
  </si>
  <si>
    <t>settle_adj_bid</t>
  </si>
  <si>
    <t>settle_ad_ask</t>
  </si>
  <si>
    <t>settle_date</t>
  </si>
  <si>
    <t>days_to_settle</t>
  </si>
  <si>
    <t>market_data</t>
  </si>
  <si>
    <t>unit_data</t>
  </si>
  <si>
    <t>input_data</t>
  </si>
  <si>
    <t>product</t>
  </si>
  <si>
    <t>bid_size</t>
  </si>
  <si>
    <t>bid_price</t>
  </si>
  <si>
    <t>ask_price</t>
  </si>
  <si>
    <t>ask_size</t>
  </si>
  <si>
    <t>comm / sh</t>
  </si>
  <si>
    <t>comm / unit</t>
  </si>
  <si>
    <t>hit_bid_cf</t>
  </si>
  <si>
    <t>lift_ask_cf</t>
  </si>
  <si>
    <t>bid_rate</t>
  </si>
  <si>
    <t>ask_rate</t>
  </si>
  <si>
    <t>settlement_interest_adjustment_per_unit</t>
  </si>
  <si>
    <t>same_day_settle_cf_equiv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</si>
</sst>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_(* #,##0_);_(* \(#,##0\);_(* &quot;-&quot;??_);_(@_)"/>
    <numFmt numFmtId="166" formatCode="mm/dd/yyyy\ hh:mm:ss\ AM/PM"/>
    <numFmt numFmtId="167" formatCode="0.0000"/>
    <numFmt numFmtId="168" formatCode="_(&quot;$&quot;* #,##0.0000_);_(&quot;$&quot;* \(#,##0.0000\);_(&quot;$&quot;* &quot;-&quot;??_);_(@_)"/>
    <numFmt numFmtId="169" formatCode="0.000%"/>
    <numFmt numFmtId="177" formatCode="m/d/yy\ h:mm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/>
    <xf numFmtId="43" fontId="1" fillId="0" borderId="0" xfId="1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0" applyFont="1"/>
    <xf numFmtId="0" fontId="3" fillId="4" borderId="0" xfId="0" applyFont="1" applyFill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quotePrefix="1" applyNumberFormat="1" applyAlignment="1">
      <alignment horizontal="center"/>
    </xf>
    <xf numFmtId="166" fontId="0" fillId="0" borderId="0" xfId="1" applyNumberFormat="1" applyFont="1" applyBorder="1" applyAlignment="1">
      <alignment horizontal="right"/>
    </xf>
    <xf numFmtId="164" fontId="3" fillId="0" borderId="8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0" xfId="0" applyFont="1"/>
    <xf numFmtId="0" fontId="5" fillId="0" borderId="0" xfId="0" applyFont="1"/>
    <xf numFmtId="167" fontId="0" fillId="0" borderId="0" xfId="0" applyNumberFormat="1"/>
    <xf numFmtId="44" fontId="0" fillId="0" borderId="0" xfId="2" applyFont="1"/>
    <xf numFmtId="0" fontId="6" fillId="0" borderId="0" xfId="0" applyFont="1" applyAlignment="1">
      <alignment horizontal="left"/>
    </xf>
    <xf numFmtId="44" fontId="6" fillId="0" borderId="0" xfId="2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left" indent="2"/>
    </xf>
    <xf numFmtId="168" fontId="6" fillId="0" borderId="0" xfId="0" applyNumberFormat="1" applyFont="1" applyAlignment="1">
      <alignment horizontal="center"/>
    </xf>
    <xf numFmtId="168" fontId="0" fillId="0" borderId="0" xfId="0" applyNumberFormat="1"/>
    <xf numFmtId="165" fontId="0" fillId="5" borderId="0" xfId="1" applyNumberFormat="1" applyFont="1" applyFill="1"/>
    <xf numFmtId="44" fontId="0" fillId="5" borderId="0" xfId="2" applyFont="1" applyFill="1"/>
    <xf numFmtId="43" fontId="1" fillId="6" borderId="0" xfId="1" applyFont="1" applyFill="1"/>
    <xf numFmtId="169" fontId="0" fillId="6" borderId="0" xfId="3" applyNumberFormat="1" applyFont="1" applyFill="1"/>
    <xf numFmtId="43" fontId="1" fillId="6" borderId="0" xfId="1" applyFont="1" applyFill="1" applyBorder="1"/>
    <xf numFmtId="168" fontId="6" fillId="0" borderId="0" xfId="2" applyNumberFormat="1" applyFont="1" applyAlignment="1">
      <alignment horizontal="center"/>
    </xf>
    <xf numFmtId="168" fontId="0" fillId="6" borderId="0" xfId="2" applyNumberFormat="1" applyFont="1" applyFill="1"/>
    <xf numFmtId="168" fontId="0" fillId="0" borderId="0" xfId="2" applyNumberFormat="1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8" fontId="0" fillId="0" borderId="0" xfId="2" applyNumberFormat="1" applyFont="1" applyFill="1"/>
    <xf numFmtId="43" fontId="1" fillId="6" borderId="4" xfId="1" applyFont="1" applyFill="1" applyBorder="1"/>
    <xf numFmtId="168" fontId="0" fillId="6" borderId="5" xfId="2" applyNumberFormat="1" applyFont="1" applyFill="1" applyBorder="1"/>
    <xf numFmtId="168" fontId="0" fillId="0" borderId="5" xfId="2" applyNumberFormat="1" applyFont="1" applyFill="1" applyBorder="1"/>
    <xf numFmtId="43" fontId="1" fillId="6" borderId="6" xfId="1" applyFont="1" applyFill="1" applyBorder="1"/>
    <xf numFmtId="168" fontId="0" fillId="0" borderId="7" xfId="2" applyNumberFormat="1" applyFont="1" applyFill="1" applyBorder="1"/>
    <xf numFmtId="0" fontId="6" fillId="0" borderId="9" xfId="0" applyFont="1" applyBorder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2" fillId="0" borderId="2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44" fontId="6" fillId="0" borderId="0" xfId="2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168" fontId="6" fillId="0" borderId="5" xfId="2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165" fontId="0" fillId="0" borderId="4" xfId="1" applyNumberFormat="1" applyFont="1" applyFill="1" applyBorder="1"/>
    <xf numFmtId="44" fontId="0" fillId="0" borderId="0" xfId="2" applyFont="1" applyFill="1" applyBorder="1"/>
    <xf numFmtId="165" fontId="0" fillId="0" borderId="5" xfId="1" applyNumberFormat="1" applyFont="1" applyFill="1" applyBorder="1"/>
    <xf numFmtId="44" fontId="0" fillId="0" borderId="0" xfId="2" applyFont="1" applyFill="1"/>
    <xf numFmtId="165" fontId="0" fillId="0" borderId="6" xfId="1" applyNumberFormat="1" applyFont="1" applyFill="1" applyBorder="1"/>
    <xf numFmtId="44" fontId="0" fillId="0" borderId="1" xfId="2" applyFont="1" applyFill="1" applyBorder="1"/>
    <xf numFmtId="165" fontId="0" fillId="0" borderId="7" xfId="1" applyNumberFormat="1" applyFont="1" applyFill="1" applyBorder="1"/>
    <xf numFmtId="0" fontId="0" fillId="0" borderId="0" xfId="0" applyFill="1"/>
    <xf numFmtId="44" fontId="0" fillId="0" borderId="0" xfId="0" applyNumberFormat="1" applyFill="1" applyAlignment="1">
      <alignment horizontal="left" indent="2"/>
    </xf>
    <xf numFmtId="177" fontId="0" fillId="0" borderId="0" xfId="2" applyNumberFormat="1" applyFont="1" applyFill="1"/>
    <xf numFmtId="0" fontId="6" fillId="0" borderId="0" xfId="0" applyFont="1" applyFill="1" applyBorder="1" applyAlignment="1">
      <alignment horizontal="center"/>
    </xf>
    <xf numFmtId="44" fontId="6" fillId="0" borderId="5" xfId="0" applyNumberFormat="1" applyFont="1" applyFill="1" applyBorder="1" applyAlignment="1">
      <alignment horizontal="center"/>
    </xf>
    <xf numFmtId="167" fontId="0" fillId="0" borderId="4" xfId="0" applyNumberFormat="1" applyFill="1" applyBorder="1"/>
    <xf numFmtId="167" fontId="0" fillId="0" borderId="0" xfId="0" applyNumberFormat="1" applyFill="1" applyBorder="1"/>
    <xf numFmtId="44" fontId="0" fillId="0" borderId="5" xfId="0" applyNumberFormat="1" applyFill="1" applyBorder="1"/>
    <xf numFmtId="167" fontId="0" fillId="0" borderId="6" xfId="0" applyNumberFormat="1" applyFill="1" applyBorder="1"/>
    <xf numFmtId="167" fontId="0" fillId="0" borderId="1" xfId="0" applyNumberFormat="1" applyFill="1" applyBorder="1"/>
    <xf numFmtId="44" fontId="0" fillId="0" borderId="7" xfId="0" applyNumberFormat="1" applyFill="1" applyBorder="1"/>
    <xf numFmtId="0" fontId="2" fillId="0" borderId="0" xfId="0" applyFont="1" applyFill="1"/>
    <xf numFmtId="10" fontId="0" fillId="0" borderId="4" xfId="3" applyNumberFormat="1" applyFont="1" applyFill="1" applyBorder="1" applyAlignment="1">
      <alignment horizontal="right"/>
    </xf>
    <xf numFmtId="10" fontId="0" fillId="0" borderId="0" xfId="3" applyNumberFormat="1" applyFont="1" applyFill="1" applyBorder="1" applyAlignment="1">
      <alignment horizontal="right"/>
    </xf>
    <xf numFmtId="164" fontId="0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10" fontId="0" fillId="0" borderId="6" xfId="3" applyNumberFormat="1" applyFont="1" applyFill="1" applyBorder="1" applyAlignment="1">
      <alignment horizontal="right"/>
    </xf>
    <xf numFmtId="10" fontId="0" fillId="0" borderId="1" xfId="3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44" fontId="6" fillId="0" borderId="4" xfId="2" applyFont="1" applyFill="1" applyBorder="1" applyAlignment="1">
      <alignment horizontal="center"/>
    </xf>
    <xf numFmtId="44" fontId="6" fillId="0" borderId="5" xfId="2" applyFont="1" applyFill="1" applyBorder="1" applyAlignment="1">
      <alignment horizontal="center"/>
    </xf>
    <xf numFmtId="44" fontId="0" fillId="0" borderId="4" xfId="2" applyFont="1" applyFill="1" applyBorder="1"/>
    <xf numFmtId="44" fontId="0" fillId="0" borderId="5" xfId="2" applyFont="1" applyFill="1" applyBorder="1"/>
    <xf numFmtId="44" fontId="0" fillId="0" borderId="6" xfId="2" applyFont="1" applyFill="1" applyBorder="1"/>
    <xf numFmtId="44" fontId="0" fillId="0" borderId="7" xfId="2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A288-CC65-4260-941F-67396BDB408E}">
  <dimension ref="A1:S18"/>
  <sheetViews>
    <sheetView workbookViewId="0">
      <selection activeCell="J1" sqref="J1"/>
    </sheetView>
  </sheetViews>
  <sheetFormatPr defaultRowHeight="15" x14ac:dyDescent="0.25"/>
  <cols>
    <col min="2" max="2" width="7.5703125" bestFit="1" customWidth="1"/>
    <col min="3" max="3" width="6.140625" bestFit="1" customWidth="1"/>
    <col min="4" max="4" width="9.28515625" bestFit="1" customWidth="1"/>
    <col min="5" max="5" width="8.42578125" bestFit="1" customWidth="1"/>
    <col min="6" max="6" width="11.7109375" bestFit="1" customWidth="1"/>
    <col min="7" max="7" width="10.85546875" bestFit="1" customWidth="1"/>
    <col min="8" max="8" width="8.5703125" bestFit="1" customWidth="1"/>
    <col min="9" max="9" width="8.5703125" style="1" customWidth="1"/>
    <col min="10" max="10" width="20.85546875" style="3" bestFit="1" customWidth="1"/>
    <col min="11" max="11" width="8.7109375" style="3" bestFit="1" customWidth="1"/>
    <col min="12" max="12" width="8.5703125" bestFit="1" customWidth="1"/>
    <col min="13" max="13" width="10.85546875" bestFit="1" customWidth="1"/>
    <col min="14" max="14" width="11.7109375" bestFit="1" customWidth="1"/>
    <col min="15" max="15" width="9.28515625" bestFit="1" customWidth="1"/>
    <col min="16" max="16" width="8.42578125" bestFit="1" customWidth="1"/>
    <col min="17" max="17" width="6.140625" bestFit="1" customWidth="1"/>
    <col min="18" max="18" width="7.5703125" bestFit="1" customWidth="1"/>
  </cols>
  <sheetData>
    <row r="1" spans="1:19" ht="15.75" thickBot="1" x14ac:dyDescent="0.3">
      <c r="B1" s="47" t="s">
        <v>31</v>
      </c>
      <c r="C1" s="50" t="s">
        <v>57</v>
      </c>
      <c r="D1" s="50"/>
      <c r="E1" s="50"/>
      <c r="F1" s="50"/>
      <c r="G1" s="50"/>
      <c r="H1" s="50"/>
      <c r="I1" s="2"/>
      <c r="J1" s="22">
        <v>46042.313263888886</v>
      </c>
      <c r="K1" s="21" t="s">
        <v>35</v>
      </c>
      <c r="L1" s="49" t="s">
        <v>58</v>
      </c>
      <c r="M1" s="49"/>
      <c r="N1" s="49"/>
      <c r="O1" s="49"/>
      <c r="P1" s="49"/>
      <c r="Q1" s="49"/>
      <c r="R1" s="48" t="s">
        <v>31</v>
      </c>
    </row>
    <row r="2" spans="1:19" s="15" customFormat="1" x14ac:dyDescent="0.25">
      <c r="B2" s="9" t="s">
        <v>32</v>
      </c>
      <c r="C2" s="2" t="s">
        <v>0</v>
      </c>
      <c r="D2" s="7" t="s">
        <v>1</v>
      </c>
      <c r="E2" s="7" t="s">
        <v>2</v>
      </c>
      <c r="F2" s="9" t="s">
        <v>3</v>
      </c>
      <c r="G2" s="9" t="s">
        <v>4</v>
      </c>
      <c r="H2" s="2" t="s">
        <v>5</v>
      </c>
      <c r="I2" s="25" t="s">
        <v>36</v>
      </c>
      <c r="J2" s="23" t="s">
        <v>56</v>
      </c>
      <c r="K2" s="17" t="s">
        <v>6</v>
      </c>
      <c r="L2" s="12" t="s">
        <v>5</v>
      </c>
      <c r="M2" s="13" t="s">
        <v>4</v>
      </c>
      <c r="N2" s="13" t="s">
        <v>3</v>
      </c>
      <c r="O2" s="14" t="s">
        <v>1</v>
      </c>
      <c r="P2" s="14" t="s">
        <v>2</v>
      </c>
      <c r="Q2" s="12" t="s">
        <v>0</v>
      </c>
      <c r="R2" s="16" t="s">
        <v>32</v>
      </c>
    </row>
    <row r="3" spans="1:19" x14ac:dyDescent="0.25">
      <c r="A3" t="s">
        <v>33</v>
      </c>
      <c r="B3" s="10"/>
      <c r="D3" s="8"/>
      <c r="E3" s="8"/>
      <c r="F3" s="10"/>
      <c r="G3" s="10"/>
      <c r="I3" s="26" t="s">
        <v>37</v>
      </c>
      <c r="J3" s="3">
        <v>46042</v>
      </c>
      <c r="K3" s="18"/>
      <c r="M3" s="11"/>
      <c r="N3" s="11"/>
      <c r="O3" s="8"/>
      <c r="P3" s="8"/>
      <c r="R3" s="11"/>
      <c r="S3" t="s">
        <v>34</v>
      </c>
    </row>
    <row r="4" spans="1:19" x14ac:dyDescent="0.25">
      <c r="A4" t="s">
        <v>34</v>
      </c>
      <c r="B4" s="10"/>
      <c r="D4" s="8"/>
      <c r="E4" s="8"/>
      <c r="F4" s="10"/>
      <c r="G4" s="10"/>
      <c r="I4" s="26" t="s">
        <v>38</v>
      </c>
      <c r="J4" s="22">
        <v>46043.125</v>
      </c>
      <c r="K4" s="18"/>
      <c r="M4" s="11"/>
      <c r="N4" s="11"/>
      <c r="O4" s="8"/>
      <c r="P4" s="8"/>
      <c r="R4" s="11"/>
      <c r="S4" t="s">
        <v>33</v>
      </c>
    </row>
    <row r="5" spans="1:19" x14ac:dyDescent="0.25">
      <c r="B5" s="10"/>
      <c r="D5" s="8"/>
      <c r="E5" s="8"/>
      <c r="F5" s="10"/>
      <c r="G5" s="10"/>
      <c r="I5" s="26" t="s">
        <v>7</v>
      </c>
      <c r="J5" s="3">
        <f>J3+1</f>
        <v>46043</v>
      </c>
      <c r="K5" s="18"/>
      <c r="M5" s="11"/>
      <c r="N5" s="11"/>
      <c r="O5" s="8"/>
      <c r="P5" s="8"/>
      <c r="R5" s="11"/>
    </row>
    <row r="6" spans="1:19" x14ac:dyDescent="0.25">
      <c r="B6" s="10"/>
      <c r="D6" s="8"/>
      <c r="E6" s="8"/>
      <c r="F6" s="10"/>
      <c r="G6" s="10"/>
      <c r="I6" s="26" t="s">
        <v>38</v>
      </c>
      <c r="J6" s="22">
        <v>46044.125</v>
      </c>
      <c r="K6" s="18"/>
      <c r="M6" s="11"/>
      <c r="N6" s="11"/>
      <c r="O6" s="8"/>
      <c r="P6" s="8"/>
      <c r="R6" s="11"/>
    </row>
    <row r="7" spans="1:19" x14ac:dyDescent="0.25">
      <c r="B7" s="10"/>
      <c r="D7" s="8"/>
      <c r="E7" s="8"/>
      <c r="F7" s="10"/>
      <c r="G7" s="10"/>
      <c r="I7" s="26" t="s">
        <v>38</v>
      </c>
      <c r="J7" s="22">
        <v>46045.125</v>
      </c>
      <c r="K7" s="18"/>
      <c r="M7" s="11"/>
      <c r="N7" s="11"/>
      <c r="O7" s="8"/>
      <c r="P7" s="8"/>
      <c r="R7" s="11"/>
    </row>
    <row r="8" spans="1:19" x14ac:dyDescent="0.25">
      <c r="B8" s="10"/>
      <c r="D8" s="8"/>
      <c r="E8" s="8"/>
      <c r="F8" s="10"/>
      <c r="G8" s="10"/>
      <c r="I8" s="26" t="s">
        <v>38</v>
      </c>
      <c r="J8" s="22">
        <v>46046.125</v>
      </c>
      <c r="K8" s="18"/>
      <c r="M8" s="11"/>
      <c r="N8" s="11"/>
      <c r="O8" s="8"/>
      <c r="P8" s="8"/>
      <c r="R8" s="11"/>
    </row>
    <row r="9" spans="1:19" x14ac:dyDescent="0.25">
      <c r="B9" s="10"/>
      <c r="D9" s="8"/>
      <c r="E9" s="8"/>
      <c r="F9" s="10"/>
      <c r="G9" s="10"/>
      <c r="I9" s="26" t="s">
        <v>38</v>
      </c>
      <c r="J9" s="22">
        <v>46052.125</v>
      </c>
      <c r="K9" s="18"/>
      <c r="M9" s="11"/>
      <c r="N9" s="11"/>
      <c r="O9" s="8"/>
      <c r="P9" s="8"/>
      <c r="R9" s="11"/>
    </row>
    <row r="10" spans="1:19" x14ac:dyDescent="0.25">
      <c r="B10" s="10"/>
      <c r="D10" s="8"/>
      <c r="E10" s="8"/>
      <c r="F10" s="10"/>
      <c r="G10" s="10"/>
      <c r="I10" s="26" t="s">
        <v>38</v>
      </c>
      <c r="J10" s="22">
        <v>46059.125</v>
      </c>
      <c r="K10" s="18"/>
      <c r="M10" s="11"/>
      <c r="N10" s="11"/>
      <c r="O10" s="8"/>
      <c r="P10" s="8"/>
      <c r="R10" s="11"/>
    </row>
    <row r="11" spans="1:19" x14ac:dyDescent="0.25">
      <c r="B11" s="10"/>
      <c r="D11" s="8"/>
      <c r="E11" s="8"/>
      <c r="F11" s="10"/>
      <c r="G11" s="10"/>
      <c r="I11" s="26" t="s">
        <v>38</v>
      </c>
      <c r="J11" s="22">
        <v>46080.125</v>
      </c>
      <c r="K11" s="18"/>
      <c r="M11" s="11"/>
      <c r="N11" s="11"/>
      <c r="O11" s="8"/>
      <c r="P11" s="8"/>
      <c r="R11" s="11"/>
    </row>
    <row r="12" spans="1:19" x14ac:dyDescent="0.25">
      <c r="B12" s="10"/>
      <c r="D12" s="8"/>
      <c r="E12" s="8"/>
      <c r="F12" s="10"/>
      <c r="G12" s="10"/>
      <c r="I12" s="26" t="s">
        <v>38</v>
      </c>
      <c r="J12" s="22">
        <v>46108.166666666664</v>
      </c>
      <c r="K12" s="18"/>
      <c r="M12" s="11"/>
      <c r="N12" s="11"/>
      <c r="O12" s="8"/>
      <c r="P12" s="8"/>
      <c r="R12" s="11"/>
    </row>
    <row r="13" spans="1:19" x14ac:dyDescent="0.25">
      <c r="B13" s="10"/>
      <c r="D13" s="8"/>
      <c r="E13" s="8"/>
      <c r="F13" s="10"/>
      <c r="G13" s="10"/>
      <c r="I13" s="26" t="s">
        <v>38</v>
      </c>
      <c r="J13" s="22">
        <v>46199.166666666664</v>
      </c>
      <c r="K13" s="18"/>
      <c r="M13" s="11"/>
      <c r="N13" s="11"/>
      <c r="O13" s="8"/>
      <c r="P13" s="8"/>
      <c r="R13" s="11"/>
    </row>
    <row r="14" spans="1:19" x14ac:dyDescent="0.25">
      <c r="B14" s="10"/>
      <c r="D14" s="8"/>
      <c r="E14" s="8"/>
      <c r="F14" s="10"/>
      <c r="G14" s="10"/>
      <c r="I14" s="26" t="s">
        <v>38</v>
      </c>
      <c r="J14" s="22">
        <v>46290.166666666664</v>
      </c>
      <c r="K14" s="19"/>
      <c r="M14" s="11"/>
      <c r="N14" s="11"/>
      <c r="O14" s="8"/>
      <c r="P14" s="8"/>
      <c r="R14" s="11"/>
    </row>
    <row r="15" spans="1:19" x14ac:dyDescent="0.25">
      <c r="B15" s="10"/>
      <c r="D15" s="8"/>
      <c r="E15" s="8"/>
      <c r="F15" s="10"/>
      <c r="G15" s="10"/>
      <c r="I15" s="26" t="s">
        <v>38</v>
      </c>
      <c r="J15" s="22">
        <v>46381.125</v>
      </c>
      <c r="K15" s="19"/>
      <c r="M15" s="11"/>
      <c r="N15" s="11"/>
      <c r="O15" s="8"/>
      <c r="P15" s="8"/>
      <c r="R15" s="11"/>
    </row>
    <row r="16" spans="1:19" x14ac:dyDescent="0.25">
      <c r="B16" s="10"/>
      <c r="D16" s="8"/>
      <c r="E16" s="8"/>
      <c r="F16" s="10"/>
      <c r="G16" s="10"/>
      <c r="I16" s="26"/>
      <c r="K16" s="19"/>
      <c r="M16" s="11"/>
      <c r="N16" s="11"/>
      <c r="O16" s="8"/>
      <c r="P16" s="8"/>
      <c r="R16" s="11"/>
    </row>
    <row r="17" spans="2:18" ht="15.75" thickBot="1" x14ac:dyDescent="0.3">
      <c r="B17" s="10"/>
      <c r="D17" s="8"/>
      <c r="E17" s="8"/>
      <c r="F17" s="10"/>
      <c r="G17" s="10"/>
      <c r="I17" s="27"/>
      <c r="J17" s="24"/>
      <c r="K17" s="20"/>
      <c r="M17" s="11"/>
      <c r="N17" s="11"/>
      <c r="O17" s="8"/>
      <c r="P17" s="8"/>
      <c r="R17" s="11"/>
    </row>
    <row r="18" spans="2:18" x14ac:dyDescent="0.25">
      <c r="I18" t="s">
        <v>39</v>
      </c>
    </row>
  </sheetData>
  <mergeCells count="2">
    <mergeCell ref="L1:Q1"/>
    <mergeCell ref="C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D323-D3BA-432F-988A-ADEF4CDB8BB9}">
  <dimension ref="A1:O11"/>
  <sheetViews>
    <sheetView workbookViewId="0">
      <selection activeCell="D20" sqref="D20"/>
    </sheetView>
  </sheetViews>
  <sheetFormatPr defaultRowHeight="15" x14ac:dyDescent="0.25"/>
  <cols>
    <col min="1" max="1" width="11.28515625" style="29" bestFit="1" customWidth="1"/>
    <col min="2" max="2" width="10.7109375" bestFit="1" customWidth="1"/>
    <col min="3" max="3" width="9.28515625" bestFit="1" customWidth="1"/>
    <col min="4" max="4" width="19.28515625" style="38" bestFit="1" customWidth="1"/>
    <col min="5" max="5" width="12" bestFit="1" customWidth="1"/>
    <col min="6" max="6" width="14.28515625" style="31" bestFit="1" customWidth="1"/>
    <col min="7" max="7" width="14.42578125" style="31" bestFit="1" customWidth="1"/>
    <col min="8" max="9" width="12.28515625" bestFit="1" customWidth="1"/>
    <col min="10" max="10" width="14.5703125" style="31" bestFit="1" customWidth="1"/>
    <col min="11" max="11" width="15.7109375" style="31" bestFit="1" customWidth="1"/>
    <col min="12" max="12" width="16.140625" style="31" bestFit="1" customWidth="1"/>
    <col min="13" max="13" width="14.7109375" style="31" bestFit="1" customWidth="1"/>
    <col min="14" max="14" width="12.5703125" bestFit="1" customWidth="1"/>
    <col min="15" max="15" width="17.85546875" style="36" bestFit="1" customWidth="1"/>
  </cols>
  <sheetData>
    <row r="1" spans="1:15" s="12" customFormat="1" x14ac:dyDescent="0.25">
      <c r="A1" s="32" t="s">
        <v>42</v>
      </c>
      <c r="B1" s="12" t="s">
        <v>21</v>
      </c>
      <c r="C1" s="12" t="s">
        <v>8</v>
      </c>
      <c r="D1" s="37" t="s">
        <v>17</v>
      </c>
      <c r="E1" s="12" t="s">
        <v>9</v>
      </c>
      <c r="F1" s="33" t="s">
        <v>10</v>
      </c>
      <c r="G1" s="33" t="s">
        <v>11</v>
      </c>
      <c r="H1" s="12" t="s">
        <v>12</v>
      </c>
      <c r="I1" s="12" t="s">
        <v>13</v>
      </c>
      <c r="J1" s="33" t="s">
        <v>14</v>
      </c>
      <c r="K1" s="33" t="s">
        <v>18</v>
      </c>
      <c r="L1" s="33" t="s">
        <v>19</v>
      </c>
      <c r="M1" s="33" t="s">
        <v>16</v>
      </c>
      <c r="N1" s="12" t="s">
        <v>15</v>
      </c>
      <c r="O1" s="34" t="s">
        <v>53</v>
      </c>
    </row>
    <row r="2" spans="1:15" x14ac:dyDescent="0.25">
      <c r="A2" s="28" t="s">
        <v>44</v>
      </c>
      <c r="B2" s="4">
        <f>Summary!J4</f>
        <v>46043.125</v>
      </c>
      <c r="C2" s="41">
        <v>1</v>
      </c>
      <c r="D2" s="42">
        <v>2.5000000000000001E-3</v>
      </c>
      <c r="E2" s="39"/>
      <c r="F2" s="40">
        <f>ETF!I3</f>
        <v>89646.410139183223</v>
      </c>
      <c r="G2" s="40">
        <f>ETF!L3</f>
        <v>89676.533260869764</v>
      </c>
      <c r="H2" s="39"/>
      <c r="I2" s="30">
        <f>E2</f>
        <v>0</v>
      </c>
      <c r="J2" s="31">
        <f>F2</f>
        <v>89646.410139183223</v>
      </c>
      <c r="K2" s="31">
        <f>J2-O2</f>
        <v>89422.256459933153</v>
      </c>
      <c r="L2" s="31">
        <f>-M2-O2</f>
        <v>-89900.686940119835</v>
      </c>
      <c r="M2" s="31">
        <f>G2</f>
        <v>89676.533260869764</v>
      </c>
      <c r="N2" s="30">
        <f>H2</f>
        <v>0</v>
      </c>
      <c r="O2" s="35">
        <f>AVERAGE(F2:G2)*D2</f>
        <v>224.15367925006623</v>
      </c>
    </row>
    <row r="3" spans="1:15" x14ac:dyDescent="0.25">
      <c r="A3" s="28" t="s">
        <v>51</v>
      </c>
      <c r="B3" s="4">
        <f>B2</f>
        <v>46043.125</v>
      </c>
      <c r="C3" s="41">
        <v>1</v>
      </c>
      <c r="D3" s="42">
        <v>2.5000000000000001E-3</v>
      </c>
      <c r="E3" s="39"/>
      <c r="F3" s="40">
        <f>ETF!I4</f>
        <v>89632.602463199612</v>
      </c>
      <c r="G3" s="40">
        <f>ETF!L4</f>
        <v>89651.007515040095</v>
      </c>
      <c r="H3" s="39"/>
      <c r="I3" s="30">
        <f t="shared" ref="I3:I11" si="0">E3</f>
        <v>0</v>
      </c>
      <c r="J3" s="31">
        <f t="shared" ref="J3:J11" si="1">F3</f>
        <v>89632.602463199612</v>
      </c>
      <c r="K3" s="31">
        <f t="shared" ref="K3:K10" si="2">J3-O3</f>
        <v>89408.497950726814</v>
      </c>
      <c r="L3" s="31">
        <f t="shared" ref="L3:L10" si="3">-M3-O3</f>
        <v>-89875.112027512892</v>
      </c>
      <c r="M3" s="31">
        <f t="shared" ref="M3:M11" si="4">G3</f>
        <v>89651.007515040095</v>
      </c>
      <c r="N3" s="30">
        <f t="shared" ref="N3:N11" si="5">H3</f>
        <v>0</v>
      </c>
      <c r="O3" s="35">
        <f t="shared" ref="O3:O11" si="6">AVERAGE(F3:G3)*D3</f>
        <v>224.10451247279963</v>
      </c>
    </row>
    <row r="4" spans="1:15" x14ac:dyDescent="0.25">
      <c r="A4" s="28" t="s">
        <v>50</v>
      </c>
      <c r="B4" s="4">
        <f t="shared" ref="B4:B11" si="7">B3</f>
        <v>46043.125</v>
      </c>
      <c r="C4" s="41">
        <v>1</v>
      </c>
      <c r="D4" s="42">
        <v>2.5000000000000001E-3</v>
      </c>
      <c r="E4" s="39"/>
      <c r="F4" s="40">
        <f>ETF!I5</f>
        <v>89634.508942084227</v>
      </c>
      <c r="G4" s="40">
        <f>ETF!L5</f>
        <v>89669.937601745114</v>
      </c>
      <c r="H4" s="39"/>
      <c r="I4" s="30">
        <f t="shared" si="0"/>
        <v>0</v>
      </c>
      <c r="J4" s="31">
        <f t="shared" si="1"/>
        <v>89634.508942084227</v>
      </c>
      <c r="K4" s="31">
        <f t="shared" si="2"/>
        <v>89410.378383904434</v>
      </c>
      <c r="L4" s="31">
        <f t="shared" si="3"/>
        <v>-89894.068159924907</v>
      </c>
      <c r="M4" s="31">
        <f t="shared" si="4"/>
        <v>89669.937601745114</v>
      </c>
      <c r="N4" s="30">
        <f t="shared" si="5"/>
        <v>0</v>
      </c>
      <c r="O4" s="35">
        <f t="shared" si="6"/>
        <v>224.13055817978668</v>
      </c>
    </row>
    <row r="5" spans="1:15" x14ac:dyDescent="0.25">
      <c r="A5" s="28" t="s">
        <v>47</v>
      </c>
      <c r="B5" s="4">
        <f t="shared" si="7"/>
        <v>46043.125</v>
      </c>
      <c r="C5" s="41">
        <v>1</v>
      </c>
      <c r="D5" s="42">
        <v>2.5000000000000001E-3</v>
      </c>
      <c r="E5" s="39"/>
      <c r="F5" s="40">
        <f>ETF!I6</f>
        <v>89650.937339646116</v>
      </c>
      <c r="G5" s="40">
        <f>ETF!L6</f>
        <v>89673.536517195811</v>
      </c>
      <c r="H5" s="39"/>
      <c r="I5" s="30">
        <f t="shared" si="0"/>
        <v>0</v>
      </c>
      <c r="J5" s="31">
        <f t="shared" si="1"/>
        <v>89650.937339646116</v>
      </c>
      <c r="K5" s="31">
        <f t="shared" si="2"/>
        <v>89426.781747325062</v>
      </c>
      <c r="L5" s="31">
        <f t="shared" si="3"/>
        <v>-89897.692109516865</v>
      </c>
      <c r="M5" s="31">
        <f t="shared" si="4"/>
        <v>89673.536517195811</v>
      </c>
      <c r="N5" s="30">
        <f t="shared" si="5"/>
        <v>0</v>
      </c>
      <c r="O5" s="35">
        <f t="shared" si="6"/>
        <v>224.15559232105238</v>
      </c>
    </row>
    <row r="6" spans="1:15" x14ac:dyDescent="0.25">
      <c r="A6" s="28" t="s">
        <v>46</v>
      </c>
      <c r="B6" s="4">
        <f t="shared" si="7"/>
        <v>46043.125</v>
      </c>
      <c r="C6" s="41">
        <v>1</v>
      </c>
      <c r="D6" s="42">
        <v>2.5000000000000001E-3</v>
      </c>
      <c r="E6" s="39"/>
      <c r="F6" s="40">
        <f>ETF!I7</f>
        <v>89666.230555727627</v>
      </c>
      <c r="G6" s="40">
        <f>ETF!L7</f>
        <v>89741.834460074781</v>
      </c>
      <c r="H6" s="39"/>
      <c r="I6" s="30">
        <f t="shared" si="0"/>
        <v>0</v>
      </c>
      <c r="J6" s="31">
        <f t="shared" si="1"/>
        <v>89666.230555727627</v>
      </c>
      <c r="K6" s="31">
        <f t="shared" si="2"/>
        <v>89441.970474457878</v>
      </c>
      <c r="L6" s="31">
        <f t="shared" si="3"/>
        <v>-89966.09454134453</v>
      </c>
      <c r="M6" s="31">
        <f t="shared" si="4"/>
        <v>89741.834460074781</v>
      </c>
      <c r="N6" s="30">
        <f t="shared" si="5"/>
        <v>0</v>
      </c>
      <c r="O6" s="35">
        <f t="shared" si="6"/>
        <v>224.26008126975299</v>
      </c>
    </row>
    <row r="7" spans="1:15" x14ac:dyDescent="0.25">
      <c r="A7" s="28" t="s">
        <v>22</v>
      </c>
      <c r="B7" s="4">
        <f t="shared" si="7"/>
        <v>46043.125</v>
      </c>
      <c r="C7" s="41">
        <v>1</v>
      </c>
      <c r="D7" s="42">
        <v>2.5000000000000001E-3</v>
      </c>
      <c r="E7" s="39"/>
      <c r="F7" s="40">
        <f>ETF!I8</f>
        <v>89631.104450519808</v>
      </c>
      <c r="G7" s="40">
        <f>ETF!L8</f>
        <v>89682.97430263237</v>
      </c>
      <c r="H7" s="39"/>
      <c r="I7" s="30">
        <f t="shared" si="0"/>
        <v>0</v>
      </c>
      <c r="J7" s="31">
        <f t="shared" si="1"/>
        <v>89631.104450519808</v>
      </c>
      <c r="K7" s="31">
        <f t="shared" si="2"/>
        <v>89406.96185207837</v>
      </c>
      <c r="L7" s="31">
        <f t="shared" si="3"/>
        <v>-89907.116901073809</v>
      </c>
      <c r="M7" s="31">
        <f t="shared" si="4"/>
        <v>89682.97430263237</v>
      </c>
      <c r="N7" s="30">
        <f t="shared" si="5"/>
        <v>0</v>
      </c>
      <c r="O7" s="35">
        <f t="shared" si="6"/>
        <v>224.14259844144021</v>
      </c>
    </row>
    <row r="8" spans="1:15" x14ac:dyDescent="0.25">
      <c r="A8" s="28" t="s">
        <v>52</v>
      </c>
      <c r="B8" s="4">
        <f t="shared" si="7"/>
        <v>46043.125</v>
      </c>
      <c r="C8" s="41">
        <v>1</v>
      </c>
      <c r="D8" s="42">
        <v>2.5000000000000001E-3</v>
      </c>
      <c r="E8" s="39"/>
      <c r="F8" s="40">
        <f>ETF!I9</f>
        <v>89656.517436613882</v>
      </c>
      <c r="G8" s="40">
        <f>ETF!L9</f>
        <v>89667.997144352252</v>
      </c>
      <c r="H8" s="39"/>
      <c r="I8" s="30">
        <f t="shared" si="0"/>
        <v>0</v>
      </c>
      <c r="J8" s="31">
        <f t="shared" si="1"/>
        <v>89656.517436613882</v>
      </c>
      <c r="K8" s="31">
        <f t="shared" si="2"/>
        <v>89432.361793387681</v>
      </c>
      <c r="L8" s="31">
        <f t="shared" si="3"/>
        <v>-89892.152787578452</v>
      </c>
      <c r="M8" s="31">
        <f t="shared" si="4"/>
        <v>89667.997144352252</v>
      </c>
      <c r="N8" s="30">
        <f t="shared" si="5"/>
        <v>0</v>
      </c>
      <c r="O8" s="35">
        <f t="shared" si="6"/>
        <v>224.1556432262077</v>
      </c>
    </row>
    <row r="9" spans="1:15" x14ac:dyDescent="0.25">
      <c r="A9" s="28" t="s">
        <v>45</v>
      </c>
      <c r="B9" s="4">
        <f t="shared" si="7"/>
        <v>46043.125</v>
      </c>
      <c r="C9" s="41">
        <v>1</v>
      </c>
      <c r="D9" s="42">
        <v>2.5000000000000001E-3</v>
      </c>
      <c r="E9" s="39"/>
      <c r="F9" s="40">
        <f>ETF!I10</f>
        <v>89629.3915033667</v>
      </c>
      <c r="G9" s="40">
        <f>ETF!L10</f>
        <v>89642.199361540945</v>
      </c>
      <c r="H9" s="39"/>
      <c r="I9" s="30">
        <f t="shared" si="0"/>
        <v>0</v>
      </c>
      <c r="J9" s="31">
        <f t="shared" si="1"/>
        <v>89629.3915033667</v>
      </c>
      <c r="K9" s="31">
        <f t="shared" si="2"/>
        <v>89405.302014785571</v>
      </c>
      <c r="L9" s="31">
        <f t="shared" si="3"/>
        <v>-89866.288850122073</v>
      </c>
      <c r="M9" s="31">
        <f t="shared" si="4"/>
        <v>89642.199361540945</v>
      </c>
      <c r="N9" s="30">
        <f t="shared" si="5"/>
        <v>0</v>
      </c>
      <c r="O9" s="35">
        <f t="shared" si="6"/>
        <v>224.08948858113459</v>
      </c>
    </row>
    <row r="10" spans="1:15" x14ac:dyDescent="0.25">
      <c r="A10" s="28" t="s">
        <v>49</v>
      </c>
      <c r="B10" s="4">
        <f t="shared" si="7"/>
        <v>46043.125</v>
      </c>
      <c r="C10" s="43">
        <v>1</v>
      </c>
      <c r="D10" s="42">
        <v>2.5000000000000001E-3</v>
      </c>
      <c r="E10" s="39"/>
      <c r="F10" s="40">
        <f>ETF!I11</f>
        <v>89580.446465337824</v>
      </c>
      <c r="G10" s="40">
        <f>ETF!L11</f>
        <v>89598.070003890913</v>
      </c>
      <c r="H10" s="39"/>
      <c r="I10" s="30">
        <f t="shared" si="0"/>
        <v>0</v>
      </c>
      <c r="J10" s="31">
        <f t="shared" si="1"/>
        <v>89580.446465337824</v>
      </c>
      <c r="K10" s="31">
        <f t="shared" si="2"/>
        <v>89356.473319751283</v>
      </c>
      <c r="L10" s="31">
        <f t="shared" si="3"/>
        <v>-89822.043149477453</v>
      </c>
      <c r="M10" s="31">
        <f t="shared" si="4"/>
        <v>89598.070003890913</v>
      </c>
      <c r="N10" s="30">
        <f t="shared" si="5"/>
        <v>0</v>
      </c>
      <c r="O10" s="35">
        <f t="shared" si="6"/>
        <v>223.97314558653591</v>
      </c>
    </row>
    <row r="11" spans="1:15" x14ac:dyDescent="0.25">
      <c r="A11" s="28" t="s">
        <v>48</v>
      </c>
      <c r="B11" s="4">
        <f t="shared" si="7"/>
        <v>46043.125</v>
      </c>
      <c r="C11" s="43">
        <v>1</v>
      </c>
      <c r="D11" s="42">
        <v>2.5000000000000001E-3</v>
      </c>
      <c r="E11" s="39"/>
      <c r="F11" s="40">
        <f>F8</f>
        <v>89656.517436613882</v>
      </c>
      <c r="G11" s="40">
        <f>G10</f>
        <v>89598.070003890913</v>
      </c>
      <c r="H11" s="39"/>
      <c r="I11" s="30">
        <f t="shared" si="0"/>
        <v>0</v>
      </c>
      <c r="J11" s="31">
        <f t="shared" si="1"/>
        <v>89656.517436613882</v>
      </c>
      <c r="K11" s="31">
        <f t="shared" ref="K11" si="8">J11-O11</f>
        <v>89432.449202313248</v>
      </c>
      <c r="L11" s="31">
        <f t="shared" ref="L11" si="9">-M11-O11</f>
        <v>-89822.138238191546</v>
      </c>
      <c r="M11" s="31">
        <f t="shared" si="4"/>
        <v>89598.070003890913</v>
      </c>
      <c r="N11" s="30">
        <f t="shared" si="5"/>
        <v>0</v>
      </c>
      <c r="O11" s="35">
        <f t="shared" si="6"/>
        <v>224.06823430063102</v>
      </c>
    </row>
  </sheetData>
  <sortState xmlns:xlrd2="http://schemas.microsoft.com/office/spreadsheetml/2017/richdata2" ref="E14:E23">
    <sortCondition ref="E14:E23"/>
  </sortState>
  <conditionalFormatting sqref="K1:K1048576">
    <cfRule type="top10" dxfId="7" priority="2" rank="1"/>
  </conditionalFormatting>
  <conditionalFormatting sqref="L1:L1048576">
    <cfRule type="top10" dxfId="6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40DC-5A0A-49F1-A126-BD3B34943C93}">
  <dimension ref="A1:W23"/>
  <sheetViews>
    <sheetView tabSelected="1" workbookViewId="0">
      <selection activeCell="R16" sqref="R16"/>
    </sheetView>
  </sheetViews>
  <sheetFormatPr defaultRowHeight="15" x14ac:dyDescent="0.25"/>
  <cols>
    <col min="1" max="1" width="11.28515625" style="29" bestFit="1" customWidth="1"/>
    <col min="2" max="2" width="8.28515625" style="75" bestFit="1" customWidth="1"/>
    <col min="3" max="3" width="10.7109375" style="71" bestFit="1" customWidth="1"/>
    <col min="4" max="4" width="10.85546875" style="71" bestFit="1" customWidth="1"/>
    <col min="5" max="5" width="8.42578125" style="75" bestFit="1" customWidth="1"/>
    <col min="6" max="6" width="9.5703125" style="75" bestFit="1" customWidth="1"/>
    <col min="7" max="7" width="11.7109375" style="51" bestFit="1" customWidth="1"/>
    <col min="8" max="8" width="8.28515625" style="75" bestFit="1" customWidth="1"/>
    <col min="9" max="10" width="11.5703125" style="71" bestFit="1" customWidth="1"/>
    <col min="11" max="11" width="12.28515625" style="71" bestFit="1" customWidth="1"/>
    <col min="12" max="12" width="11.5703125" style="71" bestFit="1" customWidth="1"/>
    <col min="13" max="13" width="8.42578125" style="75" bestFit="1" customWidth="1"/>
    <col min="14" max="14" width="13.28515625" style="76" bestFit="1" customWidth="1"/>
    <col min="15" max="15" width="8.28515625" style="75" bestFit="1" customWidth="1"/>
    <col min="16" max="16" width="8.42578125" style="75" bestFit="1" customWidth="1"/>
    <col min="17" max="17" width="10.7109375" style="75" bestFit="1" customWidth="1"/>
    <col min="18" max="18" width="14.140625" style="75" bestFit="1" customWidth="1"/>
    <col min="19" max="19" width="13.7109375" style="75" bestFit="1" customWidth="1"/>
    <col min="20" max="20" width="13.28515625" style="75" bestFit="1" customWidth="1"/>
    <col min="21" max="22" width="14.42578125" style="71" customWidth="1"/>
    <col min="23" max="23" width="9.140625" style="75"/>
  </cols>
  <sheetData>
    <row r="1" spans="1:23" s="5" customFormat="1" ht="15.75" thickBot="1" x14ac:dyDescent="0.3">
      <c r="A1" s="28"/>
      <c r="B1" s="60" t="s">
        <v>63</v>
      </c>
      <c r="C1" s="61"/>
      <c r="D1" s="61"/>
      <c r="E1" s="62"/>
      <c r="F1" s="60" t="s">
        <v>65</v>
      </c>
      <c r="G1" s="62"/>
      <c r="H1" s="60" t="s">
        <v>64</v>
      </c>
      <c r="I1" s="61"/>
      <c r="J1" s="61"/>
      <c r="K1" s="61"/>
      <c r="L1" s="61"/>
      <c r="M1" s="61"/>
      <c r="N1" s="62"/>
      <c r="O1" s="60" t="s">
        <v>77</v>
      </c>
      <c r="P1" s="61"/>
      <c r="Q1" s="61"/>
      <c r="R1" s="61"/>
      <c r="S1" s="61"/>
      <c r="T1" s="62"/>
      <c r="U1" s="60" t="s">
        <v>78</v>
      </c>
      <c r="V1" s="62"/>
      <c r="W1" s="86"/>
    </row>
    <row r="2" spans="1:23" s="12" customFormat="1" x14ac:dyDescent="0.25">
      <c r="A2" s="57" t="s">
        <v>66</v>
      </c>
      <c r="B2" s="63" t="s">
        <v>67</v>
      </c>
      <c r="C2" s="64" t="s">
        <v>68</v>
      </c>
      <c r="D2" s="64" t="s">
        <v>69</v>
      </c>
      <c r="E2" s="65" t="s">
        <v>70</v>
      </c>
      <c r="F2" s="63" t="s">
        <v>54</v>
      </c>
      <c r="G2" s="66" t="s">
        <v>71</v>
      </c>
      <c r="H2" s="63" t="str">
        <f>B2</f>
        <v>bid_size</v>
      </c>
      <c r="I2" s="64" t="str">
        <f>C2</f>
        <v>bid_price</v>
      </c>
      <c r="J2" s="64" t="s">
        <v>73</v>
      </c>
      <c r="K2" s="64" t="s">
        <v>74</v>
      </c>
      <c r="L2" s="64" t="str">
        <f>D2</f>
        <v>ask_price</v>
      </c>
      <c r="M2" s="78" t="str">
        <f>E2</f>
        <v>ask_size</v>
      </c>
      <c r="N2" s="79" t="s">
        <v>72</v>
      </c>
      <c r="O2" s="63" t="s">
        <v>75</v>
      </c>
      <c r="P2" s="78" t="s">
        <v>76</v>
      </c>
      <c r="Q2" s="78" t="s">
        <v>61</v>
      </c>
      <c r="R2" s="78" t="s">
        <v>62</v>
      </c>
      <c r="S2" s="78" t="s">
        <v>59</v>
      </c>
      <c r="T2" s="65" t="s">
        <v>60</v>
      </c>
      <c r="U2" s="95" t="str">
        <f>J2</f>
        <v>hit_bid_cf</v>
      </c>
      <c r="V2" s="96" t="str">
        <f>K2</f>
        <v>lift_ask_cf</v>
      </c>
      <c r="W2" s="67"/>
    </row>
    <row r="3" spans="1:23" x14ac:dyDescent="0.25">
      <c r="A3" s="58" t="s">
        <v>23</v>
      </c>
      <c r="B3" s="68">
        <v>67</v>
      </c>
      <c r="C3" s="69">
        <v>29.76</v>
      </c>
      <c r="D3" s="69">
        <v>29.77</v>
      </c>
      <c r="E3" s="70">
        <v>493</v>
      </c>
      <c r="F3" s="52">
        <f>1004.10405621845*3</f>
        <v>3012.31216865535</v>
      </c>
      <c r="G3" s="53">
        <v>2E-3</v>
      </c>
      <c r="H3" s="80">
        <f>100*B3/F3</f>
        <v>2.2242050706818932</v>
      </c>
      <c r="I3" s="69">
        <f>C3*F3</f>
        <v>89646.410139183223</v>
      </c>
      <c r="J3" s="69">
        <f>I3-N3</f>
        <v>89640.385514845912</v>
      </c>
      <c r="K3" s="69">
        <f>-L3-N3</f>
        <v>-89682.557885207076</v>
      </c>
      <c r="L3" s="69">
        <f>D3*F3</f>
        <v>89676.533260869764</v>
      </c>
      <c r="M3" s="81">
        <f>100*E3/F3</f>
        <v>16.366165669345872</v>
      </c>
      <c r="N3" s="82">
        <f>F3*G3</f>
        <v>6.0246243373107005</v>
      </c>
      <c r="O3" s="87">
        <f>3.64%+0.5%</f>
        <v>4.1399999999999999E-2</v>
      </c>
      <c r="P3" s="88">
        <f>3.64%-0.5%</f>
        <v>3.1400000000000004E-2</v>
      </c>
      <c r="Q3" s="89">
        <v>46048</v>
      </c>
      <c r="R3" s="90">
        <f ca="1">Q3-TODAY()</f>
        <v>3</v>
      </c>
      <c r="S3" s="69">
        <f ca="1">-I3*O3*R3/360</f>
        <v>-30.928011498018208</v>
      </c>
      <c r="T3" s="82">
        <f ca="1">L3*P3*R3/360</f>
        <v>23.46535953659426</v>
      </c>
      <c r="U3" s="97">
        <f ca="1">J3+S3</f>
        <v>89609.45750334789</v>
      </c>
      <c r="V3" s="98">
        <f ca="1">K3+T3</f>
        <v>-89659.09252567048</v>
      </c>
    </row>
    <row r="4" spans="1:23" x14ac:dyDescent="0.25">
      <c r="A4" s="58" t="s">
        <v>24</v>
      </c>
      <c r="B4" s="68">
        <v>10</v>
      </c>
      <c r="C4" s="69">
        <v>48.7</v>
      </c>
      <c r="D4" s="69">
        <v>48.71</v>
      </c>
      <c r="E4" s="70">
        <v>27</v>
      </c>
      <c r="F4" s="52">
        <v>1840.5051840492731</v>
      </c>
      <c r="G4" s="54">
        <f>G3</f>
        <v>2E-3</v>
      </c>
      <c r="H4" s="80">
        <f>100*B4/F4</f>
        <v>0.54332908631091825</v>
      </c>
      <c r="I4" s="69">
        <f t="shared" ref="I4:I11" si="0">C4*F4</f>
        <v>89632.602463199612</v>
      </c>
      <c r="J4" s="69">
        <f t="shared" ref="J4:J11" si="1">I4-N4</f>
        <v>89628.921452831506</v>
      </c>
      <c r="K4" s="69">
        <f t="shared" ref="K4:K11" si="2">-L4-N4</f>
        <v>-89654.688525408201</v>
      </c>
      <c r="L4" s="69">
        <f t="shared" ref="L4:L11" si="3">D4*F4</f>
        <v>89651.007515040095</v>
      </c>
      <c r="M4" s="81">
        <f>100*E4/F4</f>
        <v>1.4669885330394792</v>
      </c>
      <c r="N4" s="82">
        <f>F4*G4</f>
        <v>3.6810103680985464</v>
      </c>
      <c r="O4" s="87">
        <f>O3</f>
        <v>4.1399999999999999E-2</v>
      </c>
      <c r="P4" s="88">
        <f>P3</f>
        <v>3.1400000000000004E-2</v>
      </c>
      <c r="Q4" s="89">
        <f>Q3</f>
        <v>46048</v>
      </c>
      <c r="R4" s="90">
        <f t="shared" ref="R4:R11" ca="1" si="4">Q4-TODAY()</f>
        <v>3</v>
      </c>
      <c r="S4" s="69">
        <f t="shared" ref="S4:S11" ca="1" si="5">-I4*O4*R4/360</f>
        <v>-30.923247849803868</v>
      </c>
      <c r="T4" s="82">
        <f t="shared" ref="T4:T11" ca="1" si="6">L4*P4*R4/360</f>
        <v>23.45868029976883</v>
      </c>
      <c r="U4" s="97">
        <f t="shared" ref="U4:U11" ca="1" si="7">J4+S4</f>
        <v>89597.998204981704</v>
      </c>
      <c r="V4" s="98">
        <f t="shared" ref="V4:V11" ca="1" si="8">K4+T4</f>
        <v>-89631.229845108435</v>
      </c>
    </row>
    <row r="5" spans="1:23" x14ac:dyDescent="0.25">
      <c r="A5" s="58" t="s">
        <v>25</v>
      </c>
      <c r="B5" s="68">
        <v>35</v>
      </c>
      <c r="C5" s="69">
        <v>25.3</v>
      </c>
      <c r="D5" s="69">
        <v>25.31</v>
      </c>
      <c r="E5" s="70">
        <v>35</v>
      </c>
      <c r="F5" s="52">
        <v>3542.8659660902854</v>
      </c>
      <c r="G5" s="54">
        <f t="shared" ref="G5:G11" si="9">G4</f>
        <v>2E-3</v>
      </c>
      <c r="H5" s="80">
        <f>100*B5/F5</f>
        <v>0.98790076551002293</v>
      </c>
      <c r="I5" s="69">
        <f t="shared" si="0"/>
        <v>89634.508942084227</v>
      </c>
      <c r="J5" s="69">
        <f t="shared" si="1"/>
        <v>89627.423210152047</v>
      </c>
      <c r="K5" s="69">
        <f t="shared" si="2"/>
        <v>-89677.023333677294</v>
      </c>
      <c r="L5" s="69">
        <f t="shared" si="3"/>
        <v>89669.937601745114</v>
      </c>
      <c r="M5" s="81">
        <f>100*E5/F5</f>
        <v>0.98790076551002293</v>
      </c>
      <c r="N5" s="82">
        <f>F5*G5</f>
        <v>7.085731932180571</v>
      </c>
      <c r="O5" s="87">
        <f t="shared" ref="O5:O11" si="10">O4</f>
        <v>4.1399999999999999E-2</v>
      </c>
      <c r="P5" s="88">
        <f t="shared" ref="P5:P11" si="11">P4</f>
        <v>3.1400000000000004E-2</v>
      </c>
      <c r="Q5" s="89">
        <f t="shared" ref="Q5:Q11" si="12">Q4</f>
        <v>46048</v>
      </c>
      <c r="R5" s="90">
        <f t="shared" ca="1" si="4"/>
        <v>3</v>
      </c>
      <c r="S5" s="69">
        <f t="shared" ca="1" si="5"/>
        <v>-30.92390558501906</v>
      </c>
      <c r="T5" s="82">
        <f t="shared" ca="1" si="6"/>
        <v>23.463633672456641</v>
      </c>
      <c r="U5" s="97">
        <f t="shared" ca="1" si="7"/>
        <v>89596.499304567027</v>
      </c>
      <c r="V5" s="98">
        <f t="shared" ca="1" si="8"/>
        <v>-89653.559700004844</v>
      </c>
    </row>
    <row r="6" spans="1:23" x14ac:dyDescent="0.25">
      <c r="A6" s="58" t="s">
        <v>26</v>
      </c>
      <c r="B6" s="68">
        <v>170</v>
      </c>
      <c r="C6" s="69">
        <v>39.67</v>
      </c>
      <c r="D6" s="69">
        <v>39.68</v>
      </c>
      <c r="E6" s="70">
        <v>156</v>
      </c>
      <c r="F6" s="52">
        <v>2259.9177549696524</v>
      </c>
      <c r="G6" s="54">
        <f t="shared" si="9"/>
        <v>2E-3</v>
      </c>
      <c r="H6" s="80">
        <f>100*B6/F6</f>
        <v>7.5223976459392379</v>
      </c>
      <c r="I6" s="69">
        <f t="shared" si="0"/>
        <v>89650.937339646116</v>
      </c>
      <c r="J6" s="69">
        <f t="shared" si="1"/>
        <v>89646.417504136174</v>
      </c>
      <c r="K6" s="69">
        <f t="shared" si="2"/>
        <v>-89678.056352705753</v>
      </c>
      <c r="L6" s="69">
        <f t="shared" si="3"/>
        <v>89673.536517195811</v>
      </c>
      <c r="M6" s="81">
        <f>100*E6/F6</f>
        <v>6.9029060750971825</v>
      </c>
      <c r="N6" s="82">
        <f>F6*G6</f>
        <v>4.5198355099393046</v>
      </c>
      <c r="O6" s="87">
        <f t="shared" si="10"/>
        <v>4.1399999999999999E-2</v>
      </c>
      <c r="P6" s="88">
        <f t="shared" si="11"/>
        <v>3.1400000000000004E-2</v>
      </c>
      <c r="Q6" s="89">
        <f t="shared" si="12"/>
        <v>46048</v>
      </c>
      <c r="R6" s="90">
        <f t="shared" ca="1" si="4"/>
        <v>3</v>
      </c>
      <c r="S6" s="69">
        <f t="shared" ca="1" si="5"/>
        <v>-30.929573382177914</v>
      </c>
      <c r="T6" s="82">
        <f t="shared" ca="1" si="6"/>
        <v>23.464575388666244</v>
      </c>
      <c r="U6" s="97">
        <f t="shared" ca="1" si="7"/>
        <v>89615.487930753996</v>
      </c>
      <c r="V6" s="98">
        <f t="shared" ca="1" si="8"/>
        <v>-89654.59177731708</v>
      </c>
    </row>
    <row r="7" spans="1:23" x14ac:dyDescent="0.25">
      <c r="A7" s="58" t="s">
        <v>27</v>
      </c>
      <c r="B7" s="68">
        <v>6</v>
      </c>
      <c r="C7" s="69">
        <v>94.88</v>
      </c>
      <c r="D7" s="69">
        <v>94.96</v>
      </c>
      <c r="E7" s="70">
        <v>26</v>
      </c>
      <c r="F7" s="52">
        <v>945.04880433945652</v>
      </c>
      <c r="G7" s="54">
        <f t="shared" si="9"/>
        <v>2E-3</v>
      </c>
      <c r="H7" s="80">
        <f>100*B7/F7</f>
        <v>0.63488784626247008</v>
      </c>
      <c r="I7" s="69">
        <f t="shared" si="0"/>
        <v>89666.230555727627</v>
      </c>
      <c r="J7" s="69">
        <f t="shared" si="1"/>
        <v>89664.340458118953</v>
      </c>
      <c r="K7" s="69">
        <f t="shared" si="2"/>
        <v>-89743.724557683454</v>
      </c>
      <c r="L7" s="69">
        <f t="shared" si="3"/>
        <v>89741.834460074781</v>
      </c>
      <c r="M7" s="81">
        <f>100*E7/F7</f>
        <v>2.75118066713737</v>
      </c>
      <c r="N7" s="82">
        <f>F7*G7</f>
        <v>1.8900976086789132</v>
      </c>
      <c r="O7" s="87">
        <f t="shared" si="10"/>
        <v>4.1399999999999999E-2</v>
      </c>
      <c r="P7" s="88">
        <f t="shared" si="11"/>
        <v>3.1400000000000004E-2</v>
      </c>
      <c r="Q7" s="89">
        <f t="shared" si="12"/>
        <v>46048</v>
      </c>
      <c r="R7" s="90">
        <f t="shared" ca="1" si="4"/>
        <v>3</v>
      </c>
      <c r="S7" s="69">
        <f t="shared" ca="1" si="5"/>
        <v>-30.934849541726035</v>
      </c>
      <c r="T7" s="82">
        <f t="shared" ca="1" si="6"/>
        <v>23.482446683719573</v>
      </c>
      <c r="U7" s="97">
        <f t="shared" ca="1" si="7"/>
        <v>89633.405608577232</v>
      </c>
      <c r="V7" s="98">
        <f t="shared" ca="1" si="8"/>
        <v>-89720.242110999738</v>
      </c>
    </row>
    <row r="8" spans="1:23" x14ac:dyDescent="0.25">
      <c r="A8" s="58" t="s">
        <v>28</v>
      </c>
      <c r="B8" s="68">
        <v>5</v>
      </c>
      <c r="C8" s="69">
        <v>51.84</v>
      </c>
      <c r="D8" s="69">
        <v>51.87</v>
      </c>
      <c r="E8" s="70">
        <v>16</v>
      </c>
      <c r="F8" s="52">
        <v>1728.9950704189778</v>
      </c>
      <c r="G8" s="54">
        <f t="shared" si="9"/>
        <v>2E-3</v>
      </c>
      <c r="H8" s="80">
        <f>100*B8/F8</f>
        <v>0.28918532421196425</v>
      </c>
      <c r="I8" s="69">
        <f t="shared" si="0"/>
        <v>89631.104450519808</v>
      </c>
      <c r="J8" s="69">
        <f t="shared" si="1"/>
        <v>89627.646460378965</v>
      </c>
      <c r="K8" s="69">
        <f t="shared" si="2"/>
        <v>-89686.432292773214</v>
      </c>
      <c r="L8" s="69">
        <f t="shared" si="3"/>
        <v>89682.97430263237</v>
      </c>
      <c r="M8" s="81">
        <f>100*E8/F8</f>
        <v>0.9253930374782855</v>
      </c>
      <c r="N8" s="82">
        <f>F8*G8</f>
        <v>3.4579901408379556</v>
      </c>
      <c r="O8" s="87">
        <f t="shared" si="10"/>
        <v>4.1399999999999999E-2</v>
      </c>
      <c r="P8" s="88">
        <f t="shared" si="11"/>
        <v>3.1400000000000004E-2</v>
      </c>
      <c r="Q8" s="89">
        <f t="shared" si="12"/>
        <v>46048</v>
      </c>
      <c r="R8" s="90">
        <f t="shared" ca="1" si="4"/>
        <v>3</v>
      </c>
      <c r="S8" s="69">
        <f t="shared" ca="1" si="5"/>
        <v>-30.922731035429337</v>
      </c>
      <c r="T8" s="82">
        <f t="shared" ca="1" si="6"/>
        <v>23.46704494252214</v>
      </c>
      <c r="U8" s="97">
        <f t="shared" ca="1" si="7"/>
        <v>89596.723729343532</v>
      </c>
      <c r="V8" s="98">
        <f t="shared" ca="1" si="8"/>
        <v>-89662.965247830696</v>
      </c>
    </row>
    <row r="9" spans="1:23" x14ac:dyDescent="0.25">
      <c r="A9" s="58" t="s">
        <v>29</v>
      </c>
      <c r="B9" s="68">
        <v>5</v>
      </c>
      <c r="C9" s="69">
        <v>78.099999999999994</v>
      </c>
      <c r="D9" s="69">
        <v>78.11</v>
      </c>
      <c r="E9" s="70">
        <v>2</v>
      </c>
      <c r="F9" s="52">
        <v>1147.9707738362854</v>
      </c>
      <c r="G9" s="54">
        <f t="shared" si="9"/>
        <v>2E-3</v>
      </c>
      <c r="H9" s="80">
        <f>100*B9/F9</f>
        <v>0.43555115809185757</v>
      </c>
      <c r="I9" s="69">
        <f t="shared" si="0"/>
        <v>89656.517436613882</v>
      </c>
      <c r="J9" s="69">
        <f t="shared" si="1"/>
        <v>89654.221495066202</v>
      </c>
      <c r="K9" s="69">
        <f t="shared" si="2"/>
        <v>-89670.293085899932</v>
      </c>
      <c r="L9" s="69">
        <f t="shared" si="3"/>
        <v>89667.997144352252</v>
      </c>
      <c r="M9" s="81">
        <f>100*E9/F9</f>
        <v>0.17422046323674303</v>
      </c>
      <c r="N9" s="82">
        <f>F9*G9</f>
        <v>2.2959415476725709</v>
      </c>
      <c r="O9" s="87">
        <f t="shared" si="10"/>
        <v>4.1399999999999999E-2</v>
      </c>
      <c r="P9" s="88">
        <f t="shared" si="11"/>
        <v>3.1400000000000004E-2</v>
      </c>
      <c r="Q9" s="89">
        <f t="shared" si="12"/>
        <v>46048</v>
      </c>
      <c r="R9" s="90">
        <f t="shared" ca="1" si="4"/>
        <v>3</v>
      </c>
      <c r="S9" s="69">
        <f t="shared" ca="1" si="5"/>
        <v>-30.931498515631791</v>
      </c>
      <c r="T9" s="82">
        <f t="shared" ca="1" si="6"/>
        <v>23.463125919438841</v>
      </c>
      <c r="U9" s="97">
        <f t="shared" ca="1" si="7"/>
        <v>89623.289996550564</v>
      </c>
      <c r="V9" s="98">
        <f t="shared" ca="1" si="8"/>
        <v>-89646.829959980489</v>
      </c>
    </row>
    <row r="10" spans="1:23" x14ac:dyDescent="0.25">
      <c r="A10" s="58" t="s">
        <v>30</v>
      </c>
      <c r="B10" s="68">
        <v>7</v>
      </c>
      <c r="C10" s="69">
        <v>69.98</v>
      </c>
      <c r="D10" s="69">
        <v>69.989999999999995</v>
      </c>
      <c r="E10" s="70">
        <v>10</v>
      </c>
      <c r="F10" s="52">
        <v>1280.7858174245027</v>
      </c>
      <c r="G10" s="54">
        <f t="shared" si="9"/>
        <v>2E-3</v>
      </c>
      <c r="H10" s="80">
        <f>100*B10/F10</f>
        <v>0.5465394685643935</v>
      </c>
      <c r="I10" s="69">
        <f t="shared" si="0"/>
        <v>89629.3915033667</v>
      </c>
      <c r="J10" s="69">
        <f t="shared" si="1"/>
        <v>89626.829931731845</v>
      </c>
      <c r="K10" s="69">
        <f t="shared" si="2"/>
        <v>-89644.760933175799</v>
      </c>
      <c r="L10" s="69">
        <f t="shared" si="3"/>
        <v>89642.199361540945</v>
      </c>
      <c r="M10" s="81">
        <f>100*E10/F10</f>
        <v>0.7807706693777049</v>
      </c>
      <c r="N10" s="82">
        <f>F10*G10</f>
        <v>2.5615716348490056</v>
      </c>
      <c r="O10" s="87">
        <f t="shared" si="10"/>
        <v>4.1399999999999999E-2</v>
      </c>
      <c r="P10" s="88">
        <f t="shared" si="11"/>
        <v>3.1400000000000004E-2</v>
      </c>
      <c r="Q10" s="89">
        <f t="shared" si="12"/>
        <v>46048</v>
      </c>
      <c r="R10" s="90">
        <f t="shared" ca="1" si="4"/>
        <v>3</v>
      </c>
      <c r="S10" s="69">
        <f t="shared" ca="1" si="5"/>
        <v>-30.922140068661509</v>
      </c>
      <c r="T10" s="82">
        <f t="shared" ca="1" si="6"/>
        <v>23.456375499603215</v>
      </c>
      <c r="U10" s="97">
        <f t="shared" ca="1" si="7"/>
        <v>89595.90779166318</v>
      </c>
      <c r="V10" s="98">
        <f t="shared" ca="1" si="8"/>
        <v>-89621.304557676194</v>
      </c>
    </row>
    <row r="11" spans="1:23" ht="15.75" thickBot="1" x14ac:dyDescent="0.3">
      <c r="A11" s="59" t="s">
        <v>20</v>
      </c>
      <c r="B11" s="72">
        <v>592</v>
      </c>
      <c r="C11" s="73">
        <v>50.83</v>
      </c>
      <c r="D11" s="73">
        <v>50.84</v>
      </c>
      <c r="E11" s="74">
        <v>5</v>
      </c>
      <c r="F11" s="55">
        <v>1762.3538553086332</v>
      </c>
      <c r="G11" s="56">
        <f t="shared" si="9"/>
        <v>2E-3</v>
      </c>
      <c r="H11" s="83">
        <f>100*B11/F11</f>
        <v>33.591437849825319</v>
      </c>
      <c r="I11" s="73">
        <f t="shared" si="0"/>
        <v>89580.446465337824</v>
      </c>
      <c r="J11" s="73">
        <f t="shared" si="1"/>
        <v>89576.921757627206</v>
      </c>
      <c r="K11" s="73">
        <f t="shared" si="2"/>
        <v>-89601.59471160153</v>
      </c>
      <c r="L11" s="73">
        <f t="shared" si="3"/>
        <v>89598.070003890913</v>
      </c>
      <c r="M11" s="84">
        <f>100*E11/F11</f>
        <v>0.2837114683262274</v>
      </c>
      <c r="N11" s="85">
        <f>F11*G11</f>
        <v>3.5247077106172666</v>
      </c>
      <c r="O11" s="91">
        <f t="shared" si="10"/>
        <v>4.1399999999999999E-2</v>
      </c>
      <c r="P11" s="92">
        <f t="shared" si="11"/>
        <v>3.1400000000000004E-2</v>
      </c>
      <c r="Q11" s="93">
        <f t="shared" si="12"/>
        <v>46048</v>
      </c>
      <c r="R11" s="94">
        <f t="shared" ca="1" si="4"/>
        <v>3</v>
      </c>
      <c r="S11" s="73">
        <f t="shared" ca="1" si="5"/>
        <v>-30.905254030541549</v>
      </c>
      <c r="T11" s="85">
        <f t="shared" ca="1" si="6"/>
        <v>23.444828317684792</v>
      </c>
      <c r="U11" s="99">
        <f t="shared" ca="1" si="7"/>
        <v>89546.016503596664</v>
      </c>
      <c r="V11" s="100">
        <f t="shared" ca="1" si="8"/>
        <v>-89578.149883283841</v>
      </c>
    </row>
    <row r="13" spans="1:23" x14ac:dyDescent="0.25">
      <c r="B13" s="51"/>
      <c r="C13" s="51"/>
      <c r="J13" s="71">
        <f>MAX(J3:J11)</f>
        <v>89664.340458118953</v>
      </c>
      <c r="K13" s="71">
        <f>MAX(K3:K11)</f>
        <v>-89601.59471160153</v>
      </c>
      <c r="L13" s="71">
        <f>+J13+K13</f>
        <v>62.745746517422958</v>
      </c>
      <c r="U13" s="71">
        <f ca="1">MAX(U3:U11)</f>
        <v>89633.405608577232</v>
      </c>
      <c r="V13" s="71">
        <f ca="1">MAX(V3:V11)</f>
        <v>-89578.149883283841</v>
      </c>
      <c r="W13" s="71">
        <f ca="1">+U13+V13</f>
        <v>55.255725293391151</v>
      </c>
    </row>
    <row r="14" spans="1:23" x14ac:dyDescent="0.25">
      <c r="B14" s="51"/>
      <c r="C14" s="51"/>
    </row>
    <row r="15" spans="1:23" x14ac:dyDescent="0.25">
      <c r="B15" s="51"/>
      <c r="C15" s="51"/>
    </row>
    <row r="16" spans="1:23" x14ac:dyDescent="0.25">
      <c r="B16" s="51"/>
      <c r="C16" s="51"/>
    </row>
    <row r="17" spans="2:12" x14ac:dyDescent="0.25">
      <c r="B17" s="51"/>
      <c r="C17" s="51"/>
      <c r="L17" s="77"/>
    </row>
    <row r="18" spans="2:12" x14ac:dyDescent="0.25">
      <c r="B18" s="51"/>
      <c r="C18" s="51"/>
    </row>
    <row r="19" spans="2:12" x14ac:dyDescent="0.25">
      <c r="B19" s="51"/>
      <c r="C19" s="51"/>
    </row>
    <row r="20" spans="2:12" x14ac:dyDescent="0.25">
      <c r="B20" s="51"/>
      <c r="C20" s="51"/>
    </row>
    <row r="21" spans="2:12" x14ac:dyDescent="0.25">
      <c r="B21" s="51"/>
      <c r="C21" s="51"/>
    </row>
    <row r="22" spans="2:12" x14ac:dyDescent="0.25">
      <c r="B22" s="51"/>
      <c r="C22" s="51"/>
    </row>
    <row r="23" spans="2:12" x14ac:dyDescent="0.25">
      <c r="B23" s="51"/>
      <c r="C23" s="51"/>
    </row>
  </sheetData>
  <mergeCells count="5">
    <mergeCell ref="B1:E1"/>
    <mergeCell ref="F1:G1"/>
    <mergeCell ref="H1:N1"/>
    <mergeCell ref="O1:T1"/>
    <mergeCell ref="U1:V1"/>
  </mergeCells>
  <conditionalFormatting sqref="J2:J1048576">
    <cfRule type="top10" dxfId="5" priority="6" rank="1"/>
  </conditionalFormatting>
  <conditionalFormatting sqref="K2:K1048576">
    <cfRule type="top10" dxfId="4" priority="5" rank="1"/>
  </conditionalFormatting>
  <conditionalFormatting sqref="U2:U12 U14:U1048576">
    <cfRule type="top10" dxfId="3" priority="4" rank="1"/>
  </conditionalFormatting>
  <conditionalFormatting sqref="V2:V12 V14:V1048576">
    <cfRule type="top10" dxfId="2" priority="3" rank="1"/>
  </conditionalFormatting>
  <conditionalFormatting sqref="U13">
    <cfRule type="top10" dxfId="1" priority="2" rank="1"/>
  </conditionalFormatting>
  <conditionalFormatting sqref="V13">
    <cfRule type="top10" dxfId="0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B78D-8406-4AD9-A31A-B72FB31D5168}">
  <dimension ref="A1:O10"/>
  <sheetViews>
    <sheetView workbookViewId="0">
      <selection activeCell="H14" sqref="H14"/>
    </sheetView>
  </sheetViews>
  <sheetFormatPr defaultRowHeight="15" x14ac:dyDescent="0.25"/>
  <cols>
    <col min="1" max="1" width="11.28515625" style="29" bestFit="1" customWidth="1"/>
    <col min="2" max="2" width="10.7109375" bestFit="1" customWidth="1"/>
    <col min="3" max="3" width="9.28515625" bestFit="1" customWidth="1"/>
    <col min="4" max="4" width="19.28515625" style="46" bestFit="1" customWidth="1"/>
    <col min="5" max="5" width="12" bestFit="1" customWidth="1"/>
    <col min="6" max="6" width="14.28515625" style="31" bestFit="1" customWidth="1"/>
    <col min="7" max="7" width="14.42578125" style="31" bestFit="1" customWidth="1"/>
    <col min="8" max="9" width="12.28515625" bestFit="1" customWidth="1"/>
    <col min="10" max="10" width="14.5703125" style="31" bestFit="1" customWidth="1"/>
    <col min="11" max="11" width="15.7109375" style="31" bestFit="1" customWidth="1"/>
    <col min="12" max="12" width="16.140625" style="31" bestFit="1" customWidth="1"/>
    <col min="13" max="13" width="14.7109375" style="31" bestFit="1" customWidth="1"/>
    <col min="14" max="14" width="12.5703125" bestFit="1" customWidth="1"/>
    <col min="15" max="15" width="17.85546875" style="36" bestFit="1" customWidth="1"/>
  </cols>
  <sheetData>
    <row r="1" spans="1:15" s="12" customFormat="1" x14ac:dyDescent="0.25">
      <c r="A1" s="32" t="s">
        <v>42</v>
      </c>
      <c r="B1" s="12" t="s">
        <v>21</v>
      </c>
      <c r="C1" s="12" t="s">
        <v>54</v>
      </c>
      <c r="D1" s="44" t="s">
        <v>17</v>
      </c>
      <c r="E1" s="12" t="s">
        <v>9</v>
      </c>
      <c r="F1" s="33" t="s">
        <v>10</v>
      </c>
      <c r="G1" s="33" t="s">
        <v>11</v>
      </c>
      <c r="H1" s="12" t="s">
        <v>12</v>
      </c>
      <c r="I1" s="12" t="s">
        <v>13</v>
      </c>
      <c r="J1" s="33" t="s">
        <v>14</v>
      </c>
      <c r="K1" s="33" t="s">
        <v>18</v>
      </c>
      <c r="L1" s="33" t="s">
        <v>19</v>
      </c>
      <c r="M1" s="33" t="s">
        <v>16</v>
      </c>
      <c r="N1" s="12" t="s">
        <v>15</v>
      </c>
      <c r="O1" s="34" t="s">
        <v>53</v>
      </c>
    </row>
    <row r="2" spans="1:15" x14ac:dyDescent="0.25">
      <c r="A2" s="28" t="s">
        <v>40</v>
      </c>
      <c r="B2" s="4">
        <f>Summary!J6</f>
        <v>46044.125</v>
      </c>
      <c r="C2" s="41">
        <f>1/5</f>
        <v>0.2</v>
      </c>
      <c r="D2" s="45">
        <v>5</v>
      </c>
      <c r="E2" s="39"/>
      <c r="F2" s="40"/>
      <c r="G2" s="40"/>
      <c r="H2" s="39"/>
      <c r="I2" s="30">
        <f>E2/C2</f>
        <v>0</v>
      </c>
      <c r="J2" s="31">
        <f>F2</f>
        <v>0</v>
      </c>
      <c r="K2" s="31">
        <f>J2-O2</f>
        <v>-1</v>
      </c>
      <c r="L2" s="31">
        <f>-M2-O2</f>
        <v>-1</v>
      </c>
      <c r="M2" s="31">
        <f>G2</f>
        <v>0</v>
      </c>
      <c r="N2" s="30">
        <f>H2/C2</f>
        <v>0</v>
      </c>
      <c r="O2" s="35">
        <f>C2*D2</f>
        <v>1</v>
      </c>
    </row>
    <row r="3" spans="1:15" x14ac:dyDescent="0.25">
      <c r="A3" s="28" t="s">
        <v>40</v>
      </c>
      <c r="B3" s="4">
        <f>B2</f>
        <v>46044.125</v>
      </c>
      <c r="C3" s="41">
        <f t="shared" ref="C3:C4" si="0">1/5</f>
        <v>0.2</v>
      </c>
      <c r="D3" s="45">
        <v>5</v>
      </c>
      <c r="E3" s="39"/>
      <c r="F3" s="40"/>
      <c r="G3" s="40"/>
      <c r="H3" s="39"/>
      <c r="I3" s="30">
        <f t="shared" ref="I3:I4" si="1">E3/C3</f>
        <v>0</v>
      </c>
      <c r="J3" s="31">
        <f t="shared" ref="J3:J4" si="2">F3</f>
        <v>0</v>
      </c>
      <c r="K3" s="31">
        <f t="shared" ref="K3:K4" si="3">J3-O3</f>
        <v>-1</v>
      </c>
      <c r="L3" s="31">
        <f t="shared" ref="L3:L4" si="4">-M3-O3</f>
        <v>-1</v>
      </c>
      <c r="M3" s="31">
        <f t="shared" ref="M3:M4" si="5">G3</f>
        <v>0</v>
      </c>
      <c r="N3" s="30">
        <f t="shared" ref="N3:N4" si="6">H3/C3</f>
        <v>0</v>
      </c>
      <c r="O3" s="35">
        <f t="shared" ref="O3:O4" si="7">C3*D3</f>
        <v>1</v>
      </c>
    </row>
    <row r="4" spans="1:15" x14ac:dyDescent="0.25">
      <c r="A4" s="28" t="s">
        <v>40</v>
      </c>
      <c r="B4" s="4">
        <f t="shared" ref="B4" si="8">B3</f>
        <v>46044.125</v>
      </c>
      <c r="C4" s="41">
        <f t="shared" si="0"/>
        <v>0.2</v>
      </c>
      <c r="D4" s="45">
        <v>5</v>
      </c>
      <c r="E4" s="39"/>
      <c r="F4" s="40"/>
      <c r="G4" s="40"/>
      <c r="H4" s="39"/>
      <c r="I4" s="30">
        <f t="shared" si="1"/>
        <v>0</v>
      </c>
      <c r="J4" s="31">
        <f t="shared" si="2"/>
        <v>0</v>
      </c>
      <c r="K4" s="31">
        <f t="shared" si="3"/>
        <v>-1</v>
      </c>
      <c r="L4" s="31">
        <f t="shared" si="4"/>
        <v>-1</v>
      </c>
      <c r="M4" s="31">
        <f t="shared" si="5"/>
        <v>0</v>
      </c>
      <c r="N4" s="30">
        <f t="shared" si="6"/>
        <v>0</v>
      </c>
      <c r="O4" s="35">
        <f t="shared" si="7"/>
        <v>1</v>
      </c>
    </row>
    <row r="5" spans="1:15" x14ac:dyDescent="0.25">
      <c r="O5" s="35"/>
    </row>
    <row r="6" spans="1:15" x14ac:dyDescent="0.25">
      <c r="O6" s="35"/>
    </row>
    <row r="7" spans="1:15" x14ac:dyDescent="0.25">
      <c r="O7" s="35"/>
    </row>
    <row r="8" spans="1:15" x14ac:dyDescent="0.25">
      <c r="O8" s="35"/>
    </row>
    <row r="9" spans="1:15" x14ac:dyDescent="0.25">
      <c r="O9" s="35"/>
    </row>
    <row r="10" spans="1:15" x14ac:dyDescent="0.25">
      <c r="O10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B24E-9CE3-4E2D-8EC2-DDC6A3C7E0F4}">
  <dimension ref="A1:P24"/>
  <sheetViews>
    <sheetView workbookViewId="0">
      <selection activeCell="K14" sqref="K14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6.28515625" bestFit="1" customWidth="1"/>
    <col min="4" max="4" width="19.28515625" bestFit="1" customWidth="1"/>
    <col min="5" max="5" width="12" bestFit="1" customWidth="1"/>
    <col min="6" max="6" width="12.7109375" bestFit="1" customWidth="1"/>
    <col min="7" max="7" width="13.140625" bestFit="1" customWidth="1"/>
    <col min="8" max="9" width="12.28515625" bestFit="1" customWidth="1"/>
    <col min="10" max="10" width="13.28515625" bestFit="1" customWidth="1"/>
    <col min="11" max="11" width="14.42578125" bestFit="1" customWidth="1"/>
    <col min="12" max="12" width="14.7109375" bestFit="1" customWidth="1"/>
    <col min="13" max="13" width="13.42578125" bestFit="1" customWidth="1"/>
    <col min="14" max="14" width="12.5703125" bestFit="1" customWidth="1"/>
    <col min="15" max="15" width="19.28515625" style="36" bestFit="1" customWidth="1"/>
  </cols>
  <sheetData>
    <row r="1" spans="1:16" s="12" customFormat="1" x14ac:dyDescent="0.25">
      <c r="A1" s="32" t="s">
        <v>42</v>
      </c>
      <c r="B1" s="12" t="s">
        <v>21</v>
      </c>
      <c r="C1" s="12" t="s">
        <v>54</v>
      </c>
      <c r="D1" s="12" t="s">
        <v>17</v>
      </c>
      <c r="E1" s="12" t="s">
        <v>9</v>
      </c>
      <c r="F1" s="12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18</v>
      </c>
      <c r="L1" s="12" t="s">
        <v>19</v>
      </c>
      <c r="M1" s="12" t="s">
        <v>16</v>
      </c>
      <c r="N1" s="12" t="s">
        <v>15</v>
      </c>
      <c r="O1" s="34" t="s">
        <v>53</v>
      </c>
      <c r="P1" s="12" t="s">
        <v>55</v>
      </c>
    </row>
    <row r="2" spans="1:16" x14ac:dyDescent="0.25">
      <c r="A2" s="28" t="s">
        <v>40</v>
      </c>
      <c r="B2" s="4">
        <f>Summary!J6</f>
        <v>46044.125</v>
      </c>
      <c r="C2" s="41">
        <f>1/5</f>
        <v>0.2</v>
      </c>
      <c r="D2" s="45">
        <v>10</v>
      </c>
      <c r="E2" s="39"/>
      <c r="F2" s="40"/>
      <c r="G2" s="40"/>
      <c r="H2" s="39"/>
      <c r="I2" s="30">
        <f>E2/C2</f>
        <v>0</v>
      </c>
      <c r="J2" s="31">
        <f>F2</f>
        <v>0</v>
      </c>
      <c r="K2" s="31">
        <f>J2-O2</f>
        <v>-2</v>
      </c>
      <c r="L2" s="31">
        <f>-M2-O2</f>
        <v>-2</v>
      </c>
      <c r="M2" s="31">
        <f>G2</f>
        <v>0</v>
      </c>
      <c r="N2" s="30">
        <f>H2/C2</f>
        <v>0</v>
      </c>
      <c r="O2" s="35">
        <f>C2*D2</f>
        <v>2</v>
      </c>
    </row>
    <row r="3" spans="1:16" x14ac:dyDescent="0.25">
      <c r="A3" s="5" t="s">
        <v>41</v>
      </c>
      <c r="B3" s="4">
        <f>B2</f>
        <v>46044.125</v>
      </c>
      <c r="C3" s="41">
        <f t="shared" ref="C3:C12" si="0">1/5</f>
        <v>0.2</v>
      </c>
      <c r="D3" s="45">
        <v>10</v>
      </c>
      <c r="E3" s="39"/>
      <c r="F3" s="40"/>
      <c r="G3" s="40"/>
      <c r="H3" s="39"/>
      <c r="I3" s="30">
        <f t="shared" ref="I3:I12" si="1">E3/C3</f>
        <v>0</v>
      </c>
      <c r="J3" s="31">
        <f t="shared" ref="J3:J12" si="2">F3</f>
        <v>0</v>
      </c>
      <c r="K3" s="31">
        <f t="shared" ref="K3:K12" si="3">J3-O3</f>
        <v>-2</v>
      </c>
      <c r="L3" s="31">
        <f t="shared" ref="L3:L12" si="4">-M3-O3</f>
        <v>-2</v>
      </c>
      <c r="M3" s="31">
        <f t="shared" ref="M3:M12" si="5">G3</f>
        <v>0</v>
      </c>
      <c r="N3" s="30">
        <f t="shared" ref="N3:N12" si="6">H3/C3</f>
        <v>0</v>
      </c>
      <c r="O3" s="35">
        <f t="shared" ref="O3:O12" si="7">C3*D3</f>
        <v>2</v>
      </c>
    </row>
    <row r="4" spans="1:16" x14ac:dyDescent="0.25">
      <c r="A4" s="5" t="s">
        <v>41</v>
      </c>
      <c r="B4" s="4">
        <f t="shared" ref="B4:B12" si="8">B3</f>
        <v>46044.125</v>
      </c>
      <c r="C4" s="41">
        <f t="shared" si="0"/>
        <v>0.2</v>
      </c>
      <c r="D4" s="45">
        <v>10</v>
      </c>
      <c r="E4" s="39"/>
      <c r="F4" s="40"/>
      <c r="G4" s="40"/>
      <c r="H4" s="39"/>
      <c r="I4" s="30">
        <f t="shared" si="1"/>
        <v>0</v>
      </c>
      <c r="J4" s="31">
        <f t="shared" si="2"/>
        <v>0</v>
      </c>
      <c r="K4" s="31">
        <f t="shared" si="3"/>
        <v>-2</v>
      </c>
      <c r="L4" s="31">
        <f t="shared" si="4"/>
        <v>-2</v>
      </c>
      <c r="M4" s="31">
        <f t="shared" si="5"/>
        <v>0</v>
      </c>
      <c r="N4" s="30">
        <f t="shared" si="6"/>
        <v>0</v>
      </c>
      <c r="O4" s="35">
        <f t="shared" si="7"/>
        <v>2</v>
      </c>
    </row>
    <row r="5" spans="1:16" x14ac:dyDescent="0.25">
      <c r="A5" s="5" t="s">
        <v>41</v>
      </c>
      <c r="B5" s="4">
        <f t="shared" si="8"/>
        <v>46044.125</v>
      </c>
      <c r="C5" s="41">
        <f t="shared" si="0"/>
        <v>0.2</v>
      </c>
      <c r="D5" s="45">
        <v>10</v>
      </c>
      <c r="E5" s="39"/>
      <c r="F5" s="40"/>
      <c r="G5" s="40"/>
      <c r="H5" s="39"/>
      <c r="I5" s="30">
        <f t="shared" si="1"/>
        <v>0</v>
      </c>
      <c r="J5" s="31">
        <f t="shared" si="2"/>
        <v>0</v>
      </c>
      <c r="K5" s="31">
        <f t="shared" si="3"/>
        <v>-2</v>
      </c>
      <c r="L5" s="31">
        <f t="shared" si="4"/>
        <v>-2</v>
      </c>
      <c r="M5" s="31">
        <f t="shared" si="5"/>
        <v>0</v>
      </c>
      <c r="N5" s="30">
        <f t="shared" si="6"/>
        <v>0</v>
      </c>
      <c r="O5" s="35">
        <f t="shared" si="7"/>
        <v>2</v>
      </c>
    </row>
    <row r="6" spans="1:16" x14ac:dyDescent="0.25">
      <c r="A6" s="5" t="s">
        <v>41</v>
      </c>
      <c r="B6" s="4">
        <f t="shared" si="8"/>
        <v>46044.125</v>
      </c>
      <c r="C6" s="41">
        <f t="shared" si="0"/>
        <v>0.2</v>
      </c>
      <c r="D6" s="45">
        <v>10</v>
      </c>
      <c r="E6" s="39"/>
      <c r="F6" s="40"/>
      <c r="G6" s="40"/>
      <c r="H6" s="39"/>
      <c r="I6" s="30">
        <f t="shared" si="1"/>
        <v>0</v>
      </c>
      <c r="J6" s="31">
        <f t="shared" si="2"/>
        <v>0</v>
      </c>
      <c r="K6" s="31">
        <f t="shared" si="3"/>
        <v>-2</v>
      </c>
      <c r="L6" s="31">
        <f t="shared" si="4"/>
        <v>-2</v>
      </c>
      <c r="M6" s="31">
        <f t="shared" si="5"/>
        <v>0</v>
      </c>
      <c r="N6" s="30">
        <f t="shared" si="6"/>
        <v>0</v>
      </c>
      <c r="O6" s="35">
        <f t="shared" si="7"/>
        <v>2</v>
      </c>
    </row>
    <row r="7" spans="1:16" x14ac:dyDescent="0.25">
      <c r="A7" s="5" t="s">
        <v>41</v>
      </c>
      <c r="B7" s="4">
        <f t="shared" si="8"/>
        <v>46044.125</v>
      </c>
      <c r="C7" s="41">
        <f t="shared" si="0"/>
        <v>0.2</v>
      </c>
      <c r="D7" s="45">
        <v>10</v>
      </c>
      <c r="E7" s="39"/>
      <c r="F7" s="40"/>
      <c r="G7" s="40"/>
      <c r="H7" s="39"/>
      <c r="I7" s="30">
        <f t="shared" si="1"/>
        <v>0</v>
      </c>
      <c r="J7" s="31">
        <f t="shared" si="2"/>
        <v>0</v>
      </c>
      <c r="K7" s="31">
        <f t="shared" si="3"/>
        <v>-2</v>
      </c>
      <c r="L7" s="31">
        <f t="shared" si="4"/>
        <v>-2</v>
      </c>
      <c r="M7" s="31">
        <f t="shared" si="5"/>
        <v>0</v>
      </c>
      <c r="N7" s="30">
        <f t="shared" si="6"/>
        <v>0</v>
      </c>
      <c r="O7" s="35">
        <f t="shared" si="7"/>
        <v>2</v>
      </c>
    </row>
    <row r="8" spans="1:16" x14ac:dyDescent="0.25">
      <c r="A8" s="5" t="s">
        <v>41</v>
      </c>
      <c r="B8" s="4">
        <f t="shared" si="8"/>
        <v>46044.125</v>
      </c>
      <c r="C8" s="41">
        <f t="shared" si="0"/>
        <v>0.2</v>
      </c>
      <c r="D8" s="45">
        <v>10</v>
      </c>
      <c r="E8" s="39"/>
      <c r="F8" s="40"/>
      <c r="G8" s="40"/>
      <c r="H8" s="39"/>
      <c r="I8" s="30">
        <f t="shared" si="1"/>
        <v>0</v>
      </c>
      <c r="J8" s="31">
        <f t="shared" si="2"/>
        <v>0</v>
      </c>
      <c r="K8" s="31">
        <f t="shared" si="3"/>
        <v>-2</v>
      </c>
      <c r="L8" s="31">
        <f t="shared" si="4"/>
        <v>-2</v>
      </c>
      <c r="M8" s="31">
        <f t="shared" si="5"/>
        <v>0</v>
      </c>
      <c r="N8" s="30">
        <f t="shared" si="6"/>
        <v>0</v>
      </c>
      <c r="O8" s="35">
        <f t="shared" si="7"/>
        <v>2</v>
      </c>
    </row>
    <row r="9" spans="1:16" x14ac:dyDescent="0.25">
      <c r="A9" s="5" t="s">
        <v>41</v>
      </c>
      <c r="B9" s="4">
        <f t="shared" si="8"/>
        <v>46044.125</v>
      </c>
      <c r="C9" s="41">
        <f t="shared" si="0"/>
        <v>0.2</v>
      </c>
      <c r="D9" s="45">
        <v>10</v>
      </c>
      <c r="E9" s="39"/>
      <c r="F9" s="40"/>
      <c r="G9" s="40"/>
      <c r="H9" s="39"/>
      <c r="I9" s="30">
        <f t="shared" si="1"/>
        <v>0</v>
      </c>
      <c r="J9" s="31">
        <f t="shared" si="2"/>
        <v>0</v>
      </c>
      <c r="K9" s="31">
        <f t="shared" si="3"/>
        <v>-2</v>
      </c>
      <c r="L9" s="31">
        <f t="shared" si="4"/>
        <v>-2</v>
      </c>
      <c r="M9" s="31">
        <f t="shared" si="5"/>
        <v>0</v>
      </c>
      <c r="N9" s="30">
        <f t="shared" si="6"/>
        <v>0</v>
      </c>
      <c r="O9" s="35">
        <f t="shared" si="7"/>
        <v>2</v>
      </c>
    </row>
    <row r="10" spans="1:16" x14ac:dyDescent="0.25">
      <c r="A10" s="5" t="s">
        <v>41</v>
      </c>
      <c r="B10" s="4">
        <f t="shared" si="8"/>
        <v>46044.125</v>
      </c>
      <c r="C10" s="41">
        <f t="shared" si="0"/>
        <v>0.2</v>
      </c>
      <c r="D10" s="45">
        <v>10</v>
      </c>
      <c r="E10" s="39"/>
      <c r="F10" s="40"/>
      <c r="G10" s="40"/>
      <c r="H10" s="39"/>
      <c r="I10" s="30">
        <f t="shared" si="1"/>
        <v>0</v>
      </c>
      <c r="J10" s="31">
        <f t="shared" si="2"/>
        <v>0</v>
      </c>
      <c r="K10" s="31">
        <f t="shared" si="3"/>
        <v>-2</v>
      </c>
      <c r="L10" s="31">
        <f t="shared" si="4"/>
        <v>-2</v>
      </c>
      <c r="M10" s="31">
        <f t="shared" si="5"/>
        <v>0</v>
      </c>
      <c r="N10" s="30">
        <f t="shared" si="6"/>
        <v>0</v>
      </c>
      <c r="O10" s="35">
        <f t="shared" si="7"/>
        <v>2</v>
      </c>
    </row>
    <row r="11" spans="1:16" x14ac:dyDescent="0.25">
      <c r="A11" s="5" t="s">
        <v>41</v>
      </c>
      <c r="B11" s="4">
        <f t="shared" si="8"/>
        <v>46044.125</v>
      </c>
      <c r="C11" s="41">
        <f t="shared" si="0"/>
        <v>0.2</v>
      </c>
      <c r="D11" s="45">
        <v>10</v>
      </c>
      <c r="E11" s="39"/>
      <c r="F11" s="40"/>
      <c r="G11" s="40"/>
      <c r="H11" s="39"/>
      <c r="I11" s="30">
        <f t="shared" si="1"/>
        <v>0</v>
      </c>
      <c r="J11" s="31">
        <f t="shared" si="2"/>
        <v>0</v>
      </c>
      <c r="K11" s="31">
        <f t="shared" si="3"/>
        <v>-2</v>
      </c>
      <c r="L11" s="31">
        <f t="shared" si="4"/>
        <v>-2</v>
      </c>
      <c r="M11" s="31">
        <f t="shared" si="5"/>
        <v>0</v>
      </c>
      <c r="N11" s="30">
        <f t="shared" si="6"/>
        <v>0</v>
      </c>
      <c r="O11" s="35">
        <f t="shared" si="7"/>
        <v>2</v>
      </c>
    </row>
    <row r="12" spans="1:16" x14ac:dyDescent="0.25">
      <c r="A12" s="5" t="s">
        <v>41</v>
      </c>
      <c r="B12" s="4">
        <f t="shared" si="8"/>
        <v>46044.125</v>
      </c>
      <c r="C12" s="41">
        <f t="shared" si="0"/>
        <v>0.2</v>
      </c>
      <c r="D12" s="45">
        <v>10</v>
      </c>
      <c r="E12" s="39"/>
      <c r="F12" s="40"/>
      <c r="G12" s="40"/>
      <c r="H12" s="39"/>
      <c r="I12" s="30">
        <f t="shared" si="1"/>
        <v>0</v>
      </c>
      <c r="J12" s="31">
        <f t="shared" si="2"/>
        <v>0</v>
      </c>
      <c r="K12" s="31">
        <f t="shared" si="3"/>
        <v>-2</v>
      </c>
      <c r="L12" s="31">
        <f t="shared" si="4"/>
        <v>-2</v>
      </c>
      <c r="M12" s="31">
        <f t="shared" si="5"/>
        <v>0</v>
      </c>
      <c r="N12" s="30">
        <f t="shared" si="6"/>
        <v>0</v>
      </c>
      <c r="O12" s="35">
        <f t="shared" si="7"/>
        <v>2</v>
      </c>
    </row>
    <row r="15" spans="1:16" x14ac:dyDescent="0.25">
      <c r="A15" s="32"/>
      <c r="B15" s="12"/>
    </row>
    <row r="16" spans="1:16" x14ac:dyDescent="0.25">
      <c r="A16" s="28"/>
      <c r="B16" s="4"/>
    </row>
    <row r="17" spans="1:2" x14ac:dyDescent="0.25">
      <c r="A17" s="28"/>
      <c r="B17" s="4"/>
    </row>
    <row r="18" spans="1:2" x14ac:dyDescent="0.25">
      <c r="A18" s="28"/>
      <c r="B18" s="4"/>
    </row>
    <row r="19" spans="1:2" x14ac:dyDescent="0.25">
      <c r="A19" s="28"/>
      <c r="B19" s="4"/>
    </row>
    <row r="20" spans="1:2" x14ac:dyDescent="0.25">
      <c r="A20" s="28"/>
      <c r="B20" s="4"/>
    </row>
    <row r="21" spans="1:2" x14ac:dyDescent="0.25">
      <c r="A21" s="28"/>
      <c r="B21" s="4"/>
    </row>
    <row r="22" spans="1:2" x14ac:dyDescent="0.25">
      <c r="A22" s="28"/>
      <c r="B22" s="4"/>
    </row>
    <row r="23" spans="1:2" x14ac:dyDescent="0.25">
      <c r="A23" s="28"/>
      <c r="B23" s="4"/>
    </row>
    <row r="24" spans="1:2" x14ac:dyDescent="0.25">
      <c r="A24" s="28"/>
      <c r="B2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9A15-F66B-46FC-8810-9F0421182A93}">
  <dimension ref="A1:P12"/>
  <sheetViews>
    <sheetView workbookViewId="0">
      <selection activeCell="E6" sqref="E6"/>
    </sheetView>
  </sheetViews>
  <sheetFormatPr defaultRowHeight="15" x14ac:dyDescent="0.25"/>
  <cols>
    <col min="1" max="2" width="10.7109375" bestFit="1" customWidth="1"/>
    <col min="3" max="3" width="9.28515625" bestFit="1" customWidth="1"/>
    <col min="4" max="4" width="19.28515625" bestFit="1" customWidth="1"/>
    <col min="5" max="5" width="12" bestFit="1" customWidth="1"/>
    <col min="6" max="6" width="12.7109375" bestFit="1" customWidth="1"/>
    <col min="7" max="7" width="13.140625" bestFit="1" customWidth="1"/>
    <col min="8" max="9" width="12.28515625" bestFit="1" customWidth="1"/>
    <col min="10" max="10" width="13.28515625" bestFit="1" customWidth="1"/>
    <col min="11" max="11" width="14.42578125" bestFit="1" customWidth="1"/>
    <col min="12" max="12" width="14.7109375" bestFit="1" customWidth="1"/>
    <col min="13" max="13" width="13.42578125" bestFit="1" customWidth="1"/>
    <col min="14" max="14" width="12.5703125" bestFit="1" customWidth="1"/>
    <col min="15" max="15" width="19.28515625" style="36" bestFit="1" customWidth="1"/>
    <col min="16" max="16" width="6" bestFit="1" customWidth="1"/>
  </cols>
  <sheetData>
    <row r="1" spans="1:16" s="12" customFormat="1" x14ac:dyDescent="0.25">
      <c r="A1" s="32" t="s">
        <v>42</v>
      </c>
      <c r="B1" s="12" t="s">
        <v>21</v>
      </c>
      <c r="C1" s="12" t="s">
        <v>54</v>
      </c>
      <c r="D1" s="12" t="s">
        <v>17</v>
      </c>
      <c r="E1" s="12" t="s">
        <v>9</v>
      </c>
      <c r="F1" s="12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18</v>
      </c>
      <c r="L1" s="12" t="s">
        <v>19</v>
      </c>
      <c r="M1" s="12" t="s">
        <v>16</v>
      </c>
      <c r="N1" s="12" t="s">
        <v>15</v>
      </c>
      <c r="O1" s="34" t="s">
        <v>53</v>
      </c>
      <c r="P1" s="12" t="s">
        <v>55</v>
      </c>
    </row>
    <row r="2" spans="1:16" x14ac:dyDescent="0.25">
      <c r="A2" s="5" t="s">
        <v>43</v>
      </c>
      <c r="B2" s="4">
        <f>Summary!J6</f>
        <v>46044.125</v>
      </c>
      <c r="C2" s="6">
        <f>ETF!F3</f>
        <v>3012.31216865535</v>
      </c>
      <c r="O2" s="35">
        <f>C2*D2</f>
        <v>0</v>
      </c>
    </row>
    <row r="3" spans="1:16" x14ac:dyDescent="0.25">
      <c r="A3" s="5" t="s">
        <v>43</v>
      </c>
      <c r="B3" s="4">
        <f>B2</f>
        <v>46044.125</v>
      </c>
      <c r="C3" s="6">
        <f>ETF!F4</f>
        <v>1840.5051840492731</v>
      </c>
      <c r="O3" s="35">
        <f t="shared" ref="O3:O10" si="0">C3*D3</f>
        <v>0</v>
      </c>
    </row>
    <row r="4" spans="1:16" x14ac:dyDescent="0.25">
      <c r="A4" s="5" t="s">
        <v>43</v>
      </c>
      <c r="B4" s="4">
        <f t="shared" ref="B4:B12" si="1">B3</f>
        <v>46044.125</v>
      </c>
      <c r="C4" s="6">
        <f>ETF!F5</f>
        <v>3542.8659660902854</v>
      </c>
      <c r="O4" s="35">
        <f t="shared" si="0"/>
        <v>0</v>
      </c>
    </row>
    <row r="5" spans="1:16" x14ac:dyDescent="0.25">
      <c r="A5" s="5" t="s">
        <v>43</v>
      </c>
      <c r="B5" s="4">
        <f t="shared" si="1"/>
        <v>46044.125</v>
      </c>
      <c r="C5" s="6">
        <f>ETF!F6</f>
        <v>2259.9177549696524</v>
      </c>
      <c r="O5" s="35">
        <f t="shared" si="0"/>
        <v>0</v>
      </c>
    </row>
    <row r="6" spans="1:16" x14ac:dyDescent="0.25">
      <c r="A6" s="5" t="s">
        <v>43</v>
      </c>
      <c r="B6" s="4">
        <f t="shared" si="1"/>
        <v>46044.125</v>
      </c>
      <c r="C6" s="6" t="e">
        <f>ETF!#REF!</f>
        <v>#REF!</v>
      </c>
      <c r="O6" s="35" t="e">
        <f t="shared" si="0"/>
        <v>#REF!</v>
      </c>
    </row>
    <row r="7" spans="1:16" x14ac:dyDescent="0.25">
      <c r="A7" s="5" t="s">
        <v>43</v>
      </c>
      <c r="B7" s="4">
        <f t="shared" si="1"/>
        <v>46044.125</v>
      </c>
      <c r="C7" s="6">
        <f>ETF!F7</f>
        <v>945.04880433945652</v>
      </c>
      <c r="O7" s="35">
        <f t="shared" si="0"/>
        <v>0</v>
      </c>
    </row>
    <row r="8" spans="1:16" x14ac:dyDescent="0.25">
      <c r="A8" s="5" t="s">
        <v>43</v>
      </c>
      <c r="B8" s="4">
        <f t="shared" si="1"/>
        <v>46044.125</v>
      </c>
      <c r="C8" s="6">
        <f>ETF!F8</f>
        <v>1728.9950704189778</v>
      </c>
      <c r="O8" s="35">
        <f t="shared" si="0"/>
        <v>0</v>
      </c>
    </row>
    <row r="9" spans="1:16" x14ac:dyDescent="0.25">
      <c r="A9" s="5" t="s">
        <v>43</v>
      </c>
      <c r="B9" s="4">
        <f t="shared" si="1"/>
        <v>46044.125</v>
      </c>
      <c r="C9" s="6">
        <f>ETF!F9</f>
        <v>1147.9707738362854</v>
      </c>
      <c r="O9" s="35">
        <f t="shared" si="0"/>
        <v>0</v>
      </c>
    </row>
    <row r="10" spans="1:16" x14ac:dyDescent="0.25">
      <c r="A10" s="5" t="s">
        <v>43</v>
      </c>
      <c r="B10" s="4">
        <f t="shared" si="1"/>
        <v>46044.125</v>
      </c>
      <c r="C10" s="6">
        <f>ETF!F10</f>
        <v>1280.7858174245027</v>
      </c>
      <c r="O10" s="35">
        <f t="shared" si="0"/>
        <v>0</v>
      </c>
    </row>
    <row r="11" spans="1:16" x14ac:dyDescent="0.25">
      <c r="A11" s="5" t="s">
        <v>43</v>
      </c>
      <c r="B11" s="4">
        <f t="shared" si="1"/>
        <v>46044.125</v>
      </c>
      <c r="C11" s="6" t="e">
        <f>ETF!#REF!</f>
        <v>#REF!</v>
      </c>
    </row>
    <row r="12" spans="1:16" x14ac:dyDescent="0.25">
      <c r="A12" s="5" t="s">
        <v>43</v>
      </c>
      <c r="B12" s="4">
        <f t="shared" si="1"/>
        <v>46044.125</v>
      </c>
      <c r="C12" s="6">
        <f>ETF!F11</f>
        <v>1762.3538553086332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Native</vt:lpstr>
      <vt:lpstr>ETF</vt:lpstr>
      <vt:lpstr>CME-Fut</vt:lpstr>
      <vt:lpstr>CME-Combo</vt:lpstr>
      <vt:lpstr>IBIT-Combo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2026-01-21T22:05:07Z</dcterms:created>
  <dcterms:modified xsi:type="dcterms:W3CDTF">2026-01-23T18:51:28Z</dcterms:modified>
</cp:coreProperties>
</file>