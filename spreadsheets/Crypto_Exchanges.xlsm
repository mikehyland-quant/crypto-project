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475311eb7e8809/My Python Code/2026 Spreadsheets/"/>
    </mc:Choice>
  </mc:AlternateContent>
  <xr:revisionPtr revIDLastSave="53" documentId="8_{A1018EFF-6B35-C742-96E8-E3C48B98C86E}" xr6:coauthVersionLast="47" xr6:coauthVersionMax="47" xr10:uidLastSave="{431B88BB-8446-4B78-B002-6717B763D300}"/>
  <bookViews>
    <workbookView xWindow="384" yWindow="384" windowWidth="17028" windowHeight="11952" activeTab="2" xr2:uid="{48EF623B-BF7B-294B-8A9D-11BB0CCA5B79}"/>
  </bookViews>
  <sheets>
    <sheet name="Sheet1" sheetId="34" r:id="rId1"/>
    <sheet name="Spot Info" sheetId="31" r:id="rId2"/>
    <sheet name="Futures Info" sheetId="32" r:id="rId3"/>
    <sheet name="Spot Prices" sheetId="24" r:id="rId4"/>
    <sheet name="Futures Prices" sheetId="33" r:id="rId5"/>
    <sheet name="INACTIVE" sheetId="2" r:id="rId6"/>
  </sheets>
  <functionGroups builtInGroupCount="19"/>
  <definedNames>
    <definedName name="clearRang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4" l="1"/>
  <c r="A6" i="24"/>
  <c r="A7" i="24"/>
  <c r="A8" i="24"/>
  <c r="A9" i="24"/>
  <c r="A10" i="24"/>
  <c r="A11" i="24"/>
  <c r="A4" i="24"/>
  <c r="J2" i="33" l="1"/>
  <c r="I2" i="33"/>
  <c r="G2" i="33"/>
  <c r="E2" i="33"/>
  <c r="C2" i="33"/>
  <c r="B2" i="33"/>
  <c r="C4" i="31"/>
  <c r="F8" i="32"/>
  <c r="F7" i="32"/>
  <c r="E4" i="32"/>
  <c r="C4" i="32"/>
  <c r="J2" i="24"/>
  <c r="I2" i="24"/>
  <c r="G2" i="24"/>
  <c r="C2" i="24"/>
  <c r="E2" i="24"/>
  <c r="B2" i="24"/>
  <c r="B1" i="33" l="1"/>
  <c r="F2" i="33"/>
  <c r="J1" i="33" s="1"/>
  <c r="C1" i="33"/>
  <c r="E1" i="33"/>
  <c r="E1" i="24"/>
  <c r="F2" i="24"/>
  <c r="B1" i="24"/>
  <c r="C1" i="24"/>
  <c r="F4" i="31"/>
  <c r="G4" i="31"/>
  <c r="H4" i="31"/>
  <c r="I4" i="31"/>
  <c r="E4" i="31"/>
  <c r="D4" i="31"/>
  <c r="G1" i="33" l="1"/>
  <c r="I1" i="33"/>
  <c r="J1" i="24"/>
  <c r="G1" i="24"/>
  <c r="I1" i="24"/>
</calcChain>
</file>

<file path=xl/sharedStrings.xml><?xml version="1.0" encoding="utf-8"?>
<sst xmlns="http://schemas.openxmlformats.org/spreadsheetml/2006/main" count="270" uniqueCount="152">
  <si>
    <t>BTC/USD</t>
  </si>
  <si>
    <t>Spot</t>
  </si>
  <si>
    <t>Spot Opts</t>
  </si>
  <si>
    <t>Futures</t>
  </si>
  <si>
    <t>Fut Opts</t>
  </si>
  <si>
    <t>EXCHANGE</t>
  </si>
  <si>
    <t>T/F</t>
  </si>
  <si>
    <t>Funded</t>
  </si>
  <si>
    <t>LogIn</t>
  </si>
  <si>
    <t>P/W</t>
  </si>
  <si>
    <t>Website SignIn</t>
  </si>
  <si>
    <t>Maker</t>
  </si>
  <si>
    <t>Taker</t>
  </si>
  <si>
    <t>Deposit</t>
  </si>
  <si>
    <t>Withdrawl</t>
  </si>
  <si>
    <t>Binance.US</t>
  </si>
  <si>
    <t>GMAIL</t>
  </si>
  <si>
    <t>Iam53yearsold</t>
  </si>
  <si>
    <t>https://www.binance.us/en/home</t>
  </si>
  <si>
    <t>CME</t>
  </si>
  <si>
    <t>KatieMaggieTom2021</t>
  </si>
  <si>
    <t>https://www.coinbase.com/signin</t>
  </si>
  <si>
    <t>FTX.US</t>
  </si>
  <si>
    <t>CarolynIs#1Beauty</t>
  </si>
  <si>
    <t>https://ftx.us/</t>
  </si>
  <si>
    <t>Gemini</t>
  </si>
  <si>
    <t>Junehas30days</t>
  </si>
  <si>
    <t>https://exchange.gemini.com/signin</t>
  </si>
  <si>
    <t>Kraken</t>
  </si>
  <si>
    <t>mike-crypto</t>
  </si>
  <si>
    <t>Iamthe#1crypo</t>
  </si>
  <si>
    <t>https://www.kraken.com/sign-in</t>
  </si>
  <si>
    <t>LedgerX</t>
  </si>
  <si>
    <t>IliveinChathamNJ07928</t>
  </si>
  <si>
    <t>https://app.ledgerx.com/login</t>
  </si>
  <si>
    <t>Okcoin</t>
  </si>
  <si>
    <t>CarolynIs#1HotBabe</t>
  </si>
  <si>
    <t>https://www.okcoin.com/us/account/login</t>
  </si>
  <si>
    <t>TETHER</t>
  </si>
  <si>
    <t>PERPETUALS</t>
  </si>
  <si>
    <t>Phemex</t>
  </si>
  <si>
    <t>YMAIL</t>
  </si>
  <si>
    <t>Iliketobe#1</t>
  </si>
  <si>
    <t>https://phemex.com/</t>
  </si>
  <si>
    <t>GMAIL ADDRESS</t>
  </si>
  <si>
    <t>mikes.btc.accts@gmail.com</t>
  </si>
  <si>
    <t>GMAIL PASSWORD</t>
  </si>
  <si>
    <t>chatham#1</t>
  </si>
  <si>
    <t>Iliveat10WickhamWay</t>
  </si>
  <si>
    <t>USA</t>
  </si>
  <si>
    <t>Websocket</t>
  </si>
  <si>
    <t>Complete</t>
  </si>
  <si>
    <t>Binance</t>
  </si>
  <si>
    <t>webLink</t>
  </si>
  <si>
    <t>-</t>
  </si>
  <si>
    <t>X</t>
  </si>
  <si>
    <t>Bitfinex</t>
  </si>
  <si>
    <t>Bithumb</t>
  </si>
  <si>
    <t>BitMex</t>
  </si>
  <si>
    <t>BitStamp</t>
  </si>
  <si>
    <t>Bittrex</t>
  </si>
  <si>
    <t>Bybit</t>
  </si>
  <si>
    <t>https://www.cmegroup.com/markets/cryptocurrencies/bitcoin/bitcoin.settlements.html</t>
  </si>
  <si>
    <t>CoinTiger</t>
  </si>
  <si>
    <t>Crypto.com</t>
  </si>
  <si>
    <t>NFTs</t>
  </si>
  <si>
    <t>Deribit</t>
  </si>
  <si>
    <t>FTX</t>
  </si>
  <si>
    <t>Gate.io</t>
  </si>
  <si>
    <t>HitBTC</t>
  </si>
  <si>
    <t>Huobi Global</t>
  </si>
  <si>
    <t>BINARY</t>
  </si>
  <si>
    <t>IQ Option</t>
  </si>
  <si>
    <t>itBit</t>
  </si>
  <si>
    <t>KuCoin</t>
  </si>
  <si>
    <t>pending</t>
  </si>
  <si>
    <t>OKEx</t>
  </si>
  <si>
    <t>TD Ameritrade</t>
  </si>
  <si>
    <t>Derivs</t>
  </si>
  <si>
    <t>Lucas</t>
  </si>
  <si>
    <t>BAAKT</t>
  </si>
  <si>
    <t>https://www.theice.com/products/72035464/Bakkt-Bitcoin-USD-Monthly-Futures/data?marketId=6428465</t>
  </si>
  <si>
    <t>https://www.theblockcrypto.com/data/crypto-markets/futures</t>
  </si>
  <si>
    <t>https://www.theice.com/products/72948304/Option-on-Bakkt-Bitcoin-USD-Monthly-Futures</t>
  </si>
  <si>
    <t>https://www.theblockcrypto.com/data/crypto-markets/options</t>
  </si>
  <si>
    <t>new google accoutn</t>
  </si>
  <si>
    <t>XBT</t>
  </si>
  <si>
    <t>CBOE</t>
  </si>
  <si>
    <t>BTC</t>
  </si>
  <si>
    <t>SPOT</t>
  </si>
  <si>
    <t>CB</t>
  </si>
  <si>
    <t>FTXUS</t>
  </si>
  <si>
    <t>GEM</t>
  </si>
  <si>
    <t>KK</t>
  </si>
  <si>
    <t>exchName</t>
  </si>
  <si>
    <t>exchAbbr</t>
  </si>
  <si>
    <t>makerFee</t>
  </si>
  <si>
    <t>takerFee</t>
  </si>
  <si>
    <t>depositFee</t>
  </si>
  <si>
    <t>BTC-USD</t>
  </si>
  <si>
    <t>signinURL</t>
  </si>
  <si>
    <t>userName</t>
  </si>
  <si>
    <t>passWord</t>
  </si>
  <si>
    <t>useExch</t>
  </si>
  <si>
    <t>usdWithdrawlFee</t>
  </si>
  <si>
    <t>infoRange</t>
  </si>
  <si>
    <t>keys</t>
  </si>
  <si>
    <t>PHMX</t>
  </si>
  <si>
    <t>xxx</t>
  </si>
  <si>
    <t>cryptoSymbol</t>
  </si>
  <si>
    <t>cryptoWithdrawlFee</t>
  </si>
  <si>
    <t>btcusd</t>
  </si>
  <si>
    <t>Coinbase</t>
  </si>
  <si>
    <t>OK</t>
  </si>
  <si>
    <t>sBTCUSDT</t>
  </si>
  <si>
    <t>LX</t>
  </si>
  <si>
    <t>TETHER ONLY</t>
  </si>
  <si>
    <t>HEARTBEAT ISSUE</t>
  </si>
  <si>
    <t>FUTURES</t>
  </si>
  <si>
    <t>CBTC</t>
  </si>
  <si>
    <t>Bit</t>
  </si>
  <si>
    <t>BNNCUS</t>
  </si>
  <si>
    <t>hit_bid</t>
  </si>
  <si>
    <t>join_ask</t>
  </si>
  <si>
    <t>bid_size</t>
  </si>
  <si>
    <t>bid_price</t>
  </si>
  <si>
    <t>instrument_name</t>
  </si>
  <si>
    <t>ask_price</t>
  </si>
  <si>
    <t>ask_size</t>
  </si>
  <si>
    <t>join_bid</t>
  </si>
  <si>
    <t>lift_ask</t>
  </si>
  <si>
    <t>BTC-SPOT-BNNCUS</t>
  </si>
  <si>
    <t>BTC-SPOT-FTXUS</t>
  </si>
  <si>
    <t>user_name</t>
  </si>
  <si>
    <t>password</t>
  </si>
  <si>
    <t>exchange</t>
  </si>
  <si>
    <t>BINANCE.US</t>
  </si>
  <si>
    <t>COINBASE</t>
  </si>
  <si>
    <t>GEMINI</t>
  </si>
  <si>
    <t>KRAKEN</t>
  </si>
  <si>
    <t>PHEMEX</t>
  </si>
  <si>
    <t>https://pro.kraken.com/app/home</t>
  </si>
  <si>
    <t>verified 5/28/25</t>
  </si>
  <si>
    <t>CryptoQuant#4</t>
  </si>
  <si>
    <t>bankrupt</t>
  </si>
  <si>
    <t>account locked</t>
  </si>
  <si>
    <t>According to the Terms of Service, we cannot provide services for you. If you have any questions, please contact our customer support.</t>
  </si>
  <si>
    <t>verified 5/28/26</t>
  </si>
  <si>
    <t>password doesn't work</t>
  </si>
  <si>
    <t>BINANCE</t>
  </si>
  <si>
    <t>Binance.com is unavailable in your country or region.  If you are in the United States or select U.S. territories, Binance.US is a U.S. regulated platform where you can buy, trade, convert, and stake crypto with low fees.</t>
  </si>
  <si>
    <t>DERIBIT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</si>
</sst>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[$-F400]h:mm:ss\ AM/PM"/>
    <numFmt numFmtId="166" formatCode="0.000%"/>
    <numFmt numFmtId="167" formatCode="&quot;$&quot;#,##0.00"/>
    <numFmt numFmtId="168" formatCode="_(* #,##0.0000_);_(* \(#,##0.0000\);_(* &quot;-&quot;??_);_(@_)"/>
  </numFmts>
  <fonts count="2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12"/>
      <name val="Verdana"/>
      <family val="2"/>
    </font>
    <font>
      <sz val="12"/>
      <color theme="1"/>
      <name val="Verdana"/>
      <family val="2"/>
    </font>
    <font>
      <b/>
      <u/>
      <sz val="12"/>
      <color theme="1"/>
      <name val="Verdana"/>
      <family val="2"/>
    </font>
    <font>
      <u/>
      <sz val="12"/>
      <color theme="1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rgb="FFFF0000"/>
      <name val="Verdana"/>
      <family val="2"/>
    </font>
    <font>
      <b/>
      <sz val="12"/>
      <color theme="7" tint="0.39997558519241921"/>
      <name val="Verdana"/>
      <family val="2"/>
    </font>
    <font>
      <u val="singleAccounting"/>
      <sz val="12"/>
      <color theme="1"/>
      <name val="Verdana"/>
      <family val="2"/>
    </font>
    <font>
      <sz val="12"/>
      <color rgb="FFFF0000"/>
      <name val="Calibri"/>
      <family val="2"/>
      <scheme val="minor"/>
    </font>
    <font>
      <b/>
      <u val="singleAccounting"/>
      <sz val="12"/>
      <color theme="1"/>
      <name val="Verdana"/>
      <family val="2"/>
    </font>
    <font>
      <sz val="10"/>
      <name val="Verdana"/>
      <family val="2"/>
    </font>
    <font>
      <b/>
      <sz val="16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8"/>
      <name val="Calibri"/>
      <family val="2"/>
      <scheme val="minor"/>
    </font>
    <font>
      <sz val="14"/>
      <color rgb="FFEAECE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74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3" fillId="3" borderId="0" xfId="0" applyFont="1" applyFill="1"/>
    <xf numFmtId="0" fontId="4" fillId="0" borderId="0" xfId="0" applyFont="1" applyAlignment="1">
      <alignment horizontal="center"/>
    </xf>
    <xf numFmtId="0" fontId="2" fillId="0" borderId="0" xfId="0" applyFont="1"/>
    <xf numFmtId="0" fontId="4" fillId="2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165" fontId="4" fillId="0" borderId="0" xfId="0" applyNumberFormat="1" applyFont="1"/>
    <xf numFmtId="0" fontId="3" fillId="0" borderId="0" xfId="0" applyFon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0" xfId="0" applyFont="1" applyFill="1"/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6" fillId="0" borderId="0" xfId="4" applyAlignment="1">
      <alignment horizontal="center"/>
    </xf>
    <xf numFmtId="0" fontId="2" fillId="0" borderId="1" xfId="0" applyFont="1" applyBorder="1" applyAlignment="1">
      <alignment horizontal="center"/>
    </xf>
    <xf numFmtId="0" fontId="6" fillId="0" borderId="2" xfId="4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44" fontId="4" fillId="0" borderId="0" xfId="3" applyFont="1" applyAlignment="1">
      <alignment horizontal="center"/>
    </xf>
    <xf numFmtId="44" fontId="4" fillId="0" borderId="0" xfId="3" applyFont="1"/>
    <xf numFmtId="0" fontId="3" fillId="0" borderId="0" xfId="0" applyFont="1" applyAlignment="1">
      <alignment horizontal="center"/>
    </xf>
    <xf numFmtId="0" fontId="6" fillId="0" borderId="0" xfId="4" applyFill="1" applyAlignment="1">
      <alignment horizontal="left"/>
    </xf>
    <xf numFmtId="0" fontId="9" fillId="0" borderId="0" xfId="0" applyFont="1"/>
    <xf numFmtId="0" fontId="8" fillId="0" borderId="0" xfId="0" applyFont="1"/>
    <xf numFmtId="167" fontId="10" fillId="0" borderId="0" xfId="3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7" fillId="0" borderId="0" xfId="0" applyFont="1"/>
    <xf numFmtId="10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168" fontId="10" fillId="0" borderId="0" xfId="1" applyNumberFormat="1" applyFont="1" applyFill="1" applyAlignment="1">
      <alignment horizontal="center"/>
    </xf>
    <xf numFmtId="168" fontId="4" fillId="0" borderId="0" xfId="1" applyNumberFormat="1" applyFont="1" applyAlignment="1">
      <alignment horizontal="center"/>
    </xf>
    <xf numFmtId="0" fontId="0" fillId="2" borderId="0" xfId="0" applyFill="1" applyAlignment="1">
      <alignment horizontal="center"/>
    </xf>
    <xf numFmtId="44" fontId="4" fillId="0" borderId="0" xfId="3" applyFont="1" applyBorder="1"/>
    <xf numFmtId="167" fontId="12" fillId="0" borderId="0" xfId="3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44" fontId="2" fillId="0" borderId="0" xfId="3" applyFont="1" applyAlignment="1">
      <alignment horizontal="center"/>
    </xf>
    <xf numFmtId="165" fontId="2" fillId="0" borderId="0" xfId="0" applyNumberFormat="1" applyFont="1" applyAlignment="1">
      <alignment horizontal="right"/>
    </xf>
    <xf numFmtId="165" fontId="2" fillId="0" borderId="0" xfId="0" applyNumberFormat="1" applyFont="1"/>
    <xf numFmtId="0" fontId="5" fillId="5" borderId="0" xfId="0" applyFont="1" applyFill="1"/>
    <xf numFmtId="167" fontId="13" fillId="0" borderId="0" xfId="0" applyNumberFormat="1" applyFont="1" applyAlignment="1">
      <alignment horizontal="center" vertical="center"/>
    </xf>
    <xf numFmtId="10" fontId="13" fillId="0" borderId="0" xfId="2" applyNumberFormat="1" applyFont="1" applyAlignment="1">
      <alignment horizontal="center" vertical="center"/>
    </xf>
    <xf numFmtId="44" fontId="2" fillId="2" borderId="0" xfId="0" applyNumberFormat="1" applyFont="1" applyFill="1"/>
    <xf numFmtId="168" fontId="4" fillId="0" borderId="0" xfId="1" applyNumberFormat="1" applyFont="1" applyFill="1" applyAlignment="1">
      <alignment horizontal="center"/>
    </xf>
    <xf numFmtId="166" fontId="0" fillId="0" borderId="0" xfId="2" applyNumberFormat="1" applyFont="1" applyAlignment="1">
      <alignment horizontal="center"/>
    </xf>
    <xf numFmtId="0" fontId="14" fillId="0" borderId="0" xfId="0" applyFont="1"/>
    <xf numFmtId="166" fontId="0" fillId="0" borderId="0" xfId="0" applyNumberFormat="1" applyAlignment="1">
      <alignment horizontal="center"/>
    </xf>
    <xf numFmtId="0" fontId="11" fillId="2" borderId="0" xfId="0" applyFont="1" applyFill="1" applyAlignment="1">
      <alignment horizontal="center"/>
    </xf>
    <xf numFmtId="8" fontId="0" fillId="2" borderId="0" xfId="0" applyNumberFormat="1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68" fontId="12" fillId="0" borderId="0" xfId="1" applyNumberFormat="1" applyFont="1" applyFill="1" applyAlignment="1">
      <alignment horizontal="center"/>
    </xf>
    <xf numFmtId="44" fontId="2" fillId="0" borderId="0" xfId="3" applyFont="1"/>
    <xf numFmtId="44" fontId="4" fillId="0" borderId="0" xfId="0" applyNumberFormat="1" applyFont="1"/>
    <xf numFmtId="44" fontId="10" fillId="0" borderId="0" xfId="0" applyNumberFormat="1" applyFont="1"/>
    <xf numFmtId="0" fontId="15" fillId="0" borderId="0" xfId="0" applyFont="1" applyAlignment="1">
      <alignment horizontal="center"/>
    </xf>
    <xf numFmtId="44" fontId="16" fillId="0" borderId="0" xfId="3" applyFont="1" applyAlignment="1">
      <alignment horizontal="center"/>
    </xf>
    <xf numFmtId="168" fontId="16" fillId="0" borderId="0" xfId="1" applyNumberFormat="1" applyFont="1" applyFill="1" applyAlignment="1">
      <alignment horizontal="center"/>
    </xf>
    <xf numFmtId="168" fontId="16" fillId="0" borderId="0" xfId="1" applyNumberFormat="1" applyFont="1" applyAlignment="1">
      <alignment horizontal="center"/>
    </xf>
    <xf numFmtId="167" fontId="17" fillId="2" borderId="0" xfId="0" applyNumberFormat="1" applyFont="1" applyFill="1" applyAlignment="1">
      <alignment horizontal="center"/>
    </xf>
    <xf numFmtId="44" fontId="4" fillId="0" borderId="0" xfId="3" applyFont="1" applyBorder="1" applyAlignment="1">
      <alignment horizontal="center"/>
    </xf>
    <xf numFmtId="44" fontId="16" fillId="0" borderId="0" xfId="3" applyFont="1" applyBorder="1" applyAlignment="1">
      <alignment horizontal="center"/>
    </xf>
    <xf numFmtId="167" fontId="12" fillId="0" borderId="0" xfId="3" applyNumberFormat="1" applyFont="1" applyFill="1" applyBorder="1" applyAlignment="1">
      <alignment horizontal="center"/>
    </xf>
    <xf numFmtId="168" fontId="12" fillId="0" borderId="0" xfId="1" applyNumberFormat="1" applyFont="1" applyFill="1" applyBorder="1" applyAlignment="1">
      <alignment horizontal="center"/>
    </xf>
    <xf numFmtId="168" fontId="16" fillId="0" borderId="0" xfId="1" applyNumberFormat="1" applyFont="1" applyFill="1" applyBorder="1" applyAlignment="1">
      <alignment horizontal="center"/>
    </xf>
    <xf numFmtId="168" fontId="16" fillId="0" borderId="0" xfId="1" applyNumberFormat="1" applyFont="1" applyBorder="1" applyAlignment="1">
      <alignment horizontal="center"/>
    </xf>
    <xf numFmtId="168" fontId="4" fillId="0" borderId="0" xfId="1" applyNumberFormat="1" applyFont="1" applyBorder="1" applyAlignment="1">
      <alignment horizontal="center"/>
    </xf>
    <xf numFmtId="0" fontId="6" fillId="0" borderId="0" xfId="4"/>
    <xf numFmtId="0" fontId="19" fillId="0" borderId="0" xfId="0" applyFont="1"/>
  </cellXfs>
  <cellStyles count="5">
    <cellStyle name="Comma" xfId="1" builtinId="3"/>
    <cellStyle name="Currency" xfId="3" builtinId="4"/>
    <cellStyle name="Hyperlink" xfId="4" builtinId="8"/>
    <cellStyle name="Normal" xfId="0" builtinId="0"/>
    <cellStyle name="Percent" xfId="2" builtinId="5"/>
  </cellStyles>
  <dxfs count="17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0FB00"/>
      <color rgb="FF179C5C"/>
      <color rgb="FF179C5B"/>
      <color rgb="FF73FEFF"/>
      <color rgb="FFFF8AD8"/>
      <color rgb="FFFF9300"/>
      <color rgb="FFADFB00"/>
      <color rgb="FFFF70B3"/>
      <color rgb="FFDECFF0"/>
      <color rgb="FFE4BA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ikes.btc.accts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mikes.btc.accts@gmail.com" TargetMode="External"/><Relationship Id="rId1" Type="http://schemas.openxmlformats.org/officeDocument/2006/relationships/hyperlink" Target="mailto:mikes.btc.acct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90F2C-BA64-5D4F-AF8C-42D7F79A7B92}">
  <dimension ref="A1:E17"/>
  <sheetViews>
    <sheetView topLeftCell="A11" workbookViewId="0">
      <selection activeCell="A17" sqref="A17:A28"/>
    </sheetView>
  </sheetViews>
  <sheetFormatPr defaultColWidth="11.19921875" defaultRowHeight="15.6"/>
  <cols>
    <col min="1" max="1" width="12" bestFit="1" customWidth="1"/>
    <col min="2" max="2" width="37.19921875" bestFit="1" customWidth="1"/>
    <col min="4" max="4" width="19.296875" bestFit="1" customWidth="1"/>
  </cols>
  <sheetData>
    <row r="1" spans="1:5">
      <c r="A1" t="s">
        <v>135</v>
      </c>
      <c r="B1" s="72" t="s">
        <v>45</v>
      </c>
      <c r="C1" t="s">
        <v>133</v>
      </c>
      <c r="D1" t="s">
        <v>134</v>
      </c>
    </row>
    <row r="3" spans="1:5">
      <c r="A3" t="s">
        <v>139</v>
      </c>
      <c r="B3" t="s">
        <v>141</v>
      </c>
      <c r="C3" t="s">
        <v>29</v>
      </c>
      <c r="D3" t="s">
        <v>143</v>
      </c>
      <c r="E3" t="s">
        <v>142</v>
      </c>
    </row>
    <row r="4" spans="1:5">
      <c r="A4" t="s">
        <v>138</v>
      </c>
      <c r="B4" t="s">
        <v>27</v>
      </c>
      <c r="C4" t="s">
        <v>16</v>
      </c>
      <c r="D4" t="s">
        <v>26</v>
      </c>
      <c r="E4" t="s">
        <v>147</v>
      </c>
    </row>
    <row r="7" spans="1:5">
      <c r="A7" t="s">
        <v>151</v>
      </c>
    </row>
    <row r="8" spans="1:5">
      <c r="A8" t="s">
        <v>136</v>
      </c>
      <c r="B8" t="s">
        <v>18</v>
      </c>
      <c r="C8" t="s">
        <v>16</v>
      </c>
      <c r="D8" t="s">
        <v>17</v>
      </c>
    </row>
    <row r="9" spans="1:5">
      <c r="A9" t="s">
        <v>137</v>
      </c>
      <c r="B9" t="s">
        <v>21</v>
      </c>
      <c r="C9" t="s">
        <v>16</v>
      </c>
      <c r="D9" t="s">
        <v>20</v>
      </c>
      <c r="E9" t="s">
        <v>148</v>
      </c>
    </row>
    <row r="12" spans="1:5">
      <c r="A12" t="s">
        <v>67</v>
      </c>
      <c r="B12" t="s">
        <v>24</v>
      </c>
      <c r="C12" t="s">
        <v>16</v>
      </c>
      <c r="D12" t="s">
        <v>23</v>
      </c>
      <c r="E12" t="s">
        <v>144</v>
      </c>
    </row>
    <row r="13" spans="1:5">
      <c r="A13" t="s">
        <v>140</v>
      </c>
      <c r="B13" t="s">
        <v>43</v>
      </c>
      <c r="C13" t="s">
        <v>41</v>
      </c>
      <c r="D13" t="s">
        <v>42</v>
      </c>
      <c r="E13" t="s">
        <v>145</v>
      </c>
    </row>
    <row r="14" spans="1:5">
      <c r="A14" t="s">
        <v>113</v>
      </c>
      <c r="B14" t="s">
        <v>37</v>
      </c>
      <c r="C14" t="s">
        <v>16</v>
      </c>
      <c r="D14" t="s">
        <v>36</v>
      </c>
      <c r="E14" t="s">
        <v>146</v>
      </c>
    </row>
    <row r="15" spans="1:5">
      <c r="A15" t="s">
        <v>149</v>
      </c>
      <c r="E15" t="s">
        <v>150</v>
      </c>
    </row>
    <row r="16" spans="1:5" ht="17.399999999999999">
      <c r="E16" s="73"/>
    </row>
    <row r="17" spans="5:5" ht="17.399999999999999">
      <c r="E17" s="73"/>
    </row>
  </sheetData>
  <phoneticPr fontId="18" type="noConversion"/>
  <hyperlinks>
    <hyperlink ref="B1" r:id="rId1" xr:uid="{0ACBCD19-3052-7649-A78F-75BF157DB3A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3218-450D-FB48-842A-44BA3A717B4E}">
  <sheetPr codeName="Sheet1"/>
  <dimension ref="A1:I19"/>
  <sheetViews>
    <sheetView topLeftCell="F1" zoomScale="102" workbookViewId="0">
      <selection activeCell="C21" sqref="C21"/>
    </sheetView>
  </sheetViews>
  <sheetFormatPr defaultColWidth="11" defaultRowHeight="15.6"/>
  <cols>
    <col min="1" max="1" width="9.5" bestFit="1" customWidth="1"/>
    <col min="2" max="2" width="18" bestFit="1" customWidth="1"/>
    <col min="3" max="4" width="29.796875" style="13" bestFit="1" customWidth="1"/>
    <col min="5" max="5" width="16.296875" style="13" bestFit="1" customWidth="1"/>
    <col min="6" max="6" width="31.5" style="13" bestFit="1" customWidth="1"/>
    <col min="7" max="7" width="28.69921875" style="13" bestFit="1" customWidth="1"/>
    <col min="8" max="8" width="37.19921875" bestFit="1" customWidth="1"/>
    <col min="9" max="9" width="19" bestFit="1" customWidth="1"/>
  </cols>
  <sheetData>
    <row r="1" spans="1:9" s="33" customFormat="1">
      <c r="A1" s="14" t="s">
        <v>105</v>
      </c>
      <c r="B1" s="33" t="s">
        <v>106</v>
      </c>
      <c r="C1" s="14" t="s">
        <v>121</v>
      </c>
      <c r="D1" s="14" t="s">
        <v>90</v>
      </c>
      <c r="E1" s="14" t="s">
        <v>91</v>
      </c>
      <c r="F1" s="14" t="s">
        <v>92</v>
      </c>
      <c r="G1" s="14" t="s">
        <v>93</v>
      </c>
      <c r="H1" s="14" t="s">
        <v>113</v>
      </c>
      <c r="I1" s="14" t="s">
        <v>107</v>
      </c>
    </row>
    <row r="2" spans="1:9">
      <c r="A2" t="b">
        <v>1</v>
      </c>
      <c r="B2" t="s">
        <v>103</v>
      </c>
      <c r="C2" s="13" t="b">
        <v>1</v>
      </c>
      <c r="D2" s="13" t="b">
        <v>0</v>
      </c>
      <c r="E2" s="13" t="b">
        <v>1</v>
      </c>
      <c r="F2" s="13" t="b">
        <v>0</v>
      </c>
      <c r="G2" s="13" t="b">
        <v>0</v>
      </c>
      <c r="H2" s="13" t="b">
        <v>0</v>
      </c>
      <c r="I2" s="13" t="b">
        <v>0</v>
      </c>
    </row>
    <row r="3" spans="1:9">
      <c r="A3" t="b">
        <v>1</v>
      </c>
      <c r="B3" t="s">
        <v>94</v>
      </c>
      <c r="C3" s="13" t="s">
        <v>15</v>
      </c>
      <c r="D3" s="13" t="s">
        <v>112</v>
      </c>
      <c r="E3" s="13" t="s">
        <v>22</v>
      </c>
      <c r="F3" s="13" t="s">
        <v>25</v>
      </c>
      <c r="G3" s="13" t="s">
        <v>28</v>
      </c>
      <c r="H3" s="13" t="s">
        <v>35</v>
      </c>
      <c r="I3" s="13" t="s">
        <v>40</v>
      </c>
    </row>
    <row r="4" spans="1:9">
      <c r="A4" t="b">
        <v>1</v>
      </c>
      <c r="B4" t="s">
        <v>95</v>
      </c>
      <c r="C4" s="13" t="str">
        <f>C1</f>
        <v>BNNCUS</v>
      </c>
      <c r="D4" s="13" t="str">
        <f t="shared" ref="D4:I4" si="0">D1</f>
        <v>CB</v>
      </c>
      <c r="E4" s="13" t="str">
        <f t="shared" si="0"/>
        <v>FTXUS</v>
      </c>
      <c r="F4" s="13" t="str">
        <f t="shared" si="0"/>
        <v>GEM</v>
      </c>
      <c r="G4" s="13" t="str">
        <f t="shared" si="0"/>
        <v>KK</v>
      </c>
      <c r="H4" s="13" t="str">
        <f t="shared" si="0"/>
        <v>OK</v>
      </c>
      <c r="I4" s="13" t="str">
        <f t="shared" si="0"/>
        <v>PHMX</v>
      </c>
    </row>
    <row r="5" spans="1:9">
      <c r="A5" t="b">
        <v>1</v>
      </c>
      <c r="B5" t="s">
        <v>109</v>
      </c>
      <c r="C5" s="13" t="s">
        <v>111</v>
      </c>
      <c r="D5" s="13" t="s">
        <v>99</v>
      </c>
      <c r="E5" s="13" t="s">
        <v>0</v>
      </c>
      <c r="F5" s="13" t="s">
        <v>111</v>
      </c>
      <c r="G5" s="13" t="s">
        <v>0</v>
      </c>
      <c r="H5" s="13" t="s">
        <v>99</v>
      </c>
      <c r="I5" s="53" t="s">
        <v>114</v>
      </c>
    </row>
    <row r="6" spans="1:9">
      <c r="A6" t="b">
        <v>1</v>
      </c>
      <c r="H6" s="13"/>
      <c r="I6" s="13"/>
    </row>
    <row r="7" spans="1:9">
      <c r="A7" t="b">
        <v>1</v>
      </c>
      <c r="B7" t="s">
        <v>96</v>
      </c>
      <c r="C7" s="34">
        <v>1E-3</v>
      </c>
      <c r="D7" s="34">
        <v>5.0000000000000001E-3</v>
      </c>
      <c r="E7" s="34">
        <v>1E-3</v>
      </c>
      <c r="F7" s="34">
        <v>2.5000000000000001E-3</v>
      </c>
      <c r="G7" s="34">
        <v>1.6000000000000001E-3</v>
      </c>
      <c r="H7" s="34">
        <v>1E-3</v>
      </c>
      <c r="I7" s="52">
        <v>-2.5000000000000001E-4</v>
      </c>
    </row>
    <row r="8" spans="1:9">
      <c r="A8" t="b">
        <v>1</v>
      </c>
      <c r="B8" t="s">
        <v>97</v>
      </c>
      <c r="C8" s="34">
        <v>1E-3</v>
      </c>
      <c r="D8" s="34">
        <v>5.0000000000000001E-3</v>
      </c>
      <c r="E8" s="34">
        <v>4.0000000000000001E-3</v>
      </c>
      <c r="F8" s="34">
        <v>3.5000000000000001E-3</v>
      </c>
      <c r="G8" s="34">
        <v>2.5999999999999999E-3</v>
      </c>
      <c r="H8" s="34">
        <v>2E-3</v>
      </c>
      <c r="I8" s="52">
        <v>7.5000000000000002E-4</v>
      </c>
    </row>
    <row r="9" spans="1:9">
      <c r="A9" t="b">
        <v>1</v>
      </c>
      <c r="B9" t="s">
        <v>98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38">
        <v>0</v>
      </c>
    </row>
    <row r="10" spans="1:9">
      <c r="A10" t="b">
        <v>1</v>
      </c>
      <c r="B10" t="s">
        <v>104</v>
      </c>
      <c r="C10" s="13">
        <v>0</v>
      </c>
      <c r="D10" s="13">
        <v>0</v>
      </c>
      <c r="E10" s="38">
        <v>0</v>
      </c>
      <c r="F10" s="38">
        <v>0</v>
      </c>
      <c r="G10" s="35">
        <v>4</v>
      </c>
      <c r="H10" s="13">
        <v>0</v>
      </c>
      <c r="I10" s="38">
        <v>0</v>
      </c>
    </row>
    <row r="11" spans="1:9">
      <c r="A11" t="b">
        <v>1</v>
      </c>
      <c r="B11" t="s">
        <v>110</v>
      </c>
      <c r="C11" s="13">
        <v>5.0000000000000001E-4</v>
      </c>
      <c r="D11" s="38">
        <v>0</v>
      </c>
      <c r="E11" s="38">
        <v>0</v>
      </c>
      <c r="F11" s="38">
        <v>0</v>
      </c>
      <c r="G11" s="50">
        <v>1.4999999999999999E-4</v>
      </c>
      <c r="H11" s="38">
        <v>0</v>
      </c>
      <c r="I11" s="38">
        <v>0</v>
      </c>
    </row>
    <row r="12" spans="1:9">
      <c r="A12" t="b">
        <v>1</v>
      </c>
      <c r="H12" s="13"/>
      <c r="I12" s="13"/>
    </row>
    <row r="13" spans="1:9">
      <c r="A13" t="b">
        <v>1</v>
      </c>
      <c r="B13" t="s">
        <v>100</v>
      </c>
      <c r="C13" s="13" t="s">
        <v>18</v>
      </c>
      <c r="D13" s="13" t="s">
        <v>21</v>
      </c>
      <c r="E13" s="13" t="s">
        <v>24</v>
      </c>
      <c r="F13" s="13" t="s">
        <v>27</v>
      </c>
      <c r="G13" s="13" t="s">
        <v>31</v>
      </c>
      <c r="H13" s="13" t="s">
        <v>37</v>
      </c>
      <c r="I13" s="13" t="s">
        <v>43</v>
      </c>
    </row>
    <row r="14" spans="1:9" ht="16.2">
      <c r="A14" t="b">
        <v>1</v>
      </c>
      <c r="B14" t="s">
        <v>101</v>
      </c>
      <c r="C14" s="13" t="s">
        <v>16</v>
      </c>
      <c r="D14" s="13" t="s">
        <v>16</v>
      </c>
      <c r="E14" s="13" t="s">
        <v>16</v>
      </c>
      <c r="F14" s="13" t="s">
        <v>16</v>
      </c>
      <c r="G14" s="13" t="s">
        <v>29</v>
      </c>
      <c r="H14" s="5" t="s">
        <v>16</v>
      </c>
      <c r="I14" s="5" t="s">
        <v>41</v>
      </c>
    </row>
    <row r="15" spans="1:9">
      <c r="A15" t="b">
        <v>1</v>
      </c>
      <c r="B15" t="s">
        <v>102</v>
      </c>
      <c r="C15" s="13" t="s">
        <v>17</v>
      </c>
      <c r="D15" s="13" t="s">
        <v>20</v>
      </c>
      <c r="E15" s="13" t="s">
        <v>23</v>
      </c>
      <c r="F15" s="13" t="s">
        <v>26</v>
      </c>
      <c r="G15" s="32" t="s">
        <v>30</v>
      </c>
      <c r="H15" s="13" t="s">
        <v>36</v>
      </c>
      <c r="I15" s="13" t="s">
        <v>42</v>
      </c>
    </row>
    <row r="17" spans="8:9">
      <c r="H17" s="13"/>
      <c r="I17" s="53" t="s">
        <v>116</v>
      </c>
    </row>
    <row r="18" spans="8:9">
      <c r="H18" s="53" t="s">
        <v>117</v>
      </c>
      <c r="I18" s="53" t="s">
        <v>117</v>
      </c>
    </row>
    <row r="19" spans="8:9" ht="21">
      <c r="I19" s="51"/>
    </row>
  </sheetData>
  <conditionalFormatting sqref="B2:Z2">
    <cfRule type="cellIs" dxfId="16" priority="1" operator="equal">
      <formula>TRUE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587C-0BF9-B344-85A1-4834B8790C1D}">
  <sheetPr codeName="Sheet6"/>
  <dimension ref="A1:I15"/>
  <sheetViews>
    <sheetView tabSelected="1" workbookViewId="0">
      <selection activeCell="E22" sqref="E22"/>
    </sheetView>
  </sheetViews>
  <sheetFormatPr defaultColWidth="11" defaultRowHeight="15.6"/>
  <cols>
    <col min="1" max="1" width="9.5" bestFit="1" customWidth="1"/>
    <col min="2" max="2" width="18" bestFit="1" customWidth="1"/>
    <col min="6" max="6" width="26.19921875" style="13" bestFit="1" customWidth="1"/>
  </cols>
  <sheetData>
    <row r="1" spans="1:9">
      <c r="A1" s="14" t="s">
        <v>105</v>
      </c>
      <c r="B1" s="33" t="s">
        <v>106</v>
      </c>
      <c r="C1" s="14" t="s">
        <v>80</v>
      </c>
      <c r="D1" s="14" t="s">
        <v>120</v>
      </c>
      <c r="E1" s="14" t="s">
        <v>19</v>
      </c>
      <c r="F1" s="14" t="s">
        <v>32</v>
      </c>
    </row>
    <row r="2" spans="1:9">
      <c r="A2" t="b">
        <v>1</v>
      </c>
      <c r="B2" t="s">
        <v>103</v>
      </c>
      <c r="C2" s="13" t="b">
        <v>0</v>
      </c>
      <c r="D2" s="13" t="b">
        <v>0</v>
      </c>
      <c r="E2" s="13" t="b">
        <v>0</v>
      </c>
      <c r="F2" s="13" t="b">
        <v>0</v>
      </c>
      <c r="G2" s="13"/>
      <c r="H2" s="13"/>
      <c r="I2" s="13"/>
    </row>
    <row r="3" spans="1:9">
      <c r="A3" t="b">
        <v>1</v>
      </c>
      <c r="B3" t="s">
        <v>94</v>
      </c>
      <c r="C3" s="13" t="s">
        <v>80</v>
      </c>
      <c r="D3" s="13" t="s">
        <v>108</v>
      </c>
      <c r="E3" s="13" t="s">
        <v>19</v>
      </c>
      <c r="F3" s="13" t="s">
        <v>32</v>
      </c>
    </row>
    <row r="4" spans="1:9">
      <c r="A4" t="b">
        <v>1</v>
      </c>
      <c r="B4" t="s">
        <v>95</v>
      </c>
      <c r="C4" s="13" t="str">
        <f>C1</f>
        <v>BAAKT</v>
      </c>
      <c r="D4" s="13" t="s">
        <v>108</v>
      </c>
      <c r="E4" s="13" t="str">
        <f>E1</f>
        <v>CME</v>
      </c>
      <c r="F4" s="13" t="s">
        <v>115</v>
      </c>
    </row>
    <row r="5" spans="1:9">
      <c r="A5" t="b">
        <v>1</v>
      </c>
      <c r="B5" t="s">
        <v>109</v>
      </c>
      <c r="C5" s="13" t="s">
        <v>108</v>
      </c>
      <c r="D5" s="13" t="s">
        <v>108</v>
      </c>
      <c r="E5" s="13" t="s">
        <v>108</v>
      </c>
      <c r="F5" s="13" t="s">
        <v>119</v>
      </c>
    </row>
    <row r="6" spans="1:9">
      <c r="A6" t="b">
        <v>1</v>
      </c>
      <c r="C6" s="13"/>
      <c r="D6" s="13"/>
      <c r="E6" s="13"/>
    </row>
    <row r="7" spans="1:9">
      <c r="A7" t="b">
        <v>1</v>
      </c>
      <c r="B7" t="s">
        <v>96</v>
      </c>
      <c r="C7" s="13" t="s">
        <v>108</v>
      </c>
      <c r="D7" s="13" t="s">
        <v>108</v>
      </c>
      <c r="E7" s="13" t="s">
        <v>108</v>
      </c>
      <c r="F7" s="54">
        <f>0.05*100</f>
        <v>5</v>
      </c>
    </row>
    <row r="8" spans="1:9">
      <c r="A8" t="b">
        <v>1</v>
      </c>
      <c r="B8" t="s">
        <v>97</v>
      </c>
      <c r="C8" s="13" t="s">
        <v>108</v>
      </c>
      <c r="D8" s="13" t="s">
        <v>108</v>
      </c>
      <c r="E8" s="13" t="s">
        <v>108</v>
      </c>
      <c r="F8" s="54">
        <f>0.05*100</f>
        <v>5</v>
      </c>
    </row>
    <row r="9" spans="1:9">
      <c r="A9" t="b">
        <v>1</v>
      </c>
      <c r="B9" t="s">
        <v>98</v>
      </c>
      <c r="C9" s="13" t="s">
        <v>108</v>
      </c>
      <c r="D9" s="13" t="s">
        <v>108</v>
      </c>
      <c r="E9" s="13" t="s">
        <v>108</v>
      </c>
      <c r="F9" s="38">
        <v>0</v>
      </c>
    </row>
    <row r="10" spans="1:9">
      <c r="A10" t="b">
        <v>1</v>
      </c>
      <c r="B10" t="s">
        <v>104</v>
      </c>
      <c r="C10" s="13" t="s">
        <v>108</v>
      </c>
      <c r="D10" s="13" t="s">
        <v>108</v>
      </c>
      <c r="E10" s="13" t="s">
        <v>108</v>
      </c>
      <c r="F10" s="38">
        <v>0</v>
      </c>
    </row>
    <row r="11" spans="1:9">
      <c r="A11" t="b">
        <v>1</v>
      </c>
      <c r="B11" t="s">
        <v>110</v>
      </c>
      <c r="C11" s="13" t="s">
        <v>108</v>
      </c>
      <c r="D11" s="13" t="s">
        <v>108</v>
      </c>
      <c r="E11" s="13" t="s">
        <v>108</v>
      </c>
      <c r="F11" s="55">
        <v>1E-3</v>
      </c>
    </row>
    <row r="12" spans="1:9">
      <c r="A12" t="b">
        <v>1</v>
      </c>
      <c r="C12" s="13"/>
      <c r="D12" s="13"/>
      <c r="E12" s="13"/>
    </row>
    <row r="13" spans="1:9">
      <c r="A13" t="b">
        <v>1</v>
      </c>
      <c r="B13" t="s">
        <v>100</v>
      </c>
      <c r="C13" s="13" t="s">
        <v>108</v>
      </c>
      <c r="D13" s="13" t="s">
        <v>108</v>
      </c>
      <c r="E13" s="13" t="s">
        <v>108</v>
      </c>
      <c r="F13" s="13" t="s">
        <v>34</v>
      </c>
    </row>
    <row r="14" spans="1:9">
      <c r="A14" t="b">
        <v>1</v>
      </c>
      <c r="B14" t="s">
        <v>101</v>
      </c>
      <c r="C14" s="13" t="s">
        <v>108</v>
      </c>
      <c r="D14" s="13" t="s">
        <v>108</v>
      </c>
      <c r="E14" s="13" t="s">
        <v>108</v>
      </c>
      <c r="F14" s="13" t="s">
        <v>16</v>
      </c>
    </row>
    <row r="15" spans="1:9">
      <c r="A15" t="b">
        <v>1</v>
      </c>
      <c r="B15" t="s">
        <v>102</v>
      </c>
      <c r="C15" s="13" t="s">
        <v>108</v>
      </c>
      <c r="D15" s="13" t="s">
        <v>108</v>
      </c>
      <c r="E15" s="13" t="s">
        <v>108</v>
      </c>
      <c r="F15" s="13" t="s">
        <v>33</v>
      </c>
    </row>
  </sheetData>
  <conditionalFormatting sqref="B2:Z2">
    <cfRule type="cellIs" dxfId="15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B387A-0290-FE4F-937F-0434C3D9690D}">
  <sheetPr codeName="Sheet3"/>
  <dimension ref="A1:O27"/>
  <sheetViews>
    <sheetView zoomScale="125" zoomScaleNormal="12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6" sqref="D16"/>
    </sheetView>
  </sheetViews>
  <sheetFormatPr defaultColWidth="10.796875" defaultRowHeight="16.2"/>
  <cols>
    <col min="1" max="1" width="7.5" style="1" bestFit="1" customWidth="1"/>
    <col min="2" max="2" width="14.796875" style="5" bestFit="1" customWidth="1"/>
    <col min="3" max="3" width="14.796875" style="5" customWidth="1"/>
    <col min="4" max="4" width="13" style="65" bestFit="1" customWidth="1"/>
    <col min="5" max="5" width="13" style="5" customWidth="1"/>
    <col min="6" max="6" width="22.19921875" style="6" customWidth="1"/>
    <col min="7" max="7" width="13" style="37" customWidth="1"/>
    <col min="8" max="8" width="11.69921875" style="1" customWidth="1"/>
    <col min="9" max="9" width="15.19921875" style="37" bestFit="1" customWidth="1"/>
    <col min="10" max="10" width="17.296875" style="37" bestFit="1" customWidth="1"/>
    <col min="11" max="11" width="14.796875" style="26" bestFit="1" customWidth="1"/>
    <col min="12" max="13" width="10.796875" style="1"/>
    <col min="14" max="15" width="14.796875" style="1" bestFit="1" customWidth="1"/>
    <col min="16" max="16384" width="10.796875" style="1"/>
  </cols>
  <sheetData>
    <row r="1" spans="1:15" ht="16.05" customHeight="1">
      <c r="B1" s="46">
        <f>B2-J2</f>
        <v>-144.61440999999468</v>
      </c>
      <c r="C1" s="46">
        <f>C2-I2</f>
        <v>-86.514409999996133</v>
      </c>
      <c r="D1" s="1"/>
      <c r="E1" s="46">
        <f>E2-G2</f>
        <v>-5</v>
      </c>
      <c r="G1" s="47">
        <f>E1/F2</f>
        <v>-8.6529891751105424E-5</v>
      </c>
      <c r="I1" s="47">
        <f>C1/F2</f>
        <v>-1.4972165064420836E-3</v>
      </c>
      <c r="J1" s="47">
        <f>B1/F2</f>
        <v>-2.5026938485899035E-3</v>
      </c>
    </row>
    <row r="2" spans="1:15" ht="16.05" customHeight="1">
      <c r="A2" s="45" t="s">
        <v>89</v>
      </c>
      <c r="B2" s="25">
        <f>MAX(B4:B11)</f>
        <v>57709.912320000003</v>
      </c>
      <c r="C2" s="65">
        <f t="shared" ref="C2:E2" si="0">MAX(C4:C11)</f>
        <v>57738.933270000001</v>
      </c>
      <c r="E2" s="66">
        <f t="shared" si="0"/>
        <v>57781</v>
      </c>
      <c r="F2" s="64">
        <f>AVERAGE(E2,G2)</f>
        <v>57783.5</v>
      </c>
      <c r="G2" s="61">
        <f>MIN(G4:G11)</f>
        <v>57786</v>
      </c>
      <c r="I2" s="25">
        <f>MIN(I4:I11)</f>
        <v>57825.447679999997</v>
      </c>
      <c r="J2" s="42">
        <f>MIN(J4:J11)</f>
        <v>57854.526729999998</v>
      </c>
      <c r="N2" s="58"/>
      <c r="O2" s="58"/>
    </row>
    <row r="3" spans="1:15" s="6" customFormat="1" ht="19.8">
      <c r="B3" s="40" t="s">
        <v>122</v>
      </c>
      <c r="C3" s="67" t="s">
        <v>123</v>
      </c>
      <c r="D3" s="68" t="s">
        <v>124</v>
      </c>
      <c r="E3" s="67" t="s">
        <v>125</v>
      </c>
      <c r="F3" s="40" t="s">
        <v>126</v>
      </c>
      <c r="G3" s="40" t="s">
        <v>127</v>
      </c>
      <c r="H3" s="56" t="s">
        <v>128</v>
      </c>
      <c r="I3" s="40" t="s">
        <v>129</v>
      </c>
      <c r="J3" s="40" t="s">
        <v>130</v>
      </c>
      <c r="K3" s="57"/>
      <c r="M3" s="1"/>
      <c r="N3" s="59"/>
      <c r="O3" s="59"/>
    </row>
    <row r="4" spans="1:15" ht="16.05" customHeight="1">
      <c r="A4" s="1" t="str">
        <f>IF(B4&gt;0,"spot","")</f>
        <v>spot</v>
      </c>
      <c r="B4" s="25">
        <v>57709.912320000003</v>
      </c>
      <c r="C4" s="65">
        <v>57738.933270000001</v>
      </c>
      <c r="D4" s="69">
        <v>0.58189900000000006</v>
      </c>
      <c r="E4" s="66">
        <v>57767.68</v>
      </c>
      <c r="F4" s="41" t="s">
        <v>131</v>
      </c>
      <c r="G4" s="61">
        <v>57796.73</v>
      </c>
      <c r="H4" s="62">
        <v>3.47E-3</v>
      </c>
      <c r="I4" s="25">
        <v>57825.447679999997</v>
      </c>
      <c r="J4" s="25">
        <v>57854.526729999998</v>
      </c>
      <c r="N4" s="58"/>
      <c r="O4" s="58"/>
    </row>
    <row r="5" spans="1:15" ht="16.05" customHeight="1">
      <c r="A5" s="1" t="str">
        <f t="shared" ref="A5:A11" si="1">IF(B5&gt;0,"spot","")</f>
        <v>spot</v>
      </c>
      <c r="B5" s="25">
        <v>57549.875999999997</v>
      </c>
      <c r="C5" s="65">
        <v>57728.214</v>
      </c>
      <c r="D5" s="70">
        <v>1.9817</v>
      </c>
      <c r="E5" s="66">
        <v>57781</v>
      </c>
      <c r="F5" s="41" t="s">
        <v>132</v>
      </c>
      <c r="G5" s="61">
        <v>57786</v>
      </c>
      <c r="H5" s="63">
        <v>0.17</v>
      </c>
      <c r="I5" s="25">
        <v>57838.780999999995</v>
      </c>
      <c r="J5" s="25">
        <v>58017.144</v>
      </c>
      <c r="N5" s="60"/>
      <c r="O5" s="60"/>
    </row>
    <row r="6" spans="1:15" ht="16.05" customHeight="1">
      <c r="A6" s="1" t="str">
        <f t="shared" si="1"/>
        <v/>
      </c>
      <c r="B6" s="25"/>
      <c r="C6" s="65"/>
      <c r="D6" s="70"/>
      <c r="E6" s="66"/>
      <c r="F6" s="41"/>
      <c r="G6" s="61"/>
      <c r="H6" s="63"/>
      <c r="I6" s="25"/>
      <c r="J6" s="25"/>
      <c r="K6" s="39"/>
    </row>
    <row r="7" spans="1:15">
      <c r="A7" s="1" t="str">
        <f t="shared" si="1"/>
        <v/>
      </c>
      <c r="B7" s="25"/>
      <c r="C7" s="65"/>
      <c r="D7" s="70"/>
      <c r="E7" s="66"/>
      <c r="F7" s="41"/>
      <c r="G7" s="61"/>
      <c r="H7" s="63"/>
      <c r="I7" s="25"/>
      <c r="J7" s="25"/>
    </row>
    <row r="8" spans="1:15">
      <c r="A8" s="1" t="str">
        <f t="shared" si="1"/>
        <v/>
      </c>
      <c r="B8" s="25"/>
      <c r="C8" s="65"/>
      <c r="D8" s="70"/>
      <c r="E8" s="66"/>
      <c r="F8" s="41"/>
      <c r="G8" s="61"/>
      <c r="H8" s="63"/>
      <c r="I8" s="25"/>
      <c r="J8" s="25"/>
    </row>
    <row r="9" spans="1:15">
      <c r="A9" s="1" t="str">
        <f t="shared" si="1"/>
        <v/>
      </c>
      <c r="B9" s="1"/>
      <c r="C9" s="1"/>
      <c r="D9" s="71"/>
      <c r="E9" s="1"/>
      <c r="F9" s="41"/>
      <c r="G9" s="9"/>
      <c r="H9" s="37"/>
      <c r="I9" s="9"/>
      <c r="J9" s="9"/>
    </row>
    <row r="10" spans="1:15">
      <c r="A10" s="1" t="str">
        <f t="shared" si="1"/>
        <v/>
      </c>
      <c r="B10" s="1"/>
      <c r="C10" s="1"/>
      <c r="D10" s="71"/>
      <c r="E10" s="1"/>
      <c r="F10" s="41"/>
      <c r="G10" s="9"/>
      <c r="H10" s="37"/>
      <c r="I10" s="9"/>
      <c r="J10" s="9"/>
    </row>
    <row r="11" spans="1:15">
      <c r="A11" s="1" t="str">
        <f t="shared" si="1"/>
        <v/>
      </c>
      <c r="B11" s="1"/>
      <c r="C11" s="1"/>
      <c r="D11" s="71"/>
      <c r="E11" s="1"/>
      <c r="F11" s="41"/>
      <c r="G11" s="9"/>
      <c r="H11" s="37"/>
      <c r="I11" s="9"/>
      <c r="J11" s="9"/>
    </row>
    <row r="12" spans="1:15">
      <c r="A12" s="25"/>
      <c r="B12" s="25"/>
      <c r="C12" s="65"/>
      <c r="E12" s="65"/>
      <c r="F12" s="42"/>
      <c r="H12" s="25"/>
    </row>
    <row r="13" spans="1:15">
      <c r="B13" s="8"/>
      <c r="C13" s="8"/>
      <c r="E13" s="8"/>
      <c r="F13" s="43"/>
    </row>
    <row r="14" spans="1:15">
      <c r="B14" s="8"/>
      <c r="C14" s="8"/>
      <c r="E14" s="8"/>
      <c r="F14" s="44"/>
    </row>
    <row r="15" spans="1:15">
      <c r="B15" s="8"/>
      <c r="C15" s="8"/>
      <c r="E15" s="8"/>
      <c r="F15" s="44"/>
    </row>
    <row r="16" spans="1:15">
      <c r="B16" s="8"/>
      <c r="C16" s="8"/>
      <c r="E16" s="8"/>
      <c r="F16" s="44"/>
    </row>
    <row r="17" spans="2:6">
      <c r="B17" s="8"/>
      <c r="C17" s="8"/>
      <c r="E17" s="8"/>
      <c r="F17" s="44"/>
    </row>
    <row r="18" spans="2:6">
      <c r="B18" s="8"/>
      <c r="C18" s="8"/>
      <c r="E18" s="8"/>
      <c r="F18" s="44"/>
    </row>
    <row r="19" spans="2:6">
      <c r="B19" s="8"/>
      <c r="C19" s="8"/>
      <c r="E19" s="8"/>
      <c r="F19" s="44"/>
    </row>
    <row r="20" spans="2:6">
      <c r="B20" s="8"/>
      <c r="C20" s="8"/>
      <c r="E20" s="8"/>
      <c r="F20" s="44"/>
    </row>
    <row r="21" spans="2:6">
      <c r="B21" s="8"/>
      <c r="C21" s="8"/>
      <c r="E21" s="8"/>
      <c r="F21" s="44"/>
    </row>
    <row r="22" spans="2:6">
      <c r="B22" s="8"/>
      <c r="C22" s="8"/>
      <c r="E22" s="8"/>
      <c r="F22" s="44"/>
    </row>
    <row r="23" spans="2:6">
      <c r="B23" s="8"/>
      <c r="C23" s="8"/>
      <c r="E23" s="8"/>
      <c r="F23" s="44"/>
    </row>
    <row r="24" spans="2:6">
      <c r="B24" s="8"/>
      <c r="C24" s="8"/>
      <c r="E24" s="8"/>
    </row>
    <row r="25" spans="2:6">
      <c r="B25" s="8"/>
      <c r="C25" s="8"/>
      <c r="E25" s="8"/>
    </row>
    <row r="26" spans="2:6">
      <c r="B26" s="8"/>
      <c r="C26" s="8"/>
      <c r="E26" s="8"/>
    </row>
    <row r="27" spans="2:6">
      <c r="B27" s="8"/>
      <c r="C27" s="8"/>
      <c r="E27" s="8"/>
    </row>
  </sheetData>
  <conditionalFormatting sqref="G2:G11">
    <cfRule type="top10" dxfId="14" priority="16" bottom="1" rank="1"/>
  </conditionalFormatting>
  <conditionalFormatting sqref="B2:B11">
    <cfRule type="top10" dxfId="13" priority="8" rank="1"/>
  </conditionalFormatting>
  <conditionalFormatting sqref="C2:C11">
    <cfRule type="top10" dxfId="12" priority="9" rank="1"/>
  </conditionalFormatting>
  <conditionalFormatting sqref="E2:E11">
    <cfRule type="top10" dxfId="11" priority="15" rank="1"/>
  </conditionalFormatting>
  <conditionalFormatting sqref="I2:I11">
    <cfRule type="top10" dxfId="10" priority="18" bottom="1" rank="1"/>
  </conditionalFormatting>
  <conditionalFormatting sqref="J2:J11">
    <cfRule type="top10" dxfId="9" priority="21" bottom="1" rank="1"/>
  </conditionalFormatting>
  <conditionalFormatting sqref="N4:O4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1F96-9047-4F47-94D0-13E321C14165}">
  <sheetPr codeName="Sheet7"/>
  <dimension ref="A1:K2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ColWidth="10.796875" defaultRowHeight="16.2"/>
  <cols>
    <col min="1" max="1" width="11.796875" style="1" bestFit="1" customWidth="1"/>
    <col min="2" max="3" width="14.5" style="5" customWidth="1"/>
    <col min="4" max="4" width="11.69921875" style="25" customWidth="1"/>
    <col min="5" max="5" width="14.5" style="5" customWidth="1"/>
    <col min="6" max="6" width="17.296875" style="6" bestFit="1" customWidth="1"/>
    <col min="7" max="7" width="14.5" style="37" customWidth="1"/>
    <col min="8" max="8" width="12.69921875" style="1" customWidth="1"/>
    <col min="9" max="10" width="14.5" style="37" customWidth="1"/>
    <col min="11" max="11" width="14.796875" style="26" bestFit="1" customWidth="1"/>
    <col min="12" max="16384" width="10.796875" style="1"/>
  </cols>
  <sheetData>
    <row r="1" spans="1:11" ht="16.05" customHeight="1">
      <c r="B1" s="46">
        <f>B2-J2</f>
        <v>0</v>
      </c>
      <c r="C1" s="46">
        <f>C2-I2</f>
        <v>0</v>
      </c>
      <c r="D1" s="1"/>
      <c r="E1" s="46">
        <f>E2-G2</f>
        <v>0</v>
      </c>
      <c r="G1" s="47" t="e">
        <f>E1/F2</f>
        <v>#DIV/0!</v>
      </c>
      <c r="I1" s="47" t="e">
        <f>C1/F2</f>
        <v>#DIV/0!</v>
      </c>
      <c r="J1" s="47" t="e">
        <f>B1/F2</f>
        <v>#DIV/0!</v>
      </c>
    </row>
    <row r="2" spans="1:11" ht="16.05" customHeight="1">
      <c r="A2" s="45" t="s">
        <v>118</v>
      </c>
      <c r="B2" s="25">
        <f>MAX(B4:B11)</f>
        <v>0</v>
      </c>
      <c r="C2" s="25">
        <f t="shared" ref="C2:E2" si="0">MAX(C4:C11)</f>
        <v>0</v>
      </c>
      <c r="E2" s="25">
        <f t="shared" si="0"/>
        <v>0</v>
      </c>
      <c r="F2" s="48">
        <f>AVERAGE(E2,G2)</f>
        <v>0</v>
      </c>
      <c r="G2" s="25">
        <f>MIN(G4:G11)</f>
        <v>0</v>
      </c>
      <c r="I2" s="25">
        <f>MIN(I4:I11)</f>
        <v>0</v>
      </c>
      <c r="J2" s="25">
        <f>MIN(J4:J11)</f>
        <v>0</v>
      </c>
    </row>
    <row r="3" spans="1:11" ht="19.8">
      <c r="B3" s="31"/>
      <c r="C3" s="31"/>
      <c r="D3" s="36"/>
      <c r="E3" s="31"/>
      <c r="F3" s="40"/>
      <c r="G3" s="31"/>
      <c r="H3" s="36"/>
      <c r="I3" s="31"/>
      <c r="J3" s="31"/>
    </row>
    <row r="4" spans="1:11" ht="16.05" customHeight="1">
      <c r="B4" s="25"/>
      <c r="C4" s="25"/>
      <c r="D4" s="49"/>
      <c r="E4" s="25"/>
      <c r="F4" s="41"/>
      <c r="G4" s="25"/>
      <c r="H4" s="49"/>
      <c r="I4" s="25"/>
      <c r="J4" s="25"/>
    </row>
    <row r="5" spans="1:11" ht="16.05" customHeight="1">
      <c r="B5" s="25"/>
      <c r="C5" s="25"/>
      <c r="D5" s="37"/>
      <c r="E5" s="25"/>
      <c r="F5" s="41"/>
      <c r="G5" s="25"/>
      <c r="H5" s="37"/>
      <c r="I5" s="25"/>
      <c r="J5" s="25"/>
    </row>
    <row r="6" spans="1:11" ht="16.05" customHeight="1">
      <c r="B6" s="25"/>
      <c r="C6" s="25"/>
      <c r="D6" s="37"/>
      <c r="E6" s="25"/>
      <c r="F6" s="41"/>
      <c r="G6" s="25"/>
      <c r="H6" s="37"/>
      <c r="I6" s="25"/>
      <c r="J6" s="25"/>
      <c r="K6" s="39"/>
    </row>
    <row r="7" spans="1:11">
      <c r="B7" s="25"/>
      <c r="C7" s="25"/>
      <c r="D7" s="37"/>
      <c r="E7" s="25"/>
      <c r="F7" s="41"/>
      <c r="G7" s="25"/>
      <c r="H7" s="37"/>
      <c r="I7" s="25"/>
      <c r="J7" s="25"/>
    </row>
    <row r="8" spans="1:11">
      <c r="B8" s="25"/>
      <c r="C8" s="25"/>
      <c r="D8" s="37"/>
      <c r="E8" s="25"/>
      <c r="F8" s="41"/>
      <c r="G8" s="25"/>
      <c r="H8" s="37"/>
      <c r="I8" s="25"/>
      <c r="J8" s="25"/>
    </row>
    <row r="9" spans="1:11">
      <c r="A9" s="25"/>
      <c r="B9" s="1"/>
      <c r="C9" s="1"/>
      <c r="D9" s="37"/>
      <c r="E9" s="1"/>
      <c r="F9" s="41"/>
      <c r="G9" s="9"/>
      <c r="H9" s="37"/>
      <c r="I9" s="9"/>
      <c r="J9" s="9"/>
    </row>
    <row r="10" spans="1:11">
      <c r="A10" s="25"/>
      <c r="B10" s="1"/>
      <c r="C10" s="1"/>
      <c r="D10" s="37"/>
      <c r="E10" s="1"/>
      <c r="F10" s="41"/>
      <c r="G10" s="9"/>
      <c r="H10" s="37"/>
      <c r="I10" s="9"/>
      <c r="J10" s="9"/>
    </row>
    <row r="11" spans="1:11">
      <c r="A11" s="25"/>
      <c r="B11" s="1"/>
      <c r="C11" s="1"/>
      <c r="D11" s="37"/>
      <c r="E11" s="1"/>
      <c r="F11" s="41"/>
      <c r="G11" s="9"/>
      <c r="H11" s="37"/>
      <c r="I11" s="9"/>
      <c r="J11" s="9"/>
    </row>
    <row r="12" spans="1:11">
      <c r="A12" s="25"/>
      <c r="B12" s="25"/>
      <c r="C12" s="25"/>
      <c r="E12" s="25"/>
      <c r="F12" s="42"/>
      <c r="H12" s="25"/>
    </row>
    <row r="13" spans="1:11">
      <c r="B13" s="8"/>
      <c r="C13" s="8"/>
      <c r="E13" s="8"/>
      <c r="F13" s="43"/>
    </row>
    <row r="14" spans="1:11">
      <c r="B14" s="8"/>
      <c r="C14" s="8"/>
      <c r="E14" s="8"/>
      <c r="F14" s="44"/>
    </row>
    <row r="15" spans="1:11">
      <c r="B15" s="8"/>
      <c r="C15" s="8"/>
      <c r="E15" s="8"/>
      <c r="F15" s="44"/>
    </row>
    <row r="16" spans="1:11">
      <c r="B16" s="8"/>
      <c r="C16" s="8"/>
      <c r="E16" s="8"/>
      <c r="F16" s="44"/>
    </row>
    <row r="17" spans="2:6">
      <c r="B17" s="8"/>
      <c r="C17" s="8"/>
      <c r="E17" s="8"/>
      <c r="F17" s="44"/>
    </row>
    <row r="18" spans="2:6">
      <c r="B18" s="8"/>
      <c r="C18" s="8"/>
      <c r="E18" s="8"/>
      <c r="F18" s="44"/>
    </row>
    <row r="19" spans="2:6">
      <c r="B19" s="8"/>
      <c r="C19" s="8"/>
      <c r="E19" s="8"/>
      <c r="F19" s="44"/>
    </row>
    <row r="20" spans="2:6">
      <c r="B20" s="8"/>
      <c r="C20" s="8"/>
      <c r="E20" s="8"/>
      <c r="F20" s="44"/>
    </row>
    <row r="21" spans="2:6">
      <c r="B21" s="8"/>
      <c r="C21" s="8"/>
      <c r="E21" s="8"/>
      <c r="F21" s="44"/>
    </row>
    <row r="22" spans="2:6">
      <c r="B22" s="8"/>
      <c r="C22" s="8"/>
      <c r="E22" s="8"/>
      <c r="F22" s="44"/>
    </row>
    <row r="23" spans="2:6">
      <c r="B23" s="8"/>
      <c r="C23" s="8"/>
      <c r="E23" s="8"/>
      <c r="F23" s="44"/>
    </row>
    <row r="24" spans="2:6">
      <c r="B24" s="8"/>
      <c r="C24" s="8"/>
      <c r="E24" s="8"/>
    </row>
    <row r="25" spans="2:6">
      <c r="B25" s="8"/>
      <c r="C25" s="8"/>
      <c r="E25" s="8"/>
    </row>
    <row r="26" spans="2:6">
      <c r="B26" s="8"/>
      <c r="C26" s="8"/>
      <c r="E26" s="8"/>
    </row>
    <row r="27" spans="2:6">
      <c r="B27" s="8"/>
      <c r="C27" s="8"/>
      <c r="E27" s="8"/>
    </row>
  </sheetData>
  <conditionalFormatting sqref="G2:G11">
    <cfRule type="top10" dxfId="7" priority="10" bottom="1" rank="1"/>
  </conditionalFormatting>
  <conditionalFormatting sqref="B2:B11">
    <cfRule type="top10" dxfId="6" priority="7" rank="1"/>
  </conditionalFormatting>
  <conditionalFormatting sqref="C2:C11">
    <cfRule type="top10" dxfId="5" priority="8" rank="1"/>
  </conditionalFormatting>
  <conditionalFormatting sqref="E2:E11">
    <cfRule type="top10" dxfId="4" priority="9" rank="1"/>
  </conditionalFormatting>
  <conditionalFormatting sqref="I2:I11">
    <cfRule type="top10" dxfId="3" priority="11" bottom="1" rank="1"/>
  </conditionalFormatting>
  <conditionalFormatting sqref="J2:J11">
    <cfRule type="top10" dxfId="2" priority="12" bottom="1" rank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E84A-90CC-DA43-AFC7-C13C81E85FE9}">
  <sheetPr codeName="Sheet4"/>
  <dimension ref="A1:X41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10.796875" defaultRowHeight="16.2"/>
  <cols>
    <col min="1" max="4" width="12.5" style="5" customWidth="1"/>
    <col min="5" max="5" width="26" style="6" customWidth="1"/>
    <col min="6" max="6" width="9.19921875" style="1" customWidth="1"/>
    <col min="7" max="7" width="12.5" style="5" customWidth="1"/>
    <col min="8" max="8" width="13.69921875" style="5" bestFit="1" customWidth="1"/>
    <col min="9" max="9" width="10.796875" style="5"/>
    <col min="10" max="10" width="10.5" style="5" customWidth="1"/>
    <col min="11" max="11" width="21.69921875" style="5" bestFit="1" customWidth="1"/>
    <col min="12" max="13" width="16" style="12" customWidth="1"/>
    <col min="14" max="17" width="10.796875" style="5"/>
    <col min="18" max="20" width="11" customWidth="1"/>
    <col min="21" max="16384" width="10.796875" style="1"/>
  </cols>
  <sheetData>
    <row r="1" spans="1:24" s="2" customFormat="1">
      <c r="A1" s="3" t="s">
        <v>1</v>
      </c>
      <c r="B1" s="3" t="s">
        <v>2</v>
      </c>
      <c r="C1" s="3" t="s">
        <v>3</v>
      </c>
      <c r="D1" s="3" t="s">
        <v>4</v>
      </c>
      <c r="E1" s="2" t="s">
        <v>5</v>
      </c>
      <c r="F1" s="3" t="s">
        <v>6</v>
      </c>
      <c r="G1" s="3" t="s">
        <v>49</v>
      </c>
      <c r="H1" s="3" t="s">
        <v>50</v>
      </c>
      <c r="I1" s="3" t="s">
        <v>51</v>
      </c>
      <c r="J1" s="3" t="s">
        <v>8</v>
      </c>
      <c r="K1" s="3" t="s">
        <v>9</v>
      </c>
      <c r="L1" s="11"/>
      <c r="M1" s="11"/>
      <c r="X1" s="3"/>
    </row>
    <row r="2" spans="1:24">
      <c r="B2" s="5" t="b">
        <v>1</v>
      </c>
      <c r="C2" s="5" t="b">
        <v>1</v>
      </c>
      <c r="E2" s="4" t="s">
        <v>52</v>
      </c>
      <c r="F2" s="7" t="b">
        <v>0</v>
      </c>
      <c r="G2" s="5" t="b">
        <v>0</v>
      </c>
      <c r="H2" s="5" t="s">
        <v>53</v>
      </c>
      <c r="I2" s="5" t="b">
        <v>1</v>
      </c>
      <c r="J2" s="5" t="s">
        <v>54</v>
      </c>
      <c r="K2" s="5" t="s">
        <v>54</v>
      </c>
      <c r="N2" s="5" t="b">
        <v>1</v>
      </c>
      <c r="O2" s="5">
        <v>1</v>
      </c>
      <c r="P2" s="5">
        <v>1</v>
      </c>
      <c r="Q2" s="5" t="s">
        <v>55</v>
      </c>
      <c r="X2" s="10"/>
    </row>
    <row r="3" spans="1:24">
      <c r="E3" s="4" t="s">
        <v>56</v>
      </c>
      <c r="F3" s="7" t="b">
        <v>0</v>
      </c>
      <c r="G3" s="5" t="b">
        <v>0</v>
      </c>
      <c r="J3" s="5" t="s">
        <v>54</v>
      </c>
      <c r="K3" s="5" t="s">
        <v>54</v>
      </c>
      <c r="O3" s="5">
        <v>6</v>
      </c>
      <c r="P3" s="5">
        <v>25</v>
      </c>
    </row>
    <row r="4" spans="1:24">
      <c r="E4" s="4" t="s">
        <v>57</v>
      </c>
      <c r="F4" s="7" t="b">
        <v>0</v>
      </c>
      <c r="O4" s="5">
        <v>7</v>
      </c>
      <c r="R4" s="1"/>
      <c r="S4" s="1"/>
      <c r="T4" s="1"/>
    </row>
    <row r="5" spans="1:24">
      <c r="E5" s="4" t="s">
        <v>58</v>
      </c>
      <c r="F5" s="7" t="b">
        <v>0</v>
      </c>
      <c r="G5" s="5" t="b">
        <v>0</v>
      </c>
      <c r="J5" s="5" t="s">
        <v>54</v>
      </c>
      <c r="K5" s="5" t="s">
        <v>54</v>
      </c>
      <c r="Q5" s="5" t="s">
        <v>55</v>
      </c>
      <c r="R5" s="1"/>
      <c r="S5" s="1"/>
      <c r="T5" s="1"/>
    </row>
    <row r="6" spans="1:24">
      <c r="E6" s="4" t="s">
        <v>59</v>
      </c>
      <c r="F6" s="7" t="b">
        <v>0</v>
      </c>
      <c r="O6" s="5">
        <v>10</v>
      </c>
      <c r="R6" s="1"/>
      <c r="S6" s="1"/>
      <c r="T6" s="1"/>
    </row>
    <row r="7" spans="1:24">
      <c r="E7" s="4" t="s">
        <v>60</v>
      </c>
      <c r="F7" s="7" t="b">
        <v>0</v>
      </c>
      <c r="O7" s="5">
        <v>15</v>
      </c>
      <c r="R7" s="1"/>
      <c r="S7" s="1"/>
      <c r="T7" s="1"/>
    </row>
    <row r="8" spans="1:24">
      <c r="E8" s="4" t="s">
        <v>61</v>
      </c>
      <c r="F8" s="7" t="b">
        <v>0</v>
      </c>
      <c r="G8" s="5" t="b">
        <v>0</v>
      </c>
      <c r="J8" s="5" t="s">
        <v>54</v>
      </c>
      <c r="K8" s="5" t="s">
        <v>54</v>
      </c>
      <c r="P8" s="5">
        <v>4</v>
      </c>
      <c r="R8" s="1"/>
      <c r="S8" s="1"/>
      <c r="T8" s="1"/>
    </row>
    <row r="9" spans="1:24" s="18" customFormat="1">
      <c r="A9" s="15" t="b">
        <v>0</v>
      </c>
      <c r="B9" s="15" t="b">
        <v>0</v>
      </c>
      <c r="C9" s="15" t="b">
        <v>1</v>
      </c>
      <c r="D9" s="15"/>
      <c r="E9" s="16" t="s">
        <v>19</v>
      </c>
      <c r="F9" s="15" t="b">
        <v>0</v>
      </c>
      <c r="G9" s="15" t="b">
        <v>1</v>
      </c>
      <c r="H9" s="17" t="s">
        <v>62</v>
      </c>
      <c r="I9" s="15"/>
      <c r="J9" s="15"/>
      <c r="K9" s="15"/>
      <c r="L9" s="17"/>
      <c r="M9" s="17"/>
      <c r="N9" s="15"/>
      <c r="O9" s="15"/>
      <c r="P9" s="15"/>
      <c r="Q9" s="15"/>
    </row>
    <row r="10" spans="1:24">
      <c r="E10" s="4" t="s">
        <v>63</v>
      </c>
      <c r="F10" s="7" t="b">
        <v>0</v>
      </c>
      <c r="P10" s="5">
        <v>5</v>
      </c>
      <c r="R10" s="1"/>
      <c r="S10" s="1"/>
      <c r="T10" s="1"/>
    </row>
    <row r="11" spans="1:24">
      <c r="E11" s="4" t="s">
        <v>64</v>
      </c>
      <c r="F11" s="7" t="b">
        <v>0</v>
      </c>
      <c r="G11" s="5" t="s">
        <v>65</v>
      </c>
      <c r="Q11" s="5" t="s">
        <v>55</v>
      </c>
      <c r="R11" s="1"/>
      <c r="S11" s="1"/>
      <c r="T11" s="1"/>
    </row>
    <row r="12" spans="1:24">
      <c r="B12" s="5" t="b">
        <v>1</v>
      </c>
      <c r="E12" s="4" t="s">
        <v>66</v>
      </c>
      <c r="F12" s="7" t="b">
        <v>0</v>
      </c>
      <c r="G12" s="5" t="b">
        <v>0</v>
      </c>
      <c r="J12" s="5" t="s">
        <v>54</v>
      </c>
      <c r="K12" s="5" t="s">
        <v>54</v>
      </c>
      <c r="P12" s="5">
        <v>16</v>
      </c>
      <c r="R12" s="1"/>
      <c r="S12" s="1"/>
      <c r="T12" s="1"/>
    </row>
    <row r="13" spans="1:24">
      <c r="B13" s="5" t="b">
        <v>1</v>
      </c>
      <c r="E13" s="4" t="s">
        <v>67</v>
      </c>
      <c r="F13" s="7" t="b">
        <v>0</v>
      </c>
      <c r="G13" s="5" t="b">
        <v>0</v>
      </c>
      <c r="J13" s="5" t="s">
        <v>54</v>
      </c>
      <c r="K13" s="5" t="s">
        <v>54</v>
      </c>
      <c r="P13" s="5">
        <v>6</v>
      </c>
      <c r="Q13" s="5" t="s">
        <v>55</v>
      </c>
      <c r="R13" s="1"/>
      <c r="S13" s="1"/>
      <c r="T13" s="1"/>
    </row>
    <row r="14" spans="1:24">
      <c r="E14" s="4" t="s">
        <v>68</v>
      </c>
      <c r="F14" s="7" t="b">
        <v>0</v>
      </c>
      <c r="O14" s="5">
        <v>8</v>
      </c>
      <c r="R14" s="1"/>
      <c r="S14" s="1"/>
      <c r="T14" s="1"/>
    </row>
    <row r="15" spans="1:24">
      <c r="E15" s="4" t="s">
        <v>69</v>
      </c>
      <c r="F15" s="7" t="b">
        <v>0</v>
      </c>
      <c r="Q15" s="5" t="s">
        <v>55</v>
      </c>
      <c r="R15" s="1"/>
      <c r="S15" s="1"/>
      <c r="T15" s="1"/>
    </row>
    <row r="16" spans="1:24">
      <c r="E16" s="4" t="s">
        <v>70</v>
      </c>
      <c r="F16" s="7" t="b">
        <v>0</v>
      </c>
      <c r="G16" s="5" t="b">
        <v>0</v>
      </c>
      <c r="J16" s="5" t="s">
        <v>54</v>
      </c>
      <c r="K16" s="5" t="s">
        <v>54</v>
      </c>
      <c r="O16" s="5">
        <v>3</v>
      </c>
      <c r="P16" s="5">
        <v>3</v>
      </c>
      <c r="R16" s="1"/>
      <c r="S16" s="1"/>
      <c r="T16" s="1"/>
    </row>
    <row r="17" spans="1:20">
      <c r="B17" s="5" t="s">
        <v>71</v>
      </c>
      <c r="E17" s="4" t="s">
        <v>72</v>
      </c>
      <c r="F17" s="7" t="b">
        <v>0</v>
      </c>
      <c r="G17" s="5" t="b">
        <v>0</v>
      </c>
      <c r="J17" s="5" t="s">
        <v>54</v>
      </c>
      <c r="K17" s="5" t="s">
        <v>54</v>
      </c>
      <c r="R17" s="1"/>
      <c r="S17" s="1"/>
      <c r="T17" s="1"/>
    </row>
    <row r="18" spans="1:20">
      <c r="E18" s="4" t="s">
        <v>73</v>
      </c>
      <c r="F18" s="7" t="b">
        <v>0</v>
      </c>
      <c r="R18" s="1"/>
      <c r="S18" s="1"/>
      <c r="T18" s="1"/>
    </row>
    <row r="19" spans="1:20">
      <c r="E19" s="4" t="s">
        <v>74</v>
      </c>
      <c r="F19" s="7" t="b">
        <v>0</v>
      </c>
      <c r="I19" s="5" t="s">
        <v>75</v>
      </c>
      <c r="O19" s="5">
        <v>5</v>
      </c>
      <c r="P19" s="5">
        <v>13</v>
      </c>
      <c r="R19" s="1"/>
      <c r="S19" s="1"/>
      <c r="T19" s="1"/>
    </row>
    <row r="20" spans="1:20">
      <c r="E20" s="4" t="s">
        <v>76</v>
      </c>
      <c r="F20" s="7" t="b">
        <v>0</v>
      </c>
      <c r="G20" s="5" t="b">
        <v>0</v>
      </c>
      <c r="I20" s="5" t="s">
        <v>75</v>
      </c>
      <c r="J20" s="5" t="s">
        <v>54</v>
      </c>
      <c r="K20" s="5" t="s">
        <v>54</v>
      </c>
      <c r="O20" s="5">
        <v>16</v>
      </c>
      <c r="P20" s="5">
        <v>2</v>
      </c>
      <c r="R20" s="1"/>
      <c r="S20" s="1"/>
      <c r="T20" s="1"/>
    </row>
    <row r="21" spans="1:20" s="18" customFormat="1">
      <c r="A21" s="15" t="b">
        <v>0</v>
      </c>
      <c r="B21" s="15" t="b">
        <v>0</v>
      </c>
      <c r="C21" s="15" t="s">
        <v>19</v>
      </c>
      <c r="D21" s="15"/>
      <c r="E21" s="16" t="s">
        <v>77</v>
      </c>
      <c r="F21" s="7" t="b">
        <v>0</v>
      </c>
      <c r="G21" s="15" t="b">
        <v>1</v>
      </c>
      <c r="H21" s="15"/>
      <c r="I21" s="15"/>
      <c r="J21" s="15"/>
      <c r="K21" s="15"/>
      <c r="L21" s="17"/>
      <c r="M21" s="17"/>
      <c r="N21" s="3" t="s">
        <v>3</v>
      </c>
      <c r="O21" s="3" t="s">
        <v>1</v>
      </c>
      <c r="P21" s="3" t="s">
        <v>78</v>
      </c>
      <c r="Q21" s="3" t="s">
        <v>79</v>
      </c>
    </row>
    <row r="22" spans="1:20">
      <c r="E22" s="30" t="s">
        <v>80</v>
      </c>
      <c r="F22" s="7"/>
      <c r="H22" s="12" t="s">
        <v>81</v>
      </c>
    </row>
    <row r="23" spans="1:20">
      <c r="C23" s="1" t="s">
        <v>82</v>
      </c>
      <c r="H23" s="12" t="s">
        <v>83</v>
      </c>
    </row>
    <row r="24" spans="1:20">
      <c r="B24" s="1" t="s">
        <v>84</v>
      </c>
    </row>
    <row r="25" spans="1:20">
      <c r="K25" s="5" t="s">
        <v>85</v>
      </c>
    </row>
    <row r="26" spans="1:20">
      <c r="C26" s="5" t="s">
        <v>86</v>
      </c>
      <c r="D26" s="5" t="s">
        <v>87</v>
      </c>
      <c r="K26" s="19" t="s">
        <v>45</v>
      </c>
    </row>
    <row r="27" spans="1:20">
      <c r="C27" s="5" t="s">
        <v>88</v>
      </c>
      <c r="D27" s="5" t="s">
        <v>19</v>
      </c>
      <c r="K27" s="5" t="s">
        <v>47</v>
      </c>
    </row>
    <row r="31" spans="1:20" s="2" customFormat="1">
      <c r="A31" s="3" t="s">
        <v>1</v>
      </c>
      <c r="B31" s="3" t="s">
        <v>2</v>
      </c>
      <c r="C31" s="3" t="s">
        <v>3</v>
      </c>
      <c r="D31" s="3" t="s">
        <v>4</v>
      </c>
      <c r="E31" s="2" t="s">
        <v>5</v>
      </c>
      <c r="F31" s="3" t="s">
        <v>6</v>
      </c>
      <c r="G31" s="3" t="s">
        <v>7</v>
      </c>
      <c r="H31" s="3" t="s">
        <v>8</v>
      </c>
      <c r="I31" s="3" t="s">
        <v>9</v>
      </c>
      <c r="J31" s="11" t="s">
        <v>10</v>
      </c>
      <c r="K31" s="3" t="s">
        <v>11</v>
      </c>
      <c r="L31" s="3" t="s">
        <v>12</v>
      </c>
      <c r="M31" s="3" t="s">
        <v>13</v>
      </c>
      <c r="N31" s="3" t="s">
        <v>14</v>
      </c>
      <c r="Q31" s="3"/>
    </row>
    <row r="32" spans="1:20">
      <c r="A32" s="5" t="s">
        <v>38</v>
      </c>
      <c r="B32" s="5" t="b">
        <v>0</v>
      </c>
      <c r="C32" s="5" t="s">
        <v>39</v>
      </c>
      <c r="D32" s="5" t="b">
        <v>0</v>
      </c>
      <c r="E32" s="29" t="s">
        <v>40</v>
      </c>
      <c r="F32" s="7" t="b">
        <v>0</v>
      </c>
      <c r="G32" s="27"/>
      <c r="H32" s="5" t="s">
        <v>41</v>
      </c>
      <c r="I32" s="5" t="s">
        <v>42</v>
      </c>
      <c r="J32" s="28" t="s">
        <v>43</v>
      </c>
      <c r="L32" s="5"/>
      <c r="M32" s="5"/>
      <c r="O32" s="1"/>
      <c r="P32" s="1"/>
      <c r="Q32" s="1"/>
      <c r="R32" s="1"/>
      <c r="S32" s="1"/>
      <c r="T32" s="1"/>
    </row>
    <row r="33" spans="3:20" ht="16.8" thickBot="1">
      <c r="F33"/>
      <c r="G33" s="24"/>
      <c r="J33" s="12"/>
      <c r="K33" s="13"/>
      <c r="L33" s="13"/>
      <c r="M33" s="13"/>
      <c r="O33" s="1"/>
      <c r="P33" s="1"/>
      <c r="Q33" s="1"/>
      <c r="R33" s="1"/>
      <c r="S33" s="1"/>
      <c r="T33" s="1"/>
    </row>
    <row r="34" spans="3:20">
      <c r="C34" s="1"/>
      <c r="F34"/>
      <c r="G34" s="24"/>
      <c r="I34" s="20" t="s">
        <v>44</v>
      </c>
      <c r="J34" s="21" t="s">
        <v>45</v>
      </c>
      <c r="K34" s="13"/>
      <c r="L34" s="13"/>
      <c r="M34" s="13"/>
      <c r="O34" s="1"/>
      <c r="P34" s="1"/>
      <c r="Q34" s="1"/>
      <c r="R34" s="1"/>
      <c r="S34" s="1"/>
      <c r="T34" s="1"/>
    </row>
    <row r="35" spans="3:20" ht="16.8" thickBot="1">
      <c r="C35" s="1"/>
      <c r="F35"/>
      <c r="G35" s="24"/>
      <c r="I35" s="22" t="s">
        <v>46</v>
      </c>
      <c r="J35" s="23" t="s">
        <v>47</v>
      </c>
      <c r="K35" s="13"/>
      <c r="L35" s="13"/>
      <c r="M35" s="13"/>
      <c r="O35" s="1"/>
      <c r="P35" s="1"/>
      <c r="Q35" s="1"/>
      <c r="R35" s="1"/>
      <c r="S35" s="1"/>
      <c r="T35" s="1"/>
    </row>
    <row r="36" spans="3:20">
      <c r="E36" s="5"/>
      <c r="F36"/>
      <c r="H36" s="1"/>
      <c r="I36" s="1"/>
      <c r="J36" s="12"/>
      <c r="K36" s="13"/>
      <c r="L36" s="13"/>
      <c r="M36" s="13"/>
      <c r="O36" s="1"/>
      <c r="P36" s="1"/>
      <c r="Q36" s="1"/>
      <c r="R36" s="1"/>
      <c r="S36" s="1"/>
      <c r="T36" s="1"/>
    </row>
    <row r="37" spans="3:20">
      <c r="E37" s="1"/>
      <c r="F37"/>
      <c r="H37" s="1"/>
      <c r="I37" s="1"/>
      <c r="J37" s="12"/>
      <c r="K37" s="13"/>
      <c r="L37" s="13"/>
      <c r="M37" s="13"/>
      <c r="O37" s="1"/>
      <c r="P37" s="1"/>
      <c r="Q37" s="1"/>
      <c r="R37" s="1"/>
      <c r="S37" s="1"/>
      <c r="T37" s="1"/>
    </row>
    <row r="38" spans="3:20">
      <c r="F38"/>
      <c r="G38" s="24"/>
      <c r="I38" s="1"/>
      <c r="J38" s="12"/>
      <c r="K38" s="13"/>
      <c r="L38" s="13"/>
      <c r="M38" s="13"/>
      <c r="O38" s="1"/>
      <c r="P38" s="1"/>
      <c r="Q38" s="1"/>
      <c r="R38" s="1"/>
      <c r="S38" s="1"/>
      <c r="T38" s="1"/>
    </row>
    <row r="39" spans="3:20">
      <c r="F39"/>
      <c r="G39" s="24"/>
      <c r="I39" s="1"/>
      <c r="J39" s="12"/>
      <c r="K39" s="13"/>
      <c r="L39" s="13"/>
      <c r="M39" s="13"/>
      <c r="O39" s="1"/>
      <c r="P39" s="1"/>
      <c r="Q39" s="1"/>
      <c r="R39" s="1"/>
      <c r="S39" s="1"/>
      <c r="T39" s="1"/>
    </row>
    <row r="40" spans="3:20">
      <c r="F40"/>
      <c r="G40" s="24"/>
      <c r="H40" s="1"/>
      <c r="I40" s="1" t="s">
        <v>48</v>
      </c>
      <c r="J40" s="12"/>
      <c r="K40" s="13"/>
      <c r="L40" s="13"/>
      <c r="M40" s="13"/>
      <c r="O40" s="1"/>
      <c r="P40" s="1"/>
      <c r="Q40" s="1"/>
      <c r="R40" s="1"/>
      <c r="S40" s="1"/>
      <c r="T40" s="1"/>
    </row>
    <row r="41" spans="3:20">
      <c r="F41"/>
      <c r="G41" s="24"/>
      <c r="H41" s="1"/>
      <c r="I41" s="1"/>
      <c r="J41" s="12"/>
      <c r="K41" s="13"/>
      <c r="L41" s="13"/>
      <c r="M41" s="13"/>
      <c r="O41" s="1"/>
      <c r="P41" s="1"/>
      <c r="Q41" s="1"/>
      <c r="R41" s="1"/>
      <c r="S41" s="1"/>
      <c r="T41" s="1"/>
    </row>
  </sheetData>
  <sortState xmlns:xlrd2="http://schemas.microsoft.com/office/spreadsheetml/2017/richdata2" ref="E2:F85">
    <sortCondition ref="E2:E85"/>
  </sortState>
  <conditionalFormatting sqref="A31:D41">
    <cfRule type="cellIs" dxfId="1" priority="1" operator="equal">
      <formula>"CONNECTED"</formula>
    </cfRule>
    <cfRule type="cellIs" dxfId="0" priority="2" operator="equal">
      <formula>TRUE</formula>
    </cfRule>
  </conditionalFormatting>
  <hyperlinks>
    <hyperlink ref="K26" r:id="rId1" xr:uid="{4F448459-53E3-EE43-A154-683931CD1E4A}"/>
    <hyperlink ref="J34" r:id="rId2" xr:uid="{528E089E-C7EC-DE41-9223-EAA286FBD70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Spot Info</vt:lpstr>
      <vt:lpstr>Futures Info</vt:lpstr>
      <vt:lpstr>Spot Prices</vt:lpstr>
      <vt:lpstr>Futures Prices</vt:lpstr>
      <vt:lpstr>INACTIVE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Hyland</dc:creator>
  <cp:keywords/>
  <dc:description/>
  <cp:lastModifiedBy>Michael Hyland</cp:lastModifiedBy>
  <cp:revision/>
  <dcterms:created xsi:type="dcterms:W3CDTF">2020-01-07T12:29:49Z</dcterms:created>
  <dcterms:modified xsi:type="dcterms:W3CDTF">2026-04-12T01:04:27Z</dcterms:modified>
  <cp:category/>
  <cp:contentStatus/>
</cp:coreProperties>
</file>