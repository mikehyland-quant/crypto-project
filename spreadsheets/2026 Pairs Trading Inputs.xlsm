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6270DC3D-15A7-4BF6-AB37-2E633DF97B7C}" xr6:coauthVersionLast="47" xr6:coauthVersionMax="47" xr10:uidLastSave="{00000000-0000-0000-0000-000000000000}"/>
  <bookViews>
    <workbookView xWindow="32760" yWindow="2220" windowWidth="21690" windowHeight="13890" tabRatio="762" activeTab="4" xr2:uid="{7864433A-DFC4-4915-B0C9-D347D4BABFCE}"/>
  </bookViews>
  <sheets>
    <sheet name="ADMIN INPUTS" sheetId="15" r:id="rId1"/>
    <sheet name="FI INPUTS" sheetId="16" r:id="rId2"/>
    <sheet name="MKT DATA" sheetId="19" r:id="rId3"/>
    <sheet name="WATCH SCREEN" sheetId="20" r:id="rId4"/>
    <sheet name="TRADING INPUTS" sheetId="21" r:id="rId5"/>
  </sheets>
  <definedNames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21" l="1"/>
  <c r="Q3" i="20"/>
  <c r="P3" i="20"/>
  <c r="O3" i="20"/>
  <c r="N3" i="20"/>
  <c r="P17" i="20"/>
  <c r="Q17" i="20"/>
  <c r="P15" i="20"/>
  <c r="Q15" i="20"/>
  <c r="P13" i="20"/>
  <c r="Q13" i="20"/>
  <c r="P11" i="20"/>
  <c r="Q11" i="20"/>
  <c r="P9" i="20"/>
  <c r="Q9" i="20"/>
  <c r="P7" i="20"/>
  <c r="Q7" i="20"/>
  <c r="P5" i="20"/>
  <c r="Q5" i="20"/>
  <c r="O17" i="20"/>
  <c r="N17" i="20"/>
  <c r="O15" i="20"/>
  <c r="N15" i="20"/>
  <c r="O13" i="20"/>
  <c r="N13" i="20"/>
  <c r="O11" i="20"/>
  <c r="N11" i="20"/>
  <c r="O9" i="20"/>
  <c r="N9" i="20"/>
  <c r="O7" i="20"/>
  <c r="N7" i="20"/>
  <c r="O5" i="20"/>
  <c r="N5" i="20"/>
  <c r="AQ1" i="20"/>
  <c r="AI1" i="20"/>
  <c r="AJ1" i="20"/>
  <c r="AK1" i="20"/>
  <c r="AL1" i="20"/>
  <c r="AM1" i="20"/>
  <c r="AR5" i="20"/>
  <c r="AR7" i="20"/>
  <c r="AR9" i="20"/>
  <c r="AR11" i="20"/>
  <c r="AR13" i="20"/>
  <c r="AR3" i="20"/>
  <c r="AR1" i="20" s="1"/>
  <c r="AN1" i="20"/>
  <c r="G10" i="21"/>
  <c r="G12" i="21"/>
  <c r="G8" i="21"/>
  <c r="G4" i="21"/>
  <c r="G14" i="21"/>
  <c r="G6" i="21"/>
  <c r="G16" i="21"/>
  <c r="I4" i="20" a="1"/>
  <c r="I17" i="20" a="1"/>
  <c r="I18" i="20" a="1"/>
  <c r="I11" i="20" a="1"/>
  <c r="AC17" i="20" s="1"/>
  <c r="I12" i="20" a="1"/>
  <c r="I7" i="20" a="1"/>
  <c r="I8" i="20" a="1"/>
  <c r="I15" i="20" a="1"/>
  <c r="I16" i="20" a="1"/>
  <c r="I5" i="20" a="1"/>
  <c r="I6" i="20" a="1"/>
  <c r="I9" i="20" a="1"/>
  <c r="I10" i="20" a="1"/>
  <c r="I13" i="20" a="1"/>
  <c r="I14" i="20" a="1"/>
  <c r="I3" i="20" a="1"/>
  <c r="B14" i="20"/>
  <c r="A14" i="20"/>
  <c r="B13" i="20"/>
  <c r="A13" i="20"/>
  <c r="A4" i="20"/>
  <c r="B4" i="20"/>
  <c r="A17" i="20"/>
  <c r="B17" i="20"/>
  <c r="A18" i="20"/>
  <c r="B18" i="20"/>
  <c r="A11" i="20"/>
  <c r="B11" i="20"/>
  <c r="A12" i="20"/>
  <c r="B12" i="20"/>
  <c r="A7" i="20"/>
  <c r="B7" i="20"/>
  <c r="A8" i="20"/>
  <c r="B8" i="20"/>
  <c r="A15" i="20"/>
  <c r="B15" i="20"/>
  <c r="A16" i="20"/>
  <c r="B16" i="20"/>
  <c r="A5" i="20"/>
  <c r="B5" i="20"/>
  <c r="A6" i="20"/>
  <c r="B6" i="20"/>
  <c r="A9" i="20"/>
  <c r="B9" i="20"/>
  <c r="A10" i="20"/>
  <c r="B10" i="20"/>
  <c r="B3" i="20"/>
  <c r="A3" i="20"/>
  <c r="A19" i="20"/>
  <c r="T3" i="20" a="1"/>
  <c r="U3" i="20" s="1"/>
  <c r="T4" i="20" a="1"/>
  <c r="U4" i="20" s="1"/>
  <c r="T17" i="20" a="1"/>
  <c r="U17" i="20" s="1"/>
  <c r="T18" i="20" a="1"/>
  <c r="U18" i="20" s="1"/>
  <c r="T11" i="20" a="1"/>
  <c r="U11" i="20" s="1"/>
  <c r="T12" i="20" a="1"/>
  <c r="U12" i="20" s="1"/>
  <c r="T7" i="20" a="1"/>
  <c r="U7" i="20" s="1"/>
  <c r="T8" i="20" a="1"/>
  <c r="U8" i="20" s="1"/>
  <c r="T15" i="20" a="1"/>
  <c r="T16" i="20" a="1"/>
  <c r="U16" i="20" s="1"/>
  <c r="T5" i="20" a="1"/>
  <c r="U5" i="20" s="1"/>
  <c r="T6" i="20" a="1"/>
  <c r="U6" i="20" s="1"/>
  <c r="T9" i="20" a="1"/>
  <c r="U9" i="20" s="1"/>
  <c r="T10" i="20" a="1"/>
  <c r="U10" i="20" s="1"/>
  <c r="F9" i="20" a="1"/>
  <c r="H9" i="20" s="1"/>
  <c r="E9" i="20" a="1"/>
  <c r="G9" i="20" s="1"/>
  <c r="J9" i="20" s="1"/>
  <c r="F10" i="20" a="1"/>
  <c r="H10" i="20" s="1"/>
  <c r="E10" i="20" a="1"/>
  <c r="G10" i="20" s="1"/>
  <c r="J10" i="20" s="1"/>
  <c r="F17" i="20" a="1"/>
  <c r="H17" i="20" s="1"/>
  <c r="E17" i="20" a="1"/>
  <c r="G17" i="20" s="1"/>
  <c r="J17" i="20" s="1"/>
  <c r="F18" i="20" a="1"/>
  <c r="H18" i="20" s="1"/>
  <c r="E18" i="20" a="1"/>
  <c r="G18" i="20" s="1"/>
  <c r="J18" i="20" s="1"/>
  <c r="F3" i="20" a="1"/>
  <c r="H3" i="20" s="1"/>
  <c r="E3" i="20" a="1"/>
  <c r="G3" i="20" s="1"/>
  <c r="J3" i="20" s="1"/>
  <c r="F4" i="20" a="1"/>
  <c r="H4" i="20" s="1"/>
  <c r="E4" i="20" a="1"/>
  <c r="G4" i="20" s="1"/>
  <c r="J4" i="20" s="1"/>
  <c r="F8" i="20" a="1"/>
  <c r="H8" i="20" s="1"/>
  <c r="E8" i="20" a="1"/>
  <c r="G8" i="20" s="1"/>
  <c r="J8" i="20" s="1"/>
  <c r="F7" i="20" a="1"/>
  <c r="H7" i="20" s="1"/>
  <c r="E7" i="20" a="1"/>
  <c r="G7" i="20" s="1"/>
  <c r="J7" i="20" s="1"/>
  <c r="F12" i="20" a="1"/>
  <c r="H12" i="20" s="1"/>
  <c r="E12" i="20" a="1"/>
  <c r="G12" i="20" s="1"/>
  <c r="J12" i="20" s="1"/>
  <c r="F11" i="20" a="1"/>
  <c r="H11" i="20" s="1"/>
  <c r="E11" i="20" a="1"/>
  <c r="G11" i="20" s="1"/>
  <c r="J11" i="20" s="1"/>
  <c r="F15" i="20" a="1"/>
  <c r="H15" i="20" s="1"/>
  <c r="E15" i="20" a="1"/>
  <c r="G15" i="20" s="1"/>
  <c r="J15" i="20" s="1"/>
  <c r="F16" i="20" a="1"/>
  <c r="H16" i="20" s="1"/>
  <c r="E16" i="20" a="1"/>
  <c r="G16" i="20" s="1"/>
  <c r="J16" i="20" s="1"/>
  <c r="E5" i="20" a="1"/>
  <c r="G5" i="20" s="1"/>
  <c r="J5" i="20" s="1"/>
  <c r="F5" i="20" a="1"/>
  <c r="H5" i="20" s="1"/>
  <c r="F6" i="20" a="1"/>
  <c r="H6" i="20" s="1"/>
  <c r="E6" i="20" a="1"/>
  <c r="G6" i="20" s="1"/>
  <c r="J6" i="20" s="1"/>
  <c r="B4" i="15" a="1"/>
  <c r="B2" i="15" a="1"/>
  <c r="T14" i="20" l="1" a="1"/>
  <c r="U14" i="20" s="1"/>
  <c r="F14" i="20" a="1"/>
  <c r="H14" i="20" s="1"/>
  <c r="K14" i="20" s="1"/>
  <c r="E14" i="20" a="1"/>
  <c r="G14" i="20" s="1"/>
  <c r="J14" i="20" s="1"/>
  <c r="T13" i="20" a="1"/>
  <c r="U13" i="20" s="1"/>
  <c r="F13" i="20" a="1"/>
  <c r="H13" i="20" s="1"/>
  <c r="K13" i="20" s="1"/>
  <c r="E13" i="20" a="1"/>
  <c r="G13" i="20" s="1"/>
  <c r="J13" i="20" s="1"/>
  <c r="V9" i="20"/>
  <c r="V5" i="20"/>
  <c r="U15" i="20"/>
  <c r="V15" i="20" s="1"/>
  <c r="V7" i="20"/>
  <c r="V11" i="20"/>
  <c r="V17" i="20"/>
  <c r="V3" i="20"/>
  <c r="K9" i="20"/>
  <c r="L9" i="20" s="1"/>
  <c r="K10" i="20"/>
  <c r="K17" i="20"/>
  <c r="L17" i="20" s="1"/>
  <c r="K18" i="20"/>
  <c r="K3" i="20"/>
  <c r="K4" i="20"/>
  <c r="K8" i="20"/>
  <c r="K7" i="20"/>
  <c r="L7" i="20" s="1"/>
  <c r="K12" i="20"/>
  <c r="K11" i="20"/>
  <c r="L11" i="20" s="1"/>
  <c r="K15" i="20"/>
  <c r="L15" i="20" s="1"/>
  <c r="K16" i="20"/>
  <c r="K5" i="20"/>
  <c r="L5" i="20" s="1"/>
  <c r="K6" i="20"/>
  <c r="R17" i="20" l="1"/>
  <c r="S17" i="20" s="1"/>
  <c r="O18" i="20" s="1"/>
  <c r="R11" i="20"/>
  <c r="S11" i="20" s="1"/>
  <c r="O12" i="20" s="1"/>
  <c r="R15" i="20"/>
  <c r="S15" i="20" s="1"/>
  <c r="O16" i="20" s="1"/>
  <c r="R9" i="20"/>
  <c r="S9" i="20" s="1"/>
  <c r="O10" i="20" s="1"/>
  <c r="R7" i="20"/>
  <c r="S7" i="20" s="1"/>
  <c r="O8" i="20" s="1"/>
  <c r="R5" i="20"/>
  <c r="S5" i="20" s="1"/>
  <c r="O6" i="20" s="1"/>
  <c r="R3" i="20"/>
  <c r="S3" i="20" s="1"/>
  <c r="O4" i="20" s="1"/>
  <c r="L3" i="20"/>
  <c r="M3" i="20" s="1"/>
  <c r="P4" i="20" s="1"/>
  <c r="R13" i="20"/>
  <c r="S13" i="20" s="1"/>
  <c r="O14" i="20" s="1"/>
  <c r="M7" i="20"/>
  <c r="P8" i="20" s="1"/>
  <c r="M9" i="20"/>
  <c r="P10" i="20" s="1"/>
  <c r="M5" i="20"/>
  <c r="P6" i="20" s="1"/>
  <c r="M15" i="20"/>
  <c r="P16" i="20" s="1"/>
  <c r="M11" i="20"/>
  <c r="P12" i="20" s="1"/>
  <c r="M17" i="20"/>
  <c r="P18" i="20" s="1"/>
  <c r="L13" i="20"/>
  <c r="M13" i="20" s="1"/>
  <c r="P14" i="20" s="1"/>
  <c r="V13" i="20"/>
  <c r="Q18" i="20" l="1"/>
  <c r="N18" i="20"/>
  <c r="Q16" i="20"/>
  <c r="N16" i="20"/>
  <c r="Q14" i="20"/>
  <c r="N14" i="20"/>
  <c r="Q12" i="20"/>
  <c r="N12" i="20"/>
  <c r="Q10" i="20"/>
  <c r="N10" i="20"/>
  <c r="Q8" i="20"/>
  <c r="N8" i="20"/>
  <c r="Q6" i="20"/>
  <c r="N6" i="20"/>
  <c r="Q4" i="20"/>
  <c r="N4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<sst xmlns="http://schemas.openxmlformats.org/spreadsheetml/2006/main" count="428" uniqueCount="115">
  <si>
    <t>IBKR</t>
  </si>
  <si>
    <t>my_pf_name</t>
  </si>
  <si>
    <t>my_fi_name</t>
  </si>
  <si>
    <t>VTEB</t>
  </si>
  <si>
    <t>MUB</t>
  </si>
  <si>
    <t>TRUE/FALSE</t>
  </si>
  <si>
    <t>SCHZ</t>
  </si>
  <si>
    <t>SPAB</t>
  </si>
  <si>
    <t>IUSB</t>
  </si>
  <si>
    <t>BND</t>
  </si>
  <si>
    <t>AGG</t>
  </si>
  <si>
    <t>moving_avg_days</t>
  </si>
  <si>
    <t>Keys</t>
  </si>
  <si>
    <t>Values</t>
  </si>
  <si>
    <t>anchor_fi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</si>
  <si>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</si>
  <si>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</si>
  <si>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</si>
  <si>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</si>
  <si>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</si>
  <si>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</si>
  <si>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</si>
  <si>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</si>
  <si>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</si>
  <si>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</si>
  <si>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</si>
  <si>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</si>
  <si>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</si>
  <si>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</si>
  <si>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</si>
  <si>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TLT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</si>
  <si>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</si>
  <si>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</si>
  <si>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</si>
  <si>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</si>
  <si>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</si>
  <si>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</si>
  <si>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</si>
  <si>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</si>
  <si>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</si>
  <si>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</si>
  <si>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</si>
  <si>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</si>
  <si>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</si>
  <si>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</si>
  <si>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</si>
  <si>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</si>
  <si>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</si>
  <si>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</si>
  <si>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</si>
  <si>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</si>
  <si>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</si>
  <si>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</si>
  <si>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</si>
  <si>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EMLC</t>
  </si>
  <si>
    <t>FALN</t>
  </si>
  <si>
    <t>IAGG</t>
  </si>
  <si>
    <t>ICVT</t>
  </si>
  <si>
    <t>IGOV</t>
  </si>
  <si>
    <t>LQD</t>
  </si>
  <si>
    <t>PCY</t>
  </si>
  <si>
    <t>PFF</t>
  </si>
  <si>
    <t>PFFD</t>
  </si>
  <si>
    <t>SCHH</t>
  </si>
  <si>
    <t>USRT</t>
  </si>
  <si>
    <t>VTEC</t>
  </si>
  <si>
    <t>VWOB</t>
  </si>
  <si>
    <t>position</t>
  </si>
  <si>
    <t>symbol</t>
  </si>
  <si>
    <t>scalar</t>
  </si>
  <si>
    <t>bid w/ comm</t>
  </si>
  <si>
    <t>ask w/ comm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</si>
  <si>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</si>
  <si>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</si>
  <si>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</si>
  <si>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</si>
  <si>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</si>
  <si>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</si>
  <si>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</si>
  <si>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</si>
  <si>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</si>
  <si>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</si>
  <si>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</si>
  <si>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whole units</t>
  </si>
  <si>
    <t>net units</t>
  </si>
  <si>
    <t>profit_margin</t>
  </si>
  <si>
    <t>thresholds</t>
  </si>
  <si>
    <t>pair</t>
  </si>
  <si>
    <t>size</t>
  </si>
  <si>
    <t>FIs_sheet</t>
  </si>
  <si>
    <t>FIs_table</t>
  </si>
  <si>
    <t>fi_inputs</t>
  </si>
  <si>
    <t>$B$1</t>
  </si>
  <si>
    <t>trading_inputs_download_cell</t>
  </si>
  <si>
    <t>trading_inputs_upload_cell</t>
  </si>
  <si>
    <t>buy_or_sell</t>
  </si>
  <si>
    <t>add active/passive</t>
  </si>
  <si>
    <t>buy</t>
  </si>
  <si>
    <t>sell</t>
  </si>
  <si>
    <t>python app_statarb_trade.py</t>
  </si>
  <si>
    <t>CWB_ICVT</t>
  </si>
  <si>
    <t>BWX_IGOV</t>
  </si>
  <si>
    <t>VWOB_EMB</t>
  </si>
  <si>
    <t>CMF_VTEC</t>
  </si>
  <si>
    <t>PFFD_PFF</t>
  </si>
  <si>
    <t>SCHH_USRT</t>
  </si>
  <si>
    <t>lift top/hit bottom</t>
  </si>
  <si>
    <t>hit top/lift bottom</t>
  </si>
  <si>
    <t>enter</t>
  </si>
  <si>
    <t>exit</t>
  </si>
  <si>
    <t>net price</t>
  </si>
  <si>
    <t>buy top</t>
  </si>
  <si>
    <t>sell top</t>
  </si>
  <si>
    <t>cd git-projects\trading\stat_arb</t>
  </si>
  <si>
    <t>2026-08-24_11-38-20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</si>
</sst>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&quot;$&quot;* #,##0.0000_);_(&quot;$&quot;* \(#,##0.0000\);_(&quot;$&quot;* &quot;-&quot;??_);_(@_)"/>
    <numFmt numFmtId="166" formatCode="_(* #,##0_);_(* \(#,##0\);_(* &quot;-&quot;??_);_(@_)"/>
    <numFmt numFmtId="167" formatCode="_(&quot;$&quot;* #,##0.000_);_(&quot;$&quot;* \(#,##0.000\);_(&quot;$&quot;* &quot;-&quot;??_);_(@_)"/>
    <numFmt numFmtId="168" formatCode="0.000%"/>
    <numFmt numFmtId="169" formatCode="&quot;$&quot;#,##0.000"/>
    <numFmt numFmtId="170" formatCode="0.0000"/>
  </numFmts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u/>
      <sz val="11"/>
      <color theme="8"/>
      <name val="Aptos Narrow"/>
      <family val="2"/>
      <scheme val="minor"/>
    </font>
    <font>
      <b/>
      <sz val="11"/>
      <color theme="8"/>
      <name val="Aptos Narrow"/>
      <family val="2"/>
      <scheme val="minor"/>
    </font>
    <font>
      <sz val="12"/>
      <color theme="1"/>
      <name val="Arial"/>
      <family val="2"/>
    </font>
    <font>
      <sz val="11"/>
      <color rgb="FFBBBEBF"/>
      <name val="Consolas"/>
      <family val="3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11"/>
      <name val="Consolas"/>
      <family val="3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4" fillId="0" borderId="0" xfId="0" applyFont="1"/>
    <xf numFmtId="164" fontId="0" fillId="0" borderId="0" xfId="3" applyNumberFormat="1" applyFont="1"/>
    <xf numFmtId="0" fontId="4" fillId="0" borderId="0" xfId="0" applyFont="1" applyAlignment="1">
      <alignment horizontal="left"/>
    </xf>
    <xf numFmtId="0" fontId="4" fillId="2" borderId="0" xfId="0" applyFont="1" applyFill="1" applyAlignment="1">
      <alignment horizontal="right"/>
    </xf>
    <xf numFmtId="0" fontId="0" fillId="2" borderId="0" xfId="0" applyFill="1"/>
    <xf numFmtId="166" fontId="0" fillId="0" borderId="0" xfId="3" applyNumberFormat="1" applyFont="1"/>
    <xf numFmtId="0" fontId="4" fillId="0" borderId="0" xfId="1" applyNumberFormat="1" applyFont="1" applyAlignment="1">
      <alignment horizontal="right"/>
    </xf>
    <xf numFmtId="0" fontId="5" fillId="0" borderId="0" xfId="3" applyNumberFormat="1" applyFont="1" applyAlignment="1">
      <alignment horizontal="right"/>
    </xf>
    <xf numFmtId="166" fontId="3" fillId="0" borderId="0" xfId="3" applyNumberFormat="1" applyFont="1"/>
    <xf numFmtId="7" fontId="3" fillId="0" borderId="0" xfId="0" applyNumberFormat="1" applyFont="1"/>
    <xf numFmtId="0" fontId="3" fillId="0" borderId="0" xfId="0" applyFont="1"/>
    <xf numFmtId="43" fontId="3" fillId="0" borderId="0" xfId="0" applyNumberFormat="1" applyFont="1"/>
    <xf numFmtId="167" fontId="0" fillId="0" borderId="0" xfId="1" applyNumberFormat="1" applyFont="1"/>
    <xf numFmtId="0" fontId="6" fillId="0" borderId="0" xfId="0" applyFont="1"/>
    <xf numFmtId="0" fontId="7" fillId="0" borderId="0" xfId="0" applyFont="1"/>
    <xf numFmtId="0" fontId="10" fillId="0" borderId="0" xfId="0" applyFont="1"/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4" fontId="8" fillId="0" borderId="0" xfId="1" applyFont="1" applyAlignment="1">
      <alignment horizontal="center"/>
    </xf>
    <xf numFmtId="167" fontId="8" fillId="0" borderId="0" xfId="1" applyNumberFormat="1" applyFont="1" applyAlignment="1">
      <alignment horizontal="center"/>
    </xf>
    <xf numFmtId="0" fontId="7" fillId="0" borderId="0" xfId="0" applyFont="1" applyAlignment="1">
      <alignment horizontal="center"/>
    </xf>
    <xf numFmtId="167" fontId="9" fillId="0" borderId="0" xfId="1" applyNumberFormat="1" applyFont="1" applyAlignment="1">
      <alignment horizontal="center"/>
    </xf>
    <xf numFmtId="167" fontId="10" fillId="0" borderId="0" xfId="1" applyNumberFormat="1" applyFont="1"/>
    <xf numFmtId="0" fontId="13" fillId="2" borderId="0" xfId="3" applyNumberFormat="1" applyFont="1" applyFill="1" applyAlignment="1">
      <alignment horizontal="center"/>
    </xf>
    <xf numFmtId="43" fontId="14" fillId="2" borderId="0" xfId="3" applyFont="1" applyFill="1" applyAlignment="1">
      <alignment horizontal="center"/>
    </xf>
    <xf numFmtId="7" fontId="0" fillId="0" borderId="0" xfId="0" applyNumberFormat="1"/>
    <xf numFmtId="0" fontId="10" fillId="0" borderId="1" xfId="0" applyFont="1" applyBorder="1"/>
    <xf numFmtId="0" fontId="10" fillId="0" borderId="2" xfId="0" applyFont="1" applyBorder="1"/>
    <xf numFmtId="0" fontId="6" fillId="0" borderId="2" xfId="0" applyFont="1" applyBorder="1"/>
    <xf numFmtId="167" fontId="10" fillId="0" borderId="2" xfId="1" applyNumberFormat="1" applyFont="1" applyBorder="1"/>
    <xf numFmtId="167" fontId="0" fillId="0" borderId="2" xfId="1" applyNumberFormat="1" applyFont="1" applyBorder="1"/>
    <xf numFmtId="0" fontId="10" fillId="0" borderId="4" xfId="0" applyFont="1" applyBorder="1"/>
    <xf numFmtId="0" fontId="10" fillId="0" borderId="5" xfId="0" applyFont="1" applyBorder="1"/>
    <xf numFmtId="0" fontId="6" fillId="0" borderId="5" xfId="0" applyFont="1" applyBorder="1"/>
    <xf numFmtId="167" fontId="10" fillId="0" borderId="5" xfId="1" applyNumberFormat="1" applyFont="1" applyBorder="1"/>
    <xf numFmtId="167" fontId="0" fillId="0" borderId="5" xfId="1" applyNumberFormat="1" applyFont="1" applyBorder="1"/>
    <xf numFmtId="0" fontId="4" fillId="2" borderId="0" xfId="1" applyNumberFormat="1" applyFont="1" applyFill="1" applyAlignment="1">
      <alignment horizontal="right"/>
    </xf>
    <xf numFmtId="165" fontId="0" fillId="2" borderId="0" xfId="1" applyNumberFormat="1" applyFont="1" applyFill="1"/>
    <xf numFmtId="43" fontId="4" fillId="2" borderId="0" xfId="3" applyFont="1" applyFill="1" applyAlignment="1">
      <alignment horizontal="right"/>
    </xf>
    <xf numFmtId="43" fontId="0" fillId="2" borderId="0" xfId="3" applyFont="1" applyFill="1"/>
    <xf numFmtId="22" fontId="0" fillId="0" borderId="0" xfId="0" applyNumberFormat="1" applyAlignment="1">
      <alignment horizontal="center"/>
    </xf>
    <xf numFmtId="0" fontId="15" fillId="3" borderId="7" xfId="0" applyFont="1" applyFill="1" applyBorder="1"/>
    <xf numFmtId="0" fontId="15" fillId="3" borderId="8" xfId="0" applyFont="1" applyFill="1" applyBorder="1"/>
    <xf numFmtId="0" fontId="16" fillId="0" borderId="0" xfId="0" applyFont="1"/>
    <xf numFmtId="166" fontId="19" fillId="0" borderId="2" xfId="3" applyNumberFormat="1" applyFont="1" applyBorder="1"/>
    <xf numFmtId="43" fontId="19" fillId="0" borderId="3" xfId="3" applyFont="1" applyBorder="1" applyAlignment="1">
      <alignment vertical="center"/>
    </xf>
    <xf numFmtId="166" fontId="19" fillId="0" borderId="5" xfId="3" applyNumberFormat="1" applyFont="1" applyBorder="1"/>
    <xf numFmtId="43" fontId="19" fillId="0" borderId="6" xfId="3" applyFont="1" applyBorder="1" applyAlignment="1">
      <alignment vertical="center"/>
    </xf>
    <xf numFmtId="166" fontId="19" fillId="0" borderId="0" xfId="3" applyNumberFormat="1" applyFont="1"/>
    <xf numFmtId="0" fontId="19" fillId="0" borderId="0" xfId="0" applyFont="1"/>
    <xf numFmtId="164" fontId="6" fillId="0" borderId="0" xfId="3" applyNumberFormat="1" applyFont="1"/>
    <xf numFmtId="164" fontId="0" fillId="0" borderId="0" xfId="0" applyNumberFormat="1"/>
    <xf numFmtId="43" fontId="0" fillId="0" borderId="0" xfId="3" applyFont="1"/>
    <xf numFmtId="0" fontId="20" fillId="0" borderId="0" xfId="0" applyFont="1"/>
    <xf numFmtId="0" fontId="21" fillId="0" borderId="0" xfId="0" applyFont="1"/>
    <xf numFmtId="1" fontId="7" fillId="0" borderId="0" xfId="0" applyNumberFormat="1" applyFont="1"/>
    <xf numFmtId="1" fontId="8" fillId="0" borderId="0" xfId="0" applyNumberFormat="1" applyFont="1" applyAlignment="1">
      <alignment horizontal="center"/>
    </xf>
    <xf numFmtId="1" fontId="0" fillId="0" borderId="0" xfId="0" applyNumberFormat="1"/>
    <xf numFmtId="1" fontId="0" fillId="0" borderId="0" xfId="3" applyNumberFormat="1" applyFont="1"/>
    <xf numFmtId="9" fontId="7" fillId="0" borderId="0" xfId="2" applyFont="1"/>
    <xf numFmtId="9" fontId="0" fillId="0" borderId="0" xfId="2" applyFont="1"/>
    <xf numFmtId="10" fontId="7" fillId="0" borderId="0" xfId="2" applyNumberFormat="1" applyFont="1"/>
    <xf numFmtId="10" fontId="8" fillId="0" borderId="0" xfId="2" applyNumberFormat="1" applyFont="1" applyAlignment="1">
      <alignment horizontal="center"/>
    </xf>
    <xf numFmtId="10" fontId="0" fillId="0" borderId="0" xfId="2" applyNumberFormat="1" applyFont="1"/>
    <xf numFmtId="44" fontId="7" fillId="0" borderId="0" xfId="1" applyFont="1"/>
    <xf numFmtId="43" fontId="7" fillId="0" borderId="0" xfId="3" applyFont="1"/>
    <xf numFmtId="43" fontId="8" fillId="0" borderId="0" xfId="3" applyFont="1" applyAlignment="1">
      <alignment horizontal="center"/>
    </xf>
    <xf numFmtId="166" fontId="7" fillId="0" borderId="0" xfId="3" applyNumberFormat="1" applyFont="1"/>
    <xf numFmtId="166" fontId="8" fillId="0" borderId="0" xfId="3" applyNumberFormat="1" applyFont="1" applyAlignment="1">
      <alignment horizontal="center"/>
    </xf>
    <xf numFmtId="44" fontId="0" fillId="0" borderId="0" xfId="0" applyNumberFormat="1"/>
    <xf numFmtId="166" fontId="22" fillId="0" borderId="0" xfId="3" applyNumberFormat="1" applyFont="1" applyAlignment="1">
      <alignment horizontal="center"/>
    </xf>
    <xf numFmtId="166" fontId="23" fillId="0" borderId="0" xfId="3" applyNumberFormat="1" applyFont="1" applyAlignment="1">
      <alignment horizontal="center"/>
    </xf>
    <xf numFmtId="0" fontId="23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0" fontId="0" fillId="0" borderId="0" xfId="2" applyNumberFormat="1" applyFont="1" applyFill="1"/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10" fillId="0" borderId="3" xfId="0" applyFont="1" applyBorder="1"/>
    <xf numFmtId="0" fontId="10" fillId="0" borderId="6" xfId="0" applyFont="1" applyBorder="1"/>
    <xf numFmtId="44" fontId="8" fillId="0" borderId="9" xfId="1" applyFont="1" applyBorder="1" applyAlignment="1">
      <alignment horizontal="center"/>
    </xf>
    <xf numFmtId="44" fontId="8" fillId="0" borderId="10" xfId="1" applyFont="1" applyBorder="1" applyAlignment="1">
      <alignment horizontal="center"/>
    </xf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6" xfId="1" applyFont="1" applyBorder="1"/>
    <xf numFmtId="164" fontId="7" fillId="0" borderId="7" xfId="3" applyNumberFormat="1" applyFont="1" applyBorder="1"/>
    <xf numFmtId="164" fontId="8" fillId="0" borderId="11" xfId="3" applyNumberFormat="1" applyFont="1" applyBorder="1" applyAlignment="1">
      <alignment horizontal="center"/>
    </xf>
    <xf numFmtId="164" fontId="6" fillId="0" borderId="7" xfId="3" applyNumberFormat="1" applyFont="1" applyBorder="1"/>
    <xf numFmtId="164" fontId="6" fillId="0" borderId="8" xfId="3" applyNumberFormat="1" applyFont="1" applyBorder="1"/>
    <xf numFmtId="167" fontId="7" fillId="0" borderId="2" xfId="1" applyNumberFormat="1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8" fillId="0" borderId="9" xfId="3" applyNumberFormat="1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10" xfId="0" applyFont="1" applyBorder="1" applyAlignment="1">
      <alignment horizontal="center"/>
    </xf>
    <xf numFmtId="166" fontId="19" fillId="0" borderId="1" xfId="3" applyNumberFormat="1" applyFont="1" applyBorder="1"/>
    <xf numFmtId="166" fontId="19" fillId="0" borderId="4" xfId="3" applyNumberFormat="1" applyFont="1" applyBorder="1"/>
    <xf numFmtId="170" fontId="0" fillId="0" borderId="0" xfId="0" applyNumberFormat="1"/>
    <xf numFmtId="167" fontId="8" fillId="0" borderId="0" xfId="1" applyNumberFormat="1" applyFont="1" applyFill="1" applyBorder="1" applyAlignment="1">
      <alignment horizontal="center"/>
    </xf>
    <xf numFmtId="10" fontId="24" fillId="0" borderId="2" xfId="0" applyNumberFormat="1" applyFont="1" applyBorder="1"/>
    <xf numFmtId="10" fontId="24" fillId="0" borderId="5" xfId="0" applyNumberFormat="1" applyFont="1" applyBorder="1"/>
    <xf numFmtId="0" fontId="8" fillId="0" borderId="10" xfId="0" applyFont="1" applyBorder="1" applyAlignment="1">
      <alignment horizontal="center"/>
    </xf>
    <xf numFmtId="167" fontId="7" fillId="0" borderId="0" xfId="1" applyNumberFormat="1" applyFont="1" applyAlignment="1">
      <alignment horizontal="center"/>
    </xf>
    <xf numFmtId="169" fontId="11" fillId="0" borderId="0" xfId="1" applyNumberFormat="1" applyFont="1" applyAlignment="1">
      <alignment horizontal="center"/>
    </xf>
    <xf numFmtId="168" fontId="0" fillId="0" borderId="3" xfId="2" applyNumberFormat="1" applyFont="1" applyFill="1" applyBorder="1" applyAlignment="1">
      <alignment vertical="center"/>
    </xf>
    <xf numFmtId="168" fontId="0" fillId="0" borderId="6" xfId="2" applyNumberFormat="1" applyFont="1" applyFill="1" applyBorder="1" applyAlignment="1">
      <alignment vertical="center"/>
    </xf>
    <xf numFmtId="167" fontId="0" fillId="0" borderId="1" xfId="0" applyNumberFormat="1" applyBorder="1" applyAlignment="1">
      <alignment vertical="center"/>
    </xf>
    <xf numFmtId="0" fontId="0" fillId="0" borderId="4" xfId="0" applyBorder="1" applyAlignment="1">
      <alignment vertical="center"/>
    </xf>
    <xf numFmtId="0" fontId="12" fillId="0" borderId="2" xfId="0" applyFont="1" applyBorder="1" applyAlignment="1">
      <alignment horizontal="center"/>
    </xf>
    <xf numFmtId="43" fontId="19" fillId="0" borderId="3" xfId="0" applyNumberFormat="1" applyFont="1" applyBorder="1" applyAlignment="1">
      <alignment horizontal="center" vertical="center"/>
    </xf>
    <xf numFmtId="43" fontId="19" fillId="0" borderId="6" xfId="0" applyNumberFormat="1" applyFont="1" applyBorder="1" applyAlignment="1">
      <alignment horizontal="center" vertical="center"/>
    </xf>
    <xf numFmtId="168" fontId="0" fillId="0" borderId="2" xfId="2" applyNumberFormat="1" applyFont="1" applyFill="1" applyBorder="1" applyAlignment="1">
      <alignment vertical="center"/>
    </xf>
    <xf numFmtId="168" fontId="0" fillId="0" borderId="5" xfId="2" applyNumberFormat="1" applyFont="1" applyFill="1" applyBorder="1" applyAlignment="1">
      <alignment vertical="center"/>
    </xf>
    <xf numFmtId="43" fontId="19" fillId="0" borderId="3" xfId="0" applyNumberFormat="1" applyFont="1" applyBorder="1" applyAlignment="1">
      <alignment vertical="center"/>
    </xf>
    <xf numFmtId="43" fontId="19" fillId="0" borderId="6" xfId="0" applyNumberFormat="1" applyFont="1" applyBorder="1" applyAlignment="1">
      <alignment vertical="center"/>
    </xf>
    <xf numFmtId="166" fontId="17" fillId="0" borderId="1" xfId="3" applyNumberFormat="1" applyFont="1" applyBorder="1" applyAlignment="1">
      <alignment horizontal="center"/>
    </xf>
    <xf numFmtId="166" fontId="17" fillId="0" borderId="2" xfId="3" applyNumberFormat="1" applyFont="1" applyBorder="1" applyAlignment="1">
      <alignment horizontal="center"/>
    </xf>
    <xf numFmtId="166" fontId="17" fillId="0" borderId="3" xfId="3" applyNumberFormat="1" applyFont="1" applyBorder="1" applyAlignment="1">
      <alignment horizontal="center"/>
    </xf>
    <xf numFmtId="43" fontId="19" fillId="0" borderId="3" xfId="3" applyFont="1" applyBorder="1" applyAlignment="1">
      <alignment vertical="center"/>
    </xf>
    <xf numFmtId="43" fontId="19" fillId="0" borderId="6" xfId="3" applyFont="1" applyBorder="1" applyAlignment="1">
      <alignment vertic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44" fontId="7" fillId="0" borderId="1" xfId="1" applyFont="1" applyBorder="1" applyAlignment="1">
      <alignment horizontal="center"/>
    </xf>
    <xf numFmtId="44" fontId="7" fillId="0" borderId="3" xfId="1" applyFont="1" applyBorder="1" applyAlignment="1">
      <alignment horizontal="center"/>
    </xf>
    <xf numFmtId="166" fontId="22" fillId="0" borderId="0" xfId="3" applyNumberFormat="1" applyFont="1" applyAlignment="1">
      <alignment horizontal="center"/>
    </xf>
    <xf numFmtId="167" fontId="7" fillId="0" borderId="1" xfId="1" applyNumberFormat="1" applyFont="1" applyBorder="1" applyAlignment="1">
      <alignment horizontal="center"/>
    </xf>
    <xf numFmtId="167" fontId="7" fillId="0" borderId="3" xfId="1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20">
    <dxf>
      <font>
        <color rgb="FF006100"/>
      </font>
      <fill>
        <patternFill>
          <bgColor rgb="FFC6EFCE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180975</xdr:rowOff>
    </xdr:from>
    <xdr:to>
      <xdr:col>3</xdr:col>
      <xdr:colOff>1114425</xdr:colOff>
      <xdr:row>4</xdr:row>
      <xdr:rowOff>104775</xdr:rowOff>
    </xdr:to>
    <xdr:sp macro="[0]!UpdateMultipliersPairs" textlink="">
      <xdr:nvSpPr>
        <xdr:cNvPr id="2" name="Rectangle 1">
          <a:extLst>
            <a:ext uri="{FF2B5EF4-FFF2-40B4-BE49-F238E27FC236}">
              <a16:creationId xmlns:a16="http://schemas.microsoft.com/office/drawing/2014/main" id="{B642BDAF-5C36-46F7-9D84-080BF28D4B8A}"/>
            </a:ext>
          </a:extLst>
        </xdr:cNvPr>
        <xdr:cNvSpPr/>
      </xdr:nvSpPr>
      <xdr:spPr>
        <a:xfrm>
          <a:off x="3895725" y="18097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6" totalsRowShown="0">
  <autoFilter ref="A1:B6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fi_inputs" displayName="fi_inputs" ref="A1:D17" totalsRowShown="0">
  <autoFilter ref="A1:D17" xr:uid="{41E0AE69-AE86-439F-8B86-A6C16D189F1B}"/>
  <sortState xmlns:xlrd2="http://schemas.microsoft.com/office/spreadsheetml/2017/richdata2" ref="A2:D28">
    <sortCondition ref="C1:C28"/>
  </sortState>
  <tableColumns count="4">
    <tableColumn id="1" xr3:uid="{4425B6E4-20BC-47CF-A149-57992AA900B4}" name="my_fi_name"/>
    <tableColumn id="2" xr3:uid="{37DFEB1C-D09E-4AD1-B1A8-D6941BD84D2E}" name="my_pf_name"/>
    <tableColumn id="5" xr3:uid="{1C677B6D-D63E-4271-8F12-49B31EA5C0F2}" name="anchor_fi"/>
    <tableColumn id="3" xr3:uid="{B174390F-1C67-417C-A283-D8C2F19DC00A}" name="moving_avg_day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6"/>
  <sheetViews>
    <sheetView workbookViewId="0">
      <selection activeCell="D14" sqref="D14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12</v>
      </c>
      <c r="B1" t="s">
        <v>13</v>
      </c>
    </row>
    <row r="2" spans="1:4" x14ac:dyDescent="0.25">
      <c r="A2" t="s">
        <v>89</v>
      </c>
      <c r="B2" t="str" cm="1">
        <f t="array" aca="1" ref="B2" ca="1">_xlfn.TEXTAFTER(CELL("filename",'FI INPUTS'!A1),"]")</f>
        <v>FI INPUTS</v>
      </c>
    </row>
    <row r="3" spans="1:4" x14ac:dyDescent="0.25">
      <c r="A3" t="s">
        <v>90</v>
      </c>
      <c r="B3" t="s">
        <v>91</v>
      </c>
    </row>
    <row r="4" spans="1:4" x14ac:dyDescent="0.25">
      <c r="A4" t="s">
        <v>38</v>
      </c>
      <c r="B4" t="str" cm="1">
        <f t="array" aca="1" ref="B4" ca="1">_xlfn.TEXTAFTER(CELL("filename",'TRADING INPUTS'!B1),"]")</f>
        <v>TRADING INPUTS</v>
      </c>
    </row>
    <row r="5" spans="1:4" x14ac:dyDescent="0.25">
      <c r="A5" t="s">
        <v>93</v>
      </c>
      <c r="B5" t="s">
        <v>92</v>
      </c>
    </row>
    <row r="6" spans="1:4" x14ac:dyDescent="0.25">
      <c r="A6" t="s">
        <v>94</v>
      </c>
      <c r="B6" t="s">
        <v>39</v>
      </c>
      <c r="D6" s="43">
        <v>46258.455069444448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D17"/>
  <sheetViews>
    <sheetView workbookViewId="0">
      <selection activeCell="A2" sqref="A2:D17"/>
    </sheetView>
  </sheetViews>
  <sheetFormatPr defaultRowHeight="15" x14ac:dyDescent="0.25"/>
  <cols>
    <col min="1" max="1" width="14" bestFit="1" customWidth="1"/>
    <col min="2" max="2" width="14.5703125" bestFit="1" customWidth="1"/>
    <col min="3" max="3" width="11.5703125" bestFit="1" customWidth="1"/>
    <col min="4" max="4" width="18.85546875" bestFit="1" customWidth="1"/>
    <col min="5" max="5" width="16.42578125" bestFit="1" customWidth="1"/>
  </cols>
  <sheetData>
    <row r="1" spans="1:4" x14ac:dyDescent="0.25">
      <c r="A1" t="s">
        <v>2</v>
      </c>
      <c r="B1" t="s">
        <v>1</v>
      </c>
      <c r="C1" t="s">
        <v>14</v>
      </c>
      <c r="D1" t="s">
        <v>11</v>
      </c>
    </row>
    <row r="2" spans="1:4" x14ac:dyDescent="0.25">
      <c r="A2" t="s">
        <v>52</v>
      </c>
      <c r="B2" t="s">
        <v>0</v>
      </c>
      <c r="C2" t="s">
        <v>57</v>
      </c>
      <c r="D2">
        <v>20</v>
      </c>
    </row>
    <row r="3" spans="1:4" x14ac:dyDescent="0.25">
      <c r="A3" t="s">
        <v>57</v>
      </c>
      <c r="B3" t="s">
        <v>0</v>
      </c>
      <c r="C3" t="s">
        <v>57</v>
      </c>
      <c r="D3">
        <v>20</v>
      </c>
    </row>
    <row r="4" spans="1:4" x14ac:dyDescent="0.25">
      <c r="A4" t="s">
        <v>55</v>
      </c>
      <c r="B4" t="s">
        <v>0</v>
      </c>
      <c r="C4" t="s">
        <v>48</v>
      </c>
      <c r="D4">
        <v>20</v>
      </c>
    </row>
    <row r="5" spans="1:4" x14ac:dyDescent="0.25">
      <c r="A5" t="s">
        <v>48</v>
      </c>
      <c r="B5" t="s">
        <v>0</v>
      </c>
      <c r="C5" t="s">
        <v>48</v>
      </c>
      <c r="D5">
        <v>20</v>
      </c>
    </row>
    <row r="6" spans="1:4" x14ac:dyDescent="0.25">
      <c r="A6" t="s">
        <v>62</v>
      </c>
      <c r="B6" t="s">
        <v>0</v>
      </c>
      <c r="C6" t="s">
        <v>61</v>
      </c>
      <c r="D6">
        <v>20</v>
      </c>
    </row>
    <row r="7" spans="1:4" x14ac:dyDescent="0.25">
      <c r="A7" t="s">
        <v>61</v>
      </c>
      <c r="B7" t="s">
        <v>0</v>
      </c>
      <c r="C7" t="s">
        <v>61</v>
      </c>
      <c r="D7">
        <v>20</v>
      </c>
    </row>
    <row r="8" spans="1:4" x14ac:dyDescent="0.25">
      <c r="A8" t="s">
        <v>66</v>
      </c>
      <c r="B8" t="s">
        <v>0</v>
      </c>
      <c r="C8" t="s">
        <v>53</v>
      </c>
      <c r="D8">
        <v>20</v>
      </c>
    </row>
    <row r="9" spans="1:4" x14ac:dyDescent="0.25">
      <c r="A9" t="s">
        <v>53</v>
      </c>
      <c r="B9" t="s">
        <v>0</v>
      </c>
      <c r="C9" t="s">
        <v>53</v>
      </c>
      <c r="D9">
        <v>20</v>
      </c>
    </row>
    <row r="10" spans="1:4" x14ac:dyDescent="0.25">
      <c r="A10" t="s">
        <v>49</v>
      </c>
      <c r="B10" t="s">
        <v>0</v>
      </c>
      <c r="C10" t="s">
        <v>56</v>
      </c>
      <c r="D10">
        <v>20</v>
      </c>
    </row>
    <row r="11" spans="1:4" x14ac:dyDescent="0.25">
      <c r="A11" t="s">
        <v>56</v>
      </c>
      <c r="B11" t="s">
        <v>0</v>
      </c>
      <c r="C11" t="s">
        <v>56</v>
      </c>
      <c r="D11">
        <v>20</v>
      </c>
    </row>
    <row r="12" spans="1:4" x14ac:dyDescent="0.25">
      <c r="A12" t="s">
        <v>50</v>
      </c>
      <c r="B12" t="s">
        <v>0</v>
      </c>
      <c r="C12" t="s">
        <v>58</v>
      </c>
      <c r="D12">
        <v>20</v>
      </c>
    </row>
    <row r="13" spans="1:4" x14ac:dyDescent="0.25">
      <c r="A13" t="s">
        <v>58</v>
      </c>
      <c r="B13" t="s">
        <v>0</v>
      </c>
      <c r="C13" t="s">
        <v>58</v>
      </c>
      <c r="D13">
        <v>20</v>
      </c>
    </row>
    <row r="14" spans="1:4" x14ac:dyDescent="0.25">
      <c r="A14" t="s">
        <v>51</v>
      </c>
      <c r="B14" t="s">
        <v>0</v>
      </c>
      <c r="C14" t="s">
        <v>65</v>
      </c>
      <c r="D14">
        <v>20</v>
      </c>
    </row>
    <row r="15" spans="1:4" x14ac:dyDescent="0.25">
      <c r="A15" t="s">
        <v>65</v>
      </c>
      <c r="B15" t="s">
        <v>0</v>
      </c>
      <c r="C15" t="s">
        <v>65</v>
      </c>
      <c r="D15">
        <v>20</v>
      </c>
    </row>
    <row r="16" spans="1:4" x14ac:dyDescent="0.25">
      <c r="A16" t="s">
        <v>63</v>
      </c>
      <c r="B16" t="s">
        <v>0</v>
      </c>
      <c r="C16" t="s">
        <v>64</v>
      </c>
      <c r="D16">
        <v>20</v>
      </c>
    </row>
    <row r="17" spans="1:4" x14ac:dyDescent="0.25">
      <c r="A17" t="s">
        <v>64</v>
      </c>
      <c r="B17" t="s">
        <v>0</v>
      </c>
      <c r="C17" t="s">
        <v>64</v>
      </c>
      <c r="D17">
        <v>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J48"/>
  <sheetViews>
    <sheetView workbookViewId="0">
      <selection activeCell="L9" sqref="L9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8" bestFit="1" customWidth="1"/>
    <col min="5" max="5" width="16" style="2" bestFit="1" customWidth="1"/>
    <col min="6" max="6" width="16.28515625" style="2" bestFit="1" customWidth="1"/>
    <col min="7" max="7" width="15.28515625" style="8" bestFit="1" customWidth="1"/>
    <col min="8" max="8" width="19" style="2" bestFit="1" customWidth="1"/>
    <col min="9" max="9" width="10.28515625" style="8" bestFit="1" customWidth="1"/>
    <col min="10" max="10" width="19" bestFit="1" customWidth="1"/>
    <col min="11" max="11" width="11.42578125" bestFit="1" customWidth="1"/>
  </cols>
  <sheetData>
    <row r="1" spans="1:10" x14ac:dyDescent="0.25">
      <c r="A1" t="s">
        <v>40</v>
      </c>
      <c r="B1" t="s">
        <v>2</v>
      </c>
      <c r="C1" t="s">
        <v>1</v>
      </c>
      <c r="D1" s="8" t="s">
        <v>41</v>
      </c>
      <c r="E1" s="2" t="s">
        <v>42</v>
      </c>
      <c r="F1" s="2" t="s">
        <v>43</v>
      </c>
      <c r="G1" s="8" t="s">
        <v>44</v>
      </c>
      <c r="H1" s="2" t="s">
        <v>45</v>
      </c>
      <c r="I1" s="8" t="s">
        <v>67</v>
      </c>
      <c r="J1" t="s">
        <v>46</v>
      </c>
    </row>
    <row r="2" spans="1:10" x14ac:dyDescent="0.25">
      <c r="A2" t="s">
        <v>47</v>
      </c>
      <c r="B2" t="s">
        <v>10</v>
      </c>
      <c r="C2" t="s">
        <v>0</v>
      </c>
      <c r="D2" s="8">
        <v>35800</v>
      </c>
      <c r="E2" s="2">
        <v>97.56</v>
      </c>
      <c r="F2" s="2">
        <v>97.57</v>
      </c>
      <c r="G2" s="8">
        <v>27300</v>
      </c>
      <c r="H2" s="2">
        <v>97.349997999999999</v>
      </c>
      <c r="I2" s="8">
        <v>0</v>
      </c>
      <c r="J2" t="s">
        <v>114</v>
      </c>
    </row>
    <row r="3" spans="1:10" x14ac:dyDescent="0.25">
      <c r="A3" t="s">
        <v>47</v>
      </c>
      <c r="B3" t="s">
        <v>48</v>
      </c>
      <c r="C3" t="s">
        <v>0</v>
      </c>
      <c r="D3" s="8">
        <v>10600</v>
      </c>
      <c r="E3" s="2">
        <v>29.01</v>
      </c>
      <c r="F3" s="2">
        <v>29.02</v>
      </c>
      <c r="G3" s="8">
        <v>5400</v>
      </c>
      <c r="H3" s="2">
        <v>29</v>
      </c>
      <c r="I3" s="8">
        <v>0</v>
      </c>
      <c r="J3" t="s">
        <v>114</v>
      </c>
    </row>
    <row r="4" spans="1:10" x14ac:dyDescent="0.25">
      <c r="A4" t="s">
        <v>47</v>
      </c>
      <c r="B4" t="s">
        <v>9</v>
      </c>
      <c r="C4" t="s">
        <v>0</v>
      </c>
      <c r="D4" s="8">
        <v>33700</v>
      </c>
      <c r="E4" s="2">
        <v>72.37</v>
      </c>
      <c r="F4" s="2">
        <v>72.38</v>
      </c>
      <c r="G4" s="8">
        <v>65500</v>
      </c>
      <c r="H4" s="2">
        <v>72.230002999999996</v>
      </c>
      <c r="I4" s="8">
        <v>0</v>
      </c>
      <c r="J4" t="s">
        <v>114</v>
      </c>
    </row>
    <row r="5" spans="1:10" x14ac:dyDescent="0.25">
      <c r="A5" t="s">
        <v>47</v>
      </c>
      <c r="B5" t="s">
        <v>49</v>
      </c>
      <c r="C5" t="s">
        <v>0</v>
      </c>
      <c r="D5" s="8">
        <v>17300</v>
      </c>
      <c r="E5" s="2">
        <v>47.69</v>
      </c>
      <c r="F5" s="2">
        <v>47.7</v>
      </c>
      <c r="G5" s="8">
        <v>76800</v>
      </c>
      <c r="H5" s="2">
        <v>47.650002000000001</v>
      </c>
      <c r="I5" s="8">
        <v>0</v>
      </c>
      <c r="J5" t="s">
        <v>114</v>
      </c>
    </row>
    <row r="6" spans="1:10" x14ac:dyDescent="0.25">
      <c r="A6" t="s">
        <v>47</v>
      </c>
      <c r="B6" t="s">
        <v>50</v>
      </c>
      <c r="C6" t="s">
        <v>0</v>
      </c>
      <c r="D6" s="8">
        <v>7900</v>
      </c>
      <c r="E6" s="2">
        <v>21.95</v>
      </c>
      <c r="F6" s="2">
        <v>21.96</v>
      </c>
      <c r="G6" s="8">
        <v>5000</v>
      </c>
      <c r="H6" s="2">
        <v>21.959999</v>
      </c>
      <c r="I6" s="8">
        <v>-2415</v>
      </c>
      <c r="J6" t="s">
        <v>114</v>
      </c>
    </row>
    <row r="7" spans="1:10" x14ac:dyDescent="0.25">
      <c r="A7" t="s">
        <v>47</v>
      </c>
      <c r="B7" t="s">
        <v>51</v>
      </c>
      <c r="C7" t="s">
        <v>0</v>
      </c>
      <c r="D7" s="8">
        <v>200</v>
      </c>
      <c r="E7" s="2">
        <v>56.52</v>
      </c>
      <c r="F7" s="2">
        <v>56.53</v>
      </c>
      <c r="G7" s="8">
        <v>4100</v>
      </c>
      <c r="H7" s="2">
        <v>56.509998000000003</v>
      </c>
      <c r="I7" s="8">
        <v>0</v>
      </c>
      <c r="J7" t="s">
        <v>114</v>
      </c>
    </row>
    <row r="8" spans="1:10" x14ac:dyDescent="0.25">
      <c r="A8" t="s">
        <v>47</v>
      </c>
      <c r="B8" t="s">
        <v>35</v>
      </c>
      <c r="C8" t="s">
        <v>0</v>
      </c>
      <c r="D8" s="8">
        <v>400</v>
      </c>
      <c r="E8" s="2">
        <v>95.02</v>
      </c>
      <c r="F8" s="2">
        <v>95.05</v>
      </c>
      <c r="G8" s="8">
        <v>100</v>
      </c>
      <c r="H8" s="2">
        <v>94.894997000000004</v>
      </c>
      <c r="I8" s="8">
        <v>-200</v>
      </c>
      <c r="J8" t="s">
        <v>114</v>
      </c>
    </row>
    <row r="9" spans="1:10" x14ac:dyDescent="0.25">
      <c r="A9" t="s">
        <v>47</v>
      </c>
      <c r="B9" t="s">
        <v>52</v>
      </c>
      <c r="C9" t="s">
        <v>0</v>
      </c>
      <c r="D9" s="8">
        <v>100</v>
      </c>
      <c r="E9" s="2">
        <v>102.86</v>
      </c>
      <c r="F9" s="2">
        <v>102.96</v>
      </c>
      <c r="G9" s="8">
        <v>100</v>
      </c>
      <c r="H9" s="2">
        <v>103.69000200000001</v>
      </c>
      <c r="I9" s="8">
        <v>0</v>
      </c>
      <c r="J9" t="s">
        <v>114</v>
      </c>
    </row>
    <row r="10" spans="1:10" x14ac:dyDescent="0.25">
      <c r="A10" t="s">
        <v>47</v>
      </c>
      <c r="B10" t="s">
        <v>53</v>
      </c>
      <c r="C10" t="s">
        <v>0</v>
      </c>
      <c r="D10" s="8">
        <v>15700</v>
      </c>
      <c r="E10" s="2">
        <v>94.91</v>
      </c>
      <c r="F10" s="2">
        <v>94.92</v>
      </c>
      <c r="G10" s="8">
        <v>400</v>
      </c>
      <c r="H10" s="2">
        <v>94.720000999999996</v>
      </c>
      <c r="I10" s="8">
        <v>0</v>
      </c>
      <c r="J10" t="s">
        <v>114</v>
      </c>
    </row>
    <row r="11" spans="1:10" x14ac:dyDescent="0.25">
      <c r="A11" t="s">
        <v>47</v>
      </c>
      <c r="B11" t="s">
        <v>54</v>
      </c>
      <c r="C11" t="s">
        <v>0</v>
      </c>
      <c r="D11" s="8">
        <v>34800</v>
      </c>
      <c r="E11" s="2">
        <v>25.83</v>
      </c>
      <c r="F11" s="2">
        <v>25.84</v>
      </c>
      <c r="G11" s="8">
        <v>16100</v>
      </c>
      <c r="H11" s="2">
        <v>25.85</v>
      </c>
      <c r="I11" s="8">
        <v>0</v>
      </c>
      <c r="J11" t="s">
        <v>114</v>
      </c>
    </row>
    <row r="12" spans="1:10" x14ac:dyDescent="0.25">
      <c r="A12" t="s">
        <v>47</v>
      </c>
      <c r="B12" t="s">
        <v>55</v>
      </c>
      <c r="C12" t="s">
        <v>0</v>
      </c>
      <c r="D12" s="8">
        <v>10700</v>
      </c>
      <c r="E12" s="2">
        <v>27</v>
      </c>
      <c r="F12" s="2">
        <v>27.01</v>
      </c>
      <c r="G12" s="8">
        <v>4500</v>
      </c>
      <c r="H12" s="2">
        <v>27</v>
      </c>
      <c r="I12" s="8">
        <v>0</v>
      </c>
      <c r="J12" t="s">
        <v>114</v>
      </c>
    </row>
    <row r="13" spans="1:10" x14ac:dyDescent="0.25">
      <c r="A13" t="s">
        <v>47</v>
      </c>
      <c r="B13" t="s">
        <v>19</v>
      </c>
      <c r="C13" t="s">
        <v>0</v>
      </c>
      <c r="D13" s="8">
        <v>111000</v>
      </c>
      <c r="E13" s="2">
        <v>79.63</v>
      </c>
      <c r="F13" s="2">
        <v>79.64</v>
      </c>
      <c r="G13" s="8">
        <v>55600</v>
      </c>
      <c r="H13" s="2">
        <v>79.610000999999997</v>
      </c>
      <c r="I13" s="8">
        <v>0</v>
      </c>
      <c r="J13" t="s">
        <v>114</v>
      </c>
    </row>
    <row r="14" spans="1:10" x14ac:dyDescent="0.25">
      <c r="A14" t="s">
        <v>47</v>
      </c>
      <c r="B14" t="s">
        <v>17</v>
      </c>
      <c r="C14" t="s">
        <v>0</v>
      </c>
      <c r="D14" s="8">
        <v>12100</v>
      </c>
      <c r="E14" s="2">
        <v>36.340000000000003</v>
      </c>
      <c r="F14" s="2">
        <v>36.35</v>
      </c>
      <c r="G14" s="8">
        <v>35500</v>
      </c>
      <c r="H14" s="2">
        <v>36.32</v>
      </c>
      <c r="I14" s="8">
        <v>0</v>
      </c>
      <c r="J14" t="s">
        <v>114</v>
      </c>
    </row>
    <row r="15" spans="1:10" x14ac:dyDescent="0.25">
      <c r="A15" t="s">
        <v>47</v>
      </c>
      <c r="B15" t="s">
        <v>56</v>
      </c>
      <c r="C15" t="s">
        <v>0</v>
      </c>
      <c r="D15" s="8">
        <v>20500</v>
      </c>
      <c r="E15" s="2">
        <v>49.79</v>
      </c>
      <c r="F15" s="2">
        <v>49.8</v>
      </c>
      <c r="G15" s="8">
        <v>9900</v>
      </c>
      <c r="H15" s="2">
        <v>49.77</v>
      </c>
      <c r="I15" s="8">
        <v>0</v>
      </c>
      <c r="J15" t="s">
        <v>114</v>
      </c>
    </row>
    <row r="16" spans="1:10" x14ac:dyDescent="0.25">
      <c r="A16" t="s">
        <v>47</v>
      </c>
      <c r="B16" t="s">
        <v>57</v>
      </c>
      <c r="C16" t="s">
        <v>0</v>
      </c>
      <c r="D16" s="8">
        <v>300</v>
      </c>
      <c r="E16" s="2">
        <v>114.82</v>
      </c>
      <c r="F16" s="2">
        <v>114.89</v>
      </c>
      <c r="G16" s="8">
        <v>600</v>
      </c>
      <c r="H16" s="2">
        <v>115.860001</v>
      </c>
      <c r="I16" s="8">
        <v>0</v>
      </c>
      <c r="J16" t="s">
        <v>114</v>
      </c>
    </row>
    <row r="17" spans="1:10" x14ac:dyDescent="0.25">
      <c r="A17" t="s">
        <v>47</v>
      </c>
      <c r="B17" t="s">
        <v>26</v>
      </c>
      <c r="C17" t="s">
        <v>0</v>
      </c>
      <c r="D17" s="8">
        <v>4400</v>
      </c>
      <c r="E17" s="2">
        <v>48.01</v>
      </c>
      <c r="F17" s="2">
        <v>48.02</v>
      </c>
      <c r="G17" s="8">
        <v>38600</v>
      </c>
      <c r="H17" s="2">
        <v>47.790000999999997</v>
      </c>
      <c r="I17" s="8">
        <v>0</v>
      </c>
      <c r="J17" t="s">
        <v>114</v>
      </c>
    </row>
    <row r="18" spans="1:10" x14ac:dyDescent="0.25">
      <c r="A18" t="s">
        <v>47</v>
      </c>
      <c r="B18" t="s">
        <v>58</v>
      </c>
      <c r="C18" t="s">
        <v>0</v>
      </c>
      <c r="D18" s="8">
        <v>700</v>
      </c>
      <c r="E18" s="2">
        <v>41.44</v>
      </c>
      <c r="F18" s="2">
        <v>41.57</v>
      </c>
      <c r="G18" s="8">
        <v>12200</v>
      </c>
      <c r="H18" s="2">
        <v>41.490001999999997</v>
      </c>
      <c r="I18" s="8">
        <v>1277</v>
      </c>
      <c r="J18" t="s">
        <v>114</v>
      </c>
    </row>
    <row r="19" spans="1:10" x14ac:dyDescent="0.25">
      <c r="A19" t="s">
        <v>47</v>
      </c>
      <c r="B19" t="s">
        <v>8</v>
      </c>
      <c r="C19" t="s">
        <v>0</v>
      </c>
      <c r="D19" s="8">
        <v>60100</v>
      </c>
      <c r="E19" s="2">
        <v>45.51</v>
      </c>
      <c r="F19" s="2">
        <v>45.52</v>
      </c>
      <c r="G19" s="8">
        <v>62200</v>
      </c>
      <c r="H19" s="2">
        <v>45.43</v>
      </c>
      <c r="I19" s="8">
        <v>0</v>
      </c>
      <c r="J19" t="s">
        <v>114</v>
      </c>
    </row>
    <row r="20" spans="1:10" x14ac:dyDescent="0.25">
      <c r="A20" t="s">
        <v>47</v>
      </c>
      <c r="B20" t="s">
        <v>20</v>
      </c>
      <c r="C20" t="s">
        <v>0</v>
      </c>
      <c r="D20" s="8">
        <v>31200</v>
      </c>
      <c r="E20" s="2">
        <v>95.87</v>
      </c>
      <c r="F20" s="2">
        <v>95.88</v>
      </c>
      <c r="G20" s="8">
        <v>9400</v>
      </c>
      <c r="H20" s="2">
        <v>95.870002999999997</v>
      </c>
      <c r="I20" s="8">
        <v>0</v>
      </c>
      <c r="J20" t="s">
        <v>114</v>
      </c>
    </row>
    <row r="21" spans="1:10" x14ac:dyDescent="0.25">
      <c r="A21" t="s">
        <v>47</v>
      </c>
      <c r="B21" t="s">
        <v>59</v>
      </c>
      <c r="C21" t="s">
        <v>0</v>
      </c>
      <c r="D21" s="8">
        <v>24700</v>
      </c>
      <c r="E21" s="2">
        <v>106.2</v>
      </c>
      <c r="F21" s="2">
        <v>106.21</v>
      </c>
      <c r="G21" s="8">
        <v>37100</v>
      </c>
      <c r="H21" s="2">
        <v>105.91999800000001</v>
      </c>
      <c r="I21" s="8">
        <v>0</v>
      </c>
      <c r="J21" t="s">
        <v>114</v>
      </c>
    </row>
    <row r="22" spans="1:10" x14ac:dyDescent="0.25">
      <c r="A22" t="s">
        <v>47</v>
      </c>
      <c r="B22" t="s">
        <v>23</v>
      </c>
      <c r="C22" t="s">
        <v>0</v>
      </c>
      <c r="D22" s="8">
        <v>5000</v>
      </c>
      <c r="E22" s="2">
        <v>93.26</v>
      </c>
      <c r="F22" s="2">
        <v>93.27</v>
      </c>
      <c r="G22" s="8">
        <v>4200</v>
      </c>
      <c r="H22" s="2">
        <v>93.120002999999997</v>
      </c>
      <c r="I22" s="8">
        <v>0</v>
      </c>
      <c r="J22" t="s">
        <v>114</v>
      </c>
    </row>
    <row r="23" spans="1:10" x14ac:dyDescent="0.25">
      <c r="A23" t="s">
        <v>47</v>
      </c>
      <c r="B23" t="s">
        <v>4</v>
      </c>
      <c r="C23" t="s">
        <v>0</v>
      </c>
      <c r="D23" s="8">
        <v>4000</v>
      </c>
      <c r="E23" s="2">
        <v>105.48</v>
      </c>
      <c r="F23" s="2">
        <v>105.49</v>
      </c>
      <c r="G23" s="8">
        <v>2300</v>
      </c>
      <c r="H23" s="2">
        <v>105.339996</v>
      </c>
      <c r="I23" s="8">
        <v>0</v>
      </c>
      <c r="J23" t="s">
        <v>114</v>
      </c>
    </row>
    <row r="24" spans="1:10" x14ac:dyDescent="0.25">
      <c r="A24" t="s">
        <v>47</v>
      </c>
      <c r="B24" t="s">
        <v>60</v>
      </c>
      <c r="C24" t="s">
        <v>0</v>
      </c>
      <c r="D24" s="8">
        <v>7400</v>
      </c>
      <c r="E24" s="2">
        <v>21.02</v>
      </c>
      <c r="F24" s="2">
        <v>21.03</v>
      </c>
      <c r="G24" s="8">
        <v>2900</v>
      </c>
      <c r="H24" s="2">
        <v>20.976600999999999</v>
      </c>
      <c r="I24" s="8">
        <v>0</v>
      </c>
      <c r="J24" t="s">
        <v>114</v>
      </c>
    </row>
    <row r="25" spans="1:10" x14ac:dyDescent="0.25">
      <c r="A25" t="s">
        <v>47</v>
      </c>
      <c r="B25" t="s">
        <v>61</v>
      </c>
      <c r="C25" t="s">
        <v>0</v>
      </c>
      <c r="D25" s="8">
        <v>35000</v>
      </c>
      <c r="E25" s="2">
        <v>30.42</v>
      </c>
      <c r="F25" s="2">
        <v>30.43</v>
      </c>
      <c r="G25" s="8">
        <v>14800</v>
      </c>
      <c r="H25" s="2">
        <v>30.459999</v>
      </c>
      <c r="I25" s="8">
        <v>-3000</v>
      </c>
      <c r="J25" t="s">
        <v>114</v>
      </c>
    </row>
    <row r="26" spans="1:10" x14ac:dyDescent="0.25">
      <c r="A26" t="s">
        <v>47</v>
      </c>
      <c r="B26" t="s">
        <v>62</v>
      </c>
      <c r="C26" t="s">
        <v>0</v>
      </c>
      <c r="D26" s="8">
        <v>15300</v>
      </c>
      <c r="E26" s="2">
        <v>18.36</v>
      </c>
      <c r="F26" s="2">
        <v>18.37</v>
      </c>
      <c r="G26" s="8">
        <v>12900</v>
      </c>
      <c r="H26" s="2">
        <v>18.389999</v>
      </c>
      <c r="I26" s="8">
        <v>4945</v>
      </c>
      <c r="J26" t="s">
        <v>114</v>
      </c>
    </row>
    <row r="27" spans="1:10" x14ac:dyDescent="0.25">
      <c r="A27" t="s">
        <v>47</v>
      </c>
      <c r="B27" t="s">
        <v>63</v>
      </c>
      <c r="C27" t="s">
        <v>0</v>
      </c>
      <c r="D27" s="8">
        <v>113000</v>
      </c>
      <c r="E27" s="2">
        <v>24.03</v>
      </c>
      <c r="F27" s="2">
        <v>24.04</v>
      </c>
      <c r="G27" s="8">
        <v>109100</v>
      </c>
      <c r="H27" s="2">
        <v>24.040001</v>
      </c>
      <c r="I27" s="8">
        <v>0</v>
      </c>
      <c r="J27" t="s">
        <v>114</v>
      </c>
    </row>
    <row r="28" spans="1:10" x14ac:dyDescent="0.25">
      <c r="A28" t="s">
        <v>47</v>
      </c>
      <c r="B28" t="s">
        <v>29</v>
      </c>
      <c r="C28" t="s">
        <v>0</v>
      </c>
      <c r="D28" s="8">
        <v>32800</v>
      </c>
      <c r="E28" s="2">
        <v>30.11</v>
      </c>
      <c r="F28" s="2">
        <v>30.12</v>
      </c>
      <c r="G28" s="8">
        <v>12900</v>
      </c>
      <c r="H28" s="2">
        <v>29.93</v>
      </c>
      <c r="I28" s="8">
        <v>0</v>
      </c>
      <c r="J28" t="s">
        <v>114</v>
      </c>
    </row>
    <row r="29" spans="1:10" x14ac:dyDescent="0.25">
      <c r="A29" t="s">
        <v>47</v>
      </c>
      <c r="B29" t="s">
        <v>6</v>
      </c>
      <c r="C29" t="s">
        <v>0</v>
      </c>
      <c r="D29" s="8">
        <v>46600</v>
      </c>
      <c r="E29" s="2">
        <v>22.8</v>
      </c>
      <c r="F29" s="2">
        <v>22.81</v>
      </c>
      <c r="G29" s="8">
        <v>131100</v>
      </c>
      <c r="H29" s="2">
        <v>22.77</v>
      </c>
      <c r="I29" s="8">
        <v>0</v>
      </c>
      <c r="J29" t="s">
        <v>114</v>
      </c>
    </row>
    <row r="30" spans="1:10" x14ac:dyDescent="0.25">
      <c r="A30" t="s">
        <v>47</v>
      </c>
      <c r="B30" t="s">
        <v>16</v>
      </c>
      <c r="C30" t="s">
        <v>0</v>
      </c>
      <c r="D30" s="8">
        <v>31900</v>
      </c>
      <c r="E30" s="2">
        <v>26.02</v>
      </c>
      <c r="F30" s="2">
        <v>26.03</v>
      </c>
      <c r="G30" s="8">
        <v>15400</v>
      </c>
      <c r="H30" s="2">
        <v>26.030000999999999</v>
      </c>
      <c r="I30" s="8">
        <v>0</v>
      </c>
      <c r="J30" t="s">
        <v>114</v>
      </c>
    </row>
    <row r="31" spans="1:10" x14ac:dyDescent="0.25">
      <c r="A31" t="s">
        <v>47</v>
      </c>
      <c r="B31" t="s">
        <v>7</v>
      </c>
      <c r="C31" t="s">
        <v>0</v>
      </c>
      <c r="D31" s="8">
        <v>255600</v>
      </c>
      <c r="E31" s="2">
        <v>25.14</v>
      </c>
      <c r="F31" s="2">
        <v>25.15</v>
      </c>
      <c r="G31" s="8">
        <v>165500</v>
      </c>
      <c r="H31" s="2">
        <v>25.09</v>
      </c>
      <c r="I31" s="8">
        <v>0</v>
      </c>
      <c r="J31" t="s">
        <v>114</v>
      </c>
    </row>
    <row r="32" spans="1:10" x14ac:dyDescent="0.25">
      <c r="A32" t="s">
        <v>47</v>
      </c>
      <c r="B32" t="s">
        <v>32</v>
      </c>
      <c r="C32" t="s">
        <v>0</v>
      </c>
      <c r="D32" s="8">
        <v>95700</v>
      </c>
      <c r="E32" s="2">
        <v>28.43</v>
      </c>
      <c r="F32" s="2">
        <v>28.44</v>
      </c>
      <c r="G32" s="8">
        <v>11600</v>
      </c>
      <c r="H32" s="2">
        <v>28.389999</v>
      </c>
      <c r="I32" s="8">
        <v>0</v>
      </c>
      <c r="J32" t="s">
        <v>114</v>
      </c>
    </row>
    <row r="33" spans="1:10" x14ac:dyDescent="0.25">
      <c r="A33" t="s">
        <v>47</v>
      </c>
      <c r="B33" t="s">
        <v>15</v>
      </c>
      <c r="C33" t="s">
        <v>0</v>
      </c>
      <c r="D33" s="8">
        <v>343800</v>
      </c>
      <c r="E33" s="2">
        <v>23.29</v>
      </c>
      <c r="F33" s="2">
        <v>23.3</v>
      </c>
      <c r="G33" s="8">
        <v>184500</v>
      </c>
      <c r="H33" s="2">
        <v>23.299999</v>
      </c>
      <c r="I33" s="8">
        <v>0</v>
      </c>
      <c r="J33" t="s">
        <v>114</v>
      </c>
    </row>
    <row r="34" spans="1:10" x14ac:dyDescent="0.25">
      <c r="A34" t="s">
        <v>47</v>
      </c>
      <c r="B34" t="s">
        <v>25</v>
      </c>
      <c r="C34" t="s">
        <v>0</v>
      </c>
      <c r="D34" s="8">
        <v>82400</v>
      </c>
      <c r="E34" s="2">
        <v>21.42</v>
      </c>
      <c r="F34" s="2">
        <v>21.43</v>
      </c>
      <c r="G34" s="8">
        <v>39700</v>
      </c>
      <c r="H34" s="2">
        <v>21.33</v>
      </c>
      <c r="I34" s="8">
        <v>0</v>
      </c>
      <c r="J34" t="s">
        <v>114</v>
      </c>
    </row>
    <row r="35" spans="1:10" x14ac:dyDescent="0.25">
      <c r="A35" t="s">
        <v>47</v>
      </c>
      <c r="B35" t="s">
        <v>21</v>
      </c>
      <c r="C35" t="s">
        <v>0</v>
      </c>
      <c r="D35" s="8">
        <v>39600</v>
      </c>
      <c r="E35" s="2">
        <v>22.01</v>
      </c>
      <c r="F35" s="2">
        <v>22.02</v>
      </c>
      <c r="G35" s="8">
        <v>29600</v>
      </c>
      <c r="H35" s="2">
        <v>21.959999</v>
      </c>
      <c r="I35" s="8">
        <v>0</v>
      </c>
      <c r="J35" t="s">
        <v>114</v>
      </c>
    </row>
    <row r="36" spans="1:10" x14ac:dyDescent="0.25">
      <c r="A36" t="s">
        <v>47</v>
      </c>
      <c r="B36" t="s">
        <v>28</v>
      </c>
      <c r="C36" t="s">
        <v>0</v>
      </c>
      <c r="D36" s="8">
        <v>436000</v>
      </c>
      <c r="E36" s="2">
        <v>25.24</v>
      </c>
      <c r="F36" s="2">
        <v>25.25</v>
      </c>
      <c r="G36" s="8">
        <v>141800</v>
      </c>
      <c r="H36" s="2">
        <v>25.09</v>
      </c>
      <c r="I36" s="8">
        <v>0</v>
      </c>
      <c r="J36" t="s">
        <v>114</v>
      </c>
    </row>
    <row r="37" spans="1:10" x14ac:dyDescent="0.25">
      <c r="A37" t="s">
        <v>47</v>
      </c>
      <c r="B37" t="s">
        <v>24</v>
      </c>
      <c r="C37" t="s">
        <v>0</v>
      </c>
      <c r="D37" s="8">
        <v>2200</v>
      </c>
      <c r="E37" s="2">
        <v>44.93</v>
      </c>
      <c r="F37" s="2">
        <v>44.94</v>
      </c>
      <c r="G37" s="8">
        <v>9300</v>
      </c>
      <c r="H37" s="2">
        <v>44.869999</v>
      </c>
      <c r="I37" s="8">
        <v>0</v>
      </c>
      <c r="J37" t="s">
        <v>114</v>
      </c>
    </row>
    <row r="38" spans="1:10" x14ac:dyDescent="0.25">
      <c r="A38" t="s">
        <v>47</v>
      </c>
      <c r="B38" t="s">
        <v>30</v>
      </c>
      <c r="C38" t="s">
        <v>0</v>
      </c>
      <c r="D38" s="8">
        <v>36300</v>
      </c>
      <c r="E38" s="2">
        <v>82.65</v>
      </c>
      <c r="F38" s="2">
        <v>82.66</v>
      </c>
      <c r="G38" s="8">
        <v>24900</v>
      </c>
      <c r="H38" s="2">
        <v>82.050003000000004</v>
      </c>
      <c r="I38" s="8">
        <v>2414</v>
      </c>
      <c r="J38" t="s">
        <v>114</v>
      </c>
    </row>
    <row r="39" spans="1:10" x14ac:dyDescent="0.25">
      <c r="A39" t="s">
        <v>47</v>
      </c>
      <c r="B39" t="s">
        <v>18</v>
      </c>
      <c r="C39" t="s">
        <v>0</v>
      </c>
      <c r="D39" s="8">
        <v>334000</v>
      </c>
      <c r="E39" s="2">
        <v>36.83</v>
      </c>
      <c r="F39" s="2">
        <v>36.840000000000003</v>
      </c>
      <c r="G39" s="8">
        <v>127900</v>
      </c>
      <c r="H39" s="2">
        <v>36.840000000000003</v>
      </c>
      <c r="I39" s="8">
        <v>0</v>
      </c>
      <c r="J39" t="s">
        <v>114</v>
      </c>
    </row>
    <row r="40" spans="1:10" x14ac:dyDescent="0.25">
      <c r="A40" t="s">
        <v>47</v>
      </c>
      <c r="B40" t="s">
        <v>33</v>
      </c>
      <c r="C40" t="s">
        <v>0</v>
      </c>
      <c r="D40" s="8">
        <v>23300</v>
      </c>
      <c r="E40" s="2">
        <v>50.3</v>
      </c>
      <c r="F40" s="2">
        <v>50.31</v>
      </c>
      <c r="G40" s="8">
        <v>19700</v>
      </c>
      <c r="H40" s="2">
        <v>50.200001</v>
      </c>
      <c r="I40" s="8">
        <v>0</v>
      </c>
      <c r="J40" t="s">
        <v>114</v>
      </c>
    </row>
    <row r="41" spans="1:10" x14ac:dyDescent="0.25">
      <c r="A41" t="s">
        <v>47</v>
      </c>
      <c r="B41" t="s">
        <v>64</v>
      </c>
      <c r="C41" t="s">
        <v>0</v>
      </c>
      <c r="D41" s="8">
        <v>400</v>
      </c>
      <c r="E41" s="2">
        <v>67.06</v>
      </c>
      <c r="F41" s="2">
        <v>67.069999999999993</v>
      </c>
      <c r="G41" s="8">
        <v>100</v>
      </c>
      <c r="H41" s="2">
        <v>67.120002999999997</v>
      </c>
      <c r="I41" s="8">
        <v>0</v>
      </c>
      <c r="J41" t="s">
        <v>114</v>
      </c>
    </row>
    <row r="42" spans="1:10" x14ac:dyDescent="0.25">
      <c r="A42" t="s">
        <v>47</v>
      </c>
      <c r="B42" t="s">
        <v>27</v>
      </c>
      <c r="C42" t="s">
        <v>0</v>
      </c>
      <c r="D42" s="8">
        <v>16400</v>
      </c>
      <c r="E42" s="2">
        <v>72.010000000000005</v>
      </c>
      <c r="F42" s="2">
        <v>72.02</v>
      </c>
      <c r="G42" s="8">
        <v>9800</v>
      </c>
      <c r="H42" s="2">
        <v>71.720000999999996</v>
      </c>
      <c r="I42" s="8">
        <v>0</v>
      </c>
      <c r="J42" t="s">
        <v>114</v>
      </c>
    </row>
    <row r="43" spans="1:10" x14ac:dyDescent="0.25">
      <c r="A43" t="s">
        <v>47</v>
      </c>
      <c r="B43" t="s">
        <v>31</v>
      </c>
      <c r="C43" t="s">
        <v>0</v>
      </c>
      <c r="D43" s="8">
        <v>61300</v>
      </c>
      <c r="E43" s="2">
        <v>53.08</v>
      </c>
      <c r="F43" s="2">
        <v>53.09</v>
      </c>
      <c r="G43" s="8">
        <v>9900</v>
      </c>
      <c r="H43" s="2">
        <v>52.75</v>
      </c>
      <c r="I43" s="8">
        <v>-3764</v>
      </c>
      <c r="J43" t="s">
        <v>114</v>
      </c>
    </row>
    <row r="44" spans="1:10" x14ac:dyDescent="0.25">
      <c r="A44" t="s">
        <v>47</v>
      </c>
      <c r="B44" t="s">
        <v>22</v>
      </c>
      <c r="C44" t="s">
        <v>0</v>
      </c>
      <c r="D44" s="8">
        <v>7000</v>
      </c>
      <c r="E44" s="2">
        <v>46.22</v>
      </c>
      <c r="F44" s="2">
        <v>46.23</v>
      </c>
      <c r="G44" s="8">
        <v>11000</v>
      </c>
      <c r="H44" s="2">
        <v>46.150002000000001</v>
      </c>
      <c r="I44" s="8">
        <v>0</v>
      </c>
      <c r="J44" t="s">
        <v>114</v>
      </c>
    </row>
    <row r="45" spans="1:10" x14ac:dyDescent="0.25">
      <c r="A45" t="s">
        <v>47</v>
      </c>
      <c r="B45" t="s">
        <v>34</v>
      </c>
      <c r="C45" t="s">
        <v>0</v>
      </c>
      <c r="D45" s="8">
        <v>600</v>
      </c>
      <c r="E45" s="2">
        <v>75.23</v>
      </c>
      <c r="F45" s="2">
        <v>75.25</v>
      </c>
      <c r="G45" s="8">
        <v>2500</v>
      </c>
      <c r="H45" s="2">
        <v>75.075301999999994</v>
      </c>
      <c r="I45" s="8">
        <v>253</v>
      </c>
      <c r="J45" t="s">
        <v>114</v>
      </c>
    </row>
    <row r="46" spans="1:10" x14ac:dyDescent="0.25">
      <c r="A46" t="s">
        <v>47</v>
      </c>
      <c r="B46" t="s">
        <v>3</v>
      </c>
      <c r="C46" t="s">
        <v>0</v>
      </c>
      <c r="D46" s="8">
        <v>18400</v>
      </c>
      <c r="E46" s="2">
        <v>49.56</v>
      </c>
      <c r="F46" s="2">
        <v>49.57</v>
      </c>
      <c r="G46" s="8">
        <v>85500</v>
      </c>
      <c r="H46" s="2">
        <v>49.540000999999997</v>
      </c>
      <c r="I46" s="8">
        <v>0</v>
      </c>
      <c r="J46" t="s">
        <v>114</v>
      </c>
    </row>
    <row r="47" spans="1:10" x14ac:dyDescent="0.25">
      <c r="A47" t="s">
        <v>47</v>
      </c>
      <c r="B47" t="s">
        <v>65</v>
      </c>
      <c r="C47" t="s">
        <v>0</v>
      </c>
      <c r="D47" s="8">
        <v>200</v>
      </c>
      <c r="E47" s="2">
        <v>98.66</v>
      </c>
      <c r="F47" s="2">
        <v>98.67</v>
      </c>
      <c r="G47" s="8">
        <v>4000</v>
      </c>
      <c r="H47" s="2">
        <v>98.550003000000004</v>
      </c>
      <c r="I47" s="8">
        <v>0</v>
      </c>
      <c r="J47" t="s">
        <v>114</v>
      </c>
    </row>
    <row r="48" spans="1:10" x14ac:dyDescent="0.25">
      <c r="A48" t="s">
        <v>47</v>
      </c>
      <c r="B48" t="s">
        <v>66</v>
      </c>
      <c r="C48" t="s">
        <v>0</v>
      </c>
      <c r="D48" s="8">
        <v>300</v>
      </c>
      <c r="E48" s="2">
        <v>66</v>
      </c>
      <c r="F48" s="2">
        <v>66.010000000000005</v>
      </c>
      <c r="G48" s="8">
        <v>3900</v>
      </c>
      <c r="H48" s="2">
        <v>65.910004000000001</v>
      </c>
      <c r="I48" s="8">
        <v>0</v>
      </c>
      <c r="J48" t="s">
        <v>114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BA43"/>
  <sheetViews>
    <sheetView topLeftCell="M1" zoomScale="90" zoomScaleNormal="90" workbookViewId="0">
      <selection activeCell="AC17" sqref="AC17"/>
    </sheetView>
  </sheetViews>
  <sheetFormatPr defaultRowHeight="15" x14ac:dyDescent="0.25"/>
  <cols>
    <col min="1" max="1" width="5.7109375" style="18" bestFit="1" customWidth="1"/>
    <col min="2" max="2" width="7.42578125" style="18" bestFit="1" customWidth="1"/>
    <col min="3" max="3" width="5.7109375" style="18" bestFit="1" customWidth="1"/>
    <col min="4" max="4" width="6.5703125" style="16" bestFit="1" customWidth="1"/>
    <col min="5" max="6" width="9.5703125" style="2" bestFit="1" customWidth="1"/>
    <col min="7" max="7" width="11.42578125" style="25" bestFit="1" customWidth="1"/>
    <col min="8" max="8" width="11.5703125" style="25" bestFit="1" customWidth="1"/>
    <col min="9" max="9" width="8.42578125" style="53" bestFit="1" customWidth="1"/>
    <col min="10" max="10" width="12.85546875" style="15" bestFit="1" customWidth="1"/>
    <col min="11" max="11" width="11.28515625" style="15" bestFit="1" customWidth="1"/>
    <col min="12" max="12" width="11.28515625" style="15" customWidth="1"/>
    <col min="13" max="13" width="9" bestFit="1" customWidth="1"/>
    <col min="14" max="14" width="10.140625" bestFit="1" customWidth="1"/>
    <col min="15" max="17" width="9" customWidth="1"/>
    <col min="18" max="18" width="9" bestFit="1" customWidth="1"/>
    <col min="19" max="19" width="8.28515625" bestFit="1" customWidth="1"/>
    <col min="20" max="20" width="7.85546875" style="51" bestFit="1" customWidth="1"/>
    <col min="21" max="21" width="9.7109375" style="52" bestFit="1" customWidth="1"/>
    <col min="22" max="22" width="10.5703125" style="52" bestFit="1" customWidth="1"/>
    <col min="23" max="23" width="3.7109375" style="1" customWidth="1"/>
    <col min="24" max="24" width="15.7109375" style="1" bestFit="1" customWidth="1"/>
    <col min="25" max="25" width="14.7109375" style="1" bestFit="1" customWidth="1"/>
    <col min="26" max="26" width="5.42578125" style="1" bestFit="1" customWidth="1"/>
    <col min="27" max="27" width="3.7109375" style="1" customWidth="1"/>
    <col min="28" max="28" width="11.28515625" bestFit="1" customWidth="1"/>
    <col min="29" max="29" width="14.7109375" style="60" bestFit="1" customWidth="1"/>
    <col min="30" max="30" width="15" style="66" bestFit="1" customWidth="1"/>
    <col min="31" max="31" width="13.7109375" style="66" bestFit="1" customWidth="1"/>
    <col min="32" max="32" width="14.42578125" style="66" bestFit="1" customWidth="1"/>
    <col min="33" max="33" width="15.7109375" style="66" bestFit="1" customWidth="1"/>
    <col min="35" max="35" width="16.5703125" style="2" bestFit="1" customWidth="1"/>
    <col min="36" max="36" width="17.42578125" style="2" bestFit="1" customWidth="1"/>
    <col min="37" max="37" width="16.7109375" style="2" bestFit="1" customWidth="1"/>
    <col min="38" max="38" width="18.7109375" style="2" bestFit="1" customWidth="1"/>
    <col min="39" max="39" width="16.5703125" style="2" bestFit="1" customWidth="1"/>
    <col min="40" max="40" width="14" style="2" bestFit="1" customWidth="1"/>
    <col min="41" max="41" width="28.28515625" style="2" bestFit="1" customWidth="1"/>
    <col min="42" max="42" width="26.42578125" style="2" bestFit="1" customWidth="1"/>
    <col min="43" max="43" width="28.5703125" style="2" bestFit="1" customWidth="1"/>
    <col min="44" max="44" width="5.28515625" style="2" bestFit="1" customWidth="1"/>
    <col min="45" max="45" width="26.5703125" style="66" bestFit="1" customWidth="1"/>
    <col min="46" max="46" width="18.7109375" style="55" bestFit="1" customWidth="1"/>
    <col min="47" max="47" width="20.85546875" style="2" bestFit="1" customWidth="1"/>
    <col min="48" max="48" width="15.85546875" bestFit="1" customWidth="1"/>
    <col min="49" max="49" width="10.85546875" bestFit="1" customWidth="1"/>
    <col min="50" max="50" width="11.5703125" bestFit="1" customWidth="1"/>
    <col min="51" max="52" width="15.140625" bestFit="1" customWidth="1"/>
    <col min="53" max="53" width="18.42578125" style="8" bestFit="1" customWidth="1"/>
  </cols>
  <sheetData>
    <row r="1" spans="1:53" s="17" customFormat="1" ht="15" customHeight="1" x14ac:dyDescent="0.2">
      <c r="A1" s="123" t="s">
        <v>75</v>
      </c>
      <c r="B1" s="124"/>
      <c r="E1" s="125" t="s">
        <v>77</v>
      </c>
      <c r="F1" s="126"/>
      <c r="G1" s="106">
        <v>5.0000000000000001E-3</v>
      </c>
      <c r="H1" s="106"/>
      <c r="I1" s="89"/>
      <c r="J1" s="105" t="s">
        <v>80</v>
      </c>
      <c r="K1" s="105"/>
      <c r="L1" s="128" t="s">
        <v>106</v>
      </c>
      <c r="M1" s="129"/>
      <c r="N1" s="93"/>
      <c r="O1" s="93"/>
      <c r="P1" s="93"/>
      <c r="Q1" s="93"/>
      <c r="R1" s="130" t="s">
        <v>107</v>
      </c>
      <c r="S1" s="131"/>
      <c r="T1" s="118" t="s">
        <v>81</v>
      </c>
      <c r="U1" s="119"/>
      <c r="V1" s="120"/>
      <c r="W1" s="23"/>
      <c r="X1" s="127" t="s">
        <v>86</v>
      </c>
      <c r="Y1" s="127"/>
      <c r="Z1" s="73"/>
      <c r="AA1" s="23"/>
      <c r="AC1" s="58"/>
      <c r="AD1" s="64"/>
      <c r="AE1" s="64"/>
      <c r="AF1" s="64"/>
      <c r="AG1" s="64"/>
      <c r="AI1" s="67">
        <f t="shared" ref="AI1:AN1" si="0">SUM(AI3:AI13)</f>
        <v>5969.0700000000006</v>
      </c>
      <c r="AJ1" s="67">
        <f t="shared" si="0"/>
        <v>7234.57</v>
      </c>
      <c r="AK1" s="67">
        <f t="shared" si="0"/>
        <v>13203.64</v>
      </c>
      <c r="AL1" s="67">
        <f t="shared" si="0"/>
        <v>-3753.8350000000005</v>
      </c>
      <c r="AM1" s="67">
        <f t="shared" si="0"/>
        <v>-895.62822800000004</v>
      </c>
      <c r="AN1" s="67">
        <f t="shared" si="0"/>
        <v>8554.1767719999989</v>
      </c>
      <c r="AO1" s="67"/>
      <c r="AP1" s="67"/>
      <c r="AQ1" s="67">
        <f>SUM(AQ3:AQ13)</f>
        <v>343066.59768699994</v>
      </c>
      <c r="AR1" s="62">
        <f>SUM(AR3:AR13)</f>
        <v>1.7153329884349999</v>
      </c>
      <c r="AS1" s="64"/>
      <c r="AT1" s="68"/>
      <c r="AU1" s="67"/>
      <c r="BA1" s="70"/>
    </row>
    <row r="2" spans="1:53" s="20" customFormat="1" ht="12.75" thickBot="1" x14ac:dyDescent="0.25">
      <c r="A2" s="79" t="s">
        <v>74</v>
      </c>
      <c r="B2" s="80" t="s">
        <v>76</v>
      </c>
      <c r="C2" s="19" t="s">
        <v>87</v>
      </c>
      <c r="D2" s="20" t="s">
        <v>68</v>
      </c>
      <c r="E2" s="83" t="s">
        <v>78</v>
      </c>
      <c r="F2" s="84" t="s">
        <v>79</v>
      </c>
      <c r="G2" s="24" t="s">
        <v>70</v>
      </c>
      <c r="H2" s="24" t="s">
        <v>71</v>
      </c>
      <c r="I2" s="90" t="s">
        <v>69</v>
      </c>
      <c r="J2" s="22" t="s">
        <v>72</v>
      </c>
      <c r="K2" s="22" t="s">
        <v>73</v>
      </c>
      <c r="L2" s="94" t="s">
        <v>110</v>
      </c>
      <c r="M2" s="104" t="s">
        <v>36</v>
      </c>
      <c r="N2" s="101" t="s">
        <v>111</v>
      </c>
      <c r="O2" s="101" t="s">
        <v>112</v>
      </c>
      <c r="P2" s="101" t="s">
        <v>111</v>
      </c>
      <c r="Q2" s="101" t="s">
        <v>112</v>
      </c>
      <c r="R2" s="94" t="s">
        <v>110</v>
      </c>
      <c r="S2" s="20" t="s">
        <v>36</v>
      </c>
      <c r="T2" s="95" t="s">
        <v>82</v>
      </c>
      <c r="U2" s="96" t="s">
        <v>83</v>
      </c>
      <c r="V2" s="97" t="s">
        <v>84</v>
      </c>
      <c r="X2" s="74" t="s">
        <v>106</v>
      </c>
      <c r="Y2" s="75" t="s">
        <v>107</v>
      </c>
      <c r="Z2" s="75"/>
      <c r="AC2" s="59"/>
      <c r="AD2" s="65"/>
      <c r="AE2" s="65"/>
      <c r="AF2" s="65"/>
      <c r="AG2" s="65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65"/>
      <c r="AT2" s="69"/>
      <c r="AU2" s="21"/>
      <c r="BA2" s="71"/>
    </row>
    <row r="3" spans="1:53" x14ac:dyDescent="0.25">
      <c r="A3" s="29">
        <f>MATCH(D3,'TRADING INPUTS'!B:B,0)</f>
        <v>2</v>
      </c>
      <c r="B3" s="81">
        <f>MATCH(D3,'MKT DATA'!B:B,0)</f>
        <v>9</v>
      </c>
      <c r="C3" s="30" t="s">
        <v>57</v>
      </c>
      <c r="D3" s="31" t="s">
        <v>52</v>
      </c>
      <c r="E3" s="85" cm="1">
        <f t="array" aca="1" ref="E3" ca="1">INDIRECT(ADDRESS($B3,5,,,"mkt data"))</f>
        <v>102.86</v>
      </c>
      <c r="F3" s="86" cm="1">
        <f t="array" aca="1" ref="F3" ca="1">INDIRECT(ADDRESS($B3,6,,,"mkt data"))</f>
        <v>102.96</v>
      </c>
      <c r="G3" s="32">
        <f t="shared" ref="G3:G18" ca="1" si="1">E3-G$1</f>
        <v>102.855</v>
      </c>
      <c r="H3" s="32">
        <f t="shared" ref="H3:H18" ca="1" si="2">F3+G$1</f>
        <v>102.96499999999999</v>
      </c>
      <c r="I3" s="91" cm="1">
        <f t="array" aca="1" ref="I3" ca="1">INDIRECT(ADDRESS($A3,5,,,"trading inputs"))</f>
        <v>1.1150030351730265</v>
      </c>
      <c r="J3" s="33">
        <f ca="1">G3*I3</f>
        <v>114.68363718272164</v>
      </c>
      <c r="K3" s="33">
        <f ca="1">-I3*H3</f>
        <v>-114.80628751659066</v>
      </c>
      <c r="L3" s="109">
        <f ca="1">K3+J4</f>
        <v>8.712483409340166E-3</v>
      </c>
      <c r="M3" s="107">
        <f ca="1">L3/AVERAGE(J4,-K4)</f>
        <v>7.5856370287233181E-5</v>
      </c>
      <c r="N3" s="102">
        <f>X3</f>
        <v>2E-3</v>
      </c>
      <c r="O3" s="102">
        <f>X4</f>
        <v>1.5E-3</v>
      </c>
      <c r="P3" s="102">
        <f>Y4</f>
        <v>1.5E-3</v>
      </c>
      <c r="Q3" s="102">
        <f>Y3</f>
        <v>2E-3</v>
      </c>
      <c r="R3" s="109">
        <f ca="1">J3+K4</f>
        <v>-0.21136281727835637</v>
      </c>
      <c r="S3" s="114">
        <f ca="1">R3/AVERAGE(J4,-K4)</f>
        <v>-1.8402578666871828E-3</v>
      </c>
      <c r="T3" s="98" cm="1">
        <f t="array" aca="1" ref="T3" ca="1">INDIRECT(ADDRESS($B3,9,,,"mkt data"))</f>
        <v>0</v>
      </c>
      <c r="U3" s="47">
        <f t="shared" ref="U3:U18" ca="1" si="3">T3/I3</f>
        <v>0</v>
      </c>
      <c r="V3" s="121">
        <f ca="1">SUM(U3:U4)</f>
        <v>0</v>
      </c>
      <c r="W3" s="20"/>
      <c r="X3" s="76">
        <v>2E-3</v>
      </c>
      <c r="Y3" s="77">
        <v>2E-3</v>
      </c>
      <c r="Z3" s="78" t="s">
        <v>108</v>
      </c>
      <c r="AA3" s="20"/>
      <c r="AB3" t="s">
        <v>100</v>
      </c>
      <c r="AC3" s="61">
        <v>20</v>
      </c>
      <c r="AD3" s="66">
        <v>-2E-3</v>
      </c>
      <c r="AE3" s="66">
        <v>-1.5E-3</v>
      </c>
      <c r="AF3" s="66">
        <v>1.5E-3</v>
      </c>
      <c r="AG3" s="66">
        <v>2E-3</v>
      </c>
      <c r="AI3" s="2">
        <v>2041.74</v>
      </c>
      <c r="AJ3" s="2">
        <v>2567.1799999999998</v>
      </c>
      <c r="AK3" s="2">
        <v>4608.92</v>
      </c>
      <c r="AL3" s="2">
        <v>-423.31</v>
      </c>
      <c r="AM3" s="2">
        <v>-297.59116</v>
      </c>
      <c r="AN3" s="2">
        <v>3888.0188400000002</v>
      </c>
      <c r="AO3" s="2">
        <v>-58292.256716000004</v>
      </c>
      <c r="AP3" s="2">
        <v>-216.00611900000001</v>
      </c>
      <c r="AQ3" s="2">
        <v>116368.50731299999</v>
      </c>
      <c r="AR3" s="63">
        <f>AQ3/200000</f>
        <v>0.58184253656499996</v>
      </c>
      <c r="AS3" s="66">
        <v>6.2833E-2</v>
      </c>
      <c r="AT3" s="55">
        <v>2.4503879999999998</v>
      </c>
      <c r="AU3" s="2">
        <v>-1018.776283</v>
      </c>
      <c r="AV3">
        <v>42</v>
      </c>
      <c r="AW3">
        <v>11</v>
      </c>
      <c r="AX3">
        <v>11</v>
      </c>
      <c r="AY3">
        <v>1</v>
      </c>
      <c r="AZ3">
        <v>1</v>
      </c>
      <c r="BA3" s="8">
        <v>84662</v>
      </c>
    </row>
    <row r="4" spans="1:53" ht="15.75" thickBot="1" x14ac:dyDescent="0.3">
      <c r="A4" s="34">
        <f>MATCH(D4,'TRADING INPUTS'!B:B,0)</f>
        <v>3</v>
      </c>
      <c r="B4" s="82">
        <f>MATCH(D4,'MKT DATA'!B:B,0)</f>
        <v>16</v>
      </c>
      <c r="C4" s="35" t="s">
        <v>57</v>
      </c>
      <c r="D4" s="36" t="s">
        <v>57</v>
      </c>
      <c r="E4" s="87" cm="1">
        <f t="array" aca="1" ref="E4" ca="1">INDIRECT(ADDRESS($B4,5,,,"mkt data"))</f>
        <v>114.82</v>
      </c>
      <c r="F4" s="88" cm="1">
        <f t="array" aca="1" ref="F4" ca="1">INDIRECT(ADDRESS($B4,6,,,"mkt data"))</f>
        <v>114.89</v>
      </c>
      <c r="G4" s="37">
        <f t="shared" ca="1" si="1"/>
        <v>114.815</v>
      </c>
      <c r="H4" s="37">
        <f t="shared" ca="1" si="2"/>
        <v>114.895</v>
      </c>
      <c r="I4" s="92" cm="1">
        <f t="array" aca="1" ref="I4" ca="1">INDIRECT(ADDRESS($A4,5,,,"trading inputs"))</f>
        <v>1</v>
      </c>
      <c r="J4" s="38">
        <f ca="1">G4*I4</f>
        <v>114.815</v>
      </c>
      <c r="K4" s="38">
        <f ca="1">-I4*H4</f>
        <v>-114.895</v>
      </c>
      <c r="L4" s="110"/>
      <c r="M4" s="108"/>
      <c r="N4" s="103" t="b">
        <f ca="1">IF(M3&gt;N3,TRUE,FALSE)</f>
        <v>0</v>
      </c>
      <c r="O4" s="103" t="b">
        <f ca="1">AND(IF(S3&gt;-O3,TRUE,FALSE),IF(T3&gt;0,TRUE,FALSE))</f>
        <v>0</v>
      </c>
      <c r="P4" s="103" t="b">
        <f ca="1">AND(IF(M3&gt;-P3,TRUE,FALSE),IF(T3&lt;0,TRUE,FALSE))</f>
        <v>0</v>
      </c>
      <c r="Q4" s="103" t="b">
        <f ca="1">IF(S3&gt;Q3,TRUE,FALSE)</f>
        <v>0</v>
      </c>
      <c r="R4" s="110"/>
      <c r="S4" s="115"/>
      <c r="T4" s="99" cm="1">
        <f t="array" aca="1" ref="T4" ca="1">INDIRECT(ADDRESS($B4,9,,,"mkt data"))</f>
        <v>0</v>
      </c>
      <c r="U4" s="49">
        <f t="shared" ca="1" si="3"/>
        <v>0</v>
      </c>
      <c r="V4" s="122"/>
      <c r="W4" s="20"/>
      <c r="X4" s="77">
        <v>1.5E-3</v>
      </c>
      <c r="Y4" s="77">
        <v>1.5E-3</v>
      </c>
      <c r="Z4" s="78" t="s">
        <v>109</v>
      </c>
      <c r="AA4" s="20"/>
      <c r="AR4" s="63"/>
    </row>
    <row r="5" spans="1:53" x14ac:dyDescent="0.25">
      <c r="A5" s="29">
        <f>MATCH(D5,'TRADING INPUTS'!B:B,0)</f>
        <v>4</v>
      </c>
      <c r="B5" s="81">
        <f>MATCH(D5,'MKT DATA'!B:B,0)</f>
        <v>6</v>
      </c>
      <c r="C5" s="30" t="s">
        <v>58</v>
      </c>
      <c r="D5" s="31" t="s">
        <v>50</v>
      </c>
      <c r="E5" s="85" cm="1">
        <f t="array" aca="1" ref="E5" ca="1">INDIRECT(ADDRESS($B5,5,,,"mkt data"))</f>
        <v>21.95</v>
      </c>
      <c r="F5" s="86" cm="1">
        <f t="array" aca="1" ref="F5" ca="1">INDIRECT(ADDRESS($B5,6,,,"mkt data"))</f>
        <v>21.96</v>
      </c>
      <c r="G5" s="32">
        <f t="shared" ca="1" si="1"/>
        <v>21.945</v>
      </c>
      <c r="H5" s="32">
        <f t="shared" ca="1" si="2"/>
        <v>21.965</v>
      </c>
      <c r="I5" s="91" cm="1">
        <f t="array" aca="1" ref="I5" ca="1">INDIRECT(ADDRESS($A5,5,,,"trading inputs"))</f>
        <v>1.8904292553555202</v>
      </c>
      <c r="J5" s="33">
        <f ca="1">G5*I5</f>
        <v>41.485470008776893</v>
      </c>
      <c r="K5" s="33">
        <f ca="1">-I5*H5</f>
        <v>-41.523278593884001</v>
      </c>
      <c r="L5" s="109">
        <f ca="1">K5+J6</f>
        <v>-8.8278593884005829E-2</v>
      </c>
      <c r="M5" s="107">
        <f ca="1">L5/AVERAGE(J6,-K6)</f>
        <v>-2.1269387756657232E-3</v>
      </c>
      <c r="N5" s="102">
        <f>X5</f>
        <v>4.0000000000000001E-3</v>
      </c>
      <c r="O5" s="102">
        <f>X6</f>
        <v>3.0000000000000001E-3</v>
      </c>
      <c r="P5" s="102">
        <f>Y6</f>
        <v>2E-3</v>
      </c>
      <c r="Q5" s="102">
        <f>Y5</f>
        <v>2E-3</v>
      </c>
      <c r="R5" s="109">
        <f ca="1">J5+K6</f>
        <v>-8.9529991223109562E-2</v>
      </c>
      <c r="S5" s="114">
        <f ca="1">R5/AVERAGE(J6,-K6)</f>
        <v>-2.1570892958224209E-3</v>
      </c>
      <c r="T5" s="98" cm="1">
        <f t="array" aca="1" ref="T5" ca="1">INDIRECT(ADDRESS($B5,9,,,"mkt data"))</f>
        <v>-2415</v>
      </c>
      <c r="U5" s="47">
        <f t="shared" ca="1" si="3"/>
        <v>-1277.4876357622954</v>
      </c>
      <c r="V5" s="116">
        <f ca="1">SUM(U5:U6)</f>
        <v>-0.48763576229544014</v>
      </c>
      <c r="W5" s="20"/>
      <c r="X5" s="76">
        <v>4.0000000000000001E-3</v>
      </c>
      <c r="Y5" s="77">
        <v>2E-3</v>
      </c>
      <c r="Z5" s="78" t="s">
        <v>108</v>
      </c>
      <c r="AA5" s="20"/>
      <c r="AB5" t="s">
        <v>101</v>
      </c>
      <c r="AC5" s="60">
        <v>20</v>
      </c>
      <c r="AD5" s="66">
        <v>-4.0000000000000001E-3</v>
      </c>
      <c r="AE5" s="66">
        <v>-3.0000000000000001E-3</v>
      </c>
      <c r="AF5" s="66">
        <v>2E-3</v>
      </c>
      <c r="AG5" s="66">
        <v>2E-3</v>
      </c>
      <c r="AI5" s="2">
        <v>1324.9</v>
      </c>
      <c r="AJ5" s="2">
        <v>1070.73</v>
      </c>
      <c r="AK5" s="2">
        <v>2395.63</v>
      </c>
      <c r="AL5" s="2">
        <v>-895.37</v>
      </c>
      <c r="AM5" s="2">
        <v>-100.08193199999999</v>
      </c>
      <c r="AN5" s="2">
        <v>1400.1780679999999</v>
      </c>
      <c r="AO5" s="2">
        <v>-18668.626119</v>
      </c>
      <c r="AP5" s="2">
        <v>-72.598955000000004</v>
      </c>
      <c r="AQ5" s="2">
        <v>37264.653284</v>
      </c>
      <c r="AR5" s="63">
        <f t="shared" ref="AR5:AR13" si="4">AQ5/200000</f>
        <v>0.18632326641999999</v>
      </c>
      <c r="AS5" s="66">
        <v>7.0661000000000002E-2</v>
      </c>
      <c r="AT5" s="55">
        <v>2.9181360000000001</v>
      </c>
      <c r="AU5" s="2">
        <v>-154.35770500000001</v>
      </c>
      <c r="AV5">
        <v>26</v>
      </c>
      <c r="AW5">
        <v>8</v>
      </c>
      <c r="AX5">
        <v>5</v>
      </c>
      <c r="AY5">
        <v>0</v>
      </c>
      <c r="AZ5">
        <v>0</v>
      </c>
      <c r="BA5" s="8">
        <v>179074</v>
      </c>
    </row>
    <row r="6" spans="1:53" ht="15.75" thickBot="1" x14ac:dyDescent="0.3">
      <c r="A6" s="34">
        <f>MATCH(D6,'TRADING INPUTS'!B:B,0)</f>
        <v>5</v>
      </c>
      <c r="B6" s="82">
        <f>MATCH(D6,'MKT DATA'!B:B,0)</f>
        <v>18</v>
      </c>
      <c r="C6" s="35" t="s">
        <v>58</v>
      </c>
      <c r="D6" s="36" t="s">
        <v>58</v>
      </c>
      <c r="E6" s="87" cm="1">
        <f t="array" aca="1" ref="E6" ca="1">INDIRECT(ADDRESS($B6,5,,,"mkt data"))</f>
        <v>41.44</v>
      </c>
      <c r="F6" s="88" cm="1">
        <f t="array" aca="1" ref="F6" ca="1">INDIRECT(ADDRESS($B6,6,,,"mkt data"))</f>
        <v>41.57</v>
      </c>
      <c r="G6" s="37">
        <f t="shared" ca="1" si="1"/>
        <v>41.434999999999995</v>
      </c>
      <c r="H6" s="37">
        <f t="shared" ca="1" si="2"/>
        <v>41.575000000000003</v>
      </c>
      <c r="I6" s="92" cm="1">
        <f t="array" aca="1" ref="I6" ca="1">INDIRECT(ADDRESS($A6,5,,,"trading inputs"))</f>
        <v>1</v>
      </c>
      <c r="J6" s="38">
        <f ca="1">G6*I6</f>
        <v>41.434999999999995</v>
      </c>
      <c r="K6" s="38">
        <f ca="1">-I6*H6</f>
        <v>-41.575000000000003</v>
      </c>
      <c r="L6" s="110"/>
      <c r="M6" s="108"/>
      <c r="N6" s="103" t="b">
        <f ca="1">IF(M5&gt;N5,TRUE,FALSE)</f>
        <v>0</v>
      </c>
      <c r="O6" s="103" t="b">
        <f ca="1">AND(IF(S5&gt;-O5,TRUE,FALSE),IF(T5&gt;0,TRUE,FALSE))</f>
        <v>0</v>
      </c>
      <c r="P6" s="103" t="b">
        <f ca="1">AND(IF(M5&gt;-P5,TRUE,FALSE),IF(T5&lt;0,TRUE,FALSE))</f>
        <v>0</v>
      </c>
      <c r="Q6" s="103" t="b">
        <f ca="1">IF(S5&gt;Q5,TRUE,FALSE)</f>
        <v>0</v>
      </c>
      <c r="R6" s="110"/>
      <c r="S6" s="115"/>
      <c r="T6" s="99" cm="1">
        <f t="array" aca="1" ref="T6" ca="1">INDIRECT(ADDRESS($B6,9,,,"mkt data"))</f>
        <v>1277</v>
      </c>
      <c r="U6" s="49">
        <f t="shared" ca="1" si="3"/>
        <v>1277</v>
      </c>
      <c r="V6" s="117"/>
      <c r="W6" s="20"/>
      <c r="X6" s="77">
        <v>3.0000000000000001E-3</v>
      </c>
      <c r="Y6" s="77">
        <v>2E-3</v>
      </c>
      <c r="Z6" s="78" t="s">
        <v>109</v>
      </c>
      <c r="AA6" s="20"/>
      <c r="AR6" s="63"/>
    </row>
    <row r="7" spans="1:53" x14ac:dyDescent="0.25">
      <c r="A7" s="29">
        <f>MATCH(D7,'TRADING INPUTS'!B:B,0)</f>
        <v>6</v>
      </c>
      <c r="B7" s="81">
        <f>MATCH(D7,'MKT DATA'!B:B,0)</f>
        <v>48</v>
      </c>
      <c r="C7" s="30" t="s">
        <v>53</v>
      </c>
      <c r="D7" s="31" t="s">
        <v>66</v>
      </c>
      <c r="E7" s="85" cm="1">
        <f t="array" aca="1" ref="E7" ca="1">INDIRECT(ADDRESS($B7,5,,,"mkt data"))</f>
        <v>66</v>
      </c>
      <c r="F7" s="86" cm="1">
        <f t="array" aca="1" ref="F7" ca="1">INDIRECT(ADDRESS($B7,6,,,"mkt data"))</f>
        <v>66.010000000000005</v>
      </c>
      <c r="G7" s="32">
        <f t="shared" ca="1" si="1"/>
        <v>65.995000000000005</v>
      </c>
      <c r="H7" s="32">
        <f t="shared" ca="1" si="2"/>
        <v>66.015000000000001</v>
      </c>
      <c r="I7" s="91" cm="1">
        <f t="array" aca="1" ref="I7" ca="1">INDIRECT(ADDRESS($A7,5,,,"trading inputs"))</f>
        <v>1.4382850860499452</v>
      </c>
      <c r="J7" s="33">
        <f ca="1">G7*I7</f>
        <v>94.919624253866147</v>
      </c>
      <c r="K7" s="33">
        <f ca="1">-I7*H7</f>
        <v>-94.948389955587132</v>
      </c>
      <c r="L7" s="109">
        <f ca="1">K7+J8</f>
        <v>-4.3389955587130657E-2</v>
      </c>
      <c r="M7" s="107">
        <f ca="1">L7/AVERAGE(J8,-K8)</f>
        <v>-4.5714539943244654E-4</v>
      </c>
      <c r="N7" s="102">
        <f>X7</f>
        <v>1E-3</v>
      </c>
      <c r="O7" s="102">
        <f>X8</f>
        <v>1E-3</v>
      </c>
      <c r="P7" s="102">
        <f>Y8</f>
        <v>1E-3</v>
      </c>
      <c r="Q7" s="102">
        <f>Y7</f>
        <v>1E-3</v>
      </c>
      <c r="R7" s="109">
        <f ca="1">J7+K8</f>
        <v>-5.3757461338506118E-3</v>
      </c>
      <c r="S7" s="114">
        <f ca="1">R7/AVERAGE(J8,-K8)</f>
        <v>-5.6637477046311037E-5</v>
      </c>
      <c r="T7" s="98" cm="1">
        <f t="array" aca="1" ref="T7" ca="1">INDIRECT(ADDRESS($B7,9,,,"mkt data"))</f>
        <v>0</v>
      </c>
      <c r="U7" s="47">
        <f t="shared" ca="1" si="3"/>
        <v>0</v>
      </c>
      <c r="V7" s="121">
        <f ca="1">SUM(U7:U8)</f>
        <v>0</v>
      </c>
      <c r="W7" s="20"/>
      <c r="X7" s="77">
        <v>1E-3</v>
      </c>
      <c r="Y7" s="77">
        <v>1E-3</v>
      </c>
      <c r="Z7" s="78" t="s">
        <v>108</v>
      </c>
      <c r="AA7" s="20"/>
      <c r="AB7" s="56" t="s">
        <v>102</v>
      </c>
      <c r="AC7" s="60">
        <v>20</v>
      </c>
      <c r="AD7" s="66">
        <v>-1E-3</v>
      </c>
      <c r="AE7" s="66">
        <v>-1E-3</v>
      </c>
      <c r="AF7" s="66">
        <v>1E-3</v>
      </c>
      <c r="AG7" s="66">
        <v>1E-3</v>
      </c>
      <c r="AI7" s="2">
        <v>1272.2</v>
      </c>
      <c r="AJ7" s="2">
        <v>472.81</v>
      </c>
      <c r="AK7" s="2">
        <v>1745.01</v>
      </c>
      <c r="AL7" s="2">
        <v>-484.43</v>
      </c>
      <c r="AM7" s="2">
        <v>-133.34520900000001</v>
      </c>
      <c r="AN7" s="2">
        <v>1127.2347910000001</v>
      </c>
      <c r="AO7" s="2">
        <v>-29107.705895999999</v>
      </c>
      <c r="AP7" s="2">
        <v>-42.940148999999998</v>
      </c>
      <c r="AQ7" s="2">
        <v>58172.471641999997</v>
      </c>
      <c r="AR7" s="63">
        <f t="shared" si="4"/>
        <v>0.29086235821</v>
      </c>
      <c r="AS7" s="66">
        <v>3.6441000000000001E-2</v>
      </c>
      <c r="AT7" s="55">
        <v>2.9476149999999999</v>
      </c>
      <c r="AU7" s="2">
        <v>-171.868425</v>
      </c>
      <c r="AV7">
        <v>37</v>
      </c>
      <c r="AW7">
        <v>17</v>
      </c>
      <c r="AX7">
        <v>2</v>
      </c>
      <c r="AY7">
        <v>0</v>
      </c>
      <c r="AZ7">
        <v>1</v>
      </c>
      <c r="BA7" s="8">
        <v>96886</v>
      </c>
    </row>
    <row r="8" spans="1:53" ht="15.75" thickBot="1" x14ac:dyDescent="0.3">
      <c r="A8" s="34">
        <f>MATCH(D8,'TRADING INPUTS'!B:B,0)</f>
        <v>7</v>
      </c>
      <c r="B8" s="82">
        <f>MATCH(D8,'MKT DATA'!B:B,0)</f>
        <v>10</v>
      </c>
      <c r="C8" s="35" t="s">
        <v>53</v>
      </c>
      <c r="D8" s="36" t="s">
        <v>53</v>
      </c>
      <c r="E8" s="87" cm="1">
        <f t="array" aca="1" ref="E8" ca="1">INDIRECT(ADDRESS($B8,5,,,"mkt data"))</f>
        <v>94.91</v>
      </c>
      <c r="F8" s="88" cm="1">
        <f t="array" aca="1" ref="F8" ca="1">INDIRECT(ADDRESS($B8,6,,,"mkt data"))</f>
        <v>94.92</v>
      </c>
      <c r="G8" s="37">
        <f t="shared" ca="1" si="1"/>
        <v>94.905000000000001</v>
      </c>
      <c r="H8" s="37">
        <f t="shared" ca="1" si="2"/>
        <v>94.924999999999997</v>
      </c>
      <c r="I8" s="92" cm="1">
        <f t="array" aca="1" ref="I8" ca="1">INDIRECT(ADDRESS($A8,5,,,"trading inputs"))</f>
        <v>1</v>
      </c>
      <c r="J8" s="38">
        <f t="shared" ref="J8" ca="1" si="5">G8*I8</f>
        <v>94.905000000000001</v>
      </c>
      <c r="K8" s="38">
        <f t="shared" ref="K8" ca="1" si="6">-I8*H8</f>
        <v>-94.924999999999997</v>
      </c>
      <c r="L8" s="110"/>
      <c r="M8" s="108"/>
      <c r="N8" s="103" t="b">
        <f ca="1">IF(M7&gt;N7,TRUE,FALSE)</f>
        <v>0</v>
      </c>
      <c r="O8" s="103" t="b">
        <f ca="1">AND(IF(S7&gt;-O7,TRUE,FALSE),IF(T7&gt;0,TRUE,FALSE))</f>
        <v>0</v>
      </c>
      <c r="P8" s="103" t="b">
        <f ca="1">AND(IF(M7&gt;-P7,TRUE,FALSE),IF(T7&lt;0,TRUE,FALSE))</f>
        <v>0</v>
      </c>
      <c r="Q8" s="103" t="b">
        <f ca="1">IF(S7&gt;Q7,TRUE,FALSE)</f>
        <v>0</v>
      </c>
      <c r="R8" s="110"/>
      <c r="S8" s="115"/>
      <c r="T8" s="99" cm="1">
        <f t="array" aca="1" ref="T8" ca="1">INDIRECT(ADDRESS($B8,9,,,"mkt data"))</f>
        <v>0</v>
      </c>
      <c r="U8" s="49">
        <f t="shared" ca="1" si="3"/>
        <v>0</v>
      </c>
      <c r="V8" s="122"/>
      <c r="W8" s="20"/>
      <c r="X8" s="77">
        <v>1E-3</v>
      </c>
      <c r="Y8" s="77">
        <v>1E-3</v>
      </c>
      <c r="Z8" s="78" t="s">
        <v>109</v>
      </c>
      <c r="AA8" s="20"/>
      <c r="AB8" s="56"/>
      <c r="AR8" s="63"/>
    </row>
    <row r="9" spans="1:53" x14ac:dyDescent="0.25">
      <c r="A9" s="29">
        <f>MATCH(D9,'TRADING INPUTS'!B:B,0)</f>
        <v>8</v>
      </c>
      <c r="B9" s="81">
        <f>MATCH(D9,'MKT DATA'!B:B,0)</f>
        <v>7</v>
      </c>
      <c r="C9" s="30" t="s">
        <v>65</v>
      </c>
      <c r="D9" s="31" t="s">
        <v>51</v>
      </c>
      <c r="E9" s="85" cm="1">
        <f t="array" aca="1" ref="E9" ca="1">INDIRECT(ADDRESS($B9,5,,,"mkt data"))</f>
        <v>56.52</v>
      </c>
      <c r="F9" s="86" cm="1">
        <f t="array" aca="1" ref="F9" ca="1">INDIRECT(ADDRESS($B9,6,,,"mkt data"))</f>
        <v>56.53</v>
      </c>
      <c r="G9" s="32">
        <f t="shared" ca="1" si="1"/>
        <v>56.515000000000001</v>
      </c>
      <c r="H9" s="32">
        <f t="shared" ca="1" si="2"/>
        <v>56.535000000000004</v>
      </c>
      <c r="I9" s="91" cm="1">
        <f t="array" aca="1" ref="I9" ca="1">INDIRECT(ADDRESS($A9,5,,,"trading inputs"))</f>
        <v>1.7447835547184389</v>
      </c>
      <c r="J9" s="33">
        <f t="shared" ref="J9:J10" ca="1" si="7">G9*I9</f>
        <v>98.606442594912579</v>
      </c>
      <c r="K9" s="33">
        <f t="shared" ref="K9:K10" ca="1" si="8">-I9*H9</f>
        <v>-98.641338266006954</v>
      </c>
      <c r="L9" s="109">
        <f ca="1">K9+J10</f>
        <v>1.366173399304671E-2</v>
      </c>
      <c r="M9" s="107">
        <f ca="1">L9/AVERAGE(J10,-K10)</f>
        <v>1.3846585915012121E-4</v>
      </c>
      <c r="N9" s="102">
        <f>X9</f>
        <v>1E-3</v>
      </c>
      <c r="O9" s="102">
        <f>X10</f>
        <v>1E-3</v>
      </c>
      <c r="P9" s="102">
        <f>Y10</f>
        <v>1E-3</v>
      </c>
      <c r="Q9" s="102">
        <f>Y9</f>
        <v>1E-3</v>
      </c>
      <c r="R9" s="109">
        <f ca="1">J9+K10</f>
        <v>-6.8557405087418033E-2</v>
      </c>
      <c r="S9" s="114">
        <f ca="1">R9/AVERAGE(J10,-K10)</f>
        <v>-6.9485030241137221E-4</v>
      </c>
      <c r="T9" s="98" cm="1">
        <f t="array" aca="1" ref="T9" ca="1">INDIRECT(ADDRESS($B9,9,,,"mkt data"))</f>
        <v>0</v>
      </c>
      <c r="U9" s="47">
        <f t="shared" ca="1" si="3"/>
        <v>0</v>
      </c>
      <c r="V9" s="112">
        <f ca="1">SUM(U9:U10)</f>
        <v>0</v>
      </c>
      <c r="W9" s="20"/>
      <c r="X9" s="77">
        <v>1E-3</v>
      </c>
      <c r="Y9" s="77">
        <v>1E-3</v>
      </c>
      <c r="Z9" s="78" t="s">
        <v>108</v>
      </c>
      <c r="AA9" s="20"/>
      <c r="AB9" s="57" t="s">
        <v>103</v>
      </c>
      <c r="AC9" s="60">
        <v>20</v>
      </c>
      <c r="AD9" s="66">
        <v>-1E-3</v>
      </c>
      <c r="AE9" s="66">
        <v>-1E-3</v>
      </c>
      <c r="AF9" s="66">
        <v>1E-3</v>
      </c>
      <c r="AG9" s="66">
        <v>1E-3</v>
      </c>
      <c r="AI9" s="2">
        <v>215.72</v>
      </c>
      <c r="AJ9" s="2">
        <v>216.53</v>
      </c>
      <c r="AK9" s="2">
        <v>432.25</v>
      </c>
      <c r="AL9" s="2">
        <v>-166.5</v>
      </c>
      <c r="AM9" s="2">
        <v>-27.804898000000001</v>
      </c>
      <c r="AN9" s="2">
        <v>237.94510199999999</v>
      </c>
      <c r="AO9" s="2">
        <v>-5974.9691789999997</v>
      </c>
      <c r="AP9" s="2">
        <v>-7.4297009999999997</v>
      </c>
      <c r="AQ9" s="2">
        <v>11942.508657</v>
      </c>
      <c r="AR9" s="63">
        <f t="shared" si="4"/>
        <v>5.9712543285000003E-2</v>
      </c>
      <c r="AS9" s="66">
        <v>3.7469000000000002E-2</v>
      </c>
      <c r="AT9" s="55">
        <v>1.8513809999999999</v>
      </c>
      <c r="AU9" s="2">
        <v>-44.437958000000002</v>
      </c>
      <c r="AV9">
        <v>12</v>
      </c>
      <c r="AW9">
        <v>3</v>
      </c>
      <c r="AX9">
        <v>3</v>
      </c>
      <c r="AY9">
        <v>0</v>
      </c>
      <c r="AZ9">
        <v>0</v>
      </c>
      <c r="BA9" s="8">
        <v>33300</v>
      </c>
    </row>
    <row r="10" spans="1:53" ht="15.75" thickBot="1" x14ac:dyDescent="0.3">
      <c r="A10" s="34">
        <f>MATCH(D10,'TRADING INPUTS'!B:B,0)</f>
        <v>9</v>
      </c>
      <c r="B10" s="82">
        <f>MATCH(D10,'MKT DATA'!B:B,0)</f>
        <v>47</v>
      </c>
      <c r="C10" s="35" t="s">
        <v>65</v>
      </c>
      <c r="D10" s="36" t="s">
        <v>65</v>
      </c>
      <c r="E10" s="87" cm="1">
        <f t="array" aca="1" ref="E10" ca="1">INDIRECT(ADDRESS($B10,5,,,"mkt data"))</f>
        <v>98.66</v>
      </c>
      <c r="F10" s="88" cm="1">
        <f t="array" aca="1" ref="F10" ca="1">INDIRECT(ADDRESS($B10,6,,,"mkt data"))</f>
        <v>98.67</v>
      </c>
      <c r="G10" s="37">
        <f t="shared" ca="1" si="1"/>
        <v>98.655000000000001</v>
      </c>
      <c r="H10" s="37">
        <f t="shared" ca="1" si="2"/>
        <v>98.674999999999997</v>
      </c>
      <c r="I10" s="92" cm="1">
        <f t="array" aca="1" ref="I10" ca="1">INDIRECT(ADDRESS($A10,5,,,"trading inputs"))</f>
        <v>1</v>
      </c>
      <c r="J10" s="38">
        <f t="shared" ca="1" si="7"/>
        <v>98.655000000000001</v>
      </c>
      <c r="K10" s="38">
        <f t="shared" ca="1" si="8"/>
        <v>-98.674999999999997</v>
      </c>
      <c r="L10" s="110"/>
      <c r="M10" s="108"/>
      <c r="N10" s="103" t="b">
        <f ca="1">IF(M9&gt;N9,TRUE,FALSE)</f>
        <v>0</v>
      </c>
      <c r="O10" s="103" t="b">
        <f ca="1">AND(IF(S9&gt;-O9,TRUE,FALSE),IF(T9&gt;0,TRUE,FALSE))</f>
        <v>0</v>
      </c>
      <c r="P10" s="103" t="b">
        <f ca="1">AND(IF(M9&gt;-P9,TRUE,FALSE),IF(T9&lt;0,TRUE,FALSE))</f>
        <v>0</v>
      </c>
      <c r="Q10" s="103" t="b">
        <f ca="1">IF(S9&gt;Q9,TRUE,FALSE)</f>
        <v>0</v>
      </c>
      <c r="R10" s="110"/>
      <c r="S10" s="115"/>
      <c r="T10" s="99" cm="1">
        <f t="array" aca="1" ref="T10" ca="1">INDIRECT(ADDRESS($B10,9,,,"mkt data"))</f>
        <v>0</v>
      </c>
      <c r="U10" s="49">
        <f t="shared" ca="1" si="3"/>
        <v>0</v>
      </c>
      <c r="V10" s="113"/>
      <c r="W10" s="20"/>
      <c r="X10" s="77">
        <v>1E-3</v>
      </c>
      <c r="Y10" s="77">
        <v>1E-3</v>
      </c>
      <c r="Z10" s="78" t="s">
        <v>109</v>
      </c>
      <c r="AA10" s="20"/>
      <c r="AB10" s="56"/>
      <c r="AR10" s="63"/>
    </row>
    <row r="11" spans="1:53" x14ac:dyDescent="0.25">
      <c r="A11" s="29">
        <f>MATCH(D11,'TRADING INPUTS'!B:B,0)</f>
        <v>10</v>
      </c>
      <c r="B11" s="81">
        <f>MATCH(D11,'MKT DATA'!B:B,0)</f>
        <v>26</v>
      </c>
      <c r="C11" s="30" t="s">
        <v>61</v>
      </c>
      <c r="D11" s="31" t="s">
        <v>62</v>
      </c>
      <c r="E11" s="85" cm="1">
        <f t="array" aca="1" ref="E11" ca="1">INDIRECT(ADDRESS($B11,5,,,"mkt data"))</f>
        <v>18.36</v>
      </c>
      <c r="F11" s="86" cm="1">
        <f t="array" aca="1" ref="F11" ca="1">INDIRECT(ADDRESS($B11,6,,,"mkt data"))</f>
        <v>18.37</v>
      </c>
      <c r="G11" s="32">
        <f t="shared" ca="1" si="1"/>
        <v>18.355</v>
      </c>
      <c r="H11" s="32">
        <f t="shared" ca="1" si="2"/>
        <v>18.375</v>
      </c>
      <c r="I11" s="91" cm="1">
        <f t="array" aca="1" ref="I11" ca="1">INDIRECT(ADDRESS($A11,5,,,"trading inputs"))</f>
        <v>1.648521381003756</v>
      </c>
      <c r="J11" s="33">
        <f ca="1">G11*I11</f>
        <v>30.258609948323944</v>
      </c>
      <c r="K11" s="33">
        <f ca="1">-I11*H11</f>
        <v>-30.291580375944015</v>
      </c>
      <c r="L11" s="109">
        <f ca="1">K11+J12</f>
        <v>0.1234196240559875</v>
      </c>
      <c r="M11" s="107">
        <f ca="1">L11/AVERAGE(J12,-K12)</f>
        <v>4.0565201004433031E-3</v>
      </c>
      <c r="N11" s="102">
        <f>X11</f>
        <v>5.0000000000000001E-3</v>
      </c>
      <c r="O11" s="102">
        <f>X12</f>
        <v>4.0000000000000001E-3</v>
      </c>
      <c r="P11" s="102">
        <f>Y12</f>
        <v>2E-3</v>
      </c>
      <c r="Q11" s="102">
        <f>Y11</f>
        <v>3.0000000000000001E-3</v>
      </c>
      <c r="R11" s="109">
        <f ca="1">J11+K12</f>
        <v>-0.17639005167605504</v>
      </c>
      <c r="S11" s="114">
        <f ca="1">R11/AVERAGE(J12,-K12)</f>
        <v>-5.7975366204126551E-3</v>
      </c>
      <c r="T11" s="98" cm="1">
        <f t="array" aca="1" ref="T11" ca="1">INDIRECT(ADDRESS($B11,9,,,"mkt data"))</f>
        <v>4945</v>
      </c>
      <c r="U11" s="47">
        <f t="shared" ca="1" si="3"/>
        <v>2999.6577884777421</v>
      </c>
      <c r="V11" s="48">
        <f ca="1">SUM(U11:U12)</f>
        <v>-0.34221152225791229</v>
      </c>
      <c r="W11" s="20"/>
      <c r="X11" s="76">
        <v>5.0000000000000001E-3</v>
      </c>
      <c r="Y11" s="77">
        <v>3.0000000000000001E-3</v>
      </c>
      <c r="Z11" s="78" t="s">
        <v>108</v>
      </c>
      <c r="AA11" s="20"/>
      <c r="AB11" s="57" t="s">
        <v>104</v>
      </c>
      <c r="AC11" s="60">
        <v>20</v>
      </c>
      <c r="AD11" s="66">
        <v>-5.0000000000000001E-3</v>
      </c>
      <c r="AE11" s="66">
        <v>-4.0000000000000001E-3</v>
      </c>
      <c r="AF11" s="66">
        <v>2E-3</v>
      </c>
      <c r="AG11" s="66">
        <v>3.0000000000000001E-3</v>
      </c>
      <c r="AI11" s="2">
        <v>791.67</v>
      </c>
      <c r="AJ11" s="2">
        <v>1280.75</v>
      </c>
      <c r="AK11" s="2">
        <v>2072.42</v>
      </c>
      <c r="AL11" s="2">
        <v>-1162.53</v>
      </c>
      <c r="AM11" s="2">
        <v>-178.32597100000001</v>
      </c>
      <c r="AN11" s="2">
        <v>731.564029</v>
      </c>
      <c r="AO11" s="2">
        <v>-30686.509328</v>
      </c>
      <c r="AP11" s="2">
        <v>-180.603433</v>
      </c>
      <c r="AQ11" s="2">
        <v>61192.415223999997</v>
      </c>
      <c r="AR11" s="63">
        <f t="shared" si="4"/>
        <v>0.30596207611999998</v>
      </c>
      <c r="AS11" s="66">
        <v>2.2483E-2</v>
      </c>
      <c r="AT11" s="55">
        <v>0.63427599999999995</v>
      </c>
      <c r="AU11" s="2">
        <v>-1125.6526980000001</v>
      </c>
      <c r="AV11">
        <v>27</v>
      </c>
      <c r="AW11">
        <v>6</v>
      </c>
      <c r="AX11">
        <v>8</v>
      </c>
      <c r="AY11">
        <v>0</v>
      </c>
      <c r="AZ11">
        <v>0</v>
      </c>
      <c r="BA11" s="8">
        <v>232506</v>
      </c>
    </row>
    <row r="12" spans="1:53" ht="15.75" thickBot="1" x14ac:dyDescent="0.3">
      <c r="A12" s="34">
        <f>MATCH(D12,'TRADING INPUTS'!B:B,0)</f>
        <v>11</v>
      </c>
      <c r="B12" s="82">
        <f>MATCH(D12,'MKT DATA'!B:B,0)</f>
        <v>25</v>
      </c>
      <c r="C12" s="35" t="s">
        <v>61</v>
      </c>
      <c r="D12" s="36" t="s">
        <v>61</v>
      </c>
      <c r="E12" s="87" cm="1">
        <f t="array" aca="1" ref="E12" ca="1">INDIRECT(ADDRESS($B12,5,,,"mkt data"))</f>
        <v>30.42</v>
      </c>
      <c r="F12" s="88" cm="1">
        <f t="array" aca="1" ref="F12" ca="1">INDIRECT(ADDRESS($B12,6,,,"mkt data"))</f>
        <v>30.43</v>
      </c>
      <c r="G12" s="37">
        <f t="shared" ca="1" si="1"/>
        <v>30.415000000000003</v>
      </c>
      <c r="H12" s="37">
        <f t="shared" ca="1" si="2"/>
        <v>30.434999999999999</v>
      </c>
      <c r="I12" s="92" cm="1">
        <f t="array" aca="1" ref="I12" ca="1">INDIRECT(ADDRESS($A12,5,,,"trading inputs"))</f>
        <v>1</v>
      </c>
      <c r="J12" s="38">
        <f t="shared" ref="J12" ca="1" si="9">G12*I12</f>
        <v>30.415000000000003</v>
      </c>
      <c r="K12" s="38">
        <f t="shared" ref="K12" ca="1" si="10">-I12*H12</f>
        <v>-30.434999999999999</v>
      </c>
      <c r="L12" s="110"/>
      <c r="M12" s="108"/>
      <c r="N12" s="103" t="b">
        <f ca="1">IF(M11&gt;N11,TRUE,FALSE)</f>
        <v>0</v>
      </c>
      <c r="O12" s="103" t="b">
        <f ca="1">AND(IF(S11&gt;-O11,TRUE,FALSE),IF(T11&gt;0,TRUE,FALSE))</f>
        <v>0</v>
      </c>
      <c r="P12" s="103" t="b">
        <f ca="1">AND(IF(M11&gt;-P11,TRUE,FALSE),IF(T11&lt;0,TRUE,FALSE))</f>
        <v>0</v>
      </c>
      <c r="Q12" s="103" t="b">
        <f ca="1">IF(S11&gt;Q11,TRUE,FALSE)</f>
        <v>0</v>
      </c>
      <c r="R12" s="110"/>
      <c r="S12" s="115"/>
      <c r="T12" s="99" cm="1">
        <f t="array" aca="1" ref="T12" ca="1">INDIRECT(ADDRESS($B12,9,,,"mkt data"))</f>
        <v>-3000</v>
      </c>
      <c r="U12" s="49">
        <f t="shared" ca="1" si="3"/>
        <v>-3000</v>
      </c>
      <c r="V12" s="50"/>
      <c r="W12" s="20"/>
      <c r="X12" s="77">
        <v>4.0000000000000001E-3</v>
      </c>
      <c r="Y12" s="77">
        <v>2E-3</v>
      </c>
      <c r="Z12" s="78" t="s">
        <v>109</v>
      </c>
      <c r="AA12" s="20"/>
      <c r="AB12" s="56"/>
      <c r="AR12" s="63"/>
    </row>
    <row r="13" spans="1:53" x14ac:dyDescent="0.25">
      <c r="A13" s="29">
        <f>MATCH(D13,'TRADING INPUTS'!B:B,0)</f>
        <v>12</v>
      </c>
      <c r="B13" s="81">
        <f>MATCH(D13,'MKT DATA'!B:B,0)</f>
        <v>27</v>
      </c>
      <c r="C13" s="30" t="s">
        <v>64</v>
      </c>
      <c r="D13" s="31" t="s">
        <v>63</v>
      </c>
      <c r="E13" s="85" cm="1">
        <f t="array" aca="1" ref="E13" ca="1">INDIRECT(ADDRESS($B13,5,,,"mkt data"))</f>
        <v>24.03</v>
      </c>
      <c r="F13" s="86" cm="1">
        <f t="array" aca="1" ref="F13" ca="1">INDIRECT(ADDRESS($B13,6,,,"mkt data"))</f>
        <v>24.04</v>
      </c>
      <c r="G13" s="32">
        <f t="shared" ca="1" si="1"/>
        <v>24.025000000000002</v>
      </c>
      <c r="H13" s="32">
        <f t="shared" ca="1" si="2"/>
        <v>24.044999999999998</v>
      </c>
      <c r="I13" s="91" cm="1">
        <f t="array" aca="1" ref="I13" ca="1">INDIRECT(ADDRESS($A13,5,,,"trading inputs"))</f>
        <v>2.79585253523324</v>
      </c>
      <c r="J13" s="33">
        <f t="shared" ref="J13:J14" ca="1" si="11">G13*I13</f>
        <v>67.170357158978589</v>
      </c>
      <c r="K13" s="33">
        <f t="shared" ref="K13:K14" ca="1" si="12">-I13*H13</f>
        <v>-67.226274209683254</v>
      </c>
      <c r="L13" s="109">
        <f ca="1">K13+J14</f>
        <v>-0.17127420968324714</v>
      </c>
      <c r="M13" s="107">
        <f ca="1">L13/AVERAGE(J14,-K14)</f>
        <v>-2.553853868385106E-3</v>
      </c>
      <c r="N13" s="102">
        <f>X13</f>
        <v>5.0000000000000001E-3</v>
      </c>
      <c r="O13" s="102">
        <f>X14</f>
        <v>3.0000000000000001E-3</v>
      </c>
      <c r="P13" s="102">
        <f>Y14</f>
        <v>1E-3</v>
      </c>
      <c r="Q13" s="102">
        <f>Y13</f>
        <v>2E-3</v>
      </c>
      <c r="R13" s="109">
        <f ca="1">J13+K14</f>
        <v>9.5357158978600864E-2</v>
      </c>
      <c r="S13" s="114">
        <f ca="1">R13/AVERAGE(J14,-K14)</f>
        <v>1.421861760659075E-3</v>
      </c>
      <c r="T13" s="98" cm="1">
        <f t="array" aca="1" ref="T13" ca="1">INDIRECT(ADDRESS($B13,9,,,"mkt data"))</f>
        <v>0</v>
      </c>
      <c r="U13" s="47">
        <f t="shared" ca="1" si="3"/>
        <v>0</v>
      </c>
      <c r="V13" s="112">
        <f ca="1">SUM(U13:U14)</f>
        <v>0</v>
      </c>
      <c r="W13" s="20"/>
      <c r="X13" s="76">
        <v>5.0000000000000001E-3</v>
      </c>
      <c r="Y13" s="77">
        <v>2E-3</v>
      </c>
      <c r="Z13" s="78" t="s">
        <v>108</v>
      </c>
      <c r="AA13" s="20"/>
      <c r="AB13" s="57" t="s">
        <v>105</v>
      </c>
      <c r="AC13" s="60">
        <v>20</v>
      </c>
      <c r="AD13" s="66">
        <v>-5.0000000000000001E-3</v>
      </c>
      <c r="AE13" s="66">
        <v>-3.0000000000000001E-3</v>
      </c>
      <c r="AF13" s="66">
        <v>1E-3</v>
      </c>
      <c r="AG13" s="66">
        <v>2E-3</v>
      </c>
      <c r="AI13" s="2">
        <v>322.83999999999997</v>
      </c>
      <c r="AJ13" s="2">
        <v>1626.57</v>
      </c>
      <c r="AK13" s="2">
        <v>1949.41</v>
      </c>
      <c r="AL13" s="2">
        <v>-621.69500000000005</v>
      </c>
      <c r="AM13" s="2">
        <v>-158.47905800000001</v>
      </c>
      <c r="AN13" s="2">
        <v>1169.235942</v>
      </c>
      <c r="AO13" s="2">
        <v>-29134.976268999999</v>
      </c>
      <c r="AP13" s="2">
        <v>-143.91096999999999</v>
      </c>
      <c r="AQ13" s="2">
        <v>58126.041567</v>
      </c>
      <c r="AR13" s="63">
        <f t="shared" si="4"/>
        <v>0.29063020783499999</v>
      </c>
      <c r="AS13" s="66">
        <v>3.7829000000000002E-2</v>
      </c>
      <c r="AT13" s="55">
        <v>1.6052869999999999</v>
      </c>
      <c r="AU13" s="2">
        <v>-990.74087399999996</v>
      </c>
      <c r="AV13">
        <v>21</v>
      </c>
      <c r="AW13">
        <v>4</v>
      </c>
      <c r="AX13">
        <v>7</v>
      </c>
      <c r="AY13">
        <v>0</v>
      </c>
      <c r="AZ13">
        <v>0</v>
      </c>
      <c r="BA13" s="8">
        <v>124339</v>
      </c>
    </row>
    <row r="14" spans="1:53" ht="15.75" thickBot="1" x14ac:dyDescent="0.3">
      <c r="A14" s="34">
        <f>MATCH(D14,'TRADING INPUTS'!B:B,0)</f>
        <v>13</v>
      </c>
      <c r="B14" s="82">
        <f>MATCH(D14,'MKT DATA'!B:B,0)</f>
        <v>41</v>
      </c>
      <c r="C14" s="35" t="s">
        <v>64</v>
      </c>
      <c r="D14" s="36" t="s">
        <v>64</v>
      </c>
      <c r="E14" s="87" cm="1">
        <f t="array" aca="1" ref="E14" ca="1">INDIRECT(ADDRESS($B14,5,,,"mkt data"))</f>
        <v>67.06</v>
      </c>
      <c r="F14" s="88" cm="1">
        <f t="array" aca="1" ref="F14" ca="1">INDIRECT(ADDRESS($B14,6,,,"mkt data"))</f>
        <v>67.069999999999993</v>
      </c>
      <c r="G14" s="37">
        <f t="shared" ca="1" si="1"/>
        <v>67.055000000000007</v>
      </c>
      <c r="H14" s="37">
        <f t="shared" ca="1" si="2"/>
        <v>67.074999999999989</v>
      </c>
      <c r="I14" s="92" cm="1">
        <f t="array" aca="1" ref="I14" ca="1">INDIRECT(ADDRESS($A14,5,,,"trading inputs"))</f>
        <v>1</v>
      </c>
      <c r="J14" s="38">
        <f t="shared" ca="1" si="11"/>
        <v>67.055000000000007</v>
      </c>
      <c r="K14" s="38">
        <f t="shared" ca="1" si="12"/>
        <v>-67.074999999999989</v>
      </c>
      <c r="L14" s="110"/>
      <c r="M14" s="108"/>
      <c r="N14" s="103" t="b">
        <f ca="1">IF(M13&gt;N13,TRUE,FALSE)</f>
        <v>0</v>
      </c>
      <c r="O14" s="103" t="b">
        <f ca="1">AND(IF(S13&gt;-O13,TRUE,FALSE),IF(T13&gt;0,TRUE,FALSE))</f>
        <v>0</v>
      </c>
      <c r="P14" s="103" t="b">
        <f ca="1">AND(IF(M13&gt;-P13,TRUE,FALSE),IF(T13&lt;0,TRUE,FALSE))</f>
        <v>0</v>
      </c>
      <c r="Q14" s="103" t="b">
        <f ca="1">IF(S13&gt;Q13,TRUE,FALSE)</f>
        <v>0</v>
      </c>
      <c r="R14" s="110"/>
      <c r="S14" s="115"/>
      <c r="T14" s="99" cm="1">
        <f t="array" aca="1" ref="T14" ca="1">INDIRECT(ADDRESS($B14,9,,,"mkt data"))</f>
        <v>0</v>
      </c>
      <c r="U14" s="49">
        <f t="shared" ca="1" si="3"/>
        <v>0</v>
      </c>
      <c r="V14" s="113"/>
      <c r="W14" s="20"/>
      <c r="X14" s="77">
        <v>3.0000000000000001E-3</v>
      </c>
      <c r="Y14" s="77">
        <v>1E-3</v>
      </c>
      <c r="Z14" s="78" t="s">
        <v>109</v>
      </c>
      <c r="AA14" s="20"/>
      <c r="AB14" s="56"/>
    </row>
    <row r="15" spans="1:53" x14ac:dyDescent="0.25">
      <c r="A15" s="29">
        <f>MATCH(D15,'TRADING INPUTS'!B:B,0)</f>
        <v>14</v>
      </c>
      <c r="B15" s="81">
        <f>MATCH(D15,'MKT DATA'!B:B,0)</f>
        <v>5</v>
      </c>
      <c r="C15" s="30" t="s">
        <v>56</v>
      </c>
      <c r="D15" s="31" t="s">
        <v>49</v>
      </c>
      <c r="E15" s="85" cm="1">
        <f t="array" aca="1" ref="E15" ca="1">INDIRECT(ADDRESS($B15,5,,,"mkt data"))</f>
        <v>47.69</v>
      </c>
      <c r="F15" s="86" cm="1">
        <f t="array" aca="1" ref="F15" ca="1">INDIRECT(ADDRESS($B15,6,,,"mkt data"))</f>
        <v>47.7</v>
      </c>
      <c r="G15" s="32">
        <f t="shared" ca="1" si="1"/>
        <v>47.684999999999995</v>
      </c>
      <c r="H15" s="32">
        <f t="shared" ca="1" si="2"/>
        <v>47.705000000000005</v>
      </c>
      <c r="I15" s="91" cm="1">
        <f t="array" aca="1" ref="I15" ca="1">INDIRECT(ADDRESS($A15,5,,,"trading inputs"))</f>
        <v>1.0431563562258619</v>
      </c>
      <c r="J15" s="33">
        <f t="shared" ref="J15" ca="1" si="13">G15*I15</f>
        <v>49.742910846630217</v>
      </c>
      <c r="K15" s="33">
        <f t="shared" ref="K15" ca="1" si="14">-I15*H15</f>
        <v>-49.763773973754745</v>
      </c>
      <c r="L15" s="109">
        <f ca="1">K15+J16</f>
        <v>2.1226026245251717E-2</v>
      </c>
      <c r="M15" s="107">
        <f ca="1">L15/AVERAGE(J16,-K16)</f>
        <v>4.2626822462600095E-4</v>
      </c>
      <c r="N15" s="102">
        <f>X15</f>
        <v>0.01</v>
      </c>
      <c r="O15" s="102">
        <f>X16</f>
        <v>0.01</v>
      </c>
      <c r="P15" s="102">
        <f>Y16</f>
        <v>0.01</v>
      </c>
      <c r="Q15" s="102">
        <f>Y15</f>
        <v>0.01</v>
      </c>
      <c r="R15" s="109">
        <f ca="1">J15+K16</f>
        <v>-6.2089153369782935E-2</v>
      </c>
      <c r="S15" s="114">
        <f ca="1">R15/AVERAGE(J16,-K16)</f>
        <v>-1.2468953382826174E-3</v>
      </c>
      <c r="T15" s="98" cm="1">
        <f t="array" aca="1" ref="T15" ca="1">INDIRECT(ADDRESS($B15,9,,,"mkt data"))</f>
        <v>0</v>
      </c>
      <c r="U15" s="47">
        <f t="shared" ca="1" si="3"/>
        <v>0</v>
      </c>
      <c r="V15" s="116">
        <f ca="1">SUM(U15:U16)</f>
        <v>0</v>
      </c>
      <c r="W15" s="20"/>
      <c r="X15" s="76">
        <v>0.01</v>
      </c>
      <c r="Y15" s="77">
        <v>0.01</v>
      </c>
      <c r="Z15" s="78" t="s">
        <v>108</v>
      </c>
      <c r="AA15" s="20"/>
      <c r="AB15" s="56"/>
    </row>
    <row r="16" spans="1:53" ht="15.75" thickBot="1" x14ac:dyDescent="0.3">
      <c r="A16" s="34">
        <f>MATCH(D16,'TRADING INPUTS'!B:B,0)</f>
        <v>15</v>
      </c>
      <c r="B16" s="82">
        <f>MATCH(D16,'MKT DATA'!B:B,0)</f>
        <v>15</v>
      </c>
      <c r="C16" s="35" t="s">
        <v>56</v>
      </c>
      <c r="D16" s="36" t="s">
        <v>56</v>
      </c>
      <c r="E16" s="87" cm="1">
        <f t="array" aca="1" ref="E16" ca="1">INDIRECT(ADDRESS($B16,5,,,"mkt data"))</f>
        <v>49.79</v>
      </c>
      <c r="F16" s="88" cm="1">
        <f t="array" aca="1" ref="F16" ca="1">INDIRECT(ADDRESS($B16,6,,,"mkt data"))</f>
        <v>49.8</v>
      </c>
      <c r="G16" s="37">
        <f t="shared" ca="1" si="1"/>
        <v>49.784999999999997</v>
      </c>
      <c r="H16" s="37">
        <f t="shared" ca="1" si="2"/>
        <v>49.805</v>
      </c>
      <c r="I16" s="92" cm="1">
        <f t="array" aca="1" ref="I16" ca="1">INDIRECT(ADDRESS($A16,5,,,"trading inputs"))</f>
        <v>1</v>
      </c>
      <c r="J16" s="38">
        <f ca="1">G16*I16</f>
        <v>49.784999999999997</v>
      </c>
      <c r="K16" s="38">
        <f ca="1">-I16*H16</f>
        <v>-49.805</v>
      </c>
      <c r="L16" s="110"/>
      <c r="M16" s="108"/>
      <c r="N16" s="103" t="b">
        <f ca="1">IF(M15&gt;N15,TRUE,FALSE)</f>
        <v>0</v>
      </c>
      <c r="O16" s="103" t="b">
        <f ca="1">AND(IF(S15&gt;-O15,TRUE,FALSE),IF(T15&gt;0,TRUE,FALSE))</f>
        <v>0</v>
      </c>
      <c r="P16" s="103" t="b">
        <f ca="1">AND(IF(M15&gt;-P15,TRUE,FALSE),IF(T15&lt;0,TRUE,FALSE))</f>
        <v>0</v>
      </c>
      <c r="Q16" s="103" t="b">
        <f ca="1">IF(S15&gt;Q15,TRUE,FALSE)</f>
        <v>0</v>
      </c>
      <c r="R16" s="110"/>
      <c r="S16" s="115"/>
      <c r="T16" s="99" cm="1">
        <f t="array" aca="1" ref="T16" ca="1">INDIRECT(ADDRESS($B16,9,,,"mkt data"))</f>
        <v>0</v>
      </c>
      <c r="U16" s="49">
        <f t="shared" ca="1" si="3"/>
        <v>0</v>
      </c>
      <c r="V16" s="117"/>
      <c r="W16" s="20"/>
      <c r="X16" s="77">
        <v>0.01</v>
      </c>
      <c r="Y16" s="77">
        <v>0.01</v>
      </c>
      <c r="Z16" s="78" t="s">
        <v>109</v>
      </c>
      <c r="AA16" s="20"/>
      <c r="AB16" s="56"/>
    </row>
    <row r="17" spans="1:29" x14ac:dyDescent="0.25">
      <c r="A17" s="29">
        <f>MATCH(D17,'TRADING INPUTS'!B:B,0)</f>
        <v>16</v>
      </c>
      <c r="B17" s="81">
        <f>MATCH(D17,'MKT DATA'!B:B,0)</f>
        <v>12</v>
      </c>
      <c r="C17" s="30" t="s">
        <v>48</v>
      </c>
      <c r="D17" s="31" t="s">
        <v>55</v>
      </c>
      <c r="E17" s="85" cm="1">
        <f t="array" aca="1" ref="E17" ca="1">INDIRECT(ADDRESS($B17,5,,,"mkt data"))</f>
        <v>27</v>
      </c>
      <c r="F17" s="86" cm="1">
        <f t="array" aca="1" ref="F17" ca="1">INDIRECT(ADDRESS($B17,6,,,"mkt data"))</f>
        <v>27.01</v>
      </c>
      <c r="G17" s="32">
        <f t="shared" ca="1" si="1"/>
        <v>26.995000000000001</v>
      </c>
      <c r="H17" s="32">
        <f t="shared" ca="1" si="2"/>
        <v>27.015000000000001</v>
      </c>
      <c r="I17" s="91" cm="1">
        <f t="array" aca="1" ref="I17" ca="1">INDIRECT(ADDRESS($A17,5,,,"trading inputs"))</f>
        <v>1.0737603516389007</v>
      </c>
      <c r="J17" s="33">
        <f ca="1">G17*I17</f>
        <v>28.986160692492124</v>
      </c>
      <c r="K17" s="33">
        <f ca="1">-I17*H17</f>
        <v>-29.007635899524903</v>
      </c>
      <c r="L17" s="109">
        <f ca="1">K17+J18</f>
        <v>-2.635899524900509E-3</v>
      </c>
      <c r="M17" s="107">
        <f ca="1">L17/AVERAGE(J18,-K18)</f>
        <v>-9.0846097704653074E-5</v>
      </c>
      <c r="N17" s="102">
        <f>X17</f>
        <v>0.01</v>
      </c>
      <c r="O17" s="102">
        <f>X18</f>
        <v>0.01</v>
      </c>
      <c r="P17" s="102">
        <f>Y18</f>
        <v>0.01</v>
      </c>
      <c r="Q17" s="102">
        <f>Y17</f>
        <v>0.01</v>
      </c>
      <c r="R17" s="109">
        <f ca="1">J17+K18</f>
        <v>-3.8839307507874565E-2</v>
      </c>
      <c r="S17" s="114">
        <f ca="1">R17/AVERAGE(J18,-K18)</f>
        <v>-1.33859408953557E-3</v>
      </c>
      <c r="T17" s="98" cm="1">
        <f t="array" aca="1" ref="T17" ca="1">INDIRECT(ADDRESS($B17,9,,,"mkt data"))</f>
        <v>0</v>
      </c>
      <c r="U17" s="47">
        <f t="shared" ca="1" si="3"/>
        <v>0</v>
      </c>
      <c r="V17" s="48">
        <f ca="1">SUM(U17:U18)</f>
        <v>0</v>
      </c>
      <c r="W17" s="20"/>
      <c r="X17" s="76">
        <v>0.01</v>
      </c>
      <c r="Y17" s="77">
        <v>0.01</v>
      </c>
      <c r="Z17" s="78" t="s">
        <v>108</v>
      </c>
      <c r="AA17" s="20"/>
      <c r="AC17" s="100">
        <f ca="1">+I11-0.33</f>
        <v>1.3185213810037559</v>
      </c>
    </row>
    <row r="18" spans="1:29" ht="15.75" thickBot="1" x14ac:dyDescent="0.3">
      <c r="A18" s="34">
        <f>MATCH(D18,'TRADING INPUTS'!B:B,0)</f>
        <v>17</v>
      </c>
      <c r="B18" s="82">
        <f>MATCH(D18,'MKT DATA'!B:B,0)</f>
        <v>3</v>
      </c>
      <c r="C18" s="35" t="s">
        <v>48</v>
      </c>
      <c r="D18" s="36" t="s">
        <v>48</v>
      </c>
      <c r="E18" s="87" cm="1">
        <f t="array" aca="1" ref="E18" ca="1">INDIRECT(ADDRESS($B18,5,,,"mkt data"))</f>
        <v>29.01</v>
      </c>
      <c r="F18" s="88" cm="1">
        <f t="array" aca="1" ref="F18" ca="1">INDIRECT(ADDRESS($B18,6,,,"mkt data"))</f>
        <v>29.02</v>
      </c>
      <c r="G18" s="37">
        <f t="shared" ca="1" si="1"/>
        <v>29.005000000000003</v>
      </c>
      <c r="H18" s="37">
        <f t="shared" ca="1" si="2"/>
        <v>29.024999999999999</v>
      </c>
      <c r="I18" s="92" cm="1">
        <f t="array" aca="1" ref="I18" ca="1">INDIRECT(ADDRESS($A18,5,,,"trading inputs"))</f>
        <v>1</v>
      </c>
      <c r="J18" s="38">
        <f ca="1">G18*I18</f>
        <v>29.005000000000003</v>
      </c>
      <c r="K18" s="38">
        <f ca="1">-I18*H18</f>
        <v>-29.024999999999999</v>
      </c>
      <c r="L18" s="110"/>
      <c r="M18" s="108"/>
      <c r="N18" s="103" t="b">
        <f ca="1">IF(M17&gt;N17,TRUE,FALSE)</f>
        <v>0</v>
      </c>
      <c r="O18" s="103" t="b">
        <f ca="1">AND(IF(S17&gt;-O17,TRUE,FALSE),IF(T17&gt;0,TRUE,FALSE))</f>
        <v>0</v>
      </c>
      <c r="P18" s="103" t="b">
        <f ca="1">AND(IF(M17&gt;-P17,TRUE,FALSE),IF(T17&lt;0,TRUE,FALSE))</f>
        <v>0</v>
      </c>
      <c r="Q18" s="103" t="b">
        <f ca="1">IF(S17&gt;Q17,TRUE,FALSE)</f>
        <v>0</v>
      </c>
      <c r="R18" s="110"/>
      <c r="S18" s="115"/>
      <c r="T18" s="99" cm="1">
        <f t="array" aca="1" ref="T18" ca="1">INDIRECT(ADDRESS($B18,9,,,"mkt data"))</f>
        <v>0</v>
      </c>
      <c r="U18" s="49">
        <f t="shared" ca="1" si="3"/>
        <v>0</v>
      </c>
      <c r="V18" s="50"/>
      <c r="W18" s="20"/>
      <c r="X18" s="77">
        <v>0.01</v>
      </c>
      <c r="Y18" s="77">
        <v>0.01</v>
      </c>
      <c r="Z18" s="78" t="s">
        <v>109</v>
      </c>
      <c r="AA18" s="20"/>
    </row>
    <row r="19" spans="1:29" x14ac:dyDescent="0.25">
      <c r="A19" s="111" t="str">
        <f>'MKT DATA'!J2</f>
        <v>2026-08-24_11-38-20</v>
      </c>
      <c r="B19" s="111"/>
      <c r="C19" s="111"/>
      <c r="W19" s="20"/>
      <c r="Y19" s="20"/>
      <c r="Z19" s="20"/>
      <c r="AA19" s="20"/>
    </row>
    <row r="20" spans="1:29" x14ac:dyDescent="0.25">
      <c r="W20" s="20"/>
      <c r="X20" s="20"/>
      <c r="Y20" s="20"/>
      <c r="Z20" s="20"/>
      <c r="AA20" s="20"/>
    </row>
    <row r="21" spans="1:29" x14ac:dyDescent="0.25">
      <c r="W21" s="20"/>
      <c r="Z21" s="72"/>
      <c r="AA21" s="20"/>
    </row>
    <row r="22" spans="1:29" x14ac:dyDescent="0.25">
      <c r="I22" s="25"/>
      <c r="J22" s="25"/>
      <c r="K22" s="25"/>
      <c r="L22" s="25"/>
      <c r="M22" s="25"/>
      <c r="N22" s="25"/>
      <c r="O22" s="25"/>
      <c r="P22" s="25"/>
      <c r="W22" s="20"/>
      <c r="Z22" s="72"/>
      <c r="AA22" s="20"/>
    </row>
    <row r="23" spans="1:29" x14ac:dyDescent="0.25">
      <c r="I23" s="25"/>
      <c r="J23" s="25"/>
      <c r="K23" s="25"/>
      <c r="L23" s="25"/>
      <c r="M23" s="25"/>
      <c r="N23" s="25"/>
      <c r="O23" s="25"/>
      <c r="P23" s="25"/>
      <c r="W23" s="20"/>
      <c r="Z23" s="20"/>
      <c r="AA23" s="20"/>
    </row>
    <row r="24" spans="1:29" x14ac:dyDescent="0.25">
      <c r="I24" s="25"/>
      <c r="J24" s="25"/>
      <c r="K24" s="25"/>
      <c r="L24" s="25"/>
      <c r="M24" s="25"/>
      <c r="N24" s="25"/>
      <c r="O24" s="25"/>
      <c r="P24" s="25"/>
      <c r="W24" s="20"/>
      <c r="Z24" s="72"/>
      <c r="AA24" s="20"/>
    </row>
    <row r="25" spans="1:29" x14ac:dyDescent="0.25">
      <c r="I25" s="25"/>
      <c r="J25" s="25"/>
      <c r="K25" s="25"/>
      <c r="L25" s="25"/>
      <c r="M25" s="25"/>
      <c r="N25" s="25"/>
      <c r="O25" s="25"/>
      <c r="P25" s="25"/>
      <c r="Z25" s="72"/>
    </row>
    <row r="26" spans="1:29" x14ac:dyDescent="0.25">
      <c r="I26" s="25"/>
      <c r="J26" s="25"/>
      <c r="K26" s="25"/>
      <c r="L26" s="25"/>
      <c r="M26" s="25"/>
      <c r="N26" s="25"/>
      <c r="O26" s="25"/>
      <c r="P26" s="25"/>
    </row>
    <row r="27" spans="1:29" x14ac:dyDescent="0.25">
      <c r="I27" s="25"/>
      <c r="J27" s="25"/>
      <c r="K27" s="25"/>
      <c r="L27" s="25"/>
      <c r="M27" s="25"/>
      <c r="N27" s="25"/>
      <c r="O27" s="25"/>
      <c r="P27" s="25"/>
      <c r="Z27" s="72"/>
    </row>
    <row r="28" spans="1:29" x14ac:dyDescent="0.25">
      <c r="E28"/>
      <c r="F28"/>
      <c r="G28" s="18"/>
      <c r="H28" s="18"/>
      <c r="I28" s="18"/>
      <c r="J28" s="18"/>
      <c r="K28" s="18"/>
      <c r="L28" s="18"/>
      <c r="M28" s="18"/>
      <c r="N28" s="18"/>
      <c r="O28" s="18"/>
      <c r="P28" s="18"/>
      <c r="Z28" s="72"/>
    </row>
    <row r="29" spans="1:29" x14ac:dyDescent="0.25">
      <c r="I29" s="25"/>
      <c r="J29" s="25"/>
      <c r="K29" s="25"/>
      <c r="L29" s="25"/>
      <c r="M29" s="25"/>
      <c r="N29" s="25"/>
      <c r="O29" s="25"/>
      <c r="P29" s="25"/>
    </row>
    <row r="30" spans="1:29" x14ac:dyDescent="0.25">
      <c r="Z30" s="72"/>
    </row>
    <row r="31" spans="1:29" x14ac:dyDescent="0.25">
      <c r="Z31" s="72"/>
    </row>
    <row r="33" spans="26:26" x14ac:dyDescent="0.25">
      <c r="Z33" s="72"/>
    </row>
    <row r="34" spans="26:26" x14ac:dyDescent="0.25">
      <c r="Z34" s="72"/>
    </row>
    <row r="36" spans="26:26" x14ac:dyDescent="0.25">
      <c r="Z36" s="72"/>
    </row>
    <row r="37" spans="26:26" x14ac:dyDescent="0.25">
      <c r="Z37" s="72"/>
    </row>
    <row r="39" spans="26:26" x14ac:dyDescent="0.25">
      <c r="Z39" s="72"/>
    </row>
    <row r="40" spans="26:26" x14ac:dyDescent="0.25">
      <c r="Z40" s="72"/>
    </row>
    <row r="42" spans="26:26" x14ac:dyDescent="0.25">
      <c r="Z42" s="72"/>
    </row>
    <row r="43" spans="26:26" x14ac:dyDescent="0.25">
      <c r="Z43" s="72"/>
    </row>
  </sheetData>
  <mergeCells count="47">
    <mergeCell ref="S17:S18"/>
    <mergeCell ref="L17:L18"/>
    <mergeCell ref="M17:M18"/>
    <mergeCell ref="X1:Y1"/>
    <mergeCell ref="L1:M1"/>
    <mergeCell ref="R1:S1"/>
    <mergeCell ref="L3:L4"/>
    <mergeCell ref="L5:L6"/>
    <mergeCell ref="L7:L8"/>
    <mergeCell ref="L9:L10"/>
    <mergeCell ref="L13:L14"/>
    <mergeCell ref="L15:L16"/>
    <mergeCell ref="L11:L12"/>
    <mergeCell ref="M11:M12"/>
    <mergeCell ref="R11:R12"/>
    <mergeCell ref="T1:V1"/>
    <mergeCell ref="V3:V4"/>
    <mergeCell ref="V7:V8"/>
    <mergeCell ref="V15:V16"/>
    <mergeCell ref="A1:B1"/>
    <mergeCell ref="E1:F1"/>
    <mergeCell ref="S15:S16"/>
    <mergeCell ref="M7:M8"/>
    <mergeCell ref="R7:R8"/>
    <mergeCell ref="S7:S8"/>
    <mergeCell ref="M15:M16"/>
    <mergeCell ref="R15:R16"/>
    <mergeCell ref="S11:S12"/>
    <mergeCell ref="S3:S4"/>
    <mergeCell ref="M9:M10"/>
    <mergeCell ref="R9:R10"/>
    <mergeCell ref="V13:V14"/>
    <mergeCell ref="M13:M14"/>
    <mergeCell ref="R13:R14"/>
    <mergeCell ref="S13:S14"/>
    <mergeCell ref="V5:V6"/>
    <mergeCell ref="V9:V10"/>
    <mergeCell ref="S9:S10"/>
    <mergeCell ref="S5:S6"/>
    <mergeCell ref="M5:M6"/>
    <mergeCell ref="R5:R6"/>
    <mergeCell ref="J1:K1"/>
    <mergeCell ref="G1:H1"/>
    <mergeCell ref="M3:M4"/>
    <mergeCell ref="R3:R4"/>
    <mergeCell ref="A19:C19"/>
    <mergeCell ref="R17:R18"/>
  </mergeCells>
  <conditionalFormatting sqref="J13:J14">
    <cfRule type="top10" dxfId="19" priority="67" rank="1"/>
  </conditionalFormatting>
  <conditionalFormatting sqref="K13:K14">
    <cfRule type="top10" dxfId="18" priority="68" rank="1"/>
  </conditionalFormatting>
  <conditionalFormatting sqref="J15:J16">
    <cfRule type="top10" dxfId="17" priority="15" rank="1"/>
  </conditionalFormatting>
  <conditionalFormatting sqref="K15:K16">
    <cfRule type="top10" dxfId="16" priority="16" rank="1"/>
  </conditionalFormatting>
  <conditionalFormatting sqref="J17:J18">
    <cfRule type="top10" dxfId="15" priority="13" rank="1"/>
  </conditionalFormatting>
  <conditionalFormatting sqref="K17:K18">
    <cfRule type="top10" dxfId="14" priority="14" rank="1"/>
  </conditionalFormatting>
  <conditionalFormatting sqref="J11:J12">
    <cfRule type="top10" dxfId="13" priority="11" rank="1"/>
  </conditionalFormatting>
  <conditionalFormatting sqref="K11:K12">
    <cfRule type="top10" dxfId="12" priority="12" rank="1"/>
  </conditionalFormatting>
  <conditionalFormatting sqref="J5:J6">
    <cfRule type="top10" dxfId="11" priority="9" rank="1"/>
  </conditionalFormatting>
  <conditionalFormatting sqref="K5:K6">
    <cfRule type="top10" dxfId="10" priority="10" rank="1"/>
  </conditionalFormatting>
  <conditionalFormatting sqref="J7:J8">
    <cfRule type="top10" dxfId="9" priority="7" rank="1"/>
  </conditionalFormatting>
  <conditionalFormatting sqref="K7:K8">
    <cfRule type="top10" dxfId="8" priority="8" rank="1"/>
  </conditionalFormatting>
  <conditionalFormatting sqref="J9:J10">
    <cfRule type="top10" dxfId="7" priority="5" rank="1"/>
  </conditionalFormatting>
  <conditionalFormatting sqref="K9:K10">
    <cfRule type="top10" dxfId="6" priority="6" rank="1"/>
  </conditionalFormatting>
  <conditionalFormatting sqref="J3:J4">
    <cfRule type="top10" dxfId="5" priority="3" rank="1"/>
  </conditionalFormatting>
  <conditionalFormatting sqref="K3:K4">
    <cfRule type="top10" dxfId="4" priority="4" rank="1"/>
  </conditionalFormatting>
  <conditionalFormatting sqref="N4 N6 N8 N10 N12 N14 N16 N18 Q4 Q6 Q8 Q10 Q12 Q14 Q16 Q18">
    <cfRule type="cellIs" dxfId="3" priority="2" operator="equal">
      <formula>TRUE</formula>
    </cfRule>
  </conditionalFormatting>
  <conditionalFormatting sqref="O4:P4 O6:P6 O8:P8 O10:P10 O12:P12 O14:P14 O16:P16 O18:P18">
    <cfRule type="cellIs" dxfId="2" priority="1" operator="equal">
      <formula>TRUE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O24"/>
  <sheetViews>
    <sheetView tabSelected="1" workbookViewId="0">
      <selection activeCell="I17" sqref="I17"/>
    </sheetView>
  </sheetViews>
  <sheetFormatPr defaultRowHeight="15" x14ac:dyDescent="0.25"/>
  <cols>
    <col min="1" max="1" width="13.42578125" style="27" bestFit="1" customWidth="1"/>
    <col min="2" max="2" width="11.7109375" bestFit="1" customWidth="1"/>
    <col min="3" max="3" width="12.28515625" bestFit="1" customWidth="1"/>
    <col min="4" max="4" width="9.28515625" bestFit="1" customWidth="1"/>
    <col min="5" max="5" width="11" style="4" bestFit="1" customWidth="1"/>
    <col min="6" max="6" width="13.140625" style="40" bestFit="1" customWidth="1"/>
    <col min="7" max="7" width="8" style="42" bestFit="1" customWidth="1"/>
    <col min="8" max="8" width="11.140625" style="7" bestFit="1" customWidth="1"/>
    <col min="9" max="9" width="14" style="11" customWidth="1"/>
    <col min="10" max="10" width="45.42578125" style="13" bestFit="1" customWidth="1"/>
    <col min="12" max="12" width="11" style="4" bestFit="1" customWidth="1"/>
    <col min="13" max="13" width="9.7109375" bestFit="1" customWidth="1"/>
  </cols>
  <sheetData>
    <row r="1" spans="1:15" s="3" customFormat="1" ht="15.75" x14ac:dyDescent="0.25">
      <c r="A1" s="26" t="s">
        <v>5</v>
      </c>
      <c r="B1" s="5" t="s">
        <v>2</v>
      </c>
      <c r="C1" s="5" t="s">
        <v>1</v>
      </c>
      <c r="D1" s="5" t="s">
        <v>14</v>
      </c>
      <c r="E1" s="9" t="s">
        <v>37</v>
      </c>
      <c r="F1" s="39" t="s">
        <v>85</v>
      </c>
      <c r="G1" s="41" t="s">
        <v>88</v>
      </c>
      <c r="H1" s="6" t="s">
        <v>95</v>
      </c>
      <c r="I1" s="10"/>
      <c r="J1" s="44" t="s">
        <v>113</v>
      </c>
      <c r="L1" s="9"/>
      <c r="N1"/>
    </row>
    <row r="2" spans="1:15" ht="16.5" thickBot="1" x14ac:dyDescent="0.3">
      <c r="A2" s="27" t="b">
        <v>0</v>
      </c>
      <c r="B2" t="s">
        <v>52</v>
      </c>
      <c r="C2" t="s">
        <v>0</v>
      </c>
      <c r="D2" t="s">
        <v>57</v>
      </c>
      <c r="E2" s="4">
        <v>1.1150030351730265</v>
      </c>
      <c r="F2" s="40">
        <v>0.05</v>
      </c>
      <c r="G2" s="42">
        <f t="shared" ref="G2" si="0">ROUND(G3*E2,0)</f>
        <v>223</v>
      </c>
      <c r="H2" s="7" t="s">
        <v>97</v>
      </c>
      <c r="J2" s="45" t="s">
        <v>99</v>
      </c>
      <c r="K2" s="28"/>
      <c r="M2" s="54"/>
    </row>
    <row r="3" spans="1:15" x14ac:dyDescent="0.25">
      <c r="A3" s="27" t="b">
        <v>0</v>
      </c>
      <c r="B3" t="s">
        <v>57</v>
      </c>
      <c r="C3" t="s">
        <v>0</v>
      </c>
      <c r="D3" t="s">
        <v>57</v>
      </c>
      <c r="E3" s="4">
        <v>1</v>
      </c>
      <c r="F3" s="40">
        <v>0.05</v>
      </c>
      <c r="G3" s="42">
        <v>200</v>
      </c>
      <c r="H3" s="7" t="s">
        <v>98</v>
      </c>
      <c r="J3" s="14"/>
      <c r="M3" s="54"/>
    </row>
    <row r="4" spans="1:15" x14ac:dyDescent="0.25">
      <c r="A4" s="27" t="b">
        <v>0</v>
      </c>
      <c r="B4" t="s">
        <v>50</v>
      </c>
      <c r="C4" t="s">
        <v>0</v>
      </c>
      <c r="D4" t="s">
        <v>58</v>
      </c>
      <c r="E4" s="4">
        <v>1.8904292553555202</v>
      </c>
      <c r="F4" s="40">
        <v>0.05</v>
      </c>
      <c r="G4" s="42">
        <f>ROUND(G5*E4,0)</f>
        <v>378</v>
      </c>
      <c r="H4" s="7" t="s">
        <v>97</v>
      </c>
      <c r="J4" s="12"/>
      <c r="M4" s="54"/>
    </row>
    <row r="5" spans="1:15" x14ac:dyDescent="0.25">
      <c r="A5" s="27" t="b">
        <v>0</v>
      </c>
      <c r="B5" t="s">
        <v>58</v>
      </c>
      <c r="C5" t="s">
        <v>0</v>
      </c>
      <c r="D5" t="s">
        <v>58</v>
      </c>
      <c r="E5" s="4">
        <v>1</v>
      </c>
      <c r="F5" s="40">
        <v>0.05</v>
      </c>
      <c r="G5" s="42">
        <v>200</v>
      </c>
      <c r="H5" s="7" t="s">
        <v>98</v>
      </c>
      <c r="M5" s="54"/>
    </row>
    <row r="6" spans="1:15" x14ac:dyDescent="0.25">
      <c r="A6" s="27" t="b">
        <v>0</v>
      </c>
      <c r="B6" t="s">
        <v>66</v>
      </c>
      <c r="C6" t="s">
        <v>0</v>
      </c>
      <c r="D6" t="s">
        <v>53</v>
      </c>
      <c r="E6" s="4">
        <v>1.4382850860499452</v>
      </c>
      <c r="F6" s="40">
        <v>0.05</v>
      </c>
      <c r="G6" s="42">
        <f>ROUND(G7*E6,0)</f>
        <v>288</v>
      </c>
      <c r="H6" s="7" t="s">
        <v>97</v>
      </c>
      <c r="J6" s="12"/>
      <c r="M6" s="54"/>
    </row>
    <row r="7" spans="1:15" x14ac:dyDescent="0.25">
      <c r="A7" s="27" t="b">
        <v>0</v>
      </c>
      <c r="B7" t="s">
        <v>53</v>
      </c>
      <c r="C7" t="s">
        <v>0</v>
      </c>
      <c r="D7" t="s">
        <v>53</v>
      </c>
      <c r="E7" s="4">
        <v>1</v>
      </c>
      <c r="F7" s="40">
        <v>0.05</v>
      </c>
      <c r="G7" s="42">
        <v>200</v>
      </c>
      <c r="H7" s="7" t="s">
        <v>98</v>
      </c>
      <c r="J7" s="12"/>
      <c r="M7" s="54"/>
    </row>
    <row r="8" spans="1:15" x14ac:dyDescent="0.25">
      <c r="A8" s="27" t="b">
        <v>0</v>
      </c>
      <c r="B8" t="s">
        <v>51</v>
      </c>
      <c r="C8" t="s">
        <v>0</v>
      </c>
      <c r="D8" t="s">
        <v>65</v>
      </c>
      <c r="E8" s="4">
        <v>1.7447835547184389</v>
      </c>
      <c r="F8" s="40">
        <v>0.05</v>
      </c>
      <c r="G8" s="42">
        <f>ROUND(G9*E8,0)</f>
        <v>349</v>
      </c>
      <c r="H8" s="7" t="s">
        <v>97</v>
      </c>
      <c r="J8" s="16" t="s">
        <v>96</v>
      </c>
      <c r="M8" s="54"/>
    </row>
    <row r="9" spans="1:15" x14ac:dyDescent="0.25">
      <c r="A9" s="27" t="b">
        <v>0</v>
      </c>
      <c r="B9" t="s">
        <v>65</v>
      </c>
      <c r="C9" t="s">
        <v>0</v>
      </c>
      <c r="D9" t="s">
        <v>65</v>
      </c>
      <c r="E9" s="4">
        <v>1</v>
      </c>
      <c r="F9" s="40">
        <v>0.05</v>
      </c>
      <c r="G9" s="42">
        <v>200</v>
      </c>
      <c r="H9" s="7" t="s">
        <v>98</v>
      </c>
      <c r="M9" s="54"/>
      <c r="O9" s="54"/>
    </row>
    <row r="10" spans="1:15" x14ac:dyDescent="0.25">
      <c r="A10" s="27" t="b">
        <v>0</v>
      </c>
      <c r="B10" t="s">
        <v>62</v>
      </c>
      <c r="C10" t="s">
        <v>0</v>
      </c>
      <c r="D10" t="s">
        <v>61</v>
      </c>
      <c r="E10" s="4">
        <v>1.648521381003756</v>
      </c>
      <c r="F10" s="40">
        <v>0.16500000000000001</v>
      </c>
      <c r="G10" s="42">
        <f>ROUND(G11*E10,0)</f>
        <v>330</v>
      </c>
      <c r="H10" s="7" t="s">
        <v>97</v>
      </c>
      <c r="J10" s="12"/>
      <c r="M10" s="54"/>
    </row>
    <row r="11" spans="1:15" x14ac:dyDescent="0.25">
      <c r="A11" s="27" t="b">
        <v>0</v>
      </c>
      <c r="B11" t="s">
        <v>61</v>
      </c>
      <c r="C11" t="s">
        <v>0</v>
      </c>
      <c r="D11" t="s">
        <v>61</v>
      </c>
      <c r="E11" s="4">
        <v>1</v>
      </c>
      <c r="F11" s="40">
        <v>0.16500000000000001</v>
      </c>
      <c r="G11" s="42">
        <v>200</v>
      </c>
      <c r="H11" s="7" t="s">
        <v>98</v>
      </c>
      <c r="J11" s="12"/>
      <c r="M11" s="54"/>
    </row>
    <row r="12" spans="1:15" x14ac:dyDescent="0.25">
      <c r="A12" s="27" t="b">
        <v>0</v>
      </c>
      <c r="B12" t="s">
        <v>63</v>
      </c>
      <c r="C12" t="s">
        <v>0</v>
      </c>
      <c r="D12" t="s">
        <v>64</v>
      </c>
      <c r="E12" s="4">
        <v>2.79585253523324</v>
      </c>
      <c r="F12" s="40">
        <v>0.05</v>
      </c>
      <c r="G12" s="42">
        <f>ROUND(G13*E12,0)</f>
        <v>559</v>
      </c>
      <c r="H12" s="7" t="s">
        <v>97</v>
      </c>
      <c r="J12" s="12"/>
      <c r="K12" s="28"/>
      <c r="M12" s="54"/>
    </row>
    <row r="13" spans="1:15" x14ac:dyDescent="0.25">
      <c r="A13" s="27" t="b">
        <v>0</v>
      </c>
      <c r="B13" t="s">
        <v>64</v>
      </c>
      <c r="C13" t="s">
        <v>0</v>
      </c>
      <c r="D13" t="s">
        <v>64</v>
      </c>
      <c r="E13" s="4">
        <v>1</v>
      </c>
      <c r="F13" s="40">
        <v>0.05</v>
      </c>
      <c r="G13" s="42">
        <v>200</v>
      </c>
      <c r="H13" s="7" t="s">
        <v>98</v>
      </c>
      <c r="J13" s="12"/>
      <c r="M13" s="54"/>
    </row>
    <row r="14" spans="1:15" x14ac:dyDescent="0.25">
      <c r="A14" s="27" t="b">
        <v>0</v>
      </c>
      <c r="B14" t="s">
        <v>49</v>
      </c>
      <c r="C14" t="s">
        <v>0</v>
      </c>
      <c r="D14" t="s">
        <v>56</v>
      </c>
      <c r="E14" s="4">
        <v>1.0431563562258619</v>
      </c>
      <c r="F14" s="40">
        <v>0.05</v>
      </c>
      <c r="G14" s="42">
        <f>ROUND(G15*E14,0)</f>
        <v>209</v>
      </c>
      <c r="H14" s="7" t="s">
        <v>97</v>
      </c>
      <c r="M14" s="54"/>
    </row>
    <row r="15" spans="1:15" x14ac:dyDescent="0.25">
      <c r="A15" s="27" t="b">
        <v>0</v>
      </c>
      <c r="B15" t="s">
        <v>56</v>
      </c>
      <c r="C15" t="s">
        <v>0</v>
      </c>
      <c r="D15" t="s">
        <v>56</v>
      </c>
      <c r="E15" s="4">
        <v>1</v>
      </c>
      <c r="F15" s="40">
        <v>0.05</v>
      </c>
      <c r="G15" s="42">
        <v>200</v>
      </c>
      <c r="H15" s="7" t="s">
        <v>98</v>
      </c>
      <c r="M15" s="54"/>
    </row>
    <row r="16" spans="1:15" x14ac:dyDescent="0.25">
      <c r="A16" s="27" t="b">
        <v>0</v>
      </c>
      <c r="B16" t="s">
        <v>55</v>
      </c>
      <c r="C16" t="s">
        <v>0</v>
      </c>
      <c r="D16" t="s">
        <v>48</v>
      </c>
      <c r="E16" s="4">
        <v>1.0737603516389007</v>
      </c>
      <c r="F16" s="40">
        <v>0.05</v>
      </c>
      <c r="G16" s="42">
        <f>ROUND(G17*E16,0)</f>
        <v>215</v>
      </c>
      <c r="H16" s="7" t="s">
        <v>97</v>
      </c>
      <c r="M16" s="54"/>
    </row>
    <row r="17" spans="1:13" x14ac:dyDescent="0.25">
      <c r="A17" s="27" t="b">
        <v>0</v>
      </c>
      <c r="B17" t="s">
        <v>48</v>
      </c>
      <c r="C17" t="s">
        <v>0</v>
      </c>
      <c r="D17" t="s">
        <v>48</v>
      </c>
      <c r="E17" s="4">
        <v>1</v>
      </c>
      <c r="F17" s="40">
        <v>0.05</v>
      </c>
      <c r="G17" s="42">
        <v>200</v>
      </c>
      <c r="H17" s="7" t="s">
        <v>98</v>
      </c>
      <c r="J17" s="14"/>
      <c r="M17" s="54"/>
    </row>
    <row r="18" spans="1:13" x14ac:dyDescent="0.25">
      <c r="A18" s="27" t="b">
        <v>1</v>
      </c>
      <c r="B18" t="s">
        <v>35</v>
      </c>
      <c r="C18" t="s">
        <v>0</v>
      </c>
      <c r="D18" t="s">
        <v>35</v>
      </c>
      <c r="E18" s="4">
        <v>1</v>
      </c>
      <c r="F18" s="40">
        <v>0</v>
      </c>
      <c r="G18" s="42">
        <v>200</v>
      </c>
      <c r="H18" s="7" t="s">
        <v>97</v>
      </c>
      <c r="J18" s="12"/>
    </row>
    <row r="19" spans="1:13" x14ac:dyDescent="0.25">
      <c r="A19" s="27" t="b">
        <v>1</v>
      </c>
      <c r="B19" t="s">
        <v>34</v>
      </c>
      <c r="C19" t="s">
        <v>0</v>
      </c>
      <c r="D19" t="s">
        <v>35</v>
      </c>
      <c r="E19" s="4">
        <v>1.2633397451104682</v>
      </c>
      <c r="F19" s="40">
        <v>0</v>
      </c>
      <c r="G19" s="42">
        <v>253</v>
      </c>
      <c r="H19" s="7" t="s">
        <v>98</v>
      </c>
      <c r="J19" s="12"/>
      <c r="L19" s="46"/>
    </row>
    <row r="20" spans="1:13" x14ac:dyDescent="0.25">
      <c r="J20" s="12"/>
      <c r="K20" s="28"/>
    </row>
    <row r="24" spans="1:13" x14ac:dyDescent="0.25">
      <c r="J24" s="12"/>
      <c r="K24" s="28"/>
    </row>
  </sheetData>
  <conditionalFormatting sqref="A1:A1048576">
    <cfRule type="cellIs" dxfId="0" priority="1" operator="equal">
      <formula>TRUE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 INPUTS</vt:lpstr>
      <vt:lpstr>FI INPUTS</vt:lpstr>
      <vt:lpstr>MKT DATA</vt:lpstr>
      <vt:lpstr>WATCH SCREEN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2026-08-24T17:30:15Z</dcterms:modified>
</cp:coreProperties>
</file>