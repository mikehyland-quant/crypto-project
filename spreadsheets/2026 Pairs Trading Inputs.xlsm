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crypto\spreadsheets\"/>
    </mc:Choice>
  </mc:AlternateContent>
  <xr:revisionPtr revIDLastSave="0" documentId="13_ncr:1_{B966FE30-D763-43EE-BBF8-A0793F11FBE8}" xr6:coauthVersionLast="47" xr6:coauthVersionMax="47" xr10:uidLastSave="{00000000-0000-0000-0000-000000000000}"/>
  <bookViews>
    <workbookView xWindow="12315" yWindow="2100" windowWidth="44175" windowHeight="11280" tabRatio="762" activeTab="3" xr2:uid="{7864433A-DFC4-4915-B0C9-D347D4BABFCE}"/>
  </bookViews>
  <sheets>
    <sheet name="ADMIN INPUTS" sheetId="15" r:id="rId1"/>
    <sheet name="FI INPUTS" sheetId="16" r:id="rId2"/>
    <sheet name="MKT DATA" sheetId="19" r:id="rId3"/>
    <sheet name="WATCH SCREEN" sheetId="20" r:id="rId4"/>
    <sheet name="TRADING INPUTS" sheetId="2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" i="20" l="1"/>
  <c r="AD1" i="20"/>
  <c r="AE1" i="20"/>
  <c r="AF1" i="20"/>
  <c r="AG1" i="20"/>
  <c r="AH1" i="20"/>
  <c r="AM1" i="20"/>
  <c r="AM7" i="20"/>
  <c r="AM10" i="20"/>
  <c r="AM13" i="20"/>
  <c r="AM16" i="20"/>
  <c r="AM19" i="20"/>
  <c r="AM4" i="20"/>
  <c r="AI1" i="20"/>
  <c r="V20" i="20"/>
  <c r="V19" i="20"/>
  <c r="V14" i="20"/>
  <c r="V13" i="20"/>
  <c r="V8" i="20"/>
  <c r="V7" i="20"/>
  <c r="V23" i="20"/>
  <c r="V22" i="20"/>
  <c r="V11" i="20"/>
  <c r="V10" i="20"/>
  <c r="V17" i="20"/>
  <c r="V16" i="20"/>
  <c r="V26" i="20"/>
  <c r="V25" i="20"/>
  <c r="V5" i="20"/>
  <c r="V4" i="20"/>
  <c r="G6" i="21"/>
  <c r="G16" i="21"/>
  <c r="G14" i="21"/>
  <c r="G12" i="21"/>
  <c r="G10" i="21"/>
  <c r="G8" i="21"/>
  <c r="G4" i="21"/>
  <c r="G2" i="21"/>
  <c r="I5" i="20" a="1"/>
  <c r="I25" i="20" a="1"/>
  <c r="I26" i="20" a="1"/>
  <c r="I16" i="20" a="1"/>
  <c r="I17" i="20" a="1"/>
  <c r="I10" i="20" a="1"/>
  <c r="I11" i="20" a="1"/>
  <c r="I22" i="20" a="1"/>
  <c r="I23" i="20" a="1"/>
  <c r="I7" i="20" a="1"/>
  <c r="I8" i="20" a="1"/>
  <c r="I13" i="20" a="1"/>
  <c r="I14" i="20" a="1"/>
  <c r="I19" i="20" a="1"/>
  <c r="I20" i="20" a="1"/>
  <c r="I4" i="20" a="1"/>
  <c r="B20" i="20"/>
  <c r="A20" i="20"/>
  <c r="B19" i="20"/>
  <c r="A19" i="20"/>
  <c r="A5" i="20"/>
  <c r="B5" i="20"/>
  <c r="A25" i="20"/>
  <c r="B25" i="20"/>
  <c r="A26" i="20"/>
  <c r="B26" i="20"/>
  <c r="A16" i="20"/>
  <c r="B16" i="20"/>
  <c r="A17" i="20"/>
  <c r="B17" i="20"/>
  <c r="A10" i="20"/>
  <c r="B10" i="20"/>
  <c r="A11" i="20"/>
  <c r="B11" i="20"/>
  <c r="A22" i="20"/>
  <c r="B22" i="20"/>
  <c r="A23" i="20"/>
  <c r="B23" i="20"/>
  <c r="A7" i="20"/>
  <c r="B7" i="20"/>
  <c r="A8" i="20"/>
  <c r="B8" i="20"/>
  <c r="A13" i="20"/>
  <c r="B13" i="20"/>
  <c r="A14" i="20"/>
  <c r="B14" i="20"/>
  <c r="B4" i="20"/>
  <c r="A4" i="20"/>
  <c r="A27" i="20"/>
  <c r="P4" i="20" a="1"/>
  <c r="Q4" i="20" s="1"/>
  <c r="P5" i="20" a="1"/>
  <c r="Q5" i="20" s="1"/>
  <c r="P25" i="20" a="1"/>
  <c r="Q25" i="20" s="1"/>
  <c r="P26" i="20" a="1"/>
  <c r="Q26" i="20" s="1"/>
  <c r="P16" i="20" a="1"/>
  <c r="Q16" i="20" s="1"/>
  <c r="P17" i="20" a="1"/>
  <c r="Q17" i="20" s="1"/>
  <c r="P10" i="20" a="1"/>
  <c r="Q10" i="20" s="1"/>
  <c r="P11" i="20" a="1"/>
  <c r="Q11" i="20" s="1"/>
  <c r="P22" i="20" a="1"/>
  <c r="P23" i="20" a="1"/>
  <c r="Q23" i="20" s="1"/>
  <c r="P7" i="20" a="1"/>
  <c r="Q7" i="20" s="1"/>
  <c r="P8" i="20" a="1"/>
  <c r="Q8" i="20" s="1"/>
  <c r="P13" i="20" a="1"/>
  <c r="Q13" i="20" s="1"/>
  <c r="P14" i="20" a="1"/>
  <c r="Q14" i="20" s="1"/>
  <c r="F13" i="20" a="1"/>
  <c r="H13" i="20" s="1"/>
  <c r="E13" i="20" a="1"/>
  <c r="G13" i="20" s="1"/>
  <c r="J13" i="20" s="1"/>
  <c r="F14" i="20" a="1"/>
  <c r="H14" i="20" s="1"/>
  <c r="E14" i="20" a="1"/>
  <c r="G14" i="20" s="1"/>
  <c r="J14" i="20" s="1"/>
  <c r="F25" i="20" a="1"/>
  <c r="H25" i="20" s="1"/>
  <c r="E25" i="20" a="1"/>
  <c r="G25" i="20" s="1"/>
  <c r="J25" i="20" s="1"/>
  <c r="F26" i="20" a="1"/>
  <c r="H26" i="20" s="1"/>
  <c r="E26" i="20" a="1"/>
  <c r="G26" i="20" s="1"/>
  <c r="J26" i="20" s="1"/>
  <c r="F4" i="20" a="1"/>
  <c r="H4" i="20" s="1"/>
  <c r="E4" i="20" a="1"/>
  <c r="G4" i="20" s="1"/>
  <c r="J4" i="20" s="1"/>
  <c r="F5" i="20" a="1"/>
  <c r="H5" i="20" s="1"/>
  <c r="E5" i="20" a="1"/>
  <c r="G5" i="20" s="1"/>
  <c r="J5" i="20" s="1"/>
  <c r="F11" i="20" a="1"/>
  <c r="H11" i="20" s="1"/>
  <c r="E11" i="20" a="1"/>
  <c r="G11" i="20" s="1"/>
  <c r="J11" i="20" s="1"/>
  <c r="F10" i="20" a="1"/>
  <c r="H10" i="20" s="1"/>
  <c r="E10" i="20" a="1"/>
  <c r="G10" i="20" s="1"/>
  <c r="J10" i="20" s="1"/>
  <c r="F17" i="20" a="1"/>
  <c r="H17" i="20" s="1"/>
  <c r="E17" i="20" a="1"/>
  <c r="G17" i="20" s="1"/>
  <c r="J17" i="20" s="1"/>
  <c r="F16" i="20" a="1"/>
  <c r="H16" i="20" s="1"/>
  <c r="E16" i="20" a="1"/>
  <c r="G16" i="20" s="1"/>
  <c r="J16" i="20" s="1"/>
  <c r="F22" i="20" a="1"/>
  <c r="H22" i="20" s="1"/>
  <c r="E22" i="20" a="1"/>
  <c r="G22" i="20" s="1"/>
  <c r="J22" i="20" s="1"/>
  <c r="F23" i="20" a="1"/>
  <c r="H23" i="20" s="1"/>
  <c r="E23" i="20" a="1"/>
  <c r="G23" i="20" s="1"/>
  <c r="J23" i="20" s="1"/>
  <c r="E7" i="20" a="1"/>
  <c r="G7" i="20" s="1"/>
  <c r="J7" i="20" s="1"/>
  <c r="F7" i="20" a="1"/>
  <c r="H7" i="20" s="1"/>
  <c r="F8" i="20" a="1"/>
  <c r="H8" i="20" s="1"/>
  <c r="E8" i="20" a="1"/>
  <c r="G8" i="20" s="1"/>
  <c r="J8" i="20" s="1"/>
  <c r="B4" i="15" a="1"/>
  <c r="B2" i="15" a="1"/>
  <c r="P20" i="20" l="1" a="1"/>
  <c r="Q20" i="20" s="1"/>
  <c r="F20" i="20" a="1"/>
  <c r="H20" i="20" s="1"/>
  <c r="K20" i="20" s="1"/>
  <c r="E20" i="20" a="1"/>
  <c r="G20" i="20" s="1"/>
  <c r="J20" i="20" s="1"/>
  <c r="P19" i="20" a="1"/>
  <c r="Q19" i="20" s="1"/>
  <c r="F19" i="20" a="1"/>
  <c r="H19" i="20" s="1"/>
  <c r="K19" i="20" s="1"/>
  <c r="E19" i="20" a="1"/>
  <c r="G19" i="20" s="1"/>
  <c r="J19" i="20" s="1"/>
  <c r="R13" i="20"/>
  <c r="R7" i="20"/>
  <c r="Q22" i="20"/>
  <c r="R22" i="20" s="1"/>
  <c r="R10" i="20"/>
  <c r="R16" i="20"/>
  <c r="R25" i="20"/>
  <c r="R4" i="20"/>
  <c r="K13" i="20"/>
  <c r="L13" i="20" s="1"/>
  <c r="K14" i="20"/>
  <c r="M13" i="20" s="1"/>
  <c r="O13" i="20" s="1"/>
  <c r="K25" i="20"/>
  <c r="L25" i="20" s="1"/>
  <c r="K26" i="20"/>
  <c r="M25" i="20" s="1"/>
  <c r="O25" i="20" s="1"/>
  <c r="K4" i="20"/>
  <c r="L4" i="20" s="1"/>
  <c r="K5" i="20"/>
  <c r="M4" i="20" s="1"/>
  <c r="O4" i="20" s="1"/>
  <c r="K11" i="20"/>
  <c r="M10" i="20" s="1"/>
  <c r="O10" i="20" s="1"/>
  <c r="K10" i="20"/>
  <c r="L10" i="20" s="1"/>
  <c r="K17" i="20"/>
  <c r="M16" i="20" s="1"/>
  <c r="O16" i="20" s="1"/>
  <c r="K16" i="20"/>
  <c r="L16" i="20" s="1"/>
  <c r="K22" i="20"/>
  <c r="L22" i="20" s="1"/>
  <c r="K23" i="20"/>
  <c r="M22" i="20" s="1"/>
  <c r="O22" i="20" s="1"/>
  <c r="K7" i="20"/>
  <c r="L7" i="20" s="1"/>
  <c r="K8" i="20"/>
  <c r="M7" i="20" s="1"/>
  <c r="O7" i="20" s="1"/>
  <c r="M19" i="20" l="1"/>
  <c r="O19" i="20" s="1"/>
  <c r="N10" i="20"/>
  <c r="N13" i="20"/>
  <c r="N7" i="20"/>
  <c r="N22" i="20"/>
  <c r="N16" i="20"/>
  <c r="N25" i="20"/>
  <c r="L19" i="20"/>
  <c r="N19" i="20" s="1"/>
  <c r="N4" i="20"/>
  <c r="R19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<sst xmlns="http://schemas.openxmlformats.org/spreadsheetml/2006/main" count="426" uniqueCount="138">
  <si>
    <t>IBKR</t>
  </si>
  <si>
    <t>my_pf_name</t>
  </si>
  <si>
    <t>my_fi_name</t>
  </si>
  <si>
    <t>VTEB</t>
  </si>
  <si>
    <t>MUB</t>
  </si>
  <si>
    <t>TRUE/FALSE</t>
  </si>
  <si>
    <t>SCHZ</t>
  </si>
  <si>
    <t>SPAB</t>
  </si>
  <si>
    <t>IUSB</t>
  </si>
  <si>
    <t>BND</t>
  </si>
  <si>
    <t>AGG</t>
  </si>
  <si>
    <t>moving_avg_days</t>
  </si>
  <si>
    <t>Keys</t>
  </si>
  <si>
    <t>Values</t>
  </si>
  <si>
    <t>anchor_fi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</si>
  <si>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</si>
  <si>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</si>
  <si>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</si>
  <si>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</si>
  <si>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</si>
  <si>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</si>
  <si>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</si>
  <si>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</si>
  <si>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</si>
  <si>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</si>
  <si>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</si>
  <si>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</si>
  <si>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</si>
  <si>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</si>
  <si>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</si>
  <si>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TLT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</si>
  <si>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</si>
  <si>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</si>
  <si>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</si>
  <si>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</si>
  <si>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</si>
  <si>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</si>
  <si>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</si>
  <si>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</si>
  <si>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</si>
  <si>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</si>
  <si>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</si>
  <si>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</si>
  <si>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</si>
  <si>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</si>
  <si>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</si>
  <si>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</si>
  <si>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</si>
  <si>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</si>
  <si>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</si>
  <si>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</si>
  <si>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</si>
  <si>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</si>
  <si>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</si>
  <si>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EMLC</t>
  </si>
  <si>
    <t>FALN</t>
  </si>
  <si>
    <t>IAGG</t>
  </si>
  <si>
    <t>ICVT</t>
  </si>
  <si>
    <t>IGOV</t>
  </si>
  <si>
    <t>LQD</t>
  </si>
  <si>
    <t>PCY</t>
  </si>
  <si>
    <t>PFF</t>
  </si>
  <si>
    <t>PFFD</t>
  </si>
  <si>
    <t>SCHH</t>
  </si>
  <si>
    <t>USRT</t>
  </si>
  <si>
    <t>VTEC</t>
  </si>
  <si>
    <t>VWOB</t>
  </si>
  <si>
    <t>position</t>
  </si>
  <si>
    <t>symbol</t>
  </si>
  <si>
    <t>scalar</t>
  </si>
  <si>
    <t>bid w/ comm</t>
  </si>
  <si>
    <t>ask w/ comm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</si>
  <si>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</si>
  <si>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</si>
  <si>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</si>
  <si>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</si>
  <si>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</si>
  <si>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</si>
  <si>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</si>
  <si>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</si>
  <si>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</si>
  <si>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</si>
  <si>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</si>
  <si>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whole units</t>
  </si>
  <si>
    <t>net units</t>
  </si>
  <si>
    <t>profit_margin</t>
  </si>
  <si>
    <t>thresholds</t>
  </si>
  <si>
    <t>pair</t>
  </si>
  <si>
    <t>size</t>
  </si>
  <si>
    <t>FIs_sheet</t>
  </si>
  <si>
    <t>FIs_table</t>
  </si>
  <si>
    <t>fi_inputs</t>
  </si>
  <si>
    <t>$B$1</t>
  </si>
  <si>
    <t>trading_inputs_download_cell</t>
  </si>
  <si>
    <t>trading_inputs_upload_cell</t>
  </si>
  <si>
    <t>buy_or_sell</t>
  </si>
  <si>
    <t>add active/passive</t>
  </si>
  <si>
    <t>buy</t>
  </si>
  <si>
    <t>sell</t>
  </si>
  <si>
    <t>python app_statarb_trade.py</t>
  </si>
  <si>
    <t>cd git-crypto\crypto-project\stat_arb_trading</t>
  </si>
  <si>
    <t>lift top</t>
  </si>
  <si>
    <t>hit bottom</t>
  </si>
  <si>
    <t>hit top</t>
  </si>
  <si>
    <t>lift bottom</t>
  </si>
  <si>
    <t>mine</t>
  </si>
  <si>
    <t>research</t>
  </si>
  <si>
    <t>2026-08-20_16-56-24</t>
  </si>
  <si>
    <t>symbols</t>
  </si>
  <si>
    <t>CWB_ICVT</t>
  </si>
  <si>
    <t>movingavgdays</t>
  </si>
  <si>
    <t>longentryhurdle</t>
  </si>
  <si>
    <t>longexithurdle</t>
  </si>
  <si>
    <t>shortentryhurdle</t>
  </si>
  <si>
    <t>shortexithurdle</t>
  </si>
  <si>
    <t>longpositionpnl</t>
  </si>
  <si>
    <t>shortpositionpnl</t>
  </si>
  <si>
    <t>totalpositionpnl</t>
  </si>
  <si>
    <t>totalcommissions</t>
  </si>
  <si>
    <t>totalborrowcost</t>
  </si>
  <si>
    <t>totalnetprofit</t>
  </si>
  <si>
    <t>averagedailyshortinvestment</t>
  </si>
  <si>
    <t>averagedailynetinvestment</t>
  </si>
  <si>
    <t>averagedailygrossinvestment</t>
  </si>
  <si>
    <t>returnonavggrossinvestment</t>
  </si>
  <si>
    <t>annualizedSharpe</t>
  </si>
  <si>
    <t>maximumdrawdown</t>
  </si>
  <si>
    <t>positionchanges</t>
  </si>
  <si>
    <t>longentries</t>
  </si>
  <si>
    <t>shortentries</t>
  </si>
  <si>
    <t>longtoshortflips</t>
  </si>
  <si>
    <t>shorttolongflips</t>
  </si>
  <si>
    <t>totalsharestraded</t>
  </si>
  <si>
    <t>BWX_IGOV</t>
  </si>
  <si>
    <t>VWOB_EMB</t>
  </si>
  <si>
    <t>CMF_VTEC</t>
  </si>
  <si>
    <t>PFFD_PFF</t>
  </si>
  <si>
    <t>SCHH_USRT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</si>
</sst>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&quot;$&quot;* #,##0.0000_);_(&quot;$&quot;* \(#,##0.0000\);_(&quot;$&quot;* &quot;-&quot;??_);_(@_)"/>
    <numFmt numFmtId="166" formatCode="_(* #,##0_);_(* \(#,##0\);_(* &quot;-&quot;??_);_(@_)"/>
    <numFmt numFmtId="167" formatCode="_(&quot;$&quot;* #,##0.000_);_(&quot;$&quot;* \(#,##0.000\);_(&quot;$&quot;* &quot;-&quot;??_);_(@_)"/>
    <numFmt numFmtId="168" formatCode="0.000%"/>
    <numFmt numFmtId="169" formatCode="&quot;$&quot;#,##0.000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u/>
      <sz val="11"/>
      <color theme="8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sz val="12"/>
      <color theme="1"/>
      <name val="Arial"/>
      <family val="2"/>
    </font>
    <font>
      <sz val="11"/>
      <color rgb="FFBBBEBF"/>
      <name val="Consolas"/>
      <family val="3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11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0" fontId="4" fillId="2" borderId="0" xfId="0" applyFont="1" applyFill="1" applyAlignment="1">
      <alignment horizontal="right"/>
    </xf>
    <xf numFmtId="0" fontId="0" fillId="2" borderId="0" xfId="0" applyFill="1"/>
    <xf numFmtId="166" fontId="0" fillId="0" borderId="0" xfId="3" applyNumberFormat="1" applyFont="1"/>
    <xf numFmtId="0" fontId="4" fillId="0" borderId="0" xfId="1" applyNumberFormat="1" applyFont="1" applyAlignment="1">
      <alignment horizontal="right"/>
    </xf>
    <xf numFmtId="0" fontId="5" fillId="0" borderId="0" xfId="3" applyNumberFormat="1" applyFont="1" applyAlignment="1">
      <alignment horizontal="right"/>
    </xf>
    <xf numFmtId="166" fontId="3" fillId="0" borderId="0" xfId="3" applyNumberFormat="1" applyFont="1"/>
    <xf numFmtId="7" fontId="3" fillId="0" borderId="0" xfId="0" applyNumberFormat="1" applyFont="1"/>
    <xf numFmtId="0" fontId="3" fillId="0" borderId="0" xfId="0" applyFont="1"/>
    <xf numFmtId="43" fontId="3" fillId="0" borderId="0" xfId="0" applyNumberFormat="1" applyFont="1"/>
    <xf numFmtId="167" fontId="0" fillId="0" borderId="0" xfId="1" applyNumberFormat="1" applyFont="1"/>
    <xf numFmtId="0" fontId="6" fillId="0" borderId="0" xfId="0" applyFont="1"/>
    <xf numFmtId="0" fontId="7" fillId="0" borderId="0" xfId="0" applyFont="1"/>
    <xf numFmtId="164" fontId="7" fillId="0" borderId="0" xfId="3" applyNumberFormat="1" applyFont="1"/>
    <xf numFmtId="0" fontId="10" fillId="0" borderId="0" xfId="0" applyFont="1"/>
    <xf numFmtId="167" fontId="0" fillId="0" borderId="0" xfId="0" applyNumberForma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4" fontId="8" fillId="0" borderId="0" xfId="1" applyFont="1" applyAlignment="1">
      <alignment horizontal="center"/>
    </xf>
    <xf numFmtId="167" fontId="8" fillId="0" borderId="0" xfId="1" applyNumberFormat="1" applyFont="1" applyAlignment="1">
      <alignment horizontal="center"/>
    </xf>
    <xf numFmtId="164" fontId="8" fillId="0" borderId="0" xfId="3" applyNumberFormat="1" applyFont="1" applyAlignment="1">
      <alignment horizontal="center"/>
    </xf>
    <xf numFmtId="0" fontId="7" fillId="0" borderId="0" xfId="0" applyFont="1" applyAlignment="1">
      <alignment horizontal="center"/>
    </xf>
    <xf numFmtId="167" fontId="9" fillId="0" borderId="0" xfId="1" applyNumberFormat="1" applyFont="1" applyAlignment="1">
      <alignment horizontal="center"/>
    </xf>
    <xf numFmtId="167" fontId="10" fillId="0" borderId="0" xfId="1" applyNumberFormat="1" applyFont="1"/>
    <xf numFmtId="0" fontId="13" fillId="2" borderId="0" xfId="3" applyNumberFormat="1" applyFont="1" applyFill="1" applyAlignment="1">
      <alignment horizontal="center"/>
    </xf>
    <xf numFmtId="43" fontId="14" fillId="2" borderId="0" xfId="3" applyFont="1" applyFill="1" applyAlignment="1">
      <alignment horizontal="center"/>
    </xf>
    <xf numFmtId="7" fontId="0" fillId="0" borderId="0" xfId="0" applyNumberFormat="1"/>
    <xf numFmtId="0" fontId="10" fillId="0" borderId="1" xfId="0" applyFont="1" applyBorder="1"/>
    <xf numFmtId="0" fontId="10" fillId="0" borderId="2" xfId="0" applyFont="1" applyBorder="1"/>
    <xf numFmtId="0" fontId="6" fillId="0" borderId="2" xfId="0" applyFont="1" applyBorder="1"/>
    <xf numFmtId="44" fontId="0" fillId="0" borderId="2" xfId="1" applyFont="1" applyBorder="1"/>
    <xf numFmtId="167" fontId="10" fillId="0" borderId="2" xfId="1" applyNumberFormat="1" applyFont="1" applyBorder="1"/>
    <xf numFmtId="167" fontId="0" fillId="0" borderId="2" xfId="1" applyNumberFormat="1" applyFont="1" applyBorder="1"/>
    <xf numFmtId="0" fontId="10" fillId="0" borderId="4" xfId="0" applyFont="1" applyBorder="1"/>
    <xf numFmtId="0" fontId="10" fillId="0" borderId="5" xfId="0" applyFont="1" applyBorder="1"/>
    <xf numFmtId="0" fontId="6" fillId="0" borderId="5" xfId="0" applyFont="1" applyBorder="1"/>
    <xf numFmtId="44" fontId="0" fillId="0" borderId="5" xfId="1" applyFont="1" applyBorder="1"/>
    <xf numFmtId="167" fontId="10" fillId="0" borderId="5" xfId="1" applyNumberFormat="1" applyFont="1" applyBorder="1"/>
    <xf numFmtId="167" fontId="0" fillId="0" borderId="5" xfId="1" applyNumberFormat="1" applyFont="1" applyBorder="1"/>
    <xf numFmtId="0" fontId="4" fillId="2" borderId="0" xfId="1" applyNumberFormat="1" applyFont="1" applyFill="1" applyAlignment="1">
      <alignment horizontal="right"/>
    </xf>
    <xf numFmtId="165" fontId="0" fillId="2" borderId="0" xfId="1" applyNumberFormat="1" applyFont="1" applyFill="1"/>
    <xf numFmtId="43" fontId="4" fillId="2" borderId="0" xfId="3" applyFont="1" applyFill="1" applyAlignment="1">
      <alignment horizontal="right"/>
    </xf>
    <xf numFmtId="43" fontId="0" fillId="2" borderId="0" xfId="3" applyFont="1" applyFill="1"/>
    <xf numFmtId="22" fontId="0" fillId="0" borderId="0" xfId="0" applyNumberFormat="1" applyAlignment="1">
      <alignment horizontal="center"/>
    </xf>
    <xf numFmtId="0" fontId="15" fillId="3" borderId="7" xfId="0" applyFont="1" applyFill="1" applyBorder="1"/>
    <xf numFmtId="0" fontId="15" fillId="3" borderId="8" xfId="0" applyFont="1" applyFill="1" applyBorder="1"/>
    <xf numFmtId="167" fontId="0" fillId="0" borderId="2" xfId="0" applyNumberFormat="1" applyBorder="1" applyAlignment="1">
      <alignment vertical="center"/>
    </xf>
    <xf numFmtId="0" fontId="0" fillId="0" borderId="5" xfId="0" applyBorder="1" applyAlignment="1">
      <alignment vertical="center"/>
    </xf>
    <xf numFmtId="0" fontId="16" fillId="0" borderId="0" xfId="0" applyFont="1"/>
    <xf numFmtId="14" fontId="0" fillId="0" borderId="0" xfId="0" applyNumberFormat="1"/>
    <xf numFmtId="166" fontId="18" fillId="0" borderId="0" xfId="3" applyNumberFormat="1" applyFont="1" applyAlignment="1">
      <alignment horizontal="center"/>
    </xf>
    <xf numFmtId="0" fontId="18" fillId="0" borderId="0" xfId="0" applyFont="1" applyAlignment="1">
      <alignment horizontal="center"/>
    </xf>
    <xf numFmtId="166" fontId="19" fillId="0" borderId="2" xfId="3" applyNumberFormat="1" applyFont="1" applyBorder="1"/>
    <xf numFmtId="43" fontId="19" fillId="0" borderId="3" xfId="3" applyFont="1" applyBorder="1" applyAlignment="1">
      <alignment vertical="center"/>
    </xf>
    <xf numFmtId="166" fontId="19" fillId="0" borderId="5" xfId="3" applyNumberFormat="1" applyFont="1" applyBorder="1"/>
    <xf numFmtId="43" fontId="19" fillId="0" borderId="6" xfId="3" applyFont="1" applyBorder="1" applyAlignment="1">
      <alignment vertical="center"/>
    </xf>
    <xf numFmtId="166" fontId="19" fillId="0" borderId="0" xfId="3" applyNumberFormat="1" applyFont="1"/>
    <xf numFmtId="43" fontId="19" fillId="0" borderId="0" xfId="0" applyNumberFormat="1" applyFont="1"/>
    <xf numFmtId="0" fontId="19" fillId="0" borderId="0" xfId="0" applyFont="1"/>
    <xf numFmtId="0" fontId="8" fillId="4" borderId="0" xfId="0" applyFont="1" applyFill="1" applyAlignment="1">
      <alignment horizontal="center"/>
    </xf>
    <xf numFmtId="168" fontId="0" fillId="4" borderId="2" xfId="2" applyNumberFormat="1" applyFont="1" applyFill="1" applyBorder="1" applyAlignment="1">
      <alignment vertical="center"/>
    </xf>
    <xf numFmtId="168" fontId="0" fillId="4" borderId="5" xfId="2" applyNumberFormat="1" applyFont="1" applyFill="1" applyBorder="1" applyAlignment="1">
      <alignment vertical="center"/>
    </xf>
    <xf numFmtId="0" fontId="0" fillId="4" borderId="0" xfId="0" applyFill="1"/>
    <xf numFmtId="164" fontId="6" fillId="0" borderId="2" xfId="3" applyNumberFormat="1" applyFont="1" applyBorder="1"/>
    <xf numFmtId="164" fontId="6" fillId="0" borderId="5" xfId="3" applyNumberFormat="1" applyFont="1" applyBorder="1"/>
    <xf numFmtId="164" fontId="6" fillId="0" borderId="0" xfId="3" applyNumberFormat="1" applyFont="1"/>
    <xf numFmtId="10" fontId="0" fillId="0" borderId="3" xfId="2" applyNumberFormat="1" applyFont="1" applyBorder="1" applyAlignment="1">
      <alignment vertical="center"/>
    </xf>
    <xf numFmtId="10" fontId="0" fillId="0" borderId="6" xfId="2" applyNumberFormat="1" applyFont="1" applyBorder="1" applyAlignment="1">
      <alignment vertical="center"/>
    </xf>
    <xf numFmtId="10" fontId="20" fillId="0" borderId="9" xfId="2" applyNumberFormat="1" applyFont="1" applyFill="1" applyBorder="1"/>
    <xf numFmtId="10" fontId="0" fillId="2" borderId="1" xfId="2" applyNumberFormat="1" applyFont="1" applyFill="1" applyBorder="1" applyAlignment="1">
      <alignment vertical="center"/>
    </xf>
    <xf numFmtId="10" fontId="0" fillId="2" borderId="4" xfId="2" applyNumberFormat="1" applyFont="1" applyFill="1" applyBorder="1" applyAlignment="1">
      <alignment vertical="center"/>
    </xf>
    <xf numFmtId="0" fontId="12" fillId="0" borderId="2" xfId="0" applyFont="1" applyBorder="1" applyAlignment="1">
      <alignment horizontal="center"/>
    </xf>
    <xf numFmtId="43" fontId="19" fillId="0" borderId="3" xfId="0" applyNumberFormat="1" applyFont="1" applyBorder="1" applyAlignment="1">
      <alignment horizontal="center" vertical="center"/>
    </xf>
    <xf numFmtId="43" fontId="19" fillId="0" borderId="6" xfId="0" applyNumberFormat="1" applyFont="1" applyBorder="1" applyAlignment="1">
      <alignment horizontal="center" vertical="center"/>
    </xf>
    <xf numFmtId="167" fontId="7" fillId="0" borderId="0" xfId="1" applyNumberFormat="1" applyFont="1" applyAlignment="1">
      <alignment horizontal="center"/>
    </xf>
    <xf numFmtId="167" fontId="0" fillId="0" borderId="2" xfId="0" applyNumberFormat="1" applyBorder="1" applyAlignment="1">
      <alignment vertical="center"/>
    </xf>
    <xf numFmtId="0" fontId="0" fillId="0" borderId="5" xfId="0" applyBorder="1" applyAlignment="1">
      <alignment vertical="center"/>
    </xf>
    <xf numFmtId="168" fontId="0" fillId="4" borderId="2" xfId="2" applyNumberFormat="1" applyFont="1" applyFill="1" applyBorder="1" applyAlignment="1">
      <alignment vertical="center"/>
    </xf>
    <xf numFmtId="168" fontId="0" fillId="4" borderId="5" xfId="2" applyNumberFormat="1" applyFont="1" applyFill="1" applyBorder="1" applyAlignment="1">
      <alignment vertical="center"/>
    </xf>
    <xf numFmtId="43" fontId="19" fillId="0" borderId="3" xfId="0" applyNumberFormat="1" applyFont="1" applyBorder="1" applyAlignment="1">
      <alignment vertical="center"/>
    </xf>
    <xf numFmtId="43" fontId="19" fillId="0" borderId="6" xfId="0" applyNumberFormat="1" applyFont="1" applyBorder="1" applyAlignment="1">
      <alignment vertical="center"/>
    </xf>
    <xf numFmtId="166" fontId="17" fillId="0" borderId="0" xfId="3" applyNumberFormat="1" applyFont="1" applyAlignment="1">
      <alignment horizontal="center"/>
    </xf>
    <xf numFmtId="43" fontId="19" fillId="0" borderId="3" xfId="3" applyFont="1" applyBorder="1" applyAlignment="1">
      <alignment vertical="center"/>
    </xf>
    <xf numFmtId="43" fontId="19" fillId="0" borderId="6" xfId="3" applyFont="1" applyBorder="1" applyAlignment="1">
      <alignment vertical="center"/>
    </xf>
    <xf numFmtId="0" fontId="11" fillId="0" borderId="0" xfId="0" applyFont="1" applyAlignment="1">
      <alignment horizontal="center"/>
    </xf>
    <xf numFmtId="44" fontId="7" fillId="0" borderId="0" xfId="1" applyFont="1" applyAlignment="1">
      <alignment horizontal="center"/>
    </xf>
    <xf numFmtId="169" fontId="11" fillId="0" borderId="0" xfId="1" applyNumberFormat="1" applyFont="1" applyAlignment="1">
      <alignment horizontal="center"/>
    </xf>
    <xf numFmtId="164" fontId="0" fillId="0" borderId="0" xfId="0" applyNumberFormat="1"/>
    <xf numFmtId="43" fontId="0" fillId="0" borderId="0" xfId="3" applyFont="1"/>
    <xf numFmtId="10" fontId="20" fillId="0" borderId="2" xfId="2" applyNumberFormat="1" applyFont="1" applyFill="1" applyBorder="1"/>
    <xf numFmtId="0" fontId="20" fillId="0" borderId="0" xfId="0" applyFont="1"/>
    <xf numFmtId="0" fontId="21" fillId="0" borderId="0" xfId="0" applyFont="1"/>
    <xf numFmtId="1" fontId="7" fillId="0" borderId="0" xfId="0" applyNumberFormat="1" applyFont="1"/>
    <xf numFmtId="1" fontId="8" fillId="0" borderId="0" xfId="0" applyNumberFormat="1" applyFont="1" applyAlignment="1">
      <alignment horizontal="center"/>
    </xf>
    <xf numFmtId="1" fontId="0" fillId="0" borderId="0" xfId="0" applyNumberFormat="1"/>
    <xf numFmtId="1" fontId="0" fillId="0" borderId="0" xfId="3" applyNumberFormat="1" applyFont="1"/>
    <xf numFmtId="9" fontId="7" fillId="0" borderId="0" xfId="2" applyFont="1"/>
    <xf numFmtId="9" fontId="0" fillId="0" borderId="0" xfId="2" applyFont="1"/>
    <xf numFmtId="10" fontId="7" fillId="0" borderId="0" xfId="2" applyNumberFormat="1" applyFont="1"/>
    <xf numFmtId="10" fontId="8" fillId="0" borderId="0" xfId="2" applyNumberFormat="1" applyFont="1" applyAlignment="1">
      <alignment horizontal="center"/>
    </xf>
    <xf numFmtId="10" fontId="0" fillId="0" borderId="0" xfId="2" applyNumberFormat="1" applyFont="1"/>
    <xf numFmtId="44" fontId="7" fillId="0" borderId="0" xfId="1" applyFont="1"/>
    <xf numFmtId="43" fontId="7" fillId="0" borderId="0" xfId="3" applyFont="1"/>
    <xf numFmtId="43" fontId="8" fillId="0" borderId="0" xfId="3" applyFont="1" applyAlignment="1">
      <alignment horizontal="center"/>
    </xf>
    <xf numFmtId="166" fontId="7" fillId="0" borderId="0" xfId="3" applyNumberFormat="1" applyFont="1"/>
    <xf numFmtId="166" fontId="8" fillId="0" borderId="0" xfId="3" applyNumberFormat="1" applyFont="1" applyAlignment="1">
      <alignment horizont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32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180975</xdr:rowOff>
    </xdr:from>
    <xdr:to>
      <xdr:col>3</xdr:col>
      <xdr:colOff>1114425</xdr:colOff>
      <xdr:row>4</xdr:row>
      <xdr:rowOff>104775</xdr:rowOff>
    </xdr:to>
    <xdr:sp macro="[0]!UpdateMultipliersPairs" textlink="">
      <xdr:nvSpPr>
        <xdr:cNvPr id="2" name="Rectangle 1">
          <a:extLst>
            <a:ext uri="{FF2B5EF4-FFF2-40B4-BE49-F238E27FC236}">
              <a16:creationId xmlns:a16="http://schemas.microsoft.com/office/drawing/2014/main" id="{B642BDAF-5C36-46F7-9D84-080BF28D4B8A}"/>
            </a:ext>
          </a:extLst>
        </xdr:cNvPr>
        <xdr:cNvSpPr/>
      </xdr:nvSpPr>
      <xdr:spPr>
        <a:xfrm>
          <a:off x="3895725" y="18097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fi_inputs" displayName="fi_inputs" ref="A1:D17" totalsRowShown="0">
  <autoFilter ref="A1:D17" xr:uid="{41E0AE69-AE86-439F-8B86-A6C16D189F1B}"/>
  <sortState xmlns:xlrd2="http://schemas.microsoft.com/office/spreadsheetml/2017/richdata2" ref="A2:D28">
    <sortCondition ref="C1:C28"/>
  </sortState>
  <tableColumns count="4">
    <tableColumn id="1" xr3:uid="{4425B6E4-20BC-47CF-A149-57992AA900B4}" name="my_fi_name"/>
    <tableColumn id="2" xr3:uid="{37DFEB1C-D09E-4AD1-B1A8-D6941BD84D2E}" name="my_pf_name"/>
    <tableColumn id="5" xr3:uid="{1C677B6D-D63E-4271-8F12-49B31EA5C0F2}" name="anchor_fi"/>
    <tableColumn id="3" xr3:uid="{B174390F-1C67-417C-A283-D8C2F19DC00A}" name="moving_avg_days" dataDxfId="3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workbookViewId="0">
      <selection activeCell="M22" sqref="M22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12</v>
      </c>
      <c r="B1" t="s">
        <v>13</v>
      </c>
    </row>
    <row r="2" spans="1:4" x14ac:dyDescent="0.25">
      <c r="A2" t="s">
        <v>89</v>
      </c>
      <c r="B2" t="str" cm="1">
        <f t="array" aca="1" ref="B2" ca="1">_xlfn.TEXTAFTER(CELL("filename",'FI INPUTS'!A1),"]")</f>
        <v>FI INPUTS</v>
      </c>
    </row>
    <row r="3" spans="1:4" x14ac:dyDescent="0.25">
      <c r="A3" t="s">
        <v>90</v>
      </c>
      <c r="B3" t="s">
        <v>91</v>
      </c>
    </row>
    <row r="4" spans="1:4" x14ac:dyDescent="0.25">
      <c r="A4" t="s">
        <v>38</v>
      </c>
      <c r="B4" t="str" cm="1">
        <f t="array" aca="1" ref="B4" ca="1">_xlfn.TEXTAFTER(CELL("filename",'TRADING INPUTS'!B1),"]")</f>
        <v>TRADING INPUTS</v>
      </c>
    </row>
    <row r="5" spans="1:4" x14ac:dyDescent="0.25">
      <c r="A5" t="s">
        <v>93</v>
      </c>
      <c r="B5" t="s">
        <v>92</v>
      </c>
    </row>
    <row r="6" spans="1:4" x14ac:dyDescent="0.25">
      <c r="A6" t="s">
        <v>94</v>
      </c>
      <c r="B6" t="s">
        <v>39</v>
      </c>
      <c r="D6" s="48">
        <v>46254.387407407405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D17"/>
  <sheetViews>
    <sheetView workbookViewId="0">
      <selection activeCell="K22" sqref="K22"/>
    </sheetView>
  </sheetViews>
  <sheetFormatPr defaultRowHeight="15" x14ac:dyDescent="0.25"/>
  <cols>
    <col min="1" max="1" width="14" bestFit="1" customWidth="1"/>
    <col min="2" max="2" width="14.5703125" bestFit="1" customWidth="1"/>
    <col min="3" max="3" width="11.5703125" bestFit="1" customWidth="1"/>
    <col min="4" max="4" width="18.85546875" bestFit="1" customWidth="1"/>
    <col min="5" max="5" width="16.42578125" bestFit="1" customWidth="1"/>
  </cols>
  <sheetData>
    <row r="1" spans="1:4" x14ac:dyDescent="0.25">
      <c r="A1" t="s">
        <v>2</v>
      </c>
      <c r="B1" t="s">
        <v>1</v>
      </c>
      <c r="C1" t="s">
        <v>14</v>
      </c>
      <c r="D1" t="s">
        <v>11</v>
      </c>
    </row>
    <row r="2" spans="1:4" x14ac:dyDescent="0.25">
      <c r="A2" t="s">
        <v>52</v>
      </c>
      <c r="B2" t="s">
        <v>0</v>
      </c>
      <c r="C2" t="s">
        <v>57</v>
      </c>
      <c r="D2">
        <v>20</v>
      </c>
    </row>
    <row r="3" spans="1:4" x14ac:dyDescent="0.25">
      <c r="A3" t="s">
        <v>57</v>
      </c>
      <c r="B3" t="s">
        <v>0</v>
      </c>
      <c r="C3" t="s">
        <v>57</v>
      </c>
      <c r="D3">
        <v>20</v>
      </c>
    </row>
    <row r="4" spans="1:4" x14ac:dyDescent="0.25">
      <c r="A4" t="s">
        <v>55</v>
      </c>
      <c r="B4" t="s">
        <v>0</v>
      </c>
      <c r="C4" t="s">
        <v>48</v>
      </c>
      <c r="D4">
        <v>20</v>
      </c>
    </row>
    <row r="5" spans="1:4" x14ac:dyDescent="0.25">
      <c r="A5" t="s">
        <v>48</v>
      </c>
      <c r="B5" t="s">
        <v>0</v>
      </c>
      <c r="C5" t="s">
        <v>48</v>
      </c>
      <c r="D5">
        <v>20</v>
      </c>
    </row>
    <row r="6" spans="1:4" x14ac:dyDescent="0.25">
      <c r="A6" t="s">
        <v>62</v>
      </c>
      <c r="B6" t="s">
        <v>0</v>
      </c>
      <c r="C6" t="s">
        <v>61</v>
      </c>
      <c r="D6">
        <v>20</v>
      </c>
    </row>
    <row r="7" spans="1:4" x14ac:dyDescent="0.25">
      <c r="A7" t="s">
        <v>61</v>
      </c>
      <c r="B7" t="s">
        <v>0</v>
      </c>
      <c r="C7" t="s">
        <v>61</v>
      </c>
      <c r="D7">
        <v>20</v>
      </c>
    </row>
    <row r="8" spans="1:4" x14ac:dyDescent="0.25">
      <c r="A8" t="s">
        <v>66</v>
      </c>
      <c r="B8" t="s">
        <v>0</v>
      </c>
      <c r="C8" t="s">
        <v>53</v>
      </c>
      <c r="D8">
        <v>20</v>
      </c>
    </row>
    <row r="9" spans="1:4" x14ac:dyDescent="0.25">
      <c r="A9" t="s">
        <v>53</v>
      </c>
      <c r="B9" t="s">
        <v>0</v>
      </c>
      <c r="C9" t="s">
        <v>53</v>
      </c>
      <c r="D9">
        <v>20</v>
      </c>
    </row>
    <row r="10" spans="1:4" x14ac:dyDescent="0.25">
      <c r="A10" t="s">
        <v>49</v>
      </c>
      <c r="B10" t="s">
        <v>0</v>
      </c>
      <c r="C10" t="s">
        <v>56</v>
      </c>
      <c r="D10">
        <v>20</v>
      </c>
    </row>
    <row r="11" spans="1:4" x14ac:dyDescent="0.25">
      <c r="A11" t="s">
        <v>56</v>
      </c>
      <c r="B11" t="s">
        <v>0</v>
      </c>
      <c r="C11" t="s">
        <v>56</v>
      </c>
      <c r="D11">
        <v>20</v>
      </c>
    </row>
    <row r="12" spans="1:4" x14ac:dyDescent="0.25">
      <c r="A12" t="s">
        <v>50</v>
      </c>
      <c r="B12" t="s">
        <v>0</v>
      </c>
      <c r="C12" t="s">
        <v>58</v>
      </c>
      <c r="D12">
        <v>20</v>
      </c>
    </row>
    <row r="13" spans="1:4" x14ac:dyDescent="0.25">
      <c r="A13" t="s">
        <v>58</v>
      </c>
      <c r="B13" t="s">
        <v>0</v>
      </c>
      <c r="C13" t="s">
        <v>58</v>
      </c>
      <c r="D13">
        <v>20</v>
      </c>
    </row>
    <row r="14" spans="1:4" x14ac:dyDescent="0.25">
      <c r="A14" t="s">
        <v>51</v>
      </c>
      <c r="B14" t="s">
        <v>0</v>
      </c>
      <c r="C14" t="s">
        <v>65</v>
      </c>
      <c r="D14">
        <v>20</v>
      </c>
    </row>
    <row r="15" spans="1:4" x14ac:dyDescent="0.25">
      <c r="A15" t="s">
        <v>65</v>
      </c>
      <c r="B15" t="s">
        <v>0</v>
      </c>
      <c r="C15" t="s">
        <v>65</v>
      </c>
      <c r="D15">
        <v>20</v>
      </c>
    </row>
    <row r="16" spans="1:4" x14ac:dyDescent="0.25">
      <c r="A16" t="s">
        <v>63</v>
      </c>
      <c r="B16" t="s">
        <v>0</v>
      </c>
      <c r="C16" t="s">
        <v>64</v>
      </c>
      <c r="D16">
        <v>20</v>
      </c>
    </row>
    <row r="17" spans="1:4" x14ac:dyDescent="0.25">
      <c r="A17" t="s">
        <v>64</v>
      </c>
      <c r="B17" t="s">
        <v>0</v>
      </c>
      <c r="C17" t="s">
        <v>64</v>
      </c>
      <c r="D17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48"/>
  <sheetViews>
    <sheetView workbookViewId="0">
      <selection activeCell="L9" sqref="L9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8" bestFit="1" customWidth="1"/>
    <col min="5" max="5" width="16" style="2" bestFit="1" customWidth="1"/>
    <col min="6" max="6" width="16.28515625" style="2" bestFit="1" customWidth="1"/>
    <col min="7" max="7" width="15.28515625" style="8" bestFit="1" customWidth="1"/>
    <col min="8" max="8" width="19" style="2" bestFit="1" customWidth="1"/>
    <col min="9" max="9" width="10.28515625" style="8" bestFit="1" customWidth="1"/>
    <col min="10" max="10" width="19" bestFit="1" customWidth="1"/>
    <col min="11" max="11" width="11.42578125" bestFit="1" customWidth="1"/>
  </cols>
  <sheetData>
    <row r="1" spans="1:10" x14ac:dyDescent="0.25">
      <c r="A1" t="s">
        <v>40</v>
      </c>
      <c r="B1" t="s">
        <v>2</v>
      </c>
      <c r="C1" t="s">
        <v>1</v>
      </c>
      <c r="D1" s="8" t="s">
        <v>41</v>
      </c>
      <c r="E1" s="2" t="s">
        <v>42</v>
      </c>
      <c r="F1" s="2" t="s">
        <v>43</v>
      </c>
      <c r="G1" s="8" t="s">
        <v>44</v>
      </c>
      <c r="H1" s="2" t="s">
        <v>45</v>
      </c>
      <c r="I1" s="8" t="s">
        <v>67</v>
      </c>
      <c r="J1" t="s">
        <v>46</v>
      </c>
    </row>
    <row r="2" spans="1:10" x14ac:dyDescent="0.25">
      <c r="A2" t="s">
        <v>47</v>
      </c>
      <c r="B2" t="s">
        <v>10</v>
      </c>
      <c r="C2" t="s">
        <v>0</v>
      </c>
      <c r="D2" s="8">
        <v>100</v>
      </c>
      <c r="E2" s="2">
        <v>97.3</v>
      </c>
      <c r="F2" s="2">
        <v>97.49</v>
      </c>
      <c r="G2" s="8">
        <v>5000</v>
      </c>
      <c r="H2" s="2">
        <v>97.82</v>
      </c>
      <c r="I2" s="8">
        <v>0</v>
      </c>
      <c r="J2" t="s">
        <v>107</v>
      </c>
    </row>
    <row r="3" spans="1:10" x14ac:dyDescent="0.25">
      <c r="A3" t="s">
        <v>47</v>
      </c>
      <c r="B3" t="s">
        <v>48</v>
      </c>
      <c r="C3" t="s">
        <v>0</v>
      </c>
      <c r="D3" s="8">
        <v>500</v>
      </c>
      <c r="E3" s="2">
        <v>28.98</v>
      </c>
      <c r="F3" s="2">
        <v>29.11</v>
      </c>
      <c r="G3" s="8">
        <v>1000</v>
      </c>
      <c r="H3" s="2">
        <v>29.07</v>
      </c>
      <c r="I3" s="8">
        <v>0</v>
      </c>
      <c r="J3" t="s">
        <v>107</v>
      </c>
    </row>
    <row r="4" spans="1:10" x14ac:dyDescent="0.25">
      <c r="A4" t="s">
        <v>47</v>
      </c>
      <c r="B4" t="s">
        <v>9</v>
      </c>
      <c r="C4" t="s">
        <v>0</v>
      </c>
      <c r="D4" s="8">
        <v>100</v>
      </c>
      <c r="E4" s="2">
        <v>72.25</v>
      </c>
      <c r="F4" s="2">
        <v>72.52</v>
      </c>
      <c r="G4" s="8">
        <v>1000</v>
      </c>
      <c r="H4" s="2">
        <v>72.559997999999993</v>
      </c>
      <c r="I4" s="8">
        <v>0</v>
      </c>
      <c r="J4" t="s">
        <v>107</v>
      </c>
    </row>
    <row r="5" spans="1:10" x14ac:dyDescent="0.25">
      <c r="A5" t="s">
        <v>47</v>
      </c>
      <c r="B5" t="s">
        <v>49</v>
      </c>
      <c r="C5" t="s">
        <v>0</v>
      </c>
      <c r="D5" s="8">
        <v>200</v>
      </c>
      <c r="E5" s="2">
        <v>47.5</v>
      </c>
      <c r="F5" s="2">
        <v>47.8</v>
      </c>
      <c r="G5" s="8">
        <v>100</v>
      </c>
      <c r="H5" s="2">
        <v>47.740001999999997</v>
      </c>
      <c r="I5" s="8">
        <v>0</v>
      </c>
      <c r="J5" t="s">
        <v>107</v>
      </c>
    </row>
    <row r="6" spans="1:10" x14ac:dyDescent="0.25">
      <c r="A6" t="s">
        <v>47</v>
      </c>
      <c r="B6" t="s">
        <v>50</v>
      </c>
      <c r="C6" t="s">
        <v>0</v>
      </c>
      <c r="D6" s="8">
        <v>200</v>
      </c>
      <c r="E6" s="2">
        <v>21</v>
      </c>
      <c r="F6" s="2">
        <v>22.42</v>
      </c>
      <c r="G6" s="8">
        <v>100</v>
      </c>
      <c r="H6" s="2">
        <v>21.98</v>
      </c>
      <c r="I6" s="8">
        <v>-2415</v>
      </c>
      <c r="J6" t="s">
        <v>107</v>
      </c>
    </row>
    <row r="7" spans="1:10" x14ac:dyDescent="0.25">
      <c r="A7" t="s">
        <v>47</v>
      </c>
      <c r="B7" t="s">
        <v>51</v>
      </c>
      <c r="C7" t="s">
        <v>0</v>
      </c>
      <c r="D7" s="8">
        <v>300</v>
      </c>
      <c r="E7" s="2">
        <v>56.51</v>
      </c>
      <c r="F7" s="2">
        <v>56.65</v>
      </c>
      <c r="G7" s="8">
        <v>6500</v>
      </c>
      <c r="H7" s="2">
        <v>56.645000000000003</v>
      </c>
      <c r="I7" s="8">
        <v>0</v>
      </c>
      <c r="J7" t="s">
        <v>107</v>
      </c>
    </row>
    <row r="8" spans="1:10" x14ac:dyDescent="0.25">
      <c r="A8" t="s">
        <v>47</v>
      </c>
      <c r="B8" t="s">
        <v>35</v>
      </c>
      <c r="C8" t="s">
        <v>0</v>
      </c>
      <c r="D8" s="8">
        <v>1000</v>
      </c>
      <c r="E8" s="2">
        <v>90.57</v>
      </c>
      <c r="F8" s="2">
        <v>100.49</v>
      </c>
      <c r="G8" s="8">
        <v>100</v>
      </c>
      <c r="H8" s="2">
        <v>95.279999000000004</v>
      </c>
      <c r="I8" s="8">
        <v>-200</v>
      </c>
      <c r="J8" t="s">
        <v>107</v>
      </c>
    </row>
    <row r="9" spans="1:10" x14ac:dyDescent="0.25">
      <c r="A9" t="s">
        <v>47</v>
      </c>
      <c r="B9" t="s">
        <v>52</v>
      </c>
      <c r="C9" t="s">
        <v>0</v>
      </c>
      <c r="D9" s="8">
        <v>100</v>
      </c>
      <c r="E9" s="2">
        <v>102.52</v>
      </c>
      <c r="F9" s="2">
        <v>109.44</v>
      </c>
      <c r="G9" s="8">
        <v>100</v>
      </c>
      <c r="H9" s="2">
        <v>103.730003</v>
      </c>
      <c r="I9" s="8">
        <v>-884</v>
      </c>
      <c r="J9" t="s">
        <v>107</v>
      </c>
    </row>
    <row r="10" spans="1:10" x14ac:dyDescent="0.25">
      <c r="A10" t="s">
        <v>47</v>
      </c>
      <c r="B10" t="s">
        <v>53</v>
      </c>
      <c r="C10" t="s">
        <v>0</v>
      </c>
      <c r="D10" s="8">
        <v>200</v>
      </c>
      <c r="E10" s="2">
        <v>94.51</v>
      </c>
      <c r="F10" s="2">
        <v>95.09</v>
      </c>
      <c r="G10" s="8">
        <v>1000</v>
      </c>
      <c r="H10" s="2">
        <v>95.110000999999997</v>
      </c>
      <c r="I10" s="8">
        <v>0</v>
      </c>
      <c r="J10" t="s">
        <v>107</v>
      </c>
    </row>
    <row r="11" spans="1:10" x14ac:dyDescent="0.25">
      <c r="A11" t="s">
        <v>47</v>
      </c>
      <c r="B11" t="s">
        <v>54</v>
      </c>
      <c r="C11" t="s">
        <v>0</v>
      </c>
      <c r="D11" s="8">
        <v>100</v>
      </c>
      <c r="E11" s="2">
        <v>25.55</v>
      </c>
      <c r="F11" s="2">
        <v>26</v>
      </c>
      <c r="G11" s="8">
        <v>6600</v>
      </c>
      <c r="H11" s="2">
        <v>25.809999000000001</v>
      </c>
      <c r="I11" s="8">
        <v>0</v>
      </c>
      <c r="J11" t="s">
        <v>107</v>
      </c>
    </row>
    <row r="12" spans="1:10" x14ac:dyDescent="0.25">
      <c r="A12" t="s">
        <v>47</v>
      </c>
      <c r="B12" t="s">
        <v>55</v>
      </c>
      <c r="C12" t="s">
        <v>0</v>
      </c>
      <c r="D12" s="8">
        <v>500</v>
      </c>
      <c r="E12" s="2">
        <v>26.95</v>
      </c>
      <c r="F12" s="2">
        <v>27.06</v>
      </c>
      <c r="G12" s="8">
        <v>200</v>
      </c>
      <c r="H12" s="2">
        <v>27.07</v>
      </c>
      <c r="I12" s="8">
        <v>0</v>
      </c>
      <c r="J12" t="s">
        <v>107</v>
      </c>
    </row>
    <row r="13" spans="1:10" x14ac:dyDescent="0.25">
      <c r="A13" t="s">
        <v>47</v>
      </c>
      <c r="B13" t="s">
        <v>19</v>
      </c>
      <c r="C13" t="s">
        <v>0</v>
      </c>
      <c r="D13" s="8">
        <v>500</v>
      </c>
      <c r="E13" s="2">
        <v>79.53</v>
      </c>
      <c r="F13" s="2">
        <v>79.56</v>
      </c>
      <c r="G13" s="8">
        <v>5000</v>
      </c>
      <c r="H13" s="2">
        <v>79.709998999999996</v>
      </c>
      <c r="I13" s="8">
        <v>0</v>
      </c>
      <c r="J13" t="s">
        <v>107</v>
      </c>
    </row>
    <row r="14" spans="1:10" x14ac:dyDescent="0.25">
      <c r="A14" t="s">
        <v>47</v>
      </c>
      <c r="B14" t="s">
        <v>17</v>
      </c>
      <c r="C14" t="s">
        <v>0</v>
      </c>
      <c r="D14" s="8">
        <v>300</v>
      </c>
      <c r="E14" s="2">
        <v>36.25</v>
      </c>
      <c r="F14" s="2">
        <v>36.799999999999997</v>
      </c>
      <c r="G14" s="8">
        <v>3000</v>
      </c>
      <c r="H14" s="2">
        <v>36.360000999999997</v>
      </c>
      <c r="I14" s="8">
        <v>0</v>
      </c>
      <c r="J14" t="s">
        <v>107</v>
      </c>
    </row>
    <row r="15" spans="1:10" x14ac:dyDescent="0.25">
      <c r="A15" t="s">
        <v>47</v>
      </c>
      <c r="B15" t="s">
        <v>56</v>
      </c>
      <c r="C15" t="s">
        <v>0</v>
      </c>
      <c r="D15" s="8">
        <v>200</v>
      </c>
      <c r="E15" s="2">
        <v>49.5</v>
      </c>
      <c r="F15" s="2">
        <v>49.79</v>
      </c>
      <c r="G15" s="8">
        <v>100</v>
      </c>
      <c r="H15" s="2">
        <v>49.84</v>
      </c>
      <c r="I15" s="8">
        <v>0</v>
      </c>
      <c r="J15" t="s">
        <v>107</v>
      </c>
    </row>
    <row r="16" spans="1:10" x14ac:dyDescent="0.25">
      <c r="A16" t="s">
        <v>47</v>
      </c>
      <c r="B16" t="s">
        <v>57</v>
      </c>
      <c r="C16" t="s">
        <v>0</v>
      </c>
      <c r="D16" s="8">
        <v>100</v>
      </c>
      <c r="E16" s="2">
        <v>109.7</v>
      </c>
      <c r="F16" s="2">
        <v>121.3</v>
      </c>
      <c r="G16" s="8">
        <v>300</v>
      </c>
      <c r="H16" s="2">
        <v>115.839996</v>
      </c>
      <c r="I16" s="8">
        <v>788</v>
      </c>
      <c r="J16" t="s">
        <v>107</v>
      </c>
    </row>
    <row r="17" spans="1:10" x14ac:dyDescent="0.25">
      <c r="A17" t="s">
        <v>47</v>
      </c>
      <c r="B17" t="s">
        <v>26</v>
      </c>
      <c r="C17" t="s">
        <v>0</v>
      </c>
      <c r="D17" s="8">
        <v>100</v>
      </c>
      <c r="E17" s="2">
        <v>46.58</v>
      </c>
      <c r="F17" s="2">
        <v>48.2</v>
      </c>
      <c r="G17" s="8">
        <v>100</v>
      </c>
      <c r="H17" s="2">
        <v>48.23</v>
      </c>
      <c r="I17" s="8">
        <v>0</v>
      </c>
      <c r="J17" t="s">
        <v>107</v>
      </c>
    </row>
    <row r="18" spans="1:10" x14ac:dyDescent="0.25">
      <c r="A18" t="s">
        <v>47</v>
      </c>
      <c r="B18" t="s">
        <v>58</v>
      </c>
      <c r="C18" t="s">
        <v>0</v>
      </c>
      <c r="D18" s="8">
        <v>100</v>
      </c>
      <c r="E18" s="2">
        <v>39.700000000000003</v>
      </c>
      <c r="F18" s="2">
        <v>41.57</v>
      </c>
      <c r="G18" s="8">
        <v>100</v>
      </c>
      <c r="H18" s="2">
        <v>41.529998999999997</v>
      </c>
      <c r="I18" s="8">
        <v>1277</v>
      </c>
      <c r="J18" t="s">
        <v>107</v>
      </c>
    </row>
    <row r="19" spans="1:10" x14ac:dyDescent="0.25">
      <c r="A19" t="s">
        <v>47</v>
      </c>
      <c r="B19" t="s">
        <v>8</v>
      </c>
      <c r="C19" t="s">
        <v>0</v>
      </c>
      <c r="D19" s="8">
        <v>100</v>
      </c>
      <c r="E19" s="2">
        <v>43.99</v>
      </c>
      <c r="F19" s="2">
        <v>45.89</v>
      </c>
      <c r="G19" s="8">
        <v>3000</v>
      </c>
      <c r="H19" s="2">
        <v>45.639999000000003</v>
      </c>
      <c r="I19" s="8">
        <v>0</v>
      </c>
      <c r="J19" t="s">
        <v>107</v>
      </c>
    </row>
    <row r="20" spans="1:10" x14ac:dyDescent="0.25">
      <c r="A20" t="s">
        <v>47</v>
      </c>
      <c r="B20" t="s">
        <v>20</v>
      </c>
      <c r="C20" t="s">
        <v>0</v>
      </c>
      <c r="D20" s="8">
        <v>200</v>
      </c>
      <c r="E20" s="2">
        <v>95.6</v>
      </c>
      <c r="F20" s="2">
        <v>96.71</v>
      </c>
      <c r="G20" s="8">
        <v>200</v>
      </c>
      <c r="H20" s="2">
        <v>95.959998999999996</v>
      </c>
      <c r="I20" s="8">
        <v>0</v>
      </c>
      <c r="J20" t="s">
        <v>107</v>
      </c>
    </row>
    <row r="21" spans="1:10" x14ac:dyDescent="0.25">
      <c r="A21" t="s">
        <v>47</v>
      </c>
      <c r="B21" t="s">
        <v>59</v>
      </c>
      <c r="C21" t="s">
        <v>0</v>
      </c>
      <c r="D21" s="8">
        <v>100</v>
      </c>
      <c r="E21" s="2">
        <v>105.9</v>
      </c>
      <c r="F21" s="2">
        <v>106.01</v>
      </c>
      <c r="G21" s="8">
        <v>100</v>
      </c>
      <c r="H21" s="2">
        <v>106.57</v>
      </c>
      <c r="I21" s="8">
        <v>0</v>
      </c>
      <c r="J21" t="s">
        <v>107</v>
      </c>
    </row>
    <row r="22" spans="1:10" x14ac:dyDescent="0.25">
      <c r="A22" t="s">
        <v>47</v>
      </c>
      <c r="B22" t="s">
        <v>23</v>
      </c>
      <c r="C22" t="s">
        <v>0</v>
      </c>
      <c r="D22" s="8">
        <v>100</v>
      </c>
      <c r="E22" s="2">
        <v>91.58</v>
      </c>
      <c r="F22" s="2">
        <v>96.5</v>
      </c>
      <c r="G22" s="8">
        <v>300</v>
      </c>
      <c r="H22" s="2">
        <v>93.57</v>
      </c>
      <c r="I22" s="8">
        <v>0</v>
      </c>
      <c r="J22" t="s">
        <v>107</v>
      </c>
    </row>
    <row r="23" spans="1:10" x14ac:dyDescent="0.25">
      <c r="A23" t="s">
        <v>47</v>
      </c>
      <c r="B23" t="s">
        <v>4</v>
      </c>
      <c r="C23" t="s">
        <v>0</v>
      </c>
      <c r="D23" s="8">
        <v>300</v>
      </c>
      <c r="E23" s="2">
        <v>105.25</v>
      </c>
      <c r="F23" s="2">
        <v>105.54</v>
      </c>
      <c r="G23" s="8">
        <v>100</v>
      </c>
      <c r="H23" s="2">
        <v>105.68</v>
      </c>
      <c r="I23" s="8">
        <v>0</v>
      </c>
      <c r="J23" t="s">
        <v>107</v>
      </c>
    </row>
    <row r="24" spans="1:10" x14ac:dyDescent="0.25">
      <c r="A24" t="s">
        <v>47</v>
      </c>
      <c r="B24" t="s">
        <v>60</v>
      </c>
      <c r="C24" t="s">
        <v>0</v>
      </c>
      <c r="D24" s="8">
        <v>100</v>
      </c>
      <c r="E24" s="2">
        <v>21</v>
      </c>
      <c r="F24" s="2">
        <v>21.25</v>
      </c>
      <c r="G24" s="8">
        <v>1500</v>
      </c>
      <c r="H24" s="2">
        <v>21.18</v>
      </c>
      <c r="I24" s="8">
        <v>0</v>
      </c>
      <c r="J24" t="s">
        <v>107</v>
      </c>
    </row>
    <row r="25" spans="1:10" x14ac:dyDescent="0.25">
      <c r="A25" t="s">
        <v>47</v>
      </c>
      <c r="B25" t="s">
        <v>61</v>
      </c>
      <c r="C25" t="s">
        <v>0</v>
      </c>
      <c r="D25" s="8">
        <v>100</v>
      </c>
      <c r="E25" s="2">
        <v>30.46</v>
      </c>
      <c r="F25" s="2">
        <v>30.51</v>
      </c>
      <c r="G25" s="8">
        <v>10000</v>
      </c>
      <c r="H25" s="2">
        <v>30.59</v>
      </c>
      <c r="I25" s="8">
        <v>0</v>
      </c>
      <c r="J25" t="s">
        <v>107</v>
      </c>
    </row>
    <row r="26" spans="1:10" x14ac:dyDescent="0.25">
      <c r="A26" t="s">
        <v>47</v>
      </c>
      <c r="B26" t="s">
        <v>62</v>
      </c>
      <c r="C26" t="s">
        <v>0</v>
      </c>
      <c r="D26" s="8">
        <v>100</v>
      </c>
      <c r="E26" s="2">
        <v>18.399999999999999</v>
      </c>
      <c r="F26" s="2">
        <v>18.600000000000001</v>
      </c>
      <c r="G26" s="8">
        <v>2000</v>
      </c>
      <c r="H26" s="2">
        <v>18.48</v>
      </c>
      <c r="I26" s="8">
        <v>0</v>
      </c>
      <c r="J26" t="s">
        <v>107</v>
      </c>
    </row>
    <row r="27" spans="1:10" x14ac:dyDescent="0.25">
      <c r="A27" t="s">
        <v>47</v>
      </c>
      <c r="B27" t="s">
        <v>63</v>
      </c>
      <c r="C27" t="s">
        <v>0</v>
      </c>
      <c r="D27" s="8">
        <v>20900</v>
      </c>
      <c r="E27" s="2">
        <v>23.85</v>
      </c>
      <c r="F27" s="2">
        <v>24.23</v>
      </c>
      <c r="G27" s="8">
        <v>21200</v>
      </c>
      <c r="H27" s="2">
        <v>24</v>
      </c>
      <c r="I27" s="8">
        <v>0</v>
      </c>
      <c r="J27" t="s">
        <v>107</v>
      </c>
    </row>
    <row r="28" spans="1:10" x14ac:dyDescent="0.25">
      <c r="A28" t="s">
        <v>47</v>
      </c>
      <c r="B28" t="s">
        <v>29</v>
      </c>
      <c r="C28" t="s">
        <v>0</v>
      </c>
      <c r="D28" s="8">
        <v>300</v>
      </c>
      <c r="E28" s="2">
        <v>29.99</v>
      </c>
      <c r="F28" s="2">
        <v>30.26</v>
      </c>
      <c r="G28" s="8">
        <v>100</v>
      </c>
      <c r="H28" s="2">
        <v>30.24</v>
      </c>
      <c r="I28" s="8">
        <v>0</v>
      </c>
      <c r="J28" t="s">
        <v>107</v>
      </c>
    </row>
    <row r="29" spans="1:10" x14ac:dyDescent="0.25">
      <c r="A29" t="s">
        <v>47</v>
      </c>
      <c r="B29" t="s">
        <v>6</v>
      </c>
      <c r="C29" t="s">
        <v>0</v>
      </c>
      <c r="D29" s="8">
        <v>100</v>
      </c>
      <c r="E29" s="2">
        <v>22.75</v>
      </c>
      <c r="F29" s="2">
        <v>22.88</v>
      </c>
      <c r="G29" s="8">
        <v>100</v>
      </c>
      <c r="H29" s="2">
        <v>22.860001</v>
      </c>
      <c r="I29" s="8">
        <v>0</v>
      </c>
      <c r="J29" t="s">
        <v>107</v>
      </c>
    </row>
    <row r="30" spans="1:10" x14ac:dyDescent="0.25">
      <c r="A30" t="s">
        <v>47</v>
      </c>
      <c r="B30" t="s">
        <v>16</v>
      </c>
      <c r="C30" t="s">
        <v>0</v>
      </c>
      <c r="D30" s="8">
        <v>100</v>
      </c>
      <c r="E30" s="2">
        <v>26</v>
      </c>
      <c r="F30" s="2">
        <v>26.05</v>
      </c>
      <c r="G30" s="8">
        <v>100</v>
      </c>
      <c r="H30" s="2">
        <v>26.040001</v>
      </c>
      <c r="I30" s="8">
        <v>0</v>
      </c>
      <c r="J30" t="s">
        <v>107</v>
      </c>
    </row>
    <row r="31" spans="1:10" x14ac:dyDescent="0.25">
      <c r="A31" t="s">
        <v>47</v>
      </c>
      <c r="B31" t="s">
        <v>7</v>
      </c>
      <c r="C31" t="s">
        <v>0</v>
      </c>
      <c r="D31" s="8">
        <v>300</v>
      </c>
      <c r="E31" s="2">
        <v>22.17</v>
      </c>
      <c r="F31" s="2">
        <v>25.8</v>
      </c>
      <c r="G31" s="8">
        <v>1600</v>
      </c>
      <c r="H31" s="2">
        <v>25.200001</v>
      </c>
      <c r="I31" s="8">
        <v>0</v>
      </c>
      <c r="J31" t="s">
        <v>107</v>
      </c>
    </row>
    <row r="32" spans="1:10" x14ac:dyDescent="0.25">
      <c r="A32" t="s">
        <v>47</v>
      </c>
      <c r="B32" t="s">
        <v>32</v>
      </c>
      <c r="C32" t="s">
        <v>0</v>
      </c>
      <c r="D32" s="8">
        <v>100</v>
      </c>
      <c r="E32" s="2">
        <v>27.82</v>
      </c>
      <c r="F32" s="2">
        <v>29.82</v>
      </c>
      <c r="G32" s="8">
        <v>200</v>
      </c>
      <c r="H32" s="2">
        <v>28.52</v>
      </c>
      <c r="I32" s="8">
        <v>0</v>
      </c>
      <c r="J32" t="s">
        <v>107</v>
      </c>
    </row>
    <row r="33" spans="1:10" x14ac:dyDescent="0.25">
      <c r="A33" t="s">
        <v>47</v>
      </c>
      <c r="B33" t="s">
        <v>15</v>
      </c>
      <c r="C33" t="s">
        <v>0</v>
      </c>
      <c r="D33" s="8">
        <v>200</v>
      </c>
      <c r="E33" s="2">
        <v>23.25</v>
      </c>
      <c r="F33" s="2">
        <v>23.33</v>
      </c>
      <c r="G33" s="8">
        <v>1400</v>
      </c>
      <c r="H33" s="2">
        <v>23.309999000000001</v>
      </c>
      <c r="I33" s="8">
        <v>0</v>
      </c>
      <c r="J33" t="s">
        <v>107</v>
      </c>
    </row>
    <row r="34" spans="1:10" x14ac:dyDescent="0.25">
      <c r="A34" t="s">
        <v>47</v>
      </c>
      <c r="B34" t="s">
        <v>25</v>
      </c>
      <c r="C34" t="s">
        <v>0</v>
      </c>
      <c r="D34" s="8">
        <v>200</v>
      </c>
      <c r="E34" s="2">
        <v>16.03</v>
      </c>
      <c r="F34" s="2">
        <v>22.19</v>
      </c>
      <c r="G34" s="8">
        <v>5000</v>
      </c>
      <c r="H34" s="2">
        <v>21.530000999999999</v>
      </c>
      <c r="I34" s="8">
        <v>0</v>
      </c>
      <c r="J34" t="s">
        <v>107</v>
      </c>
    </row>
    <row r="35" spans="1:10" x14ac:dyDescent="0.25">
      <c r="A35" t="s">
        <v>47</v>
      </c>
      <c r="B35" t="s">
        <v>21</v>
      </c>
      <c r="C35" t="s">
        <v>0</v>
      </c>
      <c r="D35" s="8">
        <v>100</v>
      </c>
      <c r="E35" s="2">
        <v>21.26</v>
      </c>
      <c r="F35" s="2">
        <v>23</v>
      </c>
      <c r="G35" s="8">
        <v>100</v>
      </c>
      <c r="H35" s="2">
        <v>22.08</v>
      </c>
      <c r="I35" s="8">
        <v>0</v>
      </c>
      <c r="J35" t="s">
        <v>107</v>
      </c>
    </row>
    <row r="36" spans="1:10" x14ac:dyDescent="0.25">
      <c r="A36" t="s">
        <v>47</v>
      </c>
      <c r="B36" t="s">
        <v>28</v>
      </c>
      <c r="C36" t="s">
        <v>0</v>
      </c>
      <c r="D36" s="8">
        <v>1100</v>
      </c>
      <c r="E36" s="2">
        <v>24.94</v>
      </c>
      <c r="F36" s="2">
        <v>25.3</v>
      </c>
      <c r="G36" s="8">
        <v>1100</v>
      </c>
      <c r="H36" s="2">
        <v>25.360001</v>
      </c>
      <c r="I36" s="8">
        <v>0</v>
      </c>
      <c r="J36" t="s">
        <v>107</v>
      </c>
    </row>
    <row r="37" spans="1:10" x14ac:dyDescent="0.25">
      <c r="A37" t="s">
        <v>47</v>
      </c>
      <c r="B37" t="s">
        <v>24</v>
      </c>
      <c r="C37" t="s">
        <v>0</v>
      </c>
      <c r="D37" s="8">
        <v>100</v>
      </c>
      <c r="E37" s="2">
        <v>40.54</v>
      </c>
      <c r="F37" s="2">
        <v>44.91</v>
      </c>
      <c r="G37" s="8">
        <v>200</v>
      </c>
      <c r="H37" s="2">
        <v>44.93</v>
      </c>
      <c r="I37" s="8">
        <v>0</v>
      </c>
      <c r="J37" t="s">
        <v>107</v>
      </c>
    </row>
    <row r="38" spans="1:10" x14ac:dyDescent="0.25">
      <c r="A38" t="s">
        <v>47</v>
      </c>
      <c r="B38" t="s">
        <v>30</v>
      </c>
      <c r="C38" t="s">
        <v>0</v>
      </c>
      <c r="D38" s="8">
        <v>200</v>
      </c>
      <c r="E38" s="2">
        <v>82.24</v>
      </c>
      <c r="F38" s="2">
        <v>82.25</v>
      </c>
      <c r="G38" s="8">
        <v>100</v>
      </c>
      <c r="H38" s="2">
        <v>83.019997000000004</v>
      </c>
      <c r="I38" s="8">
        <v>2414</v>
      </c>
      <c r="J38" t="s">
        <v>107</v>
      </c>
    </row>
    <row r="39" spans="1:10" x14ac:dyDescent="0.25">
      <c r="A39" t="s">
        <v>47</v>
      </c>
      <c r="B39" t="s">
        <v>18</v>
      </c>
      <c r="C39" t="s">
        <v>0</v>
      </c>
      <c r="D39" s="8">
        <v>1000</v>
      </c>
      <c r="E39" s="2">
        <v>36.75</v>
      </c>
      <c r="F39" s="2">
        <v>36.86</v>
      </c>
      <c r="G39" s="8">
        <v>300</v>
      </c>
      <c r="H39" s="2">
        <v>36.869999</v>
      </c>
      <c r="I39" s="8">
        <v>0</v>
      </c>
      <c r="J39" t="s">
        <v>107</v>
      </c>
    </row>
    <row r="40" spans="1:10" x14ac:dyDescent="0.25">
      <c r="A40" t="s">
        <v>47</v>
      </c>
      <c r="B40" t="s">
        <v>33</v>
      </c>
      <c r="C40" t="s">
        <v>0</v>
      </c>
      <c r="D40" s="8">
        <v>100</v>
      </c>
      <c r="E40" s="2">
        <v>45.43</v>
      </c>
      <c r="F40" s="2">
        <v>50.29</v>
      </c>
      <c r="G40" s="8">
        <v>300</v>
      </c>
      <c r="H40" s="2">
        <v>50.439999</v>
      </c>
      <c r="I40" s="8">
        <v>0</v>
      </c>
      <c r="J40" t="s">
        <v>107</v>
      </c>
    </row>
    <row r="41" spans="1:10" x14ac:dyDescent="0.25">
      <c r="A41" t="s">
        <v>47</v>
      </c>
      <c r="B41" t="s">
        <v>64</v>
      </c>
      <c r="C41" t="s">
        <v>0</v>
      </c>
      <c r="D41" s="8">
        <v>4500</v>
      </c>
      <c r="E41" s="2">
        <v>65.97</v>
      </c>
      <c r="F41" s="2">
        <v>67.84</v>
      </c>
      <c r="G41" s="8">
        <v>4400</v>
      </c>
      <c r="H41" s="2">
        <v>67.099997999999999</v>
      </c>
      <c r="I41" s="8">
        <v>0</v>
      </c>
      <c r="J41" t="s">
        <v>107</v>
      </c>
    </row>
    <row r="42" spans="1:10" x14ac:dyDescent="0.25">
      <c r="A42" t="s">
        <v>47</v>
      </c>
      <c r="B42" t="s">
        <v>27</v>
      </c>
      <c r="C42" t="s">
        <v>0</v>
      </c>
      <c r="D42" s="8">
        <v>1000</v>
      </c>
      <c r="E42" s="2">
        <v>71.5</v>
      </c>
      <c r="F42" s="2">
        <v>72.150000000000006</v>
      </c>
      <c r="G42" s="8">
        <v>1000</v>
      </c>
      <c r="H42" s="2">
        <v>72.379997000000003</v>
      </c>
      <c r="I42" s="8">
        <v>0</v>
      </c>
      <c r="J42" t="s">
        <v>107</v>
      </c>
    </row>
    <row r="43" spans="1:10" x14ac:dyDescent="0.25">
      <c r="A43" t="s">
        <v>47</v>
      </c>
      <c r="B43" t="s">
        <v>31</v>
      </c>
      <c r="C43" t="s">
        <v>0</v>
      </c>
      <c r="D43" s="8">
        <v>100</v>
      </c>
      <c r="E43" s="2">
        <v>52.77</v>
      </c>
      <c r="F43" s="2">
        <v>53.15</v>
      </c>
      <c r="G43" s="8">
        <v>500</v>
      </c>
      <c r="H43" s="2">
        <v>53.310001</v>
      </c>
      <c r="I43" s="8">
        <v>-3764</v>
      </c>
      <c r="J43" t="s">
        <v>107</v>
      </c>
    </row>
    <row r="44" spans="1:10" x14ac:dyDescent="0.25">
      <c r="A44" t="s">
        <v>47</v>
      </c>
      <c r="B44" t="s">
        <v>22</v>
      </c>
      <c r="C44" t="s">
        <v>0</v>
      </c>
      <c r="D44" s="8">
        <v>100</v>
      </c>
      <c r="E44" s="2">
        <v>46.16</v>
      </c>
      <c r="F44" s="2">
        <v>47.35</v>
      </c>
      <c r="G44" s="8">
        <v>200</v>
      </c>
      <c r="H44" s="2">
        <v>46.400002000000001</v>
      </c>
      <c r="I44" s="8">
        <v>0</v>
      </c>
      <c r="J44" t="s">
        <v>107</v>
      </c>
    </row>
    <row r="45" spans="1:10" x14ac:dyDescent="0.25">
      <c r="A45" t="s">
        <v>47</v>
      </c>
      <c r="B45" t="s">
        <v>34</v>
      </c>
      <c r="C45" t="s">
        <v>0</v>
      </c>
      <c r="D45" s="8">
        <v>100</v>
      </c>
      <c r="E45" s="2">
        <v>74.7</v>
      </c>
      <c r="F45" s="2">
        <v>75.2</v>
      </c>
      <c r="G45" s="8">
        <v>200</v>
      </c>
      <c r="H45" s="2">
        <v>75.421204000000003</v>
      </c>
      <c r="I45" s="8">
        <v>253</v>
      </c>
      <c r="J45" t="s">
        <v>107</v>
      </c>
    </row>
    <row r="46" spans="1:10" x14ac:dyDescent="0.25">
      <c r="A46" t="s">
        <v>47</v>
      </c>
      <c r="B46" t="s">
        <v>3</v>
      </c>
      <c r="C46" t="s">
        <v>0</v>
      </c>
      <c r="D46" s="8">
        <v>100</v>
      </c>
      <c r="E46" s="2">
        <v>49.51</v>
      </c>
      <c r="F46" s="2">
        <v>49.63</v>
      </c>
      <c r="G46" s="8">
        <v>100</v>
      </c>
      <c r="H46" s="2">
        <v>49.66</v>
      </c>
      <c r="I46" s="8">
        <v>0</v>
      </c>
      <c r="J46" t="s">
        <v>107</v>
      </c>
    </row>
    <row r="47" spans="1:10" x14ac:dyDescent="0.25">
      <c r="A47" t="s">
        <v>47</v>
      </c>
      <c r="B47" t="s">
        <v>65</v>
      </c>
      <c r="C47" t="s">
        <v>0</v>
      </c>
      <c r="D47" s="8">
        <v>1000</v>
      </c>
      <c r="E47" s="2">
        <v>98.5</v>
      </c>
      <c r="F47" s="2">
        <v>98.65</v>
      </c>
      <c r="G47" s="8">
        <v>7100</v>
      </c>
      <c r="H47" s="2">
        <v>98.839995999999999</v>
      </c>
      <c r="I47" s="8">
        <v>0</v>
      </c>
      <c r="J47" t="s">
        <v>107</v>
      </c>
    </row>
    <row r="48" spans="1:10" x14ac:dyDescent="0.25">
      <c r="A48" t="s">
        <v>47</v>
      </c>
      <c r="B48" t="s">
        <v>66</v>
      </c>
      <c r="C48" t="s">
        <v>0</v>
      </c>
      <c r="D48" s="8">
        <v>1400</v>
      </c>
      <c r="E48" s="2">
        <v>65.31</v>
      </c>
      <c r="F48" s="2">
        <v>66.180000000000007</v>
      </c>
      <c r="G48" s="8">
        <v>100</v>
      </c>
      <c r="H48" s="2">
        <v>66.110000999999997</v>
      </c>
      <c r="I48" s="8">
        <v>0</v>
      </c>
      <c r="J48" t="s">
        <v>107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W36"/>
  <sheetViews>
    <sheetView tabSelected="1" workbookViewId="0">
      <selection activeCell="AI1" sqref="AI1"/>
    </sheetView>
  </sheetViews>
  <sheetFormatPr defaultRowHeight="15" x14ac:dyDescent="0.25"/>
  <cols>
    <col min="1" max="1" width="5.42578125" style="19" bestFit="1" customWidth="1"/>
    <col min="2" max="2" width="7.28515625" style="19" bestFit="1" customWidth="1"/>
    <col min="3" max="3" width="5.85546875" style="19" bestFit="1" customWidth="1"/>
    <col min="4" max="4" width="6.42578125" style="16" bestFit="1" customWidth="1"/>
    <col min="5" max="6" width="9" style="2" bestFit="1" customWidth="1"/>
    <col min="7" max="7" width="11.140625" style="28" bestFit="1" customWidth="1"/>
    <col min="8" max="8" width="11.5703125" style="28" bestFit="1" customWidth="1"/>
    <col min="9" max="9" width="8" style="70" bestFit="1" customWidth="1"/>
    <col min="10" max="10" width="10" style="15" bestFit="1" customWidth="1"/>
    <col min="11" max="11" width="10.7109375" style="15" bestFit="1" customWidth="1"/>
    <col min="12" max="12" width="10" bestFit="1" customWidth="1"/>
    <col min="13" max="13" width="10.7109375" bestFit="1" customWidth="1"/>
    <col min="14" max="14" width="8.7109375" style="20" bestFit="1" customWidth="1"/>
    <col min="15" max="15" width="7.85546875" bestFit="1" customWidth="1"/>
    <col min="16" max="16" width="7.7109375" style="61" bestFit="1" customWidth="1"/>
    <col min="17" max="17" width="9.140625" style="63"/>
    <col min="18" max="18" width="10.28515625" style="63" bestFit="1" customWidth="1"/>
    <col min="19" max="19" width="9.140625" style="1"/>
    <col min="20" max="20" width="7.85546875" customWidth="1"/>
    <col min="21" max="21" width="10" bestFit="1" customWidth="1"/>
    <col min="24" max="24" width="9.7109375" bestFit="1" customWidth="1"/>
    <col min="25" max="25" width="14.7109375" style="99" bestFit="1" customWidth="1"/>
    <col min="26" max="26" width="15" style="105" bestFit="1" customWidth="1"/>
    <col min="27" max="27" width="13.7109375" style="105" bestFit="1" customWidth="1"/>
    <col min="28" max="28" width="15.7109375" style="105" bestFit="1" customWidth="1"/>
    <col min="29" max="29" width="14.42578125" style="105" bestFit="1" customWidth="1"/>
    <col min="30" max="30" width="15.140625" style="2" bestFit="1" customWidth="1"/>
    <col min="31" max="31" width="15.85546875" style="2" bestFit="1" customWidth="1"/>
    <col min="32" max="32" width="15.28515625" style="2" bestFit="1" customWidth="1"/>
    <col min="33" max="33" width="17.28515625" style="2" bestFit="1" customWidth="1"/>
    <col min="34" max="34" width="15.140625" style="2" bestFit="1" customWidth="1"/>
    <col min="35" max="35" width="12.42578125" style="2" bestFit="1" customWidth="1"/>
    <col min="36" max="36" width="26.85546875" style="2" bestFit="1" customWidth="1"/>
    <col min="37" max="37" width="24.85546875" style="2" bestFit="1" customWidth="1"/>
    <col min="38" max="38" width="27.140625" style="2" bestFit="1" customWidth="1"/>
    <col min="39" max="39" width="27.140625" style="2" customWidth="1"/>
    <col min="40" max="40" width="26.5703125" style="105" bestFit="1" customWidth="1"/>
    <col min="41" max="41" width="17.28515625" style="93" bestFit="1" customWidth="1"/>
    <col min="42" max="42" width="19.42578125" style="2" bestFit="1" customWidth="1"/>
    <col min="43" max="43" width="15.85546875" bestFit="1" customWidth="1"/>
    <col min="44" max="44" width="10.85546875" bestFit="1" customWidth="1"/>
    <col min="45" max="45" width="11.5703125" bestFit="1" customWidth="1"/>
    <col min="46" max="47" width="15.140625" bestFit="1" customWidth="1"/>
    <col min="48" max="48" width="16.85546875" style="8" bestFit="1" customWidth="1"/>
  </cols>
  <sheetData>
    <row r="1" spans="1:49" s="17" customFormat="1" ht="12" x14ac:dyDescent="0.2">
      <c r="A1" s="89" t="s">
        <v>75</v>
      </c>
      <c r="B1" s="89"/>
      <c r="E1" s="90" t="s">
        <v>77</v>
      </c>
      <c r="F1" s="90"/>
      <c r="G1" s="91">
        <v>5.0000000000000001E-3</v>
      </c>
      <c r="H1" s="91"/>
      <c r="I1" s="18"/>
      <c r="J1" s="79" t="s">
        <v>80</v>
      </c>
      <c r="K1" s="79"/>
      <c r="L1" s="26" t="s">
        <v>101</v>
      </c>
      <c r="M1" s="26" t="s">
        <v>103</v>
      </c>
      <c r="N1" s="26" t="s">
        <v>101</v>
      </c>
      <c r="O1" s="26" t="s">
        <v>103</v>
      </c>
      <c r="P1" s="86" t="s">
        <v>81</v>
      </c>
      <c r="Q1" s="86"/>
      <c r="R1" s="86"/>
      <c r="S1" s="26"/>
      <c r="T1" s="79" t="s">
        <v>86</v>
      </c>
      <c r="U1" s="79"/>
      <c r="Y1" s="97"/>
      <c r="Z1" s="103"/>
      <c r="AA1" s="103"/>
      <c r="AB1" s="103"/>
      <c r="AC1" s="103"/>
      <c r="AD1" s="106">
        <f t="shared" ref="AD1:AH1" si="0">SUM(AD4:AD19)</f>
        <v>5969.0700000000006</v>
      </c>
      <c r="AE1" s="106">
        <f t="shared" si="0"/>
        <v>7234.57</v>
      </c>
      <c r="AF1" s="106">
        <f t="shared" si="0"/>
        <v>13203.64</v>
      </c>
      <c r="AG1" s="106">
        <f t="shared" si="0"/>
        <v>-3753.8350000000005</v>
      </c>
      <c r="AH1" s="106">
        <f t="shared" si="0"/>
        <v>-895.62822800000004</v>
      </c>
      <c r="AI1" s="106">
        <f>SUM(AI4:AI19)</f>
        <v>8554.1767719999989</v>
      </c>
      <c r="AJ1" s="106"/>
      <c r="AK1" s="106"/>
      <c r="AL1" s="106">
        <f t="shared" ref="AJ1:AL1" si="1">SUM(AL4:AL19)</f>
        <v>343066.59768699994</v>
      </c>
      <c r="AM1" s="101">
        <f>SUM(AM4:AM19)</f>
        <v>1.7153329884349999</v>
      </c>
      <c r="AN1" s="103"/>
      <c r="AO1" s="107"/>
      <c r="AP1" s="106"/>
      <c r="AV1" s="109"/>
    </row>
    <row r="2" spans="1:49" s="22" customFormat="1" ht="12" x14ac:dyDescent="0.2">
      <c r="A2" s="21" t="s">
        <v>74</v>
      </c>
      <c r="B2" s="21" t="s">
        <v>76</v>
      </c>
      <c r="C2" s="21" t="s">
        <v>87</v>
      </c>
      <c r="D2" s="22" t="s">
        <v>68</v>
      </c>
      <c r="E2" s="23" t="s">
        <v>78</v>
      </c>
      <c r="F2" s="23" t="s">
        <v>79</v>
      </c>
      <c r="G2" s="27" t="s">
        <v>70</v>
      </c>
      <c r="H2" s="27" t="s">
        <v>71</v>
      </c>
      <c r="I2" s="25" t="s">
        <v>69</v>
      </c>
      <c r="J2" s="24" t="s">
        <v>72</v>
      </c>
      <c r="K2" s="24" t="s">
        <v>73</v>
      </c>
      <c r="L2" s="22" t="s">
        <v>102</v>
      </c>
      <c r="M2" s="22" t="s">
        <v>104</v>
      </c>
      <c r="N2" s="64" t="s">
        <v>36</v>
      </c>
      <c r="O2" s="64" t="s">
        <v>36</v>
      </c>
      <c r="P2" s="55" t="s">
        <v>82</v>
      </c>
      <c r="Q2" s="56" t="s">
        <v>83</v>
      </c>
      <c r="R2" s="56" t="s">
        <v>84</v>
      </c>
      <c r="T2" s="22" t="s">
        <v>105</v>
      </c>
      <c r="U2" s="22" t="s">
        <v>106</v>
      </c>
      <c r="Y2" s="98"/>
      <c r="Z2" s="104"/>
      <c r="AA2" s="104"/>
      <c r="AB2" s="104"/>
      <c r="AC2" s="104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104"/>
      <c r="AO2" s="108"/>
      <c r="AP2" s="23"/>
      <c r="AV2" s="110"/>
    </row>
    <row r="3" spans="1:49" s="22" customFormat="1" ht="15.75" thickBot="1" x14ac:dyDescent="0.3">
      <c r="A3" s="21"/>
      <c r="B3" s="21"/>
      <c r="C3" s="21"/>
      <c r="E3" s="23"/>
      <c r="F3" s="23"/>
      <c r="G3" s="27"/>
      <c r="H3" s="27"/>
      <c r="I3" s="25"/>
      <c r="J3" s="24"/>
      <c r="K3" s="24"/>
      <c r="N3" s="64"/>
      <c r="O3" s="64"/>
      <c r="P3" s="55"/>
      <c r="Q3" s="56"/>
      <c r="R3" s="56"/>
      <c r="X3" s="54" t="s">
        <v>108</v>
      </c>
      <c r="Y3" s="99" t="s">
        <v>110</v>
      </c>
      <c r="Z3" s="105" t="s">
        <v>111</v>
      </c>
      <c r="AA3" s="105" t="s">
        <v>112</v>
      </c>
      <c r="AB3" s="105" t="s">
        <v>113</v>
      </c>
      <c r="AC3" s="105" t="s">
        <v>114</v>
      </c>
      <c r="AD3" s="2" t="s">
        <v>115</v>
      </c>
      <c r="AE3" s="2" t="s">
        <v>116</v>
      </c>
      <c r="AF3" s="2" t="s">
        <v>117</v>
      </c>
      <c r="AG3" s="2" t="s">
        <v>118</v>
      </c>
      <c r="AH3" s="2" t="s">
        <v>119</v>
      </c>
      <c r="AI3" s="2" t="s">
        <v>120</v>
      </c>
      <c r="AJ3" s="2" t="s">
        <v>121</v>
      </c>
      <c r="AK3" s="2" t="s">
        <v>122</v>
      </c>
      <c r="AL3" s="2" t="s">
        <v>123</v>
      </c>
      <c r="AM3" s="2"/>
      <c r="AN3" s="105" t="s">
        <v>124</v>
      </c>
      <c r="AO3" s="93" t="s">
        <v>125</v>
      </c>
      <c r="AP3" s="2" t="s">
        <v>126</v>
      </c>
      <c r="AQ3" t="s">
        <v>127</v>
      </c>
      <c r="AR3" t="s">
        <v>128</v>
      </c>
      <c r="AS3" t="s">
        <v>129</v>
      </c>
      <c r="AT3" t="s">
        <v>130</v>
      </c>
      <c r="AU3" t="s">
        <v>131</v>
      </c>
      <c r="AV3" s="8" t="s">
        <v>132</v>
      </c>
      <c r="AW3"/>
    </row>
    <row r="4" spans="1:49" x14ac:dyDescent="0.25">
      <c r="A4" s="32">
        <f>MATCH(D4,'TRADING INPUTS'!B:B,0)</f>
        <v>2</v>
      </c>
      <c r="B4" s="33">
        <f>MATCH(D4,'MKT DATA'!B:B,0)</f>
        <v>9</v>
      </c>
      <c r="C4" s="33" t="s">
        <v>57</v>
      </c>
      <c r="D4" s="34" t="s">
        <v>52</v>
      </c>
      <c r="E4" s="35" cm="1">
        <f t="array" aca="1" ref="E4" ca="1">INDIRECT(ADDRESS($B4,5,,,"mkt data"))</f>
        <v>102.52</v>
      </c>
      <c r="F4" s="35" cm="1">
        <f t="array" aca="1" ref="F4" ca="1">INDIRECT(ADDRESS($B4,6,,,"mkt data"))</f>
        <v>109.44</v>
      </c>
      <c r="G4" s="36">
        <f ca="1">E4-G$1</f>
        <v>102.515</v>
      </c>
      <c r="H4" s="36">
        <f ca="1">F4+G$1</f>
        <v>109.44499999999999</v>
      </c>
      <c r="I4" s="68" cm="1">
        <f t="array" aca="1" ref="I4" ca="1">INDIRECT(ADDRESS($A4,5,,,"trading inputs"))</f>
        <v>1.1155322148187516</v>
      </c>
      <c r="J4" s="37">
        <f ca="1">G4*I4</f>
        <v>114.35878500214433</v>
      </c>
      <c r="K4" s="37">
        <f ca="1">-I4*H4</f>
        <v>-122.08942325083827</v>
      </c>
      <c r="L4" s="80">
        <f ca="1">K4+J5</f>
        <v>-12.394423250838258</v>
      </c>
      <c r="M4" s="80">
        <f ca="1">J4+K5</f>
        <v>-6.9462149978556624</v>
      </c>
      <c r="N4" s="82">
        <f ca="1">L4/AVERAGE(J5,-K5)</f>
        <v>-0.10731102381678145</v>
      </c>
      <c r="O4" s="82">
        <f ca="1">M4/AVERAGE(J5,-K5)</f>
        <v>-6.0140389591823919E-2</v>
      </c>
      <c r="P4" s="57" cm="1">
        <f t="array" aca="1" ref="P4" ca="1">INDIRECT(ADDRESS($B4,9,,,"mkt data"))</f>
        <v>-884</v>
      </c>
      <c r="Q4" s="57">
        <f ca="1">P4/I4</f>
        <v>-792.44685922730582</v>
      </c>
      <c r="R4" s="87">
        <f ca="1">SUM(Q4:Q5)</f>
        <v>-4.4468592273058221</v>
      </c>
      <c r="S4" s="22"/>
      <c r="T4" s="74">
        <v>5.0000000000000001E-4</v>
      </c>
      <c r="U4" s="71">
        <v>1E-3</v>
      </c>
      <c r="V4" s="17" t="str">
        <f>N$1</f>
        <v>lift top</v>
      </c>
      <c r="X4" t="s">
        <v>109</v>
      </c>
      <c r="Y4" s="100">
        <v>20</v>
      </c>
      <c r="Z4" s="105">
        <v>-2E-3</v>
      </c>
      <c r="AA4" s="105">
        <v>-1.5E-3</v>
      </c>
      <c r="AB4" s="105">
        <v>2E-3</v>
      </c>
      <c r="AC4" s="105">
        <v>1.5E-3</v>
      </c>
      <c r="AD4" s="2">
        <v>2041.74</v>
      </c>
      <c r="AE4" s="2">
        <v>2567.1799999999998</v>
      </c>
      <c r="AF4" s="2">
        <v>4608.92</v>
      </c>
      <c r="AG4" s="2">
        <v>-423.31</v>
      </c>
      <c r="AH4" s="2">
        <v>-297.59116</v>
      </c>
      <c r="AI4" s="2">
        <v>3888.0188400000002</v>
      </c>
      <c r="AJ4" s="2">
        <v>-58292.256716000004</v>
      </c>
      <c r="AK4" s="2">
        <v>-216.00611900000001</v>
      </c>
      <c r="AL4" s="2">
        <v>116368.50731299999</v>
      </c>
      <c r="AM4" s="102">
        <f>AL4/200000</f>
        <v>0.58184253656499996</v>
      </c>
      <c r="AN4" s="105">
        <v>6.2833E-2</v>
      </c>
      <c r="AO4" s="93">
        <v>2.4503879999999998</v>
      </c>
      <c r="AP4" s="2">
        <v>-1018.776283</v>
      </c>
      <c r="AQ4">
        <v>42</v>
      </c>
      <c r="AR4">
        <v>11</v>
      </c>
      <c r="AS4">
        <v>11</v>
      </c>
      <c r="AT4">
        <v>1</v>
      </c>
      <c r="AU4">
        <v>1</v>
      </c>
      <c r="AV4" s="8">
        <v>84662</v>
      </c>
    </row>
    <row r="5" spans="1:49" ht="15.75" thickBot="1" x14ac:dyDescent="0.3">
      <c r="A5" s="38">
        <f>MATCH(D5,'TRADING INPUTS'!B:B,0)</f>
        <v>3</v>
      </c>
      <c r="B5" s="39">
        <f>MATCH(D5,'MKT DATA'!B:B,0)</f>
        <v>16</v>
      </c>
      <c r="C5" s="39" t="s">
        <v>57</v>
      </c>
      <c r="D5" s="40" t="s">
        <v>57</v>
      </c>
      <c r="E5" s="41" cm="1">
        <f t="array" aca="1" ref="E5" ca="1">INDIRECT(ADDRESS($B5,5,,,"mkt data"))</f>
        <v>109.7</v>
      </c>
      <c r="F5" s="41" cm="1">
        <f t="array" aca="1" ref="F5" ca="1">INDIRECT(ADDRESS($B5,6,,,"mkt data"))</f>
        <v>121.3</v>
      </c>
      <c r="G5" s="42">
        <f ca="1">E5-G$1</f>
        <v>109.69500000000001</v>
      </c>
      <c r="H5" s="42">
        <f ca="1">F5+G$1</f>
        <v>121.30499999999999</v>
      </c>
      <c r="I5" s="69" cm="1">
        <f t="array" aca="1" ref="I5" ca="1">INDIRECT(ADDRESS($A5,5,,,"trading inputs"))</f>
        <v>1</v>
      </c>
      <c r="J5" s="43">
        <f ca="1">G5*I5</f>
        <v>109.69500000000001</v>
      </c>
      <c r="K5" s="43">
        <f ca="1">-I5*H5</f>
        <v>-121.30499999999999</v>
      </c>
      <c r="L5" s="81"/>
      <c r="M5" s="81"/>
      <c r="N5" s="83"/>
      <c r="O5" s="83"/>
      <c r="P5" s="59" cm="1">
        <f t="array" aca="1" ref="P5" ca="1">INDIRECT(ADDRESS($B5,9,,,"mkt data"))</f>
        <v>788</v>
      </c>
      <c r="Q5" s="59">
        <f ca="1">P5/I5</f>
        <v>788</v>
      </c>
      <c r="R5" s="88"/>
      <c r="S5" s="22"/>
      <c r="T5" s="75">
        <v>1.5E-3</v>
      </c>
      <c r="U5" s="72">
        <v>1E-3</v>
      </c>
      <c r="V5" s="17" t="str">
        <f>O$1</f>
        <v>hit top</v>
      </c>
      <c r="AM5" s="102"/>
    </row>
    <row r="6" spans="1:49" ht="15.75" thickBot="1" x14ac:dyDescent="0.3">
      <c r="I6" s="68"/>
      <c r="N6" s="67"/>
      <c r="O6" s="67"/>
      <c r="Q6" s="61"/>
      <c r="R6" s="62"/>
      <c r="S6" s="22"/>
      <c r="T6" s="73"/>
      <c r="U6" s="73"/>
      <c r="V6" s="17"/>
      <c r="AM6" s="102"/>
    </row>
    <row r="7" spans="1:49" x14ac:dyDescent="0.25">
      <c r="A7" s="32">
        <f>MATCH(D7,'TRADING INPUTS'!B:B,0)</f>
        <v>12</v>
      </c>
      <c r="B7" s="33">
        <f>MATCH(D7,'MKT DATA'!B:B,0)</f>
        <v>6</v>
      </c>
      <c r="C7" s="33" t="s">
        <v>58</v>
      </c>
      <c r="D7" s="34" t="s">
        <v>50</v>
      </c>
      <c r="E7" s="35" cm="1">
        <f t="array" aca="1" ref="E7" ca="1">INDIRECT(ADDRESS($B7,5,,,"mkt data"))</f>
        <v>21</v>
      </c>
      <c r="F7" s="35" cm="1">
        <f t="array" aca="1" ref="F7" ca="1">INDIRECT(ADDRESS($B7,6,,,"mkt data"))</f>
        <v>22.42</v>
      </c>
      <c r="G7" s="36">
        <f ca="1">E7-G$1</f>
        <v>20.995000000000001</v>
      </c>
      <c r="H7" s="36">
        <f ca="1">F7+G$1</f>
        <v>22.425000000000001</v>
      </c>
      <c r="I7" s="68" cm="1">
        <f t="array" aca="1" ref="I7" ca="1">INDIRECT(ADDRESS($A7,5,,,"trading inputs"))</f>
        <v>1.8903722269645384</v>
      </c>
      <c r="J7" s="37">
        <f ca="1">G7*I7</f>
        <v>39.688364905120487</v>
      </c>
      <c r="K7" s="37">
        <f ca="1">-I7*H7</f>
        <v>-42.391597189679779</v>
      </c>
      <c r="L7" s="80">
        <f ca="1">K7+J8</f>
        <v>-2.6965971896797782</v>
      </c>
      <c r="M7" s="80">
        <f ca="1">J7+K8</f>
        <v>-1.8866350948795159</v>
      </c>
      <c r="N7" s="82">
        <f ca="1">L7/AVERAGE(J8,-K8)</f>
        <v>-6.6361441852584663E-2</v>
      </c>
      <c r="O7" s="82">
        <f ca="1">M7/AVERAGE(J8,-K8)</f>
        <v>-4.6428819856761797E-2</v>
      </c>
      <c r="P7" s="57" cm="1">
        <f t="array" aca="1" ref="P7" ca="1">INDIRECT(ADDRESS($B7,9,,,"mkt data"))</f>
        <v>-2415</v>
      </c>
      <c r="Q7" s="57">
        <f ca="1">P7/I7</f>
        <v>-1277.5261747671154</v>
      </c>
      <c r="R7" s="84">
        <f ca="1">SUM(Q7:Q8)</f>
        <v>-0.52617476711543532</v>
      </c>
      <c r="S7" s="22"/>
      <c r="T7" s="74">
        <v>5.0000000000000001E-4</v>
      </c>
      <c r="U7" s="71">
        <v>1E-3</v>
      </c>
      <c r="V7" s="17" t="str">
        <f>N$1</f>
        <v>lift top</v>
      </c>
      <c r="X7" t="s">
        <v>133</v>
      </c>
      <c r="Y7" s="99">
        <v>20</v>
      </c>
      <c r="Z7" s="105">
        <v>-4.0000000000000001E-3</v>
      </c>
      <c r="AA7" s="105">
        <v>-3.0000000000000001E-3</v>
      </c>
      <c r="AB7" s="105">
        <v>2E-3</v>
      </c>
      <c r="AC7" s="105">
        <v>2E-3</v>
      </c>
      <c r="AD7" s="2">
        <v>1324.9</v>
      </c>
      <c r="AE7" s="2">
        <v>1070.73</v>
      </c>
      <c r="AF7" s="2">
        <v>2395.63</v>
      </c>
      <c r="AG7" s="2">
        <v>-895.37</v>
      </c>
      <c r="AH7" s="2">
        <v>-100.08193199999999</v>
      </c>
      <c r="AI7" s="2">
        <v>1400.1780679999999</v>
      </c>
      <c r="AJ7" s="2">
        <v>-18668.626119</v>
      </c>
      <c r="AK7" s="2">
        <v>-72.598955000000004</v>
      </c>
      <c r="AL7" s="2">
        <v>37264.653284</v>
      </c>
      <c r="AM7" s="102">
        <f t="shared" ref="AM5:AM19" si="2">AL7/200000</f>
        <v>0.18632326641999999</v>
      </c>
      <c r="AN7" s="105">
        <v>7.0661000000000002E-2</v>
      </c>
      <c r="AO7" s="93">
        <v>2.9181360000000001</v>
      </c>
      <c r="AP7" s="2">
        <v>-154.35770500000001</v>
      </c>
      <c r="AQ7">
        <v>26</v>
      </c>
      <c r="AR7">
        <v>8</v>
      </c>
      <c r="AS7">
        <v>5</v>
      </c>
      <c r="AT7">
        <v>0</v>
      </c>
      <c r="AU7">
        <v>0</v>
      </c>
      <c r="AV7" s="8">
        <v>179074</v>
      </c>
    </row>
    <row r="8" spans="1:49" ht="15.75" thickBot="1" x14ac:dyDescent="0.3">
      <c r="A8" s="38">
        <f>MATCH(D8,'TRADING INPUTS'!B:B,0)</f>
        <v>13</v>
      </c>
      <c r="B8" s="39">
        <f>MATCH(D8,'MKT DATA'!B:B,0)</f>
        <v>18</v>
      </c>
      <c r="C8" s="39" t="s">
        <v>58</v>
      </c>
      <c r="D8" s="40" t="s">
        <v>58</v>
      </c>
      <c r="E8" s="41" cm="1">
        <f t="array" aca="1" ref="E8" ca="1">INDIRECT(ADDRESS($B8,5,,,"mkt data"))</f>
        <v>39.700000000000003</v>
      </c>
      <c r="F8" s="41" cm="1">
        <f t="array" aca="1" ref="F8" ca="1">INDIRECT(ADDRESS($B8,6,,,"mkt data"))</f>
        <v>41.57</v>
      </c>
      <c r="G8" s="42">
        <f ca="1">E8-G$1</f>
        <v>39.695</v>
      </c>
      <c r="H8" s="42">
        <f ca="1">F8+G$1</f>
        <v>41.575000000000003</v>
      </c>
      <c r="I8" s="69" cm="1">
        <f t="array" aca="1" ref="I8" ca="1">INDIRECT(ADDRESS($A8,5,,,"trading inputs"))</f>
        <v>1</v>
      </c>
      <c r="J8" s="43">
        <f ca="1">G8*I8</f>
        <v>39.695</v>
      </c>
      <c r="K8" s="43">
        <f ca="1">-I8*H8</f>
        <v>-41.575000000000003</v>
      </c>
      <c r="L8" s="81"/>
      <c r="M8" s="81"/>
      <c r="N8" s="83"/>
      <c r="O8" s="83"/>
      <c r="P8" s="59" cm="1">
        <f t="array" aca="1" ref="P8" ca="1">INDIRECT(ADDRESS($B8,9,,,"mkt data"))</f>
        <v>1277</v>
      </c>
      <c r="Q8" s="59">
        <f ca="1">P8/I8</f>
        <v>1277</v>
      </c>
      <c r="R8" s="85"/>
      <c r="S8" s="22"/>
      <c r="T8" s="75">
        <v>1.5E-3</v>
      </c>
      <c r="U8" s="72">
        <v>1E-3</v>
      </c>
      <c r="V8" s="17" t="str">
        <f>O$1</f>
        <v>hit top</v>
      </c>
      <c r="AM8" s="102"/>
    </row>
    <row r="9" spans="1:49" ht="15.75" thickBot="1" x14ac:dyDescent="0.3">
      <c r="I9" s="68"/>
      <c r="N9" s="67"/>
      <c r="O9" s="67"/>
      <c r="Q9" s="61"/>
      <c r="R9" s="62"/>
      <c r="S9" s="22"/>
      <c r="T9" s="94"/>
      <c r="U9" s="94"/>
      <c r="V9" s="17"/>
      <c r="AM9" s="102"/>
    </row>
    <row r="10" spans="1:49" x14ac:dyDescent="0.25">
      <c r="A10" s="32">
        <f>MATCH(D10,'TRADING INPUTS'!B:B,0)</f>
        <v>8</v>
      </c>
      <c r="B10" s="33">
        <f>MATCH(D10,'MKT DATA'!B:B,0)</f>
        <v>48</v>
      </c>
      <c r="C10" s="33" t="s">
        <v>53</v>
      </c>
      <c r="D10" s="34" t="s">
        <v>66</v>
      </c>
      <c r="E10" s="35" cm="1">
        <f t="array" aca="1" ref="E10" ca="1">INDIRECT(ADDRESS($B10,5,,,"mkt data"))</f>
        <v>65.31</v>
      </c>
      <c r="F10" s="35" cm="1">
        <f t="array" aca="1" ref="F10" ca="1">INDIRECT(ADDRESS($B10,6,,,"mkt data"))</f>
        <v>66.180000000000007</v>
      </c>
      <c r="G10" s="36">
        <f ca="1">E10-G$1</f>
        <v>65.305000000000007</v>
      </c>
      <c r="H10" s="36">
        <f ca="1">F10+G$1</f>
        <v>66.185000000000002</v>
      </c>
      <c r="I10" s="68" cm="1">
        <f t="array" aca="1" ref="I10" ca="1">INDIRECT(ADDRESS($A10,5,,,"trading inputs"))</f>
        <v>1.4383582262270216</v>
      </c>
      <c r="J10" s="37">
        <f ca="1">G10*I10</f>
        <v>93.931983963755656</v>
      </c>
      <c r="K10" s="37">
        <f ca="1">-I10*H10</f>
        <v>-95.197739202835422</v>
      </c>
      <c r="L10" s="80">
        <f ca="1">K10+J11</f>
        <v>-0.69273920283541202</v>
      </c>
      <c r="M10" s="80">
        <f ca="1">J10+K11</f>
        <v>-1.1630160362443434</v>
      </c>
      <c r="N10" s="82">
        <f ca="1">L10/AVERAGE(J11,-K11)</f>
        <v>-7.3073755573355688E-3</v>
      </c>
      <c r="O10" s="82">
        <f ca="1">M10/AVERAGE(J11,-K11)</f>
        <v>-1.2268101648147081E-2</v>
      </c>
      <c r="P10" s="57" cm="1">
        <f t="array" aca="1" ref="P10" ca="1">INDIRECT(ADDRESS($B10,9,,,"mkt data"))</f>
        <v>0</v>
      </c>
      <c r="Q10" s="57">
        <f ca="1">P10/I10</f>
        <v>0</v>
      </c>
      <c r="R10" s="87">
        <f ca="1">SUM(Q10:Q11)</f>
        <v>0</v>
      </c>
      <c r="S10" s="22"/>
      <c r="T10" s="74">
        <v>5.0000000000000001E-4</v>
      </c>
      <c r="U10" s="71">
        <v>1E-3</v>
      </c>
      <c r="V10" s="17" t="str">
        <f>N$1</f>
        <v>lift top</v>
      </c>
      <c r="X10" s="95" t="s">
        <v>134</v>
      </c>
      <c r="Y10" s="99">
        <v>20</v>
      </c>
      <c r="Z10" s="105">
        <v>-1E-3</v>
      </c>
      <c r="AA10" s="105">
        <v>-1E-3</v>
      </c>
      <c r="AB10" s="105">
        <v>1E-3</v>
      </c>
      <c r="AC10" s="105">
        <v>1E-3</v>
      </c>
      <c r="AD10" s="2">
        <v>1272.2</v>
      </c>
      <c r="AE10" s="2">
        <v>472.81</v>
      </c>
      <c r="AF10" s="2">
        <v>1745.01</v>
      </c>
      <c r="AG10" s="2">
        <v>-484.43</v>
      </c>
      <c r="AH10" s="2">
        <v>-133.34520900000001</v>
      </c>
      <c r="AI10" s="2">
        <v>1127.2347910000001</v>
      </c>
      <c r="AJ10" s="2">
        <v>-29107.705895999999</v>
      </c>
      <c r="AK10" s="2">
        <v>-42.940148999999998</v>
      </c>
      <c r="AL10" s="2">
        <v>58172.471641999997</v>
      </c>
      <c r="AM10" s="102">
        <f t="shared" si="2"/>
        <v>0.29086235821</v>
      </c>
      <c r="AN10" s="105">
        <v>3.6441000000000001E-2</v>
      </c>
      <c r="AO10" s="93">
        <v>2.9476149999999999</v>
      </c>
      <c r="AP10" s="2">
        <v>-171.868425</v>
      </c>
      <c r="AQ10">
        <v>37</v>
      </c>
      <c r="AR10">
        <v>17</v>
      </c>
      <c r="AS10">
        <v>2</v>
      </c>
      <c r="AT10">
        <v>0</v>
      </c>
      <c r="AU10">
        <v>1</v>
      </c>
      <c r="AV10" s="8">
        <v>96886</v>
      </c>
    </row>
    <row r="11" spans="1:49" ht="15.75" thickBot="1" x14ac:dyDescent="0.3">
      <c r="A11" s="38">
        <f>MATCH(D11,'TRADING INPUTS'!B:B,0)</f>
        <v>9</v>
      </c>
      <c r="B11" s="39">
        <f>MATCH(D11,'MKT DATA'!B:B,0)</f>
        <v>10</v>
      </c>
      <c r="C11" s="39" t="s">
        <v>53</v>
      </c>
      <c r="D11" s="40" t="s">
        <v>53</v>
      </c>
      <c r="E11" s="41" cm="1">
        <f t="array" aca="1" ref="E11" ca="1">INDIRECT(ADDRESS($B11,5,,,"mkt data"))</f>
        <v>94.51</v>
      </c>
      <c r="F11" s="41" cm="1">
        <f t="array" aca="1" ref="F11" ca="1">INDIRECT(ADDRESS($B11,6,,,"mkt data"))</f>
        <v>95.09</v>
      </c>
      <c r="G11" s="42">
        <f ca="1">E11-G$1</f>
        <v>94.50500000000001</v>
      </c>
      <c r="H11" s="42">
        <f ca="1">F11+G$1</f>
        <v>95.094999999999999</v>
      </c>
      <c r="I11" s="69" cm="1">
        <f t="array" aca="1" ref="I11" ca="1">INDIRECT(ADDRESS($A11,5,,,"trading inputs"))</f>
        <v>1</v>
      </c>
      <c r="J11" s="43">
        <f t="shared" ref="J11" ca="1" si="3">G11*I11</f>
        <v>94.50500000000001</v>
      </c>
      <c r="K11" s="43">
        <f t="shared" ref="K11" ca="1" si="4">-I11*H11</f>
        <v>-95.094999999999999</v>
      </c>
      <c r="L11" s="81"/>
      <c r="M11" s="81"/>
      <c r="N11" s="83"/>
      <c r="O11" s="83"/>
      <c r="P11" s="59" cm="1">
        <f t="array" aca="1" ref="P11" ca="1">INDIRECT(ADDRESS($B11,9,,,"mkt data"))</f>
        <v>0</v>
      </c>
      <c r="Q11" s="59">
        <f ca="1">P11/I11</f>
        <v>0</v>
      </c>
      <c r="R11" s="88"/>
      <c r="S11" s="22"/>
      <c r="T11" s="75">
        <v>1.5E-3</v>
      </c>
      <c r="U11" s="72">
        <v>1E-3</v>
      </c>
      <c r="V11" s="17" t="str">
        <f>O$1</f>
        <v>hit top</v>
      </c>
      <c r="X11" s="95"/>
      <c r="AM11" s="102"/>
    </row>
    <row r="12" spans="1:49" ht="15.75" thickBot="1" x14ac:dyDescent="0.3">
      <c r="I12" s="68"/>
      <c r="N12" s="67"/>
      <c r="O12" s="67"/>
      <c r="Q12" s="61"/>
      <c r="R12" s="62"/>
      <c r="S12" s="22"/>
      <c r="T12" s="94"/>
      <c r="U12" s="94"/>
      <c r="V12" s="17"/>
      <c r="X12" s="95"/>
      <c r="AM12" s="102"/>
    </row>
    <row r="13" spans="1:49" x14ac:dyDescent="0.25">
      <c r="A13" s="32">
        <f>MATCH(D13,'TRADING INPUTS'!B:B,0)</f>
        <v>14</v>
      </c>
      <c r="B13" s="33">
        <f>MATCH(D13,'MKT DATA'!B:B,0)</f>
        <v>7</v>
      </c>
      <c r="C13" s="33" t="s">
        <v>65</v>
      </c>
      <c r="D13" s="34" t="s">
        <v>51</v>
      </c>
      <c r="E13" s="35" cm="1">
        <f t="array" aca="1" ref="E13" ca="1">INDIRECT(ADDRESS($B13,5,,,"mkt data"))</f>
        <v>56.51</v>
      </c>
      <c r="F13" s="35" cm="1">
        <f t="array" aca="1" ref="F13" ca="1">INDIRECT(ADDRESS($B13,6,,,"mkt data"))</f>
        <v>56.65</v>
      </c>
      <c r="G13" s="36">
        <f ca="1">E13-G$1</f>
        <v>56.504999999999995</v>
      </c>
      <c r="H13" s="36">
        <f ca="1">F13+G$1</f>
        <v>56.655000000000001</v>
      </c>
      <c r="I13" s="68" cm="1">
        <f t="array" aca="1" ref="I13" ca="1">INDIRECT(ADDRESS($A13,5,,,"trading inputs"))</f>
        <v>1.7448139006644858</v>
      </c>
      <c r="J13" s="37">
        <f t="shared" ref="J13:J14" ca="1" si="5">G13*I13</f>
        <v>98.590709457046771</v>
      </c>
      <c r="K13" s="37">
        <f t="shared" ref="K13:K14" ca="1" si="6">-I13*H13</f>
        <v>-98.852431542146448</v>
      </c>
      <c r="L13" s="80">
        <f ca="1">K13+J14</f>
        <v>-0.35743154214644335</v>
      </c>
      <c r="M13" s="80">
        <f ca="1">J13+K14</f>
        <v>-6.4290542953230556E-2</v>
      </c>
      <c r="N13" s="82">
        <f ca="1">L13/AVERAGE(J14,-K14)</f>
        <v>-3.6259857179451517E-3</v>
      </c>
      <c r="O13" s="82">
        <f ca="1">M13/AVERAGE(J14,-K14)</f>
        <v>-6.5219926911722602E-4</v>
      </c>
      <c r="P13" s="57" cm="1">
        <f t="array" aca="1" ref="P13" ca="1">INDIRECT(ADDRESS($B13,9,,,"mkt data"))</f>
        <v>0</v>
      </c>
      <c r="Q13" s="57">
        <f ca="1">P13/I13</f>
        <v>0</v>
      </c>
      <c r="R13" s="77">
        <f ca="1">SUM(Q13:Q14)</f>
        <v>0</v>
      </c>
      <c r="S13" s="22"/>
      <c r="T13" s="74">
        <v>5.0000000000000001E-4</v>
      </c>
      <c r="U13" s="71">
        <v>1E-3</v>
      </c>
      <c r="V13" s="17" t="str">
        <f>N$1</f>
        <v>lift top</v>
      </c>
      <c r="X13" s="96" t="s">
        <v>135</v>
      </c>
      <c r="Y13" s="99">
        <v>20</v>
      </c>
      <c r="Z13" s="105">
        <v>-1E-3</v>
      </c>
      <c r="AA13" s="105">
        <v>-1E-3</v>
      </c>
      <c r="AB13" s="105">
        <v>1E-3</v>
      </c>
      <c r="AC13" s="105">
        <v>1E-3</v>
      </c>
      <c r="AD13" s="2">
        <v>215.72</v>
      </c>
      <c r="AE13" s="2">
        <v>216.53</v>
      </c>
      <c r="AF13" s="2">
        <v>432.25</v>
      </c>
      <c r="AG13" s="2">
        <v>-166.5</v>
      </c>
      <c r="AH13" s="2">
        <v>-27.804898000000001</v>
      </c>
      <c r="AI13" s="2">
        <v>237.94510199999999</v>
      </c>
      <c r="AJ13" s="2">
        <v>-5974.9691789999997</v>
      </c>
      <c r="AK13" s="2">
        <v>-7.4297009999999997</v>
      </c>
      <c r="AL13" s="2">
        <v>11942.508657</v>
      </c>
      <c r="AM13" s="102">
        <f t="shared" si="2"/>
        <v>5.9712543285000003E-2</v>
      </c>
      <c r="AN13" s="105">
        <v>3.7469000000000002E-2</v>
      </c>
      <c r="AO13" s="93">
        <v>1.8513809999999999</v>
      </c>
      <c r="AP13" s="2">
        <v>-44.437958000000002</v>
      </c>
      <c r="AQ13">
        <v>12</v>
      </c>
      <c r="AR13">
        <v>3</v>
      </c>
      <c r="AS13">
        <v>3</v>
      </c>
      <c r="AT13">
        <v>0</v>
      </c>
      <c r="AU13">
        <v>0</v>
      </c>
      <c r="AV13" s="8">
        <v>33300</v>
      </c>
    </row>
    <row r="14" spans="1:49" ht="15.75" thickBot="1" x14ac:dyDescent="0.3">
      <c r="A14" s="38">
        <f>MATCH(D14,'TRADING INPUTS'!B:B,0)</f>
        <v>15</v>
      </c>
      <c r="B14" s="39">
        <f>MATCH(D14,'MKT DATA'!B:B,0)</f>
        <v>47</v>
      </c>
      <c r="C14" s="39" t="s">
        <v>65</v>
      </c>
      <c r="D14" s="40" t="s">
        <v>65</v>
      </c>
      <c r="E14" s="41" cm="1">
        <f t="array" aca="1" ref="E14" ca="1">INDIRECT(ADDRESS($B14,5,,,"mkt data"))</f>
        <v>98.5</v>
      </c>
      <c r="F14" s="41" cm="1">
        <f t="array" aca="1" ref="F14" ca="1">INDIRECT(ADDRESS($B14,6,,,"mkt data"))</f>
        <v>98.65</v>
      </c>
      <c r="G14" s="42">
        <f ca="1">E14-G$1</f>
        <v>98.495000000000005</v>
      </c>
      <c r="H14" s="42">
        <f ca="1">F14+G$1</f>
        <v>98.655000000000001</v>
      </c>
      <c r="I14" s="69" cm="1">
        <f t="array" aca="1" ref="I14" ca="1">INDIRECT(ADDRESS($A14,5,,,"trading inputs"))</f>
        <v>1</v>
      </c>
      <c r="J14" s="43">
        <f t="shared" ca="1" si="5"/>
        <v>98.495000000000005</v>
      </c>
      <c r="K14" s="43">
        <f t="shared" ca="1" si="6"/>
        <v>-98.655000000000001</v>
      </c>
      <c r="L14" s="81"/>
      <c r="M14" s="81"/>
      <c r="N14" s="83"/>
      <c r="O14" s="83"/>
      <c r="P14" s="59" cm="1">
        <f t="array" aca="1" ref="P14" ca="1">INDIRECT(ADDRESS($B14,9,,,"mkt data"))</f>
        <v>0</v>
      </c>
      <c r="Q14" s="59">
        <f ca="1">P14/I14</f>
        <v>0</v>
      </c>
      <c r="R14" s="78"/>
      <c r="S14" s="22"/>
      <c r="T14" s="75">
        <v>1.5E-3</v>
      </c>
      <c r="U14" s="72">
        <v>1E-3</v>
      </c>
      <c r="V14" s="17" t="str">
        <f>O$1</f>
        <v>hit top</v>
      </c>
      <c r="X14" s="95"/>
      <c r="AM14" s="102"/>
    </row>
    <row r="15" spans="1:49" ht="15.75" thickBot="1" x14ac:dyDescent="0.3">
      <c r="X15" s="95"/>
      <c r="AM15" s="102"/>
    </row>
    <row r="16" spans="1:49" x14ac:dyDescent="0.25">
      <c r="A16" s="32">
        <f>MATCH(D16,'TRADING INPUTS'!B:B,0)</f>
        <v>6</v>
      </c>
      <c r="B16" s="33">
        <f>MATCH(D16,'MKT DATA'!B:B,0)</f>
        <v>26</v>
      </c>
      <c r="C16" s="33" t="s">
        <v>61</v>
      </c>
      <c r="D16" s="34" t="s">
        <v>62</v>
      </c>
      <c r="E16" s="35" cm="1">
        <f t="array" aca="1" ref="E16" ca="1">INDIRECT(ADDRESS($B16,5,,,"mkt data"))</f>
        <v>18.399999999999999</v>
      </c>
      <c r="F16" s="35" cm="1">
        <f t="array" aca="1" ref="F16" ca="1">INDIRECT(ADDRESS($B16,6,,,"mkt data"))</f>
        <v>18.600000000000001</v>
      </c>
      <c r="G16" s="36">
        <f ca="1">E16-G$1</f>
        <v>18.395</v>
      </c>
      <c r="H16" s="36">
        <f ca="1">F16+G$1</f>
        <v>18.605</v>
      </c>
      <c r="I16" s="68" cm="1">
        <f t="array" aca="1" ref="I16" ca="1">INDIRECT(ADDRESS($A16,5,,,"trading inputs"))</f>
        <v>1.6471316960652782</v>
      </c>
      <c r="J16" s="37">
        <f ca="1">G16*I16</f>
        <v>30.298987549120792</v>
      </c>
      <c r="K16" s="37">
        <f ca="1">-I16*H16</f>
        <v>-30.6448852052945</v>
      </c>
      <c r="L16" s="51">
        <f ca="1">K16+J17</f>
        <v>-0.18988520529449815</v>
      </c>
      <c r="M16" s="51">
        <f ca="1">J16+K17</f>
        <v>-0.21601245087920873</v>
      </c>
      <c r="N16" s="65">
        <f ca="1">L16/AVERAGE(J17,-K17)</f>
        <v>-6.228807783975665E-3</v>
      </c>
      <c r="O16" s="65">
        <f ca="1">M16/AVERAGE(J17,-K17)</f>
        <v>-7.085860287984541E-3</v>
      </c>
      <c r="P16" s="57" cm="1">
        <f t="array" aca="1" ref="P16" ca="1">INDIRECT(ADDRESS($B16,9,,,"mkt data"))</f>
        <v>0</v>
      </c>
      <c r="Q16" s="57">
        <f ca="1">P16/I16</f>
        <v>0</v>
      </c>
      <c r="R16" s="58">
        <f ca="1">SUM(Q16:Q17)</f>
        <v>0</v>
      </c>
      <c r="S16" s="22"/>
      <c r="T16" s="74">
        <v>5.0000000000000001E-4</v>
      </c>
      <c r="U16" s="71">
        <v>1E-3</v>
      </c>
      <c r="V16" s="17" t="str">
        <f>N$1</f>
        <v>lift top</v>
      </c>
      <c r="X16" s="96" t="s">
        <v>136</v>
      </c>
      <c r="Y16" s="99">
        <v>20</v>
      </c>
      <c r="Z16" s="105">
        <v>-5.0000000000000001E-3</v>
      </c>
      <c r="AA16" s="105">
        <v>-4.0000000000000001E-3</v>
      </c>
      <c r="AB16" s="105">
        <v>3.0000000000000001E-3</v>
      </c>
      <c r="AC16" s="105">
        <v>2E-3</v>
      </c>
      <c r="AD16" s="2">
        <v>791.67</v>
      </c>
      <c r="AE16" s="2">
        <v>1280.75</v>
      </c>
      <c r="AF16" s="2">
        <v>2072.42</v>
      </c>
      <c r="AG16" s="2">
        <v>-1162.53</v>
      </c>
      <c r="AH16" s="2">
        <v>-178.32597100000001</v>
      </c>
      <c r="AI16" s="2">
        <v>731.564029</v>
      </c>
      <c r="AJ16" s="2">
        <v>-30686.509328</v>
      </c>
      <c r="AK16" s="2">
        <v>-180.603433</v>
      </c>
      <c r="AL16" s="2">
        <v>61192.415223999997</v>
      </c>
      <c r="AM16" s="102">
        <f t="shared" si="2"/>
        <v>0.30596207611999998</v>
      </c>
      <c r="AN16" s="105">
        <v>2.2483E-2</v>
      </c>
      <c r="AO16" s="93">
        <v>0.63427599999999995</v>
      </c>
      <c r="AP16" s="2">
        <v>-1125.6526980000001</v>
      </c>
      <c r="AQ16">
        <v>27</v>
      </c>
      <c r="AR16">
        <v>6</v>
      </c>
      <c r="AS16">
        <v>8</v>
      </c>
      <c r="AT16">
        <v>0</v>
      </c>
      <c r="AU16">
        <v>0</v>
      </c>
      <c r="AV16" s="8">
        <v>232506</v>
      </c>
    </row>
    <row r="17" spans="1:48" ht="15.75" thickBot="1" x14ac:dyDescent="0.3">
      <c r="A17" s="38">
        <f>MATCH(D17,'TRADING INPUTS'!B:B,0)</f>
        <v>7</v>
      </c>
      <c r="B17" s="39">
        <f>MATCH(D17,'MKT DATA'!B:B,0)</f>
        <v>25</v>
      </c>
      <c r="C17" s="39" t="s">
        <v>61</v>
      </c>
      <c r="D17" s="40" t="s">
        <v>61</v>
      </c>
      <c r="E17" s="41" cm="1">
        <f t="array" aca="1" ref="E17" ca="1">INDIRECT(ADDRESS($B17,5,,,"mkt data"))</f>
        <v>30.46</v>
      </c>
      <c r="F17" s="41" cm="1">
        <f t="array" aca="1" ref="F17" ca="1">INDIRECT(ADDRESS($B17,6,,,"mkt data"))</f>
        <v>30.51</v>
      </c>
      <c r="G17" s="42">
        <f ca="1">E17-G$1</f>
        <v>30.455000000000002</v>
      </c>
      <c r="H17" s="42">
        <f ca="1">F17+G$1</f>
        <v>30.515000000000001</v>
      </c>
      <c r="I17" s="69" cm="1">
        <f t="array" aca="1" ref="I17" ca="1">INDIRECT(ADDRESS($A17,5,,,"trading inputs"))</f>
        <v>1</v>
      </c>
      <c r="J17" s="43">
        <f t="shared" ref="J17" ca="1" si="7">G17*I17</f>
        <v>30.455000000000002</v>
      </c>
      <c r="K17" s="43">
        <f t="shared" ref="K17" ca="1" si="8">-I17*H17</f>
        <v>-30.515000000000001</v>
      </c>
      <c r="L17" s="52"/>
      <c r="M17" s="52"/>
      <c r="N17" s="66"/>
      <c r="O17" s="66"/>
      <c r="P17" s="59" cm="1">
        <f t="array" aca="1" ref="P17" ca="1">INDIRECT(ADDRESS($B17,9,,,"mkt data"))</f>
        <v>0</v>
      </c>
      <c r="Q17" s="59">
        <f ca="1">P17/I17</f>
        <v>0</v>
      </c>
      <c r="R17" s="60"/>
      <c r="S17" s="22"/>
      <c r="T17" s="75">
        <v>1.5E-3</v>
      </c>
      <c r="U17" s="72">
        <v>1E-3</v>
      </c>
      <c r="V17" s="17" t="str">
        <f>O$1</f>
        <v>hit top</v>
      </c>
      <c r="X17" s="95"/>
      <c r="AM17" s="102"/>
    </row>
    <row r="18" spans="1:48" ht="15.75" thickBot="1" x14ac:dyDescent="0.3">
      <c r="I18" s="68"/>
      <c r="N18" s="67"/>
      <c r="O18" s="67"/>
      <c r="Q18" s="61"/>
      <c r="R18" s="62"/>
      <c r="S18" s="22"/>
      <c r="T18" s="73"/>
      <c r="U18" s="73"/>
      <c r="V18" s="17"/>
      <c r="X18" s="95"/>
      <c r="AM18" s="102"/>
    </row>
    <row r="19" spans="1:48" x14ac:dyDescent="0.25">
      <c r="A19" s="32">
        <f>MATCH(D19,'TRADING INPUTS'!B:B,0)</f>
        <v>16</v>
      </c>
      <c r="B19" s="33">
        <f>MATCH(D19,'MKT DATA'!B:B,0)</f>
        <v>27</v>
      </c>
      <c r="C19" s="33" t="s">
        <v>64</v>
      </c>
      <c r="D19" s="34" t="s">
        <v>63</v>
      </c>
      <c r="E19" s="35" cm="1">
        <f t="array" aca="1" ref="E19" ca="1">INDIRECT(ADDRESS($B19,5,,,"mkt data"))</f>
        <v>23.85</v>
      </c>
      <c r="F19" s="35" cm="1">
        <f t="array" aca="1" ref="F19" ca="1">INDIRECT(ADDRESS($B19,6,,,"mkt data"))</f>
        <v>24.23</v>
      </c>
      <c r="G19" s="36">
        <f ca="1">E19-G$1</f>
        <v>23.845000000000002</v>
      </c>
      <c r="H19" s="36">
        <f ca="1">F19+G$1</f>
        <v>24.234999999999999</v>
      </c>
      <c r="I19" s="68" cm="1">
        <f t="array" aca="1" ref="I19" ca="1">INDIRECT(ADDRESS($A19,5,,,"trading inputs"))</f>
        <v>2.7974138192549711</v>
      </c>
      <c r="J19" s="37">
        <f t="shared" ref="J19:J20" ca="1" si="9">G19*I19</f>
        <v>66.704332520134798</v>
      </c>
      <c r="K19" s="37">
        <f t="shared" ref="K19:K20" ca="1" si="10">-I19*H19</f>
        <v>-67.795323909644225</v>
      </c>
      <c r="L19" s="80">
        <f ca="1">K19+J20</f>
        <v>-1.8303239096442212</v>
      </c>
      <c r="M19" s="80">
        <f ca="1">J19+K20</f>
        <v>-1.1406674798652006</v>
      </c>
      <c r="N19" s="82">
        <f ca="1">L19/AVERAGE(J20,-K20)</f>
        <v>-2.7357057165297381E-2</v>
      </c>
      <c r="O19" s="82">
        <f ca="1">M19/AVERAGE(J20,-K20)</f>
        <v>-1.704906180203573E-2</v>
      </c>
      <c r="P19" s="57" cm="1">
        <f t="array" aca="1" ref="P19" ca="1">INDIRECT(ADDRESS($B19,9,,,"mkt data"))</f>
        <v>0</v>
      </c>
      <c r="Q19" s="57">
        <f ca="1">P19/I19</f>
        <v>0</v>
      </c>
      <c r="R19" s="77">
        <f ca="1">SUM(Q19:Q20)</f>
        <v>0</v>
      </c>
      <c r="S19" s="22"/>
      <c r="T19" s="74">
        <v>5.0000000000000001E-4</v>
      </c>
      <c r="U19" s="71">
        <v>1E-3</v>
      </c>
      <c r="V19" s="17" t="str">
        <f>N$1</f>
        <v>lift top</v>
      </c>
      <c r="X19" s="96" t="s">
        <v>137</v>
      </c>
      <c r="Y19" s="99">
        <v>20</v>
      </c>
      <c r="Z19" s="105">
        <v>-5.0000000000000001E-3</v>
      </c>
      <c r="AA19" s="105">
        <v>-3.0000000000000001E-3</v>
      </c>
      <c r="AB19" s="105">
        <v>2E-3</v>
      </c>
      <c r="AC19" s="105">
        <v>1E-3</v>
      </c>
      <c r="AD19" s="2">
        <v>322.83999999999997</v>
      </c>
      <c r="AE19" s="2">
        <v>1626.57</v>
      </c>
      <c r="AF19" s="2">
        <v>1949.41</v>
      </c>
      <c r="AG19" s="2">
        <v>-621.69500000000005</v>
      </c>
      <c r="AH19" s="2">
        <v>-158.47905800000001</v>
      </c>
      <c r="AI19" s="2">
        <v>1169.235942</v>
      </c>
      <c r="AJ19" s="2">
        <v>-29134.976268999999</v>
      </c>
      <c r="AK19" s="2">
        <v>-143.91096999999999</v>
      </c>
      <c r="AL19" s="2">
        <v>58126.041567</v>
      </c>
      <c r="AM19" s="102">
        <f t="shared" si="2"/>
        <v>0.29063020783499999</v>
      </c>
      <c r="AN19" s="105">
        <v>3.7829000000000002E-2</v>
      </c>
      <c r="AO19" s="93">
        <v>1.6052869999999999</v>
      </c>
      <c r="AP19" s="2">
        <v>-990.74087399999996</v>
      </c>
      <c r="AQ19">
        <v>21</v>
      </c>
      <c r="AR19">
        <v>4</v>
      </c>
      <c r="AS19">
        <v>7</v>
      </c>
      <c r="AT19">
        <v>0</v>
      </c>
      <c r="AU19">
        <v>0</v>
      </c>
      <c r="AV19" s="8">
        <v>124339</v>
      </c>
    </row>
    <row r="20" spans="1:48" ht="15.75" thickBot="1" x14ac:dyDescent="0.3">
      <c r="A20" s="38">
        <f>MATCH(D20,'TRADING INPUTS'!B:B,0)</f>
        <v>17</v>
      </c>
      <c r="B20" s="39">
        <f>MATCH(D20,'MKT DATA'!B:B,0)</f>
        <v>41</v>
      </c>
      <c r="C20" s="39" t="s">
        <v>64</v>
      </c>
      <c r="D20" s="40" t="s">
        <v>64</v>
      </c>
      <c r="E20" s="41" cm="1">
        <f t="array" aca="1" ref="E20" ca="1">INDIRECT(ADDRESS($B20,5,,,"mkt data"))</f>
        <v>65.97</v>
      </c>
      <c r="F20" s="41" cm="1">
        <f t="array" aca="1" ref="F20" ca="1">INDIRECT(ADDRESS($B20,6,,,"mkt data"))</f>
        <v>67.84</v>
      </c>
      <c r="G20" s="42">
        <f ca="1">E20-G$1</f>
        <v>65.965000000000003</v>
      </c>
      <c r="H20" s="42">
        <f ca="1">F20+G$1</f>
        <v>67.844999999999999</v>
      </c>
      <c r="I20" s="69" cm="1">
        <f t="array" aca="1" ref="I20" ca="1">INDIRECT(ADDRESS($A20,5,,,"trading inputs"))</f>
        <v>1</v>
      </c>
      <c r="J20" s="43">
        <f t="shared" ca="1" si="9"/>
        <v>65.965000000000003</v>
      </c>
      <c r="K20" s="43">
        <f t="shared" ca="1" si="10"/>
        <v>-67.844999999999999</v>
      </c>
      <c r="L20" s="81"/>
      <c r="M20" s="81"/>
      <c r="N20" s="83"/>
      <c r="O20" s="83"/>
      <c r="P20" s="59" cm="1">
        <f t="array" aca="1" ref="P20" ca="1">INDIRECT(ADDRESS($B20,9,,,"mkt data"))</f>
        <v>0</v>
      </c>
      <c r="Q20" s="59">
        <f ca="1">P20/I20</f>
        <v>0</v>
      </c>
      <c r="R20" s="78"/>
      <c r="S20" s="22"/>
      <c r="T20" s="75">
        <v>1.5E-3</v>
      </c>
      <c r="U20" s="72">
        <v>1E-3</v>
      </c>
      <c r="V20" s="17" t="str">
        <f>O$1</f>
        <v>hit top</v>
      </c>
      <c r="X20" s="95"/>
    </row>
    <row r="21" spans="1:48" ht="15.75" thickBot="1" x14ac:dyDescent="0.3">
      <c r="X21" s="95"/>
    </row>
    <row r="22" spans="1:48" x14ac:dyDescent="0.25">
      <c r="A22" s="32">
        <f>MATCH(D22,'TRADING INPUTS'!B:B,0)</f>
        <v>10</v>
      </c>
      <c r="B22" s="33">
        <f>MATCH(D22,'MKT DATA'!B:B,0)</f>
        <v>5</v>
      </c>
      <c r="C22" s="33" t="s">
        <v>56</v>
      </c>
      <c r="D22" s="34" t="s">
        <v>49</v>
      </c>
      <c r="E22" s="35" cm="1">
        <f t="array" aca="1" ref="E22" ca="1">INDIRECT(ADDRESS($B22,5,,,"mkt data"))</f>
        <v>47.5</v>
      </c>
      <c r="F22" s="35" cm="1">
        <f t="array" aca="1" ref="F22" ca="1">INDIRECT(ADDRESS($B22,6,,,"mkt data"))</f>
        <v>47.8</v>
      </c>
      <c r="G22" s="36">
        <f ca="1">E22-G$1</f>
        <v>47.494999999999997</v>
      </c>
      <c r="H22" s="36">
        <f ca="1">F22+G$1</f>
        <v>47.805</v>
      </c>
      <c r="I22" s="68" cm="1">
        <f t="array" aca="1" ref="I22" ca="1">INDIRECT(ADDRESS($A22,5,,,"trading inputs"))</f>
        <v>1.0428324873708594</v>
      </c>
      <c r="J22" s="37">
        <f t="shared" ref="J22" ca="1" si="11">G22*I22</f>
        <v>49.529328987678966</v>
      </c>
      <c r="K22" s="37">
        <f t="shared" ref="K22" ca="1" si="12">-I22*H22</f>
        <v>-49.852607058763937</v>
      </c>
      <c r="L22" s="80">
        <f ca="1">K22+J23</f>
        <v>-0.35760705876393928</v>
      </c>
      <c r="M22" s="80">
        <f ca="1">J22+K23</f>
        <v>-0.26567101232103596</v>
      </c>
      <c r="N22" s="82">
        <f ca="1">L22/AVERAGE(J23,-K23)</f>
        <v>-7.2032844951946682E-3</v>
      </c>
      <c r="O22" s="82">
        <f ca="1">M22/AVERAGE(J23,-K23)</f>
        <v>-5.3514152950153281E-3</v>
      </c>
      <c r="P22" s="57" cm="1">
        <f t="array" aca="1" ref="P22" ca="1">INDIRECT(ADDRESS($B22,9,,,"mkt data"))</f>
        <v>0</v>
      </c>
      <c r="Q22" s="57">
        <f ca="1">P22/I22</f>
        <v>0</v>
      </c>
      <c r="R22" s="84">
        <f ca="1">SUM(Q22:Q23)</f>
        <v>0</v>
      </c>
      <c r="S22" s="22"/>
      <c r="T22" s="74">
        <v>5.0000000000000001E-4</v>
      </c>
      <c r="U22" s="71">
        <v>1E-3</v>
      </c>
      <c r="V22" s="17" t="str">
        <f>N$1</f>
        <v>lift top</v>
      </c>
      <c r="X22" s="95"/>
    </row>
    <row r="23" spans="1:48" ht="15.75" thickBot="1" x14ac:dyDescent="0.3">
      <c r="A23" s="38">
        <f>MATCH(D23,'TRADING INPUTS'!B:B,0)</f>
        <v>11</v>
      </c>
      <c r="B23" s="39">
        <f>MATCH(D23,'MKT DATA'!B:B,0)</f>
        <v>15</v>
      </c>
      <c r="C23" s="39" t="s">
        <v>56</v>
      </c>
      <c r="D23" s="40" t="s">
        <v>56</v>
      </c>
      <c r="E23" s="41" cm="1">
        <f t="array" aca="1" ref="E23" ca="1">INDIRECT(ADDRESS($B23,5,,,"mkt data"))</f>
        <v>49.5</v>
      </c>
      <c r="F23" s="41" cm="1">
        <f t="array" aca="1" ref="F23" ca="1">INDIRECT(ADDRESS($B23,6,,,"mkt data"))</f>
        <v>49.79</v>
      </c>
      <c r="G23" s="42">
        <f ca="1">E23-G$1</f>
        <v>49.494999999999997</v>
      </c>
      <c r="H23" s="42">
        <f ca="1">F23+G$1</f>
        <v>49.795000000000002</v>
      </c>
      <c r="I23" s="69" cm="1">
        <f t="array" aca="1" ref="I23" ca="1">INDIRECT(ADDRESS($A23,5,,,"trading inputs"))</f>
        <v>1</v>
      </c>
      <c r="J23" s="43">
        <f ca="1">G23*I23</f>
        <v>49.494999999999997</v>
      </c>
      <c r="K23" s="43">
        <f ca="1">-I23*H23</f>
        <v>-49.795000000000002</v>
      </c>
      <c r="L23" s="81"/>
      <c r="M23" s="81"/>
      <c r="N23" s="83"/>
      <c r="O23" s="83"/>
      <c r="P23" s="59" cm="1">
        <f t="array" aca="1" ref="P23" ca="1">INDIRECT(ADDRESS($B23,9,,,"mkt data"))</f>
        <v>0</v>
      </c>
      <c r="Q23" s="59">
        <f ca="1">P23/I23</f>
        <v>0</v>
      </c>
      <c r="R23" s="85"/>
      <c r="S23" s="22"/>
      <c r="T23" s="75">
        <v>1.5E-3</v>
      </c>
      <c r="U23" s="72">
        <v>1E-3</v>
      </c>
      <c r="V23" s="17" t="str">
        <f>O$1</f>
        <v>hit top</v>
      </c>
      <c r="X23" s="95"/>
    </row>
    <row r="24" spans="1:48" ht="15.75" thickBot="1" x14ac:dyDescent="0.3">
      <c r="I24" s="68"/>
      <c r="N24" s="67"/>
      <c r="O24" s="67"/>
      <c r="Q24" s="61"/>
      <c r="R24" s="62"/>
      <c r="S24" s="22"/>
      <c r="T24" s="73"/>
      <c r="U24" s="73"/>
      <c r="V24" s="17"/>
    </row>
    <row r="25" spans="1:48" x14ac:dyDescent="0.25">
      <c r="A25" s="32">
        <f>MATCH(D25,'TRADING INPUTS'!B:B,0)</f>
        <v>4</v>
      </c>
      <c r="B25" s="33">
        <f>MATCH(D25,'MKT DATA'!B:B,0)</f>
        <v>12</v>
      </c>
      <c r="C25" s="33" t="s">
        <v>48</v>
      </c>
      <c r="D25" s="34" t="s">
        <v>55</v>
      </c>
      <c r="E25" s="35" cm="1">
        <f t="array" aca="1" ref="E25" ca="1">INDIRECT(ADDRESS($B25,5,,,"mkt data"))</f>
        <v>26.95</v>
      </c>
      <c r="F25" s="35" cm="1">
        <f t="array" aca="1" ref="F25" ca="1">INDIRECT(ADDRESS($B25,6,,,"mkt data"))</f>
        <v>27.06</v>
      </c>
      <c r="G25" s="36">
        <f ca="1">E25-G$1</f>
        <v>26.945</v>
      </c>
      <c r="H25" s="36">
        <f ca="1">F25+G$1</f>
        <v>27.064999999999998</v>
      </c>
      <c r="I25" s="68" cm="1">
        <f t="array" aca="1" ref="I25" ca="1">INDIRECT(ADDRESS($A25,5,,,"trading inputs"))</f>
        <v>1.0736485928385961</v>
      </c>
      <c r="J25" s="37">
        <f ca="1">G25*I25</f>
        <v>28.929461334035974</v>
      </c>
      <c r="K25" s="37">
        <f ca="1">-I25*H25</f>
        <v>-29.058299165176603</v>
      </c>
      <c r="L25" s="51">
        <f ca="1">K25+J26</f>
        <v>-8.329916517660152E-2</v>
      </c>
      <c r="M25" s="51">
        <f ca="1">J25+K26</f>
        <v>-0.18553866596402457</v>
      </c>
      <c r="N25" s="65">
        <f ca="1">L25/AVERAGE(J26,-K26)</f>
        <v>-2.867934762492736E-3</v>
      </c>
      <c r="O25" s="65">
        <f ca="1">M25/AVERAGE(J26,-K26)</f>
        <v>-6.3879726618703584E-3</v>
      </c>
      <c r="P25" s="57" cm="1">
        <f t="array" aca="1" ref="P25" ca="1">INDIRECT(ADDRESS($B25,9,,,"mkt data"))</f>
        <v>0</v>
      </c>
      <c r="Q25" s="57">
        <f ca="1">P25/I25</f>
        <v>0</v>
      </c>
      <c r="R25" s="58">
        <f ca="1">SUM(Q25:Q26)</f>
        <v>0</v>
      </c>
      <c r="S25" s="22"/>
      <c r="T25" s="74">
        <v>5.0000000000000001E-4</v>
      </c>
      <c r="U25" s="71">
        <v>1E-3</v>
      </c>
      <c r="V25" s="17" t="str">
        <f>N$1</f>
        <v>lift top</v>
      </c>
    </row>
    <row r="26" spans="1:48" ht="15.75" thickBot="1" x14ac:dyDescent="0.3">
      <c r="A26" s="38">
        <f>MATCH(D26,'TRADING INPUTS'!B:B,0)</f>
        <v>5</v>
      </c>
      <c r="B26" s="39">
        <f>MATCH(D26,'MKT DATA'!B:B,0)</f>
        <v>3</v>
      </c>
      <c r="C26" s="39" t="s">
        <v>48</v>
      </c>
      <c r="D26" s="40" t="s">
        <v>48</v>
      </c>
      <c r="E26" s="41" cm="1">
        <f t="array" aca="1" ref="E26" ca="1">INDIRECT(ADDRESS($B26,5,,,"mkt data"))</f>
        <v>28.98</v>
      </c>
      <c r="F26" s="41" cm="1">
        <f t="array" aca="1" ref="F26" ca="1">INDIRECT(ADDRESS($B26,6,,,"mkt data"))</f>
        <v>29.11</v>
      </c>
      <c r="G26" s="42">
        <f ca="1">E26-G$1</f>
        <v>28.975000000000001</v>
      </c>
      <c r="H26" s="42">
        <f ca="1">F26+G$1</f>
        <v>29.114999999999998</v>
      </c>
      <c r="I26" s="69" cm="1">
        <f t="array" aca="1" ref="I26" ca="1">INDIRECT(ADDRESS($A26,5,,,"trading inputs"))</f>
        <v>1</v>
      </c>
      <c r="J26" s="43">
        <f ca="1">G26*I26</f>
        <v>28.975000000000001</v>
      </c>
      <c r="K26" s="43">
        <f ca="1">-I26*H26</f>
        <v>-29.114999999999998</v>
      </c>
      <c r="L26" s="52"/>
      <c r="M26" s="52"/>
      <c r="N26" s="66"/>
      <c r="O26" s="66"/>
      <c r="P26" s="59" cm="1">
        <f t="array" aca="1" ref="P26" ca="1">INDIRECT(ADDRESS($B26,9,,,"mkt data"))</f>
        <v>0</v>
      </c>
      <c r="Q26" s="59">
        <f ca="1">P26/I26</f>
        <v>0</v>
      </c>
      <c r="R26" s="60"/>
      <c r="S26" s="22"/>
      <c r="T26" s="75">
        <v>1.5E-3</v>
      </c>
      <c r="U26" s="72">
        <v>1E-3</v>
      </c>
      <c r="V26" s="17" t="str">
        <f>O$1</f>
        <v>hit top</v>
      </c>
    </row>
    <row r="27" spans="1:48" x14ac:dyDescent="0.25">
      <c r="A27" s="76" t="str">
        <f>'MKT DATA'!J2</f>
        <v>2026-08-20_16-56-24</v>
      </c>
      <c r="B27" s="76"/>
      <c r="C27" s="76"/>
      <c r="S27" s="22"/>
    </row>
    <row r="28" spans="1:48" x14ac:dyDescent="0.25">
      <c r="S28" s="22"/>
    </row>
    <row r="29" spans="1:48" x14ac:dyDescent="0.25">
      <c r="S29" s="22"/>
    </row>
    <row r="30" spans="1:48" x14ac:dyDescent="0.25">
      <c r="S30" s="22"/>
    </row>
    <row r="31" spans="1:48" x14ac:dyDescent="0.25">
      <c r="S31" s="22"/>
    </row>
    <row r="32" spans="1:48" x14ac:dyDescent="0.25">
      <c r="S32" s="22"/>
    </row>
    <row r="36" spans="5:11" x14ac:dyDescent="0.25">
      <c r="E36"/>
      <c r="F36"/>
      <c r="G36" s="19"/>
      <c r="H36" s="19"/>
      <c r="I36" s="16"/>
      <c r="J36"/>
      <c r="K36"/>
    </row>
  </sheetData>
  <mergeCells count="37">
    <mergeCell ref="N4:N5"/>
    <mergeCell ref="O4:O5"/>
    <mergeCell ref="L13:L14"/>
    <mergeCell ref="M13:M14"/>
    <mergeCell ref="N13:N14"/>
    <mergeCell ref="O13:O14"/>
    <mergeCell ref="N7:N8"/>
    <mergeCell ref="O7:O8"/>
    <mergeCell ref="N22:N23"/>
    <mergeCell ref="O22:O23"/>
    <mergeCell ref="L10:L11"/>
    <mergeCell ref="M10:M11"/>
    <mergeCell ref="N10:N11"/>
    <mergeCell ref="O10:O11"/>
    <mergeCell ref="E1:F1"/>
    <mergeCell ref="J1:K1"/>
    <mergeCell ref="L7:L8"/>
    <mergeCell ref="M7:M8"/>
    <mergeCell ref="G1:H1"/>
    <mergeCell ref="L22:L23"/>
    <mergeCell ref="M22:M23"/>
    <mergeCell ref="L4:L5"/>
    <mergeCell ref="M4:M5"/>
    <mergeCell ref="A27:C27"/>
    <mergeCell ref="R19:R20"/>
    <mergeCell ref="T1:U1"/>
    <mergeCell ref="L19:L20"/>
    <mergeCell ref="M19:M20"/>
    <mergeCell ref="N19:N20"/>
    <mergeCell ref="O19:O20"/>
    <mergeCell ref="R7:R8"/>
    <mergeCell ref="R13:R14"/>
    <mergeCell ref="P1:R1"/>
    <mergeCell ref="R4:R5"/>
    <mergeCell ref="R10:R11"/>
    <mergeCell ref="R22:R23"/>
    <mergeCell ref="A1:B1"/>
  </mergeCells>
  <conditionalFormatting sqref="J4:J5">
    <cfRule type="top10" dxfId="30" priority="47" rank="1"/>
  </conditionalFormatting>
  <conditionalFormatting sqref="J25:J26">
    <cfRule type="top10" dxfId="29" priority="50" rank="1"/>
  </conditionalFormatting>
  <conditionalFormatting sqref="J16:J17">
    <cfRule type="top10" dxfId="28" priority="53" rank="1"/>
  </conditionalFormatting>
  <conditionalFormatting sqref="J10:J11">
    <cfRule type="top10" dxfId="27" priority="56" rank="1"/>
  </conditionalFormatting>
  <conditionalFormatting sqref="J22:J23">
    <cfRule type="top10" dxfId="26" priority="59" rank="1"/>
  </conditionalFormatting>
  <conditionalFormatting sqref="J7:J8">
    <cfRule type="top10" dxfId="25" priority="62" rank="1"/>
  </conditionalFormatting>
  <conditionalFormatting sqref="J13:J14">
    <cfRule type="top10" dxfId="24" priority="65" rank="1"/>
  </conditionalFormatting>
  <conditionalFormatting sqref="J19:J20">
    <cfRule type="top10" dxfId="23" priority="18" rank="1"/>
  </conditionalFormatting>
  <conditionalFormatting sqref="K4:K5">
    <cfRule type="top10" dxfId="22" priority="49" rank="1"/>
  </conditionalFormatting>
  <conditionalFormatting sqref="K25:K26">
    <cfRule type="top10" dxfId="21" priority="52" rank="1"/>
  </conditionalFormatting>
  <conditionalFormatting sqref="K16:K17">
    <cfRule type="top10" dxfId="20" priority="55" rank="1"/>
  </conditionalFormatting>
  <conditionalFormatting sqref="K10:K11">
    <cfRule type="top10" dxfId="19" priority="58" rank="1"/>
  </conditionalFormatting>
  <conditionalFormatting sqref="K22:K23">
    <cfRule type="top10" dxfId="18" priority="61" rank="1"/>
  </conditionalFormatting>
  <conditionalFormatting sqref="K7:K8">
    <cfRule type="top10" dxfId="17" priority="64" rank="1"/>
  </conditionalFormatting>
  <conditionalFormatting sqref="K13:K14">
    <cfRule type="top10" dxfId="16" priority="67" rank="1"/>
  </conditionalFormatting>
  <conditionalFormatting sqref="K19:K20">
    <cfRule type="top10" dxfId="15" priority="19" rank="1"/>
  </conditionalFormatting>
  <conditionalFormatting sqref="N4:N5">
    <cfRule type="cellIs" dxfId="14" priority="16" operator="greaterThan">
      <formula>T4</formula>
    </cfRule>
  </conditionalFormatting>
  <conditionalFormatting sqref="O4:O5 O7 O10 O16 O13 O25 O19">
    <cfRule type="cellIs" dxfId="13" priority="15" operator="greaterThan">
      <formula>T5</formula>
    </cfRule>
  </conditionalFormatting>
  <conditionalFormatting sqref="N25:N26">
    <cfRule type="cellIs" dxfId="12" priority="14" operator="greaterThan">
      <formula>T25</formula>
    </cfRule>
  </conditionalFormatting>
  <conditionalFormatting sqref="N16:N17">
    <cfRule type="cellIs" dxfId="11" priority="12" operator="greaterThan">
      <formula>T16</formula>
    </cfRule>
  </conditionalFormatting>
  <conditionalFormatting sqref="N10:N11">
    <cfRule type="cellIs" dxfId="10" priority="10" operator="greaterThan">
      <formula>T10</formula>
    </cfRule>
  </conditionalFormatting>
  <conditionalFormatting sqref="N22:N23">
    <cfRule type="cellIs" dxfId="9" priority="8" operator="greaterThan">
      <formula>T22</formula>
    </cfRule>
  </conditionalFormatting>
  <conditionalFormatting sqref="O22:O23">
    <cfRule type="cellIs" dxfId="8" priority="7" operator="greaterThan">
      <formula>T23</formula>
    </cfRule>
  </conditionalFormatting>
  <conditionalFormatting sqref="N7:N8">
    <cfRule type="cellIs" dxfId="7" priority="6" operator="greaterThan">
      <formula>T7</formula>
    </cfRule>
  </conditionalFormatting>
  <conditionalFormatting sqref="N13:N14">
    <cfRule type="cellIs" dxfId="6" priority="4" operator="greaterThan">
      <formula>T13</formula>
    </cfRule>
  </conditionalFormatting>
  <conditionalFormatting sqref="N19:N20">
    <cfRule type="cellIs" dxfId="5" priority="2" operator="greaterThan">
      <formula>T19</formula>
    </cfRule>
  </conditionalFormatting>
  <conditionalFormatting sqref="O11">
    <cfRule type="cellIs" dxfId="4" priority="69" operator="greaterThan">
      <formula>T18</formula>
    </cfRule>
  </conditionalFormatting>
  <conditionalFormatting sqref="O17 O8 O14">
    <cfRule type="cellIs" dxfId="3" priority="70" operator="greaterThan">
      <formula>#REF!</formula>
    </cfRule>
  </conditionalFormatting>
  <conditionalFormatting sqref="O26">
    <cfRule type="cellIs" dxfId="2" priority="72" operator="greaterThan">
      <formula>#REF!</formula>
    </cfRule>
  </conditionalFormatting>
  <conditionalFormatting sqref="O20">
    <cfRule type="cellIs" dxfId="1" priority="73" operator="greaterThan">
      <formula>T27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O28"/>
  <sheetViews>
    <sheetView workbookViewId="0">
      <selection activeCell="N13" sqref="N13"/>
    </sheetView>
  </sheetViews>
  <sheetFormatPr defaultRowHeight="15" x14ac:dyDescent="0.25"/>
  <cols>
    <col min="1" max="1" width="13.42578125" style="30" bestFit="1" customWidth="1"/>
    <col min="2" max="2" width="11.7109375" bestFit="1" customWidth="1"/>
    <col min="3" max="3" width="12.28515625" bestFit="1" customWidth="1"/>
    <col min="4" max="4" width="9.28515625" bestFit="1" customWidth="1"/>
    <col min="5" max="5" width="11" style="4" bestFit="1" customWidth="1"/>
    <col min="6" max="6" width="13.140625" style="45" bestFit="1" customWidth="1"/>
    <col min="7" max="7" width="8" style="47" bestFit="1" customWidth="1"/>
    <col min="8" max="8" width="11.140625" style="7" bestFit="1" customWidth="1"/>
    <col min="9" max="9" width="14" style="11" customWidth="1"/>
    <col min="10" max="10" width="45.42578125" style="13" bestFit="1" customWidth="1"/>
    <col min="12" max="12" width="11" style="4" bestFit="1" customWidth="1"/>
  </cols>
  <sheetData>
    <row r="1" spans="1:15" s="3" customFormat="1" ht="15.75" x14ac:dyDescent="0.25">
      <c r="A1" s="29" t="s">
        <v>5</v>
      </c>
      <c r="B1" s="5" t="s">
        <v>2</v>
      </c>
      <c r="C1" s="5" t="s">
        <v>1</v>
      </c>
      <c r="D1" s="5" t="s">
        <v>14</v>
      </c>
      <c r="E1" s="9" t="s">
        <v>37</v>
      </c>
      <c r="F1" s="44" t="s">
        <v>85</v>
      </c>
      <c r="G1" s="46" t="s">
        <v>88</v>
      </c>
      <c r="H1" s="6" t="s">
        <v>95</v>
      </c>
      <c r="I1" s="10"/>
      <c r="J1" s="49" t="s">
        <v>100</v>
      </c>
      <c r="L1" s="9"/>
      <c r="N1"/>
    </row>
    <row r="2" spans="1:15" ht="16.5" thickBot="1" x14ac:dyDescent="0.3">
      <c r="A2" s="30" t="b">
        <v>0</v>
      </c>
      <c r="B2" t="s">
        <v>52</v>
      </c>
      <c r="C2" t="s">
        <v>0</v>
      </c>
      <c r="D2" t="s">
        <v>57</v>
      </c>
      <c r="E2" s="4">
        <v>1.1155322148187516</v>
      </c>
      <c r="F2" s="45">
        <v>0.05</v>
      </c>
      <c r="G2" s="47">
        <f>ROUND(G3*E2,0)</f>
        <v>223</v>
      </c>
      <c r="H2" s="7" t="s">
        <v>97</v>
      </c>
      <c r="J2" s="50" t="s">
        <v>99</v>
      </c>
      <c r="K2" s="31"/>
      <c r="M2" s="92"/>
    </row>
    <row r="3" spans="1:15" x14ac:dyDescent="0.25">
      <c r="A3" s="30" t="b">
        <v>0</v>
      </c>
      <c r="B3" t="s">
        <v>57</v>
      </c>
      <c r="C3" t="s">
        <v>0</v>
      </c>
      <c r="D3" t="s">
        <v>57</v>
      </c>
      <c r="E3" s="4">
        <v>1</v>
      </c>
      <c r="F3" s="45">
        <v>0.05</v>
      </c>
      <c r="G3" s="47">
        <v>200</v>
      </c>
      <c r="H3" s="7" t="s">
        <v>98</v>
      </c>
      <c r="J3" s="14"/>
      <c r="M3" s="92"/>
    </row>
    <row r="4" spans="1:15" x14ac:dyDescent="0.25">
      <c r="A4" s="30" t="b">
        <v>0</v>
      </c>
      <c r="B4" t="s">
        <v>55</v>
      </c>
      <c r="C4" t="s">
        <v>0</v>
      </c>
      <c r="D4" t="s">
        <v>48</v>
      </c>
      <c r="E4" s="4">
        <v>1.0736485928385961</v>
      </c>
      <c r="F4" s="45">
        <v>0.05</v>
      </c>
      <c r="G4" s="47">
        <f>ROUND(G5*E4,0)</f>
        <v>215</v>
      </c>
      <c r="H4" s="7" t="s">
        <v>97</v>
      </c>
      <c r="J4" s="16" t="s">
        <v>96</v>
      </c>
      <c r="M4" s="92"/>
    </row>
    <row r="5" spans="1:15" x14ac:dyDescent="0.25">
      <c r="A5" s="30" t="b">
        <v>0</v>
      </c>
      <c r="B5" t="s">
        <v>48</v>
      </c>
      <c r="C5" t="s">
        <v>0</v>
      </c>
      <c r="D5" t="s">
        <v>48</v>
      </c>
      <c r="E5" s="4">
        <v>1</v>
      </c>
      <c r="F5" s="45">
        <v>0.05</v>
      </c>
      <c r="G5" s="47">
        <v>200</v>
      </c>
      <c r="H5" s="7" t="s">
        <v>98</v>
      </c>
      <c r="J5" s="14"/>
      <c r="M5" s="92"/>
    </row>
    <row r="6" spans="1:15" x14ac:dyDescent="0.25">
      <c r="A6" s="30" t="b">
        <v>1</v>
      </c>
      <c r="B6" t="s">
        <v>62</v>
      </c>
      <c r="C6" t="s">
        <v>0</v>
      </c>
      <c r="D6" t="s">
        <v>61</v>
      </c>
      <c r="E6" s="4">
        <v>1.6471316960652782</v>
      </c>
      <c r="F6" s="45">
        <v>0.16500000000000001</v>
      </c>
      <c r="G6" s="47">
        <f>ROUND(G7*E6,0)</f>
        <v>329</v>
      </c>
      <c r="H6" s="7" t="s">
        <v>97</v>
      </c>
      <c r="J6" s="12"/>
      <c r="K6" s="31"/>
      <c r="M6" s="92"/>
    </row>
    <row r="7" spans="1:15" x14ac:dyDescent="0.25">
      <c r="A7" s="30" t="b">
        <v>1</v>
      </c>
      <c r="B7" t="s">
        <v>61</v>
      </c>
      <c r="C7" t="s">
        <v>0</v>
      </c>
      <c r="D7" t="s">
        <v>61</v>
      </c>
      <c r="E7" s="4">
        <v>1</v>
      </c>
      <c r="F7" s="45">
        <v>0.16500000000000001</v>
      </c>
      <c r="G7" s="47">
        <v>200</v>
      </c>
      <c r="H7" s="7" t="s">
        <v>98</v>
      </c>
      <c r="J7" s="12"/>
      <c r="M7" s="92"/>
    </row>
    <row r="8" spans="1:15" x14ac:dyDescent="0.25">
      <c r="A8" s="30" t="b">
        <v>0</v>
      </c>
      <c r="B8" t="s">
        <v>66</v>
      </c>
      <c r="C8" t="s">
        <v>0</v>
      </c>
      <c r="D8" t="s">
        <v>53</v>
      </c>
      <c r="E8" s="4">
        <v>1.4383582262270216</v>
      </c>
      <c r="F8" s="45">
        <v>0.05</v>
      </c>
      <c r="G8" s="47">
        <f>ROUND(G9*E8,0)</f>
        <v>288</v>
      </c>
      <c r="H8" s="7" t="s">
        <v>97</v>
      </c>
      <c r="J8" s="12"/>
      <c r="M8" s="92"/>
    </row>
    <row r="9" spans="1:15" x14ac:dyDescent="0.25">
      <c r="A9" s="30" t="b">
        <v>0</v>
      </c>
      <c r="B9" t="s">
        <v>53</v>
      </c>
      <c r="C9" t="s">
        <v>0</v>
      </c>
      <c r="D9" t="s">
        <v>53</v>
      </c>
      <c r="E9" s="4">
        <v>1</v>
      </c>
      <c r="F9" s="45">
        <v>0.05</v>
      </c>
      <c r="G9" s="47">
        <v>200</v>
      </c>
      <c r="H9" s="7" t="s">
        <v>98</v>
      </c>
      <c r="J9" s="12"/>
      <c r="M9" s="92"/>
    </row>
    <row r="10" spans="1:15" x14ac:dyDescent="0.25">
      <c r="A10" s="30" t="b">
        <v>0</v>
      </c>
      <c r="B10" t="s">
        <v>49</v>
      </c>
      <c r="C10" t="s">
        <v>0</v>
      </c>
      <c r="D10" t="s">
        <v>56</v>
      </c>
      <c r="E10" s="4">
        <v>1.0428324873708594</v>
      </c>
      <c r="F10" s="45">
        <v>0.05</v>
      </c>
      <c r="G10" s="47">
        <f>ROUND(G11*E10,0)</f>
        <v>209</v>
      </c>
      <c r="H10" s="7" t="s">
        <v>97</v>
      </c>
      <c r="M10" s="92"/>
    </row>
    <row r="11" spans="1:15" x14ac:dyDescent="0.25">
      <c r="A11" s="30" t="b">
        <v>0</v>
      </c>
      <c r="B11" t="s">
        <v>56</v>
      </c>
      <c r="C11" t="s">
        <v>0</v>
      </c>
      <c r="D11" t="s">
        <v>56</v>
      </c>
      <c r="E11" s="4">
        <v>1</v>
      </c>
      <c r="F11" s="45">
        <v>0.05</v>
      </c>
      <c r="G11" s="47">
        <v>200</v>
      </c>
      <c r="H11" s="7" t="s">
        <v>98</v>
      </c>
      <c r="M11" s="92"/>
    </row>
    <row r="12" spans="1:15" x14ac:dyDescent="0.25">
      <c r="A12" s="30" t="b">
        <v>0</v>
      </c>
      <c r="B12" t="s">
        <v>50</v>
      </c>
      <c r="C12" t="s">
        <v>0</v>
      </c>
      <c r="D12" t="s">
        <v>58</v>
      </c>
      <c r="E12" s="4">
        <v>1.8903722269645384</v>
      </c>
      <c r="F12" s="45">
        <v>0.05</v>
      </c>
      <c r="G12" s="47">
        <f>ROUND(G13*E12,0)</f>
        <v>378</v>
      </c>
      <c r="H12" s="7" t="s">
        <v>97</v>
      </c>
      <c r="J12" s="12"/>
      <c r="K12" s="31"/>
      <c r="M12" s="92"/>
    </row>
    <row r="13" spans="1:15" x14ac:dyDescent="0.25">
      <c r="A13" s="30" t="b">
        <v>0</v>
      </c>
      <c r="B13" t="s">
        <v>58</v>
      </c>
      <c r="C13" t="s">
        <v>0</v>
      </c>
      <c r="D13" t="s">
        <v>58</v>
      </c>
      <c r="E13" s="4">
        <v>1</v>
      </c>
      <c r="F13" s="45">
        <v>0.05</v>
      </c>
      <c r="G13" s="47">
        <v>200</v>
      </c>
      <c r="H13" s="7" t="s">
        <v>98</v>
      </c>
      <c r="M13" s="92"/>
    </row>
    <row r="14" spans="1:15" x14ac:dyDescent="0.25">
      <c r="A14" s="30" t="b">
        <v>0</v>
      </c>
      <c r="B14" t="s">
        <v>51</v>
      </c>
      <c r="C14" t="s">
        <v>0</v>
      </c>
      <c r="D14" t="s">
        <v>65</v>
      </c>
      <c r="E14" s="4">
        <v>1.7448139006644858</v>
      </c>
      <c r="F14" s="45">
        <v>0.05</v>
      </c>
      <c r="G14" s="47">
        <f>ROUND(G15*E14,0)</f>
        <v>349</v>
      </c>
      <c r="H14" s="7" t="s">
        <v>97</v>
      </c>
      <c r="M14" s="92"/>
    </row>
    <row r="15" spans="1:15" x14ac:dyDescent="0.25">
      <c r="A15" s="30" t="b">
        <v>0</v>
      </c>
      <c r="B15" t="s">
        <v>65</v>
      </c>
      <c r="C15" t="s">
        <v>0</v>
      </c>
      <c r="D15" t="s">
        <v>65</v>
      </c>
      <c r="E15" s="4">
        <v>1</v>
      </c>
      <c r="F15" s="45">
        <v>0.05</v>
      </c>
      <c r="G15" s="47">
        <v>200</v>
      </c>
      <c r="H15" s="7" t="s">
        <v>98</v>
      </c>
      <c r="M15" s="92"/>
      <c r="O15" s="92"/>
    </row>
    <row r="16" spans="1:15" x14ac:dyDescent="0.25">
      <c r="A16" s="30" t="b">
        <v>0</v>
      </c>
      <c r="B16" t="s">
        <v>63</v>
      </c>
      <c r="C16" t="s">
        <v>0</v>
      </c>
      <c r="D16" t="s">
        <v>64</v>
      </c>
      <c r="E16" s="4">
        <v>2.7974138192549711</v>
      </c>
      <c r="F16" s="45">
        <v>0.05</v>
      </c>
      <c r="G16" s="47">
        <f>ROUND(G17*E16,0)</f>
        <v>559</v>
      </c>
      <c r="H16" s="7" t="s">
        <v>97</v>
      </c>
      <c r="J16" s="12"/>
      <c r="K16" s="31"/>
      <c r="M16" s="92"/>
    </row>
    <row r="17" spans="1:13" x14ac:dyDescent="0.25">
      <c r="A17" s="30" t="b">
        <v>0</v>
      </c>
      <c r="B17" t="s">
        <v>64</v>
      </c>
      <c r="C17" t="s">
        <v>0</v>
      </c>
      <c r="D17" t="s">
        <v>64</v>
      </c>
      <c r="E17" s="4">
        <v>1</v>
      </c>
      <c r="F17" s="45">
        <v>0.05</v>
      </c>
      <c r="G17" s="47">
        <v>200</v>
      </c>
      <c r="H17" s="7" t="s">
        <v>98</v>
      </c>
      <c r="J17" s="12"/>
      <c r="M17" s="92"/>
    </row>
    <row r="18" spans="1:13" x14ac:dyDescent="0.25">
      <c r="J18" s="12"/>
    </row>
    <row r="19" spans="1:13" x14ac:dyDescent="0.25">
      <c r="J19" s="12"/>
      <c r="K19" s="31"/>
    </row>
    <row r="20" spans="1:13" x14ac:dyDescent="0.25">
      <c r="J20" s="12"/>
    </row>
    <row r="21" spans="1:13" x14ac:dyDescent="0.25">
      <c r="J21" s="12"/>
    </row>
    <row r="22" spans="1:13" x14ac:dyDescent="0.25">
      <c r="J22" s="12"/>
    </row>
    <row r="23" spans="1:13" x14ac:dyDescent="0.25">
      <c r="J23" s="12"/>
      <c r="L23" s="53"/>
    </row>
    <row r="24" spans="1:13" x14ac:dyDescent="0.25">
      <c r="J24" s="12"/>
      <c r="K24" s="31"/>
    </row>
    <row r="28" spans="1:13" x14ac:dyDescent="0.25">
      <c r="J28" s="12"/>
      <c r="K28" s="31"/>
    </row>
  </sheetData>
  <conditionalFormatting sqref="A1:A1048576">
    <cfRule type="cellIs" dxfId="0" priority="1" operator="equal">
      <formula>TRUE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 INPUTS</vt:lpstr>
      <vt:lpstr>FI INPUTS</vt:lpstr>
      <vt:lpstr>MKT DATA</vt:lpstr>
      <vt:lpstr>WATCH SCREEN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2026-08-21T00:35:17Z</dcterms:modified>
</cp:coreProperties>
</file>