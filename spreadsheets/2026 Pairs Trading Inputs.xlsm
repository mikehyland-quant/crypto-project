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7501BEDF-0923-4673-AB65-0C6CFBB60B00}" xr6:coauthVersionLast="47" xr6:coauthVersionMax="47" xr10:uidLastSave="{00000000-0000-0000-0000-000000000000}"/>
  <bookViews>
    <workbookView xWindow="28680" yWindow="150" windowWidth="18525" windowHeight="8535" tabRatio="762" activeTab="3" xr2:uid="{7864433A-DFC4-4915-B0C9-D347D4BABFCE}"/>
  </bookViews>
  <sheets>
    <sheet name="ADMIN INPUTS" sheetId="15" r:id="rId1"/>
    <sheet name="FI INPUTS" sheetId="16" r:id="rId2"/>
    <sheet name="MKT DATA" sheetId="19" r:id="rId3"/>
    <sheet name="WATCH SCREEN" sheetId="20" r:id="rId4"/>
    <sheet name="TRADING INPUTS" sheetId="2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9" i="20" l="1"/>
  <c r="Q18" i="20"/>
  <c r="Q17" i="20"/>
  <c r="Q16" i="20"/>
  <c r="Q15" i="20"/>
  <c r="Q14" i="20"/>
  <c r="Q13" i="20"/>
  <c r="Q12" i="20"/>
  <c r="Q11" i="20"/>
  <c r="Q10" i="20"/>
  <c r="Q9" i="20"/>
  <c r="Q8" i="20"/>
  <c r="Q7" i="20"/>
  <c r="Q6" i="20"/>
  <c r="Q5" i="20"/>
  <c r="Q4" i="20"/>
  <c r="N19" i="20"/>
  <c r="N18" i="20"/>
  <c r="N17" i="20"/>
  <c r="N16" i="20"/>
  <c r="N15" i="20"/>
  <c r="N14" i="20"/>
  <c r="N13" i="20"/>
  <c r="N12" i="20"/>
  <c r="N11" i="20"/>
  <c r="N10" i="20"/>
  <c r="N9" i="20"/>
  <c r="N8" i="20"/>
  <c r="N7" i="20"/>
  <c r="N6" i="20"/>
  <c r="N5" i="20"/>
  <c r="N4" i="20"/>
  <c r="AO1" i="20"/>
  <c r="AG1" i="20"/>
  <c r="AH1" i="20"/>
  <c r="AI1" i="20"/>
  <c r="AJ1" i="20"/>
  <c r="AK1" i="20"/>
  <c r="AP6" i="20"/>
  <c r="AP8" i="20"/>
  <c r="AP10" i="20"/>
  <c r="AP12" i="20"/>
  <c r="AP14" i="20"/>
  <c r="AP4" i="20"/>
  <c r="AP1" i="20" s="1"/>
  <c r="AL1" i="20"/>
  <c r="G6" i="21"/>
  <c r="G16" i="21"/>
  <c r="G14" i="21"/>
  <c r="G12" i="21"/>
  <c r="G10" i="21"/>
  <c r="G8" i="21"/>
  <c r="G4" i="21"/>
  <c r="G2" i="21"/>
  <c r="I5" i="20" a="1"/>
  <c r="I18" i="20" a="1"/>
  <c r="I19" i="20" a="1"/>
  <c r="I12" i="20" a="1"/>
  <c r="I13" i="20" a="1"/>
  <c r="I8" i="20" a="1"/>
  <c r="I9" i="20" a="1"/>
  <c r="I16" i="20" a="1"/>
  <c r="I17" i="20" a="1"/>
  <c r="I6" i="20" a="1"/>
  <c r="I7" i="20" a="1"/>
  <c r="I10" i="20" a="1"/>
  <c r="I11" i="20" a="1"/>
  <c r="I14" i="20" a="1"/>
  <c r="I15" i="20" a="1"/>
  <c r="I4" i="20" a="1"/>
  <c r="B15" i="20"/>
  <c r="A15" i="20"/>
  <c r="B14" i="20"/>
  <c r="A14" i="20"/>
  <c r="A5" i="20"/>
  <c r="B5" i="20"/>
  <c r="A18" i="20"/>
  <c r="B18" i="20"/>
  <c r="A19" i="20"/>
  <c r="B19" i="20"/>
  <c r="A12" i="20"/>
  <c r="B12" i="20"/>
  <c r="A13" i="20"/>
  <c r="B13" i="20"/>
  <c r="A8" i="20"/>
  <c r="B8" i="20"/>
  <c r="A9" i="20"/>
  <c r="B9" i="20"/>
  <c r="A16" i="20"/>
  <c r="B16" i="20"/>
  <c r="A17" i="20"/>
  <c r="B17" i="20"/>
  <c r="A6" i="20"/>
  <c r="B6" i="20"/>
  <c r="A7" i="20"/>
  <c r="B7" i="20"/>
  <c r="A10" i="20"/>
  <c r="B10" i="20"/>
  <c r="A11" i="20"/>
  <c r="B11" i="20"/>
  <c r="B4" i="20"/>
  <c r="A4" i="20"/>
  <c r="A20" i="20"/>
  <c r="R4" i="20" a="1"/>
  <c r="S4" i="20" s="1"/>
  <c r="R5" i="20" a="1"/>
  <c r="S5" i="20" s="1"/>
  <c r="R18" i="20" a="1"/>
  <c r="S18" i="20" s="1"/>
  <c r="R19" i="20" a="1"/>
  <c r="S19" i="20" s="1"/>
  <c r="R12" i="20" a="1"/>
  <c r="S12" i="20" s="1"/>
  <c r="R13" i="20" a="1"/>
  <c r="S13" i="20" s="1"/>
  <c r="R8" i="20" a="1"/>
  <c r="S8" i="20" s="1"/>
  <c r="R9" i="20" a="1"/>
  <c r="S9" i="20" s="1"/>
  <c r="R16" i="20" a="1"/>
  <c r="R17" i="20" a="1"/>
  <c r="S17" i="20" s="1"/>
  <c r="R6" i="20" a="1"/>
  <c r="S6" i="20" s="1"/>
  <c r="R7" i="20" a="1"/>
  <c r="S7" i="20" s="1"/>
  <c r="R10" i="20" a="1"/>
  <c r="S10" i="20" s="1"/>
  <c r="R11" i="20" a="1"/>
  <c r="S11" i="20" s="1"/>
  <c r="F10" i="20" a="1"/>
  <c r="H10" i="20" s="1"/>
  <c r="E10" i="20" a="1"/>
  <c r="G10" i="20" s="1"/>
  <c r="J10" i="20" s="1"/>
  <c r="F11" i="20" a="1"/>
  <c r="H11" i="20" s="1"/>
  <c r="E11" i="20" a="1"/>
  <c r="G11" i="20" s="1"/>
  <c r="J11" i="20" s="1"/>
  <c r="F18" i="20" a="1"/>
  <c r="H18" i="20" s="1"/>
  <c r="E18" i="20" a="1"/>
  <c r="G18" i="20" s="1"/>
  <c r="J18" i="20" s="1"/>
  <c r="F19" i="20" a="1"/>
  <c r="H19" i="20" s="1"/>
  <c r="E19" i="20" a="1"/>
  <c r="G19" i="20" s="1"/>
  <c r="J19" i="20" s="1"/>
  <c r="F4" i="20" a="1"/>
  <c r="H4" i="20" s="1"/>
  <c r="E4" i="20" a="1"/>
  <c r="G4" i="20" s="1"/>
  <c r="J4" i="20" s="1"/>
  <c r="F5" i="20" a="1"/>
  <c r="H5" i="20" s="1"/>
  <c r="E5" i="20" a="1"/>
  <c r="G5" i="20" s="1"/>
  <c r="J5" i="20" s="1"/>
  <c r="F9" i="20" a="1"/>
  <c r="H9" i="20" s="1"/>
  <c r="E9" i="20" a="1"/>
  <c r="G9" i="20" s="1"/>
  <c r="J9" i="20" s="1"/>
  <c r="F8" i="20" a="1"/>
  <c r="H8" i="20" s="1"/>
  <c r="E8" i="20" a="1"/>
  <c r="G8" i="20" s="1"/>
  <c r="J8" i="20" s="1"/>
  <c r="F13" i="20" a="1"/>
  <c r="H13" i="20" s="1"/>
  <c r="E13" i="20" a="1"/>
  <c r="G13" i="20" s="1"/>
  <c r="J13" i="20" s="1"/>
  <c r="F12" i="20" a="1"/>
  <c r="H12" i="20" s="1"/>
  <c r="E12" i="20" a="1"/>
  <c r="G12" i="20" s="1"/>
  <c r="J12" i="20" s="1"/>
  <c r="F16" i="20" a="1"/>
  <c r="H16" i="20" s="1"/>
  <c r="E16" i="20" a="1"/>
  <c r="G16" i="20" s="1"/>
  <c r="J16" i="20" s="1"/>
  <c r="F17" i="20" a="1"/>
  <c r="H17" i="20" s="1"/>
  <c r="E17" i="20" a="1"/>
  <c r="G17" i="20" s="1"/>
  <c r="J17" i="20" s="1"/>
  <c r="E6" i="20" a="1"/>
  <c r="G6" i="20" s="1"/>
  <c r="J6" i="20" s="1"/>
  <c r="F6" i="20" a="1"/>
  <c r="H6" i="20" s="1"/>
  <c r="F7" i="20" a="1"/>
  <c r="H7" i="20" s="1"/>
  <c r="E7" i="20" a="1"/>
  <c r="G7" i="20" s="1"/>
  <c r="J7" i="20" s="1"/>
  <c r="B4" i="15" a="1"/>
  <c r="B2" i="15" a="1"/>
  <c r="R15" i="20" l="1" a="1"/>
  <c r="S15" i="20" s="1"/>
  <c r="F15" i="20" a="1"/>
  <c r="H15" i="20" s="1"/>
  <c r="K15" i="20" s="1"/>
  <c r="E15" i="20" a="1"/>
  <c r="G15" i="20" s="1"/>
  <c r="J15" i="20" s="1"/>
  <c r="R14" i="20" a="1"/>
  <c r="S14" i="20" s="1"/>
  <c r="F14" i="20" a="1"/>
  <c r="H14" i="20" s="1"/>
  <c r="K14" i="20" s="1"/>
  <c r="E14" i="20" a="1"/>
  <c r="G14" i="20" s="1"/>
  <c r="J14" i="20" s="1"/>
  <c r="T10" i="20"/>
  <c r="T6" i="20"/>
  <c r="S16" i="20"/>
  <c r="T16" i="20" s="1"/>
  <c r="T8" i="20"/>
  <c r="T12" i="20"/>
  <c r="T18" i="20"/>
  <c r="T4" i="20"/>
  <c r="K10" i="20"/>
  <c r="L10" i="20" s="1"/>
  <c r="K11" i="20"/>
  <c r="K18" i="20"/>
  <c r="L18" i="20" s="1"/>
  <c r="K19" i="20"/>
  <c r="K4" i="20"/>
  <c r="K5" i="20"/>
  <c r="K9" i="20"/>
  <c r="K8" i="20"/>
  <c r="L8" i="20" s="1"/>
  <c r="K13" i="20"/>
  <c r="K12" i="20"/>
  <c r="L12" i="20" s="1"/>
  <c r="K16" i="20"/>
  <c r="L16" i="20" s="1"/>
  <c r="K17" i="20"/>
  <c r="K6" i="20"/>
  <c r="L6" i="20" s="1"/>
  <c r="K7" i="20"/>
  <c r="O18" i="20" l="1"/>
  <c r="P18" i="20" s="1"/>
  <c r="O12" i="20"/>
  <c r="P12" i="20" s="1"/>
  <c r="O16" i="20"/>
  <c r="P16" i="20" s="1"/>
  <c r="O10" i="20"/>
  <c r="P10" i="20" s="1"/>
  <c r="O8" i="20"/>
  <c r="P8" i="20" s="1"/>
  <c r="O6" i="20"/>
  <c r="P6" i="20" s="1"/>
  <c r="O4" i="20"/>
  <c r="P4" i="20" s="1"/>
  <c r="L4" i="20"/>
  <c r="O14" i="20"/>
  <c r="P14" i="20" s="1"/>
  <c r="M8" i="20"/>
  <c r="M10" i="20"/>
  <c r="M6" i="20"/>
  <c r="M16" i="20"/>
  <c r="M12" i="20"/>
  <c r="M18" i="20"/>
  <c r="L14" i="20"/>
  <c r="M14" i="20" s="1"/>
  <c r="M4" i="20"/>
  <c r="T14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<sst xmlns="http://schemas.openxmlformats.org/spreadsheetml/2006/main" count="442" uniqueCount="138">
  <si>
    <t>IBKR</t>
  </si>
  <si>
    <t>my_pf_name</t>
  </si>
  <si>
    <t>my_fi_name</t>
  </si>
  <si>
    <t>VTEB</t>
  </si>
  <si>
    <t>MUB</t>
  </si>
  <si>
    <t>TRUE/FALSE</t>
  </si>
  <si>
    <t>SCHZ</t>
  </si>
  <si>
    <t>SPAB</t>
  </si>
  <si>
    <t>IUSB</t>
  </si>
  <si>
    <t>BND</t>
  </si>
  <si>
    <t>AGG</t>
  </si>
  <si>
    <t>moving_avg_days</t>
  </si>
  <si>
    <t>Keys</t>
  </si>
  <si>
    <t>Values</t>
  </si>
  <si>
    <t>anchor_fi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</si>
  <si>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</si>
  <si>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</si>
  <si>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</si>
  <si>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</si>
  <si>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</si>
  <si>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</si>
  <si>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</si>
  <si>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</si>
  <si>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</si>
  <si>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</si>
  <si>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</si>
  <si>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</si>
  <si>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</si>
  <si>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</si>
  <si>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</si>
  <si>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TLT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</si>
  <si>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</si>
  <si>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</si>
  <si>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</si>
  <si>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</si>
  <si>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</si>
  <si>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</si>
  <si>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</si>
  <si>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</si>
  <si>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</si>
  <si>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</si>
  <si>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</si>
  <si>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</si>
  <si>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</si>
  <si>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</si>
  <si>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</si>
  <si>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</si>
  <si>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</si>
  <si>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</si>
  <si>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</si>
  <si>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</si>
  <si>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</si>
  <si>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</si>
  <si>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</si>
  <si>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EMLC</t>
  </si>
  <si>
    <t>FALN</t>
  </si>
  <si>
    <t>IAGG</t>
  </si>
  <si>
    <t>ICVT</t>
  </si>
  <si>
    <t>IGOV</t>
  </si>
  <si>
    <t>LQD</t>
  </si>
  <si>
    <t>PCY</t>
  </si>
  <si>
    <t>PFF</t>
  </si>
  <si>
    <t>PFFD</t>
  </si>
  <si>
    <t>SCHH</t>
  </si>
  <si>
    <t>USRT</t>
  </si>
  <si>
    <t>VTEC</t>
  </si>
  <si>
    <t>VWOB</t>
  </si>
  <si>
    <t>position</t>
  </si>
  <si>
    <t>symbol</t>
  </si>
  <si>
    <t>scalar</t>
  </si>
  <si>
    <t>bid w/ comm</t>
  </si>
  <si>
    <t>ask w/ comm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</si>
  <si>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</si>
  <si>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</si>
  <si>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</si>
  <si>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</si>
  <si>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</si>
  <si>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</si>
  <si>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</si>
  <si>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</si>
  <si>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</si>
  <si>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</si>
  <si>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</si>
  <si>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whole units</t>
  </si>
  <si>
    <t>net units</t>
  </si>
  <si>
    <t>profit_margin</t>
  </si>
  <si>
    <t>thresholds</t>
  </si>
  <si>
    <t>pair</t>
  </si>
  <si>
    <t>size</t>
  </si>
  <si>
    <t>FIs_sheet</t>
  </si>
  <si>
    <t>FIs_table</t>
  </si>
  <si>
    <t>fi_inputs</t>
  </si>
  <si>
    <t>$B$1</t>
  </si>
  <si>
    <t>trading_inputs_download_cell</t>
  </si>
  <si>
    <t>trading_inputs_upload_cell</t>
  </si>
  <si>
    <t>buy_or_sell</t>
  </si>
  <si>
    <t>add active/passive</t>
  </si>
  <si>
    <t>buy</t>
  </si>
  <si>
    <t>sell</t>
  </si>
  <si>
    <t>python app_statarb_trade.py</t>
  </si>
  <si>
    <t>cd git-crypto\crypto-project\stat_arb_trading</t>
  </si>
  <si>
    <t>symbols</t>
  </si>
  <si>
    <t>CWB_ICVT</t>
  </si>
  <si>
    <t>movingavgdays</t>
  </si>
  <si>
    <t>longentryhurdle</t>
  </si>
  <si>
    <t>longexithurdle</t>
  </si>
  <si>
    <t>shortentryhurdle</t>
  </si>
  <si>
    <t>shortexithurdle</t>
  </si>
  <si>
    <t>longpositionpnl</t>
  </si>
  <si>
    <t>shortpositionpnl</t>
  </si>
  <si>
    <t>totalpositionpnl</t>
  </si>
  <si>
    <t>totalcommissions</t>
  </si>
  <si>
    <t>totalborrowcost</t>
  </si>
  <si>
    <t>totalnetprofit</t>
  </si>
  <si>
    <t>averagedailyshortinvestment</t>
  </si>
  <si>
    <t>averagedailynetinvestment</t>
  </si>
  <si>
    <t>averagedailygrossinvestment</t>
  </si>
  <si>
    <t>returnonavggrossinvestment</t>
  </si>
  <si>
    <t>annualizedSharpe</t>
  </si>
  <si>
    <t>maximumdrawdown</t>
  </si>
  <si>
    <t>positionchanges</t>
  </si>
  <si>
    <t>longentries</t>
  </si>
  <si>
    <t>shortentries</t>
  </si>
  <si>
    <t>longtoshortflips</t>
  </si>
  <si>
    <t>shorttolongflips</t>
  </si>
  <si>
    <t>totalsharestraded</t>
  </si>
  <si>
    <t>BWX_IGOV</t>
  </si>
  <si>
    <t>VWOB_EMB</t>
  </si>
  <si>
    <t>CMF_VTEC</t>
  </si>
  <si>
    <t>PFFD_PFF</t>
  </si>
  <si>
    <t>SCHH_USRT</t>
  </si>
  <si>
    <t>lift top/hit bottom</t>
  </si>
  <si>
    <t>hit top/lift bottom</t>
  </si>
  <si>
    <t>enter</t>
  </si>
  <si>
    <t>exit</t>
  </si>
  <si>
    <t>hurdle</t>
  </si>
  <si>
    <t>net price</t>
  </si>
  <si>
    <t>2026-08-21_13-03-26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</si>
</sst>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&quot;$&quot;* #,##0.0000_);_(&quot;$&quot;* \(#,##0.0000\);_(&quot;$&quot;* &quot;-&quot;??_);_(@_)"/>
    <numFmt numFmtId="166" formatCode="_(* #,##0_);_(* \(#,##0\);_(* &quot;-&quot;??_);_(@_)"/>
    <numFmt numFmtId="167" formatCode="_(&quot;$&quot;* #,##0.000_);_(&quot;$&quot;* \(#,##0.000\);_(&quot;$&quot;* &quot;-&quot;??_);_(@_)"/>
    <numFmt numFmtId="168" formatCode="0.000%"/>
    <numFmt numFmtId="169" formatCode="&quot;$&quot;#,##0.000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u/>
      <sz val="11"/>
      <color theme="8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sz val="12"/>
      <color theme="1"/>
      <name val="Arial"/>
      <family val="2"/>
    </font>
    <font>
      <sz val="11"/>
      <color rgb="FFBBBEBF"/>
      <name val="Consolas"/>
      <family val="3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11"/>
      <name val="Consolas"/>
      <family val="3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6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0" fontId="4" fillId="2" borderId="0" xfId="0" applyFont="1" applyFill="1" applyAlignment="1">
      <alignment horizontal="right"/>
    </xf>
    <xf numFmtId="0" fontId="0" fillId="2" borderId="0" xfId="0" applyFill="1"/>
    <xf numFmtId="166" fontId="0" fillId="0" borderId="0" xfId="3" applyNumberFormat="1" applyFont="1"/>
    <xf numFmtId="0" fontId="4" fillId="0" borderId="0" xfId="1" applyNumberFormat="1" applyFont="1" applyAlignment="1">
      <alignment horizontal="right"/>
    </xf>
    <xf numFmtId="0" fontId="5" fillId="0" borderId="0" xfId="3" applyNumberFormat="1" applyFont="1" applyAlignment="1">
      <alignment horizontal="right"/>
    </xf>
    <xf numFmtId="166" fontId="3" fillId="0" borderId="0" xfId="3" applyNumberFormat="1" applyFont="1"/>
    <xf numFmtId="7" fontId="3" fillId="0" borderId="0" xfId="0" applyNumberFormat="1" applyFont="1"/>
    <xf numFmtId="0" fontId="3" fillId="0" borderId="0" xfId="0" applyFont="1"/>
    <xf numFmtId="43" fontId="3" fillId="0" borderId="0" xfId="0" applyNumberFormat="1" applyFont="1"/>
    <xf numFmtId="167" fontId="0" fillId="0" borderId="0" xfId="1" applyNumberFormat="1" applyFont="1"/>
    <xf numFmtId="0" fontId="6" fillId="0" borderId="0" xfId="0" applyFont="1"/>
    <xf numFmtId="0" fontId="7" fillId="0" borderId="0" xfId="0" applyFont="1"/>
    <xf numFmtId="0" fontId="10" fillId="0" borderId="0" xfId="0" applyFon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4" fontId="8" fillId="0" borderId="0" xfId="1" applyFont="1" applyAlignment="1">
      <alignment horizontal="center"/>
    </xf>
    <xf numFmtId="167" fontId="8" fillId="0" borderId="0" xfId="1" applyNumberFormat="1" applyFont="1" applyAlignment="1">
      <alignment horizontal="center"/>
    </xf>
    <xf numFmtId="0" fontId="7" fillId="0" borderId="0" xfId="0" applyFont="1" applyAlignment="1">
      <alignment horizontal="center"/>
    </xf>
    <xf numFmtId="167" fontId="9" fillId="0" borderId="0" xfId="1" applyNumberFormat="1" applyFont="1" applyAlignment="1">
      <alignment horizontal="center"/>
    </xf>
    <xf numFmtId="167" fontId="10" fillId="0" borderId="0" xfId="1" applyNumberFormat="1" applyFont="1"/>
    <xf numFmtId="0" fontId="13" fillId="2" borderId="0" xfId="3" applyNumberFormat="1" applyFont="1" applyFill="1" applyAlignment="1">
      <alignment horizontal="center"/>
    </xf>
    <xf numFmtId="43" fontId="14" fillId="2" borderId="0" xfId="3" applyFont="1" applyFill="1" applyAlignment="1">
      <alignment horizontal="center"/>
    </xf>
    <xf numFmtId="7" fontId="0" fillId="0" borderId="0" xfId="0" applyNumberFormat="1"/>
    <xf numFmtId="0" fontId="10" fillId="0" borderId="1" xfId="0" applyFont="1" applyBorder="1"/>
    <xf numFmtId="0" fontId="10" fillId="0" borderId="2" xfId="0" applyFont="1" applyBorder="1"/>
    <xf numFmtId="0" fontId="6" fillId="0" borderId="2" xfId="0" applyFont="1" applyBorder="1"/>
    <xf numFmtId="167" fontId="10" fillId="0" borderId="2" xfId="1" applyNumberFormat="1" applyFont="1" applyBorder="1"/>
    <xf numFmtId="167" fontId="0" fillId="0" borderId="2" xfId="1" applyNumberFormat="1" applyFont="1" applyBorder="1"/>
    <xf numFmtId="0" fontId="10" fillId="0" borderId="4" xfId="0" applyFont="1" applyBorder="1"/>
    <xf numFmtId="0" fontId="10" fillId="0" borderId="5" xfId="0" applyFont="1" applyBorder="1"/>
    <xf numFmtId="0" fontId="6" fillId="0" borderId="5" xfId="0" applyFont="1" applyBorder="1"/>
    <xf numFmtId="167" fontId="10" fillId="0" borderId="5" xfId="1" applyNumberFormat="1" applyFont="1" applyBorder="1"/>
    <xf numFmtId="167" fontId="0" fillId="0" borderId="5" xfId="1" applyNumberFormat="1" applyFont="1" applyBorder="1"/>
    <xf numFmtId="0" fontId="4" fillId="2" borderId="0" xfId="1" applyNumberFormat="1" applyFont="1" applyFill="1" applyAlignment="1">
      <alignment horizontal="right"/>
    </xf>
    <xf numFmtId="165" fontId="0" fillId="2" borderId="0" xfId="1" applyNumberFormat="1" applyFont="1" applyFill="1"/>
    <xf numFmtId="43" fontId="4" fillId="2" borderId="0" xfId="3" applyFont="1" applyFill="1" applyAlignment="1">
      <alignment horizontal="right"/>
    </xf>
    <xf numFmtId="43" fontId="0" fillId="2" borderId="0" xfId="3" applyFont="1" applyFill="1"/>
    <xf numFmtId="22" fontId="0" fillId="0" borderId="0" xfId="0" applyNumberFormat="1" applyAlignment="1">
      <alignment horizontal="center"/>
    </xf>
    <xf numFmtId="0" fontId="15" fillId="3" borderId="7" xfId="0" applyFont="1" applyFill="1" applyBorder="1"/>
    <xf numFmtId="0" fontId="15" fillId="3" borderId="8" xfId="0" applyFont="1" applyFill="1" applyBorder="1"/>
    <xf numFmtId="0" fontId="16" fillId="0" borderId="0" xfId="0" applyFont="1"/>
    <xf numFmtId="14" fontId="0" fillId="0" borderId="0" xfId="0" applyNumberFormat="1"/>
    <xf numFmtId="166" fontId="19" fillId="0" borderId="2" xfId="3" applyNumberFormat="1" applyFont="1" applyBorder="1"/>
    <xf numFmtId="43" fontId="19" fillId="0" borderId="3" xfId="3" applyFont="1" applyBorder="1" applyAlignment="1">
      <alignment vertical="center"/>
    </xf>
    <xf numFmtId="166" fontId="19" fillId="0" borderId="5" xfId="3" applyNumberFormat="1" applyFont="1" applyBorder="1"/>
    <xf numFmtId="43" fontId="19" fillId="0" borderId="6" xfId="3" applyFont="1" applyBorder="1" applyAlignment="1">
      <alignment vertical="center"/>
    </xf>
    <xf numFmtId="166" fontId="19" fillId="0" borderId="0" xfId="3" applyNumberFormat="1" applyFont="1"/>
    <xf numFmtId="0" fontId="19" fillId="0" borderId="0" xfId="0" applyFont="1"/>
    <xf numFmtId="164" fontId="6" fillId="0" borderId="0" xfId="3" applyNumberFormat="1" applyFont="1"/>
    <xf numFmtId="164" fontId="0" fillId="0" borderId="0" xfId="0" applyNumberFormat="1"/>
    <xf numFmtId="43" fontId="0" fillId="0" borderId="0" xfId="3" applyFont="1"/>
    <xf numFmtId="0" fontId="20" fillId="0" borderId="0" xfId="0" applyFont="1"/>
    <xf numFmtId="0" fontId="21" fillId="0" borderId="0" xfId="0" applyFont="1"/>
    <xf numFmtId="1" fontId="7" fillId="0" borderId="0" xfId="0" applyNumberFormat="1" applyFont="1"/>
    <xf numFmtId="1" fontId="8" fillId="0" borderId="0" xfId="0" applyNumberFormat="1" applyFont="1" applyAlignment="1">
      <alignment horizontal="center"/>
    </xf>
    <xf numFmtId="1" fontId="0" fillId="0" borderId="0" xfId="0" applyNumberFormat="1"/>
    <xf numFmtId="1" fontId="0" fillId="0" borderId="0" xfId="3" applyNumberFormat="1" applyFont="1"/>
    <xf numFmtId="9" fontId="7" fillId="0" borderId="0" xfId="2" applyFont="1"/>
    <xf numFmtId="9" fontId="0" fillId="0" borderId="0" xfId="2" applyFont="1"/>
    <xf numFmtId="10" fontId="7" fillId="0" borderId="0" xfId="2" applyNumberFormat="1" applyFont="1"/>
    <xf numFmtId="10" fontId="8" fillId="0" borderId="0" xfId="2" applyNumberFormat="1" applyFont="1" applyAlignment="1">
      <alignment horizontal="center"/>
    </xf>
    <xf numFmtId="10" fontId="0" fillId="0" borderId="0" xfId="2" applyNumberFormat="1" applyFont="1"/>
    <xf numFmtId="44" fontId="7" fillId="0" borderId="0" xfId="1" applyFont="1"/>
    <xf numFmtId="43" fontId="7" fillId="0" borderId="0" xfId="3" applyFont="1"/>
    <xf numFmtId="43" fontId="8" fillId="0" borderId="0" xfId="3" applyFont="1" applyAlignment="1">
      <alignment horizontal="center"/>
    </xf>
    <xf numFmtId="166" fontId="7" fillId="0" borderId="0" xfId="3" applyNumberFormat="1" applyFont="1"/>
    <xf numFmtId="166" fontId="8" fillId="0" borderId="0" xfId="3" applyNumberFormat="1" applyFont="1" applyAlignment="1">
      <alignment horizontal="center"/>
    </xf>
    <xf numFmtId="0" fontId="12" fillId="0" borderId="2" xfId="0" applyFont="1" applyBorder="1" applyAlignment="1">
      <alignment horizontal="center"/>
    </xf>
    <xf numFmtId="43" fontId="19" fillId="0" borderId="3" xfId="0" applyNumberFormat="1" applyFont="1" applyBorder="1" applyAlignment="1">
      <alignment horizontal="center" vertical="center"/>
    </xf>
    <xf numFmtId="43" fontId="19" fillId="0" borderId="6" xfId="0" applyNumberFormat="1" applyFont="1" applyBorder="1" applyAlignment="1">
      <alignment horizontal="center" vertical="center"/>
    </xf>
    <xf numFmtId="167" fontId="7" fillId="0" borderId="0" xfId="1" applyNumberFormat="1" applyFont="1" applyAlignment="1">
      <alignment horizontal="center"/>
    </xf>
    <xf numFmtId="43" fontId="19" fillId="0" borderId="3" xfId="0" applyNumberFormat="1" applyFont="1" applyBorder="1" applyAlignment="1">
      <alignment vertical="center"/>
    </xf>
    <xf numFmtId="43" fontId="19" fillId="0" borderId="6" xfId="0" applyNumberFormat="1" applyFont="1" applyBorder="1" applyAlignment="1">
      <alignment vertical="center"/>
    </xf>
    <xf numFmtId="43" fontId="19" fillId="0" borderId="3" xfId="3" applyFont="1" applyBorder="1" applyAlignment="1">
      <alignment vertical="center"/>
    </xf>
    <xf numFmtId="43" fontId="19" fillId="0" borderId="6" xfId="3" applyFont="1" applyBorder="1" applyAlignment="1">
      <alignment vertical="center"/>
    </xf>
    <xf numFmtId="169" fontId="11" fillId="0" borderId="0" xfId="1" applyNumberFormat="1" applyFont="1" applyAlignment="1">
      <alignment horizontal="center"/>
    </xf>
    <xf numFmtId="44" fontId="0" fillId="0" borderId="0" xfId="0" applyNumberFormat="1"/>
    <xf numFmtId="166" fontId="22" fillId="0" borderId="0" xfId="3" applyNumberFormat="1" applyFont="1" applyAlignment="1">
      <alignment horizontal="center"/>
    </xf>
    <xf numFmtId="166" fontId="23" fillId="0" borderId="0" xfId="3" applyNumberFormat="1" applyFont="1" applyAlignment="1">
      <alignment horizontal="center"/>
    </xf>
    <xf numFmtId="0" fontId="23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66" fontId="22" fillId="0" borderId="0" xfId="3" applyNumberFormat="1" applyFont="1" applyAlignment="1">
      <alignment horizontal="center"/>
    </xf>
    <xf numFmtId="10" fontId="0" fillId="0" borderId="0" xfId="2" applyNumberFormat="1" applyFont="1" applyFill="1"/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10" fillId="0" borderId="3" xfId="0" applyFont="1" applyBorder="1"/>
    <xf numFmtId="0" fontId="10" fillId="0" borderId="6" xfId="0" applyFont="1" applyBorder="1"/>
    <xf numFmtId="44" fontId="7" fillId="0" borderId="1" xfId="1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44" fontId="8" fillId="0" borderId="9" xfId="1" applyFont="1" applyBorder="1" applyAlignment="1">
      <alignment horizontal="center"/>
    </xf>
    <xf numFmtId="44" fontId="8" fillId="0" borderId="10" xfId="1" applyFont="1" applyBorder="1" applyAlignment="1">
      <alignment horizontal="center"/>
    </xf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6" xfId="1" applyFont="1" applyBorder="1"/>
    <xf numFmtId="164" fontId="7" fillId="0" borderId="7" xfId="3" applyNumberFormat="1" applyFont="1" applyBorder="1"/>
    <xf numFmtId="164" fontId="8" fillId="0" borderId="11" xfId="3" applyNumberFormat="1" applyFont="1" applyBorder="1" applyAlignment="1">
      <alignment horizontal="center"/>
    </xf>
    <xf numFmtId="164" fontId="6" fillId="0" borderId="7" xfId="3" applyNumberFormat="1" applyFont="1" applyBorder="1"/>
    <xf numFmtId="164" fontId="6" fillId="0" borderId="8" xfId="3" applyNumberFormat="1" applyFont="1" applyBorder="1"/>
    <xf numFmtId="167" fontId="7" fillId="0" borderId="1" xfId="1" applyNumberFormat="1" applyFont="1" applyBorder="1" applyAlignment="1">
      <alignment horizontal="center"/>
    </xf>
    <xf numFmtId="167" fontId="7" fillId="0" borderId="2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7" fontId="8" fillId="0" borderId="10" xfId="1" applyNumberFormat="1" applyFont="1" applyBorder="1" applyAlignment="1">
      <alignment horizontal="center"/>
    </xf>
    <xf numFmtId="167" fontId="0" fillId="0" borderId="1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0" fontId="8" fillId="0" borderId="10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166" fontId="17" fillId="0" borderId="1" xfId="3" applyNumberFormat="1" applyFont="1" applyBorder="1" applyAlignment="1">
      <alignment horizontal="center"/>
    </xf>
    <xf numFmtId="166" fontId="17" fillId="0" borderId="2" xfId="3" applyNumberFormat="1" applyFont="1" applyBorder="1" applyAlignment="1">
      <alignment horizontal="center"/>
    </xf>
    <xf numFmtId="166" fontId="17" fillId="0" borderId="3" xfId="3" applyNumberFormat="1" applyFont="1" applyBorder="1" applyAlignment="1">
      <alignment horizontal="center"/>
    </xf>
    <xf numFmtId="166" fontId="18" fillId="0" borderId="9" xfId="3" applyNumberFormat="1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166" fontId="19" fillId="0" borderId="1" xfId="3" applyNumberFormat="1" applyFont="1" applyBorder="1"/>
    <xf numFmtId="166" fontId="19" fillId="0" borderId="4" xfId="3" applyNumberFormat="1" applyFont="1" applyBorder="1"/>
    <xf numFmtId="0" fontId="8" fillId="0" borderId="0" xfId="0" applyFont="1" applyFill="1" applyBorder="1" applyAlignment="1">
      <alignment horizontal="center"/>
    </xf>
    <xf numFmtId="167" fontId="8" fillId="0" borderId="10" xfId="1" applyNumberFormat="1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168" fontId="0" fillId="0" borderId="2" xfId="2" applyNumberFormat="1" applyFont="1" applyFill="1" applyBorder="1" applyAlignment="1">
      <alignment vertical="center"/>
    </xf>
    <xf numFmtId="10" fontId="24" fillId="0" borderId="3" xfId="0" applyNumberFormat="1" applyFont="1" applyFill="1" applyBorder="1"/>
    <xf numFmtId="167" fontId="0" fillId="0" borderId="1" xfId="0" applyNumberFormat="1" applyFill="1" applyBorder="1" applyAlignment="1">
      <alignment vertical="center"/>
    </xf>
    <xf numFmtId="168" fontId="0" fillId="0" borderId="5" xfId="2" applyNumberFormat="1" applyFont="1" applyFill="1" applyBorder="1" applyAlignment="1">
      <alignment vertical="center"/>
    </xf>
    <xf numFmtId="10" fontId="24" fillId="0" borderId="6" xfId="0" applyNumberFormat="1" applyFont="1" applyFill="1" applyBorder="1"/>
    <xf numFmtId="0" fontId="0" fillId="0" borderId="4" xfId="0" applyFill="1" applyBorder="1" applyAlignment="1">
      <alignment vertic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64"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180975</xdr:rowOff>
    </xdr:from>
    <xdr:to>
      <xdr:col>3</xdr:col>
      <xdr:colOff>1114425</xdr:colOff>
      <xdr:row>4</xdr:row>
      <xdr:rowOff>104775</xdr:rowOff>
    </xdr:to>
    <xdr:sp macro="[0]!UpdateMultipliersPairs" textlink="">
      <xdr:nvSpPr>
        <xdr:cNvPr id="2" name="Rectangle 1">
          <a:extLst>
            <a:ext uri="{FF2B5EF4-FFF2-40B4-BE49-F238E27FC236}">
              <a16:creationId xmlns:a16="http://schemas.microsoft.com/office/drawing/2014/main" id="{B642BDAF-5C36-46F7-9D84-080BF28D4B8A}"/>
            </a:ext>
          </a:extLst>
        </xdr:cNvPr>
        <xdr:cNvSpPr/>
      </xdr:nvSpPr>
      <xdr:spPr>
        <a:xfrm>
          <a:off x="3895725" y="18097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fi_inputs" displayName="fi_inputs" ref="A1:D17" totalsRowShown="0">
  <autoFilter ref="A1:D17" xr:uid="{41E0AE69-AE86-439F-8B86-A6C16D189F1B}"/>
  <sortState xmlns:xlrd2="http://schemas.microsoft.com/office/spreadsheetml/2017/richdata2" ref="A2:D28">
    <sortCondition ref="C1:C28"/>
  </sortState>
  <tableColumns count="4">
    <tableColumn id="1" xr3:uid="{4425B6E4-20BC-47CF-A149-57992AA900B4}" name="my_fi_name"/>
    <tableColumn id="2" xr3:uid="{37DFEB1C-D09E-4AD1-B1A8-D6941BD84D2E}" name="my_pf_name"/>
    <tableColumn id="5" xr3:uid="{1C677B6D-D63E-4271-8F12-49B31EA5C0F2}" name="anchor_fi"/>
    <tableColumn id="3" xr3:uid="{B174390F-1C67-417C-A283-D8C2F19DC00A}" name="moving_avg_days" dataDxfId="6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workbookViewId="0">
      <selection activeCell="N16" sqref="N16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12</v>
      </c>
      <c r="B1" t="s">
        <v>13</v>
      </c>
    </row>
    <row r="2" spans="1:4" x14ac:dyDescent="0.25">
      <c r="A2" t="s">
        <v>89</v>
      </c>
      <c r="B2" t="str" cm="1">
        <f t="array" aca="1" ref="B2" ca="1">_xlfn.TEXTAFTER(CELL("filename",'FI INPUTS'!A1),"]")</f>
        <v>FI INPUTS</v>
      </c>
    </row>
    <row r="3" spans="1:4" x14ac:dyDescent="0.25">
      <c r="A3" t="s">
        <v>90</v>
      </c>
      <c r="B3" t="s">
        <v>91</v>
      </c>
    </row>
    <row r="4" spans="1:4" x14ac:dyDescent="0.25">
      <c r="A4" t="s">
        <v>38</v>
      </c>
      <c r="B4" t="str" cm="1">
        <f t="array" aca="1" ref="B4" ca="1">_xlfn.TEXTAFTER(CELL("filename",'TRADING INPUTS'!B1),"]")</f>
        <v>TRADING INPUTS</v>
      </c>
    </row>
    <row r="5" spans="1:4" x14ac:dyDescent="0.25">
      <c r="A5" t="s">
        <v>93</v>
      </c>
      <c r="B5" t="s">
        <v>92</v>
      </c>
    </row>
    <row r="6" spans="1:4" x14ac:dyDescent="0.25">
      <c r="A6" t="s">
        <v>94</v>
      </c>
      <c r="B6" t="s">
        <v>39</v>
      </c>
      <c r="D6" s="43">
        <v>46255.489537037036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D17"/>
  <sheetViews>
    <sheetView workbookViewId="0">
      <selection activeCell="K22" sqref="K22"/>
    </sheetView>
  </sheetViews>
  <sheetFormatPr defaultRowHeight="15" x14ac:dyDescent="0.25"/>
  <cols>
    <col min="1" max="1" width="14" bestFit="1" customWidth="1"/>
    <col min="2" max="2" width="14.5703125" bestFit="1" customWidth="1"/>
    <col min="3" max="3" width="11.5703125" bestFit="1" customWidth="1"/>
    <col min="4" max="4" width="18.85546875" bestFit="1" customWidth="1"/>
    <col min="5" max="5" width="16.42578125" bestFit="1" customWidth="1"/>
  </cols>
  <sheetData>
    <row r="1" spans="1:4" x14ac:dyDescent="0.25">
      <c r="A1" t="s">
        <v>2</v>
      </c>
      <c r="B1" t="s">
        <v>1</v>
      </c>
      <c r="C1" t="s">
        <v>14</v>
      </c>
      <c r="D1" t="s">
        <v>11</v>
      </c>
    </row>
    <row r="2" spans="1:4" x14ac:dyDescent="0.25">
      <c r="A2" t="s">
        <v>52</v>
      </c>
      <c r="B2" t="s">
        <v>0</v>
      </c>
      <c r="C2" t="s">
        <v>57</v>
      </c>
      <c r="D2">
        <v>20</v>
      </c>
    </row>
    <row r="3" spans="1:4" x14ac:dyDescent="0.25">
      <c r="A3" t="s">
        <v>57</v>
      </c>
      <c r="B3" t="s">
        <v>0</v>
      </c>
      <c r="C3" t="s">
        <v>57</v>
      </c>
      <c r="D3">
        <v>20</v>
      </c>
    </row>
    <row r="4" spans="1:4" x14ac:dyDescent="0.25">
      <c r="A4" t="s">
        <v>55</v>
      </c>
      <c r="B4" t="s">
        <v>0</v>
      </c>
      <c r="C4" t="s">
        <v>48</v>
      </c>
      <c r="D4">
        <v>20</v>
      </c>
    </row>
    <row r="5" spans="1:4" x14ac:dyDescent="0.25">
      <c r="A5" t="s">
        <v>48</v>
      </c>
      <c r="B5" t="s">
        <v>0</v>
      </c>
      <c r="C5" t="s">
        <v>48</v>
      </c>
      <c r="D5">
        <v>20</v>
      </c>
    </row>
    <row r="6" spans="1:4" x14ac:dyDescent="0.25">
      <c r="A6" t="s">
        <v>62</v>
      </c>
      <c r="B6" t="s">
        <v>0</v>
      </c>
      <c r="C6" t="s">
        <v>61</v>
      </c>
      <c r="D6">
        <v>20</v>
      </c>
    </row>
    <row r="7" spans="1:4" x14ac:dyDescent="0.25">
      <c r="A7" t="s">
        <v>61</v>
      </c>
      <c r="B7" t="s">
        <v>0</v>
      </c>
      <c r="C7" t="s">
        <v>61</v>
      </c>
      <c r="D7">
        <v>20</v>
      </c>
    </row>
    <row r="8" spans="1:4" x14ac:dyDescent="0.25">
      <c r="A8" t="s">
        <v>66</v>
      </c>
      <c r="B8" t="s">
        <v>0</v>
      </c>
      <c r="C8" t="s">
        <v>53</v>
      </c>
      <c r="D8">
        <v>20</v>
      </c>
    </row>
    <row r="9" spans="1:4" x14ac:dyDescent="0.25">
      <c r="A9" t="s">
        <v>53</v>
      </c>
      <c r="B9" t="s">
        <v>0</v>
      </c>
      <c r="C9" t="s">
        <v>53</v>
      </c>
      <c r="D9">
        <v>20</v>
      </c>
    </row>
    <row r="10" spans="1:4" x14ac:dyDescent="0.25">
      <c r="A10" t="s">
        <v>49</v>
      </c>
      <c r="B10" t="s">
        <v>0</v>
      </c>
      <c r="C10" t="s">
        <v>56</v>
      </c>
      <c r="D10">
        <v>20</v>
      </c>
    </row>
    <row r="11" spans="1:4" x14ac:dyDescent="0.25">
      <c r="A11" t="s">
        <v>56</v>
      </c>
      <c r="B11" t="s">
        <v>0</v>
      </c>
      <c r="C11" t="s">
        <v>56</v>
      </c>
      <c r="D11">
        <v>20</v>
      </c>
    </row>
    <row r="12" spans="1:4" x14ac:dyDescent="0.25">
      <c r="A12" t="s">
        <v>50</v>
      </c>
      <c r="B12" t="s">
        <v>0</v>
      </c>
      <c r="C12" t="s">
        <v>58</v>
      </c>
      <c r="D12">
        <v>20</v>
      </c>
    </row>
    <row r="13" spans="1:4" x14ac:dyDescent="0.25">
      <c r="A13" t="s">
        <v>58</v>
      </c>
      <c r="B13" t="s">
        <v>0</v>
      </c>
      <c r="C13" t="s">
        <v>58</v>
      </c>
      <c r="D13">
        <v>20</v>
      </c>
    </row>
    <row r="14" spans="1:4" x14ac:dyDescent="0.25">
      <c r="A14" t="s">
        <v>51</v>
      </c>
      <c r="B14" t="s">
        <v>0</v>
      </c>
      <c r="C14" t="s">
        <v>65</v>
      </c>
      <c r="D14">
        <v>20</v>
      </c>
    </row>
    <row r="15" spans="1:4" x14ac:dyDescent="0.25">
      <c r="A15" t="s">
        <v>65</v>
      </c>
      <c r="B15" t="s">
        <v>0</v>
      </c>
      <c r="C15" t="s">
        <v>65</v>
      </c>
      <c r="D15">
        <v>20</v>
      </c>
    </row>
    <row r="16" spans="1:4" x14ac:dyDescent="0.25">
      <c r="A16" t="s">
        <v>63</v>
      </c>
      <c r="B16" t="s">
        <v>0</v>
      </c>
      <c r="C16" t="s">
        <v>64</v>
      </c>
      <c r="D16">
        <v>20</v>
      </c>
    </row>
    <row r="17" spans="1:4" x14ac:dyDescent="0.25">
      <c r="A17" t="s">
        <v>64</v>
      </c>
      <c r="B17" t="s">
        <v>0</v>
      </c>
      <c r="C17" t="s">
        <v>64</v>
      </c>
      <c r="D17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48"/>
  <sheetViews>
    <sheetView workbookViewId="0">
      <selection activeCell="L9" sqref="L9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8" bestFit="1" customWidth="1"/>
    <col min="5" max="5" width="16" style="2" bestFit="1" customWidth="1"/>
    <col min="6" max="6" width="16.28515625" style="2" bestFit="1" customWidth="1"/>
    <col min="7" max="7" width="15.28515625" style="8" bestFit="1" customWidth="1"/>
    <col min="8" max="8" width="19" style="2" bestFit="1" customWidth="1"/>
    <col min="9" max="9" width="10.28515625" style="8" bestFit="1" customWidth="1"/>
    <col min="10" max="10" width="19" bestFit="1" customWidth="1"/>
    <col min="11" max="11" width="11.42578125" bestFit="1" customWidth="1"/>
  </cols>
  <sheetData>
    <row r="1" spans="1:10" x14ac:dyDescent="0.25">
      <c r="A1" t="s">
        <v>40</v>
      </c>
      <c r="B1" t="s">
        <v>2</v>
      </c>
      <c r="C1" t="s">
        <v>1</v>
      </c>
      <c r="D1" s="8" t="s">
        <v>41</v>
      </c>
      <c r="E1" s="2" t="s">
        <v>42</v>
      </c>
      <c r="F1" s="2" t="s">
        <v>43</v>
      </c>
      <c r="G1" s="8" t="s">
        <v>44</v>
      </c>
      <c r="H1" s="2" t="s">
        <v>45</v>
      </c>
      <c r="I1" s="8" t="s">
        <v>67</v>
      </c>
      <c r="J1" t="s">
        <v>46</v>
      </c>
    </row>
    <row r="2" spans="1:10" x14ac:dyDescent="0.25">
      <c r="A2" t="s">
        <v>47</v>
      </c>
      <c r="B2" t="s">
        <v>10</v>
      </c>
      <c r="C2" t="s">
        <v>0</v>
      </c>
      <c r="D2" s="8">
        <v>24000</v>
      </c>
      <c r="E2" s="2">
        <v>97.37</v>
      </c>
      <c r="F2" s="2">
        <v>97.38</v>
      </c>
      <c r="G2" s="8">
        <v>46500</v>
      </c>
      <c r="H2" s="2">
        <v>97.489998</v>
      </c>
      <c r="I2" s="8">
        <v>0</v>
      </c>
      <c r="J2" t="s">
        <v>137</v>
      </c>
    </row>
    <row r="3" spans="1:10" x14ac:dyDescent="0.25">
      <c r="A3" t="s">
        <v>47</v>
      </c>
      <c r="B3" t="s">
        <v>48</v>
      </c>
      <c r="C3" t="s">
        <v>0</v>
      </c>
      <c r="D3" s="8">
        <v>11500</v>
      </c>
      <c r="E3" s="2">
        <v>28.97</v>
      </c>
      <c r="F3" s="2">
        <v>28.98</v>
      </c>
      <c r="G3" s="8">
        <v>9500</v>
      </c>
      <c r="H3" s="2">
        <v>28.99</v>
      </c>
      <c r="I3" s="8">
        <v>0</v>
      </c>
      <c r="J3" t="s">
        <v>137</v>
      </c>
    </row>
    <row r="4" spans="1:10" x14ac:dyDescent="0.25">
      <c r="A4" t="s">
        <v>47</v>
      </c>
      <c r="B4" t="s">
        <v>9</v>
      </c>
      <c r="C4" t="s">
        <v>0</v>
      </c>
      <c r="D4" s="8">
        <v>68400</v>
      </c>
      <c r="E4" s="2">
        <v>72.22</v>
      </c>
      <c r="F4" s="2">
        <v>72.23</v>
      </c>
      <c r="G4" s="8">
        <v>120200</v>
      </c>
      <c r="H4" s="2">
        <v>72.339995999999999</v>
      </c>
      <c r="I4" s="8">
        <v>0</v>
      </c>
      <c r="J4" t="s">
        <v>137</v>
      </c>
    </row>
    <row r="5" spans="1:10" x14ac:dyDescent="0.25">
      <c r="A5" t="s">
        <v>47</v>
      </c>
      <c r="B5" t="s">
        <v>49</v>
      </c>
      <c r="C5" t="s">
        <v>0</v>
      </c>
      <c r="D5" s="8">
        <v>33000</v>
      </c>
      <c r="E5" s="2">
        <v>47.63</v>
      </c>
      <c r="F5" s="2">
        <v>47.64</v>
      </c>
      <c r="G5" s="8">
        <v>19800</v>
      </c>
      <c r="H5" s="2">
        <v>47.650002000000001</v>
      </c>
      <c r="I5" s="8">
        <v>0</v>
      </c>
      <c r="J5" t="s">
        <v>137</v>
      </c>
    </row>
    <row r="6" spans="1:10" x14ac:dyDescent="0.25">
      <c r="A6" t="s">
        <v>47</v>
      </c>
      <c r="B6" t="s">
        <v>50</v>
      </c>
      <c r="C6" t="s">
        <v>0</v>
      </c>
      <c r="D6" s="8">
        <v>4000</v>
      </c>
      <c r="E6" s="2">
        <v>21.96</v>
      </c>
      <c r="F6" s="2">
        <v>21.97</v>
      </c>
      <c r="G6" s="8">
        <v>4200</v>
      </c>
      <c r="H6" s="2">
        <v>21.93</v>
      </c>
      <c r="I6" s="8">
        <v>-2415</v>
      </c>
      <c r="J6" t="s">
        <v>137</v>
      </c>
    </row>
    <row r="7" spans="1:10" x14ac:dyDescent="0.25">
      <c r="A7" t="s">
        <v>47</v>
      </c>
      <c r="B7" t="s">
        <v>51</v>
      </c>
      <c r="C7" t="s">
        <v>0</v>
      </c>
      <c r="D7" s="8">
        <v>1400</v>
      </c>
      <c r="E7" s="2">
        <v>56.49</v>
      </c>
      <c r="F7" s="2">
        <v>56.5</v>
      </c>
      <c r="G7" s="8">
        <v>6200</v>
      </c>
      <c r="H7" s="2">
        <v>56.580002</v>
      </c>
      <c r="I7" s="8">
        <v>0</v>
      </c>
      <c r="J7" t="s">
        <v>137</v>
      </c>
    </row>
    <row r="8" spans="1:10" x14ac:dyDescent="0.25">
      <c r="A8" t="s">
        <v>47</v>
      </c>
      <c r="B8" t="s">
        <v>35</v>
      </c>
      <c r="C8" t="s">
        <v>0</v>
      </c>
      <c r="H8" s="2">
        <v>95.009804000000003</v>
      </c>
      <c r="I8" s="8">
        <v>-200</v>
      </c>
      <c r="J8" t="s">
        <v>137</v>
      </c>
    </row>
    <row r="9" spans="1:10" x14ac:dyDescent="0.25">
      <c r="A9" t="s">
        <v>47</v>
      </c>
      <c r="B9" t="s">
        <v>52</v>
      </c>
      <c r="C9" t="s">
        <v>0</v>
      </c>
      <c r="D9" s="8">
        <v>400</v>
      </c>
      <c r="E9" s="2">
        <v>103.75</v>
      </c>
      <c r="F9" s="2">
        <v>103.89</v>
      </c>
      <c r="G9" s="8">
        <v>100</v>
      </c>
      <c r="H9" s="2">
        <v>103.57</v>
      </c>
      <c r="I9" s="8">
        <v>-884</v>
      </c>
      <c r="J9" t="s">
        <v>137</v>
      </c>
    </row>
    <row r="10" spans="1:10" x14ac:dyDescent="0.25">
      <c r="A10" t="s">
        <v>47</v>
      </c>
      <c r="B10" t="s">
        <v>53</v>
      </c>
      <c r="C10" t="s">
        <v>0</v>
      </c>
      <c r="D10" s="8">
        <v>9400</v>
      </c>
      <c r="E10" s="2">
        <v>94.64</v>
      </c>
      <c r="F10" s="2">
        <v>94.65</v>
      </c>
      <c r="G10" s="8">
        <v>6400</v>
      </c>
      <c r="H10" s="2">
        <v>94.669998000000007</v>
      </c>
      <c r="I10" s="8">
        <v>0</v>
      </c>
      <c r="J10" t="s">
        <v>137</v>
      </c>
    </row>
    <row r="11" spans="1:10" x14ac:dyDescent="0.25">
      <c r="A11" t="s">
        <v>47</v>
      </c>
      <c r="B11" t="s">
        <v>54</v>
      </c>
      <c r="C11" t="s">
        <v>0</v>
      </c>
      <c r="D11" s="8">
        <v>32800</v>
      </c>
      <c r="E11" s="2">
        <v>25.83</v>
      </c>
      <c r="F11" s="2">
        <v>25.84</v>
      </c>
      <c r="G11" s="8">
        <v>27300</v>
      </c>
      <c r="H11" s="2">
        <v>25.719999000000001</v>
      </c>
      <c r="I11" s="8">
        <v>0</v>
      </c>
      <c r="J11" t="s">
        <v>137</v>
      </c>
    </row>
    <row r="12" spans="1:10" x14ac:dyDescent="0.25">
      <c r="A12" t="s">
        <v>47</v>
      </c>
      <c r="B12" t="s">
        <v>55</v>
      </c>
      <c r="C12" t="s">
        <v>0</v>
      </c>
      <c r="D12" s="8">
        <v>200</v>
      </c>
      <c r="E12" s="2">
        <v>26.98</v>
      </c>
      <c r="F12" s="2">
        <v>26.99</v>
      </c>
      <c r="G12" s="8">
        <v>11800</v>
      </c>
      <c r="H12" s="2">
        <v>27</v>
      </c>
      <c r="I12" s="8">
        <v>0</v>
      </c>
      <c r="J12" t="s">
        <v>137</v>
      </c>
    </row>
    <row r="13" spans="1:10" x14ac:dyDescent="0.25">
      <c r="A13" t="s">
        <v>47</v>
      </c>
      <c r="B13" t="s">
        <v>19</v>
      </c>
      <c r="C13" t="s">
        <v>0</v>
      </c>
      <c r="D13" s="8">
        <v>101300</v>
      </c>
      <c r="E13" s="2">
        <v>79.59</v>
      </c>
      <c r="F13" s="2">
        <v>79.599999999999994</v>
      </c>
      <c r="G13" s="8">
        <v>111800</v>
      </c>
      <c r="H13" s="2">
        <v>79.559997999999993</v>
      </c>
      <c r="I13" s="8">
        <v>0</v>
      </c>
      <c r="J13" t="s">
        <v>137</v>
      </c>
    </row>
    <row r="14" spans="1:10" x14ac:dyDescent="0.25">
      <c r="A14" t="s">
        <v>47</v>
      </c>
      <c r="B14" t="s">
        <v>17</v>
      </c>
      <c r="C14" t="s">
        <v>0</v>
      </c>
      <c r="D14" s="8">
        <v>18200</v>
      </c>
      <c r="E14" s="2">
        <v>36.32</v>
      </c>
      <c r="F14" s="2">
        <v>36.33</v>
      </c>
      <c r="G14" s="8">
        <v>56400</v>
      </c>
      <c r="H14" s="2">
        <v>36.290000999999997</v>
      </c>
      <c r="I14" s="8">
        <v>0</v>
      </c>
      <c r="J14" t="s">
        <v>137</v>
      </c>
    </row>
    <row r="15" spans="1:10" x14ac:dyDescent="0.25">
      <c r="A15" t="s">
        <v>47</v>
      </c>
      <c r="B15" t="s">
        <v>56</v>
      </c>
      <c r="C15" t="s">
        <v>0</v>
      </c>
      <c r="D15" s="8">
        <v>6500</v>
      </c>
      <c r="E15" s="2">
        <v>49.77</v>
      </c>
      <c r="F15" s="2">
        <v>49.78</v>
      </c>
      <c r="G15" s="8">
        <v>6900</v>
      </c>
      <c r="H15" s="2">
        <v>49.790000999999997</v>
      </c>
      <c r="I15" s="8">
        <v>0</v>
      </c>
      <c r="J15" t="s">
        <v>137</v>
      </c>
    </row>
    <row r="16" spans="1:10" x14ac:dyDescent="0.25">
      <c r="A16" t="s">
        <v>47</v>
      </c>
      <c r="B16" t="s">
        <v>57</v>
      </c>
      <c r="C16" t="s">
        <v>0</v>
      </c>
      <c r="D16" s="8">
        <v>1400</v>
      </c>
      <c r="E16" s="2">
        <v>115.72</v>
      </c>
      <c r="F16" s="2">
        <v>115.8</v>
      </c>
      <c r="G16" s="8">
        <v>600</v>
      </c>
      <c r="H16" s="2">
        <v>115.620003</v>
      </c>
      <c r="I16" s="8">
        <v>788</v>
      </c>
      <c r="J16" t="s">
        <v>137</v>
      </c>
    </row>
    <row r="17" spans="1:10" x14ac:dyDescent="0.25">
      <c r="A17" t="s">
        <v>47</v>
      </c>
      <c r="B17" t="s">
        <v>26</v>
      </c>
      <c r="C17" t="s">
        <v>0</v>
      </c>
      <c r="D17" s="8">
        <v>15500</v>
      </c>
      <c r="E17" s="2">
        <v>47.76</v>
      </c>
      <c r="F17" s="2">
        <v>47.77</v>
      </c>
      <c r="G17" s="8">
        <v>31400</v>
      </c>
      <c r="H17" s="2">
        <v>47.869999</v>
      </c>
      <c r="I17" s="8">
        <v>0</v>
      </c>
      <c r="J17" t="s">
        <v>137</v>
      </c>
    </row>
    <row r="18" spans="1:10" x14ac:dyDescent="0.25">
      <c r="A18" t="s">
        <v>47</v>
      </c>
      <c r="B18" t="s">
        <v>58</v>
      </c>
      <c r="C18" t="s">
        <v>0</v>
      </c>
      <c r="D18" s="8">
        <v>200</v>
      </c>
      <c r="E18" s="2">
        <v>41.47</v>
      </c>
      <c r="F18" s="2">
        <v>41.52</v>
      </c>
      <c r="G18" s="8">
        <v>1600</v>
      </c>
      <c r="H18" s="2">
        <v>41.459999000000003</v>
      </c>
      <c r="I18" s="8">
        <v>1277</v>
      </c>
      <c r="J18" t="s">
        <v>137</v>
      </c>
    </row>
    <row r="19" spans="1:10" x14ac:dyDescent="0.25">
      <c r="A19" t="s">
        <v>47</v>
      </c>
      <c r="B19" t="s">
        <v>8</v>
      </c>
      <c r="C19" t="s">
        <v>0</v>
      </c>
      <c r="D19" s="8">
        <v>58300</v>
      </c>
      <c r="E19" s="2">
        <v>45.42</v>
      </c>
      <c r="F19" s="2">
        <v>45.43</v>
      </c>
      <c r="G19" s="8">
        <v>29700</v>
      </c>
      <c r="H19" s="2">
        <v>45.5</v>
      </c>
      <c r="I19" s="8">
        <v>0</v>
      </c>
      <c r="J19" t="s">
        <v>137</v>
      </c>
    </row>
    <row r="20" spans="1:10" x14ac:dyDescent="0.25">
      <c r="A20" t="s">
        <v>47</v>
      </c>
      <c r="B20" t="s">
        <v>20</v>
      </c>
      <c r="C20" t="s">
        <v>0</v>
      </c>
      <c r="D20" s="8">
        <v>14600</v>
      </c>
      <c r="E20" s="2">
        <v>95.83</v>
      </c>
      <c r="F20" s="2">
        <v>95.84</v>
      </c>
      <c r="G20" s="8">
        <v>17600</v>
      </c>
      <c r="H20" s="2">
        <v>95.769997000000004</v>
      </c>
      <c r="I20" s="8">
        <v>0</v>
      </c>
      <c r="J20" t="s">
        <v>137</v>
      </c>
    </row>
    <row r="21" spans="1:10" x14ac:dyDescent="0.25">
      <c r="A21" t="s">
        <v>47</v>
      </c>
      <c r="B21" t="s">
        <v>59</v>
      </c>
      <c r="C21" t="s">
        <v>0</v>
      </c>
      <c r="D21" s="8">
        <v>51700</v>
      </c>
      <c r="E21" s="2">
        <v>105.88</v>
      </c>
      <c r="F21" s="2">
        <v>105.89</v>
      </c>
      <c r="G21" s="8">
        <v>13900</v>
      </c>
      <c r="H21" s="2">
        <v>106.05999799999999</v>
      </c>
      <c r="I21" s="8">
        <v>0</v>
      </c>
      <c r="J21" t="s">
        <v>137</v>
      </c>
    </row>
    <row r="22" spans="1:10" x14ac:dyDescent="0.25">
      <c r="A22" t="s">
        <v>47</v>
      </c>
      <c r="B22" t="s">
        <v>23</v>
      </c>
      <c r="C22" t="s">
        <v>0</v>
      </c>
      <c r="D22" s="8">
        <v>3900</v>
      </c>
      <c r="E22" s="2">
        <v>93.09</v>
      </c>
      <c r="F22" s="2">
        <v>93.1</v>
      </c>
      <c r="G22" s="8">
        <v>4000</v>
      </c>
      <c r="H22" s="2">
        <v>93.300003000000004</v>
      </c>
      <c r="I22" s="8">
        <v>0</v>
      </c>
      <c r="J22" t="s">
        <v>137</v>
      </c>
    </row>
    <row r="23" spans="1:10" x14ac:dyDescent="0.25">
      <c r="A23" t="s">
        <v>47</v>
      </c>
      <c r="B23" t="s">
        <v>4</v>
      </c>
      <c r="C23" t="s">
        <v>0</v>
      </c>
      <c r="D23" s="8">
        <v>2600</v>
      </c>
      <c r="E23" s="2">
        <v>105.32</v>
      </c>
      <c r="F23" s="2">
        <v>105.33</v>
      </c>
      <c r="G23" s="8">
        <v>4600</v>
      </c>
      <c r="H23" s="2">
        <v>105.470001</v>
      </c>
      <c r="I23" s="8">
        <v>0</v>
      </c>
      <c r="J23" t="s">
        <v>137</v>
      </c>
    </row>
    <row r="24" spans="1:10" x14ac:dyDescent="0.25">
      <c r="A24" t="s">
        <v>47</v>
      </c>
      <c r="B24" t="s">
        <v>60</v>
      </c>
      <c r="C24" t="s">
        <v>0</v>
      </c>
      <c r="D24" s="8">
        <v>7800</v>
      </c>
      <c r="E24" s="2">
        <v>21.05</v>
      </c>
      <c r="F24" s="2">
        <v>21.06</v>
      </c>
      <c r="G24" s="8">
        <v>3000</v>
      </c>
      <c r="H24" s="2">
        <v>21.084999</v>
      </c>
      <c r="I24" s="8">
        <v>0</v>
      </c>
      <c r="J24" t="s">
        <v>137</v>
      </c>
    </row>
    <row r="25" spans="1:10" x14ac:dyDescent="0.25">
      <c r="A25" t="s">
        <v>47</v>
      </c>
      <c r="B25" t="s">
        <v>61</v>
      </c>
      <c r="C25" t="s">
        <v>0</v>
      </c>
      <c r="D25" s="8">
        <v>75900</v>
      </c>
      <c r="E25" s="2">
        <v>30.49</v>
      </c>
      <c r="F25" s="2">
        <v>30.5</v>
      </c>
      <c r="G25" s="8">
        <v>15800</v>
      </c>
      <c r="H25" s="2">
        <v>30.450001</v>
      </c>
      <c r="I25" s="8">
        <v>0</v>
      </c>
      <c r="J25" t="s">
        <v>137</v>
      </c>
    </row>
    <row r="26" spans="1:10" x14ac:dyDescent="0.25">
      <c r="A26" t="s">
        <v>47</v>
      </c>
      <c r="B26" t="s">
        <v>62</v>
      </c>
      <c r="C26" t="s">
        <v>0</v>
      </c>
      <c r="D26" s="8">
        <v>5500</v>
      </c>
      <c r="E26" s="2">
        <v>18.39</v>
      </c>
      <c r="F26" s="2">
        <v>18.399999999999999</v>
      </c>
      <c r="G26" s="8">
        <v>4300</v>
      </c>
      <c r="H26" s="2">
        <v>18.420000000000002</v>
      </c>
      <c r="I26" s="8">
        <v>0</v>
      </c>
      <c r="J26" t="s">
        <v>137</v>
      </c>
    </row>
    <row r="27" spans="1:10" x14ac:dyDescent="0.25">
      <c r="A27" t="s">
        <v>47</v>
      </c>
      <c r="B27" t="s">
        <v>63</v>
      </c>
      <c r="C27" t="s">
        <v>0</v>
      </c>
      <c r="D27" s="8">
        <v>132800</v>
      </c>
      <c r="E27" s="2">
        <v>24.01</v>
      </c>
      <c r="F27" s="2">
        <v>24.02</v>
      </c>
      <c r="G27" s="8">
        <v>153000</v>
      </c>
      <c r="H27" s="2">
        <v>24.059999000000001</v>
      </c>
      <c r="I27" s="8">
        <v>0</v>
      </c>
      <c r="J27" t="s">
        <v>137</v>
      </c>
    </row>
    <row r="28" spans="1:10" x14ac:dyDescent="0.25">
      <c r="A28" t="s">
        <v>47</v>
      </c>
      <c r="B28" t="s">
        <v>29</v>
      </c>
      <c r="C28" t="s">
        <v>0</v>
      </c>
      <c r="D28" s="8">
        <v>11700</v>
      </c>
      <c r="E28" s="2">
        <v>29.91</v>
      </c>
      <c r="F28" s="2">
        <v>29.92</v>
      </c>
      <c r="G28" s="8">
        <v>29800</v>
      </c>
      <c r="H28" s="2">
        <v>30.030000999999999</v>
      </c>
      <c r="I28" s="8">
        <v>0</v>
      </c>
      <c r="J28" t="s">
        <v>137</v>
      </c>
    </row>
    <row r="29" spans="1:10" x14ac:dyDescent="0.25">
      <c r="A29" t="s">
        <v>47</v>
      </c>
      <c r="B29" t="s">
        <v>6</v>
      </c>
      <c r="C29" t="s">
        <v>0</v>
      </c>
      <c r="D29" s="8">
        <v>144300</v>
      </c>
      <c r="E29" s="2">
        <v>22.75</v>
      </c>
      <c r="F29" s="2">
        <v>22.76</v>
      </c>
      <c r="G29" s="8">
        <v>138600</v>
      </c>
      <c r="H29" s="2">
        <v>22.799999</v>
      </c>
      <c r="I29" s="8">
        <v>0</v>
      </c>
      <c r="J29" t="s">
        <v>137</v>
      </c>
    </row>
    <row r="30" spans="1:10" x14ac:dyDescent="0.25">
      <c r="A30" t="s">
        <v>47</v>
      </c>
      <c r="B30" t="s">
        <v>16</v>
      </c>
      <c r="C30" t="s">
        <v>0</v>
      </c>
      <c r="D30" s="8">
        <v>10100</v>
      </c>
      <c r="E30" s="2">
        <v>26.01</v>
      </c>
      <c r="F30" s="2">
        <v>26.02</v>
      </c>
      <c r="G30" s="8">
        <v>11100</v>
      </c>
      <c r="H30" s="2">
        <v>26.01</v>
      </c>
      <c r="I30" s="8">
        <v>0</v>
      </c>
      <c r="J30" t="s">
        <v>137</v>
      </c>
    </row>
    <row r="31" spans="1:10" x14ac:dyDescent="0.25">
      <c r="A31" t="s">
        <v>47</v>
      </c>
      <c r="B31" t="s">
        <v>7</v>
      </c>
      <c r="C31" t="s">
        <v>0</v>
      </c>
      <c r="D31" s="8">
        <v>314700</v>
      </c>
      <c r="E31" s="2">
        <v>25.09</v>
      </c>
      <c r="F31" s="2">
        <v>25.1</v>
      </c>
      <c r="G31" s="8">
        <v>173100</v>
      </c>
      <c r="H31" s="2">
        <v>25.129999000000002</v>
      </c>
      <c r="I31" s="8">
        <v>0</v>
      </c>
      <c r="J31" t="s">
        <v>137</v>
      </c>
    </row>
    <row r="32" spans="1:10" x14ac:dyDescent="0.25">
      <c r="A32" t="s">
        <v>47</v>
      </c>
      <c r="B32" t="s">
        <v>32</v>
      </c>
      <c r="C32" t="s">
        <v>0</v>
      </c>
      <c r="D32" s="8">
        <v>66300</v>
      </c>
      <c r="E32" s="2">
        <v>28.37</v>
      </c>
      <c r="F32" s="2">
        <v>28.38</v>
      </c>
      <c r="G32" s="8">
        <v>43100</v>
      </c>
      <c r="H32" s="2">
        <v>28.42</v>
      </c>
      <c r="I32" s="8">
        <v>0</v>
      </c>
      <c r="J32" t="s">
        <v>137</v>
      </c>
    </row>
    <row r="33" spans="1:10" x14ac:dyDescent="0.25">
      <c r="A33" t="s">
        <v>47</v>
      </c>
      <c r="B33" t="s">
        <v>15</v>
      </c>
      <c r="C33" t="s">
        <v>0</v>
      </c>
      <c r="D33" s="8">
        <v>336800</v>
      </c>
      <c r="E33" s="2">
        <v>23.28</v>
      </c>
      <c r="F33" s="2">
        <v>23.29</v>
      </c>
      <c r="G33" s="8">
        <v>222700</v>
      </c>
      <c r="H33" s="2">
        <v>23.27</v>
      </c>
      <c r="I33" s="8">
        <v>0</v>
      </c>
      <c r="J33" t="s">
        <v>137</v>
      </c>
    </row>
    <row r="34" spans="1:10" x14ac:dyDescent="0.25">
      <c r="A34" t="s">
        <v>47</v>
      </c>
      <c r="B34" t="s">
        <v>25</v>
      </c>
      <c r="C34" t="s">
        <v>0</v>
      </c>
      <c r="D34" s="8">
        <v>153400</v>
      </c>
      <c r="E34" s="2">
        <v>21.31</v>
      </c>
      <c r="F34" s="2">
        <v>21.32</v>
      </c>
      <c r="G34" s="8">
        <v>92400</v>
      </c>
      <c r="H34" s="2">
        <v>21.360001</v>
      </c>
      <c r="I34" s="8">
        <v>0</v>
      </c>
      <c r="J34" t="s">
        <v>137</v>
      </c>
    </row>
    <row r="35" spans="1:10" x14ac:dyDescent="0.25">
      <c r="A35" t="s">
        <v>47</v>
      </c>
      <c r="B35" t="s">
        <v>21</v>
      </c>
      <c r="C35" t="s">
        <v>0</v>
      </c>
      <c r="D35" s="8">
        <v>12400</v>
      </c>
      <c r="E35" s="2">
        <v>21.97</v>
      </c>
      <c r="F35" s="2">
        <v>21.98</v>
      </c>
      <c r="G35" s="8">
        <v>22500</v>
      </c>
      <c r="H35" s="2">
        <v>22</v>
      </c>
      <c r="I35" s="8">
        <v>0</v>
      </c>
      <c r="J35" t="s">
        <v>137</v>
      </c>
    </row>
    <row r="36" spans="1:10" x14ac:dyDescent="0.25">
      <c r="A36" t="s">
        <v>47</v>
      </c>
      <c r="B36" t="s">
        <v>28</v>
      </c>
      <c r="C36" t="s">
        <v>0</v>
      </c>
      <c r="D36" s="8">
        <v>337200</v>
      </c>
      <c r="E36" s="2">
        <v>25.07</v>
      </c>
      <c r="F36" s="2">
        <v>25.08</v>
      </c>
      <c r="G36" s="8">
        <v>422300</v>
      </c>
      <c r="H36" s="2">
        <v>25.18</v>
      </c>
      <c r="I36" s="8">
        <v>0</v>
      </c>
      <c r="J36" t="s">
        <v>137</v>
      </c>
    </row>
    <row r="37" spans="1:10" x14ac:dyDescent="0.25">
      <c r="A37" t="s">
        <v>47</v>
      </c>
      <c r="B37" t="s">
        <v>24</v>
      </c>
      <c r="C37" t="s">
        <v>0</v>
      </c>
      <c r="D37" s="8">
        <v>5400</v>
      </c>
      <c r="E37" s="2">
        <v>44.83</v>
      </c>
      <c r="F37" s="2">
        <v>44.84</v>
      </c>
      <c r="G37" s="8">
        <v>7500</v>
      </c>
      <c r="H37" s="2">
        <v>44.91</v>
      </c>
      <c r="I37" s="8">
        <v>0</v>
      </c>
      <c r="J37" t="s">
        <v>137</v>
      </c>
    </row>
    <row r="38" spans="1:10" x14ac:dyDescent="0.25">
      <c r="A38" t="s">
        <v>47</v>
      </c>
      <c r="B38" t="s">
        <v>30</v>
      </c>
      <c r="C38" t="s">
        <v>0</v>
      </c>
      <c r="D38" s="8">
        <v>77000</v>
      </c>
      <c r="E38" s="2">
        <v>81.98</v>
      </c>
      <c r="F38" s="2">
        <v>81.99</v>
      </c>
      <c r="G38" s="8">
        <v>9400</v>
      </c>
      <c r="H38" s="2">
        <v>82.339995999999999</v>
      </c>
      <c r="I38" s="8">
        <v>2414</v>
      </c>
      <c r="J38" t="s">
        <v>137</v>
      </c>
    </row>
    <row r="39" spans="1:10" x14ac:dyDescent="0.25">
      <c r="A39" t="s">
        <v>47</v>
      </c>
      <c r="B39" t="s">
        <v>18</v>
      </c>
      <c r="C39" t="s">
        <v>0</v>
      </c>
      <c r="D39" s="8">
        <v>129100</v>
      </c>
      <c r="E39" s="2">
        <v>36.82</v>
      </c>
      <c r="F39" s="2">
        <v>36.83</v>
      </c>
      <c r="G39" s="8">
        <v>243700</v>
      </c>
      <c r="H39" s="2">
        <v>36.799999</v>
      </c>
      <c r="I39" s="8">
        <v>0</v>
      </c>
      <c r="J39" t="s">
        <v>137</v>
      </c>
    </row>
    <row r="40" spans="1:10" x14ac:dyDescent="0.25">
      <c r="A40" t="s">
        <v>47</v>
      </c>
      <c r="B40" t="s">
        <v>33</v>
      </c>
      <c r="C40" t="s">
        <v>0</v>
      </c>
      <c r="D40" s="8">
        <v>32400</v>
      </c>
      <c r="E40" s="2">
        <v>50.18</v>
      </c>
      <c r="F40" s="2">
        <v>50.19</v>
      </c>
      <c r="G40" s="8">
        <v>27700</v>
      </c>
      <c r="H40" s="2">
        <v>50.25</v>
      </c>
      <c r="I40" s="8">
        <v>0</v>
      </c>
      <c r="J40" t="s">
        <v>137</v>
      </c>
    </row>
    <row r="41" spans="1:10" x14ac:dyDescent="0.25">
      <c r="A41" t="s">
        <v>47</v>
      </c>
      <c r="B41" t="s">
        <v>64</v>
      </c>
      <c r="C41" t="s">
        <v>0</v>
      </c>
      <c r="D41" s="8">
        <v>700</v>
      </c>
      <c r="E41" s="2">
        <v>67.05</v>
      </c>
      <c r="F41" s="2">
        <v>67.06</v>
      </c>
      <c r="G41" s="8">
        <v>900</v>
      </c>
      <c r="H41" s="2">
        <v>67.190002000000007</v>
      </c>
      <c r="I41" s="8">
        <v>0</v>
      </c>
      <c r="J41" t="s">
        <v>137</v>
      </c>
    </row>
    <row r="42" spans="1:10" x14ac:dyDescent="0.25">
      <c r="A42" t="s">
        <v>47</v>
      </c>
      <c r="B42" t="s">
        <v>27</v>
      </c>
      <c r="C42" t="s">
        <v>0</v>
      </c>
      <c r="D42" s="8">
        <v>22800</v>
      </c>
      <c r="E42" s="2">
        <v>71.66</v>
      </c>
      <c r="F42" s="2">
        <v>71.67</v>
      </c>
      <c r="G42" s="8">
        <v>19700</v>
      </c>
      <c r="H42" s="2">
        <v>71.819999999999993</v>
      </c>
      <c r="I42" s="8">
        <v>0</v>
      </c>
      <c r="J42" t="s">
        <v>137</v>
      </c>
    </row>
    <row r="43" spans="1:10" x14ac:dyDescent="0.25">
      <c r="A43" t="s">
        <v>47</v>
      </c>
      <c r="B43" t="s">
        <v>31</v>
      </c>
      <c r="C43" t="s">
        <v>0</v>
      </c>
      <c r="D43" s="8">
        <v>52700</v>
      </c>
      <c r="E43" s="2">
        <v>52.71</v>
      </c>
      <c r="F43" s="2">
        <v>52.72</v>
      </c>
      <c r="G43" s="8">
        <v>15300</v>
      </c>
      <c r="H43" s="2">
        <v>52.939999</v>
      </c>
      <c r="I43" s="8">
        <v>-3764</v>
      </c>
      <c r="J43" t="s">
        <v>137</v>
      </c>
    </row>
    <row r="44" spans="1:10" x14ac:dyDescent="0.25">
      <c r="A44" t="s">
        <v>47</v>
      </c>
      <c r="B44" t="s">
        <v>22</v>
      </c>
      <c r="C44" t="s">
        <v>0</v>
      </c>
      <c r="D44" s="8">
        <v>8200</v>
      </c>
      <c r="E44" s="2">
        <v>46.14</v>
      </c>
      <c r="F44" s="2">
        <v>46.15</v>
      </c>
      <c r="G44" s="8">
        <v>7700</v>
      </c>
      <c r="H44" s="2">
        <v>46.240001999999997</v>
      </c>
      <c r="I44" s="8">
        <v>0</v>
      </c>
      <c r="J44" t="s">
        <v>137</v>
      </c>
    </row>
    <row r="45" spans="1:10" x14ac:dyDescent="0.25">
      <c r="A45" t="s">
        <v>47</v>
      </c>
      <c r="B45" t="s">
        <v>34</v>
      </c>
      <c r="C45" t="s">
        <v>0</v>
      </c>
      <c r="D45" s="8">
        <v>1400</v>
      </c>
      <c r="E45" s="2">
        <v>75.040000000000006</v>
      </c>
      <c r="F45" s="2">
        <v>75.069999999999993</v>
      </c>
      <c r="G45" s="8">
        <v>900</v>
      </c>
      <c r="H45" s="2">
        <v>75.141998000000001</v>
      </c>
      <c r="I45" s="8">
        <v>253</v>
      </c>
      <c r="J45" t="s">
        <v>137</v>
      </c>
    </row>
    <row r="46" spans="1:10" x14ac:dyDescent="0.25">
      <c r="A46" t="s">
        <v>47</v>
      </c>
      <c r="B46" t="s">
        <v>3</v>
      </c>
      <c r="C46" t="s">
        <v>0</v>
      </c>
      <c r="D46" s="8">
        <v>17200</v>
      </c>
      <c r="E46" s="2">
        <v>49.5</v>
      </c>
      <c r="F46" s="2">
        <v>49.51</v>
      </c>
      <c r="G46" s="8">
        <v>79200</v>
      </c>
      <c r="H46" s="2">
        <v>49.57</v>
      </c>
      <c r="I46" s="8">
        <v>0</v>
      </c>
      <c r="J46" t="s">
        <v>137</v>
      </c>
    </row>
    <row r="47" spans="1:10" x14ac:dyDescent="0.25">
      <c r="A47" t="s">
        <v>47</v>
      </c>
      <c r="B47" t="s">
        <v>65</v>
      </c>
      <c r="C47" t="s">
        <v>0</v>
      </c>
      <c r="D47" s="8">
        <v>2600</v>
      </c>
      <c r="E47" s="2">
        <v>98.52</v>
      </c>
      <c r="F47" s="2">
        <v>98.53</v>
      </c>
      <c r="G47" s="8">
        <v>800</v>
      </c>
      <c r="H47" s="2">
        <v>98.620002999999997</v>
      </c>
      <c r="I47" s="8">
        <v>0</v>
      </c>
      <c r="J47" t="s">
        <v>137</v>
      </c>
    </row>
    <row r="48" spans="1:10" x14ac:dyDescent="0.25">
      <c r="A48" t="s">
        <v>47</v>
      </c>
      <c r="B48" t="s">
        <v>66</v>
      </c>
      <c r="C48" t="s">
        <v>0</v>
      </c>
      <c r="D48" s="8">
        <v>3300</v>
      </c>
      <c r="E48" s="2">
        <v>65.84</v>
      </c>
      <c r="F48" s="2">
        <v>65.849999999999994</v>
      </c>
      <c r="G48" s="8">
        <v>5400</v>
      </c>
      <c r="H48" s="2">
        <v>65.879997000000003</v>
      </c>
      <c r="I48" s="8">
        <v>0</v>
      </c>
      <c r="J48" t="s">
        <v>137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Z44"/>
  <sheetViews>
    <sheetView tabSelected="1" zoomScale="90" zoomScaleNormal="90" workbookViewId="0">
      <selection sqref="A1:B1"/>
    </sheetView>
  </sheetViews>
  <sheetFormatPr defaultRowHeight="15" x14ac:dyDescent="0.25"/>
  <cols>
    <col min="1" max="1" width="5.7109375" style="18" bestFit="1" customWidth="1"/>
    <col min="2" max="2" width="7.42578125" style="18" bestFit="1" customWidth="1"/>
    <col min="3" max="3" width="5.7109375" style="18" bestFit="1" customWidth="1"/>
    <col min="4" max="4" width="6.5703125" style="16" bestFit="1" customWidth="1"/>
    <col min="5" max="6" width="9.5703125" style="2" bestFit="1" customWidth="1"/>
    <col min="7" max="7" width="11.42578125" style="25" bestFit="1" customWidth="1"/>
    <col min="8" max="8" width="11.5703125" style="25" bestFit="1" customWidth="1"/>
    <col min="9" max="9" width="8.42578125" style="54" bestFit="1" customWidth="1"/>
    <col min="10" max="10" width="10.5703125" style="15" bestFit="1" customWidth="1"/>
    <col min="11" max="11" width="11.28515625" style="15" bestFit="1" customWidth="1"/>
    <col min="12" max="12" width="11.28515625" style="15" customWidth="1"/>
    <col min="13" max="13" width="9" bestFit="1" customWidth="1"/>
    <col min="14" max="14" width="9" customWidth="1"/>
    <col min="15" max="15" width="9" bestFit="1" customWidth="1"/>
    <col min="16" max="16" width="8.28515625" bestFit="1" customWidth="1"/>
    <col min="17" max="17" width="8.28515625" customWidth="1"/>
    <col min="18" max="18" width="7.85546875" style="52" bestFit="1" customWidth="1"/>
    <col min="19" max="19" width="9.7109375" style="53" bestFit="1" customWidth="1"/>
    <col min="20" max="20" width="7.7109375" style="53" bestFit="1" customWidth="1"/>
    <col min="21" max="21" width="3.7109375" style="1" customWidth="1"/>
    <col min="22" max="22" width="15.7109375" style="1" bestFit="1" customWidth="1"/>
    <col min="23" max="23" width="14.7109375" style="1" bestFit="1" customWidth="1"/>
    <col min="24" max="24" width="5.42578125" style="1" bestFit="1" customWidth="1"/>
    <col min="25" max="25" width="3.7109375" style="1" customWidth="1"/>
    <col min="26" max="26" width="11.28515625" bestFit="1" customWidth="1"/>
    <col min="27" max="27" width="14.7109375" style="61" bestFit="1" customWidth="1"/>
    <col min="28" max="28" width="15" style="67" bestFit="1" customWidth="1"/>
    <col min="29" max="29" width="13.7109375" style="67" bestFit="1" customWidth="1"/>
    <col min="30" max="30" width="14.42578125" style="67" bestFit="1" customWidth="1"/>
    <col min="31" max="31" width="15.7109375" style="67" bestFit="1" customWidth="1"/>
    <col min="33" max="33" width="16.5703125" style="2" bestFit="1" customWidth="1"/>
    <col min="34" max="34" width="17.42578125" style="2" bestFit="1" customWidth="1"/>
    <col min="35" max="35" width="16.7109375" style="2" bestFit="1" customWidth="1"/>
    <col min="36" max="36" width="18.7109375" style="2" bestFit="1" customWidth="1"/>
    <col min="37" max="37" width="16.5703125" style="2" bestFit="1" customWidth="1"/>
    <col min="38" max="38" width="14" style="2" bestFit="1" customWidth="1"/>
    <col min="39" max="39" width="28.28515625" style="2" bestFit="1" customWidth="1"/>
    <col min="40" max="40" width="26.42578125" style="2" bestFit="1" customWidth="1"/>
    <col min="41" max="41" width="28.5703125" style="2" bestFit="1" customWidth="1"/>
    <col min="42" max="42" width="5.28515625" style="2" bestFit="1" customWidth="1"/>
    <col min="43" max="43" width="26.5703125" style="67" bestFit="1" customWidth="1"/>
    <col min="44" max="44" width="18.7109375" style="56" bestFit="1" customWidth="1"/>
    <col min="45" max="45" width="20.85546875" style="2" bestFit="1" customWidth="1"/>
    <col min="46" max="46" width="15.85546875" bestFit="1" customWidth="1"/>
    <col min="47" max="47" width="10.85546875" bestFit="1" customWidth="1"/>
    <col min="48" max="48" width="11.5703125" bestFit="1" customWidth="1"/>
    <col min="49" max="50" width="15.140625" bestFit="1" customWidth="1"/>
    <col min="51" max="51" width="18.42578125" style="8" bestFit="1" customWidth="1"/>
  </cols>
  <sheetData>
    <row r="1" spans="1:52" s="17" customFormat="1" ht="15" customHeight="1" x14ac:dyDescent="0.2">
      <c r="A1" s="90" t="s">
        <v>75</v>
      </c>
      <c r="B1" s="91"/>
      <c r="E1" s="96" t="s">
        <v>77</v>
      </c>
      <c r="F1" s="97"/>
      <c r="G1" s="81">
        <v>5.0000000000000001E-3</v>
      </c>
      <c r="H1" s="81"/>
      <c r="I1" s="104"/>
      <c r="J1" s="76" t="s">
        <v>80</v>
      </c>
      <c r="K1" s="76"/>
      <c r="L1" s="108" t="s">
        <v>131</v>
      </c>
      <c r="M1" s="109"/>
      <c r="N1" s="110"/>
      <c r="O1" s="116" t="s">
        <v>132</v>
      </c>
      <c r="P1" s="117"/>
      <c r="Q1" s="118"/>
      <c r="R1" s="119" t="s">
        <v>81</v>
      </c>
      <c r="S1" s="120"/>
      <c r="T1" s="121"/>
      <c r="U1" s="23"/>
      <c r="V1" s="83" t="s">
        <v>86</v>
      </c>
      <c r="W1" s="83"/>
      <c r="X1" s="88"/>
      <c r="Y1" s="23"/>
      <c r="AA1" s="59"/>
      <c r="AB1" s="65"/>
      <c r="AC1" s="65"/>
      <c r="AD1" s="65"/>
      <c r="AE1" s="65"/>
      <c r="AG1" s="68">
        <f>SUM(AG4:AG14)</f>
        <v>5969.0700000000006</v>
      </c>
      <c r="AH1" s="68">
        <f>SUM(AH4:AH14)</f>
        <v>7234.57</v>
      </c>
      <c r="AI1" s="68">
        <f>SUM(AI4:AI14)</f>
        <v>13203.64</v>
      </c>
      <c r="AJ1" s="68">
        <f>SUM(AJ4:AJ14)</f>
        <v>-3753.8350000000005</v>
      </c>
      <c r="AK1" s="68">
        <f>SUM(AK4:AK14)</f>
        <v>-895.62822800000004</v>
      </c>
      <c r="AL1" s="68">
        <f>SUM(AL4:AL14)</f>
        <v>8554.1767719999989</v>
      </c>
      <c r="AM1" s="68"/>
      <c r="AN1" s="68"/>
      <c r="AO1" s="68">
        <f>SUM(AO4:AO14)</f>
        <v>343066.59768699994</v>
      </c>
      <c r="AP1" s="63">
        <f>SUM(AP4:AP14)</f>
        <v>1.7153329884349999</v>
      </c>
      <c r="AQ1" s="65"/>
      <c r="AR1" s="69"/>
      <c r="AS1" s="68"/>
      <c r="AY1" s="71"/>
    </row>
    <row r="2" spans="1:52" s="20" customFormat="1" ht="12" x14ac:dyDescent="0.2">
      <c r="A2" s="92" t="s">
        <v>74</v>
      </c>
      <c r="B2" s="93" t="s">
        <v>76</v>
      </c>
      <c r="C2" s="19" t="s">
        <v>87</v>
      </c>
      <c r="D2" s="20" t="s">
        <v>68</v>
      </c>
      <c r="E2" s="98" t="s">
        <v>78</v>
      </c>
      <c r="F2" s="99" t="s">
        <v>79</v>
      </c>
      <c r="G2" s="24" t="s">
        <v>70</v>
      </c>
      <c r="H2" s="24" t="s">
        <v>71</v>
      </c>
      <c r="I2" s="105" t="s">
        <v>69</v>
      </c>
      <c r="J2" s="22" t="s">
        <v>72</v>
      </c>
      <c r="K2" s="22" t="s">
        <v>73</v>
      </c>
      <c r="L2" s="111" t="s">
        <v>136</v>
      </c>
      <c r="M2" s="127" t="s">
        <v>36</v>
      </c>
      <c r="N2" s="128" t="s">
        <v>135</v>
      </c>
      <c r="O2" s="129" t="s">
        <v>136</v>
      </c>
      <c r="P2" s="127" t="s">
        <v>36</v>
      </c>
      <c r="Q2" s="112" t="s">
        <v>135</v>
      </c>
      <c r="R2" s="122" t="s">
        <v>82</v>
      </c>
      <c r="S2" s="123" t="s">
        <v>83</v>
      </c>
      <c r="T2" s="124" t="s">
        <v>84</v>
      </c>
      <c r="V2" s="84" t="s">
        <v>131</v>
      </c>
      <c r="W2" s="85" t="s">
        <v>132</v>
      </c>
      <c r="X2" s="85"/>
      <c r="AA2" s="60"/>
      <c r="AB2" s="66"/>
      <c r="AC2" s="66"/>
      <c r="AD2" s="66"/>
      <c r="AE2" s="66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66"/>
      <c r="AR2" s="70"/>
      <c r="AS2" s="21"/>
      <c r="AY2" s="72"/>
    </row>
    <row r="3" spans="1:52" s="20" customFormat="1" ht="15.75" thickBot="1" x14ac:dyDescent="0.3">
      <c r="A3" s="92"/>
      <c r="B3" s="93"/>
      <c r="C3" s="19"/>
      <c r="E3" s="98"/>
      <c r="F3" s="99"/>
      <c r="G3" s="24"/>
      <c r="H3" s="24"/>
      <c r="I3" s="105"/>
      <c r="J3" s="22"/>
      <c r="K3" s="22"/>
      <c r="L3" s="111"/>
      <c r="M3" s="127"/>
      <c r="N3" s="128"/>
      <c r="O3" s="129"/>
      <c r="P3" s="127"/>
      <c r="Q3" s="115"/>
      <c r="R3" s="122"/>
      <c r="S3" s="123"/>
      <c r="T3" s="124"/>
      <c r="Z3" s="47" t="s">
        <v>101</v>
      </c>
      <c r="AA3" s="61" t="s">
        <v>103</v>
      </c>
      <c r="AB3" s="67" t="s">
        <v>104</v>
      </c>
      <c r="AC3" s="67" t="s">
        <v>105</v>
      </c>
      <c r="AD3" s="67" t="s">
        <v>107</v>
      </c>
      <c r="AE3" s="67" t="s">
        <v>106</v>
      </c>
      <c r="AG3" s="2" t="s">
        <v>108</v>
      </c>
      <c r="AH3" s="2" t="s">
        <v>109</v>
      </c>
      <c r="AI3" s="2" t="s">
        <v>110</v>
      </c>
      <c r="AJ3" s="2" t="s">
        <v>111</v>
      </c>
      <c r="AK3" s="2" t="s">
        <v>112</v>
      </c>
      <c r="AL3" s="2" t="s">
        <v>113</v>
      </c>
      <c r="AM3" s="2" t="s">
        <v>114</v>
      </c>
      <c r="AN3" s="2" t="s">
        <v>115</v>
      </c>
      <c r="AO3" s="2" t="s">
        <v>116</v>
      </c>
      <c r="AP3" s="2"/>
      <c r="AQ3" s="67" t="s">
        <v>117</v>
      </c>
      <c r="AR3" s="56" t="s">
        <v>118</v>
      </c>
      <c r="AS3" s="2" t="s">
        <v>119</v>
      </c>
      <c r="AT3" t="s">
        <v>120</v>
      </c>
      <c r="AU3" t="s">
        <v>121</v>
      </c>
      <c r="AV3" t="s">
        <v>122</v>
      </c>
      <c r="AW3" t="s">
        <v>123</v>
      </c>
      <c r="AX3" t="s">
        <v>124</v>
      </c>
      <c r="AY3" s="8" t="s">
        <v>125</v>
      </c>
      <c r="AZ3"/>
    </row>
    <row r="4" spans="1:52" x14ac:dyDescent="0.25">
      <c r="A4" s="29">
        <f>MATCH(D4,'TRADING INPUTS'!B:B,0)</f>
        <v>2</v>
      </c>
      <c r="B4" s="94">
        <f>MATCH(D4,'MKT DATA'!B:B,0)</f>
        <v>9</v>
      </c>
      <c r="C4" s="30" t="s">
        <v>57</v>
      </c>
      <c r="D4" s="31" t="s">
        <v>52</v>
      </c>
      <c r="E4" s="100" cm="1">
        <f t="array" aca="1" ref="E4" ca="1">INDIRECT(ADDRESS($B4,5,,,"mkt data"))</f>
        <v>103.75</v>
      </c>
      <c r="F4" s="101" cm="1">
        <f t="array" aca="1" ref="F4" ca="1">INDIRECT(ADDRESS($B4,6,,,"mkt data"))</f>
        <v>103.89</v>
      </c>
      <c r="G4" s="32">
        <f ca="1">E4-G$1</f>
        <v>103.745</v>
      </c>
      <c r="H4" s="32">
        <f ca="1">F4+G$1</f>
        <v>103.895</v>
      </c>
      <c r="I4" s="106" cm="1">
        <f t="array" aca="1" ref="I4" ca="1">INDIRECT(ADDRESS($A4,5,,,"trading inputs"))</f>
        <v>1.1151801073393748</v>
      </c>
      <c r="J4" s="33">
        <f ca="1">G4*I4</f>
        <v>115.69436023592344</v>
      </c>
      <c r="K4" s="33">
        <f ca="1">-I4*H4</f>
        <v>-115.86163725202434</v>
      </c>
      <c r="L4" s="113">
        <f ca="1">K4+J5</f>
        <v>-0.14663725202433397</v>
      </c>
      <c r="M4" s="130">
        <f ca="1">L4/AVERAGE(J5,-K5)</f>
        <v>-1.2667350727741361E-3</v>
      </c>
      <c r="N4" s="131">
        <f>V4</f>
        <v>2E-3</v>
      </c>
      <c r="O4" s="132">
        <f ca="1">J4+K5</f>
        <v>-0.11063976407655218</v>
      </c>
      <c r="P4" s="130">
        <f ca="1">O4/AVERAGE(J5,-K5)</f>
        <v>-9.5576852173939351E-4</v>
      </c>
      <c r="Q4" s="131">
        <f>W4</f>
        <v>2E-3</v>
      </c>
      <c r="R4" s="125" cm="1">
        <f t="array" aca="1" ref="R4" ca="1">INDIRECT(ADDRESS($B4,9,,,"mkt data"))</f>
        <v>-884</v>
      </c>
      <c r="S4" s="48">
        <f ca="1">R4/I4</f>
        <v>-792.69706676266833</v>
      </c>
      <c r="T4" s="79">
        <f ca="1">SUM(S4:S5)</f>
        <v>-4.697066762668328</v>
      </c>
      <c r="U4" s="20"/>
      <c r="V4" s="86">
        <v>2E-3</v>
      </c>
      <c r="W4" s="87">
        <v>2E-3</v>
      </c>
      <c r="X4" s="89" t="s">
        <v>133</v>
      </c>
      <c r="Y4" s="20"/>
      <c r="Z4" t="s">
        <v>102</v>
      </c>
      <c r="AA4" s="62">
        <v>20</v>
      </c>
      <c r="AB4" s="67">
        <v>-2E-3</v>
      </c>
      <c r="AC4" s="67">
        <v>-1.5E-3</v>
      </c>
      <c r="AD4" s="67">
        <v>1.5E-3</v>
      </c>
      <c r="AE4" s="67">
        <v>2E-3</v>
      </c>
      <c r="AG4" s="2">
        <v>2041.74</v>
      </c>
      <c r="AH4" s="2">
        <v>2567.1799999999998</v>
      </c>
      <c r="AI4" s="2">
        <v>4608.92</v>
      </c>
      <c r="AJ4" s="2">
        <v>-423.31</v>
      </c>
      <c r="AK4" s="2">
        <v>-297.59116</v>
      </c>
      <c r="AL4" s="2">
        <v>3888.0188400000002</v>
      </c>
      <c r="AM4" s="2">
        <v>-58292.256716000004</v>
      </c>
      <c r="AN4" s="2">
        <v>-216.00611900000001</v>
      </c>
      <c r="AO4" s="2">
        <v>116368.50731299999</v>
      </c>
      <c r="AP4" s="64">
        <f>AO4/200000</f>
        <v>0.58184253656499996</v>
      </c>
      <c r="AQ4" s="67">
        <v>6.2833E-2</v>
      </c>
      <c r="AR4" s="56">
        <v>2.4503879999999998</v>
      </c>
      <c r="AS4" s="2">
        <v>-1018.776283</v>
      </c>
      <c r="AT4">
        <v>42</v>
      </c>
      <c r="AU4">
        <v>11</v>
      </c>
      <c r="AV4">
        <v>11</v>
      </c>
      <c r="AW4">
        <v>1</v>
      </c>
      <c r="AX4">
        <v>1</v>
      </c>
      <c r="AY4" s="8">
        <v>84662</v>
      </c>
    </row>
    <row r="5" spans="1:52" ht="15.75" thickBot="1" x14ac:dyDescent="0.3">
      <c r="A5" s="34">
        <f>MATCH(D5,'TRADING INPUTS'!B:B,0)</f>
        <v>3</v>
      </c>
      <c r="B5" s="95">
        <f>MATCH(D5,'MKT DATA'!B:B,0)</f>
        <v>16</v>
      </c>
      <c r="C5" s="35" t="s">
        <v>57</v>
      </c>
      <c r="D5" s="36" t="s">
        <v>57</v>
      </c>
      <c r="E5" s="102" cm="1">
        <f t="array" aca="1" ref="E5" ca="1">INDIRECT(ADDRESS($B5,5,,,"mkt data"))</f>
        <v>115.72</v>
      </c>
      <c r="F5" s="103" cm="1">
        <f t="array" aca="1" ref="F5" ca="1">INDIRECT(ADDRESS($B5,6,,,"mkt data"))</f>
        <v>115.8</v>
      </c>
      <c r="G5" s="37">
        <f ca="1">E5-G$1</f>
        <v>115.715</v>
      </c>
      <c r="H5" s="37">
        <f ca="1">F5+G$1</f>
        <v>115.80499999999999</v>
      </c>
      <c r="I5" s="107" cm="1">
        <f t="array" aca="1" ref="I5" ca="1">INDIRECT(ADDRESS($A5,5,,,"trading inputs"))</f>
        <v>1</v>
      </c>
      <c r="J5" s="38">
        <f ca="1">G5*I5</f>
        <v>115.715</v>
      </c>
      <c r="K5" s="38">
        <f ca="1">-I5*H5</f>
        <v>-115.80499999999999</v>
      </c>
      <c r="L5" s="114"/>
      <c r="M5" s="133"/>
      <c r="N5" s="134">
        <f>V5</f>
        <v>1.5E-3</v>
      </c>
      <c r="O5" s="135"/>
      <c r="P5" s="133"/>
      <c r="Q5" s="134">
        <f>W5</f>
        <v>1.5E-3</v>
      </c>
      <c r="R5" s="126" cm="1">
        <f t="array" aca="1" ref="R5" ca="1">INDIRECT(ADDRESS($B5,9,,,"mkt data"))</f>
        <v>788</v>
      </c>
      <c r="S5" s="50">
        <f ca="1">R5/I5</f>
        <v>788</v>
      </c>
      <c r="T5" s="80"/>
      <c r="U5" s="20"/>
      <c r="V5" s="87">
        <v>1.5E-3</v>
      </c>
      <c r="W5" s="87">
        <v>1.5E-3</v>
      </c>
      <c r="X5" s="89" t="s">
        <v>134</v>
      </c>
      <c r="Y5" s="20"/>
      <c r="AP5" s="64"/>
    </row>
    <row r="6" spans="1:52" x14ac:dyDescent="0.25">
      <c r="A6" s="29">
        <f>MATCH(D6,'TRADING INPUTS'!B:B,0)</f>
        <v>12</v>
      </c>
      <c r="B6" s="94">
        <f>MATCH(D6,'MKT DATA'!B:B,0)</f>
        <v>6</v>
      </c>
      <c r="C6" s="30" t="s">
        <v>58</v>
      </c>
      <c r="D6" s="31" t="s">
        <v>50</v>
      </c>
      <c r="E6" s="100" cm="1">
        <f t="array" aca="1" ref="E6" ca="1">INDIRECT(ADDRESS($B6,5,,,"mkt data"))</f>
        <v>21.96</v>
      </c>
      <c r="F6" s="101" cm="1">
        <f t="array" aca="1" ref="F6" ca="1">INDIRECT(ADDRESS($B6,6,,,"mkt data"))</f>
        <v>21.97</v>
      </c>
      <c r="G6" s="32">
        <f ca="1">E6-G$1</f>
        <v>21.955000000000002</v>
      </c>
      <c r="H6" s="32">
        <f ca="1">F6+G$1</f>
        <v>21.974999999999998</v>
      </c>
      <c r="I6" s="106" cm="1">
        <f t="array" aca="1" ref="I6" ca="1">INDIRECT(ADDRESS($A6,5,,,"trading inputs"))</f>
        <v>1.8904480235491772</v>
      </c>
      <c r="J6" s="33">
        <f ca="1">G6*I6</f>
        <v>41.504786357022191</v>
      </c>
      <c r="K6" s="33">
        <f ca="1">-I6*H6</f>
        <v>-41.542595317493166</v>
      </c>
      <c r="L6" s="113">
        <f ca="1">K6+J7</f>
        <v>-7.7595317493170057E-2</v>
      </c>
      <c r="M6" s="130">
        <f ca="1">L6/AVERAGE(J7,-K7)</f>
        <v>-1.8699919868217869E-3</v>
      </c>
      <c r="N6" s="131">
        <f>V6</f>
        <v>4.0000000000000001E-3</v>
      </c>
      <c r="O6" s="132">
        <f ca="1">J6+K7</f>
        <v>-2.0213642977815027E-2</v>
      </c>
      <c r="P6" s="130">
        <f ca="1">O6/AVERAGE(J7,-K7)</f>
        <v>-4.8713442529979578E-4</v>
      </c>
      <c r="Q6" s="131">
        <f>W6</f>
        <v>2E-3</v>
      </c>
      <c r="R6" s="125" cm="1">
        <f t="array" aca="1" ref="R6" ca="1">INDIRECT(ADDRESS($B6,9,,,"mkt data"))</f>
        <v>-2415</v>
      </c>
      <c r="S6" s="48">
        <f ca="1">R6/I6</f>
        <v>-1277.4749529828464</v>
      </c>
      <c r="T6" s="77">
        <f ca="1">SUM(S6:S7)</f>
        <v>-0.4749529828463892</v>
      </c>
      <c r="U6" s="20"/>
      <c r="V6" s="86">
        <v>4.0000000000000001E-3</v>
      </c>
      <c r="W6" s="87">
        <v>2E-3</v>
      </c>
      <c r="X6" s="89" t="s">
        <v>133</v>
      </c>
      <c r="Y6" s="20"/>
      <c r="Z6" t="s">
        <v>126</v>
      </c>
      <c r="AA6" s="61">
        <v>20</v>
      </c>
      <c r="AB6" s="67">
        <v>-4.0000000000000001E-3</v>
      </c>
      <c r="AC6" s="67">
        <v>-3.0000000000000001E-3</v>
      </c>
      <c r="AD6" s="67">
        <v>2E-3</v>
      </c>
      <c r="AE6" s="67">
        <v>2E-3</v>
      </c>
      <c r="AG6" s="2">
        <v>1324.9</v>
      </c>
      <c r="AH6" s="2">
        <v>1070.73</v>
      </c>
      <c r="AI6" s="2">
        <v>2395.63</v>
      </c>
      <c r="AJ6" s="2">
        <v>-895.37</v>
      </c>
      <c r="AK6" s="2">
        <v>-100.08193199999999</v>
      </c>
      <c r="AL6" s="2">
        <v>1400.1780679999999</v>
      </c>
      <c r="AM6" s="2">
        <v>-18668.626119</v>
      </c>
      <c r="AN6" s="2">
        <v>-72.598955000000004</v>
      </c>
      <c r="AO6" s="2">
        <v>37264.653284</v>
      </c>
      <c r="AP6" s="64">
        <f t="shared" ref="AP6:AP14" si="0">AO6/200000</f>
        <v>0.18632326641999999</v>
      </c>
      <c r="AQ6" s="67">
        <v>7.0661000000000002E-2</v>
      </c>
      <c r="AR6" s="56">
        <v>2.9181360000000001</v>
      </c>
      <c r="AS6" s="2">
        <v>-154.35770500000001</v>
      </c>
      <c r="AT6">
        <v>26</v>
      </c>
      <c r="AU6">
        <v>8</v>
      </c>
      <c r="AV6">
        <v>5</v>
      </c>
      <c r="AW6">
        <v>0</v>
      </c>
      <c r="AX6">
        <v>0</v>
      </c>
      <c r="AY6" s="8">
        <v>179074</v>
      </c>
    </row>
    <row r="7" spans="1:52" ht="15.75" thickBot="1" x14ac:dyDescent="0.3">
      <c r="A7" s="34">
        <f>MATCH(D7,'TRADING INPUTS'!B:B,0)</f>
        <v>13</v>
      </c>
      <c r="B7" s="95">
        <f>MATCH(D7,'MKT DATA'!B:B,0)</f>
        <v>18</v>
      </c>
      <c r="C7" s="35" t="s">
        <v>58</v>
      </c>
      <c r="D7" s="36" t="s">
        <v>58</v>
      </c>
      <c r="E7" s="102" cm="1">
        <f t="array" aca="1" ref="E7" ca="1">INDIRECT(ADDRESS($B7,5,,,"mkt data"))</f>
        <v>41.47</v>
      </c>
      <c r="F7" s="103" cm="1">
        <f t="array" aca="1" ref="F7" ca="1">INDIRECT(ADDRESS($B7,6,,,"mkt data"))</f>
        <v>41.52</v>
      </c>
      <c r="G7" s="37">
        <f ca="1">E7-G$1</f>
        <v>41.464999999999996</v>
      </c>
      <c r="H7" s="37">
        <f ca="1">F7+G$1</f>
        <v>41.525000000000006</v>
      </c>
      <c r="I7" s="107" cm="1">
        <f t="array" aca="1" ref="I7" ca="1">INDIRECT(ADDRESS($A7,5,,,"trading inputs"))</f>
        <v>1</v>
      </c>
      <c r="J7" s="38">
        <f ca="1">G7*I7</f>
        <v>41.464999999999996</v>
      </c>
      <c r="K7" s="38">
        <f ca="1">-I7*H7</f>
        <v>-41.525000000000006</v>
      </c>
      <c r="L7" s="114"/>
      <c r="M7" s="133"/>
      <c r="N7" s="134">
        <f>V7</f>
        <v>3.0000000000000001E-3</v>
      </c>
      <c r="O7" s="135"/>
      <c r="P7" s="133"/>
      <c r="Q7" s="134">
        <f>W7</f>
        <v>2E-3</v>
      </c>
      <c r="R7" s="126" cm="1">
        <f t="array" aca="1" ref="R7" ca="1">INDIRECT(ADDRESS($B7,9,,,"mkt data"))</f>
        <v>1277</v>
      </c>
      <c r="S7" s="50">
        <f ca="1">R7/I7</f>
        <v>1277</v>
      </c>
      <c r="T7" s="78"/>
      <c r="U7" s="20"/>
      <c r="V7" s="87">
        <v>3.0000000000000001E-3</v>
      </c>
      <c r="W7" s="87">
        <v>2E-3</v>
      </c>
      <c r="X7" s="89" t="s">
        <v>134</v>
      </c>
      <c r="Y7" s="20"/>
      <c r="AP7" s="64"/>
    </row>
    <row r="8" spans="1:52" x14ac:dyDescent="0.25">
      <c r="A8" s="29">
        <f>MATCH(D8,'TRADING INPUTS'!B:B,0)</f>
        <v>8</v>
      </c>
      <c r="B8" s="94">
        <f>MATCH(D8,'MKT DATA'!B:B,0)</f>
        <v>48</v>
      </c>
      <c r="C8" s="30" t="s">
        <v>53</v>
      </c>
      <c r="D8" s="31" t="s">
        <v>66</v>
      </c>
      <c r="E8" s="100" cm="1">
        <f t="array" aca="1" ref="E8" ca="1">INDIRECT(ADDRESS($B8,5,,,"mkt data"))</f>
        <v>65.84</v>
      </c>
      <c r="F8" s="101" cm="1">
        <f t="array" aca="1" ref="F8" ca="1">INDIRECT(ADDRESS($B8,6,,,"mkt data"))</f>
        <v>65.849999999999994</v>
      </c>
      <c r="G8" s="32">
        <f ca="1">E8-G$1</f>
        <v>65.835000000000008</v>
      </c>
      <c r="H8" s="32">
        <f ca="1">F8+G$1</f>
        <v>65.85499999999999</v>
      </c>
      <c r="I8" s="106" cm="1">
        <f t="array" aca="1" ref="I8" ca="1">INDIRECT(ADDRESS($A8,5,,,"trading inputs"))</f>
        <v>1.4382898139715363</v>
      </c>
      <c r="J8" s="33">
        <f ca="1">G8*I8</f>
        <v>94.689809902816108</v>
      </c>
      <c r="K8" s="33">
        <f ca="1">-I8*H8</f>
        <v>-94.71857569909551</v>
      </c>
      <c r="L8" s="113">
        <f ca="1">K8+J9</f>
        <v>-8.3575699095504774E-2</v>
      </c>
      <c r="M8" s="130">
        <f ca="1">L8/AVERAGE(J9,-K9)</f>
        <v>-8.8304399699408063E-4</v>
      </c>
      <c r="N8" s="131">
        <f>V8</f>
        <v>1E-3</v>
      </c>
      <c r="O8" s="132">
        <f ca="1">J8+K9</f>
        <v>3.4809902816107297E-2</v>
      </c>
      <c r="P8" s="130">
        <f ca="1">O8/AVERAGE(J9,-K9)</f>
        <v>3.6779441931541329E-4</v>
      </c>
      <c r="Q8" s="131">
        <f>W8</f>
        <v>1E-3</v>
      </c>
      <c r="R8" s="125" cm="1">
        <f t="array" aca="1" ref="R8" ca="1">INDIRECT(ADDRESS($B8,9,,,"mkt data"))</f>
        <v>0</v>
      </c>
      <c r="S8" s="48">
        <f ca="1">R8/I8</f>
        <v>0</v>
      </c>
      <c r="T8" s="79">
        <f ca="1">SUM(S8:S9)</f>
        <v>0</v>
      </c>
      <c r="U8" s="20"/>
      <c r="V8" s="87">
        <v>1E-3</v>
      </c>
      <c r="W8" s="87">
        <v>1E-3</v>
      </c>
      <c r="X8" s="89" t="s">
        <v>133</v>
      </c>
      <c r="Y8" s="20"/>
      <c r="Z8" s="57" t="s">
        <v>127</v>
      </c>
      <c r="AA8" s="61">
        <v>20</v>
      </c>
      <c r="AB8" s="67">
        <v>-1E-3</v>
      </c>
      <c r="AC8" s="67">
        <v>-1E-3</v>
      </c>
      <c r="AD8" s="67">
        <v>1E-3</v>
      </c>
      <c r="AE8" s="67">
        <v>1E-3</v>
      </c>
      <c r="AG8" s="2">
        <v>1272.2</v>
      </c>
      <c r="AH8" s="2">
        <v>472.81</v>
      </c>
      <c r="AI8" s="2">
        <v>1745.01</v>
      </c>
      <c r="AJ8" s="2">
        <v>-484.43</v>
      </c>
      <c r="AK8" s="2">
        <v>-133.34520900000001</v>
      </c>
      <c r="AL8" s="2">
        <v>1127.2347910000001</v>
      </c>
      <c r="AM8" s="2">
        <v>-29107.705895999999</v>
      </c>
      <c r="AN8" s="2">
        <v>-42.940148999999998</v>
      </c>
      <c r="AO8" s="2">
        <v>58172.471641999997</v>
      </c>
      <c r="AP8" s="64">
        <f t="shared" si="0"/>
        <v>0.29086235821</v>
      </c>
      <c r="AQ8" s="67">
        <v>3.6441000000000001E-2</v>
      </c>
      <c r="AR8" s="56">
        <v>2.9476149999999999</v>
      </c>
      <c r="AS8" s="2">
        <v>-171.868425</v>
      </c>
      <c r="AT8">
        <v>37</v>
      </c>
      <c r="AU8">
        <v>17</v>
      </c>
      <c r="AV8">
        <v>2</v>
      </c>
      <c r="AW8">
        <v>0</v>
      </c>
      <c r="AX8">
        <v>1</v>
      </c>
      <c r="AY8" s="8">
        <v>96886</v>
      </c>
    </row>
    <row r="9" spans="1:52" ht="15.75" thickBot="1" x14ac:dyDescent="0.3">
      <c r="A9" s="34">
        <f>MATCH(D9,'TRADING INPUTS'!B:B,0)</f>
        <v>9</v>
      </c>
      <c r="B9" s="95">
        <f>MATCH(D9,'MKT DATA'!B:B,0)</f>
        <v>10</v>
      </c>
      <c r="C9" s="35" t="s">
        <v>53</v>
      </c>
      <c r="D9" s="36" t="s">
        <v>53</v>
      </c>
      <c r="E9" s="102" cm="1">
        <f t="array" aca="1" ref="E9" ca="1">INDIRECT(ADDRESS($B9,5,,,"mkt data"))</f>
        <v>94.64</v>
      </c>
      <c r="F9" s="103" cm="1">
        <f t="array" aca="1" ref="F9" ca="1">INDIRECT(ADDRESS($B9,6,,,"mkt data"))</f>
        <v>94.65</v>
      </c>
      <c r="G9" s="37">
        <f ca="1">E9-G$1</f>
        <v>94.635000000000005</v>
      </c>
      <c r="H9" s="37">
        <f ca="1">F9+G$1</f>
        <v>94.655000000000001</v>
      </c>
      <c r="I9" s="107" cm="1">
        <f t="array" aca="1" ref="I9" ca="1">INDIRECT(ADDRESS($A9,5,,,"trading inputs"))</f>
        <v>1</v>
      </c>
      <c r="J9" s="38">
        <f t="shared" ref="J9" ca="1" si="1">G9*I9</f>
        <v>94.635000000000005</v>
      </c>
      <c r="K9" s="38">
        <f t="shared" ref="K9" ca="1" si="2">-I9*H9</f>
        <v>-94.655000000000001</v>
      </c>
      <c r="L9" s="114"/>
      <c r="M9" s="133"/>
      <c r="N9" s="134">
        <f>V9</f>
        <v>1E-3</v>
      </c>
      <c r="O9" s="135"/>
      <c r="P9" s="133"/>
      <c r="Q9" s="134">
        <f>W9</f>
        <v>1E-3</v>
      </c>
      <c r="R9" s="126" cm="1">
        <f t="array" aca="1" ref="R9" ca="1">INDIRECT(ADDRESS($B9,9,,,"mkt data"))</f>
        <v>0</v>
      </c>
      <c r="S9" s="50">
        <f ca="1">R9/I9</f>
        <v>0</v>
      </c>
      <c r="T9" s="80"/>
      <c r="U9" s="20"/>
      <c r="V9" s="87">
        <v>1E-3</v>
      </c>
      <c r="W9" s="87">
        <v>1E-3</v>
      </c>
      <c r="X9" s="89" t="s">
        <v>134</v>
      </c>
      <c r="Y9" s="20"/>
      <c r="Z9" s="57"/>
      <c r="AP9" s="64"/>
    </row>
    <row r="10" spans="1:52" x14ac:dyDescent="0.25">
      <c r="A10" s="29">
        <f>MATCH(D10,'TRADING INPUTS'!B:B,0)</f>
        <v>14</v>
      </c>
      <c r="B10" s="94">
        <f>MATCH(D10,'MKT DATA'!B:B,0)</f>
        <v>7</v>
      </c>
      <c r="C10" s="30" t="s">
        <v>65</v>
      </c>
      <c r="D10" s="31" t="s">
        <v>51</v>
      </c>
      <c r="E10" s="100" cm="1">
        <f t="array" aca="1" ref="E10" ca="1">INDIRECT(ADDRESS($B10,5,,,"mkt data"))</f>
        <v>56.49</v>
      </c>
      <c r="F10" s="101" cm="1">
        <f t="array" aca="1" ref="F10" ca="1">INDIRECT(ADDRESS($B10,6,,,"mkt data"))</f>
        <v>56.5</v>
      </c>
      <c r="G10" s="32">
        <f ca="1">E10-G$1</f>
        <v>56.484999999999999</v>
      </c>
      <c r="H10" s="32">
        <f ca="1">F10+G$1</f>
        <v>56.505000000000003</v>
      </c>
      <c r="I10" s="106" cm="1">
        <f t="array" aca="1" ref="I10" ca="1">INDIRECT(ADDRESS($A10,5,,,"trading inputs"))</f>
        <v>1.7448035127941128</v>
      </c>
      <c r="J10" s="33">
        <f t="shared" ref="J10:J11" ca="1" si="3">G10*I10</f>
        <v>98.555226420175458</v>
      </c>
      <c r="K10" s="33">
        <f t="shared" ref="K10:K11" ca="1" si="4">-I10*H10</f>
        <v>-98.590122490431355</v>
      </c>
      <c r="L10" s="113">
        <f ca="1">K10+J11</f>
        <v>-7.5122490431354549E-2</v>
      </c>
      <c r="M10" s="130">
        <f ca="1">L10/AVERAGE(J11,-K11)</f>
        <v>-7.6247135682673984E-4</v>
      </c>
      <c r="N10" s="131">
        <f>V10</f>
        <v>1E-3</v>
      </c>
      <c r="O10" s="132">
        <f ca="1">J10+K11</f>
        <v>2.0226420175461612E-2</v>
      </c>
      <c r="P10" s="130">
        <f ca="1">O10/AVERAGE(J11,-K11)</f>
        <v>2.0529226262838479E-4</v>
      </c>
      <c r="Q10" s="131">
        <f>W10</f>
        <v>1E-3</v>
      </c>
      <c r="R10" s="125" cm="1">
        <f t="array" aca="1" ref="R10" ca="1">INDIRECT(ADDRESS($B10,9,,,"mkt data"))</f>
        <v>0</v>
      </c>
      <c r="S10" s="48">
        <f ca="1">R10/I10</f>
        <v>0</v>
      </c>
      <c r="T10" s="74">
        <f ca="1">SUM(S10:S11)</f>
        <v>0</v>
      </c>
      <c r="U10" s="20"/>
      <c r="V10" s="87">
        <v>1E-3</v>
      </c>
      <c r="W10" s="87">
        <v>1E-3</v>
      </c>
      <c r="X10" s="89" t="s">
        <v>133</v>
      </c>
      <c r="Y10" s="20"/>
      <c r="Z10" s="58" t="s">
        <v>128</v>
      </c>
      <c r="AA10" s="61">
        <v>20</v>
      </c>
      <c r="AB10" s="67">
        <v>-1E-3</v>
      </c>
      <c r="AC10" s="67">
        <v>-1E-3</v>
      </c>
      <c r="AD10" s="67">
        <v>1E-3</v>
      </c>
      <c r="AE10" s="67">
        <v>1E-3</v>
      </c>
      <c r="AG10" s="2">
        <v>215.72</v>
      </c>
      <c r="AH10" s="2">
        <v>216.53</v>
      </c>
      <c r="AI10" s="2">
        <v>432.25</v>
      </c>
      <c r="AJ10" s="2">
        <v>-166.5</v>
      </c>
      <c r="AK10" s="2">
        <v>-27.804898000000001</v>
      </c>
      <c r="AL10" s="2">
        <v>237.94510199999999</v>
      </c>
      <c r="AM10" s="2">
        <v>-5974.9691789999997</v>
      </c>
      <c r="AN10" s="2">
        <v>-7.4297009999999997</v>
      </c>
      <c r="AO10" s="2">
        <v>11942.508657</v>
      </c>
      <c r="AP10" s="64">
        <f t="shared" si="0"/>
        <v>5.9712543285000003E-2</v>
      </c>
      <c r="AQ10" s="67">
        <v>3.7469000000000002E-2</v>
      </c>
      <c r="AR10" s="56">
        <v>1.8513809999999999</v>
      </c>
      <c r="AS10" s="2">
        <v>-44.437958000000002</v>
      </c>
      <c r="AT10">
        <v>12</v>
      </c>
      <c r="AU10">
        <v>3</v>
      </c>
      <c r="AV10">
        <v>3</v>
      </c>
      <c r="AW10">
        <v>0</v>
      </c>
      <c r="AX10">
        <v>0</v>
      </c>
      <c r="AY10" s="8">
        <v>33300</v>
      </c>
    </row>
    <row r="11" spans="1:52" ht="15.75" thickBot="1" x14ac:dyDescent="0.3">
      <c r="A11" s="34">
        <f>MATCH(D11,'TRADING INPUTS'!B:B,0)</f>
        <v>15</v>
      </c>
      <c r="B11" s="95">
        <f>MATCH(D11,'MKT DATA'!B:B,0)</f>
        <v>47</v>
      </c>
      <c r="C11" s="35" t="s">
        <v>65</v>
      </c>
      <c r="D11" s="36" t="s">
        <v>65</v>
      </c>
      <c r="E11" s="102" cm="1">
        <f t="array" aca="1" ref="E11" ca="1">INDIRECT(ADDRESS($B11,5,,,"mkt data"))</f>
        <v>98.52</v>
      </c>
      <c r="F11" s="103" cm="1">
        <f t="array" aca="1" ref="F11" ca="1">INDIRECT(ADDRESS($B11,6,,,"mkt data"))</f>
        <v>98.53</v>
      </c>
      <c r="G11" s="37">
        <f ca="1">E11-G$1</f>
        <v>98.515000000000001</v>
      </c>
      <c r="H11" s="37">
        <f ca="1">F11+G$1</f>
        <v>98.534999999999997</v>
      </c>
      <c r="I11" s="107" cm="1">
        <f t="array" aca="1" ref="I11" ca="1">INDIRECT(ADDRESS($A11,5,,,"trading inputs"))</f>
        <v>1</v>
      </c>
      <c r="J11" s="38">
        <f t="shared" ca="1" si="3"/>
        <v>98.515000000000001</v>
      </c>
      <c r="K11" s="38">
        <f t="shared" ca="1" si="4"/>
        <v>-98.534999999999997</v>
      </c>
      <c r="L11" s="114"/>
      <c r="M11" s="133"/>
      <c r="N11" s="134">
        <f>V11</f>
        <v>1E-3</v>
      </c>
      <c r="O11" s="135"/>
      <c r="P11" s="133"/>
      <c r="Q11" s="134">
        <f>W11</f>
        <v>1E-3</v>
      </c>
      <c r="R11" s="126" cm="1">
        <f t="array" aca="1" ref="R11" ca="1">INDIRECT(ADDRESS($B11,9,,,"mkt data"))</f>
        <v>0</v>
      </c>
      <c r="S11" s="50">
        <f ca="1">R11/I11</f>
        <v>0</v>
      </c>
      <c r="T11" s="75"/>
      <c r="U11" s="20"/>
      <c r="V11" s="87">
        <v>1E-3</v>
      </c>
      <c r="W11" s="87">
        <v>1E-3</v>
      </c>
      <c r="X11" s="89" t="s">
        <v>134</v>
      </c>
      <c r="Y11" s="20"/>
      <c r="Z11" s="57"/>
      <c r="AP11" s="64"/>
    </row>
    <row r="12" spans="1:52" x14ac:dyDescent="0.25">
      <c r="A12" s="29">
        <f>MATCH(D12,'TRADING INPUTS'!B:B,0)</f>
        <v>6</v>
      </c>
      <c r="B12" s="94">
        <f>MATCH(D12,'MKT DATA'!B:B,0)</f>
        <v>26</v>
      </c>
      <c r="C12" s="30" t="s">
        <v>61</v>
      </c>
      <c r="D12" s="31" t="s">
        <v>62</v>
      </c>
      <c r="E12" s="100" cm="1">
        <f t="array" aca="1" ref="E12" ca="1">INDIRECT(ADDRESS($B12,5,,,"mkt data"))</f>
        <v>18.39</v>
      </c>
      <c r="F12" s="101" cm="1">
        <f t="array" aca="1" ref="F12" ca="1">INDIRECT(ADDRESS($B12,6,,,"mkt data"))</f>
        <v>18.399999999999999</v>
      </c>
      <c r="G12" s="32">
        <f ca="1">E12-G$1</f>
        <v>18.385000000000002</v>
      </c>
      <c r="H12" s="32">
        <f ca="1">F12+G$1</f>
        <v>18.404999999999998</v>
      </c>
      <c r="I12" s="106" cm="1">
        <f t="array" aca="1" ref="I12" ca="1">INDIRECT(ADDRESS($A12,5,,,"trading inputs"))</f>
        <v>1.647839709023744</v>
      </c>
      <c r="J12" s="33">
        <f ca="1">G12*I12</f>
        <v>30.295533050401534</v>
      </c>
      <c r="K12" s="33">
        <f ca="1">-I12*H12</f>
        <v>-30.328489844582005</v>
      </c>
      <c r="L12" s="113">
        <f ca="1">K12+J13</f>
        <v>0.15651015541799396</v>
      </c>
      <c r="M12" s="130">
        <f ca="1">L12/AVERAGE(J13,-K13)</f>
        <v>5.1323218697489417E-3</v>
      </c>
      <c r="N12" s="131">
        <f>V12</f>
        <v>5.0000000000000001E-3</v>
      </c>
      <c r="O12" s="113">
        <f ca="1">J12+K13</f>
        <v>-0.20946694959846468</v>
      </c>
      <c r="P12" s="130">
        <f ca="1">O12/AVERAGE(J13,-K13)</f>
        <v>-6.8688948876361603E-3</v>
      </c>
      <c r="Q12" s="131">
        <f>W12</f>
        <v>3.0000000000000001E-3</v>
      </c>
      <c r="R12" s="125" cm="1">
        <f t="array" aca="1" ref="R12" ca="1">INDIRECT(ADDRESS($B12,9,,,"mkt data"))</f>
        <v>0</v>
      </c>
      <c r="S12" s="48">
        <f ca="1">R12/I12</f>
        <v>0</v>
      </c>
      <c r="T12" s="49">
        <f ca="1">SUM(S12:S13)</f>
        <v>0</v>
      </c>
      <c r="U12" s="20"/>
      <c r="V12" s="86">
        <v>5.0000000000000001E-3</v>
      </c>
      <c r="W12" s="87">
        <v>3.0000000000000001E-3</v>
      </c>
      <c r="X12" s="89" t="s">
        <v>133</v>
      </c>
      <c r="Y12" s="20"/>
      <c r="Z12" s="58" t="s">
        <v>129</v>
      </c>
      <c r="AA12" s="61">
        <v>20</v>
      </c>
      <c r="AB12" s="67">
        <v>-5.0000000000000001E-3</v>
      </c>
      <c r="AC12" s="67">
        <v>-4.0000000000000001E-3</v>
      </c>
      <c r="AD12" s="67">
        <v>2E-3</v>
      </c>
      <c r="AE12" s="67">
        <v>3.0000000000000001E-3</v>
      </c>
      <c r="AG12" s="2">
        <v>791.67</v>
      </c>
      <c r="AH12" s="2">
        <v>1280.75</v>
      </c>
      <c r="AI12" s="2">
        <v>2072.42</v>
      </c>
      <c r="AJ12" s="2">
        <v>-1162.53</v>
      </c>
      <c r="AK12" s="2">
        <v>-178.32597100000001</v>
      </c>
      <c r="AL12" s="2">
        <v>731.564029</v>
      </c>
      <c r="AM12" s="2">
        <v>-30686.509328</v>
      </c>
      <c r="AN12" s="2">
        <v>-180.603433</v>
      </c>
      <c r="AO12" s="2">
        <v>61192.415223999997</v>
      </c>
      <c r="AP12" s="64">
        <f t="shared" si="0"/>
        <v>0.30596207611999998</v>
      </c>
      <c r="AQ12" s="67">
        <v>2.2483E-2</v>
      </c>
      <c r="AR12" s="56">
        <v>0.63427599999999995</v>
      </c>
      <c r="AS12" s="2">
        <v>-1125.6526980000001</v>
      </c>
      <c r="AT12">
        <v>27</v>
      </c>
      <c r="AU12">
        <v>6</v>
      </c>
      <c r="AV12">
        <v>8</v>
      </c>
      <c r="AW12">
        <v>0</v>
      </c>
      <c r="AX12">
        <v>0</v>
      </c>
      <c r="AY12" s="8">
        <v>232506</v>
      </c>
    </row>
    <row r="13" spans="1:52" ht="15.75" thickBot="1" x14ac:dyDescent="0.3">
      <c r="A13" s="34">
        <f>MATCH(D13,'TRADING INPUTS'!B:B,0)</f>
        <v>7</v>
      </c>
      <c r="B13" s="95">
        <f>MATCH(D13,'MKT DATA'!B:B,0)</f>
        <v>25</v>
      </c>
      <c r="C13" s="35" t="s">
        <v>61</v>
      </c>
      <c r="D13" s="36" t="s">
        <v>61</v>
      </c>
      <c r="E13" s="102" cm="1">
        <f t="array" aca="1" ref="E13" ca="1">INDIRECT(ADDRESS($B13,5,,,"mkt data"))</f>
        <v>30.49</v>
      </c>
      <c r="F13" s="103" cm="1">
        <f t="array" aca="1" ref="F13" ca="1">INDIRECT(ADDRESS($B13,6,,,"mkt data"))</f>
        <v>30.5</v>
      </c>
      <c r="G13" s="37">
        <f ca="1">E13-G$1</f>
        <v>30.484999999999999</v>
      </c>
      <c r="H13" s="37">
        <f ca="1">F13+G$1</f>
        <v>30.504999999999999</v>
      </c>
      <c r="I13" s="107" cm="1">
        <f t="array" aca="1" ref="I13" ca="1">INDIRECT(ADDRESS($A13,5,,,"trading inputs"))</f>
        <v>1</v>
      </c>
      <c r="J13" s="38">
        <f t="shared" ref="J13" ca="1" si="5">G13*I13</f>
        <v>30.484999999999999</v>
      </c>
      <c r="K13" s="38">
        <f t="shared" ref="K13" ca="1" si="6">-I13*H13</f>
        <v>-30.504999999999999</v>
      </c>
      <c r="L13" s="114"/>
      <c r="M13" s="133"/>
      <c r="N13" s="134">
        <f>V13</f>
        <v>4.0000000000000001E-3</v>
      </c>
      <c r="O13" s="114"/>
      <c r="P13" s="133"/>
      <c r="Q13" s="134">
        <f>W13</f>
        <v>2E-3</v>
      </c>
      <c r="R13" s="126" cm="1">
        <f t="array" aca="1" ref="R13" ca="1">INDIRECT(ADDRESS($B13,9,,,"mkt data"))</f>
        <v>0</v>
      </c>
      <c r="S13" s="50">
        <f ca="1">R13/I13</f>
        <v>0</v>
      </c>
      <c r="T13" s="51"/>
      <c r="U13" s="20"/>
      <c r="V13" s="87">
        <v>4.0000000000000001E-3</v>
      </c>
      <c r="W13" s="87">
        <v>2E-3</v>
      </c>
      <c r="X13" s="89" t="s">
        <v>134</v>
      </c>
      <c r="Y13" s="20"/>
      <c r="Z13" s="57"/>
      <c r="AP13" s="64"/>
    </row>
    <row r="14" spans="1:52" x14ac:dyDescent="0.25">
      <c r="A14" s="29">
        <f>MATCH(D14,'TRADING INPUTS'!B:B,0)</f>
        <v>16</v>
      </c>
      <c r="B14" s="94">
        <f>MATCH(D14,'MKT DATA'!B:B,0)</f>
        <v>27</v>
      </c>
      <c r="C14" s="30" t="s">
        <v>64</v>
      </c>
      <c r="D14" s="31" t="s">
        <v>63</v>
      </c>
      <c r="E14" s="100" cm="1">
        <f t="array" aca="1" ref="E14" ca="1">INDIRECT(ADDRESS($B14,5,,,"mkt data"))</f>
        <v>24.01</v>
      </c>
      <c r="F14" s="101" cm="1">
        <f t="array" aca="1" ref="F14" ca="1">INDIRECT(ADDRESS($B14,6,,,"mkt data"))</f>
        <v>24.02</v>
      </c>
      <c r="G14" s="32">
        <f ca="1">E14-G$1</f>
        <v>24.005000000000003</v>
      </c>
      <c r="H14" s="32">
        <f ca="1">F14+G$1</f>
        <v>24.024999999999999</v>
      </c>
      <c r="I14" s="106" cm="1">
        <f t="array" aca="1" ref="I14" ca="1">INDIRECT(ADDRESS($A14,5,,,"trading inputs"))</f>
        <v>2.7966782574473563</v>
      </c>
      <c r="J14" s="33">
        <f t="shared" ref="J14:J15" ca="1" si="7">G14*I14</f>
        <v>67.134261570023796</v>
      </c>
      <c r="K14" s="33">
        <f t="shared" ref="K14:K15" ca="1" si="8">-I14*H14</f>
        <v>-67.190195135172729</v>
      </c>
      <c r="L14" s="113">
        <f ca="1">K14+J15</f>
        <v>-0.14519513517272742</v>
      </c>
      <c r="M14" s="130">
        <f ca="1">L14/AVERAGE(J15,-K15)</f>
        <v>-2.165314073115016E-3</v>
      </c>
      <c r="N14" s="131">
        <f>V14</f>
        <v>5.0000000000000001E-3</v>
      </c>
      <c r="O14" s="132">
        <f ca="1">J14+K15</f>
        <v>6.9261570023797958E-2</v>
      </c>
      <c r="P14" s="130">
        <f ca="1">O14/AVERAGE(J15,-K15)</f>
        <v>1.0329068678517329E-3</v>
      </c>
      <c r="Q14" s="131">
        <f>W14</f>
        <v>2E-3</v>
      </c>
      <c r="R14" s="125" cm="1">
        <f t="array" aca="1" ref="R14" ca="1">INDIRECT(ADDRESS($B14,9,,,"mkt data"))</f>
        <v>0</v>
      </c>
      <c r="S14" s="48">
        <f ca="1">R14/I14</f>
        <v>0</v>
      </c>
      <c r="T14" s="74">
        <f ca="1">SUM(S14:S15)</f>
        <v>0</v>
      </c>
      <c r="U14" s="20"/>
      <c r="V14" s="86">
        <v>5.0000000000000001E-3</v>
      </c>
      <c r="W14" s="87">
        <v>2E-3</v>
      </c>
      <c r="X14" s="89" t="s">
        <v>133</v>
      </c>
      <c r="Y14" s="20"/>
      <c r="Z14" s="58" t="s">
        <v>130</v>
      </c>
      <c r="AA14" s="61">
        <v>20</v>
      </c>
      <c r="AB14" s="67">
        <v>-5.0000000000000001E-3</v>
      </c>
      <c r="AC14" s="67">
        <v>-3.0000000000000001E-3</v>
      </c>
      <c r="AD14" s="67">
        <v>1E-3</v>
      </c>
      <c r="AE14" s="67">
        <v>2E-3</v>
      </c>
      <c r="AG14" s="2">
        <v>322.83999999999997</v>
      </c>
      <c r="AH14" s="2">
        <v>1626.57</v>
      </c>
      <c r="AI14" s="2">
        <v>1949.41</v>
      </c>
      <c r="AJ14" s="2">
        <v>-621.69500000000005</v>
      </c>
      <c r="AK14" s="2">
        <v>-158.47905800000001</v>
      </c>
      <c r="AL14" s="2">
        <v>1169.235942</v>
      </c>
      <c r="AM14" s="2">
        <v>-29134.976268999999</v>
      </c>
      <c r="AN14" s="2">
        <v>-143.91096999999999</v>
      </c>
      <c r="AO14" s="2">
        <v>58126.041567</v>
      </c>
      <c r="AP14" s="64">
        <f t="shared" si="0"/>
        <v>0.29063020783499999</v>
      </c>
      <c r="AQ14" s="67">
        <v>3.7829000000000002E-2</v>
      </c>
      <c r="AR14" s="56">
        <v>1.6052869999999999</v>
      </c>
      <c r="AS14" s="2">
        <v>-990.74087399999996</v>
      </c>
      <c r="AT14">
        <v>21</v>
      </c>
      <c r="AU14">
        <v>4</v>
      </c>
      <c r="AV14">
        <v>7</v>
      </c>
      <c r="AW14">
        <v>0</v>
      </c>
      <c r="AX14">
        <v>0</v>
      </c>
      <c r="AY14" s="8">
        <v>124339</v>
      </c>
    </row>
    <row r="15" spans="1:52" ht="15.75" thickBot="1" x14ac:dyDescent="0.3">
      <c r="A15" s="34">
        <f>MATCH(D15,'TRADING INPUTS'!B:B,0)</f>
        <v>17</v>
      </c>
      <c r="B15" s="95">
        <f>MATCH(D15,'MKT DATA'!B:B,0)</f>
        <v>41</v>
      </c>
      <c r="C15" s="35" t="s">
        <v>64</v>
      </c>
      <c r="D15" s="36" t="s">
        <v>64</v>
      </c>
      <c r="E15" s="102" cm="1">
        <f t="array" aca="1" ref="E15" ca="1">INDIRECT(ADDRESS($B15,5,,,"mkt data"))</f>
        <v>67.05</v>
      </c>
      <c r="F15" s="103" cm="1">
        <f t="array" aca="1" ref="F15" ca="1">INDIRECT(ADDRESS($B15,6,,,"mkt data"))</f>
        <v>67.06</v>
      </c>
      <c r="G15" s="37">
        <f ca="1">E15-G$1</f>
        <v>67.045000000000002</v>
      </c>
      <c r="H15" s="37">
        <f ca="1">F15+G$1</f>
        <v>67.064999999999998</v>
      </c>
      <c r="I15" s="107" cm="1">
        <f t="array" aca="1" ref="I15" ca="1">INDIRECT(ADDRESS($A15,5,,,"trading inputs"))</f>
        <v>1</v>
      </c>
      <c r="J15" s="38">
        <f t="shared" ca="1" si="7"/>
        <v>67.045000000000002</v>
      </c>
      <c r="K15" s="38">
        <f t="shared" ca="1" si="8"/>
        <v>-67.064999999999998</v>
      </c>
      <c r="L15" s="114"/>
      <c r="M15" s="133"/>
      <c r="N15" s="134">
        <f>V15</f>
        <v>3.0000000000000001E-3</v>
      </c>
      <c r="O15" s="135"/>
      <c r="P15" s="133"/>
      <c r="Q15" s="134">
        <f>W15</f>
        <v>1E-3</v>
      </c>
      <c r="R15" s="126" cm="1">
        <f t="array" aca="1" ref="R15" ca="1">INDIRECT(ADDRESS($B15,9,,,"mkt data"))</f>
        <v>0</v>
      </c>
      <c r="S15" s="50">
        <f ca="1">R15/I15</f>
        <v>0</v>
      </c>
      <c r="T15" s="75"/>
      <c r="U15" s="20"/>
      <c r="V15" s="87">
        <v>3.0000000000000001E-3</v>
      </c>
      <c r="W15" s="87">
        <v>1E-3</v>
      </c>
      <c r="X15" s="89" t="s">
        <v>134</v>
      </c>
      <c r="Y15" s="20"/>
      <c r="Z15" s="57"/>
    </row>
    <row r="16" spans="1:52" x14ac:dyDescent="0.25">
      <c r="A16" s="29">
        <f>MATCH(D16,'TRADING INPUTS'!B:B,0)</f>
        <v>10</v>
      </c>
      <c r="B16" s="94">
        <f>MATCH(D16,'MKT DATA'!B:B,0)</f>
        <v>5</v>
      </c>
      <c r="C16" s="30" t="s">
        <v>56</v>
      </c>
      <c r="D16" s="31" t="s">
        <v>49</v>
      </c>
      <c r="E16" s="100" cm="1">
        <f t="array" aca="1" ref="E16" ca="1">INDIRECT(ADDRESS($B16,5,,,"mkt data"))</f>
        <v>47.63</v>
      </c>
      <c r="F16" s="101" cm="1">
        <f t="array" aca="1" ref="F16" ca="1">INDIRECT(ADDRESS($B16,6,,,"mkt data"))</f>
        <v>47.64</v>
      </c>
      <c r="G16" s="32">
        <f ca="1">E16-G$1</f>
        <v>47.625</v>
      </c>
      <c r="H16" s="32">
        <f ca="1">F16+G$1</f>
        <v>47.645000000000003</v>
      </c>
      <c r="I16" s="106" cm="1">
        <f t="array" aca="1" ref="I16" ca="1">INDIRECT(ADDRESS($A16,5,,,"trading inputs"))</f>
        <v>1.0429715511399629</v>
      </c>
      <c r="J16" s="33">
        <f t="shared" ref="J16" ca="1" si="9">G16*I16</f>
        <v>49.671520123040729</v>
      </c>
      <c r="K16" s="33">
        <f t="shared" ref="K16" ca="1" si="10">-I16*H16</f>
        <v>-49.692379554063535</v>
      </c>
      <c r="L16" s="113">
        <f ca="1">K16+J17</f>
        <v>7.2620445936465217E-2</v>
      </c>
      <c r="M16" s="130">
        <f ca="1">L16/AVERAGE(J17,-K17)</f>
        <v>1.4589743030932237E-3</v>
      </c>
      <c r="N16" s="131">
        <f>V16</f>
        <v>0.01</v>
      </c>
      <c r="O16" s="132">
        <f ca="1">J16+K17</f>
        <v>-0.11347987695927486</v>
      </c>
      <c r="P16" s="130">
        <f ca="1">O16/AVERAGE(J17,-K17)</f>
        <v>-2.2798568952139596E-3</v>
      </c>
      <c r="Q16" s="131">
        <f>W16</f>
        <v>0.01</v>
      </c>
      <c r="R16" s="125" cm="1">
        <f t="array" aca="1" ref="R16" ca="1">INDIRECT(ADDRESS($B16,9,,,"mkt data"))</f>
        <v>0</v>
      </c>
      <c r="S16" s="48">
        <f ca="1">R16/I16</f>
        <v>0</v>
      </c>
      <c r="T16" s="77">
        <f ca="1">SUM(S16:S17)</f>
        <v>0</v>
      </c>
      <c r="U16" s="20"/>
      <c r="V16" s="86">
        <v>0.01</v>
      </c>
      <c r="W16" s="87">
        <v>0.01</v>
      </c>
      <c r="X16" s="89" t="s">
        <v>133</v>
      </c>
      <c r="Y16" s="20"/>
      <c r="Z16" s="57"/>
    </row>
    <row r="17" spans="1:26" ht="15.75" thickBot="1" x14ac:dyDescent="0.3">
      <c r="A17" s="34">
        <f>MATCH(D17,'TRADING INPUTS'!B:B,0)</f>
        <v>11</v>
      </c>
      <c r="B17" s="95">
        <f>MATCH(D17,'MKT DATA'!B:B,0)</f>
        <v>15</v>
      </c>
      <c r="C17" s="35" t="s">
        <v>56</v>
      </c>
      <c r="D17" s="36" t="s">
        <v>56</v>
      </c>
      <c r="E17" s="102" cm="1">
        <f t="array" aca="1" ref="E17" ca="1">INDIRECT(ADDRESS($B17,5,,,"mkt data"))</f>
        <v>49.77</v>
      </c>
      <c r="F17" s="103" cm="1">
        <f t="array" aca="1" ref="F17" ca="1">INDIRECT(ADDRESS($B17,6,,,"mkt data"))</f>
        <v>49.78</v>
      </c>
      <c r="G17" s="37">
        <f ca="1">E17-G$1</f>
        <v>49.765000000000001</v>
      </c>
      <c r="H17" s="37">
        <f ca="1">F17+G$1</f>
        <v>49.785000000000004</v>
      </c>
      <c r="I17" s="107" cm="1">
        <f t="array" aca="1" ref="I17" ca="1">INDIRECT(ADDRESS($A17,5,,,"trading inputs"))</f>
        <v>1</v>
      </c>
      <c r="J17" s="38">
        <f ca="1">G17*I17</f>
        <v>49.765000000000001</v>
      </c>
      <c r="K17" s="38">
        <f ca="1">-I17*H17</f>
        <v>-49.785000000000004</v>
      </c>
      <c r="L17" s="114"/>
      <c r="M17" s="133"/>
      <c r="N17" s="134">
        <f>V17</f>
        <v>0.01</v>
      </c>
      <c r="O17" s="135"/>
      <c r="P17" s="133"/>
      <c r="Q17" s="134">
        <f>W17</f>
        <v>0.01</v>
      </c>
      <c r="R17" s="126" cm="1">
        <f t="array" aca="1" ref="R17" ca="1">INDIRECT(ADDRESS($B17,9,,,"mkt data"))</f>
        <v>0</v>
      </c>
      <c r="S17" s="50">
        <f ca="1">R17/I17</f>
        <v>0</v>
      </c>
      <c r="T17" s="78"/>
      <c r="U17" s="20"/>
      <c r="V17" s="87">
        <v>0.01</v>
      </c>
      <c r="W17" s="87">
        <v>0.01</v>
      </c>
      <c r="X17" s="89" t="s">
        <v>134</v>
      </c>
      <c r="Y17" s="20"/>
      <c r="Z17" s="57"/>
    </row>
    <row r="18" spans="1:26" x14ac:dyDescent="0.25">
      <c r="A18" s="29">
        <f>MATCH(D18,'TRADING INPUTS'!B:B,0)</f>
        <v>4</v>
      </c>
      <c r="B18" s="94">
        <f>MATCH(D18,'MKT DATA'!B:B,0)</f>
        <v>12</v>
      </c>
      <c r="C18" s="30" t="s">
        <v>48</v>
      </c>
      <c r="D18" s="31" t="s">
        <v>55</v>
      </c>
      <c r="E18" s="100" cm="1">
        <f t="array" aca="1" ref="E18" ca="1">INDIRECT(ADDRESS($B18,5,,,"mkt data"))</f>
        <v>26.98</v>
      </c>
      <c r="F18" s="101" cm="1">
        <f t="array" aca="1" ref="F18" ca="1">INDIRECT(ADDRESS($B18,6,,,"mkt data"))</f>
        <v>26.99</v>
      </c>
      <c r="G18" s="32">
        <f ca="1">E18-G$1</f>
        <v>26.975000000000001</v>
      </c>
      <c r="H18" s="32">
        <f ca="1">F18+G$1</f>
        <v>26.994999999999997</v>
      </c>
      <c r="I18" s="106" cm="1">
        <f t="array" aca="1" ref="I18" ca="1">INDIRECT(ADDRESS($A18,5,,,"trading inputs"))</f>
        <v>1.0736852299969759</v>
      </c>
      <c r="J18" s="33">
        <f ca="1">G18*I18</f>
        <v>28.962659079168425</v>
      </c>
      <c r="K18" s="33">
        <f ca="1">-I18*H18</f>
        <v>-28.984132783768363</v>
      </c>
      <c r="L18" s="113">
        <f ca="1">K18+J19</f>
        <v>-1.9132783768363026E-2</v>
      </c>
      <c r="M18" s="130">
        <f ca="1">L18/AVERAGE(J19,-K19)</f>
        <v>-6.6032040615575589E-4</v>
      </c>
      <c r="N18" s="131">
        <f>V18</f>
        <v>0.01</v>
      </c>
      <c r="O18" s="113">
        <f ca="1">J18+K19</f>
        <v>-2.2340920831574351E-2</v>
      </c>
      <c r="P18" s="130">
        <f ca="1">O18/AVERAGE(J19,-K19)</f>
        <v>-7.7104127115010701E-4</v>
      </c>
      <c r="Q18" s="131">
        <f>W18</f>
        <v>0.01</v>
      </c>
      <c r="R18" s="125" cm="1">
        <f t="array" aca="1" ref="R18" ca="1">INDIRECT(ADDRESS($B18,9,,,"mkt data"))</f>
        <v>0</v>
      </c>
      <c r="S18" s="48">
        <f ca="1">R18/I18</f>
        <v>0</v>
      </c>
      <c r="T18" s="49">
        <f ca="1">SUM(S18:S19)</f>
        <v>0</v>
      </c>
      <c r="U18" s="20"/>
      <c r="V18" s="86">
        <v>0.01</v>
      </c>
      <c r="W18" s="87">
        <v>0.01</v>
      </c>
      <c r="X18" s="89" t="s">
        <v>133</v>
      </c>
      <c r="Y18" s="20"/>
    </row>
    <row r="19" spans="1:26" ht="15.75" thickBot="1" x14ac:dyDescent="0.3">
      <c r="A19" s="34">
        <f>MATCH(D19,'TRADING INPUTS'!B:B,0)</f>
        <v>5</v>
      </c>
      <c r="B19" s="95">
        <f>MATCH(D19,'MKT DATA'!B:B,0)</f>
        <v>3</v>
      </c>
      <c r="C19" s="35" t="s">
        <v>48</v>
      </c>
      <c r="D19" s="36" t="s">
        <v>48</v>
      </c>
      <c r="E19" s="102" cm="1">
        <f t="array" aca="1" ref="E19" ca="1">INDIRECT(ADDRESS($B19,5,,,"mkt data"))</f>
        <v>28.97</v>
      </c>
      <c r="F19" s="103" cm="1">
        <f t="array" aca="1" ref="F19" ca="1">INDIRECT(ADDRESS($B19,6,,,"mkt data"))</f>
        <v>28.98</v>
      </c>
      <c r="G19" s="37">
        <f ca="1">E19-G$1</f>
        <v>28.965</v>
      </c>
      <c r="H19" s="37">
        <f ca="1">F19+G$1</f>
        <v>28.984999999999999</v>
      </c>
      <c r="I19" s="107" cm="1">
        <f t="array" aca="1" ref="I19" ca="1">INDIRECT(ADDRESS($A19,5,,,"trading inputs"))</f>
        <v>1</v>
      </c>
      <c r="J19" s="38">
        <f ca="1">G19*I19</f>
        <v>28.965</v>
      </c>
      <c r="K19" s="38">
        <f ca="1">-I19*H19</f>
        <v>-28.984999999999999</v>
      </c>
      <c r="L19" s="114"/>
      <c r="M19" s="133"/>
      <c r="N19" s="134">
        <f>V19</f>
        <v>0.01</v>
      </c>
      <c r="O19" s="114"/>
      <c r="P19" s="133"/>
      <c r="Q19" s="134">
        <f>W19</f>
        <v>0.01</v>
      </c>
      <c r="R19" s="126" cm="1">
        <f t="array" aca="1" ref="R19" ca="1">INDIRECT(ADDRESS($B19,9,,,"mkt data"))</f>
        <v>0</v>
      </c>
      <c r="S19" s="50">
        <f ca="1">R19/I19</f>
        <v>0</v>
      </c>
      <c r="T19" s="51"/>
      <c r="U19" s="20"/>
      <c r="V19" s="87">
        <v>0.01</v>
      </c>
      <c r="W19" s="87">
        <v>0.01</v>
      </c>
      <c r="X19" s="89" t="s">
        <v>134</v>
      </c>
      <c r="Y19" s="20"/>
    </row>
    <row r="20" spans="1:26" x14ac:dyDescent="0.25">
      <c r="A20" s="73" t="str">
        <f>'MKT DATA'!J2</f>
        <v>2026-08-21_13-03-26</v>
      </c>
      <c r="B20" s="73"/>
      <c r="C20" s="73"/>
      <c r="U20" s="20"/>
      <c r="W20" s="20"/>
      <c r="X20" s="20"/>
      <c r="Y20" s="20"/>
    </row>
    <row r="21" spans="1:26" x14ac:dyDescent="0.25">
      <c r="U21" s="20"/>
      <c r="V21" s="20"/>
      <c r="W21" s="20"/>
      <c r="X21" s="20"/>
      <c r="Y21" s="20"/>
    </row>
    <row r="22" spans="1:26" x14ac:dyDescent="0.25">
      <c r="U22" s="20"/>
      <c r="X22" s="82"/>
      <c r="Y22" s="20"/>
    </row>
    <row r="23" spans="1:26" x14ac:dyDescent="0.25">
      <c r="U23" s="20"/>
      <c r="X23" s="82"/>
      <c r="Y23" s="20"/>
    </row>
    <row r="24" spans="1:26" x14ac:dyDescent="0.25">
      <c r="U24" s="20"/>
      <c r="X24" s="20"/>
      <c r="Y24" s="20"/>
    </row>
    <row r="25" spans="1:26" x14ac:dyDescent="0.25">
      <c r="U25" s="20"/>
      <c r="X25" s="82"/>
      <c r="Y25" s="20"/>
    </row>
    <row r="26" spans="1:26" x14ac:dyDescent="0.25">
      <c r="X26" s="82"/>
    </row>
    <row r="28" spans="1:26" x14ac:dyDescent="0.25">
      <c r="X28" s="82"/>
    </row>
    <row r="29" spans="1:26" x14ac:dyDescent="0.25">
      <c r="E29"/>
      <c r="F29"/>
      <c r="G29" s="18"/>
      <c r="H29" s="18"/>
      <c r="I29" s="16"/>
      <c r="J29"/>
      <c r="K29"/>
      <c r="L29"/>
      <c r="X29" s="82"/>
    </row>
    <row r="31" spans="1:26" x14ac:dyDescent="0.25">
      <c r="X31" s="82"/>
    </row>
    <row r="32" spans="1:26" x14ac:dyDescent="0.25">
      <c r="X32" s="82"/>
    </row>
    <row r="34" spans="24:24" x14ac:dyDescent="0.25">
      <c r="X34" s="82"/>
    </row>
    <row r="35" spans="24:24" x14ac:dyDescent="0.25">
      <c r="X35" s="82"/>
    </row>
    <row r="37" spans="24:24" x14ac:dyDescent="0.25">
      <c r="X37" s="82"/>
    </row>
    <row r="38" spans="24:24" x14ac:dyDescent="0.25">
      <c r="X38" s="82"/>
    </row>
    <row r="40" spans="24:24" x14ac:dyDescent="0.25">
      <c r="X40" s="82"/>
    </row>
    <row r="41" spans="24:24" x14ac:dyDescent="0.25">
      <c r="X41" s="82"/>
    </row>
    <row r="43" spans="24:24" x14ac:dyDescent="0.25">
      <c r="X43" s="82"/>
    </row>
    <row r="44" spans="24:24" x14ac:dyDescent="0.25">
      <c r="X44" s="82"/>
    </row>
  </sheetData>
  <mergeCells count="47">
    <mergeCell ref="O18:O19"/>
    <mergeCell ref="P18:P19"/>
    <mergeCell ref="L18:L19"/>
    <mergeCell ref="M18:M19"/>
    <mergeCell ref="V1:W1"/>
    <mergeCell ref="L1:N1"/>
    <mergeCell ref="O1:Q1"/>
    <mergeCell ref="L4:L5"/>
    <mergeCell ref="L6:L7"/>
    <mergeCell ref="L8:L9"/>
    <mergeCell ref="L10:L11"/>
    <mergeCell ref="L14:L15"/>
    <mergeCell ref="L16:L17"/>
    <mergeCell ref="L12:L13"/>
    <mergeCell ref="M12:M13"/>
    <mergeCell ref="O12:O13"/>
    <mergeCell ref="P4:P5"/>
    <mergeCell ref="M10:M11"/>
    <mergeCell ref="O10:O11"/>
    <mergeCell ref="P10:P11"/>
    <mergeCell ref="P6:P7"/>
    <mergeCell ref="P16:P17"/>
    <mergeCell ref="M8:M9"/>
    <mergeCell ref="O8:O9"/>
    <mergeCell ref="P8:P9"/>
    <mergeCell ref="M16:M17"/>
    <mergeCell ref="O16:O17"/>
    <mergeCell ref="P12:P13"/>
    <mergeCell ref="M6:M7"/>
    <mergeCell ref="O6:O7"/>
    <mergeCell ref="G1:H1"/>
    <mergeCell ref="M4:M5"/>
    <mergeCell ref="O4:O5"/>
    <mergeCell ref="A20:C20"/>
    <mergeCell ref="T14:T15"/>
    <mergeCell ref="M14:M15"/>
    <mergeCell ref="O14:O15"/>
    <mergeCell ref="P14:P15"/>
    <mergeCell ref="T6:T7"/>
    <mergeCell ref="T10:T11"/>
    <mergeCell ref="R1:T1"/>
    <mergeCell ref="T4:T5"/>
    <mergeCell ref="T8:T9"/>
    <mergeCell ref="T16:T17"/>
    <mergeCell ref="A1:B1"/>
    <mergeCell ref="E1:F1"/>
    <mergeCell ref="J1:K1"/>
  </mergeCells>
  <conditionalFormatting sqref="J14:J15">
    <cfRule type="top10" dxfId="55" priority="65" rank="1"/>
  </conditionalFormatting>
  <conditionalFormatting sqref="K14:K15">
    <cfRule type="top10" dxfId="47" priority="66" rank="1"/>
  </conditionalFormatting>
  <conditionalFormatting sqref="N4">
    <cfRule type="cellIs" dxfId="46" priority="46" operator="lessThan">
      <formula>M4</formula>
    </cfRule>
  </conditionalFormatting>
  <conditionalFormatting sqref="N5">
    <cfRule type="cellIs" dxfId="45" priority="45" operator="lessThan">
      <formula>M4</formula>
    </cfRule>
  </conditionalFormatting>
  <conditionalFormatting sqref="N6">
    <cfRule type="cellIs" dxfId="44" priority="44" operator="lessThan">
      <formula>M6</formula>
    </cfRule>
  </conditionalFormatting>
  <conditionalFormatting sqref="N7">
    <cfRule type="cellIs" dxfId="43" priority="43" operator="lessThan">
      <formula>M6</formula>
    </cfRule>
  </conditionalFormatting>
  <conditionalFormatting sqref="N8">
    <cfRule type="cellIs" dxfId="42" priority="42" operator="lessThan">
      <formula>M8</formula>
    </cfRule>
  </conditionalFormatting>
  <conditionalFormatting sqref="N9">
    <cfRule type="cellIs" dxfId="41" priority="41" operator="lessThan">
      <formula>M8</formula>
    </cfRule>
  </conditionalFormatting>
  <conditionalFormatting sqref="N10">
    <cfRule type="cellIs" dxfId="40" priority="40" operator="lessThan">
      <formula>M10</formula>
    </cfRule>
  </conditionalFormatting>
  <conditionalFormatting sqref="N11">
    <cfRule type="cellIs" dxfId="39" priority="39" operator="lessThan">
      <formula>M10</formula>
    </cfRule>
  </conditionalFormatting>
  <conditionalFormatting sqref="N12">
    <cfRule type="cellIs" dxfId="38" priority="38" operator="lessThan">
      <formula>M12</formula>
    </cfRule>
  </conditionalFormatting>
  <conditionalFormatting sqref="N13">
    <cfRule type="cellIs" dxfId="37" priority="37" operator="lessThan">
      <formula>M12</formula>
    </cfRule>
  </conditionalFormatting>
  <conditionalFormatting sqref="N14">
    <cfRule type="cellIs" dxfId="36" priority="36" operator="lessThan">
      <formula>M14</formula>
    </cfRule>
  </conditionalFormatting>
  <conditionalFormatting sqref="N15">
    <cfRule type="cellIs" dxfId="35" priority="35" operator="lessThan">
      <formula>M14</formula>
    </cfRule>
  </conditionalFormatting>
  <conditionalFormatting sqref="N16">
    <cfRule type="cellIs" dxfId="34" priority="34" operator="lessThan">
      <formula>M16</formula>
    </cfRule>
  </conditionalFormatting>
  <conditionalFormatting sqref="N17">
    <cfRule type="cellIs" dxfId="33" priority="33" operator="lessThan">
      <formula>M16</formula>
    </cfRule>
  </conditionalFormatting>
  <conditionalFormatting sqref="N18">
    <cfRule type="cellIs" dxfId="32" priority="32" operator="lessThan">
      <formula>M18</formula>
    </cfRule>
  </conditionalFormatting>
  <conditionalFormatting sqref="N19">
    <cfRule type="cellIs" dxfId="31" priority="31" operator="lessThan">
      <formula>M18</formula>
    </cfRule>
  </conditionalFormatting>
  <conditionalFormatting sqref="Q4">
    <cfRule type="cellIs" dxfId="30" priority="30" operator="lessThan">
      <formula>P4</formula>
    </cfRule>
  </conditionalFormatting>
  <conditionalFormatting sqref="Q5">
    <cfRule type="cellIs" dxfId="29" priority="29" operator="lessThan">
      <formula>P4</formula>
    </cfRule>
  </conditionalFormatting>
  <conditionalFormatting sqref="Q6">
    <cfRule type="cellIs" dxfId="28" priority="28" operator="lessThan">
      <formula>P6</formula>
    </cfRule>
  </conditionalFormatting>
  <conditionalFormatting sqref="Q7">
    <cfRule type="cellIs" dxfId="27" priority="27" operator="lessThan">
      <formula>P6</formula>
    </cfRule>
  </conditionalFormatting>
  <conditionalFormatting sqref="Q8">
    <cfRule type="cellIs" dxfId="26" priority="26" operator="lessThan">
      <formula>P8</formula>
    </cfRule>
  </conditionalFormatting>
  <conditionalFormatting sqref="Q9">
    <cfRule type="cellIs" dxfId="25" priority="25" operator="lessThan">
      <formula>P8</formula>
    </cfRule>
  </conditionalFormatting>
  <conditionalFormatting sqref="Q10">
    <cfRule type="cellIs" dxfId="24" priority="24" operator="lessThan">
      <formula>P10</formula>
    </cfRule>
  </conditionalFormatting>
  <conditionalFormatting sqref="Q11">
    <cfRule type="cellIs" dxfId="23" priority="23" operator="lessThan">
      <formula>P10</formula>
    </cfRule>
  </conditionalFormatting>
  <conditionalFormatting sqref="Q12">
    <cfRule type="cellIs" dxfId="22" priority="22" operator="lessThan">
      <formula>P12</formula>
    </cfRule>
  </conditionalFormatting>
  <conditionalFormatting sqref="Q13">
    <cfRule type="cellIs" dxfId="21" priority="21" operator="lessThan">
      <formula>P12</formula>
    </cfRule>
  </conditionalFormatting>
  <conditionalFormatting sqref="Q14">
    <cfRule type="cellIs" dxfId="20" priority="20" operator="lessThan">
      <formula>P14</formula>
    </cfRule>
  </conditionalFormatting>
  <conditionalFormatting sqref="Q15">
    <cfRule type="cellIs" dxfId="19" priority="19" operator="lessThan">
      <formula>P14</formula>
    </cfRule>
  </conditionalFormatting>
  <conditionalFormatting sqref="Q16">
    <cfRule type="cellIs" dxfId="18" priority="18" operator="lessThan">
      <formula>P16</formula>
    </cfRule>
  </conditionalFormatting>
  <conditionalFormatting sqref="Q17">
    <cfRule type="cellIs" dxfId="17" priority="17" operator="lessThan">
      <formula>P16</formula>
    </cfRule>
  </conditionalFormatting>
  <conditionalFormatting sqref="Q18">
    <cfRule type="cellIs" dxfId="16" priority="16" operator="lessThan">
      <formula>P18</formula>
    </cfRule>
  </conditionalFormatting>
  <conditionalFormatting sqref="Q19">
    <cfRule type="cellIs" dxfId="15" priority="15" operator="lessThan">
      <formula>P18</formula>
    </cfRule>
  </conditionalFormatting>
  <conditionalFormatting sqref="J16:J17">
    <cfRule type="top10" dxfId="14" priority="13" rank="1"/>
  </conditionalFormatting>
  <conditionalFormatting sqref="K16:K17">
    <cfRule type="top10" dxfId="13" priority="14" rank="1"/>
  </conditionalFormatting>
  <conditionalFormatting sqref="J18:J19">
    <cfRule type="top10" dxfId="12" priority="11" rank="1"/>
  </conditionalFormatting>
  <conditionalFormatting sqref="K18:K19">
    <cfRule type="top10" dxfId="11" priority="12" rank="1"/>
  </conditionalFormatting>
  <conditionalFormatting sqref="J12:J13">
    <cfRule type="top10" dxfId="10" priority="9" rank="1"/>
  </conditionalFormatting>
  <conditionalFormatting sqref="K12:K13">
    <cfRule type="top10" dxfId="9" priority="10" rank="1"/>
  </conditionalFormatting>
  <conditionalFormatting sqref="J6:J7">
    <cfRule type="top10" dxfId="8" priority="7" rank="1"/>
  </conditionalFormatting>
  <conditionalFormatting sqref="K6:K7">
    <cfRule type="top10" dxfId="7" priority="8" rank="1"/>
  </conditionalFormatting>
  <conditionalFormatting sqref="J8:J9">
    <cfRule type="top10" dxfId="6" priority="5" rank="1"/>
  </conditionalFormatting>
  <conditionalFormatting sqref="K8:K9">
    <cfRule type="top10" dxfId="5" priority="6" rank="1"/>
  </conditionalFormatting>
  <conditionalFormatting sqref="J10:J11">
    <cfRule type="top10" dxfId="4" priority="3" rank="1"/>
  </conditionalFormatting>
  <conditionalFormatting sqref="K10:K11">
    <cfRule type="top10" dxfId="3" priority="4" rank="1"/>
  </conditionalFormatting>
  <conditionalFormatting sqref="J4:J5">
    <cfRule type="top10" dxfId="2" priority="1" rank="1"/>
  </conditionalFormatting>
  <conditionalFormatting sqref="K4:K5">
    <cfRule type="top10" dxfId="1" priority="2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O28"/>
  <sheetViews>
    <sheetView workbookViewId="0">
      <selection activeCell="M13" sqref="M13"/>
    </sheetView>
  </sheetViews>
  <sheetFormatPr defaultRowHeight="15" x14ac:dyDescent="0.25"/>
  <cols>
    <col min="1" max="1" width="13.42578125" style="27" bestFit="1" customWidth="1"/>
    <col min="2" max="2" width="11.7109375" bestFit="1" customWidth="1"/>
    <col min="3" max="3" width="12.28515625" bestFit="1" customWidth="1"/>
    <col min="4" max="4" width="9.28515625" bestFit="1" customWidth="1"/>
    <col min="5" max="5" width="11" style="4" bestFit="1" customWidth="1"/>
    <col min="6" max="6" width="13.140625" style="40" bestFit="1" customWidth="1"/>
    <col min="7" max="7" width="8" style="42" bestFit="1" customWidth="1"/>
    <col min="8" max="8" width="11.140625" style="7" bestFit="1" customWidth="1"/>
    <col min="9" max="9" width="14" style="11" customWidth="1"/>
    <col min="10" max="10" width="45.42578125" style="13" bestFit="1" customWidth="1"/>
    <col min="12" max="12" width="11" style="4" bestFit="1" customWidth="1"/>
  </cols>
  <sheetData>
    <row r="1" spans="1:15" s="3" customFormat="1" ht="15.75" x14ac:dyDescent="0.25">
      <c r="A1" s="26" t="s">
        <v>5</v>
      </c>
      <c r="B1" s="5" t="s">
        <v>2</v>
      </c>
      <c r="C1" s="5" t="s">
        <v>1</v>
      </c>
      <c r="D1" s="5" t="s">
        <v>14</v>
      </c>
      <c r="E1" s="9" t="s">
        <v>37</v>
      </c>
      <c r="F1" s="39" t="s">
        <v>85</v>
      </c>
      <c r="G1" s="41" t="s">
        <v>88</v>
      </c>
      <c r="H1" s="6" t="s">
        <v>95</v>
      </c>
      <c r="I1" s="10"/>
      <c r="J1" s="44" t="s">
        <v>100</v>
      </c>
      <c r="L1" s="9"/>
      <c r="N1"/>
    </row>
    <row r="2" spans="1:15" ht="16.5" thickBot="1" x14ac:dyDescent="0.3">
      <c r="A2" s="27" t="b">
        <v>0</v>
      </c>
      <c r="B2" t="s">
        <v>52</v>
      </c>
      <c r="C2" t="s">
        <v>0</v>
      </c>
      <c r="D2" t="s">
        <v>57</v>
      </c>
      <c r="E2" s="4">
        <v>1.1151801073393748</v>
      </c>
      <c r="F2" s="40">
        <v>0.05</v>
      </c>
      <c r="G2" s="42">
        <f>ROUND(G3*E2,0)</f>
        <v>223</v>
      </c>
      <c r="H2" s="7" t="s">
        <v>97</v>
      </c>
      <c r="J2" s="45" t="s">
        <v>99</v>
      </c>
      <c r="K2" s="28"/>
      <c r="M2" s="55"/>
    </row>
    <row r="3" spans="1:15" x14ac:dyDescent="0.25">
      <c r="A3" s="27" t="b">
        <v>0</v>
      </c>
      <c r="B3" t="s">
        <v>57</v>
      </c>
      <c r="C3" t="s">
        <v>0</v>
      </c>
      <c r="D3" t="s">
        <v>57</v>
      </c>
      <c r="E3" s="4">
        <v>1</v>
      </c>
      <c r="F3" s="40">
        <v>0.05</v>
      </c>
      <c r="G3" s="42">
        <v>200</v>
      </c>
      <c r="H3" s="7" t="s">
        <v>98</v>
      </c>
      <c r="J3" s="14"/>
      <c r="M3" s="55"/>
    </row>
    <row r="4" spans="1:15" x14ac:dyDescent="0.25">
      <c r="A4" s="27" t="b">
        <v>0</v>
      </c>
      <c r="B4" t="s">
        <v>55</v>
      </c>
      <c r="C4" t="s">
        <v>0</v>
      </c>
      <c r="D4" t="s">
        <v>48</v>
      </c>
      <c r="E4" s="4">
        <v>1.0736852299969759</v>
      </c>
      <c r="F4" s="40">
        <v>0.05</v>
      </c>
      <c r="G4" s="42">
        <f>ROUND(G5*E4,0)</f>
        <v>215</v>
      </c>
      <c r="H4" s="7" t="s">
        <v>97</v>
      </c>
      <c r="J4" s="16" t="s">
        <v>96</v>
      </c>
      <c r="M4" s="55"/>
    </row>
    <row r="5" spans="1:15" x14ac:dyDescent="0.25">
      <c r="A5" s="27" t="b">
        <v>0</v>
      </c>
      <c r="B5" t="s">
        <v>48</v>
      </c>
      <c r="C5" t="s">
        <v>0</v>
      </c>
      <c r="D5" t="s">
        <v>48</v>
      </c>
      <c r="E5" s="4">
        <v>1</v>
      </c>
      <c r="F5" s="40">
        <v>0.05</v>
      </c>
      <c r="G5" s="42">
        <v>200</v>
      </c>
      <c r="H5" s="7" t="s">
        <v>98</v>
      </c>
      <c r="J5" s="14"/>
      <c r="M5" s="55"/>
    </row>
    <row r="6" spans="1:15" x14ac:dyDescent="0.25">
      <c r="A6" s="27" t="b">
        <v>1</v>
      </c>
      <c r="B6" t="s">
        <v>62</v>
      </c>
      <c r="C6" t="s">
        <v>0</v>
      </c>
      <c r="D6" t="s">
        <v>61</v>
      </c>
      <c r="E6" s="4">
        <v>1.647839709023744</v>
      </c>
      <c r="F6" s="40">
        <v>0.16500000000000001</v>
      </c>
      <c r="G6" s="42">
        <f>ROUND(G7*E6,0)</f>
        <v>330</v>
      </c>
      <c r="H6" s="7" t="s">
        <v>97</v>
      </c>
      <c r="J6" s="12"/>
      <c r="K6" s="28"/>
      <c r="M6" s="55"/>
    </row>
    <row r="7" spans="1:15" x14ac:dyDescent="0.25">
      <c r="A7" s="27" t="b">
        <v>1</v>
      </c>
      <c r="B7" t="s">
        <v>61</v>
      </c>
      <c r="C7" t="s">
        <v>0</v>
      </c>
      <c r="D7" t="s">
        <v>61</v>
      </c>
      <c r="E7" s="4">
        <v>1</v>
      </c>
      <c r="F7" s="40">
        <v>0.16500000000000001</v>
      </c>
      <c r="G7" s="42">
        <v>200</v>
      </c>
      <c r="H7" s="7" t="s">
        <v>98</v>
      </c>
      <c r="J7" s="12"/>
      <c r="M7" s="55"/>
    </row>
    <row r="8" spans="1:15" x14ac:dyDescent="0.25">
      <c r="A8" s="27" t="b">
        <v>0</v>
      </c>
      <c r="B8" t="s">
        <v>66</v>
      </c>
      <c r="C8" t="s">
        <v>0</v>
      </c>
      <c r="D8" t="s">
        <v>53</v>
      </c>
      <c r="E8" s="4">
        <v>1.4382898139715363</v>
      </c>
      <c r="F8" s="40">
        <v>0.05</v>
      </c>
      <c r="G8" s="42">
        <f>ROUND(G9*E8,0)</f>
        <v>288</v>
      </c>
      <c r="H8" s="7" t="s">
        <v>97</v>
      </c>
      <c r="J8" s="12"/>
      <c r="M8" s="55"/>
    </row>
    <row r="9" spans="1:15" x14ac:dyDescent="0.25">
      <c r="A9" s="27" t="b">
        <v>0</v>
      </c>
      <c r="B9" t="s">
        <v>53</v>
      </c>
      <c r="C9" t="s">
        <v>0</v>
      </c>
      <c r="D9" t="s">
        <v>53</v>
      </c>
      <c r="E9" s="4">
        <v>1</v>
      </c>
      <c r="F9" s="40">
        <v>0.05</v>
      </c>
      <c r="G9" s="42">
        <v>200</v>
      </c>
      <c r="H9" s="7" t="s">
        <v>98</v>
      </c>
      <c r="J9" s="12"/>
      <c r="M9" s="55"/>
    </row>
    <row r="10" spans="1:15" x14ac:dyDescent="0.25">
      <c r="A10" s="27" t="b">
        <v>0</v>
      </c>
      <c r="B10" t="s">
        <v>49</v>
      </c>
      <c r="C10" t="s">
        <v>0</v>
      </c>
      <c r="D10" t="s">
        <v>56</v>
      </c>
      <c r="E10" s="4">
        <v>1.0429715511399629</v>
      </c>
      <c r="F10" s="40">
        <v>0.05</v>
      </c>
      <c r="G10" s="42">
        <f>ROUND(G11*E10,0)</f>
        <v>209</v>
      </c>
      <c r="H10" s="7" t="s">
        <v>97</v>
      </c>
      <c r="M10" s="55"/>
    </row>
    <row r="11" spans="1:15" x14ac:dyDescent="0.25">
      <c r="A11" s="27" t="b">
        <v>0</v>
      </c>
      <c r="B11" t="s">
        <v>56</v>
      </c>
      <c r="C11" t="s">
        <v>0</v>
      </c>
      <c r="D11" t="s">
        <v>56</v>
      </c>
      <c r="E11" s="4">
        <v>1</v>
      </c>
      <c r="F11" s="40">
        <v>0.05</v>
      </c>
      <c r="G11" s="42">
        <v>200</v>
      </c>
      <c r="H11" s="7" t="s">
        <v>98</v>
      </c>
      <c r="M11" s="55"/>
    </row>
    <row r="12" spans="1:15" x14ac:dyDescent="0.25">
      <c r="A12" s="27" t="b">
        <v>0</v>
      </c>
      <c r="B12" t="s">
        <v>50</v>
      </c>
      <c r="C12" t="s">
        <v>0</v>
      </c>
      <c r="D12" t="s">
        <v>58</v>
      </c>
      <c r="E12" s="4">
        <v>1.8904480235491772</v>
      </c>
      <c r="F12" s="40">
        <v>0.05</v>
      </c>
      <c r="G12" s="42">
        <f>ROUND(G13*E12,0)</f>
        <v>378</v>
      </c>
      <c r="H12" s="7" t="s">
        <v>97</v>
      </c>
      <c r="J12" s="12"/>
      <c r="K12" s="28"/>
      <c r="M12" s="55"/>
    </row>
    <row r="13" spans="1:15" x14ac:dyDescent="0.25">
      <c r="A13" s="27" t="b">
        <v>0</v>
      </c>
      <c r="B13" t="s">
        <v>58</v>
      </c>
      <c r="C13" t="s">
        <v>0</v>
      </c>
      <c r="D13" t="s">
        <v>58</v>
      </c>
      <c r="E13" s="4">
        <v>1</v>
      </c>
      <c r="F13" s="40">
        <v>0.05</v>
      </c>
      <c r="G13" s="42">
        <v>200</v>
      </c>
      <c r="H13" s="7" t="s">
        <v>98</v>
      </c>
      <c r="M13" s="55"/>
    </row>
    <row r="14" spans="1:15" x14ac:dyDescent="0.25">
      <c r="A14" s="27" t="b">
        <v>0</v>
      </c>
      <c r="B14" t="s">
        <v>51</v>
      </c>
      <c r="C14" t="s">
        <v>0</v>
      </c>
      <c r="D14" t="s">
        <v>65</v>
      </c>
      <c r="E14" s="4">
        <v>1.7448035127941128</v>
      </c>
      <c r="F14" s="40">
        <v>0.05</v>
      </c>
      <c r="G14" s="42">
        <f>ROUND(G15*E14,0)</f>
        <v>349</v>
      </c>
      <c r="H14" s="7" t="s">
        <v>97</v>
      </c>
      <c r="M14" s="55"/>
    </row>
    <row r="15" spans="1:15" x14ac:dyDescent="0.25">
      <c r="A15" s="27" t="b">
        <v>0</v>
      </c>
      <c r="B15" t="s">
        <v>65</v>
      </c>
      <c r="C15" t="s">
        <v>0</v>
      </c>
      <c r="D15" t="s">
        <v>65</v>
      </c>
      <c r="E15" s="4">
        <v>1</v>
      </c>
      <c r="F15" s="40">
        <v>0.05</v>
      </c>
      <c r="G15" s="42">
        <v>200</v>
      </c>
      <c r="H15" s="7" t="s">
        <v>98</v>
      </c>
      <c r="M15" s="55"/>
      <c r="O15" s="55"/>
    </row>
    <row r="16" spans="1:15" x14ac:dyDescent="0.25">
      <c r="A16" s="27" t="b">
        <v>0</v>
      </c>
      <c r="B16" t="s">
        <v>63</v>
      </c>
      <c r="C16" t="s">
        <v>0</v>
      </c>
      <c r="D16" t="s">
        <v>64</v>
      </c>
      <c r="E16" s="4">
        <v>2.7966782574473563</v>
      </c>
      <c r="F16" s="40">
        <v>0.05</v>
      </c>
      <c r="G16" s="42">
        <f>ROUND(G17*E16,0)</f>
        <v>559</v>
      </c>
      <c r="H16" s="7" t="s">
        <v>97</v>
      </c>
      <c r="J16" s="12"/>
      <c r="K16" s="28"/>
      <c r="M16" s="55"/>
    </row>
    <row r="17" spans="1:13" x14ac:dyDescent="0.25">
      <c r="A17" s="27" t="b">
        <v>0</v>
      </c>
      <c r="B17" t="s">
        <v>64</v>
      </c>
      <c r="C17" t="s">
        <v>0</v>
      </c>
      <c r="D17" t="s">
        <v>64</v>
      </c>
      <c r="E17" s="4">
        <v>1</v>
      </c>
      <c r="F17" s="40">
        <v>0.05</v>
      </c>
      <c r="G17" s="42">
        <v>200</v>
      </c>
      <c r="H17" s="7" t="s">
        <v>98</v>
      </c>
      <c r="J17" s="12"/>
      <c r="M17" s="55"/>
    </row>
    <row r="18" spans="1:13" x14ac:dyDescent="0.25">
      <c r="J18" s="12"/>
    </row>
    <row r="19" spans="1:13" x14ac:dyDescent="0.25">
      <c r="J19" s="12"/>
      <c r="K19" s="28"/>
    </row>
    <row r="20" spans="1:13" x14ac:dyDescent="0.25">
      <c r="J20" s="12"/>
    </row>
    <row r="21" spans="1:13" x14ac:dyDescent="0.25">
      <c r="J21" s="12"/>
    </row>
    <row r="22" spans="1:13" x14ac:dyDescent="0.25">
      <c r="J22" s="12"/>
    </row>
    <row r="23" spans="1:13" x14ac:dyDescent="0.25">
      <c r="J23" s="12"/>
      <c r="L23" s="46"/>
    </row>
    <row r="24" spans="1:13" x14ac:dyDescent="0.25">
      <c r="J24" s="12"/>
      <c r="K24" s="28"/>
    </row>
    <row r="28" spans="1:13" x14ac:dyDescent="0.25">
      <c r="J28" s="12"/>
      <c r="K28" s="28"/>
    </row>
  </sheetData>
  <conditionalFormatting sqref="A1:A1048576">
    <cfRule type="cellIs" dxfId="0" priority="1" operator="equal">
      <formula>TRUE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 INPUTS</vt:lpstr>
      <vt:lpstr>FI INPUTS</vt:lpstr>
      <vt:lpstr>MKT DATA</vt:lpstr>
      <vt:lpstr>WATCH SCREEN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2026-08-21T17:03:49Z</dcterms:modified>
</cp:coreProperties>
</file>