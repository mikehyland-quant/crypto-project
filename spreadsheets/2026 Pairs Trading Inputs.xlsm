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487ECDF2-1790-4D92-BE95-16F1F48A484D}" xr6:coauthVersionLast="47" xr6:coauthVersionMax="47" xr10:uidLastSave="{00000000-0000-0000-0000-000000000000}"/>
  <bookViews>
    <workbookView xWindow="32430" yWindow="1470" windowWidth="24675" windowHeight="8535" tabRatio="762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" i="20" l="1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Q4" i="20"/>
  <c r="Q3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AO1" i="20"/>
  <c r="AG1" i="20"/>
  <c r="AH1" i="20"/>
  <c r="AI1" i="20"/>
  <c r="AJ1" i="20"/>
  <c r="AK1" i="20"/>
  <c r="AP5" i="20"/>
  <c r="AP7" i="20"/>
  <c r="AP9" i="20"/>
  <c r="AP11" i="20"/>
  <c r="AP13" i="20"/>
  <c r="AP3" i="20"/>
  <c r="AP1" i="20" s="1"/>
  <c r="AL1" i="20"/>
  <c r="G6" i="21"/>
  <c r="G16" i="21"/>
  <c r="G14" i="21"/>
  <c r="G12" i="21"/>
  <c r="G10" i="21"/>
  <c r="G8" i="21"/>
  <c r="G4" i="21"/>
  <c r="G2" i="21"/>
  <c r="I4" i="20" a="1"/>
  <c r="I17" i="20" a="1"/>
  <c r="I18" i="20" a="1"/>
  <c r="I11" i="20" a="1"/>
  <c r="AA17" i="20" s="1"/>
  <c r="I12" i="20" a="1"/>
  <c r="I7" i="20" a="1"/>
  <c r="I8" i="20" a="1"/>
  <c r="I15" i="20" a="1"/>
  <c r="I16" i="20" a="1"/>
  <c r="I5" i="20" a="1"/>
  <c r="I6" i="20" a="1"/>
  <c r="I9" i="20" a="1"/>
  <c r="I10" i="20" a="1"/>
  <c r="I13" i="20" a="1"/>
  <c r="I14" i="20" a="1"/>
  <c r="I3" i="20" a="1"/>
  <c r="B14" i="20"/>
  <c r="A14" i="20"/>
  <c r="B13" i="20"/>
  <c r="A13" i="20"/>
  <c r="A4" i="20"/>
  <c r="B4" i="20"/>
  <c r="A17" i="20"/>
  <c r="B17" i="20"/>
  <c r="A18" i="20"/>
  <c r="B18" i="20"/>
  <c r="A11" i="20"/>
  <c r="B11" i="20"/>
  <c r="A12" i="20"/>
  <c r="B12" i="20"/>
  <c r="A7" i="20"/>
  <c r="B7" i="20"/>
  <c r="A8" i="20"/>
  <c r="B8" i="20"/>
  <c r="A15" i="20"/>
  <c r="B15" i="20"/>
  <c r="A16" i="20"/>
  <c r="B16" i="20"/>
  <c r="A5" i="20"/>
  <c r="B5" i="20"/>
  <c r="A6" i="20"/>
  <c r="B6" i="20"/>
  <c r="A9" i="20"/>
  <c r="B9" i="20"/>
  <c r="A10" i="20"/>
  <c r="B10" i="20"/>
  <c r="B3" i="20"/>
  <c r="A3" i="20"/>
  <c r="A19" i="20"/>
  <c r="R3" i="20" a="1"/>
  <c r="S3" i="20" s="1"/>
  <c r="R4" i="20" a="1"/>
  <c r="S4" i="20" s="1"/>
  <c r="R17" i="20" a="1"/>
  <c r="S17" i="20" s="1"/>
  <c r="R18" i="20" a="1"/>
  <c r="S18" i="20" s="1"/>
  <c r="R11" i="20" a="1"/>
  <c r="S11" i="20" s="1"/>
  <c r="R12" i="20" a="1"/>
  <c r="S12" i="20" s="1"/>
  <c r="R7" i="20" a="1"/>
  <c r="S7" i="20" s="1"/>
  <c r="R8" i="20" a="1"/>
  <c r="S8" i="20" s="1"/>
  <c r="R15" i="20" a="1"/>
  <c r="R16" i="20" a="1"/>
  <c r="S16" i="20" s="1"/>
  <c r="R5" i="20" a="1"/>
  <c r="S5" i="20" s="1"/>
  <c r="R6" i="20" a="1"/>
  <c r="S6" i="20" s="1"/>
  <c r="R9" i="20" a="1"/>
  <c r="S9" i="20" s="1"/>
  <c r="R10" i="20" a="1"/>
  <c r="S10" i="20" s="1"/>
  <c r="F9" i="20" a="1"/>
  <c r="H9" i="20" s="1"/>
  <c r="E9" i="20" a="1"/>
  <c r="G9" i="20" s="1"/>
  <c r="J9" i="20" s="1"/>
  <c r="F10" i="20" a="1"/>
  <c r="H10" i="20" s="1"/>
  <c r="E10" i="20" a="1"/>
  <c r="G10" i="20" s="1"/>
  <c r="J10" i="20" s="1"/>
  <c r="F17" i="20" a="1"/>
  <c r="H17" i="20" s="1"/>
  <c r="E17" i="20" a="1"/>
  <c r="G17" i="20" s="1"/>
  <c r="J17" i="20" s="1"/>
  <c r="F18" i="20" a="1"/>
  <c r="H18" i="20" s="1"/>
  <c r="E18" i="20" a="1"/>
  <c r="G18" i="20" s="1"/>
  <c r="J18" i="20" s="1"/>
  <c r="F3" i="20" a="1"/>
  <c r="H3" i="20" s="1"/>
  <c r="E3" i="20" a="1"/>
  <c r="G3" i="20" s="1"/>
  <c r="J3" i="20" s="1"/>
  <c r="F4" i="20" a="1"/>
  <c r="H4" i="20" s="1"/>
  <c r="E4" i="20" a="1"/>
  <c r="G4" i="20" s="1"/>
  <c r="J4" i="20" s="1"/>
  <c r="F8" i="20" a="1"/>
  <c r="H8" i="20" s="1"/>
  <c r="E8" i="20" a="1"/>
  <c r="G8" i="20" s="1"/>
  <c r="J8" i="20" s="1"/>
  <c r="F7" i="20" a="1"/>
  <c r="H7" i="20" s="1"/>
  <c r="E7" i="20" a="1"/>
  <c r="G7" i="20" s="1"/>
  <c r="J7" i="20" s="1"/>
  <c r="F12" i="20" a="1"/>
  <c r="H12" i="20" s="1"/>
  <c r="E12" i="20" a="1"/>
  <c r="G12" i="20" s="1"/>
  <c r="J12" i="20" s="1"/>
  <c r="F11" i="20" a="1"/>
  <c r="H11" i="20" s="1"/>
  <c r="E11" i="20" a="1"/>
  <c r="G11" i="20" s="1"/>
  <c r="J11" i="20" s="1"/>
  <c r="F15" i="20" a="1"/>
  <c r="H15" i="20" s="1"/>
  <c r="E15" i="20" a="1"/>
  <c r="G15" i="20" s="1"/>
  <c r="J15" i="20" s="1"/>
  <c r="F16" i="20" a="1"/>
  <c r="H16" i="20" s="1"/>
  <c r="E16" i="20" a="1"/>
  <c r="G16" i="20" s="1"/>
  <c r="J16" i="20" s="1"/>
  <c r="E5" i="20" a="1"/>
  <c r="G5" i="20" s="1"/>
  <c r="J5" i="20" s="1"/>
  <c r="F5" i="20" a="1"/>
  <c r="H5" i="20" s="1"/>
  <c r="F6" i="20" a="1"/>
  <c r="H6" i="20" s="1"/>
  <c r="E6" i="20" a="1"/>
  <c r="G6" i="20" s="1"/>
  <c r="J6" i="20" s="1"/>
  <c r="B4" i="15" a="1"/>
  <c r="B2" i="15" a="1"/>
  <c r="R14" i="20" l="1" a="1"/>
  <c r="S14" i="20" s="1"/>
  <c r="F14" i="20" a="1"/>
  <c r="H14" i="20" s="1"/>
  <c r="K14" i="20" s="1"/>
  <c r="E14" i="20" a="1"/>
  <c r="G14" i="20" s="1"/>
  <c r="J14" i="20" s="1"/>
  <c r="R13" i="20" a="1"/>
  <c r="S13" i="20" s="1"/>
  <c r="F13" i="20" a="1"/>
  <c r="H13" i="20" s="1"/>
  <c r="K13" i="20" s="1"/>
  <c r="E13" i="20" a="1"/>
  <c r="G13" i="20" s="1"/>
  <c r="J13" i="20" s="1"/>
  <c r="T9" i="20"/>
  <c r="T5" i="20"/>
  <c r="S15" i="20"/>
  <c r="T15" i="20" s="1"/>
  <c r="T7" i="20"/>
  <c r="T11" i="20"/>
  <c r="T17" i="20"/>
  <c r="T3" i="20"/>
  <c r="K9" i="20"/>
  <c r="L9" i="20" s="1"/>
  <c r="K10" i="20"/>
  <c r="K17" i="20"/>
  <c r="L17" i="20" s="1"/>
  <c r="K18" i="20"/>
  <c r="K3" i="20"/>
  <c r="K4" i="20"/>
  <c r="K8" i="20"/>
  <c r="K7" i="20"/>
  <c r="L7" i="20" s="1"/>
  <c r="K12" i="20"/>
  <c r="K11" i="20"/>
  <c r="L11" i="20" s="1"/>
  <c r="K15" i="20"/>
  <c r="L15" i="20" s="1"/>
  <c r="K16" i="20"/>
  <c r="K5" i="20"/>
  <c r="L5" i="20" s="1"/>
  <c r="K6" i="20"/>
  <c r="O17" i="20" l="1"/>
  <c r="P17" i="20" s="1"/>
  <c r="O11" i="20"/>
  <c r="P11" i="20" s="1"/>
  <c r="O15" i="20"/>
  <c r="P15" i="20" s="1"/>
  <c r="O9" i="20"/>
  <c r="P9" i="20" s="1"/>
  <c r="O7" i="20"/>
  <c r="P7" i="20" s="1"/>
  <c r="O5" i="20"/>
  <c r="P5" i="20" s="1"/>
  <c r="O3" i="20"/>
  <c r="P3" i="20" s="1"/>
  <c r="L3" i="20"/>
  <c r="O13" i="20"/>
  <c r="P13" i="20" s="1"/>
  <c r="M7" i="20"/>
  <c r="M9" i="20"/>
  <c r="M5" i="20"/>
  <c r="M15" i="20"/>
  <c r="M11" i="20"/>
  <c r="M17" i="20"/>
  <c r="L13" i="20"/>
  <c r="M13" i="20" s="1"/>
  <c r="M3" i="20"/>
  <c r="T1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<sst xmlns="http://schemas.openxmlformats.org/spreadsheetml/2006/main" count="418" uniqueCount="114">
  <si>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</si>
  <si>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</si>
  <si>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</si>
  <si>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</si>
  <si>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</si>
  <si>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</si>
  <si>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</si>
  <si>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</si>
  <si>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</si>
  <si>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</si>
  <si>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</si>
  <si>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</si>
  <si>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</si>
  <si>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</si>
  <si>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</si>
  <si>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</si>
  <si>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</si>
  <si>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</si>
  <si>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</si>
  <si>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</si>
  <si>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</si>
  <si>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</si>
  <si>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</si>
  <si>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</si>
  <si>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</si>
  <si>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</si>
  <si>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</si>
  <si>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</si>
  <si>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</si>
  <si>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</si>
  <si>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</si>
  <si>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</si>
  <si>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</si>
  <si>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</si>
  <si>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</si>
  <si>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</si>
  <si>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</si>
  <si>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</si>
  <si>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</si>
  <si>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</si>
  <si>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</si>
  <si>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</si>
  <si>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</si>
  <si>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</si>
  <si>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</si>
  <si>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</si>
  <si>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</si>
  <si>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</si>
  <si>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</si>
  <si>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</si>
  <si>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</si>
  <si>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</si>
  <si>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</si>
  <si>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</si>
  <si>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</si>
  <si>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</si>
  <si>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</si>
  <si>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</si>
  <si>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</si>
  <si>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</si>
  <si>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</si>
  <si>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</si>
  <si>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</si>
  <si>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</si>
  <si>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</si>
  <si>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</si>
  <si>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</si>
  <si>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</si>
  <si>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symbol</t>
  </si>
  <si>
    <t>scalar</t>
  </si>
  <si>
    <t>bid w/ comm</t>
  </si>
  <si>
    <t>ask w/ comm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</si>
  <si>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</si>
  <si>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</si>
  <si>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</si>
  <si>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</si>
  <si>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</si>
  <si>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</si>
  <si>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</si>
  <si>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</si>
  <si>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</si>
  <si>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</si>
  <si>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</si>
  <si>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whole units</t>
  </si>
  <si>
    <t>net units</t>
  </si>
  <si>
    <t>profit_margin</t>
  </si>
  <si>
    <t>thresholds</t>
  </si>
  <si>
    <t>pair</t>
  </si>
  <si>
    <t>size</t>
  </si>
  <si>
    <t>FIs_sheet</t>
  </si>
  <si>
    <t>FIs_table</t>
  </si>
  <si>
    <t>fi_inputs</t>
  </si>
  <si>
    <t>$B$1</t>
  </si>
  <si>
    <t>trading_inputs_download_cell</t>
  </si>
  <si>
    <t>trading_inputs_upload_cell</t>
  </si>
  <si>
    <t>buy_or_sell</t>
  </si>
  <si>
    <t>add active/passive</t>
  </si>
  <si>
    <t>buy</t>
  </si>
  <si>
    <t>sell</t>
  </si>
  <si>
    <t>python app_statarb_trade.py</t>
  </si>
  <si>
    <t>cd git-crypto\crypto-project\stat_arb_trading</t>
  </si>
  <si>
    <t>CWB_ICVT</t>
  </si>
  <si>
    <t>BWX_IGOV</t>
  </si>
  <si>
    <t>VWOB_EMB</t>
  </si>
  <si>
    <t>CMF_VTEC</t>
  </si>
  <si>
    <t>PFFD_PFF</t>
  </si>
  <si>
    <t>SCHH_USRT</t>
  </si>
  <si>
    <t>lift top/hit bottom</t>
  </si>
  <si>
    <t>hit top/lift bottom</t>
  </si>
  <si>
    <t>enter</t>
  </si>
  <si>
    <t>exit</t>
  </si>
  <si>
    <t>hurdle</t>
  </si>
  <si>
    <t>net price</t>
  </si>
  <si>
    <t>2026-08-21_16-04-51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</si>
</sst>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4" formatCode="0.00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sz val="12"/>
      <color theme="1"/>
      <name val="Arial"/>
      <family val="2"/>
    </font>
    <font>
      <sz val="11"/>
      <color rgb="FFBBBEBF"/>
      <name val="Consolas"/>
      <family val="3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11"/>
      <name val="Consolas"/>
      <family val="3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right"/>
    </xf>
    <xf numFmtId="0" fontId="0" fillId="2" borderId="0" xfId="0" applyFill="1"/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43" fontId="3" fillId="0" borderId="0" xfId="0" applyNumberFormat="1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7" fontId="0" fillId="0" borderId="0" xfId="0" applyNumberFormat="1"/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0" fontId="10" fillId="0" borderId="5" xfId="0" applyFont="1" applyBorder="1"/>
    <xf numFmtId="0" fontId="6" fillId="0" borderId="5" xfId="0" applyFont="1" applyBorder="1"/>
    <xf numFmtId="167" fontId="10" fillId="0" borderId="5" xfId="1" applyNumberFormat="1" applyFont="1" applyBorder="1"/>
    <xf numFmtId="167" fontId="0" fillId="0" borderId="5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0" fontId="15" fillId="3" borderId="7" xfId="0" applyFont="1" applyFill="1" applyBorder="1"/>
    <xf numFmtId="0" fontId="15" fillId="3" borderId="8" xfId="0" applyFont="1" applyFill="1" applyBorder="1"/>
    <xf numFmtId="0" fontId="16" fillId="0" borderId="0" xfId="0" applyFont="1"/>
    <xf numFmtId="166" fontId="19" fillId="0" borderId="2" xfId="3" applyNumberFormat="1" applyFont="1" applyBorder="1"/>
    <xf numFmtId="43" fontId="19" fillId="0" borderId="3" xfId="3" applyFont="1" applyBorder="1" applyAlignment="1">
      <alignment vertical="center"/>
    </xf>
    <xf numFmtId="166" fontId="19" fillId="0" borderId="5" xfId="3" applyNumberFormat="1" applyFont="1" applyBorder="1"/>
    <xf numFmtId="43" fontId="19" fillId="0" borderId="6" xfId="3" applyFont="1" applyBorder="1" applyAlignment="1">
      <alignment vertical="center"/>
    </xf>
    <xf numFmtId="166" fontId="19" fillId="0" borderId="0" xfId="3" applyNumberFormat="1" applyFont="1"/>
    <xf numFmtId="0" fontId="19" fillId="0" borderId="0" xfId="0" applyFont="1"/>
    <xf numFmtId="164" fontId="6" fillId="0" borderId="0" xfId="3" applyNumberFormat="1" applyFont="1"/>
    <xf numFmtId="164" fontId="0" fillId="0" borderId="0" xfId="0" applyNumberFormat="1"/>
    <xf numFmtId="43" fontId="0" fillId="0" borderId="0" xfId="3" applyFont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1" fontId="8" fillId="0" borderId="0" xfId="0" applyNumberFormat="1" applyFont="1" applyAlignment="1">
      <alignment horizontal="center"/>
    </xf>
    <xf numFmtId="1" fontId="0" fillId="0" borderId="0" xfId="0" applyNumberFormat="1"/>
    <xf numFmtId="1" fontId="0" fillId="0" borderId="0" xfId="3" applyNumberFormat="1" applyFont="1"/>
    <xf numFmtId="9" fontId="7" fillId="0" borderId="0" xfId="2" applyFont="1"/>
    <xf numFmtId="9" fontId="0" fillId="0" borderId="0" xfId="2" applyFont="1"/>
    <xf numFmtId="10" fontId="7" fillId="0" borderId="0" xfId="2" applyNumberFormat="1" applyFont="1"/>
    <xf numFmtId="10" fontId="8" fillId="0" borderId="0" xfId="2" applyNumberFormat="1" applyFont="1" applyAlignment="1">
      <alignment horizontal="center"/>
    </xf>
    <xf numFmtId="10" fontId="0" fillId="0" borderId="0" xfId="2" applyNumberFormat="1" applyFont="1"/>
    <xf numFmtId="44" fontId="7" fillId="0" borderId="0" xfId="1" applyFont="1"/>
    <xf numFmtId="43" fontId="7" fillId="0" borderId="0" xfId="3" applyFont="1"/>
    <xf numFmtId="43" fontId="8" fillId="0" borderId="0" xfId="3" applyFont="1" applyAlignment="1">
      <alignment horizontal="center"/>
    </xf>
    <xf numFmtId="166" fontId="7" fillId="0" borderId="0" xfId="3" applyNumberFormat="1" applyFont="1"/>
    <xf numFmtId="166" fontId="8" fillId="0" borderId="0" xfId="3" applyNumberFormat="1" applyFont="1" applyAlignment="1">
      <alignment horizontal="center"/>
    </xf>
    <xf numFmtId="0" fontId="12" fillId="0" borderId="2" xfId="0" applyFont="1" applyBorder="1" applyAlignment="1">
      <alignment horizontal="center"/>
    </xf>
    <xf numFmtId="43" fontId="19" fillId="0" borderId="3" xfId="0" applyNumberFormat="1" applyFont="1" applyBorder="1" applyAlignment="1">
      <alignment horizontal="center" vertical="center"/>
    </xf>
    <xf numFmtId="43" fontId="19" fillId="0" borderId="6" xfId="0" applyNumberFormat="1" applyFont="1" applyBorder="1" applyAlignment="1">
      <alignment horizontal="center" vertical="center"/>
    </xf>
    <xf numFmtId="167" fontId="7" fillId="0" borderId="0" xfId="1" applyNumberFormat="1" applyFont="1" applyAlignment="1">
      <alignment horizontal="center"/>
    </xf>
    <xf numFmtId="43" fontId="19" fillId="0" borderId="3" xfId="0" applyNumberFormat="1" applyFont="1" applyBorder="1" applyAlignment="1">
      <alignment vertical="center"/>
    </xf>
    <xf numFmtId="43" fontId="19" fillId="0" borderId="6" xfId="0" applyNumberFormat="1" applyFont="1" applyBorder="1" applyAlignment="1">
      <alignment vertical="center"/>
    </xf>
    <xf numFmtId="43" fontId="19" fillId="0" borderId="3" xfId="3" applyFont="1" applyBorder="1" applyAlignment="1">
      <alignment vertical="center"/>
    </xf>
    <xf numFmtId="43" fontId="19" fillId="0" borderId="6" xfId="3" applyFont="1" applyBorder="1" applyAlignment="1">
      <alignment vertical="center"/>
    </xf>
    <xf numFmtId="169" fontId="11" fillId="0" borderId="0" xfId="1" applyNumberFormat="1" applyFont="1" applyAlignment="1">
      <alignment horizontal="center"/>
    </xf>
    <xf numFmtId="44" fontId="0" fillId="0" borderId="0" xfId="0" applyNumberFormat="1"/>
    <xf numFmtId="166" fontId="22" fillId="0" borderId="0" xfId="3" applyNumberFormat="1" applyFont="1" applyAlignment="1">
      <alignment horizontal="center"/>
    </xf>
    <xf numFmtId="166" fontId="23" fillId="0" borderId="0" xfId="3" applyNumberFormat="1" applyFont="1" applyAlignment="1">
      <alignment horizontal="center"/>
    </xf>
    <xf numFmtId="0" fontId="23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66" fontId="22" fillId="0" borderId="0" xfId="3" applyNumberFormat="1" applyFont="1" applyAlignment="1">
      <alignment horizontal="center"/>
    </xf>
    <xf numFmtId="10" fontId="0" fillId="0" borderId="0" xfId="2" applyNumberFormat="1" applyFont="1" applyFill="1"/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0" fillId="0" borderId="3" xfId="0" applyFont="1" applyBorder="1"/>
    <xf numFmtId="0" fontId="10" fillId="0" borderId="6" xfId="0" applyFont="1" applyBorder="1"/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44" fontId="8" fillId="0" borderId="9" xfId="1" applyFont="1" applyBorder="1" applyAlignment="1">
      <alignment horizontal="center"/>
    </xf>
    <xf numFmtId="44" fontId="8" fillId="0" borderId="10" xfId="1" applyFont="1" applyBorder="1" applyAlignment="1">
      <alignment horizontal="center"/>
    </xf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6" xfId="1" applyFont="1" applyBorder="1"/>
    <xf numFmtId="164" fontId="7" fillId="0" borderId="7" xfId="3" applyNumberFormat="1" applyFont="1" applyBorder="1"/>
    <xf numFmtId="164" fontId="8" fillId="0" borderId="11" xfId="3" applyNumberFormat="1" applyFont="1" applyBorder="1" applyAlignment="1">
      <alignment horizontal="center"/>
    </xf>
    <xf numFmtId="164" fontId="6" fillId="0" borderId="7" xfId="3" applyNumberFormat="1" applyFont="1" applyBorder="1"/>
    <xf numFmtId="164" fontId="6" fillId="0" borderId="8" xfId="3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7" fontId="8" fillId="0" borderId="10" xfId="1" applyNumberFormat="1" applyFont="1" applyBorder="1" applyAlignment="1">
      <alignment horizontal="center"/>
    </xf>
    <xf numFmtId="167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6" fontId="17" fillId="0" borderId="1" xfId="3" applyNumberFormat="1" applyFont="1" applyBorder="1" applyAlignment="1">
      <alignment horizontal="center"/>
    </xf>
    <xf numFmtId="166" fontId="17" fillId="0" borderId="2" xfId="3" applyNumberFormat="1" applyFont="1" applyBorder="1" applyAlignment="1">
      <alignment horizontal="center"/>
    </xf>
    <xf numFmtId="166" fontId="17" fillId="0" borderId="3" xfId="3" applyNumberFormat="1" applyFont="1" applyBorder="1" applyAlignment="1">
      <alignment horizontal="center"/>
    </xf>
    <xf numFmtId="166" fontId="18" fillId="0" borderId="9" xfId="3" applyNumberFormat="1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166" fontId="19" fillId="0" borderId="1" xfId="3" applyNumberFormat="1" applyFont="1" applyBorder="1"/>
    <xf numFmtId="166" fontId="19" fillId="0" borderId="4" xfId="3" applyNumberFormat="1" applyFont="1" applyBorder="1"/>
    <xf numFmtId="0" fontId="8" fillId="0" borderId="0" xfId="0" applyFont="1" applyFill="1" applyBorder="1" applyAlignment="1">
      <alignment horizontal="center"/>
    </xf>
    <xf numFmtId="167" fontId="8" fillId="0" borderId="10" xfId="1" applyNumberFormat="1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168" fontId="0" fillId="0" borderId="2" xfId="2" applyNumberFormat="1" applyFont="1" applyFill="1" applyBorder="1" applyAlignment="1">
      <alignment vertical="center"/>
    </xf>
    <xf numFmtId="10" fontId="24" fillId="0" borderId="3" xfId="0" applyNumberFormat="1" applyFont="1" applyFill="1" applyBorder="1"/>
    <xf numFmtId="167" fontId="0" fillId="0" borderId="1" xfId="0" applyNumberFormat="1" applyFill="1" applyBorder="1" applyAlignment="1">
      <alignment vertical="center"/>
    </xf>
    <xf numFmtId="168" fontId="0" fillId="0" borderId="5" xfId="2" applyNumberFormat="1" applyFont="1" applyFill="1" applyBorder="1" applyAlignment="1">
      <alignment vertical="center"/>
    </xf>
    <xf numFmtId="10" fontId="24" fillId="0" borderId="6" xfId="0" applyNumberFormat="1" applyFont="1" applyFill="1" applyBorder="1"/>
    <xf numFmtId="0" fontId="0" fillId="0" borderId="4" xfId="0" applyFill="1" applyBorder="1" applyAlignment="1">
      <alignment vertical="center"/>
    </xf>
    <xf numFmtId="174" fontId="0" fillId="0" borderId="0" xfId="0" applyNumberFormat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64"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180975</xdr:rowOff>
    </xdr:from>
    <xdr:to>
      <xdr:col>3</xdr:col>
      <xdr:colOff>1114425</xdr:colOff>
      <xdr:row>4</xdr:row>
      <xdr:rowOff>104775</xdr:rowOff>
    </xdr:to>
    <xdr:sp macro="[0]!UpdateMultipliersPairs" textlink="">
      <xdr:nvSpPr>
        <xdr:cNvPr id="2" name="Rectangle 1">
          <a:extLst>
            <a:ext uri="{FF2B5EF4-FFF2-40B4-BE49-F238E27FC236}">
              <a16:creationId xmlns:a16="http://schemas.microsoft.com/office/drawing/2014/main" id="{B642BDAF-5C36-46F7-9D84-080BF28D4B8A}"/>
            </a:ext>
          </a:extLst>
        </xdr:cNvPr>
        <xdr:cNvSpPr/>
      </xdr:nvSpPr>
      <xdr:spPr>
        <a:xfrm>
          <a:off x="3895725" y="18097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17" totalsRowShown="0">
  <autoFilter ref="A1:D17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6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tabSelected="1" workbookViewId="0">
      <selection activeCell="N13" sqref="N13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93</v>
      </c>
      <c r="B5" t="s">
        <v>92</v>
      </c>
    </row>
    <row r="6" spans="1:4" x14ac:dyDescent="0.25">
      <c r="A6" t="s">
        <v>94</v>
      </c>
      <c r="B6" t="s">
        <v>39</v>
      </c>
      <c r="D6" s="43">
        <v>46255.489537037036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17"/>
  <sheetViews>
    <sheetView workbookViewId="0">
      <selection activeCell="K22" sqref="K22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52</v>
      </c>
      <c r="B2" t="s">
        <v>0</v>
      </c>
      <c r="C2" t="s">
        <v>57</v>
      </c>
      <c r="D2">
        <v>20</v>
      </c>
    </row>
    <row r="3" spans="1:4" x14ac:dyDescent="0.25">
      <c r="A3" t="s">
        <v>57</v>
      </c>
      <c r="B3" t="s">
        <v>0</v>
      </c>
      <c r="C3" t="s">
        <v>57</v>
      </c>
      <c r="D3">
        <v>20</v>
      </c>
    </row>
    <row r="4" spans="1:4" x14ac:dyDescent="0.25">
      <c r="A4" t="s">
        <v>55</v>
      </c>
      <c r="B4" t="s">
        <v>0</v>
      </c>
      <c r="C4" t="s">
        <v>48</v>
      </c>
      <c r="D4">
        <v>20</v>
      </c>
    </row>
    <row r="5" spans="1:4" x14ac:dyDescent="0.25">
      <c r="A5" t="s">
        <v>48</v>
      </c>
      <c r="B5" t="s">
        <v>0</v>
      </c>
      <c r="C5" t="s">
        <v>48</v>
      </c>
      <c r="D5">
        <v>20</v>
      </c>
    </row>
    <row r="6" spans="1:4" x14ac:dyDescent="0.25">
      <c r="A6" t="s">
        <v>62</v>
      </c>
      <c r="B6" t="s">
        <v>0</v>
      </c>
      <c r="C6" t="s">
        <v>61</v>
      </c>
      <c r="D6">
        <v>20</v>
      </c>
    </row>
    <row r="7" spans="1:4" x14ac:dyDescent="0.25">
      <c r="A7" t="s">
        <v>61</v>
      </c>
      <c r="B7" t="s">
        <v>0</v>
      </c>
      <c r="C7" t="s">
        <v>61</v>
      </c>
      <c r="D7">
        <v>20</v>
      </c>
    </row>
    <row r="8" spans="1:4" x14ac:dyDescent="0.25">
      <c r="A8" t="s">
        <v>66</v>
      </c>
      <c r="B8" t="s">
        <v>0</v>
      </c>
      <c r="C8" t="s">
        <v>53</v>
      </c>
      <c r="D8">
        <v>20</v>
      </c>
    </row>
    <row r="9" spans="1:4" x14ac:dyDescent="0.25">
      <c r="A9" t="s">
        <v>53</v>
      </c>
      <c r="B9" t="s">
        <v>0</v>
      </c>
      <c r="C9" t="s">
        <v>53</v>
      </c>
      <c r="D9">
        <v>20</v>
      </c>
    </row>
    <row r="10" spans="1:4" x14ac:dyDescent="0.25">
      <c r="A10" t="s">
        <v>49</v>
      </c>
      <c r="B10" t="s">
        <v>0</v>
      </c>
      <c r="C10" t="s">
        <v>56</v>
      </c>
      <c r="D10">
        <v>20</v>
      </c>
    </row>
    <row r="11" spans="1:4" x14ac:dyDescent="0.25">
      <c r="A11" t="s">
        <v>56</v>
      </c>
      <c r="B11" t="s">
        <v>0</v>
      </c>
      <c r="C11" t="s">
        <v>56</v>
      </c>
      <c r="D11">
        <v>20</v>
      </c>
    </row>
    <row r="12" spans="1:4" x14ac:dyDescent="0.25">
      <c r="A12" t="s">
        <v>50</v>
      </c>
      <c r="B12" t="s">
        <v>0</v>
      </c>
      <c r="C12" t="s">
        <v>58</v>
      </c>
      <c r="D12">
        <v>20</v>
      </c>
    </row>
    <row r="13" spans="1:4" x14ac:dyDescent="0.25">
      <c r="A13" t="s">
        <v>58</v>
      </c>
      <c r="B13" t="s">
        <v>0</v>
      </c>
      <c r="C13" t="s">
        <v>58</v>
      </c>
      <c r="D13">
        <v>20</v>
      </c>
    </row>
    <row r="14" spans="1:4" x14ac:dyDescent="0.25">
      <c r="A14" t="s">
        <v>51</v>
      </c>
      <c r="B14" t="s">
        <v>0</v>
      </c>
      <c r="C14" t="s">
        <v>65</v>
      </c>
      <c r="D14">
        <v>20</v>
      </c>
    </row>
    <row r="15" spans="1:4" x14ac:dyDescent="0.25">
      <c r="A15" t="s">
        <v>65</v>
      </c>
      <c r="B15" t="s">
        <v>0</v>
      </c>
      <c r="C15" t="s">
        <v>65</v>
      </c>
      <c r="D15">
        <v>20</v>
      </c>
    </row>
    <row r="16" spans="1:4" x14ac:dyDescent="0.25">
      <c r="A16" t="s">
        <v>63</v>
      </c>
      <c r="B16" t="s">
        <v>0</v>
      </c>
      <c r="C16" t="s">
        <v>64</v>
      </c>
      <c r="D16">
        <v>20</v>
      </c>
    </row>
    <row r="17" spans="1:4" x14ac:dyDescent="0.25">
      <c r="A17" t="s">
        <v>64</v>
      </c>
      <c r="B17" t="s">
        <v>0</v>
      </c>
      <c r="C17" t="s">
        <v>64</v>
      </c>
      <c r="D17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8"/>
  <sheetViews>
    <sheetView workbookViewId="0">
      <selection activeCell="L9" sqref="L9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8" bestFit="1" customWidth="1"/>
    <col min="5" max="5" width="16" style="2" bestFit="1" customWidth="1"/>
    <col min="6" max="6" width="16.28515625" style="2" bestFit="1" customWidth="1"/>
    <col min="7" max="7" width="15.28515625" style="8" bestFit="1" customWidth="1"/>
    <col min="8" max="8" width="19" style="2" bestFit="1" customWidth="1"/>
    <col min="9" max="9" width="10.28515625" style="8" bestFit="1" customWidth="1"/>
    <col min="10" max="10" width="19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8" t="s">
        <v>41</v>
      </c>
      <c r="E1" s="2" t="s">
        <v>42</v>
      </c>
      <c r="F1" s="2" t="s">
        <v>43</v>
      </c>
      <c r="G1" s="8" t="s">
        <v>44</v>
      </c>
      <c r="H1" s="2" t="s">
        <v>45</v>
      </c>
      <c r="I1" s="8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8">
        <v>200</v>
      </c>
      <c r="E2" s="2">
        <v>97.28</v>
      </c>
      <c r="F2" s="2">
        <v>98.1</v>
      </c>
      <c r="G2" s="8">
        <v>1000</v>
      </c>
      <c r="H2" s="2">
        <v>97.489998</v>
      </c>
      <c r="I2" s="8">
        <v>0</v>
      </c>
      <c r="J2" t="s">
        <v>113</v>
      </c>
    </row>
    <row r="3" spans="1:10" x14ac:dyDescent="0.25">
      <c r="A3" t="s">
        <v>47</v>
      </c>
      <c r="B3" t="s">
        <v>48</v>
      </c>
      <c r="C3" t="s">
        <v>0</v>
      </c>
      <c r="D3" s="8">
        <v>200</v>
      </c>
      <c r="E3" s="2">
        <v>28.85</v>
      </c>
      <c r="F3" s="2">
        <v>29.02</v>
      </c>
      <c r="G3" s="8">
        <v>100</v>
      </c>
      <c r="H3" s="2">
        <v>28.99</v>
      </c>
      <c r="I3" s="8">
        <v>0</v>
      </c>
      <c r="J3" t="s">
        <v>113</v>
      </c>
    </row>
    <row r="4" spans="1:10" x14ac:dyDescent="0.25">
      <c r="A4" t="s">
        <v>47</v>
      </c>
      <c r="B4" t="s">
        <v>9</v>
      </c>
      <c r="C4" t="s">
        <v>0</v>
      </c>
      <c r="D4" s="8">
        <v>500</v>
      </c>
      <c r="E4" s="2">
        <v>72.209999999999994</v>
      </c>
      <c r="F4" s="2">
        <v>72.5</v>
      </c>
      <c r="G4" s="8">
        <v>100</v>
      </c>
      <c r="H4" s="2">
        <v>72.339995999999999</v>
      </c>
      <c r="I4" s="8">
        <v>0</v>
      </c>
      <c r="J4" t="s">
        <v>113</v>
      </c>
    </row>
    <row r="5" spans="1:10" x14ac:dyDescent="0.25">
      <c r="A5" t="s">
        <v>47</v>
      </c>
      <c r="B5" t="s">
        <v>49</v>
      </c>
      <c r="C5" t="s">
        <v>0</v>
      </c>
      <c r="D5" s="8">
        <v>100</v>
      </c>
      <c r="E5" s="2">
        <v>47.55</v>
      </c>
      <c r="F5" s="2">
        <v>47.91</v>
      </c>
      <c r="G5" s="8">
        <v>2500</v>
      </c>
      <c r="H5" s="2">
        <v>47.650002000000001</v>
      </c>
      <c r="I5" s="8">
        <v>0</v>
      </c>
      <c r="J5" t="s">
        <v>113</v>
      </c>
    </row>
    <row r="6" spans="1:10" x14ac:dyDescent="0.25">
      <c r="A6" t="s">
        <v>47</v>
      </c>
      <c r="B6" t="s">
        <v>50</v>
      </c>
      <c r="C6" t="s">
        <v>0</v>
      </c>
      <c r="D6" s="8">
        <v>100</v>
      </c>
      <c r="E6" s="2">
        <v>21.77</v>
      </c>
      <c r="F6" s="2">
        <v>22.42</v>
      </c>
      <c r="G6" s="8">
        <v>100</v>
      </c>
      <c r="H6" s="2">
        <v>21.93</v>
      </c>
      <c r="I6" s="8">
        <v>-2415</v>
      </c>
      <c r="J6" t="s">
        <v>113</v>
      </c>
    </row>
    <row r="7" spans="1:10" x14ac:dyDescent="0.25">
      <c r="A7" t="s">
        <v>47</v>
      </c>
      <c r="B7" t="s">
        <v>51</v>
      </c>
      <c r="C7" t="s">
        <v>0</v>
      </c>
      <c r="D7" s="8">
        <v>200</v>
      </c>
      <c r="E7" s="2">
        <v>56.4</v>
      </c>
      <c r="F7" s="2">
        <v>56.65</v>
      </c>
      <c r="G7" s="8">
        <v>2500</v>
      </c>
      <c r="H7" s="2">
        <v>56.580002</v>
      </c>
      <c r="I7" s="8">
        <v>0</v>
      </c>
      <c r="J7" t="s">
        <v>113</v>
      </c>
    </row>
    <row r="8" spans="1:10" x14ac:dyDescent="0.25">
      <c r="A8" t="s">
        <v>47</v>
      </c>
      <c r="B8" t="s">
        <v>35</v>
      </c>
      <c r="C8" t="s">
        <v>0</v>
      </c>
      <c r="D8" s="8">
        <v>1000</v>
      </c>
      <c r="E8" s="2">
        <v>90.57</v>
      </c>
      <c r="F8" s="2">
        <v>100.29</v>
      </c>
      <c r="G8" s="8">
        <v>100</v>
      </c>
      <c r="H8" s="2">
        <v>95.009804000000003</v>
      </c>
      <c r="I8" s="8">
        <v>-200</v>
      </c>
      <c r="J8" t="s">
        <v>113</v>
      </c>
    </row>
    <row r="9" spans="1:10" x14ac:dyDescent="0.25">
      <c r="A9" t="s">
        <v>47</v>
      </c>
      <c r="B9" t="s">
        <v>52</v>
      </c>
      <c r="C9" t="s">
        <v>0</v>
      </c>
      <c r="D9" s="8">
        <v>100</v>
      </c>
      <c r="E9" s="2">
        <v>103.11</v>
      </c>
      <c r="F9" s="2">
        <v>109.6</v>
      </c>
      <c r="G9" s="8">
        <v>100</v>
      </c>
      <c r="H9" s="2">
        <v>103.57</v>
      </c>
      <c r="I9" s="8">
        <v>-884</v>
      </c>
      <c r="J9" t="s">
        <v>113</v>
      </c>
    </row>
    <row r="10" spans="1:10" x14ac:dyDescent="0.25">
      <c r="A10" t="s">
        <v>47</v>
      </c>
      <c r="B10" t="s">
        <v>53</v>
      </c>
      <c r="C10" t="s">
        <v>0</v>
      </c>
      <c r="D10" s="8">
        <v>100</v>
      </c>
      <c r="E10" s="2">
        <v>94.7</v>
      </c>
      <c r="F10" s="2">
        <v>95</v>
      </c>
      <c r="G10" s="8">
        <v>200</v>
      </c>
      <c r="H10" s="2">
        <v>94.669998000000007</v>
      </c>
      <c r="I10" s="8">
        <v>0</v>
      </c>
      <c r="J10" t="s">
        <v>113</v>
      </c>
    </row>
    <row r="11" spans="1:10" x14ac:dyDescent="0.25">
      <c r="A11" t="s">
        <v>47</v>
      </c>
      <c r="B11" t="s">
        <v>54</v>
      </c>
      <c r="C11" t="s">
        <v>0</v>
      </c>
      <c r="D11" s="8">
        <v>200</v>
      </c>
      <c r="E11" s="2">
        <v>25.85</v>
      </c>
      <c r="F11" s="2">
        <v>26</v>
      </c>
      <c r="G11" s="8">
        <v>6600</v>
      </c>
      <c r="H11" s="2">
        <v>25.719999000000001</v>
      </c>
      <c r="I11" s="8">
        <v>0</v>
      </c>
      <c r="J11" t="s">
        <v>113</v>
      </c>
    </row>
    <row r="12" spans="1:10" x14ac:dyDescent="0.25">
      <c r="A12" t="s">
        <v>47</v>
      </c>
      <c r="B12" t="s">
        <v>55</v>
      </c>
      <c r="C12" t="s">
        <v>0</v>
      </c>
      <c r="D12" s="8">
        <v>8900</v>
      </c>
      <c r="E12" s="2">
        <v>26.93</v>
      </c>
      <c r="F12" s="2">
        <v>27.07</v>
      </c>
      <c r="G12" s="8">
        <v>7000</v>
      </c>
      <c r="H12" s="2">
        <v>27</v>
      </c>
      <c r="I12" s="8">
        <v>0</v>
      </c>
      <c r="J12" t="s">
        <v>113</v>
      </c>
    </row>
    <row r="13" spans="1:10" x14ac:dyDescent="0.25">
      <c r="A13" t="s">
        <v>47</v>
      </c>
      <c r="B13" t="s">
        <v>19</v>
      </c>
      <c r="C13" t="s">
        <v>0</v>
      </c>
      <c r="D13" s="8">
        <v>10000</v>
      </c>
      <c r="E13" s="2">
        <v>79.569999999999993</v>
      </c>
      <c r="F13" s="2">
        <v>79.58</v>
      </c>
      <c r="G13" s="8">
        <v>1200</v>
      </c>
      <c r="H13" s="2">
        <v>79.559997999999993</v>
      </c>
      <c r="I13" s="8">
        <v>0</v>
      </c>
      <c r="J13" t="s">
        <v>113</v>
      </c>
    </row>
    <row r="14" spans="1:10" x14ac:dyDescent="0.25">
      <c r="A14" t="s">
        <v>47</v>
      </c>
      <c r="B14" t="s">
        <v>17</v>
      </c>
      <c r="C14" t="s">
        <v>0</v>
      </c>
      <c r="D14" s="8">
        <v>300</v>
      </c>
      <c r="E14" s="2">
        <v>36.299999999999997</v>
      </c>
      <c r="F14" s="2">
        <v>36.83</v>
      </c>
      <c r="G14" s="8">
        <v>3000</v>
      </c>
      <c r="H14" s="2">
        <v>36.290000999999997</v>
      </c>
      <c r="I14" s="8">
        <v>0</v>
      </c>
      <c r="J14" t="s">
        <v>113</v>
      </c>
    </row>
    <row r="15" spans="1:10" x14ac:dyDescent="0.25">
      <c r="A15" t="s">
        <v>47</v>
      </c>
      <c r="B15" t="s">
        <v>56</v>
      </c>
      <c r="C15" t="s">
        <v>0</v>
      </c>
      <c r="D15" s="8">
        <v>200</v>
      </c>
      <c r="E15" s="2">
        <v>49.5</v>
      </c>
      <c r="F15" s="2">
        <v>52.78</v>
      </c>
      <c r="G15" s="8">
        <v>300</v>
      </c>
      <c r="H15" s="2">
        <v>49.790000999999997</v>
      </c>
      <c r="I15" s="8">
        <v>0</v>
      </c>
      <c r="J15" t="s">
        <v>113</v>
      </c>
    </row>
    <row r="16" spans="1:10" x14ac:dyDescent="0.25">
      <c r="A16" t="s">
        <v>47</v>
      </c>
      <c r="B16" t="s">
        <v>57</v>
      </c>
      <c r="C16" t="s">
        <v>0</v>
      </c>
      <c r="D16" s="8">
        <v>100</v>
      </c>
      <c r="E16" s="2">
        <v>109.7</v>
      </c>
      <c r="F16" s="2">
        <v>121.3</v>
      </c>
      <c r="G16" s="8">
        <v>300</v>
      </c>
      <c r="H16" s="2">
        <v>115.620003</v>
      </c>
      <c r="I16" s="8">
        <v>788</v>
      </c>
      <c r="J16" t="s">
        <v>113</v>
      </c>
    </row>
    <row r="17" spans="1:10" x14ac:dyDescent="0.25">
      <c r="A17" t="s">
        <v>47</v>
      </c>
      <c r="B17" t="s">
        <v>26</v>
      </c>
      <c r="C17" t="s">
        <v>0</v>
      </c>
      <c r="D17" s="8">
        <v>100</v>
      </c>
      <c r="E17" s="2">
        <v>47.51</v>
      </c>
      <c r="F17" s="2">
        <v>48.95</v>
      </c>
      <c r="G17" s="8">
        <v>100</v>
      </c>
      <c r="H17" s="2">
        <v>47.869999</v>
      </c>
      <c r="I17" s="8">
        <v>0</v>
      </c>
      <c r="J17" t="s">
        <v>113</v>
      </c>
    </row>
    <row r="18" spans="1:10" x14ac:dyDescent="0.25">
      <c r="A18" t="s">
        <v>47</v>
      </c>
      <c r="B18" t="s">
        <v>58</v>
      </c>
      <c r="C18" t="s">
        <v>0</v>
      </c>
      <c r="D18" s="8">
        <v>100</v>
      </c>
      <c r="E18" s="2">
        <v>41.46</v>
      </c>
      <c r="F18" s="2">
        <v>41.58</v>
      </c>
      <c r="G18" s="8">
        <v>100</v>
      </c>
      <c r="H18" s="2">
        <v>41.459999000000003</v>
      </c>
      <c r="I18" s="8">
        <v>1277</v>
      </c>
      <c r="J18" t="s">
        <v>113</v>
      </c>
    </row>
    <row r="19" spans="1:10" x14ac:dyDescent="0.25">
      <c r="A19" t="s">
        <v>47</v>
      </c>
      <c r="B19" t="s">
        <v>8</v>
      </c>
      <c r="C19" t="s">
        <v>0</v>
      </c>
      <c r="D19" s="8">
        <v>100</v>
      </c>
      <c r="E19" s="2">
        <v>43.99</v>
      </c>
      <c r="F19" s="2">
        <v>45.93</v>
      </c>
      <c r="G19" s="8">
        <v>3000</v>
      </c>
      <c r="H19" s="2">
        <v>45.5</v>
      </c>
      <c r="I19" s="8">
        <v>0</v>
      </c>
      <c r="J19" t="s">
        <v>113</v>
      </c>
    </row>
    <row r="20" spans="1:10" x14ac:dyDescent="0.25">
      <c r="A20" t="s">
        <v>47</v>
      </c>
      <c r="B20" t="s">
        <v>20</v>
      </c>
      <c r="C20" t="s">
        <v>0</v>
      </c>
      <c r="D20" s="8">
        <v>5200</v>
      </c>
      <c r="E20" s="2">
        <v>95.7</v>
      </c>
      <c r="F20" s="2">
        <v>95.97</v>
      </c>
      <c r="G20" s="8">
        <v>7600</v>
      </c>
      <c r="H20" s="2">
        <v>95.769997000000004</v>
      </c>
      <c r="I20" s="8">
        <v>0</v>
      </c>
      <c r="J20" t="s">
        <v>113</v>
      </c>
    </row>
    <row r="21" spans="1:10" x14ac:dyDescent="0.25">
      <c r="A21" t="s">
        <v>47</v>
      </c>
      <c r="B21" t="s">
        <v>59</v>
      </c>
      <c r="C21" t="s">
        <v>0</v>
      </c>
      <c r="D21" s="8">
        <v>5000</v>
      </c>
      <c r="E21" s="2">
        <v>105.83</v>
      </c>
      <c r="F21" s="2">
        <v>105.95</v>
      </c>
      <c r="G21" s="8">
        <v>300</v>
      </c>
      <c r="H21" s="2">
        <v>106.05999799999999</v>
      </c>
      <c r="I21" s="8">
        <v>0</v>
      </c>
      <c r="J21" t="s">
        <v>113</v>
      </c>
    </row>
    <row r="22" spans="1:10" x14ac:dyDescent="0.25">
      <c r="A22" t="s">
        <v>47</v>
      </c>
      <c r="B22" t="s">
        <v>23</v>
      </c>
      <c r="C22" t="s">
        <v>0</v>
      </c>
      <c r="D22" s="8">
        <v>100</v>
      </c>
      <c r="E22" s="2">
        <v>91.58</v>
      </c>
      <c r="F22" s="2">
        <v>96.5</v>
      </c>
      <c r="G22" s="8">
        <v>300</v>
      </c>
      <c r="H22" s="2">
        <v>93.300003000000004</v>
      </c>
      <c r="I22" s="8">
        <v>0</v>
      </c>
      <c r="J22" t="s">
        <v>113</v>
      </c>
    </row>
    <row r="23" spans="1:10" x14ac:dyDescent="0.25">
      <c r="A23" t="s">
        <v>47</v>
      </c>
      <c r="B23" t="s">
        <v>4</v>
      </c>
      <c r="C23" t="s">
        <v>0</v>
      </c>
      <c r="D23" s="8">
        <v>300</v>
      </c>
      <c r="E23" s="2">
        <v>105.25</v>
      </c>
      <c r="F23" s="2">
        <v>105.54</v>
      </c>
      <c r="G23" s="8">
        <v>100</v>
      </c>
      <c r="H23" s="2">
        <v>105.470001</v>
      </c>
      <c r="I23" s="8">
        <v>0</v>
      </c>
      <c r="J23" t="s">
        <v>113</v>
      </c>
    </row>
    <row r="24" spans="1:10" x14ac:dyDescent="0.25">
      <c r="A24" t="s">
        <v>47</v>
      </c>
      <c r="B24" t="s">
        <v>60</v>
      </c>
      <c r="C24" t="s">
        <v>0</v>
      </c>
      <c r="D24" s="8">
        <v>100</v>
      </c>
      <c r="E24" s="2">
        <v>21</v>
      </c>
      <c r="F24" s="2">
        <v>21.19</v>
      </c>
      <c r="G24" s="8">
        <v>1500</v>
      </c>
      <c r="H24" s="2">
        <v>21.084999</v>
      </c>
      <c r="I24" s="8">
        <v>0</v>
      </c>
      <c r="J24" t="s">
        <v>113</v>
      </c>
    </row>
    <row r="25" spans="1:10" x14ac:dyDescent="0.25">
      <c r="A25" t="s">
        <v>47</v>
      </c>
      <c r="B25" t="s">
        <v>61</v>
      </c>
      <c r="C25" t="s">
        <v>0</v>
      </c>
      <c r="D25" s="8">
        <v>200</v>
      </c>
      <c r="E25" s="2">
        <v>30.46</v>
      </c>
      <c r="F25" s="2">
        <v>30.57</v>
      </c>
      <c r="G25" s="8">
        <v>100</v>
      </c>
      <c r="H25" s="2">
        <v>30.450001</v>
      </c>
      <c r="I25" s="8">
        <v>-3000</v>
      </c>
      <c r="J25" t="s">
        <v>113</v>
      </c>
    </row>
    <row r="26" spans="1:10" x14ac:dyDescent="0.25">
      <c r="A26" t="s">
        <v>47</v>
      </c>
      <c r="B26" t="s">
        <v>62</v>
      </c>
      <c r="C26" t="s">
        <v>0</v>
      </c>
      <c r="D26" s="8">
        <v>1700</v>
      </c>
      <c r="E26" s="2">
        <v>18.38</v>
      </c>
      <c r="F26" s="2">
        <v>18.600000000000001</v>
      </c>
      <c r="G26" s="8">
        <v>2000</v>
      </c>
      <c r="H26" s="2">
        <v>18.420000000000002</v>
      </c>
      <c r="I26" s="8">
        <v>1650</v>
      </c>
      <c r="J26" t="s">
        <v>113</v>
      </c>
    </row>
    <row r="27" spans="1:10" x14ac:dyDescent="0.25">
      <c r="A27" t="s">
        <v>47</v>
      </c>
      <c r="B27" t="s">
        <v>63</v>
      </c>
      <c r="C27" t="s">
        <v>0</v>
      </c>
      <c r="D27" s="8">
        <v>21600</v>
      </c>
      <c r="E27" s="2">
        <v>23.82</v>
      </c>
      <c r="F27" s="2">
        <v>24.1</v>
      </c>
      <c r="G27" s="8">
        <v>7900</v>
      </c>
      <c r="H27" s="2">
        <v>24.059999000000001</v>
      </c>
      <c r="I27" s="8">
        <v>0</v>
      </c>
      <c r="J27" t="s">
        <v>113</v>
      </c>
    </row>
    <row r="28" spans="1:10" x14ac:dyDescent="0.25">
      <c r="A28" t="s">
        <v>47</v>
      </c>
      <c r="B28" t="s">
        <v>29</v>
      </c>
      <c r="C28" t="s">
        <v>0</v>
      </c>
      <c r="D28" s="8">
        <v>4000</v>
      </c>
      <c r="E28" s="2">
        <v>29.91</v>
      </c>
      <c r="F28" s="2">
        <v>29.92</v>
      </c>
      <c r="G28" s="8">
        <v>23400</v>
      </c>
      <c r="H28" s="2">
        <v>30.030000999999999</v>
      </c>
      <c r="I28" s="8">
        <v>0</v>
      </c>
      <c r="J28" t="s">
        <v>113</v>
      </c>
    </row>
    <row r="29" spans="1:10" x14ac:dyDescent="0.25">
      <c r="A29" t="s">
        <v>47</v>
      </c>
      <c r="B29" t="s">
        <v>6</v>
      </c>
      <c r="C29" t="s">
        <v>0</v>
      </c>
      <c r="D29" s="8">
        <v>18700</v>
      </c>
      <c r="E29" s="2">
        <v>22.73</v>
      </c>
      <c r="F29" s="2">
        <v>22.78</v>
      </c>
      <c r="G29" s="8">
        <v>7500</v>
      </c>
      <c r="H29" s="2">
        <v>22.799999</v>
      </c>
      <c r="I29" s="8">
        <v>0</v>
      </c>
      <c r="J29" t="s">
        <v>113</v>
      </c>
    </row>
    <row r="30" spans="1:10" x14ac:dyDescent="0.25">
      <c r="A30" t="s">
        <v>47</v>
      </c>
      <c r="B30" t="s">
        <v>16</v>
      </c>
      <c r="C30" t="s">
        <v>0</v>
      </c>
      <c r="D30" s="8">
        <v>1500</v>
      </c>
      <c r="E30" s="2">
        <v>26.02</v>
      </c>
      <c r="F30" s="2">
        <v>26.08</v>
      </c>
      <c r="G30" s="8">
        <v>400</v>
      </c>
      <c r="H30" s="2">
        <v>26.01</v>
      </c>
      <c r="I30" s="8">
        <v>0</v>
      </c>
      <c r="J30" t="s">
        <v>113</v>
      </c>
    </row>
    <row r="31" spans="1:10" x14ac:dyDescent="0.25">
      <c r="A31" t="s">
        <v>47</v>
      </c>
      <c r="B31" t="s">
        <v>7</v>
      </c>
      <c r="C31" t="s">
        <v>0</v>
      </c>
      <c r="D31" s="8">
        <v>300</v>
      </c>
      <c r="E31" s="2">
        <v>22.17</v>
      </c>
      <c r="F31" s="2">
        <v>25.8</v>
      </c>
      <c r="G31" s="8">
        <v>1600</v>
      </c>
      <c r="H31" s="2">
        <v>25.129999000000002</v>
      </c>
      <c r="I31" s="8">
        <v>0</v>
      </c>
      <c r="J31" t="s">
        <v>113</v>
      </c>
    </row>
    <row r="32" spans="1:10" x14ac:dyDescent="0.25">
      <c r="A32" t="s">
        <v>47</v>
      </c>
      <c r="B32" t="s">
        <v>32</v>
      </c>
      <c r="C32" t="s">
        <v>0</v>
      </c>
      <c r="D32" s="8">
        <v>200</v>
      </c>
      <c r="E32" s="2">
        <v>28.34</v>
      </c>
      <c r="F32" s="2">
        <v>28.41</v>
      </c>
      <c r="G32" s="8">
        <v>300</v>
      </c>
      <c r="H32" s="2">
        <v>28.42</v>
      </c>
      <c r="I32" s="8">
        <v>0</v>
      </c>
      <c r="J32" t="s">
        <v>113</v>
      </c>
    </row>
    <row r="33" spans="1:10" x14ac:dyDescent="0.25">
      <c r="A33" t="s">
        <v>47</v>
      </c>
      <c r="B33" t="s">
        <v>15</v>
      </c>
      <c r="C33" t="s">
        <v>0</v>
      </c>
      <c r="D33" s="8">
        <v>14500</v>
      </c>
      <c r="E33" s="2">
        <v>23.28</v>
      </c>
      <c r="F33" s="2">
        <v>23.31</v>
      </c>
      <c r="G33" s="8">
        <v>700</v>
      </c>
      <c r="H33" s="2">
        <v>23.27</v>
      </c>
      <c r="I33" s="8">
        <v>0</v>
      </c>
      <c r="J33" t="s">
        <v>113</v>
      </c>
    </row>
    <row r="34" spans="1:10" x14ac:dyDescent="0.25">
      <c r="A34" t="s">
        <v>47</v>
      </c>
      <c r="B34" t="s">
        <v>25</v>
      </c>
      <c r="C34" t="s">
        <v>0</v>
      </c>
      <c r="D34" s="8">
        <v>100</v>
      </c>
      <c r="E34" s="2">
        <v>16.07</v>
      </c>
      <c r="F34" s="2">
        <v>22.19</v>
      </c>
      <c r="G34" s="8">
        <v>5000</v>
      </c>
      <c r="H34" s="2">
        <v>21.360001</v>
      </c>
      <c r="I34" s="8">
        <v>0</v>
      </c>
      <c r="J34" t="s">
        <v>113</v>
      </c>
    </row>
    <row r="35" spans="1:10" x14ac:dyDescent="0.25">
      <c r="A35" t="s">
        <v>47</v>
      </c>
      <c r="B35" t="s">
        <v>21</v>
      </c>
      <c r="C35" t="s">
        <v>0</v>
      </c>
      <c r="D35" s="8">
        <v>100</v>
      </c>
      <c r="E35" s="2">
        <v>21.26</v>
      </c>
      <c r="F35" s="2">
        <v>22.5</v>
      </c>
      <c r="G35" s="8">
        <v>100</v>
      </c>
      <c r="H35" s="2">
        <v>22</v>
      </c>
      <c r="I35" s="8">
        <v>0</v>
      </c>
      <c r="J35" t="s">
        <v>113</v>
      </c>
    </row>
    <row r="36" spans="1:10" x14ac:dyDescent="0.25">
      <c r="A36" t="s">
        <v>47</v>
      </c>
      <c r="B36" t="s">
        <v>28</v>
      </c>
      <c r="C36" t="s">
        <v>0</v>
      </c>
      <c r="D36" s="8">
        <v>106100</v>
      </c>
      <c r="E36" s="2">
        <v>25.08</v>
      </c>
      <c r="F36" s="2">
        <v>25.09</v>
      </c>
      <c r="G36" s="8">
        <v>101400</v>
      </c>
      <c r="H36" s="2">
        <v>25.18</v>
      </c>
      <c r="I36" s="8">
        <v>0</v>
      </c>
      <c r="J36" t="s">
        <v>113</v>
      </c>
    </row>
    <row r="37" spans="1:10" x14ac:dyDescent="0.25">
      <c r="A37" t="s">
        <v>47</v>
      </c>
      <c r="B37" t="s">
        <v>24</v>
      </c>
      <c r="C37" t="s">
        <v>0</v>
      </c>
      <c r="D37" s="8">
        <v>100</v>
      </c>
      <c r="E37" s="2">
        <v>42.51</v>
      </c>
      <c r="F37" s="2">
        <v>45.99</v>
      </c>
      <c r="G37" s="8">
        <v>400</v>
      </c>
      <c r="H37" s="2">
        <v>44.91</v>
      </c>
      <c r="I37" s="8">
        <v>0</v>
      </c>
      <c r="J37" t="s">
        <v>113</v>
      </c>
    </row>
    <row r="38" spans="1:10" x14ac:dyDescent="0.25">
      <c r="A38" t="s">
        <v>47</v>
      </c>
      <c r="B38" t="s">
        <v>30</v>
      </c>
      <c r="C38" t="s">
        <v>0</v>
      </c>
      <c r="D38" s="8">
        <v>18900</v>
      </c>
      <c r="E38" s="2">
        <v>82.01</v>
      </c>
      <c r="F38" s="2">
        <v>82.02</v>
      </c>
      <c r="G38" s="8">
        <v>41600</v>
      </c>
      <c r="H38" s="2">
        <v>82.339995999999999</v>
      </c>
      <c r="I38" s="8">
        <v>2414</v>
      </c>
      <c r="J38" t="s">
        <v>113</v>
      </c>
    </row>
    <row r="39" spans="1:10" x14ac:dyDescent="0.25">
      <c r="A39" t="s">
        <v>47</v>
      </c>
      <c r="B39" t="s">
        <v>18</v>
      </c>
      <c r="C39" t="s">
        <v>0</v>
      </c>
      <c r="D39" s="8">
        <v>1200</v>
      </c>
      <c r="E39" s="2">
        <v>36.81</v>
      </c>
      <c r="F39" s="2">
        <v>36.89</v>
      </c>
      <c r="G39" s="8">
        <v>700</v>
      </c>
      <c r="H39" s="2">
        <v>36.799999</v>
      </c>
      <c r="I39" s="8">
        <v>0</v>
      </c>
      <c r="J39" t="s">
        <v>113</v>
      </c>
    </row>
    <row r="40" spans="1:10" x14ac:dyDescent="0.25">
      <c r="A40" t="s">
        <v>47</v>
      </c>
      <c r="B40" t="s">
        <v>33</v>
      </c>
      <c r="C40" t="s">
        <v>0</v>
      </c>
      <c r="D40" s="8">
        <v>100</v>
      </c>
      <c r="E40" s="2">
        <v>45.36</v>
      </c>
      <c r="F40" s="2">
        <v>51.77</v>
      </c>
      <c r="G40" s="8">
        <v>800</v>
      </c>
      <c r="H40" s="2">
        <v>50.25</v>
      </c>
      <c r="I40" s="8">
        <v>0</v>
      </c>
      <c r="J40" t="s">
        <v>113</v>
      </c>
    </row>
    <row r="41" spans="1:10" x14ac:dyDescent="0.25">
      <c r="A41" t="s">
        <v>47</v>
      </c>
      <c r="B41" t="s">
        <v>64</v>
      </c>
      <c r="C41" t="s">
        <v>0</v>
      </c>
      <c r="D41" s="8">
        <v>4500</v>
      </c>
      <c r="E41" s="2">
        <v>66.47</v>
      </c>
      <c r="F41" s="2">
        <v>67.790000000000006</v>
      </c>
      <c r="G41" s="8">
        <v>4400</v>
      </c>
      <c r="H41" s="2">
        <v>67.190002000000007</v>
      </c>
      <c r="I41" s="8">
        <v>0</v>
      </c>
      <c r="J41" t="s">
        <v>113</v>
      </c>
    </row>
    <row r="42" spans="1:10" x14ac:dyDescent="0.25">
      <c r="A42" t="s">
        <v>47</v>
      </c>
      <c r="B42" t="s">
        <v>27</v>
      </c>
      <c r="C42" t="s">
        <v>0</v>
      </c>
      <c r="D42" s="8">
        <v>100</v>
      </c>
      <c r="E42" s="2">
        <v>71.66</v>
      </c>
      <c r="F42" s="2">
        <v>72.150000000000006</v>
      </c>
      <c r="G42" s="8">
        <v>1000</v>
      </c>
      <c r="H42" s="2">
        <v>71.819999999999993</v>
      </c>
      <c r="I42" s="8">
        <v>0</v>
      </c>
      <c r="J42" t="s">
        <v>113</v>
      </c>
    </row>
    <row r="43" spans="1:10" x14ac:dyDescent="0.25">
      <c r="A43" t="s">
        <v>47</v>
      </c>
      <c r="B43" t="s">
        <v>31</v>
      </c>
      <c r="C43" t="s">
        <v>0</v>
      </c>
      <c r="D43" s="8">
        <v>37000</v>
      </c>
      <c r="E43" s="2">
        <v>52.73</v>
      </c>
      <c r="F43" s="2">
        <v>52.75</v>
      </c>
      <c r="G43" s="8">
        <v>14900</v>
      </c>
      <c r="H43" s="2">
        <v>52.939999</v>
      </c>
      <c r="I43" s="8">
        <v>-3764</v>
      </c>
      <c r="J43" t="s">
        <v>113</v>
      </c>
    </row>
    <row r="44" spans="1:10" x14ac:dyDescent="0.25">
      <c r="A44" t="s">
        <v>47</v>
      </c>
      <c r="B44" t="s">
        <v>22</v>
      </c>
      <c r="C44" t="s">
        <v>0</v>
      </c>
      <c r="D44" s="8">
        <v>100</v>
      </c>
      <c r="E44" s="2">
        <v>46.07</v>
      </c>
      <c r="F44" s="2">
        <v>47.35</v>
      </c>
      <c r="G44" s="8">
        <v>200</v>
      </c>
      <c r="H44" s="2">
        <v>46.240001999999997</v>
      </c>
      <c r="I44" s="8">
        <v>0</v>
      </c>
      <c r="J44" t="s">
        <v>113</v>
      </c>
    </row>
    <row r="45" spans="1:10" x14ac:dyDescent="0.25">
      <c r="A45" t="s">
        <v>47</v>
      </c>
      <c r="B45" t="s">
        <v>34</v>
      </c>
      <c r="C45" t="s">
        <v>0</v>
      </c>
      <c r="D45" s="8">
        <v>100</v>
      </c>
      <c r="E45" s="2">
        <v>74.7</v>
      </c>
      <c r="F45" s="2">
        <v>75.099999999999994</v>
      </c>
      <c r="G45" s="8">
        <v>900</v>
      </c>
      <c r="H45" s="2">
        <v>75.141998000000001</v>
      </c>
      <c r="I45" s="8">
        <v>253</v>
      </c>
      <c r="J45" t="s">
        <v>113</v>
      </c>
    </row>
    <row r="46" spans="1:10" x14ac:dyDescent="0.25">
      <c r="A46" t="s">
        <v>47</v>
      </c>
      <c r="B46" t="s">
        <v>3</v>
      </c>
      <c r="C46" t="s">
        <v>0</v>
      </c>
      <c r="D46" s="8">
        <v>400</v>
      </c>
      <c r="E46" s="2">
        <v>49.52</v>
      </c>
      <c r="F46" s="2">
        <v>49.6</v>
      </c>
      <c r="G46" s="8">
        <v>100</v>
      </c>
      <c r="H46" s="2">
        <v>49.57</v>
      </c>
      <c r="I46" s="8">
        <v>0</v>
      </c>
      <c r="J46" t="s">
        <v>113</v>
      </c>
    </row>
    <row r="47" spans="1:10" x14ac:dyDescent="0.25">
      <c r="A47" t="s">
        <v>47</v>
      </c>
      <c r="B47" t="s">
        <v>65</v>
      </c>
      <c r="C47" t="s">
        <v>0</v>
      </c>
      <c r="D47" s="8">
        <v>1000</v>
      </c>
      <c r="E47" s="2">
        <v>98.5</v>
      </c>
      <c r="F47" s="2">
        <v>99.05</v>
      </c>
      <c r="G47" s="8">
        <v>100</v>
      </c>
      <c r="H47" s="2">
        <v>98.620002999999997</v>
      </c>
      <c r="I47" s="8">
        <v>0</v>
      </c>
      <c r="J47" t="s">
        <v>113</v>
      </c>
    </row>
    <row r="48" spans="1:10" x14ac:dyDescent="0.25">
      <c r="A48" t="s">
        <v>47</v>
      </c>
      <c r="B48" t="s">
        <v>66</v>
      </c>
      <c r="C48" t="s">
        <v>0</v>
      </c>
      <c r="D48" s="8">
        <v>100</v>
      </c>
      <c r="E48" s="2">
        <v>65.7</v>
      </c>
      <c r="F48" s="2">
        <v>66.13</v>
      </c>
      <c r="G48" s="8">
        <v>200</v>
      </c>
      <c r="H48" s="2">
        <v>65.879997000000003</v>
      </c>
      <c r="I48" s="8">
        <v>0</v>
      </c>
      <c r="J48" t="s">
        <v>113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Y43"/>
  <sheetViews>
    <sheetView zoomScale="90" zoomScaleNormal="90" workbookViewId="0">
      <selection sqref="A1:XFD20"/>
    </sheetView>
  </sheetViews>
  <sheetFormatPr defaultRowHeight="15" x14ac:dyDescent="0.25"/>
  <cols>
    <col min="1" max="1" width="5.7109375" style="18" bestFit="1" customWidth="1"/>
    <col min="2" max="2" width="7.42578125" style="18" bestFit="1" customWidth="1"/>
    <col min="3" max="3" width="5.7109375" style="18" bestFit="1" customWidth="1"/>
    <col min="4" max="4" width="6.5703125" style="16" bestFit="1" customWidth="1"/>
    <col min="5" max="6" width="9.5703125" style="2" bestFit="1" customWidth="1"/>
    <col min="7" max="7" width="11.42578125" style="25" bestFit="1" customWidth="1"/>
    <col min="8" max="8" width="11.5703125" style="25" bestFit="1" customWidth="1"/>
    <col min="9" max="9" width="8.42578125" style="53" bestFit="1" customWidth="1"/>
    <col min="10" max="10" width="10.5703125" style="15" bestFit="1" customWidth="1"/>
    <col min="11" max="11" width="11.28515625" style="15" bestFit="1" customWidth="1"/>
    <col min="12" max="12" width="11.28515625" style="15" customWidth="1"/>
    <col min="13" max="13" width="9" bestFit="1" customWidth="1"/>
    <col min="14" max="14" width="9" customWidth="1"/>
    <col min="15" max="15" width="9" bestFit="1" customWidth="1"/>
    <col min="16" max="16" width="8.28515625" bestFit="1" customWidth="1"/>
    <col min="17" max="17" width="8.28515625" customWidth="1"/>
    <col min="18" max="18" width="7.85546875" style="51" bestFit="1" customWidth="1"/>
    <col min="19" max="19" width="9.7109375" style="52" bestFit="1" customWidth="1"/>
    <col min="20" max="20" width="10.5703125" style="52" bestFit="1" customWidth="1"/>
    <col min="21" max="21" width="3.7109375" style="1" customWidth="1"/>
    <col min="22" max="22" width="15.7109375" style="1" bestFit="1" customWidth="1"/>
    <col min="23" max="23" width="14.7109375" style="1" bestFit="1" customWidth="1"/>
    <col min="24" max="24" width="5.42578125" style="1" bestFit="1" customWidth="1"/>
    <col min="25" max="25" width="3.7109375" style="1" customWidth="1"/>
    <col min="26" max="26" width="11.28515625" bestFit="1" customWidth="1"/>
    <col min="27" max="27" width="14.7109375" style="60" bestFit="1" customWidth="1"/>
    <col min="28" max="28" width="15" style="66" bestFit="1" customWidth="1"/>
    <col min="29" max="29" width="13.7109375" style="66" bestFit="1" customWidth="1"/>
    <col min="30" max="30" width="14.42578125" style="66" bestFit="1" customWidth="1"/>
    <col min="31" max="31" width="15.7109375" style="66" bestFit="1" customWidth="1"/>
    <col min="33" max="33" width="16.5703125" style="2" bestFit="1" customWidth="1"/>
    <col min="34" max="34" width="17.42578125" style="2" bestFit="1" customWidth="1"/>
    <col min="35" max="35" width="16.7109375" style="2" bestFit="1" customWidth="1"/>
    <col min="36" max="36" width="18.7109375" style="2" bestFit="1" customWidth="1"/>
    <col min="37" max="37" width="16.5703125" style="2" bestFit="1" customWidth="1"/>
    <col min="38" max="38" width="14" style="2" bestFit="1" customWidth="1"/>
    <col min="39" max="39" width="28.28515625" style="2" bestFit="1" customWidth="1"/>
    <col min="40" max="40" width="26.42578125" style="2" bestFit="1" customWidth="1"/>
    <col min="41" max="41" width="28.5703125" style="2" bestFit="1" customWidth="1"/>
    <col min="42" max="42" width="5.28515625" style="2" bestFit="1" customWidth="1"/>
    <col min="43" max="43" width="26.5703125" style="66" bestFit="1" customWidth="1"/>
    <col min="44" max="44" width="18.7109375" style="55" bestFit="1" customWidth="1"/>
    <col min="45" max="45" width="20.85546875" style="2" bestFit="1" customWidth="1"/>
    <col min="46" max="46" width="15.85546875" bestFit="1" customWidth="1"/>
    <col min="47" max="47" width="10.85546875" bestFit="1" customWidth="1"/>
    <col min="48" max="48" width="11.5703125" bestFit="1" customWidth="1"/>
    <col min="49" max="50" width="15.140625" bestFit="1" customWidth="1"/>
    <col min="51" max="51" width="18.42578125" style="8" bestFit="1" customWidth="1"/>
  </cols>
  <sheetData>
    <row r="1" spans="1:51" s="17" customFormat="1" ht="15" customHeight="1" x14ac:dyDescent="0.2">
      <c r="A1" s="89" t="s">
        <v>75</v>
      </c>
      <c r="B1" s="90"/>
      <c r="E1" s="95" t="s">
        <v>77</v>
      </c>
      <c r="F1" s="96"/>
      <c r="G1" s="80">
        <v>5.0000000000000001E-3</v>
      </c>
      <c r="H1" s="80"/>
      <c r="I1" s="103"/>
      <c r="J1" s="75" t="s">
        <v>80</v>
      </c>
      <c r="K1" s="75"/>
      <c r="L1" s="107" t="s">
        <v>107</v>
      </c>
      <c r="M1" s="108"/>
      <c r="N1" s="109"/>
      <c r="O1" s="114" t="s">
        <v>108</v>
      </c>
      <c r="P1" s="115"/>
      <c r="Q1" s="116"/>
      <c r="R1" s="117" t="s">
        <v>81</v>
      </c>
      <c r="S1" s="118"/>
      <c r="T1" s="119"/>
      <c r="U1" s="23"/>
      <c r="V1" s="82" t="s">
        <v>86</v>
      </c>
      <c r="W1" s="82"/>
      <c r="X1" s="87"/>
      <c r="Y1" s="23"/>
      <c r="AA1" s="58"/>
      <c r="AB1" s="64"/>
      <c r="AC1" s="64"/>
      <c r="AD1" s="64"/>
      <c r="AE1" s="64"/>
      <c r="AG1" s="67">
        <f>SUM(AG3:AG13)</f>
        <v>5969.0700000000006</v>
      </c>
      <c r="AH1" s="67">
        <f>SUM(AH3:AH13)</f>
        <v>7234.57</v>
      </c>
      <c r="AI1" s="67">
        <f>SUM(AI3:AI13)</f>
        <v>13203.64</v>
      </c>
      <c r="AJ1" s="67">
        <f>SUM(AJ3:AJ13)</f>
        <v>-3753.8350000000005</v>
      </c>
      <c r="AK1" s="67">
        <f>SUM(AK3:AK13)</f>
        <v>-895.62822800000004</v>
      </c>
      <c r="AL1" s="67">
        <f>SUM(AL3:AL13)</f>
        <v>8554.1767719999989</v>
      </c>
      <c r="AM1" s="67"/>
      <c r="AN1" s="67"/>
      <c r="AO1" s="67">
        <f>SUM(AO3:AO13)</f>
        <v>343066.59768699994</v>
      </c>
      <c r="AP1" s="62">
        <f>SUM(AP3:AP13)</f>
        <v>1.7153329884349999</v>
      </c>
      <c r="AQ1" s="64"/>
      <c r="AR1" s="68"/>
      <c r="AS1" s="67"/>
      <c r="AY1" s="70"/>
    </row>
    <row r="2" spans="1:51" s="20" customFormat="1" ht="12.75" thickBot="1" x14ac:dyDescent="0.25">
      <c r="A2" s="91" t="s">
        <v>74</v>
      </c>
      <c r="B2" s="92" t="s">
        <v>76</v>
      </c>
      <c r="C2" s="19" t="s">
        <v>87</v>
      </c>
      <c r="D2" s="20" t="s">
        <v>68</v>
      </c>
      <c r="E2" s="97" t="s">
        <v>78</v>
      </c>
      <c r="F2" s="98" t="s">
        <v>79</v>
      </c>
      <c r="G2" s="24" t="s">
        <v>70</v>
      </c>
      <c r="H2" s="24" t="s">
        <v>71</v>
      </c>
      <c r="I2" s="104" t="s">
        <v>69</v>
      </c>
      <c r="J2" s="22" t="s">
        <v>72</v>
      </c>
      <c r="K2" s="22" t="s">
        <v>73</v>
      </c>
      <c r="L2" s="110" t="s">
        <v>112</v>
      </c>
      <c r="M2" s="125" t="s">
        <v>36</v>
      </c>
      <c r="N2" s="126" t="s">
        <v>111</v>
      </c>
      <c r="O2" s="127" t="s">
        <v>112</v>
      </c>
      <c r="P2" s="125" t="s">
        <v>36</v>
      </c>
      <c r="Q2" s="111" t="s">
        <v>111</v>
      </c>
      <c r="R2" s="120" t="s">
        <v>82</v>
      </c>
      <c r="S2" s="121" t="s">
        <v>83</v>
      </c>
      <c r="T2" s="122" t="s">
        <v>84</v>
      </c>
      <c r="V2" s="83" t="s">
        <v>107</v>
      </c>
      <c r="W2" s="84" t="s">
        <v>108</v>
      </c>
      <c r="X2" s="84"/>
      <c r="AA2" s="59"/>
      <c r="AB2" s="65"/>
      <c r="AC2" s="65"/>
      <c r="AD2" s="65"/>
      <c r="AE2" s="65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65"/>
      <c r="AR2" s="69"/>
      <c r="AS2" s="21"/>
      <c r="AY2" s="71"/>
    </row>
    <row r="3" spans="1:51" x14ac:dyDescent="0.25">
      <c r="A3" s="29">
        <f>MATCH(D3,'TRADING INPUTS'!B:B,0)</f>
        <v>2</v>
      </c>
      <c r="B3" s="93">
        <f>MATCH(D3,'MKT DATA'!B:B,0)</f>
        <v>9</v>
      </c>
      <c r="C3" s="30" t="s">
        <v>57</v>
      </c>
      <c r="D3" s="31" t="s">
        <v>52</v>
      </c>
      <c r="E3" s="99" cm="1">
        <f t="array" aca="1" ref="E3" ca="1">INDIRECT(ADDRESS($B3,5,,,"mkt data"))</f>
        <v>103.11</v>
      </c>
      <c r="F3" s="100" cm="1">
        <f t="array" aca="1" ref="F3" ca="1">INDIRECT(ADDRESS($B3,6,,,"mkt data"))</f>
        <v>109.6</v>
      </c>
      <c r="G3" s="32">
        <f ca="1">E3-G$1</f>
        <v>103.105</v>
      </c>
      <c r="H3" s="32">
        <f ca="1">F3+G$1</f>
        <v>109.60499999999999</v>
      </c>
      <c r="I3" s="105" cm="1">
        <f t="array" aca="1" ref="I3" ca="1">INDIRECT(ADDRESS($A3,5,,,"trading inputs"))</f>
        <v>1.1151801073393748</v>
      </c>
      <c r="J3" s="33">
        <f ca="1">G3*I3</f>
        <v>114.98064496722624</v>
      </c>
      <c r="K3" s="33">
        <f ca="1">-I3*H3</f>
        <v>-122.22931566493216</v>
      </c>
      <c r="L3" s="112">
        <f ca="1">K3+J4</f>
        <v>-12.534315664932151</v>
      </c>
      <c r="M3" s="128">
        <f ca="1">L3/AVERAGE(J4,-K4)</f>
        <v>-0.10852221354919611</v>
      </c>
      <c r="N3" s="129">
        <f>V3</f>
        <v>2E-3</v>
      </c>
      <c r="O3" s="130">
        <f ca="1">J3+K4</f>
        <v>-6.3243550327737523</v>
      </c>
      <c r="P3" s="128">
        <f ca="1">O3/AVERAGE(J4,-K4)</f>
        <v>-5.475632063007578E-2</v>
      </c>
      <c r="Q3" s="129">
        <f>W3</f>
        <v>2E-3</v>
      </c>
      <c r="R3" s="123" cm="1">
        <f t="array" aca="1" ref="R3" ca="1">INDIRECT(ADDRESS($B3,9,,,"mkt data"))</f>
        <v>-884</v>
      </c>
      <c r="S3" s="47">
        <f ca="1">R3/I3</f>
        <v>-792.69706676266833</v>
      </c>
      <c r="T3" s="78">
        <f ca="1">SUM(S3:S4)</f>
        <v>-4.697066762668328</v>
      </c>
      <c r="U3" s="20"/>
      <c r="V3" s="85">
        <v>2E-3</v>
      </c>
      <c r="W3" s="86">
        <v>2E-3</v>
      </c>
      <c r="X3" s="88" t="s">
        <v>109</v>
      </c>
      <c r="Y3" s="20"/>
      <c r="Z3" t="s">
        <v>101</v>
      </c>
      <c r="AA3" s="61">
        <v>20</v>
      </c>
      <c r="AB3" s="66">
        <v>-2E-3</v>
      </c>
      <c r="AC3" s="66">
        <v>-1.5E-3</v>
      </c>
      <c r="AD3" s="66">
        <v>1.5E-3</v>
      </c>
      <c r="AE3" s="66">
        <v>2E-3</v>
      </c>
      <c r="AG3" s="2">
        <v>2041.74</v>
      </c>
      <c r="AH3" s="2">
        <v>2567.1799999999998</v>
      </c>
      <c r="AI3" s="2">
        <v>4608.92</v>
      </c>
      <c r="AJ3" s="2">
        <v>-423.31</v>
      </c>
      <c r="AK3" s="2">
        <v>-297.59116</v>
      </c>
      <c r="AL3" s="2">
        <v>3888.0188400000002</v>
      </c>
      <c r="AM3" s="2">
        <v>-58292.256716000004</v>
      </c>
      <c r="AN3" s="2">
        <v>-216.00611900000001</v>
      </c>
      <c r="AO3" s="2">
        <v>116368.50731299999</v>
      </c>
      <c r="AP3" s="63">
        <f>AO3/200000</f>
        <v>0.58184253656499996</v>
      </c>
      <c r="AQ3" s="66">
        <v>6.2833E-2</v>
      </c>
      <c r="AR3" s="55">
        <v>2.4503879999999998</v>
      </c>
      <c r="AS3" s="2">
        <v>-1018.776283</v>
      </c>
      <c r="AT3">
        <v>42</v>
      </c>
      <c r="AU3">
        <v>11</v>
      </c>
      <c r="AV3">
        <v>11</v>
      </c>
      <c r="AW3">
        <v>1</v>
      </c>
      <c r="AX3">
        <v>1</v>
      </c>
      <c r="AY3" s="8">
        <v>84662</v>
      </c>
    </row>
    <row r="4" spans="1:51" ht="15.75" thickBot="1" x14ac:dyDescent="0.3">
      <c r="A4" s="34">
        <f>MATCH(D4,'TRADING INPUTS'!B:B,0)</f>
        <v>3</v>
      </c>
      <c r="B4" s="94">
        <f>MATCH(D4,'MKT DATA'!B:B,0)</f>
        <v>16</v>
      </c>
      <c r="C4" s="35" t="s">
        <v>57</v>
      </c>
      <c r="D4" s="36" t="s">
        <v>57</v>
      </c>
      <c r="E4" s="101" cm="1">
        <f t="array" aca="1" ref="E4" ca="1">INDIRECT(ADDRESS($B4,5,,,"mkt data"))</f>
        <v>109.7</v>
      </c>
      <c r="F4" s="102" cm="1">
        <f t="array" aca="1" ref="F4" ca="1">INDIRECT(ADDRESS($B4,6,,,"mkt data"))</f>
        <v>121.3</v>
      </c>
      <c r="G4" s="37">
        <f ca="1">E4-G$1</f>
        <v>109.69500000000001</v>
      </c>
      <c r="H4" s="37">
        <f ca="1">F4+G$1</f>
        <v>121.30499999999999</v>
      </c>
      <c r="I4" s="106" cm="1">
        <f t="array" aca="1" ref="I4" ca="1">INDIRECT(ADDRESS($A4,5,,,"trading inputs"))</f>
        <v>1</v>
      </c>
      <c r="J4" s="38">
        <f ca="1">G4*I4</f>
        <v>109.69500000000001</v>
      </c>
      <c r="K4" s="38">
        <f ca="1">-I4*H4</f>
        <v>-121.30499999999999</v>
      </c>
      <c r="L4" s="113"/>
      <c r="M4" s="131"/>
      <c r="N4" s="132">
        <f>V4</f>
        <v>1.5E-3</v>
      </c>
      <c r="O4" s="133"/>
      <c r="P4" s="131"/>
      <c r="Q4" s="132">
        <f>W4</f>
        <v>1.5E-3</v>
      </c>
      <c r="R4" s="124" cm="1">
        <f t="array" aca="1" ref="R4" ca="1">INDIRECT(ADDRESS($B4,9,,,"mkt data"))</f>
        <v>788</v>
      </c>
      <c r="S4" s="49">
        <f ca="1">R4/I4</f>
        <v>788</v>
      </c>
      <c r="T4" s="79"/>
      <c r="U4" s="20"/>
      <c r="V4" s="86">
        <v>1.5E-3</v>
      </c>
      <c r="W4" s="86">
        <v>1.5E-3</v>
      </c>
      <c r="X4" s="88" t="s">
        <v>110</v>
      </c>
      <c r="Y4" s="20"/>
      <c r="AP4" s="63"/>
    </row>
    <row r="5" spans="1:51" x14ac:dyDescent="0.25">
      <c r="A5" s="29">
        <f>MATCH(D5,'TRADING INPUTS'!B:B,0)</f>
        <v>12</v>
      </c>
      <c r="B5" s="93">
        <f>MATCH(D5,'MKT DATA'!B:B,0)</f>
        <v>6</v>
      </c>
      <c r="C5" s="30" t="s">
        <v>58</v>
      </c>
      <c r="D5" s="31" t="s">
        <v>50</v>
      </c>
      <c r="E5" s="99" cm="1">
        <f t="array" aca="1" ref="E5" ca="1">INDIRECT(ADDRESS($B5,5,,,"mkt data"))</f>
        <v>21.77</v>
      </c>
      <c r="F5" s="100" cm="1">
        <f t="array" aca="1" ref="F5" ca="1">INDIRECT(ADDRESS($B5,6,,,"mkt data"))</f>
        <v>22.42</v>
      </c>
      <c r="G5" s="32">
        <f ca="1">E5-G$1</f>
        <v>21.765000000000001</v>
      </c>
      <c r="H5" s="32">
        <f ca="1">F5+G$1</f>
        <v>22.425000000000001</v>
      </c>
      <c r="I5" s="105" cm="1">
        <f t="array" aca="1" ref="I5" ca="1">INDIRECT(ADDRESS($A5,5,,,"trading inputs"))</f>
        <v>1.8904480235491772</v>
      </c>
      <c r="J5" s="33">
        <f ca="1">G5*I5</f>
        <v>41.14560123254784</v>
      </c>
      <c r="K5" s="33">
        <f ca="1">-I5*H5</f>
        <v>-42.393296928090301</v>
      </c>
      <c r="L5" s="112">
        <f ca="1">K5+J6</f>
        <v>-0.93829692809030263</v>
      </c>
      <c r="M5" s="128">
        <f ca="1">L5/AVERAGE(J6,-K6)</f>
        <v>-2.2598673605257774E-2</v>
      </c>
      <c r="N5" s="129">
        <f>V5</f>
        <v>4.0000000000000001E-3</v>
      </c>
      <c r="O5" s="130">
        <f ca="1">J5+K6</f>
        <v>-0.43939876745216111</v>
      </c>
      <c r="P5" s="128">
        <f ca="1">O5/AVERAGE(J6,-K6)</f>
        <v>-1.0582821952123341E-2</v>
      </c>
      <c r="Q5" s="129">
        <f>W5</f>
        <v>2E-3</v>
      </c>
      <c r="R5" s="123" cm="1">
        <f t="array" aca="1" ref="R5" ca="1">INDIRECT(ADDRESS($B5,9,,,"mkt data"))</f>
        <v>-2415</v>
      </c>
      <c r="S5" s="47">
        <f ca="1">R5/I5</f>
        <v>-1277.4749529828464</v>
      </c>
      <c r="T5" s="76">
        <f ca="1">SUM(S5:S6)</f>
        <v>-0.4749529828463892</v>
      </c>
      <c r="U5" s="20"/>
      <c r="V5" s="85">
        <v>4.0000000000000001E-3</v>
      </c>
      <c r="W5" s="86">
        <v>2E-3</v>
      </c>
      <c r="X5" s="88" t="s">
        <v>109</v>
      </c>
      <c r="Y5" s="20"/>
      <c r="Z5" t="s">
        <v>102</v>
      </c>
      <c r="AA5" s="60">
        <v>20</v>
      </c>
      <c r="AB5" s="66">
        <v>-4.0000000000000001E-3</v>
      </c>
      <c r="AC5" s="66">
        <v>-3.0000000000000001E-3</v>
      </c>
      <c r="AD5" s="66">
        <v>2E-3</v>
      </c>
      <c r="AE5" s="66">
        <v>2E-3</v>
      </c>
      <c r="AG5" s="2">
        <v>1324.9</v>
      </c>
      <c r="AH5" s="2">
        <v>1070.73</v>
      </c>
      <c r="AI5" s="2">
        <v>2395.63</v>
      </c>
      <c r="AJ5" s="2">
        <v>-895.37</v>
      </c>
      <c r="AK5" s="2">
        <v>-100.08193199999999</v>
      </c>
      <c r="AL5" s="2">
        <v>1400.1780679999999</v>
      </c>
      <c r="AM5" s="2">
        <v>-18668.626119</v>
      </c>
      <c r="AN5" s="2">
        <v>-72.598955000000004</v>
      </c>
      <c r="AO5" s="2">
        <v>37264.653284</v>
      </c>
      <c r="AP5" s="63">
        <f t="shared" ref="AP5:AP13" si="0">AO5/200000</f>
        <v>0.18632326641999999</v>
      </c>
      <c r="AQ5" s="66">
        <v>7.0661000000000002E-2</v>
      </c>
      <c r="AR5" s="55">
        <v>2.9181360000000001</v>
      </c>
      <c r="AS5" s="2">
        <v>-154.35770500000001</v>
      </c>
      <c r="AT5">
        <v>26</v>
      </c>
      <c r="AU5">
        <v>8</v>
      </c>
      <c r="AV5">
        <v>5</v>
      </c>
      <c r="AW5">
        <v>0</v>
      </c>
      <c r="AX5">
        <v>0</v>
      </c>
      <c r="AY5" s="8">
        <v>179074</v>
      </c>
    </row>
    <row r="6" spans="1:51" ht="15.75" thickBot="1" x14ac:dyDescent="0.3">
      <c r="A6" s="34">
        <f>MATCH(D6,'TRADING INPUTS'!B:B,0)</f>
        <v>13</v>
      </c>
      <c r="B6" s="94">
        <f>MATCH(D6,'MKT DATA'!B:B,0)</f>
        <v>18</v>
      </c>
      <c r="C6" s="35" t="s">
        <v>58</v>
      </c>
      <c r="D6" s="36" t="s">
        <v>58</v>
      </c>
      <c r="E6" s="101" cm="1">
        <f t="array" aca="1" ref="E6" ca="1">INDIRECT(ADDRESS($B6,5,,,"mkt data"))</f>
        <v>41.46</v>
      </c>
      <c r="F6" s="102" cm="1">
        <f t="array" aca="1" ref="F6" ca="1">INDIRECT(ADDRESS($B6,6,,,"mkt data"))</f>
        <v>41.58</v>
      </c>
      <c r="G6" s="37">
        <f ca="1">E6-G$1</f>
        <v>41.454999999999998</v>
      </c>
      <c r="H6" s="37">
        <f ca="1">F6+G$1</f>
        <v>41.585000000000001</v>
      </c>
      <c r="I6" s="106" cm="1">
        <f t="array" aca="1" ref="I6" ca="1">INDIRECT(ADDRESS($A6,5,,,"trading inputs"))</f>
        <v>1</v>
      </c>
      <c r="J6" s="38">
        <f ca="1">G6*I6</f>
        <v>41.454999999999998</v>
      </c>
      <c r="K6" s="38">
        <f ca="1">-I6*H6</f>
        <v>-41.585000000000001</v>
      </c>
      <c r="L6" s="113"/>
      <c r="M6" s="131"/>
      <c r="N6" s="132">
        <f>V6</f>
        <v>3.0000000000000001E-3</v>
      </c>
      <c r="O6" s="133"/>
      <c r="P6" s="131"/>
      <c r="Q6" s="132">
        <f>W6</f>
        <v>2E-3</v>
      </c>
      <c r="R6" s="124" cm="1">
        <f t="array" aca="1" ref="R6" ca="1">INDIRECT(ADDRESS($B6,9,,,"mkt data"))</f>
        <v>1277</v>
      </c>
      <c r="S6" s="49">
        <f ca="1">R6/I6</f>
        <v>1277</v>
      </c>
      <c r="T6" s="77"/>
      <c r="U6" s="20"/>
      <c r="V6" s="86">
        <v>3.0000000000000001E-3</v>
      </c>
      <c r="W6" s="86">
        <v>2E-3</v>
      </c>
      <c r="X6" s="88" t="s">
        <v>110</v>
      </c>
      <c r="Y6" s="20"/>
      <c r="AP6" s="63"/>
    </row>
    <row r="7" spans="1:51" x14ac:dyDescent="0.25">
      <c r="A7" s="29">
        <f>MATCH(D7,'TRADING INPUTS'!B:B,0)</f>
        <v>8</v>
      </c>
      <c r="B7" s="93">
        <f>MATCH(D7,'MKT DATA'!B:B,0)</f>
        <v>48</v>
      </c>
      <c r="C7" s="30" t="s">
        <v>53</v>
      </c>
      <c r="D7" s="31" t="s">
        <v>66</v>
      </c>
      <c r="E7" s="99" cm="1">
        <f t="array" aca="1" ref="E7" ca="1">INDIRECT(ADDRESS($B7,5,,,"mkt data"))</f>
        <v>65.7</v>
      </c>
      <c r="F7" s="100" cm="1">
        <f t="array" aca="1" ref="F7" ca="1">INDIRECT(ADDRESS($B7,6,,,"mkt data"))</f>
        <v>66.13</v>
      </c>
      <c r="G7" s="32">
        <f ca="1">E7-G$1</f>
        <v>65.695000000000007</v>
      </c>
      <c r="H7" s="32">
        <f ca="1">F7+G$1</f>
        <v>66.134999999999991</v>
      </c>
      <c r="I7" s="105" cm="1">
        <f t="array" aca="1" ref="I7" ca="1">INDIRECT(ADDRESS($A7,5,,,"trading inputs"))</f>
        <v>1.4382898139715363</v>
      </c>
      <c r="J7" s="33">
        <f ca="1">G7*I7</f>
        <v>94.488449328860085</v>
      </c>
      <c r="K7" s="33">
        <f ca="1">-I7*H7</f>
        <v>-95.121296847007542</v>
      </c>
      <c r="L7" s="112">
        <f ca="1">K7+J8</f>
        <v>-0.42629684700753501</v>
      </c>
      <c r="M7" s="128">
        <f ca="1">L7/AVERAGE(J8,-K8)</f>
        <v>-4.4944317027678969E-3</v>
      </c>
      <c r="N7" s="129">
        <f>V7</f>
        <v>1E-3</v>
      </c>
      <c r="O7" s="130">
        <f ca="1">J7+K8</f>
        <v>-0.51655067113991038</v>
      </c>
      <c r="P7" s="128">
        <f ca="1">O7/AVERAGE(J8,-K8)</f>
        <v>-5.4459743926189817E-3</v>
      </c>
      <c r="Q7" s="129">
        <f>W7</f>
        <v>1E-3</v>
      </c>
      <c r="R7" s="123" cm="1">
        <f t="array" aca="1" ref="R7" ca="1">INDIRECT(ADDRESS($B7,9,,,"mkt data"))</f>
        <v>0</v>
      </c>
      <c r="S7" s="47">
        <f ca="1">R7/I7</f>
        <v>0</v>
      </c>
      <c r="T7" s="78">
        <f ca="1">SUM(S7:S8)</f>
        <v>0</v>
      </c>
      <c r="U7" s="20"/>
      <c r="V7" s="86">
        <v>1E-3</v>
      </c>
      <c r="W7" s="86">
        <v>1E-3</v>
      </c>
      <c r="X7" s="88" t="s">
        <v>109</v>
      </c>
      <c r="Y7" s="20"/>
      <c r="Z7" s="56" t="s">
        <v>103</v>
      </c>
      <c r="AA7" s="60">
        <v>20</v>
      </c>
      <c r="AB7" s="66">
        <v>-1E-3</v>
      </c>
      <c r="AC7" s="66">
        <v>-1E-3</v>
      </c>
      <c r="AD7" s="66">
        <v>1E-3</v>
      </c>
      <c r="AE7" s="66">
        <v>1E-3</v>
      </c>
      <c r="AG7" s="2">
        <v>1272.2</v>
      </c>
      <c r="AH7" s="2">
        <v>472.81</v>
      </c>
      <c r="AI7" s="2">
        <v>1745.01</v>
      </c>
      <c r="AJ7" s="2">
        <v>-484.43</v>
      </c>
      <c r="AK7" s="2">
        <v>-133.34520900000001</v>
      </c>
      <c r="AL7" s="2">
        <v>1127.2347910000001</v>
      </c>
      <c r="AM7" s="2">
        <v>-29107.705895999999</v>
      </c>
      <c r="AN7" s="2">
        <v>-42.940148999999998</v>
      </c>
      <c r="AO7" s="2">
        <v>58172.471641999997</v>
      </c>
      <c r="AP7" s="63">
        <f t="shared" si="0"/>
        <v>0.29086235821</v>
      </c>
      <c r="AQ7" s="66">
        <v>3.6441000000000001E-2</v>
      </c>
      <c r="AR7" s="55">
        <v>2.9476149999999999</v>
      </c>
      <c r="AS7" s="2">
        <v>-171.868425</v>
      </c>
      <c r="AT7">
        <v>37</v>
      </c>
      <c r="AU7">
        <v>17</v>
      </c>
      <c r="AV7">
        <v>2</v>
      </c>
      <c r="AW7">
        <v>0</v>
      </c>
      <c r="AX7">
        <v>1</v>
      </c>
      <c r="AY7" s="8">
        <v>96886</v>
      </c>
    </row>
    <row r="8" spans="1:51" ht="15.75" thickBot="1" x14ac:dyDescent="0.3">
      <c r="A8" s="34">
        <f>MATCH(D8,'TRADING INPUTS'!B:B,0)</f>
        <v>9</v>
      </c>
      <c r="B8" s="94">
        <f>MATCH(D8,'MKT DATA'!B:B,0)</f>
        <v>10</v>
      </c>
      <c r="C8" s="35" t="s">
        <v>53</v>
      </c>
      <c r="D8" s="36" t="s">
        <v>53</v>
      </c>
      <c r="E8" s="101" cm="1">
        <f t="array" aca="1" ref="E8" ca="1">INDIRECT(ADDRESS($B8,5,,,"mkt data"))</f>
        <v>94.7</v>
      </c>
      <c r="F8" s="102" cm="1">
        <f t="array" aca="1" ref="F8" ca="1">INDIRECT(ADDRESS($B8,6,,,"mkt data"))</f>
        <v>95</v>
      </c>
      <c r="G8" s="37">
        <f ca="1">E8-G$1</f>
        <v>94.695000000000007</v>
      </c>
      <c r="H8" s="37">
        <f ca="1">F8+G$1</f>
        <v>95.004999999999995</v>
      </c>
      <c r="I8" s="106" cm="1">
        <f t="array" aca="1" ref="I8" ca="1">INDIRECT(ADDRESS($A8,5,,,"trading inputs"))</f>
        <v>1</v>
      </c>
      <c r="J8" s="38">
        <f t="shared" ref="J8" ca="1" si="1">G8*I8</f>
        <v>94.695000000000007</v>
      </c>
      <c r="K8" s="38">
        <f t="shared" ref="K8" ca="1" si="2">-I8*H8</f>
        <v>-95.004999999999995</v>
      </c>
      <c r="L8" s="113"/>
      <c r="M8" s="131"/>
      <c r="N8" s="132">
        <f>V8</f>
        <v>1E-3</v>
      </c>
      <c r="O8" s="133"/>
      <c r="P8" s="131"/>
      <c r="Q8" s="132">
        <f>W8</f>
        <v>1E-3</v>
      </c>
      <c r="R8" s="124" cm="1">
        <f t="array" aca="1" ref="R8" ca="1">INDIRECT(ADDRESS($B8,9,,,"mkt data"))</f>
        <v>0</v>
      </c>
      <c r="S8" s="49">
        <f ca="1">R8/I8</f>
        <v>0</v>
      </c>
      <c r="T8" s="79"/>
      <c r="U8" s="20"/>
      <c r="V8" s="86">
        <v>1E-3</v>
      </c>
      <c r="W8" s="86">
        <v>1E-3</v>
      </c>
      <c r="X8" s="88" t="s">
        <v>110</v>
      </c>
      <c r="Y8" s="20"/>
      <c r="Z8" s="56"/>
      <c r="AP8" s="63"/>
    </row>
    <row r="9" spans="1:51" x14ac:dyDescent="0.25">
      <c r="A9" s="29">
        <f>MATCH(D9,'TRADING INPUTS'!B:B,0)</f>
        <v>14</v>
      </c>
      <c r="B9" s="93">
        <f>MATCH(D9,'MKT DATA'!B:B,0)</f>
        <v>7</v>
      </c>
      <c r="C9" s="30" t="s">
        <v>65</v>
      </c>
      <c r="D9" s="31" t="s">
        <v>51</v>
      </c>
      <c r="E9" s="99" cm="1">
        <f t="array" aca="1" ref="E9" ca="1">INDIRECT(ADDRESS($B9,5,,,"mkt data"))</f>
        <v>56.4</v>
      </c>
      <c r="F9" s="100" cm="1">
        <f t="array" aca="1" ref="F9" ca="1">INDIRECT(ADDRESS($B9,6,,,"mkt data"))</f>
        <v>56.65</v>
      </c>
      <c r="G9" s="32">
        <f ca="1">E9-G$1</f>
        <v>56.394999999999996</v>
      </c>
      <c r="H9" s="32">
        <f ca="1">F9+G$1</f>
        <v>56.655000000000001</v>
      </c>
      <c r="I9" s="105" cm="1">
        <f t="array" aca="1" ref="I9" ca="1">INDIRECT(ADDRESS($A9,5,,,"trading inputs"))</f>
        <v>1.7448035127941128</v>
      </c>
      <c r="J9" s="33">
        <f t="shared" ref="J9:J10" ca="1" si="3">G9*I9</f>
        <v>98.398194104023986</v>
      </c>
      <c r="K9" s="33">
        <f t="shared" ref="K9:K10" ca="1" si="4">-I9*H9</f>
        <v>-98.851843017350461</v>
      </c>
      <c r="L9" s="112">
        <f ca="1">K9+J10</f>
        <v>-0.35684301735045665</v>
      </c>
      <c r="M9" s="128">
        <f ca="1">L9/AVERAGE(J10,-K10)</f>
        <v>-3.6126855717586092E-3</v>
      </c>
      <c r="N9" s="129">
        <f>V9</f>
        <v>1E-3</v>
      </c>
      <c r="O9" s="130">
        <f ca="1">J9+K10</f>
        <v>-0.65680589597600658</v>
      </c>
      <c r="P9" s="128">
        <f ca="1">O9/AVERAGE(J10,-K10)</f>
        <v>-6.6495155249405875E-3</v>
      </c>
      <c r="Q9" s="129">
        <f>W9</f>
        <v>1E-3</v>
      </c>
      <c r="R9" s="123" cm="1">
        <f t="array" aca="1" ref="R9" ca="1">INDIRECT(ADDRESS($B9,9,,,"mkt data"))</f>
        <v>0</v>
      </c>
      <c r="S9" s="47">
        <f ca="1">R9/I9</f>
        <v>0</v>
      </c>
      <c r="T9" s="73">
        <f ca="1">SUM(S9:S10)</f>
        <v>0</v>
      </c>
      <c r="U9" s="20"/>
      <c r="V9" s="86">
        <v>1E-3</v>
      </c>
      <c r="W9" s="86">
        <v>1E-3</v>
      </c>
      <c r="X9" s="88" t="s">
        <v>109</v>
      </c>
      <c r="Y9" s="20"/>
      <c r="Z9" s="57" t="s">
        <v>104</v>
      </c>
      <c r="AA9" s="60">
        <v>20</v>
      </c>
      <c r="AB9" s="66">
        <v>-1E-3</v>
      </c>
      <c r="AC9" s="66">
        <v>-1E-3</v>
      </c>
      <c r="AD9" s="66">
        <v>1E-3</v>
      </c>
      <c r="AE9" s="66">
        <v>1E-3</v>
      </c>
      <c r="AG9" s="2">
        <v>215.72</v>
      </c>
      <c r="AH9" s="2">
        <v>216.53</v>
      </c>
      <c r="AI9" s="2">
        <v>432.25</v>
      </c>
      <c r="AJ9" s="2">
        <v>-166.5</v>
      </c>
      <c r="AK9" s="2">
        <v>-27.804898000000001</v>
      </c>
      <c r="AL9" s="2">
        <v>237.94510199999999</v>
      </c>
      <c r="AM9" s="2">
        <v>-5974.9691789999997</v>
      </c>
      <c r="AN9" s="2">
        <v>-7.4297009999999997</v>
      </c>
      <c r="AO9" s="2">
        <v>11942.508657</v>
      </c>
      <c r="AP9" s="63">
        <f t="shared" si="0"/>
        <v>5.9712543285000003E-2</v>
      </c>
      <c r="AQ9" s="66">
        <v>3.7469000000000002E-2</v>
      </c>
      <c r="AR9" s="55">
        <v>1.8513809999999999</v>
      </c>
      <c r="AS9" s="2">
        <v>-44.437958000000002</v>
      </c>
      <c r="AT9">
        <v>12</v>
      </c>
      <c r="AU9">
        <v>3</v>
      </c>
      <c r="AV9">
        <v>3</v>
      </c>
      <c r="AW9">
        <v>0</v>
      </c>
      <c r="AX9">
        <v>0</v>
      </c>
      <c r="AY9" s="8">
        <v>33300</v>
      </c>
    </row>
    <row r="10" spans="1:51" ht="15.75" thickBot="1" x14ac:dyDescent="0.3">
      <c r="A10" s="34">
        <f>MATCH(D10,'TRADING INPUTS'!B:B,0)</f>
        <v>15</v>
      </c>
      <c r="B10" s="94">
        <f>MATCH(D10,'MKT DATA'!B:B,0)</f>
        <v>47</v>
      </c>
      <c r="C10" s="35" t="s">
        <v>65</v>
      </c>
      <c r="D10" s="36" t="s">
        <v>65</v>
      </c>
      <c r="E10" s="101" cm="1">
        <f t="array" aca="1" ref="E10" ca="1">INDIRECT(ADDRESS($B10,5,,,"mkt data"))</f>
        <v>98.5</v>
      </c>
      <c r="F10" s="102" cm="1">
        <f t="array" aca="1" ref="F10" ca="1">INDIRECT(ADDRESS($B10,6,,,"mkt data"))</f>
        <v>99.05</v>
      </c>
      <c r="G10" s="37">
        <f ca="1">E10-G$1</f>
        <v>98.495000000000005</v>
      </c>
      <c r="H10" s="37">
        <f ca="1">F10+G$1</f>
        <v>99.054999999999993</v>
      </c>
      <c r="I10" s="106" cm="1">
        <f t="array" aca="1" ref="I10" ca="1">INDIRECT(ADDRESS($A10,5,,,"trading inputs"))</f>
        <v>1</v>
      </c>
      <c r="J10" s="38">
        <f t="shared" ca="1" si="3"/>
        <v>98.495000000000005</v>
      </c>
      <c r="K10" s="38">
        <f t="shared" ca="1" si="4"/>
        <v>-99.054999999999993</v>
      </c>
      <c r="L10" s="113"/>
      <c r="M10" s="131"/>
      <c r="N10" s="132">
        <f>V10</f>
        <v>1E-3</v>
      </c>
      <c r="O10" s="133"/>
      <c r="P10" s="131"/>
      <c r="Q10" s="132">
        <f>W10</f>
        <v>1E-3</v>
      </c>
      <c r="R10" s="124" cm="1">
        <f t="array" aca="1" ref="R10" ca="1">INDIRECT(ADDRESS($B10,9,,,"mkt data"))</f>
        <v>0</v>
      </c>
      <c r="S10" s="49">
        <f ca="1">R10/I10</f>
        <v>0</v>
      </c>
      <c r="T10" s="74"/>
      <c r="U10" s="20"/>
      <c r="V10" s="86">
        <v>1E-3</v>
      </c>
      <c r="W10" s="86">
        <v>1E-3</v>
      </c>
      <c r="X10" s="88" t="s">
        <v>110</v>
      </c>
      <c r="Y10" s="20"/>
      <c r="Z10" s="56"/>
      <c r="AP10" s="63"/>
    </row>
    <row r="11" spans="1:51" x14ac:dyDescent="0.25">
      <c r="A11" s="29">
        <f>MATCH(D11,'TRADING INPUTS'!B:B,0)</f>
        <v>6</v>
      </c>
      <c r="B11" s="93">
        <f>MATCH(D11,'MKT DATA'!B:B,0)</f>
        <v>26</v>
      </c>
      <c r="C11" s="30" t="s">
        <v>61</v>
      </c>
      <c r="D11" s="31" t="s">
        <v>62</v>
      </c>
      <c r="E11" s="99" cm="1">
        <f t="array" aca="1" ref="E11" ca="1">INDIRECT(ADDRESS($B11,5,,,"mkt data"))</f>
        <v>18.38</v>
      </c>
      <c r="F11" s="100" cm="1">
        <f t="array" aca="1" ref="F11" ca="1">INDIRECT(ADDRESS($B11,6,,,"mkt data"))</f>
        <v>18.600000000000001</v>
      </c>
      <c r="G11" s="32">
        <f ca="1">E11-G$1</f>
        <v>18.375</v>
      </c>
      <c r="H11" s="32">
        <f ca="1">F11+G$1</f>
        <v>18.605</v>
      </c>
      <c r="I11" s="105" cm="1">
        <f t="array" aca="1" ref="I11" ca="1">INDIRECT(ADDRESS($A11,5,,,"trading inputs"))</f>
        <v>1.647839709023744</v>
      </c>
      <c r="J11" s="33">
        <f ca="1">G11*I11</f>
        <v>30.279054653311295</v>
      </c>
      <c r="K11" s="33">
        <f ca="1">-I11*H11</f>
        <v>-30.658057786386756</v>
      </c>
      <c r="L11" s="112">
        <f ca="1">K11+J12</f>
        <v>-0.2030577863867542</v>
      </c>
      <c r="M11" s="128">
        <f ca="1">L11/AVERAGE(J12,-K12)</f>
        <v>-6.6543597046290082E-3</v>
      </c>
      <c r="N11" s="129">
        <f>V11</f>
        <v>5.0000000000000001E-3</v>
      </c>
      <c r="O11" s="112">
        <f ca="1">J11+K12</f>
        <v>-0.29594534668870409</v>
      </c>
      <c r="P11" s="128">
        <f ca="1">O11/AVERAGE(J12,-K12)</f>
        <v>-9.6983564374472902E-3</v>
      </c>
      <c r="Q11" s="129">
        <f>W11</f>
        <v>3.0000000000000001E-3</v>
      </c>
      <c r="R11" s="123" cm="1">
        <f t="array" aca="1" ref="R11" ca="1">INDIRECT(ADDRESS($B11,9,,,"mkt data"))</f>
        <v>1650</v>
      </c>
      <c r="S11" s="47">
        <f ca="1">R11/I11</f>
        <v>1001.3109836863538</v>
      </c>
      <c r="T11" s="48">
        <f ca="1">SUM(S11:S12)</f>
        <v>-1998.6890163136463</v>
      </c>
      <c r="U11" s="20"/>
      <c r="V11" s="85">
        <v>5.0000000000000001E-3</v>
      </c>
      <c r="W11" s="86">
        <v>3.0000000000000001E-3</v>
      </c>
      <c r="X11" s="88" t="s">
        <v>109</v>
      </c>
      <c r="Y11" s="20"/>
      <c r="Z11" s="57" t="s">
        <v>105</v>
      </c>
      <c r="AA11" s="60">
        <v>20</v>
      </c>
      <c r="AB11" s="66">
        <v>-5.0000000000000001E-3</v>
      </c>
      <c r="AC11" s="66">
        <v>-4.0000000000000001E-3</v>
      </c>
      <c r="AD11" s="66">
        <v>2E-3</v>
      </c>
      <c r="AE11" s="66">
        <v>3.0000000000000001E-3</v>
      </c>
      <c r="AG11" s="2">
        <v>791.67</v>
      </c>
      <c r="AH11" s="2">
        <v>1280.75</v>
      </c>
      <c r="AI11" s="2">
        <v>2072.42</v>
      </c>
      <c r="AJ11" s="2">
        <v>-1162.53</v>
      </c>
      <c r="AK11" s="2">
        <v>-178.32597100000001</v>
      </c>
      <c r="AL11" s="2">
        <v>731.564029</v>
      </c>
      <c r="AM11" s="2">
        <v>-30686.509328</v>
      </c>
      <c r="AN11" s="2">
        <v>-180.603433</v>
      </c>
      <c r="AO11" s="2">
        <v>61192.415223999997</v>
      </c>
      <c r="AP11" s="63">
        <f t="shared" si="0"/>
        <v>0.30596207611999998</v>
      </c>
      <c r="AQ11" s="66">
        <v>2.2483E-2</v>
      </c>
      <c r="AR11" s="55">
        <v>0.63427599999999995</v>
      </c>
      <c r="AS11" s="2">
        <v>-1125.6526980000001</v>
      </c>
      <c r="AT11">
        <v>27</v>
      </c>
      <c r="AU11">
        <v>6</v>
      </c>
      <c r="AV11">
        <v>8</v>
      </c>
      <c r="AW11">
        <v>0</v>
      </c>
      <c r="AX11">
        <v>0</v>
      </c>
      <c r="AY11" s="8">
        <v>232506</v>
      </c>
    </row>
    <row r="12" spans="1:51" ht="15.75" thickBot="1" x14ac:dyDescent="0.3">
      <c r="A12" s="34">
        <f>MATCH(D12,'TRADING INPUTS'!B:B,0)</f>
        <v>7</v>
      </c>
      <c r="B12" s="94">
        <f>MATCH(D12,'MKT DATA'!B:B,0)</f>
        <v>25</v>
      </c>
      <c r="C12" s="35" t="s">
        <v>61</v>
      </c>
      <c r="D12" s="36" t="s">
        <v>61</v>
      </c>
      <c r="E12" s="101" cm="1">
        <f t="array" aca="1" ref="E12" ca="1">INDIRECT(ADDRESS($B12,5,,,"mkt data"))</f>
        <v>30.46</v>
      </c>
      <c r="F12" s="102" cm="1">
        <f t="array" aca="1" ref="F12" ca="1">INDIRECT(ADDRESS($B12,6,,,"mkt data"))</f>
        <v>30.57</v>
      </c>
      <c r="G12" s="37">
        <f ca="1">E12-G$1</f>
        <v>30.455000000000002</v>
      </c>
      <c r="H12" s="37">
        <f ca="1">F12+G$1</f>
        <v>30.574999999999999</v>
      </c>
      <c r="I12" s="106" cm="1">
        <f t="array" aca="1" ref="I12" ca="1">INDIRECT(ADDRESS($A12,5,,,"trading inputs"))</f>
        <v>1</v>
      </c>
      <c r="J12" s="38">
        <f t="shared" ref="J12" ca="1" si="5">G12*I12</f>
        <v>30.455000000000002</v>
      </c>
      <c r="K12" s="38">
        <f t="shared" ref="K12" ca="1" si="6">-I12*H12</f>
        <v>-30.574999999999999</v>
      </c>
      <c r="L12" s="113"/>
      <c r="M12" s="131"/>
      <c r="N12" s="132">
        <f>V12</f>
        <v>4.0000000000000001E-3</v>
      </c>
      <c r="O12" s="113"/>
      <c r="P12" s="131"/>
      <c r="Q12" s="132">
        <f>W12</f>
        <v>2E-3</v>
      </c>
      <c r="R12" s="124" cm="1">
        <f t="array" aca="1" ref="R12" ca="1">INDIRECT(ADDRESS($B12,9,,,"mkt data"))</f>
        <v>-3000</v>
      </c>
      <c r="S12" s="49">
        <f ca="1">R12/I12</f>
        <v>-3000</v>
      </c>
      <c r="T12" s="50"/>
      <c r="U12" s="20"/>
      <c r="V12" s="86">
        <v>4.0000000000000001E-3</v>
      </c>
      <c r="W12" s="86">
        <v>2E-3</v>
      </c>
      <c r="X12" s="88" t="s">
        <v>110</v>
      </c>
      <c r="Y12" s="20"/>
      <c r="Z12" s="56"/>
      <c r="AP12" s="63"/>
    </row>
    <row r="13" spans="1:51" x14ac:dyDescent="0.25">
      <c r="A13" s="29">
        <f>MATCH(D13,'TRADING INPUTS'!B:B,0)</f>
        <v>16</v>
      </c>
      <c r="B13" s="93">
        <f>MATCH(D13,'MKT DATA'!B:B,0)</f>
        <v>27</v>
      </c>
      <c r="C13" s="30" t="s">
        <v>64</v>
      </c>
      <c r="D13" s="31" t="s">
        <v>63</v>
      </c>
      <c r="E13" s="99" cm="1">
        <f t="array" aca="1" ref="E13" ca="1">INDIRECT(ADDRESS($B13,5,,,"mkt data"))</f>
        <v>23.82</v>
      </c>
      <c r="F13" s="100" cm="1">
        <f t="array" aca="1" ref="F13" ca="1">INDIRECT(ADDRESS($B13,6,,,"mkt data"))</f>
        <v>24.1</v>
      </c>
      <c r="G13" s="32">
        <f ca="1">E13-G$1</f>
        <v>23.815000000000001</v>
      </c>
      <c r="H13" s="32">
        <f ca="1">F13+G$1</f>
        <v>24.105</v>
      </c>
      <c r="I13" s="105" cm="1">
        <f t="array" aca="1" ref="I13" ca="1">INDIRECT(ADDRESS($A13,5,,,"trading inputs"))</f>
        <v>2.7966782574473563</v>
      </c>
      <c r="J13" s="33">
        <f t="shared" ref="J13:J14" ca="1" si="7">G13*I13</f>
        <v>66.6028927011088</v>
      </c>
      <c r="K13" s="33">
        <f t="shared" ref="K13:K14" ca="1" si="8">-I13*H13</f>
        <v>-67.41392939576852</v>
      </c>
      <c r="L13" s="112">
        <f ca="1">K13+J14</f>
        <v>-0.94892939576851632</v>
      </c>
      <c r="M13" s="128">
        <f ca="1">L13/AVERAGE(J14,-K14)</f>
        <v>-1.4135697836563628E-2</v>
      </c>
      <c r="N13" s="129">
        <f>V13</f>
        <v>5.0000000000000001E-3</v>
      </c>
      <c r="O13" s="130">
        <f ca="1">J13+K14</f>
        <v>-1.1921072988912016</v>
      </c>
      <c r="P13" s="128">
        <f ca="1">O13/AVERAGE(J14,-K14)</f>
        <v>-1.7758190062434107E-2</v>
      </c>
      <c r="Q13" s="129">
        <f>W13</f>
        <v>2E-3</v>
      </c>
      <c r="R13" s="123" cm="1">
        <f t="array" aca="1" ref="R13" ca="1">INDIRECT(ADDRESS($B13,9,,,"mkt data"))</f>
        <v>0</v>
      </c>
      <c r="S13" s="47">
        <f ca="1">R13/I13</f>
        <v>0</v>
      </c>
      <c r="T13" s="73">
        <f ca="1">SUM(S13:S14)</f>
        <v>0</v>
      </c>
      <c r="U13" s="20"/>
      <c r="V13" s="85">
        <v>5.0000000000000001E-3</v>
      </c>
      <c r="W13" s="86">
        <v>2E-3</v>
      </c>
      <c r="X13" s="88" t="s">
        <v>109</v>
      </c>
      <c r="Y13" s="20"/>
      <c r="Z13" s="57" t="s">
        <v>106</v>
      </c>
      <c r="AA13" s="60">
        <v>20</v>
      </c>
      <c r="AB13" s="66">
        <v>-5.0000000000000001E-3</v>
      </c>
      <c r="AC13" s="66">
        <v>-3.0000000000000001E-3</v>
      </c>
      <c r="AD13" s="66">
        <v>1E-3</v>
      </c>
      <c r="AE13" s="66">
        <v>2E-3</v>
      </c>
      <c r="AG13" s="2">
        <v>322.83999999999997</v>
      </c>
      <c r="AH13" s="2">
        <v>1626.57</v>
      </c>
      <c r="AI13" s="2">
        <v>1949.41</v>
      </c>
      <c r="AJ13" s="2">
        <v>-621.69500000000005</v>
      </c>
      <c r="AK13" s="2">
        <v>-158.47905800000001</v>
      </c>
      <c r="AL13" s="2">
        <v>1169.235942</v>
      </c>
      <c r="AM13" s="2">
        <v>-29134.976268999999</v>
      </c>
      <c r="AN13" s="2">
        <v>-143.91096999999999</v>
      </c>
      <c r="AO13" s="2">
        <v>58126.041567</v>
      </c>
      <c r="AP13" s="63">
        <f t="shared" si="0"/>
        <v>0.29063020783499999</v>
      </c>
      <c r="AQ13" s="66">
        <v>3.7829000000000002E-2</v>
      </c>
      <c r="AR13" s="55">
        <v>1.6052869999999999</v>
      </c>
      <c r="AS13" s="2">
        <v>-990.74087399999996</v>
      </c>
      <c r="AT13">
        <v>21</v>
      </c>
      <c r="AU13">
        <v>4</v>
      </c>
      <c r="AV13">
        <v>7</v>
      </c>
      <c r="AW13">
        <v>0</v>
      </c>
      <c r="AX13">
        <v>0</v>
      </c>
      <c r="AY13" s="8">
        <v>124339</v>
      </c>
    </row>
    <row r="14" spans="1:51" ht="15.75" thickBot="1" x14ac:dyDescent="0.3">
      <c r="A14" s="34">
        <f>MATCH(D14,'TRADING INPUTS'!B:B,0)</f>
        <v>17</v>
      </c>
      <c r="B14" s="94">
        <f>MATCH(D14,'MKT DATA'!B:B,0)</f>
        <v>41</v>
      </c>
      <c r="C14" s="35" t="s">
        <v>64</v>
      </c>
      <c r="D14" s="36" t="s">
        <v>64</v>
      </c>
      <c r="E14" s="101" cm="1">
        <f t="array" aca="1" ref="E14" ca="1">INDIRECT(ADDRESS($B14,5,,,"mkt data"))</f>
        <v>66.47</v>
      </c>
      <c r="F14" s="102" cm="1">
        <f t="array" aca="1" ref="F14" ca="1">INDIRECT(ADDRESS($B14,6,,,"mkt data"))</f>
        <v>67.790000000000006</v>
      </c>
      <c r="G14" s="37">
        <f ca="1">E14-G$1</f>
        <v>66.465000000000003</v>
      </c>
      <c r="H14" s="37">
        <f ca="1">F14+G$1</f>
        <v>67.795000000000002</v>
      </c>
      <c r="I14" s="106" cm="1">
        <f t="array" aca="1" ref="I14" ca="1">INDIRECT(ADDRESS($A14,5,,,"trading inputs"))</f>
        <v>1</v>
      </c>
      <c r="J14" s="38">
        <f t="shared" ca="1" si="7"/>
        <v>66.465000000000003</v>
      </c>
      <c r="K14" s="38">
        <f t="shared" ca="1" si="8"/>
        <v>-67.795000000000002</v>
      </c>
      <c r="L14" s="113"/>
      <c r="M14" s="131"/>
      <c r="N14" s="132">
        <f>V14</f>
        <v>3.0000000000000001E-3</v>
      </c>
      <c r="O14" s="133"/>
      <c r="P14" s="131"/>
      <c r="Q14" s="132">
        <f>W14</f>
        <v>1E-3</v>
      </c>
      <c r="R14" s="124" cm="1">
        <f t="array" aca="1" ref="R14" ca="1">INDIRECT(ADDRESS($B14,9,,,"mkt data"))</f>
        <v>0</v>
      </c>
      <c r="S14" s="49">
        <f ca="1">R14/I14</f>
        <v>0</v>
      </c>
      <c r="T14" s="74"/>
      <c r="U14" s="20"/>
      <c r="V14" s="86">
        <v>3.0000000000000001E-3</v>
      </c>
      <c r="W14" s="86">
        <v>1E-3</v>
      </c>
      <c r="X14" s="88" t="s">
        <v>110</v>
      </c>
      <c r="Y14" s="20"/>
      <c r="Z14" s="56"/>
    </row>
    <row r="15" spans="1:51" x14ac:dyDescent="0.25">
      <c r="A15" s="29">
        <f>MATCH(D15,'TRADING INPUTS'!B:B,0)</f>
        <v>10</v>
      </c>
      <c r="B15" s="93">
        <f>MATCH(D15,'MKT DATA'!B:B,0)</f>
        <v>5</v>
      </c>
      <c r="C15" s="30" t="s">
        <v>56</v>
      </c>
      <c r="D15" s="31" t="s">
        <v>49</v>
      </c>
      <c r="E15" s="99" cm="1">
        <f t="array" aca="1" ref="E15" ca="1">INDIRECT(ADDRESS($B15,5,,,"mkt data"))</f>
        <v>47.55</v>
      </c>
      <c r="F15" s="100" cm="1">
        <f t="array" aca="1" ref="F15" ca="1">INDIRECT(ADDRESS($B15,6,,,"mkt data"))</f>
        <v>47.91</v>
      </c>
      <c r="G15" s="32">
        <f ca="1">E15-G$1</f>
        <v>47.544999999999995</v>
      </c>
      <c r="H15" s="32">
        <f ca="1">F15+G$1</f>
        <v>47.914999999999999</v>
      </c>
      <c r="I15" s="105" cm="1">
        <f t="array" aca="1" ref="I15" ca="1">INDIRECT(ADDRESS($A15,5,,,"trading inputs"))</f>
        <v>1.0429715511399629</v>
      </c>
      <c r="J15" s="33">
        <f t="shared" ref="J15" ca="1" si="9">G15*I15</f>
        <v>49.588082398949531</v>
      </c>
      <c r="K15" s="33">
        <f t="shared" ref="K15" ca="1" si="10">-I15*H15</f>
        <v>-49.97398187287132</v>
      </c>
      <c r="L15" s="112">
        <f ca="1">K15+J16</f>
        <v>-0.47898187287132288</v>
      </c>
      <c r="M15" s="128">
        <f ca="1">L15/AVERAGE(J16,-K16)</f>
        <v>-9.3660905919304427E-3</v>
      </c>
      <c r="N15" s="129">
        <f>V15</f>
        <v>0.01</v>
      </c>
      <c r="O15" s="130">
        <f ca="1">J15+K16</f>
        <v>-3.1969176010504725</v>
      </c>
      <c r="P15" s="128">
        <f ca="1">O15/AVERAGE(J16,-K16)</f>
        <v>-6.2513054381119912E-2</v>
      </c>
      <c r="Q15" s="129">
        <f>W15</f>
        <v>0.01</v>
      </c>
      <c r="R15" s="123" cm="1">
        <f t="array" aca="1" ref="R15" ca="1">INDIRECT(ADDRESS($B15,9,,,"mkt data"))</f>
        <v>0</v>
      </c>
      <c r="S15" s="47">
        <f ca="1">R15/I15</f>
        <v>0</v>
      </c>
      <c r="T15" s="76">
        <f ca="1">SUM(S15:S16)</f>
        <v>0</v>
      </c>
      <c r="U15" s="20"/>
      <c r="V15" s="85">
        <v>0.01</v>
      </c>
      <c r="W15" s="86">
        <v>0.01</v>
      </c>
      <c r="X15" s="88" t="s">
        <v>109</v>
      </c>
      <c r="Y15" s="20"/>
      <c r="Z15" s="56"/>
    </row>
    <row r="16" spans="1:51" ht="15.75" thickBot="1" x14ac:dyDescent="0.3">
      <c r="A16" s="34">
        <f>MATCH(D16,'TRADING INPUTS'!B:B,0)</f>
        <v>11</v>
      </c>
      <c r="B16" s="94">
        <f>MATCH(D16,'MKT DATA'!B:B,0)</f>
        <v>15</v>
      </c>
      <c r="C16" s="35" t="s">
        <v>56</v>
      </c>
      <c r="D16" s="36" t="s">
        <v>56</v>
      </c>
      <c r="E16" s="101" cm="1">
        <f t="array" aca="1" ref="E16" ca="1">INDIRECT(ADDRESS($B16,5,,,"mkt data"))</f>
        <v>49.5</v>
      </c>
      <c r="F16" s="102" cm="1">
        <f t="array" aca="1" ref="F16" ca="1">INDIRECT(ADDRESS($B16,6,,,"mkt data"))</f>
        <v>52.78</v>
      </c>
      <c r="G16" s="37">
        <f ca="1">E16-G$1</f>
        <v>49.494999999999997</v>
      </c>
      <c r="H16" s="37">
        <f ca="1">F16+G$1</f>
        <v>52.785000000000004</v>
      </c>
      <c r="I16" s="106" cm="1">
        <f t="array" aca="1" ref="I16" ca="1">INDIRECT(ADDRESS($A16,5,,,"trading inputs"))</f>
        <v>1</v>
      </c>
      <c r="J16" s="38">
        <f ca="1">G16*I16</f>
        <v>49.494999999999997</v>
      </c>
      <c r="K16" s="38">
        <f ca="1">-I16*H16</f>
        <v>-52.785000000000004</v>
      </c>
      <c r="L16" s="113"/>
      <c r="M16" s="131"/>
      <c r="N16" s="132">
        <f>V16</f>
        <v>0.01</v>
      </c>
      <c r="O16" s="133"/>
      <c r="P16" s="131"/>
      <c r="Q16" s="132">
        <f>W16</f>
        <v>0.01</v>
      </c>
      <c r="R16" s="124" cm="1">
        <f t="array" aca="1" ref="R16" ca="1">INDIRECT(ADDRESS($B16,9,,,"mkt data"))</f>
        <v>0</v>
      </c>
      <c r="S16" s="49">
        <f ca="1">R16/I16</f>
        <v>0</v>
      </c>
      <c r="T16" s="77"/>
      <c r="U16" s="20"/>
      <c r="V16" s="86">
        <v>0.01</v>
      </c>
      <c r="W16" s="86">
        <v>0.01</v>
      </c>
      <c r="X16" s="88" t="s">
        <v>110</v>
      </c>
      <c r="Y16" s="20"/>
      <c r="Z16" s="56"/>
    </row>
    <row r="17" spans="1:27" x14ac:dyDescent="0.25">
      <c r="A17" s="29">
        <f>MATCH(D17,'TRADING INPUTS'!B:B,0)</f>
        <v>4</v>
      </c>
      <c r="B17" s="93">
        <f>MATCH(D17,'MKT DATA'!B:B,0)</f>
        <v>12</v>
      </c>
      <c r="C17" s="30" t="s">
        <v>48</v>
      </c>
      <c r="D17" s="31" t="s">
        <v>55</v>
      </c>
      <c r="E17" s="99" cm="1">
        <f t="array" aca="1" ref="E17" ca="1">INDIRECT(ADDRESS($B17,5,,,"mkt data"))</f>
        <v>26.93</v>
      </c>
      <c r="F17" s="100" cm="1">
        <f t="array" aca="1" ref="F17" ca="1">INDIRECT(ADDRESS($B17,6,,,"mkt data"))</f>
        <v>27.07</v>
      </c>
      <c r="G17" s="32">
        <f ca="1">E17-G$1</f>
        <v>26.925000000000001</v>
      </c>
      <c r="H17" s="32">
        <f ca="1">F17+G$1</f>
        <v>27.074999999999999</v>
      </c>
      <c r="I17" s="105" cm="1">
        <f t="array" aca="1" ref="I17" ca="1">INDIRECT(ADDRESS($A17,5,,,"trading inputs"))</f>
        <v>1.0736852299969759</v>
      </c>
      <c r="J17" s="33">
        <f ca="1">G17*I17</f>
        <v>28.908974817668579</v>
      </c>
      <c r="K17" s="33">
        <f ca="1">-I17*H17</f>
        <v>-29.070027602168121</v>
      </c>
      <c r="L17" s="112">
        <f ca="1">K17+J18</f>
        <v>-0.22502760216811879</v>
      </c>
      <c r="M17" s="128">
        <f ca="1">L17/AVERAGE(J18,-K18)</f>
        <v>-7.7770037037538887E-3</v>
      </c>
      <c r="N17" s="129">
        <f>V17</f>
        <v>0.01</v>
      </c>
      <c r="O17" s="112">
        <f ca="1">J17+K18</f>
        <v>-0.11602518233141978</v>
      </c>
      <c r="P17" s="128">
        <f ca="1">O17/AVERAGE(J18,-K18)</f>
        <v>-4.0098559644520396E-3</v>
      </c>
      <c r="Q17" s="129">
        <f>W17</f>
        <v>0.01</v>
      </c>
      <c r="R17" s="123" cm="1">
        <f t="array" aca="1" ref="R17" ca="1">INDIRECT(ADDRESS($B17,9,,,"mkt data"))</f>
        <v>0</v>
      </c>
      <c r="S17" s="47">
        <f ca="1">R17/I17</f>
        <v>0</v>
      </c>
      <c r="T17" s="48">
        <f ca="1">SUM(S17:S18)</f>
        <v>0</v>
      </c>
      <c r="U17" s="20"/>
      <c r="V17" s="85">
        <v>0.01</v>
      </c>
      <c r="W17" s="86">
        <v>0.01</v>
      </c>
      <c r="X17" s="88" t="s">
        <v>109</v>
      </c>
      <c r="Y17" s="20"/>
      <c r="AA17" s="134">
        <f ca="1">+I11-0.33</f>
        <v>1.3178397090237439</v>
      </c>
    </row>
    <row r="18" spans="1:27" ht="15.75" thickBot="1" x14ac:dyDescent="0.3">
      <c r="A18" s="34">
        <f>MATCH(D18,'TRADING INPUTS'!B:B,0)</f>
        <v>5</v>
      </c>
      <c r="B18" s="94">
        <f>MATCH(D18,'MKT DATA'!B:B,0)</f>
        <v>3</v>
      </c>
      <c r="C18" s="35" t="s">
        <v>48</v>
      </c>
      <c r="D18" s="36" t="s">
        <v>48</v>
      </c>
      <c r="E18" s="101" cm="1">
        <f t="array" aca="1" ref="E18" ca="1">INDIRECT(ADDRESS($B18,5,,,"mkt data"))</f>
        <v>28.85</v>
      </c>
      <c r="F18" s="102" cm="1">
        <f t="array" aca="1" ref="F18" ca="1">INDIRECT(ADDRESS($B18,6,,,"mkt data"))</f>
        <v>29.02</v>
      </c>
      <c r="G18" s="37">
        <f ca="1">E18-G$1</f>
        <v>28.845000000000002</v>
      </c>
      <c r="H18" s="37">
        <f ca="1">F18+G$1</f>
        <v>29.024999999999999</v>
      </c>
      <c r="I18" s="106" cm="1">
        <f t="array" aca="1" ref="I18" ca="1">INDIRECT(ADDRESS($A18,5,,,"trading inputs"))</f>
        <v>1</v>
      </c>
      <c r="J18" s="38">
        <f ca="1">G18*I18</f>
        <v>28.845000000000002</v>
      </c>
      <c r="K18" s="38">
        <f ca="1">-I18*H18</f>
        <v>-29.024999999999999</v>
      </c>
      <c r="L18" s="113"/>
      <c r="M18" s="131"/>
      <c r="N18" s="132">
        <f>V18</f>
        <v>0.01</v>
      </c>
      <c r="O18" s="113"/>
      <c r="P18" s="131"/>
      <c r="Q18" s="132">
        <f>W18</f>
        <v>0.01</v>
      </c>
      <c r="R18" s="124" cm="1">
        <f t="array" aca="1" ref="R18" ca="1">INDIRECT(ADDRESS($B18,9,,,"mkt data"))</f>
        <v>0</v>
      </c>
      <c r="S18" s="49">
        <f ca="1">R18/I18</f>
        <v>0</v>
      </c>
      <c r="T18" s="50"/>
      <c r="U18" s="20"/>
      <c r="V18" s="86">
        <v>0.01</v>
      </c>
      <c r="W18" s="86">
        <v>0.01</v>
      </c>
      <c r="X18" s="88" t="s">
        <v>110</v>
      </c>
      <c r="Y18" s="20"/>
    </row>
    <row r="19" spans="1:27" x14ac:dyDescent="0.25">
      <c r="A19" s="72" t="str">
        <f>'MKT DATA'!J2</f>
        <v>2026-08-21_16-04-51</v>
      </c>
      <c r="B19" s="72"/>
      <c r="C19" s="72"/>
      <c r="U19" s="20"/>
      <c r="W19" s="20"/>
      <c r="X19" s="20"/>
      <c r="Y19" s="20"/>
    </row>
    <row r="20" spans="1:27" x14ac:dyDescent="0.25">
      <c r="U20" s="20"/>
      <c r="V20" s="20"/>
      <c r="W20" s="20"/>
      <c r="X20" s="20"/>
      <c r="Y20" s="20"/>
    </row>
    <row r="21" spans="1:27" x14ac:dyDescent="0.25">
      <c r="U21" s="20"/>
      <c r="X21" s="81"/>
      <c r="Y21" s="20"/>
    </row>
    <row r="22" spans="1:27" x14ac:dyDescent="0.25">
      <c r="U22" s="20"/>
      <c r="X22" s="81"/>
      <c r="Y22" s="20"/>
    </row>
    <row r="23" spans="1:27" x14ac:dyDescent="0.25">
      <c r="U23" s="20"/>
      <c r="X23" s="20"/>
      <c r="Y23" s="20"/>
    </row>
    <row r="24" spans="1:27" x14ac:dyDescent="0.25">
      <c r="U24" s="20"/>
      <c r="X24" s="81"/>
      <c r="Y24" s="20"/>
    </row>
    <row r="25" spans="1:27" x14ac:dyDescent="0.25">
      <c r="X25" s="81"/>
    </row>
    <row r="27" spans="1:27" x14ac:dyDescent="0.25">
      <c r="X27" s="81"/>
    </row>
    <row r="28" spans="1:27" x14ac:dyDescent="0.25">
      <c r="E28"/>
      <c r="F28"/>
      <c r="G28" s="18"/>
      <c r="H28" s="18"/>
      <c r="I28" s="16"/>
      <c r="J28"/>
      <c r="K28"/>
      <c r="L28"/>
      <c r="X28" s="81"/>
    </row>
    <row r="30" spans="1:27" x14ac:dyDescent="0.25">
      <c r="X30" s="81"/>
    </row>
    <row r="31" spans="1:27" x14ac:dyDescent="0.25">
      <c r="X31" s="81"/>
    </row>
    <row r="33" spans="24:24" x14ac:dyDescent="0.25">
      <c r="X33" s="81"/>
    </row>
    <row r="34" spans="24:24" x14ac:dyDescent="0.25">
      <c r="X34" s="81"/>
    </row>
    <row r="36" spans="24:24" x14ac:dyDescent="0.25">
      <c r="X36" s="81"/>
    </row>
    <row r="37" spans="24:24" x14ac:dyDescent="0.25">
      <c r="X37" s="81"/>
    </row>
    <row r="39" spans="24:24" x14ac:dyDescent="0.25">
      <c r="X39" s="81"/>
    </row>
    <row r="40" spans="24:24" x14ac:dyDescent="0.25">
      <c r="X40" s="81"/>
    </row>
    <row r="42" spans="24:24" x14ac:dyDescent="0.25">
      <c r="X42" s="81"/>
    </row>
    <row r="43" spans="24:24" x14ac:dyDescent="0.25">
      <c r="X43" s="81"/>
    </row>
  </sheetData>
  <mergeCells count="47">
    <mergeCell ref="O17:O18"/>
    <mergeCell ref="P17:P18"/>
    <mergeCell ref="L17:L18"/>
    <mergeCell ref="M17:M18"/>
    <mergeCell ref="V1:W1"/>
    <mergeCell ref="L1:N1"/>
    <mergeCell ref="O1:Q1"/>
    <mergeCell ref="L3:L4"/>
    <mergeCell ref="L5:L6"/>
    <mergeCell ref="L7:L8"/>
    <mergeCell ref="L9:L10"/>
    <mergeCell ref="L13:L14"/>
    <mergeCell ref="L15:L16"/>
    <mergeCell ref="L11:L12"/>
    <mergeCell ref="M11:M12"/>
    <mergeCell ref="O11:O12"/>
    <mergeCell ref="P3:P4"/>
    <mergeCell ref="M9:M10"/>
    <mergeCell ref="O9:O10"/>
    <mergeCell ref="P9:P10"/>
    <mergeCell ref="P5:P6"/>
    <mergeCell ref="P15:P16"/>
    <mergeCell ref="M7:M8"/>
    <mergeCell ref="O7:O8"/>
    <mergeCell ref="P7:P8"/>
    <mergeCell ref="M15:M16"/>
    <mergeCell ref="O15:O16"/>
    <mergeCell ref="P11:P12"/>
    <mergeCell ref="M5:M6"/>
    <mergeCell ref="O5:O6"/>
    <mergeCell ref="G1:H1"/>
    <mergeCell ref="M3:M4"/>
    <mergeCell ref="O3:O4"/>
    <mergeCell ref="A19:C19"/>
    <mergeCell ref="T13:T14"/>
    <mergeCell ref="M13:M14"/>
    <mergeCell ref="O13:O14"/>
    <mergeCell ref="P13:P14"/>
    <mergeCell ref="T5:T6"/>
    <mergeCell ref="T9:T10"/>
    <mergeCell ref="R1:T1"/>
    <mergeCell ref="T3:T4"/>
    <mergeCell ref="T7:T8"/>
    <mergeCell ref="T15:T16"/>
    <mergeCell ref="A1:B1"/>
    <mergeCell ref="E1:F1"/>
    <mergeCell ref="J1:K1"/>
  </mergeCells>
  <conditionalFormatting sqref="J13:J14">
    <cfRule type="top10" dxfId="55" priority="65" rank="1"/>
  </conditionalFormatting>
  <conditionalFormatting sqref="K13:K14">
    <cfRule type="top10" dxfId="47" priority="66" rank="1"/>
  </conditionalFormatting>
  <conditionalFormatting sqref="N3">
    <cfRule type="cellIs" dxfId="46" priority="46" operator="lessThan">
      <formula>M3</formula>
    </cfRule>
  </conditionalFormatting>
  <conditionalFormatting sqref="N4">
    <cfRule type="cellIs" dxfId="45" priority="45" operator="lessThan">
      <formula>M3</formula>
    </cfRule>
  </conditionalFormatting>
  <conditionalFormatting sqref="N5">
    <cfRule type="cellIs" dxfId="44" priority="44" operator="lessThan">
      <formula>M5</formula>
    </cfRule>
  </conditionalFormatting>
  <conditionalFormatting sqref="N6">
    <cfRule type="cellIs" dxfId="43" priority="43" operator="lessThan">
      <formula>M5</formula>
    </cfRule>
  </conditionalFormatting>
  <conditionalFormatting sqref="N7">
    <cfRule type="cellIs" dxfId="42" priority="42" operator="lessThan">
      <formula>M7</formula>
    </cfRule>
  </conditionalFormatting>
  <conditionalFormatting sqref="N8">
    <cfRule type="cellIs" dxfId="41" priority="41" operator="lessThan">
      <formula>M7</formula>
    </cfRule>
  </conditionalFormatting>
  <conditionalFormatting sqref="N9">
    <cfRule type="cellIs" dxfId="40" priority="40" operator="lessThan">
      <formula>M9</formula>
    </cfRule>
  </conditionalFormatting>
  <conditionalFormatting sqref="N10">
    <cfRule type="cellIs" dxfId="39" priority="39" operator="lessThan">
      <formula>M9</formula>
    </cfRule>
  </conditionalFormatting>
  <conditionalFormatting sqref="N11">
    <cfRule type="cellIs" dxfId="38" priority="38" operator="lessThan">
      <formula>M11</formula>
    </cfRule>
  </conditionalFormatting>
  <conditionalFormatting sqref="N12">
    <cfRule type="cellIs" dxfId="37" priority="37" operator="lessThan">
      <formula>M11</formula>
    </cfRule>
  </conditionalFormatting>
  <conditionalFormatting sqref="N13">
    <cfRule type="cellIs" dxfId="36" priority="36" operator="lessThan">
      <formula>M13</formula>
    </cfRule>
  </conditionalFormatting>
  <conditionalFormatting sqref="N14">
    <cfRule type="cellIs" dxfId="35" priority="35" operator="lessThan">
      <formula>M13</formula>
    </cfRule>
  </conditionalFormatting>
  <conditionalFormatting sqref="N15">
    <cfRule type="cellIs" dxfId="34" priority="34" operator="lessThan">
      <formula>M15</formula>
    </cfRule>
  </conditionalFormatting>
  <conditionalFormatting sqref="N16">
    <cfRule type="cellIs" dxfId="33" priority="33" operator="lessThan">
      <formula>M15</formula>
    </cfRule>
  </conditionalFormatting>
  <conditionalFormatting sqref="N17">
    <cfRule type="cellIs" dxfId="32" priority="32" operator="lessThan">
      <formula>M17</formula>
    </cfRule>
  </conditionalFormatting>
  <conditionalFormatting sqref="N18">
    <cfRule type="cellIs" dxfId="31" priority="31" operator="lessThan">
      <formula>M17</formula>
    </cfRule>
  </conditionalFormatting>
  <conditionalFormatting sqref="Q3">
    <cfRule type="cellIs" dxfId="30" priority="30" operator="lessThan">
      <formula>P3</formula>
    </cfRule>
  </conditionalFormatting>
  <conditionalFormatting sqref="Q4">
    <cfRule type="cellIs" dxfId="29" priority="29" operator="lessThan">
      <formula>P3</formula>
    </cfRule>
  </conditionalFormatting>
  <conditionalFormatting sqref="Q5">
    <cfRule type="cellIs" dxfId="28" priority="28" operator="lessThan">
      <formula>P5</formula>
    </cfRule>
  </conditionalFormatting>
  <conditionalFormatting sqref="Q6">
    <cfRule type="cellIs" dxfId="27" priority="27" operator="lessThan">
      <formula>P5</formula>
    </cfRule>
  </conditionalFormatting>
  <conditionalFormatting sqref="Q7">
    <cfRule type="cellIs" dxfId="26" priority="26" operator="lessThan">
      <formula>P7</formula>
    </cfRule>
  </conditionalFormatting>
  <conditionalFormatting sqref="Q8">
    <cfRule type="cellIs" dxfId="25" priority="25" operator="lessThan">
      <formula>P7</formula>
    </cfRule>
  </conditionalFormatting>
  <conditionalFormatting sqref="Q9">
    <cfRule type="cellIs" dxfId="24" priority="24" operator="lessThan">
      <formula>P9</formula>
    </cfRule>
  </conditionalFormatting>
  <conditionalFormatting sqref="Q10">
    <cfRule type="cellIs" dxfId="23" priority="23" operator="lessThan">
      <formula>P9</formula>
    </cfRule>
  </conditionalFormatting>
  <conditionalFormatting sqref="Q11">
    <cfRule type="cellIs" dxfId="22" priority="22" operator="lessThan">
      <formula>P11</formula>
    </cfRule>
  </conditionalFormatting>
  <conditionalFormatting sqref="Q12">
    <cfRule type="cellIs" dxfId="21" priority="21" operator="lessThan">
      <formula>P11</formula>
    </cfRule>
  </conditionalFormatting>
  <conditionalFormatting sqref="Q13">
    <cfRule type="cellIs" dxfId="20" priority="20" operator="lessThan">
      <formula>P13</formula>
    </cfRule>
  </conditionalFormatting>
  <conditionalFormatting sqref="Q14">
    <cfRule type="cellIs" dxfId="19" priority="19" operator="lessThan">
      <formula>P13</formula>
    </cfRule>
  </conditionalFormatting>
  <conditionalFormatting sqref="Q15">
    <cfRule type="cellIs" dxfId="18" priority="18" operator="lessThan">
      <formula>P15</formula>
    </cfRule>
  </conditionalFormatting>
  <conditionalFormatting sqref="Q16">
    <cfRule type="cellIs" dxfId="17" priority="17" operator="lessThan">
      <formula>P15</formula>
    </cfRule>
  </conditionalFormatting>
  <conditionalFormatting sqref="Q17">
    <cfRule type="cellIs" dxfId="16" priority="16" operator="lessThan">
      <formula>P17</formula>
    </cfRule>
  </conditionalFormatting>
  <conditionalFormatting sqref="Q18">
    <cfRule type="cellIs" dxfId="15" priority="15" operator="lessThan">
      <formula>P17</formula>
    </cfRule>
  </conditionalFormatting>
  <conditionalFormatting sqref="J15:J16">
    <cfRule type="top10" dxfId="14" priority="13" rank="1"/>
  </conditionalFormatting>
  <conditionalFormatting sqref="K15:K16">
    <cfRule type="top10" dxfId="13" priority="14" rank="1"/>
  </conditionalFormatting>
  <conditionalFormatting sqref="J17:J18">
    <cfRule type="top10" dxfId="12" priority="11" rank="1"/>
  </conditionalFormatting>
  <conditionalFormatting sqref="K17:K18">
    <cfRule type="top10" dxfId="11" priority="12" rank="1"/>
  </conditionalFormatting>
  <conditionalFormatting sqref="J11:J12">
    <cfRule type="top10" dxfId="10" priority="9" rank="1"/>
  </conditionalFormatting>
  <conditionalFormatting sqref="K11:K12">
    <cfRule type="top10" dxfId="9" priority="10" rank="1"/>
  </conditionalFormatting>
  <conditionalFormatting sqref="J5:J6">
    <cfRule type="top10" dxfId="8" priority="7" rank="1"/>
  </conditionalFormatting>
  <conditionalFormatting sqref="K5:K6">
    <cfRule type="top10" dxfId="7" priority="8" rank="1"/>
  </conditionalFormatting>
  <conditionalFormatting sqref="J7:J8">
    <cfRule type="top10" dxfId="6" priority="5" rank="1"/>
  </conditionalFormatting>
  <conditionalFormatting sqref="K7:K8">
    <cfRule type="top10" dxfId="5" priority="6" rank="1"/>
  </conditionalFormatting>
  <conditionalFormatting sqref="J9:J10">
    <cfRule type="top10" dxfId="4" priority="3" rank="1"/>
  </conditionalFormatting>
  <conditionalFormatting sqref="K9:K10">
    <cfRule type="top10" dxfId="3" priority="4" rank="1"/>
  </conditionalFormatting>
  <conditionalFormatting sqref="J3:J4">
    <cfRule type="top10" dxfId="2" priority="1" rank="1"/>
  </conditionalFormatting>
  <conditionalFormatting sqref="K3:K4">
    <cfRule type="top10" dxfId="1" priority="2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O28"/>
  <sheetViews>
    <sheetView workbookViewId="0">
      <selection activeCell="J12" sqref="J12"/>
    </sheetView>
  </sheetViews>
  <sheetFormatPr defaultRowHeight="15" x14ac:dyDescent="0.25"/>
  <cols>
    <col min="1" max="1" width="13.42578125" style="27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40" bestFit="1" customWidth="1"/>
    <col min="7" max="7" width="8" style="42" bestFit="1" customWidth="1"/>
    <col min="8" max="8" width="11.140625" style="7" bestFit="1" customWidth="1"/>
    <col min="9" max="9" width="14" style="11" customWidth="1"/>
    <col min="10" max="10" width="45.42578125" style="13" bestFit="1" customWidth="1"/>
    <col min="12" max="12" width="11" style="4" bestFit="1" customWidth="1"/>
    <col min="13" max="13" width="9.7109375" bestFit="1" customWidth="1"/>
  </cols>
  <sheetData>
    <row r="1" spans="1:15" s="3" customFormat="1" ht="15.75" x14ac:dyDescent="0.25">
      <c r="A1" s="26" t="s">
        <v>5</v>
      </c>
      <c r="B1" s="5" t="s">
        <v>2</v>
      </c>
      <c r="C1" s="5" t="s">
        <v>1</v>
      </c>
      <c r="D1" s="5" t="s">
        <v>14</v>
      </c>
      <c r="E1" s="9" t="s">
        <v>37</v>
      </c>
      <c r="F1" s="39" t="s">
        <v>85</v>
      </c>
      <c r="G1" s="41" t="s">
        <v>88</v>
      </c>
      <c r="H1" s="6" t="s">
        <v>95</v>
      </c>
      <c r="I1" s="10"/>
      <c r="J1" s="44" t="s">
        <v>100</v>
      </c>
      <c r="L1" s="9"/>
      <c r="N1"/>
    </row>
    <row r="2" spans="1:15" ht="16.5" thickBot="1" x14ac:dyDescent="0.3">
      <c r="A2" s="27" t="b">
        <v>0</v>
      </c>
      <c r="B2" t="s">
        <v>52</v>
      </c>
      <c r="C2" t="s">
        <v>0</v>
      </c>
      <c r="D2" t="s">
        <v>57</v>
      </c>
      <c r="E2" s="4">
        <v>1.1151801073393748</v>
      </c>
      <c r="F2" s="40">
        <v>0.05</v>
      </c>
      <c r="G2" s="42">
        <f>ROUND(G3*E2,0)</f>
        <v>223</v>
      </c>
      <c r="H2" s="7" t="s">
        <v>97</v>
      </c>
      <c r="J2" s="45" t="s">
        <v>99</v>
      </c>
      <c r="K2" s="28"/>
      <c r="M2" s="54"/>
    </row>
    <row r="3" spans="1:15" x14ac:dyDescent="0.25">
      <c r="A3" s="27" t="b">
        <v>0</v>
      </c>
      <c r="B3" t="s">
        <v>57</v>
      </c>
      <c r="C3" t="s">
        <v>0</v>
      </c>
      <c r="D3" t="s">
        <v>57</v>
      </c>
      <c r="E3" s="4">
        <v>1</v>
      </c>
      <c r="F3" s="40">
        <v>0.05</v>
      </c>
      <c r="G3" s="42">
        <v>200</v>
      </c>
      <c r="H3" s="7" t="s">
        <v>98</v>
      </c>
      <c r="J3" s="14"/>
      <c r="M3" s="54"/>
    </row>
    <row r="4" spans="1:15" x14ac:dyDescent="0.25">
      <c r="A4" s="27" t="b">
        <v>0</v>
      </c>
      <c r="B4" t="s">
        <v>55</v>
      </c>
      <c r="C4" t="s">
        <v>0</v>
      </c>
      <c r="D4" t="s">
        <v>48</v>
      </c>
      <c r="E4" s="4">
        <v>1.0736852299969759</v>
      </c>
      <c r="F4" s="40">
        <v>0.05</v>
      </c>
      <c r="G4" s="42">
        <f>ROUND(G5*E4,0)</f>
        <v>215</v>
      </c>
      <c r="H4" s="7" t="s">
        <v>97</v>
      </c>
      <c r="J4" s="16" t="s">
        <v>96</v>
      </c>
      <c r="M4" s="54"/>
    </row>
    <row r="5" spans="1:15" x14ac:dyDescent="0.25">
      <c r="A5" s="27" t="b">
        <v>0</v>
      </c>
      <c r="B5" t="s">
        <v>48</v>
      </c>
      <c r="C5" t="s">
        <v>0</v>
      </c>
      <c r="D5" t="s">
        <v>48</v>
      </c>
      <c r="E5" s="4">
        <v>1</v>
      </c>
      <c r="F5" s="40">
        <v>0.05</v>
      </c>
      <c r="G5" s="42">
        <v>200</v>
      </c>
      <c r="H5" s="7" t="s">
        <v>98</v>
      </c>
      <c r="J5" s="14"/>
      <c r="M5" s="54"/>
    </row>
    <row r="6" spans="1:15" x14ac:dyDescent="0.25">
      <c r="A6" s="27" t="b">
        <v>1</v>
      </c>
      <c r="B6" t="s">
        <v>62</v>
      </c>
      <c r="C6" t="s">
        <v>0</v>
      </c>
      <c r="D6" t="s">
        <v>61</v>
      </c>
      <c r="E6" s="4">
        <v>1.647839709023744</v>
      </c>
      <c r="F6" s="40">
        <v>0.16500000000000001</v>
      </c>
      <c r="G6" s="42">
        <f>ROUND(G7*E6,0)</f>
        <v>330</v>
      </c>
      <c r="H6" s="7" t="s">
        <v>97</v>
      </c>
      <c r="J6" s="12"/>
      <c r="M6" s="54"/>
    </row>
    <row r="7" spans="1:15" x14ac:dyDescent="0.25">
      <c r="A7" s="27" t="b">
        <v>1</v>
      </c>
      <c r="B7" t="s">
        <v>61</v>
      </c>
      <c r="C7" t="s">
        <v>0</v>
      </c>
      <c r="D7" t="s">
        <v>61</v>
      </c>
      <c r="E7" s="4">
        <v>1</v>
      </c>
      <c r="F7" s="40">
        <v>0.16500000000000001</v>
      </c>
      <c r="G7" s="42">
        <v>200</v>
      </c>
      <c r="H7" s="7" t="s">
        <v>98</v>
      </c>
      <c r="J7" s="12"/>
      <c r="M7" s="54"/>
    </row>
    <row r="8" spans="1:15" x14ac:dyDescent="0.25">
      <c r="A8" s="27" t="b">
        <v>0</v>
      </c>
      <c r="B8" t="s">
        <v>66</v>
      </c>
      <c r="C8" t="s">
        <v>0</v>
      </c>
      <c r="D8" t="s">
        <v>53</v>
      </c>
      <c r="E8" s="4">
        <v>1.4382898139715363</v>
      </c>
      <c r="F8" s="40">
        <v>0.05</v>
      </c>
      <c r="G8" s="42">
        <f>ROUND(G9*E8,0)</f>
        <v>288</v>
      </c>
      <c r="H8" s="7" t="s">
        <v>97</v>
      </c>
      <c r="J8" s="12"/>
      <c r="M8" s="54"/>
    </row>
    <row r="9" spans="1:15" x14ac:dyDescent="0.25">
      <c r="A9" s="27" t="b">
        <v>0</v>
      </c>
      <c r="B9" t="s">
        <v>53</v>
      </c>
      <c r="C9" t="s">
        <v>0</v>
      </c>
      <c r="D9" t="s">
        <v>53</v>
      </c>
      <c r="E9" s="4">
        <v>1</v>
      </c>
      <c r="F9" s="40">
        <v>0.05</v>
      </c>
      <c r="G9" s="42">
        <v>200</v>
      </c>
      <c r="H9" s="7" t="s">
        <v>98</v>
      </c>
      <c r="J9" s="12"/>
      <c r="M9" s="54"/>
    </row>
    <row r="10" spans="1:15" x14ac:dyDescent="0.25">
      <c r="A10" s="27" t="b">
        <v>0</v>
      </c>
      <c r="B10" t="s">
        <v>49</v>
      </c>
      <c r="C10" t="s">
        <v>0</v>
      </c>
      <c r="D10" t="s">
        <v>56</v>
      </c>
      <c r="E10" s="4">
        <v>1.0429715511399629</v>
      </c>
      <c r="F10" s="40">
        <v>0.05</v>
      </c>
      <c r="G10" s="42">
        <f>ROUND(G11*E10,0)</f>
        <v>209</v>
      </c>
      <c r="H10" s="7" t="s">
        <v>97</v>
      </c>
      <c r="M10" s="54"/>
    </row>
    <row r="11" spans="1:15" x14ac:dyDescent="0.25">
      <c r="A11" s="27" t="b">
        <v>0</v>
      </c>
      <c r="B11" t="s">
        <v>56</v>
      </c>
      <c r="C11" t="s">
        <v>0</v>
      </c>
      <c r="D11" t="s">
        <v>56</v>
      </c>
      <c r="E11" s="4">
        <v>1</v>
      </c>
      <c r="F11" s="40">
        <v>0.05</v>
      </c>
      <c r="G11" s="42">
        <v>200</v>
      </c>
      <c r="H11" s="7" t="s">
        <v>98</v>
      </c>
      <c r="M11" s="54"/>
    </row>
    <row r="12" spans="1:15" x14ac:dyDescent="0.25">
      <c r="A12" s="27" t="b">
        <v>0</v>
      </c>
      <c r="B12" t="s">
        <v>50</v>
      </c>
      <c r="C12" t="s">
        <v>0</v>
      </c>
      <c r="D12" t="s">
        <v>58</v>
      </c>
      <c r="E12" s="4">
        <v>1.8904480235491772</v>
      </c>
      <c r="F12" s="40">
        <v>0.05</v>
      </c>
      <c r="G12" s="42">
        <f>ROUND(G13*E12,0)</f>
        <v>378</v>
      </c>
      <c r="H12" s="7" t="s">
        <v>97</v>
      </c>
      <c r="J12" s="12"/>
      <c r="M12" s="54"/>
    </row>
    <row r="13" spans="1:15" x14ac:dyDescent="0.25">
      <c r="A13" s="27" t="b">
        <v>0</v>
      </c>
      <c r="B13" t="s">
        <v>58</v>
      </c>
      <c r="C13" t="s">
        <v>0</v>
      </c>
      <c r="D13" t="s">
        <v>58</v>
      </c>
      <c r="E13" s="4">
        <v>1</v>
      </c>
      <c r="F13" s="40">
        <v>0.05</v>
      </c>
      <c r="G13" s="42">
        <v>200</v>
      </c>
      <c r="H13" s="7" t="s">
        <v>98</v>
      </c>
      <c r="M13" s="54"/>
    </row>
    <row r="14" spans="1:15" x14ac:dyDescent="0.25">
      <c r="A14" s="27" t="b">
        <v>0</v>
      </c>
      <c r="B14" t="s">
        <v>51</v>
      </c>
      <c r="C14" t="s">
        <v>0</v>
      </c>
      <c r="D14" t="s">
        <v>65</v>
      </c>
      <c r="E14" s="4">
        <v>1.7448035127941128</v>
      </c>
      <c r="F14" s="40">
        <v>0.05</v>
      </c>
      <c r="G14" s="42">
        <f>ROUND(G15*E14,0)</f>
        <v>349</v>
      </c>
      <c r="H14" s="7" t="s">
        <v>97</v>
      </c>
      <c r="M14" s="54"/>
    </row>
    <row r="15" spans="1:15" x14ac:dyDescent="0.25">
      <c r="A15" s="27" t="b">
        <v>0</v>
      </c>
      <c r="B15" t="s">
        <v>65</v>
      </c>
      <c r="C15" t="s">
        <v>0</v>
      </c>
      <c r="D15" t="s">
        <v>65</v>
      </c>
      <c r="E15" s="4">
        <v>1</v>
      </c>
      <c r="F15" s="40">
        <v>0.05</v>
      </c>
      <c r="G15" s="42">
        <v>200</v>
      </c>
      <c r="H15" s="7" t="s">
        <v>98</v>
      </c>
      <c r="M15" s="54"/>
      <c r="O15" s="54"/>
    </row>
    <row r="16" spans="1:15" x14ac:dyDescent="0.25">
      <c r="A16" s="27" t="b">
        <v>0</v>
      </c>
      <c r="B16" t="s">
        <v>63</v>
      </c>
      <c r="C16" t="s">
        <v>0</v>
      </c>
      <c r="D16" t="s">
        <v>64</v>
      </c>
      <c r="E16" s="4">
        <v>2.7966782574473563</v>
      </c>
      <c r="F16" s="40">
        <v>0.05</v>
      </c>
      <c r="G16" s="42">
        <f>ROUND(G17*E16,0)</f>
        <v>559</v>
      </c>
      <c r="H16" s="7" t="s">
        <v>97</v>
      </c>
      <c r="J16" s="12"/>
      <c r="K16" s="28"/>
      <c r="M16" s="54"/>
    </row>
    <row r="17" spans="1:13" x14ac:dyDescent="0.25">
      <c r="A17" s="27" t="b">
        <v>0</v>
      </c>
      <c r="B17" t="s">
        <v>64</v>
      </c>
      <c r="C17" t="s">
        <v>0</v>
      </c>
      <c r="D17" t="s">
        <v>64</v>
      </c>
      <c r="E17" s="4">
        <v>1</v>
      </c>
      <c r="F17" s="40">
        <v>0.05</v>
      </c>
      <c r="G17" s="42">
        <v>200</v>
      </c>
      <c r="H17" s="7" t="s">
        <v>98</v>
      </c>
      <c r="J17" s="12"/>
      <c r="M17" s="54"/>
    </row>
    <row r="18" spans="1:13" x14ac:dyDescent="0.25">
      <c r="J18" s="12"/>
    </row>
    <row r="19" spans="1:13" x14ac:dyDescent="0.25">
      <c r="J19" s="12"/>
      <c r="K19" s="28"/>
    </row>
    <row r="20" spans="1:13" x14ac:dyDescent="0.25">
      <c r="J20" s="12"/>
    </row>
    <row r="21" spans="1:13" x14ac:dyDescent="0.25">
      <c r="J21" s="12"/>
    </row>
    <row r="22" spans="1:13" x14ac:dyDescent="0.25">
      <c r="J22" s="12"/>
    </row>
    <row r="23" spans="1:13" x14ac:dyDescent="0.25">
      <c r="J23" s="12"/>
      <c r="L23" s="46"/>
    </row>
    <row r="24" spans="1:13" x14ac:dyDescent="0.25">
      <c r="J24" s="12"/>
      <c r="K24" s="28"/>
    </row>
    <row r="28" spans="1:13" x14ac:dyDescent="0.25">
      <c r="J28" s="12"/>
      <c r="K28" s="28"/>
    </row>
  </sheetData>
  <conditionalFormatting sqref="A1:A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2026-08-21T21:43:41Z</dcterms:modified>
</cp:coreProperties>
</file>