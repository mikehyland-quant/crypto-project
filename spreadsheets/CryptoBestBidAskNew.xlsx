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"/>
    </mc:Choice>
  </mc:AlternateContent>
  <xr:revisionPtr revIDLastSave="99" documentId="13_ncr:1_{437486C6-8647-1D4A-85BE-CA2631131FFF}" xr6:coauthVersionLast="47" xr6:coauthVersionMax="47" xr10:uidLastSave="{E4DC3684-2378-6448-A967-634721B92B20}"/>
  <bookViews>
    <workbookView minimized="1" xWindow="1464" yWindow="1188" windowWidth="21132" windowHeight="11448" firstSheet="1" activeTab="3" xr2:uid="{48EF623B-BF7B-294B-8A9D-11BB0CCA5B79}"/>
  </bookViews>
  <sheets>
    <sheet name="BINANCE" sheetId="25" r:id="rId1"/>
    <sheet name="CODE" sheetId="30" r:id="rId2"/>
    <sheet name="INACTIVE" sheetId="2" r:id="rId3"/>
    <sheet name="ACTIVE" sheetId="28" r:id="rId4"/>
    <sheet name="PRICES" sheetId="24" r:id="rId5"/>
    <sheet name="Exch Info" sheetId="31" r:id="rId6"/>
  </sheets>
  <definedNames>
    <definedName name="clearRange">CODE!$B$12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0" l="1"/>
  <c r="F4" i="30"/>
  <c r="D4" i="30"/>
  <c r="D7" i="30"/>
  <c r="D5" i="30"/>
  <c r="D1" i="30"/>
  <c r="B1" i="30" s="1"/>
  <c r="D6" i="24" l="1"/>
  <c r="C6" i="24"/>
  <c r="B2" i="24" s="1"/>
  <c r="E2" i="24" l="1"/>
  <c r="F6" i="24"/>
  <c r="A5" i="24"/>
  <c r="F7" i="30"/>
  <c r="A20" i="30"/>
  <c r="A19" i="30"/>
  <c r="F5" i="30"/>
  <c r="B5" i="30"/>
  <c r="T12" i="25"/>
  <c r="S12" i="25"/>
  <c r="N12" i="25"/>
  <c r="M12" i="25"/>
  <c r="O12" i="25" s="1"/>
  <c r="A12" i="25"/>
  <c r="T11" i="25"/>
  <c r="S11" i="25"/>
  <c r="N11" i="25"/>
  <c r="M11" i="25"/>
  <c r="A11" i="25"/>
  <c r="K11" i="25" s="1"/>
  <c r="T10" i="25"/>
  <c r="S10" i="25"/>
  <c r="N10" i="25"/>
  <c r="M10" i="25"/>
  <c r="A10" i="25"/>
  <c r="K10" i="25" s="1"/>
  <c r="F7" i="25"/>
  <c r="F8" i="25" s="1"/>
  <c r="T8" i="25"/>
  <c r="S8" i="25"/>
  <c r="N8" i="25"/>
  <c r="M8" i="25"/>
  <c r="A8" i="25"/>
  <c r="T7" i="25"/>
  <c r="S7" i="25"/>
  <c r="N7" i="25"/>
  <c r="M7" i="25"/>
  <c r="A7" i="25"/>
  <c r="T6" i="25"/>
  <c r="S6" i="25"/>
  <c r="A6" i="25"/>
  <c r="N6" i="25"/>
  <c r="M6" i="25"/>
  <c r="E6" i="24" l="1"/>
  <c r="K7" i="25"/>
  <c r="O10" i="25"/>
  <c r="B7" i="30"/>
  <c r="U10" i="25"/>
  <c r="U11" i="25"/>
  <c r="V11" i="25" s="1"/>
  <c r="K8" i="25"/>
  <c r="O8" i="25"/>
  <c r="O11" i="25"/>
  <c r="P11" i="25" s="1"/>
  <c r="U12" i="25"/>
  <c r="P10" i="25"/>
  <c r="K12" i="25"/>
  <c r="P12" i="25" s="1"/>
  <c r="V10" i="25"/>
  <c r="U7" i="25"/>
  <c r="U6" i="25"/>
  <c r="O7" i="25"/>
  <c r="U8" i="25"/>
  <c r="K6" i="25"/>
  <c r="O6" i="25"/>
  <c r="P8" i="25" l="1"/>
  <c r="P7" i="25"/>
  <c r="V7" i="25"/>
  <c r="V8" i="25"/>
  <c r="V12" i="25"/>
  <c r="P6" i="25"/>
  <c r="V6" i="25"/>
  <c r="P1" i="25" l="1"/>
  <c r="V1" i="25"/>
  <c r="W1" i="25" l="1"/>
  <c r="X1" i="25" s="1"/>
</calcChain>
</file>

<file path=xl/sharedStrings.xml><?xml version="1.0" encoding="utf-8"?>
<sst xmlns="http://schemas.openxmlformats.org/spreadsheetml/2006/main" count="300" uniqueCount="193">
  <si>
    <t>instructionRange</t>
  </si>
  <si>
    <t>CryptoBestBidAsk.xlsx</t>
  </si>
  <si>
    <t>BTC/USD</t>
  </si>
  <si>
    <t>inputRange1</t>
  </si>
  <si>
    <t xml:space="preserve">rows = </t>
  </si>
  <si>
    <t xml:space="preserve">cols = </t>
  </si>
  <si>
    <t>inputWorksheet2</t>
  </si>
  <si>
    <t>INACTIVE</t>
  </si>
  <si>
    <t>inputRange2</t>
  </si>
  <si>
    <t>timerInterval</t>
  </si>
  <si>
    <t>clearRange</t>
  </si>
  <si>
    <t>Command Line Code</t>
  </si>
  <si>
    <t>CryptoPriceGrabber</t>
  </si>
  <si>
    <t>cd "crypto"</t>
  </si>
  <si>
    <t>cd "onedrive/crypto"</t>
  </si>
  <si>
    <t>Spot</t>
  </si>
  <si>
    <t>Spot Opts</t>
  </si>
  <si>
    <t>Futures</t>
  </si>
  <si>
    <t>Fut Opts</t>
  </si>
  <si>
    <t>EXCHANGE</t>
  </si>
  <si>
    <t>T/F</t>
  </si>
  <si>
    <t>Funded</t>
  </si>
  <si>
    <t>LogIn</t>
  </si>
  <si>
    <t>P/W</t>
  </si>
  <si>
    <t>Website SignIn</t>
  </si>
  <si>
    <t>Maker</t>
  </si>
  <si>
    <t>Taker</t>
  </si>
  <si>
    <t>Deposit</t>
  </si>
  <si>
    <t>Withdrawl</t>
  </si>
  <si>
    <t>BAKKT</t>
  </si>
  <si>
    <t>Binance.US</t>
  </si>
  <si>
    <t>GMAIL</t>
  </si>
  <si>
    <t>Iam53yearsold</t>
  </si>
  <si>
    <t>https://www.binance.us/en/home</t>
  </si>
  <si>
    <t>CME</t>
  </si>
  <si>
    <t>CONNECTED</t>
  </si>
  <si>
    <t>CoinBase</t>
  </si>
  <si>
    <t>KatieMaggieTom2021</t>
  </si>
  <si>
    <t>https://www.coinbase.com/signin</t>
  </si>
  <si>
    <t>FTX.US</t>
  </si>
  <si>
    <t>CarolynIs#1Beauty</t>
  </si>
  <si>
    <t>https://ftx.us/</t>
  </si>
  <si>
    <t>None</t>
  </si>
  <si>
    <t>Gemini</t>
  </si>
  <si>
    <t>Junehas30days</t>
  </si>
  <si>
    <t>https://exchange.gemini.com/signin</t>
  </si>
  <si>
    <t>Free</t>
  </si>
  <si>
    <t>NOT USA</t>
  </si>
  <si>
    <t>Kraken</t>
  </si>
  <si>
    <t>mike-crypto</t>
  </si>
  <si>
    <t>Iamthe#1crypo</t>
  </si>
  <si>
    <t>https://www.kraken.com/sign-in</t>
  </si>
  <si>
    <t>$4/cash &amp; 0.00015/BTC</t>
  </si>
  <si>
    <t>SWAPS</t>
  </si>
  <si>
    <t>LedgerX</t>
  </si>
  <si>
    <t>IliveinChathamNJ07928</t>
  </si>
  <si>
    <t>https://app.ledgerx.com/login</t>
  </si>
  <si>
    <t>$0.15/option &amp; $0.05/future</t>
  </si>
  <si>
    <t>same as Maker</t>
  </si>
  <si>
    <t>$0/cash &amp; 0.001/BTC</t>
  </si>
  <si>
    <t>Okcoin</t>
  </si>
  <si>
    <t>CarolynIs#1HotBabe</t>
  </si>
  <si>
    <t>https://www.okcoin.com/us/account/login</t>
  </si>
  <si>
    <t>TETHER</t>
  </si>
  <si>
    <t>PERPETUALS</t>
  </si>
  <si>
    <t>Phemex</t>
  </si>
  <si>
    <t>YMAIL</t>
  </si>
  <si>
    <t>Iliketobe#1</t>
  </si>
  <si>
    <t>https://phemex.com/</t>
  </si>
  <si>
    <t>GMAIL ADDRESS</t>
  </si>
  <si>
    <t>mikes.btc.accts@gmail.com</t>
  </si>
  <si>
    <t>GMAIL PASSWORD</t>
  </si>
  <si>
    <t>chatham#1</t>
  </si>
  <si>
    <t>Iliveat10WickhamWay</t>
  </si>
  <si>
    <t>BID PRICE</t>
  </si>
  <si>
    <t>ASK PRICE</t>
  </si>
  <si>
    <t>BID-ASK %</t>
  </si>
  <si>
    <t>BID SIZE</t>
  </si>
  <si>
    <t>ASK SIZE</t>
  </si>
  <si>
    <t>USA</t>
  </si>
  <si>
    <t>Websocket</t>
  </si>
  <si>
    <t>Complete</t>
  </si>
  <si>
    <t>Binance</t>
  </si>
  <si>
    <t>webLink</t>
  </si>
  <si>
    <t>-</t>
  </si>
  <si>
    <t>X</t>
  </si>
  <si>
    <t>Bitfinex</t>
  </si>
  <si>
    <t>Bithumb</t>
  </si>
  <si>
    <t>BitMex</t>
  </si>
  <si>
    <t>BitStamp</t>
  </si>
  <si>
    <t>Bittrex</t>
  </si>
  <si>
    <t>Bybit</t>
  </si>
  <si>
    <t>https://www.cmegroup.com/markets/cryptocurrencies/bitcoin/bitcoin.settlements.html</t>
  </si>
  <si>
    <t>CoinTiger</t>
  </si>
  <si>
    <t>Crypto.com</t>
  </si>
  <si>
    <t>NFTs</t>
  </si>
  <si>
    <t>Deribit</t>
  </si>
  <si>
    <t>FTX</t>
  </si>
  <si>
    <t>Gate.io</t>
  </si>
  <si>
    <t>HitBTC</t>
  </si>
  <si>
    <t>Huobi Global</t>
  </si>
  <si>
    <t>BINARY</t>
  </si>
  <si>
    <t>IQ Option</t>
  </si>
  <si>
    <t>itBit</t>
  </si>
  <si>
    <t>KuCoin</t>
  </si>
  <si>
    <t>pending</t>
  </si>
  <si>
    <t>OKEx</t>
  </si>
  <si>
    <t>TD Ameritrade</t>
  </si>
  <si>
    <t>Derivs</t>
  </si>
  <si>
    <t>Lucas</t>
  </si>
  <si>
    <t>BAAKT</t>
  </si>
  <si>
    <t>https://www.theice.com/products/72035464/Bakkt-Bitcoin-USD-Monthly-Futures/data?marketId=6428465</t>
  </si>
  <si>
    <t>https://www.theblockcrypto.com/data/crypto-markets/futures</t>
  </si>
  <si>
    <t>https://www.theice.com/products/72948304/Option-on-Bakkt-Bitcoin-USD-Monthly-Futures</t>
  </si>
  <si>
    <t>https://www.theblockcrypto.com/data/crypto-markets/options</t>
  </si>
  <si>
    <t>new google accoutn</t>
  </si>
  <si>
    <t>XBT</t>
  </si>
  <si>
    <t>CBOE</t>
  </si>
  <si>
    <t>BTC</t>
  </si>
  <si>
    <t>DAYS IN DISCOUNT RATE</t>
  </si>
  <si>
    <t>HIT</t>
  </si>
  <si>
    <t>LIFT</t>
  </si>
  <si>
    <t>EQUIV</t>
  </si>
  <si>
    <t>DAYS TO</t>
  </si>
  <si>
    <t>EXPIRATION</t>
  </si>
  <si>
    <t>CALL</t>
  </si>
  <si>
    <t>PUT</t>
  </si>
  <si>
    <t>DISCOUNT</t>
  </si>
  <si>
    <t>PV OF</t>
  </si>
  <si>
    <t>NET</t>
  </si>
  <si>
    <t>SELL</t>
  </si>
  <si>
    <t>BUY</t>
  </si>
  <si>
    <t>EXPIRY</t>
  </si>
  <si>
    <t>DATE</t>
  </si>
  <si>
    <t>BID</t>
  </si>
  <si>
    <t>ASK</t>
  </si>
  <si>
    <t>STRIKE</t>
  </si>
  <si>
    <t>RATE</t>
  </si>
  <si>
    <t>PV</t>
  </si>
  <si>
    <t>SPOT</t>
  </si>
  <si>
    <t>DAYS</t>
  </si>
  <si>
    <t>PRICES</t>
  </si>
  <si>
    <t>outputCells</t>
  </si>
  <si>
    <t>outputWorksheet</t>
  </si>
  <si>
    <t>headerRows</t>
  </si>
  <si>
    <t>0.35% via API</t>
  </si>
  <si>
    <t>0.25% va API</t>
  </si>
  <si>
    <t>timeCell</t>
  </si>
  <si>
    <t>A8:F28</t>
  </si>
  <si>
    <t>ASK-BID</t>
  </si>
  <si>
    <t>LX BEST BID</t>
  </si>
  <si>
    <t>LX BEST ASK</t>
  </si>
  <si>
    <t>LX-SPOT</t>
  </si>
  <si>
    <t>A4</t>
  </si>
  <si>
    <t>ASK - BID</t>
  </si>
  <si>
    <t>CB</t>
  </si>
  <si>
    <t>FTXUS</t>
  </si>
  <si>
    <t>GEM</t>
  </si>
  <si>
    <t>KK</t>
  </si>
  <si>
    <t>exchName</t>
  </si>
  <si>
    <t>exchAbbr</t>
  </si>
  <si>
    <t>makerFee</t>
  </si>
  <si>
    <t>takerFee</t>
  </si>
  <si>
    <t>depositFee</t>
  </si>
  <si>
    <t>bitcoinCode</t>
  </si>
  <si>
    <t>BTC-USD</t>
  </si>
  <si>
    <t>string1</t>
  </si>
  <si>
    <t>wsURL</t>
  </si>
  <si>
    <t>wss://ws-feed.pro.coinbase.com/</t>
  </si>
  <si>
    <t>{"op": "login", "args": {"key": "&lt;api_key&gt;", "sign": "&lt;signature&gt;", "time": timeStamp}}</t>
  </si>
  <si>
    <t xml:space="preserve">{"op":"subscribe", "channel":"ticker", "market":pair} </t>
  </si>
  <si>
    <t>string2</t>
  </si>
  <si>
    <t>{}</t>
  </si>
  <si>
    <t>wss://ftx.us/ws/</t>
  </si>
  <si>
    <t>wss://api.gemini.com/v1/marketdata/</t>
  </si>
  <si>
    <t>?top_of_book=true</t>
  </si>
  <si>
    <t>{"event":"subscribe", "subscription":{"name":"ticker"}, "pair":[pair]}</t>
  </si>
  <si>
    <t>wss://ws.kraken.com/</t>
  </si>
  <si>
    <t>signinURL</t>
  </si>
  <si>
    <t>userName</t>
  </si>
  <si>
    <t>passWord</t>
  </si>
  <si>
    <t>useExch</t>
  </si>
  <si>
    <t>{ "type":"subscribe", "product_ids":"", "channels":["ticker"] }</t>
  </si>
  <si>
    <t>newNames</t>
  </si>
  <si>
    <t>[bidSize, bid, ask, askSize]</t>
  </si>
  <si>
    <t>[]</t>
  </si>
  <si>
    <t>btcWithdrawlFee</t>
  </si>
  <si>
    <t>usdWithdrawlFee</t>
  </si>
  <si>
    <t>workbookName</t>
  </si>
  <si>
    <t>myAssetAbbreviation</t>
  </si>
  <si>
    <t>exchInfoRange</t>
  </si>
  <si>
    <t>infoRange</t>
  </si>
  <si>
    <t>variableName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</si>
</sst>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[$-F400]h:mm:ss\ AM/PM"/>
    <numFmt numFmtId="166" formatCode="mm/dd/yy;@"/>
    <numFmt numFmtId="167" formatCode="_(* #,##0_);_(* \(#,##0\);_(* &quot;-&quot;??_);_(@_)"/>
    <numFmt numFmtId="168" formatCode="0.000%"/>
    <numFmt numFmtId="169" formatCode="&quot;$&quot;#,##0"/>
    <numFmt numFmtId="170" formatCode="0.0000%"/>
    <numFmt numFmtId="171" formatCode="&quot;$&quot;#,##0.00"/>
    <numFmt numFmtId="172" formatCode="_(&quot;$&quot;* #,##0_);_(&quot;$&quot;* \(#,##0\);_(&quot;$&quot;* &quot;-&quot;??_);_(@_)"/>
    <numFmt numFmtId="173" formatCode="[$-F400]h:mm:ss\.ss\ AM/PM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b/>
      <u/>
      <sz val="12"/>
      <color theme="1"/>
      <name val="Verdana"/>
      <family val="2"/>
    </font>
    <font>
      <u/>
      <sz val="12"/>
      <color theme="1"/>
      <name val="Verdana"/>
      <family val="2"/>
    </font>
    <font>
      <sz val="14"/>
      <color rgb="FF000000"/>
      <name val="Verdana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Verdana"/>
      <family val="2"/>
    </font>
    <font>
      <b/>
      <sz val="12"/>
      <color theme="7" tint="0.39997558519241921"/>
      <name val="Verdana"/>
      <family val="2"/>
    </font>
    <font>
      <u val="singleAccounting"/>
      <sz val="12"/>
      <color theme="1"/>
      <name val="Verdana"/>
      <family val="2"/>
    </font>
    <font>
      <b/>
      <u/>
      <sz val="12"/>
      <color rgb="FFFF0000"/>
      <name val="Verdana"/>
      <family val="2"/>
    </font>
    <font>
      <b/>
      <sz val="22"/>
      <color theme="1"/>
      <name val="Verdana"/>
      <family val="2"/>
    </font>
    <font>
      <sz val="12"/>
      <color rgb="FFFF0000"/>
      <name val="Verdana"/>
      <family val="2"/>
    </font>
    <font>
      <b/>
      <sz val="16"/>
      <color rgb="FF0070C0"/>
      <name val="Verdana"/>
      <family val="2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3" fontId="4" fillId="0" borderId="0" xfId="1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7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4" fontId="0" fillId="0" borderId="0" xfId="3" applyFont="1" applyAlignment="1">
      <alignment horizontal="center"/>
    </xf>
    <xf numFmtId="44" fontId="10" fillId="0" borderId="0" xfId="3" applyFont="1" applyAlignment="1">
      <alignment horizontal="center"/>
    </xf>
    <xf numFmtId="44" fontId="0" fillId="0" borderId="0" xfId="3" applyFont="1"/>
    <xf numFmtId="167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right"/>
    </xf>
    <xf numFmtId="44" fontId="0" fillId="0" borderId="0" xfId="0" applyNumberFormat="1"/>
    <xf numFmtId="44" fontId="8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/>
    </xf>
    <xf numFmtId="168" fontId="0" fillId="0" borderId="0" xfId="2" applyNumberFormat="1" applyFont="1"/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9" fillId="0" borderId="0" xfId="4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4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44" fontId="6" fillId="0" borderId="0" xfId="3" applyFont="1" applyAlignment="1">
      <alignment horizontal="center"/>
    </xf>
    <xf numFmtId="44" fontId="4" fillId="0" borderId="0" xfId="3" applyFont="1" applyAlignment="1">
      <alignment horizontal="center"/>
    </xf>
    <xf numFmtId="44" fontId="4" fillId="0" borderId="0" xfId="3" applyFont="1"/>
    <xf numFmtId="0" fontId="3" fillId="0" borderId="0" xfId="0" applyFont="1" applyAlignment="1">
      <alignment horizontal="center"/>
    </xf>
    <xf numFmtId="0" fontId="9" fillId="0" borderId="0" xfId="4" applyFill="1" applyAlignment="1">
      <alignment horizontal="left"/>
    </xf>
    <xf numFmtId="0" fontId="13" fillId="0" borderId="0" xfId="0" applyFont="1"/>
    <xf numFmtId="169" fontId="3" fillId="0" borderId="0" xfId="3" applyNumberFormat="1" applyFont="1" applyFill="1" applyAlignment="1">
      <alignment horizontal="center"/>
    </xf>
    <xf numFmtId="0" fontId="12" fillId="0" borderId="0" xfId="0" applyFont="1"/>
    <xf numFmtId="44" fontId="4" fillId="0" borderId="0" xfId="0" applyNumberFormat="1" applyFont="1" applyAlignment="1">
      <alignment horizontal="right"/>
    </xf>
    <xf numFmtId="43" fontId="14" fillId="0" borderId="0" xfId="1" applyFont="1"/>
    <xf numFmtId="171" fontId="14" fillId="0" borderId="0" xfId="3" applyNumberFormat="1" applyFont="1" applyFill="1" applyAlignment="1">
      <alignment horizontal="center"/>
    </xf>
    <xf numFmtId="0" fontId="4" fillId="0" borderId="1" xfId="0" applyFont="1" applyBorder="1" applyAlignment="1">
      <alignment horizontal="right"/>
    </xf>
    <xf numFmtId="0" fontId="4" fillId="6" borderId="2" xfId="0" quotePrefix="1" applyFont="1" applyFill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1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15" fillId="0" borderId="0" xfId="0" applyFont="1"/>
    <xf numFmtId="0" fontId="4" fillId="0" borderId="1" xfId="0" applyFont="1" applyBorder="1"/>
    <xf numFmtId="0" fontId="0" fillId="0" borderId="2" xfId="0" applyBorder="1"/>
    <xf numFmtId="0" fontId="4" fillId="0" borderId="5" xfId="0" applyFont="1" applyBorder="1"/>
    <xf numFmtId="0" fontId="0" fillId="0" borderId="6" xfId="0" applyBorder="1"/>
    <xf numFmtId="0" fontId="0" fillId="0" borderId="5" xfId="0" applyBorder="1"/>
    <xf numFmtId="0" fontId="4" fillId="0" borderId="3" xfId="0" applyFont="1" applyBorder="1"/>
    <xf numFmtId="0" fontId="4" fillId="0" borderId="4" xfId="0" applyFont="1" applyBorder="1"/>
    <xf numFmtId="0" fontId="4" fillId="5" borderId="0" xfId="0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5" fontId="4" fillId="0" borderId="0" xfId="0" applyNumberFormat="1" applyFont="1" applyAlignment="1">
      <alignment horizontal="right"/>
    </xf>
    <xf numFmtId="173" fontId="4" fillId="0" borderId="0" xfId="0" applyNumberFormat="1" applyFont="1"/>
    <xf numFmtId="170" fontId="4" fillId="0" borderId="0" xfId="2" applyNumberFormat="1" applyFont="1" applyAlignment="1"/>
    <xf numFmtId="0" fontId="19" fillId="0" borderId="0" xfId="0" applyFont="1" applyAlignment="1">
      <alignment horizontal="center"/>
    </xf>
    <xf numFmtId="0" fontId="10" fillId="0" borderId="0" xfId="0" applyFont="1"/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7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2" fontId="16" fillId="2" borderId="1" xfId="0" applyNumberFormat="1" applyFont="1" applyFill="1" applyBorder="1" applyAlignment="1">
      <alignment horizontal="center" vertical="center"/>
    </xf>
    <xf numFmtId="172" fontId="16" fillId="2" borderId="2" xfId="0" applyNumberFormat="1" applyFont="1" applyFill="1" applyBorder="1" applyAlignment="1">
      <alignment horizontal="center" vertical="center"/>
    </xf>
    <xf numFmtId="172" fontId="16" fillId="2" borderId="3" xfId="0" applyNumberFormat="1" applyFont="1" applyFill="1" applyBorder="1" applyAlignment="1">
      <alignment horizontal="center" vertical="center"/>
    </xf>
    <xf numFmtId="172" fontId="16" fillId="2" borderId="4" xfId="0" applyNumberFormat="1" applyFont="1" applyFill="1" applyBorder="1" applyAlignment="1">
      <alignment horizontal="center" vertical="center"/>
    </xf>
    <xf numFmtId="172" fontId="18" fillId="0" borderId="0" xfId="3" applyNumberFormat="1" applyFont="1" applyAlignment="1">
      <alignment horizontal="center" vertic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0FB00"/>
      <color rgb="FF179C5C"/>
      <color rgb="FF179C5B"/>
      <color rgb="FF73FEFF"/>
      <color rgb="FFFF8AD8"/>
      <color rgb="FFFF9300"/>
      <color rgb="FFADFB00"/>
      <color rgb="FFFF70B3"/>
      <color rgb="FFDECFF0"/>
      <color rgb="FFE4B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ikes.btc.accts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ledgerx.com/login" TargetMode="External"/><Relationship Id="rId2" Type="http://schemas.openxmlformats.org/officeDocument/2006/relationships/hyperlink" Target="https://www.okcoin.com/us/account/login" TargetMode="External"/><Relationship Id="rId1" Type="http://schemas.openxmlformats.org/officeDocument/2006/relationships/hyperlink" Target="https://www.binance.us/en/home" TargetMode="External"/><Relationship Id="rId6" Type="http://schemas.openxmlformats.org/officeDocument/2006/relationships/hyperlink" Target="https://www.coinbase.com/signin" TargetMode="External"/><Relationship Id="rId5" Type="http://schemas.openxmlformats.org/officeDocument/2006/relationships/hyperlink" Target="https://ftx.us/" TargetMode="External"/><Relationship Id="rId4" Type="http://schemas.openxmlformats.org/officeDocument/2006/relationships/hyperlink" Target="mailto:mikes.btc.acc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EC5F-B12E-8847-9D65-17ED9F73C586}">
  <sheetPr codeName="Sheet2"/>
  <dimension ref="A1:X14"/>
  <sheetViews>
    <sheetView workbookViewId="0">
      <selection activeCell="L12" sqref="L12"/>
    </sheetView>
  </sheetViews>
  <sheetFormatPr defaultColWidth="11" defaultRowHeight="15.6" x14ac:dyDescent="0.3"/>
  <cols>
    <col min="1" max="1" width="8.3984375" bestFit="1" customWidth="1"/>
    <col min="2" max="2" width="11.09765625" style="29" bestFit="1" customWidth="1"/>
    <col min="3" max="3" width="5.3984375" customWidth="1"/>
    <col min="4" max="5" width="10.8984375" style="21"/>
    <col min="6" max="6" width="6.8984375" style="27" bestFit="1" customWidth="1"/>
    <col min="7" max="8" width="10.8984375" style="21"/>
    <col min="9" max="9" width="5.3984375" customWidth="1"/>
    <col min="11" max="11" width="11.5" bestFit="1" customWidth="1"/>
    <col min="12" max="12" width="5.3984375" customWidth="1"/>
    <col min="13" max="15" width="10.8984375" style="21"/>
    <col min="16" max="16" width="11.5" bestFit="1" customWidth="1"/>
    <col min="17" max="17" width="5.3984375" customWidth="1"/>
    <col min="18" max="18" width="7.3984375" style="21" customWidth="1"/>
    <col min="19" max="19" width="11.09765625" style="21" bestFit="1" customWidth="1"/>
    <col min="20" max="21" width="10.8984375" style="21"/>
    <col min="22" max="22" width="12.09765625" bestFit="1" customWidth="1"/>
  </cols>
  <sheetData>
    <row r="1" spans="1:24" x14ac:dyDescent="0.3">
      <c r="J1" s="24" t="s">
        <v>119</v>
      </c>
      <c r="K1">
        <v>360</v>
      </c>
      <c r="P1" s="25">
        <f ca="1">MAX(P6:P12)</f>
        <v>36381.617479749038</v>
      </c>
      <c r="V1" s="25">
        <f ca="1">MAX(V6:V12)</f>
        <v>-35810.623383115744</v>
      </c>
      <c r="W1" s="25">
        <f ca="1">P1+V1</f>
        <v>570.99409663329425</v>
      </c>
      <c r="X1" s="31">
        <f ca="1">W1/P1</f>
        <v>1.5694576992106645E-2</v>
      </c>
    </row>
    <row r="2" spans="1:24" s="17" customFormat="1" x14ac:dyDescent="0.3">
      <c r="B2" s="27"/>
      <c r="D2" s="19"/>
      <c r="E2" s="19"/>
      <c r="F2" s="27"/>
      <c r="G2" s="19"/>
      <c r="H2" s="19"/>
      <c r="M2" s="19" t="s">
        <v>120</v>
      </c>
      <c r="N2" s="19" t="s">
        <v>121</v>
      </c>
      <c r="O2" s="19"/>
      <c r="P2" s="17" t="s">
        <v>122</v>
      </c>
      <c r="R2" s="19"/>
      <c r="S2" s="19" t="s">
        <v>121</v>
      </c>
      <c r="T2" s="19" t="s">
        <v>120</v>
      </c>
      <c r="U2" s="26"/>
      <c r="V2" s="17" t="s">
        <v>122</v>
      </c>
    </row>
    <row r="3" spans="1:24" s="17" customFormat="1" x14ac:dyDescent="0.3">
      <c r="A3" s="17" t="s">
        <v>123</v>
      </c>
      <c r="B3" s="27" t="s">
        <v>124</v>
      </c>
      <c r="D3" s="19" t="s">
        <v>125</v>
      </c>
      <c r="E3" s="19" t="s">
        <v>125</v>
      </c>
      <c r="F3" s="27"/>
      <c r="G3" s="19" t="s">
        <v>126</v>
      </c>
      <c r="H3" s="19" t="s">
        <v>126</v>
      </c>
      <c r="J3" s="17" t="s">
        <v>127</v>
      </c>
      <c r="K3" s="17" t="s">
        <v>128</v>
      </c>
      <c r="M3" s="19" t="s">
        <v>125</v>
      </c>
      <c r="N3" s="19" t="s">
        <v>126</v>
      </c>
      <c r="O3" s="19" t="s">
        <v>129</v>
      </c>
      <c r="P3" s="17" t="s">
        <v>130</v>
      </c>
      <c r="R3" s="19"/>
      <c r="S3" s="19" t="s">
        <v>125</v>
      </c>
      <c r="T3" s="19" t="s">
        <v>126</v>
      </c>
      <c r="U3" s="19" t="s">
        <v>129</v>
      </c>
      <c r="V3" s="17" t="s">
        <v>131</v>
      </c>
    </row>
    <row r="4" spans="1:24" s="18" customFormat="1" x14ac:dyDescent="0.3">
      <c r="A4" s="18" t="s">
        <v>132</v>
      </c>
      <c r="B4" s="28" t="s">
        <v>133</v>
      </c>
      <c r="D4" s="20" t="s">
        <v>134</v>
      </c>
      <c r="E4" s="20" t="s">
        <v>135</v>
      </c>
      <c r="F4" s="28" t="s">
        <v>136</v>
      </c>
      <c r="G4" s="20" t="s">
        <v>134</v>
      </c>
      <c r="H4" s="20" t="s">
        <v>135</v>
      </c>
      <c r="J4" s="18" t="s">
        <v>137</v>
      </c>
      <c r="K4" s="18" t="s">
        <v>136</v>
      </c>
      <c r="M4" s="20" t="s">
        <v>134</v>
      </c>
      <c r="N4" s="20" t="s">
        <v>135</v>
      </c>
      <c r="O4" s="20" t="s">
        <v>138</v>
      </c>
      <c r="P4" s="18" t="s">
        <v>139</v>
      </c>
      <c r="R4" s="20" t="s">
        <v>140</v>
      </c>
      <c r="S4" s="20" t="s">
        <v>135</v>
      </c>
      <c r="T4" s="20" t="s">
        <v>134</v>
      </c>
      <c r="U4" s="20" t="s">
        <v>138</v>
      </c>
      <c r="V4" s="18" t="s">
        <v>139</v>
      </c>
    </row>
    <row r="6" spans="1:24" x14ac:dyDescent="0.3">
      <c r="A6" s="22">
        <f ca="1">B6-TODAY()</f>
        <v>-1674</v>
      </c>
      <c r="B6" s="30">
        <v>44372</v>
      </c>
      <c r="D6" s="21">
        <v>4211.78</v>
      </c>
      <c r="E6" s="21">
        <v>4416.05</v>
      </c>
      <c r="F6" s="27">
        <v>32000</v>
      </c>
      <c r="G6" s="21">
        <v>680</v>
      </c>
      <c r="H6" s="21">
        <v>688.57</v>
      </c>
      <c r="J6" s="23">
        <v>5.0000000000000001E-4</v>
      </c>
      <c r="K6" s="21">
        <f ca="1">F6/(1+J6*A6/K$1)</f>
        <v>32074.573383115745</v>
      </c>
      <c r="M6" s="21">
        <f>D6</f>
        <v>4211.78</v>
      </c>
      <c r="N6" s="21">
        <f>-H6</f>
        <v>-688.57</v>
      </c>
      <c r="O6" s="21">
        <f>M6+N6</f>
        <v>3523.2099999999996</v>
      </c>
      <c r="P6" s="25">
        <f ca="1">O6+K6</f>
        <v>35597.783383115748</v>
      </c>
      <c r="S6" s="21">
        <f>-E6</f>
        <v>-4416.05</v>
      </c>
      <c r="T6" s="21">
        <f>G6</f>
        <v>680</v>
      </c>
      <c r="U6" s="21">
        <f>S6+T6</f>
        <v>-3736.05</v>
      </c>
      <c r="V6" s="25">
        <f ca="1">U6-K6</f>
        <v>-35810.623383115744</v>
      </c>
      <c r="X6" s="25"/>
    </row>
    <row r="7" spans="1:24" x14ac:dyDescent="0.3">
      <c r="A7" s="22">
        <f ca="1">B7-TODAY()</f>
        <v>-1674</v>
      </c>
      <c r="B7" s="30">
        <v>44372</v>
      </c>
      <c r="D7" s="21">
        <v>1576.71</v>
      </c>
      <c r="E7" s="21">
        <v>1667.43</v>
      </c>
      <c r="F7" s="27">
        <f>F6+4000</f>
        <v>36000</v>
      </c>
      <c r="G7" s="21">
        <v>1487.9</v>
      </c>
      <c r="H7" s="21">
        <v>1887</v>
      </c>
      <c r="J7" s="23">
        <v>5.0000000000000001E-4</v>
      </c>
      <c r="K7" s="21">
        <f ca="1">F7/(1+J7*A7/K$1)</f>
        <v>36083.895056005211</v>
      </c>
      <c r="M7" s="21">
        <f>D7</f>
        <v>1576.71</v>
      </c>
      <c r="N7" s="21">
        <f>-H7</f>
        <v>-1887</v>
      </c>
      <c r="O7" s="21">
        <f>M7+N7</f>
        <v>-310.28999999999996</v>
      </c>
      <c r="P7" s="25">
        <f ca="1">O7+K7</f>
        <v>35773.60505600521</v>
      </c>
      <c r="S7" s="21">
        <f>-E7</f>
        <v>-1667.43</v>
      </c>
      <c r="T7" s="21">
        <f>G7</f>
        <v>1487.9</v>
      </c>
      <c r="U7" s="21">
        <f>S7+T7</f>
        <v>-179.52999999999997</v>
      </c>
      <c r="V7" s="25">
        <f ca="1">U7-K7</f>
        <v>-36263.42505600521</v>
      </c>
    </row>
    <row r="8" spans="1:24" x14ac:dyDescent="0.3">
      <c r="A8" s="22">
        <f ca="1">B8-TODAY()</f>
        <v>-1674</v>
      </c>
      <c r="B8" s="30">
        <v>44372</v>
      </c>
      <c r="D8" s="21">
        <v>505.15</v>
      </c>
      <c r="E8" s="21">
        <v>586.14</v>
      </c>
      <c r="F8" s="27">
        <f>F7+4000</f>
        <v>40000</v>
      </c>
      <c r="G8" s="21">
        <v>4344.76</v>
      </c>
      <c r="H8" s="21">
        <v>4833.68</v>
      </c>
      <c r="J8" s="23">
        <v>5.0000000000000001E-4</v>
      </c>
      <c r="K8" s="21">
        <f ca="1">F8/(1+J8*A8/K$1)</f>
        <v>40093.21672889468</v>
      </c>
      <c r="M8" s="21">
        <f>D8</f>
        <v>505.15</v>
      </c>
      <c r="N8" s="21">
        <f>-H8</f>
        <v>-4833.68</v>
      </c>
      <c r="O8" s="21">
        <f>M8+N8</f>
        <v>-4328.5300000000007</v>
      </c>
      <c r="P8" s="25">
        <f ca="1">O8+K8</f>
        <v>35764.686728894681</v>
      </c>
      <c r="S8" s="21">
        <f>-E8</f>
        <v>-586.14</v>
      </c>
      <c r="T8" s="21">
        <f>G8</f>
        <v>4344.76</v>
      </c>
      <c r="U8" s="21">
        <f>S8+T8</f>
        <v>3758.6200000000003</v>
      </c>
      <c r="V8" s="25">
        <f ca="1">U8-K8</f>
        <v>-36334.596728894678</v>
      </c>
    </row>
    <row r="9" spans="1:24" x14ac:dyDescent="0.3">
      <c r="A9" s="22"/>
      <c r="B9" s="30"/>
      <c r="J9" s="23"/>
      <c r="K9" s="21"/>
      <c r="P9" s="25"/>
      <c r="V9" s="25"/>
    </row>
    <row r="10" spans="1:24" x14ac:dyDescent="0.3">
      <c r="A10" s="22">
        <f ca="1">B10-TODAY()</f>
        <v>-1639</v>
      </c>
      <c r="B10" s="30">
        <v>44407</v>
      </c>
      <c r="D10" s="21">
        <v>7604.17</v>
      </c>
      <c r="E10" s="21">
        <v>8064.95</v>
      </c>
      <c r="F10" s="27">
        <v>30000</v>
      </c>
      <c r="G10" s="21">
        <v>1100</v>
      </c>
      <c r="H10" s="21">
        <v>1291</v>
      </c>
      <c r="J10" s="23">
        <v>5.0000000000000001E-4</v>
      </c>
      <c r="K10" s="21">
        <f ca="1">F10/(1+J10*A10/K$1)</f>
        <v>30068.44747974904</v>
      </c>
      <c r="M10" s="21">
        <f>D10</f>
        <v>7604.17</v>
      </c>
      <c r="N10" s="21">
        <f>-H10</f>
        <v>-1291</v>
      </c>
      <c r="O10" s="21">
        <f>M10+N10</f>
        <v>6313.17</v>
      </c>
      <c r="P10" s="25">
        <f ca="1">O10+K10</f>
        <v>36381.617479749038</v>
      </c>
      <c r="S10" s="21">
        <f>-E10</f>
        <v>-8064.95</v>
      </c>
      <c r="T10" s="21">
        <f>G10</f>
        <v>1100</v>
      </c>
      <c r="U10" s="21">
        <f>S10+T10</f>
        <v>-6964.95</v>
      </c>
      <c r="V10" s="25">
        <f ca="1">U10-K10</f>
        <v>-37033.397479749037</v>
      </c>
    </row>
    <row r="11" spans="1:24" x14ac:dyDescent="0.3">
      <c r="A11" s="22">
        <f ca="1">B11-TODAY()</f>
        <v>-1639</v>
      </c>
      <c r="B11" s="30">
        <v>44407</v>
      </c>
      <c r="D11" s="21">
        <v>4653.0600000000004</v>
      </c>
      <c r="E11" s="21">
        <v>4899.55</v>
      </c>
      <c r="F11" s="27">
        <v>35000</v>
      </c>
      <c r="G11" s="21">
        <v>3530.23</v>
      </c>
      <c r="H11" s="21">
        <v>3718.91</v>
      </c>
      <c r="J11" s="23">
        <v>5.0000000000000001E-4</v>
      </c>
      <c r="K11" s="21">
        <f ca="1">F11/(1+J11*A11/K$1)</f>
        <v>35079.855393040547</v>
      </c>
      <c r="M11" s="21">
        <f>D11</f>
        <v>4653.0600000000004</v>
      </c>
      <c r="N11" s="21">
        <f>-H11</f>
        <v>-3718.91</v>
      </c>
      <c r="O11" s="21">
        <f>M11+N11</f>
        <v>934.15000000000055</v>
      </c>
      <c r="P11" s="25">
        <f ca="1">O11+K11</f>
        <v>36014.005393040548</v>
      </c>
      <c r="S11" s="21">
        <f>-E11</f>
        <v>-4899.55</v>
      </c>
      <c r="T11" s="21">
        <f>G11</f>
        <v>3530.23</v>
      </c>
      <c r="U11" s="21">
        <f>S11+T11</f>
        <v>-1369.3200000000002</v>
      </c>
      <c r="V11" s="25">
        <f ca="1">U11-K11</f>
        <v>-36449.175393040547</v>
      </c>
    </row>
    <row r="12" spans="1:24" x14ac:dyDescent="0.3">
      <c r="A12" s="22">
        <f ca="1">B12-TODAY()</f>
        <v>-1639</v>
      </c>
      <c r="B12" s="30">
        <v>44407</v>
      </c>
      <c r="D12" s="21">
        <v>2685.65</v>
      </c>
      <c r="E12" s="21">
        <v>2819.41</v>
      </c>
      <c r="F12" s="27">
        <v>40000</v>
      </c>
      <c r="G12" s="21">
        <v>5299.99</v>
      </c>
      <c r="H12" s="21">
        <v>7300</v>
      </c>
      <c r="J12" s="23">
        <v>5.0000000000000001E-4</v>
      </c>
      <c r="K12" s="21">
        <f ca="1">F12/(1+J12*A12/K$1)</f>
        <v>40091.263306332054</v>
      </c>
      <c r="M12" s="21">
        <f>D12</f>
        <v>2685.65</v>
      </c>
      <c r="N12" s="21">
        <f>-H12</f>
        <v>-7300</v>
      </c>
      <c r="O12" s="21">
        <f>M12+N12</f>
        <v>-4614.3500000000004</v>
      </c>
      <c r="P12" s="25">
        <f ca="1">O12+K12</f>
        <v>35476.913306332055</v>
      </c>
      <c r="S12" s="21">
        <f>-E12</f>
        <v>-2819.41</v>
      </c>
      <c r="T12" s="21">
        <f>G12</f>
        <v>5299.99</v>
      </c>
      <c r="U12" s="21">
        <f>S12+T12</f>
        <v>2480.58</v>
      </c>
      <c r="V12" s="25">
        <f ca="1">U12-K12</f>
        <v>-37610.683306332052</v>
      </c>
    </row>
    <row r="13" spans="1:24" x14ac:dyDescent="0.3">
      <c r="A13" s="22"/>
      <c r="B13" s="30"/>
      <c r="J13" s="23"/>
      <c r="K13" s="21"/>
      <c r="P13" s="25"/>
      <c r="V13" s="25"/>
    </row>
    <row r="14" spans="1:24" x14ac:dyDescent="0.3">
      <c r="A14" s="22"/>
      <c r="B14" s="30"/>
      <c r="J14" s="23"/>
      <c r="K14" s="21"/>
      <c r="P14" s="25"/>
      <c r="V14" s="25"/>
    </row>
  </sheetData>
  <conditionalFormatting sqref="P6:P12">
    <cfRule type="top10" dxfId="8" priority="2" rank="1"/>
  </conditionalFormatting>
  <conditionalFormatting sqref="V6:V12">
    <cfRule type="top10" dxfId="7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1276-AB4B-034D-9CE9-EB07F2069604}">
  <sheetPr codeName="Sheet5"/>
  <dimension ref="A1:F21"/>
  <sheetViews>
    <sheetView workbookViewId="0">
      <selection activeCell="B4" sqref="B4"/>
    </sheetView>
  </sheetViews>
  <sheetFormatPr defaultColWidth="11" defaultRowHeight="15.6" x14ac:dyDescent="0.3"/>
  <cols>
    <col min="1" max="1" width="24.8984375" bestFit="1" customWidth="1"/>
    <col min="2" max="2" width="43.09765625" bestFit="1" customWidth="1"/>
  </cols>
  <sheetData>
    <row r="1" spans="1:6" ht="16.2" x14ac:dyDescent="0.3">
      <c r="A1" s="53" t="s">
        <v>0</v>
      </c>
      <c r="B1" s="54" t="str">
        <f>_xlfn.CONCAT("$A$2:$B$",D1)</f>
        <v>$A$2:$B$12</v>
      </c>
      <c r="C1" s="68" t="s">
        <v>4</v>
      </c>
      <c r="D1" s="69">
        <f>ROW(clearRange)</f>
        <v>12</v>
      </c>
    </row>
    <row r="2" spans="1:6" ht="16.2" x14ac:dyDescent="0.3">
      <c r="A2" s="55" t="s">
        <v>188</v>
      </c>
      <c r="B2" s="56" t="s">
        <v>1</v>
      </c>
      <c r="C2" s="1"/>
    </row>
    <row r="3" spans="1:6" ht="16.2" x14ac:dyDescent="0.3">
      <c r="A3" s="55" t="s">
        <v>189</v>
      </c>
      <c r="B3" s="57" t="s">
        <v>2</v>
      </c>
      <c r="C3" s="1"/>
    </row>
    <row r="4" spans="1:6" ht="16.2" x14ac:dyDescent="0.3">
      <c r="A4" s="55" t="s">
        <v>190</v>
      </c>
      <c r="B4" s="57" t="str">
        <f>CONCATENATE("$A$1:",ADDRESS(D4,F4))</f>
        <v>$A$1:$F$20</v>
      </c>
      <c r="C4" s="68" t="s">
        <v>4</v>
      </c>
      <c r="D4" s="69">
        <f>COUNTA('Exch Info'!A:A)</f>
        <v>20</v>
      </c>
      <c r="E4" s="70" t="s">
        <v>5</v>
      </c>
      <c r="F4" s="69">
        <f>COUNTA('Exch Info'!1:1)</f>
        <v>6</v>
      </c>
    </row>
    <row r="5" spans="1:6" ht="16.2" x14ac:dyDescent="0.3">
      <c r="A5" s="55" t="s">
        <v>3</v>
      </c>
      <c r="B5" s="57" t="str">
        <f>CONCATENATE("$A$1:",ADDRESS(D5,F5))</f>
        <v>$A$1:$N$11</v>
      </c>
      <c r="C5" s="68" t="s">
        <v>4</v>
      </c>
      <c r="D5" s="69">
        <f>COUNTA(ACTIVE!E:E)</f>
        <v>11</v>
      </c>
      <c r="E5" s="70" t="s">
        <v>5</v>
      </c>
      <c r="F5" s="69">
        <f>COUNTA(ACTIVE!1:1)</f>
        <v>14</v>
      </c>
    </row>
    <row r="6" spans="1:6" ht="16.2" x14ac:dyDescent="0.3">
      <c r="A6" s="55" t="s">
        <v>6</v>
      </c>
      <c r="B6" s="57" t="s">
        <v>7</v>
      </c>
      <c r="C6" s="1"/>
    </row>
    <row r="7" spans="1:6" ht="16.2" x14ac:dyDescent="0.3">
      <c r="A7" s="55" t="s">
        <v>8</v>
      </c>
      <c r="B7" s="57" t="str">
        <f>CONCATENATE("$A$1:",ADDRESS(D7,F7))</f>
        <v>$A$1:$K$22</v>
      </c>
      <c r="C7" s="68" t="s">
        <v>4</v>
      </c>
      <c r="D7" s="69">
        <f>COUNTA(INACTIVE!E:E)</f>
        <v>22</v>
      </c>
      <c r="E7" s="70" t="s">
        <v>5</v>
      </c>
      <c r="F7" s="69">
        <f>COUNTA(INACTIVE!1:1)</f>
        <v>11</v>
      </c>
    </row>
    <row r="8" spans="1:6" ht="16.2" x14ac:dyDescent="0.3">
      <c r="A8" s="55" t="s">
        <v>9</v>
      </c>
      <c r="B8" s="57">
        <v>5</v>
      </c>
      <c r="C8" s="1"/>
    </row>
    <row r="9" spans="1:6" ht="16.2" x14ac:dyDescent="0.3">
      <c r="A9" s="55" t="s">
        <v>144</v>
      </c>
      <c r="B9" s="57">
        <v>1</v>
      </c>
      <c r="C9" s="1"/>
    </row>
    <row r="10" spans="1:6" ht="16.2" x14ac:dyDescent="0.3">
      <c r="A10" s="55" t="s">
        <v>143</v>
      </c>
      <c r="B10" s="57" t="s">
        <v>141</v>
      </c>
      <c r="C10" s="1"/>
    </row>
    <row r="11" spans="1:6" ht="16.2" x14ac:dyDescent="0.3">
      <c r="A11" s="55" t="s">
        <v>147</v>
      </c>
      <c r="B11" s="57" t="s">
        <v>153</v>
      </c>
      <c r="C11" s="1"/>
    </row>
    <row r="12" spans="1:6" ht="16.8" thickBot="1" x14ac:dyDescent="0.35">
      <c r="A12" s="58" t="s">
        <v>142</v>
      </c>
      <c r="B12" s="59" t="s">
        <v>148</v>
      </c>
      <c r="C12" s="1" t="s">
        <v>10</v>
      </c>
    </row>
    <row r="13" spans="1:6" ht="16.2" x14ac:dyDescent="0.3">
      <c r="A13" s="1"/>
      <c r="B13" s="1"/>
    </row>
    <row r="14" spans="1:6" ht="16.2" x14ac:dyDescent="0.3">
      <c r="A14" s="1"/>
      <c r="B14" s="1"/>
    </row>
    <row r="15" spans="1:6" ht="16.8" thickBot="1" x14ac:dyDescent="0.35">
      <c r="A15" s="60" t="s">
        <v>11</v>
      </c>
      <c r="B15" s="71" t="s">
        <v>12</v>
      </c>
    </row>
    <row r="16" spans="1:6" ht="16.2" x14ac:dyDescent="0.3">
      <c r="A16" s="61" t="s">
        <v>13</v>
      </c>
      <c r="B16" s="62"/>
      <c r="C16" s="1"/>
    </row>
    <row r="17" spans="1:3" ht="16.2" x14ac:dyDescent="0.3">
      <c r="A17" s="63" t="s">
        <v>14</v>
      </c>
      <c r="B17" s="64"/>
      <c r="C17" s="1"/>
    </row>
    <row r="18" spans="1:3" ht="16.2" x14ac:dyDescent="0.3">
      <c r="A18" s="65"/>
      <c r="B18" s="64"/>
      <c r="C18" s="1"/>
    </row>
    <row r="19" spans="1:3" ht="16.2" x14ac:dyDescent="0.3">
      <c r="A19" s="63" t="str">
        <f>_xlfn.CONCAT("python3 '",B15,".py'")</f>
        <v>python3 'CryptoPriceGrabber.py'</v>
      </c>
      <c r="B19" s="64"/>
      <c r="C19" s="1"/>
    </row>
    <row r="20" spans="1:3" ht="16.2" x14ac:dyDescent="0.3">
      <c r="A20" s="63" t="str">
        <f>_xlfn.CONCAT("jupyter nbconvert --to script '",B15,".ipynb'")</f>
        <v>jupyter nbconvert --to script 'CryptoPriceGrabber.ipynb'</v>
      </c>
      <c r="B20" s="64"/>
      <c r="C20" s="1"/>
    </row>
    <row r="21" spans="1:3" ht="16.8" thickBot="1" x14ac:dyDescent="0.35">
      <c r="A21" s="66"/>
      <c r="B21" s="67"/>
      <c r="C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E84A-90CC-DA43-AFC7-C13C81E85FE9}">
  <sheetPr codeName="Sheet4"/>
  <dimension ref="A1:X27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10.8984375" defaultRowHeight="16.2" x14ac:dyDescent="0.3"/>
  <cols>
    <col min="1" max="4" width="12.5" style="5" customWidth="1"/>
    <col min="5" max="5" width="26" style="6" customWidth="1"/>
    <col min="6" max="6" width="9.09765625" style="1" customWidth="1"/>
    <col min="7" max="7" width="12.5" style="5" customWidth="1"/>
    <col min="8" max="8" width="13.59765625" style="5" bestFit="1" customWidth="1"/>
    <col min="9" max="9" width="10.8984375" style="5"/>
    <col min="10" max="10" width="10.5" style="5" customWidth="1"/>
    <col min="11" max="11" width="21.59765625" style="5" bestFit="1" customWidth="1"/>
    <col min="12" max="13" width="16" style="16" customWidth="1"/>
    <col min="14" max="17" width="10.8984375" style="5"/>
    <col min="18" max="20" width="11" customWidth="1"/>
    <col min="21" max="16384" width="10.8984375" style="1"/>
  </cols>
  <sheetData>
    <row r="1" spans="1:24" s="2" customForma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3" t="s">
        <v>20</v>
      </c>
      <c r="G1" s="3" t="s">
        <v>79</v>
      </c>
      <c r="H1" s="3" t="s">
        <v>80</v>
      </c>
      <c r="I1" s="3" t="s">
        <v>81</v>
      </c>
      <c r="J1" s="3" t="s">
        <v>22</v>
      </c>
      <c r="K1" s="3" t="s">
        <v>23</v>
      </c>
      <c r="L1" s="15"/>
      <c r="M1" s="15"/>
      <c r="X1" s="3"/>
    </row>
    <row r="2" spans="1:24" x14ac:dyDescent="0.3">
      <c r="B2" s="5" t="b">
        <v>1</v>
      </c>
      <c r="C2" s="5" t="b">
        <v>1</v>
      </c>
      <c r="E2" s="4" t="s">
        <v>82</v>
      </c>
      <c r="F2" s="8" t="b">
        <v>0</v>
      </c>
      <c r="G2" s="5" t="b">
        <v>0</v>
      </c>
      <c r="H2" s="5" t="s">
        <v>83</v>
      </c>
      <c r="I2" s="5" t="b">
        <v>1</v>
      </c>
      <c r="J2" s="5" t="s">
        <v>84</v>
      </c>
      <c r="K2" s="5" t="s">
        <v>84</v>
      </c>
      <c r="N2" s="5" t="b">
        <v>1</v>
      </c>
      <c r="O2" s="5">
        <v>1</v>
      </c>
      <c r="P2" s="5">
        <v>1</v>
      </c>
      <c r="Q2" s="5" t="s">
        <v>85</v>
      </c>
      <c r="X2" s="14"/>
    </row>
    <row r="3" spans="1:24" x14ac:dyDescent="0.3">
      <c r="E3" s="4" t="s">
        <v>86</v>
      </c>
      <c r="F3" s="8" t="b">
        <v>0</v>
      </c>
      <c r="G3" s="5" t="b">
        <v>0</v>
      </c>
      <c r="J3" s="5" t="s">
        <v>84</v>
      </c>
      <c r="K3" s="5" t="s">
        <v>84</v>
      </c>
      <c r="O3" s="5">
        <v>6</v>
      </c>
      <c r="P3" s="5">
        <v>25</v>
      </c>
    </row>
    <row r="4" spans="1:24" x14ac:dyDescent="0.3">
      <c r="E4" s="4" t="s">
        <v>87</v>
      </c>
      <c r="F4" s="8" t="b">
        <v>0</v>
      </c>
      <c r="O4" s="5">
        <v>7</v>
      </c>
      <c r="R4" s="1"/>
      <c r="S4" s="1"/>
      <c r="T4" s="1"/>
    </row>
    <row r="5" spans="1:24" x14ac:dyDescent="0.3">
      <c r="E5" s="4" t="s">
        <v>88</v>
      </c>
      <c r="F5" s="8" t="b">
        <v>0</v>
      </c>
      <c r="G5" s="5" t="b">
        <v>0</v>
      </c>
      <c r="J5" s="5" t="s">
        <v>84</v>
      </c>
      <c r="K5" s="5" t="s">
        <v>84</v>
      </c>
      <c r="Q5" s="5" t="s">
        <v>85</v>
      </c>
      <c r="R5" s="1"/>
      <c r="S5" s="1"/>
      <c r="T5" s="1"/>
    </row>
    <row r="6" spans="1:24" x14ac:dyDescent="0.3">
      <c r="E6" s="4" t="s">
        <v>89</v>
      </c>
      <c r="F6" s="8" t="b">
        <v>0</v>
      </c>
      <c r="O6" s="5">
        <v>10</v>
      </c>
      <c r="R6" s="1"/>
      <c r="S6" s="1"/>
      <c r="T6" s="1"/>
    </row>
    <row r="7" spans="1:24" x14ac:dyDescent="0.3">
      <c r="E7" s="4" t="s">
        <v>90</v>
      </c>
      <c r="F7" s="8" t="b">
        <v>0</v>
      </c>
      <c r="O7" s="5">
        <v>15</v>
      </c>
      <c r="R7" s="1"/>
      <c r="S7" s="1"/>
      <c r="T7" s="1"/>
    </row>
    <row r="8" spans="1:24" x14ac:dyDescent="0.3">
      <c r="E8" s="4" t="s">
        <v>91</v>
      </c>
      <c r="F8" s="8" t="b">
        <v>0</v>
      </c>
      <c r="G8" s="5" t="b">
        <v>0</v>
      </c>
      <c r="J8" s="5" t="s">
        <v>84</v>
      </c>
      <c r="K8" s="5" t="s">
        <v>84</v>
      </c>
      <c r="P8" s="5">
        <v>4</v>
      </c>
      <c r="R8" s="1"/>
      <c r="S8" s="1"/>
      <c r="T8" s="1"/>
    </row>
    <row r="9" spans="1:24" s="35" customFormat="1" x14ac:dyDescent="0.3">
      <c r="A9" s="32" t="b">
        <v>0</v>
      </c>
      <c r="B9" s="32" t="b">
        <v>0</v>
      </c>
      <c r="C9" s="32" t="b">
        <v>1</v>
      </c>
      <c r="D9" s="32"/>
      <c r="E9" s="33" t="s">
        <v>34</v>
      </c>
      <c r="F9" s="32" t="b">
        <v>0</v>
      </c>
      <c r="G9" s="32" t="b">
        <v>1</v>
      </c>
      <c r="H9" s="34" t="s">
        <v>92</v>
      </c>
      <c r="I9" s="32"/>
      <c r="J9" s="32"/>
      <c r="K9" s="32"/>
      <c r="L9" s="34"/>
      <c r="M9" s="34"/>
      <c r="N9" s="32"/>
      <c r="O9" s="32"/>
      <c r="P9" s="32"/>
      <c r="Q9" s="32"/>
    </row>
    <row r="10" spans="1:24" x14ac:dyDescent="0.3">
      <c r="E10" s="4" t="s">
        <v>93</v>
      </c>
      <c r="F10" s="8" t="b">
        <v>0</v>
      </c>
      <c r="P10" s="5">
        <v>5</v>
      </c>
      <c r="R10" s="1"/>
      <c r="S10" s="1"/>
      <c r="T10" s="1"/>
    </row>
    <row r="11" spans="1:24" x14ac:dyDescent="0.3">
      <c r="E11" s="4" t="s">
        <v>94</v>
      </c>
      <c r="F11" s="8" t="b">
        <v>0</v>
      </c>
      <c r="G11" s="5" t="s">
        <v>95</v>
      </c>
      <c r="Q11" s="5" t="s">
        <v>85</v>
      </c>
      <c r="R11" s="1"/>
      <c r="S11" s="1"/>
      <c r="T11" s="1"/>
    </row>
    <row r="12" spans="1:24" x14ac:dyDescent="0.3">
      <c r="B12" s="5" t="b">
        <v>1</v>
      </c>
      <c r="E12" s="4" t="s">
        <v>96</v>
      </c>
      <c r="F12" s="8" t="b">
        <v>0</v>
      </c>
      <c r="G12" s="5" t="b">
        <v>0</v>
      </c>
      <c r="J12" s="5" t="s">
        <v>84</v>
      </c>
      <c r="K12" s="5" t="s">
        <v>84</v>
      </c>
      <c r="P12" s="5">
        <v>16</v>
      </c>
      <c r="R12" s="1"/>
      <c r="S12" s="1"/>
      <c r="T12" s="1"/>
    </row>
    <row r="13" spans="1:24" x14ac:dyDescent="0.3">
      <c r="B13" s="5" t="b">
        <v>1</v>
      </c>
      <c r="E13" s="4" t="s">
        <v>97</v>
      </c>
      <c r="F13" s="8" t="b">
        <v>0</v>
      </c>
      <c r="G13" s="5" t="b">
        <v>0</v>
      </c>
      <c r="J13" s="5" t="s">
        <v>84</v>
      </c>
      <c r="K13" s="5" t="s">
        <v>84</v>
      </c>
      <c r="P13" s="5">
        <v>6</v>
      </c>
      <c r="Q13" s="5" t="s">
        <v>85</v>
      </c>
      <c r="R13" s="1"/>
      <c r="S13" s="1"/>
      <c r="T13" s="1"/>
    </row>
    <row r="14" spans="1:24" x14ac:dyDescent="0.3">
      <c r="E14" s="4" t="s">
        <v>98</v>
      </c>
      <c r="F14" s="8" t="b">
        <v>0</v>
      </c>
      <c r="O14" s="5">
        <v>8</v>
      </c>
      <c r="R14" s="1"/>
      <c r="S14" s="1"/>
      <c r="T14" s="1"/>
    </row>
    <row r="15" spans="1:24" x14ac:dyDescent="0.3">
      <c r="E15" s="4" t="s">
        <v>99</v>
      </c>
      <c r="F15" s="8" t="b">
        <v>0</v>
      </c>
      <c r="Q15" s="5" t="s">
        <v>85</v>
      </c>
      <c r="R15" s="1"/>
      <c r="S15" s="1"/>
      <c r="T15" s="1"/>
    </row>
    <row r="16" spans="1:24" x14ac:dyDescent="0.3">
      <c r="E16" s="4" t="s">
        <v>100</v>
      </c>
      <c r="F16" s="8" t="b">
        <v>0</v>
      </c>
      <c r="G16" s="5" t="b">
        <v>0</v>
      </c>
      <c r="J16" s="5" t="s">
        <v>84</v>
      </c>
      <c r="K16" s="5" t="s">
        <v>84</v>
      </c>
      <c r="O16" s="5">
        <v>3</v>
      </c>
      <c r="P16" s="5">
        <v>3</v>
      </c>
      <c r="R16" s="1"/>
      <c r="S16" s="1"/>
      <c r="T16" s="1"/>
    </row>
    <row r="17" spans="1:20" x14ac:dyDescent="0.3">
      <c r="B17" s="5" t="s">
        <v>101</v>
      </c>
      <c r="E17" s="4" t="s">
        <v>102</v>
      </c>
      <c r="F17" s="8" t="b">
        <v>0</v>
      </c>
      <c r="G17" s="5" t="b">
        <v>0</v>
      </c>
      <c r="J17" s="5" t="s">
        <v>84</v>
      </c>
      <c r="K17" s="5" t="s">
        <v>84</v>
      </c>
      <c r="R17" s="1"/>
      <c r="S17" s="1"/>
      <c r="T17" s="1"/>
    </row>
    <row r="18" spans="1:20" x14ac:dyDescent="0.3">
      <c r="E18" s="4" t="s">
        <v>103</v>
      </c>
      <c r="F18" s="8" t="b">
        <v>0</v>
      </c>
      <c r="R18" s="1"/>
      <c r="S18" s="1"/>
      <c r="T18" s="1"/>
    </row>
    <row r="19" spans="1:20" x14ac:dyDescent="0.3">
      <c r="E19" s="4" t="s">
        <v>104</v>
      </c>
      <c r="F19" s="8" t="b">
        <v>0</v>
      </c>
      <c r="I19" s="5" t="s">
        <v>105</v>
      </c>
      <c r="O19" s="5">
        <v>5</v>
      </c>
      <c r="P19" s="5">
        <v>13</v>
      </c>
      <c r="R19" s="1"/>
      <c r="S19" s="1"/>
      <c r="T19" s="1"/>
    </row>
    <row r="20" spans="1:20" x14ac:dyDescent="0.3">
      <c r="E20" s="4" t="s">
        <v>106</v>
      </c>
      <c r="F20" s="8" t="b">
        <v>0</v>
      </c>
      <c r="G20" s="5" t="b">
        <v>0</v>
      </c>
      <c r="I20" s="5" t="s">
        <v>105</v>
      </c>
      <c r="J20" s="5" t="s">
        <v>84</v>
      </c>
      <c r="K20" s="5" t="s">
        <v>84</v>
      </c>
      <c r="O20" s="5">
        <v>16</v>
      </c>
      <c r="P20" s="5">
        <v>2</v>
      </c>
      <c r="R20" s="1"/>
      <c r="S20" s="1"/>
      <c r="T20" s="1"/>
    </row>
    <row r="21" spans="1:20" s="35" customFormat="1" x14ac:dyDescent="0.3">
      <c r="A21" s="32" t="b">
        <v>0</v>
      </c>
      <c r="B21" s="32" t="b">
        <v>0</v>
      </c>
      <c r="C21" s="32" t="s">
        <v>34</v>
      </c>
      <c r="D21" s="32"/>
      <c r="E21" s="33" t="s">
        <v>107</v>
      </c>
      <c r="F21" s="8" t="b">
        <v>0</v>
      </c>
      <c r="G21" s="32" t="b">
        <v>1</v>
      </c>
      <c r="H21" s="32"/>
      <c r="I21" s="32"/>
      <c r="J21" s="32"/>
      <c r="K21" s="32"/>
      <c r="L21" s="34"/>
      <c r="M21" s="34"/>
      <c r="N21" s="3" t="s">
        <v>17</v>
      </c>
      <c r="O21" s="3" t="s">
        <v>15</v>
      </c>
      <c r="P21" s="3" t="s">
        <v>108</v>
      </c>
      <c r="Q21" s="3" t="s">
        <v>109</v>
      </c>
    </row>
    <row r="22" spans="1:20" x14ac:dyDescent="0.3">
      <c r="E22" s="49" t="s">
        <v>110</v>
      </c>
      <c r="F22" s="8"/>
      <c r="H22" s="16" t="s">
        <v>111</v>
      </c>
    </row>
    <row r="23" spans="1:20" x14ac:dyDescent="0.3">
      <c r="C23" s="1" t="s">
        <v>112</v>
      </c>
      <c r="H23" s="16" t="s">
        <v>113</v>
      </c>
    </row>
    <row r="24" spans="1:20" x14ac:dyDescent="0.3">
      <c r="B24" s="1" t="s">
        <v>114</v>
      </c>
    </row>
    <row r="25" spans="1:20" x14ac:dyDescent="0.3">
      <c r="K25" s="5" t="s">
        <v>115</v>
      </c>
    </row>
    <row r="26" spans="1:20" x14ac:dyDescent="0.3">
      <c r="C26" s="5" t="s">
        <v>116</v>
      </c>
      <c r="D26" s="5" t="s">
        <v>117</v>
      </c>
      <c r="K26" s="36" t="s">
        <v>70</v>
      </c>
    </row>
    <row r="27" spans="1:20" x14ac:dyDescent="0.3">
      <c r="C27" s="5" t="s">
        <v>118</v>
      </c>
      <c r="D27" s="5" t="s">
        <v>34</v>
      </c>
      <c r="K27" s="5" t="s">
        <v>72</v>
      </c>
    </row>
  </sheetData>
  <sortState xmlns:xlrd2="http://schemas.microsoft.com/office/spreadsheetml/2017/richdata2" ref="E2:F86">
    <sortCondition ref="E2:E86"/>
  </sortState>
  <hyperlinks>
    <hyperlink ref="K26" r:id="rId1" xr:uid="{4F448459-53E3-EE43-A154-683931CD1E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DD8E-60DC-3B4A-A267-EE8D8D5A0035}">
  <sheetPr codeName="Sheet1"/>
  <dimension ref="A1:Q31"/>
  <sheetViews>
    <sheetView tabSelected="1" workbookViewId="0">
      <selection activeCell="E5" sqref="E5"/>
    </sheetView>
  </sheetViews>
  <sheetFormatPr defaultColWidth="10.8984375" defaultRowHeight="16.2" x14ac:dyDescent="0.3"/>
  <cols>
    <col min="1" max="2" width="13.59765625" style="5" bestFit="1" customWidth="1"/>
    <col min="3" max="3" width="14" style="5" bestFit="1" customWidth="1"/>
    <col min="4" max="4" width="12.5" style="5" customWidth="1"/>
    <col min="5" max="5" width="14.3984375" style="6" bestFit="1" customWidth="1"/>
    <col min="6" max="6" width="9.09765625" style="1" customWidth="1"/>
    <col min="7" max="7" width="9.8984375" style="41" bestFit="1" customWidth="1"/>
    <col min="8" max="8" width="13" style="5" bestFit="1" customWidth="1"/>
    <col min="9" max="9" width="25.59765625" style="5" bestFit="1" customWidth="1"/>
    <col min="10" max="10" width="37.09765625" style="16" bestFit="1" customWidth="1"/>
    <col min="11" max="11" width="30.5" style="17" bestFit="1" customWidth="1"/>
    <col min="12" max="12" width="16" style="17" bestFit="1" customWidth="1"/>
    <col min="13" max="13" width="11" style="17"/>
    <col min="14" max="14" width="25.59765625" style="5" bestFit="1" customWidth="1"/>
    <col min="15" max="16384" width="10.8984375" style="1"/>
  </cols>
  <sheetData>
    <row r="1" spans="1:17" s="2" customForma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15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Q1" s="3"/>
    </row>
    <row r="2" spans="1:17" x14ac:dyDescent="0.3">
      <c r="E2" s="49" t="s">
        <v>29</v>
      </c>
      <c r="F2" s="8"/>
      <c r="G2" s="45"/>
      <c r="J2" s="46"/>
      <c r="Q2" s="14"/>
    </row>
    <row r="3" spans="1:17" x14ac:dyDescent="0.3">
      <c r="E3" s="49" t="s">
        <v>30</v>
      </c>
      <c r="F3" s="8" t="b">
        <v>0</v>
      </c>
      <c r="G3" s="45"/>
      <c r="H3" s="5" t="s">
        <v>31</v>
      </c>
      <c r="I3" s="5" t="s">
        <v>32</v>
      </c>
      <c r="J3" s="46" t="s">
        <v>33</v>
      </c>
      <c r="Q3" s="14"/>
    </row>
    <row r="4" spans="1:17" x14ac:dyDescent="0.3">
      <c r="E4" s="49" t="s">
        <v>34</v>
      </c>
      <c r="F4" s="8"/>
      <c r="G4" s="45"/>
      <c r="J4" s="46"/>
      <c r="Q4" s="14"/>
    </row>
    <row r="5" spans="1:17" x14ac:dyDescent="0.3">
      <c r="A5" s="5" t="s">
        <v>35</v>
      </c>
      <c r="B5" s="5" t="b">
        <v>0</v>
      </c>
      <c r="C5" s="5" t="b">
        <v>0</v>
      </c>
      <c r="D5" s="5" t="b">
        <v>0</v>
      </c>
      <c r="E5" s="14" t="s">
        <v>36</v>
      </c>
      <c r="F5" s="8" t="b">
        <v>1</v>
      </c>
      <c r="G5" s="45"/>
      <c r="H5" s="5" t="s">
        <v>31</v>
      </c>
      <c r="I5" s="5" t="s">
        <v>37</v>
      </c>
      <c r="J5" s="46" t="s">
        <v>38</v>
      </c>
      <c r="K5" s="5"/>
      <c r="L5" s="5"/>
      <c r="M5" s="5"/>
    </row>
    <row r="6" spans="1:17" x14ac:dyDescent="0.3">
      <c r="A6" s="5" t="s">
        <v>35</v>
      </c>
      <c r="B6" s="5" t="b">
        <v>0</v>
      </c>
      <c r="C6" s="5" t="b">
        <v>0</v>
      </c>
      <c r="D6" s="5" t="b">
        <v>0</v>
      </c>
      <c r="E6" s="14" t="s">
        <v>39</v>
      </c>
      <c r="F6" s="8" t="b">
        <v>1</v>
      </c>
      <c r="G6" s="45"/>
      <c r="H6" s="5" t="s">
        <v>31</v>
      </c>
      <c r="I6" s="5" t="s">
        <v>40</v>
      </c>
      <c r="J6" s="46" t="s">
        <v>41</v>
      </c>
      <c r="K6" s="72">
        <v>1E-3</v>
      </c>
      <c r="L6" s="72">
        <v>4.0000000000000001E-3</v>
      </c>
      <c r="M6" s="5" t="s">
        <v>42</v>
      </c>
      <c r="N6" s="5" t="s">
        <v>42</v>
      </c>
    </row>
    <row r="7" spans="1:17" x14ac:dyDescent="0.3">
      <c r="A7" s="5" t="s">
        <v>35</v>
      </c>
      <c r="B7" s="5" t="b">
        <v>0</v>
      </c>
      <c r="C7" s="5" t="b">
        <v>0</v>
      </c>
      <c r="D7" s="5" t="b">
        <v>0</v>
      </c>
      <c r="E7" s="14" t="s">
        <v>43</v>
      </c>
      <c r="F7" s="8" t="b">
        <v>1</v>
      </c>
      <c r="G7" s="45"/>
      <c r="H7" s="5" t="s">
        <v>31</v>
      </c>
      <c r="I7" s="5" t="s">
        <v>44</v>
      </c>
      <c r="J7" s="46" t="s">
        <v>45</v>
      </c>
      <c r="K7" s="72" t="s">
        <v>146</v>
      </c>
      <c r="L7" s="72" t="s">
        <v>145</v>
      </c>
      <c r="M7" s="5" t="s">
        <v>46</v>
      </c>
      <c r="N7" s="5" t="s">
        <v>46</v>
      </c>
    </row>
    <row r="8" spans="1:17" x14ac:dyDescent="0.3">
      <c r="A8" s="5" t="s">
        <v>35</v>
      </c>
      <c r="B8" s="5" t="b">
        <v>0</v>
      </c>
      <c r="C8" s="5" t="s">
        <v>47</v>
      </c>
      <c r="D8" s="5" t="b">
        <v>0</v>
      </c>
      <c r="E8" s="14" t="s">
        <v>48</v>
      </c>
      <c r="F8" s="8" t="b">
        <v>1</v>
      </c>
      <c r="G8" s="45"/>
      <c r="H8" s="5" t="s">
        <v>49</v>
      </c>
      <c r="I8" s="73" t="s">
        <v>50</v>
      </c>
      <c r="J8" s="46" t="s">
        <v>51</v>
      </c>
      <c r="K8" s="5"/>
      <c r="L8" s="5"/>
      <c r="M8" s="5" t="s">
        <v>42</v>
      </c>
      <c r="N8" s="5" t="s">
        <v>52</v>
      </c>
    </row>
    <row r="9" spans="1:17" x14ac:dyDescent="0.3">
      <c r="A9" s="5" t="s">
        <v>53</v>
      </c>
      <c r="B9" s="5" t="s">
        <v>35</v>
      </c>
      <c r="C9" s="5" t="s">
        <v>35</v>
      </c>
      <c r="D9" s="5" t="b">
        <v>0</v>
      </c>
      <c r="E9" s="14" t="s">
        <v>54</v>
      </c>
      <c r="F9" s="8" t="b">
        <v>0</v>
      </c>
      <c r="G9" s="48">
        <v>10</v>
      </c>
      <c r="H9" s="5" t="s">
        <v>31</v>
      </c>
      <c r="I9" s="5" t="s">
        <v>55</v>
      </c>
      <c r="J9" s="46" t="s">
        <v>56</v>
      </c>
      <c r="K9" s="5" t="s">
        <v>57</v>
      </c>
      <c r="L9" s="5" t="s">
        <v>58</v>
      </c>
      <c r="M9" s="5" t="s">
        <v>42</v>
      </c>
      <c r="N9" s="5" t="s">
        <v>59</v>
      </c>
    </row>
    <row r="10" spans="1:17" x14ac:dyDescent="0.3">
      <c r="A10" s="5" t="b">
        <v>1</v>
      </c>
      <c r="B10" s="5" t="b">
        <v>0</v>
      </c>
      <c r="C10" s="5" t="b">
        <v>0</v>
      </c>
      <c r="D10" s="5" t="b">
        <v>0</v>
      </c>
      <c r="E10" s="47" t="s">
        <v>60</v>
      </c>
      <c r="F10" s="8" t="b">
        <v>0</v>
      </c>
      <c r="G10" s="45"/>
      <c r="H10" s="5" t="s">
        <v>31</v>
      </c>
      <c r="I10" s="5" t="s">
        <v>61</v>
      </c>
      <c r="J10" s="46" t="s">
        <v>62</v>
      </c>
      <c r="K10" s="5"/>
      <c r="L10" s="5"/>
      <c r="M10" s="5"/>
    </row>
    <row r="11" spans="1:17" x14ac:dyDescent="0.3">
      <c r="A11" s="5" t="s">
        <v>63</v>
      </c>
      <c r="B11" s="5" t="b">
        <v>0</v>
      </c>
      <c r="C11" s="5" t="s">
        <v>64</v>
      </c>
      <c r="D11" s="5" t="b">
        <v>0</v>
      </c>
      <c r="E11" s="47" t="s">
        <v>65</v>
      </c>
      <c r="F11" s="8" t="b">
        <v>0</v>
      </c>
      <c r="G11" s="45"/>
      <c r="H11" s="5" t="s">
        <v>66</v>
      </c>
      <c r="I11" s="5" t="s">
        <v>67</v>
      </c>
      <c r="J11" s="46" t="s">
        <v>68</v>
      </c>
      <c r="K11" s="5"/>
      <c r="L11" s="5"/>
      <c r="M11" s="5"/>
    </row>
    <row r="12" spans="1:17" ht="16.8" thickBot="1" x14ac:dyDescent="0.35">
      <c r="F12"/>
    </row>
    <row r="13" spans="1:17" x14ac:dyDescent="0.3">
      <c r="C13" s="1"/>
      <c r="F13"/>
      <c r="I13" s="37" t="s">
        <v>69</v>
      </c>
      <c r="J13" s="38" t="s">
        <v>70</v>
      </c>
    </row>
    <row r="14" spans="1:17" ht="16.8" thickBot="1" x14ac:dyDescent="0.35">
      <c r="C14" s="1"/>
      <c r="F14"/>
      <c r="I14" s="39" t="s">
        <v>71</v>
      </c>
      <c r="J14" s="40" t="s">
        <v>72</v>
      </c>
    </row>
    <row r="15" spans="1:17" x14ac:dyDescent="0.3">
      <c r="E15" s="5"/>
      <c r="F15"/>
      <c r="G15" s="5"/>
      <c r="H15" s="1"/>
      <c r="I15" s="1"/>
    </row>
    <row r="16" spans="1:17" x14ac:dyDescent="0.3">
      <c r="E16" s="1"/>
      <c r="F16"/>
      <c r="G16" s="5"/>
      <c r="H16" s="1"/>
      <c r="I16" s="1"/>
    </row>
    <row r="17" spans="6:9" x14ac:dyDescent="0.3">
      <c r="F17"/>
      <c r="I17" s="1"/>
    </row>
    <row r="18" spans="6:9" x14ac:dyDescent="0.3">
      <c r="F18"/>
      <c r="I18" s="1"/>
    </row>
    <row r="19" spans="6:9" x14ac:dyDescent="0.3">
      <c r="F19"/>
      <c r="H19" s="1"/>
      <c r="I19" s="1" t="s">
        <v>73</v>
      </c>
    </row>
    <row r="20" spans="6:9" x14ac:dyDescent="0.3">
      <c r="F20"/>
      <c r="H20" s="1"/>
      <c r="I20" s="1"/>
    </row>
    <row r="21" spans="6:9" x14ac:dyDescent="0.3">
      <c r="F21"/>
      <c r="I21" s="1"/>
    </row>
    <row r="22" spans="6:9" x14ac:dyDescent="0.3">
      <c r="F22"/>
      <c r="I22" s="1"/>
    </row>
    <row r="23" spans="6:9" x14ac:dyDescent="0.3">
      <c r="F23"/>
      <c r="I23" s="1"/>
    </row>
    <row r="24" spans="6:9" x14ac:dyDescent="0.3">
      <c r="F24"/>
      <c r="I24" s="1"/>
    </row>
    <row r="25" spans="6:9" x14ac:dyDescent="0.3">
      <c r="F25"/>
    </row>
    <row r="26" spans="6:9" x14ac:dyDescent="0.3">
      <c r="F26"/>
    </row>
    <row r="27" spans="6:9" x14ac:dyDescent="0.3">
      <c r="F27"/>
    </row>
    <row r="28" spans="6:9" x14ac:dyDescent="0.3">
      <c r="F28"/>
    </row>
    <row r="29" spans="6:9" x14ac:dyDescent="0.3">
      <c r="F29"/>
    </row>
    <row r="30" spans="6:9" x14ac:dyDescent="0.3">
      <c r="F30"/>
    </row>
    <row r="31" spans="6:9" x14ac:dyDescent="0.3">
      <c r="F31" s="32"/>
    </row>
  </sheetData>
  <conditionalFormatting sqref="A1:D1048576">
    <cfRule type="cellIs" dxfId="6" priority="1" operator="equal">
      <formula>"CONNECTED"</formula>
    </cfRule>
    <cfRule type="cellIs" dxfId="5" priority="2" operator="equal">
      <formula>TRUE</formula>
    </cfRule>
  </conditionalFormatting>
  <hyperlinks>
    <hyperlink ref="J3" r:id="rId1" xr:uid="{20CF17D9-C402-0345-B7B6-891F7741CA5F}"/>
    <hyperlink ref="J10" r:id="rId2" xr:uid="{8FF05AB6-7686-5846-94D4-2094251E3DBD}"/>
    <hyperlink ref="J9" r:id="rId3" xr:uid="{2390878F-D900-6742-AEA6-5B806B57C787}"/>
    <hyperlink ref="J13" r:id="rId4" xr:uid="{212498FF-C553-074E-8C85-59EA966015BD}"/>
    <hyperlink ref="J6" r:id="rId5" xr:uid="{C34BAE57-1577-2144-801F-3C39B2E38979}"/>
    <hyperlink ref="J5" r:id="rId6" xr:uid="{87BEE7B7-5384-3F4A-A230-30AE67E49E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387A-0290-FE4F-937F-0434C3D9690D}">
  <sheetPr codeName="Sheet3"/>
  <dimension ref="A1:K27"/>
  <sheetViews>
    <sheetView topLeftCell="A7" zoomScale="110" zoomScaleNormal="110" workbookViewId="0">
      <selection activeCell="H15" sqref="H15"/>
    </sheetView>
  </sheetViews>
  <sheetFormatPr defaultColWidth="10.8984375" defaultRowHeight="16.2" x14ac:dyDescent="0.3"/>
  <cols>
    <col min="1" max="1" width="12.3984375" style="1" bestFit="1" customWidth="1"/>
    <col min="2" max="2" width="10.3984375" style="5" bestFit="1" customWidth="1"/>
    <col min="3" max="4" width="17.59765625" style="43" bestFit="1" customWidth="1"/>
    <col min="5" max="5" width="14.3984375" style="5" bestFit="1" customWidth="1"/>
    <col min="6" max="6" width="10.09765625" style="1" bestFit="1" customWidth="1"/>
    <col min="7" max="7" width="11.59765625" style="44" customWidth="1"/>
    <col min="8" max="8" width="16.8984375" style="1" bestFit="1" customWidth="1"/>
    <col min="9" max="9" width="13.8984375" style="1" bestFit="1" customWidth="1"/>
    <col min="10" max="10" width="11" style="1" bestFit="1" customWidth="1"/>
    <col min="11" max="11" width="14.8984375" style="44" bestFit="1" customWidth="1"/>
    <col min="12" max="16384" width="10.8984375" style="1"/>
  </cols>
  <sheetData>
    <row r="1" spans="1:9" x14ac:dyDescent="0.3">
      <c r="B1" s="9" t="s">
        <v>152</v>
      </c>
      <c r="C1" s="42" t="s">
        <v>150</v>
      </c>
      <c r="D1" s="42" t="s">
        <v>151</v>
      </c>
      <c r="E1" s="9" t="s">
        <v>152</v>
      </c>
    </row>
    <row r="2" spans="1:9" x14ac:dyDescent="0.3">
      <c r="B2" s="81">
        <f>C2-C6</f>
        <v>-4995.8000000000029</v>
      </c>
      <c r="C2" s="87">
        <v>44220</v>
      </c>
      <c r="D2" s="87">
        <v>44210</v>
      </c>
      <c r="E2" s="81">
        <f>D2-D6</f>
        <v>-4997</v>
      </c>
    </row>
    <row r="3" spans="1:9" x14ac:dyDescent="0.3">
      <c r="B3" s="82"/>
      <c r="C3" s="87"/>
      <c r="D3" s="87"/>
      <c r="E3" s="82"/>
    </row>
    <row r="4" spans="1:9" ht="16.8" thickBot="1" x14ac:dyDescent="0.35">
      <c r="A4" s="75">
        <v>44473.661527777775</v>
      </c>
    </row>
    <row r="5" spans="1:9" ht="18.899999999999999" customHeight="1" x14ac:dyDescent="0.45">
      <c r="A5" s="83">
        <f>AVERAGE(C6:D6)</f>
        <v>49211.4</v>
      </c>
      <c r="B5" s="84"/>
      <c r="C5" s="9" t="s">
        <v>74</v>
      </c>
      <c r="D5" s="9" t="s">
        <v>75</v>
      </c>
      <c r="E5" s="51" t="s">
        <v>76</v>
      </c>
      <c r="F5" s="52" t="s">
        <v>149</v>
      </c>
      <c r="I5" s="10"/>
    </row>
    <row r="6" spans="1:9" ht="15.9" customHeight="1" thickBot="1" x14ac:dyDescent="0.35">
      <c r="A6" s="85"/>
      <c r="B6" s="86"/>
      <c r="C6" s="50">
        <f>MAX(C9:C19)</f>
        <v>49215.8</v>
      </c>
      <c r="D6" s="50">
        <f>MIN(D9:D19)</f>
        <v>49207</v>
      </c>
      <c r="E6" s="76">
        <f>-F6/A5</f>
        <v>1.7882035463333518E-4</v>
      </c>
      <c r="F6" s="50">
        <f>D6-C6</f>
        <v>-8.8000000000029104</v>
      </c>
    </row>
    <row r="7" spans="1:9" x14ac:dyDescent="0.3">
      <c r="B7" s="1"/>
      <c r="C7" s="1"/>
    </row>
    <row r="8" spans="1:9" ht="18" x14ac:dyDescent="0.45">
      <c r="A8" s="7" t="s">
        <v>19</v>
      </c>
      <c r="B8" s="9" t="s">
        <v>77</v>
      </c>
      <c r="C8" s="42" t="s">
        <v>74</v>
      </c>
      <c r="D8" s="42" t="s">
        <v>75</v>
      </c>
      <c r="E8" s="9" t="s">
        <v>78</v>
      </c>
      <c r="F8" s="52" t="s">
        <v>154</v>
      </c>
    </row>
    <row r="9" spans="1:9" x14ac:dyDescent="0.3">
      <c r="A9" s="1" t="s">
        <v>36</v>
      </c>
      <c r="B9" s="11"/>
      <c r="C9" s="43">
        <v>49205.85</v>
      </c>
      <c r="D9" s="43">
        <v>49210.239999999998</v>
      </c>
      <c r="E9" s="11"/>
      <c r="F9" s="50">
        <v>4.3899999999994179</v>
      </c>
    </row>
    <row r="10" spans="1:9" x14ac:dyDescent="0.3">
      <c r="A10" s="1" t="s">
        <v>39</v>
      </c>
      <c r="B10" s="11">
        <v>1.1745000000000001</v>
      </c>
      <c r="C10" s="43">
        <v>49200</v>
      </c>
      <c r="D10" s="43">
        <v>49207</v>
      </c>
      <c r="E10" s="11">
        <v>0.76800000000000002</v>
      </c>
      <c r="F10" s="50">
        <v>7</v>
      </c>
    </row>
    <row r="11" spans="1:9" x14ac:dyDescent="0.3">
      <c r="A11" s="1" t="s">
        <v>43</v>
      </c>
      <c r="B11" s="11">
        <v>9.6000000000000002E-2</v>
      </c>
      <c r="C11" s="43">
        <v>49210.1</v>
      </c>
      <c r="D11" s="43">
        <v>49218.34</v>
      </c>
      <c r="E11" s="11">
        <v>2.0410000000000001E-2</v>
      </c>
      <c r="F11" s="50">
        <v>8.2399999999979627</v>
      </c>
    </row>
    <row r="12" spans="1:9" x14ac:dyDescent="0.3">
      <c r="A12" s="1" t="s">
        <v>48</v>
      </c>
      <c r="B12" s="11">
        <v>9.6270949999999994E-2</v>
      </c>
      <c r="C12" s="43">
        <v>49215.8</v>
      </c>
      <c r="D12" s="43">
        <v>49215.9</v>
      </c>
      <c r="E12" s="11">
        <v>11.03388683</v>
      </c>
      <c r="F12" s="50">
        <v>9.9999999998544808E-2</v>
      </c>
    </row>
    <row r="13" spans="1:9" ht="17.399999999999999" x14ac:dyDescent="0.3">
      <c r="B13" s="11"/>
      <c r="E13" s="11"/>
      <c r="F13" s="74"/>
      <c r="I13" s="13"/>
    </row>
    <row r="14" spans="1:9" ht="17.399999999999999" x14ac:dyDescent="0.3">
      <c r="B14" s="11"/>
      <c r="E14" s="11"/>
      <c r="F14" s="12"/>
      <c r="I14" s="13"/>
    </row>
    <row r="15" spans="1:9" x14ac:dyDescent="0.3">
      <c r="B15" s="11"/>
      <c r="E15" s="11"/>
      <c r="F15" s="12"/>
    </row>
    <row r="16" spans="1:9" x14ac:dyDescent="0.3">
      <c r="B16" s="11"/>
      <c r="E16" s="11"/>
      <c r="F16" s="12"/>
    </row>
    <row r="17" spans="2:6" x14ac:dyDescent="0.3">
      <c r="B17" s="11"/>
      <c r="E17" s="11"/>
      <c r="F17" s="12"/>
    </row>
    <row r="18" spans="2:6" x14ac:dyDescent="0.3">
      <c r="B18" s="11"/>
      <c r="E18" s="11"/>
      <c r="F18" s="12"/>
    </row>
    <row r="19" spans="2:6" x14ac:dyDescent="0.3">
      <c r="B19" s="11"/>
      <c r="E19" s="11"/>
      <c r="F19" s="12"/>
    </row>
    <row r="20" spans="2:6" x14ac:dyDescent="0.3">
      <c r="B20" s="11"/>
      <c r="E20" s="11"/>
      <c r="F20" s="12"/>
    </row>
    <row r="21" spans="2:6" x14ac:dyDescent="0.3">
      <c r="B21" s="11"/>
      <c r="E21" s="11"/>
      <c r="F21" s="12"/>
    </row>
    <row r="22" spans="2:6" x14ac:dyDescent="0.3">
      <c r="B22" s="11"/>
      <c r="E22" s="11"/>
      <c r="F22" s="12"/>
    </row>
    <row r="23" spans="2:6" x14ac:dyDescent="0.3">
      <c r="B23" s="11"/>
      <c r="F23" s="12"/>
    </row>
    <row r="24" spans="2:6" x14ac:dyDescent="0.3">
      <c r="B24" s="11"/>
    </row>
    <row r="25" spans="2:6" x14ac:dyDescent="0.3">
      <c r="B25" s="11"/>
    </row>
    <row r="26" spans="2:6" x14ac:dyDescent="0.3">
      <c r="B26" s="11"/>
    </row>
    <row r="27" spans="2:6" x14ac:dyDescent="0.3">
      <c r="B27" s="11"/>
    </row>
  </sheetData>
  <mergeCells count="5">
    <mergeCell ref="E2:E3"/>
    <mergeCell ref="A5:B6"/>
    <mergeCell ref="C2:C3"/>
    <mergeCell ref="D2:D3"/>
    <mergeCell ref="B2:B3"/>
  </mergeCells>
  <conditionalFormatting sqref="C2:C3">
    <cfRule type="cellIs" dxfId="4" priority="1" operator="greaterThan">
      <formula>$D$6</formula>
    </cfRule>
  </conditionalFormatting>
  <conditionalFormatting sqref="C9:C19">
    <cfRule type="top10" dxfId="3" priority="4" rank="1"/>
  </conditionalFormatting>
  <conditionalFormatting sqref="D2:D3">
    <cfRule type="cellIs" dxfId="2" priority="2" operator="lessThan">
      <formula>$C$6</formula>
    </cfRule>
  </conditionalFormatting>
  <conditionalFormatting sqref="D9:D19">
    <cfRule type="top10" dxfId="1" priority="5" bottom="1" rank="1"/>
  </conditionalFormatting>
  <conditionalFormatting sqref="E6:F6">
    <cfRule type="expression" dxfId="0" priority="3">
      <formula>E6&lt;0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3218-450D-FB48-842A-44BA3A717B4E}">
  <dimension ref="A1:F20"/>
  <sheetViews>
    <sheetView zoomScale="102" workbookViewId="0">
      <selection activeCell="B2" sqref="B2"/>
    </sheetView>
  </sheetViews>
  <sheetFormatPr defaultColWidth="11" defaultRowHeight="15.6" x14ac:dyDescent="0.3"/>
  <cols>
    <col min="1" max="1" width="9.5" bestFit="1" customWidth="1"/>
    <col min="2" max="2" width="15.8984375" customWidth="1"/>
    <col min="3" max="3" width="54.8984375" style="17" bestFit="1" customWidth="1"/>
    <col min="4" max="4" width="73.5" style="17" bestFit="1" customWidth="1"/>
    <col min="5" max="5" width="33.59765625" style="17" bestFit="1" customWidth="1"/>
    <col min="6" max="6" width="58.09765625" style="17" bestFit="1" customWidth="1"/>
  </cols>
  <sheetData>
    <row r="1" spans="1:6" s="78" customFormat="1" x14ac:dyDescent="0.3">
      <c r="A1" s="18" t="s">
        <v>191</v>
      </c>
      <c r="B1" s="78" t="s">
        <v>192</v>
      </c>
      <c r="C1" s="18" t="s">
        <v>155</v>
      </c>
      <c r="D1" s="18" t="s">
        <v>156</v>
      </c>
      <c r="E1" s="18" t="s">
        <v>157</v>
      </c>
      <c r="F1" s="18" t="s">
        <v>158</v>
      </c>
    </row>
    <row r="2" spans="1:6" x14ac:dyDescent="0.3">
      <c r="A2" t="b">
        <v>1</v>
      </c>
      <c r="B2" t="s">
        <v>181</v>
      </c>
      <c r="C2" s="17" t="b">
        <v>0</v>
      </c>
      <c r="D2" s="17" t="b">
        <v>1</v>
      </c>
      <c r="E2" s="17" t="b">
        <v>0</v>
      </c>
      <c r="F2" s="17" t="b">
        <v>0</v>
      </c>
    </row>
    <row r="3" spans="1:6" x14ac:dyDescent="0.3">
      <c r="A3" t="b">
        <v>1</v>
      </c>
      <c r="B3" t="s">
        <v>159</v>
      </c>
      <c r="C3" s="17" t="s">
        <v>36</v>
      </c>
      <c r="D3" s="17" t="s">
        <v>39</v>
      </c>
      <c r="E3" s="17" t="s">
        <v>43</v>
      </c>
      <c r="F3" s="17" t="s">
        <v>48</v>
      </c>
    </row>
    <row r="4" spans="1:6" x14ac:dyDescent="0.3">
      <c r="A4" t="b">
        <v>1</v>
      </c>
      <c r="B4" t="s">
        <v>160</v>
      </c>
      <c r="C4" s="17" t="s">
        <v>155</v>
      </c>
      <c r="D4" s="17" t="s">
        <v>156</v>
      </c>
      <c r="E4" s="17" t="s">
        <v>157</v>
      </c>
      <c r="F4" s="17" t="s">
        <v>158</v>
      </c>
    </row>
    <row r="5" spans="1:6" x14ac:dyDescent="0.3">
      <c r="A5" t="b">
        <v>1</v>
      </c>
    </row>
    <row r="6" spans="1:6" x14ac:dyDescent="0.3">
      <c r="A6" t="b">
        <v>1</v>
      </c>
      <c r="B6" t="s">
        <v>164</v>
      </c>
      <c r="C6" s="17" t="s">
        <v>165</v>
      </c>
      <c r="D6" s="17" t="s">
        <v>2</v>
      </c>
      <c r="E6" s="17" t="s">
        <v>165</v>
      </c>
    </row>
    <row r="7" spans="1:6" x14ac:dyDescent="0.3">
      <c r="A7" t="b">
        <v>1</v>
      </c>
      <c r="B7" t="s">
        <v>167</v>
      </c>
      <c r="C7" s="17" t="s">
        <v>168</v>
      </c>
      <c r="D7" s="17" t="s">
        <v>173</v>
      </c>
      <c r="F7" s="17" t="s">
        <v>177</v>
      </c>
    </row>
    <row r="8" spans="1:6" x14ac:dyDescent="0.3">
      <c r="A8" t="b">
        <v>1</v>
      </c>
      <c r="B8" t="s">
        <v>166</v>
      </c>
      <c r="C8" s="17" t="s">
        <v>182</v>
      </c>
      <c r="D8" s="17" t="s">
        <v>169</v>
      </c>
      <c r="E8" s="17" t="s">
        <v>174</v>
      </c>
      <c r="F8" s="17" t="s">
        <v>176</v>
      </c>
    </row>
    <row r="9" spans="1:6" x14ac:dyDescent="0.3">
      <c r="A9" t="b">
        <v>1</v>
      </c>
      <c r="B9" t="s">
        <v>171</v>
      </c>
      <c r="C9" s="17" t="s">
        <v>172</v>
      </c>
      <c r="D9" s="17" t="s">
        <v>170</v>
      </c>
      <c r="E9" s="17" t="s">
        <v>175</v>
      </c>
    </row>
    <row r="10" spans="1:6" x14ac:dyDescent="0.3">
      <c r="A10" t="b">
        <v>1</v>
      </c>
      <c r="B10" t="s">
        <v>183</v>
      </c>
      <c r="C10" s="17" t="s">
        <v>185</v>
      </c>
      <c r="D10" s="17" t="s">
        <v>184</v>
      </c>
      <c r="E10" s="17" t="s">
        <v>185</v>
      </c>
      <c r="F10" s="17" t="s">
        <v>185</v>
      </c>
    </row>
    <row r="11" spans="1:6" x14ac:dyDescent="0.3">
      <c r="A11" t="b">
        <v>1</v>
      </c>
    </row>
    <row r="12" spans="1:6" x14ac:dyDescent="0.3">
      <c r="A12" t="b">
        <v>1</v>
      </c>
      <c r="B12" t="s">
        <v>161</v>
      </c>
      <c r="D12" s="79">
        <v>1E-3</v>
      </c>
      <c r="E12" s="79">
        <v>2.5000000000000001E-3</v>
      </c>
    </row>
    <row r="13" spans="1:6" x14ac:dyDescent="0.3">
      <c r="A13" t="b">
        <v>1</v>
      </c>
      <c r="B13" t="s">
        <v>162</v>
      </c>
      <c r="D13" s="79">
        <v>4.0000000000000001E-3</v>
      </c>
      <c r="E13" s="79">
        <v>3.5000000000000001E-3</v>
      </c>
    </row>
    <row r="14" spans="1:6" x14ac:dyDescent="0.3">
      <c r="A14" t="b">
        <v>1</v>
      </c>
      <c r="B14" t="s">
        <v>163</v>
      </c>
      <c r="D14" s="17">
        <v>0</v>
      </c>
      <c r="E14" s="17">
        <v>0</v>
      </c>
      <c r="F14" s="17">
        <v>0</v>
      </c>
    </row>
    <row r="15" spans="1:6" x14ac:dyDescent="0.3">
      <c r="A15" t="b">
        <v>1</v>
      </c>
      <c r="B15" t="s">
        <v>187</v>
      </c>
      <c r="F15" s="80">
        <v>4</v>
      </c>
    </row>
    <row r="16" spans="1:6" x14ac:dyDescent="0.3">
      <c r="A16" t="b">
        <v>1</v>
      </c>
      <c r="B16" t="s">
        <v>186</v>
      </c>
      <c r="D16" s="17">
        <v>0</v>
      </c>
      <c r="E16" s="17">
        <v>0</v>
      </c>
      <c r="F16" s="17">
        <v>1.4999999999999999E-4</v>
      </c>
    </row>
    <row r="17" spans="1:6" x14ac:dyDescent="0.3">
      <c r="A17" t="b">
        <v>1</v>
      </c>
    </row>
    <row r="18" spans="1:6" x14ac:dyDescent="0.3">
      <c r="A18" t="b">
        <v>1</v>
      </c>
      <c r="B18" t="s">
        <v>178</v>
      </c>
      <c r="C18" s="17" t="s">
        <v>38</v>
      </c>
      <c r="D18" s="17" t="s">
        <v>41</v>
      </c>
      <c r="E18" s="17" t="s">
        <v>45</v>
      </c>
      <c r="F18" s="17" t="s">
        <v>51</v>
      </c>
    </row>
    <row r="19" spans="1:6" x14ac:dyDescent="0.3">
      <c r="A19" t="b">
        <v>1</v>
      </c>
      <c r="B19" t="s">
        <v>179</v>
      </c>
      <c r="C19" s="17" t="s">
        <v>31</v>
      </c>
      <c r="D19" s="17" t="s">
        <v>31</v>
      </c>
      <c r="E19" s="17" t="s">
        <v>31</v>
      </c>
      <c r="F19" s="17" t="s">
        <v>49</v>
      </c>
    </row>
    <row r="20" spans="1:6" x14ac:dyDescent="0.3">
      <c r="A20" t="b">
        <v>1</v>
      </c>
      <c r="B20" t="s">
        <v>180</v>
      </c>
      <c r="C20" s="17" t="s">
        <v>37</v>
      </c>
      <c r="D20" s="17" t="s">
        <v>40</v>
      </c>
      <c r="E20" s="17" t="s">
        <v>44</v>
      </c>
      <c r="F20" s="7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BINANCE</vt:lpstr>
      <vt:lpstr>CODE</vt:lpstr>
      <vt:lpstr>INACTIVE</vt:lpstr>
      <vt:lpstr>ACTIVE</vt:lpstr>
      <vt:lpstr>PRICES</vt:lpstr>
      <vt:lpstr>Exch Info</vt:lpstr>
      <vt:lpstr>clearRange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Hyland</dc:creator>
  <cp:keywords/>
  <dc:description/>
  <cp:lastModifiedBy>Michael Hyland</cp:lastModifiedBy>
  <cp:revision/>
  <dcterms:created xsi:type="dcterms:W3CDTF">2020-01-07T12:29:49Z</dcterms:created>
  <dcterms:modified xsi:type="dcterms:W3CDTF">2026-01-25T04:24:45Z</dcterms:modified>
  <cp:category/>
  <cp:contentStatus/>
</cp:coreProperties>
</file>