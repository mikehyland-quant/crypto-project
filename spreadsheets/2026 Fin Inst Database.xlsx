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codeName="ThisWorkbook" defaultThemeVersion="202300"/>
  <mc:AlternateContent xmlns:mc="http://schemas.openxmlformats.org/markup-compatibility/2006">
    <mc:Choice Requires="x15">
      <x15ac:absPath xmlns:x15ac="http://schemas.microsoft.com/office/spreadsheetml/2010/11/ac" url="C:\Users\micha\git-projects\trading\spreadsheets\"/>
    </mc:Choice>
  </mc:AlternateContent>
  <xr:revisionPtr revIDLastSave="0" documentId="13_ncr:1_{75F64171-18C8-4B5B-80CD-D8ACAFBFB4F2}" xr6:coauthVersionLast="47" xr6:coauthVersionMax="47" xr10:uidLastSave="{00000000-0000-0000-0000-000000000000}"/>
  <bookViews>
    <workbookView xWindow="375" yWindow="2070" windowWidth="28290" windowHeight="12210" tabRatio="763" firstSheet="3" activeTab="3" xr2:uid="{80E421DC-2A5F-48BD-91BD-DB367A6ED94D}"/>
  </bookViews>
  <sheets>
    <sheet name="README" sheetId="31" r:id="rId1"/>
    <sheet name="Info for Inspiration" sheetId="2" r:id="rId2"/>
    <sheet name="Venue Tables" sheetId="34" r:id="rId3"/>
    <sheet name="Static Data Table" sheetId="1" r:id="rId4"/>
    <sheet name="Mkt Data Streaming Inputs" sheetId="35" r:id="rId5"/>
    <sheet name="ETF ADMIN DATA" sheetId="36" r:id="rId6"/>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3" i="35" l="1"/>
  <c r="E15" i="35"/>
  <c r="E5" i="35" s="1"/>
  <c r="H22" i="34"/>
  <c r="G22" i="34"/>
  <c r="F22" i="34"/>
  <c r="E22" i="34"/>
  <c r="D22" i="34"/>
  <c r="D145" i="1"/>
  <c r="Y145" i="1"/>
  <c r="E29" i="2" l="1"/>
</calcChain>
</file>

<file path=xl/sharedStrings.xml><?xml version="1.0" encoding="utf-8"?>
<sst xmlns="http://schemas.openxmlformats.org/spreadsheetml/2006/main" count="1900" uniqueCount="414">
  <si>
    <t>comm_type</t>
  </si>
  <si>
    <t>comm_maker</t>
  </si>
  <si>
    <t>comm_taker</t>
  </si>
  <si>
    <t>future</t>
  </si>
  <si>
    <t>IBIT</t>
  </si>
  <si>
    <t>IBKR</t>
  </si>
  <si>
    <t>Coinbase</t>
  </si>
  <si>
    <t>Kraken</t>
  </si>
  <si>
    <t>flat_pct</t>
  </si>
  <si>
    <t>flat_amt</t>
  </si>
  <si>
    <t>comm_update</t>
  </si>
  <si>
    <t>my_prod_type</t>
  </si>
  <si>
    <t>ARKB</t>
  </si>
  <si>
    <t>BITB</t>
  </si>
  <si>
    <t>BRRR</t>
  </si>
  <si>
    <t>BTCW</t>
  </si>
  <si>
    <t>EZBC</t>
  </si>
  <si>
    <t>GBTC</t>
  </si>
  <si>
    <t>BTC</t>
  </si>
  <si>
    <t>Gemini</t>
  </si>
  <si>
    <t>flat_pct_with_min</t>
  </si>
  <si>
    <t>FBTC</t>
  </si>
  <si>
    <t>Deribit</t>
  </si>
  <si>
    <t>various</t>
  </si>
  <si>
    <t>none</t>
  </si>
  <si>
    <t>Binance</t>
  </si>
  <si>
    <t>Bybit</t>
  </si>
  <si>
    <t>Bitget</t>
  </si>
  <si>
    <t>OKX</t>
  </si>
  <si>
    <t>Huobi</t>
  </si>
  <si>
    <t>Bitfinex</t>
  </si>
  <si>
    <t>KuCoin</t>
  </si>
  <si>
    <t>spot</t>
  </si>
  <si>
    <t>USDT</t>
  </si>
  <si>
    <t>USD</t>
  </si>
  <si>
    <t>btcusdt</t>
  </si>
  <si>
    <t>tBTCUSD</t>
  </si>
  <si>
    <t>BTCUSDT</t>
  </si>
  <si>
    <t>BTC-USD</t>
  </si>
  <si>
    <t>BTCUSD</t>
  </si>
  <si>
    <t>BTC-USDT</t>
  </si>
  <si>
    <t>equity</t>
  </si>
  <si>
    <t>Delta</t>
  </si>
  <si>
    <t>HODL</t>
  </si>
  <si>
    <t>count</t>
  </si>
  <si>
    <t>CBTX</t>
  </si>
  <si>
    <t>https://bitcointreasuries.net</t>
  </si>
  <si>
    <t>Support</t>
  </si>
  <si>
    <t>Non-USD</t>
  </si>
  <si>
    <t>ByBit</t>
  </si>
  <si>
    <t>Bitstamp</t>
  </si>
  <si>
    <t>LMAX Digital</t>
  </si>
  <si>
    <t>12 others</t>
  </si>
  <si>
    <t>17 others</t>
  </si>
  <si>
    <t>ProShares UltraShort Bitcoin ETF</t>
  </si>
  <si>
    <t>SBIT</t>
  </si>
  <si>
    <t>ProShares Ultra Bitcoin ETF</t>
  </si>
  <si>
    <t>BITU</t>
  </si>
  <si>
    <t>ProShares Short Bitcoin ETF</t>
  </si>
  <si>
    <t>BITI</t>
  </si>
  <si>
    <t>iShares Bitcoin Trust ETF</t>
  </si>
  <si>
    <t>VanEck Bitcoin Trust</t>
  </si>
  <si>
    <t>Grayscale Bitcoin Trust</t>
  </si>
  <si>
    <t>Fidelity Wise Origin Bitcoin Fund</t>
  </si>
  <si>
    <t>Franklin Bitcoin ETF</t>
  </si>
  <si>
    <t>WisdomTree Bitcoin Fund</t>
  </si>
  <si>
    <t>Invesco Galaxy Bitcoin ETF</t>
  </si>
  <si>
    <t>BTCO</t>
  </si>
  <si>
    <t>Coinshare Valkyrie Bitcoin Fund</t>
  </si>
  <si>
    <t>Bitwise Bitcoin ETF Trust</t>
  </si>
  <si>
    <t>ARK 21Shares Bitcoin ETF</t>
  </si>
  <si>
    <t>% of CBTX</t>
  </si>
  <si>
    <t>etf_name</t>
  </si>
  <si>
    <t>symbol</t>
  </si>
  <si>
    <t>option</t>
  </si>
  <si>
    <t>perp</t>
  </si>
  <si>
    <t>ETH</t>
  </si>
  <si>
    <t>BTC-PERP</t>
  </si>
  <si>
    <t>btcusd_perp</t>
  </si>
  <si>
    <t>BTC-USD-SWAP</t>
  </si>
  <si>
    <t>BTC-USDT-SWAP</t>
  </si>
  <si>
    <t>BTCF0:USTF0</t>
  </si>
  <si>
    <t>Bitget-Fut</t>
  </si>
  <si>
    <t>BTCUSDT_UMCBL</t>
  </si>
  <si>
    <t>BTCUSD_DMCBL</t>
  </si>
  <si>
    <t>BTCUSDT_SPBL</t>
  </si>
  <si>
    <t>BTC-PERPETUAL</t>
  </si>
  <si>
    <t>BTC-USD-Perpetual</t>
  </si>
  <si>
    <t>USD or BTC</t>
  </si>
  <si>
    <t>BTCUSDTM</t>
  </si>
  <si>
    <t>XBTUSD</t>
  </si>
  <si>
    <t>Binance-Fstream</t>
  </si>
  <si>
    <t>Binance-Dstream</t>
  </si>
  <si>
    <t>Bitfinex-Derivs</t>
  </si>
  <si>
    <t>Bitget-Derivs</t>
  </si>
  <si>
    <t>Bybit-Derivs</t>
  </si>
  <si>
    <t>Coinbase-Perps</t>
  </si>
  <si>
    <t>Delta-Derivs</t>
  </si>
  <si>
    <t>Huobi-Derivs</t>
  </si>
  <si>
    <t>Kraken-Derivs</t>
  </si>
  <si>
    <t>KuCoin-Derivs</t>
  </si>
  <si>
    <t>Binance-Opts</t>
  </si>
  <si>
    <t>Bitget-Opts</t>
  </si>
  <si>
    <t>BTC-USDC</t>
  </si>
  <si>
    <t>USDC</t>
  </si>
  <si>
    <t>FUTURE</t>
  </si>
  <si>
    <t>BIT-24APR26-CDE</t>
  </si>
  <si>
    <t>BTC PERP</t>
  </si>
  <si>
    <t>BTC-Bitfinex</t>
  </si>
  <si>
    <t>BTC-Bitget</t>
  </si>
  <si>
    <t>BTC-Bybit</t>
  </si>
  <si>
    <t>BTC-Delta</t>
  </si>
  <si>
    <t>CASH</t>
  </si>
  <si>
    <t>swap</t>
  </si>
  <si>
    <t>futures</t>
  </si>
  <si>
    <t>BTC-PERP-OKX</t>
  </si>
  <si>
    <t>-</t>
  </si>
  <si>
    <t>BTC-USDT-260327</t>
  </si>
  <si>
    <t>BTC-260327-OKX</t>
  </si>
  <si>
    <t>BTCUSDH26</t>
  </si>
  <si>
    <t>XBTUSDTM</t>
  </si>
  <si>
    <t>XBTUSDM</t>
  </si>
  <si>
    <t>XBTUSDCM</t>
  </si>
  <si>
    <t>today</t>
  </si>
  <si>
    <t>upside down</t>
  </si>
  <si>
    <t>This is designed as a database of information about crypto for use in Python scripts</t>
  </si>
  <si>
    <t>The main tabs of database information are named Bitcoin and Ethereum</t>
  </si>
  <si>
    <t>There are tabs for streaming product dumps</t>
  </si>
  <si>
    <t>Coinbase Product List</t>
  </si>
  <si>
    <t>Gemini Product List</t>
  </si>
  <si>
    <t>There are tabs for option dumps of expiry and strike for each of the ETFs</t>
  </si>
  <si>
    <t>ARKB Options</t>
  </si>
  <si>
    <t>BTC Options</t>
  </si>
  <si>
    <t>BITB Options</t>
  </si>
  <si>
    <t>BTCW Options</t>
  </si>
  <si>
    <t>BRRR Options - not available - no options listed yet</t>
  </si>
  <si>
    <t>EZBC Options</t>
  </si>
  <si>
    <t>FBTC Options</t>
  </si>
  <si>
    <t>GBTC Options</t>
  </si>
  <si>
    <t>HODL Options</t>
  </si>
  <si>
    <t>IBIT Options</t>
  </si>
  <si>
    <t>The tab titled ETF Options Summary connects to the ETF options tabs in the next line</t>
  </si>
  <si>
    <t>The main interfaces to identify active cryptos for the Python scripts are BTC and ETH</t>
  </si>
  <si>
    <t>The tabs TST and Test are available for testing new Python scripts</t>
  </si>
  <si>
    <t>BTCM6</t>
  </si>
  <si>
    <t>BTCN6</t>
  </si>
  <si>
    <t>BTCQ6</t>
  </si>
  <si>
    <t>BTCU6</t>
  </si>
  <si>
    <t>Column1</t>
  </si>
  <si>
    <t>Column2</t>
  </si>
  <si>
    <t>Column4</t>
  </si>
  <si>
    <t>Column5</t>
  </si>
  <si>
    <t>Column6</t>
  </si>
  <si>
    <t>Column7</t>
  </si>
  <si>
    <t>Column8</t>
  </si>
  <si>
    <t>Column9</t>
  </si>
  <si>
    <t>Column10</t>
  </si>
  <si>
    <t>Column11</t>
  </si>
  <si>
    <t>Column12</t>
  </si>
  <si>
    <t>Column15</t>
  </si>
  <si>
    <t>Column16</t>
  </si>
  <si>
    <t>Column17</t>
  </si>
  <si>
    <t>Column18</t>
  </si>
  <si>
    <t>Column19</t>
  </si>
  <si>
    <t>Column20</t>
  </si>
  <si>
    <t>Column21</t>
  </si>
  <si>
    <t>Column22</t>
  </si>
  <si>
    <t>Column23</t>
  </si>
  <si>
    <t>Column24</t>
  </si>
  <si>
    <t>Column25</t>
  </si>
  <si>
    <t>Column26</t>
  </si>
  <si>
    <t>NEXT</t>
  </si>
  <si>
    <t>comm_misc</t>
  </si>
  <si>
    <t>Coinbase-Derivs</t>
  </si>
  <si>
    <t>BTC-26JUN26</t>
  </si>
  <si>
    <t>Phemex</t>
  </si>
  <si>
    <t>base_currency</t>
  </si>
  <si>
    <t>BTC_USDC</t>
  </si>
  <si>
    <t>BTC_USDT</t>
  </si>
  <si>
    <t>BTC-25SEP26</t>
  </si>
  <si>
    <t>BTC-25DEC26</t>
  </si>
  <si>
    <t>BTC-26MAR27</t>
  </si>
  <si>
    <t>my_pf_name</t>
  </si>
  <si>
    <t>pf_locator</t>
  </si>
  <si>
    <t>my_fi_name</t>
  </si>
  <si>
    <t>top_currency</t>
  </si>
  <si>
    <t>Column92</t>
  </si>
  <si>
    <t>Column93</t>
  </si>
  <si>
    <t>Column94</t>
  </si>
  <si>
    <t>Column95</t>
  </si>
  <si>
    <t>import</t>
  </si>
  <si>
    <t>btcusd</t>
  </si>
  <si>
    <t>btcusdc</t>
  </si>
  <si>
    <t>BTCUSDC</t>
  </si>
  <si>
    <t>vpn</t>
  </si>
  <si>
    <t>BTC/USD</t>
  </si>
  <si>
    <t>BTC/USDC</t>
  </si>
  <si>
    <t>BTC/USDT</t>
  </si>
  <si>
    <t>KrakenSpot</t>
  </si>
  <si>
    <t>BTC-USD1</t>
  </si>
  <si>
    <t>KuCoinSpot</t>
  </si>
  <si>
    <t>BTCUSD1</t>
  </si>
  <si>
    <t>BinanceSpot</t>
  </si>
  <si>
    <t>Others</t>
  </si>
  <si>
    <t>API</t>
  </si>
  <si>
    <t>Ranking</t>
  </si>
  <si>
    <t>Importance</t>
  </si>
  <si>
    <t>Tier 1</t>
  </si>
  <si>
    <t>Tier 2</t>
  </si>
  <si>
    <t>Tier 3</t>
  </si>
  <si>
    <t>MEXC</t>
  </si>
  <si>
    <t>Gate</t>
  </si>
  <si>
    <t>Tier 4</t>
  </si>
  <si>
    <t>Tier 5</t>
  </si>
  <si>
    <t>btcusd1</t>
  </si>
  <si>
    <t>BTC/USD1</t>
  </si>
  <si>
    <t>BTC_USD1</t>
  </si>
  <si>
    <t>sBTCUSDT</t>
  </si>
  <si>
    <t>sBTCUSDC</t>
  </si>
  <si>
    <t>NO PRICE</t>
  </si>
  <si>
    <t>tBTCUST</t>
  </si>
  <si>
    <t>Bitnomial</t>
  </si>
  <si>
    <t>EDX</t>
  </si>
  <si>
    <t>BTCZ6</t>
  </si>
  <si>
    <t>BTCH7</t>
  </si>
  <si>
    <t>BinanceUS</t>
  </si>
  <si>
    <t>Binance-Derivs</t>
  </si>
  <si>
    <t>spot contracts - not spot</t>
  </si>
  <si>
    <t>BTCPERP</t>
  </si>
  <si>
    <t>Spot</t>
  </si>
  <si>
    <t>Perps</t>
  </si>
  <si>
    <t>PERP BTC-USD</t>
  </si>
  <si>
    <t>PERP BTC-USDC</t>
  </si>
  <si>
    <t>PERP BTC-USDT</t>
  </si>
  <si>
    <t>Expiring Futures</t>
  </si>
  <si>
    <t>Option</t>
  </si>
  <si>
    <t>BTCV6</t>
  </si>
  <si>
    <t>BTCX6</t>
  </si>
  <si>
    <t>BTC-31JUL26</t>
  </si>
  <si>
    <t>BTC-28AUG26</t>
  </si>
  <si>
    <t>BIT-26JUN26-CDE</t>
  </si>
  <si>
    <t>BIT-31JUL26-CDE</t>
  </si>
  <si>
    <t>BIT-28AUG26-CDE</t>
  </si>
  <si>
    <t>ETHQ6</t>
  </si>
  <si>
    <t>ETHU6</t>
  </si>
  <si>
    <t>ETHV6</t>
  </si>
  <si>
    <t>ETHX6</t>
  </si>
  <si>
    <t>family</t>
  </si>
  <si>
    <t>The CBTX Index is the Cboe Bitcoin U.S. ETF Index.</t>
  </si>
  <si>
    <t xml:space="preserve">It is designed to track the price-return performance of U.S.-listed spot Bitcoin ETFs. In other words, it is an index of the spot BTC ETF complex rather than Bitcoin itself or CME BTC futures. Cboe uses it as the underlying for Cboe Bitcoin U.S. ETF Index options. </t>
  </si>
  <si>
    <t>Important distinction:</t>
  </si>
  <si>
    <t>Symbol</t>
  </si>
  <si>
    <t>What it is</t>
  </si>
  <si>
    <t>Tracks</t>
  </si>
  <si>
    <t>Cboe Bitcoin U.S. ETF Index</t>
  </si>
  <si>
    <t>Basket of U.S. spot Bitcoin ETFs</t>
  </si>
  <si>
    <t>BRTI</t>
  </si>
  <si>
    <t>CME CF Bitcoin Real Time Index</t>
  </si>
  <si>
    <t>Real-time BTC/USD spot benchmark</t>
  </si>
  <si>
    <t>BRR</t>
  </si>
  <si>
    <t>CME CF Bitcoin Reference Rate</t>
  </si>
  <si>
    <t>Daily BTC/USD reference rate used by CME BTC futures</t>
  </si>
  <si>
    <t>So if you see CBTX options, they are effectively index options on spot Bitcoin ETFs, not options on a single ETF like IBIT, and not options on CME futures. The index should behave like a diversified spot BTC ETF proxy, with ETF fees and ETF market structure embedded indirectly.</t>
  </si>
  <si>
    <t>Weights as of March 30:</t>
  </si>
  <si>
    <t>These are the cleanest “crypto exposure” products.</t>
  </si>
  <si>
    <t>Ticker</t>
  </si>
  <si>
    <t>Fund</t>
  </si>
  <si>
    <t>Target</t>
  </si>
  <si>
    <t>BITX</t>
  </si>
  <si>
    <t>Volatility Shares 2x Bitcoin Strategy ETF</t>
  </si>
  <si>
    <t>+2x BTC daily</t>
  </si>
  <si>
    <t>+2x Bloomberg Bitcoin Index daily</t>
  </si>
  <si>
    <t>BTCL</t>
  </si>
  <si>
    <t>T-REX 2X Long Bitcoin Daily Target ETF</t>
  </si>
  <si>
    <t>+2x spot Bitcoin daily</t>
  </si>
  <si>
    <t>−1x Bitcoin daily</t>
  </si>
  <si>
    <t>−2x Bitcoin daily</t>
  </si>
  <si>
    <t>BTCZ</t>
  </si>
  <si>
    <t>T-REX 2X Inverse Bitcoin Daily Target ETF</t>
  </si>
  <si>
    <t>−2x spot Bitcoin daily</t>
  </si>
  <si>
    <t>ETHU</t>
  </si>
  <si>
    <t>Volatility Shares 2x Ether ETF</t>
  </si>
  <si>
    <t>+2x ETH daily</t>
  </si>
  <si>
    <t>ETHT</t>
  </si>
  <si>
    <t>ProShares Ultra Ether ETF</t>
  </si>
  <si>
    <t>+2x Bloomberg Ethereum Index daily</t>
  </si>
  <si>
    <t>SETH</t>
  </si>
  <si>
    <t>ProShares Short Ether ETF</t>
  </si>
  <si>
    <t>−1x Ether daily</t>
  </si>
  <si>
    <t>ETHD</t>
  </si>
  <si>
    <t>ProShares UltraShort Ether ETF</t>
  </si>
  <si>
    <t>−2x Ether daily</t>
  </si>
  <si>
    <t>SOLT</t>
  </si>
  <si>
    <t>Volatility Shares 2x Solana ETF</t>
  </si>
  <si>
    <t>+2x SOL daily</t>
  </si>
  <si>
    <t>XRPT</t>
  </si>
  <si>
    <t>Volatility Shares 2x XRP ETF</t>
  </si>
  <si>
    <t>+2x XRP daily</t>
  </si>
  <si>
    <t>AVAZ</t>
  </si>
  <si>
    <t>Volatility Shares 2x Avalanche ETF</t>
  </si>
  <si>
    <t>+2x AVAX daily</t>
  </si>
  <si>
    <t>SUIL</t>
  </si>
  <si>
    <t>Volatility Shares 2x Sui ETF</t>
  </si>
  <si>
    <t>+2x SUI daily</t>
  </si>
  <si>
    <t>CHNU</t>
  </si>
  <si>
    <t>Volatility Shares 2x Chainlink ETF</t>
  </si>
  <si>
    <t>+2x LINK daily</t>
  </si>
  <si>
    <t>CRDX</t>
  </si>
  <si>
    <t>Volatility Shares 2x Cardano ETF</t>
  </si>
  <si>
    <t>+2x ADA daily</t>
  </si>
  <si>
    <t>STLU</t>
  </si>
  <si>
    <t>Volatility Shares 2x Stellar ETF</t>
  </si>
  <si>
    <t>+2x XLM daily</t>
  </si>
  <si>
    <t>Levered ETFs on crypto prices / crypto-linked indexes</t>
  </si>
  <si>
    <t>Cryptos trading at CME</t>
  </si>
  <si>
    <t>Good sources of information</t>
  </si>
  <si>
    <t>https://www.theblock.co/data/crypto-markets/spot</t>
  </si>
  <si>
    <t>What is BAKKT these days?</t>
  </si>
  <si>
    <t>What does this mean?</t>
  </si>
  <si>
    <t>ETHZ6</t>
  </si>
  <si>
    <t>ANGL</t>
  </si>
  <si>
    <t>CWB</t>
  </si>
  <si>
    <t>FALN</t>
  </si>
  <si>
    <t>ICVT</t>
  </si>
  <si>
    <t>IGLB</t>
  </si>
  <si>
    <t>MBB</t>
  </si>
  <si>
    <t>MUB</t>
  </si>
  <si>
    <t>SCHQ</t>
  </si>
  <si>
    <t>SPLB</t>
  </si>
  <si>
    <t>SPMB</t>
  </si>
  <si>
    <t>SPTL</t>
  </si>
  <si>
    <t>TFI</t>
  </si>
  <si>
    <t>TLT</t>
  </si>
  <si>
    <t>VCLT</t>
  </si>
  <si>
    <t>VGLT</t>
  </si>
  <si>
    <t>VMBS</t>
  </si>
  <si>
    <t>VTEB</t>
  </si>
  <si>
    <t>None</t>
  </si>
  <si>
    <t>sub_family</t>
  </si>
  <si>
    <t>Crypto</t>
  </si>
  <si>
    <t>Keys</t>
  </si>
  <si>
    <t>output tail directory</t>
  </si>
  <si>
    <t>output directory</t>
  </si>
  <si>
    <t>output workbook name</t>
  </si>
  <si>
    <t>output worksheet name</t>
  </si>
  <si>
    <t>output cell name</t>
  </si>
  <si>
    <t>print timestamp onscreen</t>
  </si>
  <si>
    <t>add timestamp to output df</t>
  </si>
  <si>
    <t>display df onscreen</t>
  </si>
  <si>
    <t>save df to csv</t>
  </si>
  <si>
    <t>send df to xl</t>
  </si>
  <si>
    <t>replace</t>
  </si>
  <si>
    <t>timer interval</t>
  </si>
  <si>
    <t>2026 Crypto Mkt Data.xlsx</t>
  </si>
  <si>
    <t>MKT DATA</t>
  </si>
  <si>
    <t>A1</t>
  </si>
  <si>
    <t>Stat Arb</t>
  </si>
  <si>
    <t>C:\Users\Micha\Git-Crypto\Spreadsheets</t>
  </si>
  <si>
    <t>append</t>
  </si>
  <si>
    <t>active</t>
  </si>
  <si>
    <t>cd git-crypto\crypto-project\apps</t>
  </si>
  <si>
    <t>python App_Stream_MktData.py</t>
  </si>
  <si>
    <t>mkt_data_stream</t>
  </si>
  <si>
    <t>CORP</t>
  </si>
  <si>
    <t>LQD</t>
  </si>
  <si>
    <t>USIG</t>
  </si>
  <si>
    <t>AGG</t>
  </si>
  <si>
    <t>BND</t>
  </si>
  <si>
    <t>HYG</t>
  </si>
  <si>
    <t>HYLB</t>
  </si>
  <si>
    <t>IUSB</t>
  </si>
  <si>
    <t>JNK</t>
  </si>
  <si>
    <t>SCHZ</t>
  </si>
  <si>
    <t>SCYB</t>
  </si>
  <si>
    <t>SPAB</t>
  </si>
  <si>
    <t>SPHY</t>
  </si>
  <si>
    <t>USHY</t>
  </si>
  <si>
    <t>SPBO</t>
  </si>
  <si>
    <t>VTC</t>
  </si>
  <si>
    <t>BNDX</t>
  </si>
  <si>
    <t>BWX</t>
  </si>
  <si>
    <t>CMF</t>
  </si>
  <si>
    <t>EMB</t>
  </si>
  <si>
    <t>EMLC</t>
  </si>
  <si>
    <t>IAGG</t>
  </si>
  <si>
    <t>IGOV</t>
  </si>
  <si>
    <t>PFF</t>
  </si>
  <si>
    <t>PFFD</t>
  </si>
  <si>
    <t>PCY</t>
  </si>
  <si>
    <t>VTEC</t>
  </si>
  <si>
    <t>VWOB</t>
  </si>
  <si>
    <t>BTCF7</t>
  </si>
  <si>
    <t>ETHf7</t>
  </si>
  <si>
    <t>USRT</t>
  </si>
  <si>
    <t>SCHH</t>
  </si>
  <si>
    <t>Margin</t>
  </si>
  <si>
    <t>ETF Fee</t>
  </si>
  <si>
    <t>Dec 2025 Ex-Date</t>
  </si>
  <si>
    <t>Dec 2025 Div Amt</t>
  </si>
  <si>
    <t>ETF family / sponsor</t>
  </si>
  <si>
    <t>iShares / BlackRock</t>
  </si>
  <si>
    <t>VanEck</t>
  </si>
  <si>
    <t>Vanguard</t>
  </si>
  <si>
    <t>State Street / SPDR</t>
  </si>
  <si>
    <t>PIMCO</t>
  </si>
  <si>
    <t>Xtrackers / DWS</t>
  </si>
  <si>
    <t>Invesco</t>
  </si>
  <si>
    <t>Global X</t>
  </si>
  <si>
    <t>Schwab</t>
  </si>
  <si>
    <t>Stat_Arb_Pairs</t>
  </si>
  <si>
    <t>BTC_ETF</t>
  </si>
  <si>
    <t>Stat_Arb_Group</t>
  </si>
  <si>
    <t>2026 Pairs Trading Inputs.xlsm</t>
  </si>
  <si>
    <t>2026 Group Trading Inputs.xlsm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</si>
</sst>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44" formatCode="_(&quot;$&quot;* #,##0.00_);_(&quot;$&quot;* \(#,##0.00\);_(&quot;$&quot;* &quot;-&quot;??_);_(@_)"/>
    <numFmt numFmtId="43" formatCode="_(* #,##0.00_);_(* \(#,##0.00\);_(* &quot;-&quot;??_);_(@_)"/>
    <numFmt numFmtId="164" formatCode="[$-409]dd\-mmm\-yy;@"/>
    <numFmt numFmtId="165" formatCode="_(&quot;$&quot;* #,##0.0000_);_(&quot;$&quot;* \(#,##0.0000\);_(&quot;$&quot;* &quot;-&quot;??_);_(@_)"/>
    <numFmt numFmtId="166" formatCode="_(* #,##0_);_(* \(#,##0\);_(* &quot;-&quot;??_);_(@_)"/>
    <numFmt numFmtId="167" formatCode="0.0000%"/>
    <numFmt numFmtId="168" formatCode="_(* #,##0.0000_);_(* \(#,##0.0000\);_(* &quot;-&quot;??_);_(@_)"/>
    <numFmt numFmtId="169" formatCode="_(&quot;$&quot;* #,##0_);_(&quot;$&quot;* \(#,##0\);_(&quot;$&quot;* &quot;-&quot;??_);_(@_)"/>
    <numFmt numFmtId="170" formatCode="_(* #,##0.000_);_(* \(#,##0.000\);_(* &quot;-&quot;??_);_(@_)"/>
    <numFmt numFmtId="171" formatCode="0.000%"/>
    <numFmt numFmtId="172" formatCode="yyyy\-mm\-dd;@"/>
    <numFmt numFmtId="173" formatCode="_(&quot;$&quot;* #,##0.000000_);_(&quot;$&quot;* \(#,##0.000000\);_(&quot;$&quot;* &quot;-&quot;??_);_(@_)"/>
  </numFmts>
  <fonts count="34" x14ac:knownFonts="1">
    <font>
      <sz val="11"/>
      <color theme="1"/>
      <name val="Aptos Narrow"/>
      <family val="2"/>
      <scheme val="minor"/>
    </font>
    <font>
      <sz val="11"/>
      <color theme="1"/>
      <name val="Aptos Narrow"/>
      <family val="2"/>
      <scheme val="minor"/>
    </font>
    <font>
      <b/>
      <u/>
      <sz val="11"/>
      <color theme="1"/>
      <name val="Aptos Narrow"/>
      <family val="2"/>
      <scheme val="minor"/>
    </font>
    <font>
      <sz val="8"/>
      <name val="Aptos Narrow"/>
      <family val="2"/>
      <scheme val="minor"/>
    </font>
    <font>
      <sz val="11"/>
      <color rgb="FFFF0000"/>
      <name val="Aptos Narrow"/>
      <family val="2"/>
      <scheme val="minor"/>
    </font>
    <font>
      <b/>
      <sz val="11"/>
      <color rgb="FFFF0000"/>
      <name val="Aptos Narrow"/>
      <family val="2"/>
      <scheme val="minor"/>
    </font>
    <font>
      <b/>
      <sz val="11"/>
      <color theme="1"/>
      <name val="Aptos Narrow"/>
      <family val="2"/>
      <scheme val="minor"/>
    </font>
    <font>
      <sz val="11"/>
      <color theme="0" tint="-0.499984740745262"/>
      <name val="Aptos Narrow"/>
      <family val="2"/>
      <scheme val="minor"/>
    </font>
    <font>
      <u/>
      <sz val="11"/>
      <color theme="1"/>
      <name val="Aptos Narrow"/>
      <family val="2"/>
      <scheme val="minor"/>
    </font>
    <font>
      <u/>
      <sz val="11"/>
      <color theme="10"/>
      <name val="Aptos Narrow"/>
      <family val="2"/>
      <scheme val="minor"/>
    </font>
    <font>
      <b/>
      <u/>
      <sz val="12"/>
      <color theme="1"/>
      <name val="Aptos Narrow"/>
      <family val="2"/>
      <scheme val="minor"/>
    </font>
    <font>
      <sz val="11"/>
      <name val="Aptos Narrow"/>
      <family val="2"/>
      <scheme val="minor"/>
    </font>
    <font>
      <sz val="11"/>
      <color theme="2" tint="-0.499984740745262"/>
      <name val="Aptos Narrow"/>
      <family val="2"/>
      <scheme val="minor"/>
    </font>
    <font>
      <sz val="11"/>
      <color theme="0"/>
      <name val="Aptos Narrow"/>
      <family val="2"/>
      <scheme val="minor"/>
    </font>
    <font>
      <b/>
      <sz val="11"/>
      <name val="Aptos Narrow"/>
      <family val="2"/>
      <scheme val="minor"/>
    </font>
    <font>
      <b/>
      <u/>
      <sz val="11"/>
      <name val="Aptos Narrow"/>
      <family val="2"/>
      <scheme val="minor"/>
    </font>
    <font>
      <sz val="11"/>
      <color rgb="FFC00000"/>
      <name val="Aptos Narrow"/>
      <family val="2"/>
      <scheme val="minor"/>
    </font>
    <font>
      <strike/>
      <sz val="11"/>
      <color theme="1"/>
      <name val="Aptos Narrow"/>
      <family val="2"/>
      <scheme val="minor"/>
    </font>
    <font>
      <strike/>
      <sz val="11"/>
      <color rgb="FFC00000"/>
      <name val="Aptos Narrow"/>
      <family val="2"/>
      <scheme val="minor"/>
    </font>
    <font>
      <b/>
      <strike/>
      <sz val="11"/>
      <color rgb="FFC00000"/>
      <name val="Aptos Narrow"/>
      <family val="2"/>
      <scheme val="minor"/>
    </font>
    <font>
      <b/>
      <sz val="11"/>
      <color rgb="FFC00000"/>
      <name val="Aptos Narrow"/>
      <family val="2"/>
      <scheme val="minor"/>
    </font>
    <font>
      <strike/>
      <sz val="11"/>
      <name val="Aptos Narrow"/>
      <family val="2"/>
      <scheme val="minor"/>
    </font>
    <font>
      <sz val="12"/>
      <color theme="1"/>
      <name val="Aptos"/>
      <family val="2"/>
    </font>
    <font>
      <b/>
      <sz val="12"/>
      <color theme="1"/>
      <name val="Aptos"/>
      <family val="2"/>
    </font>
    <font>
      <b/>
      <u/>
      <sz val="12"/>
      <color theme="1"/>
      <name val="Aptos"/>
      <family val="2"/>
    </font>
    <font>
      <sz val="11"/>
      <color theme="8"/>
      <name val="Aptos Narrow"/>
      <family val="2"/>
      <scheme val="minor"/>
    </font>
    <font>
      <sz val="11"/>
      <color theme="5" tint="-0.499984740745262"/>
      <name val="Aptos Narrow"/>
      <family val="2"/>
      <scheme val="minor"/>
    </font>
    <font>
      <sz val="11"/>
      <color rgb="FF7030A0"/>
      <name val="Aptos Narrow"/>
      <family val="2"/>
      <scheme val="minor"/>
    </font>
    <font>
      <sz val="11"/>
      <color theme="1"/>
      <name val="Arial"/>
      <family val="2"/>
    </font>
    <font>
      <sz val="11"/>
      <name val="Arial"/>
      <family val="2"/>
    </font>
    <font>
      <sz val="11"/>
      <color rgb="FF7030A0"/>
      <name val="Arial"/>
      <family val="2"/>
    </font>
    <font>
      <sz val="12"/>
      <color theme="1"/>
      <name val="Arial"/>
      <family val="2"/>
    </font>
    <font>
      <b/>
      <sz val="11"/>
      <color theme="1"/>
      <name val="Arial"/>
      <family val="2"/>
    </font>
    <font>
      <b/>
      <sz val="11"/>
      <name val="Arial"/>
      <family val="2"/>
    </font>
  </fonts>
  <fills count="5">
    <fill>
      <patternFill patternType="none"/>
    </fill>
    <fill>
      <patternFill patternType="gray125"/>
    </fill>
    <fill>
      <patternFill patternType="solid">
        <fgColor rgb="FFFFFF00"/>
        <bgColor indexed="64"/>
      </patternFill>
    </fill>
    <fill>
      <patternFill patternType="solid">
        <fgColor theme="6" tint="0.79998168889431442"/>
        <bgColor indexed="64"/>
      </patternFill>
    </fill>
    <fill>
      <patternFill patternType="solid">
        <fgColor theme="9" tint="0.79998168889431442"/>
        <bgColor indexed="64"/>
      </patternFill>
    </fill>
  </fills>
  <borders count="15">
    <border>
      <left/>
      <right/>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right/>
      <top/>
      <bottom style="medium">
        <color indexed="64"/>
      </bottom>
      <diagonal/>
    </border>
    <border>
      <left/>
      <right/>
      <top style="medium">
        <color indexed="64"/>
      </top>
      <bottom/>
      <diagonal/>
    </border>
    <border>
      <left/>
      <right/>
      <top style="thin">
        <color theme="4" tint="0.39997558519241921"/>
      </top>
      <bottom style="thin">
        <color theme="4" tint="0.39997558519241921"/>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thin">
        <color auto="1"/>
      </left>
      <right style="thin">
        <color auto="1"/>
      </right>
      <top style="thin">
        <color auto="1"/>
      </top>
      <bottom style="thin">
        <color auto="1"/>
      </bottom>
      <diagonal/>
    </border>
    <border>
      <left style="medium">
        <color indexed="64"/>
      </left>
      <right style="medium">
        <color indexed="64"/>
      </right>
      <top style="medium">
        <color indexed="64"/>
      </top>
      <bottom style="medium">
        <color indexed="64"/>
      </bottom>
      <diagonal/>
    </border>
  </borders>
  <cellStyleXfs count="5">
    <xf numFmtId="0" fontId="0" fillId="0" borderId="0"/>
    <xf numFmtId="43" fontId="1" fillId="0" borderId="0" applyFont="0" applyFill="0" applyBorder="0" applyAlignment="0" applyProtection="0"/>
    <xf numFmtId="44" fontId="1" fillId="0" borderId="0" applyFont="0" applyFill="0" applyBorder="0" applyAlignment="0" applyProtection="0"/>
    <xf numFmtId="9" fontId="1" fillId="0" borderId="0" applyFont="0" applyFill="0" applyBorder="0" applyAlignment="0" applyProtection="0"/>
    <xf numFmtId="0" fontId="9" fillId="0" borderId="0" applyNumberFormat="0" applyFill="0" applyBorder="0" applyAlignment="0" applyProtection="0"/>
  </cellStyleXfs>
  <cellXfs count="204">
    <xf numFmtId="0" fontId="0" fillId="0" borderId="0" xfId="0"/>
    <xf numFmtId="0" fontId="2" fillId="0" borderId="0" xfId="0" applyFont="1" applyAlignment="1">
      <alignment horizontal="center"/>
    </xf>
    <xf numFmtId="0" fontId="0" fillId="0" borderId="0" xfId="0" applyAlignment="1">
      <alignment horizontal="center"/>
    </xf>
    <xf numFmtId="166" fontId="0" fillId="0" borderId="0" xfId="1" applyNumberFormat="1" applyFont="1" applyFill="1" applyAlignment="1">
      <alignment horizontal="center"/>
    </xf>
    <xf numFmtId="43" fontId="0" fillId="0" borderId="0" xfId="1" applyFont="1" applyFill="1" applyAlignment="1">
      <alignment horizontal="center"/>
    </xf>
    <xf numFmtId="164" fontId="0" fillId="0" borderId="0" xfId="0" applyNumberFormat="1" applyAlignment="1">
      <alignment horizontal="center"/>
    </xf>
    <xf numFmtId="166" fontId="2" fillId="0" borderId="0" xfId="1" applyNumberFormat="1" applyFont="1" applyFill="1" applyAlignment="1">
      <alignment horizontal="center"/>
    </xf>
    <xf numFmtId="0" fontId="0" fillId="2" borderId="0" xfId="0" applyFill="1" applyAlignment="1">
      <alignment horizontal="center"/>
    </xf>
    <xf numFmtId="164" fontId="0" fillId="2" borderId="0" xfId="0" applyNumberFormat="1" applyFill="1" applyAlignment="1">
      <alignment horizontal="center"/>
    </xf>
    <xf numFmtId="0" fontId="7" fillId="0" borderId="0" xfId="0" applyFont="1" applyAlignment="1">
      <alignment horizontal="center"/>
    </xf>
    <xf numFmtId="166" fontId="7" fillId="0" borderId="0" xfId="1" applyNumberFormat="1" applyFont="1" applyFill="1" applyAlignment="1">
      <alignment horizontal="center"/>
    </xf>
    <xf numFmtId="43" fontId="7" fillId="0" borderId="0" xfId="1" applyFont="1" applyFill="1" applyAlignment="1">
      <alignment horizontal="center"/>
    </xf>
    <xf numFmtId="164" fontId="7" fillId="0" borderId="0" xfId="0" applyNumberFormat="1" applyFont="1" applyAlignment="1">
      <alignment horizontal="center"/>
    </xf>
    <xf numFmtId="0" fontId="8" fillId="0" borderId="0" xfId="0" applyFont="1" applyAlignment="1">
      <alignment horizontal="center"/>
    </xf>
    <xf numFmtId="0" fontId="6" fillId="0" borderId="0" xfId="0" applyFont="1"/>
    <xf numFmtId="0" fontId="4" fillId="0" borderId="0" xfId="0" applyFont="1" applyAlignment="1">
      <alignment horizontal="center"/>
    </xf>
    <xf numFmtId="0" fontId="6" fillId="2" borderId="0" xfId="0" applyFont="1" applyFill="1"/>
    <xf numFmtId="0" fontId="9" fillId="0" borderId="0" xfId="4"/>
    <xf numFmtId="0" fontId="1" fillId="0" borderId="0" xfId="0" applyFont="1"/>
    <xf numFmtId="0" fontId="2" fillId="0" borderId="3" xfId="0" applyFont="1" applyBorder="1" applyAlignment="1">
      <alignment horizontal="center"/>
    </xf>
    <xf numFmtId="0" fontId="2" fillId="0" borderId="4" xfId="0" applyFont="1" applyBorder="1" applyAlignment="1">
      <alignment horizontal="center"/>
    </xf>
    <xf numFmtId="0" fontId="1" fillId="0" borderId="3" xfId="0" applyFont="1" applyBorder="1"/>
    <xf numFmtId="0" fontId="1" fillId="0" borderId="4" xfId="0" applyFont="1" applyBorder="1"/>
    <xf numFmtId="0" fontId="1" fillId="0" borderId="5" xfId="0" applyFont="1" applyBorder="1"/>
    <xf numFmtId="0" fontId="1" fillId="0" borderId="6" xfId="0" applyFont="1" applyBorder="1"/>
    <xf numFmtId="10" fontId="0" fillId="0" borderId="0" xfId="0" applyNumberFormat="1" applyAlignment="1">
      <alignment horizontal="center"/>
    </xf>
    <xf numFmtId="10" fontId="0" fillId="0" borderId="0" xfId="3" applyNumberFormat="1" applyFont="1" applyAlignment="1">
      <alignment horizontal="center"/>
    </xf>
    <xf numFmtId="10" fontId="0" fillId="0" borderId="6" xfId="3" applyNumberFormat="1" applyFont="1" applyBorder="1" applyAlignment="1">
      <alignment horizontal="center"/>
    </xf>
    <xf numFmtId="0" fontId="0" fillId="0" borderId="7" xfId="0" applyBorder="1" applyAlignment="1">
      <alignment horizontal="left"/>
    </xf>
    <xf numFmtId="0" fontId="0" fillId="0" borderId="5" xfId="0" applyBorder="1"/>
    <xf numFmtId="10" fontId="0" fillId="0" borderId="4" xfId="3" applyNumberFormat="1" applyFont="1" applyBorder="1" applyAlignment="1">
      <alignment horizontal="center"/>
    </xf>
    <xf numFmtId="0" fontId="0" fillId="0" borderId="0" xfId="0" applyAlignment="1">
      <alignment horizontal="left"/>
    </xf>
    <xf numFmtId="0" fontId="0" fillId="0" borderId="3" xfId="0" applyBorder="1"/>
    <xf numFmtId="0" fontId="10" fillId="0" borderId="2" xfId="0" quotePrefix="1" applyFont="1" applyBorder="1" applyAlignment="1">
      <alignment horizontal="center"/>
    </xf>
    <xf numFmtId="169" fontId="10" fillId="0" borderId="8" xfId="0" applyNumberFormat="1" applyFont="1" applyBorder="1" applyAlignment="1">
      <alignment horizontal="center"/>
    </xf>
    <xf numFmtId="0" fontId="2" fillId="0" borderId="1" xfId="0" applyFont="1" applyBorder="1" applyAlignment="1">
      <alignment horizontal="center"/>
    </xf>
    <xf numFmtId="0" fontId="11" fillId="0" borderId="0" xfId="0" applyFont="1" applyAlignment="1">
      <alignment horizontal="center"/>
    </xf>
    <xf numFmtId="164" fontId="11" fillId="0" borderId="0" xfId="0" applyNumberFormat="1" applyFont="1" applyAlignment="1">
      <alignment horizontal="center"/>
    </xf>
    <xf numFmtId="166" fontId="11" fillId="0" borderId="0" xfId="1" applyNumberFormat="1" applyFont="1" applyFill="1" applyAlignment="1">
      <alignment horizontal="center"/>
    </xf>
    <xf numFmtId="168" fontId="0" fillId="2" borderId="0" xfId="1" applyNumberFormat="1" applyFont="1" applyFill="1" applyAlignment="1">
      <alignment horizontal="center"/>
    </xf>
    <xf numFmtId="0" fontId="0" fillId="0" borderId="9" xfId="0" applyBorder="1" applyAlignment="1">
      <alignment horizontal="center"/>
    </xf>
    <xf numFmtId="0" fontId="12" fillId="0" borderId="0" xfId="0" applyFont="1" applyAlignment="1">
      <alignment horizontal="center"/>
    </xf>
    <xf numFmtId="44" fontId="2" fillId="0" borderId="0" xfId="2" applyFont="1" applyFill="1" applyAlignment="1">
      <alignment horizontal="center"/>
    </xf>
    <xf numFmtId="165" fontId="0" fillId="0" borderId="0" xfId="2" applyNumberFormat="1" applyFont="1" applyFill="1" applyAlignment="1">
      <alignment horizontal="center"/>
    </xf>
    <xf numFmtId="44" fontId="0" fillId="0" borderId="0" xfId="2" applyFont="1" applyFill="1" applyAlignment="1">
      <alignment horizontal="center"/>
    </xf>
    <xf numFmtId="44" fontId="11" fillId="0" borderId="0" xfId="2" applyFont="1" applyFill="1" applyAlignment="1">
      <alignment horizontal="center"/>
    </xf>
    <xf numFmtId="167" fontId="0" fillId="2" borderId="0" xfId="0" applyNumberFormat="1" applyFill="1" applyAlignment="1">
      <alignment horizontal="center"/>
    </xf>
    <xf numFmtId="44" fontId="0" fillId="2" borderId="0" xfId="2" applyFont="1" applyFill="1" applyAlignment="1">
      <alignment horizontal="center"/>
    </xf>
    <xf numFmtId="44" fontId="7" fillId="0" borderId="0" xfId="2" applyFont="1" applyFill="1" applyAlignment="1">
      <alignment horizontal="center"/>
    </xf>
    <xf numFmtId="43" fontId="13" fillId="0" borderId="0" xfId="1" applyFont="1" applyFill="1" applyAlignment="1">
      <alignment horizontal="center"/>
    </xf>
    <xf numFmtId="0" fontId="13" fillId="0" borderId="0" xfId="0" applyFont="1" applyAlignment="1">
      <alignment horizontal="center"/>
    </xf>
    <xf numFmtId="44" fontId="13" fillId="0" borderId="0" xfId="2" applyFont="1" applyFill="1" applyAlignment="1">
      <alignment horizontal="center"/>
    </xf>
    <xf numFmtId="166" fontId="13" fillId="0" borderId="0" xfId="1" applyNumberFormat="1" applyFont="1" applyFill="1" applyAlignment="1">
      <alignment horizontal="center"/>
    </xf>
    <xf numFmtId="0" fontId="11" fillId="2" borderId="0" xfId="0" applyFont="1" applyFill="1" applyAlignment="1">
      <alignment horizontal="center"/>
    </xf>
    <xf numFmtId="166" fontId="0" fillId="2" borderId="0" xfId="1" applyNumberFormat="1" applyFont="1" applyFill="1" applyAlignment="1">
      <alignment horizontal="center"/>
    </xf>
    <xf numFmtId="165" fontId="0" fillId="2" borderId="0" xfId="2" applyNumberFormat="1" applyFont="1" applyFill="1" applyAlignment="1">
      <alignment horizontal="center"/>
    </xf>
    <xf numFmtId="43" fontId="0" fillId="2" borderId="0" xfId="1" applyFont="1" applyFill="1" applyAlignment="1">
      <alignment horizontal="center"/>
    </xf>
    <xf numFmtId="0" fontId="0" fillId="2" borderId="0" xfId="1" applyNumberFormat="1" applyFont="1" applyFill="1" applyAlignment="1">
      <alignment horizontal="center"/>
    </xf>
    <xf numFmtId="0" fontId="13" fillId="2" borderId="0" xfId="0" applyFont="1" applyFill="1" applyAlignment="1">
      <alignment horizontal="center"/>
    </xf>
    <xf numFmtId="0" fontId="7" fillId="2" borderId="0" xfId="0" applyFont="1" applyFill="1" applyAlignment="1">
      <alignment horizontal="center"/>
    </xf>
    <xf numFmtId="166" fontId="11" fillId="2" borderId="0" xfId="1" applyNumberFormat="1" applyFont="1" applyFill="1" applyAlignment="1">
      <alignment horizontal="center"/>
    </xf>
    <xf numFmtId="43" fontId="11" fillId="2" borderId="0" xfId="1" applyFont="1" applyFill="1" applyAlignment="1">
      <alignment horizontal="center"/>
    </xf>
    <xf numFmtId="43" fontId="13" fillId="2" borderId="0" xfId="1" applyFont="1" applyFill="1" applyAlignment="1">
      <alignment horizontal="center"/>
    </xf>
    <xf numFmtId="170" fontId="11" fillId="2" borderId="0" xfId="1" applyNumberFormat="1" applyFont="1" applyFill="1" applyAlignment="1">
      <alignment horizontal="center"/>
    </xf>
    <xf numFmtId="167" fontId="11" fillId="2" borderId="0" xfId="0" applyNumberFormat="1" applyFont="1" applyFill="1" applyAlignment="1">
      <alignment horizontal="center"/>
    </xf>
    <xf numFmtId="167" fontId="7" fillId="2" borderId="0" xfId="0" applyNumberFormat="1" applyFont="1" applyFill="1" applyAlignment="1">
      <alignment horizontal="center"/>
    </xf>
    <xf numFmtId="165" fontId="11" fillId="2" borderId="0" xfId="2" applyNumberFormat="1" applyFont="1" applyFill="1" applyAlignment="1">
      <alignment horizontal="center"/>
    </xf>
    <xf numFmtId="166" fontId="13" fillId="2" borderId="0" xfId="1" applyNumberFormat="1" applyFont="1" applyFill="1" applyAlignment="1">
      <alignment horizontal="center"/>
    </xf>
    <xf numFmtId="1" fontId="11" fillId="2" borderId="0" xfId="1" applyNumberFormat="1" applyFont="1" applyFill="1" applyAlignment="1">
      <alignment horizontal="center"/>
    </xf>
    <xf numFmtId="166" fontId="7" fillId="2" borderId="0" xfId="1" applyNumberFormat="1" applyFont="1" applyFill="1" applyAlignment="1">
      <alignment horizontal="center"/>
    </xf>
    <xf numFmtId="164" fontId="0" fillId="0" borderId="0" xfId="1" applyNumberFormat="1" applyFont="1" applyFill="1" applyAlignment="1">
      <alignment horizontal="center"/>
    </xf>
    <xf numFmtId="44" fontId="11" fillId="2" borderId="0" xfId="2" applyFont="1" applyFill="1" applyAlignment="1">
      <alignment horizontal="center"/>
    </xf>
    <xf numFmtId="44" fontId="13" fillId="2" borderId="0" xfId="2" applyFont="1" applyFill="1" applyAlignment="1">
      <alignment horizontal="center"/>
    </xf>
    <xf numFmtId="44" fontId="7" fillId="2" borderId="0" xfId="2" applyFont="1" applyFill="1" applyAlignment="1">
      <alignment horizontal="center"/>
    </xf>
    <xf numFmtId="171" fontId="0" fillId="0" borderId="0" xfId="3" applyNumberFormat="1" applyFont="1" applyFill="1" applyAlignment="1">
      <alignment horizontal="center"/>
    </xf>
    <xf numFmtId="0" fontId="14" fillId="0" borderId="0" xfId="0" applyFont="1" applyAlignment="1">
      <alignment horizontal="center"/>
    </xf>
    <xf numFmtId="0" fontId="6" fillId="0" borderId="0" xfId="0" applyFont="1" applyAlignment="1">
      <alignment horizontal="center"/>
    </xf>
    <xf numFmtId="0" fontId="0" fillId="0" borderId="2" xfId="0" applyBorder="1" applyAlignment="1">
      <alignment horizontal="center"/>
    </xf>
    <xf numFmtId="0" fontId="0" fillId="0" borderId="1" xfId="0" applyBorder="1" applyAlignment="1">
      <alignment horizontal="center"/>
    </xf>
    <xf numFmtId="0" fontId="0" fillId="0" borderId="8" xfId="0" applyBorder="1" applyAlignment="1">
      <alignment horizontal="center"/>
    </xf>
    <xf numFmtId="0" fontId="0" fillId="0" borderId="3" xfId="0" applyBorder="1" applyAlignment="1">
      <alignment horizontal="center"/>
    </xf>
    <xf numFmtId="0" fontId="0" fillId="0" borderId="4" xfId="0" applyBorder="1" applyAlignment="1">
      <alignment horizontal="center"/>
    </xf>
    <xf numFmtId="0" fontId="0" fillId="0" borderId="5" xfId="0" applyBorder="1" applyAlignment="1">
      <alignment horizontal="center"/>
    </xf>
    <xf numFmtId="0" fontId="0" fillId="0" borderId="7" xfId="0" applyBorder="1" applyAlignment="1">
      <alignment horizontal="center"/>
    </xf>
    <xf numFmtId="0" fontId="0" fillId="0" borderId="6" xfId="0" applyBorder="1" applyAlignment="1">
      <alignment horizontal="center"/>
    </xf>
    <xf numFmtId="0" fontId="2" fillId="0" borderId="10" xfId="0" applyFont="1" applyBorder="1" applyAlignment="1">
      <alignment horizontal="center"/>
    </xf>
    <xf numFmtId="0" fontId="2" fillId="0" borderId="11" xfId="0" applyFont="1" applyBorder="1" applyAlignment="1">
      <alignment horizontal="center"/>
    </xf>
    <xf numFmtId="43" fontId="0" fillId="0" borderId="0" xfId="1" applyFont="1" applyAlignment="1">
      <alignment horizontal="center"/>
    </xf>
    <xf numFmtId="43" fontId="1" fillId="0" borderId="3" xfId="1" quotePrefix="1" applyFont="1" applyBorder="1" applyAlignment="1">
      <alignment horizontal="center"/>
    </xf>
    <xf numFmtId="0" fontId="1" fillId="0" borderId="3" xfId="1" quotePrefix="1" applyNumberFormat="1" applyFont="1" applyBorder="1" applyAlignment="1">
      <alignment horizontal="center"/>
    </xf>
    <xf numFmtId="0" fontId="14" fillId="0" borderId="3" xfId="0" applyFont="1" applyBorder="1"/>
    <xf numFmtId="43" fontId="11" fillId="0" borderId="3" xfId="1" applyFont="1" applyBorder="1" applyAlignment="1">
      <alignment horizontal="center"/>
    </xf>
    <xf numFmtId="0" fontId="11" fillId="0" borderId="11" xfId="1" applyNumberFormat="1" applyFont="1" applyBorder="1" applyAlignment="1">
      <alignment horizontal="center"/>
    </xf>
    <xf numFmtId="0" fontId="11" fillId="0" borderId="3" xfId="0" applyFont="1" applyBorder="1" applyAlignment="1">
      <alignment horizontal="center"/>
    </xf>
    <xf numFmtId="0" fontId="11" fillId="0" borderId="4" xfId="0" applyFont="1" applyBorder="1" applyAlignment="1">
      <alignment horizontal="center"/>
    </xf>
    <xf numFmtId="0" fontId="14" fillId="0" borderId="1" xfId="0" applyFont="1" applyBorder="1"/>
    <xf numFmtId="43" fontId="11" fillId="0" borderId="1" xfId="1" applyFont="1" applyBorder="1" applyAlignment="1">
      <alignment horizontal="center"/>
    </xf>
    <xf numFmtId="0" fontId="11" fillId="0" borderId="10" xfId="1" applyNumberFormat="1" applyFont="1" applyBorder="1" applyAlignment="1">
      <alignment horizontal="center"/>
    </xf>
    <xf numFmtId="0" fontId="11" fillId="0" borderId="3" xfId="1" quotePrefix="1" applyNumberFormat="1" applyFont="1" applyBorder="1" applyAlignment="1">
      <alignment horizontal="center"/>
    </xf>
    <xf numFmtId="0" fontId="11" fillId="3" borderId="3" xfId="0" applyFont="1" applyFill="1" applyBorder="1" applyAlignment="1">
      <alignment horizontal="center"/>
    </xf>
    <xf numFmtId="0" fontId="16" fillId="3" borderId="3" xfId="0" applyFont="1" applyFill="1" applyBorder="1" applyAlignment="1">
      <alignment horizontal="center"/>
    </xf>
    <xf numFmtId="0" fontId="17" fillId="0" borderId="0" xfId="0" applyFont="1" applyAlignment="1">
      <alignment horizontal="center"/>
    </xf>
    <xf numFmtId="43" fontId="17" fillId="0" borderId="3" xfId="1" applyFont="1" applyBorder="1" applyAlignment="1">
      <alignment horizontal="center"/>
    </xf>
    <xf numFmtId="0" fontId="17" fillId="0" borderId="3" xfId="1" quotePrefix="1" applyNumberFormat="1" applyFont="1" applyBorder="1" applyAlignment="1">
      <alignment horizontal="center"/>
    </xf>
    <xf numFmtId="0" fontId="18" fillId="3" borderId="3" xfId="0" applyFont="1" applyFill="1" applyBorder="1" applyAlignment="1">
      <alignment horizontal="center"/>
    </xf>
    <xf numFmtId="0" fontId="17" fillId="0" borderId="3" xfId="0" applyFont="1" applyBorder="1" applyAlignment="1">
      <alignment horizontal="center"/>
    </xf>
    <xf numFmtId="0" fontId="17" fillId="0" borderId="4" xfId="0" applyFont="1" applyBorder="1" applyAlignment="1">
      <alignment horizontal="center"/>
    </xf>
    <xf numFmtId="0" fontId="17" fillId="0" borderId="3" xfId="0" applyFont="1" applyBorder="1"/>
    <xf numFmtId="0" fontId="16" fillId="3" borderId="7" xfId="0" applyFont="1" applyFill="1" applyBorder="1" applyAlignment="1">
      <alignment horizontal="center"/>
    </xf>
    <xf numFmtId="0" fontId="19" fillId="0" borderId="3" xfId="0" applyFont="1" applyBorder="1"/>
    <xf numFmtId="0" fontId="20" fillId="0" borderId="3" xfId="0" applyFont="1" applyBorder="1"/>
    <xf numFmtId="43" fontId="17" fillId="0" borderId="0" xfId="1" applyFont="1" applyFill="1" applyAlignment="1">
      <alignment horizontal="center"/>
    </xf>
    <xf numFmtId="0" fontId="21" fillId="0" borderId="0" xfId="0" applyFont="1" applyAlignment="1">
      <alignment horizontal="center"/>
    </xf>
    <xf numFmtId="44" fontId="17" fillId="0" borderId="0" xfId="2" applyFont="1" applyFill="1" applyAlignment="1">
      <alignment horizontal="center"/>
    </xf>
    <xf numFmtId="0" fontId="17" fillId="2" borderId="0" xfId="0" applyFont="1" applyFill="1" applyAlignment="1">
      <alignment horizontal="center"/>
    </xf>
    <xf numFmtId="44" fontId="17" fillId="2" borderId="0" xfId="2" applyFont="1" applyFill="1" applyAlignment="1">
      <alignment horizontal="center"/>
    </xf>
    <xf numFmtId="166" fontId="17" fillId="0" borderId="0" xfId="1" applyNumberFormat="1" applyFont="1" applyFill="1" applyAlignment="1">
      <alignment horizontal="center"/>
    </xf>
    <xf numFmtId="164" fontId="17" fillId="0" borderId="0" xfId="1" applyNumberFormat="1" applyFont="1" applyFill="1" applyAlignment="1">
      <alignment horizontal="center"/>
    </xf>
    <xf numFmtId="0" fontId="17" fillId="0" borderId="0" xfId="0" applyFont="1"/>
    <xf numFmtId="0" fontId="5" fillId="0" borderId="3" xfId="0" applyFont="1" applyBorder="1"/>
    <xf numFmtId="0" fontId="11" fillId="3" borderId="3" xfId="0" applyFont="1" applyFill="1" applyBorder="1"/>
    <xf numFmtId="0" fontId="15" fillId="0" borderId="0" xfId="0" applyFont="1" applyAlignment="1">
      <alignment horizontal="center"/>
    </xf>
    <xf numFmtId="43" fontId="2" fillId="0" borderId="10" xfId="1" applyFont="1" applyBorder="1" applyAlignment="1">
      <alignment horizontal="center"/>
    </xf>
    <xf numFmtId="0" fontId="15" fillId="0" borderId="3" xfId="0" applyFont="1" applyBorder="1" applyAlignment="1">
      <alignment horizontal="center"/>
    </xf>
    <xf numFmtId="0" fontId="11" fillId="3" borderId="8" xfId="0" applyFont="1" applyFill="1" applyBorder="1" applyAlignment="1">
      <alignment horizontal="center"/>
    </xf>
    <xf numFmtId="0" fontId="11" fillId="3" borderId="7" xfId="0" applyFont="1" applyFill="1" applyBorder="1" applyAlignment="1">
      <alignment horizontal="center"/>
    </xf>
    <xf numFmtId="0" fontId="16" fillId="0" borderId="1" xfId="0" applyFont="1" applyBorder="1" applyAlignment="1">
      <alignment horizontal="center"/>
    </xf>
    <xf numFmtId="0" fontId="16" fillId="0" borderId="8" xfId="0" applyFont="1" applyBorder="1" applyAlignment="1">
      <alignment horizontal="center"/>
    </xf>
    <xf numFmtId="0" fontId="16" fillId="0" borderId="3" xfId="0" applyFont="1" applyBorder="1" applyAlignment="1">
      <alignment horizontal="center"/>
    </xf>
    <xf numFmtId="0" fontId="16" fillId="0" borderId="3" xfId="0" applyFont="1" applyBorder="1"/>
    <xf numFmtId="0" fontId="6" fillId="0" borderId="12" xfId="0" applyFont="1" applyBorder="1" applyAlignment="1">
      <alignment horizontal="center"/>
    </xf>
    <xf numFmtId="0" fontId="11" fillId="0" borderId="5" xfId="0" applyFont="1" applyBorder="1" applyAlignment="1">
      <alignment horizontal="center"/>
    </xf>
    <xf numFmtId="0" fontId="11" fillId="0" borderId="7" xfId="0" applyFont="1" applyBorder="1" applyAlignment="1">
      <alignment horizontal="center"/>
    </xf>
    <xf numFmtId="0" fontId="11" fillId="0" borderId="6" xfId="0" applyFont="1" applyBorder="1" applyAlignment="1">
      <alignment horizontal="center"/>
    </xf>
    <xf numFmtId="0" fontId="16" fillId="3" borderId="0" xfId="0" applyFont="1" applyFill="1" applyAlignment="1">
      <alignment horizontal="center"/>
    </xf>
    <xf numFmtId="0" fontId="11" fillId="3" borderId="0" xfId="0" applyFont="1" applyFill="1" applyAlignment="1">
      <alignment horizontal="center"/>
    </xf>
    <xf numFmtId="0" fontId="16" fillId="0" borderId="0" xfId="0" applyFont="1" applyAlignment="1">
      <alignment horizontal="center"/>
    </xf>
    <xf numFmtId="0" fontId="18" fillId="3" borderId="0" xfId="0" applyFont="1" applyFill="1" applyAlignment="1">
      <alignment horizontal="center"/>
    </xf>
    <xf numFmtId="0" fontId="14" fillId="0" borderId="5" xfId="0" applyFont="1" applyBorder="1"/>
    <xf numFmtId="43" fontId="11" fillId="0" borderId="5" xfId="1" applyFont="1" applyBorder="1" applyAlignment="1">
      <alignment horizontal="center"/>
    </xf>
    <xf numFmtId="0" fontId="11" fillId="0" borderId="12" xfId="1" applyNumberFormat="1" applyFont="1" applyBorder="1" applyAlignment="1">
      <alignment horizontal="center"/>
    </xf>
    <xf numFmtId="10" fontId="0" fillId="2" borderId="0" xfId="2" applyNumberFormat="1" applyFont="1" applyFill="1" applyAlignment="1">
      <alignment horizontal="center"/>
    </xf>
    <xf numFmtId="171" fontId="0" fillId="0" borderId="0" xfId="2" applyNumberFormat="1" applyFont="1" applyFill="1" applyAlignment="1">
      <alignment horizontal="center"/>
    </xf>
    <xf numFmtId="164" fontId="0" fillId="2" borderId="0" xfId="1" applyNumberFormat="1" applyFont="1" applyFill="1" applyAlignment="1">
      <alignment horizontal="center"/>
    </xf>
    <xf numFmtId="0" fontId="24" fillId="0" borderId="0" xfId="0" applyFont="1" applyAlignment="1">
      <alignment vertical="center"/>
    </xf>
    <xf numFmtId="0" fontId="24" fillId="0" borderId="0" xfId="0" applyFont="1" applyAlignment="1">
      <alignment vertical="center" wrapText="1"/>
    </xf>
    <xf numFmtId="0" fontId="23" fillId="0" borderId="0" xfId="0" applyFont="1" applyAlignment="1">
      <alignment vertical="center"/>
    </xf>
    <xf numFmtId="0" fontId="22" fillId="0" borderId="0" xfId="0" applyFont="1" applyAlignment="1">
      <alignment vertical="center"/>
    </xf>
    <xf numFmtId="0" fontId="23" fillId="0" borderId="13" xfId="0" applyFont="1" applyBorder="1" applyAlignment="1">
      <alignment vertical="center" wrapText="1"/>
    </xf>
    <xf numFmtId="0" fontId="22" fillId="0" borderId="13" xfId="0" applyFont="1" applyBorder="1" applyAlignment="1">
      <alignment vertical="center" wrapText="1"/>
    </xf>
    <xf numFmtId="0" fontId="0" fillId="2" borderId="0" xfId="0" applyFill="1"/>
    <xf numFmtId="0" fontId="11" fillId="0" borderId="0" xfId="1" applyNumberFormat="1" applyFont="1" applyFill="1" applyAlignment="1">
      <alignment horizontal="center"/>
    </xf>
    <xf numFmtId="43" fontId="25" fillId="0" borderId="0" xfId="1" applyFont="1" applyFill="1" applyAlignment="1">
      <alignment horizontal="center"/>
    </xf>
    <xf numFmtId="0" fontId="25" fillId="0" borderId="0" xfId="0" applyFont="1" applyAlignment="1">
      <alignment horizontal="center"/>
    </xf>
    <xf numFmtId="166" fontId="25" fillId="0" borderId="0" xfId="1" applyNumberFormat="1" applyFont="1" applyFill="1" applyAlignment="1">
      <alignment horizontal="center"/>
    </xf>
    <xf numFmtId="44" fontId="25" fillId="0" borderId="0" xfId="2" applyFont="1" applyFill="1" applyAlignment="1">
      <alignment horizontal="center"/>
    </xf>
    <xf numFmtId="164" fontId="25" fillId="0" borderId="0" xfId="1" applyNumberFormat="1" applyFont="1" applyFill="1" applyAlignment="1">
      <alignment horizontal="center"/>
    </xf>
    <xf numFmtId="164" fontId="25" fillId="0" borderId="0" xfId="0" applyNumberFormat="1" applyFont="1" applyAlignment="1">
      <alignment horizontal="center"/>
    </xf>
    <xf numFmtId="0" fontId="0" fillId="0" borderId="0" xfId="0" applyAlignment="1">
      <alignment horizontal="center" wrapText="1"/>
    </xf>
    <xf numFmtId="0" fontId="25" fillId="0" borderId="0" xfId="0" applyFont="1" applyAlignment="1">
      <alignment horizontal="center" wrapText="1"/>
    </xf>
    <xf numFmtId="43" fontId="26" fillId="0" borderId="0" xfId="1" applyFont="1" applyFill="1" applyAlignment="1">
      <alignment horizontal="center"/>
    </xf>
    <xf numFmtId="0" fontId="26" fillId="0" borderId="0" xfId="0" applyFont="1" applyAlignment="1">
      <alignment horizontal="center"/>
    </xf>
    <xf numFmtId="0" fontId="26" fillId="0" borderId="0" xfId="1" applyNumberFormat="1" applyFont="1" applyFill="1" applyAlignment="1">
      <alignment horizontal="center"/>
    </xf>
    <xf numFmtId="166" fontId="26" fillId="0" borderId="0" xfId="1" applyNumberFormat="1" applyFont="1" applyFill="1" applyAlignment="1">
      <alignment horizontal="center"/>
    </xf>
    <xf numFmtId="165" fontId="26" fillId="0" borderId="0" xfId="2" applyNumberFormat="1" applyFont="1" applyFill="1" applyAlignment="1">
      <alignment horizontal="center"/>
    </xf>
    <xf numFmtId="164" fontId="26" fillId="0" borderId="0" xfId="1" applyNumberFormat="1" applyFont="1" applyFill="1" applyAlignment="1">
      <alignment horizontal="center"/>
    </xf>
    <xf numFmtId="44" fontId="26" fillId="0" borderId="0" xfId="2" applyFont="1" applyFill="1" applyAlignment="1">
      <alignment horizontal="center"/>
    </xf>
    <xf numFmtId="0" fontId="26" fillId="0" borderId="0" xfId="1" applyNumberFormat="1" applyFont="1" applyAlignment="1">
      <alignment horizontal="center"/>
    </xf>
    <xf numFmtId="43" fontId="27" fillId="0" borderId="0" xfId="1" applyFont="1" applyFill="1" applyAlignment="1">
      <alignment horizontal="center"/>
    </xf>
    <xf numFmtId="0" fontId="28" fillId="0" borderId="0" xfId="0" applyFont="1"/>
    <xf numFmtId="0" fontId="28" fillId="0" borderId="0" xfId="0" applyFont="1" applyAlignment="1">
      <alignment horizontal="left"/>
    </xf>
    <xf numFmtId="0" fontId="29" fillId="0" borderId="0" xfId="0" applyFont="1" applyAlignment="1">
      <alignment horizontal="left"/>
    </xf>
    <xf numFmtId="0" fontId="28" fillId="0" borderId="0" xfId="0" applyFont="1" applyAlignment="1">
      <alignment horizontal="center"/>
    </xf>
    <xf numFmtId="1" fontId="29" fillId="0" borderId="0" xfId="0" applyNumberFormat="1" applyFont="1" applyAlignment="1">
      <alignment horizontal="center"/>
    </xf>
    <xf numFmtId="0" fontId="30" fillId="0" borderId="0" xfId="0" applyFont="1"/>
    <xf numFmtId="0" fontId="29" fillId="0" borderId="0" xfId="0" applyFont="1"/>
    <xf numFmtId="10" fontId="0" fillId="0" borderId="0" xfId="3" applyNumberFormat="1" applyFont="1" applyBorder="1" applyAlignment="1">
      <alignment horizontal="center"/>
    </xf>
    <xf numFmtId="14" fontId="0" fillId="0" borderId="0" xfId="2" applyNumberFormat="1" applyFont="1" applyAlignment="1">
      <alignment horizontal="center"/>
    </xf>
    <xf numFmtId="173" fontId="0" fillId="0" borderId="0" xfId="2" applyNumberFormat="1" applyFont="1" applyAlignment="1">
      <alignment horizontal="center"/>
    </xf>
    <xf numFmtId="166" fontId="0" fillId="0" borderId="0" xfId="1" applyNumberFormat="1" applyFont="1"/>
    <xf numFmtId="10" fontId="0" fillId="0" borderId="0" xfId="3" applyNumberFormat="1" applyFont="1" applyBorder="1"/>
    <xf numFmtId="10" fontId="11" fillId="0" borderId="0" xfId="3" applyNumberFormat="1" applyFont="1" applyFill="1" applyBorder="1"/>
    <xf numFmtId="14" fontId="0" fillId="0" borderId="0" xfId="2" applyNumberFormat="1" applyFont="1"/>
    <xf numFmtId="173" fontId="0" fillId="0" borderId="0" xfId="2" applyNumberFormat="1" applyFont="1"/>
    <xf numFmtId="14" fontId="0" fillId="0" borderId="0" xfId="0" applyNumberFormat="1"/>
    <xf numFmtId="10" fontId="17" fillId="0" borderId="0" xfId="3" applyNumberFormat="1" applyFont="1" applyBorder="1"/>
    <xf numFmtId="10" fontId="21" fillId="0" borderId="0" xfId="3" applyNumberFormat="1" applyFont="1" applyFill="1" applyBorder="1"/>
    <xf numFmtId="14" fontId="17" fillId="0" borderId="0" xfId="2" applyNumberFormat="1" applyFont="1"/>
    <xf numFmtId="173" fontId="17" fillId="0" borderId="0" xfId="2" applyNumberFormat="1" applyFont="1"/>
    <xf numFmtId="166" fontId="17" fillId="0" borderId="0" xfId="1" applyNumberFormat="1" applyFont="1"/>
    <xf numFmtId="14" fontId="17" fillId="0" borderId="0" xfId="0" applyNumberFormat="1" applyFont="1"/>
    <xf numFmtId="0" fontId="32" fillId="0" borderId="0" xfId="0" applyFont="1" applyAlignment="1">
      <alignment horizontal="left"/>
    </xf>
    <xf numFmtId="0" fontId="33" fillId="0" borderId="0" xfId="0" applyFont="1" applyAlignment="1">
      <alignment horizontal="left"/>
    </xf>
    <xf numFmtId="0" fontId="29" fillId="0" borderId="0" xfId="0" applyFont="1" applyAlignment="1">
      <alignment horizontal="center"/>
    </xf>
    <xf numFmtId="171" fontId="29" fillId="0" borderId="0" xfId="3" applyNumberFormat="1" applyFont="1" applyFill="1" applyBorder="1" applyAlignment="1">
      <alignment horizontal="center"/>
    </xf>
    <xf numFmtId="0" fontId="31" fillId="4" borderId="10" xfId="0" applyFont="1" applyFill="1" applyBorder="1"/>
    <xf numFmtId="0" fontId="31" fillId="4" borderId="12" xfId="0" applyFont="1" applyFill="1" applyBorder="1"/>
    <xf numFmtId="172" fontId="28" fillId="0" borderId="14" xfId="0" applyNumberFormat="1" applyFont="1" applyBorder="1" applyAlignment="1">
      <alignment horizontal="center"/>
    </xf>
    <xf numFmtId="0" fontId="6" fillId="0" borderId="1" xfId="0" applyFont="1" applyBorder="1" applyAlignment="1">
      <alignment horizontal="center"/>
    </xf>
    <xf numFmtId="0" fontId="6" fillId="0" borderId="2" xfId="0" applyFont="1" applyBorder="1" applyAlignment="1">
      <alignment horizontal="center"/>
    </xf>
    <xf numFmtId="0" fontId="22" fillId="0" borderId="0" xfId="0" applyFont="1" applyAlignment="1">
      <alignment horizontal="left" vertical="center" wrapText="1"/>
    </xf>
    <xf numFmtId="0" fontId="2" fillId="0" borderId="1" xfId="0" applyFont="1" applyBorder="1" applyAlignment="1">
      <alignment horizontal="center"/>
    </xf>
    <xf numFmtId="0" fontId="2" fillId="0" borderId="8" xfId="0" applyFont="1" applyBorder="1" applyAlignment="1">
      <alignment horizontal="center"/>
    </xf>
    <xf numFmtId="0" fontId="2" fillId="0" borderId="2" xfId="0" applyFont="1" applyBorder="1" applyAlignment="1">
      <alignment horizontal="center"/>
    </xf>
  </cellXfs>
  <cellStyles count="5">
    <cellStyle name="Comma" xfId="1" builtinId="3"/>
    <cellStyle name="Currency" xfId="2" builtinId="4"/>
    <cellStyle name="Hyperlink" xfId="4" builtinId="8"/>
    <cellStyle name="Normal" xfId="0" builtinId="0"/>
    <cellStyle name="Percent" xfId="3" builtinId="5"/>
  </cellStyles>
  <dxfs count="7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1" tint="0.499984740745262"/>
      </font>
    </dxf>
    <dxf>
      <font>
        <color theme="1"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b val="0"/>
        <i val="0"/>
        <strike val="0"/>
        <condense val="0"/>
        <extend val="0"/>
        <outline val="0"/>
        <shadow val="0"/>
        <u val="none"/>
        <vertAlign val="baseline"/>
        <sz val="11"/>
        <color theme="1"/>
        <name val="Aptos Narrow"/>
        <family val="2"/>
        <scheme val="minor"/>
      </font>
      <numFmt numFmtId="166" formatCode="_(* #,##0_);_(* \(#,##0\);_(* &quot;-&quot;??_);_(@_)"/>
    </dxf>
    <dxf>
      <font>
        <b val="0"/>
        <i val="0"/>
        <strike val="0"/>
        <condense val="0"/>
        <extend val="0"/>
        <outline val="0"/>
        <shadow val="0"/>
        <u val="none"/>
        <vertAlign val="baseline"/>
        <sz val="11"/>
        <color theme="1"/>
        <name val="Aptos Narrow"/>
        <family val="2"/>
        <scheme val="minor"/>
      </font>
      <numFmt numFmtId="173" formatCode="_(&quot;$&quot;* #,##0.000000_);_(&quot;$&quot;* \(#,##0.000000\);_(&quot;$&quot;* &quot;-&quot;??_);_(@_)"/>
    </dxf>
    <dxf>
      <font>
        <b val="0"/>
        <i val="0"/>
        <strike val="0"/>
        <condense val="0"/>
        <extend val="0"/>
        <outline val="0"/>
        <shadow val="0"/>
        <u val="none"/>
        <vertAlign val="baseline"/>
        <sz val="11"/>
        <color theme="1"/>
        <name val="Aptos Narrow"/>
        <family val="2"/>
        <scheme val="minor"/>
      </font>
      <numFmt numFmtId="19" formatCode="m/d/yyyy"/>
    </dxf>
    <dxf>
      <font>
        <b val="0"/>
        <i val="0"/>
        <strike val="0"/>
        <condense val="0"/>
        <extend val="0"/>
        <outline val="0"/>
        <shadow val="0"/>
        <u val="none"/>
        <vertAlign val="baseline"/>
        <sz val="11"/>
        <color auto="1"/>
        <name val="Aptos Narrow"/>
        <family val="2"/>
        <scheme val="minor"/>
      </font>
      <numFmt numFmtId="14" formatCode="0.00%"/>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numFmt numFmtId="14" formatCode="0.00%"/>
    </dxf>
    <dxf>
      <font>
        <b val="0"/>
        <i val="0"/>
        <strike val="0"/>
        <condense val="0"/>
        <extend val="0"/>
        <outline val="0"/>
        <shadow val="0"/>
        <u val="none"/>
        <vertAlign val="baseline"/>
        <sz val="11"/>
        <color auto="1"/>
        <name val="Arial"/>
        <family val="2"/>
        <scheme val="none"/>
      </font>
      <alignment horizontal="center" vertical="bottom" textRotation="0" wrapText="0" indent="0" justifyLastLine="0" shrinkToFit="0" readingOrder="0"/>
    </dxf>
    <dxf>
      <font>
        <b val="0"/>
        <i val="0"/>
        <strike val="0"/>
        <condense val="0"/>
        <extend val="0"/>
        <outline val="0"/>
        <shadow val="0"/>
        <u val="none"/>
        <vertAlign val="baseline"/>
        <sz val="11"/>
        <color auto="1"/>
        <name val="Arial"/>
        <family val="2"/>
        <scheme val="none"/>
      </font>
      <alignment horizontal="center" vertical="bottom" textRotation="0" wrapText="0" indent="0" justifyLastLine="0" shrinkToFit="0" readingOrder="0"/>
    </dxf>
    <dxf>
      <font>
        <b val="0"/>
        <i val="0"/>
        <strike val="0"/>
        <condense val="0"/>
        <extend val="0"/>
        <outline val="0"/>
        <shadow val="0"/>
        <u val="none"/>
        <vertAlign val="baseline"/>
        <sz val="11"/>
        <color auto="1"/>
        <name val="Arial"/>
        <family val="2"/>
        <scheme val="none"/>
      </font>
      <alignment horizontal="center" vertical="bottom" textRotation="0" wrapText="0" indent="0" justifyLastLine="0" shrinkToFit="0" readingOrder="0"/>
    </dxf>
    <dxf>
      <font>
        <b val="0"/>
        <i val="0"/>
        <strike val="0"/>
        <condense val="0"/>
        <extend val="0"/>
        <outline val="0"/>
        <shadow val="0"/>
        <u val="none"/>
        <vertAlign val="baseline"/>
        <sz val="11"/>
        <color auto="1"/>
        <name val="Arial"/>
        <family val="2"/>
        <scheme val="none"/>
      </font>
      <alignment horizontal="center" vertical="bottom" textRotation="0" wrapText="0" indent="0" justifyLastLine="0" shrinkToFit="0" readingOrder="0"/>
    </dxf>
    <dxf>
      <font>
        <b/>
        <i val="0"/>
        <strike val="0"/>
        <condense val="0"/>
        <extend val="0"/>
        <outline val="0"/>
        <shadow val="0"/>
        <u val="none"/>
        <vertAlign val="baseline"/>
        <sz val="11"/>
        <color auto="1"/>
        <name val="Arial"/>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auto="1"/>
        <name val="Arial"/>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fill>
        <patternFill>
          <fgColor indexed="64"/>
          <bgColor rgb="FFFFFF00"/>
        </patternFill>
      </fill>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66" formatCode="_(* #,##0_);_(* \(#,##0\);_(* &quot;-&quot;??_);_(@_)"/>
      <fill>
        <patternFill patternType="none">
          <fgColor indexed="64"/>
          <bgColor indexed="65"/>
        </patternFill>
      </fill>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66" formatCode="_(* #,##0_);_(* \(#,##0\);_(* &quot;-&quot;??_);_(@_)"/>
      <fill>
        <patternFill patternType="none">
          <fgColor indexed="64"/>
          <bgColor indexed="65"/>
        </patternFill>
      </fill>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66" formatCode="_(* #,##0_);_(* \(#,##0\);_(* &quot;-&quot;??_);_(@_)"/>
      <fill>
        <patternFill patternType="none">
          <fgColor indexed="64"/>
          <bgColor indexed="65"/>
        </patternFill>
      </fill>
      <alignment horizontal="center" vertical="bottom" textRotation="0" wrapText="0" indent="0" justifyLastLine="0" shrinkToFit="0" readingOrder="0"/>
    </dxf>
    <dxf>
      <fill>
        <patternFill>
          <fgColor indexed="64"/>
          <bgColor rgb="FFFFFF00"/>
        </patternFill>
      </fill>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rgb="FFFFFF00"/>
        </patternFill>
      </fill>
      <alignment horizontal="center" vertical="bottom" textRotation="0" wrapText="0" indent="0" justifyLastLine="0" shrinkToFit="0" readingOrder="0"/>
    </dxf>
    <dxf>
      <fill>
        <patternFill>
          <fgColor indexed="64"/>
          <bgColor rgb="FFFFFF00"/>
        </patternFill>
      </fill>
      <alignment horizontal="center" vertical="bottom" textRotation="0" wrapText="0" indent="0" justifyLastLine="0" shrinkToFit="0" readingOrder="0"/>
    </dxf>
    <dxf>
      <fill>
        <patternFill patternType="solid">
          <fgColor indexed="64"/>
          <bgColor rgb="FFFFFF00"/>
        </patternFill>
      </fill>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rgb="FFFFFF00"/>
        </patternFill>
      </fill>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solid">
          <fgColor indexed="64"/>
          <bgColor rgb="FFFFFF00"/>
        </patternFill>
      </fill>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solid">
          <fgColor indexed="64"/>
          <bgColor rgb="FFFFFF00"/>
        </patternFill>
      </fill>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solid">
          <fgColor indexed="64"/>
          <bgColor rgb="FFFFFF00"/>
        </patternFill>
      </fill>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solid">
          <fgColor indexed="64"/>
          <bgColor rgb="FFFFFF00"/>
        </patternFill>
      </fill>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solid">
          <fgColor indexed="64"/>
          <bgColor rgb="FFFFFF00"/>
        </patternFill>
      </fill>
      <alignment horizontal="center" vertical="bottom" textRotation="0" wrapText="0" indent="0" justifyLastLine="0" shrinkToFit="0" readingOrder="0"/>
    </dxf>
    <dxf>
      <alignment horizontal="center" vertical="bottom" textRotation="0" wrapText="0" indent="0" justifyLastLine="0" shrinkToFit="0" readingOrder="0"/>
    </dxf>
    <dxf>
      <font>
        <b val="0"/>
        <i val="0"/>
        <strike val="0"/>
        <condense val="0"/>
        <extend val="0"/>
        <outline val="0"/>
        <shadow val="0"/>
        <u val="none"/>
        <vertAlign val="baseline"/>
        <sz val="11"/>
        <color auto="1"/>
        <name val="Aptos Narrow"/>
        <family val="2"/>
        <scheme val="minor"/>
      </font>
      <fill>
        <patternFill patternType="solid">
          <fgColor indexed="64"/>
          <bgColor rgb="FFFFFF00"/>
        </patternFill>
      </fill>
      <alignment horizontal="center" vertical="bottom" textRotation="0" wrapText="0" indent="0" justifyLastLine="0" shrinkToFit="0" readingOrder="0"/>
    </dxf>
    <dxf>
      <font>
        <b val="0"/>
        <i val="0"/>
        <strike val="0"/>
        <condense val="0"/>
        <extend val="0"/>
        <outline val="0"/>
        <shadow val="0"/>
        <u val="none"/>
        <vertAlign val="baseline"/>
        <sz val="11"/>
        <color auto="1"/>
        <name val="Aptos Narrow"/>
        <family val="2"/>
        <scheme val="minor"/>
      </font>
      <fill>
        <patternFill patternType="solid">
          <fgColor indexed="64"/>
          <bgColor rgb="FFFFFF00"/>
        </patternFill>
      </fill>
      <alignment horizontal="center" vertical="bottom" textRotation="0" wrapText="0" indent="0" justifyLastLine="0" shrinkToFit="0" readingOrder="0"/>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dxf>
    <dxf>
      <alignment horizontal="center" vertical="bottom" textRotation="0" wrapText="0" indent="0" justifyLastLine="0" shrinkToFit="0" readingOrder="0"/>
    </dxf>
    <dxf>
      <font>
        <strike val="0"/>
        <outline val="0"/>
        <shadow val="0"/>
        <u val="none"/>
        <vertAlign val="baseline"/>
        <sz val="11"/>
        <color theme="0"/>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66" formatCode="_(* #,##0_);_(* \(#,##0\);_(* &quot;-&quot;??_);_(@_)"/>
      <fill>
        <patternFill patternType="none">
          <fgColor indexed="64"/>
          <bgColor indexed="65"/>
        </patternFill>
      </fill>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66" formatCode="_(* #,##0_);_(* \(#,##0\);_(* &quot;-&quot;??_);_(@_)"/>
      <fill>
        <patternFill patternType="none">
          <fgColor indexed="64"/>
          <bgColor indexed="65"/>
        </patternFill>
      </fill>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66" formatCode="_(* #,##0_);_(* \(#,##0\);_(* &quot;-&quot;??_);_(@_)"/>
      <fill>
        <patternFill patternType="none">
          <fgColor indexed="64"/>
          <bgColor indexed="65"/>
        </patternFill>
      </fill>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alignment horizontal="center" vertical="bottom" textRotation="0" wrapText="0" indent="0" justifyLastLine="0" shrinkToFit="0" readingOrder="0"/>
    </dxf>
    <dxf>
      <numFmt numFmtId="166" formatCode="_(* #,##0_);_(* \(#,##0\);_(* &quot;-&quot;??_);_(@_)"/>
      <fill>
        <patternFill patternType="none">
          <fgColor indexed="64"/>
          <bgColor indexed="65"/>
        </patternFill>
      </fill>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66" formatCode="_(* #,##0_);_(* \(#,##0\);_(* &quot;-&quot;??_);_(@_)"/>
      <fill>
        <patternFill patternType="none">
          <fgColor indexed="64"/>
          <bgColor indexed="65"/>
        </patternFill>
      </fill>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66" formatCode="_(* #,##0_);_(* \(#,##0\);_(* &quot;-&quot;??_);_(@_)"/>
      <fill>
        <patternFill patternType="none">
          <fgColor indexed="64"/>
          <bgColor indexed="65"/>
        </patternFill>
      </fill>
      <alignment horizontal="center" vertical="bottom" textRotation="0" wrapText="0" indent="0" justifyLastLine="0" shrinkToFit="0" readingOrder="0"/>
    </dxf>
    <dxf>
      <font>
        <color auto="1"/>
      </font>
      <fill>
        <patternFill patternType="none">
          <fgColor indexed="64"/>
          <bgColor indexed="65"/>
        </patternFill>
      </fill>
      <alignment horizontal="center" vertical="bottom" textRotation="0" wrapText="0" indent="0" justifyLastLine="0" shrinkToFit="0" readingOrder="0"/>
    </dxf>
    <dxf>
      <alignment horizontal="center" vertical="bottom" textRotation="0" wrapText="0" indent="0" justifyLastLine="0" shrinkToFit="0" readingOrder="0"/>
    </dxf>
    <dxf>
      <font>
        <color auto="1"/>
      </font>
      <numFmt numFmtId="0" formatCode="General"/>
      <fill>
        <patternFill patternType="none">
          <fgColor indexed="64"/>
          <bgColor indexed="65"/>
        </patternFill>
      </fill>
      <alignment horizontal="center" vertical="bottom" textRotation="0" wrapText="0" indent="0" justifyLastLine="0" shrinkToFit="0" readingOrder="0"/>
    </dxf>
    <dxf>
      <fill>
        <patternFill patternType="none">
          <fgColor indexed="64"/>
          <bgColor indexed="65"/>
        </patternFill>
      </fill>
      <alignment horizontal="center" vertical="bottom" textRotation="0" wrapText="0" indent="0" justifyLastLine="0" shrinkToFit="0" readingOrder="0"/>
    </dxf>
    <dxf>
      <font>
        <b val="0"/>
        <i val="0"/>
        <strike val="0"/>
        <condense val="0"/>
        <extend val="0"/>
        <outline val="0"/>
        <shadow val="0"/>
        <u val="none"/>
        <vertAlign val="baseline"/>
        <sz val="11"/>
        <color theme="5" tint="-0.499984740745262"/>
        <name val="Aptos Narrow"/>
        <family val="2"/>
        <scheme val="minor"/>
      </font>
      <fill>
        <patternFill patternType="none">
          <fgColor indexed="64"/>
          <bgColor indexed="65"/>
        </patternFill>
      </fill>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66" formatCode="_(* #,##0_);_(* \(#,##0\);_(* &quot;-&quot;??_);_(@_)"/>
      <fill>
        <patternFill patternType="none">
          <fgColor indexed="64"/>
          <bgColor indexed="65"/>
        </patternFill>
      </fill>
      <alignment horizontal="center" vertical="bottom" textRotation="0" wrapText="0" indent="0" justifyLastLine="0" shrinkToFit="0" readingOrder="0"/>
    </dxf>
    <dxf>
      <font>
        <b/>
        <i val="0"/>
        <strike val="0"/>
        <condense val="0"/>
        <extend val="0"/>
        <outline val="0"/>
        <shadow val="0"/>
        <u/>
        <vertAlign val="baseline"/>
        <sz val="11"/>
        <color theme="1"/>
        <name val="Aptos Narrow"/>
        <family val="2"/>
        <scheme val="minor"/>
      </font>
      <numFmt numFmtId="166" formatCode="_(* #,##0_);_(* \(#,##0\);_(* &quot;-&quot;??_);_(@_)"/>
      <fill>
        <patternFill patternType="none">
          <fgColor indexed="64"/>
          <bgColor indexed="65"/>
        </patternFill>
      </fill>
      <alignment horizontal="center" vertical="bottom"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1</xdr:col>
      <xdr:colOff>0</xdr:colOff>
      <xdr:row>69</xdr:row>
      <xdr:rowOff>0</xdr:rowOff>
    </xdr:from>
    <xdr:to>
      <xdr:col>4</xdr:col>
      <xdr:colOff>800100</xdr:colOff>
      <xdr:row>72</xdr:row>
      <xdr:rowOff>34925</xdr:rowOff>
    </xdr:to>
    <xdr:pic>
      <xdr:nvPicPr>
        <xdr:cNvPr id="3" name="Picture 2" descr="Chart">
          <a:extLst>
            <a:ext uri="{FF2B5EF4-FFF2-40B4-BE49-F238E27FC236}">
              <a16:creationId xmlns:a16="http://schemas.microsoft.com/office/drawing/2014/main" id="{0BEB8C6D-DB28-8A87-F1C3-CDFEED2C3568}"/>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876300" y="13935075"/>
          <a:ext cx="5943600" cy="606425"/>
        </a:xfrm>
        <a:prstGeom prst="rect">
          <a:avLst/>
        </a:prstGeom>
        <a:noFill/>
        <a:ln>
          <a:noFill/>
        </a:ln>
      </xdr:spPr>
    </xdr:pic>
    <xdr:clientData/>
  </xdr:twoCellAnchor>
  <xdr:twoCellAnchor editAs="oneCell">
    <xdr:from>
      <xdr:col>1</xdr:col>
      <xdr:colOff>0</xdr:colOff>
      <xdr:row>54</xdr:row>
      <xdr:rowOff>0</xdr:rowOff>
    </xdr:from>
    <xdr:to>
      <xdr:col>4</xdr:col>
      <xdr:colOff>800100</xdr:colOff>
      <xdr:row>68</xdr:row>
      <xdr:rowOff>43180</xdr:rowOff>
    </xdr:to>
    <xdr:pic>
      <xdr:nvPicPr>
        <xdr:cNvPr id="4" name="Picture 3" descr="Chart">
          <a:extLst>
            <a:ext uri="{FF2B5EF4-FFF2-40B4-BE49-F238E27FC236}">
              <a16:creationId xmlns:a16="http://schemas.microsoft.com/office/drawing/2014/main" id="{52BFEF4E-5DE8-479D-855E-C046BE770525}"/>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876300" y="11077575"/>
          <a:ext cx="5943600" cy="2710180"/>
        </a:xfrm>
        <a:prstGeom prst="rect">
          <a:avLst/>
        </a:prstGeom>
        <a:noFill/>
        <a:ln>
          <a:noFill/>
        </a:ln>
      </xdr:spPr>
    </xdr:pic>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0B1F78D-D1AA-4EF3-9596-7A27A355C060}" name="static_data_table" displayName="static_data_table" ref="A1:O121" totalsRowShown="0" headerRowDxfId="71" dataDxfId="70" headerRowCellStyle="Comma" dataCellStyle="Comma">
  <autoFilter ref="A1:O121" xr:uid="{D0B1F78D-D1AA-4EF3-9596-7A27A355C060}"/>
  <sortState xmlns:xlrd2="http://schemas.microsoft.com/office/spreadsheetml/2017/richdata2" ref="A2:R42">
    <sortCondition ref="F1:F73"/>
  </sortState>
  <tableColumns count="15">
    <tableColumn id="19" xr3:uid="{1221CC04-A25D-42E0-9BD3-B46333797DBE}" name="vpn" dataDxfId="69" dataCellStyle="Comma"/>
    <tableColumn id="10" xr3:uid="{BED55A9A-3E28-4A17-AA02-2381DB89A658}" name="family" dataDxfId="68" dataCellStyle="Comma"/>
    <tableColumn id="12" xr3:uid="{F9B08B7F-16AE-460B-BDFB-B2726D177E92}" name="sub_family" dataDxfId="67" dataCellStyle="Comma"/>
    <tableColumn id="1" xr3:uid="{8C59AB6B-6EBF-48B8-9D8A-4E9EFB96C425}" name="my_prod_type" dataDxfId="66"/>
    <tableColumn id="18" xr3:uid="{D3CEE51C-FF16-474C-AC93-30CEB3E7D375}" name="my_fi_name" dataDxfId="65" dataCellStyle="Comma"/>
    <tableColumn id="22" xr3:uid="{51F924B8-25BB-4080-AD58-7509A60E27B0}" name="my_pf_name" dataDxfId="64"/>
    <tableColumn id="2" xr3:uid="{A13A7736-F17C-4146-B643-6EF65FC4B25C}" name="pf_locator" dataDxfId="63"/>
    <tableColumn id="4" xr3:uid="{211C7B2F-2849-4B0F-B281-BF0424C5B57F}" name="top_currency" dataDxfId="62" dataCellStyle="Comma"/>
    <tableColumn id="3" xr3:uid="{46C5F41D-D64D-4F76-9E5D-390D6FE03BE6}" name="base_currency" dataDxfId="61" dataCellStyle="Comma"/>
    <tableColumn id="9" xr3:uid="{E2441BE5-ABB7-40CB-848F-02508F05A37C}" name="comm_type" dataDxfId="60" dataCellStyle="Comma"/>
    <tableColumn id="5" xr3:uid="{16FCE019-989B-4467-A8B9-96A8E58B2A2A}" name="comm_maker" dataDxfId="59" dataCellStyle="Currency"/>
    <tableColumn id="6" xr3:uid="{0E805949-D535-4626-85EB-FA3727E7DAF4}" name="comm_taker" dataDxfId="58" dataCellStyle="Currency"/>
    <tableColumn id="7" xr3:uid="{5709324A-7C63-43F4-AF59-F119177A7972}" name="comm_misc" dataDxfId="57" dataCellStyle="Comma"/>
    <tableColumn id="8" xr3:uid="{32E47B88-05FD-48EE-97A0-59BC78476043}" name="comm_update" dataDxfId="56" dataCellStyle="Comma"/>
    <tableColumn id="11" xr3:uid="{B6578BCD-793E-47C9-99CF-D01D02E8D922}" name="mkt_data_stream" dataDxfId="55" dataCellStyle="Comma"/>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8AFBE59F-E145-48B4-A9F0-75F818F296F4}" name="btc_to_do" displayName="btc_to_do" ref="A126:AA179" totalsRowShown="0" headerRowDxfId="54" dataDxfId="53">
  <autoFilter ref="A126:AA179" xr:uid="{8AFBE59F-E145-48B4-A9F0-75F818F296F4}">
    <filterColumn colId="1">
      <filters>
        <filter val="future"/>
      </filters>
    </filterColumn>
  </autoFilter>
  <tableColumns count="27">
    <tableColumn id="1" xr3:uid="{73FD62E2-E8FE-4C00-9C3C-F3122EB55D0D}" name="Column1" dataDxfId="52"/>
    <tableColumn id="2" xr3:uid="{F8F856BF-80BD-4398-8276-448953D1A283}" name="Column2" dataDxfId="51"/>
    <tableColumn id="3" xr3:uid="{859FF76C-0D7F-496C-B885-2DE680F3F916}" name="Column7" dataDxfId="50"/>
    <tableColumn id="4" xr3:uid="{EFE5B159-5688-4C13-A02D-A6C704275E2E}" name="Column4" dataDxfId="49"/>
    <tableColumn id="5" xr3:uid="{69D00D15-DF82-46C9-9945-107A85371A6F}" name="Column5" dataDxfId="48"/>
    <tableColumn id="6" xr3:uid="{F10DE59E-3B92-4DD0-8A04-FAE76E9F8BB9}" name="Column6" dataDxfId="47"/>
    <tableColumn id="8" xr3:uid="{2D949549-0F5C-4A89-B8F7-72304B9A24F1}" name="Column8" dataDxfId="46"/>
    <tableColumn id="9" xr3:uid="{C42826CE-029E-4945-8434-CBC9F4DAA57F}" name="Column9" dataDxfId="45" dataCellStyle="Comma"/>
    <tableColumn id="7" xr3:uid="{F0789B57-A27F-47CD-94AE-4F6B71344DB9}" name="Column92" dataDxfId="44" dataCellStyle="Currency"/>
    <tableColumn id="13" xr3:uid="{84F8B5AD-93FB-4C3E-8E09-FB358E10FC62}" name="Column93" dataDxfId="43" dataCellStyle="Currency"/>
    <tableColumn id="14" xr3:uid="{DA8CB162-5C11-45A4-93E0-E0C45C3ED3D0}" name="Column94" dataDxfId="42" dataCellStyle="Comma"/>
    <tableColumn id="27" xr3:uid="{100A9F62-6915-49BB-B014-4D0BC03BB553}" name="Column95" dataDxfId="41" dataCellStyle="Comma"/>
    <tableColumn id="10" xr3:uid="{5B60D48A-2B91-4E81-AD9D-2709C1335F32}" name="Column10" dataDxfId="40" dataCellStyle="Comma"/>
    <tableColumn id="11" xr3:uid="{E1B16D3B-DEA4-44A7-8DE4-CA3F41D77B2B}" name="Column11" dataDxfId="39" dataCellStyle="Comma"/>
    <tableColumn id="12" xr3:uid="{793817C6-38BE-49BA-A9A6-4F96D87310D9}" name="Column12" dataDxfId="38" dataCellStyle="Comma"/>
    <tableColumn id="15" xr3:uid="{2AFA675A-D2B0-476D-A865-BB72634DC6DA}" name="Column15" dataDxfId="37"/>
    <tableColumn id="16" xr3:uid="{B5249436-7148-4EBF-B8E6-5226AA101320}" name="Column16" dataDxfId="36" dataCellStyle="Currency"/>
    <tableColumn id="17" xr3:uid="{22140E2C-B2EC-4771-8D39-0E8FE9F80B88}" name="Column17" dataDxfId="35"/>
    <tableColumn id="18" xr3:uid="{AC423A03-E794-4524-9C7D-D02B01892118}" name="Column18" dataDxfId="34" dataCellStyle="Comma"/>
    <tableColumn id="19" xr3:uid="{F73A917A-F13B-4BB9-8524-E34E6050878C}" name="Column19" dataDxfId="33" dataCellStyle="Comma"/>
    <tableColumn id="20" xr3:uid="{4A9B484B-EBD7-41D1-8470-161DB87D7FB2}" name="Column20" dataDxfId="32" dataCellStyle="Comma"/>
    <tableColumn id="21" xr3:uid="{D03D1805-69BB-4D67-B61E-961F2E625E81}" name="Column21" dataDxfId="31"/>
    <tableColumn id="22" xr3:uid="{66E8E4D1-FF14-404F-8354-025C93AED5CB}" name="Column22" dataDxfId="30"/>
    <tableColumn id="23" xr3:uid="{9540F131-1C8F-4F4F-8796-92F1AFD57E03}" name="Column23" dataDxfId="29"/>
    <tableColumn id="24" xr3:uid="{B7156378-CEA1-4808-9801-4E93C755FE92}" name="Column24" dataDxfId="28"/>
    <tableColumn id="25" xr3:uid="{6908C233-AA1B-4818-BF8F-36FC13C53D09}" name="Column25" dataDxfId="27"/>
    <tableColumn id="26" xr3:uid="{104781D6-1EEE-4947-A424-3CE3DCADF4CF}" name="Column26" dataDxfId="26"/>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7EA60E1-CEC4-43C9-8716-3B5D84C5EEA2}" name="mkt_data_streaming_inputs" displayName="mkt_data_streaming_inputs" ref="A1:E13" totalsRowShown="0" headerRowDxfId="25" dataDxfId="24">
  <autoFilter ref="A1:E13" xr:uid="{D7EA60E1-CEC4-43C9-8716-3B5D84C5EEA2}"/>
  <tableColumns count="5">
    <tableColumn id="1" xr3:uid="{1B4EEA70-C71C-4CEF-9887-9E40B33F8AAC}" name="Keys" dataDxfId="23"/>
    <tableColumn id="2" xr3:uid="{5215E933-000B-4891-AE18-89796F5A216B}" name="Crypto" dataDxfId="22"/>
    <tableColumn id="3" xr3:uid="{6EAA8208-3724-49EE-BF7B-16658A7D02A7}" name="Stat_Arb_Pairs" dataDxfId="21"/>
    <tableColumn id="4" xr3:uid="{A4E0A8E0-4334-4FB9-95BD-3E9FE4AB471E}" name="Stat_Arb_Group" dataDxfId="20"/>
    <tableColumn id="5" xr3:uid="{16DC4587-9A67-4643-BE5B-698CEC2360C4}" name="BTC_ETF" dataDxfId="19"/>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4BF31094-215C-402D-8B13-3705F7FDAA90}" name="Static_Data_Table3" displayName="Static_Data_Table3" ref="A1:F46" totalsRowShown="0">
  <autoFilter ref="A1:F46" xr:uid="{09E497BC-17A6-470C-8E05-7E807D85C061}"/>
  <sortState xmlns:xlrd2="http://schemas.microsoft.com/office/spreadsheetml/2017/richdata2" ref="D2:H48">
    <sortCondition ref="D1:D48"/>
  </sortState>
  <tableColumns count="6">
    <tableColumn id="1" xr3:uid="{AFA57C80-2B2F-4727-B322-33373A15C9AE}" name="my_fi_name"/>
    <tableColumn id="3" xr3:uid="{12E9D21A-00B6-422C-8E33-799EE77C479B}" name="Margin" dataDxfId="18" dataCellStyle="Percent"/>
    <tableColumn id="2" xr3:uid="{8D355E55-9FB0-4524-AED7-63AB9F6D6462}" name="ETF Fee" dataDxfId="17" dataCellStyle="Percent"/>
    <tableColumn id="4" xr3:uid="{D716E943-B958-4884-BE63-A9B80B433F62}" name="Dec 2025 Ex-Date" dataDxfId="16" dataCellStyle="Currency"/>
    <tableColumn id="5" xr3:uid="{6C9795AF-4493-4D80-8BB1-FF32A4E90439}" name="Dec 2025 Div Amt" dataDxfId="15" dataCellStyle="Currency"/>
    <tableColumn id="6" xr3:uid="{E5A2D359-0CA5-4F93-B24F-A5EB1CBCCB59}" name="ETF family / sponsor" dataDxfId="14" dataCellStyle="Comma"/>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hyperlink" Target="https://bitcointreasuries.net/" TargetMode="External"/></Relationships>
</file>

<file path=xl/worksheets/_rels/sheet4.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56C7D8-63C4-43F7-A7E4-368987D3CFF8}">
  <sheetPr codeName="Sheet1"/>
  <dimension ref="A2:B24"/>
  <sheetViews>
    <sheetView workbookViewId="0">
      <selection activeCell="O25" sqref="O25"/>
    </sheetView>
  </sheetViews>
  <sheetFormatPr defaultRowHeight="15" x14ac:dyDescent="0.25"/>
  <sheetData>
    <row r="2" spans="1:2" x14ac:dyDescent="0.25">
      <c r="A2" t="s">
        <v>125</v>
      </c>
    </row>
    <row r="4" spans="1:2" x14ac:dyDescent="0.25">
      <c r="A4" t="s">
        <v>126</v>
      </c>
    </row>
    <row r="6" spans="1:2" x14ac:dyDescent="0.25">
      <c r="A6" t="s">
        <v>142</v>
      </c>
    </row>
    <row r="7" spans="1:2" x14ac:dyDescent="0.25">
      <c r="A7" t="s">
        <v>143</v>
      </c>
    </row>
    <row r="9" spans="1:2" x14ac:dyDescent="0.25">
      <c r="A9" t="s">
        <v>141</v>
      </c>
    </row>
    <row r="10" spans="1:2" x14ac:dyDescent="0.25">
      <c r="A10" t="s">
        <v>130</v>
      </c>
    </row>
    <row r="11" spans="1:2" x14ac:dyDescent="0.25">
      <c r="B11" t="s">
        <v>131</v>
      </c>
    </row>
    <row r="12" spans="1:2" x14ac:dyDescent="0.25">
      <c r="B12" t="s">
        <v>133</v>
      </c>
    </row>
    <row r="13" spans="1:2" x14ac:dyDescent="0.25">
      <c r="B13" t="s">
        <v>132</v>
      </c>
    </row>
    <row r="14" spans="1:2" x14ac:dyDescent="0.25">
      <c r="B14" t="s">
        <v>135</v>
      </c>
    </row>
    <row r="15" spans="1:2" x14ac:dyDescent="0.25">
      <c r="B15" t="s">
        <v>134</v>
      </c>
    </row>
    <row r="16" spans="1:2" x14ac:dyDescent="0.25">
      <c r="B16" t="s">
        <v>136</v>
      </c>
    </row>
    <row r="17" spans="1:2" x14ac:dyDescent="0.25">
      <c r="B17" t="s">
        <v>137</v>
      </c>
    </row>
    <row r="18" spans="1:2" x14ac:dyDescent="0.25">
      <c r="B18" t="s">
        <v>138</v>
      </c>
    </row>
    <row r="19" spans="1:2" x14ac:dyDescent="0.25">
      <c r="B19" t="s">
        <v>139</v>
      </c>
    </row>
    <row r="20" spans="1:2" x14ac:dyDescent="0.25">
      <c r="B20" t="s">
        <v>140</v>
      </c>
    </row>
    <row r="22" spans="1:2" x14ac:dyDescent="0.25">
      <c r="A22" t="s">
        <v>127</v>
      </c>
    </row>
    <row r="23" spans="1:2" x14ac:dyDescent="0.25">
      <c r="B23" t="s">
        <v>128</v>
      </c>
    </row>
    <row r="24" spans="1:2" x14ac:dyDescent="0.25">
      <c r="B24" t="s">
        <v>129</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7CDB48-6ECE-4406-B0B7-93C69DBD020D}">
  <sheetPr codeName="Sheet2"/>
  <dimension ref="A1:L106"/>
  <sheetViews>
    <sheetView workbookViewId="0">
      <selection activeCell="G26" sqref="G26"/>
    </sheetView>
  </sheetViews>
  <sheetFormatPr defaultColWidth="13.140625" defaultRowHeight="15" x14ac:dyDescent="0.25"/>
  <cols>
    <col min="2" max="2" width="30" bestFit="1" customWidth="1"/>
    <col min="4" max="5" width="34" customWidth="1"/>
    <col min="11" max="11" width="23.28515625" bestFit="1" customWidth="1"/>
    <col min="12" max="12" width="9.140625" bestFit="1" customWidth="1"/>
    <col min="13" max="14" width="27.85546875" customWidth="1"/>
  </cols>
  <sheetData>
    <row r="1" spans="1:12" ht="16.5" thickBot="1" x14ac:dyDescent="0.3">
      <c r="A1" s="144" t="s">
        <v>315</v>
      </c>
      <c r="E1" s="16" t="s">
        <v>317</v>
      </c>
      <c r="J1" s="16" t="s">
        <v>318</v>
      </c>
      <c r="K1" s="150"/>
    </row>
    <row r="2" spans="1:12" x14ac:dyDescent="0.25">
      <c r="B2" s="17" t="s">
        <v>316</v>
      </c>
      <c r="J2" s="198" t="s">
        <v>47</v>
      </c>
      <c r="K2" s="199"/>
      <c r="L2" s="18"/>
    </row>
    <row r="3" spans="1:12" x14ac:dyDescent="0.25">
      <c r="B3" s="17" t="s">
        <v>46</v>
      </c>
      <c r="J3" s="19" t="s">
        <v>34</v>
      </c>
      <c r="K3" s="20" t="s">
        <v>48</v>
      </c>
      <c r="L3" s="14"/>
    </row>
    <row r="4" spans="1:12" x14ac:dyDescent="0.25">
      <c r="J4" s="21" t="s">
        <v>6</v>
      </c>
      <c r="K4" s="22" t="s">
        <v>25</v>
      </c>
      <c r="L4" s="14"/>
    </row>
    <row r="5" spans="1:12" x14ac:dyDescent="0.25">
      <c r="J5" s="21" t="s">
        <v>7</v>
      </c>
      <c r="K5" s="22" t="s">
        <v>49</v>
      </c>
      <c r="L5" s="18"/>
    </row>
    <row r="6" spans="1:12" x14ac:dyDescent="0.25">
      <c r="J6" s="21" t="s">
        <v>50</v>
      </c>
      <c r="K6" s="22" t="s">
        <v>28</v>
      </c>
      <c r="L6" s="18"/>
    </row>
    <row r="7" spans="1:12" x14ac:dyDescent="0.25">
      <c r="J7" s="21" t="s">
        <v>51</v>
      </c>
      <c r="K7" s="22" t="s">
        <v>27</v>
      </c>
      <c r="L7" s="18"/>
    </row>
    <row r="8" spans="1:12" x14ac:dyDescent="0.25">
      <c r="J8" s="21" t="s">
        <v>30</v>
      </c>
      <c r="K8" s="22" t="s">
        <v>29</v>
      </c>
      <c r="L8" s="18"/>
    </row>
    <row r="9" spans="1:12" ht="16.5" thickBot="1" x14ac:dyDescent="0.3">
      <c r="A9" s="144" t="s">
        <v>248</v>
      </c>
      <c r="J9" s="23" t="s">
        <v>52</v>
      </c>
      <c r="K9" s="24" t="s">
        <v>53</v>
      </c>
      <c r="L9" s="18"/>
    </row>
    <row r="10" spans="1:12" ht="15.75" x14ac:dyDescent="0.25">
      <c r="B10" s="200" t="s">
        <v>249</v>
      </c>
      <c r="C10" s="200"/>
      <c r="D10" s="200"/>
      <c r="E10" s="200"/>
      <c r="F10" s="200"/>
      <c r="G10" s="200"/>
      <c r="H10" s="200"/>
      <c r="L10" s="18"/>
    </row>
    <row r="11" spans="1:12" ht="15.75" x14ac:dyDescent="0.25">
      <c r="B11" s="147" t="s">
        <v>250</v>
      </c>
      <c r="L11" s="18"/>
    </row>
    <row r="12" spans="1:12" ht="15.75" x14ac:dyDescent="0.25">
      <c r="C12" s="145" t="s">
        <v>251</v>
      </c>
      <c r="D12" s="145" t="s">
        <v>252</v>
      </c>
      <c r="E12" s="145" t="s">
        <v>253</v>
      </c>
    </row>
    <row r="13" spans="1:12" ht="15.75" x14ac:dyDescent="0.25">
      <c r="C13" s="148" t="s">
        <v>45</v>
      </c>
      <c r="D13" s="149" t="s">
        <v>254</v>
      </c>
      <c r="E13" s="149" t="s">
        <v>255</v>
      </c>
    </row>
    <row r="14" spans="1:12" ht="31.5" x14ac:dyDescent="0.25">
      <c r="C14" s="148" t="s">
        <v>256</v>
      </c>
      <c r="D14" s="149" t="s">
        <v>257</v>
      </c>
      <c r="E14" s="149" t="s">
        <v>258</v>
      </c>
    </row>
    <row r="15" spans="1:12" ht="31.5" x14ac:dyDescent="0.25">
      <c r="C15" s="148" t="s">
        <v>259</v>
      </c>
      <c r="D15" s="149" t="s">
        <v>260</v>
      </c>
      <c r="E15" s="149" t="s">
        <v>261</v>
      </c>
    </row>
    <row r="16" spans="1:12" ht="15.75" x14ac:dyDescent="0.25">
      <c r="B16" s="200" t="s">
        <v>262</v>
      </c>
      <c r="C16" s="200"/>
      <c r="D16" s="200"/>
      <c r="E16" s="200"/>
      <c r="F16" s="200"/>
      <c r="G16" s="200"/>
      <c r="H16" s="200"/>
    </row>
    <row r="17" spans="1:10" ht="15.75" thickBot="1" x14ac:dyDescent="0.3">
      <c r="B17" t="s">
        <v>263</v>
      </c>
    </row>
    <row r="18" spans="1:10" ht="15.75" x14ac:dyDescent="0.25">
      <c r="C18" s="35" t="s">
        <v>73</v>
      </c>
      <c r="D18" s="34" t="s">
        <v>72</v>
      </c>
      <c r="E18" s="33" t="s">
        <v>71</v>
      </c>
    </row>
    <row r="19" spans="1:10" x14ac:dyDescent="0.25">
      <c r="C19" s="32" t="s">
        <v>4</v>
      </c>
      <c r="D19" s="31" t="s">
        <v>60</v>
      </c>
      <c r="E19" s="30">
        <v>0.2</v>
      </c>
    </row>
    <row r="20" spans="1:10" x14ac:dyDescent="0.25">
      <c r="C20" s="32" t="s">
        <v>12</v>
      </c>
      <c r="D20" s="31" t="s">
        <v>70</v>
      </c>
      <c r="E20" s="30">
        <v>0.1</v>
      </c>
    </row>
    <row r="21" spans="1:10" x14ac:dyDescent="0.25">
      <c r="C21" s="32" t="s">
        <v>13</v>
      </c>
      <c r="D21" s="31" t="s">
        <v>69</v>
      </c>
      <c r="E21" s="30">
        <v>0.1</v>
      </c>
    </row>
    <row r="22" spans="1:10" x14ac:dyDescent="0.25">
      <c r="C22" s="32" t="s">
        <v>21</v>
      </c>
      <c r="D22" s="31" t="s">
        <v>63</v>
      </c>
      <c r="E22" s="30">
        <v>0.1</v>
      </c>
      <c r="I22" s="18"/>
      <c r="J22" s="18"/>
    </row>
    <row r="23" spans="1:10" x14ac:dyDescent="0.25">
      <c r="C23" s="32" t="s">
        <v>17</v>
      </c>
      <c r="D23" s="31" t="s">
        <v>62</v>
      </c>
      <c r="E23" s="30">
        <v>0.1</v>
      </c>
    </row>
    <row r="24" spans="1:10" x14ac:dyDescent="0.25">
      <c r="C24" s="32" t="s">
        <v>43</v>
      </c>
      <c r="D24" s="31" t="s">
        <v>61</v>
      </c>
      <c r="E24" s="30">
        <v>0.1</v>
      </c>
    </row>
    <row r="25" spans="1:10" x14ac:dyDescent="0.25">
      <c r="C25" s="32" t="s">
        <v>14</v>
      </c>
      <c r="D25" s="31" t="s">
        <v>68</v>
      </c>
      <c r="E25" s="30">
        <v>9.8100000000000007E-2</v>
      </c>
    </row>
    <row r="26" spans="1:10" x14ac:dyDescent="0.25">
      <c r="C26" s="32" t="s">
        <v>67</v>
      </c>
      <c r="D26" s="31" t="s">
        <v>66</v>
      </c>
      <c r="E26" s="30">
        <v>8.72E-2</v>
      </c>
    </row>
    <row r="27" spans="1:10" x14ac:dyDescent="0.25">
      <c r="C27" s="32" t="s">
        <v>16</v>
      </c>
      <c r="D27" s="31" t="s">
        <v>64</v>
      </c>
      <c r="E27" s="30">
        <v>7.3800000000000004E-2</v>
      </c>
    </row>
    <row r="28" spans="1:10" ht="15.75" thickBot="1" x14ac:dyDescent="0.3">
      <c r="C28" s="29" t="s">
        <v>15</v>
      </c>
      <c r="D28" s="28" t="s">
        <v>65</v>
      </c>
      <c r="E28" s="27">
        <v>4.0899999999999999E-2</v>
      </c>
    </row>
    <row r="29" spans="1:10" x14ac:dyDescent="0.25">
      <c r="E29" s="25">
        <f>SUM(E19:E28)</f>
        <v>1</v>
      </c>
    </row>
    <row r="31" spans="1:10" ht="15.75" x14ac:dyDescent="0.25">
      <c r="A31" s="144" t="s">
        <v>313</v>
      </c>
    </row>
    <row r="32" spans="1:10" ht="15.75" x14ac:dyDescent="0.25">
      <c r="B32" s="200" t="s">
        <v>264</v>
      </c>
      <c r="C32" s="200"/>
      <c r="D32" s="200"/>
      <c r="E32" s="200"/>
      <c r="F32" s="200"/>
      <c r="G32" s="200"/>
      <c r="H32" s="200"/>
    </row>
    <row r="33" spans="3:5" ht="15.75" x14ac:dyDescent="0.25">
      <c r="C33" s="145" t="s">
        <v>265</v>
      </c>
      <c r="D33" s="145" t="s">
        <v>266</v>
      </c>
      <c r="E33" s="145" t="s">
        <v>267</v>
      </c>
    </row>
    <row r="34" spans="3:5" ht="31.5" x14ac:dyDescent="0.25">
      <c r="C34" s="148" t="s">
        <v>268</v>
      </c>
      <c r="D34" s="149" t="s">
        <v>269</v>
      </c>
      <c r="E34" s="149" t="s">
        <v>270</v>
      </c>
    </row>
    <row r="35" spans="3:5" ht="31.5" x14ac:dyDescent="0.25">
      <c r="C35" s="148" t="s">
        <v>57</v>
      </c>
      <c r="D35" s="149" t="s">
        <v>56</v>
      </c>
      <c r="E35" s="149" t="s">
        <v>271</v>
      </c>
    </row>
    <row r="36" spans="3:5" ht="31.5" x14ac:dyDescent="0.25">
      <c r="C36" s="148" t="s">
        <v>272</v>
      </c>
      <c r="D36" s="149" t="s">
        <v>273</v>
      </c>
      <c r="E36" s="149" t="s">
        <v>274</v>
      </c>
    </row>
    <row r="37" spans="3:5" ht="15.75" x14ac:dyDescent="0.25">
      <c r="C37" s="148" t="s">
        <v>59</v>
      </c>
      <c r="D37" s="149" t="s">
        <v>58</v>
      </c>
      <c r="E37" s="149" t="s">
        <v>275</v>
      </c>
    </row>
    <row r="38" spans="3:5" ht="31.5" x14ac:dyDescent="0.25">
      <c r="C38" s="148" t="s">
        <v>55</v>
      </c>
      <c r="D38" s="149" t="s">
        <v>54</v>
      </c>
      <c r="E38" s="149" t="s">
        <v>276</v>
      </c>
    </row>
    <row r="39" spans="3:5" ht="31.5" x14ac:dyDescent="0.25">
      <c r="C39" s="148" t="s">
        <v>277</v>
      </c>
      <c r="D39" s="149" t="s">
        <v>278</v>
      </c>
      <c r="E39" s="149" t="s">
        <v>279</v>
      </c>
    </row>
    <row r="40" spans="3:5" ht="15.75" x14ac:dyDescent="0.25">
      <c r="C40" s="148" t="s">
        <v>280</v>
      </c>
      <c r="D40" s="149" t="s">
        <v>281</v>
      </c>
      <c r="E40" s="149" t="s">
        <v>282</v>
      </c>
    </row>
    <row r="41" spans="3:5" ht="31.5" x14ac:dyDescent="0.25">
      <c r="C41" s="148" t="s">
        <v>283</v>
      </c>
      <c r="D41" s="149" t="s">
        <v>284</v>
      </c>
      <c r="E41" s="149" t="s">
        <v>285</v>
      </c>
    </row>
    <row r="42" spans="3:5" ht="15.75" x14ac:dyDescent="0.25">
      <c r="C42" s="148" t="s">
        <v>286</v>
      </c>
      <c r="D42" s="149" t="s">
        <v>287</v>
      </c>
      <c r="E42" s="149" t="s">
        <v>288</v>
      </c>
    </row>
    <row r="43" spans="3:5" ht="15.75" x14ac:dyDescent="0.25">
      <c r="C43" s="148" t="s">
        <v>289</v>
      </c>
      <c r="D43" s="149" t="s">
        <v>290</v>
      </c>
      <c r="E43" s="149" t="s">
        <v>291</v>
      </c>
    </row>
    <row r="44" spans="3:5" ht="15.75" x14ac:dyDescent="0.25">
      <c r="C44" s="148" t="s">
        <v>292</v>
      </c>
      <c r="D44" s="149" t="s">
        <v>293</v>
      </c>
      <c r="E44" s="149" t="s">
        <v>294</v>
      </c>
    </row>
    <row r="45" spans="3:5" ht="15.75" x14ac:dyDescent="0.25">
      <c r="C45" s="148" t="s">
        <v>295</v>
      </c>
      <c r="D45" s="149" t="s">
        <v>296</v>
      </c>
      <c r="E45" s="149" t="s">
        <v>297</v>
      </c>
    </row>
    <row r="46" spans="3:5" ht="31.5" x14ac:dyDescent="0.25">
      <c r="C46" s="148" t="s">
        <v>298</v>
      </c>
      <c r="D46" s="149" t="s">
        <v>299</v>
      </c>
      <c r="E46" s="149" t="s">
        <v>300</v>
      </c>
    </row>
    <row r="47" spans="3:5" ht="15.75" x14ac:dyDescent="0.25">
      <c r="C47" s="148" t="s">
        <v>301</v>
      </c>
      <c r="D47" s="149" t="s">
        <v>302</v>
      </c>
      <c r="E47" s="149" t="s">
        <v>303</v>
      </c>
    </row>
    <row r="48" spans="3:5" ht="31.5" x14ac:dyDescent="0.25">
      <c r="C48" s="148" t="s">
        <v>304</v>
      </c>
      <c r="D48" s="149" t="s">
        <v>305</v>
      </c>
      <c r="E48" s="149" t="s">
        <v>306</v>
      </c>
    </row>
    <row r="49" spans="1:5" ht="15.75" x14ac:dyDescent="0.25">
      <c r="C49" s="148" t="s">
        <v>307</v>
      </c>
      <c r="D49" s="149" t="s">
        <v>308</v>
      </c>
      <c r="E49" s="149" t="s">
        <v>309</v>
      </c>
    </row>
    <row r="50" spans="1:5" ht="15.75" x14ac:dyDescent="0.25">
      <c r="C50" s="148" t="s">
        <v>310</v>
      </c>
      <c r="D50" s="149" t="s">
        <v>311</v>
      </c>
      <c r="E50" s="149" t="s">
        <v>312</v>
      </c>
    </row>
    <row r="51" spans="1:5" ht="15.75" x14ac:dyDescent="0.25">
      <c r="A51" s="146"/>
    </row>
    <row r="53" spans="1:5" ht="15.75" x14ac:dyDescent="0.25">
      <c r="A53" s="144" t="s">
        <v>314</v>
      </c>
    </row>
    <row r="77" spans="5:5" x14ac:dyDescent="0.25">
      <c r="E77" s="14"/>
    </row>
    <row r="84" spans="5:5" x14ac:dyDescent="0.25">
      <c r="E84" s="14"/>
    </row>
    <row r="106" spans="6:6" x14ac:dyDescent="0.25">
      <c r="F106" s="26"/>
    </row>
  </sheetData>
  <sortState xmlns:xlrd2="http://schemas.microsoft.com/office/spreadsheetml/2017/richdata2" ref="C19:E28">
    <sortCondition descending="1" ref="E19:E28"/>
  </sortState>
  <mergeCells count="4">
    <mergeCell ref="J2:K2"/>
    <mergeCell ref="B10:H10"/>
    <mergeCell ref="B16:H16"/>
    <mergeCell ref="B32:H32"/>
  </mergeCells>
  <hyperlinks>
    <hyperlink ref="B3" r:id="rId1" xr:uid="{1FBD78DE-4F55-4948-9688-AB4981F70FEE}"/>
  </hyperlinks>
  <pageMargins left="0.7" right="0.7" top="0.75" bottom="0.75" header="0.3" footer="0.3"/>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4B6F99-334D-4668-BBC7-02C2065ABD80}">
  <sheetPr codeName="Sheet3"/>
  <dimension ref="A1:R36"/>
  <sheetViews>
    <sheetView workbookViewId="0">
      <selection activeCell="F31" sqref="F31"/>
    </sheetView>
  </sheetViews>
  <sheetFormatPr defaultColWidth="8.85546875" defaultRowHeight="15" x14ac:dyDescent="0.25"/>
  <cols>
    <col min="1" max="1" width="14.28515625" style="2" bestFit="1" customWidth="1"/>
    <col min="2" max="2" width="12.7109375" style="87" bestFit="1" customWidth="1"/>
    <col min="3" max="3" width="8.140625" style="2" bestFit="1" customWidth="1"/>
    <col min="4" max="4" width="8.5703125" style="36" bestFit="1" customWidth="1"/>
    <col min="5" max="5" width="9.85546875" style="36" bestFit="1" customWidth="1"/>
    <col min="6" max="7" width="9.7109375" style="36" bestFit="1" customWidth="1"/>
    <col min="8" max="8" width="13.28515625" style="2" bestFit="1" customWidth="1"/>
    <col min="9" max="9" width="14.42578125" style="2" bestFit="1" customWidth="1"/>
    <col min="10" max="10" width="14.140625" style="2" bestFit="1" customWidth="1"/>
    <col min="11" max="18" width="9.28515625" style="2" customWidth="1"/>
    <col min="19" max="19" width="16.7109375" style="2" bestFit="1" customWidth="1"/>
    <col min="20" max="20" width="9.85546875" style="2" bestFit="1" customWidth="1"/>
    <col min="21" max="22" width="11.28515625" style="2" bestFit="1" customWidth="1"/>
    <col min="23" max="23" width="17" style="2" bestFit="1" customWidth="1"/>
    <col min="24" max="24" width="13.42578125" style="2" bestFit="1" customWidth="1"/>
    <col min="25" max="25" width="17.28515625" style="2" bestFit="1" customWidth="1"/>
    <col min="26" max="26" width="21.140625" style="2" bestFit="1" customWidth="1"/>
    <col min="27" max="16384" width="8.85546875" style="2"/>
  </cols>
  <sheetData>
    <row r="1" spans="1:18" ht="15.75" thickBot="1" x14ac:dyDescent="0.3">
      <c r="A1" s="76" t="s">
        <v>18</v>
      </c>
      <c r="C1" s="85" t="s">
        <v>204</v>
      </c>
      <c r="D1" s="201" t="s">
        <v>229</v>
      </c>
      <c r="E1" s="202"/>
      <c r="F1" s="202"/>
      <c r="G1" s="202"/>
      <c r="H1" s="201" t="s">
        <v>230</v>
      </c>
      <c r="I1" s="202"/>
      <c r="J1" s="202"/>
      <c r="K1" s="201" t="s">
        <v>234</v>
      </c>
      <c r="L1" s="202"/>
      <c r="M1" s="202"/>
      <c r="N1" s="203"/>
      <c r="O1" s="201" t="s">
        <v>235</v>
      </c>
      <c r="P1" s="202"/>
      <c r="Q1" s="202"/>
      <c r="R1" s="203"/>
    </row>
    <row r="2" spans="1:18" ht="15.75" thickBot="1" x14ac:dyDescent="0.3">
      <c r="B2" s="122" t="s">
        <v>206</v>
      </c>
      <c r="C2" s="86" t="s">
        <v>205</v>
      </c>
      <c r="D2" s="123" t="s">
        <v>38</v>
      </c>
      <c r="E2" s="121" t="s">
        <v>103</v>
      </c>
      <c r="F2" s="121" t="s">
        <v>40</v>
      </c>
      <c r="G2" s="121" t="s">
        <v>199</v>
      </c>
      <c r="H2" s="123" t="s">
        <v>231</v>
      </c>
      <c r="I2" s="121" t="s">
        <v>232</v>
      </c>
      <c r="J2" s="121" t="s">
        <v>233</v>
      </c>
      <c r="K2" s="19" t="s">
        <v>34</v>
      </c>
      <c r="L2" s="1" t="s">
        <v>104</v>
      </c>
      <c r="M2" s="1" t="s">
        <v>33</v>
      </c>
      <c r="N2" s="20" t="s">
        <v>203</v>
      </c>
      <c r="O2" s="19" t="s">
        <v>34</v>
      </c>
      <c r="P2" s="1" t="s">
        <v>104</v>
      </c>
      <c r="Q2" s="1" t="s">
        <v>33</v>
      </c>
      <c r="R2" s="20" t="s">
        <v>203</v>
      </c>
    </row>
    <row r="3" spans="1:18" x14ac:dyDescent="0.25">
      <c r="A3" s="95" t="s">
        <v>25</v>
      </c>
      <c r="B3" s="96" t="s">
        <v>207</v>
      </c>
      <c r="C3" s="97">
        <v>4</v>
      </c>
      <c r="D3" s="124" t="s">
        <v>39</v>
      </c>
      <c r="E3" s="124" t="s">
        <v>193</v>
      </c>
      <c r="F3" s="124" t="s">
        <v>37</v>
      </c>
      <c r="G3" s="124" t="s">
        <v>201</v>
      </c>
      <c r="H3" s="126" t="b">
        <v>0</v>
      </c>
      <c r="I3" s="127" t="b">
        <v>0</v>
      </c>
      <c r="J3" s="127" t="b">
        <v>0</v>
      </c>
      <c r="K3" s="78"/>
      <c r="L3" s="79"/>
      <c r="M3" s="79"/>
      <c r="N3" s="77"/>
      <c r="O3" s="78"/>
      <c r="P3" s="79"/>
      <c r="Q3" s="79"/>
      <c r="R3" s="77"/>
    </row>
    <row r="4" spans="1:18" x14ac:dyDescent="0.25">
      <c r="A4" s="119" t="s">
        <v>226</v>
      </c>
      <c r="B4" s="88" t="s">
        <v>116</v>
      </c>
      <c r="C4" s="92" t="s">
        <v>116</v>
      </c>
      <c r="D4" s="100" t="b">
        <v>0</v>
      </c>
      <c r="E4" s="134" t="b">
        <v>0</v>
      </c>
      <c r="F4" s="134" t="b">
        <v>0</v>
      </c>
      <c r="G4" s="134" t="b">
        <v>0</v>
      </c>
      <c r="H4" s="80"/>
      <c r="K4" s="80"/>
      <c r="N4" s="81"/>
      <c r="O4" s="80"/>
      <c r="R4" s="81"/>
    </row>
    <row r="5" spans="1:18" x14ac:dyDescent="0.25">
      <c r="A5" s="90" t="s">
        <v>225</v>
      </c>
      <c r="B5" s="88" t="s">
        <v>116</v>
      </c>
      <c r="C5" s="92" t="s">
        <v>116</v>
      </c>
      <c r="D5" s="135" t="s">
        <v>39</v>
      </c>
      <c r="E5" s="135" t="s">
        <v>193</v>
      </c>
      <c r="F5" s="135" t="s">
        <v>37</v>
      </c>
      <c r="G5" s="134" t="b">
        <v>0</v>
      </c>
      <c r="H5" s="128" t="b">
        <v>0</v>
      </c>
      <c r="I5" s="136" t="b">
        <v>0</v>
      </c>
      <c r="J5" s="136" t="b">
        <v>0</v>
      </c>
      <c r="K5" s="80"/>
      <c r="N5" s="81"/>
      <c r="O5" s="80"/>
      <c r="R5" s="81"/>
    </row>
    <row r="6" spans="1:18" x14ac:dyDescent="0.25">
      <c r="A6" s="90" t="s">
        <v>30</v>
      </c>
      <c r="B6" s="91" t="s">
        <v>208</v>
      </c>
      <c r="C6" s="92">
        <v>8</v>
      </c>
      <c r="D6" s="99" t="s">
        <v>36</v>
      </c>
      <c r="E6" s="134" t="b">
        <v>0</v>
      </c>
      <c r="F6" s="135" t="s">
        <v>220</v>
      </c>
      <c r="G6" s="134" t="b">
        <v>0</v>
      </c>
      <c r="H6" s="80"/>
      <c r="K6" s="80"/>
      <c r="N6" s="81"/>
      <c r="O6" s="80"/>
      <c r="R6" s="81"/>
    </row>
    <row r="7" spans="1:18" x14ac:dyDescent="0.25">
      <c r="A7" s="110" t="s">
        <v>221</v>
      </c>
      <c r="B7" s="88" t="s">
        <v>116</v>
      </c>
      <c r="C7" s="89" t="s">
        <v>116</v>
      </c>
      <c r="D7" s="120" t="s">
        <v>227</v>
      </c>
      <c r="E7" s="134"/>
      <c r="F7" s="135"/>
      <c r="G7" s="134"/>
      <c r="H7" s="129" t="b">
        <v>0</v>
      </c>
      <c r="I7" s="136" t="b">
        <v>0</v>
      </c>
      <c r="J7" s="136" t="b">
        <v>0</v>
      </c>
      <c r="K7" s="80" t="b">
        <v>1</v>
      </c>
      <c r="N7" s="81"/>
      <c r="O7" s="80"/>
      <c r="R7" s="81"/>
    </row>
    <row r="8" spans="1:18" s="76" customFormat="1" x14ac:dyDescent="0.25">
      <c r="A8" s="90" t="s">
        <v>26</v>
      </c>
      <c r="B8" s="91" t="s">
        <v>207</v>
      </c>
      <c r="C8" s="92">
        <v>5</v>
      </c>
      <c r="D8" s="99" t="s">
        <v>39</v>
      </c>
      <c r="E8" s="135" t="s">
        <v>193</v>
      </c>
      <c r="F8" s="135" t="s">
        <v>37</v>
      </c>
      <c r="G8" s="134" t="b">
        <v>0</v>
      </c>
      <c r="H8" s="80" t="s">
        <v>39</v>
      </c>
      <c r="I8" s="2" t="s">
        <v>228</v>
      </c>
      <c r="J8" s="2" t="s">
        <v>37</v>
      </c>
      <c r="K8" s="80"/>
      <c r="L8" s="2"/>
      <c r="M8" s="2"/>
      <c r="N8" s="81"/>
      <c r="O8" s="80"/>
      <c r="P8" s="2"/>
      <c r="Q8" s="2"/>
      <c r="R8" s="81"/>
    </row>
    <row r="9" spans="1:18" s="75" customFormat="1" x14ac:dyDescent="0.25">
      <c r="A9" s="90" t="s">
        <v>6</v>
      </c>
      <c r="B9" s="91" t="s">
        <v>207</v>
      </c>
      <c r="C9" s="92">
        <v>1</v>
      </c>
      <c r="D9" s="135" t="s">
        <v>38</v>
      </c>
      <c r="E9" s="134" t="s">
        <v>219</v>
      </c>
      <c r="F9" s="135" t="s">
        <v>40</v>
      </c>
      <c r="G9" s="134" t="b">
        <v>0</v>
      </c>
      <c r="H9" s="128" t="b">
        <v>0</v>
      </c>
      <c r="I9" s="136" t="b">
        <v>0</v>
      </c>
      <c r="J9" s="136" t="b">
        <v>0</v>
      </c>
      <c r="K9" s="93"/>
      <c r="L9" s="36"/>
      <c r="M9" s="36"/>
      <c r="N9" s="94"/>
      <c r="O9" s="93"/>
      <c r="P9" s="36"/>
      <c r="Q9" s="36"/>
      <c r="R9" s="94"/>
    </row>
    <row r="10" spans="1:18" x14ac:dyDescent="0.25">
      <c r="A10" s="90" t="s">
        <v>22</v>
      </c>
      <c r="B10" s="91" t="s">
        <v>207</v>
      </c>
      <c r="C10" s="92">
        <v>9</v>
      </c>
      <c r="D10" s="100" t="b">
        <v>0</v>
      </c>
      <c r="E10" s="135" t="s">
        <v>177</v>
      </c>
      <c r="F10" s="135" t="s">
        <v>178</v>
      </c>
      <c r="G10" s="134" t="b">
        <v>0</v>
      </c>
      <c r="H10" s="80"/>
      <c r="K10" s="80"/>
      <c r="N10" s="81"/>
      <c r="O10" s="80"/>
      <c r="R10" s="81"/>
    </row>
    <row r="11" spans="1:18" x14ac:dyDescent="0.25">
      <c r="A11" s="110" t="s">
        <v>222</v>
      </c>
      <c r="B11" s="88" t="s">
        <v>116</v>
      </c>
      <c r="C11" s="89" t="s">
        <v>116</v>
      </c>
      <c r="D11" s="100"/>
      <c r="E11" s="135"/>
      <c r="F11" s="135"/>
      <c r="G11" s="134"/>
      <c r="H11" s="129" t="b">
        <v>0</v>
      </c>
      <c r="I11" s="136" t="b">
        <v>0</v>
      </c>
      <c r="J11" s="136" t="b">
        <v>0</v>
      </c>
      <c r="K11" s="80"/>
      <c r="N11" s="81"/>
      <c r="O11" s="80"/>
      <c r="R11" s="81"/>
    </row>
    <row r="12" spans="1:18" x14ac:dyDescent="0.25">
      <c r="A12" s="90" t="s">
        <v>211</v>
      </c>
      <c r="B12" s="91" t="s">
        <v>209</v>
      </c>
      <c r="C12" s="98" t="s">
        <v>116</v>
      </c>
      <c r="D12" s="100" t="b">
        <v>0</v>
      </c>
      <c r="E12" s="135" t="s">
        <v>177</v>
      </c>
      <c r="F12" s="135" t="s">
        <v>178</v>
      </c>
      <c r="G12" s="135" t="s">
        <v>216</v>
      </c>
      <c r="H12" s="80"/>
      <c r="K12" s="80"/>
      <c r="N12" s="81"/>
      <c r="O12" s="80"/>
      <c r="R12" s="81"/>
    </row>
    <row r="13" spans="1:18" x14ac:dyDescent="0.25">
      <c r="A13" s="90" t="s">
        <v>19</v>
      </c>
      <c r="B13" s="91" t="s">
        <v>212</v>
      </c>
      <c r="C13" s="92">
        <v>3</v>
      </c>
      <c r="D13" s="135" t="s">
        <v>191</v>
      </c>
      <c r="E13" s="135" t="s">
        <v>192</v>
      </c>
      <c r="F13" s="135" t="s">
        <v>35</v>
      </c>
      <c r="G13" s="134" t="b">
        <v>0</v>
      </c>
      <c r="H13" s="128" t="b">
        <v>0</v>
      </c>
      <c r="I13" s="136" t="b">
        <v>0</v>
      </c>
      <c r="J13" s="136" t="b">
        <v>0</v>
      </c>
      <c r="K13" s="80"/>
      <c r="N13" s="81"/>
      <c r="O13" s="80"/>
      <c r="R13" s="81"/>
    </row>
    <row r="14" spans="1:18" x14ac:dyDescent="0.25">
      <c r="A14" s="90" t="s">
        <v>29</v>
      </c>
      <c r="B14" s="91" t="s">
        <v>213</v>
      </c>
      <c r="C14" s="92">
        <v>10</v>
      </c>
      <c r="D14" s="100" t="b">
        <v>0</v>
      </c>
      <c r="E14" s="135" t="s">
        <v>192</v>
      </c>
      <c r="F14" s="135" t="s">
        <v>35</v>
      </c>
      <c r="G14" s="135" t="s">
        <v>214</v>
      </c>
      <c r="H14" s="80"/>
      <c r="K14" s="80"/>
      <c r="N14" s="81"/>
      <c r="O14" s="80"/>
      <c r="R14" s="81"/>
    </row>
    <row r="15" spans="1:18" x14ac:dyDescent="0.25">
      <c r="A15" s="90" t="s">
        <v>7</v>
      </c>
      <c r="B15" s="91" t="s">
        <v>208</v>
      </c>
      <c r="C15" s="92">
        <v>2</v>
      </c>
      <c r="D15" s="135" t="s">
        <v>195</v>
      </c>
      <c r="E15" s="135" t="s">
        <v>196</v>
      </c>
      <c r="F15" s="135" t="s">
        <v>197</v>
      </c>
      <c r="G15" s="135" t="s">
        <v>215</v>
      </c>
      <c r="H15" s="128" t="b">
        <v>0</v>
      </c>
      <c r="I15" s="136" t="b">
        <v>0</v>
      </c>
      <c r="J15" s="136" t="b">
        <v>0</v>
      </c>
      <c r="K15" s="80"/>
      <c r="N15" s="81"/>
      <c r="O15" s="80"/>
      <c r="R15" s="81"/>
    </row>
    <row r="16" spans="1:18" x14ac:dyDescent="0.25">
      <c r="A16" s="110" t="s">
        <v>99</v>
      </c>
      <c r="B16" s="88" t="s">
        <v>116</v>
      </c>
      <c r="C16" s="89" t="s">
        <v>116</v>
      </c>
      <c r="D16" s="100" t="b">
        <v>0</v>
      </c>
      <c r="E16" s="134" t="b">
        <v>0</v>
      </c>
      <c r="F16" s="134" t="b">
        <v>0</v>
      </c>
      <c r="G16" s="134" t="b">
        <v>0</v>
      </c>
      <c r="H16" s="80"/>
      <c r="K16" s="80"/>
      <c r="N16" s="81"/>
      <c r="O16" s="80"/>
      <c r="R16" s="81"/>
    </row>
    <row r="17" spans="1:18" x14ac:dyDescent="0.25">
      <c r="A17" s="90" t="s">
        <v>31</v>
      </c>
      <c r="B17" s="91" t="s">
        <v>208</v>
      </c>
      <c r="C17" s="92">
        <v>7</v>
      </c>
      <c r="D17" s="100" t="b">
        <v>0</v>
      </c>
      <c r="E17" s="135" t="s">
        <v>103</v>
      </c>
      <c r="F17" s="135" t="s">
        <v>40</v>
      </c>
      <c r="G17" s="135" t="s">
        <v>199</v>
      </c>
      <c r="H17" s="128" t="b">
        <v>0</v>
      </c>
      <c r="I17" s="136" t="b">
        <v>0</v>
      </c>
      <c r="J17" s="136" t="b">
        <v>0</v>
      </c>
      <c r="K17" s="80"/>
      <c r="N17" s="81"/>
      <c r="O17" s="80"/>
      <c r="R17" s="81"/>
    </row>
    <row r="18" spans="1:18" x14ac:dyDescent="0.25">
      <c r="A18" s="110" t="s">
        <v>100</v>
      </c>
      <c r="B18" s="88" t="s">
        <v>116</v>
      </c>
      <c r="C18" s="89" t="s">
        <v>116</v>
      </c>
      <c r="D18" s="100" t="b">
        <v>0</v>
      </c>
      <c r="E18" s="134" t="b">
        <v>0</v>
      </c>
      <c r="F18" s="134" t="b">
        <v>0</v>
      </c>
      <c r="G18" s="134" t="b">
        <v>0</v>
      </c>
      <c r="H18" s="80"/>
      <c r="K18" s="80"/>
      <c r="N18" s="81"/>
      <c r="O18" s="80"/>
      <c r="R18" s="81"/>
    </row>
    <row r="19" spans="1:18" s="101" customFormat="1" x14ac:dyDescent="0.25">
      <c r="A19" s="109" t="s">
        <v>210</v>
      </c>
      <c r="B19" s="102" t="s">
        <v>209</v>
      </c>
      <c r="C19" s="103" t="s">
        <v>116</v>
      </c>
      <c r="D19" s="104"/>
      <c r="E19" s="137"/>
      <c r="F19" s="137"/>
      <c r="G19" s="137"/>
      <c r="H19" s="107"/>
      <c r="K19" s="105"/>
      <c r="N19" s="106"/>
      <c r="O19" s="105"/>
      <c r="R19" s="106"/>
    </row>
    <row r="20" spans="1:18" x14ac:dyDescent="0.25">
      <c r="A20" s="90" t="s">
        <v>28</v>
      </c>
      <c r="B20" s="91" t="s">
        <v>207</v>
      </c>
      <c r="C20" s="92">
        <v>6</v>
      </c>
      <c r="D20" s="135" t="s">
        <v>38</v>
      </c>
      <c r="E20" s="135" t="s">
        <v>103</v>
      </c>
      <c r="F20" s="135" t="s">
        <v>40</v>
      </c>
      <c r="G20" s="134" t="b">
        <v>0</v>
      </c>
      <c r="H20" s="80"/>
      <c r="K20" s="80"/>
      <c r="N20" s="81"/>
      <c r="O20" s="80"/>
      <c r="R20" s="81"/>
    </row>
    <row r="21" spans="1:18" ht="15.75" thickBot="1" x14ac:dyDescent="0.3">
      <c r="A21" s="138" t="s">
        <v>175</v>
      </c>
      <c r="B21" s="139" t="s">
        <v>209</v>
      </c>
      <c r="C21" s="140" t="s">
        <v>116</v>
      </c>
      <c r="D21" s="108" t="b">
        <v>0</v>
      </c>
      <c r="E21" s="125" t="s">
        <v>218</v>
      </c>
      <c r="F21" s="125" t="s">
        <v>217</v>
      </c>
      <c r="G21" s="108" t="b">
        <v>0</v>
      </c>
      <c r="H21" s="82"/>
      <c r="I21" s="83"/>
      <c r="J21" s="83"/>
      <c r="K21" s="82"/>
      <c r="L21" s="83"/>
      <c r="M21" s="83"/>
      <c r="N21" s="84"/>
      <c r="O21" s="82"/>
      <c r="P21" s="83"/>
      <c r="Q21" s="83"/>
      <c r="R21" s="84"/>
    </row>
    <row r="22" spans="1:18" ht="15.75" thickBot="1" x14ac:dyDescent="0.3">
      <c r="C22" s="130" t="s">
        <v>44</v>
      </c>
      <c r="D22" s="131">
        <f>COUNTA(D3:D21)-COUNTIF(D3:D21,"FALSE")-COUNTIF(D3:D21, "NO PRICE")</f>
        <v>9</v>
      </c>
      <c r="E22" s="132">
        <f>COUNTA(E3:E21)-COUNTIF(E3:E21,"FALSE")-COUNTIF(E3:E21, "NO PRICE")</f>
        <v>11</v>
      </c>
      <c r="F22" s="132">
        <f>COUNTA(F3:F21)-COUNTIF(F3:F21,"FALSE")-COUNTIF(F3:F21, "NO PRICE")</f>
        <v>13</v>
      </c>
      <c r="G22" s="133">
        <f>COUNTA(G3:G21)-COUNTIF(G3:G21,"FALSE")-COUNTIF(G3:G21, "NO PRICE")</f>
        <v>5</v>
      </c>
      <c r="H22" s="131">
        <f>COUNTA(H3:H21)-COUNTIF(H3:H21,"FALSE")-COUNTIF(H3:H21, "NO PRICE")</f>
        <v>1</v>
      </c>
      <c r="J22"/>
      <c r="M22"/>
      <c r="Q22"/>
    </row>
    <row r="23" spans="1:18" x14ac:dyDescent="0.25">
      <c r="M23"/>
      <c r="Q23"/>
    </row>
    <row r="24" spans="1:18" x14ac:dyDescent="0.25">
      <c r="A24" s="2" t="s">
        <v>25</v>
      </c>
      <c r="D24" s="2"/>
      <c r="E24" s="2"/>
      <c r="F24" s="2"/>
    </row>
    <row r="25" spans="1:18" x14ac:dyDescent="0.25">
      <c r="A25" s="2" t="s">
        <v>225</v>
      </c>
      <c r="D25" s="2"/>
      <c r="E25" s="2"/>
      <c r="F25" s="2"/>
      <c r="G25" s="2"/>
    </row>
    <row r="26" spans="1:18" x14ac:dyDescent="0.25">
      <c r="A26" s="2" t="s">
        <v>30</v>
      </c>
      <c r="D26" s="2"/>
      <c r="E26" s="2"/>
      <c r="F26" s="2"/>
    </row>
    <row r="27" spans="1:18" x14ac:dyDescent="0.25">
      <c r="A27" s="2" t="s">
        <v>26</v>
      </c>
      <c r="D27" s="2"/>
      <c r="E27" s="2"/>
      <c r="F27" s="2"/>
    </row>
    <row r="28" spans="1:18" x14ac:dyDescent="0.25">
      <c r="A28" s="2" t="s">
        <v>6</v>
      </c>
      <c r="D28" s="2"/>
      <c r="E28" s="2"/>
      <c r="F28" s="2"/>
    </row>
    <row r="29" spans="1:18" x14ac:dyDescent="0.25">
      <c r="A29" s="2" t="s">
        <v>22</v>
      </c>
      <c r="D29" s="2"/>
      <c r="E29" s="2"/>
      <c r="F29" s="2"/>
      <c r="G29" s="2"/>
    </row>
    <row r="30" spans="1:18" x14ac:dyDescent="0.25">
      <c r="A30" s="2" t="s">
        <v>211</v>
      </c>
      <c r="D30" s="2"/>
      <c r="E30" s="2"/>
      <c r="F30" s="2"/>
    </row>
    <row r="31" spans="1:18" x14ac:dyDescent="0.25">
      <c r="A31" s="2" t="s">
        <v>19</v>
      </c>
      <c r="D31" s="2"/>
      <c r="E31" s="2"/>
      <c r="F31" s="2"/>
    </row>
    <row r="32" spans="1:18" x14ac:dyDescent="0.25">
      <c r="A32" s="2" t="s">
        <v>29</v>
      </c>
      <c r="D32" s="2"/>
      <c r="E32" s="2"/>
      <c r="F32" s="2"/>
    </row>
    <row r="33" spans="1:1" x14ac:dyDescent="0.25">
      <c r="A33" s="2" t="s">
        <v>7</v>
      </c>
    </row>
    <row r="34" spans="1:1" x14ac:dyDescent="0.25">
      <c r="A34" s="2" t="s">
        <v>31</v>
      </c>
    </row>
    <row r="35" spans="1:1" x14ac:dyDescent="0.25">
      <c r="A35" s="2" t="s">
        <v>28</v>
      </c>
    </row>
    <row r="36" spans="1:1" x14ac:dyDescent="0.25">
      <c r="A36" s="2" t="s">
        <v>175</v>
      </c>
    </row>
  </sheetData>
  <sortState xmlns:xlrd2="http://schemas.microsoft.com/office/spreadsheetml/2017/richdata2" ref="A24:A37">
    <sortCondition ref="A24:A37"/>
  </sortState>
  <mergeCells count="4">
    <mergeCell ref="K1:N1"/>
    <mergeCell ref="H1:J1"/>
    <mergeCell ref="O1:R1"/>
    <mergeCell ref="D1:G1"/>
  </mergeCells>
  <phoneticPr fontId="3"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FAF9B6-FC5E-4FF4-B5FC-4461B285498A}">
  <sheetPr codeName="Sheet4"/>
  <dimension ref="A1:AC179"/>
  <sheetViews>
    <sheetView tabSelected="1" zoomScaleNormal="100" workbookViewId="0">
      <pane ySplit="1" topLeftCell="A48" activePane="bottomLeft" state="frozen"/>
      <selection pane="bottomLeft" activeCell="L70" sqref="L70"/>
    </sheetView>
  </sheetViews>
  <sheetFormatPr defaultColWidth="8.85546875" defaultRowHeight="15" x14ac:dyDescent="0.25"/>
  <cols>
    <col min="1" max="1" width="15.140625" style="36" bestFit="1" customWidth="1"/>
    <col min="2" max="2" width="13.7109375" style="36" bestFit="1" customWidth="1"/>
    <col min="3" max="3" width="16.42578125" style="36" bestFit="1" customWidth="1"/>
    <col min="4" max="4" width="16.85546875" style="36" bestFit="1" customWidth="1"/>
    <col min="5" max="6" width="16.42578125" style="36" bestFit="1" customWidth="1"/>
    <col min="7" max="7" width="20.140625" style="2" bestFit="1" customWidth="1"/>
    <col min="8" max="8" width="16.42578125" style="2" bestFit="1" customWidth="1"/>
    <col min="9" max="9" width="19.140625" style="44" bestFit="1" customWidth="1"/>
    <col min="10" max="10" width="18.140625" style="44" bestFit="1" customWidth="1"/>
    <col min="11" max="11" width="17.85546875" style="2" bestFit="1" customWidth="1"/>
    <col min="12" max="12" width="19.85546875" style="2" bestFit="1" customWidth="1"/>
    <col min="13" max="13" width="14.7109375" style="4" bestFit="1" customWidth="1"/>
    <col min="14" max="14" width="23" style="4" bestFit="1" customWidth="1"/>
    <col min="15" max="15" width="23" style="2" bestFit="1" customWidth="1"/>
    <col min="16" max="18" width="14.7109375" style="2" bestFit="1" customWidth="1"/>
    <col min="19" max="19" width="16.140625" style="2" bestFit="1" customWidth="1"/>
    <col min="20" max="20" width="14.7109375" style="44" bestFit="1" customWidth="1"/>
    <col min="21" max="21" width="16.140625" style="2" bestFit="1" customWidth="1"/>
    <col min="22" max="22" width="16.140625" style="3" bestFit="1" customWidth="1"/>
    <col min="23" max="23" width="14.7109375" style="3" bestFit="1" customWidth="1"/>
    <col min="24" max="24" width="16.140625" style="3" bestFit="1" customWidth="1"/>
    <col min="25" max="26" width="14.7109375" style="2" bestFit="1" customWidth="1"/>
    <col min="27" max="27" width="16.140625" style="2" bestFit="1" customWidth="1"/>
    <col min="28" max="16384" width="8.85546875" style="2"/>
  </cols>
  <sheetData>
    <row r="1" spans="1:29" x14ac:dyDescent="0.25">
      <c r="A1" s="6" t="s">
        <v>194</v>
      </c>
      <c r="B1" s="6" t="s">
        <v>247</v>
      </c>
      <c r="C1" s="6" t="s">
        <v>338</v>
      </c>
      <c r="D1" s="1" t="s">
        <v>11</v>
      </c>
      <c r="E1" s="1" t="s">
        <v>184</v>
      </c>
      <c r="F1" s="1" t="s">
        <v>182</v>
      </c>
      <c r="G1" s="13" t="s">
        <v>183</v>
      </c>
      <c r="H1" s="6" t="s">
        <v>185</v>
      </c>
      <c r="I1" s="6" t="s">
        <v>176</v>
      </c>
      <c r="J1" s="1" t="s">
        <v>0</v>
      </c>
      <c r="K1" s="42" t="s">
        <v>1</v>
      </c>
      <c r="L1" s="42" t="s">
        <v>2</v>
      </c>
      <c r="M1" s="6" t="s">
        <v>172</v>
      </c>
      <c r="N1" s="6" t="s">
        <v>10</v>
      </c>
      <c r="O1" s="6" t="s">
        <v>362</v>
      </c>
      <c r="P1" s="6"/>
      <c r="Q1" s="6"/>
      <c r="R1" s="6"/>
      <c r="T1" s="2"/>
      <c r="V1" s="44"/>
      <c r="W1" s="2"/>
      <c r="Y1" s="1"/>
      <c r="Z1" s="6"/>
      <c r="AA1" s="1"/>
      <c r="AB1" s="1"/>
      <c r="AC1" s="1"/>
    </row>
    <row r="2" spans="1:29" x14ac:dyDescent="0.25">
      <c r="A2" s="4" t="b">
        <v>1</v>
      </c>
      <c r="B2" s="4" t="s">
        <v>339</v>
      </c>
      <c r="C2" s="4" t="s">
        <v>18</v>
      </c>
      <c r="D2" s="2" t="s">
        <v>32</v>
      </c>
      <c r="E2" s="2" t="s">
        <v>38</v>
      </c>
      <c r="F2" s="2" t="s">
        <v>202</v>
      </c>
      <c r="G2" s="2" t="s">
        <v>39</v>
      </c>
      <c r="H2" s="44" t="s">
        <v>190</v>
      </c>
      <c r="I2" s="44" t="s">
        <v>190</v>
      </c>
      <c r="J2" s="2" t="s">
        <v>8</v>
      </c>
      <c r="K2" s="142">
        <v>1E-3</v>
      </c>
      <c r="L2" s="142">
        <v>1E-3</v>
      </c>
      <c r="M2" s="3">
        <v>0</v>
      </c>
      <c r="N2" s="70"/>
      <c r="O2" s="3" t="b">
        <v>0</v>
      </c>
      <c r="P2" s="3"/>
      <c r="Q2" s="70"/>
      <c r="R2" s="3"/>
      <c r="T2" s="2"/>
      <c r="V2" s="44"/>
      <c r="W2" s="2"/>
      <c r="Y2" s="3"/>
    </row>
    <row r="3" spans="1:29" x14ac:dyDescent="0.25">
      <c r="A3" s="4" t="b">
        <v>1</v>
      </c>
      <c r="B3" s="4" t="s">
        <v>339</v>
      </c>
      <c r="C3" s="4" t="s">
        <v>18</v>
      </c>
      <c r="D3" s="2" t="s">
        <v>32</v>
      </c>
      <c r="E3" s="2" t="s">
        <v>199</v>
      </c>
      <c r="F3" s="2" t="s">
        <v>202</v>
      </c>
      <c r="G3" s="2" t="s">
        <v>201</v>
      </c>
      <c r="H3" s="44" t="s">
        <v>190</v>
      </c>
      <c r="I3" s="44" t="s">
        <v>190</v>
      </c>
      <c r="J3" s="2" t="s">
        <v>8</v>
      </c>
      <c r="K3" s="142">
        <v>1E-3</v>
      </c>
      <c r="L3" s="142">
        <v>1E-3</v>
      </c>
      <c r="M3" s="3">
        <v>0</v>
      </c>
      <c r="N3" s="70"/>
      <c r="O3" s="3" t="b">
        <v>0</v>
      </c>
      <c r="P3" s="3"/>
      <c r="Q3" s="70"/>
      <c r="R3" s="3"/>
      <c r="T3" s="2"/>
      <c r="V3" s="44"/>
      <c r="W3" s="2"/>
      <c r="Y3" s="3"/>
    </row>
    <row r="4" spans="1:29" x14ac:dyDescent="0.25">
      <c r="A4" s="4" t="b">
        <v>1</v>
      </c>
      <c r="B4" s="4" t="s">
        <v>339</v>
      </c>
      <c r="C4" s="4" t="s">
        <v>18</v>
      </c>
      <c r="D4" s="2" t="s">
        <v>32</v>
      </c>
      <c r="E4" s="2" t="s">
        <v>103</v>
      </c>
      <c r="F4" s="2" t="s">
        <v>202</v>
      </c>
      <c r="G4" s="2" t="s">
        <v>193</v>
      </c>
      <c r="H4" s="44" t="s">
        <v>190</v>
      </c>
      <c r="I4" s="44" t="s">
        <v>190</v>
      </c>
      <c r="J4" s="2" t="s">
        <v>8</v>
      </c>
      <c r="K4" s="142">
        <v>1E-3</v>
      </c>
      <c r="L4" s="142">
        <v>1E-3</v>
      </c>
      <c r="M4" s="3">
        <v>0</v>
      </c>
      <c r="N4" s="70"/>
      <c r="O4" s="3" t="b">
        <v>0</v>
      </c>
      <c r="P4" s="3"/>
      <c r="Q4" s="70"/>
      <c r="R4" s="3"/>
      <c r="T4" s="2"/>
      <c r="V4" s="44"/>
      <c r="W4" s="2"/>
      <c r="Y4" s="3"/>
    </row>
    <row r="5" spans="1:29" x14ac:dyDescent="0.25">
      <c r="A5" s="4" t="b">
        <v>1</v>
      </c>
      <c r="B5" s="4" t="s">
        <v>339</v>
      </c>
      <c r="C5" s="4" t="s">
        <v>18</v>
      </c>
      <c r="D5" s="2" t="s">
        <v>32</v>
      </c>
      <c r="E5" s="2" t="s">
        <v>40</v>
      </c>
      <c r="F5" s="2" t="s">
        <v>202</v>
      </c>
      <c r="G5" s="2" t="s">
        <v>37</v>
      </c>
      <c r="H5" s="44" t="s">
        <v>190</v>
      </c>
      <c r="I5" s="44" t="s">
        <v>190</v>
      </c>
      <c r="J5" s="2" t="s">
        <v>8</v>
      </c>
      <c r="K5" s="142">
        <v>1E-3</v>
      </c>
      <c r="L5" s="142">
        <v>1E-3</v>
      </c>
      <c r="M5" s="3">
        <v>0</v>
      </c>
      <c r="N5" s="70"/>
      <c r="O5" s="3" t="b">
        <v>0</v>
      </c>
      <c r="P5" s="3"/>
      <c r="Q5" s="70"/>
      <c r="R5" s="3"/>
      <c r="T5" s="2"/>
      <c r="V5" s="44"/>
      <c r="W5" s="2"/>
      <c r="Y5" s="3"/>
    </row>
    <row r="6" spans="1:29" x14ac:dyDescent="0.25">
      <c r="A6" s="4" t="b">
        <v>0</v>
      </c>
      <c r="B6" s="4" t="s">
        <v>339</v>
      </c>
      <c r="C6" s="4" t="s">
        <v>18</v>
      </c>
      <c r="D6" s="2" t="s">
        <v>32</v>
      </c>
      <c r="E6" s="2" t="s">
        <v>38</v>
      </c>
      <c r="F6" s="2" t="s">
        <v>225</v>
      </c>
      <c r="G6" s="2" t="s">
        <v>39</v>
      </c>
      <c r="H6" s="44" t="s">
        <v>190</v>
      </c>
      <c r="I6" s="44" t="s">
        <v>190</v>
      </c>
      <c r="J6" s="2" t="s">
        <v>8</v>
      </c>
      <c r="K6" s="142">
        <v>1E-3</v>
      </c>
      <c r="L6" s="142">
        <v>1E-3</v>
      </c>
      <c r="M6" s="3">
        <v>0</v>
      </c>
      <c r="N6" s="70"/>
      <c r="O6" s="3" t="b">
        <v>1</v>
      </c>
      <c r="P6" s="3"/>
      <c r="Q6" s="70"/>
      <c r="R6" s="3"/>
      <c r="T6" s="2"/>
      <c r="V6" s="44"/>
      <c r="W6" s="2"/>
      <c r="Y6" s="3"/>
    </row>
    <row r="7" spans="1:29" x14ac:dyDescent="0.25">
      <c r="A7" s="4" t="b">
        <v>0</v>
      </c>
      <c r="B7" s="4" t="s">
        <v>339</v>
      </c>
      <c r="C7" s="4" t="s">
        <v>18</v>
      </c>
      <c r="D7" s="2" t="s">
        <v>32</v>
      </c>
      <c r="E7" s="2" t="s">
        <v>103</v>
      </c>
      <c r="F7" s="2" t="s">
        <v>225</v>
      </c>
      <c r="G7" s="2" t="s">
        <v>193</v>
      </c>
      <c r="H7" s="44" t="s">
        <v>190</v>
      </c>
      <c r="I7" s="44" t="s">
        <v>190</v>
      </c>
      <c r="J7" s="2" t="s">
        <v>8</v>
      </c>
      <c r="K7" s="142">
        <v>1E-3</v>
      </c>
      <c r="L7" s="142">
        <v>1E-3</v>
      </c>
      <c r="M7" s="3">
        <v>0</v>
      </c>
      <c r="N7" s="70"/>
      <c r="O7" s="3" t="b">
        <v>0</v>
      </c>
      <c r="P7" s="3"/>
      <c r="Q7" s="70"/>
      <c r="R7" s="3"/>
      <c r="T7" s="2"/>
      <c r="V7" s="44"/>
      <c r="W7" s="2"/>
      <c r="Y7" s="3"/>
    </row>
    <row r="8" spans="1:29" x14ac:dyDescent="0.25">
      <c r="A8" s="4" t="b">
        <v>0</v>
      </c>
      <c r="B8" s="4" t="s">
        <v>339</v>
      </c>
      <c r="C8" s="4" t="s">
        <v>18</v>
      </c>
      <c r="D8" s="2" t="s">
        <v>32</v>
      </c>
      <c r="E8" s="2" t="s">
        <v>40</v>
      </c>
      <c r="F8" s="2" t="s">
        <v>225</v>
      </c>
      <c r="G8" s="2" t="s">
        <v>37</v>
      </c>
      <c r="H8" s="44" t="s">
        <v>190</v>
      </c>
      <c r="I8" s="44" t="s">
        <v>190</v>
      </c>
      <c r="J8" s="2" t="s">
        <v>8</v>
      </c>
      <c r="K8" s="142">
        <v>1E-3</v>
      </c>
      <c r="L8" s="142">
        <v>1E-3</v>
      </c>
      <c r="M8" s="3">
        <v>0</v>
      </c>
      <c r="N8" s="70"/>
      <c r="O8" s="3" t="b">
        <v>0</v>
      </c>
      <c r="P8" s="3"/>
      <c r="Q8" s="70"/>
      <c r="R8" s="3"/>
      <c r="T8" s="2"/>
      <c r="V8" s="44"/>
      <c r="W8" s="2"/>
      <c r="Y8" s="3"/>
    </row>
    <row r="9" spans="1:29" x14ac:dyDescent="0.25">
      <c r="A9" s="4" t="b">
        <v>1</v>
      </c>
      <c r="B9" s="4" t="s">
        <v>339</v>
      </c>
      <c r="C9" s="4" t="s">
        <v>18</v>
      </c>
      <c r="D9" s="2" t="s">
        <v>32</v>
      </c>
      <c r="E9" s="2" t="s">
        <v>38</v>
      </c>
      <c r="F9" s="2" t="s">
        <v>30</v>
      </c>
      <c r="G9" s="2" t="s">
        <v>36</v>
      </c>
      <c r="H9" s="3" t="s">
        <v>34</v>
      </c>
      <c r="I9" s="3" t="s">
        <v>18</v>
      </c>
      <c r="J9" s="2" t="s">
        <v>8</v>
      </c>
      <c r="K9" s="142">
        <v>1E-3</v>
      </c>
      <c r="L9" s="142">
        <v>2E-3</v>
      </c>
      <c r="M9" s="3">
        <v>0</v>
      </c>
      <c r="N9" s="70"/>
      <c r="O9" s="3" t="b">
        <v>0</v>
      </c>
      <c r="P9" s="3"/>
      <c r="Q9" s="70"/>
      <c r="R9" s="3"/>
      <c r="T9" s="2"/>
      <c r="V9" s="44"/>
      <c r="W9" s="2"/>
      <c r="Y9" s="3"/>
    </row>
    <row r="10" spans="1:29" x14ac:dyDescent="0.25">
      <c r="A10" s="4" t="b">
        <v>1</v>
      </c>
      <c r="B10" s="4" t="s">
        <v>339</v>
      </c>
      <c r="C10" s="4" t="s">
        <v>18</v>
      </c>
      <c r="D10" s="2" t="s">
        <v>32</v>
      </c>
      <c r="E10" s="2" t="s">
        <v>40</v>
      </c>
      <c r="F10" s="2" t="s">
        <v>30</v>
      </c>
      <c r="G10" s="2" t="s">
        <v>220</v>
      </c>
      <c r="H10" s="3" t="s">
        <v>33</v>
      </c>
      <c r="I10" s="3" t="s">
        <v>18</v>
      </c>
      <c r="J10" s="2" t="s">
        <v>8</v>
      </c>
      <c r="K10" s="142">
        <v>1E-3</v>
      </c>
      <c r="L10" s="142">
        <v>2E-3</v>
      </c>
      <c r="M10" s="3">
        <v>0</v>
      </c>
      <c r="N10" s="70"/>
      <c r="O10" s="3" t="b">
        <v>0</v>
      </c>
      <c r="P10" s="3"/>
      <c r="Q10" s="70"/>
      <c r="R10" s="3"/>
      <c r="T10" s="2"/>
      <c r="V10" s="44"/>
      <c r="W10" s="2"/>
      <c r="Y10" s="3"/>
    </row>
    <row r="11" spans="1:29" s="36" customFormat="1" x14ac:dyDescent="0.25">
      <c r="A11" s="4" t="b">
        <v>1</v>
      </c>
      <c r="B11" s="4" t="s">
        <v>339</v>
      </c>
      <c r="C11" s="4" t="s">
        <v>18</v>
      </c>
      <c r="D11" s="2" t="s">
        <v>32</v>
      </c>
      <c r="E11" s="2" t="s">
        <v>38</v>
      </c>
      <c r="F11" s="2" t="s">
        <v>26</v>
      </c>
      <c r="G11" s="2" t="s">
        <v>39</v>
      </c>
      <c r="H11" s="44" t="s">
        <v>190</v>
      </c>
      <c r="I11" s="44" t="s">
        <v>190</v>
      </c>
      <c r="J11" s="2" t="s">
        <v>8</v>
      </c>
      <c r="K11" s="142">
        <v>1E-3</v>
      </c>
      <c r="L11" s="142">
        <v>1E-3</v>
      </c>
      <c r="M11" s="3">
        <v>0</v>
      </c>
      <c r="N11" s="70"/>
      <c r="O11" s="3" t="b">
        <v>0</v>
      </c>
      <c r="P11" s="3"/>
      <c r="Q11" s="70"/>
      <c r="R11" s="3"/>
      <c r="Y11" s="2"/>
    </row>
    <row r="12" spans="1:29" s="36" customFormat="1" x14ac:dyDescent="0.25">
      <c r="A12" s="4" t="b">
        <v>1</v>
      </c>
      <c r="B12" s="4" t="s">
        <v>339</v>
      </c>
      <c r="C12" s="4" t="s">
        <v>18</v>
      </c>
      <c r="D12" s="2" t="s">
        <v>32</v>
      </c>
      <c r="E12" s="2" t="s">
        <v>103</v>
      </c>
      <c r="F12" s="2" t="s">
        <v>26</v>
      </c>
      <c r="G12" s="2" t="s">
        <v>193</v>
      </c>
      <c r="H12" s="44" t="s">
        <v>190</v>
      </c>
      <c r="I12" s="44" t="s">
        <v>190</v>
      </c>
      <c r="J12" s="2" t="s">
        <v>8</v>
      </c>
      <c r="K12" s="142">
        <v>1E-3</v>
      </c>
      <c r="L12" s="142">
        <v>1E-3</v>
      </c>
      <c r="M12" s="3">
        <v>0</v>
      </c>
      <c r="N12" s="70"/>
      <c r="O12" s="3" t="b">
        <v>0</v>
      </c>
      <c r="P12" s="3"/>
      <c r="Q12" s="70"/>
      <c r="R12" s="3"/>
      <c r="Y12" s="2"/>
    </row>
    <row r="13" spans="1:29" s="36" customFormat="1" x14ac:dyDescent="0.25">
      <c r="A13" s="4" t="b">
        <v>1</v>
      </c>
      <c r="B13" s="4" t="s">
        <v>339</v>
      </c>
      <c r="C13" s="4" t="s">
        <v>18</v>
      </c>
      <c r="D13" s="2" t="s">
        <v>32</v>
      </c>
      <c r="E13" s="2" t="s">
        <v>40</v>
      </c>
      <c r="F13" s="2" t="s">
        <v>26</v>
      </c>
      <c r="G13" s="2" t="s">
        <v>37</v>
      </c>
      <c r="H13" s="44" t="s">
        <v>190</v>
      </c>
      <c r="I13" s="44" t="s">
        <v>190</v>
      </c>
      <c r="J13" s="2" t="s">
        <v>8</v>
      </c>
      <c r="K13" s="142">
        <v>1E-3</v>
      </c>
      <c r="L13" s="142">
        <v>1E-3</v>
      </c>
      <c r="M13" s="3">
        <v>0</v>
      </c>
      <c r="N13" s="70"/>
      <c r="O13" s="3" t="b">
        <v>0</v>
      </c>
      <c r="P13" s="3"/>
      <c r="Q13" s="70"/>
      <c r="R13" s="3"/>
      <c r="Y13" s="2"/>
    </row>
    <row r="14" spans="1:29" s="36" customFormat="1" x14ac:dyDescent="0.25">
      <c r="A14" s="4" t="b">
        <v>0</v>
      </c>
      <c r="B14" s="4" t="s">
        <v>339</v>
      </c>
      <c r="C14" s="4" t="s">
        <v>18</v>
      </c>
      <c r="D14" s="2" t="s">
        <v>32</v>
      </c>
      <c r="E14" s="2" t="s">
        <v>38</v>
      </c>
      <c r="F14" s="2" t="s">
        <v>6</v>
      </c>
      <c r="G14" s="2" t="s">
        <v>38</v>
      </c>
      <c r="H14" s="44" t="s">
        <v>190</v>
      </c>
      <c r="I14" s="44" t="s">
        <v>190</v>
      </c>
      <c r="J14" s="2" t="s">
        <v>8</v>
      </c>
      <c r="K14" s="142">
        <v>4.0000000000000001E-3</v>
      </c>
      <c r="L14" s="142">
        <v>6.0000000000000001E-3</v>
      </c>
      <c r="M14" s="3">
        <v>0</v>
      </c>
      <c r="N14" s="70"/>
      <c r="O14" s="3" t="b">
        <v>1</v>
      </c>
      <c r="P14" s="3"/>
      <c r="Q14" s="70"/>
      <c r="R14" s="3"/>
      <c r="Y14" s="2"/>
    </row>
    <row r="15" spans="1:29" customFormat="1" x14ac:dyDescent="0.25">
      <c r="A15" s="4" t="b">
        <v>0</v>
      </c>
      <c r="B15" s="4" t="s">
        <v>339</v>
      </c>
      <c r="C15" s="4" t="s">
        <v>18</v>
      </c>
      <c r="D15" s="2" t="s">
        <v>32</v>
      </c>
      <c r="E15" s="2" t="s">
        <v>40</v>
      </c>
      <c r="F15" s="2" t="s">
        <v>6</v>
      </c>
      <c r="G15" s="2" t="s">
        <v>40</v>
      </c>
      <c r="H15" s="44" t="s">
        <v>190</v>
      </c>
      <c r="I15" s="44" t="s">
        <v>190</v>
      </c>
      <c r="J15" s="2" t="s">
        <v>8</v>
      </c>
      <c r="K15" s="142">
        <v>4.0000000000000001E-3</v>
      </c>
      <c r="L15" s="142">
        <v>6.0000000000000001E-3</v>
      </c>
      <c r="M15" s="3">
        <v>0</v>
      </c>
      <c r="N15" s="70"/>
      <c r="O15" s="3" t="b">
        <v>0</v>
      </c>
      <c r="P15" s="3"/>
      <c r="Q15" s="70"/>
      <c r="R15" s="3"/>
    </row>
    <row r="16" spans="1:29" customFormat="1" x14ac:dyDescent="0.25">
      <c r="A16" s="4" t="b">
        <v>1</v>
      </c>
      <c r="B16" s="4" t="s">
        <v>339</v>
      </c>
      <c r="C16" s="4" t="s">
        <v>18</v>
      </c>
      <c r="D16" s="2" t="s">
        <v>32</v>
      </c>
      <c r="E16" s="2" t="s">
        <v>103</v>
      </c>
      <c r="F16" s="2" t="s">
        <v>22</v>
      </c>
      <c r="G16" s="2" t="s">
        <v>177</v>
      </c>
      <c r="H16" s="44" t="s">
        <v>190</v>
      </c>
      <c r="I16" s="44" t="s">
        <v>190</v>
      </c>
      <c r="J16" s="2" t="s">
        <v>8</v>
      </c>
      <c r="K16" s="141">
        <v>1E-3</v>
      </c>
      <c r="L16" s="141">
        <v>1E-3</v>
      </c>
      <c r="M16" s="3">
        <v>0</v>
      </c>
      <c r="N16" s="70"/>
      <c r="O16" s="3" t="b">
        <v>0</v>
      </c>
      <c r="P16" s="3"/>
      <c r="Q16" s="70"/>
      <c r="R16" s="3"/>
    </row>
    <row r="17" spans="1:18" customFormat="1" x14ac:dyDescent="0.25">
      <c r="A17" s="4" t="b">
        <v>1</v>
      </c>
      <c r="B17" s="4" t="s">
        <v>339</v>
      </c>
      <c r="C17" s="4" t="s">
        <v>18</v>
      </c>
      <c r="D17" s="2" t="s">
        <v>32</v>
      </c>
      <c r="E17" s="2" t="s">
        <v>40</v>
      </c>
      <c r="F17" s="2" t="s">
        <v>22</v>
      </c>
      <c r="G17" s="2" t="s">
        <v>178</v>
      </c>
      <c r="H17" s="44" t="s">
        <v>190</v>
      </c>
      <c r="I17" s="44" t="s">
        <v>190</v>
      </c>
      <c r="J17" s="2" t="s">
        <v>8</v>
      </c>
      <c r="K17" s="141">
        <v>1E-3</v>
      </c>
      <c r="L17" s="141">
        <v>1E-3</v>
      </c>
      <c r="M17" s="3">
        <v>0</v>
      </c>
      <c r="N17" s="70"/>
      <c r="O17" s="3" t="b">
        <v>0</v>
      </c>
      <c r="P17" s="3"/>
      <c r="Q17" s="70"/>
      <c r="R17" s="3"/>
    </row>
    <row r="18" spans="1:18" customFormat="1" x14ac:dyDescent="0.25">
      <c r="A18" s="4" t="b">
        <v>1</v>
      </c>
      <c r="B18" s="4" t="s">
        <v>339</v>
      </c>
      <c r="C18" s="4" t="s">
        <v>18</v>
      </c>
      <c r="D18" s="2" t="s">
        <v>32</v>
      </c>
      <c r="E18" s="2" t="s">
        <v>103</v>
      </c>
      <c r="F18" s="2" t="s">
        <v>211</v>
      </c>
      <c r="G18" s="2" t="s">
        <v>177</v>
      </c>
      <c r="H18" s="44" t="s">
        <v>190</v>
      </c>
      <c r="I18" s="44" t="s">
        <v>190</v>
      </c>
      <c r="J18" s="2" t="s">
        <v>8</v>
      </c>
      <c r="K18" s="142">
        <v>2E-3</v>
      </c>
      <c r="L18" s="142">
        <v>2E-3</v>
      </c>
      <c r="M18" s="3">
        <v>0</v>
      </c>
      <c r="N18" s="70"/>
      <c r="O18" s="3" t="b">
        <v>0</v>
      </c>
      <c r="P18" s="3"/>
      <c r="Q18" s="70"/>
      <c r="R18" s="3"/>
    </row>
    <row r="19" spans="1:18" customFormat="1" x14ac:dyDescent="0.25">
      <c r="A19" s="4" t="b">
        <v>1</v>
      </c>
      <c r="B19" s="4" t="s">
        <v>339</v>
      </c>
      <c r="C19" s="4" t="s">
        <v>18</v>
      </c>
      <c r="D19" s="2" t="s">
        <v>32</v>
      </c>
      <c r="E19" s="2" t="s">
        <v>40</v>
      </c>
      <c r="F19" s="2" t="s">
        <v>211</v>
      </c>
      <c r="G19" s="2" t="s">
        <v>178</v>
      </c>
      <c r="H19" s="44" t="s">
        <v>190</v>
      </c>
      <c r="I19" s="44" t="s">
        <v>190</v>
      </c>
      <c r="J19" s="2" t="s">
        <v>8</v>
      </c>
      <c r="K19" s="142">
        <v>2E-3</v>
      </c>
      <c r="L19" s="142">
        <v>2E-3</v>
      </c>
      <c r="M19" s="3">
        <v>0</v>
      </c>
      <c r="N19" s="70"/>
      <c r="O19" s="3" t="b">
        <v>0</v>
      </c>
      <c r="P19" s="3"/>
      <c r="Q19" s="70"/>
      <c r="R19" s="3"/>
    </row>
    <row r="20" spans="1:18" customFormat="1" x14ac:dyDescent="0.25">
      <c r="A20" s="4" t="b">
        <v>1</v>
      </c>
      <c r="B20" s="4" t="s">
        <v>339</v>
      </c>
      <c r="C20" s="4" t="s">
        <v>18</v>
      </c>
      <c r="D20" s="2" t="s">
        <v>32</v>
      </c>
      <c r="E20" s="2" t="s">
        <v>199</v>
      </c>
      <c r="F20" s="2" t="s">
        <v>211</v>
      </c>
      <c r="G20" s="2" t="s">
        <v>216</v>
      </c>
      <c r="H20" s="44" t="s">
        <v>190</v>
      </c>
      <c r="I20" s="44" t="s">
        <v>190</v>
      </c>
      <c r="J20" s="2" t="s">
        <v>8</v>
      </c>
      <c r="K20" s="142">
        <v>2E-3</v>
      </c>
      <c r="L20" s="142">
        <v>2E-3</v>
      </c>
      <c r="M20" s="3">
        <v>0</v>
      </c>
      <c r="N20" s="70"/>
      <c r="O20" s="3" t="b">
        <v>0</v>
      </c>
      <c r="P20" s="3"/>
      <c r="Q20" s="70"/>
      <c r="R20" s="3"/>
    </row>
    <row r="21" spans="1:18" customFormat="1" x14ac:dyDescent="0.25">
      <c r="A21" s="4" t="b">
        <v>0</v>
      </c>
      <c r="B21" s="4" t="s">
        <v>339</v>
      </c>
      <c r="C21" s="4" t="s">
        <v>18</v>
      </c>
      <c r="D21" s="2" t="s">
        <v>32</v>
      </c>
      <c r="E21" s="2" t="s">
        <v>38</v>
      </c>
      <c r="F21" s="2" t="s">
        <v>19</v>
      </c>
      <c r="G21" s="2" t="s">
        <v>191</v>
      </c>
      <c r="H21" s="44" t="s">
        <v>190</v>
      </c>
      <c r="I21" s="44" t="s">
        <v>190</v>
      </c>
      <c r="J21" s="2" t="s">
        <v>8</v>
      </c>
      <c r="K21" s="142">
        <v>2E-3</v>
      </c>
      <c r="L21" s="142">
        <v>4.0000000000000001E-3</v>
      </c>
      <c r="M21" s="3">
        <v>0</v>
      </c>
      <c r="N21" s="70"/>
      <c r="O21" s="3" t="b">
        <v>1</v>
      </c>
      <c r="P21" s="3"/>
      <c r="Q21" s="70"/>
      <c r="R21" s="3"/>
    </row>
    <row r="22" spans="1:18" customFormat="1" x14ac:dyDescent="0.25">
      <c r="A22" s="4" t="b">
        <v>0</v>
      </c>
      <c r="B22" s="4" t="s">
        <v>339</v>
      </c>
      <c r="C22" s="4" t="s">
        <v>18</v>
      </c>
      <c r="D22" s="2" t="s">
        <v>32</v>
      </c>
      <c r="E22" s="2" t="s">
        <v>103</v>
      </c>
      <c r="F22" s="2" t="s">
        <v>19</v>
      </c>
      <c r="G22" s="2" t="s">
        <v>192</v>
      </c>
      <c r="H22" s="44" t="s">
        <v>190</v>
      </c>
      <c r="I22" s="44" t="s">
        <v>190</v>
      </c>
      <c r="J22" s="2" t="s">
        <v>8</v>
      </c>
      <c r="K22" s="142">
        <v>2E-3</v>
      </c>
      <c r="L22" s="142">
        <v>4.0000000000000001E-3</v>
      </c>
      <c r="M22" s="3">
        <v>0</v>
      </c>
      <c r="N22" s="70"/>
      <c r="O22" s="3" t="b">
        <v>0</v>
      </c>
      <c r="P22" s="3"/>
      <c r="Q22" s="70"/>
      <c r="R22" s="3"/>
    </row>
    <row r="23" spans="1:18" customFormat="1" x14ac:dyDescent="0.25">
      <c r="A23" s="4" t="b">
        <v>0</v>
      </c>
      <c r="B23" s="4" t="s">
        <v>339</v>
      </c>
      <c r="C23" s="4" t="s">
        <v>18</v>
      </c>
      <c r="D23" s="2" t="s">
        <v>32</v>
      </c>
      <c r="E23" s="2" t="s">
        <v>40</v>
      </c>
      <c r="F23" s="2" t="s">
        <v>19</v>
      </c>
      <c r="G23" s="2" t="s">
        <v>35</v>
      </c>
      <c r="H23" s="44" t="s">
        <v>190</v>
      </c>
      <c r="I23" s="44" t="s">
        <v>190</v>
      </c>
      <c r="J23" s="2" t="s">
        <v>8</v>
      </c>
      <c r="K23" s="142">
        <v>2E-3</v>
      </c>
      <c r="L23" s="142">
        <v>4.0000000000000001E-3</v>
      </c>
      <c r="M23" s="3">
        <v>0</v>
      </c>
      <c r="N23" s="70"/>
      <c r="O23" s="3" t="b">
        <v>0</v>
      </c>
      <c r="P23" s="3"/>
      <c r="Q23" s="70"/>
      <c r="R23" s="3"/>
    </row>
    <row r="24" spans="1:18" customFormat="1" x14ac:dyDescent="0.25">
      <c r="A24" s="4" t="b">
        <v>1</v>
      </c>
      <c r="B24" s="4" t="s">
        <v>339</v>
      </c>
      <c r="C24" s="4" t="s">
        <v>18</v>
      </c>
      <c r="D24" s="2" t="s">
        <v>32</v>
      </c>
      <c r="E24" s="2" t="s">
        <v>199</v>
      </c>
      <c r="F24" s="2" t="s">
        <v>29</v>
      </c>
      <c r="G24" s="2" t="s">
        <v>214</v>
      </c>
      <c r="H24" s="44" t="s">
        <v>190</v>
      </c>
      <c r="I24" s="44" t="s">
        <v>190</v>
      </c>
      <c r="J24" s="2" t="s">
        <v>8</v>
      </c>
      <c r="K24" s="142">
        <v>2E-3</v>
      </c>
      <c r="L24" s="142">
        <v>2E-3</v>
      </c>
      <c r="M24" s="3">
        <v>0</v>
      </c>
      <c r="N24" s="70"/>
      <c r="O24" s="3" t="b">
        <v>0</v>
      </c>
      <c r="P24" s="3"/>
      <c r="Q24" s="70"/>
      <c r="R24" s="3"/>
    </row>
    <row r="25" spans="1:18" customFormat="1" x14ac:dyDescent="0.25">
      <c r="A25" s="4" t="b">
        <v>1</v>
      </c>
      <c r="B25" s="4" t="s">
        <v>339</v>
      </c>
      <c r="C25" s="4" t="s">
        <v>18</v>
      </c>
      <c r="D25" s="2" t="s">
        <v>32</v>
      </c>
      <c r="E25" s="2" t="s">
        <v>103</v>
      </c>
      <c r="F25" s="2" t="s">
        <v>29</v>
      </c>
      <c r="G25" s="2" t="s">
        <v>192</v>
      </c>
      <c r="H25" s="44" t="s">
        <v>190</v>
      </c>
      <c r="I25" s="44" t="s">
        <v>190</v>
      </c>
      <c r="J25" s="2" t="s">
        <v>8</v>
      </c>
      <c r="K25" s="142">
        <v>2E-3</v>
      </c>
      <c r="L25" s="142">
        <v>2E-3</v>
      </c>
      <c r="M25" s="3">
        <v>0</v>
      </c>
      <c r="N25" s="70"/>
      <c r="O25" s="3" t="b">
        <v>0</v>
      </c>
      <c r="P25" s="3"/>
      <c r="Q25" s="70"/>
      <c r="R25" s="3"/>
    </row>
    <row r="26" spans="1:18" customFormat="1" x14ac:dyDescent="0.25">
      <c r="A26" s="4" t="b">
        <v>1</v>
      </c>
      <c r="B26" s="4" t="s">
        <v>339</v>
      </c>
      <c r="C26" s="4" t="s">
        <v>18</v>
      </c>
      <c r="D26" s="2" t="s">
        <v>32</v>
      </c>
      <c r="E26" s="2" t="s">
        <v>40</v>
      </c>
      <c r="F26" s="2" t="s">
        <v>29</v>
      </c>
      <c r="G26" s="2" t="s">
        <v>35</v>
      </c>
      <c r="H26" s="44" t="s">
        <v>190</v>
      </c>
      <c r="I26" s="44" t="s">
        <v>190</v>
      </c>
      <c r="J26" s="2" t="s">
        <v>8</v>
      </c>
      <c r="K26" s="142">
        <v>2E-3</v>
      </c>
      <c r="L26" s="142">
        <v>2E-3</v>
      </c>
      <c r="M26" s="3">
        <v>0</v>
      </c>
      <c r="N26" s="70"/>
      <c r="O26" s="3" t="b">
        <v>0</v>
      </c>
      <c r="P26" s="3"/>
      <c r="Q26" s="70"/>
      <c r="R26" s="3"/>
    </row>
    <row r="27" spans="1:18" customFormat="1" x14ac:dyDescent="0.25">
      <c r="A27" s="4" t="b">
        <v>0</v>
      </c>
      <c r="B27" s="4" t="s">
        <v>339</v>
      </c>
      <c r="C27" s="4" t="s">
        <v>18</v>
      </c>
      <c r="D27" s="2" t="s">
        <v>32</v>
      </c>
      <c r="E27" s="2" t="s">
        <v>38</v>
      </c>
      <c r="F27" s="2" t="s">
        <v>5</v>
      </c>
      <c r="G27" s="2">
        <v>541686651</v>
      </c>
      <c r="H27" s="3" t="s">
        <v>34</v>
      </c>
      <c r="I27" s="3" t="s">
        <v>18</v>
      </c>
      <c r="J27" s="2" t="s">
        <v>20</v>
      </c>
      <c r="K27" s="74">
        <v>1.1999999999999999E-3</v>
      </c>
      <c r="L27" s="74">
        <v>1.1999999999999999E-3</v>
      </c>
      <c r="M27" s="44">
        <v>1.75</v>
      </c>
      <c r="N27" s="70">
        <v>46054</v>
      </c>
      <c r="O27" s="3" t="b">
        <v>1</v>
      </c>
      <c r="P27" s="3"/>
      <c r="Q27" s="70"/>
      <c r="R27" s="3"/>
    </row>
    <row r="28" spans="1:18" customFormat="1" x14ac:dyDescent="0.25">
      <c r="A28" s="4" t="b">
        <v>0</v>
      </c>
      <c r="B28" s="4" t="s">
        <v>339</v>
      </c>
      <c r="C28" s="4" t="s">
        <v>18</v>
      </c>
      <c r="D28" s="2" t="s">
        <v>32</v>
      </c>
      <c r="E28" s="2" t="s">
        <v>38</v>
      </c>
      <c r="F28" s="2" t="s">
        <v>198</v>
      </c>
      <c r="G28" s="36" t="s">
        <v>195</v>
      </c>
      <c r="H28" s="44" t="s">
        <v>190</v>
      </c>
      <c r="I28" s="44" t="s">
        <v>190</v>
      </c>
      <c r="J28" s="2" t="s">
        <v>8</v>
      </c>
      <c r="K28" s="142">
        <v>1.6000000000000001E-3</v>
      </c>
      <c r="L28" s="142">
        <v>2.5999999999999999E-3</v>
      </c>
      <c r="M28" s="3">
        <v>0</v>
      </c>
      <c r="N28" s="70"/>
      <c r="O28" s="3" t="b">
        <v>1</v>
      </c>
      <c r="P28" s="3"/>
      <c r="Q28" s="70"/>
      <c r="R28" s="3"/>
    </row>
    <row r="29" spans="1:18" customFormat="1" x14ac:dyDescent="0.25">
      <c r="A29" s="4" t="b">
        <v>0</v>
      </c>
      <c r="B29" s="4" t="s">
        <v>339</v>
      </c>
      <c r="C29" s="4" t="s">
        <v>18</v>
      </c>
      <c r="D29" s="2" t="s">
        <v>32</v>
      </c>
      <c r="E29" s="2" t="s">
        <v>199</v>
      </c>
      <c r="F29" s="2" t="s">
        <v>198</v>
      </c>
      <c r="G29" s="36" t="s">
        <v>215</v>
      </c>
      <c r="H29" s="44" t="s">
        <v>190</v>
      </c>
      <c r="I29" s="44" t="s">
        <v>190</v>
      </c>
      <c r="J29" s="2" t="s">
        <v>8</v>
      </c>
      <c r="K29" s="142">
        <v>1.6000000000000001E-3</v>
      </c>
      <c r="L29" s="142">
        <v>2.5999999999999999E-3</v>
      </c>
      <c r="M29" s="3">
        <v>0</v>
      </c>
      <c r="N29" s="70"/>
      <c r="O29" s="3" t="b">
        <v>0</v>
      </c>
      <c r="P29" s="3"/>
      <c r="Q29" s="70"/>
      <c r="R29" s="3"/>
    </row>
    <row r="30" spans="1:18" customFormat="1" x14ac:dyDescent="0.25">
      <c r="A30" s="4" t="b">
        <v>0</v>
      </c>
      <c r="B30" s="4" t="s">
        <v>339</v>
      </c>
      <c r="C30" s="4" t="s">
        <v>18</v>
      </c>
      <c r="D30" s="2" t="s">
        <v>32</v>
      </c>
      <c r="E30" s="2" t="s">
        <v>103</v>
      </c>
      <c r="F30" s="2" t="s">
        <v>198</v>
      </c>
      <c r="G30" s="36" t="s">
        <v>196</v>
      </c>
      <c r="H30" s="44" t="s">
        <v>190</v>
      </c>
      <c r="I30" s="44" t="s">
        <v>190</v>
      </c>
      <c r="J30" s="2" t="s">
        <v>8</v>
      </c>
      <c r="K30" s="142">
        <v>1.6000000000000001E-3</v>
      </c>
      <c r="L30" s="142">
        <v>2.5999999999999999E-3</v>
      </c>
      <c r="M30" s="3">
        <v>0</v>
      </c>
      <c r="N30" s="70"/>
      <c r="O30" s="3" t="b">
        <v>0</v>
      </c>
      <c r="P30" s="3"/>
      <c r="Q30" s="70"/>
      <c r="R30" s="3"/>
    </row>
    <row r="31" spans="1:18" customFormat="1" x14ac:dyDescent="0.25">
      <c r="A31" s="4" t="b">
        <v>0</v>
      </c>
      <c r="B31" s="4" t="s">
        <v>339</v>
      </c>
      <c r="C31" s="4" t="s">
        <v>18</v>
      </c>
      <c r="D31" s="2" t="s">
        <v>32</v>
      </c>
      <c r="E31" s="2" t="s">
        <v>40</v>
      </c>
      <c r="F31" s="2" t="s">
        <v>198</v>
      </c>
      <c r="G31" s="36" t="s">
        <v>197</v>
      </c>
      <c r="H31" s="44" t="s">
        <v>190</v>
      </c>
      <c r="I31" s="44" t="s">
        <v>190</v>
      </c>
      <c r="J31" s="2" t="s">
        <v>8</v>
      </c>
      <c r="K31" s="142">
        <v>1.6000000000000001E-3</v>
      </c>
      <c r="L31" s="142">
        <v>2.5999999999999999E-3</v>
      </c>
      <c r="M31" s="3">
        <v>0</v>
      </c>
      <c r="N31" s="70"/>
      <c r="O31" s="3" t="b">
        <v>0</v>
      </c>
      <c r="P31" s="3"/>
      <c r="Q31" s="70"/>
      <c r="R31" s="3"/>
    </row>
    <row r="32" spans="1:18" customFormat="1" x14ac:dyDescent="0.25">
      <c r="A32" s="4" t="b">
        <v>1</v>
      </c>
      <c r="B32" s="4" t="s">
        <v>339</v>
      </c>
      <c r="C32" s="4" t="s">
        <v>18</v>
      </c>
      <c r="D32" s="2" t="s">
        <v>32</v>
      </c>
      <c r="E32" s="2" t="s">
        <v>199</v>
      </c>
      <c r="F32" s="2" t="s">
        <v>200</v>
      </c>
      <c r="G32" s="2" t="s">
        <v>199</v>
      </c>
      <c r="H32" s="44" t="s">
        <v>190</v>
      </c>
      <c r="I32" s="44" t="s">
        <v>190</v>
      </c>
      <c r="J32" s="2" t="s">
        <v>8</v>
      </c>
      <c r="K32" s="142">
        <v>1E-3</v>
      </c>
      <c r="L32" s="142">
        <v>1E-3</v>
      </c>
      <c r="M32" s="3">
        <v>0</v>
      </c>
      <c r="N32" s="70"/>
      <c r="O32" s="3" t="b">
        <v>0</v>
      </c>
      <c r="P32" s="3"/>
      <c r="Q32" s="70"/>
      <c r="R32" s="3"/>
    </row>
    <row r="33" spans="1:26" customFormat="1" x14ac:dyDescent="0.25">
      <c r="A33" s="4" t="b">
        <v>1</v>
      </c>
      <c r="B33" s="4" t="s">
        <v>339</v>
      </c>
      <c r="C33" s="4" t="s">
        <v>18</v>
      </c>
      <c r="D33" s="2" t="s">
        <v>32</v>
      </c>
      <c r="E33" s="2" t="s">
        <v>103</v>
      </c>
      <c r="F33" s="2" t="s">
        <v>200</v>
      </c>
      <c r="G33" s="2" t="s">
        <v>103</v>
      </c>
      <c r="H33" s="44" t="s">
        <v>190</v>
      </c>
      <c r="I33" s="44" t="s">
        <v>190</v>
      </c>
      <c r="J33" s="2" t="s">
        <v>8</v>
      </c>
      <c r="K33" s="142">
        <v>1E-3</v>
      </c>
      <c r="L33" s="142">
        <v>1E-3</v>
      </c>
      <c r="M33" s="3">
        <v>0</v>
      </c>
      <c r="N33" s="70"/>
      <c r="O33" s="3" t="b">
        <v>0</v>
      </c>
      <c r="P33" s="3"/>
      <c r="Q33" s="70"/>
      <c r="R33" s="3"/>
    </row>
    <row r="34" spans="1:26" customFormat="1" x14ac:dyDescent="0.25">
      <c r="A34" s="4" t="b">
        <v>1</v>
      </c>
      <c r="B34" s="4" t="s">
        <v>339</v>
      </c>
      <c r="C34" s="4" t="s">
        <v>18</v>
      </c>
      <c r="D34" s="2" t="s">
        <v>32</v>
      </c>
      <c r="E34" s="2" t="s">
        <v>40</v>
      </c>
      <c r="F34" s="2" t="s">
        <v>200</v>
      </c>
      <c r="G34" s="2" t="s">
        <v>40</v>
      </c>
      <c r="H34" s="44" t="s">
        <v>190</v>
      </c>
      <c r="I34" s="44" t="s">
        <v>190</v>
      </c>
      <c r="J34" s="2" t="s">
        <v>8</v>
      </c>
      <c r="K34" s="142">
        <v>1E-3</v>
      </c>
      <c r="L34" s="142">
        <v>1E-3</v>
      </c>
      <c r="M34" s="3">
        <v>0</v>
      </c>
      <c r="N34" s="70"/>
      <c r="O34" s="3" t="b">
        <v>0</v>
      </c>
      <c r="P34" s="3"/>
      <c r="Q34" s="70"/>
      <c r="R34" s="3"/>
    </row>
    <row r="35" spans="1:26" s="118" customFormat="1" x14ac:dyDescent="0.25">
      <c r="A35" s="111" t="b">
        <v>1</v>
      </c>
      <c r="B35" s="4" t="s">
        <v>339</v>
      </c>
      <c r="C35" s="4" t="s">
        <v>18</v>
      </c>
      <c r="D35" s="101" t="s">
        <v>32</v>
      </c>
      <c r="E35" s="101" t="s">
        <v>199</v>
      </c>
      <c r="F35" s="101" t="s">
        <v>210</v>
      </c>
      <c r="G35" s="112" t="s">
        <v>201</v>
      </c>
      <c r="H35" s="113" t="s">
        <v>190</v>
      </c>
      <c r="I35" s="113" t="s">
        <v>190</v>
      </c>
      <c r="J35" s="114" t="s">
        <v>8</v>
      </c>
      <c r="K35" s="115">
        <v>0</v>
      </c>
      <c r="L35" s="115">
        <v>0</v>
      </c>
      <c r="M35" s="116">
        <v>0</v>
      </c>
      <c r="N35" s="117"/>
      <c r="O35" s="3" t="b">
        <v>0</v>
      </c>
      <c r="P35" s="116"/>
      <c r="Q35" s="117"/>
      <c r="R35" s="116"/>
    </row>
    <row r="36" spans="1:26" s="118" customFormat="1" x14ac:dyDescent="0.25">
      <c r="A36" s="111" t="b">
        <v>1</v>
      </c>
      <c r="B36" s="4" t="s">
        <v>339</v>
      </c>
      <c r="C36" s="4" t="s">
        <v>18</v>
      </c>
      <c r="D36" s="101" t="s">
        <v>32</v>
      </c>
      <c r="E36" s="101" t="s">
        <v>103</v>
      </c>
      <c r="F36" s="101" t="s">
        <v>210</v>
      </c>
      <c r="G36" s="112" t="s">
        <v>193</v>
      </c>
      <c r="H36" s="113" t="s">
        <v>190</v>
      </c>
      <c r="I36" s="113" t="s">
        <v>190</v>
      </c>
      <c r="J36" s="114" t="s">
        <v>8</v>
      </c>
      <c r="K36" s="115">
        <v>0</v>
      </c>
      <c r="L36" s="115">
        <v>0</v>
      </c>
      <c r="M36" s="116">
        <v>0</v>
      </c>
      <c r="N36" s="117"/>
      <c r="O36" s="3" t="b">
        <v>0</v>
      </c>
      <c r="P36" s="116"/>
      <c r="Q36" s="117"/>
      <c r="R36" s="116"/>
    </row>
    <row r="37" spans="1:26" s="118" customFormat="1" x14ac:dyDescent="0.25">
      <c r="A37" s="111" t="b">
        <v>1</v>
      </c>
      <c r="B37" s="4" t="s">
        <v>339</v>
      </c>
      <c r="C37" s="4" t="s">
        <v>18</v>
      </c>
      <c r="D37" s="101" t="s">
        <v>32</v>
      </c>
      <c r="E37" s="101" t="s">
        <v>40</v>
      </c>
      <c r="F37" s="101" t="s">
        <v>210</v>
      </c>
      <c r="G37" s="112" t="s">
        <v>37</v>
      </c>
      <c r="H37" s="113" t="s">
        <v>190</v>
      </c>
      <c r="I37" s="113" t="s">
        <v>190</v>
      </c>
      <c r="J37" s="114" t="s">
        <v>8</v>
      </c>
      <c r="K37" s="115">
        <v>0</v>
      </c>
      <c r="L37" s="115">
        <v>0</v>
      </c>
      <c r="M37" s="116">
        <v>0</v>
      </c>
      <c r="N37" s="117"/>
      <c r="O37" s="3" t="b">
        <v>0</v>
      </c>
      <c r="P37" s="116"/>
      <c r="Q37" s="117"/>
      <c r="R37" s="116"/>
    </row>
    <row r="38" spans="1:26" customFormat="1" x14ac:dyDescent="0.25">
      <c r="A38" s="4" t="b">
        <v>1</v>
      </c>
      <c r="B38" s="4" t="s">
        <v>339</v>
      </c>
      <c r="C38" s="4" t="s">
        <v>18</v>
      </c>
      <c r="D38" s="2" t="s">
        <v>32</v>
      </c>
      <c r="E38" s="2" t="s">
        <v>38</v>
      </c>
      <c r="F38" s="2" t="s">
        <v>28</v>
      </c>
      <c r="G38" s="2" t="s">
        <v>38</v>
      </c>
      <c r="H38" s="44" t="s">
        <v>190</v>
      </c>
      <c r="I38" s="44" t="s">
        <v>190</v>
      </c>
      <c r="J38" s="2" t="s">
        <v>8</v>
      </c>
      <c r="K38" s="142">
        <v>8.0000000000000004E-4</v>
      </c>
      <c r="L38" s="142">
        <v>1E-3</v>
      </c>
      <c r="M38" s="3">
        <v>0</v>
      </c>
      <c r="N38" s="70"/>
      <c r="O38" s="3" t="b">
        <v>0</v>
      </c>
      <c r="P38" s="3"/>
      <c r="Q38" s="70"/>
      <c r="R38" s="3"/>
    </row>
    <row r="39" spans="1:26" customFormat="1" x14ac:dyDescent="0.25">
      <c r="A39" s="4" t="b">
        <v>1</v>
      </c>
      <c r="B39" s="4" t="s">
        <v>339</v>
      </c>
      <c r="C39" s="4" t="s">
        <v>18</v>
      </c>
      <c r="D39" s="2" t="s">
        <v>32</v>
      </c>
      <c r="E39" s="2" t="s">
        <v>103</v>
      </c>
      <c r="F39" s="2" t="s">
        <v>28</v>
      </c>
      <c r="G39" s="2" t="s">
        <v>103</v>
      </c>
      <c r="H39" s="44" t="s">
        <v>190</v>
      </c>
      <c r="I39" s="44" t="s">
        <v>190</v>
      </c>
      <c r="J39" s="2" t="s">
        <v>8</v>
      </c>
      <c r="K39" s="142">
        <v>8.0000000000000004E-4</v>
      </c>
      <c r="L39" s="142">
        <v>1E-3</v>
      </c>
      <c r="M39" s="3">
        <v>0</v>
      </c>
      <c r="N39" s="70"/>
      <c r="O39" s="3" t="b">
        <v>0</v>
      </c>
      <c r="P39" s="3"/>
      <c r="Q39" s="70"/>
      <c r="R39" s="3"/>
    </row>
    <row r="40" spans="1:26" customFormat="1" x14ac:dyDescent="0.25">
      <c r="A40" s="4" t="b">
        <v>1</v>
      </c>
      <c r="B40" s="4" t="s">
        <v>339</v>
      </c>
      <c r="C40" s="4" t="s">
        <v>18</v>
      </c>
      <c r="D40" s="2" t="s">
        <v>32</v>
      </c>
      <c r="E40" s="2" t="s">
        <v>40</v>
      </c>
      <c r="F40" s="2" t="s">
        <v>28</v>
      </c>
      <c r="G40" s="2" t="s">
        <v>40</v>
      </c>
      <c r="H40" s="44" t="s">
        <v>190</v>
      </c>
      <c r="I40" s="44" t="s">
        <v>190</v>
      </c>
      <c r="J40" s="2" t="s">
        <v>8</v>
      </c>
      <c r="K40" s="142">
        <v>8.0000000000000004E-4</v>
      </c>
      <c r="L40" s="142">
        <v>1E-3</v>
      </c>
      <c r="M40" s="3">
        <v>0</v>
      </c>
      <c r="N40" s="70"/>
      <c r="O40" s="3" t="b">
        <v>0</v>
      </c>
      <c r="P40" s="3"/>
      <c r="Q40" s="70"/>
      <c r="R40" s="3"/>
    </row>
    <row r="41" spans="1:26" customFormat="1" x14ac:dyDescent="0.25">
      <c r="A41" s="4" t="b">
        <v>1</v>
      </c>
      <c r="B41" s="4" t="s">
        <v>339</v>
      </c>
      <c r="C41" s="4" t="s">
        <v>18</v>
      </c>
      <c r="D41" s="2" t="s">
        <v>32</v>
      </c>
      <c r="E41" s="2" t="s">
        <v>103</v>
      </c>
      <c r="F41" s="2" t="s">
        <v>175</v>
      </c>
      <c r="G41" s="2" t="s">
        <v>218</v>
      </c>
      <c r="H41" s="44" t="s">
        <v>190</v>
      </c>
      <c r="I41" s="44" t="s">
        <v>190</v>
      </c>
      <c r="J41" s="2" t="s">
        <v>8</v>
      </c>
      <c r="K41" s="142">
        <v>1E-3</v>
      </c>
      <c r="L41" s="142">
        <v>1E-3</v>
      </c>
      <c r="M41" s="3">
        <v>0</v>
      </c>
      <c r="N41" s="70"/>
      <c r="O41" s="3" t="b">
        <v>0</v>
      </c>
      <c r="P41" s="3"/>
      <c r="Q41" s="70"/>
      <c r="R41" s="3"/>
    </row>
    <row r="42" spans="1:26" customFormat="1" x14ac:dyDescent="0.25">
      <c r="A42" s="4" t="b">
        <v>1</v>
      </c>
      <c r="B42" s="4" t="s">
        <v>339</v>
      </c>
      <c r="C42" s="4" t="s">
        <v>18</v>
      </c>
      <c r="D42" s="2" t="s">
        <v>32</v>
      </c>
      <c r="E42" s="2" t="s">
        <v>40</v>
      </c>
      <c r="F42" s="2" t="s">
        <v>175</v>
      </c>
      <c r="G42" s="2" t="s">
        <v>217</v>
      </c>
      <c r="H42" s="44" t="s">
        <v>190</v>
      </c>
      <c r="I42" s="44" t="s">
        <v>190</v>
      </c>
      <c r="J42" s="2" t="s">
        <v>8</v>
      </c>
      <c r="K42" s="142">
        <v>1E-3</v>
      </c>
      <c r="L42" s="142">
        <v>1E-3</v>
      </c>
      <c r="M42" s="3">
        <v>0</v>
      </c>
      <c r="N42" s="70"/>
      <c r="O42" s="3" t="b">
        <v>0</v>
      </c>
      <c r="P42" s="3"/>
      <c r="Q42" s="70"/>
      <c r="R42" s="3"/>
    </row>
    <row r="43" spans="1:26" customFormat="1" x14ac:dyDescent="0.25">
      <c r="A43" s="4" t="b">
        <v>1</v>
      </c>
      <c r="B43" s="4" t="s">
        <v>339</v>
      </c>
      <c r="C43" s="4" t="s">
        <v>18</v>
      </c>
      <c r="D43" s="2" t="s">
        <v>3</v>
      </c>
      <c r="E43" s="2" t="s">
        <v>144</v>
      </c>
      <c r="F43" s="2" t="s">
        <v>173</v>
      </c>
      <c r="G43" s="2" t="s">
        <v>240</v>
      </c>
      <c r="H43" s="54" t="s">
        <v>34</v>
      </c>
      <c r="I43" s="54" t="s">
        <v>18</v>
      </c>
      <c r="J43" s="7" t="s">
        <v>9</v>
      </c>
      <c r="K43" s="47">
        <v>12.52</v>
      </c>
      <c r="L43" s="47">
        <v>12.52</v>
      </c>
      <c r="M43" s="54">
        <v>0</v>
      </c>
      <c r="N43" s="143">
        <v>46054</v>
      </c>
      <c r="O43" s="3" t="b">
        <v>0</v>
      </c>
      <c r="P43" s="3"/>
      <c r="Q43" s="70"/>
      <c r="R43" s="3"/>
    </row>
    <row r="44" spans="1:26" customFormat="1" x14ac:dyDescent="0.25">
      <c r="A44" s="4" t="b">
        <v>1</v>
      </c>
      <c r="B44" s="4" t="s">
        <v>339</v>
      </c>
      <c r="C44" s="4" t="s">
        <v>18</v>
      </c>
      <c r="D44" s="2" t="s">
        <v>3</v>
      </c>
      <c r="E44" s="2" t="s">
        <v>145</v>
      </c>
      <c r="F44" s="2" t="s">
        <v>173</v>
      </c>
      <c r="G44" s="2" t="s">
        <v>241</v>
      </c>
      <c r="H44" s="54" t="s">
        <v>34</v>
      </c>
      <c r="I44" s="54" t="s">
        <v>18</v>
      </c>
      <c r="J44" s="7" t="s">
        <v>9</v>
      </c>
      <c r="K44" s="47">
        <v>12.52</v>
      </c>
      <c r="L44" s="47">
        <v>12.52</v>
      </c>
      <c r="M44" s="54">
        <v>0</v>
      </c>
      <c r="N44" s="143">
        <v>46054</v>
      </c>
      <c r="O44" s="3" t="b">
        <v>0</v>
      </c>
      <c r="P44" s="3"/>
      <c r="Q44" s="70"/>
      <c r="R44" s="3"/>
    </row>
    <row r="45" spans="1:26" customFormat="1" x14ac:dyDescent="0.25">
      <c r="A45" s="4" t="b">
        <v>1</v>
      </c>
      <c r="B45" s="4" t="s">
        <v>339</v>
      </c>
      <c r="C45" s="4" t="s">
        <v>18</v>
      </c>
      <c r="D45" s="2" t="s">
        <v>3</v>
      </c>
      <c r="E45" s="2" t="s">
        <v>146</v>
      </c>
      <c r="F45" s="2" t="s">
        <v>173</v>
      </c>
      <c r="G45" s="2" t="s">
        <v>242</v>
      </c>
      <c r="H45" s="54" t="s">
        <v>34</v>
      </c>
      <c r="I45" s="54" t="s">
        <v>18</v>
      </c>
      <c r="J45" s="7" t="s">
        <v>9</v>
      </c>
      <c r="K45" s="47">
        <v>12.52</v>
      </c>
      <c r="L45" s="47">
        <v>12.52</v>
      </c>
      <c r="M45" s="54">
        <v>0</v>
      </c>
      <c r="N45" s="143">
        <v>46054</v>
      </c>
      <c r="O45" s="3" t="b">
        <v>0</v>
      </c>
      <c r="P45" s="3"/>
      <c r="Q45" s="70"/>
      <c r="R45" s="3"/>
    </row>
    <row r="46" spans="1:26" s="41" customFormat="1" x14ac:dyDescent="0.25">
      <c r="A46" s="4" t="b">
        <v>1</v>
      </c>
      <c r="B46" s="4" t="s">
        <v>339</v>
      </c>
      <c r="C46" s="4" t="s">
        <v>18</v>
      </c>
      <c r="D46" s="2" t="s">
        <v>3</v>
      </c>
      <c r="E46" s="2" t="s">
        <v>144</v>
      </c>
      <c r="F46" s="2" t="s">
        <v>22</v>
      </c>
      <c r="G46" s="2" t="s">
        <v>174</v>
      </c>
      <c r="H46" s="44" t="s">
        <v>190</v>
      </c>
      <c r="I46" s="44" t="s">
        <v>190</v>
      </c>
      <c r="J46" s="2" t="s">
        <v>9</v>
      </c>
      <c r="K46" s="44" t="s">
        <v>190</v>
      </c>
      <c r="L46" s="44" t="s">
        <v>190</v>
      </c>
      <c r="M46" s="3">
        <v>0</v>
      </c>
      <c r="N46" s="70"/>
      <c r="O46" s="3" t="b">
        <v>0</v>
      </c>
      <c r="P46" s="3"/>
      <c r="Q46" s="70"/>
      <c r="R46" s="3"/>
      <c r="Y46" s="2"/>
      <c r="Z46" s="5"/>
    </row>
    <row r="47" spans="1:26" s="41" customFormat="1" x14ac:dyDescent="0.25">
      <c r="A47" s="4" t="b">
        <v>1</v>
      </c>
      <c r="B47" s="4" t="s">
        <v>339</v>
      </c>
      <c r="C47" s="4" t="s">
        <v>18</v>
      </c>
      <c r="D47" s="2" t="s">
        <v>3</v>
      </c>
      <c r="E47" s="2" t="s">
        <v>145</v>
      </c>
      <c r="F47" s="2" t="s">
        <v>22</v>
      </c>
      <c r="G47" s="2" t="s">
        <v>238</v>
      </c>
      <c r="H47" s="44" t="s">
        <v>190</v>
      </c>
      <c r="I47" s="44" t="s">
        <v>190</v>
      </c>
      <c r="J47" s="2" t="s">
        <v>9</v>
      </c>
      <c r="K47" s="44" t="s">
        <v>190</v>
      </c>
      <c r="L47" s="44" t="s">
        <v>190</v>
      </c>
      <c r="M47" s="3">
        <v>0</v>
      </c>
      <c r="N47" s="70"/>
      <c r="O47" s="3" t="b">
        <v>0</v>
      </c>
      <c r="P47" s="3"/>
      <c r="Q47" s="70"/>
      <c r="R47" s="3"/>
      <c r="Y47" s="2"/>
      <c r="Z47" s="5"/>
    </row>
    <row r="48" spans="1:26" s="41" customFormat="1" x14ac:dyDescent="0.25">
      <c r="A48" s="4" t="b">
        <v>1</v>
      </c>
      <c r="B48" s="4" t="s">
        <v>339</v>
      </c>
      <c r="C48" s="4" t="s">
        <v>18</v>
      </c>
      <c r="D48" s="2" t="s">
        <v>3</v>
      </c>
      <c r="E48" s="2" t="s">
        <v>146</v>
      </c>
      <c r="F48" s="2" t="s">
        <v>22</v>
      </c>
      <c r="G48" s="2" t="s">
        <v>239</v>
      </c>
      <c r="H48" s="44" t="s">
        <v>190</v>
      </c>
      <c r="I48" s="44" t="s">
        <v>190</v>
      </c>
      <c r="J48" s="2" t="s">
        <v>9</v>
      </c>
      <c r="K48" s="44" t="s">
        <v>190</v>
      </c>
      <c r="L48" s="44" t="s">
        <v>190</v>
      </c>
      <c r="M48" s="3">
        <v>0</v>
      </c>
      <c r="N48" s="70"/>
      <c r="O48" s="3" t="b">
        <v>0</v>
      </c>
      <c r="P48" s="3"/>
      <c r="Q48" s="70"/>
      <c r="R48" s="3"/>
      <c r="Y48" s="2"/>
      <c r="Z48" s="5"/>
    </row>
    <row r="49" spans="1:26" x14ac:dyDescent="0.25">
      <c r="A49" s="4" t="b">
        <v>1</v>
      </c>
      <c r="B49" s="4" t="s">
        <v>339</v>
      </c>
      <c r="C49" s="4" t="s">
        <v>18</v>
      </c>
      <c r="D49" s="2" t="s">
        <v>3</v>
      </c>
      <c r="E49" s="2" t="s">
        <v>147</v>
      </c>
      <c r="F49" s="2" t="s">
        <v>22</v>
      </c>
      <c r="G49" s="2" t="s">
        <v>179</v>
      </c>
      <c r="H49" s="44" t="s">
        <v>190</v>
      </c>
      <c r="I49" s="44" t="s">
        <v>190</v>
      </c>
      <c r="J49" s="2" t="s">
        <v>9</v>
      </c>
      <c r="K49" s="44" t="s">
        <v>190</v>
      </c>
      <c r="L49" s="44" t="s">
        <v>190</v>
      </c>
      <c r="M49" s="3">
        <v>0</v>
      </c>
      <c r="N49" s="70"/>
      <c r="O49" s="3" t="b">
        <v>0</v>
      </c>
      <c r="P49" s="3"/>
      <c r="Q49" s="70"/>
      <c r="R49" s="3"/>
      <c r="T49" s="2"/>
      <c r="V49" s="44"/>
      <c r="W49" s="2"/>
      <c r="Z49" s="5"/>
    </row>
    <row r="50" spans="1:26" s="36" customFormat="1" x14ac:dyDescent="0.25">
      <c r="A50" s="4" t="b">
        <v>1</v>
      </c>
      <c r="B50" s="4" t="s">
        <v>339</v>
      </c>
      <c r="C50" s="4" t="s">
        <v>18</v>
      </c>
      <c r="D50" s="2" t="s">
        <v>3</v>
      </c>
      <c r="E50" s="2" t="s">
        <v>223</v>
      </c>
      <c r="F50" s="2" t="s">
        <v>22</v>
      </c>
      <c r="G50" s="2" t="s">
        <v>180</v>
      </c>
      <c r="H50" s="44" t="s">
        <v>190</v>
      </c>
      <c r="I50" s="44" t="s">
        <v>190</v>
      </c>
      <c r="J50" s="2" t="s">
        <v>9</v>
      </c>
      <c r="K50" s="44" t="s">
        <v>190</v>
      </c>
      <c r="L50" s="44" t="s">
        <v>190</v>
      </c>
      <c r="M50" s="3">
        <v>0</v>
      </c>
      <c r="N50" s="70"/>
      <c r="O50" s="3" t="b">
        <v>0</v>
      </c>
      <c r="P50" s="3"/>
      <c r="Q50" s="70"/>
      <c r="R50" s="3"/>
      <c r="Y50" s="2"/>
      <c r="Z50" s="5"/>
    </row>
    <row r="51" spans="1:26" s="36" customFormat="1" x14ac:dyDescent="0.25">
      <c r="A51" s="4" t="b">
        <v>1</v>
      </c>
      <c r="B51" s="4" t="s">
        <v>339</v>
      </c>
      <c r="C51" s="4" t="s">
        <v>18</v>
      </c>
      <c r="D51" s="2" t="s">
        <v>3</v>
      </c>
      <c r="E51" s="2" t="s">
        <v>224</v>
      </c>
      <c r="F51" s="2" t="s">
        <v>22</v>
      </c>
      <c r="G51" s="2" t="s">
        <v>181</v>
      </c>
      <c r="H51" s="44" t="s">
        <v>190</v>
      </c>
      <c r="I51" s="44" t="s">
        <v>190</v>
      </c>
      <c r="J51" s="2" t="s">
        <v>9</v>
      </c>
      <c r="K51" s="44" t="s">
        <v>190</v>
      </c>
      <c r="L51" s="44" t="s">
        <v>190</v>
      </c>
      <c r="M51" s="3">
        <v>0</v>
      </c>
      <c r="N51" s="70"/>
      <c r="O51" s="3" t="b">
        <v>0</v>
      </c>
      <c r="P51" s="3"/>
      <c r="Q51" s="70"/>
      <c r="R51" s="3"/>
      <c r="Y51" s="2"/>
      <c r="Z51" s="5"/>
    </row>
    <row r="52" spans="1:26" s="36" customFormat="1" x14ac:dyDescent="0.25">
      <c r="A52" s="4" t="b">
        <v>0</v>
      </c>
      <c r="B52" s="4" t="s">
        <v>339</v>
      </c>
      <c r="C52" s="4" t="s">
        <v>18</v>
      </c>
      <c r="D52" s="2" t="s">
        <v>3</v>
      </c>
      <c r="E52" s="2" t="s">
        <v>146</v>
      </c>
      <c r="F52" s="2" t="s">
        <v>5</v>
      </c>
      <c r="G52" s="2">
        <v>859040542</v>
      </c>
      <c r="H52" s="3" t="s">
        <v>34</v>
      </c>
      <c r="I52" s="3" t="s">
        <v>18</v>
      </c>
      <c r="J52" s="2" t="s">
        <v>9</v>
      </c>
      <c r="K52" s="44">
        <v>12.52</v>
      </c>
      <c r="L52" s="44">
        <v>12.52</v>
      </c>
      <c r="M52" s="3">
        <v>0</v>
      </c>
      <c r="N52" s="70">
        <v>46054</v>
      </c>
      <c r="O52" s="3" t="b">
        <v>1</v>
      </c>
      <c r="P52" s="3"/>
      <c r="Q52" s="70"/>
      <c r="R52" s="3"/>
      <c r="Y52" s="2"/>
      <c r="Z52" s="5"/>
    </row>
    <row r="53" spans="1:26" s="36" customFormat="1" x14ac:dyDescent="0.25">
      <c r="A53" s="4" t="b">
        <v>0</v>
      </c>
      <c r="B53" s="4" t="s">
        <v>339</v>
      </c>
      <c r="C53" s="4" t="s">
        <v>18</v>
      </c>
      <c r="D53" s="2" t="s">
        <v>3</v>
      </c>
      <c r="E53" s="2" t="s">
        <v>147</v>
      </c>
      <c r="F53" s="2" t="s">
        <v>5</v>
      </c>
      <c r="G53" s="2">
        <v>772435574</v>
      </c>
      <c r="H53" s="3" t="s">
        <v>34</v>
      </c>
      <c r="I53" s="3" t="s">
        <v>18</v>
      </c>
      <c r="J53" s="2" t="s">
        <v>9</v>
      </c>
      <c r="K53" s="44">
        <v>12.52</v>
      </c>
      <c r="L53" s="44">
        <v>12.52</v>
      </c>
      <c r="M53" s="3">
        <v>0</v>
      </c>
      <c r="N53" s="70">
        <v>46054</v>
      </c>
      <c r="O53" s="3" t="b">
        <v>1</v>
      </c>
      <c r="P53" s="3"/>
      <c r="Q53" s="70"/>
      <c r="R53" s="3"/>
      <c r="Y53" s="2"/>
      <c r="Z53" s="5"/>
    </row>
    <row r="54" spans="1:26" s="15" customFormat="1" x14ac:dyDescent="0.25">
      <c r="A54" s="4" t="b">
        <v>0</v>
      </c>
      <c r="B54" s="4" t="s">
        <v>339</v>
      </c>
      <c r="C54" s="4" t="s">
        <v>18</v>
      </c>
      <c r="D54" s="2" t="s">
        <v>3</v>
      </c>
      <c r="E54" s="2" t="s">
        <v>236</v>
      </c>
      <c r="F54" s="2" t="s">
        <v>5</v>
      </c>
      <c r="G54" s="2">
        <v>876880607</v>
      </c>
      <c r="H54" s="3" t="s">
        <v>34</v>
      </c>
      <c r="I54" s="3" t="s">
        <v>18</v>
      </c>
      <c r="J54" s="2" t="s">
        <v>9</v>
      </c>
      <c r="K54" s="44">
        <v>12.52</v>
      </c>
      <c r="L54" s="44">
        <v>12.52</v>
      </c>
      <c r="M54" s="3">
        <v>0</v>
      </c>
      <c r="N54" s="70">
        <v>46054</v>
      </c>
      <c r="O54" s="3" t="b">
        <v>1</v>
      </c>
      <c r="P54" s="3"/>
      <c r="Q54" s="70"/>
      <c r="R54" s="3"/>
      <c r="Y54" s="2"/>
      <c r="Z54" s="3"/>
    </row>
    <row r="55" spans="1:26" s="15" customFormat="1" x14ac:dyDescent="0.25">
      <c r="A55" s="4" t="b">
        <v>0</v>
      </c>
      <c r="B55" s="4" t="s">
        <v>339</v>
      </c>
      <c r="C55" s="4" t="s">
        <v>18</v>
      </c>
      <c r="D55" s="2" t="s">
        <v>3</v>
      </c>
      <c r="E55" s="2" t="s">
        <v>237</v>
      </c>
      <c r="F55" s="2" t="s">
        <v>5</v>
      </c>
      <c r="G55" s="2">
        <v>887699043</v>
      </c>
      <c r="H55" s="3" t="s">
        <v>34</v>
      </c>
      <c r="I55" s="3" t="s">
        <v>18</v>
      </c>
      <c r="J55" s="2" t="s">
        <v>9</v>
      </c>
      <c r="K55" s="44">
        <v>12.52</v>
      </c>
      <c r="L55" s="44">
        <v>12.52</v>
      </c>
      <c r="M55" s="3">
        <v>0</v>
      </c>
      <c r="N55" s="70">
        <v>46054</v>
      </c>
      <c r="O55" s="3" t="b">
        <v>1</v>
      </c>
      <c r="P55" s="3"/>
      <c r="Q55" s="70"/>
      <c r="R55" s="3"/>
      <c r="Y55" s="2"/>
      <c r="Z55" s="3"/>
    </row>
    <row r="56" spans="1:26" s="15" customFormat="1" x14ac:dyDescent="0.25">
      <c r="A56" s="4" t="b">
        <v>0</v>
      </c>
      <c r="B56" s="4" t="s">
        <v>339</v>
      </c>
      <c r="C56" s="4" t="s">
        <v>18</v>
      </c>
      <c r="D56" s="2" t="s">
        <v>3</v>
      </c>
      <c r="E56" s="2" t="s">
        <v>223</v>
      </c>
      <c r="F56" s="2" t="s">
        <v>5</v>
      </c>
      <c r="G56" s="158">
        <v>751356958</v>
      </c>
      <c r="H56" s="3" t="s">
        <v>34</v>
      </c>
      <c r="I56" s="3" t="s">
        <v>18</v>
      </c>
      <c r="J56" s="2" t="s">
        <v>9</v>
      </c>
      <c r="K56" s="44">
        <v>12.52</v>
      </c>
      <c r="L56" s="44">
        <v>12.52</v>
      </c>
      <c r="M56" s="3">
        <v>0</v>
      </c>
      <c r="N56" s="70">
        <v>46054</v>
      </c>
      <c r="O56" s="3" t="b">
        <v>1</v>
      </c>
      <c r="P56" s="3"/>
      <c r="Q56" s="70"/>
      <c r="R56" s="3"/>
      <c r="Y56" s="2"/>
      <c r="Z56" s="3"/>
    </row>
    <row r="57" spans="1:26" s="36" customFormat="1" x14ac:dyDescent="0.25">
      <c r="A57" s="4" t="b">
        <v>0</v>
      </c>
      <c r="B57" s="4" t="s">
        <v>339</v>
      </c>
      <c r="C57" s="4" t="s">
        <v>18</v>
      </c>
      <c r="D57" s="2" t="s">
        <v>3</v>
      </c>
      <c r="E57" s="2" t="s">
        <v>391</v>
      </c>
      <c r="F57" s="2" t="s">
        <v>5</v>
      </c>
      <c r="G57" s="2">
        <v>907006410</v>
      </c>
      <c r="H57" s="3" t="s">
        <v>34</v>
      </c>
      <c r="I57" s="3" t="s">
        <v>18</v>
      </c>
      <c r="J57" s="2" t="s">
        <v>9</v>
      </c>
      <c r="K57" s="44">
        <v>12.52</v>
      </c>
      <c r="L57" s="44">
        <v>12.52</v>
      </c>
      <c r="M57" s="3">
        <v>0</v>
      </c>
      <c r="N57" s="70">
        <v>46054</v>
      </c>
      <c r="O57" s="3" t="b">
        <v>1</v>
      </c>
      <c r="P57" s="3"/>
      <c r="Q57" s="70"/>
      <c r="R57" s="3"/>
      <c r="Y57" s="2"/>
      <c r="Z57" s="5"/>
    </row>
    <row r="58" spans="1:26" s="153" customFormat="1" x14ac:dyDescent="0.25">
      <c r="A58" s="152" t="b">
        <v>0</v>
      </c>
      <c r="B58" s="168" t="s">
        <v>339</v>
      </c>
      <c r="C58" s="152" t="s">
        <v>76</v>
      </c>
      <c r="D58" s="153" t="s">
        <v>3</v>
      </c>
      <c r="E58" s="153" t="s">
        <v>243</v>
      </c>
      <c r="F58" s="153" t="s">
        <v>5</v>
      </c>
      <c r="G58" s="153">
        <v>859040566</v>
      </c>
      <c r="H58" s="154" t="s">
        <v>34</v>
      </c>
      <c r="I58" s="154" t="s">
        <v>18</v>
      </c>
      <c r="J58" s="153" t="s">
        <v>9</v>
      </c>
      <c r="K58" s="155">
        <v>8.52</v>
      </c>
      <c r="L58" s="155">
        <v>8.52</v>
      </c>
      <c r="M58" s="154">
        <v>0</v>
      </c>
      <c r="N58" s="156">
        <v>46054</v>
      </c>
      <c r="O58" s="3" t="b">
        <v>1</v>
      </c>
      <c r="P58" s="154"/>
      <c r="Q58" s="156"/>
      <c r="R58" s="154"/>
      <c r="Z58" s="157"/>
    </row>
    <row r="59" spans="1:26" s="153" customFormat="1" x14ac:dyDescent="0.25">
      <c r="A59" s="152" t="b">
        <v>0</v>
      </c>
      <c r="B59" s="168" t="s">
        <v>339</v>
      </c>
      <c r="C59" s="152" t="s">
        <v>76</v>
      </c>
      <c r="D59" s="153" t="s">
        <v>3</v>
      </c>
      <c r="E59" s="153" t="s">
        <v>244</v>
      </c>
      <c r="F59" s="153" t="s">
        <v>5</v>
      </c>
      <c r="G59" s="153">
        <v>772435593</v>
      </c>
      <c r="H59" s="154" t="s">
        <v>34</v>
      </c>
      <c r="I59" s="154" t="s">
        <v>18</v>
      </c>
      <c r="J59" s="153" t="s">
        <v>9</v>
      </c>
      <c r="K59" s="155">
        <v>8.52</v>
      </c>
      <c r="L59" s="155">
        <v>8.52</v>
      </c>
      <c r="M59" s="154">
        <v>0</v>
      </c>
      <c r="N59" s="156">
        <v>46054</v>
      </c>
      <c r="O59" s="3" t="b">
        <v>1</v>
      </c>
      <c r="P59" s="154"/>
      <c r="Q59" s="156"/>
      <c r="R59" s="154"/>
      <c r="Z59" s="157"/>
    </row>
    <row r="60" spans="1:26" s="153" customFormat="1" x14ac:dyDescent="0.25">
      <c r="A60" s="152" t="b">
        <v>0</v>
      </c>
      <c r="B60" s="168" t="s">
        <v>339</v>
      </c>
      <c r="C60" s="152" t="s">
        <v>76</v>
      </c>
      <c r="D60" s="153" t="s">
        <v>3</v>
      </c>
      <c r="E60" s="153" t="s">
        <v>245</v>
      </c>
      <c r="F60" s="153" t="s">
        <v>5</v>
      </c>
      <c r="G60" s="153">
        <v>876880626</v>
      </c>
      <c r="H60" s="154" t="s">
        <v>34</v>
      </c>
      <c r="I60" s="154" t="s">
        <v>18</v>
      </c>
      <c r="J60" s="153" t="s">
        <v>9</v>
      </c>
      <c r="K60" s="155">
        <v>8.52</v>
      </c>
      <c r="L60" s="155">
        <v>8.52</v>
      </c>
      <c r="M60" s="154">
        <v>0</v>
      </c>
      <c r="N60" s="156">
        <v>46054</v>
      </c>
      <c r="O60" s="3" t="b">
        <v>1</v>
      </c>
      <c r="P60" s="154"/>
      <c r="Q60" s="156"/>
      <c r="R60" s="154"/>
      <c r="Z60" s="154"/>
    </row>
    <row r="61" spans="1:26" s="153" customFormat="1" x14ac:dyDescent="0.25">
      <c r="A61" s="152" t="b">
        <v>0</v>
      </c>
      <c r="B61" s="168" t="s">
        <v>339</v>
      </c>
      <c r="C61" s="152" t="s">
        <v>76</v>
      </c>
      <c r="D61" s="153" t="s">
        <v>3</v>
      </c>
      <c r="E61" s="153" t="s">
        <v>246</v>
      </c>
      <c r="F61" s="153" t="s">
        <v>5</v>
      </c>
      <c r="G61" s="153">
        <v>887699064</v>
      </c>
      <c r="H61" s="154" t="s">
        <v>34</v>
      </c>
      <c r="I61" s="154" t="s">
        <v>18</v>
      </c>
      <c r="J61" s="153" t="s">
        <v>9</v>
      </c>
      <c r="K61" s="155">
        <v>8.52</v>
      </c>
      <c r="L61" s="155">
        <v>8.52</v>
      </c>
      <c r="M61" s="154">
        <v>0</v>
      </c>
      <c r="N61" s="156">
        <v>46054</v>
      </c>
      <c r="O61" s="3" t="b">
        <v>1</v>
      </c>
      <c r="P61" s="154"/>
      <c r="Q61" s="156"/>
      <c r="R61" s="154"/>
      <c r="Z61" s="154"/>
    </row>
    <row r="62" spans="1:26" s="153" customFormat="1" x14ac:dyDescent="0.25">
      <c r="A62" s="152" t="b">
        <v>0</v>
      </c>
      <c r="B62" s="168" t="s">
        <v>339</v>
      </c>
      <c r="C62" s="152" t="s">
        <v>76</v>
      </c>
      <c r="D62" s="153" t="s">
        <v>3</v>
      </c>
      <c r="E62" s="153" t="s">
        <v>319</v>
      </c>
      <c r="F62" s="153" t="s">
        <v>5</v>
      </c>
      <c r="G62" s="159">
        <v>751357003</v>
      </c>
      <c r="H62" s="154" t="s">
        <v>34</v>
      </c>
      <c r="I62" s="154" t="s">
        <v>18</v>
      </c>
      <c r="J62" s="153" t="s">
        <v>9</v>
      </c>
      <c r="K62" s="155">
        <v>8.52</v>
      </c>
      <c r="L62" s="155">
        <v>8.52</v>
      </c>
      <c r="M62" s="154">
        <v>0</v>
      </c>
      <c r="N62" s="156">
        <v>46054</v>
      </c>
      <c r="O62" s="3" t="b">
        <v>1</v>
      </c>
      <c r="P62" s="154"/>
      <c r="Q62" s="156"/>
      <c r="R62" s="154"/>
      <c r="Z62" s="154"/>
    </row>
    <row r="63" spans="1:26" s="153" customFormat="1" x14ac:dyDescent="0.25">
      <c r="A63" s="152" t="b">
        <v>0</v>
      </c>
      <c r="B63" s="168" t="s">
        <v>339</v>
      </c>
      <c r="C63" s="152" t="s">
        <v>76</v>
      </c>
      <c r="D63" s="153" t="s">
        <v>3</v>
      </c>
      <c r="E63" s="153" t="s">
        <v>392</v>
      </c>
      <c r="F63" s="153" t="s">
        <v>5</v>
      </c>
      <c r="G63" s="153">
        <v>907006434</v>
      </c>
      <c r="H63" s="154" t="s">
        <v>34</v>
      </c>
      <c r="I63" s="154" t="s">
        <v>18</v>
      </c>
      <c r="J63" s="153" t="s">
        <v>9</v>
      </c>
      <c r="K63" s="155">
        <v>8.52</v>
      </c>
      <c r="L63" s="155">
        <v>8.52</v>
      </c>
      <c r="M63" s="154">
        <v>0</v>
      </c>
      <c r="N63" s="156">
        <v>46054</v>
      </c>
      <c r="O63" s="3" t="b">
        <v>1</v>
      </c>
      <c r="P63" s="154"/>
      <c r="Q63" s="156"/>
      <c r="R63" s="154"/>
      <c r="Z63" s="157"/>
    </row>
    <row r="64" spans="1:26" s="36" customFormat="1" x14ac:dyDescent="0.25">
      <c r="A64" s="4" t="b">
        <v>0</v>
      </c>
      <c r="B64" s="4" t="s">
        <v>339</v>
      </c>
      <c r="C64" s="4" t="s">
        <v>18</v>
      </c>
      <c r="D64" s="2" t="s">
        <v>41</v>
      </c>
      <c r="E64" s="2" t="s">
        <v>12</v>
      </c>
      <c r="F64" s="2" t="s">
        <v>5</v>
      </c>
      <c r="G64" s="2">
        <v>677037663</v>
      </c>
      <c r="H64" s="3" t="s">
        <v>34</v>
      </c>
      <c r="I64" s="3" t="s">
        <v>18</v>
      </c>
      <c r="J64" s="2" t="s">
        <v>9</v>
      </c>
      <c r="K64" s="43">
        <v>5.4999999999999997E-3</v>
      </c>
      <c r="L64" s="43">
        <v>5.4999999999999997E-3</v>
      </c>
      <c r="M64" s="3">
        <v>0</v>
      </c>
      <c r="N64" s="70">
        <v>46054</v>
      </c>
      <c r="O64" s="3" t="b">
        <v>1</v>
      </c>
      <c r="P64" s="3"/>
      <c r="Q64" s="70"/>
      <c r="R64" s="3"/>
      <c r="Y64" s="2"/>
    </row>
    <row r="65" spans="1:25" s="36" customFormat="1" x14ac:dyDescent="0.25">
      <c r="A65" s="4" t="b">
        <v>0</v>
      </c>
      <c r="B65" s="4" t="s">
        <v>339</v>
      </c>
      <c r="C65" s="4" t="s">
        <v>18</v>
      </c>
      <c r="D65" s="2" t="s">
        <v>41</v>
      </c>
      <c r="E65" s="2" t="s">
        <v>13</v>
      </c>
      <c r="F65" s="2" t="s">
        <v>5</v>
      </c>
      <c r="G65" s="2">
        <v>677037658</v>
      </c>
      <c r="H65" s="3" t="s">
        <v>34</v>
      </c>
      <c r="I65" s="3" t="s">
        <v>18</v>
      </c>
      <c r="J65" s="2" t="s">
        <v>9</v>
      </c>
      <c r="K65" s="43">
        <v>5.4999999999999997E-3</v>
      </c>
      <c r="L65" s="43">
        <v>5.4999999999999997E-3</v>
      </c>
      <c r="M65" s="3">
        <v>0</v>
      </c>
      <c r="N65" s="70">
        <v>46054</v>
      </c>
      <c r="O65" s="3" t="b">
        <v>1</v>
      </c>
      <c r="P65" s="3"/>
      <c r="Q65" s="70"/>
      <c r="R65" s="3"/>
      <c r="Y65" s="2"/>
    </row>
    <row r="66" spans="1:25" s="36" customFormat="1" x14ac:dyDescent="0.25">
      <c r="A66" s="4" t="b">
        <v>0</v>
      </c>
      <c r="B66" s="4" t="s">
        <v>339</v>
      </c>
      <c r="C66" s="4" t="s">
        <v>18</v>
      </c>
      <c r="D66" s="2" t="s">
        <v>41</v>
      </c>
      <c r="E66" s="2" t="s">
        <v>14</v>
      </c>
      <c r="F66" s="2" t="s">
        <v>5</v>
      </c>
      <c r="G66" s="2">
        <v>677037676</v>
      </c>
      <c r="H66" s="3" t="s">
        <v>34</v>
      </c>
      <c r="I66" s="3" t="s">
        <v>18</v>
      </c>
      <c r="J66" s="2" t="s">
        <v>9</v>
      </c>
      <c r="K66" s="43">
        <v>5.4999999999999997E-3</v>
      </c>
      <c r="L66" s="43">
        <v>5.4999999999999997E-3</v>
      </c>
      <c r="M66" s="3">
        <v>0</v>
      </c>
      <c r="N66" s="70">
        <v>46054</v>
      </c>
      <c r="O66" s="3" t="b">
        <v>1</v>
      </c>
      <c r="P66" s="3"/>
      <c r="Q66" s="70"/>
      <c r="R66" s="3"/>
      <c r="Y66" s="2"/>
    </row>
    <row r="67" spans="1:25" s="36" customFormat="1" x14ac:dyDescent="0.25">
      <c r="A67" s="4" t="b">
        <v>0</v>
      </c>
      <c r="B67" s="4" t="s">
        <v>339</v>
      </c>
      <c r="C67" s="4" t="s">
        <v>18</v>
      </c>
      <c r="D67" s="2" t="s">
        <v>41</v>
      </c>
      <c r="E67" s="2" t="s">
        <v>18</v>
      </c>
      <c r="F67" s="2" t="s">
        <v>5</v>
      </c>
      <c r="G67" s="2">
        <v>741192224</v>
      </c>
      <c r="H67" s="3" t="s">
        <v>34</v>
      </c>
      <c r="I67" s="3" t="s">
        <v>18</v>
      </c>
      <c r="J67" s="2" t="s">
        <v>9</v>
      </c>
      <c r="K67" s="43">
        <v>5.4999999999999997E-3</v>
      </c>
      <c r="L67" s="43">
        <v>5.4999999999999997E-3</v>
      </c>
      <c r="M67" s="3">
        <v>0</v>
      </c>
      <c r="N67" s="70">
        <v>46054</v>
      </c>
      <c r="O67" s="3" t="b">
        <v>1</v>
      </c>
      <c r="P67" s="3"/>
      <c r="Q67" s="70"/>
      <c r="R67" s="3"/>
      <c r="Y67" s="2"/>
    </row>
    <row r="68" spans="1:25" s="36" customFormat="1" x14ac:dyDescent="0.25">
      <c r="A68" s="4" t="b">
        <v>0</v>
      </c>
      <c r="B68" s="4" t="s">
        <v>339</v>
      </c>
      <c r="C68" s="4" t="s">
        <v>18</v>
      </c>
      <c r="D68" s="2" t="s">
        <v>41</v>
      </c>
      <c r="E68" s="2" t="s">
        <v>15</v>
      </c>
      <c r="F68" s="2" t="s">
        <v>5</v>
      </c>
      <c r="G68" s="2">
        <v>676783288</v>
      </c>
      <c r="H68" s="3" t="s">
        <v>34</v>
      </c>
      <c r="I68" s="3" t="s">
        <v>18</v>
      </c>
      <c r="J68" s="2" t="s">
        <v>9</v>
      </c>
      <c r="K68" s="43">
        <v>5.4999999999999997E-3</v>
      </c>
      <c r="L68" s="43">
        <v>5.4999999999999997E-3</v>
      </c>
      <c r="M68" s="3">
        <v>0</v>
      </c>
      <c r="N68" s="70">
        <v>46054</v>
      </c>
      <c r="O68" s="3" t="b">
        <v>1</v>
      </c>
      <c r="P68" s="3"/>
      <c r="Q68" s="70"/>
      <c r="R68" s="3"/>
      <c r="Y68" s="2"/>
    </row>
    <row r="69" spans="1:25" s="36" customFormat="1" x14ac:dyDescent="0.25">
      <c r="A69" s="4" t="b">
        <v>0</v>
      </c>
      <c r="B69" s="4" t="s">
        <v>339</v>
      </c>
      <c r="C69" s="4" t="s">
        <v>18</v>
      </c>
      <c r="D69" s="2" t="s">
        <v>41</v>
      </c>
      <c r="E69" s="2" t="s">
        <v>16</v>
      </c>
      <c r="F69" s="2" t="s">
        <v>5</v>
      </c>
      <c r="G69" s="2">
        <v>676783282</v>
      </c>
      <c r="H69" s="3" t="s">
        <v>34</v>
      </c>
      <c r="I69" s="3" t="s">
        <v>18</v>
      </c>
      <c r="J69" s="2" t="s">
        <v>9</v>
      </c>
      <c r="K69" s="43">
        <v>5.4999999999999997E-3</v>
      </c>
      <c r="L69" s="43">
        <v>5.4999999999999997E-3</v>
      </c>
      <c r="M69" s="3">
        <v>0</v>
      </c>
      <c r="N69" s="70">
        <v>46054</v>
      </c>
      <c r="O69" s="3" t="b">
        <v>1</v>
      </c>
      <c r="P69" s="3"/>
      <c r="Q69" s="70"/>
      <c r="R69" s="3"/>
      <c r="Y69" s="2"/>
    </row>
    <row r="70" spans="1:25" s="36" customFormat="1" x14ac:dyDescent="0.25">
      <c r="A70" s="4" t="b">
        <v>0</v>
      </c>
      <c r="B70" s="4" t="s">
        <v>339</v>
      </c>
      <c r="C70" s="4" t="s">
        <v>18</v>
      </c>
      <c r="D70" s="2" t="s">
        <v>41</v>
      </c>
      <c r="E70" s="2" t="s">
        <v>21</v>
      </c>
      <c r="F70" s="2" t="s">
        <v>5</v>
      </c>
      <c r="G70" s="2">
        <v>676783301</v>
      </c>
      <c r="H70" s="3" t="s">
        <v>34</v>
      </c>
      <c r="I70" s="3" t="s">
        <v>18</v>
      </c>
      <c r="J70" s="2" t="s">
        <v>9</v>
      </c>
      <c r="K70" s="43">
        <v>5.4999999999999997E-3</v>
      </c>
      <c r="L70" s="43">
        <v>5.4999999999999997E-3</v>
      </c>
      <c r="M70" s="3">
        <v>0</v>
      </c>
      <c r="N70" s="70">
        <v>46054</v>
      </c>
      <c r="O70" s="3" t="b">
        <v>1</v>
      </c>
      <c r="P70" s="3"/>
      <c r="Q70" s="70"/>
      <c r="R70" s="3"/>
      <c r="Y70" s="2"/>
    </row>
    <row r="71" spans="1:25" s="36" customFormat="1" x14ac:dyDescent="0.25">
      <c r="A71" s="4" t="b">
        <v>0</v>
      </c>
      <c r="B71" s="4" t="s">
        <v>339</v>
      </c>
      <c r="C71" s="4" t="s">
        <v>18</v>
      </c>
      <c r="D71" s="2" t="s">
        <v>41</v>
      </c>
      <c r="E71" s="2" t="s">
        <v>17</v>
      </c>
      <c r="F71" s="2" t="s">
        <v>5</v>
      </c>
      <c r="G71" s="2">
        <v>349966059</v>
      </c>
      <c r="H71" s="3" t="s">
        <v>34</v>
      </c>
      <c r="I71" s="3" t="s">
        <v>18</v>
      </c>
      <c r="J71" s="2" t="s">
        <v>9</v>
      </c>
      <c r="K71" s="43">
        <v>5.4999999999999997E-3</v>
      </c>
      <c r="L71" s="43">
        <v>5.4999999999999997E-3</v>
      </c>
      <c r="M71" s="3">
        <v>0</v>
      </c>
      <c r="N71" s="70">
        <v>46054</v>
      </c>
      <c r="O71" s="3" t="b">
        <v>1</v>
      </c>
      <c r="P71" s="3"/>
      <c r="Q71" s="70"/>
      <c r="R71" s="3"/>
      <c r="Y71" s="2"/>
    </row>
    <row r="72" spans="1:25" s="36" customFormat="1" x14ac:dyDescent="0.25">
      <c r="A72" s="4" t="b">
        <v>0</v>
      </c>
      <c r="B72" s="4" t="s">
        <v>339</v>
      </c>
      <c r="C72" s="4" t="s">
        <v>18</v>
      </c>
      <c r="D72" s="2" t="s">
        <v>41</v>
      </c>
      <c r="E72" s="2" t="s">
        <v>43</v>
      </c>
      <c r="F72" s="2" t="s">
        <v>5</v>
      </c>
      <c r="G72" s="2">
        <v>677037670</v>
      </c>
      <c r="H72" s="3" t="s">
        <v>34</v>
      </c>
      <c r="I72" s="3" t="s">
        <v>18</v>
      </c>
      <c r="J72" s="2" t="s">
        <v>9</v>
      </c>
      <c r="K72" s="43">
        <v>5.4999999999999997E-3</v>
      </c>
      <c r="L72" s="43">
        <v>5.4999999999999997E-3</v>
      </c>
      <c r="M72" s="3">
        <v>0</v>
      </c>
      <c r="N72" s="70">
        <v>46054</v>
      </c>
      <c r="O72" s="3" t="b">
        <v>1</v>
      </c>
      <c r="P72" s="3"/>
      <c r="Q72" s="70"/>
      <c r="R72" s="3"/>
      <c r="Y72" s="2"/>
    </row>
    <row r="73" spans="1:25" s="36" customFormat="1" x14ac:dyDescent="0.25">
      <c r="A73" s="4" t="b">
        <v>0</v>
      </c>
      <c r="B73" s="4" t="s">
        <v>339</v>
      </c>
      <c r="C73" s="4" t="s">
        <v>18</v>
      </c>
      <c r="D73" s="2" t="s">
        <v>41</v>
      </c>
      <c r="E73" s="2" t="s">
        <v>4</v>
      </c>
      <c r="F73" s="2" t="s">
        <v>5</v>
      </c>
      <c r="G73" s="2">
        <v>677037673</v>
      </c>
      <c r="H73" s="3" t="s">
        <v>34</v>
      </c>
      <c r="I73" s="3" t="s">
        <v>18</v>
      </c>
      <c r="J73" s="2" t="s">
        <v>9</v>
      </c>
      <c r="K73" s="43">
        <v>5.4999999999999997E-3</v>
      </c>
      <c r="L73" s="43">
        <v>5.4999999999999997E-3</v>
      </c>
      <c r="M73" s="3">
        <v>0</v>
      </c>
      <c r="N73" s="70">
        <v>46054</v>
      </c>
      <c r="O73" s="3" t="b">
        <v>1</v>
      </c>
      <c r="P73" s="3"/>
      <c r="Q73" s="70"/>
      <c r="R73" s="3"/>
      <c r="Y73" s="2"/>
    </row>
    <row r="74" spans="1:25" s="36" customFormat="1" x14ac:dyDescent="0.25">
      <c r="A74" s="160" t="b">
        <v>0</v>
      </c>
      <c r="B74" s="160" t="s">
        <v>356</v>
      </c>
      <c r="C74" s="160" t="s">
        <v>356</v>
      </c>
      <c r="D74" s="161" t="s">
        <v>41</v>
      </c>
      <c r="E74" s="162" t="s">
        <v>366</v>
      </c>
      <c r="F74" s="161" t="s">
        <v>5</v>
      </c>
      <c r="G74" s="167">
        <v>25985141</v>
      </c>
      <c r="H74" s="163" t="s">
        <v>337</v>
      </c>
      <c r="I74" s="163" t="s">
        <v>337</v>
      </c>
      <c r="J74" s="161" t="s">
        <v>9</v>
      </c>
      <c r="K74" s="164">
        <v>5.4999999999999997E-3</v>
      </c>
      <c r="L74" s="164">
        <v>5.4999999999999997E-3</v>
      </c>
      <c r="M74" s="163">
        <v>0</v>
      </c>
      <c r="N74" s="165">
        <v>46054</v>
      </c>
      <c r="O74" s="3" t="b">
        <v>1</v>
      </c>
      <c r="P74" s="3"/>
      <c r="Q74" s="70"/>
      <c r="R74" s="3"/>
      <c r="Y74" s="2"/>
    </row>
    <row r="75" spans="1:25" s="161" customFormat="1" x14ac:dyDescent="0.25">
      <c r="A75" s="160" t="b">
        <v>0</v>
      </c>
      <c r="B75" s="160" t="s">
        <v>356</v>
      </c>
      <c r="C75" s="160" t="s">
        <v>356</v>
      </c>
      <c r="D75" s="161" t="s">
        <v>41</v>
      </c>
      <c r="E75" s="162" t="s">
        <v>320</v>
      </c>
      <c r="F75" s="161" t="s">
        <v>5</v>
      </c>
      <c r="G75" s="167">
        <v>229725522</v>
      </c>
      <c r="H75" s="163" t="s">
        <v>337</v>
      </c>
      <c r="I75" s="163" t="s">
        <v>337</v>
      </c>
      <c r="J75" s="161" t="s">
        <v>9</v>
      </c>
      <c r="K75" s="164">
        <v>5.4999999999999997E-3</v>
      </c>
      <c r="L75" s="164">
        <v>5.4999999999999997E-3</v>
      </c>
      <c r="M75" s="163">
        <v>0</v>
      </c>
      <c r="N75" s="165">
        <v>46054</v>
      </c>
      <c r="O75" s="3" t="b">
        <v>1</v>
      </c>
      <c r="U75" s="166"/>
      <c r="W75" s="163"/>
      <c r="Y75" s="163"/>
    </row>
    <row r="76" spans="1:25" s="161" customFormat="1" x14ac:dyDescent="0.25">
      <c r="A76" s="160" t="b">
        <v>0</v>
      </c>
      <c r="B76" s="160" t="s">
        <v>356</v>
      </c>
      <c r="C76" s="160" t="s">
        <v>356</v>
      </c>
      <c r="D76" s="161" t="s">
        <v>41</v>
      </c>
      <c r="E76" s="162" t="s">
        <v>367</v>
      </c>
      <c r="F76" s="161" t="s">
        <v>5</v>
      </c>
      <c r="G76" s="167">
        <v>43645828</v>
      </c>
      <c r="H76" s="163" t="s">
        <v>337</v>
      </c>
      <c r="I76" s="163" t="s">
        <v>337</v>
      </c>
      <c r="J76" s="161" t="s">
        <v>9</v>
      </c>
      <c r="K76" s="164">
        <v>5.4999999999999997E-3</v>
      </c>
      <c r="L76" s="164">
        <v>5.4999999999999997E-3</v>
      </c>
      <c r="M76" s="163">
        <v>0</v>
      </c>
      <c r="N76" s="165">
        <v>46054</v>
      </c>
      <c r="O76" s="3" t="b">
        <v>1</v>
      </c>
      <c r="U76" s="166"/>
      <c r="W76" s="163"/>
      <c r="Y76" s="163"/>
    </row>
    <row r="77" spans="1:25" x14ac:dyDescent="0.25">
      <c r="A77" s="160" t="b">
        <v>0</v>
      </c>
      <c r="B77" s="160" t="s">
        <v>356</v>
      </c>
      <c r="C77" s="160" t="s">
        <v>356</v>
      </c>
      <c r="D77" s="161" t="s">
        <v>41</v>
      </c>
      <c r="E77" s="162" t="s">
        <v>379</v>
      </c>
      <c r="F77" s="161" t="s">
        <v>5</v>
      </c>
      <c r="G77" s="2">
        <v>128835017</v>
      </c>
      <c r="H77" s="163" t="s">
        <v>337</v>
      </c>
      <c r="I77" s="163" t="s">
        <v>337</v>
      </c>
      <c r="J77" s="161" t="s">
        <v>9</v>
      </c>
      <c r="K77" s="164">
        <v>5.4999999999999997E-3</v>
      </c>
      <c r="L77" s="164">
        <v>5.4999999999999997E-3</v>
      </c>
      <c r="M77" s="163">
        <v>0</v>
      </c>
      <c r="N77" s="165">
        <v>46054</v>
      </c>
      <c r="O77" s="3" t="b">
        <v>1</v>
      </c>
    </row>
    <row r="78" spans="1:25" s="161" customFormat="1" x14ac:dyDescent="0.25">
      <c r="A78" s="160" t="b">
        <v>0</v>
      </c>
      <c r="B78" s="160" t="s">
        <v>356</v>
      </c>
      <c r="C78" s="160" t="s">
        <v>356</v>
      </c>
      <c r="D78" s="161" t="s">
        <v>41</v>
      </c>
      <c r="E78" s="162" t="s">
        <v>380</v>
      </c>
      <c r="F78" s="161" t="s">
        <v>5</v>
      </c>
      <c r="G78" s="151">
        <v>46577293</v>
      </c>
      <c r="H78" s="163" t="s">
        <v>337</v>
      </c>
      <c r="I78" s="163" t="s">
        <v>337</v>
      </c>
      <c r="J78" s="161" t="s">
        <v>9</v>
      </c>
      <c r="K78" s="164">
        <v>5.4999999999999997E-3</v>
      </c>
      <c r="L78" s="164">
        <v>5.4999999999999997E-3</v>
      </c>
      <c r="M78" s="163">
        <v>0</v>
      </c>
      <c r="N78" s="165">
        <v>46054</v>
      </c>
      <c r="O78" s="3" t="b">
        <v>1</v>
      </c>
      <c r="U78" s="166"/>
      <c r="W78" s="163"/>
      <c r="Y78" s="163"/>
    </row>
    <row r="79" spans="1:25" s="161" customFormat="1" x14ac:dyDescent="0.25">
      <c r="A79" s="160" t="b">
        <v>0</v>
      </c>
      <c r="B79" s="160" t="s">
        <v>356</v>
      </c>
      <c r="C79" s="160" t="s">
        <v>356</v>
      </c>
      <c r="D79" s="161" t="s">
        <v>41</v>
      </c>
      <c r="E79" s="162" t="s">
        <v>381</v>
      </c>
      <c r="F79" s="161" t="s">
        <v>5</v>
      </c>
      <c r="G79" s="151">
        <v>46576893</v>
      </c>
      <c r="H79" s="163" t="s">
        <v>337</v>
      </c>
      <c r="I79" s="163" t="s">
        <v>337</v>
      </c>
      <c r="J79" s="161" t="s">
        <v>9</v>
      </c>
      <c r="K79" s="164">
        <v>5.4999999999999997E-3</v>
      </c>
      <c r="L79" s="164">
        <v>5.4999999999999997E-3</v>
      </c>
      <c r="M79" s="163">
        <v>0</v>
      </c>
      <c r="N79" s="165">
        <v>46054</v>
      </c>
      <c r="O79" s="3" t="b">
        <v>1</v>
      </c>
      <c r="U79" s="166"/>
      <c r="W79" s="163"/>
      <c r="Y79" s="163"/>
    </row>
    <row r="80" spans="1:25" s="161" customFormat="1" x14ac:dyDescent="0.25">
      <c r="A80" s="160" t="b">
        <v>0</v>
      </c>
      <c r="B80" s="160" t="s">
        <v>356</v>
      </c>
      <c r="C80" s="160" t="s">
        <v>356</v>
      </c>
      <c r="D80" s="161" t="s">
        <v>41</v>
      </c>
      <c r="E80" s="162" t="s">
        <v>363</v>
      </c>
      <c r="F80" s="161" t="s">
        <v>5</v>
      </c>
      <c r="G80" s="167">
        <v>79360027</v>
      </c>
      <c r="H80" s="163" t="s">
        <v>337</v>
      </c>
      <c r="I80" s="163" t="s">
        <v>337</v>
      </c>
      <c r="J80" s="161" t="s">
        <v>9</v>
      </c>
      <c r="K80" s="164">
        <v>5.4999999999999997E-3</v>
      </c>
      <c r="L80" s="164">
        <v>5.4999999999999997E-3</v>
      </c>
      <c r="M80" s="163">
        <v>0</v>
      </c>
      <c r="N80" s="165">
        <v>46054</v>
      </c>
      <c r="O80" s="3" t="b">
        <v>1</v>
      </c>
      <c r="U80" s="166"/>
      <c r="W80" s="163"/>
      <c r="Y80" s="163"/>
    </row>
    <row r="81" spans="1:25" s="161" customFormat="1" x14ac:dyDescent="0.25">
      <c r="A81" s="160" t="b">
        <v>0</v>
      </c>
      <c r="B81" s="160" t="s">
        <v>356</v>
      </c>
      <c r="C81" s="160" t="s">
        <v>356</v>
      </c>
      <c r="D81" s="161" t="s">
        <v>41</v>
      </c>
      <c r="E81" s="162" t="s">
        <v>321</v>
      </c>
      <c r="F81" s="161" t="s">
        <v>5</v>
      </c>
      <c r="G81" s="167">
        <v>59354075</v>
      </c>
      <c r="H81" s="163" t="s">
        <v>337</v>
      </c>
      <c r="I81" s="163" t="s">
        <v>337</v>
      </c>
      <c r="J81" s="161" t="s">
        <v>9</v>
      </c>
      <c r="K81" s="164">
        <v>5.4999999999999997E-3</v>
      </c>
      <c r="L81" s="164">
        <v>5.4999999999999997E-3</v>
      </c>
      <c r="M81" s="163">
        <v>0</v>
      </c>
      <c r="N81" s="165">
        <v>46054</v>
      </c>
      <c r="O81" s="3" t="b">
        <v>1</v>
      </c>
      <c r="U81" s="166"/>
      <c r="W81" s="163"/>
      <c r="Y81" s="163"/>
    </row>
    <row r="82" spans="1:25" s="161" customFormat="1" x14ac:dyDescent="0.25">
      <c r="A82" s="160" t="b">
        <v>0</v>
      </c>
      <c r="B82" s="160" t="s">
        <v>356</v>
      </c>
      <c r="C82" s="160" t="s">
        <v>356</v>
      </c>
      <c r="D82" s="161" t="s">
        <v>41</v>
      </c>
      <c r="E82" s="162" t="s">
        <v>382</v>
      </c>
      <c r="F82" s="161" t="s">
        <v>5</v>
      </c>
      <c r="G82" s="151">
        <v>47649504</v>
      </c>
      <c r="H82" s="163" t="s">
        <v>337</v>
      </c>
      <c r="I82" s="163" t="s">
        <v>337</v>
      </c>
      <c r="J82" s="161" t="s">
        <v>9</v>
      </c>
      <c r="K82" s="164">
        <v>5.4999999999999997E-3</v>
      </c>
      <c r="L82" s="164">
        <v>5.4999999999999997E-3</v>
      </c>
      <c r="M82" s="163">
        <v>0</v>
      </c>
      <c r="N82" s="165">
        <v>46054</v>
      </c>
      <c r="O82" s="3" t="b">
        <v>1</v>
      </c>
      <c r="U82" s="166"/>
      <c r="W82" s="163"/>
      <c r="Y82" s="163"/>
    </row>
    <row r="83" spans="1:25" s="161" customFormat="1" x14ac:dyDescent="0.25">
      <c r="A83" s="160" t="b">
        <v>0</v>
      </c>
      <c r="B83" s="160" t="s">
        <v>356</v>
      </c>
      <c r="C83" s="160" t="s">
        <v>356</v>
      </c>
      <c r="D83" s="161" t="s">
        <v>41</v>
      </c>
      <c r="E83" s="162" t="s">
        <v>383</v>
      </c>
      <c r="F83" s="161" t="s">
        <v>5</v>
      </c>
      <c r="G83" s="151">
        <v>337332930</v>
      </c>
      <c r="H83" s="163" t="s">
        <v>337</v>
      </c>
      <c r="I83" s="163" t="s">
        <v>337</v>
      </c>
      <c r="J83" s="161" t="s">
        <v>9</v>
      </c>
      <c r="K83" s="164">
        <v>5.4999999999999997E-3</v>
      </c>
      <c r="L83" s="164">
        <v>5.4999999999999997E-3</v>
      </c>
      <c r="M83" s="163">
        <v>0</v>
      </c>
      <c r="N83" s="165">
        <v>46054</v>
      </c>
      <c r="O83" s="3" t="b">
        <v>1</v>
      </c>
      <c r="U83" s="166"/>
      <c r="W83" s="163"/>
      <c r="Y83" s="163"/>
    </row>
    <row r="84" spans="1:25" s="161" customFormat="1" x14ac:dyDescent="0.25">
      <c r="A84" s="160" t="b">
        <v>0</v>
      </c>
      <c r="B84" s="160" t="s">
        <v>356</v>
      </c>
      <c r="C84" s="160" t="s">
        <v>356</v>
      </c>
      <c r="D84" s="161" t="s">
        <v>41</v>
      </c>
      <c r="E84" s="162" t="s">
        <v>322</v>
      </c>
      <c r="F84" s="161" t="s">
        <v>5</v>
      </c>
      <c r="G84" s="167">
        <v>236855028</v>
      </c>
      <c r="H84" s="163" t="s">
        <v>337</v>
      </c>
      <c r="I84" s="163" t="s">
        <v>337</v>
      </c>
      <c r="J84" s="161" t="s">
        <v>9</v>
      </c>
      <c r="K84" s="164">
        <v>5.4999999999999997E-3</v>
      </c>
      <c r="L84" s="164">
        <v>5.4999999999999997E-3</v>
      </c>
      <c r="M84" s="163">
        <v>0</v>
      </c>
      <c r="N84" s="165">
        <v>46054</v>
      </c>
      <c r="O84" s="3" t="b">
        <v>1</v>
      </c>
      <c r="U84" s="166"/>
      <c r="W84" s="163"/>
      <c r="Y84" s="163"/>
    </row>
    <row r="85" spans="1:25" s="161" customFormat="1" x14ac:dyDescent="0.25">
      <c r="A85" s="160" t="b">
        <v>0</v>
      </c>
      <c r="B85" s="160" t="s">
        <v>356</v>
      </c>
      <c r="C85" s="160" t="s">
        <v>356</v>
      </c>
      <c r="D85" s="161" t="s">
        <v>41</v>
      </c>
      <c r="E85" s="162" t="s">
        <v>368</v>
      </c>
      <c r="F85" s="161" t="s">
        <v>5</v>
      </c>
      <c r="G85" s="167">
        <v>43652089</v>
      </c>
      <c r="H85" s="163" t="s">
        <v>337</v>
      </c>
      <c r="I85" s="163" t="s">
        <v>337</v>
      </c>
      <c r="J85" s="161" t="s">
        <v>9</v>
      </c>
      <c r="K85" s="164">
        <v>5.4999999999999997E-3</v>
      </c>
      <c r="L85" s="164">
        <v>5.4999999999999997E-3</v>
      </c>
      <c r="M85" s="163">
        <v>0</v>
      </c>
      <c r="N85" s="165">
        <v>46054</v>
      </c>
      <c r="O85" s="3" t="b">
        <v>1</v>
      </c>
      <c r="U85" s="166"/>
      <c r="W85" s="163"/>
      <c r="Y85" s="163"/>
    </row>
    <row r="86" spans="1:25" s="161" customFormat="1" x14ac:dyDescent="0.25">
      <c r="A86" s="160" t="b">
        <v>0</v>
      </c>
      <c r="B86" s="160" t="s">
        <v>356</v>
      </c>
      <c r="C86" s="160" t="s">
        <v>356</v>
      </c>
      <c r="D86" s="161" t="s">
        <v>41</v>
      </c>
      <c r="E86" s="162" t="s">
        <v>369</v>
      </c>
      <c r="F86" s="161" t="s">
        <v>5</v>
      </c>
      <c r="G86" s="167">
        <v>257944560</v>
      </c>
      <c r="H86" s="163" t="s">
        <v>337</v>
      </c>
      <c r="I86" s="163" t="s">
        <v>337</v>
      </c>
      <c r="J86" s="161" t="s">
        <v>9</v>
      </c>
      <c r="K86" s="164">
        <v>5.4999999999999997E-3</v>
      </c>
      <c r="L86" s="164">
        <v>5.4999999999999997E-3</v>
      </c>
      <c r="M86" s="163">
        <v>0</v>
      </c>
      <c r="N86" s="165">
        <v>46054</v>
      </c>
      <c r="O86" s="3" t="b">
        <v>1</v>
      </c>
      <c r="U86" s="166"/>
      <c r="W86" s="163"/>
      <c r="Y86" s="163"/>
    </row>
    <row r="87" spans="1:25" s="161" customFormat="1" x14ac:dyDescent="0.25">
      <c r="A87" s="160" t="b">
        <v>0</v>
      </c>
      <c r="B87" s="160" t="s">
        <v>356</v>
      </c>
      <c r="C87" s="160" t="s">
        <v>356</v>
      </c>
      <c r="D87" s="161" t="s">
        <v>41</v>
      </c>
      <c r="E87" s="162" t="s">
        <v>384</v>
      </c>
      <c r="F87" s="161" t="s">
        <v>5</v>
      </c>
      <c r="G87" s="167">
        <v>212290413</v>
      </c>
      <c r="H87" s="163" t="s">
        <v>337</v>
      </c>
      <c r="I87" s="163" t="s">
        <v>337</v>
      </c>
      <c r="J87" s="161" t="s">
        <v>9</v>
      </c>
      <c r="K87" s="164">
        <v>5.4999999999999997E-3</v>
      </c>
      <c r="L87" s="164">
        <v>5.4999999999999997E-3</v>
      </c>
      <c r="M87" s="163">
        <v>0</v>
      </c>
      <c r="N87" s="165">
        <v>46054</v>
      </c>
      <c r="O87" s="3" t="b">
        <v>1</v>
      </c>
      <c r="U87" s="166"/>
      <c r="W87" s="163"/>
      <c r="Y87" s="163"/>
    </row>
    <row r="88" spans="1:25" s="161" customFormat="1" x14ac:dyDescent="0.25">
      <c r="A88" s="160" t="b">
        <v>0</v>
      </c>
      <c r="B88" s="160" t="s">
        <v>356</v>
      </c>
      <c r="C88" s="160" t="s">
        <v>356</v>
      </c>
      <c r="D88" s="161" t="s">
        <v>41</v>
      </c>
      <c r="E88" s="162" t="s">
        <v>323</v>
      </c>
      <c r="F88" s="161" t="s">
        <v>5</v>
      </c>
      <c r="G88" s="167">
        <v>196234342</v>
      </c>
      <c r="H88" s="163" t="s">
        <v>337</v>
      </c>
      <c r="I88" s="163" t="s">
        <v>337</v>
      </c>
      <c r="J88" s="161" t="s">
        <v>9</v>
      </c>
      <c r="K88" s="164">
        <v>5.4999999999999997E-3</v>
      </c>
      <c r="L88" s="164">
        <v>5.4999999999999997E-3</v>
      </c>
      <c r="M88" s="163">
        <v>0</v>
      </c>
      <c r="N88" s="165">
        <v>46054</v>
      </c>
      <c r="O88" s="3" t="b">
        <v>1</v>
      </c>
      <c r="U88" s="166"/>
      <c r="W88" s="163"/>
      <c r="Y88" s="163"/>
    </row>
    <row r="89" spans="1:25" s="161" customFormat="1" x14ac:dyDescent="0.25">
      <c r="A89" s="160" t="b">
        <v>0</v>
      </c>
      <c r="B89" s="160" t="s">
        <v>356</v>
      </c>
      <c r="C89" s="160" t="s">
        <v>356</v>
      </c>
      <c r="D89" s="161" t="s">
        <v>41</v>
      </c>
      <c r="E89" s="162" t="s">
        <v>324</v>
      </c>
      <c r="F89" s="161" t="s">
        <v>5</v>
      </c>
      <c r="G89" s="167">
        <v>69342629</v>
      </c>
      <c r="H89" s="163" t="s">
        <v>337</v>
      </c>
      <c r="I89" s="163" t="s">
        <v>337</v>
      </c>
      <c r="J89" s="161" t="s">
        <v>9</v>
      </c>
      <c r="K89" s="164">
        <v>5.4999999999999997E-3</v>
      </c>
      <c r="L89" s="164">
        <v>5.4999999999999997E-3</v>
      </c>
      <c r="M89" s="163">
        <v>0</v>
      </c>
      <c r="N89" s="165">
        <v>46054</v>
      </c>
      <c r="O89" s="3" t="b">
        <v>1</v>
      </c>
      <c r="U89" s="166"/>
      <c r="W89" s="163"/>
      <c r="Y89" s="163"/>
    </row>
    <row r="90" spans="1:25" s="161" customFormat="1" x14ac:dyDescent="0.25">
      <c r="A90" s="160" t="b">
        <v>0</v>
      </c>
      <c r="B90" s="160" t="s">
        <v>356</v>
      </c>
      <c r="C90" s="160" t="s">
        <v>356</v>
      </c>
      <c r="D90" s="161" t="s">
        <v>41</v>
      </c>
      <c r="E90" s="162" t="s">
        <v>385</v>
      </c>
      <c r="F90" s="161" t="s">
        <v>5</v>
      </c>
      <c r="G90" s="167">
        <v>57482345</v>
      </c>
      <c r="H90" s="163" t="s">
        <v>337</v>
      </c>
      <c r="I90" s="163" t="s">
        <v>337</v>
      </c>
      <c r="J90" s="161" t="s">
        <v>9</v>
      </c>
      <c r="K90" s="164">
        <v>5.4999999999999997E-3</v>
      </c>
      <c r="L90" s="164">
        <v>5.4999999999999997E-3</v>
      </c>
      <c r="M90" s="163">
        <v>0</v>
      </c>
      <c r="N90" s="165">
        <v>46054</v>
      </c>
      <c r="O90" s="3" t="b">
        <v>1</v>
      </c>
      <c r="U90" s="166"/>
      <c r="W90" s="163"/>
      <c r="Y90" s="163"/>
    </row>
    <row r="91" spans="1:25" s="161" customFormat="1" x14ac:dyDescent="0.25">
      <c r="A91" s="160" t="b">
        <v>0</v>
      </c>
      <c r="B91" s="160" t="s">
        <v>356</v>
      </c>
      <c r="C91" s="160" t="s">
        <v>356</v>
      </c>
      <c r="D91" s="161" t="s">
        <v>41</v>
      </c>
      <c r="E91" s="162" t="s">
        <v>370</v>
      </c>
      <c r="F91" s="161" t="s">
        <v>5</v>
      </c>
      <c r="G91" s="167">
        <v>155518924</v>
      </c>
      <c r="H91" s="163" t="s">
        <v>337</v>
      </c>
      <c r="I91" s="163" t="s">
        <v>337</v>
      </c>
      <c r="J91" s="161" t="s">
        <v>9</v>
      </c>
      <c r="K91" s="164">
        <v>5.4999999999999997E-3</v>
      </c>
      <c r="L91" s="164">
        <v>5.4999999999999997E-3</v>
      </c>
      <c r="M91" s="163">
        <v>0</v>
      </c>
      <c r="N91" s="165">
        <v>46054</v>
      </c>
      <c r="O91" s="3" t="b">
        <v>1</v>
      </c>
      <c r="U91" s="166"/>
      <c r="W91" s="163"/>
      <c r="Y91" s="163"/>
    </row>
    <row r="92" spans="1:25" s="161" customFormat="1" x14ac:dyDescent="0.25">
      <c r="A92" s="160" t="b">
        <v>0</v>
      </c>
      <c r="B92" s="160" t="s">
        <v>356</v>
      </c>
      <c r="C92" s="160" t="s">
        <v>356</v>
      </c>
      <c r="D92" s="161" t="s">
        <v>41</v>
      </c>
      <c r="E92" s="162" t="s">
        <v>371</v>
      </c>
      <c r="F92" s="161" t="s">
        <v>5</v>
      </c>
      <c r="G92" s="167">
        <v>356312840</v>
      </c>
      <c r="H92" s="163" t="s">
        <v>337</v>
      </c>
      <c r="I92" s="163" t="s">
        <v>337</v>
      </c>
      <c r="J92" s="161" t="s">
        <v>9</v>
      </c>
      <c r="K92" s="164">
        <v>5.4999999999999997E-3</v>
      </c>
      <c r="L92" s="164">
        <v>5.4999999999999997E-3</v>
      </c>
      <c r="M92" s="163">
        <v>0</v>
      </c>
      <c r="N92" s="165">
        <v>46054</v>
      </c>
      <c r="O92" s="3" t="b">
        <v>1</v>
      </c>
      <c r="U92" s="166"/>
      <c r="W92" s="163"/>
      <c r="Y92" s="163"/>
    </row>
    <row r="93" spans="1:25" s="161" customFormat="1" x14ac:dyDescent="0.25">
      <c r="A93" s="160" t="b">
        <v>0</v>
      </c>
      <c r="B93" s="160" t="s">
        <v>356</v>
      </c>
      <c r="C93" s="160" t="s">
        <v>356</v>
      </c>
      <c r="D93" s="161" t="s">
        <v>41</v>
      </c>
      <c r="E93" s="162" t="s">
        <v>364</v>
      </c>
      <c r="F93" s="161" t="s">
        <v>5</v>
      </c>
      <c r="G93" s="167">
        <v>15547816</v>
      </c>
      <c r="H93" s="163" t="s">
        <v>337</v>
      </c>
      <c r="I93" s="163" t="s">
        <v>337</v>
      </c>
      <c r="J93" s="161" t="s">
        <v>9</v>
      </c>
      <c r="K93" s="164">
        <v>5.4999999999999997E-3</v>
      </c>
      <c r="L93" s="164">
        <v>5.4999999999999997E-3</v>
      </c>
      <c r="M93" s="163">
        <v>0</v>
      </c>
      <c r="N93" s="165">
        <v>46054</v>
      </c>
      <c r="O93" s="3" t="b">
        <v>1</v>
      </c>
      <c r="U93" s="166"/>
      <c r="W93" s="163"/>
      <c r="Y93" s="163"/>
    </row>
    <row r="94" spans="1:25" s="161" customFormat="1" x14ac:dyDescent="0.25">
      <c r="A94" s="160" t="b">
        <v>0</v>
      </c>
      <c r="B94" s="160" t="s">
        <v>356</v>
      </c>
      <c r="C94" s="160" t="s">
        <v>356</v>
      </c>
      <c r="D94" s="161" t="s">
        <v>41</v>
      </c>
      <c r="E94" s="162" t="s">
        <v>325</v>
      </c>
      <c r="F94" s="161" t="s">
        <v>5</v>
      </c>
      <c r="G94" s="167">
        <v>43283708</v>
      </c>
      <c r="H94" s="163" t="s">
        <v>337</v>
      </c>
      <c r="I94" s="163" t="s">
        <v>337</v>
      </c>
      <c r="J94" s="161" t="s">
        <v>9</v>
      </c>
      <c r="K94" s="164">
        <v>5.4999999999999997E-3</v>
      </c>
      <c r="L94" s="164">
        <v>5.4999999999999997E-3</v>
      </c>
      <c r="M94" s="163">
        <v>0</v>
      </c>
      <c r="N94" s="165">
        <v>46054</v>
      </c>
      <c r="O94" s="3" t="b">
        <v>1</v>
      </c>
      <c r="U94" s="166"/>
      <c r="W94" s="163"/>
      <c r="Y94" s="163"/>
    </row>
    <row r="95" spans="1:25" s="161" customFormat="1" x14ac:dyDescent="0.25">
      <c r="A95" s="160" t="b">
        <v>0</v>
      </c>
      <c r="B95" s="160" t="s">
        <v>356</v>
      </c>
      <c r="C95" s="160" t="s">
        <v>356</v>
      </c>
      <c r="D95" s="161" t="s">
        <v>41</v>
      </c>
      <c r="E95" s="162" t="s">
        <v>326</v>
      </c>
      <c r="F95" s="161" t="s">
        <v>5</v>
      </c>
      <c r="G95" s="167">
        <v>46104034</v>
      </c>
      <c r="H95" s="163" t="s">
        <v>337</v>
      </c>
      <c r="I95" s="163" t="s">
        <v>337</v>
      </c>
      <c r="J95" s="161" t="s">
        <v>9</v>
      </c>
      <c r="K95" s="164">
        <v>5.4999999999999997E-3</v>
      </c>
      <c r="L95" s="164">
        <v>5.4999999999999997E-3</v>
      </c>
      <c r="M95" s="163">
        <v>0</v>
      </c>
      <c r="N95" s="165">
        <v>46054</v>
      </c>
      <c r="O95" s="3" t="b">
        <v>1</v>
      </c>
      <c r="U95" s="166"/>
      <c r="W95" s="163"/>
      <c r="Y95" s="163"/>
    </row>
    <row r="96" spans="1:25" s="161" customFormat="1" x14ac:dyDescent="0.25">
      <c r="A96" s="160" t="b">
        <v>0</v>
      </c>
      <c r="B96" s="160" t="s">
        <v>356</v>
      </c>
      <c r="C96" s="160" t="s">
        <v>356</v>
      </c>
      <c r="D96" s="161" t="s">
        <v>41</v>
      </c>
      <c r="E96" s="162" t="s">
        <v>388</v>
      </c>
      <c r="F96" s="161" t="s">
        <v>5</v>
      </c>
      <c r="G96" s="167">
        <v>319355940</v>
      </c>
      <c r="H96" s="163" t="s">
        <v>337</v>
      </c>
      <c r="I96" s="163" t="s">
        <v>337</v>
      </c>
      <c r="J96" s="161" t="s">
        <v>9</v>
      </c>
      <c r="K96" s="164">
        <v>5.4999999999999997E-3</v>
      </c>
      <c r="L96" s="164">
        <v>5.4999999999999997E-3</v>
      </c>
      <c r="M96" s="163">
        <v>0</v>
      </c>
      <c r="N96" s="165">
        <v>46054</v>
      </c>
      <c r="O96" s="3" t="b">
        <v>1</v>
      </c>
      <c r="U96" s="166"/>
      <c r="W96" s="163"/>
      <c r="Y96" s="163"/>
    </row>
    <row r="97" spans="1:25" s="161" customFormat="1" x14ac:dyDescent="0.25">
      <c r="A97" s="160" t="b">
        <v>0</v>
      </c>
      <c r="B97" s="160" t="s">
        <v>356</v>
      </c>
      <c r="C97" s="160" t="s">
        <v>356</v>
      </c>
      <c r="D97" s="161" t="s">
        <v>41</v>
      </c>
      <c r="E97" s="162" t="s">
        <v>386</v>
      </c>
      <c r="F97" s="161" t="s">
        <v>5</v>
      </c>
      <c r="G97" s="167">
        <v>41037032</v>
      </c>
      <c r="H97" s="163" t="s">
        <v>337</v>
      </c>
      <c r="I97" s="163" t="s">
        <v>337</v>
      </c>
      <c r="J97" s="161" t="s">
        <v>9</v>
      </c>
      <c r="K97" s="164">
        <v>5.4999999999999997E-3</v>
      </c>
      <c r="L97" s="164">
        <v>5.4999999999999997E-3</v>
      </c>
      <c r="M97" s="163">
        <v>0</v>
      </c>
      <c r="N97" s="165">
        <v>46054</v>
      </c>
      <c r="O97" s="3" t="b">
        <v>1</v>
      </c>
      <c r="U97" s="166"/>
      <c r="W97" s="163"/>
      <c r="Y97" s="163"/>
    </row>
    <row r="98" spans="1:25" s="161" customFormat="1" x14ac:dyDescent="0.25">
      <c r="A98" s="160" t="b">
        <v>0</v>
      </c>
      <c r="B98" s="160" t="s">
        <v>356</v>
      </c>
      <c r="C98" s="160" t="s">
        <v>356</v>
      </c>
      <c r="D98" s="161" t="s">
        <v>41</v>
      </c>
      <c r="E98" s="162" t="s">
        <v>387</v>
      </c>
      <c r="F98" s="161" t="s">
        <v>5</v>
      </c>
      <c r="G98" s="167">
        <v>288871046</v>
      </c>
      <c r="H98" s="163" t="s">
        <v>337</v>
      </c>
      <c r="I98" s="163" t="s">
        <v>337</v>
      </c>
      <c r="J98" s="161" t="s">
        <v>9</v>
      </c>
      <c r="K98" s="164">
        <v>5.4999999999999997E-3</v>
      </c>
      <c r="L98" s="164">
        <v>5.4999999999999997E-3</v>
      </c>
      <c r="M98" s="163">
        <v>0</v>
      </c>
      <c r="N98" s="165">
        <v>46054</v>
      </c>
      <c r="O98" s="3" t="b">
        <v>1</v>
      </c>
      <c r="U98" s="166"/>
      <c r="W98" s="163"/>
      <c r="Y98" s="163"/>
    </row>
    <row r="99" spans="1:25" s="161" customFormat="1" x14ac:dyDescent="0.25">
      <c r="A99" s="160" t="b">
        <v>0</v>
      </c>
      <c r="B99" s="160" t="s">
        <v>356</v>
      </c>
      <c r="C99" s="160" t="s">
        <v>356</v>
      </c>
      <c r="D99" s="161" t="s">
        <v>41</v>
      </c>
      <c r="E99" s="162" t="s">
        <v>394</v>
      </c>
      <c r="F99" s="161" t="s">
        <v>5</v>
      </c>
      <c r="G99" s="167">
        <v>82817278</v>
      </c>
      <c r="H99" s="163" t="s">
        <v>337</v>
      </c>
      <c r="I99" s="163" t="s">
        <v>337</v>
      </c>
      <c r="J99" s="161" t="s">
        <v>9</v>
      </c>
      <c r="K99" s="164">
        <v>5.4999999999999997E-3</v>
      </c>
      <c r="L99" s="164">
        <v>5.4999999999999997E-3</v>
      </c>
      <c r="M99" s="163">
        <v>0</v>
      </c>
      <c r="N99" s="165">
        <v>46054</v>
      </c>
      <c r="O99" s="3" t="b">
        <v>1</v>
      </c>
      <c r="U99" s="166"/>
      <c r="W99" s="163"/>
      <c r="Y99" s="163"/>
    </row>
    <row r="100" spans="1:25" s="161" customFormat="1" x14ac:dyDescent="0.25">
      <c r="A100" s="160" t="b">
        <v>0</v>
      </c>
      <c r="B100" s="160" t="s">
        <v>356</v>
      </c>
      <c r="C100" s="160" t="s">
        <v>356</v>
      </c>
      <c r="D100" s="161" t="s">
        <v>41</v>
      </c>
      <c r="E100" s="162" t="s">
        <v>327</v>
      </c>
      <c r="F100" s="161" t="s">
        <v>5</v>
      </c>
      <c r="G100" s="167">
        <v>386752912</v>
      </c>
      <c r="H100" s="163" t="s">
        <v>337</v>
      </c>
      <c r="I100" s="163" t="s">
        <v>337</v>
      </c>
      <c r="J100" s="161" t="s">
        <v>9</v>
      </c>
      <c r="K100" s="164">
        <v>5.4999999999999997E-3</v>
      </c>
      <c r="L100" s="164">
        <v>5.4999999999999997E-3</v>
      </c>
      <c r="M100" s="163">
        <v>0</v>
      </c>
      <c r="N100" s="165">
        <v>46054</v>
      </c>
      <c r="O100" s="3" t="b">
        <v>1</v>
      </c>
      <c r="U100" s="166"/>
      <c r="W100" s="163"/>
      <c r="Y100" s="163"/>
    </row>
    <row r="101" spans="1:25" s="161" customFormat="1" x14ac:dyDescent="0.25">
      <c r="A101" s="160" t="b">
        <v>0</v>
      </c>
      <c r="B101" s="160" t="s">
        <v>356</v>
      </c>
      <c r="C101" s="160" t="s">
        <v>356</v>
      </c>
      <c r="D101" s="161" t="s">
        <v>41</v>
      </c>
      <c r="E101" s="162" t="s">
        <v>372</v>
      </c>
      <c r="F101" s="161" t="s">
        <v>5</v>
      </c>
      <c r="G101" s="167">
        <v>90832064</v>
      </c>
      <c r="H101" s="163" t="s">
        <v>337</v>
      </c>
      <c r="I101" s="163" t="s">
        <v>337</v>
      </c>
      <c r="J101" s="161" t="s">
        <v>9</v>
      </c>
      <c r="K101" s="164">
        <v>5.4999999999999997E-3</v>
      </c>
      <c r="L101" s="164">
        <v>5.4999999999999997E-3</v>
      </c>
      <c r="M101" s="163">
        <v>0</v>
      </c>
      <c r="N101" s="165">
        <v>46054</v>
      </c>
      <c r="O101" s="3" t="b">
        <v>1</v>
      </c>
      <c r="U101" s="166"/>
      <c r="W101" s="163"/>
      <c r="Y101" s="163"/>
    </row>
    <row r="102" spans="1:25" s="161" customFormat="1" x14ac:dyDescent="0.25">
      <c r="A102" s="160" t="b">
        <v>0</v>
      </c>
      <c r="B102" s="160" t="s">
        <v>356</v>
      </c>
      <c r="C102" s="160" t="s">
        <v>356</v>
      </c>
      <c r="D102" s="161" t="s">
        <v>41</v>
      </c>
      <c r="E102" s="162" t="s">
        <v>373</v>
      </c>
      <c r="F102" s="161" t="s">
        <v>5</v>
      </c>
      <c r="G102" s="167">
        <v>641561653</v>
      </c>
      <c r="H102" s="163" t="s">
        <v>337</v>
      </c>
      <c r="I102" s="163" t="s">
        <v>337</v>
      </c>
      <c r="J102" s="161" t="s">
        <v>9</v>
      </c>
      <c r="K102" s="164">
        <v>5.4999999999999997E-3</v>
      </c>
      <c r="L102" s="164">
        <v>5.4999999999999997E-3</v>
      </c>
      <c r="M102" s="163">
        <v>0</v>
      </c>
      <c r="N102" s="165">
        <v>46054</v>
      </c>
      <c r="O102" s="3" t="b">
        <v>1</v>
      </c>
      <c r="U102" s="166"/>
      <c r="W102" s="163"/>
      <c r="Y102" s="163"/>
    </row>
    <row r="103" spans="1:25" s="161" customFormat="1" x14ac:dyDescent="0.25">
      <c r="A103" s="160" t="b">
        <v>0</v>
      </c>
      <c r="B103" s="160" t="s">
        <v>356</v>
      </c>
      <c r="C103" s="160" t="s">
        <v>356</v>
      </c>
      <c r="D103" s="161" t="s">
        <v>41</v>
      </c>
      <c r="E103" s="162" t="s">
        <v>374</v>
      </c>
      <c r="F103" s="161" t="s">
        <v>5</v>
      </c>
      <c r="G103" s="167">
        <v>45540687</v>
      </c>
      <c r="H103" s="163" t="s">
        <v>337</v>
      </c>
      <c r="I103" s="163" t="s">
        <v>337</v>
      </c>
      <c r="J103" s="161" t="s">
        <v>9</v>
      </c>
      <c r="K103" s="164">
        <v>5.4999999999999997E-3</v>
      </c>
      <c r="L103" s="164">
        <v>5.4999999999999997E-3</v>
      </c>
      <c r="M103" s="163">
        <v>0</v>
      </c>
      <c r="N103" s="165">
        <v>46054</v>
      </c>
      <c r="O103" s="3" t="b">
        <v>1</v>
      </c>
      <c r="U103" s="166"/>
      <c r="W103" s="163"/>
      <c r="Y103" s="163"/>
    </row>
    <row r="104" spans="1:25" s="161" customFormat="1" x14ac:dyDescent="0.25">
      <c r="A104" s="160" t="b">
        <v>0</v>
      </c>
      <c r="B104" s="160" t="s">
        <v>356</v>
      </c>
      <c r="C104" s="160" t="s">
        <v>356</v>
      </c>
      <c r="D104" s="161" t="s">
        <v>41</v>
      </c>
      <c r="E104" s="162" t="s">
        <v>377</v>
      </c>
      <c r="F104" s="161" t="s">
        <v>5</v>
      </c>
      <c r="G104" s="167">
        <v>86607525</v>
      </c>
      <c r="H104" s="163" t="s">
        <v>337</v>
      </c>
      <c r="I104" s="163" t="s">
        <v>337</v>
      </c>
      <c r="J104" s="161" t="s">
        <v>9</v>
      </c>
      <c r="K104" s="164">
        <v>5.4999999999999997E-3</v>
      </c>
      <c r="L104" s="164">
        <v>5.4999999999999997E-3</v>
      </c>
      <c r="M104" s="163">
        <v>0</v>
      </c>
      <c r="N104" s="165">
        <v>46054</v>
      </c>
      <c r="O104" s="3" t="b">
        <v>1</v>
      </c>
      <c r="U104" s="166"/>
      <c r="W104" s="163"/>
      <c r="Y104" s="163"/>
    </row>
    <row r="105" spans="1:25" s="161" customFormat="1" x14ac:dyDescent="0.25">
      <c r="A105" s="160" t="b">
        <v>0</v>
      </c>
      <c r="B105" s="160" t="s">
        <v>356</v>
      </c>
      <c r="C105" s="160" t="s">
        <v>356</v>
      </c>
      <c r="D105" s="161" t="s">
        <v>41</v>
      </c>
      <c r="E105" s="162" t="s">
        <v>375</v>
      </c>
      <c r="F105" s="161" t="s">
        <v>5</v>
      </c>
      <c r="G105" s="167">
        <v>109385195</v>
      </c>
      <c r="H105" s="163" t="s">
        <v>337</v>
      </c>
      <c r="I105" s="163" t="s">
        <v>337</v>
      </c>
      <c r="J105" s="161" t="s">
        <v>9</v>
      </c>
      <c r="K105" s="164">
        <v>5.4999999999999997E-3</v>
      </c>
      <c r="L105" s="164">
        <v>5.4999999999999997E-3</v>
      </c>
      <c r="M105" s="163">
        <v>0</v>
      </c>
      <c r="N105" s="165">
        <v>46054</v>
      </c>
      <c r="O105" s="3" t="b">
        <v>1</v>
      </c>
      <c r="U105" s="166"/>
      <c r="W105" s="163"/>
      <c r="Y105" s="163"/>
    </row>
    <row r="106" spans="1:25" s="161" customFormat="1" x14ac:dyDescent="0.25">
      <c r="A106" s="160" t="b">
        <v>0</v>
      </c>
      <c r="B106" s="160" t="s">
        <v>356</v>
      </c>
      <c r="C106" s="160" t="s">
        <v>356</v>
      </c>
      <c r="D106" s="161" t="s">
        <v>41</v>
      </c>
      <c r="E106" s="162" t="s">
        <v>328</v>
      </c>
      <c r="F106" s="161" t="s">
        <v>5</v>
      </c>
      <c r="G106" s="167">
        <v>57091568</v>
      </c>
      <c r="H106" s="163" t="s">
        <v>337</v>
      </c>
      <c r="I106" s="163" t="s">
        <v>337</v>
      </c>
      <c r="J106" s="161" t="s">
        <v>9</v>
      </c>
      <c r="K106" s="164">
        <v>5.4999999999999997E-3</v>
      </c>
      <c r="L106" s="164">
        <v>5.4999999999999997E-3</v>
      </c>
      <c r="M106" s="163">
        <v>0</v>
      </c>
      <c r="N106" s="165">
        <v>46054</v>
      </c>
      <c r="O106" s="3" t="b">
        <v>1</v>
      </c>
      <c r="U106" s="166"/>
      <c r="W106" s="163"/>
      <c r="Y106" s="163"/>
    </row>
    <row r="107" spans="1:25" s="161" customFormat="1" x14ac:dyDescent="0.25">
      <c r="A107" s="160" t="b">
        <v>0</v>
      </c>
      <c r="B107" s="160" t="s">
        <v>356</v>
      </c>
      <c r="C107" s="160" t="s">
        <v>356</v>
      </c>
      <c r="D107" s="161" t="s">
        <v>41</v>
      </c>
      <c r="E107" s="162" t="s">
        <v>329</v>
      </c>
      <c r="F107" s="161" t="s">
        <v>5</v>
      </c>
      <c r="G107" s="167">
        <v>57091583</v>
      </c>
      <c r="H107" s="163" t="s">
        <v>337</v>
      </c>
      <c r="I107" s="163" t="s">
        <v>337</v>
      </c>
      <c r="J107" s="161" t="s">
        <v>9</v>
      </c>
      <c r="K107" s="164">
        <v>5.4999999999999997E-3</v>
      </c>
      <c r="L107" s="164">
        <v>5.4999999999999997E-3</v>
      </c>
      <c r="M107" s="163">
        <v>0</v>
      </c>
      <c r="N107" s="165">
        <v>46054</v>
      </c>
      <c r="O107" s="3" t="b">
        <v>1</v>
      </c>
      <c r="U107" s="166"/>
      <c r="W107" s="163"/>
      <c r="Y107" s="163"/>
    </row>
    <row r="108" spans="1:25" s="161" customFormat="1" x14ac:dyDescent="0.25">
      <c r="A108" s="160" t="b">
        <v>0</v>
      </c>
      <c r="B108" s="160" t="s">
        <v>356</v>
      </c>
      <c r="C108" s="160" t="s">
        <v>356</v>
      </c>
      <c r="D108" s="161" t="s">
        <v>41</v>
      </c>
      <c r="E108" s="162" t="s">
        <v>330</v>
      </c>
      <c r="F108" s="161" t="s">
        <v>5</v>
      </c>
      <c r="G108" s="167">
        <v>45540689</v>
      </c>
      <c r="H108" s="163" t="s">
        <v>337</v>
      </c>
      <c r="I108" s="163" t="s">
        <v>337</v>
      </c>
      <c r="J108" s="161" t="s">
        <v>9</v>
      </c>
      <c r="K108" s="164">
        <v>5.4999999999999997E-3</v>
      </c>
      <c r="L108" s="164">
        <v>5.4999999999999997E-3</v>
      </c>
      <c r="M108" s="163">
        <v>0</v>
      </c>
      <c r="N108" s="165">
        <v>46054</v>
      </c>
      <c r="O108" s="3" t="b">
        <v>1</v>
      </c>
      <c r="U108" s="166"/>
      <c r="W108" s="163"/>
      <c r="Y108" s="163"/>
    </row>
    <row r="109" spans="1:25" s="161" customFormat="1" x14ac:dyDescent="0.25">
      <c r="A109" s="160" t="b">
        <v>0</v>
      </c>
      <c r="B109" s="160" t="s">
        <v>356</v>
      </c>
      <c r="C109" s="160" t="s">
        <v>356</v>
      </c>
      <c r="D109" s="161" t="s">
        <v>41</v>
      </c>
      <c r="E109" s="162" t="s">
        <v>331</v>
      </c>
      <c r="F109" s="161" t="s">
        <v>5</v>
      </c>
      <c r="G109" s="167">
        <v>225020107</v>
      </c>
      <c r="H109" s="163" t="s">
        <v>337</v>
      </c>
      <c r="I109" s="163" t="s">
        <v>337</v>
      </c>
      <c r="J109" s="161" t="s">
        <v>9</v>
      </c>
      <c r="K109" s="164">
        <v>5.4999999999999997E-3</v>
      </c>
      <c r="L109" s="164">
        <v>5.4999999999999997E-3</v>
      </c>
      <c r="M109" s="163">
        <v>0</v>
      </c>
      <c r="N109" s="165">
        <v>46054</v>
      </c>
      <c r="O109" s="3" t="b">
        <v>1</v>
      </c>
      <c r="U109" s="166"/>
      <c r="W109" s="163"/>
      <c r="Y109" s="163"/>
    </row>
    <row r="110" spans="1:25" s="161" customFormat="1" x14ac:dyDescent="0.25">
      <c r="A110" s="160" t="b">
        <v>0</v>
      </c>
      <c r="B110" s="160" t="s">
        <v>356</v>
      </c>
      <c r="C110" s="160" t="s">
        <v>356</v>
      </c>
      <c r="D110" s="161" t="s">
        <v>41</v>
      </c>
      <c r="E110" s="162" t="s">
        <v>332</v>
      </c>
      <c r="F110" s="161" t="s">
        <v>5</v>
      </c>
      <c r="G110" s="167">
        <v>15547841</v>
      </c>
      <c r="H110" s="163" t="s">
        <v>337</v>
      </c>
      <c r="I110" s="163" t="s">
        <v>337</v>
      </c>
      <c r="J110" s="161" t="s">
        <v>9</v>
      </c>
      <c r="K110" s="164">
        <v>5.4999999999999997E-3</v>
      </c>
      <c r="L110" s="164">
        <v>5.4999999999999997E-3</v>
      </c>
      <c r="M110" s="163">
        <v>0</v>
      </c>
      <c r="N110" s="165">
        <v>46054</v>
      </c>
      <c r="O110" s="3" t="b">
        <v>1</v>
      </c>
      <c r="U110" s="166"/>
      <c r="W110" s="163"/>
      <c r="Y110" s="163"/>
    </row>
    <row r="111" spans="1:25" s="161" customFormat="1" x14ac:dyDescent="0.25">
      <c r="A111" s="160" t="b">
        <v>0</v>
      </c>
      <c r="B111" s="160" t="s">
        <v>356</v>
      </c>
      <c r="C111" s="160" t="s">
        <v>356</v>
      </c>
      <c r="D111" s="161" t="s">
        <v>41</v>
      </c>
      <c r="E111" s="162" t="s">
        <v>376</v>
      </c>
      <c r="F111" s="161" t="s">
        <v>5</v>
      </c>
      <c r="G111" s="167">
        <v>293893522</v>
      </c>
      <c r="H111" s="163" t="s">
        <v>337</v>
      </c>
      <c r="I111" s="163" t="s">
        <v>337</v>
      </c>
      <c r="J111" s="161" t="s">
        <v>9</v>
      </c>
      <c r="K111" s="164">
        <v>5.4999999999999997E-3</v>
      </c>
      <c r="L111" s="164">
        <v>5.4999999999999997E-3</v>
      </c>
      <c r="M111" s="163">
        <v>0</v>
      </c>
      <c r="N111" s="165">
        <v>46054</v>
      </c>
      <c r="O111" s="3" t="b">
        <v>1</v>
      </c>
      <c r="U111" s="166"/>
      <c r="W111" s="163"/>
      <c r="Y111" s="163"/>
    </row>
    <row r="112" spans="1:25" s="161" customFormat="1" x14ac:dyDescent="0.25">
      <c r="A112" s="160" t="b">
        <v>0</v>
      </c>
      <c r="B112" s="160" t="s">
        <v>356</v>
      </c>
      <c r="C112" s="160" t="s">
        <v>356</v>
      </c>
      <c r="D112" s="161" t="s">
        <v>41</v>
      </c>
      <c r="E112" s="162" t="s">
        <v>365</v>
      </c>
      <c r="F112" s="161" t="s">
        <v>5</v>
      </c>
      <c r="G112" s="167">
        <v>42454562</v>
      </c>
      <c r="H112" s="163" t="s">
        <v>337</v>
      </c>
      <c r="I112" s="163" t="s">
        <v>337</v>
      </c>
      <c r="J112" s="161" t="s">
        <v>9</v>
      </c>
      <c r="K112" s="164">
        <v>5.4999999999999997E-3</v>
      </c>
      <c r="L112" s="164">
        <v>5.4999999999999997E-3</v>
      </c>
      <c r="M112" s="163">
        <v>0</v>
      </c>
      <c r="N112" s="165">
        <v>46054</v>
      </c>
      <c r="O112" s="3" t="b">
        <v>1</v>
      </c>
      <c r="U112" s="166"/>
      <c r="W112" s="163"/>
      <c r="Y112" s="163"/>
    </row>
    <row r="113" spans="1:27" s="161" customFormat="1" x14ac:dyDescent="0.25">
      <c r="A113" s="160" t="b">
        <v>0</v>
      </c>
      <c r="B113" s="160" t="s">
        <v>356</v>
      </c>
      <c r="C113" s="160" t="s">
        <v>356</v>
      </c>
      <c r="D113" s="161" t="s">
        <v>41</v>
      </c>
      <c r="E113" s="162" t="s">
        <v>393</v>
      </c>
      <c r="F113" s="161" t="s">
        <v>5</v>
      </c>
      <c r="G113" s="167">
        <v>44053714</v>
      </c>
      <c r="H113" s="163" t="s">
        <v>337</v>
      </c>
      <c r="I113" s="163" t="s">
        <v>337</v>
      </c>
      <c r="J113" s="161" t="s">
        <v>9</v>
      </c>
      <c r="K113" s="164">
        <v>5.4999999999999997E-3</v>
      </c>
      <c r="L113" s="164">
        <v>5.4999999999999997E-3</v>
      </c>
      <c r="M113" s="163">
        <v>0</v>
      </c>
      <c r="N113" s="165">
        <v>46054</v>
      </c>
      <c r="O113" s="3" t="b">
        <v>1</v>
      </c>
      <c r="U113" s="166"/>
      <c r="W113" s="163"/>
      <c r="Y113" s="163"/>
    </row>
    <row r="114" spans="1:27" s="161" customFormat="1" x14ac:dyDescent="0.25">
      <c r="A114" s="160" t="b">
        <v>0</v>
      </c>
      <c r="B114" s="160" t="s">
        <v>356</v>
      </c>
      <c r="C114" s="160" t="s">
        <v>356</v>
      </c>
      <c r="D114" s="161" t="s">
        <v>41</v>
      </c>
      <c r="E114" s="162" t="s">
        <v>333</v>
      </c>
      <c r="F114" s="161" t="s">
        <v>5</v>
      </c>
      <c r="G114" s="167">
        <v>70363054</v>
      </c>
      <c r="H114" s="163" t="s">
        <v>337</v>
      </c>
      <c r="I114" s="163" t="s">
        <v>337</v>
      </c>
      <c r="J114" s="161" t="s">
        <v>9</v>
      </c>
      <c r="K114" s="164">
        <v>5.4999999999999997E-3</v>
      </c>
      <c r="L114" s="164">
        <v>5.4999999999999997E-3</v>
      </c>
      <c r="M114" s="163">
        <v>0</v>
      </c>
      <c r="N114" s="165">
        <v>46054</v>
      </c>
      <c r="O114" s="3" t="b">
        <v>1</v>
      </c>
      <c r="U114" s="166"/>
      <c r="W114" s="163"/>
      <c r="Y114" s="163"/>
    </row>
    <row r="115" spans="1:27" s="161" customFormat="1" x14ac:dyDescent="0.25">
      <c r="A115" s="160" t="b">
        <v>0</v>
      </c>
      <c r="B115" s="160" t="s">
        <v>356</v>
      </c>
      <c r="C115" s="160" t="s">
        <v>356</v>
      </c>
      <c r="D115" s="161" t="s">
        <v>41</v>
      </c>
      <c r="E115" s="162" t="s">
        <v>334</v>
      </c>
      <c r="F115" s="161" t="s">
        <v>5</v>
      </c>
      <c r="G115" s="167">
        <v>70363056</v>
      </c>
      <c r="H115" s="163" t="s">
        <v>337</v>
      </c>
      <c r="I115" s="163" t="s">
        <v>337</v>
      </c>
      <c r="J115" s="161" t="s">
        <v>9</v>
      </c>
      <c r="K115" s="164">
        <v>5.4999999999999997E-3</v>
      </c>
      <c r="L115" s="164">
        <v>5.4999999999999997E-3</v>
      </c>
      <c r="M115" s="163">
        <v>0</v>
      </c>
      <c r="N115" s="165">
        <v>46054</v>
      </c>
      <c r="O115" s="3" t="b">
        <v>1</v>
      </c>
      <c r="U115" s="166"/>
      <c r="W115" s="163"/>
      <c r="Y115" s="163"/>
    </row>
    <row r="116" spans="1:27" s="161" customFormat="1" x14ac:dyDescent="0.25">
      <c r="A116" s="160" t="b">
        <v>0</v>
      </c>
      <c r="B116" s="160" t="s">
        <v>356</v>
      </c>
      <c r="C116" s="160" t="s">
        <v>356</v>
      </c>
      <c r="D116" s="161" t="s">
        <v>41</v>
      </c>
      <c r="E116" s="162" t="s">
        <v>335</v>
      </c>
      <c r="F116" s="161" t="s">
        <v>5</v>
      </c>
      <c r="G116" s="167">
        <v>70363041</v>
      </c>
      <c r="H116" s="163" t="s">
        <v>337</v>
      </c>
      <c r="I116" s="163" t="s">
        <v>337</v>
      </c>
      <c r="J116" s="161" t="s">
        <v>9</v>
      </c>
      <c r="K116" s="164">
        <v>5.4999999999999997E-3</v>
      </c>
      <c r="L116" s="164">
        <v>5.4999999999999997E-3</v>
      </c>
      <c r="M116" s="163">
        <v>0</v>
      </c>
      <c r="N116" s="165">
        <v>46054</v>
      </c>
      <c r="O116" s="3" t="b">
        <v>1</v>
      </c>
      <c r="U116" s="166"/>
      <c r="W116" s="163"/>
      <c r="Y116" s="163"/>
    </row>
    <row r="117" spans="1:27" s="161" customFormat="1" x14ac:dyDescent="0.25">
      <c r="A117" s="160" t="b">
        <v>0</v>
      </c>
      <c r="B117" s="160" t="s">
        <v>356</v>
      </c>
      <c r="C117" s="160" t="s">
        <v>356</v>
      </c>
      <c r="D117" s="161" t="s">
        <v>41</v>
      </c>
      <c r="E117" s="162" t="s">
        <v>378</v>
      </c>
      <c r="F117" s="161" t="s">
        <v>5</v>
      </c>
      <c r="G117" s="167">
        <v>295518938</v>
      </c>
      <c r="H117" s="163" t="s">
        <v>337</v>
      </c>
      <c r="I117" s="163" t="s">
        <v>337</v>
      </c>
      <c r="J117" s="161" t="s">
        <v>9</v>
      </c>
      <c r="K117" s="164">
        <v>5.4999999999999997E-3</v>
      </c>
      <c r="L117" s="164">
        <v>5.4999999999999997E-3</v>
      </c>
      <c r="M117" s="163">
        <v>0</v>
      </c>
      <c r="N117" s="165">
        <v>46054</v>
      </c>
      <c r="O117" s="3" t="b">
        <v>1</v>
      </c>
      <c r="U117" s="166"/>
      <c r="W117" s="163"/>
      <c r="Y117" s="163"/>
    </row>
    <row r="118" spans="1:27" s="161" customFormat="1" x14ac:dyDescent="0.25">
      <c r="A118" s="160" t="b">
        <v>0</v>
      </c>
      <c r="B118" s="160" t="s">
        <v>356</v>
      </c>
      <c r="C118" s="160" t="s">
        <v>356</v>
      </c>
      <c r="D118" s="161" t="s">
        <v>41</v>
      </c>
      <c r="E118" s="162" t="s">
        <v>336</v>
      </c>
      <c r="F118" s="161" t="s">
        <v>5</v>
      </c>
      <c r="G118" s="167">
        <v>204473835</v>
      </c>
      <c r="H118" s="163" t="s">
        <v>337</v>
      </c>
      <c r="I118" s="163" t="s">
        <v>337</v>
      </c>
      <c r="J118" s="161" t="s">
        <v>9</v>
      </c>
      <c r="K118" s="164">
        <v>5.4999999999999997E-3</v>
      </c>
      <c r="L118" s="164">
        <v>5.4999999999999997E-3</v>
      </c>
      <c r="M118" s="163">
        <v>0</v>
      </c>
      <c r="N118" s="165">
        <v>46054</v>
      </c>
      <c r="O118" s="3" t="b">
        <v>1</v>
      </c>
      <c r="U118" s="166"/>
      <c r="W118" s="163"/>
      <c r="Y118" s="163"/>
    </row>
    <row r="119" spans="1:27" s="161" customFormat="1" x14ac:dyDescent="0.25">
      <c r="A119" s="160" t="b">
        <v>0</v>
      </c>
      <c r="B119" s="160" t="s">
        <v>356</v>
      </c>
      <c r="C119" s="160" t="s">
        <v>356</v>
      </c>
      <c r="D119" s="161" t="s">
        <v>41</v>
      </c>
      <c r="E119" s="162" t="s">
        <v>389</v>
      </c>
      <c r="F119" s="161" t="s">
        <v>5</v>
      </c>
      <c r="G119" s="167">
        <v>681156853</v>
      </c>
      <c r="H119" s="163" t="s">
        <v>337</v>
      </c>
      <c r="I119" s="163" t="s">
        <v>337</v>
      </c>
      <c r="J119" s="161" t="s">
        <v>9</v>
      </c>
      <c r="K119" s="164">
        <v>5.4999999999999997E-3</v>
      </c>
      <c r="L119" s="164">
        <v>5.4999999999999997E-3</v>
      </c>
      <c r="M119" s="163">
        <v>0</v>
      </c>
      <c r="N119" s="165">
        <v>46054</v>
      </c>
      <c r="O119" s="3" t="b">
        <v>1</v>
      </c>
      <c r="U119" s="166"/>
      <c r="W119" s="163"/>
      <c r="Y119" s="163"/>
    </row>
    <row r="120" spans="1:27" s="161" customFormat="1" x14ac:dyDescent="0.25">
      <c r="A120" s="160" t="b">
        <v>0</v>
      </c>
      <c r="B120" s="160" t="s">
        <v>356</v>
      </c>
      <c r="C120" s="160" t="s">
        <v>356</v>
      </c>
      <c r="D120" s="161" t="s">
        <v>41</v>
      </c>
      <c r="E120" s="162" t="s">
        <v>390</v>
      </c>
      <c r="F120" s="161" t="s">
        <v>5</v>
      </c>
      <c r="G120" s="167">
        <v>128835014</v>
      </c>
      <c r="H120" s="163" t="s">
        <v>337</v>
      </c>
      <c r="I120" s="163" t="s">
        <v>337</v>
      </c>
      <c r="J120" s="161" t="s">
        <v>9</v>
      </c>
      <c r="K120" s="164">
        <v>5.4999999999999997E-3</v>
      </c>
      <c r="L120" s="164">
        <v>5.4999999999999997E-3</v>
      </c>
      <c r="M120" s="163">
        <v>0</v>
      </c>
      <c r="N120" s="165">
        <v>46054</v>
      </c>
      <c r="O120" s="3" t="b">
        <v>1</v>
      </c>
      <c r="U120" s="166"/>
      <c r="W120" s="163"/>
      <c r="Y120" s="163"/>
    </row>
    <row r="121" spans="1:27" x14ac:dyDescent="0.25">
      <c r="A121" s="4" t="b">
        <v>0</v>
      </c>
      <c r="B121" s="4" t="s">
        <v>18</v>
      </c>
      <c r="C121" s="4" t="s">
        <v>18</v>
      </c>
      <c r="D121" s="36" t="s">
        <v>74</v>
      </c>
      <c r="E121" s="151" t="s">
        <v>74</v>
      </c>
      <c r="F121" s="36" t="s">
        <v>5</v>
      </c>
      <c r="G121" s="36">
        <v>890244267</v>
      </c>
      <c r="H121" s="3" t="s">
        <v>34</v>
      </c>
      <c r="I121" s="3" t="s">
        <v>18</v>
      </c>
      <c r="J121" s="38" t="s">
        <v>9</v>
      </c>
      <c r="K121" s="44">
        <v>1.5</v>
      </c>
      <c r="L121" s="44">
        <v>1.5</v>
      </c>
      <c r="M121" s="3">
        <v>0</v>
      </c>
      <c r="N121" s="3"/>
      <c r="O121" s="3" t="b">
        <v>0</v>
      </c>
      <c r="P121" s="36"/>
      <c r="Q121" s="36"/>
      <c r="R121" s="36"/>
      <c r="S121" s="36"/>
      <c r="T121" s="2"/>
      <c r="U121" s="44"/>
      <c r="V121" s="2"/>
      <c r="X121" s="36"/>
      <c r="Y121" s="3"/>
    </row>
    <row r="122" spans="1:27" x14ac:dyDescent="0.25">
      <c r="G122" s="36"/>
      <c r="H122" s="36"/>
      <c r="I122" s="45"/>
      <c r="J122" s="45"/>
      <c r="K122" s="36"/>
      <c r="L122" s="36"/>
      <c r="M122" s="36"/>
      <c r="N122" s="36"/>
      <c r="O122" s="36"/>
      <c r="P122" s="36"/>
      <c r="Q122" s="36"/>
      <c r="R122" s="36"/>
      <c r="W122" s="36"/>
    </row>
    <row r="123" spans="1:27" x14ac:dyDescent="0.25">
      <c r="G123" s="36"/>
      <c r="H123" s="36"/>
      <c r="I123" s="45"/>
      <c r="J123" s="45"/>
      <c r="K123" s="36"/>
      <c r="L123" s="36"/>
      <c r="M123" s="36"/>
      <c r="N123" s="36"/>
      <c r="O123" s="36"/>
      <c r="P123" s="36"/>
      <c r="Q123" s="36"/>
      <c r="R123" s="36"/>
      <c r="W123" s="36"/>
    </row>
    <row r="124" spans="1:27" x14ac:dyDescent="0.25">
      <c r="G124" s="36"/>
      <c r="H124" s="36"/>
      <c r="I124" s="45"/>
      <c r="J124" s="45"/>
      <c r="K124" s="36"/>
      <c r="L124" s="36"/>
      <c r="M124" s="36"/>
      <c r="N124" s="36"/>
      <c r="O124" s="36"/>
      <c r="P124" s="36"/>
      <c r="Q124" s="36"/>
      <c r="R124" s="36"/>
      <c r="W124" s="36"/>
    </row>
    <row r="125" spans="1:27" x14ac:dyDescent="0.25">
      <c r="G125" s="36"/>
      <c r="H125" s="36"/>
      <c r="I125" s="45"/>
      <c r="J125" s="45"/>
      <c r="K125" s="36"/>
      <c r="L125" s="36"/>
      <c r="M125" s="36"/>
      <c r="N125" s="36"/>
      <c r="O125" s="36"/>
      <c r="P125" s="36"/>
      <c r="Q125" s="36"/>
      <c r="R125" s="36"/>
      <c r="W125" s="36"/>
    </row>
    <row r="126" spans="1:27" s="50" customFormat="1" x14ac:dyDescent="0.25">
      <c r="A126" s="49" t="s">
        <v>148</v>
      </c>
      <c r="B126" s="50" t="s">
        <v>149</v>
      </c>
      <c r="C126" s="50" t="s">
        <v>153</v>
      </c>
      <c r="D126" s="50" t="s">
        <v>150</v>
      </c>
      <c r="E126" s="58" t="s">
        <v>151</v>
      </c>
      <c r="F126" s="58" t="s">
        <v>152</v>
      </c>
      <c r="G126" s="50" t="s">
        <v>154</v>
      </c>
      <c r="H126" s="58" t="s">
        <v>155</v>
      </c>
      <c r="I126" s="72" t="s">
        <v>186</v>
      </c>
      <c r="J126" s="72" t="s">
        <v>187</v>
      </c>
      <c r="K126" s="58" t="s">
        <v>188</v>
      </c>
      <c r="L126" s="58" t="s">
        <v>189</v>
      </c>
      <c r="M126" s="50" t="s">
        <v>156</v>
      </c>
      <c r="N126" s="62" t="s">
        <v>157</v>
      </c>
      <c r="O126" s="58" t="s">
        <v>158</v>
      </c>
      <c r="P126" s="58" t="s">
        <v>159</v>
      </c>
      <c r="Q126" s="58" t="s">
        <v>160</v>
      </c>
      <c r="R126" s="58" t="s">
        <v>161</v>
      </c>
      <c r="S126" s="51" t="s">
        <v>162</v>
      </c>
      <c r="T126" s="50" t="s">
        <v>163</v>
      </c>
      <c r="U126" s="52" t="s">
        <v>164</v>
      </c>
      <c r="V126" s="52" t="s">
        <v>165</v>
      </c>
      <c r="W126" s="50" t="s">
        <v>166</v>
      </c>
      <c r="X126" s="67" t="s">
        <v>167</v>
      </c>
      <c r="Y126" s="50" t="s">
        <v>168</v>
      </c>
      <c r="Z126" s="50" t="s">
        <v>169</v>
      </c>
      <c r="AA126" s="52" t="s">
        <v>170</v>
      </c>
    </row>
    <row r="127" spans="1:27" hidden="1" x14ac:dyDescent="0.25">
      <c r="A127" s="4"/>
      <c r="B127" s="36" t="s">
        <v>75</v>
      </c>
      <c r="C127" s="36" t="s">
        <v>92</v>
      </c>
      <c r="D127" s="2" t="s">
        <v>24</v>
      </c>
      <c r="E127" s="53" t="s">
        <v>18</v>
      </c>
      <c r="F127" s="7" t="s">
        <v>34</v>
      </c>
      <c r="G127" s="2" t="s">
        <v>78</v>
      </c>
      <c r="H127" s="7"/>
      <c r="I127" s="47"/>
      <c r="J127" s="47"/>
      <c r="K127" s="7"/>
      <c r="L127" s="7"/>
      <c r="M127" s="2" t="s">
        <v>24</v>
      </c>
      <c r="N127" s="56" t="s">
        <v>24</v>
      </c>
      <c r="O127" s="7" t="s">
        <v>24</v>
      </c>
      <c r="P127" s="7"/>
      <c r="Q127" s="7"/>
      <c r="R127" s="7"/>
      <c r="S127" s="44"/>
      <c r="T127" s="2"/>
      <c r="U127" s="3"/>
      <c r="W127" s="2"/>
      <c r="X127" s="54"/>
      <c r="Y127" s="2" t="s">
        <v>18</v>
      </c>
      <c r="AA127" s="3"/>
    </row>
    <row r="128" spans="1:27" s="9" customFormat="1" hidden="1" x14ac:dyDescent="0.25">
      <c r="A128" s="4"/>
      <c r="B128" s="36" t="s">
        <v>75</v>
      </c>
      <c r="C128" s="36" t="s">
        <v>91</v>
      </c>
      <c r="D128" s="2" t="s">
        <v>24</v>
      </c>
      <c r="E128" s="53" t="s">
        <v>18</v>
      </c>
      <c r="F128" s="7" t="s">
        <v>33</v>
      </c>
      <c r="G128" s="2" t="s">
        <v>37</v>
      </c>
      <c r="H128" s="7"/>
      <c r="I128" s="47"/>
      <c r="J128" s="47"/>
      <c r="K128" s="7"/>
      <c r="L128" s="7"/>
      <c r="M128" s="2" t="s">
        <v>24</v>
      </c>
      <c r="N128" s="56" t="s">
        <v>24</v>
      </c>
      <c r="O128" s="7" t="s">
        <v>24</v>
      </c>
      <c r="P128" s="7"/>
      <c r="Q128" s="7"/>
      <c r="R128" s="7"/>
      <c r="S128" s="44"/>
      <c r="T128" s="2"/>
      <c r="U128" s="3"/>
      <c r="V128" s="3"/>
      <c r="W128" s="2"/>
      <c r="X128" s="54"/>
      <c r="Y128" s="2" t="s">
        <v>33</v>
      </c>
      <c r="Z128" s="2"/>
      <c r="AA128" s="3"/>
    </row>
    <row r="129" spans="1:27" s="15" customFormat="1" hidden="1" x14ac:dyDescent="0.25">
      <c r="A129" s="4"/>
      <c r="B129" s="2" t="s">
        <v>74</v>
      </c>
      <c r="C129" s="36" t="s">
        <v>101</v>
      </c>
      <c r="D129" s="2" t="s">
        <v>23</v>
      </c>
      <c r="E129" s="53" t="s">
        <v>18</v>
      </c>
      <c r="F129" s="7" t="s">
        <v>33</v>
      </c>
      <c r="G129" s="2"/>
      <c r="H129" s="7"/>
      <c r="I129" s="47"/>
      <c r="J129" s="47"/>
      <c r="K129" s="7"/>
      <c r="L129" s="7"/>
      <c r="M129" s="2" t="s">
        <v>24</v>
      </c>
      <c r="N129" s="56"/>
      <c r="O129" s="7"/>
      <c r="P129" s="7"/>
      <c r="Q129" s="55"/>
      <c r="R129" s="55"/>
      <c r="S129" s="44"/>
      <c r="T129" s="5"/>
      <c r="U129" s="3"/>
      <c r="V129" s="3"/>
      <c r="W129" s="5"/>
      <c r="X129" s="54"/>
      <c r="Y129" s="2"/>
      <c r="Z129" s="2"/>
      <c r="AA129" s="3"/>
    </row>
    <row r="130" spans="1:27" hidden="1" x14ac:dyDescent="0.25">
      <c r="A130" s="4" t="s">
        <v>171</v>
      </c>
      <c r="B130" s="36" t="s">
        <v>32</v>
      </c>
      <c r="C130" s="36" t="s">
        <v>30</v>
      </c>
      <c r="D130" s="36" t="s">
        <v>108</v>
      </c>
      <c r="E130" s="53" t="s">
        <v>18</v>
      </c>
      <c r="F130" s="53" t="s">
        <v>33</v>
      </c>
      <c r="G130" s="36" t="s">
        <v>36</v>
      </c>
      <c r="H130" s="60" t="s">
        <v>24</v>
      </c>
      <c r="I130" s="71"/>
      <c r="J130" s="71"/>
      <c r="K130" s="60"/>
      <c r="L130" s="60"/>
      <c r="M130" s="38" t="s">
        <v>24</v>
      </c>
      <c r="N130" s="61" t="s">
        <v>24</v>
      </c>
      <c r="O130" s="60" t="s">
        <v>24</v>
      </c>
      <c r="P130" s="53" t="s">
        <v>8</v>
      </c>
      <c r="Q130" s="64">
        <v>0</v>
      </c>
      <c r="R130" s="64">
        <v>0</v>
      </c>
      <c r="S130" s="38">
        <v>0</v>
      </c>
      <c r="T130" s="37">
        <v>46047</v>
      </c>
      <c r="U130" s="38">
        <v>0</v>
      </c>
      <c r="V130" s="38">
        <v>0</v>
      </c>
      <c r="W130" s="37">
        <v>46046</v>
      </c>
      <c r="X130" s="68" t="s">
        <v>24</v>
      </c>
      <c r="Y130" s="36" t="s">
        <v>24</v>
      </c>
      <c r="Z130" s="36" t="s">
        <v>24</v>
      </c>
      <c r="AA130" s="3"/>
    </row>
    <row r="131" spans="1:27" s="41" customFormat="1" x14ac:dyDescent="0.25">
      <c r="A131" s="4"/>
      <c r="B131" s="36" t="s">
        <v>3</v>
      </c>
      <c r="C131" s="53" t="s">
        <v>93</v>
      </c>
      <c r="D131" s="36" t="s">
        <v>23</v>
      </c>
      <c r="E131" s="53" t="s">
        <v>18</v>
      </c>
      <c r="F131" s="53"/>
      <c r="G131" s="36"/>
      <c r="H131" s="53"/>
      <c r="I131" s="71"/>
      <c r="J131" s="71"/>
      <c r="K131" s="53"/>
      <c r="L131" s="53"/>
      <c r="M131" s="36" t="s">
        <v>24</v>
      </c>
      <c r="N131" s="63"/>
      <c r="O131" s="53"/>
      <c r="P131" s="53"/>
      <c r="Q131" s="64"/>
      <c r="R131" s="64"/>
      <c r="S131" s="45"/>
      <c r="T131" s="37"/>
      <c r="U131" s="38"/>
      <c r="V131" s="38"/>
      <c r="W131" s="37"/>
      <c r="X131" s="60"/>
      <c r="Y131" s="36"/>
      <c r="Z131" s="36"/>
      <c r="AA131" s="3"/>
    </row>
    <row r="132" spans="1:27" s="36" customFormat="1" hidden="1" x14ac:dyDescent="0.25">
      <c r="A132" s="4"/>
      <c r="B132" s="36" t="s">
        <v>75</v>
      </c>
      <c r="C132" s="36" t="s">
        <v>93</v>
      </c>
      <c r="D132" s="36" t="s">
        <v>24</v>
      </c>
      <c r="E132" s="53" t="s">
        <v>18</v>
      </c>
      <c r="F132" s="53" t="s">
        <v>34</v>
      </c>
      <c r="G132" s="36" t="s">
        <v>81</v>
      </c>
      <c r="H132" s="53"/>
      <c r="I132" s="71"/>
      <c r="J132" s="71"/>
      <c r="K132" s="53"/>
      <c r="L132" s="53"/>
      <c r="M132" s="36" t="s">
        <v>24</v>
      </c>
      <c r="N132" s="61" t="s">
        <v>24</v>
      </c>
      <c r="O132" s="53" t="s">
        <v>24</v>
      </c>
      <c r="P132" s="53"/>
      <c r="Q132" s="64"/>
      <c r="R132" s="64"/>
      <c r="S132" s="45"/>
      <c r="T132" s="37"/>
      <c r="U132" s="38"/>
      <c r="V132" s="38"/>
      <c r="W132" s="37"/>
      <c r="X132" s="60"/>
      <c r="Y132" s="36" t="s">
        <v>34</v>
      </c>
      <c r="AA132" s="3"/>
    </row>
    <row r="133" spans="1:27" s="36" customFormat="1" hidden="1" x14ac:dyDescent="0.25">
      <c r="A133" s="4" t="s">
        <v>171</v>
      </c>
      <c r="B133" s="2" t="s">
        <v>32</v>
      </c>
      <c r="C133" s="2" t="s">
        <v>27</v>
      </c>
      <c r="D133" s="2" t="s">
        <v>109</v>
      </c>
      <c r="E133" s="53" t="s">
        <v>18</v>
      </c>
      <c r="F133" s="7" t="s">
        <v>33</v>
      </c>
      <c r="G133" s="2" t="s">
        <v>85</v>
      </c>
      <c r="H133" s="54" t="s">
        <v>24</v>
      </c>
      <c r="I133" s="47"/>
      <c r="J133" s="47"/>
      <c r="K133" s="54"/>
      <c r="L133" s="54"/>
      <c r="M133" s="3" t="s">
        <v>24</v>
      </c>
      <c r="N133" s="56" t="s">
        <v>24</v>
      </c>
      <c r="O133" s="54" t="s">
        <v>24</v>
      </c>
      <c r="P133" s="7"/>
      <c r="Q133" s="46"/>
      <c r="R133" s="46"/>
      <c r="S133" s="47"/>
      <c r="T133" s="8"/>
      <c r="U133" s="3">
        <v>0</v>
      </c>
      <c r="V133" s="3">
        <v>0</v>
      </c>
      <c r="W133" s="5">
        <v>46053</v>
      </c>
      <c r="X133" s="54" t="s">
        <v>24</v>
      </c>
      <c r="Y133" s="2" t="s">
        <v>24</v>
      </c>
      <c r="Z133" s="2" t="s">
        <v>24</v>
      </c>
      <c r="AA133" s="3"/>
    </row>
    <row r="134" spans="1:27" s="9" customFormat="1" hidden="1" x14ac:dyDescent="0.25">
      <c r="A134" s="4"/>
      <c r="B134" s="36" t="s">
        <v>75</v>
      </c>
      <c r="C134" s="36" t="s">
        <v>94</v>
      </c>
      <c r="D134" s="2" t="s">
        <v>24</v>
      </c>
      <c r="E134" s="53" t="s">
        <v>18</v>
      </c>
      <c r="F134" s="7" t="s">
        <v>33</v>
      </c>
      <c r="G134" s="2" t="s">
        <v>83</v>
      </c>
      <c r="H134" s="7"/>
      <c r="I134" s="47"/>
      <c r="J134" s="47"/>
      <c r="K134" s="7"/>
      <c r="L134" s="7"/>
      <c r="M134" s="2" t="s">
        <v>24</v>
      </c>
      <c r="N134" s="56" t="s">
        <v>24</v>
      </c>
      <c r="O134" s="7" t="s">
        <v>24</v>
      </c>
      <c r="P134" s="7"/>
      <c r="Q134" s="7"/>
      <c r="R134" s="7"/>
      <c r="S134" s="44"/>
      <c r="T134" s="2"/>
      <c r="U134" s="3"/>
      <c r="V134" s="3"/>
      <c r="W134" s="2"/>
      <c r="X134" s="54"/>
      <c r="Y134" s="2" t="s">
        <v>33</v>
      </c>
      <c r="Z134" s="2"/>
      <c r="AA134" s="3"/>
    </row>
    <row r="135" spans="1:27" s="41" customFormat="1" hidden="1" x14ac:dyDescent="0.25">
      <c r="A135" s="4"/>
      <c r="B135" s="36" t="s">
        <v>75</v>
      </c>
      <c r="C135" s="36" t="s">
        <v>94</v>
      </c>
      <c r="D135" s="2" t="s">
        <v>24</v>
      </c>
      <c r="E135" s="53" t="s">
        <v>18</v>
      </c>
      <c r="F135" s="7" t="s">
        <v>34</v>
      </c>
      <c r="G135" s="2" t="s">
        <v>84</v>
      </c>
      <c r="H135" s="7"/>
      <c r="I135" s="47"/>
      <c r="J135" s="47"/>
      <c r="K135" s="7"/>
      <c r="L135" s="7"/>
      <c r="M135" s="2" t="s">
        <v>24</v>
      </c>
      <c r="N135" s="56" t="s">
        <v>24</v>
      </c>
      <c r="O135" s="7" t="s">
        <v>24</v>
      </c>
      <c r="P135" s="7"/>
      <c r="Q135" s="7"/>
      <c r="R135" s="7"/>
      <c r="S135" s="44"/>
      <c r="T135" s="2"/>
      <c r="U135" s="3"/>
      <c r="V135" s="3"/>
      <c r="W135" s="2"/>
      <c r="X135" s="54"/>
      <c r="Y135" s="2" t="s">
        <v>18</v>
      </c>
      <c r="Z135" s="2"/>
      <c r="AA135" s="3"/>
    </row>
    <row r="136" spans="1:27" x14ac:dyDescent="0.25">
      <c r="A136" s="4"/>
      <c r="B136" s="36" t="s">
        <v>3</v>
      </c>
      <c r="C136" s="36" t="s">
        <v>82</v>
      </c>
      <c r="D136" s="36" t="s">
        <v>23</v>
      </c>
      <c r="E136" s="53" t="s">
        <v>18</v>
      </c>
      <c r="F136" s="53"/>
      <c r="G136" s="36"/>
      <c r="H136" s="53"/>
      <c r="I136" s="71"/>
      <c r="J136" s="71"/>
      <c r="K136" s="53"/>
      <c r="L136" s="53"/>
      <c r="M136" s="36" t="s">
        <v>24</v>
      </c>
      <c r="N136" s="63" t="e">
        <v>#REF!</v>
      </c>
      <c r="O136" s="53"/>
      <c r="P136" s="53"/>
      <c r="Q136" s="53"/>
      <c r="R136" s="53"/>
      <c r="S136" s="45"/>
      <c r="T136" s="36"/>
      <c r="U136" s="38"/>
      <c r="V136" s="38"/>
      <c r="W136" s="36"/>
      <c r="X136" s="60"/>
      <c r="Y136" s="36"/>
      <c r="Z136" s="36"/>
      <c r="AA136" s="3"/>
    </row>
    <row r="137" spans="1:27" s="36" customFormat="1" hidden="1" x14ac:dyDescent="0.25">
      <c r="A137" s="4"/>
      <c r="B137" s="2" t="s">
        <v>74</v>
      </c>
      <c r="C137" s="36" t="s">
        <v>102</v>
      </c>
      <c r="D137" s="40" t="s">
        <v>23</v>
      </c>
      <c r="E137" s="53" t="s">
        <v>18</v>
      </c>
      <c r="F137" s="59"/>
      <c r="G137" s="9"/>
      <c r="H137" s="59"/>
      <c r="I137" s="73"/>
      <c r="J137" s="73"/>
      <c r="K137" s="59"/>
      <c r="L137" s="59"/>
      <c r="M137" s="2" t="s">
        <v>24</v>
      </c>
      <c r="N137" s="56"/>
      <c r="O137" s="59"/>
      <c r="P137" s="59"/>
      <c r="Q137" s="65"/>
      <c r="R137" s="65"/>
      <c r="S137" s="44"/>
      <c r="T137" s="12"/>
      <c r="U137" s="3"/>
      <c r="V137" s="3"/>
      <c r="W137" s="12"/>
      <c r="X137" s="54"/>
      <c r="Y137" s="9"/>
      <c r="Z137" s="9"/>
      <c r="AA137" s="3"/>
    </row>
    <row r="138" spans="1:27" s="36" customFormat="1" hidden="1" x14ac:dyDescent="0.25">
      <c r="A138" s="4"/>
      <c r="B138" s="2" t="s">
        <v>74</v>
      </c>
      <c r="C138" s="36" t="s">
        <v>26</v>
      </c>
      <c r="D138" s="2" t="s">
        <v>23</v>
      </c>
      <c r="E138" s="53" t="s">
        <v>18</v>
      </c>
      <c r="F138" s="7"/>
      <c r="G138" s="2"/>
      <c r="H138" s="7"/>
      <c r="I138" s="47"/>
      <c r="J138" s="47"/>
      <c r="K138" s="7"/>
      <c r="L138" s="7"/>
      <c r="M138" s="2" t="s">
        <v>24</v>
      </c>
      <c r="N138" s="56"/>
      <c r="O138" s="7"/>
      <c r="P138" s="7"/>
      <c r="Q138" s="55"/>
      <c r="R138" s="55"/>
      <c r="S138" s="44"/>
      <c r="T138" s="5"/>
      <c r="U138" s="3"/>
      <c r="V138" s="3"/>
      <c r="W138" s="5"/>
      <c r="X138" s="54"/>
      <c r="Y138" s="2"/>
      <c r="Z138" s="2"/>
      <c r="AA138" s="3"/>
    </row>
    <row r="139" spans="1:27" s="36" customFormat="1" hidden="1" x14ac:dyDescent="0.25">
      <c r="A139" s="4" t="s">
        <v>171</v>
      </c>
      <c r="B139" s="36" t="s">
        <v>32</v>
      </c>
      <c r="C139" s="36" t="s">
        <v>26</v>
      </c>
      <c r="D139" s="36" t="s">
        <v>110</v>
      </c>
      <c r="E139" s="53" t="s">
        <v>18</v>
      </c>
      <c r="F139" s="53" t="s">
        <v>33</v>
      </c>
      <c r="G139" s="36" t="s">
        <v>37</v>
      </c>
      <c r="H139" s="60" t="s">
        <v>24</v>
      </c>
      <c r="I139" s="71"/>
      <c r="J139" s="71"/>
      <c r="K139" s="60"/>
      <c r="L139" s="60"/>
      <c r="M139" s="38" t="s">
        <v>24</v>
      </c>
      <c r="N139" s="61" t="s">
        <v>24</v>
      </c>
      <c r="O139" s="60" t="s">
        <v>24</v>
      </c>
      <c r="P139" s="53" t="s">
        <v>8</v>
      </c>
      <c r="Q139" s="64">
        <v>5.0000000000000001E-4</v>
      </c>
      <c r="R139" s="64">
        <v>5.9999999999999995E-4</v>
      </c>
      <c r="S139" s="38">
        <v>0</v>
      </c>
      <c r="T139" s="37">
        <v>46047</v>
      </c>
      <c r="U139" s="38">
        <v>0</v>
      </c>
      <c r="V139" s="38">
        <v>0</v>
      </c>
      <c r="W139" s="37">
        <v>46046</v>
      </c>
      <c r="X139" s="68" t="s">
        <v>24</v>
      </c>
      <c r="Y139" s="36" t="s">
        <v>24</v>
      </c>
      <c r="Z139" s="36" t="s">
        <v>24</v>
      </c>
      <c r="AA139" s="3"/>
    </row>
    <row r="140" spans="1:27" s="36" customFormat="1" x14ac:dyDescent="0.25">
      <c r="A140" s="4"/>
      <c r="B140" s="36" t="s">
        <v>3</v>
      </c>
      <c r="C140" s="53" t="s">
        <v>95</v>
      </c>
      <c r="D140" s="36" t="s">
        <v>23</v>
      </c>
      <c r="E140" s="53" t="s">
        <v>18</v>
      </c>
      <c r="F140" s="53"/>
      <c r="H140" s="53"/>
      <c r="I140" s="71"/>
      <c r="J140" s="71"/>
      <c r="K140" s="53"/>
      <c r="L140" s="53"/>
      <c r="M140" s="36" t="s">
        <v>24</v>
      </c>
      <c r="N140" s="61"/>
      <c r="O140" s="53"/>
      <c r="P140" s="53"/>
      <c r="Q140" s="64"/>
      <c r="R140" s="64"/>
      <c r="S140" s="45"/>
      <c r="T140" s="37"/>
      <c r="U140" s="38"/>
      <c r="V140" s="38"/>
      <c r="W140" s="37"/>
      <c r="X140" s="60"/>
      <c r="AA140" s="3"/>
    </row>
    <row r="141" spans="1:27" s="36" customFormat="1" hidden="1" x14ac:dyDescent="0.25">
      <c r="A141" s="4"/>
      <c r="B141" s="36" t="s">
        <v>75</v>
      </c>
      <c r="C141" s="36" t="s">
        <v>95</v>
      </c>
      <c r="D141" s="2" t="s">
        <v>24</v>
      </c>
      <c r="E141" s="53" t="s">
        <v>18</v>
      </c>
      <c r="F141" s="7" t="s">
        <v>33</v>
      </c>
      <c r="G141" s="2" t="s">
        <v>37</v>
      </c>
      <c r="H141" s="7"/>
      <c r="I141" s="47"/>
      <c r="J141" s="47"/>
      <c r="K141" s="7"/>
      <c r="L141" s="7"/>
      <c r="M141" s="2" t="s">
        <v>24</v>
      </c>
      <c r="N141" s="56" t="s">
        <v>24</v>
      </c>
      <c r="O141" s="7" t="s">
        <v>24</v>
      </c>
      <c r="P141" s="7"/>
      <c r="Q141" s="7"/>
      <c r="R141" s="7"/>
      <c r="S141" s="44"/>
      <c r="T141" s="2"/>
      <c r="U141" s="3"/>
      <c r="V141" s="3"/>
      <c r="W141" s="2"/>
      <c r="X141" s="54"/>
      <c r="Y141" s="2" t="s">
        <v>33</v>
      </c>
      <c r="Z141" s="2"/>
      <c r="AA141" s="3"/>
    </row>
    <row r="142" spans="1:27" s="15" customFormat="1" hidden="1" x14ac:dyDescent="0.25">
      <c r="A142" s="4"/>
      <c r="B142" s="36" t="s">
        <v>75</v>
      </c>
      <c r="C142" s="36" t="s">
        <v>95</v>
      </c>
      <c r="D142" s="2" t="s">
        <v>24</v>
      </c>
      <c r="E142" s="53" t="s">
        <v>18</v>
      </c>
      <c r="F142" s="7" t="s">
        <v>34</v>
      </c>
      <c r="G142" s="2" t="s">
        <v>39</v>
      </c>
      <c r="H142" s="7"/>
      <c r="I142" s="47"/>
      <c r="J142" s="47"/>
      <c r="K142" s="7"/>
      <c r="L142" s="7"/>
      <c r="M142" s="2" t="s">
        <v>24</v>
      </c>
      <c r="N142" s="56" t="s">
        <v>24</v>
      </c>
      <c r="O142" s="7" t="s">
        <v>24</v>
      </c>
      <c r="P142" s="7"/>
      <c r="Q142" s="7"/>
      <c r="R142" s="7"/>
      <c r="S142" s="44"/>
      <c r="T142" s="2"/>
      <c r="U142" s="3"/>
      <c r="V142" s="3"/>
      <c r="W142" s="2"/>
      <c r="X142" s="54"/>
      <c r="Y142" s="2" t="s">
        <v>18</v>
      </c>
      <c r="Z142" s="2"/>
      <c r="AA142" s="3"/>
    </row>
    <row r="143" spans="1:27" s="9" customFormat="1" x14ac:dyDescent="0.25">
      <c r="A143" s="4"/>
      <c r="B143" s="36" t="s">
        <v>3</v>
      </c>
      <c r="C143" s="53" t="s">
        <v>6</v>
      </c>
      <c r="D143" s="36" t="s">
        <v>23</v>
      </c>
      <c r="E143" s="53" t="s">
        <v>18</v>
      </c>
      <c r="F143" s="53" t="s">
        <v>34</v>
      </c>
      <c r="G143" s="2"/>
      <c r="H143" s="7"/>
      <c r="I143" s="47"/>
      <c r="J143" s="47"/>
      <c r="K143" s="7"/>
      <c r="L143" s="7"/>
      <c r="M143" s="36" t="s">
        <v>24</v>
      </c>
      <c r="N143" s="61"/>
      <c r="O143" s="7"/>
      <c r="P143" s="53" t="s">
        <v>8</v>
      </c>
      <c r="Q143" s="64">
        <v>0</v>
      </c>
      <c r="R143" s="64">
        <v>0</v>
      </c>
      <c r="S143" s="45">
        <v>0</v>
      </c>
      <c r="T143" s="37"/>
      <c r="U143" s="38">
        <v>0</v>
      </c>
      <c r="V143" s="38">
        <v>0</v>
      </c>
      <c r="W143" s="37"/>
      <c r="X143" s="60">
        <v>0</v>
      </c>
      <c r="Y143" s="36" t="s">
        <v>34</v>
      </c>
      <c r="Z143" s="36" t="s">
        <v>112</v>
      </c>
      <c r="AA143" s="3"/>
    </row>
    <row r="144" spans="1:27" s="36" customFormat="1" hidden="1" x14ac:dyDescent="0.25">
      <c r="A144" s="4"/>
      <c r="B144" s="36" t="s">
        <v>75</v>
      </c>
      <c r="C144" s="36" t="s">
        <v>96</v>
      </c>
      <c r="D144" s="2" t="s">
        <v>107</v>
      </c>
      <c r="E144" s="53" t="s">
        <v>18</v>
      </c>
      <c r="F144" s="53" t="s">
        <v>34</v>
      </c>
      <c r="G144" s="36" t="s">
        <v>107</v>
      </c>
      <c r="H144" s="53"/>
      <c r="I144" s="71"/>
      <c r="J144" s="71"/>
      <c r="K144" s="53"/>
      <c r="L144" s="53"/>
      <c r="M144" s="36" t="s">
        <v>24</v>
      </c>
      <c r="N144" s="56" t="s">
        <v>24</v>
      </c>
      <c r="O144" s="53" t="s">
        <v>24</v>
      </c>
      <c r="P144" s="53" t="s">
        <v>8</v>
      </c>
      <c r="Q144" s="64">
        <v>0</v>
      </c>
      <c r="R144" s="64">
        <v>0</v>
      </c>
      <c r="S144" s="45">
        <v>0</v>
      </c>
      <c r="T144" s="37"/>
      <c r="U144" s="38">
        <v>0</v>
      </c>
      <c r="V144" s="38">
        <v>0</v>
      </c>
      <c r="W144" s="37"/>
      <c r="X144" s="60">
        <v>0</v>
      </c>
      <c r="Y144" s="36" t="s">
        <v>34</v>
      </c>
      <c r="Z144" s="36" t="s">
        <v>24</v>
      </c>
      <c r="AA144" s="3"/>
    </row>
    <row r="145" spans="1:27" s="36" customFormat="1" x14ac:dyDescent="0.25">
      <c r="A145" s="4" t="b">
        <v>1</v>
      </c>
      <c r="B145" s="2" t="s">
        <v>3</v>
      </c>
      <c r="C145" s="2" t="s">
        <v>173</v>
      </c>
      <c r="D145" s="2" t="e">
        <f>static_data_table[[#This Row],[pf_locator]]</f>
        <v>#VALUE!</v>
      </c>
      <c r="E145" s="53" t="s">
        <v>18</v>
      </c>
      <c r="F145" s="7" t="s">
        <v>34</v>
      </c>
      <c r="G145" s="2" t="s">
        <v>106</v>
      </c>
      <c r="H145" s="7" t="s">
        <v>105</v>
      </c>
      <c r="I145" s="47"/>
      <c r="J145" s="47"/>
      <c r="K145" s="7"/>
      <c r="L145" s="7"/>
      <c r="M145" s="4">
        <v>1</v>
      </c>
      <c r="N145" s="39">
        <v>1</v>
      </c>
      <c r="O145" s="7" t="s">
        <v>9</v>
      </c>
      <c r="P145" s="55">
        <v>0</v>
      </c>
      <c r="Q145" s="55">
        <v>0</v>
      </c>
      <c r="R145" s="56">
        <v>0</v>
      </c>
      <c r="S145" s="8">
        <v>0</v>
      </c>
      <c r="T145" s="54">
        <v>0</v>
      </c>
      <c r="U145" s="54">
        <v>0</v>
      </c>
      <c r="V145" s="8">
        <v>0</v>
      </c>
      <c r="W145" s="57">
        <v>0</v>
      </c>
      <c r="X145" s="7" t="s">
        <v>24</v>
      </c>
      <c r="Y145" s="5" t="e">
        <f>#REF!</f>
        <v>#REF!</v>
      </c>
    </row>
    <row r="146" spans="1:27" x14ac:dyDescent="0.25">
      <c r="A146" s="4"/>
      <c r="B146" s="36" t="s">
        <v>3</v>
      </c>
      <c r="C146" s="36" t="s">
        <v>42</v>
      </c>
      <c r="D146" s="36" t="s">
        <v>23</v>
      </c>
      <c r="E146" s="53" t="s">
        <v>18</v>
      </c>
      <c r="F146" s="53"/>
      <c r="G146" s="36"/>
      <c r="H146" s="53"/>
      <c r="I146" s="71"/>
      <c r="J146" s="71"/>
      <c r="K146" s="53"/>
      <c r="L146" s="53"/>
      <c r="M146" s="36" t="s">
        <v>24</v>
      </c>
      <c r="N146" s="61"/>
      <c r="O146" s="53"/>
      <c r="P146" s="53"/>
      <c r="Q146" s="66"/>
      <c r="R146" s="66"/>
      <c r="S146" s="45"/>
      <c r="T146" s="37"/>
      <c r="U146" s="38"/>
      <c r="V146" s="38"/>
      <c r="W146" s="37"/>
      <c r="X146" s="60"/>
      <c r="Y146" s="36"/>
      <c r="Z146" s="36"/>
      <c r="AA146" s="3"/>
    </row>
    <row r="147" spans="1:27" hidden="1" x14ac:dyDescent="0.25">
      <c r="A147" s="4"/>
      <c r="B147" s="2" t="s">
        <v>74</v>
      </c>
      <c r="C147" s="36" t="s">
        <v>42</v>
      </c>
      <c r="D147" s="2" t="s">
        <v>23</v>
      </c>
      <c r="E147" s="53" t="s">
        <v>18</v>
      </c>
      <c r="F147" s="7"/>
      <c r="H147" s="7"/>
      <c r="I147" s="47"/>
      <c r="J147" s="47"/>
      <c r="K147" s="7"/>
      <c r="L147" s="7"/>
      <c r="M147" s="2" t="s">
        <v>24</v>
      </c>
      <c r="N147" s="56"/>
      <c r="O147" s="7"/>
      <c r="P147" s="7"/>
      <c r="Q147" s="55"/>
      <c r="R147" s="55"/>
      <c r="S147" s="44"/>
      <c r="T147" s="5"/>
      <c r="U147" s="3"/>
      <c r="W147" s="5"/>
      <c r="X147" s="54"/>
      <c r="AA147" s="3"/>
    </row>
    <row r="148" spans="1:27" hidden="1" x14ac:dyDescent="0.25">
      <c r="A148" s="4"/>
      <c r="B148" s="2" t="s">
        <v>32</v>
      </c>
      <c r="C148" s="2" t="s">
        <v>42</v>
      </c>
      <c r="D148" s="2" t="s">
        <v>111</v>
      </c>
      <c r="E148" s="53" t="s">
        <v>18</v>
      </c>
      <c r="F148" s="7" t="s">
        <v>33</v>
      </c>
      <c r="G148" s="2" t="s">
        <v>37</v>
      </c>
      <c r="H148" s="54" t="s">
        <v>24</v>
      </c>
      <c r="I148" s="47"/>
      <c r="J148" s="47"/>
      <c r="K148" s="54"/>
      <c r="L148" s="54"/>
      <c r="M148" s="3" t="s">
        <v>24</v>
      </c>
      <c r="N148" s="56" t="s">
        <v>24</v>
      </c>
      <c r="O148" s="54" t="s">
        <v>24</v>
      </c>
      <c r="P148" s="7"/>
      <c r="Q148" s="46"/>
      <c r="R148" s="46"/>
      <c r="S148" s="47"/>
      <c r="T148" s="8"/>
      <c r="U148" s="3">
        <v>0</v>
      </c>
      <c r="V148" s="3">
        <v>0</v>
      </c>
      <c r="W148" s="5">
        <v>46053</v>
      </c>
      <c r="X148" s="54" t="s">
        <v>24</v>
      </c>
      <c r="Y148" s="2" t="s">
        <v>24</v>
      </c>
      <c r="Z148" s="2" t="s">
        <v>24</v>
      </c>
      <c r="AA148" s="3"/>
    </row>
    <row r="149" spans="1:27" hidden="1" x14ac:dyDescent="0.25">
      <c r="A149" s="4"/>
      <c r="B149" s="36" t="s">
        <v>75</v>
      </c>
      <c r="C149" s="36" t="s">
        <v>97</v>
      </c>
      <c r="D149" s="2" t="s">
        <v>24</v>
      </c>
      <c r="E149" s="53" t="s">
        <v>18</v>
      </c>
      <c r="F149" s="7" t="s">
        <v>33</v>
      </c>
      <c r="G149" s="2" t="s">
        <v>77</v>
      </c>
      <c r="H149" s="7"/>
      <c r="I149" s="47"/>
      <c r="J149" s="47"/>
      <c r="K149" s="7"/>
      <c r="L149" s="7"/>
      <c r="M149" s="2" t="s">
        <v>24</v>
      </c>
      <c r="N149" s="56" t="s">
        <v>24</v>
      </c>
      <c r="O149" s="7" t="s">
        <v>24</v>
      </c>
      <c r="P149" s="7"/>
      <c r="Q149" s="55"/>
      <c r="R149" s="55"/>
      <c r="S149" s="44"/>
      <c r="T149" s="5"/>
      <c r="U149" s="3"/>
      <c r="W149" s="5"/>
      <c r="X149" s="54"/>
      <c r="Y149" s="2" t="s">
        <v>33</v>
      </c>
      <c r="AA149" s="3"/>
    </row>
    <row r="150" spans="1:27" s="36" customFormat="1" x14ac:dyDescent="0.25">
      <c r="A150" s="4"/>
      <c r="B150" s="36" t="s">
        <v>3</v>
      </c>
      <c r="C150" s="53" t="s">
        <v>22</v>
      </c>
      <c r="D150" s="36" t="s">
        <v>23</v>
      </c>
      <c r="E150" s="53" t="s">
        <v>18</v>
      </c>
      <c r="F150" s="53"/>
      <c r="H150" s="53"/>
      <c r="I150" s="71"/>
      <c r="J150" s="71"/>
      <c r="K150" s="53"/>
      <c r="L150" s="53"/>
      <c r="M150" s="36" t="s">
        <v>24</v>
      </c>
      <c r="N150" s="61"/>
      <c r="O150" s="53"/>
      <c r="P150" s="53"/>
      <c r="Q150" s="66"/>
      <c r="R150" s="66"/>
      <c r="S150" s="45"/>
      <c r="T150" s="37"/>
      <c r="U150" s="38"/>
      <c r="V150" s="38"/>
      <c r="W150" s="37"/>
      <c r="X150" s="60"/>
      <c r="AA150" s="3"/>
    </row>
    <row r="151" spans="1:27" s="36" customFormat="1" hidden="1" x14ac:dyDescent="0.25">
      <c r="A151" s="4"/>
      <c r="B151" s="2" t="s">
        <v>74</v>
      </c>
      <c r="C151" s="36" t="s">
        <v>22</v>
      </c>
      <c r="D151" s="2" t="s">
        <v>23</v>
      </c>
      <c r="E151" s="53" t="s">
        <v>18</v>
      </c>
      <c r="F151" s="7"/>
      <c r="G151" s="2"/>
      <c r="H151" s="7"/>
      <c r="I151" s="47"/>
      <c r="J151" s="47"/>
      <c r="K151" s="7"/>
      <c r="L151" s="7"/>
      <c r="M151" s="2" t="s">
        <v>24</v>
      </c>
      <c r="N151" s="56"/>
      <c r="O151" s="7"/>
      <c r="P151" s="7"/>
      <c r="Q151" s="55"/>
      <c r="R151" s="55"/>
      <c r="S151" s="44"/>
      <c r="T151" s="5"/>
      <c r="U151" s="3"/>
      <c r="V151" s="3"/>
      <c r="W151" s="5"/>
      <c r="X151" s="54"/>
      <c r="Y151" s="2"/>
      <c r="Z151" s="2"/>
      <c r="AA151" s="3"/>
    </row>
    <row r="152" spans="1:27" s="36" customFormat="1" hidden="1" x14ac:dyDescent="0.25">
      <c r="A152" s="4"/>
      <c r="B152" s="36" t="s">
        <v>75</v>
      </c>
      <c r="C152" s="36" t="s">
        <v>22</v>
      </c>
      <c r="D152" s="2" t="s">
        <v>24</v>
      </c>
      <c r="E152" s="53" t="s">
        <v>18</v>
      </c>
      <c r="F152" s="7" t="s">
        <v>34</v>
      </c>
      <c r="G152" s="2" t="s">
        <v>86</v>
      </c>
      <c r="H152" s="7"/>
      <c r="I152" s="47"/>
      <c r="J152" s="47"/>
      <c r="K152" s="7"/>
      <c r="L152" s="7"/>
      <c r="M152" s="2" t="s">
        <v>24</v>
      </c>
      <c r="N152" s="56" t="s">
        <v>24</v>
      </c>
      <c r="O152" s="7" t="s">
        <v>24</v>
      </c>
      <c r="P152" s="7"/>
      <c r="Q152" s="7"/>
      <c r="R152" s="7"/>
      <c r="S152" s="44"/>
      <c r="T152" s="2"/>
      <c r="U152" s="3"/>
      <c r="V152" s="3"/>
      <c r="W152" s="2"/>
      <c r="X152" s="54"/>
      <c r="Y152" s="2" t="s">
        <v>18</v>
      </c>
      <c r="Z152" s="2"/>
      <c r="AA152" s="3"/>
    </row>
    <row r="153" spans="1:27" s="36" customFormat="1" x14ac:dyDescent="0.25">
      <c r="A153" s="4"/>
      <c r="B153" s="36" t="s">
        <v>3</v>
      </c>
      <c r="C153" s="36" t="s">
        <v>29</v>
      </c>
      <c r="D153" s="36" t="s">
        <v>23</v>
      </c>
      <c r="E153" s="53" t="s">
        <v>18</v>
      </c>
      <c r="F153" s="53"/>
      <c r="H153" s="53"/>
      <c r="I153" s="71"/>
      <c r="J153" s="71"/>
      <c r="K153" s="53"/>
      <c r="L153" s="53"/>
      <c r="M153" s="36" t="s">
        <v>24</v>
      </c>
      <c r="N153" s="61"/>
      <c r="O153" s="53"/>
      <c r="P153" s="53"/>
      <c r="Q153" s="53"/>
      <c r="R153" s="53"/>
      <c r="S153" s="45"/>
      <c r="U153" s="38"/>
      <c r="V153" s="38"/>
      <c r="X153" s="60"/>
      <c r="AA153" s="3"/>
    </row>
    <row r="154" spans="1:27" s="36" customFormat="1" hidden="1" x14ac:dyDescent="0.25">
      <c r="A154" s="4"/>
      <c r="B154" s="2" t="s">
        <v>74</v>
      </c>
      <c r="C154" s="36" t="s">
        <v>29</v>
      </c>
      <c r="D154" s="2" t="s">
        <v>23</v>
      </c>
      <c r="E154" s="53" t="s">
        <v>18</v>
      </c>
      <c r="F154" s="7"/>
      <c r="G154" s="2"/>
      <c r="H154" s="7"/>
      <c r="I154" s="47"/>
      <c r="J154" s="47"/>
      <c r="K154" s="7"/>
      <c r="L154" s="7"/>
      <c r="M154" s="2" t="s">
        <v>24</v>
      </c>
      <c r="N154" s="56"/>
      <c r="O154" s="7"/>
      <c r="P154" s="7"/>
      <c r="Q154" s="46"/>
      <c r="R154" s="46"/>
      <c r="S154" s="44"/>
      <c r="T154" s="5"/>
      <c r="U154" s="3"/>
      <c r="V154" s="3"/>
      <c r="W154" s="5"/>
      <c r="X154" s="54"/>
      <c r="Y154" s="2"/>
      <c r="Z154" s="2"/>
      <c r="AA154" s="3"/>
    </row>
    <row r="155" spans="1:27" hidden="1" x14ac:dyDescent="0.25">
      <c r="A155" s="4"/>
      <c r="B155" s="36" t="s">
        <v>75</v>
      </c>
      <c r="C155" s="36" t="s">
        <v>98</v>
      </c>
      <c r="D155" s="2" t="s">
        <v>24</v>
      </c>
      <c r="E155" s="53" t="s">
        <v>18</v>
      </c>
      <c r="F155" s="7" t="s">
        <v>34</v>
      </c>
      <c r="G155" s="2" t="s">
        <v>87</v>
      </c>
      <c r="H155" s="7"/>
      <c r="I155" s="47"/>
      <c r="J155" s="47"/>
      <c r="K155" s="7"/>
      <c r="L155" s="7"/>
      <c r="M155" s="2" t="s">
        <v>24</v>
      </c>
      <c r="N155" s="56" t="s">
        <v>24</v>
      </c>
      <c r="O155" s="7" t="s">
        <v>24</v>
      </c>
      <c r="P155" s="7"/>
      <c r="Q155" s="46"/>
      <c r="R155" s="46"/>
      <c r="S155" s="44"/>
      <c r="T155" s="5"/>
      <c r="U155" s="3"/>
      <c r="W155" s="5"/>
      <c r="X155" s="54"/>
      <c r="Y155" s="2" t="s">
        <v>18</v>
      </c>
      <c r="AA155" s="3"/>
    </row>
    <row r="156" spans="1:27" hidden="1" x14ac:dyDescent="0.25">
      <c r="A156" s="4"/>
      <c r="B156" s="2" t="s">
        <v>74</v>
      </c>
      <c r="C156" s="2" t="s">
        <v>5</v>
      </c>
      <c r="D156" s="2" t="s">
        <v>23</v>
      </c>
      <c r="E156" s="53" t="s">
        <v>18</v>
      </c>
      <c r="F156" s="7" t="s">
        <v>34</v>
      </c>
      <c r="G156" s="2" t="s">
        <v>12</v>
      </c>
      <c r="H156" s="7"/>
      <c r="I156" s="47"/>
      <c r="J156" s="47"/>
      <c r="K156" s="7"/>
      <c r="L156" s="7"/>
      <c r="M156" s="2" t="s">
        <v>23</v>
      </c>
      <c r="N156" s="39"/>
      <c r="O156" s="7"/>
      <c r="P156" s="7"/>
      <c r="Q156" s="7"/>
      <c r="R156" s="7"/>
      <c r="S156" s="44"/>
      <c r="T156" s="2"/>
      <c r="U156" s="3"/>
      <c r="W156" s="2"/>
      <c r="X156" s="54"/>
      <c r="AA156" s="3"/>
    </row>
    <row r="157" spans="1:27" hidden="1" x14ac:dyDescent="0.25">
      <c r="A157" s="4"/>
      <c r="B157" s="2" t="s">
        <v>74</v>
      </c>
      <c r="C157" s="2" t="s">
        <v>5</v>
      </c>
      <c r="D157" s="2" t="s">
        <v>23</v>
      </c>
      <c r="E157" s="53" t="s">
        <v>18</v>
      </c>
      <c r="F157" s="7" t="s">
        <v>34</v>
      </c>
      <c r="G157" s="2" t="s">
        <v>13</v>
      </c>
      <c r="H157" s="7"/>
      <c r="I157" s="47"/>
      <c r="J157" s="47"/>
      <c r="K157" s="7"/>
      <c r="L157" s="7"/>
      <c r="M157" s="2" t="s">
        <v>23</v>
      </c>
      <c r="N157" s="39"/>
      <c r="O157" s="7"/>
      <c r="P157" s="7"/>
      <c r="Q157" s="7"/>
      <c r="R157" s="7"/>
      <c r="S157" s="44"/>
      <c r="T157" s="2"/>
      <c r="U157" s="3"/>
      <c r="W157" s="2"/>
      <c r="X157" s="54"/>
      <c r="AA157" s="3"/>
    </row>
    <row r="158" spans="1:27" hidden="1" x14ac:dyDescent="0.25">
      <c r="A158" s="11" t="s">
        <v>116</v>
      </c>
      <c r="B158" s="9" t="s">
        <v>74</v>
      </c>
      <c r="C158" s="9" t="s">
        <v>5</v>
      </c>
      <c r="D158" s="9" t="s">
        <v>23</v>
      </c>
      <c r="E158" s="59" t="s">
        <v>18</v>
      </c>
      <c r="F158" s="59" t="s">
        <v>34</v>
      </c>
      <c r="G158" s="9" t="s">
        <v>14</v>
      </c>
      <c r="H158" s="59" t="s">
        <v>24</v>
      </c>
      <c r="I158" s="73"/>
      <c r="J158" s="73"/>
      <c r="K158" s="59"/>
      <c r="L158" s="59"/>
      <c r="M158" s="9" t="s">
        <v>24</v>
      </c>
      <c r="N158" s="59" t="s">
        <v>24</v>
      </c>
      <c r="O158" s="59" t="s">
        <v>24</v>
      </c>
      <c r="P158" s="59" t="s">
        <v>24</v>
      </c>
      <c r="Q158" s="65" t="s">
        <v>24</v>
      </c>
      <c r="R158" s="65" t="s">
        <v>24</v>
      </c>
      <c r="S158" s="48" t="s">
        <v>24</v>
      </c>
      <c r="T158" s="12" t="s">
        <v>24</v>
      </c>
      <c r="U158" s="10" t="s">
        <v>24</v>
      </c>
      <c r="V158" s="10" t="s">
        <v>24</v>
      </c>
      <c r="W158" s="12" t="s">
        <v>24</v>
      </c>
      <c r="X158" s="69" t="s">
        <v>24</v>
      </c>
      <c r="Y158" s="10" t="s">
        <v>24</v>
      </c>
      <c r="Z158" s="10" t="s">
        <v>24</v>
      </c>
      <c r="AA158" s="3"/>
    </row>
    <row r="159" spans="1:27" hidden="1" x14ac:dyDescent="0.25">
      <c r="A159" s="4"/>
      <c r="B159" s="2" t="s">
        <v>74</v>
      </c>
      <c r="C159" s="2" t="s">
        <v>5</v>
      </c>
      <c r="D159" s="2" t="s">
        <v>23</v>
      </c>
      <c r="E159" s="53" t="s">
        <v>18</v>
      </c>
      <c r="F159" s="7" t="s">
        <v>34</v>
      </c>
      <c r="G159" s="2" t="s">
        <v>18</v>
      </c>
      <c r="H159" s="7"/>
      <c r="I159" s="47"/>
      <c r="J159" s="47"/>
      <c r="K159" s="7"/>
      <c r="L159" s="7"/>
      <c r="M159" s="2" t="s">
        <v>23</v>
      </c>
      <c r="N159" s="39"/>
      <c r="O159" s="7"/>
      <c r="P159" s="7"/>
      <c r="Q159" s="7"/>
      <c r="R159" s="7"/>
      <c r="S159" s="44"/>
      <c r="T159" s="2"/>
      <c r="U159" s="3"/>
      <c r="W159" s="2"/>
      <c r="X159" s="54"/>
      <c r="AA159" s="3"/>
    </row>
    <row r="160" spans="1:27" hidden="1" x14ac:dyDescent="0.25">
      <c r="A160" s="4"/>
      <c r="B160" s="2" t="s">
        <v>74</v>
      </c>
      <c r="C160" s="2" t="s">
        <v>5</v>
      </c>
      <c r="D160" s="2" t="s">
        <v>23</v>
      </c>
      <c r="E160" s="53" t="s">
        <v>18</v>
      </c>
      <c r="F160" s="7" t="s">
        <v>34</v>
      </c>
      <c r="G160" s="2" t="s">
        <v>15</v>
      </c>
      <c r="H160" s="7"/>
      <c r="I160" s="47"/>
      <c r="J160" s="47"/>
      <c r="K160" s="7"/>
      <c r="L160" s="7"/>
      <c r="M160" s="2" t="s">
        <v>23</v>
      </c>
      <c r="N160" s="39"/>
      <c r="O160" s="7"/>
      <c r="P160" s="7"/>
      <c r="Q160" s="7"/>
      <c r="R160" s="7"/>
      <c r="S160" s="44"/>
      <c r="T160" s="2"/>
      <c r="U160" s="3"/>
      <c r="W160" s="2"/>
      <c r="X160" s="54"/>
      <c r="AA160" s="3"/>
    </row>
    <row r="161" spans="1:27" s="36" customFormat="1" hidden="1" x14ac:dyDescent="0.25">
      <c r="A161" s="4"/>
      <c r="B161" s="2" t="s">
        <v>74</v>
      </c>
      <c r="C161" s="2" t="s">
        <v>5</v>
      </c>
      <c r="D161" s="2" t="s">
        <v>23</v>
      </c>
      <c r="E161" s="53" t="s">
        <v>18</v>
      </c>
      <c r="F161" s="7" t="s">
        <v>34</v>
      </c>
      <c r="G161" s="2" t="s">
        <v>16</v>
      </c>
      <c r="H161" s="7"/>
      <c r="I161" s="47"/>
      <c r="J161" s="47"/>
      <c r="K161" s="7"/>
      <c r="L161" s="7"/>
      <c r="M161" s="2" t="s">
        <v>23</v>
      </c>
      <c r="N161" s="39"/>
      <c r="O161" s="7"/>
      <c r="P161" s="7"/>
      <c r="Q161" s="7"/>
      <c r="R161" s="7"/>
      <c r="S161" s="44"/>
      <c r="T161" s="2"/>
      <c r="U161" s="3"/>
      <c r="V161" s="3"/>
      <c r="W161" s="2"/>
      <c r="X161" s="54"/>
      <c r="Y161" s="2"/>
      <c r="Z161" s="2"/>
      <c r="AA161" s="3"/>
    </row>
    <row r="162" spans="1:27" hidden="1" x14ac:dyDescent="0.25">
      <c r="A162" s="4"/>
      <c r="B162" s="2" t="s">
        <v>74</v>
      </c>
      <c r="C162" s="2" t="s">
        <v>5</v>
      </c>
      <c r="D162" s="2" t="s">
        <v>23</v>
      </c>
      <c r="E162" s="53" t="s">
        <v>18</v>
      </c>
      <c r="F162" s="7" t="s">
        <v>34</v>
      </c>
      <c r="G162" s="2" t="s">
        <v>21</v>
      </c>
      <c r="H162" s="7"/>
      <c r="I162" s="47"/>
      <c r="J162" s="47"/>
      <c r="K162" s="7"/>
      <c r="L162" s="7"/>
      <c r="M162" s="2" t="s">
        <v>23</v>
      </c>
      <c r="N162" s="39"/>
      <c r="O162" s="7"/>
      <c r="P162" s="7"/>
      <c r="Q162" s="55"/>
      <c r="R162" s="55"/>
      <c r="S162" s="44"/>
      <c r="T162" s="5"/>
      <c r="U162" s="3"/>
      <c r="W162" s="5"/>
      <c r="X162" s="54"/>
      <c r="AA162" s="3"/>
    </row>
    <row r="163" spans="1:27" hidden="1" x14ac:dyDescent="0.25">
      <c r="A163" s="4"/>
      <c r="B163" s="2" t="s">
        <v>74</v>
      </c>
      <c r="C163" s="2" t="s">
        <v>5</v>
      </c>
      <c r="D163" s="2" t="s">
        <v>23</v>
      </c>
      <c r="E163" s="53" t="s">
        <v>18</v>
      </c>
      <c r="F163" s="7" t="s">
        <v>34</v>
      </c>
      <c r="G163" s="2" t="s">
        <v>17</v>
      </c>
      <c r="H163" s="7"/>
      <c r="I163" s="47"/>
      <c r="J163" s="47"/>
      <c r="K163" s="7"/>
      <c r="L163" s="7"/>
      <c r="M163" s="2" t="s">
        <v>23</v>
      </c>
      <c r="N163" s="39"/>
      <c r="O163" s="7"/>
      <c r="P163" s="7"/>
      <c r="Q163" s="7"/>
      <c r="R163" s="7"/>
      <c r="S163" s="44"/>
      <c r="T163" s="2"/>
      <c r="U163" s="3"/>
      <c r="W163" s="2"/>
      <c r="X163" s="54"/>
      <c r="AA163" s="3"/>
    </row>
    <row r="164" spans="1:27" s="36" customFormat="1" hidden="1" x14ac:dyDescent="0.25">
      <c r="A164" s="4"/>
      <c r="B164" s="2" t="s">
        <v>74</v>
      </c>
      <c r="C164" s="2" t="s">
        <v>5</v>
      </c>
      <c r="D164" s="2" t="s">
        <v>23</v>
      </c>
      <c r="E164" s="53" t="s">
        <v>18</v>
      </c>
      <c r="F164" s="7" t="s">
        <v>34</v>
      </c>
      <c r="G164" s="2" t="s">
        <v>43</v>
      </c>
      <c r="H164" s="7"/>
      <c r="I164" s="47"/>
      <c r="J164" s="47"/>
      <c r="K164" s="7"/>
      <c r="L164" s="7"/>
      <c r="M164" s="2" t="s">
        <v>23</v>
      </c>
      <c r="N164" s="39"/>
      <c r="O164" s="7"/>
      <c r="P164" s="7"/>
      <c r="Q164" s="7"/>
      <c r="R164" s="7"/>
      <c r="S164" s="44"/>
      <c r="T164" s="2"/>
      <c r="U164" s="3"/>
      <c r="V164" s="3"/>
      <c r="W164" s="2"/>
      <c r="X164" s="54"/>
      <c r="Y164" s="2"/>
      <c r="Z164" s="2"/>
      <c r="AA164" s="3"/>
    </row>
    <row r="165" spans="1:27" hidden="1" x14ac:dyDescent="0.25">
      <c r="A165" s="4"/>
      <c r="B165" s="2" t="s">
        <v>74</v>
      </c>
      <c r="C165" s="2" t="s">
        <v>5</v>
      </c>
      <c r="D165" s="2" t="s">
        <v>23</v>
      </c>
      <c r="E165" s="53" t="s">
        <v>18</v>
      </c>
      <c r="F165" s="7" t="s">
        <v>34</v>
      </c>
      <c r="G165" s="2" t="s">
        <v>4</v>
      </c>
      <c r="H165" s="7"/>
      <c r="I165" s="47"/>
      <c r="J165" s="47"/>
      <c r="K165" s="7"/>
      <c r="L165" s="7"/>
      <c r="M165" s="2" t="s">
        <v>23</v>
      </c>
      <c r="N165" s="39"/>
      <c r="O165" s="7"/>
      <c r="P165" s="7"/>
      <c r="Q165" s="7"/>
      <c r="R165" s="7"/>
      <c r="S165" s="44"/>
      <c r="T165" s="2"/>
      <c r="U165" s="3"/>
      <c r="W165" s="2"/>
      <c r="X165" s="54"/>
      <c r="AA165" s="3"/>
    </row>
    <row r="166" spans="1:27" x14ac:dyDescent="0.25">
      <c r="A166" s="4"/>
      <c r="B166" s="36" t="s">
        <v>3</v>
      </c>
      <c r="C166" s="36" t="s">
        <v>7</v>
      </c>
      <c r="D166" s="36" t="s">
        <v>23</v>
      </c>
      <c r="E166" s="53" t="s">
        <v>18</v>
      </c>
      <c r="F166" s="53"/>
      <c r="G166" s="36"/>
      <c r="H166" s="53"/>
      <c r="I166" s="71"/>
      <c r="J166" s="71"/>
      <c r="K166" s="53"/>
      <c r="L166" s="53"/>
      <c r="M166" s="36" t="s">
        <v>24</v>
      </c>
      <c r="N166" s="61"/>
      <c r="O166" s="53"/>
      <c r="P166" s="53"/>
      <c r="Q166" s="66"/>
      <c r="R166" s="66"/>
      <c r="S166" s="45"/>
      <c r="T166" s="37"/>
      <c r="U166" s="38"/>
      <c r="V166" s="38"/>
      <c r="W166" s="37"/>
      <c r="X166" s="60"/>
      <c r="Y166" s="36"/>
      <c r="Z166" s="36"/>
      <c r="AA166" s="3"/>
    </row>
    <row r="167" spans="1:27" hidden="1" x14ac:dyDescent="0.25">
      <c r="A167" s="4"/>
      <c r="B167" s="2" t="s">
        <v>74</v>
      </c>
      <c r="C167" s="36" t="s">
        <v>7</v>
      </c>
      <c r="D167" s="2" t="s">
        <v>23</v>
      </c>
      <c r="E167" s="53" t="s">
        <v>18</v>
      </c>
      <c r="F167" s="7"/>
      <c r="H167" s="7"/>
      <c r="I167" s="47"/>
      <c r="J167" s="47"/>
      <c r="K167" s="7"/>
      <c r="L167" s="7"/>
      <c r="M167" s="2" t="s">
        <v>24</v>
      </c>
      <c r="N167" s="56"/>
      <c r="O167" s="7"/>
      <c r="P167" s="7"/>
      <c r="Q167" s="46"/>
      <c r="R167" s="46"/>
      <c r="S167" s="44"/>
      <c r="T167" s="5"/>
      <c r="U167" s="3"/>
      <c r="W167" s="5"/>
      <c r="X167" s="54"/>
      <c r="AA167" s="3"/>
    </row>
    <row r="168" spans="1:27" s="36" customFormat="1" hidden="1" x14ac:dyDescent="0.25">
      <c r="A168" s="4" t="s">
        <v>123</v>
      </c>
      <c r="B168" s="36" t="s">
        <v>75</v>
      </c>
      <c r="C168" s="36" t="s">
        <v>99</v>
      </c>
      <c r="D168" s="2" t="s">
        <v>24</v>
      </c>
      <c r="E168" s="53" t="s">
        <v>18</v>
      </c>
      <c r="F168" s="7" t="s">
        <v>34</v>
      </c>
      <c r="G168" s="2" t="s">
        <v>90</v>
      </c>
      <c r="H168" s="7"/>
      <c r="I168" s="47"/>
      <c r="J168" s="47"/>
      <c r="K168" s="7"/>
      <c r="L168" s="7"/>
      <c r="M168" s="2" t="s">
        <v>24</v>
      </c>
      <c r="N168" s="56" t="s">
        <v>24</v>
      </c>
      <c r="O168" s="7" t="s">
        <v>24</v>
      </c>
      <c r="P168" s="7"/>
      <c r="Q168" s="7"/>
      <c r="R168" s="7"/>
      <c r="S168" s="44"/>
      <c r="T168" s="2"/>
      <c r="U168" s="3"/>
      <c r="V168" s="3"/>
      <c r="W168" s="2"/>
      <c r="X168" s="54"/>
      <c r="Y168" s="2" t="s">
        <v>88</v>
      </c>
      <c r="Z168" s="2"/>
      <c r="AA168" s="3"/>
    </row>
    <row r="169" spans="1:27" hidden="1" x14ac:dyDescent="0.25">
      <c r="A169" s="4"/>
      <c r="B169" s="2" t="s">
        <v>74</v>
      </c>
      <c r="C169" s="36" t="s">
        <v>31</v>
      </c>
      <c r="D169" s="2" t="s">
        <v>23</v>
      </c>
      <c r="E169" s="53" t="s">
        <v>18</v>
      </c>
      <c r="F169" s="7"/>
      <c r="H169" s="7"/>
      <c r="I169" s="47"/>
      <c r="J169" s="47"/>
      <c r="K169" s="7"/>
      <c r="L169" s="7"/>
      <c r="M169" s="2" t="s">
        <v>24</v>
      </c>
      <c r="N169" s="56"/>
      <c r="O169" s="7"/>
      <c r="P169" s="7"/>
      <c r="Q169" s="46"/>
      <c r="R169" s="46"/>
      <c r="S169" s="44"/>
      <c r="T169" s="5"/>
      <c r="U169" s="3"/>
      <c r="W169" s="5"/>
      <c r="X169" s="54"/>
      <c r="AA169" s="3"/>
    </row>
    <row r="170" spans="1:27" x14ac:dyDescent="0.25">
      <c r="A170" s="4"/>
      <c r="B170" s="36" t="s">
        <v>3</v>
      </c>
      <c r="C170" s="36" t="s">
        <v>100</v>
      </c>
      <c r="D170" s="36" t="s">
        <v>119</v>
      </c>
      <c r="E170" s="53" t="s">
        <v>18</v>
      </c>
      <c r="F170" s="53"/>
      <c r="G170" s="36" t="s">
        <v>119</v>
      </c>
      <c r="H170" s="53"/>
      <c r="I170" s="71"/>
      <c r="J170" s="71"/>
      <c r="K170" s="53"/>
      <c r="L170" s="53"/>
      <c r="M170" s="38" t="s">
        <v>24</v>
      </c>
      <c r="N170" s="61" t="s">
        <v>24</v>
      </c>
      <c r="O170" s="53" t="s">
        <v>24</v>
      </c>
      <c r="P170" s="53">
        <v>0</v>
      </c>
      <c r="Q170" s="64">
        <v>0</v>
      </c>
      <c r="R170" s="64">
        <v>0</v>
      </c>
      <c r="S170" s="45">
        <v>0</v>
      </c>
      <c r="T170" s="37"/>
      <c r="U170" s="38">
        <v>0</v>
      </c>
      <c r="V170" s="38">
        <v>0</v>
      </c>
      <c r="W170" s="37"/>
      <c r="X170" s="60"/>
      <c r="Y170" s="36"/>
      <c r="Z170" s="36"/>
      <c r="AA170" s="3"/>
    </row>
    <row r="171" spans="1:27" hidden="1" x14ac:dyDescent="0.25">
      <c r="A171" s="4"/>
      <c r="B171" s="36" t="s">
        <v>75</v>
      </c>
      <c r="C171" s="36" t="s">
        <v>100</v>
      </c>
      <c r="E171" s="53" t="s">
        <v>18</v>
      </c>
      <c r="F171" s="53" t="s">
        <v>104</v>
      </c>
      <c r="G171" s="2" t="s">
        <v>122</v>
      </c>
      <c r="H171" s="53"/>
      <c r="I171" s="71"/>
      <c r="J171" s="71"/>
      <c r="K171" s="53"/>
      <c r="L171" s="53"/>
      <c r="M171" s="2" t="s">
        <v>24</v>
      </c>
      <c r="N171" s="56" t="s">
        <v>24</v>
      </c>
      <c r="O171" s="53" t="s">
        <v>24</v>
      </c>
      <c r="P171" s="7">
        <v>0</v>
      </c>
      <c r="Q171" s="46">
        <v>0</v>
      </c>
      <c r="R171" s="46">
        <v>0</v>
      </c>
      <c r="S171" s="44">
        <v>-2</v>
      </c>
      <c r="T171" s="37"/>
      <c r="U171" s="38"/>
      <c r="V171" s="38"/>
      <c r="W171" s="37"/>
      <c r="X171" s="60"/>
      <c r="Y171" s="36" t="s">
        <v>104</v>
      </c>
      <c r="Z171" s="36"/>
      <c r="AA171" s="3"/>
    </row>
    <row r="172" spans="1:27" hidden="1" x14ac:dyDescent="0.25">
      <c r="A172" s="4" t="s">
        <v>124</v>
      </c>
      <c r="B172" s="36" t="s">
        <v>75</v>
      </c>
      <c r="C172" s="36" t="s">
        <v>100</v>
      </c>
      <c r="E172" s="53" t="s">
        <v>18</v>
      </c>
      <c r="F172" s="53"/>
      <c r="G172" s="2" t="s">
        <v>121</v>
      </c>
      <c r="H172" s="53"/>
      <c r="I172" s="71"/>
      <c r="J172" s="71"/>
      <c r="K172" s="53"/>
      <c r="L172" s="53"/>
      <c r="M172" s="2" t="s">
        <v>24</v>
      </c>
      <c r="N172" s="56" t="s">
        <v>24</v>
      </c>
      <c r="O172" s="53" t="s">
        <v>24</v>
      </c>
      <c r="P172" s="7">
        <v>0</v>
      </c>
      <c r="Q172" s="46">
        <v>0</v>
      </c>
      <c r="R172" s="46">
        <v>0</v>
      </c>
      <c r="S172" s="44">
        <v>-1</v>
      </c>
      <c r="T172" s="37"/>
      <c r="U172" s="38"/>
      <c r="V172" s="38"/>
      <c r="W172" s="37"/>
      <c r="X172" s="60"/>
      <c r="Y172" s="36"/>
      <c r="Z172" s="36"/>
      <c r="AA172" s="3"/>
    </row>
    <row r="173" spans="1:27" hidden="1" x14ac:dyDescent="0.25">
      <c r="A173" s="4"/>
      <c r="B173" s="36" t="s">
        <v>75</v>
      </c>
      <c r="C173" s="36" t="s">
        <v>100</v>
      </c>
      <c r="D173" s="2" t="s">
        <v>89</v>
      </c>
      <c r="E173" s="53" t="s">
        <v>18</v>
      </c>
      <c r="F173" s="7" t="s">
        <v>33</v>
      </c>
      <c r="G173" s="2" t="s">
        <v>120</v>
      </c>
      <c r="H173" s="7"/>
      <c r="I173" s="47"/>
      <c r="J173" s="47"/>
      <c r="K173" s="7"/>
      <c r="L173" s="7"/>
      <c r="M173" s="2" t="s">
        <v>24</v>
      </c>
      <c r="N173" s="56" t="s">
        <v>24</v>
      </c>
      <c r="O173" s="7" t="s">
        <v>24</v>
      </c>
      <c r="P173" s="7">
        <v>0</v>
      </c>
      <c r="Q173" s="46">
        <v>0</v>
      </c>
      <c r="R173" s="46">
        <v>0</v>
      </c>
      <c r="S173" s="44">
        <v>0</v>
      </c>
      <c r="T173" s="5"/>
      <c r="U173" s="3">
        <v>0</v>
      </c>
      <c r="V173" s="3">
        <v>0</v>
      </c>
      <c r="W173" s="5"/>
      <c r="X173" s="54"/>
      <c r="Y173" s="2" t="s">
        <v>33</v>
      </c>
      <c r="AA173" s="3"/>
    </row>
    <row r="174" spans="1:27" x14ac:dyDescent="0.25">
      <c r="A174" s="4"/>
      <c r="B174" s="36" t="s">
        <v>3</v>
      </c>
      <c r="C174" s="36" t="s">
        <v>28</v>
      </c>
      <c r="D174" s="36" t="s">
        <v>118</v>
      </c>
      <c r="E174" s="53" t="s">
        <v>18</v>
      </c>
      <c r="F174" s="53" t="s">
        <v>33</v>
      </c>
      <c r="G174" s="36" t="s">
        <v>117</v>
      </c>
      <c r="H174" s="53" t="s">
        <v>114</v>
      </c>
      <c r="I174" s="71"/>
      <c r="J174" s="71"/>
      <c r="K174" s="53"/>
      <c r="L174" s="53"/>
      <c r="M174" s="36" t="s">
        <v>24</v>
      </c>
      <c r="N174" s="61" t="s">
        <v>24</v>
      </c>
      <c r="O174" s="53" t="s">
        <v>24</v>
      </c>
      <c r="P174" s="7" t="s">
        <v>8</v>
      </c>
      <c r="Q174" s="7">
        <v>0</v>
      </c>
      <c r="R174" s="7">
        <v>0</v>
      </c>
      <c r="S174" s="44">
        <v>0</v>
      </c>
      <c r="T174" s="36"/>
      <c r="U174" s="38">
        <v>0</v>
      </c>
      <c r="V174" s="38">
        <v>0</v>
      </c>
      <c r="W174" s="36"/>
      <c r="X174" s="60">
        <v>0</v>
      </c>
      <c r="Y174" s="36"/>
      <c r="Z174" s="36"/>
      <c r="AA174" s="3"/>
    </row>
    <row r="175" spans="1:27" hidden="1" x14ac:dyDescent="0.25">
      <c r="A175" s="4"/>
      <c r="B175" s="2" t="s">
        <v>74</v>
      </c>
      <c r="C175" s="36" t="s">
        <v>28</v>
      </c>
      <c r="D175" s="2" t="s">
        <v>23</v>
      </c>
      <c r="E175" s="53" t="s">
        <v>18</v>
      </c>
      <c r="F175" s="59"/>
      <c r="G175" s="9"/>
      <c r="H175" s="59"/>
      <c r="I175" s="73"/>
      <c r="J175" s="73"/>
      <c r="K175" s="59"/>
      <c r="L175" s="59"/>
      <c r="M175" s="2" t="s">
        <v>24</v>
      </c>
      <c r="N175" s="56"/>
      <c r="O175" s="59"/>
      <c r="P175" s="59"/>
      <c r="Q175" s="65"/>
      <c r="R175" s="65"/>
      <c r="S175" s="44"/>
      <c r="T175" s="12"/>
      <c r="U175" s="3">
        <v>0</v>
      </c>
      <c r="V175" s="3">
        <v>0</v>
      </c>
      <c r="W175" s="12"/>
      <c r="X175" s="54">
        <v>0</v>
      </c>
      <c r="Y175" s="9"/>
      <c r="Z175" s="9"/>
      <c r="AA175" s="3"/>
    </row>
    <row r="176" spans="1:27" hidden="1" x14ac:dyDescent="0.25">
      <c r="A176" s="4"/>
      <c r="B176" s="36" t="s">
        <v>75</v>
      </c>
      <c r="C176" s="36" t="s">
        <v>28</v>
      </c>
      <c r="D176" s="2" t="s">
        <v>115</v>
      </c>
      <c r="E176" s="53" t="s">
        <v>18</v>
      </c>
      <c r="F176" s="7" t="s">
        <v>33</v>
      </c>
      <c r="G176" s="2" t="s">
        <v>80</v>
      </c>
      <c r="H176" s="7" t="s">
        <v>113</v>
      </c>
      <c r="I176" s="47"/>
      <c r="J176" s="47"/>
      <c r="K176" s="7"/>
      <c r="L176" s="7"/>
      <c r="M176" s="2" t="s">
        <v>24</v>
      </c>
      <c r="N176" s="56" t="s">
        <v>24</v>
      </c>
      <c r="O176" s="7" t="s">
        <v>24</v>
      </c>
      <c r="P176" s="7" t="s">
        <v>8</v>
      </c>
      <c r="Q176" s="7">
        <v>0</v>
      </c>
      <c r="R176" s="7">
        <v>0</v>
      </c>
      <c r="S176" s="44">
        <v>0</v>
      </c>
      <c r="T176" s="2"/>
      <c r="U176" s="3"/>
      <c r="W176" s="2"/>
      <c r="X176" s="54"/>
      <c r="Y176" s="2" t="s">
        <v>33</v>
      </c>
      <c r="AA176" s="3"/>
    </row>
    <row r="177" spans="1:27" hidden="1" x14ac:dyDescent="0.25">
      <c r="A177" s="4"/>
      <c r="B177" s="36" t="s">
        <v>75</v>
      </c>
      <c r="C177" s="36" t="s">
        <v>28</v>
      </c>
      <c r="D177" s="2"/>
      <c r="E177" s="53" t="s">
        <v>18</v>
      </c>
      <c r="F177" s="7" t="s">
        <v>34</v>
      </c>
      <c r="G177" s="2" t="s">
        <v>79</v>
      </c>
      <c r="H177" s="7" t="s">
        <v>113</v>
      </c>
      <c r="I177" s="47"/>
      <c r="J177" s="47"/>
      <c r="K177" s="7"/>
      <c r="L177" s="7"/>
      <c r="M177" s="2" t="s">
        <v>24</v>
      </c>
      <c r="N177" s="56" t="s">
        <v>24</v>
      </c>
      <c r="O177" s="7" t="s">
        <v>24</v>
      </c>
      <c r="P177" s="7"/>
      <c r="Q177" s="7"/>
      <c r="R177" s="7"/>
      <c r="S177" s="44"/>
      <c r="T177" s="2"/>
      <c r="U177" s="3"/>
      <c r="W177" s="2"/>
      <c r="X177" s="54"/>
      <c r="Y177" s="2" t="s">
        <v>18</v>
      </c>
      <c r="AA177" s="3"/>
    </row>
    <row r="178" spans="1:27" x14ac:dyDescent="0.25">
      <c r="A178" s="4"/>
      <c r="B178" s="36" t="s">
        <v>3</v>
      </c>
      <c r="D178" s="36" t="s">
        <v>23</v>
      </c>
      <c r="E178" s="53" t="s">
        <v>18</v>
      </c>
      <c r="F178" s="53" t="s">
        <v>33</v>
      </c>
      <c r="G178" s="36"/>
      <c r="H178" s="53"/>
      <c r="I178" s="71"/>
      <c r="J178" s="71"/>
      <c r="K178" s="53"/>
      <c r="L178" s="53"/>
      <c r="M178" s="36" t="s">
        <v>24</v>
      </c>
      <c r="N178" s="61"/>
      <c r="O178" s="53"/>
      <c r="P178" s="53"/>
      <c r="Q178" s="53"/>
      <c r="R178" s="53"/>
      <c r="S178" s="45"/>
      <c r="T178" s="36"/>
      <c r="U178" s="38"/>
      <c r="V178" s="38"/>
      <c r="W178" s="36"/>
      <c r="X178" s="60"/>
      <c r="Y178" s="36"/>
      <c r="Z178" s="36"/>
      <c r="AA178" s="3"/>
    </row>
    <row r="179" spans="1:27" x14ac:dyDescent="0.25">
      <c r="C179" s="75" t="s">
        <v>175</v>
      </c>
      <c r="E179" s="53"/>
      <c r="F179" s="53"/>
      <c r="H179" s="56"/>
      <c r="I179" s="47"/>
      <c r="J179" s="47"/>
      <c r="K179" s="56"/>
      <c r="L179" s="56"/>
      <c r="N179" s="56"/>
      <c r="O179" s="56"/>
      <c r="P179" s="7"/>
      <c r="Q179" s="47"/>
      <c r="R179" s="7"/>
      <c r="S179" s="3"/>
      <c r="T179" s="3"/>
      <c r="U179" s="3"/>
      <c r="X179" s="54"/>
    </row>
  </sheetData>
  <phoneticPr fontId="3" type="noConversion"/>
  <conditionalFormatting sqref="A2:B2 C2:C56 A3:A42 B3:B56 B57:C73">
    <cfRule type="cellIs" dxfId="13" priority="6" operator="equal">
      <formula>FALSE</formula>
    </cfRule>
    <cfRule type="cellIs" dxfId="12" priority="7" operator="equal">
      <formula>TRUE</formula>
    </cfRule>
  </conditionalFormatting>
  <conditionalFormatting sqref="F121 E122:E125 C132:D132 P132:X132 C136:D136 M136 H172:L172">
    <cfRule type="cellIs" dxfId="11" priority="26" operator="equal">
      <formula>"usdt"</formula>
    </cfRule>
  </conditionalFormatting>
  <conditionalFormatting sqref="F126:F179 Y126:Z179">
    <cfRule type="cellIs" dxfId="10" priority="18" operator="equal">
      <formula>"USDC"</formula>
    </cfRule>
    <cfRule type="cellIs" dxfId="9" priority="19" operator="equal">
      <formula>"usdt"</formula>
    </cfRule>
  </conditionalFormatting>
  <conditionalFormatting sqref="G153">
    <cfRule type="cellIs" dxfId="8" priority="22" operator="equal">
      <formula>"usdt"</formula>
    </cfRule>
  </conditionalFormatting>
  <conditionalFormatting sqref="G172:G173">
    <cfRule type="cellIs" dxfId="7" priority="20" operator="equal">
      <formula>"usdt"</formula>
    </cfRule>
  </conditionalFormatting>
  <conditionalFormatting sqref="H2:I42 H46:I51 K46:L51">
    <cfRule type="cellIs" dxfId="6" priority="5" operator="equal">
      <formula>"import"</formula>
    </cfRule>
  </conditionalFormatting>
  <conditionalFormatting sqref="K16:L17">
    <cfRule type="cellIs" dxfId="5" priority="3" operator="equal">
      <formula>"import"</formula>
    </cfRule>
  </conditionalFormatting>
  <conditionalFormatting sqref="O1:O121">
    <cfRule type="cellIs" dxfId="4" priority="1" operator="equal">
      <formula>FALSE</formula>
    </cfRule>
    <cfRule type="cellIs" dxfId="3" priority="2" operator="equal">
      <formula>TRUE</formula>
    </cfRule>
  </conditionalFormatting>
  <conditionalFormatting sqref="O172">
    <cfRule type="cellIs" dxfId="2" priority="16" operator="equal">
      <formula>"usdt"</formula>
    </cfRule>
  </conditionalFormatting>
  <conditionalFormatting sqref="AA136">
    <cfRule type="cellIs" dxfId="1" priority="23" operator="equal">
      <formula>"usdt"</formula>
    </cfRule>
  </conditionalFormatting>
  <pageMargins left="0.7" right="0.7" top="0.75" bottom="0.75" header="0.3" footer="0.3"/>
  <pageSetup orientation="portrait"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646070-4930-43CA-8CCB-326DB2A26EC1}">
  <sheetPr codeName="Sheet5"/>
  <dimension ref="A1:F35"/>
  <sheetViews>
    <sheetView zoomScaleNormal="100" workbookViewId="0">
      <selection activeCell="A17" sqref="A17"/>
    </sheetView>
  </sheetViews>
  <sheetFormatPr defaultRowHeight="14.25" x14ac:dyDescent="0.2"/>
  <cols>
    <col min="1" max="1" width="34.42578125" style="169" bestFit="1" customWidth="1"/>
    <col min="2" max="2" width="27.140625" style="169" customWidth="1"/>
    <col min="3" max="3" width="31.7109375" style="169" customWidth="1"/>
    <col min="4" max="4" width="32" style="169" customWidth="1"/>
    <col min="5" max="5" width="42" style="169" customWidth="1"/>
    <col min="6" max="16384" width="9.140625" style="169"/>
  </cols>
  <sheetData>
    <row r="1" spans="1:6" x14ac:dyDescent="0.2">
      <c r="A1" s="169" t="s">
        <v>340</v>
      </c>
      <c r="B1" s="172" t="s">
        <v>339</v>
      </c>
      <c r="C1" s="172" t="s">
        <v>409</v>
      </c>
      <c r="D1" s="172" t="s">
        <v>411</v>
      </c>
      <c r="E1" s="172" t="s">
        <v>410</v>
      </c>
    </row>
    <row r="2" spans="1:6" ht="15" x14ac:dyDescent="0.25">
      <c r="A2" s="191" t="s">
        <v>359</v>
      </c>
      <c r="B2" s="193" t="b">
        <v>1</v>
      </c>
      <c r="C2" s="173" t="b">
        <v>1</v>
      </c>
      <c r="D2" s="173" t="b">
        <v>1</v>
      </c>
      <c r="E2" s="173" t="b">
        <v>0</v>
      </c>
      <c r="F2" s="171"/>
    </row>
    <row r="3" spans="1:6" ht="15" x14ac:dyDescent="0.25">
      <c r="A3" s="192" t="s">
        <v>341</v>
      </c>
      <c r="B3" s="193" t="s">
        <v>337</v>
      </c>
      <c r="C3" s="193" t="s">
        <v>337</v>
      </c>
      <c r="D3" s="193" t="s">
        <v>337</v>
      </c>
      <c r="E3" s="193" t="s">
        <v>337</v>
      </c>
      <c r="F3" s="171"/>
    </row>
    <row r="4" spans="1:6" ht="15" x14ac:dyDescent="0.25">
      <c r="A4" s="192" t="s">
        <v>342</v>
      </c>
      <c r="B4" s="193" t="s">
        <v>337</v>
      </c>
      <c r="C4" s="193" t="s">
        <v>337</v>
      </c>
      <c r="D4" s="193" t="s">
        <v>337</v>
      </c>
      <c r="E4" s="193" t="s">
        <v>357</v>
      </c>
      <c r="F4" s="171"/>
    </row>
    <row r="5" spans="1:6" ht="15" x14ac:dyDescent="0.25">
      <c r="A5" s="192" t="s">
        <v>343</v>
      </c>
      <c r="B5" s="193" t="s">
        <v>353</v>
      </c>
      <c r="C5" s="193" t="s">
        <v>412</v>
      </c>
      <c r="D5" s="193" t="s">
        <v>413</v>
      </c>
      <c r="E5" s="193" t="str">
        <f ca="1">_xlfn.CONCAT("ETF_",E15,".csv")</f>
        <v>ETF_2026-08-21.csv</v>
      </c>
      <c r="F5" s="171"/>
    </row>
    <row r="6" spans="1:6" ht="15" x14ac:dyDescent="0.25">
      <c r="A6" s="192" t="s">
        <v>344</v>
      </c>
      <c r="B6" s="193" t="s">
        <v>354</v>
      </c>
      <c r="C6" s="193" t="s">
        <v>354</v>
      </c>
      <c r="D6" s="193" t="s">
        <v>354</v>
      </c>
      <c r="E6" s="193" t="s">
        <v>337</v>
      </c>
      <c r="F6" s="171"/>
    </row>
    <row r="7" spans="1:6" ht="15" x14ac:dyDescent="0.25">
      <c r="A7" s="192" t="s">
        <v>345</v>
      </c>
      <c r="B7" s="193" t="s">
        <v>355</v>
      </c>
      <c r="C7" s="193" t="s">
        <v>355</v>
      </c>
      <c r="D7" s="193" t="s">
        <v>355</v>
      </c>
      <c r="E7" s="193" t="s">
        <v>337</v>
      </c>
      <c r="F7" s="171"/>
    </row>
    <row r="8" spans="1:6" ht="15" x14ac:dyDescent="0.25">
      <c r="A8" s="192" t="s">
        <v>346</v>
      </c>
      <c r="B8" s="193" t="b">
        <v>1</v>
      </c>
      <c r="C8" s="193" t="b">
        <v>1</v>
      </c>
      <c r="D8" s="193" t="b">
        <v>1</v>
      </c>
      <c r="E8" s="193" t="b">
        <v>0</v>
      </c>
      <c r="F8" s="171"/>
    </row>
    <row r="9" spans="1:6" ht="15" x14ac:dyDescent="0.25">
      <c r="A9" s="192" t="s">
        <v>347</v>
      </c>
      <c r="B9" s="194" t="b">
        <v>1</v>
      </c>
      <c r="C9" s="194" t="b">
        <v>1</v>
      </c>
      <c r="D9" s="194" t="b">
        <v>1</v>
      </c>
      <c r="E9" s="193" t="b">
        <v>1</v>
      </c>
      <c r="F9" s="171"/>
    </row>
    <row r="10" spans="1:6" ht="15" x14ac:dyDescent="0.25">
      <c r="A10" s="192" t="s">
        <v>348</v>
      </c>
      <c r="B10" s="193" t="b">
        <v>0</v>
      </c>
      <c r="C10" s="193" t="b">
        <v>0</v>
      </c>
      <c r="D10" s="193" t="b">
        <v>0</v>
      </c>
      <c r="E10" s="193" t="b">
        <v>0</v>
      </c>
      <c r="F10" s="171"/>
    </row>
    <row r="11" spans="1:6" ht="15" x14ac:dyDescent="0.25">
      <c r="A11" s="192" t="s">
        <v>349</v>
      </c>
      <c r="B11" s="193" t="b">
        <v>0</v>
      </c>
      <c r="C11" s="193" t="b">
        <v>0</v>
      </c>
      <c r="D11" s="193" t="b">
        <v>0</v>
      </c>
      <c r="E11" s="193" t="s">
        <v>358</v>
      </c>
      <c r="F11" s="171"/>
    </row>
    <row r="12" spans="1:6" ht="15" x14ac:dyDescent="0.25">
      <c r="A12" s="192" t="s">
        <v>350</v>
      </c>
      <c r="B12" s="193" t="s">
        <v>351</v>
      </c>
      <c r="C12" s="193" t="s">
        <v>351</v>
      </c>
      <c r="D12" s="193" t="s">
        <v>351</v>
      </c>
      <c r="E12" s="193" t="b">
        <v>0</v>
      </c>
      <c r="F12" s="171"/>
    </row>
    <row r="13" spans="1:6" s="174" customFormat="1" ht="15" x14ac:dyDescent="0.25">
      <c r="A13" s="192" t="s">
        <v>352</v>
      </c>
      <c r="B13" s="173">
        <v>30</v>
      </c>
      <c r="C13" s="173">
        <v>30</v>
      </c>
      <c r="D13" s="173">
        <v>30</v>
      </c>
      <c r="E13" s="193">
        <f>15*60</f>
        <v>900</v>
      </c>
      <c r="F13" s="171"/>
    </row>
    <row r="14" spans="1:6" ht="15" thickBot="1" x14ac:dyDescent="0.25"/>
    <row r="15" spans="1:6" ht="15" thickBot="1" x14ac:dyDescent="0.25">
      <c r="E15" s="197" t="str">
        <f t="shared" ref="E15" ca="1" si="0">TEXT(TODAY(),"yyyy-mm-dd")</f>
        <v>2026-08-21</v>
      </c>
    </row>
    <row r="16" spans="1:6" ht="15" x14ac:dyDescent="0.2">
      <c r="A16" s="195" t="s">
        <v>360</v>
      </c>
    </row>
    <row r="17" spans="1:1" ht="15.75" thickBot="1" x14ac:dyDescent="0.25">
      <c r="A17" s="196" t="s">
        <v>361</v>
      </c>
    </row>
    <row r="25" spans="1:1" s="175" customFormat="1" x14ac:dyDescent="0.2"/>
    <row r="35" spans="1:2" x14ac:dyDescent="0.2">
      <c r="A35" s="170"/>
      <c r="B35" s="171"/>
    </row>
  </sheetData>
  <phoneticPr fontId="3" type="noConversion"/>
  <conditionalFormatting sqref="B2:E2">
    <cfRule type="cellIs" dxfId="0" priority="1" operator="equal">
      <formula>FALSE</formula>
    </cfRule>
  </conditionalFormatting>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E7D6F9-8EEF-4AEB-9A0C-4C38E8E5BED4}">
  <sheetPr codeName="Sheet6"/>
  <dimension ref="A1:G46"/>
  <sheetViews>
    <sheetView workbookViewId="0">
      <selection activeCell="I13" sqref="I13"/>
    </sheetView>
  </sheetViews>
  <sheetFormatPr defaultRowHeight="15" x14ac:dyDescent="0.25"/>
  <cols>
    <col min="1" max="1" width="14" bestFit="1" customWidth="1"/>
    <col min="2" max="2" width="11.5703125" style="181" bestFit="1" customWidth="1"/>
    <col min="3" max="3" width="12.42578125" style="180" bestFit="1" customWidth="1"/>
    <col min="4" max="4" width="21.28515625" style="182" bestFit="1" customWidth="1"/>
    <col min="5" max="5" width="22.7109375" style="183" bestFit="1" customWidth="1"/>
    <col min="6" max="6" width="23" style="179" bestFit="1" customWidth="1"/>
  </cols>
  <sheetData>
    <row r="1" spans="1:6" x14ac:dyDescent="0.25">
      <c r="A1" t="s">
        <v>184</v>
      </c>
      <c r="B1" s="176" t="s">
        <v>395</v>
      </c>
      <c r="C1" s="176" t="s">
        <v>396</v>
      </c>
      <c r="D1" s="177" t="s">
        <v>397</v>
      </c>
      <c r="E1" s="178" t="s">
        <v>398</v>
      </c>
      <c r="F1" s="179" t="s">
        <v>399</v>
      </c>
    </row>
    <row r="2" spans="1:6" x14ac:dyDescent="0.25">
      <c r="A2" t="s">
        <v>366</v>
      </c>
      <c r="B2" s="180">
        <v>1</v>
      </c>
      <c r="C2" s="181">
        <v>2.9999999999999997E-4</v>
      </c>
      <c r="D2" s="182">
        <v>46010</v>
      </c>
      <c r="E2" s="183">
        <v>0.33401199999999998</v>
      </c>
      <c r="F2" s="179" t="s">
        <v>400</v>
      </c>
    </row>
    <row r="3" spans="1:6" x14ac:dyDescent="0.25">
      <c r="A3" t="s">
        <v>320</v>
      </c>
      <c r="B3" s="180">
        <v>0.27500000000000002</v>
      </c>
      <c r="C3" s="181">
        <v>2.5000000000000001E-3</v>
      </c>
      <c r="D3" s="184">
        <v>46020</v>
      </c>
      <c r="E3" s="183">
        <v>0.15989999999999999</v>
      </c>
      <c r="F3" s="179" t="s">
        <v>401</v>
      </c>
    </row>
    <row r="4" spans="1:6" x14ac:dyDescent="0.25">
      <c r="A4" t="s">
        <v>367</v>
      </c>
      <c r="B4" s="180">
        <v>0.16500000000000001</v>
      </c>
      <c r="C4" s="181">
        <v>2.9999999999999997E-4</v>
      </c>
      <c r="D4" s="182">
        <v>46009</v>
      </c>
      <c r="E4" s="183">
        <v>0.246638</v>
      </c>
      <c r="F4" s="179" t="s">
        <v>402</v>
      </c>
    </row>
    <row r="5" spans="1:6" x14ac:dyDescent="0.25">
      <c r="A5" t="s">
        <v>379</v>
      </c>
      <c r="B5" s="180">
        <v>0.27500000000000002</v>
      </c>
      <c r="C5" s="181">
        <v>6.9999999999999999E-4</v>
      </c>
      <c r="D5" s="184">
        <v>46009</v>
      </c>
      <c r="E5" s="183">
        <v>0.96860000000000002</v>
      </c>
      <c r="F5" s="179" t="s">
        <v>402</v>
      </c>
    </row>
    <row r="6" spans="1:6" x14ac:dyDescent="0.25">
      <c r="A6" t="s">
        <v>380</v>
      </c>
      <c r="B6" s="180">
        <v>1</v>
      </c>
      <c r="C6" s="181">
        <v>3.5000000000000001E-3</v>
      </c>
      <c r="D6" s="184">
        <v>46009</v>
      </c>
      <c r="E6" s="183">
        <v>0</v>
      </c>
      <c r="F6" s="179" t="s">
        <v>403</v>
      </c>
    </row>
    <row r="7" spans="1:6" x14ac:dyDescent="0.25">
      <c r="A7" t="s">
        <v>381</v>
      </c>
      <c r="B7" s="180">
        <v>0.1002</v>
      </c>
      <c r="C7" s="181">
        <v>8.0000000000000004E-4</v>
      </c>
      <c r="D7" s="184">
        <v>46010</v>
      </c>
      <c r="E7" s="183">
        <v>0.139651</v>
      </c>
      <c r="F7" s="179" t="s">
        <v>400</v>
      </c>
    </row>
    <row r="8" spans="1:6" x14ac:dyDescent="0.25">
      <c r="A8" t="s">
        <v>363</v>
      </c>
      <c r="B8" s="180">
        <v>0.16500000000000001</v>
      </c>
      <c r="C8" s="181">
        <v>2E-3</v>
      </c>
      <c r="D8" s="182">
        <v>46022</v>
      </c>
      <c r="E8" s="183">
        <v>0.42</v>
      </c>
      <c r="F8" s="179" t="s">
        <v>404</v>
      </c>
    </row>
    <row r="9" spans="1:6" x14ac:dyDescent="0.25">
      <c r="A9" t="s">
        <v>321</v>
      </c>
      <c r="B9" s="180">
        <v>0.16500000000000001</v>
      </c>
      <c r="C9" s="181">
        <v>4.0000000000000001E-3</v>
      </c>
      <c r="D9" s="184">
        <v>46009</v>
      </c>
      <c r="E9" s="183">
        <v>0.16361100000000001</v>
      </c>
      <c r="F9" s="179" t="s">
        <v>403</v>
      </c>
    </row>
    <row r="10" spans="1:6" x14ac:dyDescent="0.25">
      <c r="A10" t="s">
        <v>382</v>
      </c>
      <c r="B10" s="180">
        <v>0.16500000000000001</v>
      </c>
      <c r="C10" s="181">
        <v>3.8999999999999998E-3</v>
      </c>
      <c r="D10" s="184">
        <v>46010</v>
      </c>
      <c r="E10" s="183">
        <v>0.38289299999999998</v>
      </c>
      <c r="F10" s="179" t="s">
        <v>400</v>
      </c>
    </row>
    <row r="11" spans="1:6" x14ac:dyDescent="0.25">
      <c r="A11" t="s">
        <v>383</v>
      </c>
      <c r="B11" s="180">
        <v>0.16500000000000001</v>
      </c>
      <c r="C11" s="181">
        <v>3.0999999999999999E-3</v>
      </c>
      <c r="D11" s="184">
        <v>46020</v>
      </c>
      <c r="E11" s="183">
        <v>0.14000000000000001</v>
      </c>
      <c r="F11" s="179" t="s">
        <v>401</v>
      </c>
    </row>
    <row r="12" spans="1:6" x14ac:dyDescent="0.25">
      <c r="A12" t="s">
        <v>322</v>
      </c>
      <c r="B12" s="180">
        <v>1</v>
      </c>
      <c r="C12" s="181">
        <v>2.5000000000000001E-3</v>
      </c>
      <c r="D12" s="184">
        <v>46010</v>
      </c>
      <c r="E12" s="183">
        <v>0.14660500000000001</v>
      </c>
      <c r="F12" s="179" t="s">
        <v>400</v>
      </c>
    </row>
    <row r="13" spans="1:6" x14ac:dyDescent="0.25">
      <c r="A13" t="s">
        <v>368</v>
      </c>
      <c r="B13" s="180">
        <v>0.27500000000000002</v>
      </c>
      <c r="C13" s="181">
        <v>4.8999999999999998E-3</v>
      </c>
      <c r="F13" s="179" t="s">
        <v>400</v>
      </c>
    </row>
    <row r="14" spans="1:6" x14ac:dyDescent="0.25">
      <c r="A14" t="s">
        <v>369</v>
      </c>
      <c r="B14" s="180">
        <v>1</v>
      </c>
      <c r="C14" s="181">
        <v>5.0000000000000001E-4</v>
      </c>
      <c r="F14" s="179" t="s">
        <v>405</v>
      </c>
    </row>
    <row r="15" spans="1:6" x14ac:dyDescent="0.25">
      <c r="A15" t="s">
        <v>384</v>
      </c>
      <c r="B15" s="180">
        <v>1</v>
      </c>
      <c r="C15" s="181">
        <v>6.9999999999999999E-4</v>
      </c>
      <c r="D15" s="184">
        <v>46010</v>
      </c>
      <c r="E15" s="183">
        <v>1.5387740000000001</v>
      </c>
      <c r="F15" s="179" t="s">
        <v>400</v>
      </c>
    </row>
    <row r="16" spans="1:6" x14ac:dyDescent="0.25">
      <c r="A16" t="s">
        <v>323</v>
      </c>
      <c r="B16" s="180">
        <v>0.16500000000000001</v>
      </c>
      <c r="C16" s="181">
        <v>2E-3</v>
      </c>
      <c r="D16" s="184">
        <v>46010</v>
      </c>
      <c r="E16" s="183">
        <v>0.21784200000000001</v>
      </c>
      <c r="F16" s="179" t="s">
        <v>400</v>
      </c>
    </row>
    <row r="17" spans="1:7" x14ac:dyDescent="0.25">
      <c r="A17" t="s">
        <v>324</v>
      </c>
      <c r="B17" s="180">
        <v>1</v>
      </c>
      <c r="C17" s="181">
        <v>4.0000000000000002E-4</v>
      </c>
      <c r="D17" s="182">
        <v>46010</v>
      </c>
      <c r="E17" s="183">
        <v>0.21740999999999999</v>
      </c>
      <c r="F17" s="179" t="s">
        <v>400</v>
      </c>
    </row>
    <row r="18" spans="1:7" x14ac:dyDescent="0.25">
      <c r="A18" t="s">
        <v>385</v>
      </c>
      <c r="B18" s="180">
        <v>0.16500000000000001</v>
      </c>
      <c r="C18" s="181">
        <v>3.5000000000000001E-3</v>
      </c>
      <c r="D18" s="184">
        <v>46010</v>
      </c>
      <c r="E18" s="183">
        <v>0.58702200000000004</v>
      </c>
      <c r="F18" s="179" t="s">
        <v>400</v>
      </c>
    </row>
    <row r="19" spans="1:7" x14ac:dyDescent="0.25">
      <c r="A19" t="s">
        <v>370</v>
      </c>
      <c r="B19" s="180">
        <v>0.16500000000000001</v>
      </c>
      <c r="C19" s="181">
        <v>5.9999999999999995E-4</v>
      </c>
      <c r="D19" s="182">
        <v>46010</v>
      </c>
      <c r="E19" s="183">
        <v>0.164775</v>
      </c>
      <c r="F19" s="179" t="s">
        <v>400</v>
      </c>
    </row>
    <row r="20" spans="1:7" x14ac:dyDescent="0.25">
      <c r="A20" t="s">
        <v>371</v>
      </c>
      <c r="B20" s="180">
        <v>0.27500000000000002</v>
      </c>
      <c r="C20" s="181">
        <v>4.0000000000000001E-3</v>
      </c>
      <c r="F20" s="179" t="s">
        <v>403</v>
      </c>
    </row>
    <row r="21" spans="1:7" x14ac:dyDescent="0.25">
      <c r="A21" s="118" t="s">
        <v>364</v>
      </c>
      <c r="B21" s="185">
        <v>0.16500000000000001</v>
      </c>
      <c r="C21" s="186">
        <v>1.4E-3</v>
      </c>
      <c r="D21" s="187"/>
      <c r="E21" s="188"/>
      <c r="F21" s="189" t="s">
        <v>400</v>
      </c>
      <c r="G21" s="118"/>
    </row>
    <row r="22" spans="1:7" x14ac:dyDescent="0.25">
      <c r="A22" t="s">
        <v>325</v>
      </c>
      <c r="B22" s="180">
        <v>1</v>
      </c>
      <c r="C22" s="181">
        <v>4.0000000000000002E-4</v>
      </c>
      <c r="D22" s="182">
        <v>46010</v>
      </c>
      <c r="E22" s="183">
        <v>0.33404800000000001</v>
      </c>
      <c r="F22" s="179" t="s">
        <v>400</v>
      </c>
    </row>
    <row r="23" spans="1:7" x14ac:dyDescent="0.25">
      <c r="A23" t="s">
        <v>326</v>
      </c>
      <c r="B23" s="180">
        <v>0.1002</v>
      </c>
      <c r="C23" s="181">
        <v>5.0000000000000001E-4</v>
      </c>
      <c r="D23" s="182">
        <v>46010</v>
      </c>
      <c r="E23" s="183">
        <v>0.285497</v>
      </c>
      <c r="F23" s="179" t="s">
        <v>400</v>
      </c>
    </row>
    <row r="24" spans="1:7" x14ac:dyDescent="0.25">
      <c r="A24" s="118" t="s">
        <v>388</v>
      </c>
      <c r="B24" s="185">
        <v>0.16500000000000001</v>
      </c>
      <c r="C24" s="186">
        <v>5.0000000000000001E-3</v>
      </c>
      <c r="D24" s="190">
        <v>46013</v>
      </c>
      <c r="E24" s="188">
        <v>0</v>
      </c>
      <c r="F24" s="189" t="s">
        <v>406</v>
      </c>
      <c r="G24" s="118"/>
    </row>
    <row r="25" spans="1:7" x14ac:dyDescent="0.25">
      <c r="A25" t="s">
        <v>386</v>
      </c>
      <c r="B25" s="180">
        <v>0.16500000000000001</v>
      </c>
      <c r="C25" s="181">
        <v>4.4999999999999997E-3</v>
      </c>
      <c r="D25" s="184">
        <v>46010</v>
      </c>
      <c r="E25" s="183">
        <v>6.5883999999999998E-2</v>
      </c>
      <c r="F25" s="179" t="s">
        <v>400</v>
      </c>
    </row>
    <row r="26" spans="1:7" x14ac:dyDescent="0.25">
      <c r="A26" t="s">
        <v>387</v>
      </c>
      <c r="B26" s="180">
        <v>0.16500000000000001</v>
      </c>
      <c r="C26" s="181">
        <v>2.3E-3</v>
      </c>
      <c r="D26" s="184">
        <v>46021</v>
      </c>
      <c r="E26" s="183">
        <v>0.1</v>
      </c>
      <c r="F26" s="179" t="s">
        <v>407</v>
      </c>
    </row>
    <row r="27" spans="1:7" x14ac:dyDescent="0.25">
      <c r="A27" t="s">
        <v>327</v>
      </c>
      <c r="B27" s="180">
        <v>8.7999999999999995E-2</v>
      </c>
      <c r="C27" s="181">
        <v>2.9999999999999997E-4</v>
      </c>
      <c r="D27" s="182">
        <v>46010</v>
      </c>
      <c r="E27" s="183">
        <v>0.127</v>
      </c>
      <c r="F27" s="179" t="s">
        <v>408</v>
      </c>
    </row>
    <row r="28" spans="1:7" x14ac:dyDescent="0.25">
      <c r="A28" t="s">
        <v>372</v>
      </c>
      <c r="B28" s="180">
        <v>0.16500000000000001</v>
      </c>
      <c r="C28" s="181">
        <v>2.9999999999999997E-4</v>
      </c>
      <c r="D28" s="182">
        <v>46010</v>
      </c>
      <c r="E28" s="183">
        <v>7.6999999999999999E-2</v>
      </c>
      <c r="F28" s="179" t="s">
        <v>408</v>
      </c>
    </row>
    <row r="29" spans="1:7" x14ac:dyDescent="0.25">
      <c r="A29" t="s">
        <v>373</v>
      </c>
      <c r="B29" s="180">
        <v>0.27500000000000002</v>
      </c>
      <c r="C29" s="181">
        <v>4.0000000000000002E-4</v>
      </c>
      <c r="F29" s="179" t="s">
        <v>408</v>
      </c>
    </row>
    <row r="30" spans="1:7" x14ac:dyDescent="0.25">
      <c r="A30" t="s">
        <v>374</v>
      </c>
      <c r="B30" s="180">
        <v>1</v>
      </c>
      <c r="C30" s="181">
        <v>2.9999999999999997E-4</v>
      </c>
      <c r="D30" s="182">
        <v>46009</v>
      </c>
      <c r="E30" s="183">
        <v>9.1097999999999998E-2</v>
      </c>
      <c r="F30" s="179" t="s">
        <v>403</v>
      </c>
    </row>
    <row r="31" spans="1:7" x14ac:dyDescent="0.25">
      <c r="A31" t="s">
        <v>377</v>
      </c>
      <c r="B31" s="180">
        <v>0.16500000000000001</v>
      </c>
      <c r="C31" s="181">
        <v>2.9999999999999997E-4</v>
      </c>
      <c r="D31" s="182">
        <v>46009</v>
      </c>
      <c r="E31" s="183">
        <v>0.122505</v>
      </c>
      <c r="F31" s="179" t="s">
        <v>403</v>
      </c>
    </row>
    <row r="32" spans="1:7" x14ac:dyDescent="0.25">
      <c r="A32" t="s">
        <v>375</v>
      </c>
      <c r="B32" s="180">
        <v>0.27500000000000002</v>
      </c>
      <c r="C32" s="181">
        <v>5.0000000000000001E-4</v>
      </c>
      <c r="D32" s="182">
        <v>46009</v>
      </c>
      <c r="E32" s="183">
        <v>0.140677</v>
      </c>
      <c r="F32" s="179" t="s">
        <v>403</v>
      </c>
    </row>
    <row r="33" spans="1:6" x14ac:dyDescent="0.25">
      <c r="A33" t="s">
        <v>328</v>
      </c>
      <c r="B33" s="180">
        <v>0.16500000000000001</v>
      </c>
      <c r="C33" s="181">
        <v>4.0000000000000002E-4</v>
      </c>
      <c r="D33" s="182">
        <v>46009</v>
      </c>
      <c r="E33" s="183">
        <v>9.6627000000000005E-2</v>
      </c>
      <c r="F33" s="179" t="s">
        <v>403</v>
      </c>
    </row>
    <row r="34" spans="1:6" x14ac:dyDescent="0.25">
      <c r="A34" t="s">
        <v>329</v>
      </c>
      <c r="B34" s="180">
        <v>0.16500000000000001</v>
      </c>
      <c r="C34" s="181">
        <v>4.0000000000000002E-4</v>
      </c>
      <c r="D34" s="182">
        <v>46009</v>
      </c>
      <c r="E34" s="183">
        <v>0.14300099999999999</v>
      </c>
      <c r="F34" s="179" t="s">
        <v>403</v>
      </c>
    </row>
    <row r="35" spans="1:6" x14ac:dyDescent="0.25">
      <c r="A35" t="s">
        <v>330</v>
      </c>
      <c r="B35" s="180">
        <v>1</v>
      </c>
      <c r="C35" s="181">
        <v>2.9999999999999997E-4</v>
      </c>
      <c r="D35" s="182">
        <v>46009</v>
      </c>
      <c r="E35" s="183">
        <v>9.2302999999999996E-2</v>
      </c>
      <c r="F35" s="179" t="s">
        <v>403</v>
      </c>
    </row>
    <row r="36" spans="1:6" x14ac:dyDescent="0.25">
      <c r="A36" t="s">
        <v>331</v>
      </c>
      <c r="B36" s="180">
        <v>0.1002</v>
      </c>
      <c r="C36" s="181">
        <v>2.9999999999999997E-4</v>
      </c>
      <c r="D36" s="182">
        <v>46009</v>
      </c>
      <c r="E36" s="183">
        <v>0.13450899999999999</v>
      </c>
      <c r="F36" s="179" t="s">
        <v>403</v>
      </c>
    </row>
    <row r="37" spans="1:6" x14ac:dyDescent="0.25">
      <c r="A37" t="s">
        <v>332</v>
      </c>
      <c r="B37" s="180">
        <v>6.6000000000000003E-2</v>
      </c>
      <c r="C37" s="181">
        <v>1.5E-3</v>
      </c>
      <c r="D37" s="182">
        <v>46010</v>
      </c>
      <c r="E37" s="183">
        <v>0.34243699999999999</v>
      </c>
      <c r="F37" s="179" t="s">
        <v>400</v>
      </c>
    </row>
    <row r="38" spans="1:6" x14ac:dyDescent="0.25">
      <c r="A38" t="s">
        <v>376</v>
      </c>
      <c r="B38" s="180">
        <v>0.27500000000000002</v>
      </c>
      <c r="C38" s="181">
        <v>8.0000000000000004E-4</v>
      </c>
      <c r="F38" s="179" t="s">
        <v>400</v>
      </c>
    </row>
    <row r="39" spans="1:6" x14ac:dyDescent="0.25">
      <c r="A39" t="s">
        <v>365</v>
      </c>
      <c r="B39" s="180">
        <v>0.16500000000000001</v>
      </c>
      <c r="C39" s="181">
        <v>4.0000000000000002E-4</v>
      </c>
      <c r="D39" s="182">
        <v>46010</v>
      </c>
      <c r="E39" s="183">
        <v>0.20618</v>
      </c>
      <c r="F39" s="179" t="s">
        <v>400</v>
      </c>
    </row>
    <row r="40" spans="1:6" x14ac:dyDescent="0.25">
      <c r="A40" t="s">
        <v>333</v>
      </c>
      <c r="B40" s="180">
        <v>0.16500000000000001</v>
      </c>
      <c r="C40" s="181">
        <v>2.9999999999999997E-4</v>
      </c>
      <c r="D40" s="182">
        <v>46009</v>
      </c>
      <c r="E40" s="183">
        <v>0.34920000000000001</v>
      </c>
      <c r="F40" s="179" t="s">
        <v>402</v>
      </c>
    </row>
    <row r="41" spans="1:6" x14ac:dyDescent="0.25">
      <c r="A41" t="s">
        <v>334</v>
      </c>
      <c r="B41" s="180">
        <v>6.6000000000000003E-2</v>
      </c>
      <c r="C41" s="181">
        <v>2.9999999999999997E-4</v>
      </c>
      <c r="D41" s="182">
        <v>46009</v>
      </c>
      <c r="E41" s="183">
        <v>0.214</v>
      </c>
      <c r="F41" s="179" t="s">
        <v>402</v>
      </c>
    </row>
    <row r="42" spans="1:6" x14ac:dyDescent="0.25">
      <c r="A42" t="s">
        <v>335</v>
      </c>
      <c r="B42" s="180">
        <v>0.16500000000000001</v>
      </c>
      <c r="C42" s="181">
        <v>2.9999999999999997E-4</v>
      </c>
      <c r="D42" s="182">
        <v>46009</v>
      </c>
      <c r="E42" s="183">
        <v>0.15989999999999999</v>
      </c>
      <c r="F42" s="179" t="s">
        <v>402</v>
      </c>
    </row>
    <row r="43" spans="1:6" x14ac:dyDescent="0.25">
      <c r="A43" t="s">
        <v>378</v>
      </c>
      <c r="B43" s="180">
        <v>1</v>
      </c>
      <c r="C43" s="181">
        <v>2.9999999999999997E-4</v>
      </c>
      <c r="D43" s="182">
        <v>46009</v>
      </c>
      <c r="E43" s="183">
        <v>0.3105</v>
      </c>
      <c r="F43" s="179" t="s">
        <v>402</v>
      </c>
    </row>
    <row r="44" spans="1:6" x14ac:dyDescent="0.25">
      <c r="A44" t="s">
        <v>336</v>
      </c>
      <c r="B44" s="180">
        <v>0.1002</v>
      </c>
      <c r="C44" s="181">
        <v>2.9999999999999997E-4</v>
      </c>
      <c r="D44" s="182">
        <v>46009</v>
      </c>
      <c r="E44" s="183">
        <v>0.14169999999999999</v>
      </c>
      <c r="F44" s="179" t="s">
        <v>402</v>
      </c>
    </row>
    <row r="45" spans="1:6" x14ac:dyDescent="0.25">
      <c r="A45" t="s">
        <v>389</v>
      </c>
      <c r="B45" s="180">
        <v>0.1002</v>
      </c>
      <c r="C45" s="181">
        <v>5.9999999999999995E-4</v>
      </c>
      <c r="D45" s="184">
        <v>46015</v>
      </c>
      <c r="E45" s="183">
        <v>0.2626</v>
      </c>
      <c r="F45" s="179" t="s">
        <v>402</v>
      </c>
    </row>
    <row r="46" spans="1:6" x14ac:dyDescent="0.25">
      <c r="A46" t="s">
        <v>390</v>
      </c>
      <c r="B46" s="180">
        <v>0.16500000000000001</v>
      </c>
      <c r="C46" s="181">
        <v>1.5E-3</v>
      </c>
      <c r="D46" s="184">
        <v>46009</v>
      </c>
      <c r="E46" s="183">
        <v>0.31519999999999998</v>
      </c>
      <c r="F46" s="179" t="s">
        <v>402</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README</vt:lpstr>
      <vt:lpstr>Info for Inspiration</vt:lpstr>
      <vt:lpstr>Venue Tables</vt:lpstr>
      <vt:lpstr>Static Data Table</vt:lpstr>
      <vt:lpstr>Mkt Data Streaming Inputs</vt:lpstr>
      <vt:lpstr>ETF ADMIN DATA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Michael Hyland</dc:creator>
  <cp:lastModifiedBy>Michael Hyland</cp:lastModifiedBy>
  <cp:lastPrinted>2026-04-16T21:16:24Z</cp:lastPrinted>
  <dcterms:created xsi:type="dcterms:W3CDTF">2026-01-24T15:44:31Z</dcterms:created>
  <dcterms:modified xsi:type="dcterms:W3CDTF">2026-08-21T21:44:05Z</dcterms:modified>
</cp:coreProperties>
</file>