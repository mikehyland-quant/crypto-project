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icha\git-projects\trading\spreadsheets\"/>
    </mc:Choice>
  </mc:AlternateContent>
  <xr:revisionPtr revIDLastSave="0" documentId="13_ncr:1_{762CF3FD-F35C-4BD3-8F9F-6811EA709E2F}" xr6:coauthVersionLast="47" xr6:coauthVersionMax="47" xr10:uidLastSave="{00000000-0000-0000-0000-000000000000}"/>
  <bookViews>
    <workbookView xWindow="30510" yWindow="2610" windowWidth="20265" windowHeight="9765" tabRatio="763" firstSheet="3" activeTab="3" xr2:uid="{80E421DC-2A5F-48BD-91BD-DB367A6ED94D}"/>
  </bookViews>
  <sheets>
    <sheet name="README" sheetId="31" r:id="rId1"/>
    <sheet name="Static Data Table" sheetId="1" r:id="rId2"/>
    <sheet name="Scalar Inputs Table" sheetId="36" r:id="rId3"/>
    <sheet name="Mkt Data Streaming Inputs" sheetId="35" r:id="rId4"/>
    <sheet name="SECTOR ETFs" sheetId="37" r:id="rId5"/>
    <sheet name="Venue Tables" sheetId="34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37" l="1"/>
  <c r="A4" i="37" s="1"/>
  <c r="A5" i="37" s="1"/>
  <c r="A6" i="37" s="1"/>
  <c r="A7" i="37" s="1"/>
  <c r="A8" i="37" s="1"/>
  <c r="A9" i="37" s="1"/>
  <c r="A10" i="37" s="1"/>
  <c r="D13" i="35"/>
  <c r="D15" i="35"/>
  <c r="D5" i="35" s="1"/>
  <c r="H22" i="34"/>
  <c r="G22" i="34"/>
  <c r="F22" i="34"/>
  <c r="E22" i="34"/>
  <c r="D22" i="34"/>
  <c r="D176" i="1"/>
  <c r="Y176" i="1"/>
</calcChain>
</file>

<file path=xl/sharedStrings.xml><?xml version="1.0" encoding="utf-8"?>
<sst xmlns="http://schemas.openxmlformats.org/spreadsheetml/2006/main" count="2612" uniqueCount="457">
  <si>
    <t>comm_type</t>
  </si>
  <si>
    <t>comm_maker</t>
  </si>
  <si>
    <t>comm_taker</t>
  </si>
  <si>
    <t>future</t>
  </si>
  <si>
    <t>IBIT</t>
  </si>
  <si>
    <t>IBKR</t>
  </si>
  <si>
    <t>Coinbase</t>
  </si>
  <si>
    <t>Kraken</t>
  </si>
  <si>
    <t>flat_pct</t>
  </si>
  <si>
    <t>flat_amt</t>
  </si>
  <si>
    <t>comm_update</t>
  </si>
  <si>
    <t>my_prod_type</t>
  </si>
  <si>
    <t>ARKB</t>
  </si>
  <si>
    <t>BITB</t>
  </si>
  <si>
    <t>BRRR</t>
  </si>
  <si>
    <t>BTCW</t>
  </si>
  <si>
    <t>EZBC</t>
  </si>
  <si>
    <t>GBTC</t>
  </si>
  <si>
    <t>BTC</t>
  </si>
  <si>
    <t>Gemini</t>
  </si>
  <si>
    <t>flat_pct_with_min</t>
  </si>
  <si>
    <t>FBTC</t>
  </si>
  <si>
    <t>Deribit</t>
  </si>
  <si>
    <t>various</t>
  </si>
  <si>
    <t>none</t>
  </si>
  <si>
    <t>Binance</t>
  </si>
  <si>
    <t>Bybit</t>
  </si>
  <si>
    <t>Bitget</t>
  </si>
  <si>
    <t>OKX</t>
  </si>
  <si>
    <t>Huobi</t>
  </si>
  <si>
    <t>Bitfinex</t>
  </si>
  <si>
    <t>KuCoin</t>
  </si>
  <si>
    <t>spot</t>
  </si>
  <si>
    <t>USDT</t>
  </si>
  <si>
    <t>USD</t>
  </si>
  <si>
    <t>btcusdt</t>
  </si>
  <si>
    <t>tBTCUSD</t>
  </si>
  <si>
    <t>BTCUSDT</t>
  </si>
  <si>
    <t>BTC-USD</t>
  </si>
  <si>
    <t>BTCUSD</t>
  </si>
  <si>
    <t>BTC-USDT</t>
  </si>
  <si>
    <t>equity</t>
  </si>
  <si>
    <t>Delta</t>
  </si>
  <si>
    <t>HODL</t>
  </si>
  <si>
    <t>count</t>
  </si>
  <si>
    <t>option</t>
  </si>
  <si>
    <t>perp</t>
  </si>
  <si>
    <t>ETH</t>
  </si>
  <si>
    <t>BTC-PERP</t>
  </si>
  <si>
    <t>btcusd_perp</t>
  </si>
  <si>
    <t>BTC-USD-SWAP</t>
  </si>
  <si>
    <t>BTC-USDT-SWAP</t>
  </si>
  <si>
    <t>BTCF0:USTF0</t>
  </si>
  <si>
    <t>Bitget-Fut</t>
  </si>
  <si>
    <t>BTCUSDT_UMCBL</t>
  </si>
  <si>
    <t>BTCUSD_DMCBL</t>
  </si>
  <si>
    <t>BTCUSDT_SPBL</t>
  </si>
  <si>
    <t>BTC-PERPETUAL</t>
  </si>
  <si>
    <t>BTC-USD-Perpetual</t>
  </si>
  <si>
    <t>USD or BTC</t>
  </si>
  <si>
    <t>BTCUSDTM</t>
  </si>
  <si>
    <t>XBTUSD</t>
  </si>
  <si>
    <t>Binance-Fstream</t>
  </si>
  <si>
    <t>Binance-Dstream</t>
  </si>
  <si>
    <t>Bitfinex-Derivs</t>
  </si>
  <si>
    <t>Bitget-Derivs</t>
  </si>
  <si>
    <t>Bybit-Derivs</t>
  </si>
  <si>
    <t>Coinbase-Perps</t>
  </si>
  <si>
    <t>Delta-Derivs</t>
  </si>
  <si>
    <t>Huobi-Derivs</t>
  </si>
  <si>
    <t>Kraken-Derivs</t>
  </si>
  <si>
    <t>KuCoin-Derivs</t>
  </si>
  <si>
    <t>Binance-Opts</t>
  </si>
  <si>
    <t>Bitget-Opts</t>
  </si>
  <si>
    <t>BTC-USDC</t>
  </si>
  <si>
    <t>USDC</t>
  </si>
  <si>
    <t>FUTURE</t>
  </si>
  <si>
    <t>BIT-24APR26-CDE</t>
  </si>
  <si>
    <t>BTC PERP</t>
  </si>
  <si>
    <t>BTC-Bitfinex</t>
  </si>
  <si>
    <t>BTC-Bitget</t>
  </si>
  <si>
    <t>BTC-Bybit</t>
  </si>
  <si>
    <t>BTC-Delta</t>
  </si>
  <si>
    <t>CASH</t>
  </si>
  <si>
    <t>swap</t>
  </si>
  <si>
    <t>futures</t>
  </si>
  <si>
    <t>BTC-PERP-OKX</t>
  </si>
  <si>
    <t>-</t>
  </si>
  <si>
    <t>BTC-USDT-260327</t>
  </si>
  <si>
    <t>BTC-260327-OKX</t>
  </si>
  <si>
    <t>BTCUSDH26</t>
  </si>
  <si>
    <t>XBTUSDTM</t>
  </si>
  <si>
    <t>XBTUSDM</t>
  </si>
  <si>
    <t>XBTUSDCM</t>
  </si>
  <si>
    <t>today</t>
  </si>
  <si>
    <t>upside down</t>
  </si>
  <si>
    <t>This is designed as a database of information about crypto for use in Python scripts</t>
  </si>
  <si>
    <t>The main tabs of database information are named Bitcoin and Ethereum</t>
  </si>
  <si>
    <t>There are tabs for streaming product dumps</t>
  </si>
  <si>
    <t>Coinbase Product List</t>
  </si>
  <si>
    <t>Gemini Product List</t>
  </si>
  <si>
    <t>There are tabs for option dumps of expiry and strike for each of the ETFs</t>
  </si>
  <si>
    <t>ARKB Options</t>
  </si>
  <si>
    <t>BTC Options</t>
  </si>
  <si>
    <t>BITB Options</t>
  </si>
  <si>
    <t>BTCW Options</t>
  </si>
  <si>
    <t>BRRR Options - not available - no options listed yet</t>
  </si>
  <si>
    <t>EZBC Options</t>
  </si>
  <si>
    <t>FBTC Options</t>
  </si>
  <si>
    <t>GBTC Options</t>
  </si>
  <si>
    <t>HODL Options</t>
  </si>
  <si>
    <t>IBIT Options</t>
  </si>
  <si>
    <t>The tab titled ETF Options Summary connects to the ETF options tabs in the next line</t>
  </si>
  <si>
    <t>The main interfaces to identify active cryptos for the Python scripts are BTC and ETH</t>
  </si>
  <si>
    <t>The tabs TST and Test are available for testing new Python scripts</t>
  </si>
  <si>
    <t>BTCM6</t>
  </si>
  <si>
    <t>BTCN6</t>
  </si>
  <si>
    <t>BTCQ6</t>
  </si>
  <si>
    <t>BTCU6</t>
  </si>
  <si>
    <t>Column1</t>
  </si>
  <si>
    <t>Column2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</si>
  <si>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</si>
  <si>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</si>
  <si>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</si>
  <si>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</si>
  <si>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</si>
  <si>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</si>
  <si>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</si>
  <si>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</si>
  <si>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</si>
  <si>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</si>
  <si>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</si>
  <si>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</si>
  <si>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</si>
  <si>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</si>
  <si>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</si>
  <si>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</si>
  <si>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</si>
  <si>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</si>
  <si>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</si>
  <si>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</si>
  <si>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</si>
  <si>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NEXT</t>
  </si>
  <si>
    <t>comm_misc</t>
  </si>
  <si>
    <t>Coinbase-Derivs</t>
  </si>
  <si>
    <t>Phemex</t>
  </si>
  <si>
    <t>base_currency</t>
  </si>
  <si>
    <t>BTC_USDC</t>
  </si>
  <si>
    <t>BTC_USDT</t>
  </si>
  <si>
    <t>BTC-25SEP26</t>
  </si>
  <si>
    <t>BTC-25DEC26</t>
  </si>
  <si>
    <t>BTC-26MAR27</t>
  </si>
  <si>
    <t>my_pf_name</t>
  </si>
  <si>
    <t>pf_locator</t>
  </si>
  <si>
    <t>my_fi_name</t>
  </si>
  <si>
    <t>top_currency</t>
  </si>
  <si>
    <t>Column92</t>
  </si>
  <si>
    <t>Column93</t>
  </si>
  <si>
    <t>Column94</t>
  </si>
  <si>
    <t>Column95</t>
  </si>
  <si>
    <t>import</t>
  </si>
  <si>
    <t>btcusd</t>
  </si>
  <si>
    <t>btcusdc</t>
  </si>
  <si>
    <t>BTCUSDC</t>
  </si>
  <si>
    <t>vpn</t>
  </si>
  <si>
    <t>BTC/USD</t>
  </si>
  <si>
    <t>BTC/USDC</t>
  </si>
  <si>
    <t>BTC/USDT</t>
  </si>
  <si>
    <t>KrakenSpot</t>
  </si>
  <si>
    <t>BTC-USD1</t>
  </si>
  <si>
    <t>KuCoinSpot</t>
  </si>
  <si>
    <t>BTCUSD1</t>
  </si>
  <si>
    <t>BinanceSpot</t>
  </si>
  <si>
    <t>Others</t>
  </si>
  <si>
    <t>API</t>
  </si>
  <si>
    <t>Ranking</t>
  </si>
  <si>
    <t>Importance</t>
  </si>
  <si>
    <t>Tier 1</t>
  </si>
  <si>
    <t>Tier 2</t>
  </si>
  <si>
    <t>Tier 3</t>
  </si>
  <si>
    <t>MEXC</t>
  </si>
  <si>
    <t>Gate</t>
  </si>
  <si>
    <t>Tier 4</t>
  </si>
  <si>
    <t>Tier 5</t>
  </si>
  <si>
    <t>btcusd1</t>
  </si>
  <si>
    <t>BTC/USD1</t>
  </si>
  <si>
    <t>BTC_USD1</t>
  </si>
  <si>
    <t>sBTCUSDT</t>
  </si>
  <si>
    <t>sBTCUSDC</t>
  </si>
  <si>
    <t>NO PRICE</t>
  </si>
  <si>
    <t>tBTCUST</t>
  </si>
  <si>
    <t>Bitnomial</t>
  </si>
  <si>
    <t>EDX</t>
  </si>
  <si>
    <t>BTCZ6</t>
  </si>
  <si>
    <t>BTCH7</t>
  </si>
  <si>
    <t>BinanceUS</t>
  </si>
  <si>
    <t>Binance-Derivs</t>
  </si>
  <si>
    <t>spot contracts - not spot</t>
  </si>
  <si>
    <t>BTCPERP</t>
  </si>
  <si>
    <t>Spot</t>
  </si>
  <si>
    <t>Perps</t>
  </si>
  <si>
    <t>PERP BTC-USD</t>
  </si>
  <si>
    <t>PERP BTC-USDC</t>
  </si>
  <si>
    <t>PERP BTC-USDT</t>
  </si>
  <si>
    <t>Expiring Futures</t>
  </si>
  <si>
    <t>Option</t>
  </si>
  <si>
    <t>BTCV6</t>
  </si>
  <si>
    <t>BTCX6</t>
  </si>
  <si>
    <t>BIT-26JUN26-CDE</t>
  </si>
  <si>
    <t>BIT-31JUL26-CDE</t>
  </si>
  <si>
    <t>BIT-28AUG26-CDE</t>
  </si>
  <si>
    <t>ETHU6</t>
  </si>
  <si>
    <t>ETHV6</t>
  </si>
  <si>
    <t>ETHX6</t>
  </si>
  <si>
    <t>ETHZ6</t>
  </si>
  <si>
    <t>ANGL</t>
  </si>
  <si>
    <t>CWB</t>
  </si>
  <si>
    <t>FALN</t>
  </si>
  <si>
    <t>ICVT</t>
  </si>
  <si>
    <t>IGLB</t>
  </si>
  <si>
    <t>MBB</t>
  </si>
  <si>
    <t>MUB</t>
  </si>
  <si>
    <t>SCHQ</t>
  </si>
  <si>
    <t>SPLB</t>
  </si>
  <si>
    <t>SPMB</t>
  </si>
  <si>
    <t>SPTL</t>
  </si>
  <si>
    <t>TFI</t>
  </si>
  <si>
    <t>TLT</t>
  </si>
  <si>
    <t>VCLT</t>
  </si>
  <si>
    <t>VGLT</t>
  </si>
  <si>
    <t>VMBS</t>
  </si>
  <si>
    <t>VTEB</t>
  </si>
  <si>
    <t>None</t>
  </si>
  <si>
    <t>Crypto</t>
  </si>
  <si>
    <t>Keys</t>
  </si>
  <si>
    <t>output tail directory</t>
  </si>
  <si>
    <t>output directory</t>
  </si>
  <si>
    <t>output workbook name</t>
  </si>
  <si>
    <t>output worksheet name</t>
  </si>
  <si>
    <t>output cell name</t>
  </si>
  <si>
    <t>print timestamp onscreen</t>
  </si>
  <si>
    <t>add timestamp to output df</t>
  </si>
  <si>
    <t>display df onscreen</t>
  </si>
  <si>
    <t>save df to csv</t>
  </si>
  <si>
    <t>send df to xl</t>
  </si>
  <si>
    <t>replace</t>
  </si>
  <si>
    <t>timer interval</t>
  </si>
  <si>
    <t>2026 Crypto Mkt Data.xlsx</t>
  </si>
  <si>
    <t>MKT DATA</t>
  </si>
  <si>
    <t>A1</t>
  </si>
  <si>
    <t>C:\Users\Micha\Git-Crypto\Spreadsheets</t>
  </si>
  <si>
    <t>append</t>
  </si>
  <si>
    <t>active</t>
  </si>
  <si>
    <t>python App_Stream_MktData.py</t>
  </si>
  <si>
    <t>mkt_data_stream</t>
  </si>
  <si>
    <t>CORP</t>
  </si>
  <si>
    <t>LQD</t>
  </si>
  <si>
    <t>USIG</t>
  </si>
  <si>
    <t>AGG</t>
  </si>
  <si>
    <t>BND</t>
  </si>
  <si>
    <t>HYG</t>
  </si>
  <si>
    <t>HYLB</t>
  </si>
  <si>
    <t>IUSB</t>
  </si>
  <si>
    <t>JNK</t>
  </si>
  <si>
    <t>SCHZ</t>
  </si>
  <si>
    <t>SCYB</t>
  </si>
  <si>
    <t>SPAB</t>
  </si>
  <si>
    <t>SPHY</t>
  </si>
  <si>
    <t>USHY</t>
  </si>
  <si>
    <t>SPBO</t>
  </si>
  <si>
    <t>VTC</t>
  </si>
  <si>
    <t>BNDX</t>
  </si>
  <si>
    <t>BWX</t>
  </si>
  <si>
    <t>CMF</t>
  </si>
  <si>
    <t>EMB</t>
  </si>
  <si>
    <t>EMLC</t>
  </si>
  <si>
    <t>IAGG</t>
  </si>
  <si>
    <t>IGOV</t>
  </si>
  <si>
    <t>PFF</t>
  </si>
  <si>
    <t>PFFD</t>
  </si>
  <si>
    <t>PCY</t>
  </si>
  <si>
    <t>VTEC</t>
  </si>
  <si>
    <t>VWOB</t>
  </si>
  <si>
    <t>BTCF7</t>
  </si>
  <si>
    <t>USRT</t>
  </si>
  <si>
    <t>SCHH</t>
  </si>
  <si>
    <t>VanEck</t>
  </si>
  <si>
    <t>Vanguard</t>
  </si>
  <si>
    <t>PIMCO</t>
  </si>
  <si>
    <t>Xtrackers / DWS</t>
  </si>
  <si>
    <t>Global X</t>
  </si>
  <si>
    <t>Schwab</t>
  </si>
  <si>
    <t>BTC_ETF</t>
  </si>
  <si>
    <t>Stat_Arb_Group</t>
  </si>
  <si>
    <t>2026 Group Trading Inputs.xlsm</t>
  </si>
  <si>
    <t>cd git-projects\trading\apps</t>
  </si>
  <si>
    <t>Sector</t>
  </si>
  <si>
    <t>90-day avg daily volume</t>
  </si>
  <si>
    <t>Sector`</t>
  </si>
  <si>
    <t>Fidelity</t>
  </si>
  <si>
    <t>iShares</t>
  </si>
  <si>
    <t>State Street</t>
  </si>
  <si>
    <t>Consumer Discretionary</t>
  </si>
  <si>
    <t>FDIS</t>
  </si>
  <si>
    <t>volume too low</t>
  </si>
  <si>
    <t>IYC</t>
  </si>
  <si>
    <t>XLY</t>
  </si>
  <si>
    <t>VCR</t>
  </si>
  <si>
    <t>0.0010 / 0.0006</t>
  </si>
  <si>
    <t>volume too low and not as broad as others</t>
  </si>
  <si>
    <t>FSTA</t>
  </si>
  <si>
    <t>IYK</t>
  </si>
  <si>
    <t>XLP</t>
  </si>
  <si>
    <t>VDC</t>
  </si>
  <si>
    <t>0.0016 / 0.0016</t>
  </si>
  <si>
    <t xml:space="preserve">no peers </t>
  </si>
  <si>
    <t>FENY</t>
  </si>
  <si>
    <t>IYE</t>
  </si>
  <si>
    <t>XLE</t>
  </si>
  <si>
    <t>VDE</t>
  </si>
  <si>
    <t>FNCL</t>
  </si>
  <si>
    <t>IYF</t>
  </si>
  <si>
    <t>XLF</t>
  </si>
  <si>
    <t>VFH</t>
  </si>
  <si>
    <t>0.0010 / 0.0004</t>
  </si>
  <si>
    <t>Consumer Staples</t>
  </si>
  <si>
    <t>FHLC</t>
  </si>
  <si>
    <t>IYH</t>
  </si>
  <si>
    <t>XLV</t>
  </si>
  <si>
    <t>VHT</t>
  </si>
  <si>
    <t>FIDU</t>
  </si>
  <si>
    <t>IYJ</t>
  </si>
  <si>
    <t>XLI</t>
  </si>
  <si>
    <t>VIS</t>
  </si>
  <si>
    <t>FREL</t>
  </si>
  <si>
    <t>IYR</t>
  </si>
  <si>
    <t>XLRE</t>
  </si>
  <si>
    <t>VNQ</t>
  </si>
  <si>
    <t>0.0018 / 0.0014</t>
  </si>
  <si>
    <t>FTEC</t>
  </si>
  <si>
    <t>IYW</t>
  </si>
  <si>
    <t>XLK</t>
  </si>
  <si>
    <t>VGT</t>
  </si>
  <si>
    <t>Energy</t>
  </si>
  <si>
    <t>FUTY</t>
  </si>
  <si>
    <t>IDU</t>
  </si>
  <si>
    <t>XLU</t>
  </si>
  <si>
    <t>VPU</t>
  </si>
  <si>
    <t>0.0018 / 0.0018</t>
  </si>
  <si>
    <t>Financials</t>
  </si>
  <si>
    <t>Healthcare</t>
  </si>
  <si>
    <t>Industrials</t>
  </si>
  <si>
    <t>Real Estate</t>
  </si>
  <si>
    <t>Technology</t>
  </si>
  <si>
    <t>Utilities</t>
  </si>
  <si>
    <t>SEMIS</t>
  </si>
  <si>
    <t>SMH</t>
  </si>
  <si>
    <t>SOXX</t>
  </si>
  <si>
    <t>BIOTECH</t>
  </si>
  <si>
    <t>XBI</t>
  </si>
  <si>
    <t>IBB</t>
  </si>
  <si>
    <t>AERO</t>
  </si>
  <si>
    <t>ITA</t>
  </si>
  <si>
    <t>PPA</t>
  </si>
  <si>
    <t>SHLD</t>
  </si>
  <si>
    <t>XAR</t>
  </si>
  <si>
    <t>IDEF</t>
  </si>
  <si>
    <t>BANKS</t>
  </si>
  <si>
    <t>KBE</t>
  </si>
  <si>
    <t>KBWB</t>
  </si>
  <si>
    <t>REIT</t>
  </si>
  <si>
    <t>ICF</t>
  </si>
  <si>
    <t>RWR</t>
  </si>
  <si>
    <t>INFRA</t>
  </si>
  <si>
    <t>EQUAL WEIGHT</t>
  </si>
  <si>
    <t>RSPT</t>
  </si>
  <si>
    <t>TECH</t>
  </si>
  <si>
    <t>RSPC</t>
  </si>
  <si>
    <t>TELECOM</t>
  </si>
  <si>
    <t>RSPS</t>
  </si>
  <si>
    <t>CONSUMER STAPLES</t>
  </si>
  <si>
    <t>Agg</t>
  </si>
  <si>
    <t>Long Term Tsy</t>
  </si>
  <si>
    <t>Corps</t>
  </si>
  <si>
    <t>duration too long</t>
  </si>
  <si>
    <t>EM Gov -US</t>
  </si>
  <si>
    <t>EM Gov - Local</t>
  </si>
  <si>
    <t>mid-month dividends</t>
  </si>
  <si>
    <t>RSP</t>
  </si>
  <si>
    <t>S&amp;P 500</t>
  </si>
  <si>
    <t>["FSTA", "XLP", "VDC"]</t>
  </si>
  <si>
    <t>["FENY", "IYE", "XLE", "VDE"]</t>
  </si>
  <si>
    <t>["IYF", "XLF", "VFH"]</t>
  </si>
  <si>
    <t>["FHLC", "IYH", "XLV", "VHT"]</t>
  </si>
  <si>
    <t>["FIDU", "XLI", ]</t>
  </si>
  <si>
    <t>["FREL", "IYR", "XLRE", "VNQ"]</t>
  </si>
  <si>
    <t>["FTEC", "IYW", "XLK", "VGT"]</t>
  </si>
  <si>
    <t>["FUTY", "IDU", "XLU", "VPU"]</t>
  </si>
  <si>
    <t>List</t>
  </si>
  <si>
    <t>Fixed Income</t>
  </si>
  <si>
    <t>group</t>
  </si>
  <si>
    <t>sector</t>
  </si>
  <si>
    <t>symbol</t>
  </si>
  <si>
    <t>etf fee</t>
  </si>
  <si>
    <t>comment</t>
  </si>
  <si>
    <t>avg daily volumes last update in Aug 2026</t>
  </si>
  <si>
    <t>etf family</t>
  </si>
  <si>
    <t>BTCG7</t>
  </si>
  <si>
    <t>BTC-29JAN27</t>
  </si>
  <si>
    <t>BTC-26FEB27</t>
  </si>
  <si>
    <t>ETHF7</t>
  </si>
  <si>
    <t>ETHG7</t>
  </si>
  <si>
    <t>div 2025-12 ex-date</t>
  </si>
  <si>
    <t xml:space="preserve"> div 2025-12</t>
  </si>
  <si>
    <t>div 2026-03</t>
  </si>
  <si>
    <t>div 2026-03 ex-date</t>
  </si>
  <si>
    <t>div 2026-06</t>
  </si>
  <si>
    <t>div 2026-06 ex-date</t>
  </si>
  <si>
    <t>div 2026-07</t>
  </si>
  <si>
    <t>div 2026-08</t>
  </si>
  <si>
    <t>crypto</t>
  </si>
  <si>
    <t>fixed income</t>
  </si>
  <si>
    <t>agg</t>
  </si>
  <si>
    <t>fallen angels</t>
  </si>
  <si>
    <t>intl agg - hedged</t>
  </si>
  <si>
    <t>intl gov - unhedged</t>
  </si>
  <si>
    <t>calif munis</t>
  </si>
  <si>
    <t>corps</t>
  </si>
  <si>
    <t>converts</t>
  </si>
  <si>
    <t>em gov -us</t>
  </si>
  <si>
    <t>em - local</t>
  </si>
  <si>
    <t>hi yld</t>
  </si>
  <si>
    <t>long term corps</t>
  </si>
  <si>
    <t>mortgages</t>
  </si>
  <si>
    <t>munis</t>
  </si>
  <si>
    <t>prefs</t>
  </si>
  <si>
    <t>long term tsy</t>
  </si>
  <si>
    <t>energy</t>
  </si>
  <si>
    <t>healthcare</t>
  </si>
  <si>
    <t>industrials</t>
  </si>
  <si>
    <t>real estate</t>
  </si>
  <si>
    <t>technology</t>
  </si>
  <si>
    <t>utilities</t>
  </si>
  <si>
    <t>financials</t>
  </si>
  <si>
    <t>div 2026-04</t>
  </si>
  <si>
    <t>div 2026-01</t>
  </si>
  <si>
    <t>div 2026-02</t>
  </si>
  <si>
    <t>div 2026-05</t>
  </si>
  <si>
    <t>div 2026-07 ex-date</t>
  </si>
  <si>
    <t>div 2026-08 ex-date</t>
  </si>
  <si>
    <t>div 2026-05 ex-date</t>
  </si>
  <si>
    <t>div 2026-04 ex-date</t>
  </si>
  <si>
    <t>div 2026-02 ex-date</t>
  </si>
  <si>
    <t>div 2026-01 ex-date</t>
  </si>
  <si>
    <t>staples</t>
  </si>
  <si>
    <t>div 2026--09</t>
  </si>
  <si>
    <t>div 2026-09 ex-date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</si>
</sst>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d\-mmm\-yy;@"/>
    <numFmt numFmtId="165" formatCode="_(&quot;$&quot;* #,##0.0000_);_(&quot;$&quot;* \(#,##0.0000\);_(&quot;$&quot;* &quot;-&quot;??_);_(@_)"/>
    <numFmt numFmtId="166" formatCode="_(* #,##0_);_(* \(#,##0\);_(* &quot;-&quot;??_);_(@_)"/>
    <numFmt numFmtId="167" formatCode="0.0000%"/>
    <numFmt numFmtId="168" formatCode="_(* #,##0.0000_);_(* \(#,##0.0000\);_(* &quot;-&quot;??_);_(@_)"/>
    <numFmt numFmtId="169" formatCode="_(* #,##0.000_);_(* \(#,##0.000\);_(* &quot;-&quot;??_);_(@_)"/>
    <numFmt numFmtId="170" formatCode="0.000%"/>
    <numFmt numFmtId="171" formatCode="yyyy\-mm\-dd;@"/>
    <numFmt numFmtId="172" formatCode="_(&quot;$&quot;* #,##0.000000_);_(&quot;$&quot;* \(#,##0.000000\);_(&quot;$&quot;* &quot;-&quot;??_);_(@_)"/>
    <numFmt numFmtId="173" formatCode="_(&quot;$&quot;* #,##0.00000_);_(&quot;$&quot;* \(#,##0.00000\);_(&quot;$&quot;* &quot;-&quot;??_);_(@_)"/>
  </numFmts>
  <fonts count="3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 tint="-0.499984740745262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color theme="2" tint="-0.499984740745262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name val="Aptos Narrow"/>
      <family val="2"/>
      <scheme val="minor"/>
    </font>
    <font>
      <b/>
      <u/>
      <sz val="11"/>
      <name val="Aptos Narrow"/>
      <family val="2"/>
      <scheme val="minor"/>
    </font>
    <font>
      <sz val="11"/>
      <color rgb="FFC00000"/>
      <name val="Aptos Narrow"/>
      <family val="2"/>
      <scheme val="minor"/>
    </font>
    <font>
      <strike/>
      <sz val="11"/>
      <color theme="1"/>
      <name val="Aptos Narrow"/>
      <family val="2"/>
      <scheme val="minor"/>
    </font>
    <font>
      <strike/>
      <sz val="11"/>
      <color rgb="FFC00000"/>
      <name val="Aptos Narrow"/>
      <family val="2"/>
      <scheme val="minor"/>
    </font>
    <font>
      <b/>
      <strike/>
      <sz val="11"/>
      <color rgb="FFC00000"/>
      <name val="Aptos Narrow"/>
      <family val="2"/>
      <scheme val="minor"/>
    </font>
    <font>
      <b/>
      <sz val="11"/>
      <color rgb="FFC00000"/>
      <name val="Aptos Narrow"/>
      <family val="2"/>
      <scheme val="minor"/>
    </font>
    <font>
      <strike/>
      <sz val="11"/>
      <name val="Aptos Narrow"/>
      <family val="2"/>
      <scheme val="minor"/>
    </font>
    <font>
      <sz val="11"/>
      <color theme="8"/>
      <name val="Aptos Narrow"/>
      <family val="2"/>
      <scheme val="minor"/>
    </font>
    <font>
      <sz val="11"/>
      <color theme="5" tint="-0.499984740745262"/>
      <name val="Aptos Narrow"/>
      <family val="2"/>
      <scheme val="minor"/>
    </font>
    <font>
      <sz val="11"/>
      <color theme="1"/>
      <name val="Arial"/>
      <family val="2"/>
    </font>
    <font>
      <sz val="11"/>
      <name val="Arial"/>
      <family val="2"/>
    </font>
    <font>
      <sz val="11"/>
      <color rgb="FF7030A0"/>
      <name val="Arial"/>
      <family val="2"/>
    </font>
    <font>
      <sz val="12"/>
      <color theme="1"/>
      <name val="Arial"/>
      <family val="2"/>
    </font>
    <font>
      <b/>
      <sz val="11"/>
      <color theme="1"/>
      <name val="Arial"/>
      <family val="2"/>
    </font>
    <font>
      <b/>
      <sz val="11"/>
      <name val="Arial"/>
      <family val="2"/>
    </font>
    <font>
      <b/>
      <strike/>
      <sz val="11"/>
      <color theme="1"/>
      <name val="Aptos Narrow"/>
      <family val="2"/>
      <scheme val="minor"/>
    </font>
    <font>
      <sz val="11"/>
      <color rgb="FF0070C0"/>
      <name val="Aptos Narrow"/>
      <family val="2"/>
      <scheme val="minor"/>
    </font>
    <font>
      <strike/>
      <sz val="11"/>
      <color theme="5" tint="-0.499984740745262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31"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166" fontId="0" fillId="0" borderId="0" xfId="1" applyNumberFormat="1" applyFont="1" applyFill="1" applyAlignment="1">
      <alignment horizontal="center"/>
    </xf>
    <xf numFmtId="43" fontId="0" fillId="0" borderId="0" xfId="1" applyFont="1" applyFill="1" applyAlignment="1">
      <alignment horizontal="center"/>
    </xf>
    <xf numFmtId="164" fontId="0" fillId="0" borderId="0" xfId="0" applyNumberFormat="1" applyAlignment="1">
      <alignment horizontal="center"/>
    </xf>
    <xf numFmtId="166" fontId="2" fillId="0" borderId="0" xfId="1" applyNumberFormat="1" applyFont="1" applyFill="1" applyAlignment="1">
      <alignment horizontal="center"/>
    </xf>
    <xf numFmtId="0" fontId="0" fillId="2" borderId="0" xfId="0" applyFill="1" applyAlignment="1">
      <alignment horizontal="center"/>
    </xf>
    <xf numFmtId="164" fontId="0" fillId="2" borderId="0" xfId="0" applyNumberFormat="1" applyFill="1" applyAlignment="1">
      <alignment horizontal="center"/>
    </xf>
    <xf numFmtId="0" fontId="7" fillId="0" borderId="0" xfId="0" applyFont="1" applyAlignment="1">
      <alignment horizontal="center"/>
    </xf>
    <xf numFmtId="166" fontId="7" fillId="0" borderId="0" xfId="1" applyNumberFormat="1" applyFont="1" applyFill="1" applyAlignment="1">
      <alignment horizontal="center"/>
    </xf>
    <xf numFmtId="43" fontId="7" fillId="0" borderId="0" xfId="1" applyFont="1" applyFill="1" applyAlignment="1">
      <alignment horizontal="center"/>
    </xf>
    <xf numFmtId="164" fontId="7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0" fontId="6" fillId="0" borderId="0" xfId="0" applyFont="1"/>
    <xf numFmtId="0" fontId="4" fillId="0" borderId="0" xfId="0" applyFont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0" fillId="0" borderId="5" xfId="0" applyBorder="1"/>
    <xf numFmtId="0" fontId="0" fillId="0" borderId="3" xfId="0" applyBorder="1"/>
    <xf numFmtId="0" fontId="9" fillId="0" borderId="0" xfId="0" applyFont="1" applyAlignment="1">
      <alignment horizontal="center"/>
    </xf>
    <xf numFmtId="164" fontId="9" fillId="0" borderId="0" xfId="0" applyNumberFormat="1" applyFont="1" applyAlignment="1">
      <alignment horizontal="center"/>
    </xf>
    <xf numFmtId="166" fontId="9" fillId="0" borderId="0" xfId="1" applyNumberFormat="1" applyFont="1" applyFill="1" applyAlignment="1">
      <alignment horizontal="center"/>
    </xf>
    <xf numFmtId="168" fontId="0" fillId="2" borderId="0" xfId="1" applyNumberFormat="1" applyFont="1" applyFill="1" applyAlignment="1">
      <alignment horizontal="center"/>
    </xf>
    <xf numFmtId="0" fontId="0" fillId="0" borderId="9" xfId="0" applyBorder="1" applyAlignment="1">
      <alignment horizontal="center"/>
    </xf>
    <xf numFmtId="0" fontId="10" fillId="0" borderId="0" xfId="0" applyFont="1" applyAlignment="1">
      <alignment horizontal="center"/>
    </xf>
    <xf numFmtId="44" fontId="2" fillId="0" borderId="0" xfId="2" applyFont="1" applyFill="1" applyAlignment="1">
      <alignment horizontal="center"/>
    </xf>
    <xf numFmtId="165" fontId="0" fillId="0" borderId="0" xfId="2" applyNumberFormat="1" applyFont="1" applyFill="1" applyAlignment="1">
      <alignment horizontal="center"/>
    </xf>
    <xf numFmtId="44" fontId="0" fillId="0" borderId="0" xfId="2" applyFont="1" applyFill="1" applyAlignment="1">
      <alignment horizontal="center"/>
    </xf>
    <xf numFmtId="44" fontId="9" fillId="0" borderId="0" xfId="2" applyFont="1" applyFill="1" applyAlignment="1">
      <alignment horizontal="center"/>
    </xf>
    <xf numFmtId="167" fontId="0" fillId="2" borderId="0" xfId="0" applyNumberFormat="1" applyFill="1" applyAlignment="1">
      <alignment horizontal="center"/>
    </xf>
    <xf numFmtId="44" fontId="0" fillId="2" borderId="0" xfId="2" applyFont="1" applyFill="1" applyAlignment="1">
      <alignment horizontal="center"/>
    </xf>
    <xf numFmtId="44" fontId="7" fillId="0" borderId="0" xfId="2" applyFont="1" applyFill="1" applyAlignment="1">
      <alignment horizontal="center"/>
    </xf>
    <xf numFmtId="43" fontId="11" fillId="0" borderId="0" xfId="1" applyFont="1" applyFill="1" applyAlignment="1">
      <alignment horizontal="center"/>
    </xf>
    <xf numFmtId="0" fontId="11" fillId="0" borderId="0" xfId="0" applyFont="1" applyAlignment="1">
      <alignment horizontal="center"/>
    </xf>
    <xf numFmtId="44" fontId="11" fillId="0" borderId="0" xfId="2" applyFont="1" applyFill="1" applyAlignment="1">
      <alignment horizontal="center"/>
    </xf>
    <xf numFmtId="166" fontId="11" fillId="0" borderId="0" xfId="1" applyNumberFormat="1" applyFont="1" applyFill="1" applyAlignment="1">
      <alignment horizontal="center"/>
    </xf>
    <xf numFmtId="0" fontId="9" fillId="2" borderId="0" xfId="0" applyFont="1" applyFill="1" applyAlignment="1">
      <alignment horizontal="center"/>
    </xf>
    <xf numFmtId="166" fontId="0" fillId="2" borderId="0" xfId="1" applyNumberFormat="1" applyFont="1" applyFill="1" applyAlignment="1">
      <alignment horizontal="center"/>
    </xf>
    <xf numFmtId="165" fontId="0" fillId="2" borderId="0" xfId="2" applyNumberFormat="1" applyFont="1" applyFill="1" applyAlignment="1">
      <alignment horizontal="center"/>
    </xf>
    <xf numFmtId="43" fontId="0" fillId="2" borderId="0" xfId="1" applyFont="1" applyFill="1" applyAlignment="1">
      <alignment horizontal="center"/>
    </xf>
    <xf numFmtId="0" fontId="0" fillId="2" borderId="0" xfId="1" applyNumberFormat="1" applyFont="1" applyFill="1" applyAlignment="1">
      <alignment horizontal="center"/>
    </xf>
    <xf numFmtId="0" fontId="11" fillId="2" borderId="0" xfId="0" applyFont="1" applyFill="1" applyAlignment="1">
      <alignment horizontal="center"/>
    </xf>
    <xf numFmtId="0" fontId="7" fillId="2" borderId="0" xfId="0" applyFont="1" applyFill="1" applyAlignment="1">
      <alignment horizontal="center"/>
    </xf>
    <xf numFmtId="166" fontId="9" fillId="2" borderId="0" xfId="1" applyNumberFormat="1" applyFont="1" applyFill="1" applyAlignment="1">
      <alignment horizontal="center"/>
    </xf>
    <xf numFmtId="43" fontId="9" fillId="2" borderId="0" xfId="1" applyFont="1" applyFill="1" applyAlignment="1">
      <alignment horizontal="center"/>
    </xf>
    <xf numFmtId="43" fontId="11" fillId="2" borderId="0" xfId="1" applyFont="1" applyFill="1" applyAlignment="1">
      <alignment horizontal="center"/>
    </xf>
    <xf numFmtId="169" fontId="9" fillId="2" borderId="0" xfId="1" applyNumberFormat="1" applyFont="1" applyFill="1" applyAlignment="1">
      <alignment horizontal="center"/>
    </xf>
    <xf numFmtId="167" fontId="9" fillId="2" borderId="0" xfId="0" applyNumberFormat="1" applyFont="1" applyFill="1" applyAlignment="1">
      <alignment horizontal="center"/>
    </xf>
    <xf numFmtId="167" fontId="7" fillId="2" borderId="0" xfId="0" applyNumberFormat="1" applyFont="1" applyFill="1" applyAlignment="1">
      <alignment horizontal="center"/>
    </xf>
    <xf numFmtId="165" fontId="9" fillId="2" borderId="0" xfId="2" applyNumberFormat="1" applyFont="1" applyFill="1" applyAlignment="1">
      <alignment horizontal="center"/>
    </xf>
    <xf numFmtId="166" fontId="11" fillId="2" borderId="0" xfId="1" applyNumberFormat="1" applyFont="1" applyFill="1" applyAlignment="1">
      <alignment horizontal="center"/>
    </xf>
    <xf numFmtId="1" fontId="9" fillId="2" borderId="0" xfId="1" applyNumberFormat="1" applyFont="1" applyFill="1" applyAlignment="1">
      <alignment horizontal="center"/>
    </xf>
    <xf numFmtId="166" fontId="7" fillId="2" borderId="0" xfId="1" applyNumberFormat="1" applyFont="1" applyFill="1" applyAlignment="1">
      <alignment horizontal="center"/>
    </xf>
    <xf numFmtId="164" fontId="0" fillId="0" borderId="0" xfId="1" applyNumberFormat="1" applyFont="1" applyFill="1" applyAlignment="1">
      <alignment horizontal="center"/>
    </xf>
    <xf numFmtId="44" fontId="9" fillId="2" borderId="0" xfId="2" applyFont="1" applyFill="1" applyAlignment="1">
      <alignment horizontal="center"/>
    </xf>
    <xf numFmtId="44" fontId="11" fillId="2" borderId="0" xfId="2" applyFont="1" applyFill="1" applyAlignment="1">
      <alignment horizontal="center"/>
    </xf>
    <xf numFmtId="44" fontId="7" fillId="2" borderId="0" xfId="2" applyFont="1" applyFill="1" applyAlignment="1">
      <alignment horizontal="center"/>
    </xf>
    <xf numFmtId="170" fontId="0" fillId="0" borderId="0" xfId="3" applyNumberFormat="1" applyFont="1" applyFill="1" applyAlignment="1">
      <alignment horizontal="center"/>
    </xf>
    <xf numFmtId="0" fontId="1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6" xfId="0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43" fontId="0" fillId="0" borderId="0" xfId="1" applyFont="1" applyAlignment="1">
      <alignment horizontal="center"/>
    </xf>
    <xf numFmtId="43" fontId="1" fillId="0" borderId="3" xfId="1" quotePrefix="1" applyFont="1" applyBorder="1" applyAlignment="1">
      <alignment horizontal="center"/>
    </xf>
    <xf numFmtId="0" fontId="1" fillId="0" borderId="3" xfId="1" quotePrefix="1" applyNumberFormat="1" applyFont="1" applyBorder="1" applyAlignment="1">
      <alignment horizontal="center"/>
    </xf>
    <xf numFmtId="0" fontId="12" fillId="0" borderId="3" xfId="0" applyFont="1" applyBorder="1"/>
    <xf numFmtId="43" fontId="9" fillId="0" borderId="3" xfId="1" applyFont="1" applyBorder="1" applyAlignment="1">
      <alignment horizontal="center"/>
    </xf>
    <xf numFmtId="0" fontId="9" fillId="0" borderId="11" xfId="1" applyNumberFormat="1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9" fillId="0" borderId="4" xfId="0" applyFont="1" applyBorder="1" applyAlignment="1">
      <alignment horizontal="center"/>
    </xf>
    <xf numFmtId="0" fontId="12" fillId="0" borderId="1" xfId="0" applyFont="1" applyBorder="1"/>
    <xf numFmtId="43" fontId="9" fillId="0" borderId="1" xfId="1" applyFont="1" applyBorder="1" applyAlignment="1">
      <alignment horizontal="center"/>
    </xf>
    <xf numFmtId="0" fontId="9" fillId="0" borderId="10" xfId="1" applyNumberFormat="1" applyFont="1" applyBorder="1" applyAlignment="1">
      <alignment horizontal="center"/>
    </xf>
    <xf numFmtId="0" fontId="9" fillId="0" borderId="3" xfId="1" quotePrefix="1" applyNumberFormat="1" applyFont="1" applyBorder="1" applyAlignment="1">
      <alignment horizontal="center"/>
    </xf>
    <xf numFmtId="0" fontId="9" fillId="3" borderId="3" xfId="0" applyFont="1" applyFill="1" applyBorder="1" applyAlignment="1">
      <alignment horizontal="center"/>
    </xf>
    <xf numFmtId="0" fontId="14" fillId="3" borderId="3" xfId="0" applyFont="1" applyFill="1" applyBorder="1" applyAlignment="1">
      <alignment horizontal="center"/>
    </xf>
    <xf numFmtId="0" fontId="15" fillId="0" borderId="0" xfId="0" applyFont="1" applyAlignment="1">
      <alignment horizontal="center"/>
    </xf>
    <xf numFmtId="43" fontId="15" fillId="0" borderId="3" xfId="1" applyFont="1" applyBorder="1" applyAlignment="1">
      <alignment horizontal="center"/>
    </xf>
    <xf numFmtId="0" fontId="15" fillId="0" borderId="3" xfId="1" quotePrefix="1" applyNumberFormat="1" applyFont="1" applyBorder="1" applyAlignment="1">
      <alignment horizontal="center"/>
    </xf>
    <xf numFmtId="0" fontId="16" fillId="3" borderId="3" xfId="0" applyFont="1" applyFill="1" applyBorder="1" applyAlignment="1">
      <alignment horizontal="center"/>
    </xf>
    <xf numFmtId="0" fontId="15" fillId="0" borderId="3" xfId="0" applyFont="1" applyBorder="1" applyAlignment="1">
      <alignment horizontal="center"/>
    </xf>
    <xf numFmtId="0" fontId="15" fillId="0" borderId="4" xfId="0" applyFont="1" applyBorder="1" applyAlignment="1">
      <alignment horizontal="center"/>
    </xf>
    <xf numFmtId="0" fontId="15" fillId="0" borderId="3" xfId="0" applyFont="1" applyBorder="1"/>
    <xf numFmtId="0" fontId="14" fillId="3" borderId="7" xfId="0" applyFont="1" applyFill="1" applyBorder="1" applyAlignment="1">
      <alignment horizontal="center"/>
    </xf>
    <xf numFmtId="0" fontId="17" fillId="0" borderId="3" xfId="0" applyFont="1" applyBorder="1"/>
    <xf numFmtId="0" fontId="18" fillId="0" borderId="3" xfId="0" applyFont="1" applyBorder="1"/>
    <xf numFmtId="43" fontId="15" fillId="0" borderId="0" xfId="1" applyFont="1" applyFill="1" applyAlignment="1">
      <alignment horizontal="center"/>
    </xf>
    <xf numFmtId="0" fontId="19" fillId="0" borderId="0" xfId="0" applyFont="1" applyAlignment="1">
      <alignment horizontal="center"/>
    </xf>
    <xf numFmtId="44" fontId="15" fillId="0" borderId="0" xfId="2" applyFont="1" applyFill="1" applyAlignment="1">
      <alignment horizontal="center"/>
    </xf>
    <xf numFmtId="0" fontId="15" fillId="2" borderId="0" xfId="0" applyFont="1" applyFill="1" applyAlignment="1">
      <alignment horizontal="center"/>
    </xf>
    <xf numFmtId="44" fontId="15" fillId="2" borderId="0" xfId="2" applyFont="1" applyFill="1" applyAlignment="1">
      <alignment horizontal="center"/>
    </xf>
    <xf numFmtId="166" fontId="15" fillId="0" borderId="0" xfId="1" applyNumberFormat="1" applyFont="1" applyFill="1" applyAlignment="1">
      <alignment horizontal="center"/>
    </xf>
    <xf numFmtId="164" fontId="15" fillId="0" borderId="0" xfId="1" applyNumberFormat="1" applyFont="1" applyFill="1" applyAlignment="1">
      <alignment horizontal="center"/>
    </xf>
    <xf numFmtId="0" fontId="15" fillId="0" borderId="0" xfId="0" applyFont="1"/>
    <xf numFmtId="0" fontId="5" fillId="0" borderId="3" xfId="0" applyFont="1" applyBorder="1"/>
    <xf numFmtId="0" fontId="9" fillId="3" borderId="3" xfId="0" applyFont="1" applyFill="1" applyBorder="1"/>
    <xf numFmtId="0" fontId="13" fillId="0" borderId="0" xfId="0" applyFont="1" applyAlignment="1">
      <alignment horizontal="center"/>
    </xf>
    <xf numFmtId="43" fontId="2" fillId="0" borderId="10" xfId="1" applyFont="1" applyBorder="1" applyAlignment="1">
      <alignment horizontal="center"/>
    </xf>
    <xf numFmtId="0" fontId="13" fillId="0" borderId="3" xfId="0" applyFont="1" applyBorder="1" applyAlignment="1">
      <alignment horizontal="center"/>
    </xf>
    <xf numFmtId="0" fontId="9" fillId="3" borderId="8" xfId="0" applyFont="1" applyFill="1" applyBorder="1" applyAlignment="1">
      <alignment horizontal="center"/>
    </xf>
    <xf numFmtId="0" fontId="9" fillId="3" borderId="7" xfId="0" applyFont="1" applyFill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14" fillId="0" borderId="8" xfId="0" applyFont="1" applyBorder="1" applyAlignment="1">
      <alignment horizontal="center"/>
    </xf>
    <xf numFmtId="0" fontId="14" fillId="0" borderId="3" xfId="0" applyFont="1" applyBorder="1" applyAlignment="1">
      <alignment horizontal="center"/>
    </xf>
    <xf numFmtId="0" fontId="14" fillId="0" borderId="3" xfId="0" applyFont="1" applyBorder="1"/>
    <xf numFmtId="0" fontId="6" fillId="0" borderId="12" xfId="0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14" fillId="3" borderId="0" xfId="0" applyFont="1" applyFill="1" applyAlignment="1">
      <alignment horizontal="center"/>
    </xf>
    <xf numFmtId="0" fontId="9" fillId="3" borderId="0" xfId="0" applyFont="1" applyFill="1" applyAlignment="1">
      <alignment horizontal="center"/>
    </xf>
    <xf numFmtId="0" fontId="14" fillId="0" borderId="0" xfId="0" applyFont="1" applyAlignment="1">
      <alignment horizontal="center"/>
    </xf>
    <xf numFmtId="0" fontId="16" fillId="3" borderId="0" xfId="0" applyFont="1" applyFill="1" applyAlignment="1">
      <alignment horizontal="center"/>
    </xf>
    <xf numFmtId="0" fontId="12" fillId="0" borderId="5" xfId="0" applyFont="1" applyBorder="1"/>
    <xf numFmtId="43" fontId="9" fillId="0" borderId="5" xfId="1" applyFont="1" applyBorder="1" applyAlignment="1">
      <alignment horizontal="center"/>
    </xf>
    <xf numFmtId="0" fontId="9" fillId="0" borderId="12" xfId="1" applyNumberFormat="1" applyFont="1" applyBorder="1" applyAlignment="1">
      <alignment horizontal="center"/>
    </xf>
    <xf numFmtId="10" fontId="0" fillId="2" borderId="0" xfId="2" applyNumberFormat="1" applyFont="1" applyFill="1" applyAlignment="1">
      <alignment horizontal="center"/>
    </xf>
    <xf numFmtId="170" fontId="0" fillId="0" borderId="0" xfId="2" applyNumberFormat="1" applyFont="1" applyFill="1" applyAlignment="1">
      <alignment horizontal="center"/>
    </xf>
    <xf numFmtId="164" fontId="0" fillId="2" borderId="0" xfId="1" applyNumberFormat="1" applyFont="1" applyFill="1" applyAlignment="1">
      <alignment horizontal="center"/>
    </xf>
    <xf numFmtId="0" fontId="9" fillId="0" borderId="0" xfId="1" applyNumberFormat="1" applyFont="1" applyFill="1" applyAlignment="1">
      <alignment horizontal="center"/>
    </xf>
    <xf numFmtId="43" fontId="20" fillId="0" borderId="0" xfId="1" applyFont="1" applyFill="1" applyAlignment="1">
      <alignment horizontal="center"/>
    </xf>
    <xf numFmtId="0" fontId="20" fillId="0" borderId="0" xfId="0" applyFont="1" applyAlignment="1">
      <alignment horizontal="center"/>
    </xf>
    <xf numFmtId="166" fontId="20" fillId="0" borderId="0" xfId="1" applyNumberFormat="1" applyFont="1" applyFill="1" applyAlignment="1">
      <alignment horizontal="center"/>
    </xf>
    <xf numFmtId="44" fontId="20" fillId="0" borderId="0" xfId="2" applyFont="1" applyFill="1" applyAlignment="1">
      <alignment horizontal="center"/>
    </xf>
    <xf numFmtId="164" fontId="20" fillId="0" borderId="0" xfId="1" applyNumberFormat="1" applyFont="1" applyFill="1" applyAlignment="1">
      <alignment horizontal="center"/>
    </xf>
    <xf numFmtId="164" fontId="20" fillId="0" borderId="0" xfId="0" applyNumberFormat="1" applyFont="1" applyAlignment="1">
      <alignment horizontal="center"/>
    </xf>
    <xf numFmtId="0" fontId="0" fillId="0" borderId="0" xfId="0" applyAlignment="1">
      <alignment horizontal="center" wrapText="1"/>
    </xf>
    <xf numFmtId="0" fontId="20" fillId="0" borderId="0" xfId="0" applyFont="1" applyAlignment="1">
      <alignment horizontal="center" wrapText="1"/>
    </xf>
    <xf numFmtId="43" fontId="21" fillId="0" borderId="0" xfId="1" applyFont="1" applyFill="1" applyAlignment="1">
      <alignment horizontal="center"/>
    </xf>
    <xf numFmtId="0" fontId="21" fillId="0" borderId="0" xfId="0" applyFont="1" applyAlignment="1">
      <alignment horizontal="center"/>
    </xf>
    <xf numFmtId="0" fontId="21" fillId="0" borderId="0" xfId="1" applyNumberFormat="1" applyFont="1" applyFill="1" applyAlignment="1">
      <alignment horizontal="center"/>
    </xf>
    <xf numFmtId="166" fontId="21" fillId="0" borderId="0" xfId="1" applyNumberFormat="1" applyFont="1" applyFill="1" applyAlignment="1">
      <alignment horizontal="center"/>
    </xf>
    <xf numFmtId="165" fontId="21" fillId="0" borderId="0" xfId="2" applyNumberFormat="1" applyFont="1" applyFill="1" applyAlignment="1">
      <alignment horizontal="center"/>
    </xf>
    <xf numFmtId="164" fontId="21" fillId="0" borderId="0" xfId="1" applyNumberFormat="1" applyFont="1" applyFill="1" applyAlignment="1">
      <alignment horizontal="center"/>
    </xf>
    <xf numFmtId="0" fontId="21" fillId="0" borderId="0" xfId="1" applyNumberFormat="1" applyFont="1" applyAlignment="1">
      <alignment horizontal="center"/>
    </xf>
    <xf numFmtId="0" fontId="22" fillId="0" borderId="0" xfId="0" applyFont="1"/>
    <xf numFmtId="0" fontId="22" fillId="0" borderId="0" xfId="0" applyFont="1" applyAlignment="1">
      <alignment horizontal="left"/>
    </xf>
    <xf numFmtId="0" fontId="23" fillId="0" borderId="0" xfId="0" applyFont="1" applyAlignment="1">
      <alignment horizontal="left"/>
    </xf>
    <xf numFmtId="0" fontId="22" fillId="0" borderId="0" xfId="0" applyFont="1" applyAlignment="1">
      <alignment horizontal="center"/>
    </xf>
    <xf numFmtId="1" fontId="23" fillId="0" borderId="0" xfId="0" applyNumberFormat="1" applyFont="1" applyAlignment="1">
      <alignment horizontal="center"/>
    </xf>
    <xf numFmtId="0" fontId="24" fillId="0" borderId="0" xfId="0" applyFont="1"/>
    <xf numFmtId="0" fontId="23" fillId="0" borderId="0" xfId="0" applyFont="1"/>
    <xf numFmtId="10" fontId="0" fillId="0" borderId="0" xfId="3" applyNumberFormat="1" applyFont="1" applyBorder="1" applyAlignment="1">
      <alignment horizontal="center"/>
    </xf>
    <xf numFmtId="166" fontId="0" fillId="0" borderId="0" xfId="1" applyNumberFormat="1" applyFont="1"/>
    <xf numFmtId="10" fontId="0" fillId="0" borderId="0" xfId="3" applyNumberFormat="1" applyFont="1" applyBorder="1"/>
    <xf numFmtId="10" fontId="9" fillId="0" borderId="0" xfId="3" applyNumberFormat="1" applyFont="1" applyFill="1" applyBorder="1"/>
    <xf numFmtId="14" fontId="0" fillId="0" borderId="0" xfId="2" applyNumberFormat="1" applyFont="1"/>
    <xf numFmtId="172" fontId="0" fillId="0" borderId="0" xfId="2" applyNumberFormat="1" applyFont="1"/>
    <xf numFmtId="14" fontId="0" fillId="0" borderId="0" xfId="0" applyNumberFormat="1"/>
    <xf numFmtId="0" fontId="26" fillId="0" borderId="0" xfId="0" applyFont="1" applyAlignment="1">
      <alignment horizontal="left"/>
    </xf>
    <xf numFmtId="0" fontId="27" fillId="0" borderId="0" xfId="0" applyFont="1" applyAlignment="1">
      <alignment horizontal="left"/>
    </xf>
    <xf numFmtId="0" fontId="23" fillId="0" borderId="0" xfId="0" applyFont="1" applyAlignment="1">
      <alignment horizontal="center"/>
    </xf>
    <xf numFmtId="170" fontId="23" fillId="0" borderId="0" xfId="3" applyNumberFormat="1" applyFont="1" applyFill="1" applyBorder="1" applyAlignment="1">
      <alignment horizontal="center"/>
    </xf>
    <xf numFmtId="0" fontId="25" fillId="4" borderId="10" xfId="0" applyFont="1" applyFill="1" applyBorder="1"/>
    <xf numFmtId="0" fontId="25" fillId="4" borderId="12" xfId="0" applyFont="1" applyFill="1" applyBorder="1"/>
    <xf numFmtId="171" fontId="22" fillId="0" borderId="13" xfId="0" applyNumberFormat="1" applyFont="1" applyBorder="1" applyAlignment="1">
      <alignment horizontal="center"/>
    </xf>
    <xf numFmtId="0" fontId="2" fillId="0" borderId="0" xfId="0" applyFont="1"/>
    <xf numFmtId="0" fontId="15" fillId="0" borderId="0" xfId="0" applyFont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10" fontId="6" fillId="0" borderId="0" xfId="0" applyNumberFormat="1" applyFont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28" fillId="0" borderId="0" xfId="0" applyFont="1"/>
    <xf numFmtId="10" fontId="6" fillId="0" borderId="0" xfId="3" applyNumberFormat="1" applyFont="1" applyBorder="1"/>
    <xf numFmtId="0" fontId="0" fillId="0" borderId="8" xfId="0" applyBorder="1"/>
    <xf numFmtId="0" fontId="0" fillId="0" borderId="2" xfId="0" applyBorder="1"/>
    <xf numFmtId="0" fontId="0" fillId="0" borderId="4" xfId="0" applyBorder="1"/>
    <xf numFmtId="0" fontId="0" fillId="0" borderId="7" xfId="0" applyBorder="1"/>
    <xf numFmtId="0" fontId="0" fillId="0" borderId="6" xfId="0" applyBorder="1"/>
    <xf numFmtId="0" fontId="6" fillId="0" borderId="1" xfId="0" applyFont="1" applyBorder="1"/>
    <xf numFmtId="0" fontId="6" fillId="0" borderId="3" xfId="0" applyFont="1" applyBorder="1"/>
    <xf numFmtId="0" fontId="6" fillId="0" borderId="5" xfId="0" applyFont="1" applyBorder="1"/>
    <xf numFmtId="0" fontId="2" fillId="0" borderId="1" xfId="0" applyFont="1" applyBorder="1"/>
    <xf numFmtId="10" fontId="0" fillId="0" borderId="0" xfId="3" applyNumberFormat="1" applyFont="1"/>
    <xf numFmtId="0" fontId="15" fillId="5" borderId="14" xfId="0" applyFont="1" applyFill="1" applyBorder="1"/>
    <xf numFmtId="0" fontId="28" fillId="5" borderId="9" xfId="0" applyFont="1" applyFill="1" applyBorder="1"/>
    <xf numFmtId="10" fontId="19" fillId="5" borderId="9" xfId="3" applyNumberFormat="1" applyFont="1" applyFill="1" applyBorder="1"/>
    <xf numFmtId="10" fontId="15" fillId="5" borderId="9" xfId="3" applyNumberFormat="1" applyFont="1" applyFill="1" applyBorder="1"/>
    <xf numFmtId="10" fontId="5" fillId="0" borderId="0" xfId="3" applyNumberFormat="1" applyFont="1" applyFill="1" applyBorder="1"/>
    <xf numFmtId="173" fontId="0" fillId="0" borderId="0" xfId="2" applyNumberFormat="1" applyFont="1" applyBorder="1"/>
    <xf numFmtId="166" fontId="6" fillId="0" borderId="0" xfId="1" applyNumberFormat="1" applyFont="1" applyAlignment="1">
      <alignment horizontal="center" vertical="center" wrapText="1"/>
    </xf>
    <xf numFmtId="0" fontId="15" fillId="5" borderId="14" xfId="0" applyFont="1" applyFill="1" applyBorder="1" applyAlignment="1">
      <alignment vertical="center" wrapText="1"/>
    </xf>
    <xf numFmtId="0" fontId="28" fillId="5" borderId="9" xfId="0" applyFont="1" applyFill="1" applyBorder="1" applyAlignment="1">
      <alignment vertical="center" wrapText="1"/>
    </xf>
    <xf numFmtId="3" fontId="15" fillId="5" borderId="9" xfId="0" applyNumberFormat="1" applyFont="1" applyFill="1" applyBorder="1" applyAlignment="1">
      <alignment vertical="center" wrapText="1"/>
    </xf>
    <xf numFmtId="166" fontId="0" fillId="0" borderId="0" xfId="1" applyNumberFormat="1" applyFont="1" applyAlignment="1">
      <alignment vertical="center" wrapText="1"/>
    </xf>
    <xf numFmtId="10" fontId="9" fillId="0" borderId="0" xfId="3" applyNumberFormat="1" applyFont="1" applyFill="1" applyAlignment="1">
      <alignment vertical="center" wrapText="1"/>
    </xf>
    <xf numFmtId="173" fontId="0" fillId="0" borderId="0" xfId="2" applyNumberFormat="1" applyFont="1" applyAlignment="1">
      <alignment vertical="center" wrapText="1"/>
    </xf>
    <xf numFmtId="173" fontId="0" fillId="0" borderId="0" xfId="2" applyNumberFormat="1" applyFont="1"/>
    <xf numFmtId="43" fontId="29" fillId="0" borderId="0" xfId="1" applyFont="1" applyFill="1" applyAlignment="1">
      <alignment horizontal="center"/>
    </xf>
    <xf numFmtId="0" fontId="29" fillId="0" borderId="0" xfId="0" applyFont="1" applyAlignment="1">
      <alignment horizontal="center" vertical="center" wrapText="1"/>
    </xf>
    <xf numFmtId="0" fontId="29" fillId="0" borderId="0" xfId="0" applyFont="1" applyAlignment="1">
      <alignment horizontal="center"/>
    </xf>
    <xf numFmtId="0" fontId="29" fillId="0" borderId="0" xfId="1" applyNumberFormat="1" applyFont="1" applyFill="1" applyAlignment="1">
      <alignment horizontal="center"/>
    </xf>
    <xf numFmtId="166" fontId="29" fillId="0" borderId="0" xfId="1" applyNumberFormat="1" applyFont="1" applyFill="1" applyAlignment="1">
      <alignment horizontal="center"/>
    </xf>
    <xf numFmtId="165" fontId="29" fillId="0" borderId="0" xfId="2" applyNumberFormat="1" applyFont="1" applyFill="1" applyAlignment="1">
      <alignment horizontal="center"/>
    </xf>
    <xf numFmtId="164" fontId="29" fillId="0" borderId="0" xfId="1" applyNumberFormat="1" applyFont="1" applyFill="1" applyAlignment="1">
      <alignment horizontal="center"/>
    </xf>
    <xf numFmtId="43" fontId="30" fillId="0" borderId="0" xfId="1" applyFont="1" applyFill="1" applyAlignment="1">
      <alignment horizontal="center"/>
    </xf>
    <xf numFmtId="0" fontId="30" fillId="0" borderId="0" xfId="0" applyFont="1" applyAlignment="1">
      <alignment horizontal="center"/>
    </xf>
    <xf numFmtId="0" fontId="30" fillId="0" borderId="0" xfId="1" applyNumberFormat="1" applyFont="1" applyFill="1" applyAlignment="1">
      <alignment horizontal="center"/>
    </xf>
    <xf numFmtId="0" fontId="30" fillId="0" borderId="0" xfId="1" applyNumberFormat="1" applyFont="1" applyAlignment="1">
      <alignment horizontal="center"/>
    </xf>
    <xf numFmtId="166" fontId="30" fillId="0" borderId="0" xfId="1" applyNumberFormat="1" applyFont="1" applyFill="1" applyAlignment="1">
      <alignment horizontal="center"/>
    </xf>
    <xf numFmtId="165" fontId="30" fillId="0" borderId="0" xfId="2" applyNumberFormat="1" applyFont="1" applyFill="1" applyAlignment="1">
      <alignment horizontal="center"/>
    </xf>
    <xf numFmtId="164" fontId="30" fillId="0" borderId="0" xfId="1" applyNumberFormat="1" applyFont="1" applyFill="1" applyAlignment="1">
      <alignment horizontal="center"/>
    </xf>
    <xf numFmtId="14" fontId="0" fillId="0" borderId="0" xfId="3" applyNumberFormat="1" applyFont="1" applyBorder="1" applyAlignment="1">
      <alignment horizontal="center"/>
    </xf>
    <xf numFmtId="14" fontId="0" fillId="0" borderId="0" xfId="3" quotePrefix="1" applyNumberFormat="1" applyFont="1" applyBorder="1" applyAlignment="1">
      <alignment horizontal="center"/>
    </xf>
    <xf numFmtId="8" fontId="6" fillId="0" borderId="0" xfId="0" applyNumberFormat="1" applyFont="1"/>
    <xf numFmtId="8" fontId="0" fillId="0" borderId="0" xfId="0" applyNumberFormat="1"/>
    <xf numFmtId="44" fontId="0" fillId="0" borderId="0" xfId="2" applyFont="1" applyBorder="1" applyAlignment="1">
      <alignment horizontal="center"/>
    </xf>
    <xf numFmtId="44" fontId="1" fillId="0" borderId="0" xfId="2" applyFont="1" applyBorder="1" applyAlignment="1">
      <alignment horizontal="center"/>
    </xf>
    <xf numFmtId="173" fontId="0" fillId="0" borderId="0" xfId="3" applyNumberFormat="1" applyFont="1" applyBorder="1" applyAlignment="1">
      <alignment horizontal="center"/>
    </xf>
    <xf numFmtId="173" fontId="0" fillId="0" borderId="0" xfId="3" applyNumberFormat="1" applyFont="1" applyBorder="1"/>
    <xf numFmtId="173" fontId="1" fillId="0" borderId="0" xfId="2" applyNumberFormat="1" applyFont="1"/>
    <xf numFmtId="173" fontId="1" fillId="0" borderId="0" xfId="2" applyNumberFormat="1" applyFont="1" applyBorder="1"/>
    <xf numFmtId="173" fontId="0" fillId="0" borderId="0" xfId="3" applyNumberFormat="1" applyFont="1"/>
    <xf numFmtId="172" fontId="0" fillId="0" borderId="0" xfId="3" applyNumberFormat="1" applyFont="1" applyBorder="1" applyAlignment="1">
      <alignment horizontal="center"/>
    </xf>
    <xf numFmtId="172" fontId="0" fillId="0" borderId="0" xfId="2" applyNumberFormat="1" applyFont="1" applyBorder="1"/>
    <xf numFmtId="172" fontId="15" fillId="5" borderId="15" xfId="0" applyNumberFormat="1" applyFont="1" applyFill="1" applyBorder="1"/>
    <xf numFmtId="172" fontId="0" fillId="0" borderId="0" xfId="0" applyNumberFormat="1"/>
    <xf numFmtId="172" fontId="1" fillId="0" borderId="0" xfId="2" applyNumberFormat="1" applyFont="1" applyBorder="1" applyAlignment="1">
      <alignment horizontal="center"/>
    </xf>
    <xf numFmtId="172" fontId="0" fillId="0" borderId="0" xfId="2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2" xfId="0" applyFont="1" applyBorder="1" applyAlignment="1">
      <alignment horizontal="center"/>
    </xf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9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 tint="0.499984740745262"/>
      </font>
    </dxf>
    <dxf>
      <font>
        <color theme="1" tint="0.499984740745262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72" formatCode="_(&quot;$&quot;* #,##0.000000_);_(&quot;$&quot;* \(#,##0.0000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9" formatCode="m/d/yyyy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73" formatCode="_(&quot;$&quot;* #,##0.00000_);_(&quot;$&quot;* \(#,##0.00000\);_(&quot;$&quot;* &quot;-&quot;??_);_(@_)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9" formatCode="m/d/yyyy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73" formatCode="_(&quot;$&quot;* #,##0.00000_);_(&quot;$&quot;* \(#,##0.00000\);_(&quot;$&quot;* &quot;-&quot;??_);_(@_)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9" formatCode="m/d/yyyy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73" formatCode="_(&quot;$&quot;* #,##0.00000_);_(&quot;$&quot;* \(#,##0.00000\);_(&quot;$&quot;* &quot;-&quot;??_);_(@_)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9" formatCode="m/d/yyyy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73" formatCode="_(&quot;$&quot;* #,##0.00000_);_(&quot;$&quot;* \(#,##0.00000\);_(&quot;$&quot;* &quot;-&quot;??_);_(@_)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9" formatCode="m/d/yyyy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73" formatCode="_(&quot;$&quot;* #,##0.00000_);_(&quot;$&quot;* \(#,##0.00000\);_(&quot;$&quot;* &quot;-&quot;??_);_(@_)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9" formatCode="m/d/yyyy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73" formatCode="_(&quot;$&quot;* #,##0.00000_);_(&quot;$&quot;* \(#,##0.00000\);_(&quot;$&quot;* &quot;-&quot;??_);_(@_)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9" formatCode="m/d/yyyy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73" formatCode="_(&quot;$&quot;* #,##0.00000_);_(&quot;$&quot;* \(#,##0.000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9" formatCode="m/d/yyyy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73" formatCode="_(&quot;$&quot;* #,##0.00000_);_(&quot;$&quot;* \(#,##0.00000\);_(&quot;$&quot;* &quot;-&quot;??_);_(@_)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9" formatCode="m/d/yyyy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73" formatCode="_(&quot;$&quot;* #,##0.00000_);_(&quot;$&quot;* \(#,##0.00000\);_(&quot;$&quot;* &quot;-&quot;??_);_(@_)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9" formatCode="m/d/yyyy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73" formatCode="_(&quot;$&quot;* #,##0.00000_);_(&quot;$&quot;* \(#,##0.00000\);_(&quot;$&quot;* &quot;-&quot;??_);_(@_)"/>
      <alignment horizontal="general" vertical="center" textRotation="0" wrapText="1" indent="0" justifyLastLine="0" shrinkToFit="0" readingOrder="0"/>
    </dxf>
    <dxf>
      <numFmt numFmtId="166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14" formatCode="0.00%"/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_(* #,##0_);_(* \(#,##0\);_(* &quot;-&quot;??_);_(@_)"/>
      <alignment horizontal="general" vertical="center" textRotation="0" wrapText="1" indent="0" justifyLastLine="0" shrinkToFit="0" readingOrder="0"/>
    </dxf>
    <dxf>
      <font>
        <b/>
      </font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>
          <fgColor indexed="64"/>
          <bgColor rgb="FFFFFF00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_(* #,##0_);_(* \(#,##0\);_(* &quot;-&quot;??_);_(@_)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_(* #,##0_);_(* \(#,##0\);_(* &quot;-&quot;??_);_(@_)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_(* #,##0_);_(* \(#,##0\);_(* &quot;-&quot;??_);_(@_)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>
          <fgColor indexed="64"/>
          <bgColor rgb="FFFFFF0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rgb="FFFFFF00"/>
        </patternFill>
      </fill>
      <alignment horizontal="center" vertical="bottom" textRotation="0" wrapText="0" indent="0" justifyLastLine="0" shrinkToFit="0" readingOrder="0"/>
    </dxf>
    <dxf>
      <fill>
        <patternFill>
          <fgColor indexed="64"/>
          <bgColor rgb="FFFFFF00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rgb="FFFFFF0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_(* #,##0_);_(* \(#,##0\);_(* &quot;-&quot;??_);_(@_)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_(* #,##0_);_(* \(#,##0\);_(* &quot;-&quot;??_);_(@_)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_(* #,##0_);_(* \(#,##0\);_(* &quot;-&quot;??_);_(@_)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numFmt numFmtId="166" formatCode="_(* #,##0_);_(* \(#,##0\);_(* &quot;-&quot;??_);_(@_)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_(* #,##0_);_(* \(#,##0\);_(* &quot;-&quot;??_);_(@_)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_(* #,##0_);_(* \(#,##0\);_(* &quot;-&quot;??_);_(@_)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color auto="1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color auto="1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5" tint="-0.499984740745262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_(* #,##0_);_(* \(#,##0\);_(* &quot;-&quot;??_);_(@_)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/>
        <vertAlign val="baseline"/>
        <sz val="11"/>
        <color theme="1"/>
        <name val="Aptos Narrow"/>
        <family val="2"/>
        <scheme val="minor"/>
      </font>
      <numFmt numFmtId="166" formatCode="_(* #,##0_);_(* \(#,##0\);_(* &quot;-&quot;??_);_(@_)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0B1F78D-D1AA-4EF3-9596-7A27A355C060}" name="static_data_table" displayName="static_data_table" ref="A1:O152" totalsRowShown="0" headerRowDxfId="84" dataDxfId="83" headerRowCellStyle="Comma" dataCellStyle="Comma">
  <autoFilter ref="A1:O152" xr:uid="{D0B1F78D-D1AA-4EF3-9596-7A27A355C060}"/>
  <sortState xmlns:xlrd2="http://schemas.microsoft.com/office/spreadsheetml/2017/richdata2" ref="A118:O151">
    <sortCondition ref="B1:B152"/>
  </sortState>
  <tableColumns count="15">
    <tableColumn id="19" xr3:uid="{1221CC04-A25D-42E0-9BD3-B46333797DBE}" name="vpn" dataDxfId="82" dataCellStyle="Comma"/>
    <tableColumn id="10" xr3:uid="{BED55A9A-3E28-4A17-AA02-2381DB89A658}" name="group" dataDxfId="81" dataCellStyle="Comma"/>
    <tableColumn id="12" xr3:uid="{F9B08B7F-16AE-460B-BDFB-B2726D177E92}" name="sector" dataDxfId="80" dataCellStyle="Comma"/>
    <tableColumn id="1" xr3:uid="{8C59AB6B-6EBF-48B8-9D8A-4E9EFB96C425}" name="my_prod_type" dataDxfId="79"/>
    <tableColumn id="18" xr3:uid="{D3CEE51C-FF16-474C-AC93-30CEB3E7D375}" name="my_fi_name" dataDxfId="78" dataCellStyle="Comma"/>
    <tableColumn id="22" xr3:uid="{51F924B8-25BB-4080-AD58-7509A60E27B0}" name="my_pf_name" dataDxfId="77"/>
    <tableColumn id="2" xr3:uid="{A13A7736-F17C-4146-B643-6EF65FC4B25C}" name="pf_locator" dataDxfId="76"/>
    <tableColumn id="4" xr3:uid="{211C7B2F-2849-4B0F-B281-BF0424C5B57F}" name="top_currency" dataDxfId="75" dataCellStyle="Comma"/>
    <tableColumn id="3" xr3:uid="{46C5F41D-D64D-4F76-9E5D-390D6FE03BE6}" name="base_currency" dataDxfId="74" dataCellStyle="Comma"/>
    <tableColumn id="9" xr3:uid="{E2441BE5-ABB7-40CB-848F-02508F05A37C}" name="comm_type" dataDxfId="73" dataCellStyle="Comma"/>
    <tableColumn id="5" xr3:uid="{16FCE019-989B-4467-A8B9-96A8E58B2A2A}" name="comm_maker" dataDxfId="72" dataCellStyle="Currency"/>
    <tableColumn id="6" xr3:uid="{0E805949-D535-4626-85EB-FA3727E7DAF4}" name="comm_taker" dataDxfId="71" dataCellStyle="Currency"/>
    <tableColumn id="7" xr3:uid="{5709324A-7C63-43F4-AF59-F119177A7972}" name="comm_misc" dataDxfId="70" dataCellStyle="Comma"/>
    <tableColumn id="8" xr3:uid="{32E47B88-05FD-48EE-97A0-59BC78476043}" name="comm_update" dataDxfId="69" dataCellStyle="Comma"/>
    <tableColumn id="11" xr3:uid="{B6578BCD-793E-47C9-99CF-D01D02E8D922}" name="mkt_data_stream" dataDxfId="68" dataCellStyle="Comma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8AFBE59F-E145-48B4-A9F0-75F818F296F4}" name="btc_to_do" displayName="btc_to_do" ref="A157:AA210" totalsRowShown="0" headerRowDxfId="67" dataDxfId="66">
  <autoFilter ref="A157:AA210" xr:uid="{8AFBE59F-E145-48B4-A9F0-75F818F296F4}">
    <filterColumn colId="1">
      <filters>
        <filter val="future"/>
      </filters>
    </filterColumn>
  </autoFilter>
  <tableColumns count="27">
    <tableColumn id="1" xr3:uid="{73FD62E2-E8FE-4C00-9C3C-F3122EB55D0D}" name="Column1" dataDxfId="65"/>
    <tableColumn id="2" xr3:uid="{F8F856BF-80BD-4398-8276-448953D1A283}" name="Column2" dataDxfId="64"/>
    <tableColumn id="3" xr3:uid="{859FF76C-0D7F-496C-B885-2DE680F3F916}" name="Column7" dataDxfId="63"/>
    <tableColumn id="4" xr3:uid="{EFE5B159-5688-4C13-A02D-A6C704275E2E}" name="Column4" dataDxfId="62"/>
    <tableColumn id="5" xr3:uid="{69D00D15-DF82-46C9-9945-107A85371A6F}" name="Column5" dataDxfId="61"/>
    <tableColumn id="6" xr3:uid="{F10DE59E-3B92-4DD0-8A04-FAE76E9F8BB9}" name="Column6" dataDxfId="60"/>
    <tableColumn id="8" xr3:uid="{2D949549-0F5C-4A89-B8F7-72304B9A24F1}" name="Column8" dataDxfId="59"/>
    <tableColumn id="9" xr3:uid="{C42826CE-029E-4945-8434-CBC9F4DAA57F}" name="Column9" dataDxfId="58" dataCellStyle="Comma"/>
    <tableColumn id="7" xr3:uid="{F0789B57-A27F-47CD-94AE-4F6B71344DB9}" name="Column92" dataDxfId="57" dataCellStyle="Currency"/>
    <tableColumn id="13" xr3:uid="{84F8B5AD-93FB-4C3E-8E09-FB358E10FC62}" name="Column93" dataDxfId="56" dataCellStyle="Currency"/>
    <tableColumn id="14" xr3:uid="{DA8CB162-5C11-45A4-93E0-E0C45C3ED3D0}" name="Column94" dataDxfId="55" dataCellStyle="Comma"/>
    <tableColumn id="27" xr3:uid="{100A9F62-6915-49BB-B014-4D0BC03BB553}" name="Column95" dataDxfId="54" dataCellStyle="Comma"/>
    <tableColumn id="10" xr3:uid="{5B60D48A-2B91-4E81-AD9D-2709C1335F32}" name="Column10" dataDxfId="53" dataCellStyle="Comma"/>
    <tableColumn id="11" xr3:uid="{E1B16D3B-DEA4-44A7-8DE4-CA3F41D77B2B}" name="Column11" dataDxfId="52" dataCellStyle="Comma"/>
    <tableColumn id="12" xr3:uid="{793817C6-38BE-49BA-A9A6-4F96D87310D9}" name="Column12" dataDxfId="51" dataCellStyle="Comma"/>
    <tableColumn id="15" xr3:uid="{2AFA675A-D2B0-476D-A865-BB72634DC6DA}" name="Column15" dataDxfId="50"/>
    <tableColumn id="16" xr3:uid="{B5249436-7148-4EBF-B8E6-5226AA101320}" name="Column16" dataDxfId="49" dataCellStyle="Currency"/>
    <tableColumn id="17" xr3:uid="{22140E2C-B2EC-4771-8D39-0E8FE9F80B88}" name="Column17" dataDxfId="48"/>
    <tableColumn id="18" xr3:uid="{AC423A03-E794-4524-9C7D-D02B01892118}" name="Column18" dataDxfId="47" dataCellStyle="Comma"/>
    <tableColumn id="19" xr3:uid="{F73A917A-F13B-4BB9-8524-E34E6050878C}" name="Column19" dataDxfId="46" dataCellStyle="Comma"/>
    <tableColumn id="20" xr3:uid="{4A9B484B-EBD7-41D1-8470-161DB87D7FB2}" name="Column20" dataDxfId="45" dataCellStyle="Comma"/>
    <tableColumn id="21" xr3:uid="{D03D1805-69BB-4D67-B61E-961F2E625E81}" name="Column21" dataDxfId="44"/>
    <tableColumn id="22" xr3:uid="{66E8E4D1-FF14-404F-8354-025C93AED5CB}" name="Column22" dataDxfId="43"/>
    <tableColumn id="23" xr3:uid="{9540F131-1C8F-4F4F-8796-92F1AFD57E03}" name="Column23" dataDxfId="42"/>
    <tableColumn id="24" xr3:uid="{B7156378-CEA1-4808-9801-4E93C755FE92}" name="Column24" dataDxfId="41"/>
    <tableColumn id="25" xr3:uid="{6908C233-AA1B-4818-BF8F-36FC13C53D09}" name="Column25" dataDxfId="40"/>
    <tableColumn id="26" xr3:uid="{104781D6-1EEE-4947-A424-3CE3DCADF4CF}" name="Column26" dataDxfId="39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BF31094-215C-402D-8B13-3705F7FDAA90}" name="scalar_inputs_table" displayName="scalar_inputs_table" ref="A1:AA73" totalsRowShown="0">
  <autoFilter ref="A1:AA73" xr:uid="{09E497BC-17A6-470C-8E05-7E807D85C061}">
    <filterColumn colId="0">
      <filters>
        <filter val="fixed income"/>
      </filters>
    </filterColumn>
  </autoFilter>
  <sortState xmlns:xlrd2="http://schemas.microsoft.com/office/spreadsheetml/2017/richdata2" ref="A2:AA41">
    <sortCondition ref="D1:D73"/>
  </sortState>
  <tableColumns count="27">
    <tableColumn id="8" xr3:uid="{8CAFE9A2-351C-491C-8F0E-A191FB5F62F1}" name="group"/>
    <tableColumn id="7" xr3:uid="{05D8AE13-6024-4F28-BE04-4F5644C5B73A}" name="sector"/>
    <tableColumn id="1" xr3:uid="{AFA57C80-2B2F-4727-B322-33373A15C9AE}" name="symbol" dataDxfId="38"/>
    <tableColumn id="18" xr3:uid="{26F4ADAE-9F47-4523-899C-9F45673EC02E}" name="etf family" dataDxfId="37" dataCellStyle="Comma"/>
    <tableColumn id="2" xr3:uid="{8D355E55-9FB0-4524-AED7-63AB9F6D6462}" name="etf fee" dataDxfId="36" dataCellStyle="Percent"/>
    <tableColumn id="10" xr3:uid="{E4D4C04D-8552-411E-A523-CA974B50C63C}" name="90-day avg daily volume" dataDxfId="35" dataCellStyle="Comma"/>
    <tableColumn id="3" xr3:uid="{FCA124B1-94D2-4B56-BB90-0F7311223FEE}" name="div 2026--09" dataDxfId="34" dataCellStyle="Currency"/>
    <tableColumn id="16" xr3:uid="{BFBF1D57-673D-4449-B2FA-6EED3331C484}" name="div 2026-09 ex-date" dataDxfId="33" dataCellStyle="Percent"/>
    <tableColumn id="13" xr3:uid="{F669470C-F245-4562-8E25-5953F248B91F}" name="div 2026-08" dataDxfId="32" dataCellStyle="Currency"/>
    <tableColumn id="23" xr3:uid="{9D2DF049-DA5F-4A77-8D33-ABB58A4438DC}" name="div 2026-08 ex-date" dataDxfId="31" dataCellStyle="Percent"/>
    <tableColumn id="11" xr3:uid="{BBCBF25D-DDD4-4D61-8E1E-077BE62554AC}" name="div 2026-07" dataDxfId="30" dataCellStyle="Currency"/>
    <tableColumn id="22" xr3:uid="{9B510A38-BDAA-4C83-A0BA-CBA8258D1B5A}" name="div 2026-07 ex-date" dataDxfId="29" dataCellStyle="Percent"/>
    <tableColumn id="14" xr3:uid="{D76D35EB-1AB6-4DE5-8C1C-3111406F2F72}" name="div 2026-06" dataDxfId="28" dataCellStyle="Currency"/>
    <tableColumn id="6" xr3:uid="{2101D0BE-AB56-44C4-AFF7-91BBB1013C9C}" name="div 2026-06 ex-date" dataDxfId="27" dataCellStyle="Percent"/>
    <tableColumn id="21" xr3:uid="{82A49A8D-4D68-4D59-B5F9-F90A5262424F}" name="div 2026-05" dataDxfId="26" dataCellStyle="Currency"/>
    <tableColumn id="24" xr3:uid="{2182D668-9AC5-4102-8F80-1187AFD225B7}" name="div 2026-05 ex-date" dataDxfId="25" dataCellStyle="Percent"/>
    <tableColumn id="20" xr3:uid="{852173F6-72F7-4C68-BCA3-F7246A86D135}" name="div 2026-04" dataDxfId="24" dataCellStyle="Currency"/>
    <tableColumn id="25" xr3:uid="{B8A617CB-C02A-4BAC-8397-105FB69C924D}" name="div 2026-04 ex-date" dataDxfId="23" dataCellStyle="Percent"/>
    <tableColumn id="12" xr3:uid="{9BD4CA41-7A1D-40D5-86AC-FF1C5FE693FF}" name="div 2026-03" dataDxfId="22" dataCellStyle="Currency"/>
    <tableColumn id="15" xr3:uid="{EE81E628-1DED-4A9A-B38F-77C889074F27}" name="div 2026-03 ex-date" dataDxfId="21" dataCellStyle="Percent"/>
    <tableColumn id="19" xr3:uid="{3AD8B9FD-8C84-4949-A894-23543B2F48F6}" name="div 2026-02" dataDxfId="20" dataCellStyle="Currency"/>
    <tableColumn id="26" xr3:uid="{B1AEFFE4-8EA5-4C45-A401-AE133D518FD2}" name="div 2026-02 ex-date" dataDxfId="19" dataCellStyle="Percent"/>
    <tableColumn id="17" xr3:uid="{A1681DB9-E7FD-4AAD-BF01-80B2684F4CDF}" name="div 2026-01" dataDxfId="18" dataCellStyle="Currency"/>
    <tableColumn id="27" xr3:uid="{576627EC-6EAC-4067-956A-DF67926726DC}" name="div 2026-01 ex-date" dataDxfId="17" dataCellStyle="Percent"/>
    <tableColumn id="5" xr3:uid="{6C9795AF-4493-4D80-8BB1-FF32A4E90439}" name=" div 2025-12" dataDxfId="16" dataCellStyle="Currency"/>
    <tableColumn id="4" xr3:uid="{D716E943-B958-4884-BE63-A9B80B433F62}" name="div 2025-12 ex-date" dataDxfId="15" dataCellStyle="Percent"/>
    <tableColumn id="9" xr3:uid="{9FCCF7D4-0FBF-4FEE-86E1-9320D1C3E195}" name="comment" dataDxfId="14" dataCellStyle="Currency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7EA60E1-CEC4-43C9-8716-3B5D84C5EEA2}" name="mkt_data_streaming_inputs" displayName="mkt_data_streaming_inputs" ref="A1:D13" totalsRowShown="0" headerRowDxfId="90" dataDxfId="89">
  <autoFilter ref="A1:D13" xr:uid="{D7EA60E1-CEC4-43C9-8716-3B5D84C5EEA2}"/>
  <tableColumns count="4">
    <tableColumn id="1" xr3:uid="{1B4EEA70-C71C-4CEF-9887-9E40B33F8AAC}" name="Keys" dataDxfId="88"/>
    <tableColumn id="2" xr3:uid="{5215E933-000B-4891-AE18-89796F5A216B}" name="Crypto" dataDxfId="87"/>
    <tableColumn id="4" xr3:uid="{A4E0A8E0-4334-4FB9-95BD-3E9FE4AB471E}" name="Stat_Arb_Group" dataDxfId="86"/>
    <tableColumn id="5" xr3:uid="{16DC4587-9A67-4643-BE5B-698CEC2360C4}" name="BTC_ETF" dataDxfId="8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56C7D8-63C4-43F7-A7E4-368987D3CFF8}">
  <sheetPr codeName="Sheet1"/>
  <dimension ref="A2:B24"/>
  <sheetViews>
    <sheetView workbookViewId="0">
      <selection activeCell="O25" sqref="O25"/>
    </sheetView>
  </sheetViews>
  <sheetFormatPr defaultRowHeight="15" x14ac:dyDescent="0.25"/>
  <sheetData>
    <row r="2" spans="1:2" x14ac:dyDescent="0.25">
      <c r="A2" t="s">
        <v>96</v>
      </c>
    </row>
    <row r="4" spans="1:2" x14ac:dyDescent="0.25">
      <c r="A4" t="s">
        <v>97</v>
      </c>
    </row>
    <row r="6" spans="1:2" x14ac:dyDescent="0.25">
      <c r="A6" t="s">
        <v>113</v>
      </c>
    </row>
    <row r="7" spans="1:2" x14ac:dyDescent="0.25">
      <c r="A7" t="s">
        <v>114</v>
      </c>
    </row>
    <row r="9" spans="1:2" x14ac:dyDescent="0.25">
      <c r="A9" t="s">
        <v>112</v>
      </c>
    </row>
    <row r="10" spans="1:2" x14ac:dyDescent="0.25">
      <c r="A10" t="s">
        <v>101</v>
      </c>
    </row>
    <row r="11" spans="1:2" x14ac:dyDescent="0.25">
      <c r="B11" t="s">
        <v>102</v>
      </c>
    </row>
    <row r="12" spans="1:2" x14ac:dyDescent="0.25">
      <c r="B12" t="s">
        <v>104</v>
      </c>
    </row>
    <row r="13" spans="1:2" x14ac:dyDescent="0.25">
      <c r="B13" t="s">
        <v>103</v>
      </c>
    </row>
    <row r="14" spans="1:2" x14ac:dyDescent="0.25">
      <c r="B14" t="s">
        <v>106</v>
      </c>
    </row>
    <row r="15" spans="1:2" x14ac:dyDescent="0.25">
      <c r="B15" t="s">
        <v>105</v>
      </c>
    </row>
    <row r="16" spans="1:2" x14ac:dyDescent="0.25">
      <c r="B16" t="s">
        <v>107</v>
      </c>
    </row>
    <row r="17" spans="1:2" x14ac:dyDescent="0.25">
      <c r="B17" t="s">
        <v>108</v>
      </c>
    </row>
    <row r="18" spans="1:2" x14ac:dyDescent="0.25">
      <c r="B18" t="s">
        <v>109</v>
      </c>
    </row>
    <row r="19" spans="1:2" x14ac:dyDescent="0.25">
      <c r="B19" t="s">
        <v>110</v>
      </c>
    </row>
    <row r="20" spans="1:2" x14ac:dyDescent="0.25">
      <c r="B20" t="s">
        <v>111</v>
      </c>
    </row>
    <row r="22" spans="1:2" x14ac:dyDescent="0.25">
      <c r="A22" t="s">
        <v>98</v>
      </c>
    </row>
    <row r="23" spans="1:2" x14ac:dyDescent="0.25">
      <c r="B23" t="s">
        <v>99</v>
      </c>
    </row>
    <row r="24" spans="1:2" x14ac:dyDescent="0.25">
      <c r="B24" t="s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FAF9B6-FC5E-4FF4-B5FC-4461B285498A}">
  <sheetPr codeName="Sheet4"/>
  <dimension ref="A1:AC210"/>
  <sheetViews>
    <sheetView zoomScaleNormal="100" workbookViewId="0">
      <pane ySplit="1" topLeftCell="A2" activePane="bottomLeft" state="frozen"/>
      <selection pane="bottomLeft"/>
    </sheetView>
  </sheetViews>
  <sheetFormatPr defaultColWidth="8.85546875" defaultRowHeight="15" x14ac:dyDescent="0.25"/>
  <cols>
    <col min="1" max="1" width="15.140625" style="20" bestFit="1" customWidth="1"/>
    <col min="2" max="2" width="13.7109375" style="20" bestFit="1" customWidth="1"/>
    <col min="3" max="3" width="25.140625" style="20" customWidth="1"/>
    <col min="4" max="4" width="16.85546875" style="20" bestFit="1" customWidth="1"/>
    <col min="5" max="6" width="16.42578125" style="20" bestFit="1" customWidth="1"/>
    <col min="7" max="7" width="20.140625" style="2" bestFit="1" customWidth="1"/>
    <col min="8" max="8" width="16.42578125" style="2" bestFit="1" customWidth="1"/>
    <col min="9" max="9" width="19.140625" style="28" bestFit="1" customWidth="1"/>
    <col min="10" max="10" width="18.140625" style="28" bestFit="1" customWidth="1"/>
    <col min="11" max="11" width="17.85546875" style="2" bestFit="1" customWidth="1"/>
    <col min="12" max="12" width="19.85546875" style="2" bestFit="1" customWidth="1"/>
    <col min="13" max="13" width="14.7109375" style="4" bestFit="1" customWidth="1"/>
    <col min="14" max="14" width="23" style="4" bestFit="1" customWidth="1"/>
    <col min="15" max="15" width="23" style="2" bestFit="1" customWidth="1"/>
    <col min="16" max="18" width="14.7109375" style="2" bestFit="1" customWidth="1"/>
    <col min="19" max="19" width="16.140625" style="2" bestFit="1" customWidth="1"/>
    <col min="20" max="20" width="14.7109375" style="28" bestFit="1" customWidth="1"/>
    <col min="21" max="21" width="16.140625" style="2" bestFit="1" customWidth="1"/>
    <col min="22" max="22" width="16.140625" style="3" bestFit="1" customWidth="1"/>
    <col min="23" max="23" width="14.7109375" style="3" bestFit="1" customWidth="1"/>
    <col min="24" max="24" width="16.140625" style="3" bestFit="1" customWidth="1"/>
    <col min="25" max="26" width="14.7109375" style="2" bestFit="1" customWidth="1"/>
    <col min="27" max="27" width="16.140625" style="2" bestFit="1" customWidth="1"/>
    <col min="28" max="16384" width="8.85546875" style="2"/>
  </cols>
  <sheetData>
    <row r="1" spans="1:29" x14ac:dyDescent="0.25">
      <c r="A1" s="6" t="s">
        <v>164</v>
      </c>
      <c r="B1" s="6" t="s">
        <v>400</v>
      </c>
      <c r="C1" s="6" t="s">
        <v>401</v>
      </c>
      <c r="D1" s="1" t="s">
        <v>11</v>
      </c>
      <c r="E1" s="1" t="s">
        <v>154</v>
      </c>
      <c r="F1" s="1" t="s">
        <v>152</v>
      </c>
      <c r="G1" s="13" t="s">
        <v>153</v>
      </c>
      <c r="H1" s="6" t="s">
        <v>155</v>
      </c>
      <c r="I1" s="6" t="s">
        <v>146</v>
      </c>
      <c r="J1" s="1" t="s">
        <v>0</v>
      </c>
      <c r="K1" s="26" t="s">
        <v>1</v>
      </c>
      <c r="L1" s="26" t="s">
        <v>2</v>
      </c>
      <c r="M1" s="6" t="s">
        <v>143</v>
      </c>
      <c r="N1" s="6" t="s">
        <v>10</v>
      </c>
      <c r="O1" s="6" t="s">
        <v>254</v>
      </c>
      <c r="P1" s="6"/>
      <c r="Q1" s="6"/>
      <c r="R1" s="6"/>
      <c r="T1" s="2"/>
      <c r="V1" s="28"/>
      <c r="W1" s="2"/>
      <c r="Y1" s="1"/>
      <c r="Z1" s="6"/>
      <c r="AA1" s="1"/>
      <c r="AB1" s="1"/>
      <c r="AC1" s="1"/>
    </row>
    <row r="2" spans="1:29" x14ac:dyDescent="0.25">
      <c r="A2" s="4" t="b">
        <v>1</v>
      </c>
      <c r="B2" s="4" t="s">
        <v>420</v>
      </c>
      <c r="C2" s="4" t="s">
        <v>18</v>
      </c>
      <c r="D2" s="2" t="s">
        <v>32</v>
      </c>
      <c r="E2" s="2" t="s">
        <v>38</v>
      </c>
      <c r="F2" s="2" t="s">
        <v>172</v>
      </c>
      <c r="G2" s="2" t="s">
        <v>39</v>
      </c>
      <c r="H2" s="28" t="s">
        <v>160</v>
      </c>
      <c r="I2" s="28" t="s">
        <v>160</v>
      </c>
      <c r="J2" s="2" t="s">
        <v>8</v>
      </c>
      <c r="K2" s="126">
        <v>1E-3</v>
      </c>
      <c r="L2" s="126">
        <v>1E-3</v>
      </c>
      <c r="M2" s="3">
        <v>0</v>
      </c>
      <c r="N2" s="54"/>
      <c r="O2" s="3" t="b">
        <v>0</v>
      </c>
      <c r="P2" s="3"/>
      <c r="Q2" s="54"/>
      <c r="R2" s="3"/>
      <c r="T2" s="2"/>
      <c r="V2" s="28"/>
      <c r="W2" s="2"/>
      <c r="Y2" s="3"/>
    </row>
    <row r="3" spans="1:29" x14ac:dyDescent="0.25">
      <c r="A3" s="4" t="b">
        <v>1</v>
      </c>
      <c r="B3" s="4" t="s">
        <v>420</v>
      </c>
      <c r="C3" s="4" t="s">
        <v>18</v>
      </c>
      <c r="D3" s="2" t="s">
        <v>32</v>
      </c>
      <c r="E3" s="2" t="s">
        <v>169</v>
      </c>
      <c r="F3" s="2" t="s">
        <v>172</v>
      </c>
      <c r="G3" s="2" t="s">
        <v>171</v>
      </c>
      <c r="H3" s="28" t="s">
        <v>160</v>
      </c>
      <c r="I3" s="28" t="s">
        <v>160</v>
      </c>
      <c r="J3" s="2" t="s">
        <v>8</v>
      </c>
      <c r="K3" s="126">
        <v>1E-3</v>
      </c>
      <c r="L3" s="126">
        <v>1E-3</v>
      </c>
      <c r="M3" s="3">
        <v>0</v>
      </c>
      <c r="N3" s="54"/>
      <c r="O3" s="3" t="b">
        <v>0</v>
      </c>
      <c r="P3" s="3"/>
      <c r="Q3" s="54"/>
      <c r="R3" s="3"/>
      <c r="T3" s="2"/>
      <c r="V3" s="28"/>
      <c r="W3" s="2"/>
      <c r="Y3" s="3"/>
    </row>
    <row r="4" spans="1:29" x14ac:dyDescent="0.25">
      <c r="A4" s="4" t="b">
        <v>1</v>
      </c>
      <c r="B4" s="4" t="s">
        <v>420</v>
      </c>
      <c r="C4" s="4" t="s">
        <v>18</v>
      </c>
      <c r="D4" s="2" t="s">
        <v>32</v>
      </c>
      <c r="E4" s="2" t="s">
        <v>74</v>
      </c>
      <c r="F4" s="2" t="s">
        <v>172</v>
      </c>
      <c r="G4" s="2" t="s">
        <v>163</v>
      </c>
      <c r="H4" s="28" t="s">
        <v>160</v>
      </c>
      <c r="I4" s="28" t="s">
        <v>160</v>
      </c>
      <c r="J4" s="2" t="s">
        <v>8</v>
      </c>
      <c r="K4" s="126">
        <v>1E-3</v>
      </c>
      <c r="L4" s="126">
        <v>1E-3</v>
      </c>
      <c r="M4" s="3">
        <v>0</v>
      </c>
      <c r="N4" s="54"/>
      <c r="O4" s="3" t="b">
        <v>0</v>
      </c>
      <c r="P4" s="3"/>
      <c r="Q4" s="54"/>
      <c r="R4" s="3"/>
      <c r="T4" s="2"/>
      <c r="V4" s="28"/>
      <c r="W4" s="2"/>
      <c r="Y4" s="3"/>
    </row>
    <row r="5" spans="1:29" x14ac:dyDescent="0.25">
      <c r="A5" s="4" t="b">
        <v>1</v>
      </c>
      <c r="B5" s="4" t="s">
        <v>420</v>
      </c>
      <c r="C5" s="4" t="s">
        <v>18</v>
      </c>
      <c r="D5" s="2" t="s">
        <v>32</v>
      </c>
      <c r="E5" s="2" t="s">
        <v>40</v>
      </c>
      <c r="F5" s="2" t="s">
        <v>172</v>
      </c>
      <c r="G5" s="2" t="s">
        <v>37</v>
      </c>
      <c r="H5" s="28" t="s">
        <v>160</v>
      </c>
      <c r="I5" s="28" t="s">
        <v>160</v>
      </c>
      <c r="J5" s="2" t="s">
        <v>8</v>
      </c>
      <c r="K5" s="126">
        <v>1E-3</v>
      </c>
      <c r="L5" s="126">
        <v>1E-3</v>
      </c>
      <c r="M5" s="3">
        <v>0</v>
      </c>
      <c r="N5" s="54"/>
      <c r="O5" s="3" t="b">
        <v>0</v>
      </c>
      <c r="P5" s="3"/>
      <c r="Q5" s="54"/>
      <c r="R5" s="3"/>
      <c r="T5" s="2"/>
      <c r="V5" s="28"/>
      <c r="W5" s="2"/>
      <c r="Y5" s="3"/>
    </row>
    <row r="6" spans="1:29" x14ac:dyDescent="0.25">
      <c r="A6" s="4" t="b">
        <v>0</v>
      </c>
      <c r="B6" s="4" t="s">
        <v>420</v>
      </c>
      <c r="C6" s="4" t="s">
        <v>18</v>
      </c>
      <c r="D6" s="2" t="s">
        <v>32</v>
      </c>
      <c r="E6" s="2" t="s">
        <v>38</v>
      </c>
      <c r="F6" s="2" t="s">
        <v>195</v>
      </c>
      <c r="G6" s="2" t="s">
        <v>39</v>
      </c>
      <c r="H6" s="28" t="s">
        <v>160</v>
      </c>
      <c r="I6" s="28" t="s">
        <v>160</v>
      </c>
      <c r="J6" s="2" t="s">
        <v>8</v>
      </c>
      <c r="K6" s="126">
        <v>1E-3</v>
      </c>
      <c r="L6" s="126">
        <v>1E-3</v>
      </c>
      <c r="M6" s="3">
        <v>0</v>
      </c>
      <c r="N6" s="54"/>
      <c r="O6" s="3" t="b">
        <v>1</v>
      </c>
      <c r="P6" s="3"/>
      <c r="Q6" s="54"/>
      <c r="R6" s="3"/>
      <c r="T6" s="2"/>
      <c r="V6" s="28"/>
      <c r="W6" s="2"/>
      <c r="Y6" s="3"/>
    </row>
    <row r="7" spans="1:29" x14ac:dyDescent="0.25">
      <c r="A7" s="4" t="b">
        <v>0</v>
      </c>
      <c r="B7" s="4" t="s">
        <v>420</v>
      </c>
      <c r="C7" s="4" t="s">
        <v>18</v>
      </c>
      <c r="D7" s="2" t="s">
        <v>32</v>
      </c>
      <c r="E7" s="2" t="s">
        <v>74</v>
      </c>
      <c r="F7" s="2" t="s">
        <v>195</v>
      </c>
      <c r="G7" s="2" t="s">
        <v>163</v>
      </c>
      <c r="H7" s="28" t="s">
        <v>160</v>
      </c>
      <c r="I7" s="28" t="s">
        <v>160</v>
      </c>
      <c r="J7" s="2" t="s">
        <v>8</v>
      </c>
      <c r="K7" s="126">
        <v>1E-3</v>
      </c>
      <c r="L7" s="126">
        <v>1E-3</v>
      </c>
      <c r="M7" s="3">
        <v>0</v>
      </c>
      <c r="N7" s="54"/>
      <c r="O7" s="3" t="b">
        <v>0</v>
      </c>
      <c r="P7" s="3"/>
      <c r="Q7" s="54"/>
      <c r="R7" s="3"/>
      <c r="T7" s="2"/>
      <c r="V7" s="28"/>
      <c r="W7" s="2"/>
      <c r="Y7" s="3"/>
    </row>
    <row r="8" spans="1:29" x14ac:dyDescent="0.25">
      <c r="A8" s="4" t="b">
        <v>0</v>
      </c>
      <c r="B8" s="4" t="s">
        <v>420</v>
      </c>
      <c r="C8" s="4" t="s">
        <v>18</v>
      </c>
      <c r="D8" s="2" t="s">
        <v>32</v>
      </c>
      <c r="E8" s="2" t="s">
        <v>40</v>
      </c>
      <c r="F8" s="2" t="s">
        <v>195</v>
      </c>
      <c r="G8" s="2" t="s">
        <v>37</v>
      </c>
      <c r="H8" s="28" t="s">
        <v>160</v>
      </c>
      <c r="I8" s="28" t="s">
        <v>160</v>
      </c>
      <c r="J8" s="2" t="s">
        <v>8</v>
      </c>
      <c r="K8" s="126">
        <v>1E-3</v>
      </c>
      <c r="L8" s="126">
        <v>1E-3</v>
      </c>
      <c r="M8" s="3">
        <v>0</v>
      </c>
      <c r="N8" s="54"/>
      <c r="O8" s="3" t="b">
        <v>0</v>
      </c>
      <c r="P8" s="3"/>
      <c r="Q8" s="54"/>
      <c r="R8" s="3"/>
      <c r="T8" s="2"/>
      <c r="V8" s="28"/>
      <c r="W8" s="2"/>
      <c r="Y8" s="3"/>
    </row>
    <row r="9" spans="1:29" x14ac:dyDescent="0.25">
      <c r="A9" s="4" t="b">
        <v>1</v>
      </c>
      <c r="B9" s="4" t="s">
        <v>420</v>
      </c>
      <c r="C9" s="4" t="s">
        <v>18</v>
      </c>
      <c r="D9" s="2" t="s">
        <v>32</v>
      </c>
      <c r="E9" s="2" t="s">
        <v>38</v>
      </c>
      <c r="F9" s="2" t="s">
        <v>30</v>
      </c>
      <c r="G9" s="2" t="s">
        <v>36</v>
      </c>
      <c r="H9" s="3" t="s">
        <v>34</v>
      </c>
      <c r="I9" s="3" t="s">
        <v>18</v>
      </c>
      <c r="J9" s="2" t="s">
        <v>8</v>
      </c>
      <c r="K9" s="126">
        <v>1E-3</v>
      </c>
      <c r="L9" s="126">
        <v>2E-3</v>
      </c>
      <c r="M9" s="3">
        <v>0</v>
      </c>
      <c r="N9" s="54"/>
      <c r="O9" s="3" t="b">
        <v>0</v>
      </c>
      <c r="P9" s="3"/>
      <c r="Q9" s="54"/>
      <c r="R9" s="3"/>
      <c r="T9" s="2"/>
      <c r="V9" s="28"/>
      <c r="W9" s="2"/>
      <c r="Y9" s="3"/>
    </row>
    <row r="10" spans="1:29" x14ac:dyDescent="0.25">
      <c r="A10" s="4" t="b">
        <v>1</v>
      </c>
      <c r="B10" s="4" t="s">
        <v>420</v>
      </c>
      <c r="C10" s="4" t="s">
        <v>18</v>
      </c>
      <c r="D10" s="2" t="s">
        <v>32</v>
      </c>
      <c r="E10" s="2" t="s">
        <v>40</v>
      </c>
      <c r="F10" s="2" t="s">
        <v>30</v>
      </c>
      <c r="G10" s="2" t="s">
        <v>190</v>
      </c>
      <c r="H10" s="3" t="s">
        <v>33</v>
      </c>
      <c r="I10" s="3" t="s">
        <v>18</v>
      </c>
      <c r="J10" s="2" t="s">
        <v>8</v>
      </c>
      <c r="K10" s="126">
        <v>1E-3</v>
      </c>
      <c r="L10" s="126">
        <v>2E-3</v>
      </c>
      <c r="M10" s="3">
        <v>0</v>
      </c>
      <c r="N10" s="54"/>
      <c r="O10" s="3" t="b">
        <v>0</v>
      </c>
      <c r="P10" s="3"/>
      <c r="Q10" s="54"/>
      <c r="R10" s="3"/>
      <c r="T10" s="2"/>
      <c r="V10" s="28"/>
      <c r="W10" s="2"/>
      <c r="Y10" s="3"/>
    </row>
    <row r="11" spans="1:29" s="20" customFormat="1" x14ac:dyDescent="0.25">
      <c r="A11" s="4" t="b">
        <v>1</v>
      </c>
      <c r="B11" s="4" t="s">
        <v>420</v>
      </c>
      <c r="C11" s="4" t="s">
        <v>18</v>
      </c>
      <c r="D11" s="2" t="s">
        <v>32</v>
      </c>
      <c r="E11" s="2" t="s">
        <v>38</v>
      </c>
      <c r="F11" s="2" t="s">
        <v>26</v>
      </c>
      <c r="G11" s="2" t="s">
        <v>39</v>
      </c>
      <c r="H11" s="28" t="s">
        <v>160</v>
      </c>
      <c r="I11" s="28" t="s">
        <v>160</v>
      </c>
      <c r="J11" s="2" t="s">
        <v>8</v>
      </c>
      <c r="K11" s="126">
        <v>1E-3</v>
      </c>
      <c r="L11" s="126">
        <v>1E-3</v>
      </c>
      <c r="M11" s="3">
        <v>0</v>
      </c>
      <c r="N11" s="54"/>
      <c r="O11" s="3" t="b">
        <v>0</v>
      </c>
      <c r="P11" s="3"/>
      <c r="Q11" s="54"/>
      <c r="R11" s="3"/>
      <c r="Y11" s="2"/>
    </row>
    <row r="12" spans="1:29" s="20" customFormat="1" x14ac:dyDescent="0.25">
      <c r="A12" s="4" t="b">
        <v>1</v>
      </c>
      <c r="B12" s="4" t="s">
        <v>420</v>
      </c>
      <c r="C12" s="4" t="s">
        <v>18</v>
      </c>
      <c r="D12" s="2" t="s">
        <v>32</v>
      </c>
      <c r="E12" s="2" t="s">
        <v>74</v>
      </c>
      <c r="F12" s="2" t="s">
        <v>26</v>
      </c>
      <c r="G12" s="2" t="s">
        <v>163</v>
      </c>
      <c r="H12" s="28" t="s">
        <v>160</v>
      </c>
      <c r="I12" s="28" t="s">
        <v>160</v>
      </c>
      <c r="J12" s="2" t="s">
        <v>8</v>
      </c>
      <c r="K12" s="126">
        <v>1E-3</v>
      </c>
      <c r="L12" s="126">
        <v>1E-3</v>
      </c>
      <c r="M12" s="3">
        <v>0</v>
      </c>
      <c r="N12" s="54"/>
      <c r="O12" s="3" t="b">
        <v>0</v>
      </c>
      <c r="P12" s="3"/>
      <c r="Q12" s="54"/>
      <c r="R12" s="3"/>
      <c r="Y12" s="2"/>
    </row>
    <row r="13" spans="1:29" s="20" customFormat="1" x14ac:dyDescent="0.25">
      <c r="A13" s="4" t="b">
        <v>1</v>
      </c>
      <c r="B13" s="4" t="s">
        <v>420</v>
      </c>
      <c r="C13" s="4" t="s">
        <v>18</v>
      </c>
      <c r="D13" s="2" t="s">
        <v>32</v>
      </c>
      <c r="E13" s="2" t="s">
        <v>40</v>
      </c>
      <c r="F13" s="2" t="s">
        <v>26</v>
      </c>
      <c r="G13" s="2" t="s">
        <v>37</v>
      </c>
      <c r="H13" s="28" t="s">
        <v>160</v>
      </c>
      <c r="I13" s="28" t="s">
        <v>160</v>
      </c>
      <c r="J13" s="2" t="s">
        <v>8</v>
      </c>
      <c r="K13" s="126">
        <v>1E-3</v>
      </c>
      <c r="L13" s="126">
        <v>1E-3</v>
      </c>
      <c r="M13" s="3">
        <v>0</v>
      </c>
      <c r="N13" s="54"/>
      <c r="O13" s="3" t="b">
        <v>0</v>
      </c>
      <c r="P13" s="3"/>
      <c r="Q13" s="54"/>
      <c r="R13" s="3"/>
      <c r="Y13" s="2"/>
    </row>
    <row r="14" spans="1:29" s="20" customFormat="1" x14ac:dyDescent="0.25">
      <c r="A14" s="4" t="b">
        <v>0</v>
      </c>
      <c r="B14" s="4" t="s">
        <v>420</v>
      </c>
      <c r="C14" s="4" t="s">
        <v>18</v>
      </c>
      <c r="D14" s="2" t="s">
        <v>32</v>
      </c>
      <c r="E14" s="2" t="s">
        <v>38</v>
      </c>
      <c r="F14" s="2" t="s">
        <v>6</v>
      </c>
      <c r="G14" s="2" t="s">
        <v>38</v>
      </c>
      <c r="H14" s="28" t="s">
        <v>160</v>
      </c>
      <c r="I14" s="28" t="s">
        <v>160</v>
      </c>
      <c r="J14" s="2" t="s">
        <v>8</v>
      </c>
      <c r="K14" s="126">
        <v>4.0000000000000001E-3</v>
      </c>
      <c r="L14" s="126">
        <v>6.0000000000000001E-3</v>
      </c>
      <c r="M14" s="3">
        <v>0</v>
      </c>
      <c r="N14" s="54"/>
      <c r="O14" s="3" t="b">
        <v>1</v>
      </c>
      <c r="P14" s="3"/>
      <c r="Q14" s="54"/>
      <c r="R14" s="3"/>
      <c r="Y14" s="2"/>
    </row>
    <row r="15" spans="1:29" customFormat="1" x14ac:dyDescent="0.25">
      <c r="A15" s="4" t="b">
        <v>0</v>
      </c>
      <c r="B15" s="4" t="s">
        <v>420</v>
      </c>
      <c r="C15" s="4" t="s">
        <v>18</v>
      </c>
      <c r="D15" s="2" t="s">
        <v>32</v>
      </c>
      <c r="E15" s="2" t="s">
        <v>40</v>
      </c>
      <c r="F15" s="2" t="s">
        <v>6</v>
      </c>
      <c r="G15" s="2" t="s">
        <v>40</v>
      </c>
      <c r="H15" s="28" t="s">
        <v>160</v>
      </c>
      <c r="I15" s="28" t="s">
        <v>160</v>
      </c>
      <c r="J15" s="2" t="s">
        <v>8</v>
      </c>
      <c r="K15" s="126">
        <v>4.0000000000000001E-3</v>
      </c>
      <c r="L15" s="126">
        <v>6.0000000000000001E-3</v>
      </c>
      <c r="M15" s="3">
        <v>0</v>
      </c>
      <c r="N15" s="54"/>
      <c r="O15" s="3" t="b">
        <v>0</v>
      </c>
      <c r="P15" s="3"/>
      <c r="Q15" s="54"/>
      <c r="R15" s="3"/>
    </row>
    <row r="16" spans="1:29" customFormat="1" x14ac:dyDescent="0.25">
      <c r="A16" s="4" t="b">
        <v>1</v>
      </c>
      <c r="B16" s="4" t="s">
        <v>420</v>
      </c>
      <c r="C16" s="4" t="s">
        <v>18</v>
      </c>
      <c r="D16" s="2" t="s">
        <v>32</v>
      </c>
      <c r="E16" s="2" t="s">
        <v>74</v>
      </c>
      <c r="F16" s="2" t="s">
        <v>22</v>
      </c>
      <c r="G16" s="2" t="s">
        <v>147</v>
      </c>
      <c r="H16" s="28" t="s">
        <v>160</v>
      </c>
      <c r="I16" s="28" t="s">
        <v>160</v>
      </c>
      <c r="J16" s="2" t="s">
        <v>8</v>
      </c>
      <c r="K16" s="125">
        <v>1E-3</v>
      </c>
      <c r="L16" s="125">
        <v>1E-3</v>
      </c>
      <c r="M16" s="3">
        <v>0</v>
      </c>
      <c r="N16" s="54"/>
      <c r="O16" s="3" t="b">
        <v>0</v>
      </c>
      <c r="P16" s="3"/>
      <c r="Q16" s="54"/>
      <c r="R16" s="3"/>
    </row>
    <row r="17" spans="1:18" customFormat="1" x14ac:dyDescent="0.25">
      <c r="A17" s="4" t="b">
        <v>1</v>
      </c>
      <c r="B17" s="4" t="s">
        <v>420</v>
      </c>
      <c r="C17" s="4" t="s">
        <v>18</v>
      </c>
      <c r="D17" s="2" t="s">
        <v>32</v>
      </c>
      <c r="E17" s="2" t="s">
        <v>40</v>
      </c>
      <c r="F17" s="2" t="s">
        <v>22</v>
      </c>
      <c r="G17" s="2" t="s">
        <v>148</v>
      </c>
      <c r="H17" s="28" t="s">
        <v>160</v>
      </c>
      <c r="I17" s="28" t="s">
        <v>160</v>
      </c>
      <c r="J17" s="2" t="s">
        <v>8</v>
      </c>
      <c r="K17" s="125">
        <v>1E-3</v>
      </c>
      <c r="L17" s="125">
        <v>1E-3</v>
      </c>
      <c r="M17" s="3">
        <v>0</v>
      </c>
      <c r="N17" s="54"/>
      <c r="O17" s="3" t="b">
        <v>0</v>
      </c>
      <c r="P17" s="3"/>
      <c r="Q17" s="54"/>
      <c r="R17" s="3"/>
    </row>
    <row r="18" spans="1:18" customFormat="1" x14ac:dyDescent="0.25">
      <c r="A18" s="4" t="b">
        <v>1</v>
      </c>
      <c r="B18" s="4" t="s">
        <v>420</v>
      </c>
      <c r="C18" s="4" t="s">
        <v>18</v>
      </c>
      <c r="D18" s="2" t="s">
        <v>32</v>
      </c>
      <c r="E18" s="2" t="s">
        <v>74</v>
      </c>
      <c r="F18" s="2" t="s">
        <v>181</v>
      </c>
      <c r="G18" s="2" t="s">
        <v>147</v>
      </c>
      <c r="H18" s="28" t="s">
        <v>160</v>
      </c>
      <c r="I18" s="28" t="s">
        <v>160</v>
      </c>
      <c r="J18" s="2" t="s">
        <v>8</v>
      </c>
      <c r="K18" s="126">
        <v>2E-3</v>
      </c>
      <c r="L18" s="126">
        <v>2E-3</v>
      </c>
      <c r="M18" s="3">
        <v>0</v>
      </c>
      <c r="N18" s="54"/>
      <c r="O18" s="3" t="b">
        <v>0</v>
      </c>
      <c r="P18" s="3"/>
      <c r="Q18" s="54"/>
      <c r="R18" s="3"/>
    </row>
    <row r="19" spans="1:18" customFormat="1" x14ac:dyDescent="0.25">
      <c r="A19" s="4" t="b">
        <v>1</v>
      </c>
      <c r="B19" s="4" t="s">
        <v>420</v>
      </c>
      <c r="C19" s="4" t="s">
        <v>18</v>
      </c>
      <c r="D19" s="2" t="s">
        <v>32</v>
      </c>
      <c r="E19" s="2" t="s">
        <v>40</v>
      </c>
      <c r="F19" s="2" t="s">
        <v>181</v>
      </c>
      <c r="G19" s="2" t="s">
        <v>148</v>
      </c>
      <c r="H19" s="28" t="s">
        <v>160</v>
      </c>
      <c r="I19" s="28" t="s">
        <v>160</v>
      </c>
      <c r="J19" s="2" t="s">
        <v>8</v>
      </c>
      <c r="K19" s="126">
        <v>2E-3</v>
      </c>
      <c r="L19" s="126">
        <v>2E-3</v>
      </c>
      <c r="M19" s="3">
        <v>0</v>
      </c>
      <c r="N19" s="54"/>
      <c r="O19" s="3" t="b">
        <v>0</v>
      </c>
      <c r="P19" s="3"/>
      <c r="Q19" s="54"/>
      <c r="R19" s="3"/>
    </row>
    <row r="20" spans="1:18" customFormat="1" x14ac:dyDescent="0.25">
      <c r="A20" s="4" t="b">
        <v>1</v>
      </c>
      <c r="B20" s="4" t="s">
        <v>420</v>
      </c>
      <c r="C20" s="4" t="s">
        <v>18</v>
      </c>
      <c r="D20" s="2" t="s">
        <v>32</v>
      </c>
      <c r="E20" s="2" t="s">
        <v>169</v>
      </c>
      <c r="F20" s="2" t="s">
        <v>181</v>
      </c>
      <c r="G20" s="2" t="s">
        <v>186</v>
      </c>
      <c r="H20" s="28" t="s">
        <v>160</v>
      </c>
      <c r="I20" s="28" t="s">
        <v>160</v>
      </c>
      <c r="J20" s="2" t="s">
        <v>8</v>
      </c>
      <c r="K20" s="126">
        <v>2E-3</v>
      </c>
      <c r="L20" s="126">
        <v>2E-3</v>
      </c>
      <c r="M20" s="3">
        <v>0</v>
      </c>
      <c r="N20" s="54"/>
      <c r="O20" s="3" t="b">
        <v>0</v>
      </c>
      <c r="P20" s="3"/>
      <c r="Q20" s="54"/>
      <c r="R20" s="3"/>
    </row>
    <row r="21" spans="1:18" customFormat="1" x14ac:dyDescent="0.25">
      <c r="A21" s="4" t="b">
        <v>0</v>
      </c>
      <c r="B21" s="4" t="s">
        <v>420</v>
      </c>
      <c r="C21" s="4" t="s">
        <v>18</v>
      </c>
      <c r="D21" s="2" t="s">
        <v>32</v>
      </c>
      <c r="E21" s="2" t="s">
        <v>38</v>
      </c>
      <c r="F21" s="2" t="s">
        <v>19</v>
      </c>
      <c r="G21" s="2" t="s">
        <v>161</v>
      </c>
      <c r="H21" s="28" t="s">
        <v>160</v>
      </c>
      <c r="I21" s="28" t="s">
        <v>160</v>
      </c>
      <c r="J21" s="2" t="s">
        <v>8</v>
      </c>
      <c r="K21" s="126">
        <v>2E-3</v>
      </c>
      <c r="L21" s="126">
        <v>4.0000000000000001E-3</v>
      </c>
      <c r="M21" s="3">
        <v>0</v>
      </c>
      <c r="N21" s="54"/>
      <c r="O21" s="3" t="b">
        <v>1</v>
      </c>
      <c r="P21" s="3"/>
      <c r="Q21" s="54"/>
      <c r="R21" s="3"/>
    </row>
    <row r="22" spans="1:18" customFormat="1" x14ac:dyDescent="0.25">
      <c r="A22" s="4" t="b">
        <v>0</v>
      </c>
      <c r="B22" s="4" t="s">
        <v>420</v>
      </c>
      <c r="C22" s="4" t="s">
        <v>18</v>
      </c>
      <c r="D22" s="2" t="s">
        <v>32</v>
      </c>
      <c r="E22" s="2" t="s">
        <v>74</v>
      </c>
      <c r="F22" s="2" t="s">
        <v>19</v>
      </c>
      <c r="G22" s="2" t="s">
        <v>162</v>
      </c>
      <c r="H22" s="28" t="s">
        <v>160</v>
      </c>
      <c r="I22" s="28" t="s">
        <v>160</v>
      </c>
      <c r="J22" s="2" t="s">
        <v>8</v>
      </c>
      <c r="K22" s="126">
        <v>2E-3</v>
      </c>
      <c r="L22" s="126">
        <v>4.0000000000000001E-3</v>
      </c>
      <c r="M22" s="3">
        <v>0</v>
      </c>
      <c r="N22" s="54"/>
      <c r="O22" s="3" t="b">
        <v>0</v>
      </c>
      <c r="P22" s="3"/>
      <c r="Q22" s="54"/>
      <c r="R22" s="3"/>
    </row>
    <row r="23" spans="1:18" customFormat="1" x14ac:dyDescent="0.25">
      <c r="A23" s="4" t="b">
        <v>0</v>
      </c>
      <c r="B23" s="4" t="s">
        <v>420</v>
      </c>
      <c r="C23" s="4" t="s">
        <v>18</v>
      </c>
      <c r="D23" s="2" t="s">
        <v>32</v>
      </c>
      <c r="E23" s="2" t="s">
        <v>40</v>
      </c>
      <c r="F23" s="2" t="s">
        <v>19</v>
      </c>
      <c r="G23" s="2" t="s">
        <v>35</v>
      </c>
      <c r="H23" s="28" t="s">
        <v>160</v>
      </c>
      <c r="I23" s="28" t="s">
        <v>160</v>
      </c>
      <c r="J23" s="2" t="s">
        <v>8</v>
      </c>
      <c r="K23" s="126">
        <v>2E-3</v>
      </c>
      <c r="L23" s="126">
        <v>4.0000000000000001E-3</v>
      </c>
      <c r="M23" s="3">
        <v>0</v>
      </c>
      <c r="N23" s="54"/>
      <c r="O23" s="3" t="b">
        <v>0</v>
      </c>
      <c r="P23" s="3"/>
      <c r="Q23" s="54"/>
      <c r="R23" s="3"/>
    </row>
    <row r="24" spans="1:18" customFormat="1" x14ac:dyDescent="0.25">
      <c r="A24" s="4" t="b">
        <v>1</v>
      </c>
      <c r="B24" s="4" t="s">
        <v>420</v>
      </c>
      <c r="C24" s="4" t="s">
        <v>18</v>
      </c>
      <c r="D24" s="2" t="s">
        <v>32</v>
      </c>
      <c r="E24" s="2" t="s">
        <v>169</v>
      </c>
      <c r="F24" s="2" t="s">
        <v>29</v>
      </c>
      <c r="G24" s="2" t="s">
        <v>184</v>
      </c>
      <c r="H24" s="28" t="s">
        <v>160</v>
      </c>
      <c r="I24" s="28" t="s">
        <v>160</v>
      </c>
      <c r="J24" s="2" t="s">
        <v>8</v>
      </c>
      <c r="K24" s="126">
        <v>2E-3</v>
      </c>
      <c r="L24" s="126">
        <v>2E-3</v>
      </c>
      <c r="M24" s="3">
        <v>0</v>
      </c>
      <c r="N24" s="54"/>
      <c r="O24" s="3" t="b">
        <v>0</v>
      </c>
      <c r="P24" s="3"/>
      <c r="Q24" s="54"/>
      <c r="R24" s="3"/>
    </row>
    <row r="25" spans="1:18" customFormat="1" x14ac:dyDescent="0.25">
      <c r="A25" s="4" t="b">
        <v>1</v>
      </c>
      <c r="B25" s="4" t="s">
        <v>420</v>
      </c>
      <c r="C25" s="4" t="s">
        <v>18</v>
      </c>
      <c r="D25" s="2" t="s">
        <v>32</v>
      </c>
      <c r="E25" s="2" t="s">
        <v>74</v>
      </c>
      <c r="F25" s="2" t="s">
        <v>29</v>
      </c>
      <c r="G25" s="2" t="s">
        <v>162</v>
      </c>
      <c r="H25" s="28" t="s">
        <v>160</v>
      </c>
      <c r="I25" s="28" t="s">
        <v>160</v>
      </c>
      <c r="J25" s="2" t="s">
        <v>8</v>
      </c>
      <c r="K25" s="126">
        <v>2E-3</v>
      </c>
      <c r="L25" s="126">
        <v>2E-3</v>
      </c>
      <c r="M25" s="3">
        <v>0</v>
      </c>
      <c r="N25" s="54"/>
      <c r="O25" s="3" t="b">
        <v>0</v>
      </c>
      <c r="P25" s="3"/>
      <c r="Q25" s="54"/>
      <c r="R25" s="3"/>
    </row>
    <row r="26" spans="1:18" customFormat="1" x14ac:dyDescent="0.25">
      <c r="A26" s="4" t="b">
        <v>1</v>
      </c>
      <c r="B26" s="4" t="s">
        <v>420</v>
      </c>
      <c r="C26" s="4" t="s">
        <v>18</v>
      </c>
      <c r="D26" s="2" t="s">
        <v>32</v>
      </c>
      <c r="E26" s="2" t="s">
        <v>40</v>
      </c>
      <c r="F26" s="2" t="s">
        <v>29</v>
      </c>
      <c r="G26" s="2" t="s">
        <v>35</v>
      </c>
      <c r="H26" s="28" t="s">
        <v>160</v>
      </c>
      <c r="I26" s="28" t="s">
        <v>160</v>
      </c>
      <c r="J26" s="2" t="s">
        <v>8</v>
      </c>
      <c r="K26" s="126">
        <v>2E-3</v>
      </c>
      <c r="L26" s="126">
        <v>2E-3</v>
      </c>
      <c r="M26" s="3">
        <v>0</v>
      </c>
      <c r="N26" s="54"/>
      <c r="O26" s="3" t="b">
        <v>0</v>
      </c>
      <c r="P26" s="3"/>
      <c r="Q26" s="54"/>
      <c r="R26" s="3"/>
    </row>
    <row r="27" spans="1:18" customFormat="1" x14ac:dyDescent="0.25">
      <c r="A27" s="4" t="b">
        <v>0</v>
      </c>
      <c r="B27" s="4" t="s">
        <v>420</v>
      </c>
      <c r="C27" s="4" t="s">
        <v>18</v>
      </c>
      <c r="D27" s="2" t="s">
        <v>32</v>
      </c>
      <c r="E27" s="2" t="s">
        <v>38</v>
      </c>
      <c r="F27" s="2" t="s">
        <v>5</v>
      </c>
      <c r="G27" s="2">
        <v>541686651</v>
      </c>
      <c r="H27" s="3" t="s">
        <v>34</v>
      </c>
      <c r="I27" s="3" t="s">
        <v>18</v>
      </c>
      <c r="J27" s="2" t="s">
        <v>20</v>
      </c>
      <c r="K27" s="58">
        <v>1.1999999999999999E-3</v>
      </c>
      <c r="L27" s="58">
        <v>1.1999999999999999E-3</v>
      </c>
      <c r="M27" s="28">
        <v>1.75</v>
      </c>
      <c r="N27" s="54">
        <v>46054</v>
      </c>
      <c r="O27" s="3" t="b">
        <v>1</v>
      </c>
      <c r="P27" s="3"/>
      <c r="Q27" s="54"/>
      <c r="R27" s="3"/>
    </row>
    <row r="28" spans="1:18" customFormat="1" x14ac:dyDescent="0.25">
      <c r="A28" s="4" t="b">
        <v>0</v>
      </c>
      <c r="B28" s="4" t="s">
        <v>420</v>
      </c>
      <c r="C28" s="4" t="s">
        <v>18</v>
      </c>
      <c r="D28" s="2" t="s">
        <v>32</v>
      </c>
      <c r="E28" s="2" t="s">
        <v>38</v>
      </c>
      <c r="F28" s="2" t="s">
        <v>168</v>
      </c>
      <c r="G28" s="20" t="s">
        <v>165</v>
      </c>
      <c r="H28" s="28" t="s">
        <v>160</v>
      </c>
      <c r="I28" s="28" t="s">
        <v>160</v>
      </c>
      <c r="J28" s="2" t="s">
        <v>8</v>
      </c>
      <c r="K28" s="126">
        <v>1.6000000000000001E-3</v>
      </c>
      <c r="L28" s="126">
        <v>2.5999999999999999E-3</v>
      </c>
      <c r="M28" s="3">
        <v>0</v>
      </c>
      <c r="N28" s="54"/>
      <c r="O28" s="3" t="b">
        <v>1</v>
      </c>
      <c r="P28" s="3"/>
      <c r="Q28" s="54"/>
      <c r="R28" s="3"/>
    </row>
    <row r="29" spans="1:18" customFormat="1" x14ac:dyDescent="0.25">
      <c r="A29" s="4" t="b">
        <v>0</v>
      </c>
      <c r="B29" s="4" t="s">
        <v>420</v>
      </c>
      <c r="C29" s="4" t="s">
        <v>18</v>
      </c>
      <c r="D29" s="2" t="s">
        <v>32</v>
      </c>
      <c r="E29" s="2" t="s">
        <v>169</v>
      </c>
      <c r="F29" s="2" t="s">
        <v>168</v>
      </c>
      <c r="G29" s="20" t="s">
        <v>185</v>
      </c>
      <c r="H29" s="28" t="s">
        <v>160</v>
      </c>
      <c r="I29" s="28" t="s">
        <v>160</v>
      </c>
      <c r="J29" s="2" t="s">
        <v>8</v>
      </c>
      <c r="K29" s="126">
        <v>1.6000000000000001E-3</v>
      </c>
      <c r="L29" s="126">
        <v>2.5999999999999999E-3</v>
      </c>
      <c r="M29" s="3">
        <v>0</v>
      </c>
      <c r="N29" s="54"/>
      <c r="O29" s="3" t="b">
        <v>0</v>
      </c>
      <c r="P29" s="3"/>
      <c r="Q29" s="54"/>
      <c r="R29" s="3"/>
    </row>
    <row r="30" spans="1:18" customFormat="1" x14ac:dyDescent="0.25">
      <c r="A30" s="4" t="b">
        <v>0</v>
      </c>
      <c r="B30" s="4" t="s">
        <v>420</v>
      </c>
      <c r="C30" s="4" t="s">
        <v>18</v>
      </c>
      <c r="D30" s="2" t="s">
        <v>32</v>
      </c>
      <c r="E30" s="2" t="s">
        <v>74</v>
      </c>
      <c r="F30" s="2" t="s">
        <v>168</v>
      </c>
      <c r="G30" s="20" t="s">
        <v>166</v>
      </c>
      <c r="H30" s="28" t="s">
        <v>160</v>
      </c>
      <c r="I30" s="28" t="s">
        <v>160</v>
      </c>
      <c r="J30" s="2" t="s">
        <v>8</v>
      </c>
      <c r="K30" s="126">
        <v>1.6000000000000001E-3</v>
      </c>
      <c r="L30" s="126">
        <v>2.5999999999999999E-3</v>
      </c>
      <c r="M30" s="3">
        <v>0</v>
      </c>
      <c r="N30" s="54"/>
      <c r="O30" s="3" t="b">
        <v>0</v>
      </c>
      <c r="P30" s="3"/>
      <c r="Q30" s="54"/>
      <c r="R30" s="3"/>
    </row>
    <row r="31" spans="1:18" customFormat="1" x14ac:dyDescent="0.25">
      <c r="A31" s="4" t="b">
        <v>0</v>
      </c>
      <c r="B31" s="4" t="s">
        <v>420</v>
      </c>
      <c r="C31" s="4" t="s">
        <v>18</v>
      </c>
      <c r="D31" s="2" t="s">
        <v>32</v>
      </c>
      <c r="E31" s="2" t="s">
        <v>40</v>
      </c>
      <c r="F31" s="2" t="s">
        <v>168</v>
      </c>
      <c r="G31" s="20" t="s">
        <v>167</v>
      </c>
      <c r="H31" s="28" t="s">
        <v>160</v>
      </c>
      <c r="I31" s="28" t="s">
        <v>160</v>
      </c>
      <c r="J31" s="2" t="s">
        <v>8</v>
      </c>
      <c r="K31" s="126">
        <v>1.6000000000000001E-3</v>
      </c>
      <c r="L31" s="126">
        <v>2.5999999999999999E-3</v>
      </c>
      <c r="M31" s="3">
        <v>0</v>
      </c>
      <c r="N31" s="54"/>
      <c r="O31" s="3" t="b">
        <v>0</v>
      </c>
      <c r="P31" s="3"/>
      <c r="Q31" s="54"/>
      <c r="R31" s="3"/>
    </row>
    <row r="32" spans="1:18" customFormat="1" x14ac:dyDescent="0.25">
      <c r="A32" s="4" t="b">
        <v>1</v>
      </c>
      <c r="B32" s="4" t="s">
        <v>420</v>
      </c>
      <c r="C32" s="4" t="s">
        <v>18</v>
      </c>
      <c r="D32" s="2" t="s">
        <v>32</v>
      </c>
      <c r="E32" s="2" t="s">
        <v>169</v>
      </c>
      <c r="F32" s="2" t="s">
        <v>170</v>
      </c>
      <c r="G32" s="2" t="s">
        <v>169</v>
      </c>
      <c r="H32" s="28" t="s">
        <v>160</v>
      </c>
      <c r="I32" s="28" t="s">
        <v>160</v>
      </c>
      <c r="J32" s="2" t="s">
        <v>8</v>
      </c>
      <c r="K32" s="126">
        <v>1E-3</v>
      </c>
      <c r="L32" s="126">
        <v>1E-3</v>
      </c>
      <c r="M32" s="3">
        <v>0</v>
      </c>
      <c r="N32" s="54"/>
      <c r="O32" s="3" t="b">
        <v>0</v>
      </c>
      <c r="P32" s="3"/>
      <c r="Q32" s="54"/>
      <c r="R32" s="3"/>
    </row>
    <row r="33" spans="1:26" customFormat="1" x14ac:dyDescent="0.25">
      <c r="A33" s="4" t="b">
        <v>1</v>
      </c>
      <c r="B33" s="4" t="s">
        <v>420</v>
      </c>
      <c r="C33" s="4" t="s">
        <v>18</v>
      </c>
      <c r="D33" s="2" t="s">
        <v>32</v>
      </c>
      <c r="E33" s="2" t="s">
        <v>74</v>
      </c>
      <c r="F33" s="2" t="s">
        <v>170</v>
      </c>
      <c r="G33" s="2" t="s">
        <v>74</v>
      </c>
      <c r="H33" s="28" t="s">
        <v>160</v>
      </c>
      <c r="I33" s="28" t="s">
        <v>160</v>
      </c>
      <c r="J33" s="2" t="s">
        <v>8</v>
      </c>
      <c r="K33" s="126">
        <v>1E-3</v>
      </c>
      <c r="L33" s="126">
        <v>1E-3</v>
      </c>
      <c r="M33" s="3">
        <v>0</v>
      </c>
      <c r="N33" s="54"/>
      <c r="O33" s="3" t="b">
        <v>0</v>
      </c>
      <c r="P33" s="3"/>
      <c r="Q33" s="54"/>
      <c r="R33" s="3"/>
    </row>
    <row r="34" spans="1:26" customFormat="1" x14ac:dyDescent="0.25">
      <c r="A34" s="4" t="b">
        <v>1</v>
      </c>
      <c r="B34" s="4" t="s">
        <v>420</v>
      </c>
      <c r="C34" s="4" t="s">
        <v>18</v>
      </c>
      <c r="D34" s="2" t="s">
        <v>32</v>
      </c>
      <c r="E34" s="2" t="s">
        <v>40</v>
      </c>
      <c r="F34" s="2" t="s">
        <v>170</v>
      </c>
      <c r="G34" s="2" t="s">
        <v>40</v>
      </c>
      <c r="H34" s="28" t="s">
        <v>160</v>
      </c>
      <c r="I34" s="28" t="s">
        <v>160</v>
      </c>
      <c r="J34" s="2" t="s">
        <v>8</v>
      </c>
      <c r="K34" s="126">
        <v>1E-3</v>
      </c>
      <c r="L34" s="126">
        <v>1E-3</v>
      </c>
      <c r="M34" s="3">
        <v>0</v>
      </c>
      <c r="N34" s="54"/>
      <c r="O34" s="3" t="b">
        <v>0</v>
      </c>
      <c r="P34" s="3"/>
      <c r="Q34" s="54"/>
      <c r="R34" s="3"/>
    </row>
    <row r="35" spans="1:26" s="102" customFormat="1" x14ac:dyDescent="0.25">
      <c r="A35" s="95" t="b">
        <v>1</v>
      </c>
      <c r="B35" s="4" t="s">
        <v>420</v>
      </c>
      <c r="C35" s="4" t="s">
        <v>18</v>
      </c>
      <c r="D35" s="85" t="s">
        <v>32</v>
      </c>
      <c r="E35" s="85" t="s">
        <v>169</v>
      </c>
      <c r="F35" s="85" t="s">
        <v>180</v>
      </c>
      <c r="G35" s="96" t="s">
        <v>171</v>
      </c>
      <c r="H35" s="97" t="s">
        <v>160</v>
      </c>
      <c r="I35" s="97" t="s">
        <v>160</v>
      </c>
      <c r="J35" s="98" t="s">
        <v>8</v>
      </c>
      <c r="K35" s="99">
        <v>0</v>
      </c>
      <c r="L35" s="99">
        <v>0</v>
      </c>
      <c r="M35" s="100">
        <v>0</v>
      </c>
      <c r="N35" s="101"/>
      <c r="O35" s="3" t="b">
        <v>0</v>
      </c>
      <c r="P35" s="100"/>
      <c r="Q35" s="101"/>
      <c r="R35" s="100"/>
    </row>
    <row r="36" spans="1:26" s="102" customFormat="1" x14ac:dyDescent="0.25">
      <c r="A36" s="95" t="b">
        <v>1</v>
      </c>
      <c r="B36" s="4" t="s">
        <v>420</v>
      </c>
      <c r="C36" s="4" t="s">
        <v>18</v>
      </c>
      <c r="D36" s="85" t="s">
        <v>32</v>
      </c>
      <c r="E36" s="85" t="s">
        <v>74</v>
      </c>
      <c r="F36" s="85" t="s">
        <v>180</v>
      </c>
      <c r="G36" s="96" t="s">
        <v>163</v>
      </c>
      <c r="H36" s="97" t="s">
        <v>160</v>
      </c>
      <c r="I36" s="97" t="s">
        <v>160</v>
      </c>
      <c r="J36" s="98" t="s">
        <v>8</v>
      </c>
      <c r="K36" s="99">
        <v>0</v>
      </c>
      <c r="L36" s="99">
        <v>0</v>
      </c>
      <c r="M36" s="100">
        <v>0</v>
      </c>
      <c r="N36" s="101"/>
      <c r="O36" s="3" t="b">
        <v>0</v>
      </c>
      <c r="P36" s="100"/>
      <c r="Q36" s="101"/>
      <c r="R36" s="100"/>
    </row>
    <row r="37" spans="1:26" s="102" customFormat="1" x14ac:dyDescent="0.25">
      <c r="A37" s="95" t="b">
        <v>1</v>
      </c>
      <c r="B37" s="4" t="s">
        <v>420</v>
      </c>
      <c r="C37" s="4" t="s">
        <v>18</v>
      </c>
      <c r="D37" s="85" t="s">
        <v>32</v>
      </c>
      <c r="E37" s="85" t="s">
        <v>40</v>
      </c>
      <c r="F37" s="85" t="s">
        <v>180</v>
      </c>
      <c r="G37" s="96" t="s">
        <v>37</v>
      </c>
      <c r="H37" s="97" t="s">
        <v>160</v>
      </c>
      <c r="I37" s="97" t="s">
        <v>160</v>
      </c>
      <c r="J37" s="98" t="s">
        <v>8</v>
      </c>
      <c r="K37" s="99">
        <v>0</v>
      </c>
      <c r="L37" s="99">
        <v>0</v>
      </c>
      <c r="M37" s="100">
        <v>0</v>
      </c>
      <c r="N37" s="101"/>
      <c r="O37" s="3" t="b">
        <v>0</v>
      </c>
      <c r="P37" s="100"/>
      <c r="Q37" s="101"/>
      <c r="R37" s="100"/>
    </row>
    <row r="38" spans="1:26" customFormat="1" x14ac:dyDescent="0.25">
      <c r="A38" s="4" t="b">
        <v>1</v>
      </c>
      <c r="B38" s="4" t="s">
        <v>420</v>
      </c>
      <c r="C38" s="4" t="s">
        <v>18</v>
      </c>
      <c r="D38" s="2" t="s">
        <v>32</v>
      </c>
      <c r="E38" s="2" t="s">
        <v>38</v>
      </c>
      <c r="F38" s="2" t="s">
        <v>28</v>
      </c>
      <c r="G38" s="2" t="s">
        <v>38</v>
      </c>
      <c r="H38" s="28" t="s">
        <v>160</v>
      </c>
      <c r="I38" s="28" t="s">
        <v>160</v>
      </c>
      <c r="J38" s="2" t="s">
        <v>8</v>
      </c>
      <c r="K38" s="126">
        <v>8.0000000000000004E-4</v>
      </c>
      <c r="L38" s="126">
        <v>1E-3</v>
      </c>
      <c r="M38" s="3">
        <v>0</v>
      </c>
      <c r="N38" s="54"/>
      <c r="O38" s="3" t="b">
        <v>0</v>
      </c>
      <c r="P38" s="3"/>
      <c r="Q38" s="54"/>
      <c r="R38" s="3"/>
    </row>
    <row r="39" spans="1:26" customFormat="1" x14ac:dyDescent="0.25">
      <c r="A39" s="4" t="b">
        <v>1</v>
      </c>
      <c r="B39" s="4" t="s">
        <v>420</v>
      </c>
      <c r="C39" s="4" t="s">
        <v>18</v>
      </c>
      <c r="D39" s="2" t="s">
        <v>32</v>
      </c>
      <c r="E39" s="2" t="s">
        <v>74</v>
      </c>
      <c r="F39" s="2" t="s">
        <v>28</v>
      </c>
      <c r="G39" s="2" t="s">
        <v>74</v>
      </c>
      <c r="H39" s="28" t="s">
        <v>160</v>
      </c>
      <c r="I39" s="28" t="s">
        <v>160</v>
      </c>
      <c r="J39" s="2" t="s">
        <v>8</v>
      </c>
      <c r="K39" s="126">
        <v>8.0000000000000004E-4</v>
      </c>
      <c r="L39" s="126">
        <v>1E-3</v>
      </c>
      <c r="M39" s="3">
        <v>0</v>
      </c>
      <c r="N39" s="54"/>
      <c r="O39" s="3" t="b">
        <v>0</v>
      </c>
      <c r="P39" s="3"/>
      <c r="Q39" s="54"/>
      <c r="R39" s="3"/>
    </row>
    <row r="40" spans="1:26" customFormat="1" x14ac:dyDescent="0.25">
      <c r="A40" s="4" t="b">
        <v>1</v>
      </c>
      <c r="B40" s="4" t="s">
        <v>420</v>
      </c>
      <c r="C40" s="4" t="s">
        <v>18</v>
      </c>
      <c r="D40" s="2" t="s">
        <v>32</v>
      </c>
      <c r="E40" s="2" t="s">
        <v>40</v>
      </c>
      <c r="F40" s="2" t="s">
        <v>28</v>
      </c>
      <c r="G40" s="2" t="s">
        <v>40</v>
      </c>
      <c r="H40" s="28" t="s">
        <v>160</v>
      </c>
      <c r="I40" s="28" t="s">
        <v>160</v>
      </c>
      <c r="J40" s="2" t="s">
        <v>8</v>
      </c>
      <c r="K40" s="126">
        <v>8.0000000000000004E-4</v>
      </c>
      <c r="L40" s="126">
        <v>1E-3</v>
      </c>
      <c r="M40" s="3">
        <v>0</v>
      </c>
      <c r="N40" s="54"/>
      <c r="O40" s="3" t="b">
        <v>0</v>
      </c>
      <c r="P40" s="3"/>
      <c r="Q40" s="54"/>
      <c r="R40" s="3"/>
    </row>
    <row r="41" spans="1:26" customFormat="1" x14ac:dyDescent="0.25">
      <c r="A41" s="4" t="b">
        <v>1</v>
      </c>
      <c r="B41" s="4" t="s">
        <v>420</v>
      </c>
      <c r="C41" s="4" t="s">
        <v>18</v>
      </c>
      <c r="D41" s="2" t="s">
        <v>32</v>
      </c>
      <c r="E41" s="2" t="s">
        <v>74</v>
      </c>
      <c r="F41" s="2" t="s">
        <v>145</v>
      </c>
      <c r="G41" s="2" t="s">
        <v>188</v>
      </c>
      <c r="H41" s="28" t="s">
        <v>160</v>
      </c>
      <c r="I41" s="28" t="s">
        <v>160</v>
      </c>
      <c r="J41" s="2" t="s">
        <v>8</v>
      </c>
      <c r="K41" s="126">
        <v>1E-3</v>
      </c>
      <c r="L41" s="126">
        <v>1E-3</v>
      </c>
      <c r="M41" s="3">
        <v>0</v>
      </c>
      <c r="N41" s="54"/>
      <c r="O41" s="3" t="b">
        <v>0</v>
      </c>
      <c r="P41" s="3"/>
      <c r="Q41" s="54"/>
      <c r="R41" s="3"/>
    </row>
    <row r="42" spans="1:26" customFormat="1" x14ac:dyDescent="0.25">
      <c r="A42" s="4" t="b">
        <v>1</v>
      </c>
      <c r="B42" s="4" t="s">
        <v>420</v>
      </c>
      <c r="C42" s="4" t="s">
        <v>18</v>
      </c>
      <c r="D42" s="2" t="s">
        <v>32</v>
      </c>
      <c r="E42" s="2" t="s">
        <v>40</v>
      </c>
      <c r="F42" s="2" t="s">
        <v>145</v>
      </c>
      <c r="G42" s="2" t="s">
        <v>187</v>
      </c>
      <c r="H42" s="28" t="s">
        <v>160</v>
      </c>
      <c r="I42" s="28" t="s">
        <v>160</v>
      </c>
      <c r="J42" s="2" t="s">
        <v>8</v>
      </c>
      <c r="K42" s="126">
        <v>1E-3</v>
      </c>
      <c r="L42" s="126">
        <v>1E-3</v>
      </c>
      <c r="M42" s="3">
        <v>0</v>
      </c>
      <c r="N42" s="54"/>
      <c r="O42" s="3" t="b">
        <v>0</v>
      </c>
      <c r="P42" s="3"/>
      <c r="Q42" s="54"/>
      <c r="R42" s="3"/>
    </row>
    <row r="43" spans="1:26" customFormat="1" x14ac:dyDescent="0.25">
      <c r="A43" s="4" t="b">
        <v>1</v>
      </c>
      <c r="B43" s="4" t="s">
        <v>420</v>
      </c>
      <c r="C43" s="4" t="s">
        <v>18</v>
      </c>
      <c r="D43" s="2" t="s">
        <v>3</v>
      </c>
      <c r="E43" s="2" t="s">
        <v>115</v>
      </c>
      <c r="F43" s="2" t="s">
        <v>144</v>
      </c>
      <c r="G43" s="2" t="s">
        <v>208</v>
      </c>
      <c r="H43" s="38" t="s">
        <v>34</v>
      </c>
      <c r="I43" s="38" t="s">
        <v>18</v>
      </c>
      <c r="J43" s="7" t="s">
        <v>9</v>
      </c>
      <c r="K43" s="31">
        <v>12.52</v>
      </c>
      <c r="L43" s="31">
        <v>12.52</v>
      </c>
      <c r="M43" s="38">
        <v>0</v>
      </c>
      <c r="N43" s="127">
        <v>46054</v>
      </c>
      <c r="O43" s="3" t="b">
        <v>0</v>
      </c>
      <c r="P43" s="3"/>
      <c r="Q43" s="54"/>
      <c r="R43" s="3"/>
    </row>
    <row r="44" spans="1:26" customFormat="1" x14ac:dyDescent="0.25">
      <c r="A44" s="4" t="b">
        <v>1</v>
      </c>
      <c r="B44" s="4" t="s">
        <v>420</v>
      </c>
      <c r="C44" s="4" t="s">
        <v>18</v>
      </c>
      <c r="D44" s="2" t="s">
        <v>3</v>
      </c>
      <c r="E44" s="2" t="s">
        <v>116</v>
      </c>
      <c r="F44" s="2" t="s">
        <v>144</v>
      </c>
      <c r="G44" s="2" t="s">
        <v>209</v>
      </c>
      <c r="H44" s="38" t="s">
        <v>34</v>
      </c>
      <c r="I44" s="38" t="s">
        <v>18</v>
      </c>
      <c r="J44" s="7" t="s">
        <v>9</v>
      </c>
      <c r="K44" s="31">
        <v>12.52</v>
      </c>
      <c r="L44" s="31">
        <v>12.52</v>
      </c>
      <c r="M44" s="38">
        <v>0</v>
      </c>
      <c r="N44" s="127">
        <v>46054</v>
      </c>
      <c r="O44" s="3" t="b">
        <v>0</v>
      </c>
      <c r="P44" s="3"/>
      <c r="Q44" s="54"/>
      <c r="R44" s="3"/>
    </row>
    <row r="45" spans="1:26" customFormat="1" x14ac:dyDescent="0.25">
      <c r="A45" s="4" t="b">
        <v>1</v>
      </c>
      <c r="B45" s="4" t="s">
        <v>420</v>
      </c>
      <c r="C45" s="4" t="s">
        <v>18</v>
      </c>
      <c r="D45" s="2" t="s">
        <v>3</v>
      </c>
      <c r="E45" s="2" t="s">
        <v>117</v>
      </c>
      <c r="F45" s="2" t="s">
        <v>144</v>
      </c>
      <c r="G45" s="2" t="s">
        <v>210</v>
      </c>
      <c r="H45" s="38" t="s">
        <v>34</v>
      </c>
      <c r="I45" s="38" t="s">
        <v>18</v>
      </c>
      <c r="J45" s="7" t="s">
        <v>9</v>
      </c>
      <c r="K45" s="31">
        <v>12.52</v>
      </c>
      <c r="L45" s="31">
        <v>12.52</v>
      </c>
      <c r="M45" s="38">
        <v>0</v>
      </c>
      <c r="N45" s="127">
        <v>46054</v>
      </c>
      <c r="O45" s="3" t="b">
        <v>0</v>
      </c>
      <c r="P45" s="3"/>
      <c r="Q45" s="54"/>
      <c r="R45" s="3"/>
    </row>
    <row r="46" spans="1:26" x14ac:dyDescent="0.25">
      <c r="A46" s="4" t="b">
        <v>1</v>
      </c>
      <c r="B46" s="4" t="s">
        <v>420</v>
      </c>
      <c r="C46" s="4" t="s">
        <v>18</v>
      </c>
      <c r="D46" s="2" t="s">
        <v>3</v>
      </c>
      <c r="E46" s="2" t="s">
        <v>118</v>
      </c>
      <c r="F46" s="2" t="s">
        <v>22</v>
      </c>
      <c r="G46" s="2" t="s">
        <v>149</v>
      </c>
      <c r="H46" s="28" t="s">
        <v>160</v>
      </c>
      <c r="I46" s="28" t="s">
        <v>160</v>
      </c>
      <c r="J46" s="2" t="s">
        <v>9</v>
      </c>
      <c r="K46" s="28" t="s">
        <v>160</v>
      </c>
      <c r="L46" s="28" t="s">
        <v>160</v>
      </c>
      <c r="M46" s="3">
        <v>0</v>
      </c>
      <c r="N46" s="54"/>
      <c r="O46" s="3" t="b">
        <v>0</v>
      </c>
      <c r="P46" s="3"/>
      <c r="Q46" s="54"/>
      <c r="R46" s="3"/>
      <c r="T46" s="2"/>
      <c r="V46" s="28"/>
      <c r="W46" s="2"/>
      <c r="Z46" s="5"/>
    </row>
    <row r="47" spans="1:26" s="20" customFormat="1" x14ac:dyDescent="0.25">
      <c r="A47" s="4" t="b">
        <v>1</v>
      </c>
      <c r="B47" s="4" t="s">
        <v>420</v>
      </c>
      <c r="C47" s="4" t="s">
        <v>18</v>
      </c>
      <c r="D47" s="2" t="s">
        <v>3</v>
      </c>
      <c r="E47" s="2" t="s">
        <v>193</v>
      </c>
      <c r="F47" s="2" t="s">
        <v>22</v>
      </c>
      <c r="G47" s="2" t="s">
        <v>150</v>
      </c>
      <c r="H47" s="28" t="s">
        <v>160</v>
      </c>
      <c r="I47" s="28" t="s">
        <v>160</v>
      </c>
      <c r="J47" s="2" t="s">
        <v>9</v>
      </c>
      <c r="K47" s="28" t="s">
        <v>160</v>
      </c>
      <c r="L47" s="28" t="s">
        <v>160</v>
      </c>
      <c r="M47" s="3">
        <v>0</v>
      </c>
      <c r="N47" s="54"/>
      <c r="O47" s="3" t="b">
        <v>0</v>
      </c>
      <c r="P47" s="3"/>
      <c r="Q47" s="54"/>
      <c r="R47" s="3"/>
      <c r="Y47" s="2"/>
      <c r="Z47" s="5"/>
    </row>
    <row r="48" spans="1:26" s="20" customFormat="1" x14ac:dyDescent="0.25">
      <c r="A48" s="4" t="b">
        <v>1</v>
      </c>
      <c r="B48" s="4" t="s">
        <v>420</v>
      </c>
      <c r="C48" s="4" t="s">
        <v>18</v>
      </c>
      <c r="D48" s="2" t="s">
        <v>3</v>
      </c>
      <c r="E48" s="2" t="s">
        <v>283</v>
      </c>
      <c r="F48" s="2" t="s">
        <v>22</v>
      </c>
      <c r="G48" s="2" t="s">
        <v>408</v>
      </c>
      <c r="H48" s="28" t="s">
        <v>160</v>
      </c>
      <c r="I48" s="28" t="s">
        <v>160</v>
      </c>
      <c r="J48" s="2" t="s">
        <v>9</v>
      </c>
      <c r="K48" s="28" t="s">
        <v>160</v>
      </c>
      <c r="L48" s="28" t="s">
        <v>160</v>
      </c>
      <c r="M48" s="3">
        <v>0</v>
      </c>
      <c r="N48" s="54"/>
      <c r="O48" s="3" t="b">
        <v>0</v>
      </c>
      <c r="P48" s="3"/>
      <c r="Q48" s="54"/>
      <c r="R48" s="3"/>
      <c r="Y48" s="2"/>
      <c r="Z48" s="5"/>
    </row>
    <row r="49" spans="1:26" s="20" customFormat="1" x14ac:dyDescent="0.25">
      <c r="A49" s="4" t="b">
        <v>1</v>
      </c>
      <c r="B49" s="4" t="s">
        <v>420</v>
      </c>
      <c r="C49" s="4" t="s">
        <v>18</v>
      </c>
      <c r="D49" s="2" t="s">
        <v>3</v>
      </c>
      <c r="E49" s="2" t="s">
        <v>407</v>
      </c>
      <c r="F49" s="2" t="s">
        <v>22</v>
      </c>
      <c r="G49" s="2" t="s">
        <v>409</v>
      </c>
      <c r="H49" s="28" t="s">
        <v>160</v>
      </c>
      <c r="I49" s="28" t="s">
        <v>160</v>
      </c>
      <c r="J49" s="2" t="s">
        <v>9</v>
      </c>
      <c r="K49" s="28" t="s">
        <v>160</v>
      </c>
      <c r="L49" s="28" t="s">
        <v>160</v>
      </c>
      <c r="M49" s="3">
        <v>0</v>
      </c>
      <c r="N49" s="54"/>
      <c r="O49" s="3" t="b">
        <v>0</v>
      </c>
      <c r="P49" s="3"/>
      <c r="Q49" s="54"/>
      <c r="R49" s="3"/>
      <c r="Y49" s="2"/>
      <c r="Z49" s="5"/>
    </row>
    <row r="50" spans="1:26" s="20" customFormat="1" x14ac:dyDescent="0.25">
      <c r="A50" s="4" t="b">
        <v>1</v>
      </c>
      <c r="B50" s="4" t="s">
        <v>420</v>
      </c>
      <c r="C50" s="4" t="s">
        <v>18</v>
      </c>
      <c r="D50" s="2" t="s">
        <v>3</v>
      </c>
      <c r="E50" s="2" t="s">
        <v>194</v>
      </c>
      <c r="F50" s="2" t="s">
        <v>22</v>
      </c>
      <c r="G50" s="2" t="s">
        <v>151</v>
      </c>
      <c r="H50" s="28" t="s">
        <v>160</v>
      </c>
      <c r="I50" s="28" t="s">
        <v>160</v>
      </c>
      <c r="J50" s="2" t="s">
        <v>9</v>
      </c>
      <c r="K50" s="28" t="s">
        <v>160</v>
      </c>
      <c r="L50" s="28" t="s">
        <v>160</v>
      </c>
      <c r="M50" s="3">
        <v>0</v>
      </c>
      <c r="N50" s="54"/>
      <c r="O50" s="3" t="b">
        <v>0</v>
      </c>
      <c r="P50" s="3"/>
      <c r="Q50" s="54"/>
      <c r="R50" s="3"/>
      <c r="Y50" s="2"/>
      <c r="Z50" s="5"/>
    </row>
    <row r="51" spans="1:26" s="20" customFormat="1" x14ac:dyDescent="0.25">
      <c r="A51" s="4" t="b">
        <v>0</v>
      </c>
      <c r="B51" s="4" t="s">
        <v>420</v>
      </c>
      <c r="C51" s="4" t="s">
        <v>18</v>
      </c>
      <c r="D51" s="2" t="s">
        <v>3</v>
      </c>
      <c r="E51" s="2" t="s">
        <v>118</v>
      </c>
      <c r="F51" s="2" t="s">
        <v>5</v>
      </c>
      <c r="G51" s="2">
        <v>772435574</v>
      </c>
      <c r="H51" s="3" t="s">
        <v>34</v>
      </c>
      <c r="I51" s="3" t="s">
        <v>18</v>
      </c>
      <c r="J51" s="2" t="s">
        <v>9</v>
      </c>
      <c r="K51" s="28">
        <v>12.52</v>
      </c>
      <c r="L51" s="28">
        <v>12.52</v>
      </c>
      <c r="M51" s="3">
        <v>0</v>
      </c>
      <c r="N51" s="54">
        <v>46054</v>
      </c>
      <c r="O51" s="3" t="b">
        <v>1</v>
      </c>
      <c r="P51" s="3"/>
      <c r="Q51" s="54"/>
      <c r="R51" s="3"/>
      <c r="Y51" s="2"/>
      <c r="Z51" s="5"/>
    </row>
    <row r="52" spans="1:26" s="15" customFormat="1" x14ac:dyDescent="0.25">
      <c r="A52" s="4" t="b">
        <v>0</v>
      </c>
      <c r="B52" s="4" t="s">
        <v>420</v>
      </c>
      <c r="C52" s="4" t="s">
        <v>18</v>
      </c>
      <c r="D52" s="2" t="s">
        <v>3</v>
      </c>
      <c r="E52" s="2" t="s">
        <v>206</v>
      </c>
      <c r="F52" s="2" t="s">
        <v>5</v>
      </c>
      <c r="G52" s="2">
        <v>876880607</v>
      </c>
      <c r="H52" s="3" t="s">
        <v>34</v>
      </c>
      <c r="I52" s="3" t="s">
        <v>18</v>
      </c>
      <c r="J52" s="2" t="s">
        <v>9</v>
      </c>
      <c r="K52" s="28">
        <v>12.52</v>
      </c>
      <c r="L52" s="28">
        <v>12.52</v>
      </c>
      <c r="M52" s="3">
        <v>0</v>
      </c>
      <c r="N52" s="54">
        <v>46054</v>
      </c>
      <c r="O52" s="3" t="b">
        <v>1</v>
      </c>
      <c r="P52" s="3"/>
      <c r="Q52" s="54"/>
      <c r="R52" s="3"/>
      <c r="Y52" s="2"/>
      <c r="Z52" s="3"/>
    </row>
    <row r="53" spans="1:26" s="15" customFormat="1" x14ac:dyDescent="0.25">
      <c r="A53" s="4" t="b">
        <v>0</v>
      </c>
      <c r="B53" s="4" t="s">
        <v>420</v>
      </c>
      <c r="C53" s="4" t="s">
        <v>18</v>
      </c>
      <c r="D53" s="2" t="s">
        <v>3</v>
      </c>
      <c r="E53" s="2" t="s">
        <v>207</v>
      </c>
      <c r="F53" s="2" t="s">
        <v>5</v>
      </c>
      <c r="G53" s="2">
        <v>887699043</v>
      </c>
      <c r="H53" s="3" t="s">
        <v>34</v>
      </c>
      <c r="I53" s="3" t="s">
        <v>18</v>
      </c>
      <c r="J53" s="2" t="s">
        <v>9</v>
      </c>
      <c r="K53" s="28">
        <v>12.52</v>
      </c>
      <c r="L53" s="28">
        <v>12.52</v>
      </c>
      <c r="M53" s="3">
        <v>0</v>
      </c>
      <c r="N53" s="54">
        <v>46054</v>
      </c>
      <c r="O53" s="3" t="b">
        <v>1</v>
      </c>
      <c r="P53" s="3"/>
      <c r="Q53" s="54"/>
      <c r="R53" s="3"/>
      <c r="Y53" s="2"/>
      <c r="Z53" s="3"/>
    </row>
    <row r="54" spans="1:26" s="15" customFormat="1" x14ac:dyDescent="0.25">
      <c r="A54" s="4" t="b">
        <v>0</v>
      </c>
      <c r="B54" s="4" t="s">
        <v>420</v>
      </c>
      <c r="C54" s="4" t="s">
        <v>18</v>
      </c>
      <c r="D54" s="2" t="s">
        <v>3</v>
      </c>
      <c r="E54" s="2" t="s">
        <v>193</v>
      </c>
      <c r="F54" s="2" t="s">
        <v>5</v>
      </c>
      <c r="G54" s="135">
        <v>751356958</v>
      </c>
      <c r="H54" s="3" t="s">
        <v>34</v>
      </c>
      <c r="I54" s="3" t="s">
        <v>18</v>
      </c>
      <c r="J54" s="2" t="s">
        <v>9</v>
      </c>
      <c r="K54" s="28">
        <v>12.52</v>
      </c>
      <c r="L54" s="28">
        <v>12.52</v>
      </c>
      <c r="M54" s="3">
        <v>0</v>
      </c>
      <c r="N54" s="54">
        <v>46054</v>
      </c>
      <c r="O54" s="3" t="b">
        <v>1</v>
      </c>
      <c r="P54" s="3"/>
      <c r="Q54" s="54"/>
      <c r="R54" s="3"/>
      <c r="Y54" s="2"/>
      <c r="Z54" s="3"/>
    </row>
    <row r="55" spans="1:26" s="20" customFormat="1" x14ac:dyDescent="0.25">
      <c r="A55" s="4" t="b">
        <v>0</v>
      </c>
      <c r="B55" s="4" t="s">
        <v>420</v>
      </c>
      <c r="C55" s="4" t="s">
        <v>18</v>
      </c>
      <c r="D55" s="2" t="s">
        <v>3</v>
      </c>
      <c r="E55" s="2" t="s">
        <v>283</v>
      </c>
      <c r="F55" s="2" t="s">
        <v>5</v>
      </c>
      <c r="G55" s="2">
        <v>907006410</v>
      </c>
      <c r="H55" s="3" t="s">
        <v>34</v>
      </c>
      <c r="I55" s="3" t="s">
        <v>18</v>
      </c>
      <c r="J55" s="2" t="s">
        <v>9</v>
      </c>
      <c r="K55" s="28">
        <v>12.52</v>
      </c>
      <c r="L55" s="28">
        <v>12.52</v>
      </c>
      <c r="M55" s="3">
        <v>0</v>
      </c>
      <c r="N55" s="54">
        <v>46054</v>
      </c>
      <c r="O55" s="3" t="b">
        <v>1</v>
      </c>
      <c r="P55" s="3"/>
      <c r="Q55" s="54"/>
      <c r="R55" s="3"/>
      <c r="Y55" s="2"/>
      <c r="Z55" s="5"/>
    </row>
    <row r="56" spans="1:26" s="20" customFormat="1" x14ac:dyDescent="0.25">
      <c r="A56" s="4" t="b">
        <v>0</v>
      </c>
      <c r="B56" s="4" t="s">
        <v>420</v>
      </c>
      <c r="C56" s="4" t="s">
        <v>18</v>
      </c>
      <c r="D56" s="2" t="s">
        <v>3</v>
      </c>
      <c r="E56" s="2" t="s">
        <v>407</v>
      </c>
      <c r="F56" s="2" t="s">
        <v>5</v>
      </c>
      <c r="G56" s="2">
        <v>918675705</v>
      </c>
      <c r="H56" s="3" t="s">
        <v>34</v>
      </c>
      <c r="I56" s="3" t="s">
        <v>18</v>
      </c>
      <c r="J56" s="2" t="s">
        <v>9</v>
      </c>
      <c r="K56" s="28">
        <v>12.52</v>
      </c>
      <c r="L56" s="28">
        <v>12.52</v>
      </c>
      <c r="M56" s="3">
        <v>0</v>
      </c>
      <c r="N56" s="54">
        <v>46054</v>
      </c>
      <c r="O56" s="3" t="b">
        <v>1</v>
      </c>
      <c r="P56" s="3"/>
      <c r="Q56" s="54"/>
      <c r="R56" s="3"/>
      <c r="Y56" s="2"/>
      <c r="Z56" s="5"/>
    </row>
    <row r="57" spans="1:26" s="130" customFormat="1" x14ac:dyDescent="0.25">
      <c r="A57" s="129" t="b">
        <v>0</v>
      </c>
      <c r="B57" s="129" t="s">
        <v>420</v>
      </c>
      <c r="C57" s="129" t="s">
        <v>47</v>
      </c>
      <c r="D57" s="130" t="s">
        <v>3</v>
      </c>
      <c r="E57" s="130" t="s">
        <v>211</v>
      </c>
      <c r="F57" s="130" t="s">
        <v>5</v>
      </c>
      <c r="G57" s="130">
        <v>772435593</v>
      </c>
      <c r="H57" s="131" t="s">
        <v>34</v>
      </c>
      <c r="I57" s="131" t="s">
        <v>18</v>
      </c>
      <c r="J57" s="130" t="s">
        <v>9</v>
      </c>
      <c r="K57" s="132">
        <v>8.52</v>
      </c>
      <c r="L57" s="132">
        <v>8.52</v>
      </c>
      <c r="M57" s="131">
        <v>0</v>
      </c>
      <c r="N57" s="133">
        <v>46054</v>
      </c>
      <c r="O57" s="3" t="b">
        <v>1</v>
      </c>
      <c r="P57" s="131"/>
      <c r="Q57" s="133"/>
      <c r="R57" s="131"/>
      <c r="Z57" s="134"/>
    </row>
    <row r="58" spans="1:26" s="130" customFormat="1" x14ac:dyDescent="0.25">
      <c r="A58" s="129" t="b">
        <v>0</v>
      </c>
      <c r="B58" s="129" t="s">
        <v>420</v>
      </c>
      <c r="C58" s="129" t="s">
        <v>47</v>
      </c>
      <c r="D58" s="130" t="s">
        <v>3</v>
      </c>
      <c r="E58" s="130" t="s">
        <v>212</v>
      </c>
      <c r="F58" s="130" t="s">
        <v>5</v>
      </c>
      <c r="G58" s="130">
        <v>876880626</v>
      </c>
      <c r="H58" s="131" t="s">
        <v>34</v>
      </c>
      <c r="I58" s="131" t="s">
        <v>18</v>
      </c>
      <c r="J58" s="130" t="s">
        <v>9</v>
      </c>
      <c r="K58" s="132">
        <v>8.52</v>
      </c>
      <c r="L58" s="132">
        <v>8.52</v>
      </c>
      <c r="M58" s="131">
        <v>0</v>
      </c>
      <c r="N58" s="133">
        <v>46054</v>
      </c>
      <c r="O58" s="3" t="b">
        <v>1</v>
      </c>
      <c r="P58" s="131"/>
      <c r="Q58" s="133"/>
      <c r="R58" s="131"/>
      <c r="Z58" s="131"/>
    </row>
    <row r="59" spans="1:26" s="130" customFormat="1" x14ac:dyDescent="0.25">
      <c r="A59" s="129" t="b">
        <v>0</v>
      </c>
      <c r="B59" s="129" t="s">
        <v>420</v>
      </c>
      <c r="C59" s="129" t="s">
        <v>47</v>
      </c>
      <c r="D59" s="130" t="s">
        <v>3</v>
      </c>
      <c r="E59" s="130" t="s">
        <v>213</v>
      </c>
      <c r="F59" s="130" t="s">
        <v>5</v>
      </c>
      <c r="G59" s="130">
        <v>887699064</v>
      </c>
      <c r="H59" s="131" t="s">
        <v>34</v>
      </c>
      <c r="I59" s="131" t="s">
        <v>18</v>
      </c>
      <c r="J59" s="130" t="s">
        <v>9</v>
      </c>
      <c r="K59" s="132">
        <v>8.52</v>
      </c>
      <c r="L59" s="132">
        <v>8.52</v>
      </c>
      <c r="M59" s="131">
        <v>0</v>
      </c>
      <c r="N59" s="133">
        <v>46054</v>
      </c>
      <c r="O59" s="3" t="b">
        <v>1</v>
      </c>
      <c r="P59" s="131"/>
      <c r="Q59" s="133"/>
      <c r="R59" s="131"/>
      <c r="Z59" s="131"/>
    </row>
    <row r="60" spans="1:26" s="130" customFormat="1" x14ac:dyDescent="0.25">
      <c r="A60" s="129" t="b">
        <v>0</v>
      </c>
      <c r="B60" s="129" t="s">
        <v>420</v>
      </c>
      <c r="C60" s="129" t="s">
        <v>47</v>
      </c>
      <c r="D60" s="130" t="s">
        <v>3</v>
      </c>
      <c r="E60" s="130" t="s">
        <v>214</v>
      </c>
      <c r="F60" s="130" t="s">
        <v>5</v>
      </c>
      <c r="G60" s="136">
        <v>751357003</v>
      </c>
      <c r="H60" s="131" t="s">
        <v>34</v>
      </c>
      <c r="I60" s="131" t="s">
        <v>18</v>
      </c>
      <c r="J60" s="130" t="s">
        <v>9</v>
      </c>
      <c r="K60" s="132">
        <v>8.52</v>
      </c>
      <c r="L60" s="132">
        <v>8.52</v>
      </c>
      <c r="M60" s="131">
        <v>0</v>
      </c>
      <c r="N60" s="133">
        <v>46054</v>
      </c>
      <c r="O60" s="3" t="b">
        <v>1</v>
      </c>
      <c r="P60" s="131"/>
      <c r="Q60" s="133"/>
      <c r="R60" s="131"/>
      <c r="Z60" s="131"/>
    </row>
    <row r="61" spans="1:26" s="130" customFormat="1" x14ac:dyDescent="0.25">
      <c r="A61" s="129" t="b">
        <v>0</v>
      </c>
      <c r="B61" s="129" t="s">
        <v>420</v>
      </c>
      <c r="C61" s="129" t="s">
        <v>47</v>
      </c>
      <c r="D61" s="130" t="s">
        <v>3</v>
      </c>
      <c r="E61" s="130" t="s">
        <v>410</v>
      </c>
      <c r="F61" s="130" t="s">
        <v>5</v>
      </c>
      <c r="G61" s="130">
        <v>907006434</v>
      </c>
      <c r="H61" s="131" t="s">
        <v>34</v>
      </c>
      <c r="I61" s="131" t="s">
        <v>18</v>
      </c>
      <c r="J61" s="130" t="s">
        <v>9</v>
      </c>
      <c r="K61" s="132">
        <v>8.52</v>
      </c>
      <c r="L61" s="132">
        <v>8.52</v>
      </c>
      <c r="M61" s="131">
        <v>0</v>
      </c>
      <c r="N61" s="133">
        <v>46054</v>
      </c>
      <c r="O61" s="3" t="b">
        <v>1</v>
      </c>
      <c r="P61" s="131"/>
      <c r="Q61" s="133"/>
      <c r="R61" s="131"/>
      <c r="Z61" s="134"/>
    </row>
    <row r="62" spans="1:26" s="130" customFormat="1" x14ac:dyDescent="0.25">
      <c r="A62" s="129" t="b">
        <v>0</v>
      </c>
      <c r="B62" s="129" t="s">
        <v>420</v>
      </c>
      <c r="C62" s="129" t="s">
        <v>47</v>
      </c>
      <c r="D62" s="130" t="s">
        <v>3</v>
      </c>
      <c r="E62" s="130" t="s">
        <v>411</v>
      </c>
      <c r="F62" s="130" t="s">
        <v>5</v>
      </c>
      <c r="G62" s="130">
        <v>918675725</v>
      </c>
      <c r="H62" s="131" t="s">
        <v>34</v>
      </c>
      <c r="I62" s="131" t="s">
        <v>18</v>
      </c>
      <c r="J62" s="130" t="s">
        <v>9</v>
      </c>
      <c r="K62" s="132">
        <v>8.52</v>
      </c>
      <c r="L62" s="132">
        <v>8.52</v>
      </c>
      <c r="M62" s="131">
        <v>0</v>
      </c>
      <c r="N62" s="133">
        <v>46054</v>
      </c>
      <c r="O62" s="3" t="b">
        <v>1</v>
      </c>
      <c r="P62" s="131"/>
      <c r="Q62" s="133"/>
      <c r="R62" s="131"/>
      <c r="Z62" s="134"/>
    </row>
    <row r="63" spans="1:26" s="20" customFormat="1" x14ac:dyDescent="0.25">
      <c r="A63" s="4" t="b">
        <v>0</v>
      </c>
      <c r="B63" s="4" t="s">
        <v>420</v>
      </c>
      <c r="C63" s="4" t="s">
        <v>18</v>
      </c>
      <c r="D63" s="2" t="s">
        <v>41</v>
      </c>
      <c r="E63" s="2" t="s">
        <v>12</v>
      </c>
      <c r="F63" s="2" t="s">
        <v>5</v>
      </c>
      <c r="G63" s="2">
        <v>677037663</v>
      </c>
      <c r="H63" s="3" t="s">
        <v>34</v>
      </c>
      <c r="I63" s="3" t="s">
        <v>18</v>
      </c>
      <c r="J63" s="2" t="s">
        <v>9</v>
      </c>
      <c r="K63" s="27">
        <v>5.4999999999999997E-3</v>
      </c>
      <c r="L63" s="27">
        <v>5.4999999999999997E-3</v>
      </c>
      <c r="M63" s="3">
        <v>0</v>
      </c>
      <c r="N63" s="54">
        <v>46054</v>
      </c>
      <c r="O63" s="3" t="b">
        <v>1</v>
      </c>
      <c r="P63" s="3"/>
      <c r="Q63" s="54"/>
      <c r="R63" s="3"/>
      <c r="Y63" s="2"/>
    </row>
    <row r="64" spans="1:26" s="20" customFormat="1" x14ac:dyDescent="0.25">
      <c r="A64" s="4" t="b">
        <v>0</v>
      </c>
      <c r="B64" s="4" t="s">
        <v>420</v>
      </c>
      <c r="C64" s="4" t="s">
        <v>18</v>
      </c>
      <c r="D64" s="2" t="s">
        <v>41</v>
      </c>
      <c r="E64" s="2" t="s">
        <v>13</v>
      </c>
      <c r="F64" s="2" t="s">
        <v>5</v>
      </c>
      <c r="G64" s="2">
        <v>677037658</v>
      </c>
      <c r="H64" s="3" t="s">
        <v>34</v>
      </c>
      <c r="I64" s="3" t="s">
        <v>18</v>
      </c>
      <c r="J64" s="2" t="s">
        <v>9</v>
      </c>
      <c r="K64" s="27">
        <v>5.4999999999999997E-3</v>
      </c>
      <c r="L64" s="27">
        <v>5.4999999999999997E-3</v>
      </c>
      <c r="M64" s="3">
        <v>0</v>
      </c>
      <c r="N64" s="54">
        <v>46054</v>
      </c>
      <c r="O64" s="3" t="b">
        <v>1</v>
      </c>
      <c r="P64" s="3"/>
      <c r="Q64" s="54"/>
      <c r="R64" s="3"/>
      <c r="Y64" s="2"/>
    </row>
    <row r="65" spans="1:25" s="20" customFormat="1" x14ac:dyDescent="0.25">
      <c r="A65" s="4" t="b">
        <v>0</v>
      </c>
      <c r="B65" s="4" t="s">
        <v>420</v>
      </c>
      <c r="C65" s="4" t="s">
        <v>18</v>
      </c>
      <c r="D65" s="2" t="s">
        <v>41</v>
      </c>
      <c r="E65" s="2" t="s">
        <v>14</v>
      </c>
      <c r="F65" s="2" t="s">
        <v>5</v>
      </c>
      <c r="G65" s="2">
        <v>677037676</v>
      </c>
      <c r="H65" s="3" t="s">
        <v>34</v>
      </c>
      <c r="I65" s="3" t="s">
        <v>18</v>
      </c>
      <c r="J65" s="2" t="s">
        <v>9</v>
      </c>
      <c r="K65" s="27">
        <v>5.4999999999999997E-3</v>
      </c>
      <c r="L65" s="27">
        <v>5.4999999999999997E-3</v>
      </c>
      <c r="M65" s="3">
        <v>0</v>
      </c>
      <c r="N65" s="54">
        <v>46054</v>
      </c>
      <c r="O65" s="3" t="b">
        <v>1</v>
      </c>
      <c r="P65" s="3"/>
      <c r="Q65" s="54"/>
      <c r="R65" s="3"/>
      <c r="Y65" s="2"/>
    </row>
    <row r="66" spans="1:25" s="20" customFormat="1" x14ac:dyDescent="0.25">
      <c r="A66" s="4" t="b">
        <v>0</v>
      </c>
      <c r="B66" s="4" t="s">
        <v>420</v>
      </c>
      <c r="C66" s="4" t="s">
        <v>18</v>
      </c>
      <c r="D66" s="2" t="s">
        <v>41</v>
      </c>
      <c r="E66" s="2" t="s">
        <v>18</v>
      </c>
      <c r="F66" s="2" t="s">
        <v>5</v>
      </c>
      <c r="G66" s="2">
        <v>741192224</v>
      </c>
      <c r="H66" s="3" t="s">
        <v>34</v>
      </c>
      <c r="I66" s="3" t="s">
        <v>18</v>
      </c>
      <c r="J66" s="2" t="s">
        <v>9</v>
      </c>
      <c r="K66" s="27">
        <v>5.4999999999999997E-3</v>
      </c>
      <c r="L66" s="27">
        <v>5.4999999999999997E-3</v>
      </c>
      <c r="M66" s="3">
        <v>0</v>
      </c>
      <c r="N66" s="54">
        <v>46054</v>
      </c>
      <c r="O66" s="3" t="b">
        <v>1</v>
      </c>
      <c r="P66" s="3"/>
      <c r="Q66" s="54"/>
      <c r="R66" s="3"/>
      <c r="Y66" s="2"/>
    </row>
    <row r="67" spans="1:25" s="20" customFormat="1" x14ac:dyDescent="0.25">
      <c r="A67" s="4" t="b">
        <v>0</v>
      </c>
      <c r="B67" s="4" t="s">
        <v>420</v>
      </c>
      <c r="C67" s="4" t="s">
        <v>18</v>
      </c>
      <c r="D67" s="2" t="s">
        <v>41</v>
      </c>
      <c r="E67" s="2" t="s">
        <v>15</v>
      </c>
      <c r="F67" s="2" t="s">
        <v>5</v>
      </c>
      <c r="G67" s="2">
        <v>676783288</v>
      </c>
      <c r="H67" s="3" t="s">
        <v>34</v>
      </c>
      <c r="I67" s="3" t="s">
        <v>18</v>
      </c>
      <c r="J67" s="2" t="s">
        <v>9</v>
      </c>
      <c r="K67" s="27">
        <v>5.4999999999999997E-3</v>
      </c>
      <c r="L67" s="27">
        <v>5.4999999999999997E-3</v>
      </c>
      <c r="M67" s="3">
        <v>0</v>
      </c>
      <c r="N67" s="54">
        <v>46054</v>
      </c>
      <c r="O67" s="3" t="b">
        <v>1</v>
      </c>
      <c r="P67" s="3"/>
      <c r="Q67" s="54"/>
      <c r="R67" s="3"/>
      <c r="Y67" s="2"/>
    </row>
    <row r="68" spans="1:25" s="20" customFormat="1" x14ac:dyDescent="0.25">
      <c r="A68" s="4" t="b">
        <v>0</v>
      </c>
      <c r="B68" s="4" t="s">
        <v>420</v>
      </c>
      <c r="C68" s="4" t="s">
        <v>18</v>
      </c>
      <c r="D68" s="2" t="s">
        <v>41</v>
      </c>
      <c r="E68" s="2" t="s">
        <v>16</v>
      </c>
      <c r="F68" s="2" t="s">
        <v>5</v>
      </c>
      <c r="G68" s="2">
        <v>676783282</v>
      </c>
      <c r="H68" s="3" t="s">
        <v>34</v>
      </c>
      <c r="I68" s="3" t="s">
        <v>18</v>
      </c>
      <c r="J68" s="2" t="s">
        <v>9</v>
      </c>
      <c r="K68" s="27">
        <v>5.4999999999999997E-3</v>
      </c>
      <c r="L68" s="27">
        <v>5.4999999999999997E-3</v>
      </c>
      <c r="M68" s="3">
        <v>0</v>
      </c>
      <c r="N68" s="54">
        <v>46054</v>
      </c>
      <c r="O68" s="3" t="b">
        <v>1</v>
      </c>
      <c r="P68" s="3"/>
      <c r="Q68" s="54"/>
      <c r="R68" s="3"/>
      <c r="Y68" s="2"/>
    </row>
    <row r="69" spans="1:25" s="20" customFormat="1" x14ac:dyDescent="0.25">
      <c r="A69" s="4" t="b">
        <v>0</v>
      </c>
      <c r="B69" s="4" t="s">
        <v>420</v>
      </c>
      <c r="C69" s="4" t="s">
        <v>18</v>
      </c>
      <c r="D69" s="2" t="s">
        <v>41</v>
      </c>
      <c r="E69" s="2" t="s">
        <v>21</v>
      </c>
      <c r="F69" s="2" t="s">
        <v>5</v>
      </c>
      <c r="G69" s="2">
        <v>676783301</v>
      </c>
      <c r="H69" s="3" t="s">
        <v>34</v>
      </c>
      <c r="I69" s="3" t="s">
        <v>18</v>
      </c>
      <c r="J69" s="2" t="s">
        <v>9</v>
      </c>
      <c r="K69" s="27">
        <v>5.4999999999999997E-3</v>
      </c>
      <c r="L69" s="27">
        <v>5.4999999999999997E-3</v>
      </c>
      <c r="M69" s="3">
        <v>0</v>
      </c>
      <c r="N69" s="54">
        <v>46054</v>
      </c>
      <c r="O69" s="3" t="b">
        <v>1</v>
      </c>
      <c r="P69" s="3"/>
      <c r="Q69" s="54"/>
      <c r="R69" s="3"/>
      <c r="Y69" s="2"/>
    </row>
    <row r="70" spans="1:25" s="20" customFormat="1" x14ac:dyDescent="0.25">
      <c r="A70" s="4" t="b">
        <v>0</v>
      </c>
      <c r="B70" s="4" t="s">
        <v>420</v>
      </c>
      <c r="C70" s="4" t="s">
        <v>18</v>
      </c>
      <c r="D70" s="2" t="s">
        <v>41</v>
      </c>
      <c r="E70" s="2" t="s">
        <v>17</v>
      </c>
      <c r="F70" s="2" t="s">
        <v>5</v>
      </c>
      <c r="G70" s="2">
        <v>349966059</v>
      </c>
      <c r="H70" s="3" t="s">
        <v>34</v>
      </c>
      <c r="I70" s="3" t="s">
        <v>18</v>
      </c>
      <c r="J70" s="2" t="s">
        <v>9</v>
      </c>
      <c r="K70" s="27">
        <v>5.4999999999999997E-3</v>
      </c>
      <c r="L70" s="27">
        <v>5.4999999999999997E-3</v>
      </c>
      <c r="M70" s="3">
        <v>0</v>
      </c>
      <c r="N70" s="54">
        <v>46054</v>
      </c>
      <c r="O70" s="3" t="b">
        <v>1</v>
      </c>
      <c r="P70" s="3"/>
      <c r="Q70" s="54"/>
      <c r="R70" s="3"/>
      <c r="Y70" s="2"/>
    </row>
    <row r="71" spans="1:25" s="20" customFormat="1" x14ac:dyDescent="0.25">
      <c r="A71" s="4" t="b">
        <v>0</v>
      </c>
      <c r="B71" s="4" t="s">
        <v>420</v>
      </c>
      <c r="C71" s="4" t="s">
        <v>18</v>
      </c>
      <c r="D71" s="2" t="s">
        <v>41</v>
      </c>
      <c r="E71" s="2" t="s">
        <v>43</v>
      </c>
      <c r="F71" s="2" t="s">
        <v>5</v>
      </c>
      <c r="G71" s="2">
        <v>677037670</v>
      </c>
      <c r="H71" s="3" t="s">
        <v>34</v>
      </c>
      <c r="I71" s="3" t="s">
        <v>18</v>
      </c>
      <c r="J71" s="2" t="s">
        <v>9</v>
      </c>
      <c r="K71" s="27">
        <v>5.4999999999999997E-3</v>
      </c>
      <c r="L71" s="27">
        <v>5.4999999999999997E-3</v>
      </c>
      <c r="M71" s="3">
        <v>0</v>
      </c>
      <c r="N71" s="54">
        <v>46054</v>
      </c>
      <c r="O71" s="3" t="b">
        <v>1</v>
      </c>
      <c r="P71" s="3"/>
      <c r="Q71" s="54"/>
      <c r="R71" s="3"/>
      <c r="Y71" s="2"/>
    </row>
    <row r="72" spans="1:25" s="20" customFormat="1" x14ac:dyDescent="0.25">
      <c r="A72" s="4" t="b">
        <v>0</v>
      </c>
      <c r="B72" s="4" t="s">
        <v>420</v>
      </c>
      <c r="C72" s="4" t="s">
        <v>18</v>
      </c>
      <c r="D72" s="2" t="s">
        <v>41</v>
      </c>
      <c r="E72" s="2" t="s">
        <v>4</v>
      </c>
      <c r="F72" s="2" t="s">
        <v>5</v>
      </c>
      <c r="G72" s="2">
        <v>677037673</v>
      </c>
      <c r="H72" s="3" t="s">
        <v>34</v>
      </c>
      <c r="I72" s="3" t="s">
        <v>18</v>
      </c>
      <c r="J72" s="2" t="s">
        <v>9</v>
      </c>
      <c r="K72" s="27">
        <v>5.4999999999999997E-3</v>
      </c>
      <c r="L72" s="27">
        <v>5.4999999999999997E-3</v>
      </c>
      <c r="M72" s="3">
        <v>0</v>
      </c>
      <c r="N72" s="54">
        <v>46054</v>
      </c>
      <c r="O72" s="3" t="b">
        <v>1</v>
      </c>
      <c r="P72" s="3"/>
      <c r="Q72" s="54"/>
      <c r="R72" s="3"/>
      <c r="Y72" s="2"/>
    </row>
    <row r="73" spans="1:25" s="20" customFormat="1" x14ac:dyDescent="0.25">
      <c r="A73" s="137" t="b">
        <v>0</v>
      </c>
      <c r="B73" s="137" t="s">
        <v>421</v>
      </c>
      <c r="C73" s="137" t="s">
        <v>422</v>
      </c>
      <c r="D73" s="138" t="s">
        <v>41</v>
      </c>
      <c r="E73" s="139" t="s">
        <v>258</v>
      </c>
      <c r="F73" s="138" t="s">
        <v>5</v>
      </c>
      <c r="G73" s="143">
        <v>25985141</v>
      </c>
      <c r="H73" s="140" t="s">
        <v>232</v>
      </c>
      <c r="I73" s="140" t="s">
        <v>232</v>
      </c>
      <c r="J73" s="138" t="s">
        <v>9</v>
      </c>
      <c r="K73" s="141">
        <v>5.4999999999999997E-3</v>
      </c>
      <c r="L73" s="141">
        <v>5.4999999999999997E-3</v>
      </c>
      <c r="M73" s="140">
        <v>0</v>
      </c>
      <c r="N73" s="142">
        <v>46054</v>
      </c>
      <c r="O73" s="3" t="b">
        <v>1</v>
      </c>
      <c r="P73" s="3"/>
      <c r="Q73" s="54"/>
      <c r="R73" s="3"/>
      <c r="Y73" s="2"/>
    </row>
    <row r="74" spans="1:25" s="20" customFormat="1" x14ac:dyDescent="0.25">
      <c r="A74" s="137" t="b">
        <v>0</v>
      </c>
      <c r="B74" s="137" t="s">
        <v>421</v>
      </c>
      <c r="C74" s="137" t="s">
        <v>423</v>
      </c>
      <c r="D74" s="138" t="s">
        <v>41</v>
      </c>
      <c r="E74" s="139" t="s">
        <v>215</v>
      </c>
      <c r="F74" s="138" t="s">
        <v>5</v>
      </c>
      <c r="G74" s="143">
        <v>229725522</v>
      </c>
      <c r="H74" s="140" t="s">
        <v>232</v>
      </c>
      <c r="I74" s="140" t="s">
        <v>232</v>
      </c>
      <c r="J74" s="138" t="s">
        <v>9</v>
      </c>
      <c r="K74" s="141">
        <v>5.4999999999999997E-3</v>
      </c>
      <c r="L74" s="141">
        <v>5.4999999999999997E-3</v>
      </c>
      <c r="M74" s="140">
        <v>0</v>
      </c>
      <c r="N74" s="142">
        <v>46054</v>
      </c>
      <c r="O74" s="3" t="b">
        <v>1</v>
      </c>
      <c r="P74" s="3"/>
      <c r="Q74" s="54"/>
      <c r="R74" s="3"/>
      <c r="Y74" s="2"/>
    </row>
    <row r="75" spans="1:25" s="20" customFormat="1" x14ac:dyDescent="0.25">
      <c r="A75" s="137" t="b">
        <v>0</v>
      </c>
      <c r="B75" s="137" t="s">
        <v>421</v>
      </c>
      <c r="C75" s="137" t="s">
        <v>422</v>
      </c>
      <c r="D75" s="138" t="s">
        <v>41</v>
      </c>
      <c r="E75" s="139" t="s">
        <v>259</v>
      </c>
      <c r="F75" s="138" t="s">
        <v>5</v>
      </c>
      <c r="G75" s="143">
        <v>43645828</v>
      </c>
      <c r="H75" s="140" t="s">
        <v>232</v>
      </c>
      <c r="I75" s="140" t="s">
        <v>232</v>
      </c>
      <c r="J75" s="138" t="s">
        <v>9</v>
      </c>
      <c r="K75" s="141">
        <v>5.4999999999999997E-3</v>
      </c>
      <c r="L75" s="141">
        <v>5.4999999999999997E-3</v>
      </c>
      <c r="M75" s="140">
        <v>0</v>
      </c>
      <c r="N75" s="142">
        <v>46054</v>
      </c>
      <c r="O75" s="3" t="b">
        <v>1</v>
      </c>
      <c r="P75" s="3"/>
      <c r="Q75" s="54"/>
      <c r="R75" s="3"/>
      <c r="Y75" s="2"/>
    </row>
    <row r="76" spans="1:25" s="20" customFormat="1" x14ac:dyDescent="0.25">
      <c r="A76" s="137" t="b">
        <v>0</v>
      </c>
      <c r="B76" s="137" t="s">
        <v>421</v>
      </c>
      <c r="C76" s="137" t="s">
        <v>424</v>
      </c>
      <c r="D76" s="138" t="s">
        <v>41</v>
      </c>
      <c r="E76" s="139" t="s">
        <v>271</v>
      </c>
      <c r="F76" s="138" t="s">
        <v>5</v>
      </c>
      <c r="G76" s="143">
        <v>128835017</v>
      </c>
      <c r="H76" s="140" t="s">
        <v>232</v>
      </c>
      <c r="I76" s="140" t="s">
        <v>232</v>
      </c>
      <c r="J76" s="138" t="s">
        <v>9</v>
      </c>
      <c r="K76" s="141">
        <v>5.4999999999999997E-3</v>
      </c>
      <c r="L76" s="141">
        <v>5.4999999999999997E-3</v>
      </c>
      <c r="M76" s="140">
        <v>0</v>
      </c>
      <c r="N76" s="142">
        <v>46054</v>
      </c>
      <c r="O76" s="3" t="b">
        <v>1</v>
      </c>
      <c r="P76" s="3"/>
      <c r="Q76" s="54"/>
      <c r="R76" s="3"/>
      <c r="Y76" s="2"/>
    </row>
    <row r="77" spans="1:25" s="20" customFormat="1" x14ac:dyDescent="0.25">
      <c r="A77" s="137" t="b">
        <v>0</v>
      </c>
      <c r="B77" s="137" t="s">
        <v>421</v>
      </c>
      <c r="C77" s="137" t="s">
        <v>425</v>
      </c>
      <c r="D77" s="138" t="s">
        <v>41</v>
      </c>
      <c r="E77" s="139" t="s">
        <v>272</v>
      </c>
      <c r="F77" s="138" t="s">
        <v>5</v>
      </c>
      <c r="G77" s="143">
        <v>46577293</v>
      </c>
      <c r="H77" s="140" t="s">
        <v>232</v>
      </c>
      <c r="I77" s="140" t="s">
        <v>232</v>
      </c>
      <c r="J77" s="138" t="s">
        <v>9</v>
      </c>
      <c r="K77" s="141">
        <v>5.4999999999999997E-3</v>
      </c>
      <c r="L77" s="141">
        <v>5.4999999999999997E-3</v>
      </c>
      <c r="M77" s="140">
        <v>0</v>
      </c>
      <c r="N77" s="142">
        <v>46054</v>
      </c>
      <c r="O77" s="3" t="b">
        <v>1</v>
      </c>
      <c r="P77" s="3"/>
      <c r="Q77" s="54"/>
      <c r="R77" s="3"/>
      <c r="Y77" s="2"/>
    </row>
    <row r="78" spans="1:25" s="20" customFormat="1" x14ac:dyDescent="0.25">
      <c r="A78" s="137" t="b">
        <v>0</v>
      </c>
      <c r="B78" s="137" t="s">
        <v>421</v>
      </c>
      <c r="C78" s="137" t="s">
        <v>426</v>
      </c>
      <c r="D78" s="138" t="s">
        <v>41</v>
      </c>
      <c r="E78" s="139" t="s">
        <v>273</v>
      </c>
      <c r="F78" s="138" t="s">
        <v>5</v>
      </c>
      <c r="G78" s="143">
        <v>46576893</v>
      </c>
      <c r="H78" s="140" t="s">
        <v>232</v>
      </c>
      <c r="I78" s="140" t="s">
        <v>232</v>
      </c>
      <c r="J78" s="138" t="s">
        <v>9</v>
      </c>
      <c r="K78" s="141">
        <v>5.4999999999999997E-3</v>
      </c>
      <c r="L78" s="141">
        <v>5.4999999999999997E-3</v>
      </c>
      <c r="M78" s="140">
        <v>0</v>
      </c>
      <c r="N78" s="142">
        <v>46054</v>
      </c>
      <c r="O78" s="3" t="b">
        <v>1</v>
      </c>
      <c r="P78" s="3"/>
      <c r="Q78" s="54"/>
      <c r="R78" s="3"/>
      <c r="Y78" s="2"/>
    </row>
    <row r="79" spans="1:25" s="20" customFormat="1" x14ac:dyDescent="0.25">
      <c r="A79" s="137" t="b">
        <v>0</v>
      </c>
      <c r="B79" s="137" t="s">
        <v>421</v>
      </c>
      <c r="C79" s="137" t="s">
        <v>427</v>
      </c>
      <c r="D79" s="138" t="s">
        <v>41</v>
      </c>
      <c r="E79" s="139" t="s">
        <v>255</v>
      </c>
      <c r="F79" s="138" t="s">
        <v>5</v>
      </c>
      <c r="G79" s="143">
        <v>79360027</v>
      </c>
      <c r="H79" s="140" t="s">
        <v>232</v>
      </c>
      <c r="I79" s="140" t="s">
        <v>232</v>
      </c>
      <c r="J79" s="138" t="s">
        <v>9</v>
      </c>
      <c r="K79" s="141">
        <v>5.4999999999999997E-3</v>
      </c>
      <c r="L79" s="141">
        <v>5.4999999999999997E-3</v>
      </c>
      <c r="M79" s="140">
        <v>0</v>
      </c>
      <c r="N79" s="142">
        <v>46054</v>
      </c>
      <c r="O79" s="3" t="b">
        <v>1</v>
      </c>
      <c r="P79" s="3"/>
      <c r="Q79" s="54"/>
      <c r="R79" s="3"/>
      <c r="Y79" s="2"/>
    </row>
    <row r="80" spans="1:25" s="20" customFormat="1" x14ac:dyDescent="0.25">
      <c r="A80" s="137" t="b">
        <v>0</v>
      </c>
      <c r="B80" s="137" t="s">
        <v>421</v>
      </c>
      <c r="C80" s="137" t="s">
        <v>428</v>
      </c>
      <c r="D80" s="138" t="s">
        <v>41</v>
      </c>
      <c r="E80" s="139" t="s">
        <v>216</v>
      </c>
      <c r="F80" s="138" t="s">
        <v>5</v>
      </c>
      <c r="G80" s="143">
        <v>59354075</v>
      </c>
      <c r="H80" s="140" t="s">
        <v>232</v>
      </c>
      <c r="I80" s="140" t="s">
        <v>232</v>
      </c>
      <c r="J80" s="138" t="s">
        <v>9</v>
      </c>
      <c r="K80" s="141">
        <v>5.4999999999999997E-3</v>
      </c>
      <c r="L80" s="141">
        <v>5.4999999999999997E-3</v>
      </c>
      <c r="M80" s="140">
        <v>0</v>
      </c>
      <c r="N80" s="142">
        <v>46054</v>
      </c>
      <c r="O80" s="3" t="b">
        <v>1</v>
      </c>
      <c r="P80" s="3"/>
      <c r="Q80" s="54"/>
      <c r="R80" s="3"/>
      <c r="Y80" s="2"/>
    </row>
    <row r="81" spans="1:25" s="20" customFormat="1" x14ac:dyDescent="0.25">
      <c r="A81" s="137" t="b">
        <v>0</v>
      </c>
      <c r="B81" s="137" t="s">
        <v>421</v>
      </c>
      <c r="C81" s="137" t="s">
        <v>429</v>
      </c>
      <c r="D81" s="138" t="s">
        <v>41</v>
      </c>
      <c r="E81" s="139" t="s">
        <v>274</v>
      </c>
      <c r="F81" s="138" t="s">
        <v>5</v>
      </c>
      <c r="G81" s="143">
        <v>47649504</v>
      </c>
      <c r="H81" s="140" t="s">
        <v>232</v>
      </c>
      <c r="I81" s="140" t="s">
        <v>232</v>
      </c>
      <c r="J81" s="138" t="s">
        <v>9</v>
      </c>
      <c r="K81" s="141">
        <v>5.4999999999999997E-3</v>
      </c>
      <c r="L81" s="141">
        <v>5.4999999999999997E-3</v>
      </c>
      <c r="M81" s="140">
        <v>0</v>
      </c>
      <c r="N81" s="142">
        <v>46054</v>
      </c>
      <c r="O81" s="3" t="b">
        <v>1</v>
      </c>
      <c r="P81" s="3"/>
      <c r="Q81" s="54"/>
      <c r="R81" s="3"/>
      <c r="Y81" s="2"/>
    </row>
    <row r="82" spans="1:25" s="96" customFormat="1" x14ac:dyDescent="0.25">
      <c r="A82" s="204" t="b">
        <v>0</v>
      </c>
      <c r="B82" s="204" t="s">
        <v>421</v>
      </c>
      <c r="C82" s="204" t="s">
        <v>430</v>
      </c>
      <c r="D82" s="205" t="s">
        <v>41</v>
      </c>
      <c r="E82" s="206" t="s">
        <v>275</v>
      </c>
      <c r="F82" s="205" t="s">
        <v>5</v>
      </c>
      <c r="G82" s="207">
        <v>337332930</v>
      </c>
      <c r="H82" s="208" t="s">
        <v>232</v>
      </c>
      <c r="I82" s="208" t="s">
        <v>232</v>
      </c>
      <c r="J82" s="205" t="s">
        <v>9</v>
      </c>
      <c r="K82" s="209">
        <v>5.4999999999999997E-3</v>
      </c>
      <c r="L82" s="209">
        <v>5.4999999999999997E-3</v>
      </c>
      <c r="M82" s="208">
        <v>0</v>
      </c>
      <c r="N82" s="210">
        <v>46054</v>
      </c>
      <c r="O82" s="100" t="b">
        <v>0</v>
      </c>
      <c r="P82" s="100"/>
      <c r="Q82" s="101"/>
      <c r="R82" s="100"/>
      <c r="Y82" s="85"/>
    </row>
    <row r="83" spans="1:25" s="20" customFormat="1" x14ac:dyDescent="0.25">
      <c r="A83" s="137" t="b">
        <v>0</v>
      </c>
      <c r="B83" s="137" t="s">
        <v>421</v>
      </c>
      <c r="C83" s="137" t="s">
        <v>423</v>
      </c>
      <c r="D83" s="138" t="s">
        <v>41</v>
      </c>
      <c r="E83" s="139" t="s">
        <v>217</v>
      </c>
      <c r="F83" s="138" t="s">
        <v>5</v>
      </c>
      <c r="G83" s="143">
        <v>236855028</v>
      </c>
      <c r="H83" s="140" t="s">
        <v>232</v>
      </c>
      <c r="I83" s="140" t="s">
        <v>232</v>
      </c>
      <c r="J83" s="138" t="s">
        <v>9</v>
      </c>
      <c r="K83" s="141">
        <v>5.4999999999999997E-3</v>
      </c>
      <c r="L83" s="141">
        <v>5.4999999999999997E-3</v>
      </c>
      <c r="M83" s="140">
        <v>0</v>
      </c>
      <c r="N83" s="142">
        <v>46054</v>
      </c>
      <c r="O83" s="3" t="b">
        <v>1</v>
      </c>
      <c r="P83" s="3"/>
      <c r="Q83" s="54"/>
      <c r="R83" s="3"/>
      <c r="Y83" s="2"/>
    </row>
    <row r="84" spans="1:25" s="20" customFormat="1" x14ac:dyDescent="0.25">
      <c r="A84" s="137" t="b">
        <v>0</v>
      </c>
      <c r="B84" s="137" t="s">
        <v>421</v>
      </c>
      <c r="C84" s="137" t="s">
        <v>431</v>
      </c>
      <c r="D84" s="138" t="s">
        <v>41</v>
      </c>
      <c r="E84" s="139" t="s">
        <v>260</v>
      </c>
      <c r="F84" s="138" t="s">
        <v>5</v>
      </c>
      <c r="G84" s="143">
        <v>43652089</v>
      </c>
      <c r="H84" s="140" t="s">
        <v>232</v>
      </c>
      <c r="I84" s="140" t="s">
        <v>232</v>
      </c>
      <c r="J84" s="138" t="s">
        <v>9</v>
      </c>
      <c r="K84" s="141">
        <v>5.4999999999999997E-3</v>
      </c>
      <c r="L84" s="141">
        <v>5.4999999999999997E-3</v>
      </c>
      <c r="M84" s="140">
        <v>0</v>
      </c>
      <c r="N84" s="142">
        <v>46054</v>
      </c>
      <c r="O84" s="3" t="b">
        <v>1</v>
      </c>
      <c r="P84" s="3"/>
      <c r="Q84" s="54"/>
      <c r="R84" s="3"/>
      <c r="Y84" s="2"/>
    </row>
    <row r="85" spans="1:25" s="20" customFormat="1" x14ac:dyDescent="0.25">
      <c r="A85" s="137" t="b">
        <v>0</v>
      </c>
      <c r="B85" s="137" t="s">
        <v>421</v>
      </c>
      <c r="C85" s="137" t="s">
        <v>431</v>
      </c>
      <c r="D85" s="138" t="s">
        <v>41</v>
      </c>
      <c r="E85" s="139" t="s">
        <v>261</v>
      </c>
      <c r="F85" s="138" t="s">
        <v>5</v>
      </c>
      <c r="G85" s="143">
        <v>257944560</v>
      </c>
      <c r="H85" s="140" t="s">
        <v>232</v>
      </c>
      <c r="I85" s="140" t="s">
        <v>232</v>
      </c>
      <c r="J85" s="138" t="s">
        <v>9</v>
      </c>
      <c r="K85" s="141">
        <v>5.4999999999999997E-3</v>
      </c>
      <c r="L85" s="141">
        <v>5.4999999999999997E-3</v>
      </c>
      <c r="M85" s="140">
        <v>0</v>
      </c>
      <c r="N85" s="142">
        <v>46054</v>
      </c>
      <c r="O85" s="3" t="b">
        <v>1</v>
      </c>
      <c r="P85" s="3"/>
      <c r="Q85" s="54"/>
      <c r="R85" s="3"/>
      <c r="Y85" s="2"/>
    </row>
    <row r="86" spans="1:25" s="20" customFormat="1" x14ac:dyDescent="0.25">
      <c r="A86" s="137" t="b">
        <v>0</v>
      </c>
      <c r="B86" s="137" t="s">
        <v>421</v>
      </c>
      <c r="C86" s="137" t="s">
        <v>424</v>
      </c>
      <c r="D86" s="138" t="s">
        <v>41</v>
      </c>
      <c r="E86" s="139" t="s">
        <v>276</v>
      </c>
      <c r="F86" s="138" t="s">
        <v>5</v>
      </c>
      <c r="G86" s="143">
        <v>212290413</v>
      </c>
      <c r="H86" s="140" t="s">
        <v>232</v>
      </c>
      <c r="I86" s="140" t="s">
        <v>232</v>
      </c>
      <c r="J86" s="138" t="s">
        <v>9</v>
      </c>
      <c r="K86" s="141">
        <v>5.4999999999999997E-3</v>
      </c>
      <c r="L86" s="141">
        <v>5.4999999999999997E-3</v>
      </c>
      <c r="M86" s="140">
        <v>0</v>
      </c>
      <c r="N86" s="142">
        <v>46054</v>
      </c>
      <c r="O86" s="3" t="b">
        <v>1</v>
      </c>
      <c r="P86" s="3"/>
      <c r="Q86" s="54"/>
      <c r="R86" s="3"/>
      <c r="Y86" s="2"/>
    </row>
    <row r="87" spans="1:25" s="20" customFormat="1" x14ac:dyDescent="0.25">
      <c r="A87" s="137" t="b">
        <v>0</v>
      </c>
      <c r="B87" s="137" t="s">
        <v>421</v>
      </c>
      <c r="C87" s="137" t="s">
        <v>428</v>
      </c>
      <c r="D87" s="138" t="s">
        <v>41</v>
      </c>
      <c r="E87" s="139" t="s">
        <v>218</v>
      </c>
      <c r="F87" s="138" t="s">
        <v>5</v>
      </c>
      <c r="G87" s="143">
        <v>196234342</v>
      </c>
      <c r="H87" s="140" t="s">
        <v>232</v>
      </c>
      <c r="I87" s="140" t="s">
        <v>232</v>
      </c>
      <c r="J87" s="138" t="s">
        <v>9</v>
      </c>
      <c r="K87" s="141">
        <v>5.4999999999999997E-3</v>
      </c>
      <c r="L87" s="141">
        <v>5.4999999999999997E-3</v>
      </c>
      <c r="M87" s="140">
        <v>0</v>
      </c>
      <c r="N87" s="142">
        <v>46054</v>
      </c>
      <c r="O87" s="3" t="b">
        <v>1</v>
      </c>
      <c r="P87" s="3"/>
      <c r="Q87" s="54"/>
      <c r="R87" s="3"/>
      <c r="Y87" s="2"/>
    </row>
    <row r="88" spans="1:25" s="20" customFormat="1" x14ac:dyDescent="0.25">
      <c r="A88" s="137" t="b">
        <v>0</v>
      </c>
      <c r="B88" s="137" t="s">
        <v>421</v>
      </c>
      <c r="C88" s="137" t="s">
        <v>432</v>
      </c>
      <c r="D88" s="138" t="s">
        <v>41</v>
      </c>
      <c r="E88" s="139" t="s">
        <v>219</v>
      </c>
      <c r="F88" s="138" t="s">
        <v>5</v>
      </c>
      <c r="G88" s="143">
        <v>69342629</v>
      </c>
      <c r="H88" s="140" t="s">
        <v>232</v>
      </c>
      <c r="I88" s="140" t="s">
        <v>232</v>
      </c>
      <c r="J88" s="138" t="s">
        <v>9</v>
      </c>
      <c r="K88" s="141">
        <v>5.4999999999999997E-3</v>
      </c>
      <c r="L88" s="141">
        <v>5.4999999999999997E-3</v>
      </c>
      <c r="M88" s="140">
        <v>0</v>
      </c>
      <c r="N88" s="142">
        <v>46054</v>
      </c>
      <c r="O88" s="3" t="b">
        <v>1</v>
      </c>
      <c r="P88" s="3"/>
      <c r="Q88" s="54"/>
      <c r="R88" s="3"/>
      <c r="Y88" s="2"/>
    </row>
    <row r="89" spans="1:25" s="20" customFormat="1" x14ac:dyDescent="0.25">
      <c r="A89" s="137" t="b">
        <v>0</v>
      </c>
      <c r="B89" s="137" t="s">
        <v>421</v>
      </c>
      <c r="C89" s="137" t="s">
        <v>425</v>
      </c>
      <c r="D89" s="138" t="s">
        <v>41</v>
      </c>
      <c r="E89" s="139" t="s">
        <v>277</v>
      </c>
      <c r="F89" s="138" t="s">
        <v>5</v>
      </c>
      <c r="G89" s="143">
        <v>57482345</v>
      </c>
      <c r="H89" s="140" t="s">
        <v>232</v>
      </c>
      <c r="I89" s="140" t="s">
        <v>232</v>
      </c>
      <c r="J89" s="138" t="s">
        <v>9</v>
      </c>
      <c r="K89" s="141">
        <v>5.4999999999999997E-3</v>
      </c>
      <c r="L89" s="141">
        <v>5.4999999999999997E-3</v>
      </c>
      <c r="M89" s="140">
        <v>0</v>
      </c>
      <c r="N89" s="142">
        <v>46054</v>
      </c>
      <c r="O89" s="3" t="b">
        <v>1</v>
      </c>
      <c r="P89" s="3"/>
      <c r="Q89" s="54"/>
      <c r="R89" s="3"/>
      <c r="Y89" s="2"/>
    </row>
    <row r="90" spans="1:25" s="96" customFormat="1" x14ac:dyDescent="0.25">
      <c r="A90" s="204" t="b">
        <v>0</v>
      </c>
      <c r="B90" s="204" t="s">
        <v>421</v>
      </c>
      <c r="C90" s="204" t="s">
        <v>422</v>
      </c>
      <c r="D90" s="205" t="s">
        <v>41</v>
      </c>
      <c r="E90" s="206" t="s">
        <v>262</v>
      </c>
      <c r="F90" s="205" t="s">
        <v>5</v>
      </c>
      <c r="G90" s="207">
        <v>155518924</v>
      </c>
      <c r="H90" s="208" t="s">
        <v>232</v>
      </c>
      <c r="I90" s="208" t="s">
        <v>232</v>
      </c>
      <c r="J90" s="205" t="s">
        <v>9</v>
      </c>
      <c r="K90" s="209">
        <v>5.4999999999999997E-3</v>
      </c>
      <c r="L90" s="209">
        <v>5.4999999999999997E-3</v>
      </c>
      <c r="M90" s="208">
        <v>0</v>
      </c>
      <c r="N90" s="210">
        <v>46054</v>
      </c>
      <c r="O90" s="100" t="b">
        <v>0</v>
      </c>
      <c r="P90" s="100"/>
      <c r="Q90" s="101"/>
      <c r="R90" s="100"/>
      <c r="Y90" s="85"/>
    </row>
    <row r="91" spans="1:25" s="20" customFormat="1" x14ac:dyDescent="0.25">
      <c r="A91" s="137" t="b">
        <v>0</v>
      </c>
      <c r="B91" s="137" t="s">
        <v>421</v>
      </c>
      <c r="C91" s="137" t="s">
        <v>431</v>
      </c>
      <c r="D91" s="138" t="s">
        <v>41</v>
      </c>
      <c r="E91" s="139" t="s">
        <v>263</v>
      </c>
      <c r="F91" s="138" t="s">
        <v>5</v>
      </c>
      <c r="G91" s="143">
        <v>356312840</v>
      </c>
      <c r="H91" s="140" t="s">
        <v>232</v>
      </c>
      <c r="I91" s="140" t="s">
        <v>232</v>
      </c>
      <c r="J91" s="138" t="s">
        <v>9</v>
      </c>
      <c r="K91" s="141">
        <v>5.4999999999999997E-3</v>
      </c>
      <c r="L91" s="141">
        <v>5.4999999999999997E-3</v>
      </c>
      <c r="M91" s="140">
        <v>0</v>
      </c>
      <c r="N91" s="142">
        <v>46054</v>
      </c>
      <c r="O91" s="3" t="b">
        <v>1</v>
      </c>
      <c r="P91" s="3"/>
      <c r="Q91" s="54"/>
      <c r="R91" s="3"/>
      <c r="Y91" s="2"/>
    </row>
    <row r="92" spans="1:25" s="96" customFormat="1" x14ac:dyDescent="0.25">
      <c r="A92" s="204" t="b">
        <v>0</v>
      </c>
      <c r="B92" s="204" t="s">
        <v>421</v>
      </c>
      <c r="C92" s="204" t="s">
        <v>427</v>
      </c>
      <c r="D92" s="205" t="s">
        <v>41</v>
      </c>
      <c r="E92" s="206" t="s">
        <v>256</v>
      </c>
      <c r="F92" s="205" t="s">
        <v>5</v>
      </c>
      <c r="G92" s="207">
        <v>15547816</v>
      </c>
      <c r="H92" s="208" t="s">
        <v>232</v>
      </c>
      <c r="I92" s="208" t="s">
        <v>232</v>
      </c>
      <c r="J92" s="205" t="s">
        <v>9</v>
      </c>
      <c r="K92" s="209">
        <v>5.4999999999999997E-3</v>
      </c>
      <c r="L92" s="209">
        <v>5.4999999999999997E-3</v>
      </c>
      <c r="M92" s="208">
        <v>0</v>
      </c>
      <c r="N92" s="210">
        <v>46054</v>
      </c>
      <c r="O92" s="100" t="b">
        <v>0</v>
      </c>
      <c r="P92" s="100"/>
      <c r="Q92" s="101"/>
      <c r="R92" s="100"/>
      <c r="Y92" s="85"/>
    </row>
    <row r="93" spans="1:25" s="20" customFormat="1" x14ac:dyDescent="0.25">
      <c r="A93" s="137" t="b">
        <v>0</v>
      </c>
      <c r="B93" s="137" t="s">
        <v>421</v>
      </c>
      <c r="C93" s="137" t="s">
        <v>433</v>
      </c>
      <c r="D93" s="138" t="s">
        <v>41</v>
      </c>
      <c r="E93" s="139" t="s">
        <v>220</v>
      </c>
      <c r="F93" s="138" t="s">
        <v>5</v>
      </c>
      <c r="G93" s="143">
        <v>43283708</v>
      </c>
      <c r="H93" s="140" t="s">
        <v>232</v>
      </c>
      <c r="I93" s="140" t="s">
        <v>232</v>
      </c>
      <c r="J93" s="138" t="s">
        <v>9</v>
      </c>
      <c r="K93" s="141">
        <v>5.4999999999999997E-3</v>
      </c>
      <c r="L93" s="141">
        <v>5.4999999999999997E-3</v>
      </c>
      <c r="M93" s="140">
        <v>0</v>
      </c>
      <c r="N93" s="142">
        <v>46054</v>
      </c>
      <c r="O93" s="3" t="b">
        <v>1</v>
      </c>
      <c r="P93" s="3"/>
      <c r="Q93" s="54"/>
      <c r="R93" s="3"/>
      <c r="Y93" s="2"/>
    </row>
    <row r="94" spans="1:25" s="20" customFormat="1" x14ac:dyDescent="0.25">
      <c r="A94" s="137" t="b">
        <v>0</v>
      </c>
      <c r="B94" s="137" t="s">
        <v>421</v>
      </c>
      <c r="C94" s="137" t="s">
        <v>434</v>
      </c>
      <c r="D94" s="138" t="s">
        <v>41</v>
      </c>
      <c r="E94" s="139" t="s">
        <v>221</v>
      </c>
      <c r="F94" s="138" t="s">
        <v>5</v>
      </c>
      <c r="G94" s="143">
        <v>46104034</v>
      </c>
      <c r="H94" s="140" t="s">
        <v>232</v>
      </c>
      <c r="I94" s="140" t="s">
        <v>232</v>
      </c>
      <c r="J94" s="138" t="s">
        <v>9</v>
      </c>
      <c r="K94" s="141">
        <v>5.4999999999999997E-3</v>
      </c>
      <c r="L94" s="141">
        <v>5.4999999999999997E-3</v>
      </c>
      <c r="M94" s="140">
        <v>0</v>
      </c>
      <c r="N94" s="142">
        <v>46054</v>
      </c>
      <c r="O94" s="3" t="b">
        <v>1</v>
      </c>
      <c r="P94" s="3"/>
      <c r="Q94" s="54"/>
      <c r="R94" s="3"/>
      <c r="Y94" s="2"/>
    </row>
    <row r="95" spans="1:25" s="96" customFormat="1" x14ac:dyDescent="0.25">
      <c r="A95" s="204" t="b">
        <v>0</v>
      </c>
      <c r="B95" s="204" t="s">
        <v>421</v>
      </c>
      <c r="C95" s="204" t="s">
        <v>429</v>
      </c>
      <c r="D95" s="205" t="s">
        <v>41</v>
      </c>
      <c r="E95" s="206" t="s">
        <v>280</v>
      </c>
      <c r="F95" s="205" t="s">
        <v>5</v>
      </c>
      <c r="G95" s="207">
        <v>319355940</v>
      </c>
      <c r="H95" s="208" t="s">
        <v>232</v>
      </c>
      <c r="I95" s="208" t="s">
        <v>232</v>
      </c>
      <c r="J95" s="205" t="s">
        <v>9</v>
      </c>
      <c r="K95" s="209">
        <v>5.4999999999999997E-3</v>
      </c>
      <c r="L95" s="209">
        <v>5.4999999999999997E-3</v>
      </c>
      <c r="M95" s="208">
        <v>0</v>
      </c>
      <c r="N95" s="210">
        <v>46054</v>
      </c>
      <c r="O95" s="100" t="b">
        <v>0</v>
      </c>
      <c r="P95" s="100"/>
      <c r="Q95" s="101"/>
      <c r="R95" s="100"/>
      <c r="Y95" s="85"/>
    </row>
    <row r="96" spans="1:25" s="20" customFormat="1" x14ac:dyDescent="0.25">
      <c r="A96" s="137" t="b">
        <v>0</v>
      </c>
      <c r="B96" s="137" t="s">
        <v>421</v>
      </c>
      <c r="C96" s="137" t="s">
        <v>435</v>
      </c>
      <c r="D96" s="138" t="s">
        <v>41</v>
      </c>
      <c r="E96" s="139" t="s">
        <v>278</v>
      </c>
      <c r="F96" s="138" t="s">
        <v>5</v>
      </c>
      <c r="G96" s="143">
        <v>41037032</v>
      </c>
      <c r="H96" s="140" t="s">
        <v>232</v>
      </c>
      <c r="I96" s="140" t="s">
        <v>232</v>
      </c>
      <c r="J96" s="138" t="s">
        <v>9</v>
      </c>
      <c r="K96" s="141">
        <v>5.4999999999999997E-3</v>
      </c>
      <c r="L96" s="141">
        <v>5.4999999999999997E-3</v>
      </c>
      <c r="M96" s="140">
        <v>0</v>
      </c>
      <c r="N96" s="142">
        <v>46054</v>
      </c>
      <c r="O96" s="3" t="b">
        <v>1</v>
      </c>
      <c r="P96" s="3"/>
      <c r="Q96" s="54"/>
      <c r="R96" s="3"/>
      <c r="Y96" s="2"/>
    </row>
    <row r="97" spans="1:25" s="20" customFormat="1" x14ac:dyDescent="0.25">
      <c r="A97" s="137" t="b">
        <v>0</v>
      </c>
      <c r="B97" s="137" t="s">
        <v>421</v>
      </c>
      <c r="C97" s="137" t="s">
        <v>435</v>
      </c>
      <c r="D97" s="138" t="s">
        <v>41</v>
      </c>
      <c r="E97" s="139" t="s">
        <v>279</v>
      </c>
      <c r="F97" s="138" t="s">
        <v>5</v>
      </c>
      <c r="G97" s="143">
        <v>288871046</v>
      </c>
      <c r="H97" s="140" t="s">
        <v>232</v>
      </c>
      <c r="I97" s="140" t="s">
        <v>232</v>
      </c>
      <c r="J97" s="138" t="s">
        <v>9</v>
      </c>
      <c r="K97" s="141">
        <v>5.4999999999999997E-3</v>
      </c>
      <c r="L97" s="141">
        <v>5.4999999999999997E-3</v>
      </c>
      <c r="M97" s="140">
        <v>0</v>
      </c>
      <c r="N97" s="142">
        <v>46054</v>
      </c>
      <c r="O97" s="3" t="b">
        <v>1</v>
      </c>
      <c r="P97" s="3"/>
      <c r="Q97" s="54"/>
      <c r="R97" s="3"/>
      <c r="Y97" s="2"/>
    </row>
    <row r="98" spans="1:25" s="20" customFormat="1" x14ac:dyDescent="0.25">
      <c r="A98" s="137" t="b">
        <v>0</v>
      </c>
      <c r="B98" s="137" t="s">
        <v>421</v>
      </c>
      <c r="C98" s="137" t="s">
        <v>436</v>
      </c>
      <c r="D98" s="138" t="s">
        <v>41</v>
      </c>
      <c r="E98" s="139" t="s">
        <v>222</v>
      </c>
      <c r="F98" s="138" t="s">
        <v>5</v>
      </c>
      <c r="G98" s="143">
        <v>386752912</v>
      </c>
      <c r="H98" s="140" t="s">
        <v>232</v>
      </c>
      <c r="I98" s="140" t="s">
        <v>232</v>
      </c>
      <c r="J98" s="138" t="s">
        <v>9</v>
      </c>
      <c r="K98" s="141">
        <v>5.4999999999999997E-3</v>
      </c>
      <c r="L98" s="141">
        <v>5.4999999999999997E-3</v>
      </c>
      <c r="M98" s="140">
        <v>0</v>
      </c>
      <c r="N98" s="142">
        <v>46054</v>
      </c>
      <c r="O98" s="3" t="b">
        <v>1</v>
      </c>
      <c r="P98" s="3"/>
      <c r="Q98" s="54"/>
      <c r="R98" s="3"/>
      <c r="Y98" s="2"/>
    </row>
    <row r="99" spans="1:25" s="20" customFormat="1" x14ac:dyDescent="0.25">
      <c r="A99" s="137" t="b">
        <v>0</v>
      </c>
      <c r="B99" s="137" t="s">
        <v>421</v>
      </c>
      <c r="C99" s="137" t="s">
        <v>422</v>
      </c>
      <c r="D99" s="138" t="s">
        <v>41</v>
      </c>
      <c r="E99" s="139" t="s">
        <v>264</v>
      </c>
      <c r="F99" s="138" t="s">
        <v>5</v>
      </c>
      <c r="G99" s="143">
        <v>90832064</v>
      </c>
      <c r="H99" s="140" t="s">
        <v>232</v>
      </c>
      <c r="I99" s="140" t="s">
        <v>232</v>
      </c>
      <c r="J99" s="138" t="s">
        <v>9</v>
      </c>
      <c r="K99" s="141">
        <v>5.4999999999999997E-3</v>
      </c>
      <c r="L99" s="141">
        <v>5.4999999999999997E-3</v>
      </c>
      <c r="M99" s="140">
        <v>0</v>
      </c>
      <c r="N99" s="142">
        <v>46054</v>
      </c>
      <c r="O99" s="3" t="b">
        <v>1</v>
      </c>
      <c r="P99" s="3"/>
      <c r="Q99" s="54"/>
      <c r="R99" s="3"/>
      <c r="Y99" s="2"/>
    </row>
    <row r="100" spans="1:25" s="20" customFormat="1" x14ac:dyDescent="0.25">
      <c r="A100" s="137" t="b">
        <v>0</v>
      </c>
      <c r="B100" s="137" t="s">
        <v>421</v>
      </c>
      <c r="C100" s="137" t="s">
        <v>431</v>
      </c>
      <c r="D100" s="138" t="s">
        <v>41</v>
      </c>
      <c r="E100" s="139" t="s">
        <v>265</v>
      </c>
      <c r="F100" s="138" t="s">
        <v>5</v>
      </c>
      <c r="G100" s="143">
        <v>641561653</v>
      </c>
      <c r="H100" s="140" t="s">
        <v>232</v>
      </c>
      <c r="I100" s="140" t="s">
        <v>232</v>
      </c>
      <c r="J100" s="138" t="s">
        <v>9</v>
      </c>
      <c r="K100" s="141">
        <v>5.4999999999999997E-3</v>
      </c>
      <c r="L100" s="141">
        <v>5.4999999999999997E-3</v>
      </c>
      <c r="M100" s="140">
        <v>0</v>
      </c>
      <c r="N100" s="142">
        <v>46054</v>
      </c>
      <c r="O100" s="3" t="b">
        <v>1</v>
      </c>
      <c r="P100" s="3"/>
      <c r="Q100" s="54"/>
      <c r="R100" s="3"/>
      <c r="Y100" s="2"/>
    </row>
    <row r="101" spans="1:25" s="20" customFormat="1" x14ac:dyDescent="0.25">
      <c r="A101" s="137" t="b">
        <v>0</v>
      </c>
      <c r="B101" s="137" t="s">
        <v>421</v>
      </c>
      <c r="C101" s="137" t="s">
        <v>422</v>
      </c>
      <c r="D101" s="138" t="s">
        <v>41</v>
      </c>
      <c r="E101" s="139" t="s">
        <v>266</v>
      </c>
      <c r="F101" s="138" t="s">
        <v>5</v>
      </c>
      <c r="G101" s="143">
        <v>45540687</v>
      </c>
      <c r="H101" s="140" t="s">
        <v>232</v>
      </c>
      <c r="I101" s="140" t="s">
        <v>232</v>
      </c>
      <c r="J101" s="138" t="s">
        <v>9</v>
      </c>
      <c r="K101" s="141">
        <v>5.4999999999999997E-3</v>
      </c>
      <c r="L101" s="141">
        <v>5.4999999999999997E-3</v>
      </c>
      <c r="M101" s="140">
        <v>0</v>
      </c>
      <c r="N101" s="142">
        <v>46054</v>
      </c>
      <c r="O101" s="3" t="b">
        <v>1</v>
      </c>
      <c r="P101" s="3"/>
      <c r="Q101" s="54"/>
      <c r="R101" s="3"/>
      <c r="Y101" s="2"/>
    </row>
    <row r="102" spans="1:25" s="20" customFormat="1" x14ac:dyDescent="0.25">
      <c r="A102" s="137" t="b">
        <v>0</v>
      </c>
      <c r="B102" s="137" t="s">
        <v>421</v>
      </c>
      <c r="C102" s="137" t="s">
        <v>427</v>
      </c>
      <c r="D102" s="138" t="s">
        <v>41</v>
      </c>
      <c r="E102" s="139" t="s">
        <v>269</v>
      </c>
      <c r="F102" s="138" t="s">
        <v>5</v>
      </c>
      <c r="G102" s="143">
        <v>86607525</v>
      </c>
      <c r="H102" s="140" t="s">
        <v>232</v>
      </c>
      <c r="I102" s="140" t="s">
        <v>232</v>
      </c>
      <c r="J102" s="138" t="s">
        <v>9</v>
      </c>
      <c r="K102" s="141">
        <v>5.4999999999999997E-3</v>
      </c>
      <c r="L102" s="141">
        <v>5.4999999999999997E-3</v>
      </c>
      <c r="M102" s="140">
        <v>0</v>
      </c>
      <c r="N102" s="142">
        <v>46054</v>
      </c>
      <c r="O102" s="3" t="b">
        <v>1</v>
      </c>
      <c r="P102" s="3"/>
      <c r="Q102" s="54"/>
      <c r="R102" s="3"/>
      <c r="Y102" s="2"/>
    </row>
    <row r="103" spans="1:25" s="20" customFormat="1" x14ac:dyDescent="0.25">
      <c r="A103" s="137" t="b">
        <v>0</v>
      </c>
      <c r="B103" s="137" t="s">
        <v>421</v>
      </c>
      <c r="C103" s="137" t="s">
        <v>431</v>
      </c>
      <c r="D103" s="138" t="s">
        <v>41</v>
      </c>
      <c r="E103" s="139" t="s">
        <v>267</v>
      </c>
      <c r="F103" s="138" t="s">
        <v>5</v>
      </c>
      <c r="G103" s="143">
        <v>109385195</v>
      </c>
      <c r="H103" s="140" t="s">
        <v>232</v>
      </c>
      <c r="I103" s="140" t="s">
        <v>232</v>
      </c>
      <c r="J103" s="138" t="s">
        <v>9</v>
      </c>
      <c r="K103" s="141">
        <v>5.4999999999999997E-3</v>
      </c>
      <c r="L103" s="141">
        <v>5.4999999999999997E-3</v>
      </c>
      <c r="M103" s="140">
        <v>0</v>
      </c>
      <c r="N103" s="142">
        <v>46054</v>
      </c>
      <c r="O103" s="3" t="b">
        <v>1</v>
      </c>
      <c r="P103" s="3"/>
      <c r="Q103" s="54"/>
      <c r="R103" s="3"/>
      <c r="Y103" s="2"/>
    </row>
    <row r="104" spans="1:25" s="20" customFormat="1" x14ac:dyDescent="0.25">
      <c r="A104" s="137" t="b">
        <v>0</v>
      </c>
      <c r="B104" s="137" t="s">
        <v>421</v>
      </c>
      <c r="C104" s="137" t="s">
        <v>432</v>
      </c>
      <c r="D104" s="138" t="s">
        <v>41</v>
      </c>
      <c r="E104" s="139" t="s">
        <v>223</v>
      </c>
      <c r="F104" s="138" t="s">
        <v>5</v>
      </c>
      <c r="G104" s="143">
        <v>57091568</v>
      </c>
      <c r="H104" s="140" t="s">
        <v>232</v>
      </c>
      <c r="I104" s="140" t="s">
        <v>232</v>
      </c>
      <c r="J104" s="138" t="s">
        <v>9</v>
      </c>
      <c r="K104" s="141">
        <v>5.4999999999999997E-3</v>
      </c>
      <c r="L104" s="141">
        <v>5.4999999999999997E-3</v>
      </c>
      <c r="M104" s="140">
        <v>0</v>
      </c>
      <c r="N104" s="142">
        <v>46054</v>
      </c>
      <c r="O104" s="3" t="b">
        <v>1</v>
      </c>
      <c r="P104" s="3"/>
      <c r="Q104" s="54"/>
      <c r="R104" s="3"/>
      <c r="Y104" s="2"/>
    </row>
    <row r="105" spans="1:25" s="20" customFormat="1" x14ac:dyDescent="0.25">
      <c r="A105" s="137" t="b">
        <v>0</v>
      </c>
      <c r="B105" s="137" t="s">
        <v>421</v>
      </c>
      <c r="C105" s="137" t="s">
        <v>433</v>
      </c>
      <c r="D105" s="138" t="s">
        <v>41</v>
      </c>
      <c r="E105" s="139" t="s">
        <v>224</v>
      </c>
      <c r="F105" s="138" t="s">
        <v>5</v>
      </c>
      <c r="G105" s="143">
        <v>57091583</v>
      </c>
      <c r="H105" s="140" t="s">
        <v>232</v>
      </c>
      <c r="I105" s="140" t="s">
        <v>232</v>
      </c>
      <c r="J105" s="138" t="s">
        <v>9</v>
      </c>
      <c r="K105" s="141">
        <v>5.4999999999999997E-3</v>
      </c>
      <c r="L105" s="141">
        <v>5.4999999999999997E-3</v>
      </c>
      <c r="M105" s="140">
        <v>0</v>
      </c>
      <c r="N105" s="142">
        <v>46054</v>
      </c>
      <c r="O105" s="3" t="b">
        <v>1</v>
      </c>
      <c r="P105" s="3"/>
      <c r="Q105" s="54"/>
      <c r="R105" s="3"/>
      <c r="Y105" s="2"/>
    </row>
    <row r="106" spans="1:25" s="20" customFormat="1" x14ac:dyDescent="0.25">
      <c r="A106" s="137" t="b">
        <v>0</v>
      </c>
      <c r="B106" s="137" t="s">
        <v>421</v>
      </c>
      <c r="C106" s="137" t="s">
        <v>436</v>
      </c>
      <c r="D106" s="138" t="s">
        <v>41</v>
      </c>
      <c r="E106" s="139" t="s">
        <v>225</v>
      </c>
      <c r="F106" s="138" t="s">
        <v>5</v>
      </c>
      <c r="G106" s="143">
        <v>45540689</v>
      </c>
      <c r="H106" s="140" t="s">
        <v>232</v>
      </c>
      <c r="I106" s="140" t="s">
        <v>232</v>
      </c>
      <c r="J106" s="138" t="s">
        <v>9</v>
      </c>
      <c r="K106" s="141">
        <v>5.4999999999999997E-3</v>
      </c>
      <c r="L106" s="141">
        <v>5.4999999999999997E-3</v>
      </c>
      <c r="M106" s="140">
        <v>0</v>
      </c>
      <c r="N106" s="142">
        <v>46054</v>
      </c>
      <c r="O106" s="3" t="b">
        <v>1</v>
      </c>
      <c r="P106" s="3"/>
      <c r="Q106" s="54"/>
      <c r="R106" s="3"/>
      <c r="Y106" s="2"/>
    </row>
    <row r="107" spans="1:25" s="20" customFormat="1" x14ac:dyDescent="0.25">
      <c r="A107" s="137" t="b">
        <v>0</v>
      </c>
      <c r="B107" s="137" t="s">
        <v>421</v>
      </c>
      <c r="C107" s="137" t="s">
        <v>434</v>
      </c>
      <c r="D107" s="138" t="s">
        <v>41</v>
      </c>
      <c r="E107" s="139" t="s">
        <v>226</v>
      </c>
      <c r="F107" s="138" t="s">
        <v>5</v>
      </c>
      <c r="G107" s="143">
        <v>225020107</v>
      </c>
      <c r="H107" s="140" t="s">
        <v>232</v>
      </c>
      <c r="I107" s="140" t="s">
        <v>232</v>
      </c>
      <c r="J107" s="138" t="s">
        <v>9</v>
      </c>
      <c r="K107" s="141">
        <v>5.4999999999999997E-3</v>
      </c>
      <c r="L107" s="141">
        <v>5.4999999999999997E-3</v>
      </c>
      <c r="M107" s="140">
        <v>0</v>
      </c>
      <c r="N107" s="142">
        <v>46054</v>
      </c>
      <c r="O107" s="3" t="b">
        <v>1</v>
      </c>
      <c r="P107" s="3"/>
      <c r="Q107" s="54"/>
      <c r="R107" s="3"/>
      <c r="Y107" s="2"/>
    </row>
    <row r="108" spans="1:25" s="96" customFormat="1" x14ac:dyDescent="0.25">
      <c r="A108" s="204" t="b">
        <v>0</v>
      </c>
      <c r="B108" s="204" t="s">
        <v>421</v>
      </c>
      <c r="C108" s="204" t="s">
        <v>436</v>
      </c>
      <c r="D108" s="205" t="s">
        <v>41</v>
      </c>
      <c r="E108" s="206" t="s">
        <v>227</v>
      </c>
      <c r="F108" s="205" t="s">
        <v>5</v>
      </c>
      <c r="G108" s="207">
        <v>15547841</v>
      </c>
      <c r="H108" s="208" t="s">
        <v>232</v>
      </c>
      <c r="I108" s="208" t="s">
        <v>232</v>
      </c>
      <c r="J108" s="205" t="s">
        <v>9</v>
      </c>
      <c r="K108" s="209">
        <v>5.4999999999999997E-3</v>
      </c>
      <c r="L108" s="209">
        <v>5.4999999999999997E-3</v>
      </c>
      <c r="M108" s="208">
        <v>0</v>
      </c>
      <c r="N108" s="210">
        <v>46054</v>
      </c>
      <c r="O108" s="100" t="b">
        <v>0</v>
      </c>
      <c r="P108" s="100"/>
      <c r="Q108" s="101"/>
      <c r="R108" s="100"/>
      <c r="Y108" s="85"/>
    </row>
    <row r="109" spans="1:25" s="20" customFormat="1" x14ac:dyDescent="0.25">
      <c r="A109" s="137" t="b">
        <v>0</v>
      </c>
      <c r="B109" s="137" t="s">
        <v>421</v>
      </c>
      <c r="C109" s="137" t="s">
        <v>431</v>
      </c>
      <c r="D109" s="138" t="s">
        <v>41</v>
      </c>
      <c r="E109" s="139" t="s">
        <v>268</v>
      </c>
      <c r="F109" s="138" t="s">
        <v>5</v>
      </c>
      <c r="G109" s="143">
        <v>293893522</v>
      </c>
      <c r="H109" s="140" t="s">
        <v>232</v>
      </c>
      <c r="I109" s="140" t="s">
        <v>232</v>
      </c>
      <c r="J109" s="138" t="s">
        <v>9</v>
      </c>
      <c r="K109" s="141">
        <v>5.4999999999999997E-3</v>
      </c>
      <c r="L109" s="141">
        <v>5.4999999999999997E-3</v>
      </c>
      <c r="M109" s="140">
        <v>0</v>
      </c>
      <c r="N109" s="142">
        <v>46054</v>
      </c>
      <c r="O109" s="3" t="b">
        <v>1</v>
      </c>
      <c r="P109" s="3"/>
      <c r="Q109" s="54"/>
      <c r="R109" s="3"/>
      <c r="Y109" s="2"/>
    </row>
    <row r="110" spans="1:25" s="20" customFormat="1" x14ac:dyDescent="0.25">
      <c r="A110" s="137" t="b">
        <v>0</v>
      </c>
      <c r="B110" s="137" t="s">
        <v>421</v>
      </c>
      <c r="C110" s="137" t="s">
        <v>427</v>
      </c>
      <c r="D110" s="138" t="s">
        <v>41</v>
      </c>
      <c r="E110" s="139" t="s">
        <v>257</v>
      </c>
      <c r="F110" s="138" t="s">
        <v>5</v>
      </c>
      <c r="G110" s="143">
        <v>42454562</v>
      </c>
      <c r="H110" s="140" t="s">
        <v>232</v>
      </c>
      <c r="I110" s="140" t="s">
        <v>232</v>
      </c>
      <c r="J110" s="138" t="s">
        <v>9</v>
      </c>
      <c r="K110" s="141">
        <v>5.4999999999999997E-3</v>
      </c>
      <c r="L110" s="141">
        <v>5.4999999999999997E-3</v>
      </c>
      <c r="M110" s="140">
        <v>0</v>
      </c>
      <c r="N110" s="142">
        <v>46054</v>
      </c>
      <c r="O110" s="3" t="b">
        <v>1</v>
      </c>
      <c r="P110" s="3"/>
      <c r="Q110" s="54"/>
      <c r="R110" s="3"/>
      <c r="Y110" s="2"/>
    </row>
    <row r="111" spans="1:25" s="20" customFormat="1" x14ac:dyDescent="0.25">
      <c r="A111" s="137" t="b">
        <v>0</v>
      </c>
      <c r="B111" s="137" t="s">
        <v>421</v>
      </c>
      <c r="C111" s="137" t="s">
        <v>432</v>
      </c>
      <c r="D111" s="138" t="s">
        <v>41</v>
      </c>
      <c r="E111" s="139" t="s">
        <v>228</v>
      </c>
      <c r="F111" s="138" t="s">
        <v>5</v>
      </c>
      <c r="G111" s="143">
        <v>70363054</v>
      </c>
      <c r="H111" s="140" t="s">
        <v>232</v>
      </c>
      <c r="I111" s="140" t="s">
        <v>232</v>
      </c>
      <c r="J111" s="138" t="s">
        <v>9</v>
      </c>
      <c r="K111" s="141">
        <v>5.4999999999999997E-3</v>
      </c>
      <c r="L111" s="141">
        <v>5.4999999999999997E-3</v>
      </c>
      <c r="M111" s="140">
        <v>0</v>
      </c>
      <c r="N111" s="142">
        <v>46054</v>
      </c>
      <c r="O111" s="3" t="b">
        <v>1</v>
      </c>
      <c r="P111" s="3"/>
      <c r="Q111" s="54"/>
      <c r="R111" s="3"/>
      <c r="Y111" s="2"/>
    </row>
    <row r="112" spans="1:25" s="20" customFormat="1" x14ac:dyDescent="0.25">
      <c r="A112" s="137" t="b">
        <v>0</v>
      </c>
      <c r="B112" s="137" t="s">
        <v>421</v>
      </c>
      <c r="C112" s="137" t="s">
        <v>436</v>
      </c>
      <c r="D112" s="138" t="s">
        <v>41</v>
      </c>
      <c r="E112" s="139" t="s">
        <v>229</v>
      </c>
      <c r="F112" s="138" t="s">
        <v>5</v>
      </c>
      <c r="G112" s="143">
        <v>70363056</v>
      </c>
      <c r="H112" s="140" t="s">
        <v>232</v>
      </c>
      <c r="I112" s="140" t="s">
        <v>232</v>
      </c>
      <c r="J112" s="138" t="s">
        <v>9</v>
      </c>
      <c r="K112" s="141">
        <v>5.4999999999999997E-3</v>
      </c>
      <c r="L112" s="141">
        <v>5.4999999999999997E-3</v>
      </c>
      <c r="M112" s="140">
        <v>0</v>
      </c>
      <c r="N112" s="142">
        <v>46054</v>
      </c>
      <c r="O112" s="3" t="b">
        <v>1</v>
      </c>
      <c r="P112" s="3"/>
      <c r="Q112" s="54"/>
      <c r="R112" s="3"/>
      <c r="Y112" s="2"/>
    </row>
    <row r="113" spans="1:25" s="20" customFormat="1" x14ac:dyDescent="0.25">
      <c r="A113" s="137" t="b">
        <v>0</v>
      </c>
      <c r="B113" s="137" t="s">
        <v>421</v>
      </c>
      <c r="C113" s="137" t="s">
        <v>433</v>
      </c>
      <c r="D113" s="138" t="s">
        <v>41</v>
      </c>
      <c r="E113" s="139" t="s">
        <v>230</v>
      </c>
      <c r="F113" s="138" t="s">
        <v>5</v>
      </c>
      <c r="G113" s="143">
        <v>70363041</v>
      </c>
      <c r="H113" s="140" t="s">
        <v>232</v>
      </c>
      <c r="I113" s="140" t="s">
        <v>232</v>
      </c>
      <c r="J113" s="138" t="s">
        <v>9</v>
      </c>
      <c r="K113" s="141">
        <v>5.4999999999999997E-3</v>
      </c>
      <c r="L113" s="141">
        <v>5.4999999999999997E-3</v>
      </c>
      <c r="M113" s="140">
        <v>0</v>
      </c>
      <c r="N113" s="142">
        <v>46054</v>
      </c>
      <c r="O113" s="3" t="b">
        <v>1</v>
      </c>
      <c r="P113" s="3"/>
      <c r="Q113" s="54"/>
      <c r="R113" s="3"/>
      <c r="Y113" s="2"/>
    </row>
    <row r="114" spans="1:25" s="20" customFormat="1" x14ac:dyDescent="0.25">
      <c r="A114" s="137" t="b">
        <v>0</v>
      </c>
      <c r="B114" s="137" t="s">
        <v>421</v>
      </c>
      <c r="C114" s="137" t="s">
        <v>427</v>
      </c>
      <c r="D114" s="138" t="s">
        <v>41</v>
      </c>
      <c r="E114" s="139" t="s">
        <v>270</v>
      </c>
      <c r="F114" s="138" t="s">
        <v>5</v>
      </c>
      <c r="G114" s="143">
        <v>295518938</v>
      </c>
      <c r="H114" s="140" t="s">
        <v>232</v>
      </c>
      <c r="I114" s="140" t="s">
        <v>232</v>
      </c>
      <c r="J114" s="138" t="s">
        <v>9</v>
      </c>
      <c r="K114" s="141">
        <v>5.4999999999999997E-3</v>
      </c>
      <c r="L114" s="141">
        <v>5.4999999999999997E-3</v>
      </c>
      <c r="M114" s="140">
        <v>0</v>
      </c>
      <c r="N114" s="142">
        <v>46054</v>
      </c>
      <c r="O114" s="3" t="b">
        <v>1</v>
      </c>
      <c r="P114" s="3"/>
      <c r="Q114" s="54"/>
      <c r="R114" s="3"/>
      <c r="Y114" s="2"/>
    </row>
    <row r="115" spans="1:25" s="20" customFormat="1" x14ac:dyDescent="0.25">
      <c r="A115" s="137" t="b">
        <v>0</v>
      </c>
      <c r="B115" s="137" t="s">
        <v>421</v>
      </c>
      <c r="C115" s="137" t="s">
        <v>434</v>
      </c>
      <c r="D115" s="138" t="s">
        <v>41</v>
      </c>
      <c r="E115" s="139" t="s">
        <v>231</v>
      </c>
      <c r="F115" s="138" t="s">
        <v>5</v>
      </c>
      <c r="G115" s="143">
        <v>204473835</v>
      </c>
      <c r="H115" s="140" t="s">
        <v>232</v>
      </c>
      <c r="I115" s="140" t="s">
        <v>232</v>
      </c>
      <c r="J115" s="138" t="s">
        <v>9</v>
      </c>
      <c r="K115" s="141">
        <v>5.4999999999999997E-3</v>
      </c>
      <c r="L115" s="141">
        <v>5.4999999999999997E-3</v>
      </c>
      <c r="M115" s="140">
        <v>0</v>
      </c>
      <c r="N115" s="142">
        <v>46054</v>
      </c>
      <c r="O115" s="3" t="b">
        <v>1</v>
      </c>
      <c r="P115" s="3"/>
      <c r="Q115" s="54"/>
      <c r="R115" s="3"/>
      <c r="Y115" s="2"/>
    </row>
    <row r="116" spans="1:25" s="20" customFormat="1" x14ac:dyDescent="0.25">
      <c r="A116" s="137" t="b">
        <v>0</v>
      </c>
      <c r="B116" s="137" t="s">
        <v>421</v>
      </c>
      <c r="C116" s="137" t="s">
        <v>426</v>
      </c>
      <c r="D116" s="138" t="s">
        <v>41</v>
      </c>
      <c r="E116" s="139" t="s">
        <v>281</v>
      </c>
      <c r="F116" s="138" t="s">
        <v>5</v>
      </c>
      <c r="G116" s="143">
        <v>681156853</v>
      </c>
      <c r="H116" s="140" t="s">
        <v>232</v>
      </c>
      <c r="I116" s="140" t="s">
        <v>232</v>
      </c>
      <c r="J116" s="138" t="s">
        <v>9</v>
      </c>
      <c r="K116" s="141">
        <v>5.4999999999999997E-3</v>
      </c>
      <c r="L116" s="141">
        <v>5.4999999999999997E-3</v>
      </c>
      <c r="M116" s="140">
        <v>0</v>
      </c>
      <c r="N116" s="142">
        <v>46054</v>
      </c>
      <c r="O116" s="3" t="b">
        <v>1</v>
      </c>
      <c r="P116" s="3"/>
      <c r="Q116" s="54"/>
      <c r="R116" s="3"/>
      <c r="Y116" s="2"/>
    </row>
    <row r="117" spans="1:25" s="20" customFormat="1" x14ac:dyDescent="0.25">
      <c r="A117" s="137" t="b">
        <v>0</v>
      </c>
      <c r="B117" s="137" t="s">
        <v>421</v>
      </c>
      <c r="C117" s="137" t="s">
        <v>429</v>
      </c>
      <c r="D117" s="138" t="s">
        <v>41</v>
      </c>
      <c r="E117" s="139" t="s">
        <v>282</v>
      </c>
      <c r="F117" s="138" t="s">
        <v>5</v>
      </c>
      <c r="G117" s="143">
        <v>128835014</v>
      </c>
      <c r="H117" s="140" t="s">
        <v>232</v>
      </c>
      <c r="I117" s="140" t="s">
        <v>232</v>
      </c>
      <c r="J117" s="138" t="s">
        <v>9</v>
      </c>
      <c r="K117" s="141">
        <v>5.4999999999999997E-3</v>
      </c>
      <c r="L117" s="141">
        <v>5.4999999999999997E-3</v>
      </c>
      <c r="M117" s="140">
        <v>0</v>
      </c>
      <c r="N117" s="142">
        <v>46054</v>
      </c>
      <c r="O117" s="3" t="b">
        <v>1</v>
      </c>
      <c r="P117" s="3"/>
      <c r="Q117" s="54"/>
      <c r="R117" s="3"/>
      <c r="Y117" s="2"/>
    </row>
    <row r="118" spans="1:25" s="199" customFormat="1" ht="15" customHeight="1" x14ac:dyDescent="0.25">
      <c r="A118" s="197" t="b">
        <v>0</v>
      </c>
      <c r="B118" s="197" t="s">
        <v>401</v>
      </c>
      <c r="C118" s="198" t="s">
        <v>437</v>
      </c>
      <c r="D118" s="199" t="s">
        <v>41</v>
      </c>
      <c r="E118" s="200" t="s">
        <v>316</v>
      </c>
      <c r="F118" s="199" t="s">
        <v>5</v>
      </c>
      <c r="G118" s="200">
        <v>137229016</v>
      </c>
      <c r="H118" s="201" t="s">
        <v>232</v>
      </c>
      <c r="I118" s="201" t="s">
        <v>232</v>
      </c>
      <c r="J118" s="199" t="s">
        <v>9</v>
      </c>
      <c r="K118" s="202">
        <v>5.4999999999999997E-3</v>
      </c>
      <c r="L118" s="202">
        <v>5.4999999999999997E-3</v>
      </c>
      <c r="M118" s="201">
        <v>0</v>
      </c>
      <c r="N118" s="203">
        <v>46054</v>
      </c>
      <c r="O118" s="201" t="b">
        <v>1</v>
      </c>
      <c r="P118" s="201"/>
      <c r="Q118" s="203"/>
      <c r="R118" s="201"/>
    </row>
    <row r="119" spans="1:25" s="199" customFormat="1" ht="15" customHeight="1" x14ac:dyDescent="0.25">
      <c r="A119" s="197" t="b">
        <v>0</v>
      </c>
      <c r="B119" s="197" t="s">
        <v>401</v>
      </c>
      <c r="C119" s="198" t="s">
        <v>443</v>
      </c>
      <c r="D119" s="199" t="s">
        <v>41</v>
      </c>
      <c r="E119" s="200" t="s">
        <v>320</v>
      </c>
      <c r="F119" s="199" t="s">
        <v>5</v>
      </c>
      <c r="G119" s="200">
        <v>137229021</v>
      </c>
      <c r="H119" s="201" t="s">
        <v>232</v>
      </c>
      <c r="I119" s="201" t="s">
        <v>232</v>
      </c>
      <c r="J119" s="199" t="s">
        <v>9</v>
      </c>
      <c r="K119" s="202">
        <v>5.4999999999999997E-3</v>
      </c>
      <c r="L119" s="202">
        <v>5.4999999999999997E-3</v>
      </c>
      <c r="M119" s="201">
        <v>0</v>
      </c>
      <c r="N119" s="203">
        <v>46054</v>
      </c>
      <c r="O119" s="201" t="b">
        <v>1</v>
      </c>
      <c r="P119" s="201"/>
      <c r="Q119" s="203"/>
      <c r="R119" s="201"/>
    </row>
    <row r="120" spans="1:25" s="199" customFormat="1" ht="15" customHeight="1" x14ac:dyDescent="0.25">
      <c r="A120" s="197" t="b">
        <v>0</v>
      </c>
      <c r="B120" s="197" t="s">
        <v>401</v>
      </c>
      <c r="C120" s="198" t="s">
        <v>438</v>
      </c>
      <c r="D120" s="199" t="s">
        <v>41</v>
      </c>
      <c r="E120" s="200" t="s">
        <v>326</v>
      </c>
      <c r="F120" s="199" t="s">
        <v>5</v>
      </c>
      <c r="G120" s="200">
        <v>137229025</v>
      </c>
      <c r="H120" s="201" t="s">
        <v>232</v>
      </c>
      <c r="I120" s="201" t="s">
        <v>232</v>
      </c>
      <c r="J120" s="199" t="s">
        <v>9</v>
      </c>
      <c r="K120" s="202">
        <v>5.4999999999999997E-3</v>
      </c>
      <c r="L120" s="202">
        <v>5.4999999999999997E-3</v>
      </c>
      <c r="M120" s="201">
        <v>0</v>
      </c>
      <c r="N120" s="203">
        <v>46054</v>
      </c>
      <c r="O120" s="201" t="b">
        <v>1</v>
      </c>
      <c r="P120" s="201"/>
      <c r="Q120" s="203"/>
      <c r="R120" s="201"/>
    </row>
    <row r="121" spans="1:25" s="199" customFormat="1" ht="15" customHeight="1" x14ac:dyDescent="0.25">
      <c r="A121" s="197" t="b">
        <v>0</v>
      </c>
      <c r="B121" s="197" t="s">
        <v>401</v>
      </c>
      <c r="C121" s="198" t="s">
        <v>439</v>
      </c>
      <c r="D121" s="199" t="s">
        <v>41</v>
      </c>
      <c r="E121" s="200" t="s">
        <v>330</v>
      </c>
      <c r="F121" s="199" t="s">
        <v>5</v>
      </c>
      <c r="G121" s="200">
        <v>137229028</v>
      </c>
      <c r="H121" s="201" t="s">
        <v>232</v>
      </c>
      <c r="I121" s="201" t="s">
        <v>232</v>
      </c>
      <c r="J121" s="199" t="s">
        <v>9</v>
      </c>
      <c r="K121" s="202">
        <v>5.4999999999999997E-3</v>
      </c>
      <c r="L121" s="202">
        <v>5.4999999999999997E-3</v>
      </c>
      <c r="M121" s="201">
        <v>0</v>
      </c>
      <c r="N121" s="203">
        <v>46054</v>
      </c>
      <c r="O121" s="201" t="b">
        <v>1</v>
      </c>
      <c r="P121" s="201"/>
      <c r="Q121" s="203"/>
      <c r="R121" s="201"/>
    </row>
    <row r="122" spans="1:25" s="199" customFormat="1" x14ac:dyDescent="0.25">
      <c r="A122" s="197" t="b">
        <v>0</v>
      </c>
      <c r="B122" s="197" t="s">
        <v>401</v>
      </c>
      <c r="C122" s="198" t="s">
        <v>440</v>
      </c>
      <c r="D122" s="199" t="s">
        <v>41</v>
      </c>
      <c r="E122" s="200" t="s">
        <v>334</v>
      </c>
      <c r="F122" s="199" t="s">
        <v>5</v>
      </c>
      <c r="G122" s="200">
        <v>183005003</v>
      </c>
      <c r="H122" s="201" t="s">
        <v>232</v>
      </c>
      <c r="I122" s="201" t="s">
        <v>232</v>
      </c>
      <c r="J122" s="199" t="s">
        <v>9</v>
      </c>
      <c r="K122" s="202">
        <v>5.4999999999999997E-3</v>
      </c>
      <c r="L122" s="202">
        <v>5.4999999999999997E-3</v>
      </c>
      <c r="M122" s="201">
        <v>0</v>
      </c>
      <c r="N122" s="203">
        <v>46054</v>
      </c>
      <c r="O122" s="201" t="b">
        <v>1</v>
      </c>
      <c r="P122" s="201"/>
      <c r="Q122" s="203"/>
      <c r="R122" s="201"/>
    </row>
    <row r="123" spans="1:25" s="199" customFormat="1" x14ac:dyDescent="0.25">
      <c r="A123" s="197" t="b">
        <v>0</v>
      </c>
      <c r="B123" s="197" t="s">
        <v>401</v>
      </c>
      <c r="C123" s="198" t="s">
        <v>454</v>
      </c>
      <c r="D123" s="199" t="s">
        <v>41</v>
      </c>
      <c r="E123" s="200" t="s">
        <v>310</v>
      </c>
      <c r="F123" s="199" t="s">
        <v>5</v>
      </c>
      <c r="G123" s="200">
        <v>137229015</v>
      </c>
      <c r="H123" s="201" t="s">
        <v>232</v>
      </c>
      <c r="I123" s="201" t="s">
        <v>232</v>
      </c>
      <c r="J123" s="199" t="s">
        <v>9</v>
      </c>
      <c r="K123" s="202">
        <v>5.4999999999999997E-3</v>
      </c>
      <c r="L123" s="202">
        <v>5.4999999999999997E-3</v>
      </c>
      <c r="M123" s="201">
        <v>0</v>
      </c>
      <c r="N123" s="203">
        <v>46054</v>
      </c>
      <c r="O123" s="201" t="b">
        <v>1</v>
      </c>
      <c r="P123" s="201"/>
      <c r="Q123" s="203"/>
      <c r="R123" s="201"/>
    </row>
    <row r="124" spans="1:25" s="199" customFormat="1" x14ac:dyDescent="0.25">
      <c r="A124" s="197" t="b">
        <v>0</v>
      </c>
      <c r="B124" s="197" t="s">
        <v>401</v>
      </c>
      <c r="C124" s="198" t="s">
        <v>441</v>
      </c>
      <c r="D124" s="199" t="s">
        <v>41</v>
      </c>
      <c r="E124" s="200" t="s">
        <v>339</v>
      </c>
      <c r="F124" s="199" t="s">
        <v>5</v>
      </c>
      <c r="G124" s="200">
        <v>137229035</v>
      </c>
      <c r="H124" s="201" t="s">
        <v>232</v>
      </c>
      <c r="I124" s="201" t="s">
        <v>232</v>
      </c>
      <c r="J124" s="199" t="s">
        <v>9</v>
      </c>
      <c r="K124" s="202">
        <v>5.4999999999999997E-3</v>
      </c>
      <c r="L124" s="202">
        <v>5.4999999999999997E-3</v>
      </c>
      <c r="M124" s="201">
        <v>0</v>
      </c>
      <c r="N124" s="203">
        <v>46054</v>
      </c>
      <c r="O124" s="201" t="b">
        <v>1</v>
      </c>
      <c r="P124" s="201"/>
      <c r="Q124" s="203"/>
      <c r="R124" s="201"/>
    </row>
    <row r="125" spans="1:25" s="199" customFormat="1" x14ac:dyDescent="0.25">
      <c r="A125" s="197" t="b">
        <v>0</v>
      </c>
      <c r="B125" s="197" t="s">
        <v>401</v>
      </c>
      <c r="C125" s="198" t="s">
        <v>442</v>
      </c>
      <c r="D125" s="199" t="s">
        <v>41</v>
      </c>
      <c r="E125" s="200" t="s">
        <v>344</v>
      </c>
      <c r="F125" s="199" t="s">
        <v>5</v>
      </c>
      <c r="G125" s="200">
        <v>137229045</v>
      </c>
      <c r="H125" s="201" t="s">
        <v>232</v>
      </c>
      <c r="I125" s="201" t="s">
        <v>232</v>
      </c>
      <c r="J125" s="199" t="s">
        <v>9</v>
      </c>
      <c r="K125" s="202">
        <v>5.4999999999999997E-3</v>
      </c>
      <c r="L125" s="202">
        <v>5.4999999999999997E-3</v>
      </c>
      <c r="M125" s="201">
        <v>0</v>
      </c>
      <c r="N125" s="203">
        <v>46054</v>
      </c>
      <c r="O125" s="201" t="b">
        <v>1</v>
      </c>
      <c r="P125" s="201"/>
      <c r="Q125" s="203"/>
      <c r="R125" s="201"/>
    </row>
    <row r="126" spans="1:25" s="199" customFormat="1" x14ac:dyDescent="0.25">
      <c r="A126" s="197" t="b">
        <v>0</v>
      </c>
      <c r="B126" s="197" t="s">
        <v>401</v>
      </c>
      <c r="C126" s="198" t="s">
        <v>437</v>
      </c>
      <c r="D126" s="199" t="s">
        <v>41</v>
      </c>
      <c r="E126" s="200" t="s">
        <v>317</v>
      </c>
      <c r="F126" s="199" t="s">
        <v>5</v>
      </c>
      <c r="G126" s="200">
        <v>10190340</v>
      </c>
      <c r="H126" s="201" t="s">
        <v>232</v>
      </c>
      <c r="I126" s="201" t="s">
        <v>232</v>
      </c>
      <c r="J126" s="199" t="s">
        <v>9</v>
      </c>
      <c r="K126" s="202">
        <v>5.4999999999999997E-3</v>
      </c>
      <c r="L126" s="202">
        <v>5.4999999999999997E-3</v>
      </c>
      <c r="M126" s="201">
        <v>0</v>
      </c>
      <c r="N126" s="203">
        <v>46054</v>
      </c>
      <c r="O126" s="201" t="b">
        <v>1</v>
      </c>
      <c r="P126" s="201"/>
      <c r="Q126" s="203"/>
      <c r="R126" s="201"/>
    </row>
    <row r="127" spans="1:25" s="199" customFormat="1" x14ac:dyDescent="0.25">
      <c r="A127" s="197" t="b">
        <v>0</v>
      </c>
      <c r="B127" s="197" t="s">
        <v>401</v>
      </c>
      <c r="C127" s="198" t="s">
        <v>443</v>
      </c>
      <c r="D127" s="199" t="s">
        <v>41</v>
      </c>
      <c r="E127" s="200" t="s">
        <v>321</v>
      </c>
      <c r="F127" s="199" t="s">
        <v>5</v>
      </c>
      <c r="G127" s="200">
        <v>9579962</v>
      </c>
      <c r="H127" s="201" t="s">
        <v>232</v>
      </c>
      <c r="I127" s="201" t="s">
        <v>232</v>
      </c>
      <c r="J127" s="199" t="s">
        <v>9</v>
      </c>
      <c r="K127" s="202">
        <v>5.4999999999999997E-3</v>
      </c>
      <c r="L127" s="202">
        <v>5.4999999999999997E-3</v>
      </c>
      <c r="M127" s="201">
        <v>0</v>
      </c>
      <c r="N127" s="203">
        <v>46054</v>
      </c>
      <c r="O127" s="201" t="b">
        <v>1</v>
      </c>
      <c r="P127" s="201"/>
      <c r="Q127" s="203"/>
      <c r="R127" s="201"/>
    </row>
    <row r="128" spans="1:25" s="199" customFormat="1" x14ac:dyDescent="0.25">
      <c r="A128" s="197" t="b">
        <v>0</v>
      </c>
      <c r="B128" s="197" t="s">
        <v>401</v>
      </c>
      <c r="C128" s="198" t="s">
        <v>438</v>
      </c>
      <c r="D128" s="199" t="s">
        <v>41</v>
      </c>
      <c r="E128" s="200" t="s">
        <v>327</v>
      </c>
      <c r="F128" s="199" t="s">
        <v>5</v>
      </c>
      <c r="G128" s="200">
        <v>10753238</v>
      </c>
      <c r="H128" s="201" t="s">
        <v>232</v>
      </c>
      <c r="I128" s="201" t="s">
        <v>232</v>
      </c>
      <c r="J128" s="199" t="s">
        <v>9</v>
      </c>
      <c r="K128" s="202">
        <v>5.4999999999999997E-3</v>
      </c>
      <c r="L128" s="202">
        <v>5.4999999999999997E-3</v>
      </c>
      <c r="M128" s="201">
        <v>0</v>
      </c>
      <c r="N128" s="203">
        <v>46054</v>
      </c>
      <c r="O128" s="201" t="b">
        <v>1</v>
      </c>
      <c r="P128" s="201"/>
      <c r="Q128" s="203"/>
      <c r="R128" s="201"/>
    </row>
    <row r="129" spans="1:25" s="199" customFormat="1" x14ac:dyDescent="0.25">
      <c r="A129" s="197" t="b">
        <v>0</v>
      </c>
      <c r="B129" s="197" t="s">
        <v>401</v>
      </c>
      <c r="C129" s="198" t="s">
        <v>439</v>
      </c>
      <c r="D129" s="199" t="s">
        <v>41</v>
      </c>
      <c r="E129" s="200" t="s">
        <v>331</v>
      </c>
      <c r="F129" s="199" t="s">
        <v>5</v>
      </c>
      <c r="G129" s="200">
        <v>10753241</v>
      </c>
      <c r="H129" s="201" t="s">
        <v>232</v>
      </c>
      <c r="I129" s="201" t="s">
        <v>232</v>
      </c>
      <c r="J129" s="199" t="s">
        <v>9</v>
      </c>
      <c r="K129" s="202">
        <v>5.4999999999999997E-3</v>
      </c>
      <c r="L129" s="202">
        <v>5.4999999999999997E-3</v>
      </c>
      <c r="M129" s="201">
        <v>0</v>
      </c>
      <c r="N129" s="203">
        <v>46054</v>
      </c>
      <c r="O129" s="201" t="b">
        <v>1</v>
      </c>
      <c r="P129" s="201"/>
      <c r="Q129" s="203"/>
      <c r="R129" s="201"/>
    </row>
    <row r="130" spans="1:25" s="199" customFormat="1" x14ac:dyDescent="0.25">
      <c r="A130" s="197" t="b">
        <v>0</v>
      </c>
      <c r="B130" s="197" t="s">
        <v>401</v>
      </c>
      <c r="C130" s="198" t="s">
        <v>440</v>
      </c>
      <c r="D130" s="199" t="s">
        <v>41</v>
      </c>
      <c r="E130" s="200" t="s">
        <v>335</v>
      </c>
      <c r="F130" s="199" t="s">
        <v>5</v>
      </c>
      <c r="G130" s="200">
        <v>10209369</v>
      </c>
      <c r="H130" s="201" t="s">
        <v>232</v>
      </c>
      <c r="I130" s="201" t="s">
        <v>232</v>
      </c>
      <c r="J130" s="199" t="s">
        <v>9</v>
      </c>
      <c r="K130" s="202">
        <v>5.4999999999999997E-3</v>
      </c>
      <c r="L130" s="202">
        <v>5.4999999999999997E-3</v>
      </c>
      <c r="M130" s="201">
        <v>0</v>
      </c>
      <c r="N130" s="203">
        <v>46054</v>
      </c>
      <c r="O130" s="201" t="b">
        <v>1</v>
      </c>
      <c r="P130" s="201"/>
      <c r="Q130" s="203"/>
      <c r="R130" s="201"/>
    </row>
    <row r="131" spans="1:25" s="199" customFormat="1" x14ac:dyDescent="0.25">
      <c r="A131" s="197" t="b">
        <v>0</v>
      </c>
      <c r="B131" s="197" t="s">
        <v>401</v>
      </c>
      <c r="C131" s="198" t="s">
        <v>454</v>
      </c>
      <c r="D131" s="199" t="s">
        <v>41</v>
      </c>
      <c r="E131" s="200" t="s">
        <v>311</v>
      </c>
      <c r="F131" s="199" t="s">
        <v>5</v>
      </c>
      <c r="G131" s="200">
        <v>10753235</v>
      </c>
      <c r="H131" s="201" t="s">
        <v>232</v>
      </c>
      <c r="I131" s="201" t="s">
        <v>232</v>
      </c>
      <c r="J131" s="199" t="s">
        <v>9</v>
      </c>
      <c r="K131" s="202">
        <v>5.4999999999999997E-3</v>
      </c>
      <c r="L131" s="202">
        <v>5.4999999999999997E-3</v>
      </c>
      <c r="M131" s="201">
        <v>0</v>
      </c>
      <c r="N131" s="203">
        <v>46054</v>
      </c>
      <c r="O131" s="201" t="b">
        <v>1</v>
      </c>
      <c r="P131" s="201"/>
      <c r="Q131" s="203"/>
      <c r="R131" s="201"/>
    </row>
    <row r="132" spans="1:25" s="199" customFormat="1" x14ac:dyDescent="0.25">
      <c r="A132" s="197" t="b">
        <v>0</v>
      </c>
      <c r="B132" s="197" t="s">
        <v>401</v>
      </c>
      <c r="C132" s="198" t="s">
        <v>441</v>
      </c>
      <c r="D132" s="199" t="s">
        <v>41</v>
      </c>
      <c r="E132" s="200" t="s">
        <v>340</v>
      </c>
      <c r="F132" s="199" t="s">
        <v>5</v>
      </c>
      <c r="G132" s="200">
        <v>10158652</v>
      </c>
      <c r="H132" s="201" t="s">
        <v>232</v>
      </c>
      <c r="I132" s="201" t="s">
        <v>232</v>
      </c>
      <c r="J132" s="199" t="s">
        <v>9</v>
      </c>
      <c r="K132" s="202">
        <v>5.4999999999999997E-3</v>
      </c>
      <c r="L132" s="202">
        <v>5.4999999999999997E-3</v>
      </c>
      <c r="M132" s="201">
        <v>0</v>
      </c>
      <c r="N132" s="203">
        <v>46054</v>
      </c>
      <c r="O132" s="201" t="b">
        <v>1</v>
      </c>
      <c r="P132" s="201"/>
      <c r="Q132" s="203"/>
      <c r="R132" s="201"/>
    </row>
    <row r="133" spans="1:25" s="199" customFormat="1" x14ac:dyDescent="0.25">
      <c r="A133" s="197" t="b">
        <v>0</v>
      </c>
      <c r="B133" s="197" t="s">
        <v>401</v>
      </c>
      <c r="C133" s="198" t="s">
        <v>442</v>
      </c>
      <c r="D133" s="199" t="s">
        <v>41</v>
      </c>
      <c r="E133" s="200" t="s">
        <v>345</v>
      </c>
      <c r="F133" s="199" t="s">
        <v>5</v>
      </c>
      <c r="G133" s="200">
        <v>10190333</v>
      </c>
      <c r="H133" s="201" t="s">
        <v>232</v>
      </c>
      <c r="I133" s="201" t="s">
        <v>232</v>
      </c>
      <c r="J133" s="199" t="s">
        <v>9</v>
      </c>
      <c r="K133" s="202">
        <v>5.4999999999999997E-3</v>
      </c>
      <c r="L133" s="202">
        <v>5.4999999999999997E-3</v>
      </c>
      <c r="M133" s="201">
        <v>0</v>
      </c>
      <c r="N133" s="203">
        <v>46054</v>
      </c>
      <c r="O133" s="201" t="b">
        <v>1</v>
      </c>
      <c r="P133" s="201"/>
      <c r="Q133" s="203"/>
      <c r="R133" s="201"/>
    </row>
    <row r="134" spans="1:25" s="199" customFormat="1" x14ac:dyDescent="0.25">
      <c r="A134" s="197" t="b">
        <v>0</v>
      </c>
      <c r="B134" s="197" t="s">
        <v>401</v>
      </c>
      <c r="C134" s="198" t="s">
        <v>440</v>
      </c>
      <c r="D134" s="138" t="s">
        <v>41</v>
      </c>
      <c r="E134" s="139" t="s">
        <v>285</v>
      </c>
      <c r="F134" s="138" t="s">
        <v>5</v>
      </c>
      <c r="G134" s="139">
        <v>82817278</v>
      </c>
      <c r="H134" s="140" t="s">
        <v>232</v>
      </c>
      <c r="I134" s="140" t="s">
        <v>232</v>
      </c>
      <c r="J134" s="138" t="s">
        <v>9</v>
      </c>
      <c r="K134" s="141">
        <v>5.4999999999999997E-3</v>
      </c>
      <c r="L134" s="141">
        <v>5.4999999999999997E-3</v>
      </c>
      <c r="M134" s="140">
        <v>0</v>
      </c>
      <c r="N134" s="142">
        <v>46054</v>
      </c>
      <c r="O134" s="3" t="b">
        <v>1</v>
      </c>
      <c r="P134" s="201"/>
      <c r="Q134" s="203"/>
      <c r="R134" s="201"/>
    </row>
    <row r="135" spans="1:25" s="20" customFormat="1" x14ac:dyDescent="0.25">
      <c r="A135" s="197" t="b">
        <v>0</v>
      </c>
      <c r="B135" s="197" t="s">
        <v>401</v>
      </c>
      <c r="C135" s="198" t="s">
        <v>440</v>
      </c>
      <c r="D135" s="138" t="s">
        <v>41</v>
      </c>
      <c r="E135" s="139" t="s">
        <v>284</v>
      </c>
      <c r="F135" s="138" t="s">
        <v>5</v>
      </c>
      <c r="G135" s="139">
        <v>44053714</v>
      </c>
      <c r="H135" s="140" t="s">
        <v>232</v>
      </c>
      <c r="I135" s="140" t="s">
        <v>232</v>
      </c>
      <c r="J135" s="138" t="s">
        <v>9</v>
      </c>
      <c r="K135" s="141">
        <v>5.4999999999999997E-3</v>
      </c>
      <c r="L135" s="141">
        <v>5.4999999999999997E-3</v>
      </c>
      <c r="M135" s="140">
        <v>0</v>
      </c>
      <c r="N135" s="142">
        <v>46054</v>
      </c>
      <c r="O135" s="3" t="b">
        <v>1</v>
      </c>
      <c r="P135" s="3"/>
      <c r="Q135" s="54"/>
      <c r="R135" s="3"/>
      <c r="Y135" s="2"/>
    </row>
    <row r="136" spans="1:25" s="199" customFormat="1" x14ac:dyDescent="0.25">
      <c r="A136" s="197" t="b">
        <v>0</v>
      </c>
      <c r="B136" s="197" t="s">
        <v>401</v>
      </c>
      <c r="C136" s="198" t="s">
        <v>437</v>
      </c>
      <c r="D136" s="199" t="s">
        <v>41</v>
      </c>
      <c r="E136" s="200" t="s">
        <v>319</v>
      </c>
      <c r="F136" s="199" t="s">
        <v>5</v>
      </c>
      <c r="G136" s="200">
        <v>27684036</v>
      </c>
      <c r="H136" s="201" t="s">
        <v>232</v>
      </c>
      <c r="I136" s="201" t="s">
        <v>232</v>
      </c>
      <c r="J136" s="199" t="s">
        <v>9</v>
      </c>
      <c r="K136" s="202">
        <v>5.4999999999999997E-3</v>
      </c>
      <c r="L136" s="202">
        <v>5.4999999999999997E-3</v>
      </c>
      <c r="M136" s="201">
        <v>0</v>
      </c>
      <c r="N136" s="203">
        <v>46054</v>
      </c>
      <c r="O136" s="201" t="b">
        <v>1</v>
      </c>
      <c r="P136" s="201"/>
      <c r="Q136" s="203"/>
      <c r="R136" s="201"/>
    </row>
    <row r="137" spans="1:25" s="199" customFormat="1" x14ac:dyDescent="0.25">
      <c r="A137" s="197" t="b">
        <v>0</v>
      </c>
      <c r="B137" s="197" t="s">
        <v>401</v>
      </c>
      <c r="C137" s="198" t="s">
        <v>443</v>
      </c>
      <c r="D137" s="199" t="s">
        <v>41</v>
      </c>
      <c r="E137" s="200" t="s">
        <v>323</v>
      </c>
      <c r="F137" s="199" t="s">
        <v>5</v>
      </c>
      <c r="G137" s="200">
        <v>27638074</v>
      </c>
      <c r="H137" s="201" t="s">
        <v>232</v>
      </c>
      <c r="I137" s="201" t="s">
        <v>232</v>
      </c>
      <c r="J137" s="199" t="s">
        <v>9</v>
      </c>
      <c r="K137" s="202">
        <v>5.4999999999999997E-3</v>
      </c>
      <c r="L137" s="202">
        <v>5.4999999999999997E-3</v>
      </c>
      <c r="M137" s="201">
        <v>0</v>
      </c>
      <c r="N137" s="203">
        <v>46054</v>
      </c>
      <c r="O137" s="201" t="b">
        <v>1</v>
      </c>
      <c r="P137" s="201"/>
      <c r="Q137" s="203"/>
      <c r="R137" s="201"/>
    </row>
    <row r="138" spans="1:25" s="20" customFormat="1" x14ac:dyDescent="0.25">
      <c r="A138" s="197" t="b">
        <v>0</v>
      </c>
      <c r="B138" s="197" t="s">
        <v>401</v>
      </c>
      <c r="C138" s="198" t="s">
        <v>438</v>
      </c>
      <c r="D138" s="199" t="s">
        <v>41</v>
      </c>
      <c r="E138" s="200" t="s">
        <v>329</v>
      </c>
      <c r="F138" s="199" t="s">
        <v>5</v>
      </c>
      <c r="G138" s="200">
        <v>27638082</v>
      </c>
      <c r="H138" s="201" t="s">
        <v>232</v>
      </c>
      <c r="I138" s="201" t="s">
        <v>232</v>
      </c>
      <c r="J138" s="199" t="s">
        <v>9</v>
      </c>
      <c r="K138" s="202">
        <v>5.4999999999999997E-3</v>
      </c>
      <c r="L138" s="202">
        <v>5.4999999999999997E-3</v>
      </c>
      <c r="M138" s="201">
        <v>0</v>
      </c>
      <c r="N138" s="203">
        <v>46054</v>
      </c>
      <c r="O138" s="201" t="b">
        <v>1</v>
      </c>
      <c r="P138" s="3"/>
      <c r="Q138" s="54"/>
      <c r="R138" s="3"/>
      <c r="Y138" s="2"/>
    </row>
    <row r="139" spans="1:25" s="20" customFormat="1" x14ac:dyDescent="0.25">
      <c r="A139" s="197" t="b">
        <v>0</v>
      </c>
      <c r="B139" s="197" t="s">
        <v>401</v>
      </c>
      <c r="C139" s="198" t="s">
        <v>439</v>
      </c>
      <c r="D139" s="199" t="s">
        <v>41</v>
      </c>
      <c r="E139" s="200" t="s">
        <v>333</v>
      </c>
      <c r="F139" s="199" t="s">
        <v>5</v>
      </c>
      <c r="G139" s="200">
        <v>27684007</v>
      </c>
      <c r="H139" s="201" t="s">
        <v>232</v>
      </c>
      <c r="I139" s="201" t="s">
        <v>232</v>
      </c>
      <c r="J139" s="199" t="s">
        <v>9</v>
      </c>
      <c r="K139" s="202">
        <v>5.4999999999999997E-3</v>
      </c>
      <c r="L139" s="202">
        <v>5.4999999999999997E-3</v>
      </c>
      <c r="M139" s="201">
        <v>0</v>
      </c>
      <c r="N139" s="203">
        <v>46054</v>
      </c>
      <c r="O139" s="201" t="b">
        <v>1</v>
      </c>
      <c r="P139" s="3"/>
      <c r="Q139" s="54"/>
      <c r="R139" s="3"/>
      <c r="Y139" s="2"/>
    </row>
    <row r="140" spans="1:25" s="199" customFormat="1" x14ac:dyDescent="0.25">
      <c r="A140" s="197" t="b">
        <v>0</v>
      </c>
      <c r="B140" s="197" t="s">
        <v>401</v>
      </c>
      <c r="C140" s="198" t="s">
        <v>440</v>
      </c>
      <c r="D140" s="199" t="s">
        <v>41</v>
      </c>
      <c r="E140" s="200" t="s">
        <v>337</v>
      </c>
      <c r="F140" s="199" t="s">
        <v>5</v>
      </c>
      <c r="G140" s="200">
        <v>31230302</v>
      </c>
      <c r="H140" s="201" t="s">
        <v>232</v>
      </c>
      <c r="I140" s="201" t="s">
        <v>232</v>
      </c>
      <c r="J140" s="199" t="s">
        <v>9</v>
      </c>
      <c r="K140" s="202">
        <v>5.4999999999999997E-3</v>
      </c>
      <c r="L140" s="202">
        <v>5.4999999999999997E-3</v>
      </c>
      <c r="M140" s="201">
        <v>0</v>
      </c>
      <c r="N140" s="203">
        <v>46054</v>
      </c>
      <c r="O140" s="201" t="b">
        <v>1</v>
      </c>
      <c r="P140" s="201"/>
      <c r="Q140" s="203"/>
      <c r="R140" s="201"/>
    </row>
    <row r="141" spans="1:25" s="199" customFormat="1" x14ac:dyDescent="0.25">
      <c r="A141" s="197" t="b">
        <v>0</v>
      </c>
      <c r="B141" s="197" t="s">
        <v>401</v>
      </c>
      <c r="C141" s="198" t="s">
        <v>454</v>
      </c>
      <c r="D141" s="199" t="s">
        <v>41</v>
      </c>
      <c r="E141" s="200" t="s">
        <v>313</v>
      </c>
      <c r="F141" s="199" t="s">
        <v>5</v>
      </c>
      <c r="G141" s="200">
        <v>27638069</v>
      </c>
      <c r="H141" s="201" t="s">
        <v>232</v>
      </c>
      <c r="I141" s="201" t="s">
        <v>232</v>
      </c>
      <c r="J141" s="199" t="s">
        <v>9</v>
      </c>
      <c r="K141" s="202">
        <v>5.4999999999999997E-3</v>
      </c>
      <c r="L141" s="202">
        <v>5.4999999999999997E-3</v>
      </c>
      <c r="M141" s="201">
        <v>0</v>
      </c>
      <c r="N141" s="203">
        <v>46054</v>
      </c>
      <c r="O141" s="201" t="b">
        <v>1</v>
      </c>
      <c r="P141" s="201"/>
      <c r="Q141" s="203"/>
      <c r="R141" s="201"/>
    </row>
    <row r="142" spans="1:25" s="199" customFormat="1" x14ac:dyDescent="0.25">
      <c r="A142" s="197" t="b">
        <v>0</v>
      </c>
      <c r="B142" s="197" t="s">
        <v>401</v>
      </c>
      <c r="C142" s="198" t="s">
        <v>441</v>
      </c>
      <c r="D142" s="199" t="s">
        <v>41</v>
      </c>
      <c r="E142" s="200" t="s">
        <v>342</v>
      </c>
      <c r="F142" s="199" t="s">
        <v>5</v>
      </c>
      <c r="G142" s="200">
        <v>27638079</v>
      </c>
      <c r="H142" s="201" t="s">
        <v>232</v>
      </c>
      <c r="I142" s="201" t="s">
        <v>232</v>
      </c>
      <c r="J142" s="199" t="s">
        <v>9</v>
      </c>
      <c r="K142" s="202">
        <v>5.4999999999999997E-3</v>
      </c>
      <c r="L142" s="202">
        <v>5.4999999999999997E-3</v>
      </c>
      <c r="M142" s="201">
        <v>0</v>
      </c>
      <c r="N142" s="203">
        <v>46054</v>
      </c>
      <c r="O142" s="201" t="b">
        <v>1</v>
      </c>
      <c r="P142" s="201"/>
      <c r="Q142" s="203"/>
      <c r="R142" s="201"/>
    </row>
    <row r="143" spans="1:25" s="199" customFormat="1" x14ac:dyDescent="0.25">
      <c r="A143" s="197" t="b">
        <v>0</v>
      </c>
      <c r="B143" s="197" t="s">
        <v>401</v>
      </c>
      <c r="C143" s="198" t="s">
        <v>442</v>
      </c>
      <c r="D143" s="199" t="s">
        <v>41</v>
      </c>
      <c r="E143" s="200" t="s">
        <v>347</v>
      </c>
      <c r="F143" s="199" t="s">
        <v>5</v>
      </c>
      <c r="G143" s="200">
        <v>27638088</v>
      </c>
      <c r="H143" s="201" t="s">
        <v>232</v>
      </c>
      <c r="I143" s="201" t="s">
        <v>232</v>
      </c>
      <c r="J143" s="199" t="s">
        <v>9</v>
      </c>
      <c r="K143" s="202">
        <v>5.4999999999999997E-3</v>
      </c>
      <c r="L143" s="202">
        <v>5.4999999999999997E-3</v>
      </c>
      <c r="M143" s="201">
        <v>0</v>
      </c>
      <c r="N143" s="203">
        <v>46054</v>
      </c>
      <c r="O143" s="201" t="b">
        <v>1</v>
      </c>
      <c r="P143" s="201"/>
      <c r="Q143" s="203"/>
      <c r="R143" s="201"/>
    </row>
    <row r="144" spans="1:25" s="199" customFormat="1" x14ac:dyDescent="0.25">
      <c r="A144" s="197" t="b">
        <v>0</v>
      </c>
      <c r="B144" s="197" t="s">
        <v>401</v>
      </c>
      <c r="C144" s="198" t="s">
        <v>437</v>
      </c>
      <c r="D144" s="199" t="s">
        <v>41</v>
      </c>
      <c r="E144" s="200" t="s">
        <v>318</v>
      </c>
      <c r="F144" s="199" t="s">
        <v>5</v>
      </c>
      <c r="G144" s="200">
        <v>4215217</v>
      </c>
      <c r="H144" s="201" t="s">
        <v>232</v>
      </c>
      <c r="I144" s="201" t="s">
        <v>232</v>
      </c>
      <c r="J144" s="199" t="s">
        <v>9</v>
      </c>
      <c r="K144" s="202">
        <v>5.4999999999999997E-3</v>
      </c>
      <c r="L144" s="202">
        <v>5.4999999999999997E-3</v>
      </c>
      <c r="M144" s="201">
        <v>0</v>
      </c>
      <c r="N144" s="203">
        <v>46054</v>
      </c>
      <c r="O144" s="201" t="b">
        <v>1</v>
      </c>
      <c r="P144" s="201"/>
      <c r="Q144" s="203"/>
      <c r="R144" s="201"/>
    </row>
    <row r="145" spans="1:27" s="199" customFormat="1" x14ac:dyDescent="0.25">
      <c r="A145" s="197" t="b">
        <v>0</v>
      </c>
      <c r="B145" s="197" t="s">
        <v>401</v>
      </c>
      <c r="C145" s="198" t="s">
        <v>443</v>
      </c>
      <c r="D145" s="199" t="s">
        <v>41</v>
      </c>
      <c r="E145" s="200" t="s">
        <v>322</v>
      </c>
      <c r="F145" s="199" t="s">
        <v>5</v>
      </c>
      <c r="G145" s="200">
        <v>4215220</v>
      </c>
      <c r="H145" s="201" t="s">
        <v>232</v>
      </c>
      <c r="I145" s="201" t="s">
        <v>232</v>
      </c>
      <c r="J145" s="199" t="s">
        <v>9</v>
      </c>
      <c r="K145" s="202">
        <v>5.4999999999999997E-3</v>
      </c>
      <c r="L145" s="202">
        <v>5.4999999999999997E-3</v>
      </c>
      <c r="M145" s="201">
        <v>0</v>
      </c>
      <c r="N145" s="203">
        <v>46054</v>
      </c>
      <c r="O145" s="201" t="b">
        <v>1</v>
      </c>
      <c r="P145" s="201"/>
      <c r="Q145" s="203"/>
      <c r="R145" s="201"/>
    </row>
    <row r="146" spans="1:27" s="199" customFormat="1" x14ac:dyDescent="0.25">
      <c r="A146" s="197" t="b">
        <v>0</v>
      </c>
      <c r="B146" s="197" t="s">
        <v>401</v>
      </c>
      <c r="C146" s="198" t="s">
        <v>438</v>
      </c>
      <c r="D146" s="199" t="s">
        <v>41</v>
      </c>
      <c r="E146" s="200" t="s">
        <v>328</v>
      </c>
      <c r="F146" s="199" t="s">
        <v>5</v>
      </c>
      <c r="G146" s="200">
        <v>4215205</v>
      </c>
      <c r="H146" s="201" t="s">
        <v>232</v>
      </c>
      <c r="I146" s="201" t="s">
        <v>232</v>
      </c>
      <c r="J146" s="199" t="s">
        <v>9</v>
      </c>
      <c r="K146" s="202">
        <v>5.4999999999999997E-3</v>
      </c>
      <c r="L146" s="202">
        <v>5.4999999999999997E-3</v>
      </c>
      <c r="M146" s="201">
        <v>0</v>
      </c>
      <c r="N146" s="203">
        <v>46054</v>
      </c>
      <c r="O146" s="201" t="b">
        <v>1</v>
      </c>
      <c r="P146" s="201"/>
      <c r="Q146" s="203"/>
      <c r="R146" s="201"/>
    </row>
    <row r="147" spans="1:27" s="199" customFormat="1" x14ac:dyDescent="0.25">
      <c r="A147" s="197" t="b">
        <v>0</v>
      </c>
      <c r="B147" s="197" t="s">
        <v>401</v>
      </c>
      <c r="C147" s="198" t="s">
        <v>439</v>
      </c>
      <c r="D147" s="199" t="s">
        <v>41</v>
      </c>
      <c r="E147" s="200" t="s">
        <v>332</v>
      </c>
      <c r="F147" s="199" t="s">
        <v>5</v>
      </c>
      <c r="G147" s="200">
        <v>4215227</v>
      </c>
      <c r="H147" s="201" t="s">
        <v>232</v>
      </c>
      <c r="I147" s="201" t="s">
        <v>232</v>
      </c>
      <c r="J147" s="199" t="s">
        <v>9</v>
      </c>
      <c r="K147" s="202">
        <v>5.4999999999999997E-3</v>
      </c>
      <c r="L147" s="202">
        <v>5.4999999999999997E-3</v>
      </c>
      <c r="M147" s="201">
        <v>0</v>
      </c>
      <c r="N147" s="203">
        <v>46054</v>
      </c>
      <c r="O147" s="201" t="b">
        <v>1</v>
      </c>
      <c r="P147" s="201"/>
      <c r="Q147" s="203"/>
      <c r="R147" s="201"/>
    </row>
    <row r="148" spans="1:27" s="199" customFormat="1" x14ac:dyDescent="0.25">
      <c r="A148" s="197" t="b">
        <v>0</v>
      </c>
      <c r="B148" s="197" t="s">
        <v>401</v>
      </c>
      <c r="C148" s="198" t="s">
        <v>440</v>
      </c>
      <c r="D148" s="199" t="s">
        <v>41</v>
      </c>
      <c r="E148" s="200" t="s">
        <v>336</v>
      </c>
      <c r="F148" s="199" t="s">
        <v>5</v>
      </c>
      <c r="G148" s="200">
        <v>209048377</v>
      </c>
      <c r="H148" s="201" t="s">
        <v>232</v>
      </c>
      <c r="I148" s="201" t="s">
        <v>232</v>
      </c>
      <c r="J148" s="199" t="s">
        <v>9</v>
      </c>
      <c r="K148" s="202">
        <v>5.4999999999999997E-3</v>
      </c>
      <c r="L148" s="202">
        <v>5.4999999999999997E-3</v>
      </c>
      <c r="M148" s="201">
        <v>0</v>
      </c>
      <c r="N148" s="203">
        <v>46054</v>
      </c>
      <c r="O148" s="201" t="b">
        <v>1</v>
      </c>
      <c r="P148" s="201"/>
      <c r="Q148" s="203"/>
      <c r="R148" s="201"/>
    </row>
    <row r="149" spans="1:27" s="199" customFormat="1" x14ac:dyDescent="0.25">
      <c r="A149" s="197" t="b">
        <v>0</v>
      </c>
      <c r="B149" s="197" t="s">
        <v>401</v>
      </c>
      <c r="C149" s="198" t="s">
        <v>454</v>
      </c>
      <c r="D149" s="199" t="s">
        <v>41</v>
      </c>
      <c r="E149" s="200" t="s">
        <v>312</v>
      </c>
      <c r="F149" s="199" t="s">
        <v>5</v>
      </c>
      <c r="G149" s="200">
        <v>4215210</v>
      </c>
      <c r="H149" s="201" t="s">
        <v>232</v>
      </c>
      <c r="I149" s="201" t="s">
        <v>232</v>
      </c>
      <c r="J149" s="199" t="s">
        <v>9</v>
      </c>
      <c r="K149" s="202">
        <v>5.4999999999999997E-3</v>
      </c>
      <c r="L149" s="202">
        <v>5.4999999999999997E-3</v>
      </c>
      <c r="M149" s="201">
        <v>0</v>
      </c>
      <c r="N149" s="203">
        <v>46054</v>
      </c>
      <c r="O149" s="201" t="b">
        <v>1</v>
      </c>
      <c r="P149" s="201"/>
      <c r="Q149" s="203"/>
      <c r="R149" s="201"/>
    </row>
    <row r="150" spans="1:27" s="199" customFormat="1" x14ac:dyDescent="0.25">
      <c r="A150" s="197" t="b">
        <v>0</v>
      </c>
      <c r="B150" s="197" t="s">
        <v>401</v>
      </c>
      <c r="C150" s="198" t="s">
        <v>441</v>
      </c>
      <c r="D150" s="199" t="s">
        <v>41</v>
      </c>
      <c r="E150" s="200" t="s">
        <v>341</v>
      </c>
      <c r="F150" s="199" t="s">
        <v>5</v>
      </c>
      <c r="G150" s="200">
        <v>4215230</v>
      </c>
      <c r="H150" s="201" t="s">
        <v>232</v>
      </c>
      <c r="I150" s="201" t="s">
        <v>232</v>
      </c>
      <c r="J150" s="199" t="s">
        <v>9</v>
      </c>
      <c r="K150" s="202">
        <v>5.4999999999999997E-3</v>
      </c>
      <c r="L150" s="202">
        <v>5.4999999999999997E-3</v>
      </c>
      <c r="M150" s="201">
        <v>0</v>
      </c>
      <c r="N150" s="203">
        <v>46054</v>
      </c>
      <c r="O150" s="201" t="b">
        <v>1</v>
      </c>
      <c r="P150" s="201"/>
      <c r="Q150" s="203"/>
      <c r="R150" s="201"/>
    </row>
    <row r="151" spans="1:27" s="199" customFormat="1" x14ac:dyDescent="0.25">
      <c r="A151" s="197" t="b">
        <v>0</v>
      </c>
      <c r="B151" s="197" t="s">
        <v>401</v>
      </c>
      <c r="C151" s="198" t="s">
        <v>442</v>
      </c>
      <c r="D151" s="199" t="s">
        <v>41</v>
      </c>
      <c r="E151" s="200" t="s">
        <v>346</v>
      </c>
      <c r="F151" s="199" t="s">
        <v>5</v>
      </c>
      <c r="G151" s="200">
        <v>4215235</v>
      </c>
      <c r="H151" s="201" t="s">
        <v>232</v>
      </c>
      <c r="I151" s="201" t="s">
        <v>232</v>
      </c>
      <c r="J151" s="199" t="s">
        <v>9</v>
      </c>
      <c r="K151" s="202">
        <v>5.4999999999999997E-3</v>
      </c>
      <c r="L151" s="202">
        <v>5.4999999999999997E-3</v>
      </c>
      <c r="M151" s="201">
        <v>0</v>
      </c>
      <c r="N151" s="203">
        <v>46054</v>
      </c>
      <c r="O151" s="201" t="b">
        <v>1</v>
      </c>
      <c r="P151" s="201"/>
      <c r="Q151" s="203"/>
      <c r="R151" s="201"/>
    </row>
    <row r="152" spans="1:27" x14ac:dyDescent="0.25">
      <c r="A152" s="4" t="b">
        <v>0</v>
      </c>
      <c r="B152" s="4" t="s">
        <v>18</v>
      </c>
      <c r="C152" s="4" t="s">
        <v>18</v>
      </c>
      <c r="D152" s="20" t="s">
        <v>45</v>
      </c>
      <c r="E152" s="128" t="s">
        <v>45</v>
      </c>
      <c r="F152" s="20" t="s">
        <v>5</v>
      </c>
      <c r="G152" s="20">
        <v>890244267</v>
      </c>
      <c r="H152" s="3" t="s">
        <v>34</v>
      </c>
      <c r="I152" s="3" t="s">
        <v>18</v>
      </c>
      <c r="J152" s="22" t="s">
        <v>9</v>
      </c>
      <c r="K152" s="28">
        <v>1.5</v>
      </c>
      <c r="L152" s="28">
        <v>1.5</v>
      </c>
      <c r="M152" s="3">
        <v>0</v>
      </c>
      <c r="N152" s="3"/>
      <c r="O152" s="3" t="b">
        <v>0</v>
      </c>
      <c r="P152" s="20"/>
      <c r="Q152" s="20"/>
      <c r="R152" s="20"/>
      <c r="S152" s="20"/>
      <c r="T152" s="2"/>
      <c r="U152" s="28"/>
      <c r="V152" s="2"/>
      <c r="X152" s="20"/>
      <c r="Y152" s="3"/>
    </row>
    <row r="153" spans="1:27" x14ac:dyDescent="0.25">
      <c r="G153" s="20"/>
      <c r="H153" s="20"/>
      <c r="I153" s="29"/>
      <c r="J153" s="29"/>
      <c r="K153" s="20"/>
      <c r="L153" s="20"/>
      <c r="M153" s="20"/>
      <c r="N153" s="20"/>
      <c r="O153" s="20"/>
      <c r="P153" s="20"/>
      <c r="Q153" s="20"/>
      <c r="R153" s="20"/>
      <c r="W153" s="20"/>
    </row>
    <row r="154" spans="1:27" x14ac:dyDescent="0.25">
      <c r="G154" s="20"/>
      <c r="H154" s="20"/>
      <c r="I154" s="29"/>
      <c r="J154" s="29"/>
      <c r="K154" s="20"/>
      <c r="L154" s="20"/>
      <c r="M154" s="20"/>
      <c r="N154" s="20"/>
      <c r="O154" s="20"/>
      <c r="P154" s="20"/>
      <c r="Q154" s="20"/>
      <c r="R154" s="20"/>
      <c r="W154" s="20"/>
    </row>
    <row r="155" spans="1:27" x14ac:dyDescent="0.25">
      <c r="G155" s="20"/>
      <c r="H155" s="20"/>
      <c r="I155" s="29"/>
      <c r="J155" s="29"/>
      <c r="K155" s="20"/>
      <c r="L155" s="20"/>
      <c r="M155" s="20"/>
      <c r="N155" s="20"/>
      <c r="O155" s="20"/>
      <c r="P155" s="20"/>
      <c r="Q155" s="20"/>
      <c r="R155" s="20"/>
      <c r="W155" s="20"/>
    </row>
    <row r="156" spans="1:27" x14ac:dyDescent="0.25">
      <c r="G156" s="20"/>
      <c r="H156" s="20"/>
      <c r="I156" s="29"/>
      <c r="J156" s="29"/>
      <c r="K156" s="20"/>
      <c r="L156" s="20"/>
      <c r="M156" s="20"/>
      <c r="N156" s="20"/>
      <c r="O156" s="20"/>
      <c r="P156" s="20"/>
      <c r="Q156" s="20"/>
      <c r="R156" s="20"/>
      <c r="W156" s="20"/>
    </row>
    <row r="157" spans="1:27" s="34" customFormat="1" x14ac:dyDescent="0.25">
      <c r="A157" s="33" t="s">
        <v>119</v>
      </c>
      <c r="B157" s="34" t="s">
        <v>120</v>
      </c>
      <c r="C157" s="34" t="s">
        <v>124</v>
      </c>
      <c r="D157" s="34" t="s">
        <v>121</v>
      </c>
      <c r="E157" s="42" t="s">
        <v>122</v>
      </c>
      <c r="F157" s="42" t="s">
        <v>123</v>
      </c>
      <c r="G157" s="34" t="s">
        <v>125</v>
      </c>
      <c r="H157" s="42" t="s">
        <v>126</v>
      </c>
      <c r="I157" s="56" t="s">
        <v>156</v>
      </c>
      <c r="J157" s="56" t="s">
        <v>157</v>
      </c>
      <c r="K157" s="42" t="s">
        <v>158</v>
      </c>
      <c r="L157" s="42" t="s">
        <v>159</v>
      </c>
      <c r="M157" s="34" t="s">
        <v>127</v>
      </c>
      <c r="N157" s="46" t="s">
        <v>128</v>
      </c>
      <c r="O157" s="42" t="s">
        <v>129</v>
      </c>
      <c r="P157" s="42" t="s">
        <v>130</v>
      </c>
      <c r="Q157" s="42" t="s">
        <v>131</v>
      </c>
      <c r="R157" s="42" t="s">
        <v>132</v>
      </c>
      <c r="S157" s="35" t="s">
        <v>133</v>
      </c>
      <c r="T157" s="34" t="s">
        <v>134</v>
      </c>
      <c r="U157" s="36" t="s">
        <v>135</v>
      </c>
      <c r="V157" s="36" t="s">
        <v>136</v>
      </c>
      <c r="W157" s="34" t="s">
        <v>137</v>
      </c>
      <c r="X157" s="51" t="s">
        <v>138</v>
      </c>
      <c r="Y157" s="34" t="s">
        <v>139</v>
      </c>
      <c r="Z157" s="34" t="s">
        <v>140</v>
      </c>
      <c r="AA157" s="36" t="s">
        <v>141</v>
      </c>
    </row>
    <row r="158" spans="1:27" hidden="1" x14ac:dyDescent="0.25">
      <c r="A158" s="4"/>
      <c r="B158" s="20" t="s">
        <v>46</v>
      </c>
      <c r="C158" s="20" t="s">
        <v>63</v>
      </c>
      <c r="D158" s="2" t="s">
        <v>24</v>
      </c>
      <c r="E158" s="37" t="s">
        <v>18</v>
      </c>
      <c r="F158" s="7" t="s">
        <v>34</v>
      </c>
      <c r="G158" s="2" t="s">
        <v>49</v>
      </c>
      <c r="H158" s="7"/>
      <c r="I158" s="31"/>
      <c r="J158" s="31"/>
      <c r="K158" s="7"/>
      <c r="L158" s="7"/>
      <c r="M158" s="2" t="s">
        <v>24</v>
      </c>
      <c r="N158" s="40" t="s">
        <v>24</v>
      </c>
      <c r="O158" s="7" t="s">
        <v>24</v>
      </c>
      <c r="P158" s="7"/>
      <c r="Q158" s="7"/>
      <c r="R158" s="7"/>
      <c r="S158" s="28"/>
      <c r="T158" s="2"/>
      <c r="U158" s="3"/>
      <c r="W158" s="2"/>
      <c r="X158" s="38"/>
      <c r="Y158" s="2" t="s">
        <v>18</v>
      </c>
      <c r="AA158" s="3"/>
    </row>
    <row r="159" spans="1:27" s="9" customFormat="1" hidden="1" x14ac:dyDescent="0.25">
      <c r="A159" s="4"/>
      <c r="B159" s="20" t="s">
        <v>46</v>
      </c>
      <c r="C159" s="20" t="s">
        <v>62</v>
      </c>
      <c r="D159" s="2" t="s">
        <v>24</v>
      </c>
      <c r="E159" s="37" t="s">
        <v>18</v>
      </c>
      <c r="F159" s="7" t="s">
        <v>33</v>
      </c>
      <c r="G159" s="2" t="s">
        <v>37</v>
      </c>
      <c r="H159" s="7"/>
      <c r="I159" s="31"/>
      <c r="J159" s="31"/>
      <c r="K159" s="7"/>
      <c r="L159" s="7"/>
      <c r="M159" s="2" t="s">
        <v>24</v>
      </c>
      <c r="N159" s="40" t="s">
        <v>24</v>
      </c>
      <c r="O159" s="7" t="s">
        <v>24</v>
      </c>
      <c r="P159" s="7"/>
      <c r="Q159" s="7"/>
      <c r="R159" s="7"/>
      <c r="S159" s="28"/>
      <c r="T159" s="2"/>
      <c r="U159" s="3"/>
      <c r="V159" s="3"/>
      <c r="W159" s="2"/>
      <c r="X159" s="38"/>
      <c r="Y159" s="2" t="s">
        <v>33</v>
      </c>
      <c r="Z159" s="2"/>
      <c r="AA159" s="3"/>
    </row>
    <row r="160" spans="1:27" s="15" customFormat="1" hidden="1" x14ac:dyDescent="0.25">
      <c r="A160" s="4"/>
      <c r="B160" s="2" t="s">
        <v>45</v>
      </c>
      <c r="C160" s="20" t="s">
        <v>72</v>
      </c>
      <c r="D160" s="2" t="s">
        <v>23</v>
      </c>
      <c r="E160" s="37" t="s">
        <v>18</v>
      </c>
      <c r="F160" s="7" t="s">
        <v>33</v>
      </c>
      <c r="G160" s="2"/>
      <c r="H160" s="7"/>
      <c r="I160" s="31"/>
      <c r="J160" s="31"/>
      <c r="K160" s="7"/>
      <c r="L160" s="7"/>
      <c r="M160" s="2" t="s">
        <v>24</v>
      </c>
      <c r="N160" s="40"/>
      <c r="O160" s="7"/>
      <c r="P160" s="7"/>
      <c r="Q160" s="39"/>
      <c r="R160" s="39"/>
      <c r="S160" s="28"/>
      <c r="T160" s="5"/>
      <c r="U160" s="3"/>
      <c r="V160" s="3"/>
      <c r="W160" s="5"/>
      <c r="X160" s="38"/>
      <c r="Y160" s="2"/>
      <c r="Z160" s="2"/>
      <c r="AA160" s="3"/>
    </row>
    <row r="161" spans="1:27" hidden="1" x14ac:dyDescent="0.25">
      <c r="A161" s="4" t="s">
        <v>142</v>
      </c>
      <c r="B161" s="20" t="s">
        <v>32</v>
      </c>
      <c r="C161" s="20" t="s">
        <v>30</v>
      </c>
      <c r="D161" s="20" t="s">
        <v>79</v>
      </c>
      <c r="E161" s="37" t="s">
        <v>18</v>
      </c>
      <c r="F161" s="37" t="s">
        <v>33</v>
      </c>
      <c r="G161" s="20" t="s">
        <v>36</v>
      </c>
      <c r="H161" s="44" t="s">
        <v>24</v>
      </c>
      <c r="I161" s="55"/>
      <c r="J161" s="55"/>
      <c r="K161" s="44"/>
      <c r="L161" s="44"/>
      <c r="M161" s="22" t="s">
        <v>24</v>
      </c>
      <c r="N161" s="45" t="s">
        <v>24</v>
      </c>
      <c r="O161" s="44" t="s">
        <v>24</v>
      </c>
      <c r="P161" s="37" t="s">
        <v>8</v>
      </c>
      <c r="Q161" s="48">
        <v>0</v>
      </c>
      <c r="R161" s="48">
        <v>0</v>
      </c>
      <c r="S161" s="22">
        <v>0</v>
      </c>
      <c r="T161" s="21">
        <v>46047</v>
      </c>
      <c r="U161" s="22">
        <v>0</v>
      </c>
      <c r="V161" s="22">
        <v>0</v>
      </c>
      <c r="W161" s="21">
        <v>46046</v>
      </c>
      <c r="X161" s="52" t="s">
        <v>24</v>
      </c>
      <c r="Y161" s="20" t="s">
        <v>24</v>
      </c>
      <c r="Z161" s="20" t="s">
        <v>24</v>
      </c>
      <c r="AA161" s="3"/>
    </row>
    <row r="162" spans="1:27" s="25" customFormat="1" x14ac:dyDescent="0.25">
      <c r="A162" s="4"/>
      <c r="B162" s="20" t="s">
        <v>3</v>
      </c>
      <c r="C162" s="37" t="s">
        <v>64</v>
      </c>
      <c r="D162" s="20" t="s">
        <v>23</v>
      </c>
      <c r="E162" s="37" t="s">
        <v>18</v>
      </c>
      <c r="F162" s="37"/>
      <c r="G162" s="20"/>
      <c r="H162" s="37"/>
      <c r="I162" s="55"/>
      <c r="J162" s="55"/>
      <c r="K162" s="37"/>
      <c r="L162" s="37"/>
      <c r="M162" s="20" t="s">
        <v>24</v>
      </c>
      <c r="N162" s="47"/>
      <c r="O162" s="37"/>
      <c r="P162" s="37"/>
      <c r="Q162" s="48"/>
      <c r="R162" s="48"/>
      <c r="S162" s="29"/>
      <c r="T162" s="21"/>
      <c r="U162" s="22"/>
      <c r="V162" s="22"/>
      <c r="W162" s="21"/>
      <c r="X162" s="44"/>
      <c r="Y162" s="20"/>
      <c r="Z162" s="20"/>
      <c r="AA162" s="3"/>
    </row>
    <row r="163" spans="1:27" s="20" customFormat="1" hidden="1" x14ac:dyDescent="0.25">
      <c r="A163" s="4"/>
      <c r="B163" s="20" t="s">
        <v>46</v>
      </c>
      <c r="C163" s="20" t="s">
        <v>64</v>
      </c>
      <c r="D163" s="20" t="s">
        <v>24</v>
      </c>
      <c r="E163" s="37" t="s">
        <v>18</v>
      </c>
      <c r="F163" s="37" t="s">
        <v>34</v>
      </c>
      <c r="G163" s="20" t="s">
        <v>52</v>
      </c>
      <c r="H163" s="37"/>
      <c r="I163" s="55"/>
      <c r="J163" s="55"/>
      <c r="K163" s="37"/>
      <c r="L163" s="37"/>
      <c r="M163" s="20" t="s">
        <v>24</v>
      </c>
      <c r="N163" s="45" t="s">
        <v>24</v>
      </c>
      <c r="O163" s="37" t="s">
        <v>24</v>
      </c>
      <c r="P163" s="37"/>
      <c r="Q163" s="48"/>
      <c r="R163" s="48"/>
      <c r="S163" s="29"/>
      <c r="T163" s="21"/>
      <c r="U163" s="22"/>
      <c r="V163" s="22"/>
      <c r="W163" s="21"/>
      <c r="X163" s="44"/>
      <c r="Y163" s="20" t="s">
        <v>34</v>
      </c>
      <c r="AA163" s="3"/>
    </row>
    <row r="164" spans="1:27" s="20" customFormat="1" hidden="1" x14ac:dyDescent="0.25">
      <c r="A164" s="4" t="s">
        <v>142</v>
      </c>
      <c r="B164" s="2" t="s">
        <v>32</v>
      </c>
      <c r="C164" s="2" t="s">
        <v>27</v>
      </c>
      <c r="D164" s="2" t="s">
        <v>80</v>
      </c>
      <c r="E164" s="37" t="s">
        <v>18</v>
      </c>
      <c r="F164" s="7" t="s">
        <v>33</v>
      </c>
      <c r="G164" s="2" t="s">
        <v>56</v>
      </c>
      <c r="H164" s="38" t="s">
        <v>24</v>
      </c>
      <c r="I164" s="31"/>
      <c r="J164" s="31"/>
      <c r="K164" s="38"/>
      <c r="L164" s="38"/>
      <c r="M164" s="3" t="s">
        <v>24</v>
      </c>
      <c r="N164" s="40" t="s">
        <v>24</v>
      </c>
      <c r="O164" s="38" t="s">
        <v>24</v>
      </c>
      <c r="P164" s="7"/>
      <c r="Q164" s="30"/>
      <c r="R164" s="30"/>
      <c r="S164" s="31"/>
      <c r="T164" s="8"/>
      <c r="U164" s="3">
        <v>0</v>
      </c>
      <c r="V164" s="3">
        <v>0</v>
      </c>
      <c r="W164" s="5">
        <v>46053</v>
      </c>
      <c r="X164" s="38" t="s">
        <v>24</v>
      </c>
      <c r="Y164" s="2" t="s">
        <v>24</v>
      </c>
      <c r="Z164" s="2" t="s">
        <v>24</v>
      </c>
      <c r="AA164" s="3"/>
    </row>
    <row r="165" spans="1:27" s="9" customFormat="1" hidden="1" x14ac:dyDescent="0.25">
      <c r="A165" s="4"/>
      <c r="B165" s="20" t="s">
        <v>46</v>
      </c>
      <c r="C165" s="20" t="s">
        <v>65</v>
      </c>
      <c r="D165" s="2" t="s">
        <v>24</v>
      </c>
      <c r="E165" s="37" t="s">
        <v>18</v>
      </c>
      <c r="F165" s="7" t="s">
        <v>33</v>
      </c>
      <c r="G165" s="2" t="s">
        <v>54</v>
      </c>
      <c r="H165" s="7"/>
      <c r="I165" s="31"/>
      <c r="J165" s="31"/>
      <c r="K165" s="7"/>
      <c r="L165" s="7"/>
      <c r="M165" s="2" t="s">
        <v>24</v>
      </c>
      <c r="N165" s="40" t="s">
        <v>24</v>
      </c>
      <c r="O165" s="7" t="s">
        <v>24</v>
      </c>
      <c r="P165" s="7"/>
      <c r="Q165" s="7"/>
      <c r="R165" s="7"/>
      <c r="S165" s="28"/>
      <c r="T165" s="2"/>
      <c r="U165" s="3"/>
      <c r="V165" s="3"/>
      <c r="W165" s="2"/>
      <c r="X165" s="38"/>
      <c r="Y165" s="2" t="s">
        <v>33</v>
      </c>
      <c r="Z165" s="2"/>
      <c r="AA165" s="3"/>
    </row>
    <row r="166" spans="1:27" s="25" customFormat="1" hidden="1" x14ac:dyDescent="0.25">
      <c r="A166" s="4"/>
      <c r="B166" s="20" t="s">
        <v>46</v>
      </c>
      <c r="C166" s="20" t="s">
        <v>65</v>
      </c>
      <c r="D166" s="2" t="s">
        <v>24</v>
      </c>
      <c r="E166" s="37" t="s">
        <v>18</v>
      </c>
      <c r="F166" s="7" t="s">
        <v>34</v>
      </c>
      <c r="G166" s="2" t="s">
        <v>55</v>
      </c>
      <c r="H166" s="7"/>
      <c r="I166" s="31"/>
      <c r="J166" s="31"/>
      <c r="K166" s="7"/>
      <c r="L166" s="7"/>
      <c r="M166" s="2" t="s">
        <v>24</v>
      </c>
      <c r="N166" s="40" t="s">
        <v>24</v>
      </c>
      <c r="O166" s="7" t="s">
        <v>24</v>
      </c>
      <c r="P166" s="7"/>
      <c r="Q166" s="7"/>
      <c r="R166" s="7"/>
      <c r="S166" s="28"/>
      <c r="T166" s="2"/>
      <c r="U166" s="3"/>
      <c r="V166" s="3"/>
      <c r="W166" s="2"/>
      <c r="X166" s="38"/>
      <c r="Y166" s="2" t="s">
        <v>18</v>
      </c>
      <c r="Z166" s="2"/>
      <c r="AA166" s="3"/>
    </row>
    <row r="167" spans="1:27" x14ac:dyDescent="0.25">
      <c r="A167" s="4"/>
      <c r="B167" s="20" t="s">
        <v>3</v>
      </c>
      <c r="C167" s="20" t="s">
        <v>53</v>
      </c>
      <c r="D167" s="20" t="s">
        <v>23</v>
      </c>
      <c r="E167" s="37" t="s">
        <v>18</v>
      </c>
      <c r="F167" s="37"/>
      <c r="G167" s="20"/>
      <c r="H167" s="37"/>
      <c r="I167" s="55"/>
      <c r="J167" s="55"/>
      <c r="K167" s="37"/>
      <c r="L167" s="37"/>
      <c r="M167" s="20" t="s">
        <v>24</v>
      </c>
      <c r="N167" s="47" t="e">
        <v>#REF!</v>
      </c>
      <c r="O167" s="37"/>
      <c r="P167" s="37"/>
      <c r="Q167" s="37"/>
      <c r="R167" s="37"/>
      <c r="S167" s="29"/>
      <c r="T167" s="20"/>
      <c r="U167" s="22"/>
      <c r="V167" s="22"/>
      <c r="W167" s="20"/>
      <c r="X167" s="44"/>
      <c r="Y167" s="20"/>
      <c r="Z167" s="20"/>
      <c r="AA167" s="3"/>
    </row>
    <row r="168" spans="1:27" s="20" customFormat="1" hidden="1" x14ac:dyDescent="0.25">
      <c r="A168" s="4"/>
      <c r="B168" s="2" t="s">
        <v>45</v>
      </c>
      <c r="C168" s="20" t="s">
        <v>73</v>
      </c>
      <c r="D168" s="24" t="s">
        <v>23</v>
      </c>
      <c r="E168" s="37" t="s">
        <v>18</v>
      </c>
      <c r="F168" s="43"/>
      <c r="G168" s="9"/>
      <c r="H168" s="43"/>
      <c r="I168" s="57"/>
      <c r="J168" s="57"/>
      <c r="K168" s="43"/>
      <c r="L168" s="43"/>
      <c r="M168" s="2" t="s">
        <v>24</v>
      </c>
      <c r="N168" s="40"/>
      <c r="O168" s="43"/>
      <c r="P168" s="43"/>
      <c r="Q168" s="49"/>
      <c r="R168" s="49"/>
      <c r="S168" s="28"/>
      <c r="T168" s="12"/>
      <c r="U168" s="3"/>
      <c r="V168" s="3"/>
      <c r="W168" s="12"/>
      <c r="X168" s="38"/>
      <c r="Y168" s="9"/>
      <c r="Z168" s="9"/>
      <c r="AA168" s="3"/>
    </row>
    <row r="169" spans="1:27" s="20" customFormat="1" hidden="1" x14ac:dyDescent="0.25">
      <c r="A169" s="4"/>
      <c r="B169" s="2" t="s">
        <v>45</v>
      </c>
      <c r="C169" s="20" t="s">
        <v>26</v>
      </c>
      <c r="D169" s="2" t="s">
        <v>23</v>
      </c>
      <c r="E169" s="37" t="s">
        <v>18</v>
      </c>
      <c r="F169" s="7"/>
      <c r="G169" s="2"/>
      <c r="H169" s="7"/>
      <c r="I169" s="31"/>
      <c r="J169" s="31"/>
      <c r="K169" s="7"/>
      <c r="L169" s="7"/>
      <c r="M169" s="2" t="s">
        <v>24</v>
      </c>
      <c r="N169" s="40"/>
      <c r="O169" s="7"/>
      <c r="P169" s="7"/>
      <c r="Q169" s="39"/>
      <c r="R169" s="39"/>
      <c r="S169" s="28"/>
      <c r="T169" s="5"/>
      <c r="U169" s="3"/>
      <c r="V169" s="3"/>
      <c r="W169" s="5"/>
      <c r="X169" s="38"/>
      <c r="Y169" s="2"/>
      <c r="Z169" s="2"/>
      <c r="AA169" s="3"/>
    </row>
    <row r="170" spans="1:27" s="20" customFormat="1" hidden="1" x14ac:dyDescent="0.25">
      <c r="A170" s="4" t="s">
        <v>142</v>
      </c>
      <c r="B170" s="20" t="s">
        <v>32</v>
      </c>
      <c r="C170" s="20" t="s">
        <v>26</v>
      </c>
      <c r="D170" s="20" t="s">
        <v>81</v>
      </c>
      <c r="E170" s="37" t="s">
        <v>18</v>
      </c>
      <c r="F170" s="37" t="s">
        <v>33</v>
      </c>
      <c r="G170" s="20" t="s">
        <v>37</v>
      </c>
      <c r="H170" s="44" t="s">
        <v>24</v>
      </c>
      <c r="I170" s="55"/>
      <c r="J170" s="55"/>
      <c r="K170" s="44"/>
      <c r="L170" s="44"/>
      <c r="M170" s="22" t="s">
        <v>24</v>
      </c>
      <c r="N170" s="45" t="s">
        <v>24</v>
      </c>
      <c r="O170" s="44" t="s">
        <v>24</v>
      </c>
      <c r="P170" s="37" t="s">
        <v>8</v>
      </c>
      <c r="Q170" s="48">
        <v>5.0000000000000001E-4</v>
      </c>
      <c r="R170" s="48">
        <v>5.9999999999999995E-4</v>
      </c>
      <c r="S170" s="22">
        <v>0</v>
      </c>
      <c r="T170" s="21">
        <v>46047</v>
      </c>
      <c r="U170" s="22">
        <v>0</v>
      </c>
      <c r="V170" s="22">
        <v>0</v>
      </c>
      <c r="W170" s="21">
        <v>46046</v>
      </c>
      <c r="X170" s="52" t="s">
        <v>24</v>
      </c>
      <c r="Y170" s="20" t="s">
        <v>24</v>
      </c>
      <c r="Z170" s="20" t="s">
        <v>24</v>
      </c>
      <c r="AA170" s="3"/>
    </row>
    <row r="171" spans="1:27" s="20" customFormat="1" x14ac:dyDescent="0.25">
      <c r="A171" s="4"/>
      <c r="B171" s="20" t="s">
        <v>3</v>
      </c>
      <c r="C171" s="37" t="s">
        <v>66</v>
      </c>
      <c r="D171" s="20" t="s">
        <v>23</v>
      </c>
      <c r="E171" s="37" t="s">
        <v>18</v>
      </c>
      <c r="F171" s="37"/>
      <c r="H171" s="37"/>
      <c r="I171" s="55"/>
      <c r="J171" s="55"/>
      <c r="K171" s="37"/>
      <c r="L171" s="37"/>
      <c r="M171" s="20" t="s">
        <v>24</v>
      </c>
      <c r="N171" s="45"/>
      <c r="O171" s="37"/>
      <c r="P171" s="37"/>
      <c r="Q171" s="48"/>
      <c r="R171" s="48"/>
      <c r="S171" s="29"/>
      <c r="T171" s="21"/>
      <c r="U171" s="22"/>
      <c r="V171" s="22"/>
      <c r="W171" s="21"/>
      <c r="X171" s="44"/>
      <c r="AA171" s="3"/>
    </row>
    <row r="172" spans="1:27" s="20" customFormat="1" hidden="1" x14ac:dyDescent="0.25">
      <c r="A172" s="4"/>
      <c r="B172" s="20" t="s">
        <v>46</v>
      </c>
      <c r="C172" s="20" t="s">
        <v>66</v>
      </c>
      <c r="D172" s="2" t="s">
        <v>24</v>
      </c>
      <c r="E172" s="37" t="s">
        <v>18</v>
      </c>
      <c r="F172" s="7" t="s">
        <v>33</v>
      </c>
      <c r="G172" s="2" t="s">
        <v>37</v>
      </c>
      <c r="H172" s="7"/>
      <c r="I172" s="31"/>
      <c r="J172" s="31"/>
      <c r="K172" s="7"/>
      <c r="L172" s="7"/>
      <c r="M172" s="2" t="s">
        <v>24</v>
      </c>
      <c r="N172" s="40" t="s">
        <v>24</v>
      </c>
      <c r="O172" s="7" t="s">
        <v>24</v>
      </c>
      <c r="P172" s="7"/>
      <c r="Q172" s="7"/>
      <c r="R172" s="7"/>
      <c r="S172" s="28"/>
      <c r="T172" s="2"/>
      <c r="U172" s="3"/>
      <c r="V172" s="3"/>
      <c r="W172" s="2"/>
      <c r="X172" s="38"/>
      <c r="Y172" s="2" t="s">
        <v>33</v>
      </c>
      <c r="Z172" s="2"/>
      <c r="AA172" s="3"/>
    </row>
    <row r="173" spans="1:27" s="15" customFormat="1" hidden="1" x14ac:dyDescent="0.25">
      <c r="A173" s="4"/>
      <c r="B173" s="20" t="s">
        <v>46</v>
      </c>
      <c r="C173" s="20" t="s">
        <v>66</v>
      </c>
      <c r="D173" s="2" t="s">
        <v>24</v>
      </c>
      <c r="E173" s="37" t="s">
        <v>18</v>
      </c>
      <c r="F173" s="7" t="s">
        <v>34</v>
      </c>
      <c r="G173" s="2" t="s">
        <v>39</v>
      </c>
      <c r="H173" s="7"/>
      <c r="I173" s="31"/>
      <c r="J173" s="31"/>
      <c r="K173" s="7"/>
      <c r="L173" s="7"/>
      <c r="M173" s="2" t="s">
        <v>24</v>
      </c>
      <c r="N173" s="40" t="s">
        <v>24</v>
      </c>
      <c r="O173" s="7" t="s">
        <v>24</v>
      </c>
      <c r="P173" s="7"/>
      <c r="Q173" s="7"/>
      <c r="R173" s="7"/>
      <c r="S173" s="28"/>
      <c r="T173" s="2"/>
      <c r="U173" s="3"/>
      <c r="V173" s="3"/>
      <c r="W173" s="2"/>
      <c r="X173" s="38"/>
      <c r="Y173" s="2" t="s">
        <v>18</v>
      </c>
      <c r="Z173" s="2"/>
      <c r="AA173" s="3"/>
    </row>
    <row r="174" spans="1:27" s="9" customFormat="1" x14ac:dyDescent="0.25">
      <c r="A174" s="4"/>
      <c r="B174" s="20" t="s">
        <v>3</v>
      </c>
      <c r="C174" s="37" t="s">
        <v>6</v>
      </c>
      <c r="D174" s="20" t="s">
        <v>23</v>
      </c>
      <c r="E174" s="37" t="s">
        <v>18</v>
      </c>
      <c r="F174" s="37" t="s">
        <v>34</v>
      </c>
      <c r="G174" s="2"/>
      <c r="H174" s="7"/>
      <c r="I174" s="31"/>
      <c r="J174" s="31"/>
      <c r="K174" s="7"/>
      <c r="L174" s="7"/>
      <c r="M174" s="20" t="s">
        <v>24</v>
      </c>
      <c r="N174" s="45"/>
      <c r="O174" s="7"/>
      <c r="P174" s="37" t="s">
        <v>8</v>
      </c>
      <c r="Q174" s="48">
        <v>0</v>
      </c>
      <c r="R174" s="48">
        <v>0</v>
      </c>
      <c r="S174" s="29">
        <v>0</v>
      </c>
      <c r="T174" s="21"/>
      <c r="U174" s="22">
        <v>0</v>
      </c>
      <c r="V174" s="22">
        <v>0</v>
      </c>
      <c r="W174" s="21"/>
      <c r="X174" s="44">
        <v>0</v>
      </c>
      <c r="Y174" s="20" t="s">
        <v>34</v>
      </c>
      <c r="Z174" s="20" t="s">
        <v>83</v>
      </c>
      <c r="AA174" s="3"/>
    </row>
    <row r="175" spans="1:27" s="20" customFormat="1" hidden="1" x14ac:dyDescent="0.25">
      <c r="A175" s="4"/>
      <c r="B175" s="20" t="s">
        <v>46</v>
      </c>
      <c r="C175" s="20" t="s">
        <v>67</v>
      </c>
      <c r="D175" s="2" t="s">
        <v>78</v>
      </c>
      <c r="E175" s="37" t="s">
        <v>18</v>
      </c>
      <c r="F175" s="37" t="s">
        <v>34</v>
      </c>
      <c r="G175" s="20" t="s">
        <v>78</v>
      </c>
      <c r="H175" s="37"/>
      <c r="I175" s="55"/>
      <c r="J175" s="55"/>
      <c r="K175" s="37"/>
      <c r="L175" s="37"/>
      <c r="M175" s="20" t="s">
        <v>24</v>
      </c>
      <c r="N175" s="40" t="s">
        <v>24</v>
      </c>
      <c r="O175" s="37" t="s">
        <v>24</v>
      </c>
      <c r="P175" s="37" t="s">
        <v>8</v>
      </c>
      <c r="Q175" s="48">
        <v>0</v>
      </c>
      <c r="R175" s="48">
        <v>0</v>
      </c>
      <c r="S175" s="29">
        <v>0</v>
      </c>
      <c r="T175" s="21"/>
      <c r="U175" s="22">
        <v>0</v>
      </c>
      <c r="V175" s="22">
        <v>0</v>
      </c>
      <c r="W175" s="21"/>
      <c r="X175" s="44">
        <v>0</v>
      </c>
      <c r="Y175" s="20" t="s">
        <v>34</v>
      </c>
      <c r="Z175" s="20" t="s">
        <v>24</v>
      </c>
      <c r="AA175" s="3"/>
    </row>
    <row r="176" spans="1:27" s="20" customFormat="1" x14ac:dyDescent="0.25">
      <c r="A176" s="4" t="b">
        <v>1</v>
      </c>
      <c r="B176" s="2" t="s">
        <v>3</v>
      </c>
      <c r="C176" s="2" t="s">
        <v>144</v>
      </c>
      <c r="D176" s="2" t="e">
        <f>static_data_table[[#This Row],[pf_locator]]</f>
        <v>#VALUE!</v>
      </c>
      <c r="E176" s="37" t="s">
        <v>18</v>
      </c>
      <c r="F176" s="7" t="s">
        <v>34</v>
      </c>
      <c r="G176" s="2" t="s">
        <v>77</v>
      </c>
      <c r="H176" s="7" t="s">
        <v>76</v>
      </c>
      <c r="I176" s="31"/>
      <c r="J176" s="31"/>
      <c r="K176" s="7"/>
      <c r="L176" s="7"/>
      <c r="M176" s="4">
        <v>1</v>
      </c>
      <c r="N176" s="23">
        <v>1</v>
      </c>
      <c r="O176" s="7" t="s">
        <v>9</v>
      </c>
      <c r="P176" s="39">
        <v>0</v>
      </c>
      <c r="Q176" s="39">
        <v>0</v>
      </c>
      <c r="R176" s="40">
        <v>0</v>
      </c>
      <c r="S176" s="8">
        <v>0</v>
      </c>
      <c r="T176" s="38">
        <v>0</v>
      </c>
      <c r="U176" s="38">
        <v>0</v>
      </c>
      <c r="V176" s="8">
        <v>0</v>
      </c>
      <c r="W176" s="41">
        <v>0</v>
      </c>
      <c r="X176" s="7" t="s">
        <v>24</v>
      </c>
      <c r="Y176" s="5" t="e">
        <f>#REF!</f>
        <v>#REF!</v>
      </c>
    </row>
    <row r="177" spans="1:27" x14ac:dyDescent="0.25">
      <c r="A177" s="4"/>
      <c r="B177" s="20" t="s">
        <v>3</v>
      </c>
      <c r="C177" s="20" t="s">
        <v>42</v>
      </c>
      <c r="D177" s="20" t="s">
        <v>23</v>
      </c>
      <c r="E177" s="37" t="s">
        <v>18</v>
      </c>
      <c r="F177" s="37"/>
      <c r="G177" s="20"/>
      <c r="H177" s="37"/>
      <c r="I177" s="55"/>
      <c r="J177" s="55"/>
      <c r="K177" s="37"/>
      <c r="L177" s="37"/>
      <c r="M177" s="20" t="s">
        <v>24</v>
      </c>
      <c r="N177" s="45"/>
      <c r="O177" s="37"/>
      <c r="P177" s="37"/>
      <c r="Q177" s="50"/>
      <c r="R177" s="50"/>
      <c r="S177" s="29"/>
      <c r="T177" s="21"/>
      <c r="U177" s="22"/>
      <c r="V177" s="22"/>
      <c r="W177" s="21"/>
      <c r="X177" s="44"/>
      <c r="Y177" s="20"/>
      <c r="Z177" s="20"/>
      <c r="AA177" s="3"/>
    </row>
    <row r="178" spans="1:27" hidden="1" x14ac:dyDescent="0.25">
      <c r="A178" s="4"/>
      <c r="B178" s="2" t="s">
        <v>45</v>
      </c>
      <c r="C178" s="20" t="s">
        <v>42</v>
      </c>
      <c r="D178" s="2" t="s">
        <v>23</v>
      </c>
      <c r="E178" s="37" t="s">
        <v>18</v>
      </c>
      <c r="F178" s="7"/>
      <c r="H178" s="7"/>
      <c r="I178" s="31"/>
      <c r="J178" s="31"/>
      <c r="K178" s="7"/>
      <c r="L178" s="7"/>
      <c r="M178" s="2" t="s">
        <v>24</v>
      </c>
      <c r="N178" s="40"/>
      <c r="O178" s="7"/>
      <c r="P178" s="7"/>
      <c r="Q178" s="39"/>
      <c r="R178" s="39"/>
      <c r="S178" s="28"/>
      <c r="T178" s="5"/>
      <c r="U178" s="3"/>
      <c r="W178" s="5"/>
      <c r="X178" s="38"/>
      <c r="AA178" s="3"/>
    </row>
    <row r="179" spans="1:27" hidden="1" x14ac:dyDescent="0.25">
      <c r="A179" s="4"/>
      <c r="B179" s="2" t="s">
        <v>32</v>
      </c>
      <c r="C179" s="2" t="s">
        <v>42</v>
      </c>
      <c r="D179" s="2" t="s">
        <v>82</v>
      </c>
      <c r="E179" s="37" t="s">
        <v>18</v>
      </c>
      <c r="F179" s="7" t="s">
        <v>33</v>
      </c>
      <c r="G179" s="2" t="s">
        <v>37</v>
      </c>
      <c r="H179" s="38" t="s">
        <v>24</v>
      </c>
      <c r="I179" s="31"/>
      <c r="J179" s="31"/>
      <c r="K179" s="38"/>
      <c r="L179" s="38"/>
      <c r="M179" s="3" t="s">
        <v>24</v>
      </c>
      <c r="N179" s="40" t="s">
        <v>24</v>
      </c>
      <c r="O179" s="38" t="s">
        <v>24</v>
      </c>
      <c r="P179" s="7"/>
      <c r="Q179" s="30"/>
      <c r="R179" s="30"/>
      <c r="S179" s="31"/>
      <c r="T179" s="8"/>
      <c r="U179" s="3">
        <v>0</v>
      </c>
      <c r="V179" s="3">
        <v>0</v>
      </c>
      <c r="W179" s="5">
        <v>46053</v>
      </c>
      <c r="X179" s="38" t="s">
        <v>24</v>
      </c>
      <c r="Y179" s="2" t="s">
        <v>24</v>
      </c>
      <c r="Z179" s="2" t="s">
        <v>24</v>
      </c>
      <c r="AA179" s="3"/>
    </row>
    <row r="180" spans="1:27" hidden="1" x14ac:dyDescent="0.25">
      <c r="A180" s="4"/>
      <c r="B180" s="20" t="s">
        <v>46</v>
      </c>
      <c r="C180" s="20" t="s">
        <v>68</v>
      </c>
      <c r="D180" s="2" t="s">
        <v>24</v>
      </c>
      <c r="E180" s="37" t="s">
        <v>18</v>
      </c>
      <c r="F180" s="7" t="s">
        <v>33</v>
      </c>
      <c r="G180" s="2" t="s">
        <v>48</v>
      </c>
      <c r="H180" s="7"/>
      <c r="I180" s="31"/>
      <c r="J180" s="31"/>
      <c r="K180" s="7"/>
      <c r="L180" s="7"/>
      <c r="M180" s="2" t="s">
        <v>24</v>
      </c>
      <c r="N180" s="40" t="s">
        <v>24</v>
      </c>
      <c r="O180" s="7" t="s">
        <v>24</v>
      </c>
      <c r="P180" s="7"/>
      <c r="Q180" s="39"/>
      <c r="R180" s="39"/>
      <c r="S180" s="28"/>
      <c r="T180" s="5"/>
      <c r="U180" s="3"/>
      <c r="W180" s="5"/>
      <c r="X180" s="38"/>
      <c r="Y180" s="2" t="s">
        <v>33</v>
      </c>
      <c r="AA180" s="3"/>
    </row>
    <row r="181" spans="1:27" s="20" customFormat="1" x14ac:dyDescent="0.25">
      <c r="A181" s="4"/>
      <c r="B181" s="20" t="s">
        <v>3</v>
      </c>
      <c r="C181" s="37" t="s">
        <v>22</v>
      </c>
      <c r="D181" s="20" t="s">
        <v>23</v>
      </c>
      <c r="E181" s="37" t="s">
        <v>18</v>
      </c>
      <c r="F181" s="37"/>
      <c r="H181" s="37"/>
      <c r="I181" s="55"/>
      <c r="J181" s="55"/>
      <c r="K181" s="37"/>
      <c r="L181" s="37"/>
      <c r="M181" s="20" t="s">
        <v>24</v>
      </c>
      <c r="N181" s="45"/>
      <c r="O181" s="37"/>
      <c r="P181" s="37"/>
      <c r="Q181" s="50"/>
      <c r="R181" s="50"/>
      <c r="S181" s="29"/>
      <c r="T181" s="21"/>
      <c r="U181" s="22"/>
      <c r="V181" s="22"/>
      <c r="W181" s="21"/>
      <c r="X181" s="44"/>
      <c r="AA181" s="3"/>
    </row>
    <row r="182" spans="1:27" s="20" customFormat="1" hidden="1" x14ac:dyDescent="0.25">
      <c r="A182" s="4"/>
      <c r="B182" s="2" t="s">
        <v>45</v>
      </c>
      <c r="C182" s="20" t="s">
        <v>22</v>
      </c>
      <c r="D182" s="2" t="s">
        <v>23</v>
      </c>
      <c r="E182" s="37" t="s">
        <v>18</v>
      </c>
      <c r="F182" s="7"/>
      <c r="G182" s="2"/>
      <c r="H182" s="7"/>
      <c r="I182" s="31"/>
      <c r="J182" s="31"/>
      <c r="K182" s="7"/>
      <c r="L182" s="7"/>
      <c r="M182" s="2" t="s">
        <v>24</v>
      </c>
      <c r="N182" s="40"/>
      <c r="O182" s="7"/>
      <c r="P182" s="7"/>
      <c r="Q182" s="39"/>
      <c r="R182" s="39"/>
      <c r="S182" s="28"/>
      <c r="T182" s="5"/>
      <c r="U182" s="3"/>
      <c r="V182" s="3"/>
      <c r="W182" s="5"/>
      <c r="X182" s="38"/>
      <c r="Y182" s="2"/>
      <c r="Z182" s="2"/>
      <c r="AA182" s="3"/>
    </row>
    <row r="183" spans="1:27" s="20" customFormat="1" hidden="1" x14ac:dyDescent="0.25">
      <c r="A183" s="4"/>
      <c r="B183" s="20" t="s">
        <v>46</v>
      </c>
      <c r="C183" s="20" t="s">
        <v>22</v>
      </c>
      <c r="D183" s="2" t="s">
        <v>24</v>
      </c>
      <c r="E183" s="37" t="s">
        <v>18</v>
      </c>
      <c r="F183" s="7" t="s">
        <v>34</v>
      </c>
      <c r="G183" s="2" t="s">
        <v>57</v>
      </c>
      <c r="H183" s="7"/>
      <c r="I183" s="31"/>
      <c r="J183" s="31"/>
      <c r="K183" s="7"/>
      <c r="L183" s="7"/>
      <c r="M183" s="2" t="s">
        <v>24</v>
      </c>
      <c r="N183" s="40" t="s">
        <v>24</v>
      </c>
      <c r="O183" s="7" t="s">
        <v>24</v>
      </c>
      <c r="P183" s="7"/>
      <c r="Q183" s="7"/>
      <c r="R183" s="7"/>
      <c r="S183" s="28"/>
      <c r="T183" s="2"/>
      <c r="U183" s="3"/>
      <c r="V183" s="3"/>
      <c r="W183" s="2"/>
      <c r="X183" s="38"/>
      <c r="Y183" s="2" t="s">
        <v>18</v>
      </c>
      <c r="Z183" s="2"/>
      <c r="AA183" s="3"/>
    </row>
    <row r="184" spans="1:27" s="20" customFormat="1" x14ac:dyDescent="0.25">
      <c r="A184" s="4"/>
      <c r="B184" s="20" t="s">
        <v>3</v>
      </c>
      <c r="C184" s="20" t="s">
        <v>29</v>
      </c>
      <c r="D184" s="20" t="s">
        <v>23</v>
      </c>
      <c r="E184" s="37" t="s">
        <v>18</v>
      </c>
      <c r="F184" s="37"/>
      <c r="H184" s="37"/>
      <c r="I184" s="55"/>
      <c r="J184" s="55"/>
      <c r="K184" s="37"/>
      <c r="L184" s="37"/>
      <c r="M184" s="20" t="s">
        <v>24</v>
      </c>
      <c r="N184" s="45"/>
      <c r="O184" s="37"/>
      <c r="P184" s="37"/>
      <c r="Q184" s="37"/>
      <c r="R184" s="37"/>
      <c r="S184" s="29"/>
      <c r="U184" s="22"/>
      <c r="V184" s="22"/>
      <c r="X184" s="44"/>
      <c r="AA184" s="3"/>
    </row>
    <row r="185" spans="1:27" s="20" customFormat="1" hidden="1" x14ac:dyDescent="0.25">
      <c r="A185" s="4"/>
      <c r="B185" s="2" t="s">
        <v>45</v>
      </c>
      <c r="C185" s="20" t="s">
        <v>29</v>
      </c>
      <c r="D185" s="2" t="s">
        <v>23</v>
      </c>
      <c r="E185" s="37" t="s">
        <v>18</v>
      </c>
      <c r="F185" s="7"/>
      <c r="G185" s="2"/>
      <c r="H185" s="7"/>
      <c r="I185" s="31"/>
      <c r="J185" s="31"/>
      <c r="K185" s="7"/>
      <c r="L185" s="7"/>
      <c r="M185" s="2" t="s">
        <v>24</v>
      </c>
      <c r="N185" s="40"/>
      <c r="O185" s="7"/>
      <c r="P185" s="7"/>
      <c r="Q185" s="30"/>
      <c r="R185" s="30"/>
      <c r="S185" s="28"/>
      <c r="T185" s="5"/>
      <c r="U185" s="3"/>
      <c r="V185" s="3"/>
      <c r="W185" s="5"/>
      <c r="X185" s="38"/>
      <c r="Y185" s="2"/>
      <c r="Z185" s="2"/>
      <c r="AA185" s="3"/>
    </row>
    <row r="186" spans="1:27" hidden="1" x14ac:dyDescent="0.25">
      <c r="A186" s="4"/>
      <c r="B186" s="20" t="s">
        <v>46</v>
      </c>
      <c r="C186" s="20" t="s">
        <v>69</v>
      </c>
      <c r="D186" s="2" t="s">
        <v>24</v>
      </c>
      <c r="E186" s="37" t="s">
        <v>18</v>
      </c>
      <c r="F186" s="7" t="s">
        <v>34</v>
      </c>
      <c r="G186" s="2" t="s">
        <v>58</v>
      </c>
      <c r="H186" s="7"/>
      <c r="I186" s="31"/>
      <c r="J186" s="31"/>
      <c r="K186" s="7"/>
      <c r="L186" s="7"/>
      <c r="M186" s="2" t="s">
        <v>24</v>
      </c>
      <c r="N186" s="40" t="s">
        <v>24</v>
      </c>
      <c r="O186" s="7" t="s">
        <v>24</v>
      </c>
      <c r="P186" s="7"/>
      <c r="Q186" s="30"/>
      <c r="R186" s="30"/>
      <c r="S186" s="28"/>
      <c r="T186" s="5"/>
      <c r="U186" s="3"/>
      <c r="W186" s="5"/>
      <c r="X186" s="38"/>
      <c r="Y186" s="2" t="s">
        <v>18</v>
      </c>
      <c r="AA186" s="3"/>
    </row>
    <row r="187" spans="1:27" hidden="1" x14ac:dyDescent="0.25">
      <c r="A187" s="4"/>
      <c r="B187" s="2" t="s">
        <v>45</v>
      </c>
      <c r="C187" s="2" t="s">
        <v>5</v>
      </c>
      <c r="D187" s="2" t="s">
        <v>23</v>
      </c>
      <c r="E187" s="37" t="s">
        <v>18</v>
      </c>
      <c r="F187" s="7" t="s">
        <v>34</v>
      </c>
      <c r="G187" s="2" t="s">
        <v>12</v>
      </c>
      <c r="H187" s="7"/>
      <c r="I187" s="31"/>
      <c r="J187" s="31"/>
      <c r="K187" s="7"/>
      <c r="L187" s="7"/>
      <c r="M187" s="2" t="s">
        <v>23</v>
      </c>
      <c r="N187" s="23"/>
      <c r="O187" s="7"/>
      <c r="P187" s="7"/>
      <c r="Q187" s="7"/>
      <c r="R187" s="7"/>
      <c r="S187" s="28"/>
      <c r="T187" s="2"/>
      <c r="U187" s="3"/>
      <c r="W187" s="2"/>
      <c r="X187" s="38"/>
      <c r="AA187" s="3"/>
    </row>
    <row r="188" spans="1:27" hidden="1" x14ac:dyDescent="0.25">
      <c r="A188" s="4"/>
      <c r="B188" s="2" t="s">
        <v>45</v>
      </c>
      <c r="C188" s="2" t="s">
        <v>5</v>
      </c>
      <c r="D188" s="2" t="s">
        <v>23</v>
      </c>
      <c r="E188" s="37" t="s">
        <v>18</v>
      </c>
      <c r="F188" s="7" t="s">
        <v>34</v>
      </c>
      <c r="G188" s="2" t="s">
        <v>13</v>
      </c>
      <c r="H188" s="7"/>
      <c r="I188" s="31"/>
      <c r="J188" s="31"/>
      <c r="K188" s="7"/>
      <c r="L188" s="7"/>
      <c r="M188" s="2" t="s">
        <v>23</v>
      </c>
      <c r="N188" s="23"/>
      <c r="O188" s="7"/>
      <c r="P188" s="7"/>
      <c r="Q188" s="7"/>
      <c r="R188" s="7"/>
      <c r="S188" s="28"/>
      <c r="T188" s="2"/>
      <c r="U188" s="3"/>
      <c r="W188" s="2"/>
      <c r="X188" s="38"/>
      <c r="AA188" s="3"/>
    </row>
    <row r="189" spans="1:27" hidden="1" x14ac:dyDescent="0.25">
      <c r="A189" s="11" t="s">
        <v>87</v>
      </c>
      <c r="B189" s="9" t="s">
        <v>45</v>
      </c>
      <c r="C189" s="9" t="s">
        <v>5</v>
      </c>
      <c r="D189" s="9" t="s">
        <v>23</v>
      </c>
      <c r="E189" s="43" t="s">
        <v>18</v>
      </c>
      <c r="F189" s="43" t="s">
        <v>34</v>
      </c>
      <c r="G189" s="9" t="s">
        <v>14</v>
      </c>
      <c r="H189" s="43" t="s">
        <v>24</v>
      </c>
      <c r="I189" s="57"/>
      <c r="J189" s="57"/>
      <c r="K189" s="43"/>
      <c r="L189" s="43"/>
      <c r="M189" s="9" t="s">
        <v>24</v>
      </c>
      <c r="N189" s="43" t="s">
        <v>24</v>
      </c>
      <c r="O189" s="43" t="s">
        <v>24</v>
      </c>
      <c r="P189" s="43" t="s">
        <v>24</v>
      </c>
      <c r="Q189" s="49" t="s">
        <v>24</v>
      </c>
      <c r="R189" s="49" t="s">
        <v>24</v>
      </c>
      <c r="S189" s="32" t="s">
        <v>24</v>
      </c>
      <c r="T189" s="12" t="s">
        <v>24</v>
      </c>
      <c r="U189" s="10" t="s">
        <v>24</v>
      </c>
      <c r="V189" s="10" t="s">
        <v>24</v>
      </c>
      <c r="W189" s="12" t="s">
        <v>24</v>
      </c>
      <c r="X189" s="53" t="s">
        <v>24</v>
      </c>
      <c r="Y189" s="10" t="s">
        <v>24</v>
      </c>
      <c r="Z189" s="10" t="s">
        <v>24</v>
      </c>
      <c r="AA189" s="3"/>
    </row>
    <row r="190" spans="1:27" hidden="1" x14ac:dyDescent="0.25">
      <c r="A190" s="4"/>
      <c r="B190" s="2" t="s">
        <v>45</v>
      </c>
      <c r="C190" s="2" t="s">
        <v>5</v>
      </c>
      <c r="D190" s="2" t="s">
        <v>23</v>
      </c>
      <c r="E190" s="37" t="s">
        <v>18</v>
      </c>
      <c r="F190" s="7" t="s">
        <v>34</v>
      </c>
      <c r="G190" s="2" t="s">
        <v>18</v>
      </c>
      <c r="H190" s="7"/>
      <c r="I190" s="31"/>
      <c r="J190" s="31"/>
      <c r="K190" s="7"/>
      <c r="L190" s="7"/>
      <c r="M190" s="2" t="s">
        <v>23</v>
      </c>
      <c r="N190" s="23"/>
      <c r="O190" s="7"/>
      <c r="P190" s="7"/>
      <c r="Q190" s="7"/>
      <c r="R190" s="7"/>
      <c r="S190" s="28"/>
      <c r="T190" s="2"/>
      <c r="U190" s="3"/>
      <c r="W190" s="2"/>
      <c r="X190" s="38"/>
      <c r="AA190" s="3"/>
    </row>
    <row r="191" spans="1:27" hidden="1" x14ac:dyDescent="0.25">
      <c r="A191" s="4"/>
      <c r="B191" s="2" t="s">
        <v>45</v>
      </c>
      <c r="C191" s="2" t="s">
        <v>5</v>
      </c>
      <c r="D191" s="2" t="s">
        <v>23</v>
      </c>
      <c r="E191" s="37" t="s">
        <v>18</v>
      </c>
      <c r="F191" s="7" t="s">
        <v>34</v>
      </c>
      <c r="G191" s="2" t="s">
        <v>15</v>
      </c>
      <c r="H191" s="7"/>
      <c r="I191" s="31"/>
      <c r="J191" s="31"/>
      <c r="K191" s="7"/>
      <c r="L191" s="7"/>
      <c r="M191" s="2" t="s">
        <v>23</v>
      </c>
      <c r="N191" s="23"/>
      <c r="O191" s="7"/>
      <c r="P191" s="7"/>
      <c r="Q191" s="7"/>
      <c r="R191" s="7"/>
      <c r="S191" s="28"/>
      <c r="T191" s="2"/>
      <c r="U191" s="3"/>
      <c r="W191" s="2"/>
      <c r="X191" s="38"/>
      <c r="AA191" s="3"/>
    </row>
    <row r="192" spans="1:27" s="20" customFormat="1" hidden="1" x14ac:dyDescent="0.25">
      <c r="A192" s="4"/>
      <c r="B192" s="2" t="s">
        <v>45</v>
      </c>
      <c r="C192" s="2" t="s">
        <v>5</v>
      </c>
      <c r="D192" s="2" t="s">
        <v>23</v>
      </c>
      <c r="E192" s="37" t="s">
        <v>18</v>
      </c>
      <c r="F192" s="7" t="s">
        <v>34</v>
      </c>
      <c r="G192" s="2" t="s">
        <v>16</v>
      </c>
      <c r="H192" s="7"/>
      <c r="I192" s="31"/>
      <c r="J192" s="31"/>
      <c r="K192" s="7"/>
      <c r="L192" s="7"/>
      <c r="M192" s="2" t="s">
        <v>23</v>
      </c>
      <c r="N192" s="23"/>
      <c r="O192" s="7"/>
      <c r="P192" s="7"/>
      <c r="Q192" s="7"/>
      <c r="R192" s="7"/>
      <c r="S192" s="28"/>
      <c r="T192" s="2"/>
      <c r="U192" s="3"/>
      <c r="V192" s="3"/>
      <c r="W192" s="2"/>
      <c r="X192" s="38"/>
      <c r="Y192" s="2"/>
      <c r="Z192" s="2"/>
      <c r="AA192" s="3"/>
    </row>
    <row r="193" spans="1:27" hidden="1" x14ac:dyDescent="0.25">
      <c r="A193" s="4"/>
      <c r="B193" s="2" t="s">
        <v>45</v>
      </c>
      <c r="C193" s="2" t="s">
        <v>5</v>
      </c>
      <c r="D193" s="2" t="s">
        <v>23</v>
      </c>
      <c r="E193" s="37" t="s">
        <v>18</v>
      </c>
      <c r="F193" s="7" t="s">
        <v>34</v>
      </c>
      <c r="G193" s="2" t="s">
        <v>21</v>
      </c>
      <c r="H193" s="7"/>
      <c r="I193" s="31"/>
      <c r="J193" s="31"/>
      <c r="K193" s="7"/>
      <c r="L193" s="7"/>
      <c r="M193" s="2" t="s">
        <v>23</v>
      </c>
      <c r="N193" s="23"/>
      <c r="O193" s="7"/>
      <c r="P193" s="7"/>
      <c r="Q193" s="39"/>
      <c r="R193" s="39"/>
      <c r="S193" s="28"/>
      <c r="T193" s="5"/>
      <c r="U193" s="3"/>
      <c r="W193" s="5"/>
      <c r="X193" s="38"/>
      <c r="AA193" s="3"/>
    </row>
    <row r="194" spans="1:27" hidden="1" x14ac:dyDescent="0.25">
      <c r="A194" s="4"/>
      <c r="B194" s="2" t="s">
        <v>45</v>
      </c>
      <c r="C194" s="2" t="s">
        <v>5</v>
      </c>
      <c r="D194" s="2" t="s">
        <v>23</v>
      </c>
      <c r="E194" s="37" t="s">
        <v>18</v>
      </c>
      <c r="F194" s="7" t="s">
        <v>34</v>
      </c>
      <c r="G194" s="2" t="s">
        <v>17</v>
      </c>
      <c r="H194" s="7"/>
      <c r="I194" s="31"/>
      <c r="J194" s="31"/>
      <c r="K194" s="7"/>
      <c r="L194" s="7"/>
      <c r="M194" s="2" t="s">
        <v>23</v>
      </c>
      <c r="N194" s="23"/>
      <c r="O194" s="7"/>
      <c r="P194" s="7"/>
      <c r="Q194" s="7"/>
      <c r="R194" s="7"/>
      <c r="S194" s="28"/>
      <c r="T194" s="2"/>
      <c r="U194" s="3"/>
      <c r="W194" s="2"/>
      <c r="X194" s="38"/>
      <c r="AA194" s="3"/>
    </row>
    <row r="195" spans="1:27" s="20" customFormat="1" hidden="1" x14ac:dyDescent="0.25">
      <c r="A195" s="4"/>
      <c r="B195" s="2" t="s">
        <v>45</v>
      </c>
      <c r="C195" s="2" t="s">
        <v>5</v>
      </c>
      <c r="D195" s="2" t="s">
        <v>23</v>
      </c>
      <c r="E195" s="37" t="s">
        <v>18</v>
      </c>
      <c r="F195" s="7" t="s">
        <v>34</v>
      </c>
      <c r="G195" s="2" t="s">
        <v>43</v>
      </c>
      <c r="H195" s="7"/>
      <c r="I195" s="31"/>
      <c r="J195" s="31"/>
      <c r="K195" s="7"/>
      <c r="L195" s="7"/>
      <c r="M195" s="2" t="s">
        <v>23</v>
      </c>
      <c r="N195" s="23"/>
      <c r="O195" s="7"/>
      <c r="P195" s="7"/>
      <c r="Q195" s="7"/>
      <c r="R195" s="7"/>
      <c r="S195" s="28"/>
      <c r="T195" s="2"/>
      <c r="U195" s="3"/>
      <c r="V195" s="3"/>
      <c r="W195" s="2"/>
      <c r="X195" s="38"/>
      <c r="Y195" s="2"/>
      <c r="Z195" s="2"/>
      <c r="AA195" s="3"/>
    </row>
    <row r="196" spans="1:27" hidden="1" x14ac:dyDescent="0.25">
      <c r="A196" s="4"/>
      <c r="B196" s="2" t="s">
        <v>45</v>
      </c>
      <c r="C196" s="2" t="s">
        <v>5</v>
      </c>
      <c r="D196" s="2" t="s">
        <v>23</v>
      </c>
      <c r="E196" s="37" t="s">
        <v>18</v>
      </c>
      <c r="F196" s="7" t="s">
        <v>34</v>
      </c>
      <c r="G196" s="2" t="s">
        <v>4</v>
      </c>
      <c r="H196" s="7"/>
      <c r="I196" s="31"/>
      <c r="J196" s="31"/>
      <c r="K196" s="7"/>
      <c r="L196" s="7"/>
      <c r="M196" s="2" t="s">
        <v>23</v>
      </c>
      <c r="N196" s="23"/>
      <c r="O196" s="7"/>
      <c r="P196" s="7"/>
      <c r="Q196" s="7"/>
      <c r="R196" s="7"/>
      <c r="S196" s="28"/>
      <c r="T196" s="2"/>
      <c r="U196" s="3"/>
      <c r="W196" s="2"/>
      <c r="X196" s="38"/>
      <c r="AA196" s="3"/>
    </row>
    <row r="197" spans="1:27" x14ac:dyDescent="0.25">
      <c r="A197" s="4"/>
      <c r="B197" s="20" t="s">
        <v>3</v>
      </c>
      <c r="C197" s="20" t="s">
        <v>7</v>
      </c>
      <c r="D197" s="20" t="s">
        <v>23</v>
      </c>
      <c r="E197" s="37" t="s">
        <v>18</v>
      </c>
      <c r="F197" s="37"/>
      <c r="G197" s="20"/>
      <c r="H197" s="37"/>
      <c r="I197" s="55"/>
      <c r="J197" s="55"/>
      <c r="K197" s="37"/>
      <c r="L197" s="37"/>
      <c r="M197" s="20" t="s">
        <v>24</v>
      </c>
      <c r="N197" s="45"/>
      <c r="O197" s="37"/>
      <c r="P197" s="37"/>
      <c r="Q197" s="50"/>
      <c r="R197" s="50"/>
      <c r="S197" s="29"/>
      <c r="T197" s="21"/>
      <c r="U197" s="22"/>
      <c r="V197" s="22"/>
      <c r="W197" s="21"/>
      <c r="X197" s="44"/>
      <c r="Y197" s="20"/>
      <c r="Z197" s="20"/>
      <c r="AA197" s="3"/>
    </row>
    <row r="198" spans="1:27" hidden="1" x14ac:dyDescent="0.25">
      <c r="A198" s="4"/>
      <c r="B198" s="2" t="s">
        <v>45</v>
      </c>
      <c r="C198" s="20" t="s">
        <v>7</v>
      </c>
      <c r="D198" s="2" t="s">
        <v>23</v>
      </c>
      <c r="E198" s="37" t="s">
        <v>18</v>
      </c>
      <c r="F198" s="7"/>
      <c r="H198" s="7"/>
      <c r="I198" s="31"/>
      <c r="J198" s="31"/>
      <c r="K198" s="7"/>
      <c r="L198" s="7"/>
      <c r="M198" s="2" t="s">
        <v>24</v>
      </c>
      <c r="N198" s="40"/>
      <c r="O198" s="7"/>
      <c r="P198" s="7"/>
      <c r="Q198" s="30"/>
      <c r="R198" s="30"/>
      <c r="S198" s="28"/>
      <c r="T198" s="5"/>
      <c r="U198" s="3"/>
      <c r="W198" s="5"/>
      <c r="X198" s="38"/>
      <c r="AA198" s="3"/>
    </row>
    <row r="199" spans="1:27" s="20" customFormat="1" hidden="1" x14ac:dyDescent="0.25">
      <c r="A199" s="4" t="s">
        <v>94</v>
      </c>
      <c r="B199" s="20" t="s">
        <v>46</v>
      </c>
      <c r="C199" s="20" t="s">
        <v>70</v>
      </c>
      <c r="D199" s="2" t="s">
        <v>24</v>
      </c>
      <c r="E199" s="37" t="s">
        <v>18</v>
      </c>
      <c r="F199" s="7" t="s">
        <v>34</v>
      </c>
      <c r="G199" s="2" t="s">
        <v>61</v>
      </c>
      <c r="H199" s="7"/>
      <c r="I199" s="31"/>
      <c r="J199" s="31"/>
      <c r="K199" s="7"/>
      <c r="L199" s="7"/>
      <c r="M199" s="2" t="s">
        <v>24</v>
      </c>
      <c r="N199" s="40" t="s">
        <v>24</v>
      </c>
      <c r="O199" s="7" t="s">
        <v>24</v>
      </c>
      <c r="P199" s="7"/>
      <c r="Q199" s="7"/>
      <c r="R199" s="7"/>
      <c r="S199" s="28"/>
      <c r="T199" s="2"/>
      <c r="U199" s="3"/>
      <c r="V199" s="3"/>
      <c r="W199" s="2"/>
      <c r="X199" s="38"/>
      <c r="Y199" s="2" t="s">
        <v>59</v>
      </c>
      <c r="Z199" s="2"/>
      <c r="AA199" s="3"/>
    </row>
    <row r="200" spans="1:27" hidden="1" x14ac:dyDescent="0.25">
      <c r="A200" s="4"/>
      <c r="B200" s="2" t="s">
        <v>45</v>
      </c>
      <c r="C200" s="20" t="s">
        <v>31</v>
      </c>
      <c r="D200" s="2" t="s">
        <v>23</v>
      </c>
      <c r="E200" s="37" t="s">
        <v>18</v>
      </c>
      <c r="F200" s="7"/>
      <c r="H200" s="7"/>
      <c r="I200" s="31"/>
      <c r="J200" s="31"/>
      <c r="K200" s="7"/>
      <c r="L200" s="7"/>
      <c r="M200" s="2" t="s">
        <v>24</v>
      </c>
      <c r="N200" s="40"/>
      <c r="O200" s="7"/>
      <c r="P200" s="7"/>
      <c r="Q200" s="30"/>
      <c r="R200" s="30"/>
      <c r="S200" s="28"/>
      <c r="T200" s="5"/>
      <c r="U200" s="3"/>
      <c r="W200" s="5"/>
      <c r="X200" s="38"/>
      <c r="AA200" s="3"/>
    </row>
    <row r="201" spans="1:27" x14ac:dyDescent="0.25">
      <c r="A201" s="4"/>
      <c r="B201" s="20" t="s">
        <v>3</v>
      </c>
      <c r="C201" s="20" t="s">
        <v>71</v>
      </c>
      <c r="D201" s="20" t="s">
        <v>90</v>
      </c>
      <c r="E201" s="37" t="s">
        <v>18</v>
      </c>
      <c r="F201" s="37"/>
      <c r="G201" s="20" t="s">
        <v>90</v>
      </c>
      <c r="H201" s="37"/>
      <c r="I201" s="55"/>
      <c r="J201" s="55"/>
      <c r="K201" s="37"/>
      <c r="L201" s="37"/>
      <c r="M201" s="22" t="s">
        <v>24</v>
      </c>
      <c r="N201" s="45" t="s">
        <v>24</v>
      </c>
      <c r="O201" s="37" t="s">
        <v>24</v>
      </c>
      <c r="P201" s="37">
        <v>0</v>
      </c>
      <c r="Q201" s="48">
        <v>0</v>
      </c>
      <c r="R201" s="48">
        <v>0</v>
      </c>
      <c r="S201" s="29">
        <v>0</v>
      </c>
      <c r="T201" s="21"/>
      <c r="U201" s="22">
        <v>0</v>
      </c>
      <c r="V201" s="22">
        <v>0</v>
      </c>
      <c r="W201" s="21"/>
      <c r="X201" s="44"/>
      <c r="Y201" s="20"/>
      <c r="Z201" s="20"/>
      <c r="AA201" s="3"/>
    </row>
    <row r="202" spans="1:27" hidden="1" x14ac:dyDescent="0.25">
      <c r="A202" s="4"/>
      <c r="B202" s="20" t="s">
        <v>46</v>
      </c>
      <c r="C202" s="20" t="s">
        <v>71</v>
      </c>
      <c r="E202" s="37" t="s">
        <v>18</v>
      </c>
      <c r="F202" s="37" t="s">
        <v>75</v>
      </c>
      <c r="G202" s="2" t="s">
        <v>93</v>
      </c>
      <c r="H202" s="37"/>
      <c r="I202" s="55"/>
      <c r="J202" s="55"/>
      <c r="K202" s="37"/>
      <c r="L202" s="37"/>
      <c r="M202" s="2" t="s">
        <v>24</v>
      </c>
      <c r="N202" s="40" t="s">
        <v>24</v>
      </c>
      <c r="O202" s="37" t="s">
        <v>24</v>
      </c>
      <c r="P202" s="7">
        <v>0</v>
      </c>
      <c r="Q202" s="30">
        <v>0</v>
      </c>
      <c r="R202" s="30">
        <v>0</v>
      </c>
      <c r="S202" s="28">
        <v>-2</v>
      </c>
      <c r="T202" s="21"/>
      <c r="U202" s="22"/>
      <c r="V202" s="22"/>
      <c r="W202" s="21"/>
      <c r="X202" s="44"/>
      <c r="Y202" s="20" t="s">
        <v>75</v>
      </c>
      <c r="Z202" s="20"/>
      <c r="AA202" s="3"/>
    </row>
    <row r="203" spans="1:27" hidden="1" x14ac:dyDescent="0.25">
      <c r="A203" s="4" t="s">
        <v>95</v>
      </c>
      <c r="B203" s="20" t="s">
        <v>46</v>
      </c>
      <c r="C203" s="20" t="s">
        <v>71</v>
      </c>
      <c r="E203" s="37" t="s">
        <v>18</v>
      </c>
      <c r="F203" s="37"/>
      <c r="G203" s="2" t="s">
        <v>92</v>
      </c>
      <c r="H203" s="37"/>
      <c r="I203" s="55"/>
      <c r="J203" s="55"/>
      <c r="K203" s="37"/>
      <c r="L203" s="37"/>
      <c r="M203" s="2" t="s">
        <v>24</v>
      </c>
      <c r="N203" s="40" t="s">
        <v>24</v>
      </c>
      <c r="O203" s="37" t="s">
        <v>24</v>
      </c>
      <c r="P203" s="7">
        <v>0</v>
      </c>
      <c r="Q203" s="30">
        <v>0</v>
      </c>
      <c r="R203" s="30">
        <v>0</v>
      </c>
      <c r="S203" s="28">
        <v>-1</v>
      </c>
      <c r="T203" s="21"/>
      <c r="U203" s="22"/>
      <c r="V203" s="22"/>
      <c r="W203" s="21"/>
      <c r="X203" s="44"/>
      <c r="Y203" s="20"/>
      <c r="Z203" s="20"/>
      <c r="AA203" s="3"/>
    </row>
    <row r="204" spans="1:27" hidden="1" x14ac:dyDescent="0.25">
      <c r="A204" s="4"/>
      <c r="B204" s="20" t="s">
        <v>46</v>
      </c>
      <c r="C204" s="20" t="s">
        <v>71</v>
      </c>
      <c r="D204" s="2" t="s">
        <v>60</v>
      </c>
      <c r="E204" s="37" t="s">
        <v>18</v>
      </c>
      <c r="F204" s="7" t="s">
        <v>33</v>
      </c>
      <c r="G204" s="2" t="s">
        <v>91</v>
      </c>
      <c r="H204" s="7"/>
      <c r="I204" s="31"/>
      <c r="J204" s="31"/>
      <c r="K204" s="7"/>
      <c r="L204" s="7"/>
      <c r="M204" s="2" t="s">
        <v>24</v>
      </c>
      <c r="N204" s="40" t="s">
        <v>24</v>
      </c>
      <c r="O204" s="7" t="s">
        <v>24</v>
      </c>
      <c r="P204" s="7">
        <v>0</v>
      </c>
      <c r="Q204" s="30">
        <v>0</v>
      </c>
      <c r="R204" s="30">
        <v>0</v>
      </c>
      <c r="S204" s="28">
        <v>0</v>
      </c>
      <c r="T204" s="5"/>
      <c r="U204" s="3">
        <v>0</v>
      </c>
      <c r="V204" s="3">
        <v>0</v>
      </c>
      <c r="W204" s="5"/>
      <c r="X204" s="38"/>
      <c r="Y204" s="2" t="s">
        <v>33</v>
      </c>
      <c r="AA204" s="3"/>
    </row>
    <row r="205" spans="1:27" x14ac:dyDescent="0.25">
      <c r="A205" s="4"/>
      <c r="B205" s="20" t="s">
        <v>3</v>
      </c>
      <c r="C205" s="20" t="s">
        <v>28</v>
      </c>
      <c r="D205" s="20" t="s">
        <v>89</v>
      </c>
      <c r="E205" s="37" t="s">
        <v>18</v>
      </c>
      <c r="F205" s="37" t="s">
        <v>33</v>
      </c>
      <c r="G205" s="20" t="s">
        <v>88</v>
      </c>
      <c r="H205" s="37" t="s">
        <v>85</v>
      </c>
      <c r="I205" s="55"/>
      <c r="J205" s="55"/>
      <c r="K205" s="37"/>
      <c r="L205" s="37"/>
      <c r="M205" s="20" t="s">
        <v>24</v>
      </c>
      <c r="N205" s="45" t="s">
        <v>24</v>
      </c>
      <c r="O205" s="37" t="s">
        <v>24</v>
      </c>
      <c r="P205" s="7" t="s">
        <v>8</v>
      </c>
      <c r="Q205" s="7">
        <v>0</v>
      </c>
      <c r="R205" s="7">
        <v>0</v>
      </c>
      <c r="S205" s="28">
        <v>0</v>
      </c>
      <c r="T205" s="20"/>
      <c r="U205" s="22">
        <v>0</v>
      </c>
      <c r="V205" s="22">
        <v>0</v>
      </c>
      <c r="W205" s="20"/>
      <c r="X205" s="44">
        <v>0</v>
      </c>
      <c r="Y205" s="20"/>
      <c r="Z205" s="20"/>
      <c r="AA205" s="3"/>
    </row>
    <row r="206" spans="1:27" hidden="1" x14ac:dyDescent="0.25">
      <c r="A206" s="4"/>
      <c r="B206" s="2" t="s">
        <v>45</v>
      </c>
      <c r="C206" s="20" t="s">
        <v>28</v>
      </c>
      <c r="D206" s="2" t="s">
        <v>23</v>
      </c>
      <c r="E206" s="37" t="s">
        <v>18</v>
      </c>
      <c r="F206" s="43"/>
      <c r="G206" s="9"/>
      <c r="H206" s="43"/>
      <c r="I206" s="57"/>
      <c r="J206" s="57"/>
      <c r="K206" s="43"/>
      <c r="L206" s="43"/>
      <c r="M206" s="2" t="s">
        <v>24</v>
      </c>
      <c r="N206" s="40"/>
      <c r="O206" s="43"/>
      <c r="P206" s="43"/>
      <c r="Q206" s="49"/>
      <c r="R206" s="49"/>
      <c r="S206" s="28"/>
      <c r="T206" s="12"/>
      <c r="U206" s="3">
        <v>0</v>
      </c>
      <c r="V206" s="3">
        <v>0</v>
      </c>
      <c r="W206" s="12"/>
      <c r="X206" s="38">
        <v>0</v>
      </c>
      <c r="Y206" s="9"/>
      <c r="Z206" s="9"/>
      <c r="AA206" s="3"/>
    </row>
    <row r="207" spans="1:27" hidden="1" x14ac:dyDescent="0.25">
      <c r="A207" s="4"/>
      <c r="B207" s="20" t="s">
        <v>46</v>
      </c>
      <c r="C207" s="20" t="s">
        <v>28</v>
      </c>
      <c r="D207" s="2" t="s">
        <v>86</v>
      </c>
      <c r="E207" s="37" t="s">
        <v>18</v>
      </c>
      <c r="F207" s="7" t="s">
        <v>33</v>
      </c>
      <c r="G207" s="2" t="s">
        <v>51</v>
      </c>
      <c r="H207" s="7" t="s">
        <v>84</v>
      </c>
      <c r="I207" s="31"/>
      <c r="J207" s="31"/>
      <c r="K207" s="7"/>
      <c r="L207" s="7"/>
      <c r="M207" s="2" t="s">
        <v>24</v>
      </c>
      <c r="N207" s="40" t="s">
        <v>24</v>
      </c>
      <c r="O207" s="7" t="s">
        <v>24</v>
      </c>
      <c r="P207" s="7" t="s">
        <v>8</v>
      </c>
      <c r="Q207" s="7">
        <v>0</v>
      </c>
      <c r="R207" s="7">
        <v>0</v>
      </c>
      <c r="S207" s="28">
        <v>0</v>
      </c>
      <c r="T207" s="2"/>
      <c r="U207" s="3"/>
      <c r="W207" s="2"/>
      <c r="X207" s="38"/>
      <c r="Y207" s="2" t="s">
        <v>33</v>
      </c>
      <c r="AA207" s="3"/>
    </row>
    <row r="208" spans="1:27" hidden="1" x14ac:dyDescent="0.25">
      <c r="A208" s="4"/>
      <c r="B208" s="20" t="s">
        <v>46</v>
      </c>
      <c r="C208" s="20" t="s">
        <v>28</v>
      </c>
      <c r="D208" s="2"/>
      <c r="E208" s="37" t="s">
        <v>18</v>
      </c>
      <c r="F208" s="7" t="s">
        <v>34</v>
      </c>
      <c r="G208" s="2" t="s">
        <v>50</v>
      </c>
      <c r="H208" s="7" t="s">
        <v>84</v>
      </c>
      <c r="I208" s="31"/>
      <c r="J208" s="31"/>
      <c r="K208" s="7"/>
      <c r="L208" s="7"/>
      <c r="M208" s="2" t="s">
        <v>24</v>
      </c>
      <c r="N208" s="40" t="s">
        <v>24</v>
      </c>
      <c r="O208" s="7" t="s">
        <v>24</v>
      </c>
      <c r="P208" s="7"/>
      <c r="Q208" s="7"/>
      <c r="R208" s="7"/>
      <c r="S208" s="28"/>
      <c r="T208" s="2"/>
      <c r="U208" s="3"/>
      <c r="W208" s="2"/>
      <c r="X208" s="38"/>
      <c r="Y208" s="2" t="s">
        <v>18</v>
      </c>
      <c r="AA208" s="3"/>
    </row>
    <row r="209" spans="1:27" x14ac:dyDescent="0.25">
      <c r="A209" s="4"/>
      <c r="B209" s="20" t="s">
        <v>3</v>
      </c>
      <c r="D209" s="20" t="s">
        <v>23</v>
      </c>
      <c r="E209" s="37" t="s">
        <v>18</v>
      </c>
      <c r="F209" s="37" t="s">
        <v>33</v>
      </c>
      <c r="G209" s="20"/>
      <c r="H209" s="37"/>
      <c r="I209" s="55"/>
      <c r="J209" s="55"/>
      <c r="K209" s="37"/>
      <c r="L209" s="37"/>
      <c r="M209" s="20" t="s">
        <v>24</v>
      </c>
      <c r="N209" s="45"/>
      <c r="O209" s="37"/>
      <c r="P209" s="37"/>
      <c r="Q209" s="37"/>
      <c r="R209" s="37"/>
      <c r="S209" s="29"/>
      <c r="T209" s="20"/>
      <c r="U209" s="22"/>
      <c r="V209" s="22"/>
      <c r="W209" s="20"/>
      <c r="X209" s="44"/>
      <c r="Y209" s="20"/>
      <c r="Z209" s="20"/>
      <c r="AA209" s="3"/>
    </row>
    <row r="210" spans="1:27" x14ac:dyDescent="0.25">
      <c r="C210" s="59" t="s">
        <v>145</v>
      </c>
      <c r="E210" s="37"/>
      <c r="F210" s="37"/>
      <c r="H210" s="40"/>
      <c r="I210" s="31"/>
      <c r="J210" s="31"/>
      <c r="K210" s="40"/>
      <c r="L210" s="40"/>
      <c r="N210" s="40"/>
      <c r="O210" s="40"/>
      <c r="P210" s="7"/>
      <c r="Q210" s="31"/>
      <c r="R210" s="7"/>
      <c r="S210" s="3"/>
      <c r="T210" s="3"/>
      <c r="U210" s="3"/>
      <c r="X210" s="38"/>
    </row>
  </sheetData>
  <phoneticPr fontId="3" type="noConversion"/>
  <conditionalFormatting sqref="A2:B2 C2:C72 A3:A42 B3:B72">
    <cfRule type="cellIs" dxfId="13" priority="6" operator="equal">
      <formula>FALSE</formula>
    </cfRule>
    <cfRule type="cellIs" dxfId="12" priority="7" operator="equal">
      <formula>TRUE</formula>
    </cfRule>
  </conditionalFormatting>
  <conditionalFormatting sqref="F152 E153:E156 C163:D163 P163:X163 C167:D167 M167 H203:L203">
    <cfRule type="cellIs" dxfId="11" priority="26" operator="equal">
      <formula>"usdt"</formula>
    </cfRule>
  </conditionalFormatting>
  <conditionalFormatting sqref="F157:F210 Y157:Z210">
    <cfRule type="cellIs" dxfId="10" priority="18" operator="equal">
      <formula>"USDC"</formula>
    </cfRule>
    <cfRule type="cellIs" dxfId="9" priority="19" operator="equal">
      <formula>"usdt"</formula>
    </cfRule>
  </conditionalFormatting>
  <conditionalFormatting sqref="G184">
    <cfRule type="cellIs" dxfId="8" priority="22" operator="equal">
      <formula>"usdt"</formula>
    </cfRule>
  </conditionalFormatting>
  <conditionalFormatting sqref="G203:G204">
    <cfRule type="cellIs" dxfId="7" priority="20" operator="equal">
      <formula>"usdt"</formula>
    </cfRule>
  </conditionalFormatting>
  <conditionalFormatting sqref="H2:I42 H46:I50 K46:L50">
    <cfRule type="cellIs" dxfId="6" priority="5" operator="equal">
      <formula>"import"</formula>
    </cfRule>
  </conditionalFormatting>
  <conditionalFormatting sqref="K16:L17">
    <cfRule type="cellIs" dxfId="5" priority="3" operator="equal">
      <formula>"import"</formula>
    </cfRule>
  </conditionalFormatting>
  <conditionalFormatting sqref="O1:O152">
    <cfRule type="cellIs" dxfId="4" priority="1" operator="equal">
      <formula>FALSE</formula>
    </cfRule>
    <cfRule type="cellIs" dxfId="3" priority="2" operator="equal">
      <formula>TRUE</formula>
    </cfRule>
  </conditionalFormatting>
  <conditionalFormatting sqref="O203">
    <cfRule type="cellIs" dxfId="2" priority="16" operator="equal">
      <formula>"usdt"</formula>
    </cfRule>
  </conditionalFormatting>
  <conditionalFormatting sqref="AA167">
    <cfRule type="cellIs" dxfId="1" priority="23" operator="equal">
      <formula>"usdt"</formula>
    </cfRule>
  </conditionalFormatting>
  <pageMargins left="0.7" right="0.7" top="0.75" bottom="0.75" header="0.3" footer="0.3"/>
  <pageSetup orientation="portrait" r:id="rId1"/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E7D6F9-8EEF-4AEB-9A0C-4C38E8E5BED4}">
  <sheetPr codeName="Sheet6"/>
  <dimension ref="A1:AC369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H21" sqref="H21"/>
    </sheetView>
  </sheetViews>
  <sheetFormatPr defaultRowHeight="15" customHeight="1" x14ac:dyDescent="0.25"/>
  <cols>
    <col min="1" max="1" width="12.5703125" bestFit="1" customWidth="1"/>
    <col min="2" max="2" width="22.5703125" bestFit="1" customWidth="1"/>
    <col min="3" max="3" width="9.85546875" style="172" bestFit="1" customWidth="1"/>
    <col min="4" max="4" width="16.42578125" style="172" bestFit="1" customWidth="1"/>
    <col min="5" max="5" width="11.5703125" style="153" bestFit="1" customWidth="1"/>
    <col min="6" max="6" width="27.5703125" style="155" bestFit="1" customWidth="1"/>
    <col min="7" max="7" width="16.85546875" style="222" bestFit="1" customWidth="1"/>
    <col min="8" max="8" width="23" style="196" bestFit="1" customWidth="1"/>
    <col min="9" max="9" width="16.85546875" style="211" bestFit="1" customWidth="1"/>
    <col min="10" max="10" width="23" style="196" bestFit="1" customWidth="1"/>
    <col min="11" max="11" width="16.85546875" style="211" bestFit="1" customWidth="1"/>
    <col min="12" max="12" width="23" style="196" bestFit="1" customWidth="1"/>
    <col min="13" max="13" width="16.85546875" style="211" bestFit="1" customWidth="1"/>
    <col min="14" max="14" width="23" style="196" bestFit="1" customWidth="1"/>
    <col min="15" max="15" width="16.85546875" style="211" bestFit="1" customWidth="1"/>
    <col min="16" max="16" width="23" style="196" bestFit="1" customWidth="1"/>
    <col min="17" max="17" width="16.85546875" style="211" bestFit="1" customWidth="1"/>
    <col min="18" max="18" width="23" style="196" bestFit="1" customWidth="1"/>
    <col min="19" max="19" width="16.85546875" style="211" bestFit="1" customWidth="1"/>
    <col min="20" max="20" width="23" style="196" bestFit="1" customWidth="1"/>
    <col min="21" max="21" width="16.85546875" style="211" bestFit="1" customWidth="1"/>
    <col min="22" max="22" width="23" style="196" bestFit="1" customWidth="1"/>
    <col min="23" max="23" width="15.42578125" style="211" bestFit="1" customWidth="1"/>
    <col min="24" max="24" width="23" style="156" bestFit="1" customWidth="1"/>
    <col min="25" max="25" width="17.28515625" style="211" bestFit="1" customWidth="1"/>
    <col min="26" max="26" width="23" style="196" bestFit="1" customWidth="1"/>
    <col min="27" max="27" width="39.28515625" bestFit="1" customWidth="1"/>
    <col min="29" max="29" width="38.140625" bestFit="1" customWidth="1"/>
  </cols>
  <sheetData>
    <row r="1" spans="1:29" ht="15" customHeight="1" x14ac:dyDescent="0.25">
      <c r="A1" t="s">
        <v>400</v>
      </c>
      <c r="B1" t="s">
        <v>401</v>
      </c>
      <c r="C1" s="14" t="s">
        <v>402</v>
      </c>
      <c r="D1" s="14" t="s">
        <v>406</v>
      </c>
      <c r="E1" s="151" t="s">
        <v>403</v>
      </c>
      <c r="F1" s="189" t="s">
        <v>297</v>
      </c>
      <c r="G1" s="222" t="s">
        <v>455</v>
      </c>
      <c r="H1" s="211" t="s">
        <v>456</v>
      </c>
      <c r="I1" s="217" t="s">
        <v>419</v>
      </c>
      <c r="J1" s="211" t="s">
        <v>449</v>
      </c>
      <c r="K1" s="217" t="s">
        <v>418</v>
      </c>
      <c r="L1" s="211" t="s">
        <v>448</v>
      </c>
      <c r="M1" s="217" t="s">
        <v>416</v>
      </c>
      <c r="N1" s="211" t="s">
        <v>417</v>
      </c>
      <c r="O1" s="217" t="s">
        <v>447</v>
      </c>
      <c r="P1" s="211" t="s">
        <v>450</v>
      </c>
      <c r="Q1" s="217" t="s">
        <v>444</v>
      </c>
      <c r="R1" s="211" t="s">
        <v>451</v>
      </c>
      <c r="S1" s="217" t="s">
        <v>414</v>
      </c>
      <c r="T1" s="211" t="s">
        <v>415</v>
      </c>
      <c r="U1" s="217" t="s">
        <v>446</v>
      </c>
      <c r="V1" s="211" t="s">
        <v>452</v>
      </c>
      <c r="W1" s="151" t="s">
        <v>445</v>
      </c>
      <c r="X1" s="211" t="s">
        <v>453</v>
      </c>
      <c r="Y1" s="217" t="s">
        <v>413</v>
      </c>
      <c r="Z1" s="211" t="s">
        <v>412</v>
      </c>
      <c r="AA1" t="s">
        <v>404</v>
      </c>
      <c r="AC1" t="s">
        <v>405</v>
      </c>
    </row>
    <row r="2" spans="1:29" ht="15" customHeight="1" x14ac:dyDescent="0.25">
      <c r="A2" t="s">
        <v>421</v>
      </c>
      <c r="B2" t="s">
        <v>435</v>
      </c>
      <c r="C2" s="14" t="s">
        <v>279</v>
      </c>
      <c r="D2" s="152" t="s">
        <v>290</v>
      </c>
      <c r="E2" s="154">
        <v>2.3E-3</v>
      </c>
      <c r="F2" s="152">
        <v>651000</v>
      </c>
      <c r="G2" s="223">
        <v>0.1</v>
      </c>
      <c r="H2" s="211">
        <v>46266</v>
      </c>
      <c r="I2" s="188">
        <v>0.1</v>
      </c>
      <c r="J2" s="211">
        <v>46237</v>
      </c>
      <c r="K2" s="188">
        <v>0.1</v>
      </c>
      <c r="L2" s="211">
        <v>46204</v>
      </c>
      <c r="M2" s="188">
        <v>0.1</v>
      </c>
      <c r="N2" s="211">
        <v>46174</v>
      </c>
      <c r="O2" s="188">
        <v>0.1</v>
      </c>
      <c r="P2" s="211">
        <v>46143</v>
      </c>
      <c r="Q2" s="188">
        <v>0.1</v>
      </c>
      <c r="R2" s="211">
        <v>46113</v>
      </c>
      <c r="S2" s="188">
        <v>0.1</v>
      </c>
      <c r="T2" s="211">
        <v>46083</v>
      </c>
      <c r="U2" s="188">
        <v>0.1</v>
      </c>
      <c r="V2" s="211">
        <v>46055</v>
      </c>
      <c r="W2" s="188">
        <v>0</v>
      </c>
      <c r="X2" s="212" t="s">
        <v>87</v>
      </c>
      <c r="Y2" s="188">
        <v>0.1</v>
      </c>
      <c r="Z2" s="211">
        <v>46021</v>
      </c>
    </row>
    <row r="3" spans="1:29" ht="15" customHeight="1" x14ac:dyDescent="0.25">
      <c r="A3" t="s">
        <v>421</v>
      </c>
      <c r="B3" t="s">
        <v>422</v>
      </c>
      <c r="C3" s="14" t="s">
        <v>258</v>
      </c>
      <c r="D3" s="152" t="s">
        <v>300</v>
      </c>
      <c r="E3" s="154">
        <v>2.9999999999999997E-4</v>
      </c>
      <c r="F3" s="152">
        <v>9160000</v>
      </c>
      <c r="G3" s="223">
        <v>0.33710000000000001</v>
      </c>
      <c r="H3" s="211">
        <v>46266</v>
      </c>
      <c r="I3" s="188">
        <v>0.33756999999999998</v>
      </c>
      <c r="J3" s="211">
        <v>46237</v>
      </c>
      <c r="K3" s="188">
        <v>0.33068999999999998</v>
      </c>
      <c r="L3" s="211">
        <v>46204</v>
      </c>
      <c r="M3" s="188">
        <v>0.33149000000000001</v>
      </c>
      <c r="N3" s="211">
        <v>46174</v>
      </c>
      <c r="O3" s="188">
        <v>0.32993400000000001</v>
      </c>
      <c r="P3" s="211">
        <v>46143</v>
      </c>
      <c r="Q3" s="188">
        <v>0.33671899999999999</v>
      </c>
      <c r="R3" s="211">
        <v>46113</v>
      </c>
      <c r="S3" s="188">
        <v>0.31637700000000002</v>
      </c>
      <c r="T3" s="211">
        <v>46083</v>
      </c>
      <c r="U3" s="188">
        <v>0.32465500000000003</v>
      </c>
      <c r="V3" s="211">
        <v>46055</v>
      </c>
      <c r="W3" s="188">
        <v>0</v>
      </c>
      <c r="X3" s="212" t="s">
        <v>87</v>
      </c>
      <c r="Y3" s="188">
        <v>0.33401199999999998</v>
      </c>
      <c r="Z3" s="211">
        <v>46010</v>
      </c>
    </row>
    <row r="4" spans="1:29" ht="15" customHeight="1" x14ac:dyDescent="0.25">
      <c r="A4" t="s">
        <v>421</v>
      </c>
      <c r="B4" t="s">
        <v>426</v>
      </c>
      <c r="C4" s="14" t="s">
        <v>273</v>
      </c>
      <c r="D4" s="152" t="s">
        <v>300</v>
      </c>
      <c r="E4" s="154">
        <v>8.0000000000000004E-4</v>
      </c>
      <c r="F4" s="152">
        <v>481000</v>
      </c>
      <c r="G4" s="223">
        <v>0.143787</v>
      </c>
      <c r="H4" s="211">
        <v>46266</v>
      </c>
      <c r="I4" s="188">
        <v>0.14026</v>
      </c>
      <c r="J4" s="211">
        <v>46237</v>
      </c>
      <c r="K4" s="188">
        <v>0.14266000000000001</v>
      </c>
      <c r="L4" s="211">
        <v>46204</v>
      </c>
      <c r="M4" s="188">
        <v>0.13805000000000001</v>
      </c>
      <c r="N4" s="211">
        <v>46174</v>
      </c>
      <c r="O4" s="188">
        <v>0.140709</v>
      </c>
      <c r="P4" s="211">
        <v>46143</v>
      </c>
      <c r="Q4" s="188">
        <v>0.14038100000000001</v>
      </c>
      <c r="R4" s="211">
        <v>46113</v>
      </c>
      <c r="S4" s="188">
        <v>0.14212</v>
      </c>
      <c r="T4" s="211">
        <v>46083</v>
      </c>
      <c r="U4" s="188">
        <v>0.13797699999999999</v>
      </c>
      <c r="V4" s="211">
        <v>46055</v>
      </c>
      <c r="W4" s="188">
        <v>0</v>
      </c>
      <c r="X4" s="212" t="s">
        <v>87</v>
      </c>
      <c r="Y4" s="188">
        <v>0.139651</v>
      </c>
      <c r="Z4" s="211">
        <v>46010</v>
      </c>
    </row>
    <row r="5" spans="1:29" ht="15" customHeight="1" x14ac:dyDescent="0.25">
      <c r="A5" t="s">
        <v>421</v>
      </c>
      <c r="B5" t="s">
        <v>428</v>
      </c>
      <c r="C5" s="14" t="s">
        <v>218</v>
      </c>
      <c r="D5" s="152" t="s">
        <v>300</v>
      </c>
      <c r="E5" s="154">
        <v>2E-3</v>
      </c>
      <c r="F5" s="152">
        <v>777000</v>
      </c>
      <c r="G5" s="223">
        <v>0.134461</v>
      </c>
      <c r="H5" s="211">
        <v>46266</v>
      </c>
      <c r="I5" s="188">
        <v>0.13896</v>
      </c>
      <c r="J5" s="211">
        <v>46237</v>
      </c>
      <c r="K5" s="188">
        <v>0.12010999999999999</v>
      </c>
      <c r="L5" s="211">
        <v>46204</v>
      </c>
      <c r="M5" s="188">
        <v>0.12951599999999999</v>
      </c>
      <c r="N5" s="211">
        <v>46174</v>
      </c>
      <c r="O5" s="188">
        <v>0.12153</v>
      </c>
      <c r="P5" s="211">
        <v>46143</v>
      </c>
      <c r="Q5" s="188">
        <v>0.133766</v>
      </c>
      <c r="R5" s="211">
        <v>46113</v>
      </c>
      <c r="S5" s="188">
        <v>0.129662</v>
      </c>
      <c r="T5" s="211">
        <v>46083</v>
      </c>
      <c r="U5" s="188">
        <v>0.107402</v>
      </c>
      <c r="V5" s="211">
        <v>46055</v>
      </c>
      <c r="W5" s="188">
        <v>0</v>
      </c>
      <c r="X5" s="212" t="s">
        <v>87</v>
      </c>
      <c r="Y5" s="188">
        <v>0.21784200000000001</v>
      </c>
      <c r="Z5" s="211">
        <v>46010</v>
      </c>
    </row>
    <row r="6" spans="1:29" ht="15" customHeight="1" x14ac:dyDescent="0.25">
      <c r="A6" t="s">
        <v>421</v>
      </c>
      <c r="B6" t="s">
        <v>427</v>
      </c>
      <c r="C6" s="14" t="s">
        <v>257</v>
      </c>
      <c r="D6" s="152" t="s">
        <v>300</v>
      </c>
      <c r="E6" s="154">
        <v>4.0000000000000002E-4</v>
      </c>
      <c r="F6" s="152">
        <v>2460000</v>
      </c>
      <c r="G6" s="223">
        <v>0.20414599999999999</v>
      </c>
      <c r="H6" s="211">
        <v>46266</v>
      </c>
      <c r="I6" s="188">
        <v>0.20637</v>
      </c>
      <c r="J6" s="211">
        <v>46237</v>
      </c>
      <c r="K6" s="188">
        <v>0.20164000000000001</v>
      </c>
      <c r="L6" s="211">
        <v>46204</v>
      </c>
      <c r="M6" s="188">
        <v>0.20741999999999999</v>
      </c>
      <c r="N6" s="211">
        <v>46174</v>
      </c>
      <c r="O6" s="188">
        <v>0.20424999999999999</v>
      </c>
      <c r="P6" s="211">
        <v>46143</v>
      </c>
      <c r="Q6" s="188">
        <v>0.19914000000000001</v>
      </c>
      <c r="R6" s="211">
        <v>46113</v>
      </c>
      <c r="S6" s="188">
        <v>0.20302999999999999</v>
      </c>
      <c r="T6" s="211">
        <v>46083</v>
      </c>
      <c r="U6" s="188">
        <v>0.19395999999999999</v>
      </c>
      <c r="V6" s="211">
        <v>46055</v>
      </c>
      <c r="W6" s="188">
        <v>0</v>
      </c>
      <c r="X6" s="212" t="s">
        <v>87</v>
      </c>
      <c r="Y6" s="188">
        <v>0.20618</v>
      </c>
      <c r="Z6" s="211">
        <v>46010</v>
      </c>
    </row>
    <row r="7" spans="1:29" ht="15" customHeight="1" x14ac:dyDescent="0.25">
      <c r="A7" t="s">
        <v>421</v>
      </c>
      <c r="B7" t="s">
        <v>429</v>
      </c>
      <c r="C7" s="14" t="s">
        <v>274</v>
      </c>
      <c r="D7" s="152" t="s">
        <v>300</v>
      </c>
      <c r="E7" s="154">
        <v>3.8999999999999998E-3</v>
      </c>
      <c r="F7" s="152">
        <v>8170000</v>
      </c>
      <c r="G7" s="223">
        <v>0.41367700000000002</v>
      </c>
      <c r="H7" s="211">
        <v>46266</v>
      </c>
      <c r="I7" s="188">
        <v>0.41359000000000001</v>
      </c>
      <c r="J7" s="211">
        <v>46237</v>
      </c>
      <c r="K7" s="188">
        <v>0.3997</v>
      </c>
      <c r="L7" s="211">
        <v>46204</v>
      </c>
      <c r="M7" s="188">
        <v>0.40704000000000001</v>
      </c>
      <c r="N7" s="211">
        <v>46174</v>
      </c>
      <c r="O7" s="188">
        <v>0.41008</v>
      </c>
      <c r="P7" s="211">
        <v>46143</v>
      </c>
      <c r="Q7" s="188">
        <v>0.45540000000000003</v>
      </c>
      <c r="R7" s="211">
        <v>46113</v>
      </c>
      <c r="S7" s="188">
        <v>0.40295999999999998</v>
      </c>
      <c r="T7" s="211">
        <v>46083</v>
      </c>
      <c r="U7" s="188">
        <v>0.41458</v>
      </c>
      <c r="V7" s="211">
        <v>46055</v>
      </c>
      <c r="W7" s="188">
        <v>0</v>
      </c>
      <c r="X7" s="212" t="s">
        <v>87</v>
      </c>
      <c r="Y7" s="188">
        <v>0.38289299999999998</v>
      </c>
      <c r="Z7" s="211">
        <v>46010</v>
      </c>
    </row>
    <row r="8" spans="1:29" ht="15" customHeight="1" x14ac:dyDescent="0.25">
      <c r="A8" t="s">
        <v>421</v>
      </c>
      <c r="B8" t="s">
        <v>423</v>
      </c>
      <c r="C8" s="14" t="s">
        <v>217</v>
      </c>
      <c r="D8" s="152" t="s">
        <v>300</v>
      </c>
      <c r="E8" s="154">
        <v>2.5000000000000001E-3</v>
      </c>
      <c r="F8" s="152">
        <v>1120000</v>
      </c>
      <c r="G8" s="223">
        <v>0.14246</v>
      </c>
      <c r="H8" s="211">
        <v>46266</v>
      </c>
      <c r="I8" s="188">
        <v>0.14807000000000001</v>
      </c>
      <c r="J8" s="211">
        <v>46237</v>
      </c>
      <c r="K8" s="188">
        <v>0.14105000000000001</v>
      </c>
      <c r="L8" s="211">
        <v>46204</v>
      </c>
      <c r="M8" s="188">
        <v>0.14907000000000001</v>
      </c>
      <c r="N8" s="211">
        <v>46174</v>
      </c>
      <c r="O8" s="188">
        <v>0.15162999999999999</v>
      </c>
      <c r="P8" s="211">
        <v>46143</v>
      </c>
      <c r="Q8" s="188">
        <v>0.14197000000000001</v>
      </c>
      <c r="R8" s="211">
        <v>46113</v>
      </c>
      <c r="S8" s="188">
        <v>0.15057999999999999</v>
      </c>
      <c r="T8" s="211">
        <v>46083</v>
      </c>
      <c r="U8" s="188">
        <v>0.14729999999999999</v>
      </c>
      <c r="V8" s="211">
        <v>46055</v>
      </c>
      <c r="W8" s="188">
        <v>0</v>
      </c>
      <c r="X8" s="212" t="s">
        <v>87</v>
      </c>
      <c r="Y8" s="188">
        <v>0.14660500000000001</v>
      </c>
      <c r="Z8" s="211">
        <v>46010</v>
      </c>
    </row>
    <row r="9" spans="1:29" ht="15" customHeight="1" x14ac:dyDescent="0.25">
      <c r="A9" t="s">
        <v>421</v>
      </c>
      <c r="B9" t="s">
        <v>431</v>
      </c>
      <c r="C9" s="14" t="s">
        <v>260</v>
      </c>
      <c r="D9" s="152" t="s">
        <v>300</v>
      </c>
      <c r="E9" s="154">
        <v>4.8999999999999998E-3</v>
      </c>
      <c r="F9" s="152">
        <v>41300000</v>
      </c>
      <c r="G9" s="223">
        <v>0.435025</v>
      </c>
      <c r="H9" s="211">
        <v>46266</v>
      </c>
      <c r="I9" s="188">
        <v>0.38429000000000002</v>
      </c>
      <c r="J9" s="211">
        <v>46237</v>
      </c>
      <c r="K9" s="188">
        <v>0.36879000000000001</v>
      </c>
      <c r="L9" s="211">
        <v>46204</v>
      </c>
      <c r="M9" s="188">
        <v>0.40897</v>
      </c>
      <c r="N9" s="211">
        <v>46174</v>
      </c>
      <c r="O9" s="188">
        <v>0.41871000000000003</v>
      </c>
      <c r="P9" s="211">
        <v>46143</v>
      </c>
      <c r="Q9" s="188">
        <v>0.38373000000000002</v>
      </c>
      <c r="R9" s="211">
        <v>46113</v>
      </c>
      <c r="S9" s="188">
        <v>0.39373999999999998</v>
      </c>
      <c r="T9" s="211">
        <v>46083</v>
      </c>
      <c r="U9" s="188">
        <v>0.39868999999999999</v>
      </c>
      <c r="V9" s="211">
        <v>46055</v>
      </c>
      <c r="W9" s="188">
        <v>0</v>
      </c>
      <c r="X9" s="212" t="s">
        <v>87</v>
      </c>
      <c r="Y9" s="188">
        <v>0.38062400000000002</v>
      </c>
      <c r="Z9" s="211">
        <v>46010</v>
      </c>
    </row>
    <row r="10" spans="1:29" ht="15" customHeight="1" x14ac:dyDescent="0.25">
      <c r="A10" t="s">
        <v>421</v>
      </c>
      <c r="B10" t="s">
        <v>431</v>
      </c>
      <c r="C10" s="14" t="s">
        <v>268</v>
      </c>
      <c r="D10" s="152" t="s">
        <v>300</v>
      </c>
      <c r="E10" s="154">
        <v>8.0000000000000004E-4</v>
      </c>
      <c r="F10" s="152">
        <v>13550000</v>
      </c>
      <c r="G10" s="223">
        <v>0.21326600000000001</v>
      </c>
      <c r="H10" s="211">
        <v>46266</v>
      </c>
      <c r="I10" s="188">
        <v>0.21290000000000001</v>
      </c>
      <c r="J10" s="211">
        <v>46237</v>
      </c>
      <c r="K10" s="188">
        <v>0.20629</v>
      </c>
      <c r="L10" s="211">
        <v>46204</v>
      </c>
      <c r="M10" s="188">
        <v>0.20932000000000001</v>
      </c>
      <c r="N10" s="211">
        <v>46174</v>
      </c>
      <c r="O10" s="188">
        <v>0.20244999999999999</v>
      </c>
      <c r="P10" s="211">
        <v>46143</v>
      </c>
      <c r="Q10" s="188">
        <v>0.23028999999999999</v>
      </c>
      <c r="R10" s="211">
        <v>46113</v>
      </c>
      <c r="S10" s="188">
        <v>0.20236000000000001</v>
      </c>
      <c r="T10" s="211">
        <v>46083</v>
      </c>
      <c r="U10" s="188">
        <v>0.21539</v>
      </c>
      <c r="V10" s="211">
        <v>46055</v>
      </c>
      <c r="W10" s="188">
        <v>0</v>
      </c>
      <c r="X10" s="212" t="s">
        <v>87</v>
      </c>
      <c r="Y10" s="188">
        <v>0.21210300000000001</v>
      </c>
      <c r="Z10" s="211">
        <v>46010</v>
      </c>
    </row>
    <row r="11" spans="1:29" ht="15" customHeight="1" x14ac:dyDescent="0.25">
      <c r="A11" t="s">
        <v>421</v>
      </c>
      <c r="B11" t="s">
        <v>424</v>
      </c>
      <c r="C11" s="14" t="s">
        <v>276</v>
      </c>
      <c r="D11" s="152" t="s">
        <v>300</v>
      </c>
      <c r="E11" s="154">
        <v>6.9999999999999999E-4</v>
      </c>
      <c r="F11" s="152">
        <v>1540000</v>
      </c>
      <c r="G11" s="223">
        <v>0</v>
      </c>
      <c r="H11" s="212">
        <v>46266</v>
      </c>
      <c r="I11" s="188">
        <v>0</v>
      </c>
      <c r="J11" s="212" t="s">
        <v>87</v>
      </c>
      <c r="K11" s="188">
        <v>0.41535</v>
      </c>
      <c r="L11" s="211">
        <v>46204</v>
      </c>
      <c r="M11" s="188">
        <v>0</v>
      </c>
      <c r="N11" s="212" t="s">
        <v>87</v>
      </c>
      <c r="O11" s="188">
        <v>0</v>
      </c>
      <c r="P11" s="212" t="s">
        <v>87</v>
      </c>
      <c r="Q11" s="188">
        <v>0.19075</v>
      </c>
      <c r="R11" s="211">
        <v>46113</v>
      </c>
      <c r="S11" s="188">
        <v>0</v>
      </c>
      <c r="T11" s="212" t="s">
        <v>87</v>
      </c>
      <c r="U11" s="188">
        <v>0.10698000000000001</v>
      </c>
      <c r="V11" s="211">
        <v>46055</v>
      </c>
      <c r="W11" s="188">
        <v>0</v>
      </c>
      <c r="X11" s="212" t="s">
        <v>87</v>
      </c>
      <c r="Y11" s="188">
        <v>1.5387740000000001</v>
      </c>
      <c r="Z11" s="211">
        <v>46010</v>
      </c>
    </row>
    <row r="12" spans="1:29" ht="15" customHeight="1" x14ac:dyDescent="0.25">
      <c r="A12" t="s">
        <v>421</v>
      </c>
      <c r="B12" t="s">
        <v>425</v>
      </c>
      <c r="C12" s="14" t="s">
        <v>277</v>
      </c>
      <c r="D12" s="152" t="s">
        <v>300</v>
      </c>
      <c r="E12" s="154">
        <v>3.5000000000000001E-3</v>
      </c>
      <c r="F12" s="152">
        <v>384000</v>
      </c>
      <c r="G12" s="223">
        <v>0</v>
      </c>
      <c r="H12" s="212">
        <v>46266</v>
      </c>
      <c r="I12" s="188">
        <v>0</v>
      </c>
      <c r="J12" s="212" t="s">
        <v>87</v>
      </c>
      <c r="K12" s="188">
        <v>0</v>
      </c>
      <c r="L12" s="212" t="s">
        <v>87</v>
      </c>
      <c r="M12" s="188">
        <v>0</v>
      </c>
      <c r="N12" s="212" t="s">
        <v>87</v>
      </c>
      <c r="O12" s="188">
        <v>0</v>
      </c>
      <c r="P12" s="212" t="s">
        <v>87</v>
      </c>
      <c r="Q12" s="188">
        <v>0</v>
      </c>
      <c r="R12" s="212" t="s">
        <v>87</v>
      </c>
      <c r="S12" s="188">
        <v>0</v>
      </c>
      <c r="T12" s="212" t="s">
        <v>87</v>
      </c>
      <c r="U12" s="188">
        <v>0</v>
      </c>
      <c r="V12" s="212" t="s">
        <v>87</v>
      </c>
      <c r="W12" s="188">
        <v>0</v>
      </c>
      <c r="X12" s="212" t="s">
        <v>87</v>
      </c>
      <c r="Y12" s="188">
        <v>0.58702200000000004</v>
      </c>
      <c r="Z12" s="211">
        <v>46010</v>
      </c>
    </row>
    <row r="13" spans="1:29" ht="15" customHeight="1" x14ac:dyDescent="0.25">
      <c r="A13" t="s">
        <v>421</v>
      </c>
      <c r="B13" t="s">
        <v>432</v>
      </c>
      <c r="C13" s="14" t="s">
        <v>219</v>
      </c>
      <c r="D13" s="152" t="s">
        <v>300</v>
      </c>
      <c r="E13" s="154">
        <v>4.0000000000000002E-4</v>
      </c>
      <c r="F13" s="152">
        <v>1850000</v>
      </c>
      <c r="G13" s="223">
        <v>0.21920000000000001</v>
      </c>
      <c r="H13" s="211">
        <v>46266</v>
      </c>
      <c r="I13" s="188">
        <v>0.20477999999999999</v>
      </c>
      <c r="J13" s="211">
        <v>46237</v>
      </c>
      <c r="K13" s="188">
        <v>0.21489</v>
      </c>
      <c r="L13" s="211">
        <v>46204</v>
      </c>
      <c r="M13" s="188">
        <v>0.22156000000000001</v>
      </c>
      <c r="N13" s="211">
        <v>46174</v>
      </c>
      <c r="O13" s="188">
        <v>0.21720999999999999</v>
      </c>
      <c r="P13" s="211">
        <v>46143</v>
      </c>
      <c r="Q13" s="188">
        <v>0.23022000000000001</v>
      </c>
      <c r="R13" s="211">
        <v>46113</v>
      </c>
      <c r="S13" s="188">
        <v>0.22142999999999999</v>
      </c>
      <c r="T13" s="211">
        <v>46083</v>
      </c>
      <c r="U13" s="188">
        <v>0.22189999999999999</v>
      </c>
      <c r="V13" s="211">
        <v>46055</v>
      </c>
      <c r="W13" s="188">
        <v>0</v>
      </c>
      <c r="X13" s="212" t="s">
        <v>87</v>
      </c>
      <c r="Y13" s="188">
        <v>0.21740999999999999</v>
      </c>
      <c r="Z13" s="211">
        <v>46010</v>
      </c>
    </row>
    <row r="14" spans="1:29" ht="15" customHeight="1" x14ac:dyDescent="0.25">
      <c r="A14" t="s">
        <v>421</v>
      </c>
      <c r="B14" t="s">
        <v>433</v>
      </c>
      <c r="C14" s="14" t="s">
        <v>220</v>
      </c>
      <c r="D14" s="152" t="s">
        <v>300</v>
      </c>
      <c r="E14" s="154">
        <v>4.0000000000000002E-4</v>
      </c>
      <c r="F14" s="152">
        <v>2490000</v>
      </c>
      <c r="G14" s="223">
        <v>0.338841</v>
      </c>
      <c r="H14" s="211">
        <v>46266</v>
      </c>
      <c r="I14" s="188">
        <v>0.34133999999999998</v>
      </c>
      <c r="J14" s="211">
        <v>46237</v>
      </c>
      <c r="K14" s="188">
        <v>0.33732000000000001</v>
      </c>
      <c r="L14" s="211">
        <v>46204</v>
      </c>
      <c r="M14" s="188">
        <v>0.33339999999999997</v>
      </c>
      <c r="N14" s="211">
        <v>46174</v>
      </c>
      <c r="O14" s="188">
        <v>0.33465</v>
      </c>
      <c r="P14" s="211">
        <v>46143</v>
      </c>
      <c r="Q14" s="188">
        <v>0.33295000000000002</v>
      </c>
      <c r="R14" s="211">
        <v>46113</v>
      </c>
      <c r="S14" s="188">
        <v>0.32777000000000001</v>
      </c>
      <c r="T14" s="211">
        <v>46083</v>
      </c>
      <c r="U14" s="188">
        <v>0.33472000000000002</v>
      </c>
      <c r="V14" s="211">
        <v>46055</v>
      </c>
      <c r="W14" s="188">
        <v>0</v>
      </c>
      <c r="X14" s="212" t="s">
        <v>87</v>
      </c>
      <c r="Y14" s="188">
        <v>0.33404800000000001</v>
      </c>
      <c r="Z14" s="211">
        <v>46010</v>
      </c>
    </row>
    <row r="15" spans="1:29" ht="15" customHeight="1" x14ac:dyDescent="0.25">
      <c r="A15" t="s">
        <v>421</v>
      </c>
      <c r="B15" t="s">
        <v>434</v>
      </c>
      <c r="C15" s="14" t="s">
        <v>221</v>
      </c>
      <c r="D15" s="152" t="s">
        <v>300</v>
      </c>
      <c r="E15" s="154">
        <v>5.0000000000000001E-4</v>
      </c>
      <c r="F15" s="152">
        <v>3800000</v>
      </c>
      <c r="G15" s="223">
        <v>0.28987299999999999</v>
      </c>
      <c r="H15" s="211">
        <v>46266</v>
      </c>
      <c r="I15" s="188">
        <v>0.2863</v>
      </c>
      <c r="J15" s="211">
        <v>46237</v>
      </c>
      <c r="K15" s="188">
        <v>0.28858</v>
      </c>
      <c r="L15" s="211">
        <v>46204</v>
      </c>
      <c r="M15" s="188">
        <v>0.27983999999999998</v>
      </c>
      <c r="N15" s="211">
        <v>46174</v>
      </c>
      <c r="O15" s="188">
        <v>0.28893000000000002</v>
      </c>
      <c r="P15" s="211">
        <v>46143</v>
      </c>
      <c r="Q15" s="188">
        <v>0.28211999999999998</v>
      </c>
      <c r="R15" s="211">
        <v>46113</v>
      </c>
      <c r="S15" s="188">
        <v>0.29221999999999998</v>
      </c>
      <c r="T15" s="211">
        <v>46083</v>
      </c>
      <c r="U15" s="188">
        <v>0.27905000000000002</v>
      </c>
      <c r="V15" s="211">
        <v>46055</v>
      </c>
      <c r="W15" s="188">
        <v>0</v>
      </c>
      <c r="X15" s="212" t="s">
        <v>87</v>
      </c>
      <c r="Y15" s="188">
        <v>0.285497</v>
      </c>
      <c r="Z15" s="211">
        <v>46010</v>
      </c>
    </row>
    <row r="16" spans="1:29" ht="15" customHeight="1" x14ac:dyDescent="0.25">
      <c r="A16" t="s">
        <v>421</v>
      </c>
      <c r="B16" t="s">
        <v>435</v>
      </c>
      <c r="C16" s="14" t="s">
        <v>278</v>
      </c>
      <c r="D16" s="152" t="s">
        <v>300</v>
      </c>
      <c r="E16" s="154">
        <v>4.4999999999999997E-3</v>
      </c>
      <c r="F16" s="152">
        <v>3230000</v>
      </c>
      <c r="G16" s="223">
        <v>0.14724200000000001</v>
      </c>
      <c r="H16" s="211">
        <v>46266</v>
      </c>
      <c r="I16" s="188">
        <v>0.14230999999999999</v>
      </c>
      <c r="J16" s="211">
        <v>46237</v>
      </c>
      <c r="K16" s="188">
        <v>0.14174</v>
      </c>
      <c r="L16" s="211">
        <v>46204</v>
      </c>
      <c r="M16" s="188">
        <v>0.13839699999999999</v>
      </c>
      <c r="N16" s="211">
        <v>46174</v>
      </c>
      <c r="O16" s="188">
        <v>0.14032500000000001</v>
      </c>
      <c r="P16" s="211">
        <v>46143</v>
      </c>
      <c r="Q16" s="188">
        <v>0.14196700000000001</v>
      </c>
      <c r="R16" s="211">
        <v>46113</v>
      </c>
      <c r="S16" s="188">
        <v>3.1167E-2</v>
      </c>
      <c r="T16" s="211">
        <v>46083</v>
      </c>
      <c r="U16" s="188">
        <v>0.17722599999999999</v>
      </c>
      <c r="V16" s="211">
        <v>46055</v>
      </c>
      <c r="W16" s="188">
        <v>0</v>
      </c>
      <c r="X16" s="212" t="s">
        <v>87</v>
      </c>
      <c r="Y16" s="188">
        <v>6.5883999999999998E-2</v>
      </c>
      <c r="Z16" s="211">
        <v>46010</v>
      </c>
    </row>
    <row r="17" spans="1:28" ht="15" customHeight="1" x14ac:dyDescent="0.25">
      <c r="A17" t="s">
        <v>421</v>
      </c>
      <c r="B17" t="s">
        <v>427</v>
      </c>
      <c r="C17" s="14" t="s">
        <v>255</v>
      </c>
      <c r="D17" s="152" t="s">
        <v>288</v>
      </c>
      <c r="E17" s="187">
        <v>2E-3</v>
      </c>
      <c r="F17" s="152">
        <v>107000</v>
      </c>
      <c r="G17" s="223">
        <v>0.39</v>
      </c>
      <c r="H17" s="211">
        <v>46266</v>
      </c>
      <c r="I17" s="188">
        <v>0.43</v>
      </c>
      <c r="J17" s="211">
        <v>46237</v>
      </c>
      <c r="K17" s="188">
        <v>0.41</v>
      </c>
      <c r="L17" s="211">
        <v>46204</v>
      </c>
      <c r="M17" s="188">
        <v>0.41</v>
      </c>
      <c r="N17" s="211">
        <v>46174</v>
      </c>
      <c r="O17" s="188">
        <v>0.4</v>
      </c>
      <c r="P17" s="211">
        <v>46143</v>
      </c>
      <c r="Q17" s="188">
        <v>0.37</v>
      </c>
      <c r="R17" s="211">
        <v>46113</v>
      </c>
      <c r="S17" s="188">
        <v>0.38</v>
      </c>
      <c r="T17" s="211">
        <v>46083</v>
      </c>
      <c r="U17" s="188">
        <v>0.37</v>
      </c>
      <c r="V17" s="211">
        <v>46055</v>
      </c>
      <c r="W17" s="188">
        <v>0</v>
      </c>
      <c r="X17" s="212" t="s">
        <v>87</v>
      </c>
      <c r="Y17" s="188">
        <v>0.42</v>
      </c>
      <c r="Z17" s="211">
        <v>46022</v>
      </c>
    </row>
    <row r="18" spans="1:28" ht="15" customHeight="1" x14ac:dyDescent="0.25">
      <c r="A18" t="s">
        <v>421</v>
      </c>
      <c r="B18" t="s">
        <v>422</v>
      </c>
      <c r="C18" s="14" t="s">
        <v>264</v>
      </c>
      <c r="D18" s="152" t="s">
        <v>291</v>
      </c>
      <c r="E18" s="154">
        <v>2.9999999999999997E-4</v>
      </c>
      <c r="F18" s="152">
        <v>2140000</v>
      </c>
      <c r="G18" s="223">
        <v>7.6600000000000001E-2</v>
      </c>
      <c r="H18" s="211">
        <v>46266</v>
      </c>
      <c r="I18" s="188">
        <v>8.7999999999999995E-2</v>
      </c>
      <c r="J18" s="211">
        <v>46237</v>
      </c>
      <c r="K18" s="188">
        <v>0.08</v>
      </c>
      <c r="L18" s="211">
        <v>46204</v>
      </c>
      <c r="M18" s="188">
        <v>8.09E-2</v>
      </c>
      <c r="N18" s="211">
        <v>46174</v>
      </c>
      <c r="O18" s="188">
        <v>7.8700000000000006E-2</v>
      </c>
      <c r="P18" s="211">
        <v>46143</v>
      </c>
      <c r="Q18" s="188">
        <v>7.85E-2</v>
      </c>
      <c r="R18" s="211">
        <v>46113</v>
      </c>
      <c r="S18" s="188">
        <v>7.7200000000000005E-2</v>
      </c>
      <c r="T18" s="211">
        <v>46083</v>
      </c>
      <c r="U18" s="188">
        <v>8.5000000000000006E-2</v>
      </c>
      <c r="V18" s="211">
        <v>46055</v>
      </c>
      <c r="W18" s="188">
        <v>0</v>
      </c>
      <c r="X18" s="212" t="s">
        <v>87</v>
      </c>
      <c r="Y18" s="188">
        <v>7.6999999999999999E-2</v>
      </c>
      <c r="Z18" s="211">
        <v>46010</v>
      </c>
    </row>
    <row r="19" spans="1:28" ht="15" customHeight="1" x14ac:dyDescent="0.25">
      <c r="A19" t="s">
        <v>421</v>
      </c>
      <c r="B19" t="s">
        <v>431</v>
      </c>
      <c r="C19" s="14" t="s">
        <v>265</v>
      </c>
      <c r="D19" s="152" t="s">
        <v>291</v>
      </c>
      <c r="E19" s="154">
        <v>2.9999999999999997E-4</v>
      </c>
      <c r="F19" s="152">
        <v>1180000</v>
      </c>
      <c r="G19" s="223">
        <v>0.1396</v>
      </c>
      <c r="H19" s="211">
        <v>46266</v>
      </c>
      <c r="I19" s="188">
        <v>0.1547</v>
      </c>
      <c r="J19" s="211">
        <v>46237</v>
      </c>
      <c r="K19" s="188">
        <v>0.1487</v>
      </c>
      <c r="L19" s="211">
        <v>46204</v>
      </c>
      <c r="M19" s="188">
        <v>0.14960000000000001</v>
      </c>
      <c r="N19" s="211">
        <v>46174</v>
      </c>
      <c r="O19" s="188">
        <v>0.1449</v>
      </c>
      <c r="P19" s="211">
        <v>46143</v>
      </c>
      <c r="Q19" s="188">
        <v>0.1537</v>
      </c>
      <c r="R19" s="211">
        <v>46113</v>
      </c>
      <c r="S19" s="188">
        <v>0.1449</v>
      </c>
      <c r="T19" s="211">
        <v>46083</v>
      </c>
      <c r="U19" s="188">
        <v>0.15579999999999999</v>
      </c>
      <c r="V19" s="211">
        <v>46055</v>
      </c>
      <c r="W19" s="188">
        <v>0</v>
      </c>
      <c r="X19" s="212" t="s">
        <v>87</v>
      </c>
      <c r="Y19" s="188">
        <v>0.14810000000000001</v>
      </c>
      <c r="Z19" s="211">
        <v>46010</v>
      </c>
    </row>
    <row r="20" spans="1:28" ht="15" customHeight="1" x14ac:dyDescent="0.25">
      <c r="A20" t="s">
        <v>421</v>
      </c>
      <c r="B20" t="s">
        <v>436</v>
      </c>
      <c r="C20" s="14" t="s">
        <v>222</v>
      </c>
      <c r="D20" s="152" t="s">
        <v>291</v>
      </c>
      <c r="E20" s="154">
        <v>2.9999999999999997E-4</v>
      </c>
      <c r="F20" s="152">
        <v>760000</v>
      </c>
      <c r="G20" s="223">
        <v>0.10929999999999999</v>
      </c>
      <c r="H20" s="211">
        <v>46266</v>
      </c>
      <c r="I20" s="188">
        <v>0.127</v>
      </c>
      <c r="J20" s="211">
        <v>46237</v>
      </c>
      <c r="K20" s="188">
        <v>0.1085</v>
      </c>
      <c r="L20" s="211">
        <v>46204</v>
      </c>
      <c r="M20" s="188">
        <v>0.14960000000000001</v>
      </c>
      <c r="N20" s="211">
        <v>46174</v>
      </c>
      <c r="O20" s="188">
        <v>0.1168</v>
      </c>
      <c r="P20" s="211">
        <v>46143</v>
      </c>
      <c r="Q20" s="188">
        <v>0.12770000000000001</v>
      </c>
      <c r="R20" s="211">
        <v>46113</v>
      </c>
      <c r="S20" s="188">
        <v>0.1066</v>
      </c>
      <c r="T20" s="211">
        <v>46083</v>
      </c>
      <c r="U20" s="188">
        <v>0.14799999999999999</v>
      </c>
      <c r="V20" s="211">
        <v>46055</v>
      </c>
      <c r="W20" s="188">
        <v>0</v>
      </c>
      <c r="X20" s="212" t="s">
        <v>87</v>
      </c>
      <c r="Y20" s="188">
        <v>0.127</v>
      </c>
      <c r="Z20" s="211">
        <v>46010</v>
      </c>
    </row>
    <row r="21" spans="1:28" ht="15" customHeight="1" x14ac:dyDescent="0.25">
      <c r="A21" t="s">
        <v>421</v>
      </c>
      <c r="B21" t="s">
        <v>422</v>
      </c>
      <c r="C21" s="14" t="s">
        <v>266</v>
      </c>
      <c r="D21" s="152" t="s">
        <v>301</v>
      </c>
      <c r="E21" s="154">
        <v>2.9999999999999997E-4</v>
      </c>
      <c r="F21" s="152">
        <v>3320000</v>
      </c>
      <c r="G21" s="223">
        <v>8.9305999999999996E-2</v>
      </c>
      <c r="H21" s="211">
        <v>46266</v>
      </c>
      <c r="I21" s="188">
        <v>8.8980000000000004E-2</v>
      </c>
      <c r="J21" s="211">
        <v>46237</v>
      </c>
      <c r="K21" s="188">
        <v>8.7480000000000002E-2</v>
      </c>
      <c r="L21" s="211">
        <v>46204</v>
      </c>
      <c r="M21" s="188">
        <v>8.7929999999999994E-2</v>
      </c>
      <c r="N21" s="211">
        <v>46174</v>
      </c>
      <c r="O21" s="188">
        <v>8.6389999999999995E-2</v>
      </c>
      <c r="P21" s="211">
        <v>46143</v>
      </c>
      <c r="Q21" s="188">
        <v>8.7540000000000007E-2</v>
      </c>
      <c r="R21" s="211">
        <v>46113</v>
      </c>
      <c r="S21" s="188">
        <v>8.3150000000000002E-2</v>
      </c>
      <c r="T21" s="211">
        <v>46083</v>
      </c>
      <c r="U21" s="188">
        <v>8.1979999999999997E-2</v>
      </c>
      <c r="V21" s="211">
        <v>46055</v>
      </c>
      <c r="W21" s="188">
        <v>0</v>
      </c>
      <c r="X21" s="212" t="s">
        <v>87</v>
      </c>
      <c r="Y21" s="188">
        <v>9.1097999999999998E-2</v>
      </c>
      <c r="Z21" s="211">
        <v>46009</v>
      </c>
      <c r="AB21" s="102"/>
    </row>
    <row r="22" spans="1:28" ht="15" customHeight="1" x14ac:dyDescent="0.25">
      <c r="A22" t="s">
        <v>421</v>
      </c>
      <c r="B22" t="s">
        <v>428</v>
      </c>
      <c r="C22" s="14" t="s">
        <v>216</v>
      </c>
      <c r="D22" s="152" t="s">
        <v>301</v>
      </c>
      <c r="E22" s="154">
        <v>4.0000000000000001E-3</v>
      </c>
      <c r="F22" s="152">
        <v>968000</v>
      </c>
      <c r="G22" s="223">
        <v>0.154807</v>
      </c>
      <c r="H22" s="211">
        <v>46266</v>
      </c>
      <c r="I22" s="188">
        <v>0.21054</v>
      </c>
      <c r="J22" s="211">
        <v>46237</v>
      </c>
      <c r="K22" s="188">
        <v>9.1050000000000006E-2</v>
      </c>
      <c r="L22" s="211">
        <v>46204</v>
      </c>
      <c r="M22" s="188">
        <v>0.15523000000000001</v>
      </c>
      <c r="N22" s="211">
        <v>46174</v>
      </c>
      <c r="O22" s="188">
        <v>0.12466000000000001</v>
      </c>
      <c r="P22" s="211">
        <v>46143</v>
      </c>
      <c r="Q22" s="188">
        <v>0.10198</v>
      </c>
      <c r="R22" s="211">
        <v>46113</v>
      </c>
      <c r="S22" s="188">
        <v>0.14646999999999999</v>
      </c>
      <c r="T22" s="211">
        <v>46083</v>
      </c>
      <c r="U22" s="188">
        <v>8.6249999999999993E-2</v>
      </c>
      <c r="V22" s="211">
        <v>46055</v>
      </c>
      <c r="W22" s="188">
        <v>0</v>
      </c>
      <c r="X22" s="212" t="s">
        <v>87</v>
      </c>
      <c r="Y22" s="188">
        <v>0.16361100000000001</v>
      </c>
      <c r="Z22" s="211">
        <v>46009</v>
      </c>
    </row>
    <row r="23" spans="1:28" ht="15" customHeight="1" x14ac:dyDescent="0.25">
      <c r="A23" t="s">
        <v>421</v>
      </c>
      <c r="B23" t="s">
        <v>427</v>
      </c>
      <c r="C23" s="14" t="s">
        <v>269</v>
      </c>
      <c r="D23" s="152" t="s">
        <v>301</v>
      </c>
      <c r="E23" s="154">
        <v>2.9999999999999997E-4</v>
      </c>
      <c r="F23" s="152">
        <v>628000</v>
      </c>
      <c r="G23" s="223">
        <v>0.123783</v>
      </c>
      <c r="H23" s="211">
        <v>46266</v>
      </c>
      <c r="I23" s="188">
        <v>0.12334000000000001</v>
      </c>
      <c r="J23" s="211">
        <v>46237</v>
      </c>
      <c r="K23" s="188">
        <v>0.12291000000000001</v>
      </c>
      <c r="L23" s="211">
        <v>46204</v>
      </c>
      <c r="M23" s="188">
        <v>0.12291000000000001</v>
      </c>
      <c r="N23" s="211">
        <v>46174</v>
      </c>
      <c r="O23" s="188">
        <v>0.12257</v>
      </c>
      <c r="P23" s="211">
        <v>46143</v>
      </c>
      <c r="Q23" s="188">
        <v>0.12262000000000001</v>
      </c>
      <c r="R23" s="211">
        <v>46113</v>
      </c>
      <c r="S23" s="188">
        <v>0.12246</v>
      </c>
      <c r="T23" s="211">
        <v>46083</v>
      </c>
      <c r="U23" s="188">
        <v>0.12303</v>
      </c>
      <c r="V23" s="211">
        <v>46055</v>
      </c>
      <c r="W23" s="188">
        <v>0</v>
      </c>
      <c r="X23" s="212" t="s">
        <v>87</v>
      </c>
      <c r="Y23" s="188">
        <v>0.122505</v>
      </c>
      <c r="Z23" s="211">
        <v>46009</v>
      </c>
    </row>
    <row r="24" spans="1:28" ht="15" customHeight="1" x14ac:dyDescent="0.25">
      <c r="A24" t="s">
        <v>421</v>
      </c>
      <c r="B24" t="s">
        <v>431</v>
      </c>
      <c r="C24" s="14" t="s">
        <v>263</v>
      </c>
      <c r="D24" s="152" t="s">
        <v>301</v>
      </c>
      <c r="E24" s="154">
        <v>4.0000000000000001E-3</v>
      </c>
      <c r="F24" s="152">
        <v>2800000</v>
      </c>
      <c r="G24" s="223">
        <v>0.53229499999999996</v>
      </c>
      <c r="H24" s="211">
        <v>46266</v>
      </c>
      <c r="I24" s="188">
        <v>0.52717999999999998</v>
      </c>
      <c r="J24" s="211">
        <v>46237</v>
      </c>
      <c r="K24" s="188">
        <v>0.53078000000000003</v>
      </c>
      <c r="L24" s="211">
        <v>46204</v>
      </c>
      <c r="M24" s="188">
        <v>0.52310000000000001</v>
      </c>
      <c r="N24" s="211">
        <v>46174</v>
      </c>
      <c r="O24" s="188">
        <v>0.52693999999999996</v>
      </c>
      <c r="P24" s="211">
        <v>46143</v>
      </c>
      <c r="Q24" s="188">
        <v>0.52478000000000002</v>
      </c>
      <c r="R24" s="211">
        <v>46113</v>
      </c>
      <c r="S24" s="188">
        <v>0.52456999999999998</v>
      </c>
      <c r="T24" s="211">
        <v>46083</v>
      </c>
      <c r="U24" s="188">
        <v>0.56008999999999998</v>
      </c>
      <c r="V24" s="211">
        <v>46055</v>
      </c>
      <c r="W24" s="188">
        <v>0</v>
      </c>
      <c r="X24" s="212" t="s">
        <v>87</v>
      </c>
      <c r="Y24" s="188">
        <v>0.49054799999999998</v>
      </c>
      <c r="Z24" s="211">
        <v>46009</v>
      </c>
      <c r="AB24" s="102"/>
    </row>
    <row r="25" spans="1:28" ht="15" customHeight="1" x14ac:dyDescent="0.25">
      <c r="A25" t="s">
        <v>421</v>
      </c>
      <c r="B25" t="s">
        <v>431</v>
      </c>
      <c r="C25" s="14" t="s">
        <v>267</v>
      </c>
      <c r="D25" s="152" t="s">
        <v>301</v>
      </c>
      <c r="E25" s="154">
        <v>5.0000000000000001E-4</v>
      </c>
      <c r="F25" s="152">
        <v>5830000</v>
      </c>
      <c r="G25" s="223">
        <v>0.14036100000000001</v>
      </c>
      <c r="H25" s="211">
        <v>46266</v>
      </c>
      <c r="I25" s="188">
        <v>0.13564999999999999</v>
      </c>
      <c r="J25" s="211">
        <v>46237</v>
      </c>
      <c r="K25" s="188">
        <v>0.13818</v>
      </c>
      <c r="L25" s="211">
        <v>46204</v>
      </c>
      <c r="M25" s="188">
        <v>0.13750999999999999</v>
      </c>
      <c r="N25" s="211">
        <v>46174</v>
      </c>
      <c r="O25" s="188">
        <v>0.13657</v>
      </c>
      <c r="P25" s="211">
        <v>46143</v>
      </c>
      <c r="Q25" s="188">
        <v>0.13836000000000001</v>
      </c>
      <c r="R25" s="211">
        <v>46113</v>
      </c>
      <c r="S25" s="188">
        <v>0.13963999999999999</v>
      </c>
      <c r="T25" s="211">
        <v>46083</v>
      </c>
      <c r="U25" s="188">
        <v>0.13791</v>
      </c>
      <c r="V25" s="211">
        <v>46055</v>
      </c>
      <c r="W25" s="188">
        <v>0</v>
      </c>
      <c r="X25" s="212" t="s">
        <v>87</v>
      </c>
      <c r="Y25" s="188">
        <v>0.140677</v>
      </c>
      <c r="Z25" s="211">
        <v>46009</v>
      </c>
    </row>
    <row r="26" spans="1:28" ht="15" customHeight="1" x14ac:dyDescent="0.25">
      <c r="A26" t="s">
        <v>421</v>
      </c>
      <c r="B26" t="s">
        <v>425</v>
      </c>
      <c r="C26" s="14" t="s">
        <v>272</v>
      </c>
      <c r="D26" s="152" t="s">
        <v>301</v>
      </c>
      <c r="E26" s="154">
        <v>3.5000000000000001E-3</v>
      </c>
      <c r="F26" s="152">
        <v>341000</v>
      </c>
      <c r="G26" s="223">
        <v>4.4215999999999998E-2</v>
      </c>
      <c r="H26" s="211">
        <v>46266</v>
      </c>
      <c r="I26" s="188">
        <v>4.546E-2</v>
      </c>
      <c r="J26" s="211">
        <v>46237</v>
      </c>
      <c r="K26" s="188">
        <v>4.4130000000000003E-2</v>
      </c>
      <c r="L26" s="211">
        <v>46204</v>
      </c>
      <c r="M26" s="188">
        <v>4.5019999999999998E-2</v>
      </c>
      <c r="N26" s="211">
        <v>46174</v>
      </c>
      <c r="O26" s="188">
        <v>4.3720000000000002E-2</v>
      </c>
      <c r="P26" s="211">
        <v>46143</v>
      </c>
      <c r="Q26" s="188">
        <v>4.5359999999999998E-2</v>
      </c>
      <c r="R26" s="211">
        <v>46113</v>
      </c>
      <c r="S26" s="188">
        <v>4.0980000000000003E-2</v>
      </c>
      <c r="T26" s="211">
        <v>46083</v>
      </c>
      <c r="U26" s="188">
        <v>3.8260000000000002E-2</v>
      </c>
      <c r="V26" s="211">
        <v>46055</v>
      </c>
      <c r="W26" s="188">
        <v>0</v>
      </c>
      <c r="X26" s="212" t="s">
        <v>87</v>
      </c>
      <c r="Y26" s="188">
        <v>0</v>
      </c>
      <c r="Z26" s="211">
        <v>46009</v>
      </c>
    </row>
    <row r="27" spans="1:28" ht="15" customHeight="1" x14ac:dyDescent="0.25">
      <c r="A27" t="s">
        <v>421</v>
      </c>
      <c r="B27" t="s">
        <v>432</v>
      </c>
      <c r="C27" s="14" t="s">
        <v>223</v>
      </c>
      <c r="D27" s="152" t="s">
        <v>301</v>
      </c>
      <c r="E27" s="154">
        <v>4.0000000000000002E-4</v>
      </c>
      <c r="F27" s="152">
        <v>4040000</v>
      </c>
      <c r="G27" s="223">
        <v>0.10195799999999999</v>
      </c>
      <c r="H27" s="211">
        <v>46266</v>
      </c>
      <c r="I27" s="188">
        <v>0.10152</v>
      </c>
      <c r="J27" s="211">
        <v>46237</v>
      </c>
      <c r="K27" s="188">
        <v>0.10116</v>
      </c>
      <c r="L27" s="211">
        <v>46204</v>
      </c>
      <c r="M27" s="188">
        <v>0.10147</v>
      </c>
      <c r="N27" s="211">
        <v>46174</v>
      </c>
      <c r="O27" s="188">
        <v>0.10135</v>
      </c>
      <c r="P27" s="211">
        <v>46143</v>
      </c>
      <c r="Q27" s="188">
        <v>0.10022</v>
      </c>
      <c r="R27" s="211">
        <v>46113</v>
      </c>
      <c r="S27" s="188">
        <v>0.10045999999999999</v>
      </c>
      <c r="T27" s="211">
        <v>46083</v>
      </c>
      <c r="U27" s="188">
        <v>0.10298</v>
      </c>
      <c r="V27" s="211">
        <v>46055</v>
      </c>
      <c r="W27" s="188">
        <v>0</v>
      </c>
      <c r="X27" s="212" t="s">
        <v>87</v>
      </c>
      <c r="Y27" s="188">
        <v>9.6627000000000005E-2</v>
      </c>
      <c r="Z27" s="211">
        <v>46009</v>
      </c>
    </row>
    <row r="28" spans="1:28" ht="15" customHeight="1" x14ac:dyDescent="0.25">
      <c r="A28" t="s">
        <v>421</v>
      </c>
      <c r="B28" t="s">
        <v>436</v>
      </c>
      <c r="C28" s="14" t="s">
        <v>225</v>
      </c>
      <c r="D28" s="152" t="s">
        <v>301</v>
      </c>
      <c r="E28" s="154">
        <v>2.9999999999999997E-4</v>
      </c>
      <c r="F28" s="152">
        <v>6500000</v>
      </c>
      <c r="G28" s="223">
        <v>9.3530000000000002E-2</v>
      </c>
      <c r="H28" s="211">
        <v>46266</v>
      </c>
      <c r="I28" s="188">
        <v>9.3149999999999997E-2</v>
      </c>
      <c r="J28" s="211">
        <v>46237</v>
      </c>
      <c r="K28" s="188">
        <v>8.9810000000000001E-2</v>
      </c>
      <c r="L28" s="211">
        <v>46204</v>
      </c>
      <c r="M28" s="188">
        <v>9.2770000000000005E-2</v>
      </c>
      <c r="N28" s="211">
        <v>46174</v>
      </c>
      <c r="O28" s="188">
        <v>9.0139999999999998E-2</v>
      </c>
      <c r="P28" s="211">
        <v>46143</v>
      </c>
      <c r="Q28" s="188">
        <v>9.3600000000000003E-2</v>
      </c>
      <c r="R28" s="211">
        <v>46113</v>
      </c>
      <c r="S28" s="188">
        <v>8.3930000000000005E-2</v>
      </c>
      <c r="T28" s="211">
        <v>46083</v>
      </c>
      <c r="U28" s="188">
        <v>9.2689999999999995E-2</v>
      </c>
      <c r="V28" s="211">
        <v>46055</v>
      </c>
      <c r="W28" s="188">
        <v>0</v>
      </c>
      <c r="X28" s="212" t="s">
        <v>87</v>
      </c>
      <c r="Y28" s="188">
        <v>9.2302999999999996E-2</v>
      </c>
      <c r="Z28" s="211">
        <v>46009</v>
      </c>
    </row>
    <row r="29" spans="1:28" ht="15" customHeight="1" x14ac:dyDescent="0.25">
      <c r="A29" t="s">
        <v>421</v>
      </c>
      <c r="B29" t="s">
        <v>433</v>
      </c>
      <c r="C29" s="14" t="s">
        <v>224</v>
      </c>
      <c r="D29" s="152" t="s">
        <v>301</v>
      </c>
      <c r="E29" s="154">
        <v>4.0000000000000002E-4</v>
      </c>
      <c r="F29" s="152">
        <v>1030000</v>
      </c>
      <c r="G29" s="223">
        <v>7.1248000000000006E-2</v>
      </c>
      <c r="H29" s="211">
        <v>46266</v>
      </c>
      <c r="I29" s="188">
        <v>7.1599999999999997E-2</v>
      </c>
      <c r="J29" s="211">
        <v>46237</v>
      </c>
      <c r="K29" s="188">
        <v>7.0730000000000001E-2</v>
      </c>
      <c r="L29" s="211">
        <v>46204</v>
      </c>
      <c r="M29" s="188">
        <v>7.0120000000000002E-2</v>
      </c>
      <c r="N29" s="211">
        <v>46174</v>
      </c>
      <c r="O29" s="188">
        <v>6.9989999999999997E-2</v>
      </c>
      <c r="P29" s="211">
        <v>46143</v>
      </c>
      <c r="Q29" s="188">
        <v>7.0129999999999998E-2</v>
      </c>
      <c r="R29" s="211">
        <v>46113</v>
      </c>
      <c r="S29" s="188">
        <v>6.9449999999999998E-2</v>
      </c>
      <c r="T29" s="211">
        <v>46083</v>
      </c>
      <c r="U29" s="188">
        <v>7.1540000000000006E-2</v>
      </c>
      <c r="V29" s="211">
        <v>46055</v>
      </c>
      <c r="W29" s="188">
        <v>0</v>
      </c>
      <c r="X29" s="212" t="s">
        <v>87</v>
      </c>
      <c r="Y29" s="188">
        <v>0.14300099999999999</v>
      </c>
      <c r="Z29" s="211">
        <v>46009</v>
      </c>
    </row>
    <row r="30" spans="1:28" ht="15" customHeight="1" x14ac:dyDescent="0.25">
      <c r="A30" t="s">
        <v>421</v>
      </c>
      <c r="B30" t="s">
        <v>434</v>
      </c>
      <c r="C30" s="14" t="s">
        <v>226</v>
      </c>
      <c r="D30" s="152" t="s">
        <v>301</v>
      </c>
      <c r="E30" s="154">
        <v>2.9999999999999997E-4</v>
      </c>
      <c r="F30" s="152">
        <v>469000</v>
      </c>
      <c r="G30" s="223">
        <v>0.13560700000000001</v>
      </c>
      <c r="H30" s="211">
        <v>46266</v>
      </c>
      <c r="I30" s="188">
        <v>0.1351</v>
      </c>
      <c r="J30" s="211">
        <v>46237</v>
      </c>
      <c r="K30" s="188">
        <v>0.13542999999999999</v>
      </c>
      <c r="L30" s="211">
        <v>46204</v>
      </c>
      <c r="M30" s="188">
        <v>0.13396</v>
      </c>
      <c r="N30" s="211">
        <v>46174</v>
      </c>
      <c r="O30" s="188">
        <v>0.13463</v>
      </c>
      <c r="P30" s="211">
        <v>46143</v>
      </c>
      <c r="Q30" s="188">
        <v>0.13347000000000001</v>
      </c>
      <c r="R30" s="211">
        <v>46113</v>
      </c>
      <c r="S30" s="188">
        <v>0.13635</v>
      </c>
      <c r="T30" s="211">
        <v>46083</v>
      </c>
      <c r="U30" s="188">
        <v>0.13150000000000001</v>
      </c>
      <c r="V30" s="211">
        <v>46055</v>
      </c>
      <c r="W30" s="188">
        <v>0</v>
      </c>
      <c r="X30" s="212" t="s">
        <v>87</v>
      </c>
      <c r="Y30" s="188">
        <v>0.13450899999999999</v>
      </c>
      <c r="Z30" s="211">
        <v>46009</v>
      </c>
    </row>
    <row r="31" spans="1:28" ht="15" customHeight="1" x14ac:dyDescent="0.25">
      <c r="A31" t="s">
        <v>421</v>
      </c>
      <c r="B31" t="s">
        <v>423</v>
      </c>
      <c r="C31" s="14" t="s">
        <v>215</v>
      </c>
      <c r="D31" s="152" t="s">
        <v>286</v>
      </c>
      <c r="E31" s="154">
        <v>2.5000000000000001E-3</v>
      </c>
      <c r="F31" s="152">
        <v>872000</v>
      </c>
      <c r="G31" s="223">
        <v>0.159</v>
      </c>
      <c r="H31" s="211">
        <v>46266</v>
      </c>
      <c r="I31" s="188">
        <v>0.16839999999999999</v>
      </c>
      <c r="J31" s="211">
        <v>46237</v>
      </c>
      <c r="K31" s="188">
        <v>0.17100000000000001</v>
      </c>
      <c r="L31" s="211">
        <v>46204</v>
      </c>
      <c r="M31" s="188">
        <v>0.1535</v>
      </c>
      <c r="N31" s="211">
        <v>46174</v>
      </c>
      <c r="O31" s="188">
        <v>0.15629999999999999</v>
      </c>
      <c r="P31" s="211">
        <v>46143</v>
      </c>
      <c r="Q31" s="188">
        <v>0.17449999999999999</v>
      </c>
      <c r="R31" s="211">
        <v>46113</v>
      </c>
      <c r="S31" s="188">
        <v>0.14050000000000001</v>
      </c>
      <c r="T31" s="211">
        <v>46083</v>
      </c>
      <c r="U31" s="188">
        <v>0.15909999999999999</v>
      </c>
      <c r="V31" s="211">
        <v>46055</v>
      </c>
      <c r="W31" s="188">
        <v>0</v>
      </c>
      <c r="X31" s="212" t="s">
        <v>87</v>
      </c>
      <c r="Y31" s="188">
        <v>0.15989999999999999</v>
      </c>
      <c r="Z31" s="211">
        <v>46020</v>
      </c>
    </row>
    <row r="32" spans="1:28" ht="15" customHeight="1" x14ac:dyDescent="0.25">
      <c r="A32" t="s">
        <v>421</v>
      </c>
      <c r="B32" t="s">
        <v>422</v>
      </c>
      <c r="C32" s="14" t="s">
        <v>259</v>
      </c>
      <c r="D32" s="152" t="s">
        <v>287</v>
      </c>
      <c r="E32" s="154">
        <v>2.9999999999999997E-4</v>
      </c>
      <c r="F32" s="152">
        <v>8690000</v>
      </c>
      <c r="G32" s="223">
        <v>0.252886</v>
      </c>
      <c r="H32" s="211">
        <v>46266</v>
      </c>
      <c r="I32" s="188">
        <v>0.25155</v>
      </c>
      <c r="J32" s="211">
        <v>46237</v>
      </c>
      <c r="K32" s="188">
        <v>0.24446999999999999</v>
      </c>
      <c r="L32" s="211">
        <v>46204</v>
      </c>
      <c r="M32" s="188">
        <v>0.24726000000000001</v>
      </c>
      <c r="N32" s="211">
        <v>46174</v>
      </c>
      <c r="O32" s="188">
        <v>0.24171300000000001</v>
      </c>
      <c r="P32" s="211">
        <v>46143</v>
      </c>
      <c r="Q32" s="188">
        <v>0.25001600000000002</v>
      </c>
      <c r="R32" s="211">
        <v>46113</v>
      </c>
      <c r="S32" s="188">
        <v>0.227824</v>
      </c>
      <c r="T32" s="211">
        <v>46083</v>
      </c>
      <c r="U32" s="188">
        <v>0.24546999999999999</v>
      </c>
      <c r="V32" s="211">
        <v>46055</v>
      </c>
      <c r="W32" s="188">
        <v>0</v>
      </c>
      <c r="X32" s="212" t="s">
        <v>87</v>
      </c>
      <c r="Y32" s="188">
        <v>0.246638</v>
      </c>
      <c r="Z32" s="211">
        <v>46009</v>
      </c>
    </row>
    <row r="33" spans="1:27" ht="15" customHeight="1" x14ac:dyDescent="0.25">
      <c r="A33" t="s">
        <v>421</v>
      </c>
      <c r="B33" t="s">
        <v>426</v>
      </c>
      <c r="C33" s="14" t="s">
        <v>281</v>
      </c>
      <c r="D33" s="152" t="s">
        <v>287</v>
      </c>
      <c r="E33" s="154">
        <v>5.9999999999999995E-4</v>
      </c>
      <c r="F33" s="152">
        <v>286000</v>
      </c>
      <c r="G33" s="223">
        <v>0.26019999999999999</v>
      </c>
      <c r="H33" s="211">
        <v>46266</v>
      </c>
      <c r="I33" s="188">
        <v>0.25640000000000002</v>
      </c>
      <c r="J33" s="211">
        <v>46237</v>
      </c>
      <c r="K33" s="188">
        <v>0.26240000000000002</v>
      </c>
      <c r="L33" s="211">
        <v>46204</v>
      </c>
      <c r="M33" s="188">
        <v>0.25750000000000001</v>
      </c>
      <c r="N33" s="211">
        <v>46174</v>
      </c>
      <c r="O33" s="188">
        <v>0.26029999999999998</v>
      </c>
      <c r="P33" s="211">
        <v>46143</v>
      </c>
      <c r="Q33" s="188">
        <v>0.25819999999999999</v>
      </c>
      <c r="R33" s="211">
        <v>46113</v>
      </c>
      <c r="S33" s="188">
        <v>0.25669999999999998</v>
      </c>
      <c r="T33" s="211">
        <v>46083</v>
      </c>
      <c r="U33" s="188">
        <v>0.25080000000000002</v>
      </c>
      <c r="V33" s="211">
        <v>46055</v>
      </c>
      <c r="W33" s="188">
        <v>0</v>
      </c>
      <c r="X33" s="212" t="s">
        <v>87</v>
      </c>
      <c r="Y33" s="188">
        <v>0.2626</v>
      </c>
      <c r="Z33" s="211">
        <v>46015</v>
      </c>
    </row>
    <row r="34" spans="1:27" ht="15" customHeight="1" x14ac:dyDescent="0.25">
      <c r="A34" t="s">
        <v>421</v>
      </c>
      <c r="B34" t="s">
        <v>427</v>
      </c>
      <c r="C34" s="14" t="s">
        <v>270</v>
      </c>
      <c r="D34" s="152" t="s">
        <v>287</v>
      </c>
      <c r="E34" s="154">
        <v>2.9999999999999997E-4</v>
      </c>
      <c r="F34" s="152">
        <v>104000</v>
      </c>
      <c r="G34" s="223">
        <v>0.32729999999999998</v>
      </c>
      <c r="H34" s="211">
        <v>46266</v>
      </c>
      <c r="I34" s="188">
        <v>0.32619999999999999</v>
      </c>
      <c r="J34" s="211">
        <v>46237</v>
      </c>
      <c r="K34" s="188">
        <v>0.316</v>
      </c>
      <c r="L34" s="211">
        <v>46204</v>
      </c>
      <c r="M34" s="188">
        <v>0.31900000000000001</v>
      </c>
      <c r="N34" s="211">
        <v>46174</v>
      </c>
      <c r="O34" s="188">
        <v>0.31409999999999999</v>
      </c>
      <c r="P34" s="211">
        <v>46143</v>
      </c>
      <c r="Q34" s="188">
        <v>0.32269999999999999</v>
      </c>
      <c r="R34" s="211">
        <v>46113</v>
      </c>
      <c r="S34" s="188">
        <v>0.2913</v>
      </c>
      <c r="T34" s="211">
        <v>46083</v>
      </c>
      <c r="U34" s="188">
        <v>0.32369999999999999</v>
      </c>
      <c r="V34" s="211">
        <v>46055</v>
      </c>
      <c r="W34" s="188">
        <v>0</v>
      </c>
      <c r="X34" s="212" t="s">
        <v>87</v>
      </c>
      <c r="Y34" s="188">
        <v>0.3105</v>
      </c>
      <c r="Z34" s="211">
        <v>46009</v>
      </c>
    </row>
    <row r="35" spans="1:27" ht="15" customHeight="1" x14ac:dyDescent="0.25">
      <c r="A35" t="s">
        <v>421</v>
      </c>
      <c r="B35" t="s">
        <v>429</v>
      </c>
      <c r="C35" s="14" t="s">
        <v>282</v>
      </c>
      <c r="D35" s="152" t="s">
        <v>287</v>
      </c>
      <c r="E35" s="154">
        <v>1.5E-3</v>
      </c>
      <c r="F35" s="152">
        <v>650000</v>
      </c>
      <c r="G35" s="223">
        <v>0.32069999999999999</v>
      </c>
      <c r="H35" s="211">
        <v>46266</v>
      </c>
      <c r="I35" s="188">
        <v>0.34660000000000002</v>
      </c>
      <c r="J35" s="211">
        <v>46237</v>
      </c>
      <c r="K35" s="188">
        <v>0.31369999999999998</v>
      </c>
      <c r="L35" s="211">
        <v>46204</v>
      </c>
      <c r="M35" s="188">
        <v>0.31890000000000002</v>
      </c>
      <c r="N35" s="211">
        <v>46174</v>
      </c>
      <c r="O35" s="188">
        <v>0.318</v>
      </c>
      <c r="P35" s="211">
        <v>46143</v>
      </c>
      <c r="Q35" s="188">
        <v>0.32879999999999998</v>
      </c>
      <c r="R35" s="211">
        <v>46113</v>
      </c>
      <c r="S35" s="188">
        <v>0.3196</v>
      </c>
      <c r="T35" s="211">
        <v>46083</v>
      </c>
      <c r="U35" s="188">
        <v>0.33960000000000001</v>
      </c>
      <c r="V35" s="211">
        <v>46055</v>
      </c>
      <c r="W35" s="188">
        <v>0</v>
      </c>
      <c r="X35" s="212" t="s">
        <v>87</v>
      </c>
      <c r="Y35" s="188">
        <v>0.31519999999999998</v>
      </c>
      <c r="Z35" s="211">
        <v>46009</v>
      </c>
    </row>
    <row r="36" spans="1:27" ht="15" customHeight="1" x14ac:dyDescent="0.25">
      <c r="A36" t="s">
        <v>421</v>
      </c>
      <c r="B36" t="s">
        <v>424</v>
      </c>
      <c r="C36" s="14" t="s">
        <v>271</v>
      </c>
      <c r="D36" s="152" t="s">
        <v>287</v>
      </c>
      <c r="E36" s="154">
        <v>6.9999999999999999E-4</v>
      </c>
      <c r="F36" s="152">
        <v>5160000</v>
      </c>
      <c r="G36" s="223">
        <v>0.1206</v>
      </c>
      <c r="H36" s="211">
        <v>46266</v>
      </c>
      <c r="I36" s="188">
        <v>0.11849999999999999</v>
      </c>
      <c r="J36" s="211">
        <v>46237</v>
      </c>
      <c r="K36" s="188">
        <v>0.11119999999999999</v>
      </c>
      <c r="L36" s="211">
        <v>46204</v>
      </c>
      <c r="M36" s="188">
        <v>0.11409999999999999</v>
      </c>
      <c r="N36" s="211">
        <v>46174</v>
      </c>
      <c r="O36" s="188">
        <v>0.11260000000000001</v>
      </c>
      <c r="P36" s="211">
        <v>46143</v>
      </c>
      <c r="Q36" s="188">
        <v>0.11169999999999999</v>
      </c>
      <c r="R36" s="211">
        <v>46113</v>
      </c>
      <c r="S36" s="188">
        <v>9.98E-2</v>
      </c>
      <c r="T36" s="211">
        <v>46083</v>
      </c>
      <c r="U36" s="188">
        <v>0.1124</v>
      </c>
      <c r="V36" s="211">
        <v>46055</v>
      </c>
      <c r="W36" s="188">
        <v>0</v>
      </c>
      <c r="X36" s="212" t="s">
        <v>87</v>
      </c>
      <c r="Y36" s="188">
        <v>0.96860000000000002</v>
      </c>
      <c r="Z36" s="211">
        <v>46009</v>
      </c>
    </row>
    <row r="37" spans="1:27" s="102" customFormat="1" ht="15" customHeight="1" x14ac:dyDescent="0.25">
      <c r="A37" t="s">
        <v>421</v>
      </c>
      <c r="B37" t="s">
        <v>432</v>
      </c>
      <c r="C37" s="14" t="s">
        <v>228</v>
      </c>
      <c r="D37" s="152" t="s">
        <v>287</v>
      </c>
      <c r="E37" s="154">
        <v>2.9999999999999997E-4</v>
      </c>
      <c r="F37" s="152">
        <v>5330000</v>
      </c>
      <c r="G37" s="223">
        <v>0.36149999999999999</v>
      </c>
      <c r="H37" s="211">
        <v>46266</v>
      </c>
      <c r="I37" s="188">
        <v>0.35020000000000001</v>
      </c>
      <c r="J37" s="211">
        <v>46237</v>
      </c>
      <c r="K37" s="188">
        <v>0.3422</v>
      </c>
      <c r="L37" s="211">
        <v>46204</v>
      </c>
      <c r="M37" s="188">
        <v>0.35510000000000003</v>
      </c>
      <c r="N37" s="211">
        <v>46174</v>
      </c>
      <c r="O37" s="188">
        <v>0.32740000000000002</v>
      </c>
      <c r="P37" s="211">
        <v>46143</v>
      </c>
      <c r="Q37" s="188">
        <v>0.35610000000000003</v>
      </c>
      <c r="R37" s="211">
        <v>46113</v>
      </c>
      <c r="S37" s="188">
        <v>0.31809999999999999</v>
      </c>
      <c r="T37" s="211">
        <v>46083</v>
      </c>
      <c r="U37" s="188">
        <v>0.34560000000000002</v>
      </c>
      <c r="V37" s="211">
        <v>46055</v>
      </c>
      <c r="W37" s="188">
        <v>0</v>
      </c>
      <c r="X37" s="212" t="s">
        <v>87</v>
      </c>
      <c r="Y37" s="188">
        <v>0.34920000000000001</v>
      </c>
      <c r="Z37" s="211">
        <v>46009</v>
      </c>
      <c r="AA37"/>
    </row>
    <row r="38" spans="1:27" ht="15" customHeight="1" x14ac:dyDescent="0.25">
      <c r="A38" t="s">
        <v>421</v>
      </c>
      <c r="B38" t="s">
        <v>436</v>
      </c>
      <c r="C38" s="14" t="s">
        <v>229</v>
      </c>
      <c r="D38" s="152" t="s">
        <v>287</v>
      </c>
      <c r="E38" s="154">
        <v>2.9999999999999997E-4</v>
      </c>
      <c r="F38" s="152">
        <v>3000000</v>
      </c>
      <c r="G38" s="223">
        <v>0.21529999999999999</v>
      </c>
      <c r="H38" s="211">
        <v>46266</v>
      </c>
      <c r="I38" s="188">
        <v>0.2145</v>
      </c>
      <c r="J38" s="211">
        <v>46237</v>
      </c>
      <c r="K38" s="188">
        <v>0.20760000000000001</v>
      </c>
      <c r="L38" s="211">
        <v>46204</v>
      </c>
      <c r="M38" s="188">
        <v>0.21410000000000001</v>
      </c>
      <c r="N38" s="211">
        <v>46174</v>
      </c>
      <c r="O38" s="188">
        <v>0.2099</v>
      </c>
      <c r="P38" s="211">
        <v>46143</v>
      </c>
      <c r="Q38" s="188">
        <v>0.2258</v>
      </c>
      <c r="R38" s="211">
        <v>46113</v>
      </c>
      <c r="S38" s="188">
        <v>0.18740000000000001</v>
      </c>
      <c r="T38" s="211">
        <v>46083</v>
      </c>
      <c r="U38" s="188">
        <v>0.2145</v>
      </c>
      <c r="V38" s="211">
        <v>46055</v>
      </c>
      <c r="W38" s="188">
        <v>0</v>
      </c>
      <c r="X38" s="212" t="s">
        <v>87</v>
      </c>
      <c r="Y38" s="188">
        <v>0.214</v>
      </c>
      <c r="Z38" s="211">
        <v>46009</v>
      </c>
    </row>
    <row r="39" spans="1:27" ht="15" customHeight="1" x14ac:dyDescent="0.25">
      <c r="A39" t="s">
        <v>421</v>
      </c>
      <c r="B39" t="s">
        <v>433</v>
      </c>
      <c r="C39" s="14" t="s">
        <v>230</v>
      </c>
      <c r="D39" s="152" t="s">
        <v>287</v>
      </c>
      <c r="E39" s="154">
        <v>2.9999999999999997E-4</v>
      </c>
      <c r="F39" s="152">
        <v>1570000</v>
      </c>
      <c r="G39" s="223">
        <v>0.1666</v>
      </c>
      <c r="H39" s="211">
        <v>46266</v>
      </c>
      <c r="I39" s="188">
        <v>0.16800000000000001</v>
      </c>
      <c r="J39" s="211">
        <v>46237</v>
      </c>
      <c r="K39" s="188">
        <v>0.16450000000000001</v>
      </c>
      <c r="L39" s="211">
        <v>46204</v>
      </c>
      <c r="M39" s="188">
        <v>0.16339999999999999</v>
      </c>
      <c r="N39" s="211">
        <v>46174</v>
      </c>
      <c r="O39" s="188">
        <v>0.16089999999999999</v>
      </c>
      <c r="P39" s="211">
        <v>46143</v>
      </c>
      <c r="Q39" s="188">
        <v>0.16170000000000001</v>
      </c>
      <c r="R39" s="211">
        <v>46113</v>
      </c>
      <c r="S39" s="188">
        <v>0.16089999999999999</v>
      </c>
      <c r="T39" s="211">
        <v>46083</v>
      </c>
      <c r="U39" s="188">
        <v>0.16450000000000001</v>
      </c>
      <c r="V39" s="211">
        <v>46055</v>
      </c>
      <c r="W39" s="188">
        <v>0</v>
      </c>
      <c r="X39" s="212" t="s">
        <v>87</v>
      </c>
      <c r="Y39" s="188">
        <v>0.15989999999999999</v>
      </c>
      <c r="Z39" s="211">
        <v>46009</v>
      </c>
    </row>
    <row r="40" spans="1:27" ht="15" customHeight="1" x14ac:dyDescent="0.25">
      <c r="A40" t="s">
        <v>421</v>
      </c>
      <c r="B40" t="s">
        <v>434</v>
      </c>
      <c r="C40" s="14" t="s">
        <v>231</v>
      </c>
      <c r="D40" s="152" t="s">
        <v>287</v>
      </c>
      <c r="E40" s="154">
        <v>2.9999999999999997E-4</v>
      </c>
      <c r="F40" s="152">
        <v>7560000</v>
      </c>
      <c r="G40" s="223">
        <v>0.1434</v>
      </c>
      <c r="H40" s="211">
        <v>46266</v>
      </c>
      <c r="I40" s="188">
        <v>0.14149999999999999</v>
      </c>
      <c r="J40" s="211">
        <v>46237</v>
      </c>
      <c r="K40" s="188">
        <v>0.14199999999999999</v>
      </c>
      <c r="L40" s="211">
        <v>46204</v>
      </c>
      <c r="M40" s="188">
        <v>0.1381</v>
      </c>
      <c r="N40" s="211">
        <v>46174</v>
      </c>
      <c r="O40" s="188">
        <v>0.14230000000000001</v>
      </c>
      <c r="P40" s="211">
        <v>46143</v>
      </c>
      <c r="Q40" s="188">
        <v>0.14149999999999999</v>
      </c>
      <c r="R40" s="211">
        <v>46113</v>
      </c>
      <c r="S40" s="188">
        <v>0.1487</v>
      </c>
      <c r="T40" s="211">
        <v>46083</v>
      </c>
      <c r="U40" s="188">
        <v>0.13980000000000001</v>
      </c>
      <c r="V40" s="211">
        <v>46055</v>
      </c>
      <c r="W40" s="188">
        <v>0</v>
      </c>
      <c r="X40" s="212" t="s">
        <v>87</v>
      </c>
      <c r="Y40" s="188">
        <v>0.14169999999999999</v>
      </c>
      <c r="Z40" s="211">
        <v>46009</v>
      </c>
    </row>
    <row r="41" spans="1:27" ht="15" customHeight="1" x14ac:dyDescent="0.25">
      <c r="A41" t="s">
        <v>421</v>
      </c>
      <c r="B41" t="s">
        <v>431</v>
      </c>
      <c r="C41" s="14" t="s">
        <v>261</v>
      </c>
      <c r="D41" s="152" t="s">
        <v>289</v>
      </c>
      <c r="E41" s="154">
        <v>5.0000000000000001E-4</v>
      </c>
      <c r="F41" s="152">
        <v>1530000</v>
      </c>
      <c r="G41" s="223">
        <v>0.19292999999999999</v>
      </c>
      <c r="H41" s="211">
        <v>46266</v>
      </c>
      <c r="I41" s="188">
        <v>0.20161999999999999</v>
      </c>
      <c r="J41" s="211">
        <v>46237</v>
      </c>
      <c r="K41" s="188">
        <v>0.19264999999999999</v>
      </c>
      <c r="L41" s="211">
        <v>46204</v>
      </c>
      <c r="M41" s="188">
        <v>0.19889999999999999</v>
      </c>
      <c r="N41" s="211">
        <v>46174</v>
      </c>
      <c r="O41" s="188">
        <v>0.18801999999999999</v>
      </c>
      <c r="P41" s="211">
        <v>46143</v>
      </c>
      <c r="Q41" s="188">
        <v>0.22111</v>
      </c>
      <c r="R41" s="211">
        <v>46113</v>
      </c>
      <c r="S41" s="188">
        <v>0.17266000000000001</v>
      </c>
      <c r="T41" s="211">
        <v>46083</v>
      </c>
      <c r="U41" s="188">
        <v>0.20602999999999999</v>
      </c>
      <c r="V41" s="211">
        <v>46055</v>
      </c>
      <c r="W41" s="188">
        <v>0</v>
      </c>
      <c r="X41" s="212" t="s">
        <v>87</v>
      </c>
      <c r="Y41" s="188">
        <v>0.20891000000000001</v>
      </c>
      <c r="Z41" s="211">
        <v>46013</v>
      </c>
    </row>
    <row r="42" spans="1:27" ht="15" hidden="1" customHeight="1" x14ac:dyDescent="0.25">
      <c r="A42" t="s">
        <v>401</v>
      </c>
      <c r="B42" s="169" t="s">
        <v>437</v>
      </c>
      <c r="C42" s="167" t="s">
        <v>316</v>
      </c>
      <c r="D42" s="193" t="s">
        <v>299</v>
      </c>
      <c r="E42" s="194">
        <v>8.0000000000000004E-4</v>
      </c>
      <c r="F42" s="193">
        <v>1506663</v>
      </c>
      <c r="G42" s="195">
        <v>0</v>
      </c>
      <c r="H42" s="212"/>
      <c r="I42" s="195">
        <v>0</v>
      </c>
      <c r="J42" s="212" t="s">
        <v>87</v>
      </c>
      <c r="K42" s="195">
        <v>0</v>
      </c>
      <c r="L42" s="212" t="s">
        <v>87</v>
      </c>
      <c r="M42" s="195">
        <v>0.21</v>
      </c>
      <c r="N42" s="212">
        <v>46191</v>
      </c>
      <c r="O42" s="195">
        <v>0</v>
      </c>
      <c r="P42" s="212" t="s">
        <v>87</v>
      </c>
      <c r="Q42" s="195">
        <v>0</v>
      </c>
      <c r="R42" s="212" t="s">
        <v>87</v>
      </c>
      <c r="S42" s="195">
        <v>0.187</v>
      </c>
      <c r="T42" s="211">
        <v>46101</v>
      </c>
      <c r="U42" s="195">
        <v>0</v>
      </c>
      <c r="V42" s="212" t="s">
        <v>87</v>
      </c>
      <c r="W42" s="196">
        <v>0</v>
      </c>
      <c r="X42" s="212" t="s">
        <v>87</v>
      </c>
      <c r="Y42" s="195">
        <v>0.185</v>
      </c>
      <c r="Z42" s="212">
        <v>46010</v>
      </c>
      <c r="AA42" s="156"/>
    </row>
    <row r="43" spans="1:27" ht="15" hidden="1" customHeight="1" x14ac:dyDescent="0.25">
      <c r="A43" t="s">
        <v>401</v>
      </c>
      <c r="B43" s="169" t="s">
        <v>443</v>
      </c>
      <c r="C43" s="167" t="s">
        <v>320</v>
      </c>
      <c r="D43" s="193" t="s">
        <v>299</v>
      </c>
      <c r="E43" s="194">
        <v>8.0000000000000004E-4</v>
      </c>
      <c r="F43" s="193">
        <v>99337</v>
      </c>
      <c r="G43" s="195">
        <v>0</v>
      </c>
      <c r="H43" s="212"/>
      <c r="I43" s="195">
        <v>0</v>
      </c>
      <c r="J43" s="212" t="s">
        <v>87</v>
      </c>
      <c r="K43" s="195">
        <v>0</v>
      </c>
      <c r="L43" s="212" t="s">
        <v>87</v>
      </c>
      <c r="M43" s="195">
        <v>0.27600000000000002</v>
      </c>
      <c r="N43" s="212">
        <v>46191</v>
      </c>
      <c r="O43" s="195">
        <v>0</v>
      </c>
      <c r="P43" s="212" t="s">
        <v>87</v>
      </c>
      <c r="Q43" s="195">
        <v>0</v>
      </c>
      <c r="R43" s="212" t="s">
        <v>87</v>
      </c>
      <c r="S43" s="195">
        <v>0.29799999999999999</v>
      </c>
      <c r="T43" s="211">
        <v>46101</v>
      </c>
      <c r="U43" s="195">
        <v>0</v>
      </c>
      <c r="V43" s="212" t="s">
        <v>87</v>
      </c>
      <c r="W43" s="196">
        <v>0</v>
      </c>
      <c r="X43" s="212" t="s">
        <v>87</v>
      </c>
      <c r="Y43" s="195">
        <v>0.27100000000000002</v>
      </c>
      <c r="Z43" s="212">
        <v>46010</v>
      </c>
      <c r="AA43" s="156"/>
    </row>
    <row r="44" spans="1:27" ht="15" hidden="1" customHeight="1" x14ac:dyDescent="0.25">
      <c r="A44" t="s">
        <v>401</v>
      </c>
      <c r="B44" s="169" t="s">
        <v>438</v>
      </c>
      <c r="C44" s="167" t="s">
        <v>326</v>
      </c>
      <c r="D44" s="193" t="s">
        <v>299</v>
      </c>
      <c r="E44" s="194">
        <v>8.0000000000000004E-4</v>
      </c>
      <c r="F44" s="193">
        <v>213055</v>
      </c>
      <c r="G44" s="195">
        <v>0</v>
      </c>
      <c r="H44" s="212"/>
      <c r="I44" s="195">
        <v>0</v>
      </c>
      <c r="J44" s="212" t="s">
        <v>87</v>
      </c>
      <c r="K44" s="195">
        <v>0</v>
      </c>
      <c r="L44" s="212" t="s">
        <v>87</v>
      </c>
      <c r="M44" s="195">
        <v>0.26300000000000001</v>
      </c>
      <c r="N44" s="212">
        <v>46191</v>
      </c>
      <c r="O44" s="195">
        <v>0</v>
      </c>
      <c r="P44" s="212" t="s">
        <v>87</v>
      </c>
      <c r="Q44" s="195">
        <v>0</v>
      </c>
      <c r="R44" s="212" t="s">
        <v>87</v>
      </c>
      <c r="S44" s="195">
        <v>0.22900000000000001</v>
      </c>
      <c r="T44" s="211">
        <v>46101</v>
      </c>
      <c r="U44" s="195">
        <v>0</v>
      </c>
      <c r="V44" s="212" t="s">
        <v>87</v>
      </c>
      <c r="W44" s="196">
        <v>0</v>
      </c>
      <c r="X44" s="212" t="s">
        <v>87</v>
      </c>
      <c r="Y44" s="195">
        <v>0.27200000000000002</v>
      </c>
      <c r="Z44" s="212">
        <v>46010</v>
      </c>
      <c r="AA44" s="156"/>
    </row>
    <row r="45" spans="1:27" ht="15" hidden="1" customHeight="1" x14ac:dyDescent="0.25">
      <c r="A45" t="s">
        <v>401</v>
      </c>
      <c r="B45" s="169" t="s">
        <v>439</v>
      </c>
      <c r="C45" s="167" t="s">
        <v>330</v>
      </c>
      <c r="D45" s="193" t="s">
        <v>299</v>
      </c>
      <c r="E45" s="194">
        <v>8.0000000000000004E-4</v>
      </c>
      <c r="F45" s="193">
        <v>104100</v>
      </c>
      <c r="G45" s="195">
        <v>0</v>
      </c>
      <c r="H45" s="212"/>
      <c r="I45" s="195">
        <v>0</v>
      </c>
      <c r="J45" s="212" t="s">
        <v>87</v>
      </c>
      <c r="K45" s="195">
        <v>0</v>
      </c>
      <c r="L45" s="212" t="s">
        <v>87</v>
      </c>
      <c r="M45" s="195">
        <v>0.21299999999999999</v>
      </c>
      <c r="N45" s="212">
        <v>46191</v>
      </c>
      <c r="O45" s="195">
        <v>0</v>
      </c>
      <c r="P45" s="212" t="s">
        <v>87</v>
      </c>
      <c r="Q45" s="195">
        <v>0</v>
      </c>
      <c r="R45" s="212" t="s">
        <v>87</v>
      </c>
      <c r="S45" s="195">
        <v>0.26500000000000001</v>
      </c>
      <c r="T45" s="211">
        <v>46101</v>
      </c>
      <c r="U45" s="195">
        <v>0</v>
      </c>
      <c r="V45" s="212" t="s">
        <v>87</v>
      </c>
      <c r="W45" s="196">
        <v>0</v>
      </c>
      <c r="X45" s="212" t="s">
        <v>87</v>
      </c>
      <c r="Y45" s="195">
        <v>0.14299999999999999</v>
      </c>
      <c r="Z45" s="212">
        <v>46010</v>
      </c>
      <c r="AA45" s="156"/>
    </row>
    <row r="46" spans="1:27" ht="15" hidden="1" customHeight="1" x14ac:dyDescent="0.25">
      <c r="A46" t="s">
        <v>401</v>
      </c>
      <c r="B46" s="169" t="s">
        <v>440</v>
      </c>
      <c r="C46" s="167" t="s">
        <v>334</v>
      </c>
      <c r="D46" s="193" t="s">
        <v>299</v>
      </c>
      <c r="E46" s="194">
        <v>8.0000000000000004E-4</v>
      </c>
      <c r="F46" s="193">
        <v>285845</v>
      </c>
      <c r="G46" s="195">
        <v>0</v>
      </c>
      <c r="H46" s="212"/>
      <c r="I46" s="195">
        <v>0</v>
      </c>
      <c r="J46" s="212" t="s">
        <v>87</v>
      </c>
      <c r="K46" s="195">
        <v>0</v>
      </c>
      <c r="L46" s="212" t="s">
        <v>87</v>
      </c>
      <c r="M46" s="195">
        <v>0.27300000000000002</v>
      </c>
      <c r="N46" s="212">
        <v>46191</v>
      </c>
      <c r="O46" s="195">
        <v>0</v>
      </c>
      <c r="P46" s="212" t="s">
        <v>87</v>
      </c>
      <c r="Q46" s="195">
        <v>0</v>
      </c>
      <c r="R46" s="212" t="s">
        <v>87</v>
      </c>
      <c r="S46" s="195">
        <v>0.25</v>
      </c>
      <c r="T46" s="211">
        <v>46101</v>
      </c>
      <c r="U46" s="195">
        <v>0</v>
      </c>
      <c r="V46" s="212" t="s">
        <v>87</v>
      </c>
      <c r="W46" s="196">
        <v>0</v>
      </c>
      <c r="X46" s="212" t="s">
        <v>87</v>
      </c>
      <c r="Y46" s="195">
        <v>0.216</v>
      </c>
      <c r="Z46" s="212">
        <v>46010</v>
      </c>
      <c r="AA46" s="156"/>
    </row>
    <row r="47" spans="1:27" ht="15" hidden="1" customHeight="1" x14ac:dyDescent="0.25">
      <c r="A47" t="s">
        <v>401</v>
      </c>
      <c r="B47" s="169" t="s">
        <v>454</v>
      </c>
      <c r="C47" s="167" t="s">
        <v>310</v>
      </c>
      <c r="D47" s="193" t="s">
        <v>299</v>
      </c>
      <c r="E47" s="194">
        <v>8.0000000000000004E-4</v>
      </c>
      <c r="F47" s="193">
        <v>121983</v>
      </c>
      <c r="G47" s="195">
        <v>0</v>
      </c>
      <c r="H47" s="212"/>
      <c r="I47" s="195">
        <v>0</v>
      </c>
      <c r="J47" s="212" t="s">
        <v>87</v>
      </c>
      <c r="K47" s="195">
        <v>0</v>
      </c>
      <c r="L47" s="212" t="s">
        <v>87</v>
      </c>
      <c r="M47" s="195">
        <v>0.29599999999999999</v>
      </c>
      <c r="N47" s="212">
        <v>46191</v>
      </c>
      <c r="O47" s="195">
        <v>0</v>
      </c>
      <c r="P47" s="212" t="s">
        <v>87</v>
      </c>
      <c r="Q47" s="195">
        <v>0</v>
      </c>
      <c r="R47" s="212" t="s">
        <v>87</v>
      </c>
      <c r="S47" s="195">
        <v>0.28999999999999998</v>
      </c>
      <c r="T47" s="211">
        <v>46101</v>
      </c>
      <c r="U47" s="195">
        <v>0</v>
      </c>
      <c r="V47" s="212" t="s">
        <v>87</v>
      </c>
      <c r="W47" s="196">
        <v>0</v>
      </c>
      <c r="X47" s="212" t="s">
        <v>87</v>
      </c>
      <c r="Y47" s="195">
        <v>0.30199999999999999</v>
      </c>
      <c r="Z47" s="212">
        <v>46010</v>
      </c>
      <c r="AA47" s="156"/>
    </row>
    <row r="48" spans="1:27" ht="15" hidden="1" customHeight="1" x14ac:dyDescent="0.25">
      <c r="A48" t="s">
        <v>401</v>
      </c>
      <c r="B48" s="169" t="s">
        <v>441</v>
      </c>
      <c r="C48" s="167" t="s">
        <v>339</v>
      </c>
      <c r="D48" s="193" t="s">
        <v>299</v>
      </c>
      <c r="E48" s="194">
        <v>8.0000000000000004E-4</v>
      </c>
      <c r="F48" s="193">
        <v>329290</v>
      </c>
      <c r="G48" s="195">
        <v>0</v>
      </c>
      <c r="H48" s="212"/>
      <c r="I48" s="195">
        <v>0</v>
      </c>
      <c r="J48" s="212" t="s">
        <v>87</v>
      </c>
      <c r="K48" s="195">
        <v>0</v>
      </c>
      <c r="L48" s="212" t="s">
        <v>87</v>
      </c>
      <c r="M48" s="195">
        <v>0.28899999999999998</v>
      </c>
      <c r="N48" s="212">
        <v>46191</v>
      </c>
      <c r="O48" s="195">
        <v>0</v>
      </c>
      <c r="P48" s="212" t="s">
        <v>87</v>
      </c>
      <c r="Q48" s="195">
        <v>0</v>
      </c>
      <c r="R48" s="212" t="s">
        <v>87</v>
      </c>
      <c r="S48" s="195">
        <v>0.221</v>
      </c>
      <c r="T48" s="211">
        <v>46101</v>
      </c>
      <c r="U48" s="195">
        <v>0</v>
      </c>
      <c r="V48" s="212" t="s">
        <v>87</v>
      </c>
      <c r="W48" s="196">
        <v>0</v>
      </c>
      <c r="X48" s="212" t="s">
        <v>87</v>
      </c>
      <c r="Y48" s="195">
        <v>0.26700000000000002</v>
      </c>
      <c r="Z48" s="212">
        <v>46010</v>
      </c>
      <c r="AA48" s="156"/>
    </row>
    <row r="49" spans="1:27" ht="15" hidden="1" customHeight="1" x14ac:dyDescent="0.25">
      <c r="A49" t="s">
        <v>401</v>
      </c>
      <c r="B49" s="169" t="s">
        <v>442</v>
      </c>
      <c r="C49" s="167" t="s">
        <v>344</v>
      </c>
      <c r="D49" s="193" t="s">
        <v>299</v>
      </c>
      <c r="E49" s="194">
        <v>8.0000000000000004E-4</v>
      </c>
      <c r="F49" s="193">
        <v>364377</v>
      </c>
      <c r="G49" s="195">
        <v>0</v>
      </c>
      <c r="H49" s="212"/>
      <c r="I49" s="195">
        <v>0</v>
      </c>
      <c r="J49" s="212" t="s">
        <v>87</v>
      </c>
      <c r="K49" s="195">
        <v>0</v>
      </c>
      <c r="L49" s="212" t="s">
        <v>87</v>
      </c>
      <c r="M49" s="195">
        <v>0.40100000000000002</v>
      </c>
      <c r="N49" s="212">
        <v>46191</v>
      </c>
      <c r="O49" s="195">
        <v>0</v>
      </c>
      <c r="P49" s="212" t="s">
        <v>87</v>
      </c>
      <c r="Q49" s="195">
        <v>0</v>
      </c>
      <c r="R49" s="212" t="s">
        <v>87</v>
      </c>
      <c r="S49" s="195">
        <v>0.38600000000000001</v>
      </c>
      <c r="T49" s="211">
        <v>46101</v>
      </c>
      <c r="U49" s="195">
        <v>0</v>
      </c>
      <c r="V49" s="212" t="s">
        <v>87</v>
      </c>
      <c r="W49" s="196">
        <v>0</v>
      </c>
      <c r="X49" s="212" t="s">
        <v>87</v>
      </c>
      <c r="Y49" s="195">
        <v>0.35199999999999998</v>
      </c>
      <c r="Z49" s="212">
        <v>46010</v>
      </c>
      <c r="AA49" s="156"/>
    </row>
    <row r="50" spans="1:27" ht="15" hidden="1" customHeight="1" x14ac:dyDescent="0.25">
      <c r="A50" t="s">
        <v>401</v>
      </c>
      <c r="B50" s="169" t="s">
        <v>437</v>
      </c>
      <c r="C50" s="167" t="s">
        <v>317</v>
      </c>
      <c r="D50" s="193" t="s">
        <v>300</v>
      </c>
      <c r="E50" s="194">
        <v>3.7000000000000002E-3</v>
      </c>
      <c r="F50" s="193">
        <v>1125625</v>
      </c>
      <c r="G50" s="195">
        <v>0</v>
      </c>
      <c r="H50" s="212"/>
      <c r="I50" s="195">
        <v>0</v>
      </c>
      <c r="J50" s="212" t="s">
        <v>87</v>
      </c>
      <c r="K50" s="195">
        <v>0</v>
      </c>
      <c r="L50" s="212" t="s">
        <v>87</v>
      </c>
      <c r="M50" s="195">
        <v>0.30908999999999998</v>
      </c>
      <c r="N50" s="212">
        <v>46188</v>
      </c>
      <c r="O50" s="195">
        <v>0</v>
      </c>
      <c r="P50" s="212" t="s">
        <v>87</v>
      </c>
      <c r="Q50" s="195">
        <v>0</v>
      </c>
      <c r="R50" s="212" t="s">
        <v>87</v>
      </c>
      <c r="S50" s="195">
        <v>0.30672700000000003</v>
      </c>
      <c r="T50" s="211">
        <v>46098</v>
      </c>
      <c r="U50" s="195">
        <v>0</v>
      </c>
      <c r="V50" s="212" t="s">
        <v>87</v>
      </c>
      <c r="W50" s="196">
        <v>0</v>
      </c>
      <c r="X50" s="212" t="s">
        <v>87</v>
      </c>
      <c r="Y50" s="195">
        <v>0.34088200000000002</v>
      </c>
      <c r="Z50" s="212">
        <v>46007</v>
      </c>
      <c r="AA50" s="156"/>
    </row>
    <row r="51" spans="1:27" ht="15" hidden="1" customHeight="1" x14ac:dyDescent="0.25">
      <c r="A51" t="s">
        <v>401</v>
      </c>
      <c r="B51" s="169" t="s">
        <v>443</v>
      </c>
      <c r="C51" s="167" t="s">
        <v>321</v>
      </c>
      <c r="D51" s="193" t="s">
        <v>300</v>
      </c>
      <c r="E51" s="194">
        <v>3.7000000000000002E-3</v>
      </c>
      <c r="F51" s="193">
        <v>350665</v>
      </c>
      <c r="G51" s="195">
        <v>0</v>
      </c>
      <c r="H51" s="212"/>
      <c r="I51" s="195">
        <v>0</v>
      </c>
      <c r="J51" s="212" t="s">
        <v>87</v>
      </c>
      <c r="K51" s="195">
        <v>0</v>
      </c>
      <c r="L51" s="212" t="s">
        <v>87</v>
      </c>
      <c r="M51" s="195">
        <v>0.38038300000000003</v>
      </c>
      <c r="N51" s="212">
        <v>46188</v>
      </c>
      <c r="O51" s="195">
        <v>0</v>
      </c>
      <c r="P51" s="212" t="s">
        <v>87</v>
      </c>
      <c r="Q51" s="195">
        <v>0</v>
      </c>
      <c r="R51" s="212" t="s">
        <v>87</v>
      </c>
      <c r="S51" s="195">
        <v>0.57623199999999997</v>
      </c>
      <c r="T51" s="211">
        <v>46098</v>
      </c>
      <c r="U51" s="195">
        <v>0</v>
      </c>
      <c r="V51" s="212" t="s">
        <v>87</v>
      </c>
      <c r="W51" s="196">
        <v>0</v>
      </c>
      <c r="X51" s="212" t="s">
        <v>87</v>
      </c>
      <c r="Y51" s="195">
        <v>0.57199199999999994</v>
      </c>
      <c r="Z51" s="212">
        <v>46007</v>
      </c>
      <c r="AA51" s="156"/>
    </row>
    <row r="52" spans="1:27" ht="15" hidden="1" customHeight="1" x14ac:dyDescent="0.25">
      <c r="A52" t="s">
        <v>401</v>
      </c>
      <c r="B52" s="169" t="s">
        <v>438</v>
      </c>
      <c r="C52" s="167" t="s">
        <v>327</v>
      </c>
      <c r="D52" s="193" t="s">
        <v>300</v>
      </c>
      <c r="E52" s="194">
        <v>3.7000000000000002E-3</v>
      </c>
      <c r="F52" s="193">
        <v>820641</v>
      </c>
      <c r="G52" s="195">
        <v>0</v>
      </c>
      <c r="H52" s="212"/>
      <c r="I52" s="195">
        <v>0</v>
      </c>
      <c r="J52" s="212" t="s">
        <v>87</v>
      </c>
      <c r="K52" s="195">
        <v>0</v>
      </c>
      <c r="L52" s="212" t="s">
        <v>87</v>
      </c>
      <c r="M52" s="195">
        <v>0.16336000000000001</v>
      </c>
      <c r="N52" s="212">
        <v>46188</v>
      </c>
      <c r="O52" s="195">
        <v>0</v>
      </c>
      <c r="P52" s="212" t="s">
        <v>87</v>
      </c>
      <c r="Q52" s="195">
        <v>0</v>
      </c>
      <c r="R52" s="212" t="s">
        <v>87</v>
      </c>
      <c r="S52" s="195">
        <v>0.19481999999999999</v>
      </c>
      <c r="T52" s="211">
        <v>46098</v>
      </c>
      <c r="U52" s="195">
        <v>0</v>
      </c>
      <c r="V52" s="212" t="s">
        <v>87</v>
      </c>
      <c r="W52" s="196">
        <v>0</v>
      </c>
      <c r="X52" s="212" t="s">
        <v>87</v>
      </c>
      <c r="Y52" s="195">
        <v>0.249694</v>
      </c>
      <c r="Z52" s="212">
        <v>46007</v>
      </c>
      <c r="AA52" s="156"/>
    </row>
    <row r="53" spans="1:27" ht="15" hidden="1" customHeight="1" x14ac:dyDescent="0.25">
      <c r="A53" t="s">
        <v>401</v>
      </c>
      <c r="B53" s="169" t="s">
        <v>439</v>
      </c>
      <c r="C53" s="167" t="s">
        <v>331</v>
      </c>
      <c r="D53" s="193" t="s">
        <v>300</v>
      </c>
      <c r="E53" s="194">
        <v>3.7000000000000002E-3</v>
      </c>
      <c r="F53" s="193">
        <v>76609</v>
      </c>
      <c r="G53" s="195">
        <v>0</v>
      </c>
      <c r="H53" s="212"/>
      <c r="I53" s="195">
        <v>0</v>
      </c>
      <c r="J53" s="212" t="s">
        <v>87</v>
      </c>
      <c r="K53" s="195">
        <v>0</v>
      </c>
      <c r="L53" s="212" t="s">
        <v>87</v>
      </c>
      <c r="M53" s="195">
        <v>0.262299</v>
      </c>
      <c r="N53" s="212">
        <v>46188</v>
      </c>
      <c r="O53" s="195">
        <v>0</v>
      </c>
      <c r="P53" s="212" t="s">
        <v>87</v>
      </c>
      <c r="Q53" s="195">
        <v>0</v>
      </c>
      <c r="R53" s="212" t="s">
        <v>87</v>
      </c>
      <c r="S53" s="195">
        <v>0.27506799999999998</v>
      </c>
      <c r="T53" s="211">
        <v>46098</v>
      </c>
      <c r="U53" s="195">
        <v>0</v>
      </c>
      <c r="V53" s="212" t="s">
        <v>87</v>
      </c>
      <c r="W53" s="196">
        <v>0</v>
      </c>
      <c r="X53" s="212" t="s">
        <v>87</v>
      </c>
      <c r="Y53" s="195">
        <v>0.26978000000000002</v>
      </c>
      <c r="Z53" s="212">
        <v>46007</v>
      </c>
      <c r="AA53" s="156"/>
    </row>
    <row r="54" spans="1:27" ht="15" hidden="1" customHeight="1" x14ac:dyDescent="0.25">
      <c r="A54" t="s">
        <v>401</v>
      </c>
      <c r="B54" s="169" t="s">
        <v>440</v>
      </c>
      <c r="C54" s="167" t="s">
        <v>335</v>
      </c>
      <c r="D54" s="193" t="s">
        <v>300</v>
      </c>
      <c r="E54" s="194">
        <v>3.7000000000000002E-3</v>
      </c>
      <c r="F54" s="193">
        <v>5531253</v>
      </c>
      <c r="G54" s="195">
        <v>0</v>
      </c>
      <c r="H54" s="212"/>
      <c r="I54" s="195">
        <v>0</v>
      </c>
      <c r="J54" s="212" t="s">
        <v>87</v>
      </c>
      <c r="K54" s="195">
        <v>0</v>
      </c>
      <c r="L54" s="212" t="s">
        <v>87</v>
      </c>
      <c r="M54" s="195">
        <v>0.51000999999999996</v>
      </c>
      <c r="N54" s="212">
        <v>46188</v>
      </c>
      <c r="O54" s="195">
        <v>0</v>
      </c>
      <c r="P54" s="212" t="s">
        <v>87</v>
      </c>
      <c r="Q54" s="195">
        <v>0</v>
      </c>
      <c r="R54" s="212" t="s">
        <v>87</v>
      </c>
      <c r="S54" s="195">
        <v>0.27537</v>
      </c>
      <c r="T54" s="211">
        <v>46098</v>
      </c>
      <c r="U54" s="195">
        <v>0</v>
      </c>
      <c r="V54" s="212" t="s">
        <v>87</v>
      </c>
      <c r="W54" s="196">
        <v>0</v>
      </c>
      <c r="X54" s="212" t="s">
        <v>87</v>
      </c>
      <c r="Y54" s="195">
        <v>0.86209499999999994</v>
      </c>
      <c r="Z54" s="212">
        <v>46007</v>
      </c>
      <c r="AA54" s="156"/>
    </row>
    <row r="55" spans="1:27" ht="15" hidden="1" customHeight="1" x14ac:dyDescent="0.25">
      <c r="A55" t="s">
        <v>401</v>
      </c>
      <c r="B55" s="169" t="s">
        <v>454</v>
      </c>
      <c r="C55" s="167" t="s">
        <v>311</v>
      </c>
      <c r="D55" s="193" t="s">
        <v>300</v>
      </c>
      <c r="E55" s="194">
        <v>3.7000000000000002E-3</v>
      </c>
      <c r="F55" s="193">
        <v>242123</v>
      </c>
      <c r="G55" s="195">
        <v>0</v>
      </c>
      <c r="H55" s="212"/>
      <c r="I55" s="195">
        <v>0</v>
      </c>
      <c r="J55" s="212" t="s">
        <v>87</v>
      </c>
      <c r="K55" s="195">
        <v>0</v>
      </c>
      <c r="L55" s="212" t="s">
        <v>87</v>
      </c>
      <c r="M55" s="195">
        <v>0.40746500000000002</v>
      </c>
      <c r="N55" s="212">
        <v>46188</v>
      </c>
      <c r="O55" s="195">
        <v>0</v>
      </c>
      <c r="P55" s="212" t="s">
        <v>87</v>
      </c>
      <c r="Q55" s="195">
        <v>0</v>
      </c>
      <c r="R55" s="212" t="s">
        <v>87</v>
      </c>
      <c r="S55" s="195">
        <v>0.28752899999999998</v>
      </c>
      <c r="T55" s="211">
        <v>46098</v>
      </c>
      <c r="U55" s="195">
        <v>0</v>
      </c>
      <c r="V55" s="212" t="s">
        <v>87</v>
      </c>
      <c r="W55" s="196">
        <v>0</v>
      </c>
      <c r="X55" s="212" t="s">
        <v>87</v>
      </c>
      <c r="Y55" s="195">
        <v>0.69611699999999999</v>
      </c>
      <c r="Z55" s="212">
        <v>46007</v>
      </c>
      <c r="AA55" s="156"/>
    </row>
    <row r="56" spans="1:27" ht="15" hidden="1" customHeight="1" x14ac:dyDescent="0.25">
      <c r="A56" t="s">
        <v>401</v>
      </c>
      <c r="B56" s="169" t="s">
        <v>441</v>
      </c>
      <c r="C56" s="167" t="s">
        <v>340</v>
      </c>
      <c r="D56" s="193" t="s">
        <v>300</v>
      </c>
      <c r="E56" s="194">
        <v>3.7000000000000002E-3</v>
      </c>
      <c r="F56" s="193">
        <v>635125</v>
      </c>
      <c r="G56" s="195">
        <v>0</v>
      </c>
      <c r="H56" s="212"/>
      <c r="I56" s="195">
        <v>0</v>
      </c>
      <c r="J56" s="212" t="s">
        <v>87</v>
      </c>
      <c r="K56" s="195">
        <v>0</v>
      </c>
      <c r="L56" s="212" t="s">
        <v>87</v>
      </c>
      <c r="M56" s="195">
        <v>7.1818999999999994E-2</v>
      </c>
      <c r="N56" s="212">
        <v>46188</v>
      </c>
      <c r="O56" s="195">
        <v>0</v>
      </c>
      <c r="P56" s="212" t="s">
        <v>87</v>
      </c>
      <c r="Q56" s="195">
        <v>0</v>
      </c>
      <c r="R56" s="212" t="s">
        <v>87</v>
      </c>
      <c r="S56" s="195">
        <v>6.9825999999999999E-2</v>
      </c>
      <c r="T56" s="211">
        <v>46098</v>
      </c>
      <c r="U56" s="195">
        <v>0</v>
      </c>
      <c r="V56" s="212" t="s">
        <v>87</v>
      </c>
      <c r="W56" s="196">
        <v>0</v>
      </c>
      <c r="X56" s="212" t="s">
        <v>87</v>
      </c>
      <c r="Y56" s="195">
        <v>5.5414999999999999E-2</v>
      </c>
      <c r="Z56" s="212">
        <v>46007</v>
      </c>
      <c r="AA56" s="156"/>
    </row>
    <row r="57" spans="1:27" ht="15" hidden="1" customHeight="1" x14ac:dyDescent="0.25">
      <c r="A57" t="s">
        <v>401</v>
      </c>
      <c r="B57" s="169" t="s">
        <v>442</v>
      </c>
      <c r="C57" s="167" t="s">
        <v>345</v>
      </c>
      <c r="D57" s="193" t="s">
        <v>300</v>
      </c>
      <c r="E57" s="194">
        <v>3.7000000000000002E-3</v>
      </c>
      <c r="F57" s="193">
        <v>129329</v>
      </c>
      <c r="G57" s="195">
        <v>0</v>
      </c>
      <c r="H57" s="212"/>
      <c r="I57" s="195">
        <v>0</v>
      </c>
      <c r="J57" s="212" t="s">
        <v>87</v>
      </c>
      <c r="K57" s="195">
        <v>0</v>
      </c>
      <c r="L57" s="212" t="s">
        <v>87</v>
      </c>
      <c r="M57" s="195">
        <v>0.63148800000000005</v>
      </c>
      <c r="N57" s="212">
        <v>46188</v>
      </c>
      <c r="O57" s="195">
        <v>0</v>
      </c>
      <c r="P57" s="212" t="s">
        <v>87</v>
      </c>
      <c r="Q57" s="195">
        <v>0</v>
      </c>
      <c r="R57" s="212" t="s">
        <v>87</v>
      </c>
      <c r="S57" s="195">
        <v>0.62162899999999999</v>
      </c>
      <c r="T57" s="211">
        <v>46098</v>
      </c>
      <c r="U57" s="195">
        <v>0</v>
      </c>
      <c r="V57" s="212" t="s">
        <v>87</v>
      </c>
      <c r="W57" s="196">
        <v>0</v>
      </c>
      <c r="X57" s="212" t="s">
        <v>87</v>
      </c>
      <c r="Y57" s="195">
        <v>0.67869000000000002</v>
      </c>
      <c r="Z57" s="212">
        <v>46007</v>
      </c>
      <c r="AA57" s="156"/>
    </row>
    <row r="58" spans="1:27" ht="15" hidden="1" customHeight="1" x14ac:dyDescent="0.25">
      <c r="A58" t="s">
        <v>401</v>
      </c>
      <c r="B58" s="169" t="s">
        <v>437</v>
      </c>
      <c r="C58" s="167" t="s">
        <v>319</v>
      </c>
      <c r="D58" s="193" t="s">
        <v>287</v>
      </c>
      <c r="E58" s="194">
        <v>8.9999999999999998E-4</v>
      </c>
      <c r="F58" s="193">
        <v>630430</v>
      </c>
      <c r="G58" s="195">
        <v>0</v>
      </c>
      <c r="H58" s="212"/>
      <c r="I58" s="195">
        <v>0</v>
      </c>
      <c r="J58" s="212" t="s">
        <v>87</v>
      </c>
      <c r="K58" s="195">
        <v>0</v>
      </c>
      <c r="L58" s="212" t="s">
        <v>87</v>
      </c>
      <c r="M58" s="195">
        <v>1.0321</v>
      </c>
      <c r="N58" s="212">
        <v>46197</v>
      </c>
      <c r="O58" s="195">
        <v>0</v>
      </c>
      <c r="P58" s="212" t="s">
        <v>87</v>
      </c>
      <c r="Q58" s="195">
        <v>0</v>
      </c>
      <c r="R58" s="212" t="s">
        <v>87</v>
      </c>
      <c r="S58" s="195">
        <v>0.96889999999999998</v>
      </c>
      <c r="T58" s="211">
        <v>46105</v>
      </c>
      <c r="U58" s="195">
        <v>0</v>
      </c>
      <c r="V58" s="212" t="s">
        <v>87</v>
      </c>
      <c r="W58" s="196">
        <v>0</v>
      </c>
      <c r="X58" s="212" t="s">
        <v>87</v>
      </c>
      <c r="Y58" s="195">
        <v>1.0279</v>
      </c>
      <c r="Z58" s="212">
        <v>46008</v>
      </c>
      <c r="AA58" s="156"/>
    </row>
    <row r="59" spans="1:27" ht="15" hidden="1" customHeight="1" x14ac:dyDescent="0.25">
      <c r="A59" t="s">
        <v>401</v>
      </c>
      <c r="B59" s="169" t="s">
        <v>443</v>
      </c>
      <c r="C59" s="167" t="s">
        <v>323</v>
      </c>
      <c r="D59" s="193" t="s">
        <v>287</v>
      </c>
      <c r="E59" s="194">
        <v>8.9999999999999998E-4</v>
      </c>
      <c r="F59" s="193">
        <v>550401</v>
      </c>
      <c r="G59" s="195">
        <v>0</v>
      </c>
      <c r="H59" s="212"/>
      <c r="I59" s="195">
        <v>0</v>
      </c>
      <c r="J59" s="212" t="s">
        <v>87</v>
      </c>
      <c r="K59" s="195">
        <v>0</v>
      </c>
      <c r="L59" s="212" t="s">
        <v>87</v>
      </c>
      <c r="M59" s="195">
        <v>0.85189999999999999</v>
      </c>
      <c r="N59" s="212">
        <v>46197</v>
      </c>
      <c r="O59" s="195">
        <v>0</v>
      </c>
      <c r="P59" s="212" t="s">
        <v>87</v>
      </c>
      <c r="Q59" s="195">
        <v>0</v>
      </c>
      <c r="R59" s="212" t="s">
        <v>87</v>
      </c>
      <c r="S59" s="195">
        <v>0.37930000000000003</v>
      </c>
      <c r="T59" s="211">
        <v>46105</v>
      </c>
      <c r="U59" s="195">
        <v>0</v>
      </c>
      <c r="V59" s="212" t="s">
        <v>87</v>
      </c>
      <c r="W59" s="196">
        <v>0</v>
      </c>
      <c r="X59" s="212" t="s">
        <v>87</v>
      </c>
      <c r="Y59" s="195">
        <v>0.67479999999999996</v>
      </c>
      <c r="Z59" s="212">
        <v>46008</v>
      </c>
      <c r="AA59" s="156"/>
    </row>
    <row r="60" spans="1:27" ht="15" hidden="1" customHeight="1" x14ac:dyDescent="0.25">
      <c r="A60" t="s">
        <v>401</v>
      </c>
      <c r="B60" s="169" t="s">
        <v>438</v>
      </c>
      <c r="C60" s="167" t="s">
        <v>329</v>
      </c>
      <c r="D60" s="193" t="s">
        <v>287</v>
      </c>
      <c r="E60" s="194">
        <v>8.9999999999999998E-4</v>
      </c>
      <c r="F60" s="193">
        <v>254609</v>
      </c>
      <c r="G60" s="195">
        <v>0</v>
      </c>
      <c r="H60" s="212"/>
      <c r="I60" s="195">
        <v>0</v>
      </c>
      <c r="J60" s="212" t="s">
        <v>87</v>
      </c>
      <c r="K60" s="195">
        <v>0</v>
      </c>
      <c r="L60" s="212" t="s">
        <v>87</v>
      </c>
      <c r="M60" s="195">
        <v>0.98680000000000001</v>
      </c>
      <c r="N60" s="212">
        <v>46197</v>
      </c>
      <c r="O60" s="195">
        <v>0</v>
      </c>
      <c r="P60" s="212" t="s">
        <v>87</v>
      </c>
      <c r="Q60" s="195">
        <v>0</v>
      </c>
      <c r="R60" s="212" t="s">
        <v>87</v>
      </c>
      <c r="S60" s="195">
        <v>0.99399999999999999</v>
      </c>
      <c r="T60" s="211">
        <v>46105</v>
      </c>
      <c r="U60" s="195">
        <v>0</v>
      </c>
      <c r="V60" s="212" t="s">
        <v>87</v>
      </c>
      <c r="W60" s="196">
        <v>0</v>
      </c>
      <c r="X60" s="212" t="s">
        <v>87</v>
      </c>
      <c r="Y60" s="195">
        <v>1.6654</v>
      </c>
      <c r="Z60" s="212">
        <v>46008</v>
      </c>
      <c r="AA60" s="156"/>
    </row>
    <row r="61" spans="1:27" ht="15" hidden="1" customHeight="1" x14ac:dyDescent="0.25">
      <c r="A61" t="s">
        <v>401</v>
      </c>
      <c r="B61" s="169" t="s">
        <v>439</v>
      </c>
      <c r="C61" s="172" t="s">
        <v>333</v>
      </c>
      <c r="D61" s="193" t="s">
        <v>287</v>
      </c>
      <c r="E61" s="194">
        <v>8.9999999999999998E-4</v>
      </c>
      <c r="F61" s="193">
        <v>85377</v>
      </c>
      <c r="G61" s="195">
        <v>0</v>
      </c>
      <c r="H61" s="212"/>
      <c r="I61" s="195">
        <v>0</v>
      </c>
      <c r="J61" s="212" t="s">
        <v>87</v>
      </c>
      <c r="K61" s="195">
        <v>0</v>
      </c>
      <c r="L61" s="212" t="s">
        <v>87</v>
      </c>
      <c r="M61" s="195">
        <v>0.70540000000000003</v>
      </c>
      <c r="N61" s="212">
        <v>46197</v>
      </c>
      <c r="O61" s="195">
        <v>0</v>
      </c>
      <c r="P61" s="212" t="s">
        <v>87</v>
      </c>
      <c r="Q61" s="195">
        <v>0</v>
      </c>
      <c r="R61" s="212" t="s">
        <v>87</v>
      </c>
      <c r="S61" s="195">
        <v>0.77029999999999998</v>
      </c>
      <c r="T61" s="211">
        <v>46105</v>
      </c>
      <c r="U61" s="195">
        <v>0</v>
      </c>
      <c r="V61" s="212" t="s">
        <v>87</v>
      </c>
      <c r="W61" s="196">
        <v>0</v>
      </c>
      <c r="X61" s="212" t="s">
        <v>87</v>
      </c>
      <c r="Y61" s="195">
        <v>0.81410000000000005</v>
      </c>
      <c r="Z61" s="212">
        <v>46008</v>
      </c>
    </row>
    <row r="62" spans="1:27" ht="15" hidden="1" customHeight="1" x14ac:dyDescent="0.25">
      <c r="A62" t="s">
        <v>401</v>
      </c>
      <c r="B62" s="169" t="s">
        <v>440</v>
      </c>
      <c r="C62" s="167" t="s">
        <v>337</v>
      </c>
      <c r="D62" s="193" t="s">
        <v>287</v>
      </c>
      <c r="E62" s="194">
        <v>1.2999999999999999E-3</v>
      </c>
      <c r="F62" s="193">
        <v>3162147</v>
      </c>
      <c r="G62" s="195">
        <v>0</v>
      </c>
      <c r="H62" s="212"/>
      <c r="I62" s="195">
        <v>0</v>
      </c>
      <c r="J62" s="212" t="s">
        <v>87</v>
      </c>
      <c r="K62" s="195">
        <v>0</v>
      </c>
      <c r="L62" s="212" t="s">
        <v>87</v>
      </c>
      <c r="M62" s="195">
        <v>0.85540000000000005</v>
      </c>
      <c r="N62" s="212">
        <v>46197</v>
      </c>
      <c r="O62" s="195">
        <v>0</v>
      </c>
      <c r="P62" s="212" t="s">
        <v>87</v>
      </c>
      <c r="Q62" s="195">
        <v>0</v>
      </c>
      <c r="R62" s="212" t="s">
        <v>87</v>
      </c>
      <c r="S62" s="195">
        <v>0.94569999999999999</v>
      </c>
      <c r="T62" s="211">
        <v>46105</v>
      </c>
      <c r="U62" s="195">
        <v>0</v>
      </c>
      <c r="V62" s="212" t="s">
        <v>87</v>
      </c>
      <c r="W62" s="196">
        <v>0</v>
      </c>
      <c r="X62" s="212" t="s">
        <v>87</v>
      </c>
      <c r="Y62" s="195">
        <v>0.80049999999999999</v>
      </c>
      <c r="Z62" s="212">
        <v>46013</v>
      </c>
      <c r="AA62" s="156"/>
    </row>
    <row r="63" spans="1:27" ht="15" hidden="1" customHeight="1" x14ac:dyDescent="0.25">
      <c r="A63" t="s">
        <v>401</v>
      </c>
      <c r="B63" s="169" t="s">
        <v>454</v>
      </c>
      <c r="C63" s="167" t="s">
        <v>313</v>
      </c>
      <c r="D63" s="193" t="s">
        <v>287</v>
      </c>
      <c r="E63" s="194">
        <v>8.9999999999999998E-4</v>
      </c>
      <c r="F63" s="193">
        <v>159020</v>
      </c>
      <c r="G63" s="195">
        <v>0</v>
      </c>
      <c r="H63" s="212"/>
      <c r="I63" s="195">
        <v>0</v>
      </c>
      <c r="J63" s="212" t="s">
        <v>87</v>
      </c>
      <c r="K63" s="195">
        <v>0</v>
      </c>
      <c r="L63" s="212" t="s">
        <v>87</v>
      </c>
      <c r="M63" s="195">
        <v>1.2239</v>
      </c>
      <c r="N63" s="212">
        <v>46197</v>
      </c>
      <c r="O63" s="195">
        <v>0</v>
      </c>
      <c r="P63" s="212" t="s">
        <v>87</v>
      </c>
      <c r="Q63" s="195">
        <v>0</v>
      </c>
      <c r="R63" s="212" t="s">
        <v>87</v>
      </c>
      <c r="S63" s="195">
        <v>1.2169000000000001</v>
      </c>
      <c r="T63" s="211">
        <v>46105</v>
      </c>
      <c r="U63" s="195">
        <v>0</v>
      </c>
      <c r="V63" s="212" t="s">
        <v>87</v>
      </c>
      <c r="W63" s="196">
        <v>0</v>
      </c>
      <c r="X63" s="212" t="s">
        <v>87</v>
      </c>
      <c r="Y63" s="195">
        <v>1.2296</v>
      </c>
      <c r="Z63" s="212">
        <v>46008</v>
      </c>
      <c r="AA63" s="156"/>
    </row>
    <row r="64" spans="1:27" ht="15" hidden="1" customHeight="1" x14ac:dyDescent="0.25">
      <c r="A64" t="s">
        <v>401</v>
      </c>
      <c r="B64" s="169" t="s">
        <v>441</v>
      </c>
      <c r="C64" s="167" t="s">
        <v>342</v>
      </c>
      <c r="D64" s="193" t="s">
        <v>287</v>
      </c>
      <c r="E64" s="194">
        <v>8.9999999999999998E-4</v>
      </c>
      <c r="F64" s="193">
        <v>4740666</v>
      </c>
      <c r="G64" s="195">
        <v>0</v>
      </c>
      <c r="H64" s="212"/>
      <c r="I64" s="195">
        <v>0</v>
      </c>
      <c r="J64" s="212" t="s">
        <v>87</v>
      </c>
      <c r="K64" s="195">
        <v>0</v>
      </c>
      <c r="L64" s="212" t="s">
        <v>87</v>
      </c>
      <c r="M64" s="195">
        <v>0.1384</v>
      </c>
      <c r="N64" s="212">
        <v>46197</v>
      </c>
      <c r="O64" s="195">
        <v>0</v>
      </c>
      <c r="P64" s="212" t="s">
        <v>87</v>
      </c>
      <c r="Q64" s="195">
        <v>0</v>
      </c>
      <c r="R64" s="212" t="s">
        <v>87</v>
      </c>
      <c r="S64" s="195">
        <v>9.2975000000000002E-2</v>
      </c>
      <c r="T64" s="211">
        <v>46105</v>
      </c>
      <c r="U64" s="195">
        <v>0</v>
      </c>
      <c r="V64" s="212" t="s">
        <v>87</v>
      </c>
      <c r="W64" s="196">
        <v>0</v>
      </c>
      <c r="X64" s="212" t="s">
        <v>87</v>
      </c>
      <c r="Y64" s="195">
        <v>9.4630000000000006E-2</v>
      </c>
      <c r="Z64" s="212">
        <v>46008</v>
      </c>
      <c r="AA64" s="156"/>
    </row>
    <row r="65" spans="1:27" ht="15" hidden="1" customHeight="1" x14ac:dyDescent="0.25">
      <c r="A65" t="s">
        <v>401</v>
      </c>
      <c r="B65" s="169" t="s">
        <v>442</v>
      </c>
      <c r="C65" s="167" t="s">
        <v>347</v>
      </c>
      <c r="D65" s="193" t="s">
        <v>287</v>
      </c>
      <c r="E65" s="194">
        <v>8.9999999999999998E-4</v>
      </c>
      <c r="F65" s="193">
        <v>243700</v>
      </c>
      <c r="G65" s="195">
        <v>0</v>
      </c>
      <c r="H65" s="212"/>
      <c r="I65" s="195">
        <v>0</v>
      </c>
      <c r="J65" s="212" t="s">
        <v>87</v>
      </c>
      <c r="K65" s="195">
        <v>0</v>
      </c>
      <c r="L65" s="212" t="s">
        <v>87</v>
      </c>
      <c r="M65" s="195">
        <v>1.3008999999999999</v>
      </c>
      <c r="N65" s="212">
        <v>46197</v>
      </c>
      <c r="O65" s="195">
        <v>0</v>
      </c>
      <c r="P65" s="212" t="s">
        <v>87</v>
      </c>
      <c r="Q65" s="195">
        <v>0</v>
      </c>
      <c r="R65" s="212" t="s">
        <v>87</v>
      </c>
      <c r="S65" s="195">
        <v>1.2768999999999999</v>
      </c>
      <c r="T65" s="211">
        <v>46105</v>
      </c>
      <c r="U65" s="195">
        <v>0</v>
      </c>
      <c r="V65" s="212" t="s">
        <v>87</v>
      </c>
      <c r="W65" s="196">
        <v>0</v>
      </c>
      <c r="X65" s="212" t="s">
        <v>87</v>
      </c>
      <c r="Y65" s="195">
        <v>1.3633</v>
      </c>
      <c r="Z65" s="212">
        <v>46008</v>
      </c>
      <c r="AA65" s="156"/>
    </row>
    <row r="66" spans="1:27" ht="15" hidden="1" customHeight="1" x14ac:dyDescent="0.25">
      <c r="A66" t="s">
        <v>401</v>
      </c>
      <c r="B66" s="169" t="s">
        <v>437</v>
      </c>
      <c r="C66" s="167" t="s">
        <v>318</v>
      </c>
      <c r="D66" s="193" t="s">
        <v>301</v>
      </c>
      <c r="E66" s="194">
        <v>8.0000000000000004E-4</v>
      </c>
      <c r="F66" s="193">
        <v>31381123</v>
      </c>
      <c r="G66" s="195">
        <v>0</v>
      </c>
      <c r="H66" s="212"/>
      <c r="I66" s="195">
        <v>0</v>
      </c>
      <c r="J66" s="212" t="s">
        <v>87</v>
      </c>
      <c r="K66" s="195">
        <v>0</v>
      </c>
      <c r="L66" s="212" t="s">
        <v>87</v>
      </c>
      <c r="M66" s="195">
        <v>0.38488</v>
      </c>
      <c r="N66" s="212">
        <v>46195</v>
      </c>
      <c r="O66" s="195">
        <v>0</v>
      </c>
      <c r="P66" s="212" t="s">
        <v>87</v>
      </c>
      <c r="Q66" s="195">
        <v>0</v>
      </c>
      <c r="R66" s="212" t="s">
        <v>87</v>
      </c>
      <c r="S66" s="195">
        <v>0.38518000000000002</v>
      </c>
      <c r="T66" s="211">
        <v>46104</v>
      </c>
      <c r="U66" s="195">
        <v>0</v>
      </c>
      <c r="V66" s="212" t="s">
        <v>87</v>
      </c>
      <c r="W66" s="196">
        <v>0</v>
      </c>
      <c r="X66" s="212" t="s">
        <v>87</v>
      </c>
      <c r="Y66" s="195">
        <v>0.37302000000000002</v>
      </c>
      <c r="Z66" s="212">
        <v>46013</v>
      </c>
      <c r="AA66" s="156"/>
    </row>
    <row r="67" spans="1:27" ht="15" hidden="1" customHeight="1" x14ac:dyDescent="0.25">
      <c r="A67" t="s">
        <v>401</v>
      </c>
      <c r="B67" s="169" t="s">
        <v>443</v>
      </c>
      <c r="C67" s="167" t="s">
        <v>322</v>
      </c>
      <c r="D67" s="193" t="s">
        <v>301</v>
      </c>
      <c r="E67" s="194">
        <v>8.0000000000000004E-4</v>
      </c>
      <c r="F67" s="193">
        <v>34195769</v>
      </c>
      <c r="G67" s="195">
        <v>0</v>
      </c>
      <c r="H67" s="212"/>
      <c r="I67" s="195">
        <v>0</v>
      </c>
      <c r="J67" s="212" t="s">
        <v>87</v>
      </c>
      <c r="K67" s="195">
        <v>0</v>
      </c>
      <c r="L67" s="212" t="s">
        <v>87</v>
      </c>
      <c r="M67" s="195">
        <v>0.18708</v>
      </c>
      <c r="N67" s="212">
        <v>46195</v>
      </c>
      <c r="O67" s="195">
        <v>0</v>
      </c>
      <c r="P67" s="212" t="s">
        <v>87</v>
      </c>
      <c r="Q67" s="195">
        <v>0</v>
      </c>
      <c r="R67" s="212" t="s">
        <v>87</v>
      </c>
      <c r="S67" s="195">
        <v>0.25148999999999999</v>
      </c>
      <c r="T67" s="211">
        <v>46104</v>
      </c>
      <c r="U67" s="195">
        <v>0</v>
      </c>
      <c r="V67" s="212" t="s">
        <v>87</v>
      </c>
      <c r="W67" s="196">
        <v>0</v>
      </c>
      <c r="X67" s="212" t="s">
        <v>87</v>
      </c>
      <c r="Y67" s="195">
        <v>0.19077</v>
      </c>
      <c r="Z67" s="212">
        <v>46013</v>
      </c>
      <c r="AA67" s="156"/>
    </row>
    <row r="68" spans="1:27" ht="15" hidden="1" customHeight="1" x14ac:dyDescent="0.25">
      <c r="A68" t="s">
        <v>401</v>
      </c>
      <c r="B68" s="169" t="s">
        <v>438</v>
      </c>
      <c r="C68" s="167" t="s">
        <v>328</v>
      </c>
      <c r="D68" s="193" t="s">
        <v>301</v>
      </c>
      <c r="E68" s="194">
        <v>8.0000000000000004E-4</v>
      </c>
      <c r="F68" s="193">
        <v>10362046</v>
      </c>
      <c r="G68" s="195">
        <v>0</v>
      </c>
      <c r="H68" s="212"/>
      <c r="I68" s="195">
        <v>0</v>
      </c>
      <c r="J68" s="212" t="s">
        <v>87</v>
      </c>
      <c r="K68" s="195">
        <v>0</v>
      </c>
      <c r="L68" s="212" t="s">
        <v>87</v>
      </c>
      <c r="M68" s="195">
        <v>0.65625</v>
      </c>
      <c r="N68" s="212">
        <v>46195</v>
      </c>
      <c r="O68" s="195">
        <v>0</v>
      </c>
      <c r="P68" s="212" t="s">
        <v>87</v>
      </c>
      <c r="Q68" s="195">
        <v>0</v>
      </c>
      <c r="R68" s="212" t="s">
        <v>87</v>
      </c>
      <c r="S68" s="195">
        <v>0.59467999999999999</v>
      </c>
      <c r="T68" s="211">
        <v>46104</v>
      </c>
      <c r="U68" s="195">
        <v>0</v>
      </c>
      <c r="V68" s="212" t="s">
        <v>87</v>
      </c>
      <c r="W68" s="196">
        <v>0</v>
      </c>
      <c r="X68" s="212" t="s">
        <v>87</v>
      </c>
      <c r="Y68" s="195">
        <v>0.65681999999999996</v>
      </c>
      <c r="Z68" s="212">
        <v>46013</v>
      </c>
      <c r="AA68" s="156"/>
    </row>
    <row r="69" spans="1:27" ht="15" hidden="1" customHeight="1" x14ac:dyDescent="0.25">
      <c r="A69" t="s">
        <v>401</v>
      </c>
      <c r="B69" s="169" t="s">
        <v>439</v>
      </c>
      <c r="C69" s="167" t="s">
        <v>332</v>
      </c>
      <c r="D69" s="193" t="s">
        <v>301</v>
      </c>
      <c r="E69" s="194">
        <v>8.0000000000000004E-4</v>
      </c>
      <c r="F69" s="193">
        <v>7052938</v>
      </c>
      <c r="G69" s="195">
        <v>0</v>
      </c>
      <c r="H69" s="212"/>
      <c r="I69" s="195">
        <v>0</v>
      </c>
      <c r="J69" s="212" t="s">
        <v>87</v>
      </c>
      <c r="K69" s="195">
        <v>0</v>
      </c>
      <c r="L69" s="212" t="s">
        <v>87</v>
      </c>
      <c r="M69" s="195">
        <v>0.44408999999999998</v>
      </c>
      <c r="N69" s="212">
        <v>46195</v>
      </c>
      <c r="O69" s="195">
        <v>0</v>
      </c>
      <c r="P69" s="212" t="s">
        <v>87</v>
      </c>
      <c r="Q69" s="195">
        <v>0</v>
      </c>
      <c r="R69" s="212" t="s">
        <v>87</v>
      </c>
      <c r="S69" s="195">
        <v>0.45321</v>
      </c>
      <c r="T69" s="211">
        <v>46104</v>
      </c>
      <c r="U69" s="195">
        <v>0</v>
      </c>
      <c r="V69" s="212" t="s">
        <v>87</v>
      </c>
      <c r="W69" s="196">
        <v>0</v>
      </c>
      <c r="X69" s="212" t="s">
        <v>87</v>
      </c>
      <c r="Y69" s="195">
        <v>0.53159999999999996</v>
      </c>
      <c r="Z69" s="212">
        <v>46013</v>
      </c>
      <c r="AA69" s="156"/>
    </row>
    <row r="70" spans="1:27" ht="15" hidden="1" customHeight="1" x14ac:dyDescent="0.25">
      <c r="A70" t="s">
        <v>401</v>
      </c>
      <c r="B70" s="169" t="s">
        <v>440</v>
      </c>
      <c r="C70" s="167" t="s">
        <v>336</v>
      </c>
      <c r="D70" s="193" t="s">
        <v>301</v>
      </c>
      <c r="E70" s="194">
        <v>8.0000000000000004E-4</v>
      </c>
      <c r="F70" s="193">
        <v>5208804</v>
      </c>
      <c r="G70" s="195">
        <v>0</v>
      </c>
      <c r="H70" s="212"/>
      <c r="I70" s="195">
        <v>0</v>
      </c>
      <c r="J70" s="212" t="s">
        <v>87</v>
      </c>
      <c r="K70" s="195">
        <v>0</v>
      </c>
      <c r="L70" s="212" t="s">
        <v>87</v>
      </c>
      <c r="M70" s="195">
        <v>0.38114999999999999</v>
      </c>
      <c r="N70" s="212">
        <v>46195</v>
      </c>
      <c r="O70" s="195">
        <v>0</v>
      </c>
      <c r="P70" s="212" t="s">
        <v>87</v>
      </c>
      <c r="Q70" s="195">
        <v>0</v>
      </c>
      <c r="R70" s="212" t="s">
        <v>87</v>
      </c>
      <c r="S70" s="195">
        <v>0.27106000000000002</v>
      </c>
      <c r="T70" s="211">
        <v>46104</v>
      </c>
      <c r="U70" s="195">
        <v>0</v>
      </c>
      <c r="V70" s="212" t="s">
        <v>87</v>
      </c>
      <c r="W70" s="196">
        <v>0</v>
      </c>
      <c r="X70" s="212" t="s">
        <v>87</v>
      </c>
      <c r="Y70" s="195">
        <v>0.43611</v>
      </c>
      <c r="Z70" s="212">
        <v>46013</v>
      </c>
      <c r="AA70" s="156"/>
    </row>
    <row r="71" spans="1:27" ht="15" hidden="1" customHeight="1" x14ac:dyDescent="0.25">
      <c r="A71" t="s">
        <v>401</v>
      </c>
      <c r="B71" s="169" t="s">
        <v>454</v>
      </c>
      <c r="C71" s="167" t="s">
        <v>312</v>
      </c>
      <c r="D71" s="193" t="s">
        <v>301</v>
      </c>
      <c r="E71" s="194">
        <v>8.0000000000000004E-4</v>
      </c>
      <c r="F71" s="193">
        <v>11437698</v>
      </c>
      <c r="G71" s="195">
        <v>0</v>
      </c>
      <c r="H71" s="212"/>
      <c r="I71" s="195">
        <v>0</v>
      </c>
      <c r="J71" s="212" t="s">
        <v>87</v>
      </c>
      <c r="K71" s="195">
        <v>0</v>
      </c>
      <c r="L71" s="212" t="s">
        <v>87</v>
      </c>
      <c r="M71" s="195">
        <v>0.57418999999999998</v>
      </c>
      <c r="N71" s="212">
        <v>46195</v>
      </c>
      <c r="O71" s="195">
        <v>0</v>
      </c>
      <c r="P71" s="212" t="s">
        <v>87</v>
      </c>
      <c r="Q71" s="195">
        <v>0</v>
      </c>
      <c r="R71" s="212" t="s">
        <v>87</v>
      </c>
      <c r="S71" s="195">
        <v>0.45490000000000003</v>
      </c>
      <c r="T71" s="211">
        <v>46104</v>
      </c>
      <c r="U71" s="195">
        <v>0</v>
      </c>
      <c r="V71" s="212" t="s">
        <v>87</v>
      </c>
      <c r="W71" s="196">
        <v>0</v>
      </c>
      <c r="X71" s="212" t="s">
        <v>87</v>
      </c>
      <c r="Y71" s="195">
        <v>0.62697000000000003</v>
      </c>
      <c r="Z71" s="212">
        <v>46013</v>
      </c>
      <c r="AA71" s="156"/>
    </row>
    <row r="72" spans="1:27" ht="15" hidden="1" customHeight="1" x14ac:dyDescent="0.25">
      <c r="A72" t="s">
        <v>401</v>
      </c>
      <c r="B72" s="169" t="s">
        <v>441</v>
      </c>
      <c r="C72" s="167" t="s">
        <v>341</v>
      </c>
      <c r="D72" s="193" t="s">
        <v>301</v>
      </c>
      <c r="E72" s="194">
        <v>8.0000000000000004E-4</v>
      </c>
      <c r="F72" s="193">
        <v>10731485</v>
      </c>
      <c r="G72" s="195">
        <v>0</v>
      </c>
      <c r="H72" s="212"/>
      <c r="I72" s="195">
        <v>0</v>
      </c>
      <c r="J72" s="212" t="s">
        <v>87</v>
      </c>
      <c r="K72" s="195">
        <v>0</v>
      </c>
      <c r="L72" s="212" t="s">
        <v>87</v>
      </c>
      <c r="M72" s="195">
        <v>0.22792000000000001</v>
      </c>
      <c r="N72" s="212">
        <v>46195</v>
      </c>
      <c r="O72" s="195">
        <v>0</v>
      </c>
      <c r="P72" s="212" t="s">
        <v>87</v>
      </c>
      <c r="Q72" s="195">
        <v>0</v>
      </c>
      <c r="R72" s="212" t="s">
        <v>87</v>
      </c>
      <c r="S72" s="195">
        <v>0.16750999999999999</v>
      </c>
      <c r="T72" s="211">
        <v>46104</v>
      </c>
      <c r="U72" s="195">
        <v>0</v>
      </c>
      <c r="V72" s="212" t="s">
        <v>87</v>
      </c>
      <c r="W72" s="196">
        <v>0</v>
      </c>
      <c r="X72" s="212" t="s">
        <v>87</v>
      </c>
      <c r="Y72" s="195">
        <v>0.21883</v>
      </c>
      <c r="Z72" s="212">
        <v>46013</v>
      </c>
      <c r="AA72" s="156"/>
    </row>
    <row r="73" spans="1:27" ht="15" hidden="1" customHeight="1" x14ac:dyDescent="0.25">
      <c r="A73" t="s">
        <v>401</v>
      </c>
      <c r="B73" s="169" t="s">
        <v>442</v>
      </c>
      <c r="C73" s="167" t="s">
        <v>346</v>
      </c>
      <c r="D73" s="193" t="s">
        <v>301</v>
      </c>
      <c r="E73" s="194">
        <v>8.0000000000000004E-4</v>
      </c>
      <c r="F73" s="193">
        <v>20027536</v>
      </c>
      <c r="G73" s="195">
        <v>0</v>
      </c>
      <c r="H73" s="212"/>
      <c r="I73" s="195">
        <v>0</v>
      </c>
      <c r="J73" s="212" t="s">
        <v>87</v>
      </c>
      <c r="K73" s="195">
        <v>0</v>
      </c>
      <c r="L73" s="212" t="s">
        <v>87</v>
      </c>
      <c r="M73" s="195">
        <v>0.28442000000000001</v>
      </c>
      <c r="N73" s="212">
        <v>46195</v>
      </c>
      <c r="O73" s="195">
        <v>0</v>
      </c>
      <c r="P73" s="212" t="s">
        <v>87</v>
      </c>
      <c r="Q73" s="195">
        <v>0</v>
      </c>
      <c r="R73" s="212" t="s">
        <v>87</v>
      </c>
      <c r="S73" s="195">
        <v>0.30993999999999999</v>
      </c>
      <c r="T73" s="211">
        <v>46104</v>
      </c>
      <c r="U73" s="195">
        <v>0</v>
      </c>
      <c r="V73" s="212" t="s">
        <v>87</v>
      </c>
      <c r="W73" s="196">
        <v>0</v>
      </c>
      <c r="X73" s="212" t="s">
        <v>87</v>
      </c>
      <c r="Y73" s="195">
        <v>0.31720999999999999</v>
      </c>
      <c r="Z73" s="212">
        <v>46013</v>
      </c>
      <c r="AA73" s="156"/>
    </row>
    <row r="74" spans="1:27" ht="15" customHeight="1" x14ac:dyDescent="0.25">
      <c r="B74" s="169"/>
      <c r="C74" s="167"/>
      <c r="D74" s="193"/>
      <c r="E74" s="194"/>
      <c r="F74" s="193"/>
      <c r="H74" s="195"/>
      <c r="J74" s="195"/>
      <c r="L74" s="195"/>
      <c r="N74" s="195"/>
      <c r="P74" s="195"/>
      <c r="R74" s="195"/>
      <c r="T74" s="195"/>
      <c r="V74" s="195"/>
      <c r="X74" s="195"/>
      <c r="Z74" s="195"/>
      <c r="AA74" s="156"/>
    </row>
    <row r="75" spans="1:27" ht="15" customHeight="1" x14ac:dyDescent="0.25">
      <c r="B75" s="169"/>
      <c r="C75" s="167"/>
      <c r="D75" s="193"/>
      <c r="E75" s="194"/>
      <c r="F75" s="193"/>
      <c r="H75" s="211"/>
      <c r="J75" s="211"/>
      <c r="L75" s="211"/>
      <c r="N75" s="211"/>
      <c r="P75" s="211"/>
      <c r="R75" s="211"/>
      <c r="T75" s="211"/>
      <c r="V75" s="211"/>
      <c r="X75" s="211"/>
      <c r="Z75" s="195"/>
      <c r="AA75" s="156"/>
    </row>
    <row r="76" spans="1:27" ht="15" customHeight="1" x14ac:dyDescent="0.25">
      <c r="C76" s="14"/>
      <c r="D76" s="14"/>
      <c r="E76" s="154"/>
      <c r="F76" s="153"/>
      <c r="H76" s="211"/>
      <c r="J76" s="211"/>
      <c r="L76" s="211"/>
      <c r="N76" s="211"/>
      <c r="P76" s="211"/>
      <c r="R76" s="211"/>
      <c r="T76" s="211"/>
      <c r="V76" s="211"/>
      <c r="X76" s="211"/>
      <c r="Z76" s="211"/>
    </row>
    <row r="77" spans="1:27" ht="15" customHeight="1" x14ac:dyDescent="0.25">
      <c r="A77" s="183" t="s">
        <v>399</v>
      </c>
      <c r="B77" s="183" t="s">
        <v>386</v>
      </c>
      <c r="C77" s="184" t="s">
        <v>275</v>
      </c>
      <c r="D77" s="184"/>
      <c r="E77" s="185">
        <v>3.0999999999999999E-3</v>
      </c>
      <c r="F77" s="186"/>
      <c r="G77" s="224" t="s">
        <v>315</v>
      </c>
      <c r="H77" s="211"/>
      <c r="J77" s="211"/>
      <c r="L77" s="211"/>
      <c r="N77" s="211"/>
      <c r="P77" s="211"/>
      <c r="R77" s="211"/>
      <c r="T77" s="211"/>
      <c r="V77" s="211"/>
      <c r="X77" s="211"/>
      <c r="Z77" s="211"/>
    </row>
    <row r="78" spans="1:27" ht="15" customHeight="1" x14ac:dyDescent="0.25">
      <c r="A78" s="183" t="s">
        <v>399</v>
      </c>
      <c r="B78" s="183" t="s">
        <v>381</v>
      </c>
      <c r="C78" s="184" t="s">
        <v>262</v>
      </c>
      <c r="D78" s="184"/>
      <c r="E78" s="185">
        <v>5.9999999999999995E-4</v>
      </c>
      <c r="F78" s="186"/>
      <c r="G78" s="224"/>
      <c r="H78" s="211"/>
      <c r="J78" s="211"/>
      <c r="L78" s="211"/>
      <c r="N78" s="211"/>
      <c r="P78" s="211"/>
      <c r="R78" s="211"/>
      <c r="T78" s="211"/>
      <c r="V78" s="211"/>
      <c r="X78" s="211"/>
      <c r="Z78" s="211"/>
    </row>
    <row r="79" spans="1:27" ht="15" customHeight="1" x14ac:dyDescent="0.25">
      <c r="A79" s="183" t="s">
        <v>399</v>
      </c>
      <c r="B79" s="183" t="s">
        <v>383</v>
      </c>
      <c r="C79" s="184" t="s">
        <v>256</v>
      </c>
      <c r="D79" s="184"/>
      <c r="E79" s="185">
        <v>1.4E-3</v>
      </c>
      <c r="F79" s="186"/>
      <c r="G79" s="224"/>
      <c r="H79" s="211"/>
      <c r="J79" s="211"/>
      <c r="L79" s="211"/>
      <c r="N79" s="211"/>
      <c r="P79" s="211"/>
      <c r="R79" s="211"/>
      <c r="T79" s="211"/>
      <c r="V79" s="211"/>
      <c r="X79" s="211"/>
      <c r="Z79" s="211"/>
    </row>
    <row r="80" spans="1:27" ht="15" customHeight="1" x14ac:dyDescent="0.25">
      <c r="A80" s="183" t="s">
        <v>399</v>
      </c>
      <c r="B80" s="183" t="s">
        <v>385</v>
      </c>
      <c r="C80" s="184" t="s">
        <v>280</v>
      </c>
      <c r="D80" s="184"/>
      <c r="E80" s="185">
        <v>5.0000000000000001E-3</v>
      </c>
      <c r="F80" s="186"/>
      <c r="G80" s="224" t="s">
        <v>387</v>
      </c>
      <c r="H80" s="211"/>
      <c r="J80" s="211"/>
      <c r="L80" s="211"/>
      <c r="N80" s="211"/>
      <c r="P80" s="211"/>
      <c r="R80" s="211"/>
      <c r="T80" s="211"/>
      <c r="V80" s="211"/>
      <c r="X80" s="211"/>
      <c r="Z80" s="211"/>
    </row>
    <row r="81" spans="1:26" ht="15" customHeight="1" x14ac:dyDescent="0.25">
      <c r="A81" s="183" t="s">
        <v>399</v>
      </c>
      <c r="B81" s="183" t="s">
        <v>382</v>
      </c>
      <c r="C81" s="184" t="s">
        <v>227</v>
      </c>
      <c r="D81" s="184"/>
      <c r="E81" s="185">
        <v>1.5E-3</v>
      </c>
      <c r="F81" s="186"/>
      <c r="G81" s="224" t="s">
        <v>384</v>
      </c>
      <c r="H81" s="211"/>
      <c r="J81" s="211"/>
      <c r="L81" s="211"/>
      <c r="N81" s="211"/>
      <c r="P81" s="211"/>
      <c r="R81" s="211"/>
      <c r="T81" s="211"/>
      <c r="V81" s="211"/>
      <c r="X81" s="211"/>
      <c r="Z81" s="211"/>
    </row>
    <row r="82" spans="1:26" ht="15" customHeight="1" x14ac:dyDescent="0.25">
      <c r="G82" s="225"/>
      <c r="H82" s="211"/>
      <c r="J82" s="211"/>
      <c r="L82" s="211"/>
      <c r="N82" s="211"/>
      <c r="P82" s="211"/>
      <c r="R82" s="211"/>
      <c r="T82" s="211"/>
      <c r="V82" s="211"/>
      <c r="X82" s="211"/>
      <c r="Z82" s="211"/>
    </row>
    <row r="83" spans="1:26" ht="15" customHeight="1" x14ac:dyDescent="0.25">
      <c r="A83" s="183" t="s">
        <v>296</v>
      </c>
      <c r="B83" s="190" t="s">
        <v>302</v>
      </c>
      <c r="C83" s="191" t="s">
        <v>305</v>
      </c>
      <c r="D83" s="191"/>
      <c r="E83" s="185"/>
      <c r="F83" s="192">
        <v>91200</v>
      </c>
      <c r="G83" s="224" t="s">
        <v>309</v>
      </c>
      <c r="H83" s="211"/>
      <c r="J83" s="211"/>
      <c r="L83" s="211"/>
      <c r="N83" s="211"/>
      <c r="P83" s="211"/>
      <c r="R83" s="211"/>
      <c r="T83" s="211"/>
      <c r="V83" s="211"/>
      <c r="X83" s="211"/>
      <c r="Z83" s="211"/>
    </row>
    <row r="84" spans="1:26" ht="15" customHeight="1" x14ac:dyDescent="0.25">
      <c r="A84" s="183" t="s">
        <v>296</v>
      </c>
      <c r="B84" s="190" t="s">
        <v>302</v>
      </c>
      <c r="C84" s="191" t="s">
        <v>306</v>
      </c>
      <c r="D84" s="191"/>
      <c r="E84" s="185"/>
      <c r="F84" s="192">
        <v>7622971</v>
      </c>
      <c r="G84" s="224" t="s">
        <v>315</v>
      </c>
      <c r="H84" s="211"/>
      <c r="J84" s="211"/>
      <c r="L84" s="211"/>
      <c r="N84" s="211"/>
      <c r="P84" s="211"/>
      <c r="R84" s="211"/>
      <c r="T84" s="211"/>
      <c r="V84" s="211"/>
      <c r="X84" s="211"/>
      <c r="Z84" s="211"/>
    </row>
    <row r="85" spans="1:26" ht="15" customHeight="1" x14ac:dyDescent="0.25">
      <c r="G85" s="225"/>
      <c r="H85" s="211"/>
      <c r="J85" s="211"/>
      <c r="L85" s="211"/>
      <c r="N85" s="211"/>
      <c r="P85" s="211"/>
      <c r="R85" s="211"/>
      <c r="T85" s="211"/>
      <c r="V85" s="211"/>
      <c r="X85" s="211"/>
      <c r="Z85" s="211"/>
    </row>
    <row r="86" spans="1:26" ht="15" customHeight="1" x14ac:dyDescent="0.25">
      <c r="A86" s="183" t="s">
        <v>296</v>
      </c>
      <c r="B86" s="190" t="s">
        <v>302</v>
      </c>
      <c r="C86" s="191" t="s">
        <v>303</v>
      </c>
      <c r="D86" s="191"/>
      <c r="E86" s="185"/>
      <c r="F86" s="192">
        <v>85957</v>
      </c>
      <c r="G86" s="224" t="s">
        <v>304</v>
      </c>
      <c r="H86" s="211"/>
      <c r="J86" s="211"/>
      <c r="L86" s="211"/>
      <c r="N86" s="211"/>
      <c r="P86" s="211"/>
      <c r="R86" s="211"/>
      <c r="T86" s="211"/>
      <c r="V86" s="211"/>
      <c r="X86" s="211"/>
      <c r="Z86" s="211"/>
    </row>
    <row r="87" spans="1:26" ht="15" customHeight="1" x14ac:dyDescent="0.25">
      <c r="A87" s="183" t="s">
        <v>296</v>
      </c>
      <c r="B87" s="190" t="s">
        <v>302</v>
      </c>
      <c r="C87" s="191" t="s">
        <v>307</v>
      </c>
      <c r="D87" s="191"/>
      <c r="E87" s="185"/>
      <c r="F87" s="192">
        <v>56587</v>
      </c>
      <c r="G87" s="224" t="s">
        <v>304</v>
      </c>
      <c r="H87" s="211"/>
      <c r="J87" s="211"/>
      <c r="L87" s="211"/>
      <c r="N87" s="211"/>
      <c r="P87" s="211"/>
      <c r="R87" s="211"/>
      <c r="T87" s="211"/>
      <c r="V87" s="211"/>
      <c r="X87" s="211"/>
      <c r="Z87" s="211"/>
    </row>
    <row r="88" spans="1:26" ht="15" customHeight="1" x14ac:dyDescent="0.25">
      <c r="E88" s="172"/>
      <c r="F88" s="172"/>
      <c r="H88" s="211"/>
      <c r="J88" s="211"/>
      <c r="L88" s="211"/>
      <c r="N88" s="211"/>
      <c r="P88" s="211"/>
      <c r="R88" s="211"/>
      <c r="T88" s="211"/>
      <c r="V88" s="211"/>
      <c r="X88" s="211"/>
      <c r="Z88" s="211"/>
    </row>
    <row r="89" spans="1:26" ht="15" customHeight="1" x14ac:dyDescent="0.25">
      <c r="C89" s="14"/>
      <c r="D89" s="14"/>
      <c r="E89" s="14"/>
      <c r="F89" s="14"/>
      <c r="G89" s="226"/>
      <c r="H89" s="216"/>
      <c r="I89" s="216"/>
      <c r="J89" s="216"/>
      <c r="K89" s="216"/>
      <c r="L89" s="216"/>
      <c r="M89" s="216"/>
      <c r="N89" s="216"/>
      <c r="O89" s="216"/>
      <c r="P89" s="216"/>
      <c r="Q89" s="216"/>
      <c r="R89" s="216"/>
      <c r="S89" s="216"/>
      <c r="T89" s="216"/>
      <c r="U89" s="216"/>
      <c r="V89" s="216"/>
      <c r="W89" s="216"/>
      <c r="X89" s="216"/>
      <c r="Y89" s="216"/>
      <c r="Z89" s="216"/>
    </row>
    <row r="90" spans="1:26" ht="15" customHeight="1" x14ac:dyDescent="0.25">
      <c r="C90" s="14"/>
      <c r="D90" s="14"/>
      <c r="E90" s="14"/>
      <c r="F90" s="14"/>
      <c r="G90" s="226"/>
      <c r="H90" s="216"/>
      <c r="I90" s="216"/>
      <c r="J90" s="216"/>
      <c r="K90" s="216"/>
      <c r="L90" s="216"/>
      <c r="M90" s="216"/>
      <c r="N90" s="216"/>
      <c r="O90" s="216"/>
      <c r="P90" s="216"/>
      <c r="Q90" s="216"/>
      <c r="R90" s="216"/>
      <c r="S90" s="216"/>
      <c r="T90" s="216"/>
      <c r="U90" s="216"/>
      <c r="V90" s="216"/>
      <c r="W90" s="216"/>
      <c r="X90" s="216"/>
      <c r="Y90" s="216"/>
      <c r="Z90" s="216"/>
    </row>
    <row r="91" spans="1:26" ht="15" customHeight="1" x14ac:dyDescent="0.25">
      <c r="C91" s="14"/>
      <c r="D91" s="14"/>
      <c r="E91" s="14"/>
      <c r="F91" s="14"/>
      <c r="G91" s="226"/>
      <c r="H91" s="219"/>
      <c r="I91" s="216"/>
      <c r="J91" s="219"/>
      <c r="K91" s="216"/>
      <c r="L91" s="219"/>
      <c r="M91" s="216"/>
      <c r="N91" s="219"/>
      <c r="O91" s="216"/>
      <c r="P91" s="219"/>
      <c r="Q91" s="216"/>
      <c r="R91" s="219"/>
      <c r="T91" s="219"/>
      <c r="V91" s="219"/>
      <c r="X91" s="213"/>
      <c r="Z91" s="219"/>
    </row>
    <row r="92" spans="1:26" ht="15" customHeight="1" x14ac:dyDescent="0.25">
      <c r="C92" s="14"/>
      <c r="D92" s="14"/>
      <c r="E92" s="14"/>
      <c r="F92" s="14"/>
      <c r="G92" s="226"/>
      <c r="H92" s="219"/>
      <c r="I92" s="216"/>
      <c r="J92" s="219"/>
      <c r="K92" s="216"/>
      <c r="L92" s="219"/>
      <c r="M92" s="216"/>
      <c r="N92" s="219"/>
      <c r="O92" s="216"/>
      <c r="P92" s="219"/>
      <c r="Q92" s="216"/>
      <c r="R92" s="219"/>
      <c r="T92" s="219"/>
      <c r="V92" s="219"/>
      <c r="X92" s="213"/>
      <c r="Z92" s="219"/>
    </row>
    <row r="93" spans="1:26" ht="15" customHeight="1" x14ac:dyDescent="0.25">
      <c r="C93" s="14"/>
      <c r="D93" s="14"/>
      <c r="E93" s="14"/>
      <c r="F93" s="14"/>
      <c r="G93" s="226"/>
      <c r="H93" s="219"/>
      <c r="I93" s="216"/>
      <c r="J93" s="219"/>
      <c r="K93" s="216"/>
      <c r="L93" s="219"/>
      <c r="M93" s="216"/>
      <c r="N93" s="219"/>
      <c r="O93" s="216"/>
      <c r="P93" s="219"/>
      <c r="Q93" s="216"/>
      <c r="R93" s="219"/>
      <c r="T93" s="219"/>
      <c r="V93" s="219"/>
      <c r="X93" s="213"/>
      <c r="Z93" s="219"/>
    </row>
    <row r="94" spans="1:26" ht="15" customHeight="1" x14ac:dyDescent="0.25">
      <c r="C94" s="14"/>
      <c r="D94" s="14"/>
      <c r="E94" s="154"/>
      <c r="F94" s="153"/>
      <c r="G94" s="226"/>
      <c r="H94" s="220"/>
      <c r="I94" s="216"/>
      <c r="J94" s="220"/>
      <c r="K94" s="216"/>
      <c r="L94" s="220"/>
      <c r="M94" s="216"/>
      <c r="N94" s="220"/>
      <c r="O94" s="216"/>
      <c r="P94" s="220"/>
      <c r="Q94" s="216"/>
      <c r="R94" s="220"/>
      <c r="T94" s="220"/>
      <c r="V94" s="220"/>
      <c r="X94" s="214"/>
      <c r="Z94" s="220"/>
    </row>
    <row r="95" spans="1:26" ht="15" customHeight="1" x14ac:dyDescent="0.25">
      <c r="C95" s="14"/>
      <c r="D95" s="14"/>
      <c r="E95" s="154"/>
      <c r="F95" s="153"/>
      <c r="G95" s="226"/>
      <c r="H95" s="220"/>
      <c r="I95" s="216"/>
      <c r="J95" s="220"/>
      <c r="K95" s="216"/>
      <c r="L95" s="220"/>
      <c r="M95" s="216"/>
      <c r="N95" s="220"/>
      <c r="O95" s="216"/>
      <c r="P95" s="220"/>
      <c r="Q95" s="216"/>
      <c r="R95" s="220"/>
      <c r="T95" s="220"/>
      <c r="V95" s="220"/>
      <c r="X95" s="214"/>
      <c r="Z95" s="220"/>
    </row>
    <row r="96" spans="1:26" ht="15" customHeight="1" x14ac:dyDescent="0.25">
      <c r="C96" s="14"/>
      <c r="D96" s="14"/>
      <c r="E96" s="154"/>
      <c r="F96" s="153"/>
      <c r="G96" s="226"/>
      <c r="H96" s="220"/>
      <c r="I96" s="216"/>
      <c r="J96" s="220"/>
      <c r="K96" s="216"/>
      <c r="L96" s="220"/>
      <c r="M96" s="216"/>
      <c r="N96" s="220"/>
      <c r="O96" s="216"/>
      <c r="P96" s="220"/>
      <c r="Q96" s="216"/>
      <c r="R96" s="220"/>
      <c r="T96" s="220"/>
      <c r="V96" s="220"/>
      <c r="X96" s="214"/>
      <c r="Z96" s="220"/>
    </row>
    <row r="97" spans="3:26" ht="15" customHeight="1" x14ac:dyDescent="0.25">
      <c r="C97" s="14"/>
      <c r="D97" s="14"/>
      <c r="E97" s="154"/>
      <c r="F97" s="153"/>
      <c r="G97" s="226"/>
      <c r="H97" s="220"/>
      <c r="I97" s="216"/>
      <c r="J97" s="220"/>
      <c r="K97" s="216"/>
      <c r="L97" s="220"/>
      <c r="M97" s="216"/>
      <c r="N97" s="220"/>
      <c r="O97" s="216"/>
      <c r="P97" s="220"/>
      <c r="Q97" s="216"/>
      <c r="R97" s="220"/>
      <c r="T97" s="220"/>
      <c r="V97" s="220"/>
      <c r="X97" s="214"/>
      <c r="Z97" s="220"/>
    </row>
    <row r="98" spans="3:26" ht="15" customHeight="1" x14ac:dyDescent="0.25">
      <c r="C98" s="14"/>
      <c r="D98" s="14"/>
      <c r="E98" s="154"/>
      <c r="F98" s="153"/>
      <c r="G98" s="226"/>
      <c r="H98" s="220"/>
      <c r="I98" s="216"/>
      <c r="J98" s="220"/>
      <c r="K98" s="216"/>
      <c r="L98" s="220"/>
      <c r="M98" s="216"/>
      <c r="N98" s="220"/>
      <c r="O98" s="216"/>
      <c r="P98" s="220"/>
      <c r="Q98" s="216"/>
      <c r="R98" s="220"/>
      <c r="T98" s="220"/>
      <c r="V98" s="220"/>
      <c r="X98" s="214"/>
      <c r="Z98" s="220"/>
    </row>
    <row r="99" spans="3:26" ht="15" customHeight="1" x14ac:dyDescent="0.25">
      <c r="C99" s="14"/>
      <c r="D99" s="14"/>
      <c r="E99" s="154"/>
      <c r="F99" s="153"/>
      <c r="G99" s="226"/>
      <c r="H99" s="220"/>
      <c r="I99" s="216"/>
      <c r="J99" s="220"/>
      <c r="K99" s="216"/>
      <c r="L99" s="220"/>
      <c r="M99" s="216"/>
      <c r="N99" s="220"/>
      <c r="O99" s="216"/>
      <c r="P99" s="220"/>
      <c r="Q99" s="216"/>
      <c r="R99" s="220"/>
      <c r="T99" s="220"/>
      <c r="V99" s="220"/>
      <c r="X99" s="214"/>
      <c r="Z99" s="220"/>
    </row>
    <row r="100" spans="3:26" ht="15" customHeight="1" x14ac:dyDescent="0.25">
      <c r="C100" s="14"/>
      <c r="D100" s="14"/>
      <c r="E100" s="154"/>
      <c r="F100" s="153"/>
      <c r="G100" s="226"/>
      <c r="H100" s="220"/>
      <c r="I100" s="216"/>
      <c r="J100" s="220"/>
      <c r="K100" s="216"/>
      <c r="L100" s="220"/>
      <c r="M100" s="216"/>
      <c r="N100" s="220"/>
      <c r="O100" s="216"/>
      <c r="P100" s="220"/>
      <c r="Q100" s="216"/>
      <c r="R100" s="220"/>
      <c r="T100" s="220"/>
      <c r="V100" s="220"/>
      <c r="X100" s="214"/>
      <c r="Z100" s="220"/>
    </row>
    <row r="101" spans="3:26" ht="15" customHeight="1" x14ac:dyDescent="0.25">
      <c r="C101" s="14"/>
      <c r="D101" s="14"/>
      <c r="E101" s="154"/>
      <c r="F101" s="153"/>
      <c r="G101" s="227"/>
      <c r="H101" s="188"/>
      <c r="I101" s="215"/>
      <c r="J101" s="188"/>
      <c r="K101" s="215"/>
      <c r="L101" s="188"/>
      <c r="M101" s="215"/>
      <c r="N101" s="188"/>
      <c r="O101" s="215"/>
      <c r="P101" s="188"/>
      <c r="Q101" s="215"/>
      <c r="R101" s="188"/>
      <c r="T101" s="188"/>
      <c r="V101" s="188"/>
      <c r="X101" s="214"/>
      <c r="Z101" s="188"/>
    </row>
    <row r="102" spans="3:26" ht="15" customHeight="1" x14ac:dyDescent="0.25">
      <c r="C102" s="14"/>
      <c r="D102" s="14"/>
      <c r="E102" s="154"/>
      <c r="F102" s="153"/>
      <c r="G102" s="227"/>
      <c r="H102" s="188"/>
      <c r="I102" s="215"/>
      <c r="J102" s="188"/>
      <c r="K102" s="215"/>
      <c r="L102" s="188"/>
      <c r="M102" s="215"/>
      <c r="N102" s="188"/>
      <c r="O102" s="215"/>
      <c r="P102" s="188"/>
      <c r="Q102" s="215"/>
      <c r="R102" s="188"/>
      <c r="T102" s="188"/>
      <c r="V102" s="188"/>
      <c r="X102" s="214"/>
      <c r="Z102" s="188"/>
    </row>
    <row r="103" spans="3:26" ht="15" customHeight="1" x14ac:dyDescent="0.25">
      <c r="C103" s="14"/>
      <c r="D103" s="14"/>
      <c r="E103" s="154"/>
      <c r="F103" s="153"/>
      <c r="G103" s="227"/>
      <c r="H103" s="188"/>
      <c r="I103" s="215"/>
      <c r="J103" s="188"/>
      <c r="K103" s="215"/>
      <c r="L103" s="188"/>
      <c r="M103" s="215"/>
      <c r="N103" s="188"/>
      <c r="O103" s="215"/>
      <c r="P103" s="188"/>
      <c r="Q103" s="215"/>
      <c r="R103" s="188"/>
      <c r="T103" s="188"/>
      <c r="V103" s="188"/>
      <c r="X103" s="214"/>
      <c r="Z103" s="188"/>
    </row>
    <row r="104" spans="3:26" ht="15" customHeight="1" x14ac:dyDescent="0.25">
      <c r="C104" s="14"/>
      <c r="D104" s="14"/>
      <c r="E104" s="154"/>
      <c r="F104" s="153"/>
      <c r="G104" s="227"/>
      <c r="H104" s="188"/>
      <c r="I104" s="215"/>
      <c r="J104" s="188"/>
      <c r="K104" s="215"/>
      <c r="L104" s="188"/>
      <c r="M104" s="215"/>
      <c r="N104" s="188"/>
      <c r="O104" s="215"/>
      <c r="P104" s="188"/>
      <c r="Q104" s="215"/>
      <c r="R104" s="188"/>
      <c r="T104" s="188"/>
      <c r="V104" s="188"/>
      <c r="X104" s="214"/>
      <c r="Z104" s="188"/>
    </row>
    <row r="105" spans="3:26" ht="15" customHeight="1" x14ac:dyDescent="0.25">
      <c r="C105" s="14"/>
      <c r="D105" s="14"/>
      <c r="E105" s="154"/>
      <c r="F105" s="153"/>
      <c r="G105" s="227"/>
      <c r="H105" s="188"/>
      <c r="I105" s="215"/>
      <c r="J105" s="188"/>
      <c r="K105" s="215"/>
      <c r="L105" s="188"/>
      <c r="M105" s="215"/>
      <c r="N105" s="188"/>
      <c r="O105" s="215"/>
      <c r="P105" s="188"/>
      <c r="Q105" s="215"/>
      <c r="R105" s="188"/>
      <c r="T105" s="188"/>
      <c r="V105" s="188"/>
      <c r="X105" s="214"/>
      <c r="Z105" s="188"/>
    </row>
    <row r="106" spans="3:26" ht="15" customHeight="1" x14ac:dyDescent="0.25">
      <c r="C106" s="14"/>
      <c r="D106" s="14"/>
      <c r="E106" s="154"/>
      <c r="F106" s="153"/>
      <c r="G106" s="227"/>
      <c r="H106" s="188"/>
      <c r="I106" s="215"/>
      <c r="J106" s="188"/>
      <c r="K106" s="215"/>
      <c r="L106" s="188"/>
      <c r="M106" s="215"/>
      <c r="N106" s="188"/>
      <c r="O106" s="215"/>
      <c r="P106" s="188"/>
      <c r="Q106" s="215"/>
      <c r="R106" s="188"/>
      <c r="T106" s="188"/>
      <c r="V106" s="188"/>
      <c r="X106" s="214"/>
      <c r="Z106" s="188"/>
    </row>
    <row r="107" spans="3:26" ht="15" customHeight="1" x14ac:dyDescent="0.25">
      <c r="C107" s="14"/>
      <c r="D107" s="14"/>
      <c r="E107" s="154"/>
      <c r="F107" s="153"/>
      <c r="G107" s="227"/>
      <c r="H107" s="188"/>
      <c r="I107" s="215"/>
      <c r="J107" s="188"/>
      <c r="K107" s="215"/>
      <c r="L107" s="188"/>
      <c r="M107" s="215"/>
      <c r="N107" s="188"/>
      <c r="O107" s="215"/>
      <c r="P107" s="188"/>
      <c r="Q107" s="215"/>
      <c r="R107" s="188"/>
      <c r="T107" s="188"/>
      <c r="V107" s="188"/>
      <c r="X107" s="214"/>
      <c r="Z107" s="188"/>
    </row>
    <row r="108" spans="3:26" ht="15" customHeight="1" x14ac:dyDescent="0.25">
      <c r="C108" s="14"/>
      <c r="D108" s="14"/>
      <c r="E108" s="154"/>
      <c r="F108" s="153"/>
      <c r="G108" s="227"/>
      <c r="H108" s="188"/>
      <c r="I108" s="215"/>
      <c r="J108" s="188"/>
      <c r="K108" s="215"/>
      <c r="L108" s="188"/>
      <c r="M108" s="215"/>
      <c r="N108" s="188"/>
      <c r="O108" s="215"/>
      <c r="P108" s="188"/>
      <c r="Q108" s="215"/>
      <c r="R108" s="188"/>
      <c r="T108" s="188"/>
      <c r="V108" s="188"/>
      <c r="X108" s="214"/>
      <c r="Z108" s="188"/>
    </row>
    <row r="109" spans="3:26" ht="15" customHeight="1" x14ac:dyDescent="0.25">
      <c r="C109" s="14"/>
      <c r="D109" s="14"/>
      <c r="E109" s="154"/>
      <c r="F109" s="153"/>
      <c r="G109" s="227"/>
      <c r="H109" s="188"/>
      <c r="I109" s="215"/>
      <c r="J109" s="188"/>
      <c r="K109" s="215"/>
      <c r="L109" s="188"/>
      <c r="M109" s="215"/>
      <c r="N109" s="188"/>
      <c r="O109" s="215"/>
      <c r="P109" s="188"/>
      <c r="Q109" s="215"/>
      <c r="R109" s="188"/>
      <c r="T109" s="188"/>
      <c r="V109" s="188"/>
      <c r="X109" s="214"/>
      <c r="Z109" s="188"/>
    </row>
    <row r="110" spans="3:26" ht="15" customHeight="1" x14ac:dyDescent="0.25">
      <c r="C110" s="14"/>
      <c r="D110" s="14"/>
      <c r="E110" s="154"/>
      <c r="F110" s="153"/>
      <c r="G110" s="227"/>
      <c r="H110" s="188"/>
      <c r="I110" s="215"/>
      <c r="J110" s="188"/>
      <c r="K110" s="215"/>
      <c r="L110" s="188"/>
      <c r="M110" s="215"/>
      <c r="N110" s="188"/>
      <c r="O110" s="215"/>
      <c r="P110" s="188"/>
      <c r="Q110" s="215"/>
      <c r="R110" s="188"/>
      <c r="T110" s="188"/>
      <c r="V110" s="188"/>
      <c r="X110" s="214"/>
      <c r="Z110" s="188"/>
    </row>
    <row r="111" spans="3:26" ht="15" customHeight="1" x14ac:dyDescent="0.25">
      <c r="C111" s="14"/>
      <c r="D111" s="14"/>
      <c r="E111" s="154"/>
      <c r="F111" s="153"/>
      <c r="G111" s="227"/>
      <c r="H111" s="188"/>
      <c r="I111" s="215"/>
      <c r="J111" s="188"/>
      <c r="K111" s="215"/>
      <c r="L111" s="188"/>
      <c r="M111" s="215"/>
      <c r="N111" s="188"/>
      <c r="O111" s="215"/>
      <c r="P111" s="188"/>
      <c r="Q111" s="215"/>
      <c r="R111" s="188"/>
      <c r="T111" s="188"/>
      <c r="V111" s="188"/>
      <c r="X111" s="214"/>
      <c r="Z111" s="188"/>
    </row>
    <row r="112" spans="3:26" ht="15" customHeight="1" x14ac:dyDescent="0.25">
      <c r="C112" s="14"/>
      <c r="D112" s="14"/>
      <c r="E112" s="154"/>
      <c r="F112" s="153"/>
      <c r="G112" s="227"/>
      <c r="H112" s="188"/>
      <c r="I112" s="215"/>
      <c r="J112" s="188"/>
      <c r="K112" s="215"/>
      <c r="L112" s="188"/>
      <c r="M112" s="215"/>
      <c r="N112" s="188"/>
      <c r="O112" s="215"/>
      <c r="P112" s="188"/>
      <c r="Q112" s="215"/>
      <c r="R112" s="188"/>
      <c r="T112" s="188"/>
      <c r="V112" s="188"/>
      <c r="X112" s="214"/>
      <c r="Z112" s="188"/>
    </row>
    <row r="113" spans="3:26" ht="15" customHeight="1" x14ac:dyDescent="0.25">
      <c r="C113" s="14"/>
      <c r="D113" s="14"/>
      <c r="E113" s="154"/>
      <c r="F113" s="153"/>
      <c r="G113" s="227"/>
      <c r="H113" s="188"/>
      <c r="I113" s="215"/>
      <c r="J113" s="188"/>
      <c r="K113" s="215"/>
      <c r="L113" s="188"/>
      <c r="M113" s="215"/>
      <c r="N113" s="188"/>
      <c r="O113" s="215"/>
      <c r="P113" s="188"/>
      <c r="Q113" s="215"/>
      <c r="R113" s="188"/>
      <c r="T113" s="188"/>
      <c r="V113" s="188"/>
      <c r="X113" s="214"/>
      <c r="Z113" s="188"/>
    </row>
    <row r="114" spans="3:26" ht="15" customHeight="1" x14ac:dyDescent="0.25">
      <c r="C114" s="14"/>
      <c r="D114" s="14"/>
      <c r="E114" s="154"/>
      <c r="F114" s="153"/>
      <c r="G114" s="227"/>
      <c r="H114" s="188"/>
      <c r="I114" s="215"/>
      <c r="J114" s="188"/>
      <c r="K114" s="215"/>
      <c r="L114" s="188"/>
      <c r="M114" s="215"/>
      <c r="N114" s="188"/>
      <c r="O114" s="215"/>
      <c r="P114" s="188"/>
      <c r="Q114" s="215"/>
      <c r="R114" s="188"/>
      <c r="T114" s="188"/>
      <c r="V114" s="188"/>
      <c r="X114" s="214"/>
      <c r="Z114" s="188"/>
    </row>
    <row r="115" spans="3:26" ht="15" customHeight="1" x14ac:dyDescent="0.25">
      <c r="C115" s="14"/>
      <c r="D115" s="14"/>
      <c r="E115" s="154"/>
      <c r="F115" s="153"/>
      <c r="G115" s="227"/>
      <c r="H115" s="188"/>
      <c r="I115" s="215"/>
      <c r="J115" s="188"/>
      <c r="K115" s="215"/>
      <c r="L115" s="188"/>
      <c r="M115" s="215"/>
      <c r="N115" s="188"/>
      <c r="O115" s="215"/>
      <c r="P115" s="188"/>
      <c r="Q115" s="215"/>
      <c r="R115" s="188"/>
      <c r="T115" s="188"/>
      <c r="V115" s="188"/>
      <c r="X115" s="214"/>
      <c r="Z115" s="188"/>
    </row>
    <row r="116" spans="3:26" ht="15" customHeight="1" x14ac:dyDescent="0.25">
      <c r="C116" s="14"/>
      <c r="D116" s="14"/>
      <c r="E116" s="154"/>
      <c r="F116" s="153"/>
      <c r="G116" s="227"/>
      <c r="H116" s="188"/>
      <c r="I116" s="215"/>
      <c r="J116" s="188"/>
      <c r="K116" s="215"/>
      <c r="L116" s="188"/>
      <c r="M116" s="215"/>
      <c r="N116" s="188"/>
      <c r="O116" s="215"/>
      <c r="P116" s="188"/>
      <c r="Q116" s="215"/>
      <c r="R116" s="188"/>
      <c r="T116" s="188"/>
      <c r="V116" s="188"/>
      <c r="X116" s="157"/>
      <c r="Z116" s="188"/>
    </row>
    <row r="117" spans="3:26" ht="15" customHeight="1" x14ac:dyDescent="0.25">
      <c r="C117" s="14"/>
      <c r="D117" s="14"/>
      <c r="E117" s="154"/>
      <c r="F117" s="153"/>
      <c r="G117" s="227"/>
      <c r="H117" s="188"/>
      <c r="I117" s="215"/>
      <c r="J117" s="188"/>
      <c r="K117" s="215"/>
      <c r="L117" s="188"/>
      <c r="M117" s="215"/>
      <c r="N117" s="188"/>
      <c r="O117" s="215"/>
      <c r="P117" s="188"/>
      <c r="Q117" s="215"/>
      <c r="R117" s="188"/>
      <c r="T117" s="188"/>
      <c r="V117" s="188"/>
      <c r="X117" s="157"/>
      <c r="Z117" s="188"/>
    </row>
    <row r="118" spans="3:26" ht="15" customHeight="1" x14ac:dyDescent="0.25">
      <c r="C118" s="14"/>
      <c r="D118" s="14"/>
      <c r="E118" s="154"/>
      <c r="F118" s="153"/>
      <c r="G118" s="227"/>
      <c r="H118" s="188"/>
      <c r="I118" s="215"/>
      <c r="J118" s="188"/>
      <c r="K118" s="215"/>
      <c r="L118" s="188"/>
      <c r="M118" s="215"/>
      <c r="N118" s="188"/>
      <c r="O118" s="215"/>
      <c r="P118" s="188"/>
      <c r="Q118" s="215"/>
      <c r="R118" s="188"/>
      <c r="T118" s="188"/>
      <c r="V118" s="188"/>
      <c r="X118" s="157"/>
      <c r="Z118" s="188"/>
    </row>
    <row r="119" spans="3:26" ht="15" customHeight="1" x14ac:dyDescent="0.25">
      <c r="C119" s="14"/>
      <c r="D119" s="14"/>
      <c r="E119" s="154"/>
      <c r="F119" s="153"/>
      <c r="G119" s="227"/>
      <c r="H119" s="188"/>
      <c r="I119" s="215"/>
      <c r="J119" s="188"/>
      <c r="K119" s="215"/>
      <c r="L119" s="188"/>
      <c r="M119" s="215"/>
      <c r="N119" s="188"/>
      <c r="O119" s="215"/>
      <c r="P119" s="188"/>
      <c r="Q119" s="215"/>
      <c r="R119" s="188"/>
      <c r="T119" s="188"/>
      <c r="V119" s="188"/>
      <c r="X119" s="157"/>
      <c r="Z119" s="188"/>
    </row>
    <row r="120" spans="3:26" ht="15" customHeight="1" x14ac:dyDescent="0.25">
      <c r="C120" s="14"/>
      <c r="D120" s="14"/>
      <c r="E120" s="154"/>
      <c r="F120" s="153"/>
      <c r="G120" s="227"/>
      <c r="H120" s="188"/>
      <c r="I120" s="215"/>
      <c r="J120" s="188"/>
      <c r="K120" s="215"/>
      <c r="L120" s="188"/>
      <c r="M120" s="215"/>
      <c r="N120" s="188"/>
      <c r="O120" s="215"/>
      <c r="P120" s="188"/>
      <c r="Q120" s="215"/>
      <c r="R120" s="188"/>
      <c r="T120" s="188"/>
      <c r="V120" s="188"/>
      <c r="X120" s="157"/>
      <c r="Z120" s="188"/>
    </row>
    <row r="121" spans="3:26" ht="15" customHeight="1" x14ac:dyDescent="0.25">
      <c r="C121" s="14"/>
      <c r="D121" s="14"/>
      <c r="E121" s="154"/>
      <c r="F121" s="153"/>
      <c r="G121" s="227"/>
      <c r="H121" s="188"/>
      <c r="I121" s="215"/>
      <c r="J121" s="188"/>
      <c r="K121" s="215"/>
      <c r="L121" s="188"/>
      <c r="M121" s="215"/>
      <c r="N121" s="188"/>
      <c r="O121" s="215"/>
      <c r="P121" s="188"/>
      <c r="Q121" s="215"/>
      <c r="R121" s="188"/>
      <c r="T121" s="188"/>
      <c r="V121" s="188"/>
      <c r="X121" s="157"/>
      <c r="Z121" s="188"/>
    </row>
    <row r="122" spans="3:26" ht="15" customHeight="1" x14ac:dyDescent="0.25">
      <c r="C122" s="14"/>
      <c r="D122" s="14"/>
      <c r="E122" s="154"/>
      <c r="F122" s="153"/>
      <c r="G122" s="227"/>
      <c r="H122" s="188"/>
      <c r="I122" s="215"/>
      <c r="J122" s="188"/>
      <c r="K122" s="215"/>
      <c r="L122" s="188"/>
      <c r="M122" s="215"/>
      <c r="N122" s="188"/>
      <c r="O122" s="215"/>
      <c r="P122" s="188"/>
      <c r="Q122" s="215"/>
      <c r="R122" s="188"/>
      <c r="T122" s="188"/>
      <c r="V122" s="188"/>
      <c r="X122" s="157"/>
      <c r="Z122" s="188"/>
    </row>
    <row r="123" spans="3:26" ht="15" customHeight="1" x14ac:dyDescent="0.25">
      <c r="C123" s="14"/>
      <c r="D123" s="14"/>
      <c r="E123" s="154"/>
      <c r="F123" s="153"/>
      <c r="G123" s="227"/>
      <c r="H123" s="188"/>
      <c r="I123" s="215"/>
      <c r="J123" s="188"/>
      <c r="K123" s="215"/>
      <c r="L123" s="188"/>
      <c r="M123" s="215"/>
      <c r="N123" s="188"/>
      <c r="O123" s="215"/>
      <c r="P123" s="188"/>
      <c r="Q123" s="215"/>
      <c r="R123" s="188"/>
      <c r="T123" s="188"/>
      <c r="V123" s="188"/>
      <c r="X123" s="157"/>
      <c r="Z123" s="188"/>
    </row>
    <row r="124" spans="3:26" ht="15" customHeight="1" x14ac:dyDescent="0.25">
      <c r="C124" s="14"/>
      <c r="D124" s="14"/>
      <c r="E124" s="154"/>
      <c r="F124" s="153"/>
      <c r="G124" s="227"/>
      <c r="H124" s="188"/>
      <c r="I124" s="215"/>
      <c r="J124" s="188"/>
      <c r="K124" s="215"/>
      <c r="L124" s="188"/>
      <c r="M124" s="215"/>
      <c r="N124" s="188"/>
      <c r="O124" s="215"/>
      <c r="P124" s="188"/>
      <c r="Q124" s="215"/>
      <c r="R124" s="188"/>
      <c r="T124" s="188"/>
      <c r="V124" s="188"/>
      <c r="X124" s="157"/>
      <c r="Z124" s="188"/>
    </row>
    <row r="125" spans="3:26" ht="15" customHeight="1" x14ac:dyDescent="0.25">
      <c r="C125" s="14"/>
      <c r="D125" s="14"/>
      <c r="E125" s="154"/>
      <c r="F125" s="153"/>
      <c r="G125" s="227"/>
      <c r="H125" s="188"/>
      <c r="I125" s="215"/>
      <c r="J125" s="188"/>
      <c r="K125" s="215"/>
      <c r="L125" s="188"/>
      <c r="M125" s="215"/>
      <c r="N125" s="188"/>
      <c r="O125" s="215"/>
      <c r="P125" s="188"/>
      <c r="Q125" s="215"/>
      <c r="R125" s="188"/>
      <c r="T125" s="188"/>
      <c r="V125" s="188"/>
      <c r="X125" s="157"/>
      <c r="Z125" s="188"/>
    </row>
    <row r="126" spans="3:26" ht="15" customHeight="1" x14ac:dyDescent="0.25">
      <c r="C126" s="14"/>
      <c r="D126" s="14"/>
      <c r="E126" s="154"/>
      <c r="F126" s="153"/>
      <c r="G126" s="227"/>
      <c r="H126" s="188"/>
      <c r="I126" s="215"/>
      <c r="J126" s="188"/>
      <c r="K126" s="215"/>
      <c r="L126" s="188"/>
      <c r="M126" s="215"/>
      <c r="N126" s="188"/>
      <c r="O126" s="215"/>
      <c r="P126" s="188"/>
      <c r="Q126" s="215"/>
      <c r="R126" s="188"/>
      <c r="T126" s="188"/>
      <c r="V126" s="188"/>
      <c r="X126" s="157"/>
      <c r="Z126" s="188"/>
    </row>
    <row r="127" spans="3:26" ht="15" customHeight="1" x14ac:dyDescent="0.25">
      <c r="C127" s="14"/>
      <c r="D127" s="14"/>
      <c r="E127" s="154"/>
      <c r="F127" s="153"/>
      <c r="G127" s="227"/>
      <c r="H127" s="188"/>
      <c r="I127" s="215"/>
      <c r="J127" s="188"/>
      <c r="K127" s="215"/>
      <c r="L127" s="188"/>
      <c r="M127" s="215"/>
      <c r="N127" s="188"/>
      <c r="O127" s="215"/>
      <c r="P127" s="188"/>
      <c r="Q127" s="215"/>
      <c r="R127" s="188"/>
      <c r="T127" s="188"/>
      <c r="V127" s="188"/>
      <c r="X127" s="157"/>
      <c r="Z127" s="188"/>
    </row>
    <row r="128" spans="3:26" ht="15" customHeight="1" x14ac:dyDescent="0.25">
      <c r="C128" s="14"/>
      <c r="D128" s="14"/>
      <c r="E128" s="154"/>
      <c r="F128" s="153"/>
      <c r="G128" s="227"/>
      <c r="H128" s="188"/>
      <c r="I128" s="215"/>
      <c r="J128" s="188"/>
      <c r="K128" s="215"/>
      <c r="L128" s="188"/>
      <c r="M128" s="215"/>
      <c r="N128" s="188"/>
      <c r="O128" s="215"/>
      <c r="P128" s="188"/>
      <c r="Q128" s="215"/>
      <c r="R128" s="188"/>
      <c r="T128" s="188"/>
      <c r="V128" s="188"/>
      <c r="X128" s="157"/>
      <c r="Z128" s="188"/>
    </row>
    <row r="129" spans="3:26" ht="15" customHeight="1" x14ac:dyDescent="0.25">
      <c r="C129" s="14"/>
      <c r="D129" s="14"/>
      <c r="E129" s="154"/>
      <c r="F129" s="153"/>
      <c r="H129" s="218"/>
      <c r="J129" s="218"/>
      <c r="L129" s="218"/>
      <c r="N129" s="218"/>
      <c r="P129" s="218"/>
      <c r="R129" s="218"/>
      <c r="T129" s="218"/>
      <c r="V129" s="218"/>
      <c r="X129" s="157"/>
      <c r="Z129" s="218"/>
    </row>
    <row r="130" spans="3:26" ht="15" customHeight="1" x14ac:dyDescent="0.25">
      <c r="C130" s="14"/>
      <c r="D130" s="14"/>
      <c r="E130" s="154"/>
      <c r="F130" s="153"/>
      <c r="H130" s="218"/>
      <c r="J130" s="218"/>
      <c r="L130" s="218"/>
      <c r="N130" s="218"/>
      <c r="P130" s="218"/>
      <c r="R130" s="218"/>
      <c r="T130" s="218"/>
      <c r="V130" s="218"/>
      <c r="X130" s="157"/>
      <c r="Z130" s="218"/>
    </row>
    <row r="131" spans="3:26" ht="15" customHeight="1" x14ac:dyDescent="0.25">
      <c r="C131" s="14"/>
      <c r="D131" s="14"/>
      <c r="E131" s="154"/>
      <c r="F131" s="153"/>
      <c r="H131" s="218"/>
      <c r="J131" s="218"/>
      <c r="L131" s="218"/>
      <c r="N131" s="218"/>
      <c r="P131" s="218"/>
      <c r="R131" s="218"/>
      <c r="T131" s="218"/>
      <c r="V131" s="218"/>
      <c r="X131" s="157"/>
      <c r="Z131" s="218"/>
    </row>
    <row r="132" spans="3:26" ht="15" customHeight="1" x14ac:dyDescent="0.25">
      <c r="C132" s="14"/>
      <c r="D132" s="14"/>
      <c r="E132" s="154"/>
      <c r="F132" s="153"/>
      <c r="H132" s="218"/>
      <c r="J132" s="218"/>
      <c r="L132" s="218"/>
      <c r="N132" s="218"/>
      <c r="P132" s="218"/>
      <c r="R132" s="218"/>
      <c r="T132" s="218"/>
      <c r="V132" s="218"/>
      <c r="X132" s="157"/>
      <c r="Z132" s="218"/>
    </row>
    <row r="133" spans="3:26" ht="15" customHeight="1" x14ac:dyDescent="0.25">
      <c r="C133" s="14"/>
      <c r="D133" s="14"/>
      <c r="E133" s="154"/>
      <c r="F133" s="153"/>
      <c r="H133" s="218"/>
      <c r="J133" s="218"/>
      <c r="L133" s="218"/>
      <c r="N133" s="218"/>
      <c r="P133" s="218"/>
      <c r="R133" s="218"/>
      <c r="T133" s="218"/>
      <c r="V133" s="218"/>
      <c r="X133" s="157"/>
      <c r="Z133" s="218"/>
    </row>
    <row r="134" spans="3:26" ht="15" customHeight="1" x14ac:dyDescent="0.25">
      <c r="C134" s="14"/>
      <c r="D134" s="14"/>
      <c r="E134" s="154"/>
      <c r="F134" s="153"/>
      <c r="H134" s="218"/>
      <c r="J134" s="218"/>
      <c r="L134" s="218"/>
      <c r="N134" s="218"/>
      <c r="P134" s="218"/>
      <c r="R134" s="218"/>
      <c r="T134" s="218"/>
      <c r="V134" s="218"/>
      <c r="X134" s="157"/>
      <c r="Z134" s="218"/>
    </row>
    <row r="135" spans="3:26" ht="15" customHeight="1" x14ac:dyDescent="0.25">
      <c r="C135" s="14"/>
      <c r="D135" s="14"/>
      <c r="E135" s="154"/>
      <c r="F135" s="153"/>
      <c r="H135" s="218"/>
      <c r="J135" s="218"/>
      <c r="L135" s="218"/>
      <c r="N135" s="218"/>
      <c r="P135" s="218"/>
      <c r="R135" s="218"/>
      <c r="T135" s="218"/>
      <c r="V135" s="218"/>
      <c r="X135" s="157"/>
      <c r="Z135" s="218"/>
    </row>
    <row r="136" spans="3:26" ht="15" customHeight="1" x14ac:dyDescent="0.25">
      <c r="C136" s="14"/>
      <c r="D136" s="14"/>
      <c r="E136" s="154"/>
      <c r="F136" s="153"/>
      <c r="H136" s="218"/>
      <c r="J136" s="218"/>
      <c r="L136" s="218"/>
      <c r="N136" s="218"/>
      <c r="P136" s="218"/>
      <c r="R136" s="218"/>
      <c r="T136" s="218"/>
      <c r="V136" s="218"/>
      <c r="X136" s="157"/>
      <c r="Z136" s="218"/>
    </row>
    <row r="137" spans="3:26" ht="15" customHeight="1" x14ac:dyDescent="0.25">
      <c r="C137" s="14"/>
      <c r="D137" s="14"/>
      <c r="E137" s="154"/>
      <c r="F137" s="153"/>
      <c r="H137" s="218"/>
      <c r="J137" s="218"/>
      <c r="L137" s="218"/>
      <c r="N137" s="218"/>
      <c r="P137" s="218"/>
      <c r="R137" s="218"/>
      <c r="T137" s="218"/>
      <c r="V137" s="218"/>
      <c r="X137" s="157"/>
      <c r="Z137" s="218"/>
    </row>
    <row r="138" spans="3:26" ht="15" customHeight="1" x14ac:dyDescent="0.25">
      <c r="C138" s="14"/>
      <c r="D138" s="14"/>
      <c r="E138" s="154"/>
      <c r="F138" s="153"/>
      <c r="H138" s="218"/>
      <c r="J138" s="218"/>
      <c r="L138" s="218"/>
      <c r="N138" s="218"/>
      <c r="P138" s="218"/>
      <c r="R138" s="218"/>
      <c r="T138" s="218"/>
      <c r="V138" s="218"/>
      <c r="X138" s="157"/>
      <c r="Z138" s="218"/>
    </row>
    <row r="139" spans="3:26" ht="15" customHeight="1" x14ac:dyDescent="0.25">
      <c r="C139" s="14"/>
      <c r="D139" s="14"/>
      <c r="E139" s="154"/>
      <c r="F139" s="153"/>
      <c r="H139" s="218"/>
      <c r="J139" s="218"/>
      <c r="L139" s="218"/>
      <c r="N139" s="218"/>
      <c r="P139" s="218"/>
      <c r="R139" s="218"/>
      <c r="T139" s="218"/>
      <c r="V139" s="218"/>
      <c r="X139" s="157"/>
      <c r="Z139" s="218"/>
    </row>
    <row r="140" spans="3:26" ht="15" customHeight="1" x14ac:dyDescent="0.25">
      <c r="C140" s="14"/>
      <c r="D140" s="14"/>
      <c r="E140" s="154"/>
      <c r="F140" s="153"/>
      <c r="H140" s="218"/>
      <c r="J140" s="218"/>
      <c r="L140" s="218"/>
      <c r="N140" s="218"/>
      <c r="P140" s="218"/>
      <c r="R140" s="218"/>
      <c r="T140" s="218"/>
      <c r="V140" s="218"/>
      <c r="X140" s="157"/>
      <c r="Z140" s="218"/>
    </row>
    <row r="141" spans="3:26" ht="15" customHeight="1" x14ac:dyDescent="0.25">
      <c r="C141" s="14"/>
      <c r="D141" s="14"/>
      <c r="E141" s="154"/>
      <c r="F141" s="153"/>
      <c r="H141" s="218"/>
      <c r="J141" s="218"/>
      <c r="L141" s="218"/>
      <c r="N141" s="218"/>
      <c r="P141" s="218"/>
      <c r="R141" s="218"/>
      <c r="T141" s="218"/>
      <c r="V141" s="218"/>
      <c r="X141" s="157"/>
      <c r="Z141" s="218"/>
    </row>
    <row r="142" spans="3:26" ht="15" customHeight="1" x14ac:dyDescent="0.25">
      <c r="C142" s="14"/>
      <c r="D142" s="14"/>
      <c r="E142" s="154"/>
      <c r="F142" s="153"/>
      <c r="H142" s="218"/>
      <c r="J142" s="218"/>
      <c r="L142" s="218"/>
      <c r="N142" s="218"/>
      <c r="P142" s="218"/>
      <c r="R142" s="218"/>
      <c r="T142" s="218"/>
      <c r="V142" s="218"/>
      <c r="X142" s="157"/>
      <c r="Z142" s="218"/>
    </row>
    <row r="143" spans="3:26" ht="15" customHeight="1" x14ac:dyDescent="0.25">
      <c r="C143" s="14"/>
      <c r="D143" s="14"/>
      <c r="E143" s="154"/>
      <c r="F143" s="153"/>
      <c r="H143" s="218"/>
      <c r="J143" s="218"/>
      <c r="L143" s="218"/>
      <c r="N143" s="218"/>
      <c r="P143" s="218"/>
      <c r="R143" s="218"/>
      <c r="T143" s="218"/>
      <c r="V143" s="218"/>
      <c r="X143" s="157"/>
      <c r="Z143" s="218"/>
    </row>
    <row r="144" spans="3:26" ht="15" customHeight="1" x14ac:dyDescent="0.25">
      <c r="C144" s="14"/>
      <c r="D144" s="14"/>
      <c r="E144" s="154"/>
      <c r="F144" s="153"/>
      <c r="H144" s="218"/>
      <c r="J144" s="218"/>
      <c r="L144" s="218"/>
      <c r="N144" s="218"/>
      <c r="P144" s="218"/>
      <c r="R144" s="218"/>
      <c r="T144" s="218"/>
      <c r="V144" s="218"/>
      <c r="X144" s="157"/>
      <c r="Z144" s="218"/>
    </row>
    <row r="145" spans="3:26" ht="15" customHeight="1" x14ac:dyDescent="0.25">
      <c r="C145" s="14"/>
      <c r="D145" s="14"/>
      <c r="E145" s="154"/>
      <c r="F145" s="153"/>
      <c r="H145" s="218"/>
      <c r="J145" s="218"/>
      <c r="L145" s="218"/>
      <c r="N145" s="218"/>
      <c r="P145" s="218"/>
      <c r="R145" s="218"/>
      <c r="T145" s="218"/>
      <c r="V145" s="218"/>
      <c r="X145" s="157"/>
      <c r="Z145" s="218"/>
    </row>
    <row r="146" spans="3:26" ht="15" customHeight="1" x14ac:dyDescent="0.25">
      <c r="C146" s="14"/>
      <c r="D146" s="14"/>
      <c r="E146" s="154"/>
      <c r="F146" s="153"/>
      <c r="H146" s="218"/>
      <c r="J146" s="218"/>
      <c r="L146" s="218"/>
      <c r="N146" s="218"/>
      <c r="P146" s="218"/>
      <c r="R146" s="218"/>
      <c r="T146" s="218"/>
      <c r="V146" s="218"/>
      <c r="X146" s="157"/>
      <c r="Z146" s="218"/>
    </row>
    <row r="147" spans="3:26" ht="15" customHeight="1" x14ac:dyDescent="0.25">
      <c r="C147" s="14"/>
      <c r="D147" s="14"/>
      <c r="E147" s="154"/>
      <c r="F147" s="153"/>
      <c r="H147" s="218"/>
      <c r="J147" s="218"/>
      <c r="L147" s="218"/>
      <c r="N147" s="218"/>
      <c r="P147" s="218"/>
      <c r="R147" s="218"/>
      <c r="T147" s="218"/>
      <c r="V147" s="218"/>
      <c r="X147" s="157"/>
      <c r="Z147" s="218"/>
    </row>
    <row r="148" spans="3:26" ht="15" customHeight="1" x14ac:dyDescent="0.25">
      <c r="C148" s="14"/>
      <c r="D148" s="14"/>
      <c r="E148" s="154"/>
      <c r="F148" s="153"/>
      <c r="H148" s="218"/>
      <c r="J148" s="218"/>
      <c r="L148" s="218"/>
      <c r="N148" s="218"/>
      <c r="P148" s="218"/>
      <c r="R148" s="218"/>
      <c r="T148" s="218"/>
      <c r="V148" s="218"/>
      <c r="X148" s="157"/>
      <c r="Z148" s="218"/>
    </row>
    <row r="149" spans="3:26" ht="15" customHeight="1" x14ac:dyDescent="0.25">
      <c r="C149" s="14"/>
      <c r="D149" s="14"/>
      <c r="E149" s="154"/>
      <c r="F149" s="153"/>
      <c r="H149" s="218"/>
      <c r="J149" s="218"/>
      <c r="L149" s="218"/>
      <c r="N149" s="218"/>
      <c r="P149" s="218"/>
      <c r="R149" s="218"/>
      <c r="T149" s="218"/>
      <c r="V149" s="218"/>
      <c r="X149" s="157"/>
      <c r="Z149" s="218"/>
    </row>
    <row r="150" spans="3:26" ht="15" customHeight="1" x14ac:dyDescent="0.25">
      <c r="C150" s="14"/>
      <c r="D150" s="14"/>
      <c r="E150" s="154"/>
      <c r="F150" s="153"/>
      <c r="H150" s="218"/>
      <c r="J150" s="218"/>
      <c r="L150" s="218"/>
      <c r="N150" s="218"/>
      <c r="P150" s="218"/>
      <c r="R150" s="218"/>
      <c r="T150" s="218"/>
      <c r="V150" s="218"/>
      <c r="X150" s="157"/>
      <c r="Z150" s="218"/>
    </row>
    <row r="151" spans="3:26" ht="15" customHeight="1" x14ac:dyDescent="0.25">
      <c r="C151" s="14"/>
      <c r="D151" s="14"/>
      <c r="E151" s="154"/>
      <c r="F151" s="153"/>
      <c r="H151" s="218"/>
      <c r="J151" s="218"/>
      <c r="L151" s="218"/>
      <c r="N151" s="218"/>
      <c r="P151" s="218"/>
      <c r="R151" s="218"/>
      <c r="T151" s="218"/>
      <c r="V151" s="218"/>
      <c r="X151" s="157"/>
      <c r="Z151" s="218"/>
    </row>
    <row r="152" spans="3:26" ht="15" customHeight="1" x14ac:dyDescent="0.25">
      <c r="C152" s="14"/>
      <c r="D152" s="14"/>
      <c r="E152" s="154"/>
      <c r="F152" s="153"/>
      <c r="H152" s="218"/>
      <c r="J152" s="218"/>
      <c r="L152" s="218"/>
      <c r="N152" s="218"/>
      <c r="P152" s="218"/>
      <c r="R152" s="218"/>
      <c r="T152" s="218"/>
      <c r="V152" s="218"/>
      <c r="X152" s="157"/>
      <c r="Z152" s="218"/>
    </row>
    <row r="153" spans="3:26" ht="15" customHeight="1" x14ac:dyDescent="0.25">
      <c r="C153" s="14"/>
      <c r="D153" s="14"/>
      <c r="E153" s="154"/>
      <c r="F153" s="153"/>
      <c r="H153" s="218"/>
      <c r="J153" s="218"/>
      <c r="L153" s="218"/>
      <c r="N153" s="218"/>
      <c r="P153" s="218"/>
      <c r="R153" s="218"/>
      <c r="T153" s="218"/>
      <c r="V153" s="218"/>
      <c r="X153" s="157"/>
      <c r="Z153" s="218"/>
    </row>
    <row r="154" spans="3:26" ht="15" customHeight="1" x14ac:dyDescent="0.25">
      <c r="C154" s="14"/>
      <c r="D154" s="14"/>
      <c r="E154" s="154"/>
      <c r="F154" s="153"/>
      <c r="H154" s="218"/>
      <c r="J154" s="218"/>
      <c r="L154" s="218"/>
      <c r="N154" s="218"/>
      <c r="P154" s="218"/>
      <c r="R154" s="218"/>
      <c r="T154" s="218"/>
      <c r="V154" s="218"/>
      <c r="X154" s="157"/>
      <c r="Z154" s="218"/>
    </row>
    <row r="155" spans="3:26" ht="15" customHeight="1" x14ac:dyDescent="0.25">
      <c r="C155" s="14"/>
      <c r="D155" s="14"/>
      <c r="E155" s="154"/>
      <c r="F155" s="153"/>
      <c r="H155" s="218"/>
      <c r="J155" s="218"/>
      <c r="L155" s="218"/>
      <c r="N155" s="218"/>
      <c r="P155" s="218"/>
      <c r="R155" s="218"/>
      <c r="T155" s="218"/>
      <c r="V155" s="218"/>
      <c r="X155" s="157"/>
      <c r="Z155" s="218"/>
    </row>
    <row r="156" spans="3:26" ht="15" customHeight="1" x14ac:dyDescent="0.25">
      <c r="C156" s="14"/>
      <c r="D156" s="14"/>
      <c r="E156" s="154"/>
      <c r="F156" s="153"/>
      <c r="H156" s="218"/>
      <c r="J156" s="218"/>
      <c r="L156" s="218"/>
      <c r="N156" s="218"/>
      <c r="P156" s="218"/>
      <c r="R156" s="218"/>
      <c r="T156" s="218"/>
      <c r="V156" s="218"/>
      <c r="X156" s="157"/>
      <c r="Z156" s="218"/>
    </row>
    <row r="157" spans="3:26" ht="15" customHeight="1" x14ac:dyDescent="0.25">
      <c r="C157" s="14"/>
      <c r="D157" s="14"/>
      <c r="E157" s="154"/>
      <c r="F157" s="153"/>
      <c r="H157" s="218"/>
      <c r="J157" s="218"/>
      <c r="L157" s="218"/>
      <c r="N157" s="218"/>
      <c r="P157" s="218"/>
      <c r="R157" s="218"/>
      <c r="T157" s="218"/>
      <c r="V157" s="218"/>
      <c r="X157" s="157"/>
      <c r="Z157" s="218"/>
    </row>
    <row r="158" spans="3:26" ht="15" customHeight="1" x14ac:dyDescent="0.25">
      <c r="C158" s="14"/>
      <c r="D158" s="14"/>
      <c r="E158" s="154"/>
      <c r="F158" s="153"/>
      <c r="H158" s="218"/>
      <c r="J158" s="218"/>
      <c r="L158" s="218"/>
      <c r="N158" s="218"/>
      <c r="P158" s="218"/>
      <c r="R158" s="218"/>
      <c r="T158" s="218"/>
      <c r="V158" s="218"/>
      <c r="X158" s="157"/>
      <c r="Z158" s="218"/>
    </row>
    <row r="159" spans="3:26" ht="15" customHeight="1" x14ac:dyDescent="0.25">
      <c r="C159" s="14"/>
      <c r="D159" s="14"/>
      <c r="E159" s="154"/>
      <c r="F159" s="153"/>
      <c r="H159" s="218"/>
      <c r="J159" s="218"/>
      <c r="L159" s="218"/>
      <c r="N159" s="218"/>
      <c r="P159" s="218"/>
      <c r="R159" s="218"/>
      <c r="T159" s="218"/>
      <c r="V159" s="218"/>
      <c r="X159" s="157"/>
      <c r="Z159" s="218"/>
    </row>
    <row r="160" spans="3:26" ht="15" customHeight="1" x14ac:dyDescent="0.25">
      <c r="C160" s="14"/>
      <c r="D160" s="14"/>
      <c r="E160" s="154"/>
      <c r="F160" s="153"/>
      <c r="H160" s="218"/>
      <c r="J160" s="218"/>
      <c r="L160" s="218"/>
      <c r="N160" s="218"/>
      <c r="P160" s="218"/>
      <c r="R160" s="218"/>
      <c r="T160" s="218"/>
      <c r="V160" s="218"/>
      <c r="X160" s="157"/>
      <c r="Z160" s="218"/>
    </row>
    <row r="161" spans="3:26" ht="15" customHeight="1" x14ac:dyDescent="0.25">
      <c r="C161" s="14"/>
      <c r="D161" s="14"/>
      <c r="E161" s="154"/>
      <c r="F161" s="153"/>
      <c r="H161" s="218"/>
      <c r="J161" s="218"/>
      <c r="L161" s="218"/>
      <c r="N161" s="218"/>
      <c r="P161" s="218"/>
      <c r="R161" s="218"/>
      <c r="T161" s="218"/>
      <c r="V161" s="218"/>
      <c r="X161" s="157"/>
      <c r="Z161" s="218"/>
    </row>
    <row r="162" spans="3:26" ht="15" customHeight="1" x14ac:dyDescent="0.25">
      <c r="C162" s="14"/>
      <c r="D162" s="14"/>
      <c r="E162" s="154"/>
      <c r="F162" s="153"/>
      <c r="H162" s="218"/>
      <c r="J162" s="218"/>
      <c r="L162" s="218"/>
      <c r="N162" s="218"/>
      <c r="P162" s="218"/>
      <c r="R162" s="218"/>
      <c r="T162" s="218"/>
      <c r="V162" s="218"/>
      <c r="X162" s="157"/>
      <c r="Z162" s="218"/>
    </row>
    <row r="163" spans="3:26" ht="15" customHeight="1" x14ac:dyDescent="0.25">
      <c r="C163" s="14"/>
      <c r="D163" s="14"/>
      <c r="E163" s="154"/>
      <c r="F163" s="153"/>
      <c r="H163" s="218"/>
      <c r="J163" s="218"/>
      <c r="L163" s="218"/>
      <c r="N163" s="218"/>
      <c r="P163" s="218"/>
      <c r="R163" s="218"/>
      <c r="T163" s="218"/>
      <c r="V163" s="218"/>
      <c r="X163" s="157"/>
      <c r="Z163" s="218"/>
    </row>
    <row r="164" spans="3:26" ht="15" customHeight="1" x14ac:dyDescent="0.25">
      <c r="C164" s="14"/>
      <c r="D164" s="14"/>
      <c r="E164" s="154"/>
      <c r="F164" s="153"/>
      <c r="H164" s="218"/>
      <c r="J164" s="218"/>
      <c r="L164" s="218"/>
      <c r="N164" s="218"/>
      <c r="P164" s="218"/>
      <c r="R164" s="218"/>
      <c r="T164" s="218"/>
      <c r="V164" s="218"/>
      <c r="X164" s="157"/>
      <c r="Z164" s="218"/>
    </row>
    <row r="165" spans="3:26" ht="15" customHeight="1" x14ac:dyDescent="0.25">
      <c r="C165" s="14"/>
      <c r="D165" s="14"/>
      <c r="E165" s="154"/>
      <c r="F165" s="153"/>
      <c r="H165" s="218"/>
      <c r="J165" s="218"/>
      <c r="L165" s="218"/>
      <c r="N165" s="218"/>
      <c r="P165" s="218"/>
      <c r="R165" s="218"/>
      <c r="T165" s="218"/>
      <c r="V165" s="218"/>
      <c r="X165" s="157"/>
      <c r="Z165" s="218"/>
    </row>
    <row r="166" spans="3:26" ht="15" customHeight="1" x14ac:dyDescent="0.25">
      <c r="C166" s="14"/>
      <c r="D166" s="14"/>
      <c r="E166" s="154"/>
      <c r="F166" s="153"/>
      <c r="H166" s="218"/>
      <c r="J166" s="218"/>
      <c r="L166" s="218"/>
      <c r="N166" s="218"/>
      <c r="P166" s="218"/>
      <c r="R166" s="218"/>
      <c r="T166" s="218"/>
      <c r="V166" s="218"/>
      <c r="X166" s="157"/>
      <c r="Z166" s="218"/>
    </row>
    <row r="167" spans="3:26" ht="15" customHeight="1" x14ac:dyDescent="0.25">
      <c r="C167" s="14"/>
      <c r="D167" s="14"/>
      <c r="E167" s="154"/>
      <c r="F167" s="153"/>
      <c r="H167" s="218"/>
      <c r="J167" s="218"/>
      <c r="L167" s="218"/>
      <c r="N167" s="218"/>
      <c r="P167" s="218"/>
      <c r="R167" s="218"/>
      <c r="T167" s="218"/>
      <c r="V167" s="218"/>
      <c r="X167" s="157"/>
      <c r="Z167" s="218"/>
    </row>
    <row r="168" spans="3:26" ht="15" customHeight="1" x14ac:dyDescent="0.25">
      <c r="C168" s="14"/>
      <c r="D168" s="14"/>
      <c r="E168" s="154"/>
      <c r="F168" s="153"/>
      <c r="H168" s="218"/>
      <c r="J168" s="218"/>
      <c r="L168" s="218"/>
      <c r="N168" s="218"/>
      <c r="P168" s="218"/>
      <c r="R168" s="218"/>
      <c r="T168" s="218"/>
      <c r="V168" s="218"/>
      <c r="X168" s="157"/>
      <c r="Z168" s="218"/>
    </row>
    <row r="169" spans="3:26" ht="15" customHeight="1" x14ac:dyDescent="0.25">
      <c r="C169" s="14"/>
      <c r="D169" s="14"/>
      <c r="E169" s="154"/>
      <c r="F169" s="153"/>
      <c r="H169" s="218"/>
      <c r="J169" s="218"/>
      <c r="L169" s="218"/>
      <c r="N169" s="218"/>
      <c r="P169" s="218"/>
      <c r="R169" s="218"/>
      <c r="T169" s="218"/>
      <c r="V169" s="218"/>
      <c r="X169" s="157"/>
      <c r="Z169" s="218"/>
    </row>
    <row r="170" spans="3:26" ht="15" customHeight="1" x14ac:dyDescent="0.25">
      <c r="C170" s="14"/>
      <c r="D170" s="14"/>
      <c r="E170" s="154"/>
      <c r="F170" s="153"/>
      <c r="H170" s="218"/>
      <c r="J170" s="218"/>
      <c r="L170" s="218"/>
      <c r="N170" s="218"/>
      <c r="P170" s="218"/>
      <c r="R170" s="218"/>
      <c r="T170" s="218"/>
      <c r="V170" s="218"/>
      <c r="X170" s="157"/>
      <c r="Z170" s="218"/>
    </row>
    <row r="171" spans="3:26" ht="15" customHeight="1" x14ac:dyDescent="0.25">
      <c r="C171" s="14"/>
      <c r="D171" s="14"/>
      <c r="E171" s="154"/>
      <c r="F171" s="153"/>
      <c r="H171" s="218"/>
      <c r="J171" s="218"/>
      <c r="L171" s="218"/>
      <c r="N171" s="218"/>
      <c r="P171" s="218"/>
      <c r="R171" s="218"/>
      <c r="T171" s="218"/>
      <c r="V171" s="218"/>
      <c r="X171" s="157"/>
      <c r="Z171" s="218"/>
    </row>
    <row r="172" spans="3:26" ht="15" customHeight="1" x14ac:dyDescent="0.25">
      <c r="C172" s="14"/>
      <c r="D172" s="14"/>
      <c r="E172" s="154"/>
      <c r="F172" s="153"/>
      <c r="H172" s="218"/>
      <c r="J172" s="218"/>
      <c r="L172" s="218"/>
      <c r="N172" s="218"/>
      <c r="P172" s="218"/>
      <c r="R172" s="218"/>
      <c r="T172" s="218"/>
      <c r="V172" s="218"/>
      <c r="X172" s="157"/>
      <c r="Z172" s="218"/>
    </row>
    <row r="173" spans="3:26" ht="15" customHeight="1" x14ac:dyDescent="0.25">
      <c r="C173" s="14"/>
      <c r="D173" s="14"/>
      <c r="E173" s="154"/>
      <c r="F173" s="153"/>
      <c r="H173" s="218"/>
      <c r="J173" s="218"/>
      <c r="L173" s="218"/>
      <c r="N173" s="218"/>
      <c r="P173" s="218"/>
      <c r="R173" s="218"/>
      <c r="T173" s="218"/>
      <c r="V173" s="218"/>
      <c r="X173" s="157"/>
      <c r="Z173" s="218"/>
    </row>
    <row r="174" spans="3:26" ht="15" customHeight="1" x14ac:dyDescent="0.25">
      <c r="C174" s="14"/>
      <c r="D174" s="14"/>
      <c r="E174" s="154"/>
      <c r="F174" s="153"/>
      <c r="H174" s="218"/>
      <c r="J174" s="218"/>
      <c r="L174" s="218"/>
      <c r="N174" s="218"/>
      <c r="P174" s="218"/>
      <c r="R174" s="218"/>
      <c r="T174" s="218"/>
      <c r="V174" s="218"/>
      <c r="X174" s="157"/>
      <c r="Z174" s="218"/>
    </row>
    <row r="175" spans="3:26" ht="15" customHeight="1" x14ac:dyDescent="0.25">
      <c r="C175" s="14"/>
      <c r="D175" s="14"/>
      <c r="E175" s="154"/>
      <c r="F175" s="153"/>
      <c r="H175" s="218"/>
      <c r="J175" s="218"/>
      <c r="L175" s="218"/>
      <c r="N175" s="218"/>
      <c r="P175" s="218"/>
      <c r="R175" s="218"/>
      <c r="T175" s="218"/>
      <c r="V175" s="218"/>
      <c r="X175" s="157"/>
      <c r="Z175" s="218"/>
    </row>
    <row r="176" spans="3:26" ht="15" customHeight="1" x14ac:dyDescent="0.25">
      <c r="C176" s="14"/>
      <c r="D176" s="14"/>
      <c r="E176" s="154"/>
      <c r="F176" s="153"/>
      <c r="H176" s="218"/>
      <c r="J176" s="218"/>
      <c r="L176" s="218"/>
      <c r="N176" s="218"/>
      <c r="P176" s="218"/>
      <c r="R176" s="218"/>
      <c r="T176" s="218"/>
      <c r="V176" s="218"/>
      <c r="X176" s="157"/>
      <c r="Z176" s="218"/>
    </row>
    <row r="177" spans="3:26" ht="15" customHeight="1" x14ac:dyDescent="0.25">
      <c r="C177" s="14"/>
      <c r="D177" s="14"/>
      <c r="E177" s="154"/>
      <c r="F177" s="153"/>
      <c r="H177" s="218"/>
      <c r="J177" s="218"/>
      <c r="L177" s="218"/>
      <c r="N177" s="218"/>
      <c r="P177" s="218"/>
      <c r="R177" s="218"/>
      <c r="T177" s="218"/>
      <c r="V177" s="218"/>
      <c r="X177" s="157"/>
      <c r="Z177" s="218"/>
    </row>
    <row r="178" spans="3:26" ht="15" customHeight="1" x14ac:dyDescent="0.25">
      <c r="C178" s="14"/>
      <c r="D178" s="14"/>
      <c r="E178" s="154"/>
      <c r="F178" s="153"/>
      <c r="H178" s="218"/>
      <c r="J178" s="218"/>
      <c r="L178" s="218"/>
      <c r="N178" s="218"/>
      <c r="P178" s="218"/>
      <c r="R178" s="218"/>
      <c r="T178" s="218"/>
      <c r="V178" s="218"/>
      <c r="X178" s="157"/>
      <c r="Z178" s="218"/>
    </row>
    <row r="179" spans="3:26" ht="15" customHeight="1" x14ac:dyDescent="0.25">
      <c r="C179" s="14"/>
      <c r="D179" s="14"/>
      <c r="E179" s="154"/>
      <c r="F179" s="153"/>
      <c r="H179" s="218"/>
      <c r="J179" s="218"/>
      <c r="L179" s="218"/>
      <c r="N179" s="218"/>
      <c r="P179" s="218"/>
      <c r="R179" s="218"/>
      <c r="T179" s="218"/>
      <c r="V179" s="218"/>
      <c r="X179" s="157"/>
      <c r="Z179" s="218"/>
    </row>
    <row r="180" spans="3:26" ht="15" customHeight="1" x14ac:dyDescent="0.25">
      <c r="C180" s="14"/>
      <c r="D180" s="14"/>
      <c r="E180" s="154"/>
      <c r="F180" s="153"/>
      <c r="H180" s="218"/>
      <c r="J180" s="218"/>
      <c r="L180" s="218"/>
      <c r="N180" s="218"/>
      <c r="P180" s="218"/>
      <c r="R180" s="218"/>
      <c r="T180" s="218"/>
      <c r="V180" s="218"/>
      <c r="X180" s="157"/>
      <c r="Z180" s="218"/>
    </row>
    <row r="181" spans="3:26" ht="15" customHeight="1" x14ac:dyDescent="0.25">
      <c r="C181" s="14"/>
      <c r="D181" s="14"/>
      <c r="E181" s="154"/>
      <c r="F181" s="153"/>
      <c r="H181" s="218"/>
      <c r="J181" s="218"/>
      <c r="L181" s="218"/>
      <c r="N181" s="218"/>
      <c r="P181" s="218"/>
      <c r="R181" s="218"/>
      <c r="T181" s="218"/>
      <c r="V181" s="218"/>
      <c r="X181" s="157"/>
      <c r="Z181" s="218"/>
    </row>
    <row r="182" spans="3:26" ht="15" customHeight="1" x14ac:dyDescent="0.25">
      <c r="C182" s="14"/>
      <c r="D182" s="14"/>
      <c r="E182" s="154"/>
      <c r="F182" s="153"/>
      <c r="H182" s="218"/>
      <c r="J182" s="218"/>
      <c r="L182" s="218"/>
      <c r="N182" s="218"/>
      <c r="P182" s="218"/>
      <c r="R182" s="218"/>
      <c r="T182" s="218"/>
      <c r="V182" s="218"/>
      <c r="X182" s="157"/>
      <c r="Z182" s="218"/>
    </row>
    <row r="183" spans="3:26" ht="15" customHeight="1" x14ac:dyDescent="0.25">
      <c r="C183" s="14"/>
      <c r="D183" s="14"/>
      <c r="E183" s="154"/>
      <c r="F183" s="153"/>
      <c r="H183" s="218"/>
      <c r="J183" s="218"/>
      <c r="L183" s="218"/>
      <c r="N183" s="218"/>
      <c r="P183" s="218"/>
      <c r="R183" s="218"/>
      <c r="T183" s="218"/>
      <c r="V183" s="218"/>
      <c r="X183" s="157"/>
      <c r="Z183" s="218"/>
    </row>
    <row r="184" spans="3:26" ht="15" customHeight="1" x14ac:dyDescent="0.25">
      <c r="C184" s="14"/>
      <c r="D184" s="14"/>
      <c r="E184" s="154"/>
      <c r="F184" s="153"/>
      <c r="H184" s="218"/>
      <c r="J184" s="218"/>
      <c r="L184" s="218"/>
      <c r="N184" s="218"/>
      <c r="P184" s="218"/>
      <c r="R184" s="218"/>
      <c r="T184" s="218"/>
      <c r="V184" s="218"/>
      <c r="X184" s="157"/>
      <c r="Z184" s="218"/>
    </row>
    <row r="185" spans="3:26" ht="15" customHeight="1" x14ac:dyDescent="0.25">
      <c r="C185" s="14"/>
      <c r="D185" s="14"/>
      <c r="E185" s="154"/>
      <c r="F185" s="153"/>
      <c r="H185" s="218"/>
      <c r="J185" s="218"/>
      <c r="L185" s="218"/>
      <c r="N185" s="218"/>
      <c r="P185" s="218"/>
      <c r="R185" s="218"/>
      <c r="T185" s="218"/>
      <c r="V185" s="218"/>
      <c r="X185" s="157"/>
      <c r="Z185" s="218"/>
    </row>
    <row r="186" spans="3:26" ht="15" customHeight="1" x14ac:dyDescent="0.25">
      <c r="C186" s="14"/>
      <c r="D186" s="14"/>
      <c r="E186" s="154"/>
      <c r="F186" s="153"/>
      <c r="H186" s="218"/>
      <c r="J186" s="218"/>
      <c r="L186" s="218"/>
      <c r="N186" s="218"/>
      <c r="P186" s="218"/>
      <c r="R186" s="218"/>
      <c r="T186" s="218"/>
      <c r="V186" s="218"/>
      <c r="X186" s="157"/>
      <c r="Z186" s="218"/>
    </row>
    <row r="187" spans="3:26" ht="15" customHeight="1" x14ac:dyDescent="0.25">
      <c r="C187" s="14"/>
      <c r="D187" s="14"/>
      <c r="E187" s="154"/>
      <c r="F187" s="153"/>
      <c r="H187" s="218"/>
      <c r="J187" s="218"/>
      <c r="L187" s="218"/>
      <c r="N187" s="218"/>
      <c r="P187" s="218"/>
      <c r="R187" s="218"/>
      <c r="T187" s="218"/>
      <c r="V187" s="218"/>
      <c r="X187" s="157"/>
      <c r="Z187" s="218"/>
    </row>
    <row r="188" spans="3:26" ht="15" customHeight="1" x14ac:dyDescent="0.25">
      <c r="C188" s="14"/>
      <c r="D188" s="14"/>
      <c r="E188" s="154"/>
      <c r="F188" s="153"/>
      <c r="H188" s="218"/>
      <c r="J188" s="218"/>
      <c r="L188" s="218"/>
      <c r="N188" s="218"/>
      <c r="P188" s="218"/>
      <c r="R188" s="218"/>
      <c r="T188" s="218"/>
      <c r="V188" s="218"/>
      <c r="X188" s="157"/>
      <c r="Z188" s="218"/>
    </row>
    <row r="189" spans="3:26" ht="15" customHeight="1" x14ac:dyDescent="0.25">
      <c r="C189" s="14"/>
      <c r="D189" s="14"/>
      <c r="E189" s="154"/>
      <c r="F189" s="153"/>
      <c r="H189" s="218"/>
      <c r="J189" s="218"/>
      <c r="L189" s="218"/>
      <c r="N189" s="218"/>
      <c r="P189" s="218"/>
      <c r="R189" s="218"/>
      <c r="T189" s="218"/>
      <c r="V189" s="218"/>
      <c r="X189" s="157"/>
      <c r="Z189" s="218"/>
    </row>
    <row r="190" spans="3:26" ht="15" customHeight="1" x14ac:dyDescent="0.25">
      <c r="C190" s="14"/>
      <c r="D190" s="14"/>
      <c r="E190" s="154"/>
      <c r="F190" s="153"/>
      <c r="H190" s="218"/>
      <c r="J190" s="218"/>
      <c r="L190" s="218"/>
      <c r="N190" s="218"/>
      <c r="P190" s="218"/>
      <c r="R190" s="218"/>
      <c r="T190" s="218"/>
      <c r="V190" s="218"/>
      <c r="X190" s="157"/>
      <c r="Z190" s="218"/>
    </row>
    <row r="191" spans="3:26" ht="15" customHeight="1" x14ac:dyDescent="0.25">
      <c r="C191" s="14"/>
      <c r="D191" s="14"/>
      <c r="E191" s="154"/>
      <c r="F191" s="153"/>
      <c r="H191" s="218"/>
      <c r="J191" s="218"/>
      <c r="L191" s="218"/>
      <c r="N191" s="218"/>
      <c r="P191" s="218"/>
      <c r="R191" s="218"/>
      <c r="T191" s="218"/>
      <c r="V191" s="218"/>
      <c r="X191" s="157"/>
      <c r="Z191" s="218"/>
    </row>
    <row r="192" spans="3:26" ht="15" customHeight="1" x14ac:dyDescent="0.25">
      <c r="C192" s="14"/>
      <c r="D192" s="14"/>
      <c r="E192" s="154"/>
      <c r="F192" s="153"/>
      <c r="H192" s="218"/>
      <c r="J192" s="218"/>
      <c r="L192" s="218"/>
      <c r="N192" s="218"/>
      <c r="P192" s="218"/>
      <c r="R192" s="218"/>
      <c r="T192" s="218"/>
      <c r="V192" s="218"/>
      <c r="X192" s="157"/>
      <c r="Z192" s="218"/>
    </row>
    <row r="193" spans="3:26" ht="15" customHeight="1" x14ac:dyDescent="0.25">
      <c r="C193" s="14"/>
      <c r="D193" s="14"/>
      <c r="E193" s="154"/>
      <c r="F193" s="153"/>
      <c r="H193" s="218"/>
      <c r="J193" s="218"/>
      <c r="L193" s="218"/>
      <c r="N193" s="218"/>
      <c r="P193" s="218"/>
      <c r="R193" s="218"/>
      <c r="T193" s="218"/>
      <c r="V193" s="218"/>
      <c r="X193" s="157"/>
      <c r="Z193" s="218"/>
    </row>
    <row r="194" spans="3:26" ht="15" customHeight="1" x14ac:dyDescent="0.25">
      <c r="C194" s="14"/>
      <c r="D194" s="14"/>
      <c r="E194" s="154"/>
      <c r="F194" s="153"/>
      <c r="H194" s="218"/>
      <c r="J194" s="218"/>
      <c r="L194" s="218"/>
      <c r="N194" s="218"/>
      <c r="P194" s="218"/>
      <c r="R194" s="218"/>
      <c r="T194" s="218"/>
      <c r="V194" s="218"/>
      <c r="X194" s="157"/>
      <c r="Z194" s="218"/>
    </row>
    <row r="195" spans="3:26" ht="15" customHeight="1" x14ac:dyDescent="0.25">
      <c r="C195" s="14"/>
      <c r="D195" s="14"/>
      <c r="E195" s="154"/>
      <c r="F195" s="153"/>
      <c r="H195" s="218"/>
      <c r="J195" s="218"/>
      <c r="L195" s="218"/>
      <c r="N195" s="218"/>
      <c r="P195" s="218"/>
      <c r="R195" s="218"/>
      <c r="T195" s="218"/>
      <c r="V195" s="218"/>
      <c r="X195" s="157"/>
      <c r="Z195" s="218"/>
    </row>
    <row r="196" spans="3:26" ht="15" customHeight="1" x14ac:dyDescent="0.25">
      <c r="C196" s="14"/>
      <c r="D196" s="14"/>
      <c r="E196" s="154"/>
      <c r="F196" s="153"/>
      <c r="H196" s="218"/>
      <c r="J196" s="218"/>
      <c r="L196" s="218"/>
      <c r="N196" s="218"/>
      <c r="P196" s="218"/>
      <c r="R196" s="218"/>
      <c r="T196" s="218"/>
      <c r="V196" s="218"/>
      <c r="X196" s="157"/>
      <c r="Z196" s="218"/>
    </row>
    <row r="197" spans="3:26" ht="15" customHeight="1" x14ac:dyDescent="0.25">
      <c r="C197" s="14"/>
      <c r="D197" s="14"/>
      <c r="E197" s="154"/>
      <c r="F197" s="153"/>
      <c r="H197" s="218"/>
      <c r="J197" s="218"/>
      <c r="L197" s="218"/>
      <c r="N197" s="218"/>
      <c r="P197" s="218"/>
      <c r="R197" s="218"/>
      <c r="T197" s="218"/>
      <c r="V197" s="218"/>
      <c r="X197" s="157"/>
      <c r="Z197" s="218"/>
    </row>
    <row r="198" spans="3:26" ht="15" customHeight="1" x14ac:dyDescent="0.25">
      <c r="C198" s="14"/>
      <c r="D198" s="14"/>
      <c r="E198" s="154"/>
      <c r="F198" s="153"/>
      <c r="H198" s="218"/>
      <c r="J198" s="218"/>
      <c r="L198" s="218"/>
      <c r="N198" s="218"/>
      <c r="P198" s="218"/>
      <c r="R198" s="218"/>
      <c r="T198" s="218"/>
      <c r="V198" s="218"/>
      <c r="X198" s="157"/>
      <c r="Z198" s="218"/>
    </row>
    <row r="199" spans="3:26" ht="15" customHeight="1" x14ac:dyDescent="0.25">
      <c r="C199" s="14"/>
      <c r="D199" s="14"/>
      <c r="E199" s="154"/>
      <c r="F199" s="153"/>
      <c r="H199" s="218"/>
      <c r="J199" s="218"/>
      <c r="L199" s="218"/>
      <c r="N199" s="218"/>
      <c r="P199" s="218"/>
      <c r="R199" s="218"/>
      <c r="T199" s="218"/>
      <c r="V199" s="218"/>
      <c r="X199" s="157"/>
      <c r="Z199" s="218"/>
    </row>
    <row r="200" spans="3:26" ht="15" customHeight="1" x14ac:dyDescent="0.25">
      <c r="C200" s="14"/>
      <c r="D200" s="14"/>
      <c r="E200" s="154"/>
      <c r="F200" s="153"/>
      <c r="H200" s="218"/>
      <c r="J200" s="218"/>
      <c r="L200" s="218"/>
      <c r="N200" s="218"/>
      <c r="P200" s="218"/>
      <c r="R200" s="218"/>
      <c r="T200" s="218"/>
      <c r="V200" s="218"/>
      <c r="X200" s="157"/>
      <c r="Z200" s="218"/>
    </row>
    <row r="201" spans="3:26" ht="15" customHeight="1" x14ac:dyDescent="0.25">
      <c r="C201" s="14"/>
      <c r="D201" s="14"/>
      <c r="E201" s="154"/>
      <c r="F201" s="153"/>
      <c r="H201" s="218"/>
      <c r="J201" s="218"/>
      <c r="L201" s="218"/>
      <c r="N201" s="218"/>
      <c r="P201" s="218"/>
      <c r="R201" s="218"/>
      <c r="T201" s="218"/>
      <c r="V201" s="218"/>
      <c r="X201" s="157"/>
      <c r="Z201" s="218"/>
    </row>
    <row r="202" spans="3:26" ht="15" customHeight="1" x14ac:dyDescent="0.25">
      <c r="C202" s="14"/>
      <c r="D202" s="14"/>
      <c r="E202" s="154"/>
      <c r="F202" s="153"/>
      <c r="H202" s="218"/>
      <c r="J202" s="218"/>
      <c r="L202" s="218"/>
      <c r="N202" s="218"/>
      <c r="P202" s="218"/>
      <c r="R202" s="218"/>
      <c r="T202" s="218"/>
      <c r="V202" s="218"/>
      <c r="X202" s="157"/>
      <c r="Z202" s="218"/>
    </row>
    <row r="203" spans="3:26" ht="15" customHeight="1" x14ac:dyDescent="0.25">
      <c r="C203" s="14"/>
      <c r="D203" s="14"/>
      <c r="E203" s="154"/>
      <c r="F203" s="153"/>
      <c r="H203" s="218"/>
      <c r="J203" s="218"/>
      <c r="L203" s="218"/>
      <c r="N203" s="218"/>
      <c r="P203" s="218"/>
      <c r="R203" s="218"/>
      <c r="T203" s="218"/>
      <c r="V203" s="218"/>
      <c r="X203" s="157"/>
      <c r="Z203" s="218"/>
    </row>
    <row r="204" spans="3:26" ht="15" customHeight="1" x14ac:dyDescent="0.25">
      <c r="C204" s="14"/>
      <c r="D204" s="14"/>
      <c r="E204" s="154"/>
      <c r="F204" s="153"/>
      <c r="H204" s="218"/>
      <c r="J204" s="218"/>
      <c r="L204" s="218"/>
      <c r="N204" s="218"/>
      <c r="P204" s="218"/>
      <c r="R204" s="218"/>
      <c r="T204" s="218"/>
      <c r="V204" s="218"/>
      <c r="X204" s="157"/>
      <c r="Z204" s="218"/>
    </row>
    <row r="205" spans="3:26" ht="15" customHeight="1" x14ac:dyDescent="0.25">
      <c r="C205" s="14"/>
      <c r="D205" s="14"/>
      <c r="E205" s="154"/>
      <c r="F205" s="153"/>
      <c r="H205" s="218"/>
      <c r="J205" s="218"/>
      <c r="L205" s="218"/>
      <c r="N205" s="218"/>
      <c r="P205" s="218"/>
      <c r="R205" s="218"/>
      <c r="T205" s="218"/>
      <c r="V205" s="218"/>
      <c r="X205" s="157"/>
      <c r="Z205" s="218"/>
    </row>
    <row r="206" spans="3:26" ht="15" customHeight="1" x14ac:dyDescent="0.25">
      <c r="C206" s="14"/>
      <c r="D206" s="14"/>
      <c r="E206" s="154"/>
      <c r="F206" s="153"/>
      <c r="H206" s="218"/>
      <c r="J206" s="218"/>
      <c r="L206" s="218"/>
      <c r="N206" s="218"/>
      <c r="P206" s="218"/>
      <c r="R206" s="218"/>
      <c r="T206" s="218"/>
      <c r="V206" s="218"/>
      <c r="X206" s="157"/>
      <c r="Z206" s="218"/>
    </row>
    <row r="207" spans="3:26" ht="15" customHeight="1" x14ac:dyDescent="0.25">
      <c r="C207" s="14"/>
      <c r="D207" s="14"/>
      <c r="E207" s="154"/>
      <c r="F207" s="153"/>
      <c r="H207" s="218"/>
      <c r="J207" s="218"/>
      <c r="L207" s="218"/>
      <c r="N207" s="218"/>
      <c r="P207" s="218"/>
      <c r="R207" s="218"/>
      <c r="T207" s="218"/>
      <c r="V207" s="218"/>
      <c r="X207" s="157"/>
      <c r="Z207" s="218"/>
    </row>
    <row r="208" spans="3:26" ht="15" customHeight="1" x14ac:dyDescent="0.25">
      <c r="C208" s="14"/>
      <c r="D208" s="14"/>
      <c r="E208" s="154"/>
      <c r="F208" s="153"/>
      <c r="H208" s="218"/>
      <c r="J208" s="218"/>
      <c r="L208" s="218"/>
      <c r="N208" s="218"/>
      <c r="P208" s="218"/>
      <c r="R208" s="218"/>
      <c r="T208" s="218"/>
      <c r="V208" s="218"/>
      <c r="X208" s="157"/>
      <c r="Z208" s="218"/>
    </row>
    <row r="209" spans="3:26" ht="15" customHeight="1" x14ac:dyDescent="0.25">
      <c r="C209" s="14"/>
      <c r="D209" s="14"/>
      <c r="E209" s="154"/>
      <c r="F209" s="153"/>
      <c r="H209" s="218"/>
      <c r="J209" s="218"/>
      <c r="L209" s="218"/>
      <c r="N209" s="218"/>
      <c r="P209" s="218"/>
      <c r="R209" s="218"/>
      <c r="T209" s="218"/>
      <c r="V209" s="218"/>
      <c r="X209" s="157"/>
      <c r="Z209" s="218"/>
    </row>
    <row r="210" spans="3:26" ht="15" customHeight="1" x14ac:dyDescent="0.25">
      <c r="C210" s="14"/>
      <c r="D210" s="14"/>
      <c r="E210" s="154"/>
      <c r="F210" s="153"/>
      <c r="H210" s="218"/>
      <c r="J210" s="218"/>
      <c r="L210" s="218"/>
      <c r="N210" s="218"/>
      <c r="P210" s="218"/>
      <c r="R210" s="218"/>
      <c r="T210" s="218"/>
      <c r="V210" s="218"/>
      <c r="X210" s="157"/>
      <c r="Z210" s="218"/>
    </row>
    <row r="211" spans="3:26" ht="15" customHeight="1" x14ac:dyDescent="0.25">
      <c r="C211" s="14"/>
      <c r="D211" s="14"/>
      <c r="E211" s="154"/>
      <c r="F211" s="153"/>
      <c r="H211" s="218"/>
      <c r="J211" s="218"/>
      <c r="L211" s="218"/>
      <c r="N211" s="218"/>
      <c r="P211" s="218"/>
      <c r="R211" s="218"/>
      <c r="T211" s="218"/>
      <c r="V211" s="218"/>
      <c r="X211" s="157"/>
      <c r="Z211" s="218"/>
    </row>
    <row r="212" spans="3:26" ht="15" customHeight="1" x14ac:dyDescent="0.25">
      <c r="C212" s="14"/>
      <c r="D212" s="14"/>
      <c r="E212" s="154"/>
      <c r="F212" s="153"/>
      <c r="H212" s="218"/>
      <c r="J212" s="218"/>
      <c r="L212" s="218"/>
      <c r="N212" s="218"/>
      <c r="P212" s="218"/>
      <c r="R212" s="218"/>
      <c r="T212" s="218"/>
      <c r="V212" s="218"/>
      <c r="X212" s="157"/>
      <c r="Z212" s="218"/>
    </row>
    <row r="213" spans="3:26" ht="15" customHeight="1" x14ac:dyDescent="0.25">
      <c r="C213" s="14"/>
      <c r="D213" s="14"/>
      <c r="E213" s="154"/>
      <c r="F213" s="153"/>
      <c r="H213" s="218"/>
      <c r="J213" s="218"/>
      <c r="L213" s="218"/>
      <c r="N213" s="218"/>
      <c r="P213" s="218"/>
      <c r="R213" s="218"/>
      <c r="T213" s="218"/>
      <c r="V213" s="218"/>
      <c r="X213" s="157"/>
      <c r="Z213" s="218"/>
    </row>
    <row r="214" spans="3:26" ht="15" customHeight="1" x14ac:dyDescent="0.25">
      <c r="C214" s="14"/>
      <c r="D214" s="14"/>
      <c r="E214" s="154"/>
      <c r="F214" s="153"/>
      <c r="H214" s="218"/>
      <c r="J214" s="218"/>
      <c r="L214" s="218"/>
      <c r="N214" s="218"/>
      <c r="P214" s="218"/>
      <c r="R214" s="218"/>
      <c r="T214" s="218"/>
      <c r="V214" s="218"/>
      <c r="X214" s="157"/>
      <c r="Z214" s="218"/>
    </row>
    <row r="215" spans="3:26" ht="15" customHeight="1" x14ac:dyDescent="0.25">
      <c r="C215" s="14"/>
      <c r="D215" s="14"/>
      <c r="E215" s="154"/>
      <c r="F215" s="153"/>
      <c r="H215" s="218"/>
      <c r="J215" s="218"/>
      <c r="L215" s="218"/>
      <c r="N215" s="218"/>
      <c r="P215" s="218"/>
      <c r="R215" s="218"/>
      <c r="T215" s="218"/>
      <c r="V215" s="218"/>
      <c r="X215" s="157"/>
      <c r="Z215" s="218"/>
    </row>
    <row r="216" spans="3:26" ht="15" customHeight="1" x14ac:dyDescent="0.25">
      <c r="C216" s="14"/>
      <c r="D216" s="14"/>
      <c r="E216" s="154"/>
      <c r="F216" s="153"/>
      <c r="H216" s="218"/>
      <c r="J216" s="218"/>
      <c r="L216" s="218"/>
      <c r="N216" s="218"/>
      <c r="P216" s="218"/>
      <c r="R216" s="218"/>
      <c r="T216" s="218"/>
      <c r="V216" s="218"/>
      <c r="X216" s="157"/>
      <c r="Z216" s="218"/>
    </row>
    <row r="217" spans="3:26" ht="15" customHeight="1" x14ac:dyDescent="0.25">
      <c r="C217" s="14"/>
      <c r="D217" s="14"/>
      <c r="E217" s="154"/>
      <c r="F217" s="153"/>
      <c r="H217" s="218"/>
      <c r="J217" s="218"/>
      <c r="L217" s="218"/>
      <c r="N217" s="218"/>
      <c r="P217" s="218"/>
      <c r="R217" s="218"/>
      <c r="T217" s="218"/>
      <c r="V217" s="218"/>
      <c r="X217" s="157"/>
      <c r="Z217" s="218"/>
    </row>
    <row r="218" spans="3:26" ht="15" customHeight="1" x14ac:dyDescent="0.25">
      <c r="C218" s="14"/>
      <c r="D218" s="14"/>
      <c r="E218" s="154"/>
      <c r="F218" s="153"/>
      <c r="H218" s="218"/>
      <c r="J218" s="218"/>
      <c r="L218" s="218"/>
      <c r="N218" s="218"/>
      <c r="P218" s="218"/>
      <c r="R218" s="218"/>
      <c r="T218" s="218"/>
      <c r="V218" s="218"/>
      <c r="X218" s="157"/>
      <c r="Z218" s="218"/>
    </row>
    <row r="219" spans="3:26" ht="15" customHeight="1" x14ac:dyDescent="0.25">
      <c r="C219" s="14"/>
      <c r="D219" s="14"/>
      <c r="E219" s="154"/>
      <c r="F219" s="153"/>
      <c r="H219" s="218"/>
      <c r="J219" s="218"/>
      <c r="L219" s="218"/>
      <c r="N219" s="218"/>
      <c r="P219" s="218"/>
      <c r="R219" s="218"/>
      <c r="T219" s="218"/>
      <c r="V219" s="218"/>
      <c r="X219" s="157"/>
      <c r="Z219" s="218"/>
    </row>
    <row r="220" spans="3:26" ht="15" customHeight="1" x14ac:dyDescent="0.25">
      <c r="C220" s="14"/>
      <c r="D220" s="14"/>
      <c r="E220" s="154"/>
      <c r="F220" s="153"/>
      <c r="H220" s="218"/>
      <c r="J220" s="218"/>
      <c r="L220" s="218"/>
      <c r="N220" s="218"/>
      <c r="P220" s="218"/>
      <c r="R220" s="218"/>
      <c r="T220" s="218"/>
      <c r="V220" s="218"/>
      <c r="X220" s="157"/>
      <c r="Z220" s="218"/>
    </row>
    <row r="221" spans="3:26" ht="15" customHeight="1" x14ac:dyDescent="0.25">
      <c r="C221" s="14"/>
      <c r="D221" s="14"/>
      <c r="E221" s="154"/>
      <c r="F221" s="153"/>
      <c r="H221" s="218"/>
      <c r="J221" s="218"/>
      <c r="L221" s="218"/>
      <c r="N221" s="218"/>
      <c r="P221" s="218"/>
      <c r="R221" s="218"/>
      <c r="T221" s="218"/>
      <c r="V221" s="218"/>
      <c r="X221" s="157"/>
      <c r="Z221" s="218"/>
    </row>
    <row r="222" spans="3:26" ht="15" customHeight="1" x14ac:dyDescent="0.25">
      <c r="C222" s="14"/>
      <c r="D222" s="14"/>
      <c r="E222" s="154"/>
      <c r="F222" s="153"/>
      <c r="H222" s="218"/>
      <c r="J222" s="218"/>
      <c r="L222" s="218"/>
      <c r="N222" s="218"/>
      <c r="P222" s="218"/>
      <c r="R222" s="218"/>
      <c r="T222" s="218"/>
      <c r="V222" s="218"/>
      <c r="X222" s="157"/>
      <c r="Z222" s="218"/>
    </row>
    <row r="223" spans="3:26" ht="15" customHeight="1" x14ac:dyDescent="0.25">
      <c r="C223" s="14"/>
      <c r="D223" s="14"/>
      <c r="E223" s="154"/>
      <c r="F223" s="153"/>
      <c r="H223" s="218"/>
      <c r="J223" s="218"/>
      <c r="L223" s="218"/>
      <c r="N223" s="218"/>
      <c r="P223" s="218"/>
      <c r="R223" s="218"/>
      <c r="T223" s="218"/>
      <c r="V223" s="218"/>
      <c r="X223" s="157"/>
      <c r="Z223" s="218"/>
    </row>
    <row r="224" spans="3:26" ht="15" customHeight="1" x14ac:dyDescent="0.25">
      <c r="C224" s="14"/>
      <c r="D224" s="14"/>
      <c r="E224" s="154"/>
      <c r="F224" s="153"/>
      <c r="H224" s="218"/>
      <c r="J224" s="218"/>
      <c r="L224" s="218"/>
      <c r="N224" s="218"/>
      <c r="P224" s="218"/>
      <c r="R224" s="218"/>
      <c r="T224" s="218"/>
      <c r="V224" s="218"/>
      <c r="X224" s="157"/>
      <c r="Z224" s="218"/>
    </row>
    <row r="225" spans="3:26" ht="15" customHeight="1" x14ac:dyDescent="0.25">
      <c r="C225" s="14"/>
      <c r="D225" s="14"/>
      <c r="E225" s="154"/>
      <c r="F225" s="153"/>
      <c r="H225" s="218"/>
      <c r="J225" s="218"/>
      <c r="L225" s="218"/>
      <c r="N225" s="218"/>
      <c r="P225" s="218"/>
      <c r="R225" s="218"/>
      <c r="T225" s="218"/>
      <c r="V225" s="218"/>
      <c r="X225" s="157"/>
      <c r="Z225" s="218"/>
    </row>
    <row r="226" spans="3:26" ht="15" customHeight="1" x14ac:dyDescent="0.25">
      <c r="C226" s="14"/>
      <c r="D226" s="14"/>
      <c r="E226" s="154"/>
      <c r="F226" s="153"/>
      <c r="H226" s="218"/>
      <c r="J226" s="218"/>
      <c r="L226" s="218"/>
      <c r="N226" s="218"/>
      <c r="P226" s="218"/>
      <c r="R226" s="218"/>
      <c r="T226" s="218"/>
      <c r="V226" s="218"/>
      <c r="X226" s="157"/>
      <c r="Z226" s="218"/>
    </row>
    <row r="227" spans="3:26" ht="15" customHeight="1" x14ac:dyDescent="0.25">
      <c r="C227" s="14"/>
      <c r="D227" s="14"/>
      <c r="E227" s="154"/>
      <c r="F227" s="153"/>
      <c r="H227" s="218"/>
      <c r="J227" s="218"/>
      <c r="L227" s="218"/>
      <c r="N227" s="218"/>
      <c r="P227" s="218"/>
      <c r="R227" s="218"/>
      <c r="T227" s="218"/>
      <c r="V227" s="218"/>
      <c r="X227" s="157"/>
      <c r="Z227" s="218"/>
    </row>
    <row r="228" spans="3:26" ht="15" customHeight="1" x14ac:dyDescent="0.25">
      <c r="C228" s="14"/>
      <c r="D228" s="14"/>
      <c r="E228" s="154"/>
      <c r="F228" s="153"/>
      <c r="H228" s="218"/>
      <c r="J228" s="218"/>
      <c r="L228" s="218"/>
      <c r="N228" s="218"/>
      <c r="P228" s="218"/>
      <c r="R228" s="218"/>
      <c r="T228" s="218"/>
      <c r="V228" s="218"/>
      <c r="X228" s="157"/>
      <c r="Z228" s="218"/>
    </row>
    <row r="229" spans="3:26" ht="15" customHeight="1" x14ac:dyDescent="0.25">
      <c r="C229" s="14"/>
      <c r="D229" s="14"/>
      <c r="E229" s="154"/>
      <c r="F229" s="153"/>
      <c r="H229" s="218"/>
      <c r="J229" s="218"/>
      <c r="L229" s="218"/>
      <c r="N229" s="218"/>
      <c r="P229" s="218"/>
      <c r="R229" s="218"/>
      <c r="T229" s="218"/>
      <c r="V229" s="218"/>
      <c r="X229" s="157"/>
      <c r="Z229" s="218"/>
    </row>
    <row r="230" spans="3:26" ht="15" customHeight="1" x14ac:dyDescent="0.25">
      <c r="C230" s="14"/>
      <c r="D230" s="14"/>
      <c r="E230" s="154"/>
      <c r="F230" s="153"/>
      <c r="H230" s="218"/>
      <c r="J230" s="218"/>
      <c r="L230" s="218"/>
      <c r="N230" s="218"/>
      <c r="P230" s="218"/>
      <c r="R230" s="218"/>
      <c r="T230" s="218"/>
      <c r="V230" s="218"/>
      <c r="X230" s="157"/>
      <c r="Z230" s="218"/>
    </row>
    <row r="231" spans="3:26" ht="15" customHeight="1" x14ac:dyDescent="0.25">
      <c r="C231" s="14"/>
      <c r="D231" s="14"/>
      <c r="E231" s="154"/>
      <c r="F231" s="153"/>
      <c r="H231" s="218"/>
      <c r="J231" s="218"/>
      <c r="L231" s="218"/>
      <c r="N231" s="218"/>
      <c r="P231" s="218"/>
      <c r="R231" s="218"/>
      <c r="T231" s="218"/>
      <c r="V231" s="218"/>
      <c r="X231" s="157"/>
      <c r="Z231" s="218"/>
    </row>
    <row r="232" spans="3:26" ht="15" customHeight="1" x14ac:dyDescent="0.25">
      <c r="C232" s="14"/>
      <c r="D232" s="14"/>
      <c r="E232" s="154"/>
      <c r="F232" s="153"/>
      <c r="H232" s="218"/>
      <c r="J232" s="218"/>
      <c r="L232" s="218"/>
      <c r="N232" s="218"/>
      <c r="P232" s="218"/>
      <c r="R232" s="218"/>
      <c r="T232" s="218"/>
      <c r="V232" s="218"/>
      <c r="X232" s="157"/>
      <c r="Z232" s="218"/>
    </row>
    <row r="233" spans="3:26" ht="15" customHeight="1" x14ac:dyDescent="0.25">
      <c r="C233" s="14"/>
      <c r="D233" s="14"/>
      <c r="E233" s="154"/>
      <c r="F233" s="153"/>
      <c r="H233" s="218"/>
      <c r="J233" s="218"/>
      <c r="L233" s="218"/>
      <c r="N233" s="218"/>
      <c r="P233" s="218"/>
      <c r="R233" s="218"/>
      <c r="T233" s="218"/>
      <c r="V233" s="218"/>
      <c r="X233" s="157"/>
      <c r="Z233" s="218"/>
    </row>
    <row r="234" spans="3:26" ht="15" customHeight="1" x14ac:dyDescent="0.25">
      <c r="C234" s="14"/>
      <c r="D234" s="14"/>
      <c r="E234" s="154"/>
      <c r="F234" s="153"/>
      <c r="H234" s="218"/>
      <c r="J234" s="218"/>
      <c r="L234" s="218"/>
      <c r="N234" s="218"/>
      <c r="P234" s="218"/>
      <c r="R234" s="218"/>
      <c r="T234" s="218"/>
      <c r="V234" s="218"/>
      <c r="X234" s="157"/>
      <c r="Z234" s="218"/>
    </row>
    <row r="235" spans="3:26" ht="15" customHeight="1" x14ac:dyDescent="0.25">
      <c r="C235" s="14"/>
      <c r="D235" s="14"/>
      <c r="E235" s="154"/>
      <c r="F235" s="153"/>
      <c r="H235" s="218"/>
      <c r="J235" s="218"/>
      <c r="L235" s="218"/>
      <c r="N235" s="218"/>
      <c r="P235" s="218"/>
      <c r="R235" s="218"/>
      <c r="T235" s="218"/>
      <c r="V235" s="218"/>
      <c r="X235" s="157"/>
      <c r="Z235" s="218"/>
    </row>
    <row r="236" spans="3:26" ht="15" customHeight="1" x14ac:dyDescent="0.25">
      <c r="C236" s="14"/>
      <c r="D236" s="14"/>
      <c r="E236" s="154"/>
      <c r="F236" s="153"/>
      <c r="H236" s="218"/>
      <c r="J236" s="218"/>
      <c r="L236" s="218"/>
      <c r="N236" s="218"/>
      <c r="P236" s="218"/>
      <c r="R236" s="218"/>
      <c r="T236" s="218"/>
      <c r="V236" s="218"/>
      <c r="X236" s="157"/>
      <c r="Z236" s="218"/>
    </row>
    <row r="237" spans="3:26" ht="15" customHeight="1" x14ac:dyDescent="0.25">
      <c r="C237" s="14"/>
      <c r="D237" s="14"/>
      <c r="E237" s="154"/>
      <c r="F237" s="153"/>
      <c r="H237" s="218"/>
      <c r="J237" s="218"/>
      <c r="L237" s="218"/>
      <c r="N237" s="218"/>
      <c r="P237" s="218"/>
      <c r="R237" s="218"/>
      <c r="T237" s="218"/>
      <c r="V237" s="218"/>
      <c r="X237" s="157"/>
      <c r="Z237" s="218"/>
    </row>
    <row r="238" spans="3:26" ht="15" customHeight="1" x14ac:dyDescent="0.25">
      <c r="C238" s="14"/>
      <c r="D238" s="14"/>
      <c r="E238" s="154"/>
      <c r="F238" s="153"/>
      <c r="H238" s="218"/>
      <c r="J238" s="218"/>
      <c r="L238" s="218"/>
      <c r="N238" s="218"/>
      <c r="P238" s="218"/>
      <c r="R238" s="218"/>
      <c r="T238" s="218"/>
      <c r="V238" s="218"/>
      <c r="X238" s="157"/>
      <c r="Z238" s="218"/>
    </row>
    <row r="239" spans="3:26" ht="15" customHeight="1" x14ac:dyDescent="0.25">
      <c r="C239" s="14"/>
      <c r="D239" s="14"/>
      <c r="E239" s="154"/>
      <c r="F239" s="153"/>
      <c r="H239" s="218"/>
      <c r="J239" s="218"/>
      <c r="L239" s="218"/>
      <c r="N239" s="218"/>
      <c r="P239" s="218"/>
      <c r="R239" s="218"/>
      <c r="T239" s="218"/>
      <c r="V239" s="218"/>
      <c r="X239" s="157"/>
      <c r="Z239" s="218"/>
    </row>
    <row r="240" spans="3:26" ht="15" customHeight="1" x14ac:dyDescent="0.25">
      <c r="C240" s="14"/>
      <c r="D240" s="14"/>
      <c r="E240" s="154"/>
      <c r="F240" s="153"/>
      <c r="H240" s="218"/>
      <c r="J240" s="218"/>
      <c r="L240" s="218"/>
      <c r="N240" s="218"/>
      <c r="P240" s="218"/>
      <c r="R240" s="218"/>
      <c r="T240" s="218"/>
      <c r="V240" s="218"/>
      <c r="X240" s="157"/>
      <c r="Z240" s="218"/>
    </row>
    <row r="241" spans="3:26" ht="15" customHeight="1" x14ac:dyDescent="0.25">
      <c r="C241" s="14"/>
      <c r="D241" s="14"/>
      <c r="E241" s="154"/>
      <c r="F241" s="153"/>
      <c r="H241" s="218"/>
      <c r="J241" s="218"/>
      <c r="L241" s="218"/>
      <c r="N241" s="218"/>
      <c r="P241" s="218"/>
      <c r="R241" s="218"/>
      <c r="T241" s="218"/>
      <c r="V241" s="218"/>
      <c r="X241" s="157"/>
      <c r="Z241" s="218"/>
    </row>
    <row r="242" spans="3:26" ht="15" customHeight="1" x14ac:dyDescent="0.25">
      <c r="C242" s="14"/>
      <c r="D242" s="14"/>
      <c r="E242" s="154"/>
      <c r="F242" s="153"/>
      <c r="H242" s="218"/>
      <c r="J242" s="218"/>
      <c r="L242" s="218"/>
      <c r="N242" s="218"/>
      <c r="P242" s="218"/>
      <c r="R242" s="218"/>
      <c r="T242" s="218"/>
      <c r="V242" s="218"/>
      <c r="X242" s="157"/>
      <c r="Z242" s="218"/>
    </row>
    <row r="243" spans="3:26" ht="15" customHeight="1" x14ac:dyDescent="0.25">
      <c r="C243" s="14"/>
      <c r="D243" s="14"/>
      <c r="E243" s="154"/>
      <c r="F243" s="153"/>
      <c r="H243" s="218"/>
      <c r="J243" s="218"/>
      <c r="L243" s="218"/>
      <c r="N243" s="218"/>
      <c r="P243" s="218"/>
      <c r="R243" s="218"/>
      <c r="T243" s="218"/>
      <c r="V243" s="218"/>
      <c r="X243" s="157"/>
      <c r="Z243" s="218"/>
    </row>
    <row r="244" spans="3:26" ht="15" customHeight="1" x14ac:dyDescent="0.25">
      <c r="C244" s="14"/>
      <c r="D244" s="14"/>
      <c r="E244" s="154"/>
      <c r="F244" s="153"/>
      <c r="H244" s="218"/>
      <c r="J244" s="218"/>
      <c r="L244" s="218"/>
      <c r="N244" s="218"/>
      <c r="P244" s="218"/>
      <c r="R244" s="218"/>
      <c r="T244" s="218"/>
      <c r="V244" s="218"/>
      <c r="X244" s="157"/>
      <c r="Z244" s="218"/>
    </row>
    <row r="245" spans="3:26" ht="15" customHeight="1" x14ac:dyDescent="0.25">
      <c r="C245" s="14"/>
      <c r="D245" s="14"/>
      <c r="E245" s="154"/>
      <c r="F245" s="153"/>
      <c r="H245" s="218"/>
      <c r="J245" s="218"/>
      <c r="L245" s="218"/>
      <c r="N245" s="218"/>
      <c r="P245" s="218"/>
      <c r="R245" s="218"/>
      <c r="T245" s="218"/>
      <c r="V245" s="218"/>
      <c r="X245" s="157"/>
      <c r="Z245" s="218"/>
    </row>
    <row r="246" spans="3:26" ht="15" customHeight="1" x14ac:dyDescent="0.25">
      <c r="C246" s="14"/>
      <c r="D246" s="14"/>
      <c r="E246" s="154"/>
      <c r="F246" s="153"/>
      <c r="H246" s="218"/>
      <c r="J246" s="218"/>
      <c r="L246" s="218"/>
      <c r="N246" s="218"/>
      <c r="P246" s="218"/>
      <c r="R246" s="218"/>
      <c r="T246" s="218"/>
      <c r="V246" s="218"/>
      <c r="X246" s="157"/>
      <c r="Z246" s="218"/>
    </row>
    <row r="247" spans="3:26" ht="15" customHeight="1" x14ac:dyDescent="0.25">
      <c r="C247" s="14"/>
      <c r="D247" s="14"/>
      <c r="E247" s="154"/>
      <c r="F247" s="153"/>
      <c r="H247" s="218"/>
      <c r="J247" s="218"/>
      <c r="L247" s="218"/>
      <c r="N247" s="218"/>
      <c r="P247" s="218"/>
      <c r="R247" s="218"/>
      <c r="T247" s="218"/>
      <c r="V247" s="218"/>
      <c r="X247" s="157"/>
      <c r="Z247" s="218"/>
    </row>
    <row r="248" spans="3:26" ht="15" customHeight="1" x14ac:dyDescent="0.25">
      <c r="C248" s="14"/>
      <c r="D248" s="14"/>
      <c r="E248" s="154"/>
      <c r="F248" s="153"/>
      <c r="H248" s="218"/>
      <c r="J248" s="218"/>
      <c r="L248" s="218"/>
      <c r="N248" s="218"/>
      <c r="P248" s="218"/>
      <c r="R248" s="218"/>
      <c r="T248" s="218"/>
      <c r="V248" s="218"/>
      <c r="X248" s="157"/>
      <c r="Z248" s="218"/>
    </row>
    <row r="249" spans="3:26" ht="15" customHeight="1" x14ac:dyDescent="0.25">
      <c r="C249" s="14"/>
      <c r="D249" s="14"/>
      <c r="E249" s="154"/>
      <c r="F249" s="153"/>
      <c r="H249" s="218"/>
      <c r="J249" s="218"/>
      <c r="L249" s="218"/>
      <c r="N249" s="218"/>
      <c r="P249" s="218"/>
      <c r="R249" s="218"/>
      <c r="T249" s="218"/>
      <c r="V249" s="218"/>
      <c r="X249" s="157"/>
      <c r="Z249" s="218"/>
    </row>
    <row r="250" spans="3:26" ht="15" customHeight="1" x14ac:dyDescent="0.25">
      <c r="C250" s="14"/>
      <c r="D250" s="14"/>
      <c r="E250" s="154"/>
      <c r="F250" s="153"/>
      <c r="H250" s="218"/>
      <c r="J250" s="218"/>
      <c r="L250" s="218"/>
      <c r="N250" s="218"/>
      <c r="P250" s="218"/>
      <c r="R250" s="218"/>
      <c r="T250" s="218"/>
      <c r="V250" s="218"/>
      <c r="X250" s="157"/>
      <c r="Z250" s="218"/>
    </row>
    <row r="251" spans="3:26" ht="15" customHeight="1" x14ac:dyDescent="0.25">
      <c r="C251" s="14"/>
      <c r="D251" s="14"/>
      <c r="E251" s="154"/>
      <c r="F251" s="153"/>
      <c r="H251" s="218"/>
      <c r="J251" s="218"/>
      <c r="L251" s="218"/>
      <c r="N251" s="218"/>
      <c r="P251" s="218"/>
      <c r="R251" s="218"/>
      <c r="T251" s="218"/>
      <c r="V251" s="218"/>
      <c r="X251" s="157"/>
      <c r="Z251" s="218"/>
    </row>
    <row r="252" spans="3:26" ht="15" customHeight="1" x14ac:dyDescent="0.25">
      <c r="C252" s="14"/>
      <c r="D252" s="14"/>
      <c r="E252" s="154"/>
      <c r="F252" s="153"/>
      <c r="H252" s="218"/>
      <c r="J252" s="218"/>
      <c r="L252" s="218"/>
      <c r="N252" s="218"/>
      <c r="P252" s="218"/>
      <c r="R252" s="218"/>
      <c r="T252" s="218"/>
      <c r="V252" s="218"/>
      <c r="X252" s="157"/>
      <c r="Z252" s="218"/>
    </row>
    <row r="253" spans="3:26" ht="15" customHeight="1" x14ac:dyDescent="0.25">
      <c r="C253" s="14"/>
      <c r="D253" s="14"/>
      <c r="E253" s="154"/>
      <c r="F253" s="153"/>
      <c r="H253" s="218"/>
      <c r="J253" s="218"/>
      <c r="L253" s="218"/>
      <c r="N253" s="218"/>
      <c r="P253" s="218"/>
      <c r="R253" s="218"/>
      <c r="T253" s="218"/>
      <c r="V253" s="218"/>
      <c r="X253" s="157"/>
      <c r="Z253" s="218"/>
    </row>
    <row r="254" spans="3:26" ht="15" customHeight="1" x14ac:dyDescent="0.25">
      <c r="C254" s="14"/>
      <c r="D254" s="14"/>
      <c r="E254" s="154"/>
      <c r="F254" s="153"/>
      <c r="H254" s="218"/>
      <c r="J254" s="218"/>
      <c r="L254" s="218"/>
      <c r="N254" s="218"/>
      <c r="P254" s="218"/>
      <c r="R254" s="218"/>
      <c r="T254" s="218"/>
      <c r="V254" s="218"/>
      <c r="X254" s="157"/>
      <c r="Z254" s="218"/>
    </row>
    <row r="255" spans="3:26" ht="15" customHeight="1" x14ac:dyDescent="0.25">
      <c r="C255" s="14"/>
      <c r="D255" s="14"/>
      <c r="E255" s="154"/>
      <c r="F255" s="153"/>
      <c r="H255" s="218"/>
      <c r="J255" s="218"/>
      <c r="L255" s="218"/>
      <c r="N255" s="218"/>
      <c r="P255" s="218"/>
      <c r="R255" s="218"/>
      <c r="T255" s="218"/>
      <c r="V255" s="218"/>
      <c r="X255" s="157"/>
      <c r="Z255" s="218"/>
    </row>
    <row r="256" spans="3:26" ht="15" customHeight="1" x14ac:dyDescent="0.25">
      <c r="C256" s="14"/>
      <c r="D256" s="14"/>
      <c r="E256" s="154"/>
      <c r="F256" s="153"/>
      <c r="H256" s="218"/>
      <c r="J256" s="218"/>
      <c r="L256" s="218"/>
      <c r="N256" s="218"/>
      <c r="P256" s="218"/>
      <c r="R256" s="218"/>
      <c r="T256" s="218"/>
      <c r="V256" s="218"/>
      <c r="X256" s="157"/>
      <c r="Z256" s="218"/>
    </row>
    <row r="257" spans="3:26" ht="15" customHeight="1" x14ac:dyDescent="0.25">
      <c r="C257" s="14"/>
      <c r="D257" s="14"/>
      <c r="E257" s="154"/>
      <c r="F257" s="153"/>
      <c r="H257" s="218"/>
      <c r="J257" s="218"/>
      <c r="L257" s="218"/>
      <c r="N257" s="218"/>
      <c r="P257" s="218"/>
      <c r="R257" s="218"/>
      <c r="T257" s="218"/>
      <c r="V257" s="218"/>
      <c r="X257" s="157"/>
      <c r="Z257" s="218"/>
    </row>
    <row r="258" spans="3:26" ht="15" customHeight="1" x14ac:dyDescent="0.25">
      <c r="C258" s="14"/>
      <c r="D258" s="14"/>
      <c r="E258" s="154"/>
      <c r="F258" s="153"/>
      <c r="H258" s="218"/>
      <c r="J258" s="218"/>
      <c r="L258" s="218"/>
      <c r="N258" s="218"/>
      <c r="P258" s="218"/>
      <c r="R258" s="218"/>
      <c r="T258" s="218"/>
      <c r="V258" s="218"/>
      <c r="X258" s="157"/>
      <c r="Z258" s="218"/>
    </row>
    <row r="259" spans="3:26" ht="15" customHeight="1" x14ac:dyDescent="0.25">
      <c r="C259" s="14"/>
      <c r="D259" s="14"/>
      <c r="E259" s="154"/>
      <c r="F259" s="153"/>
      <c r="H259" s="218"/>
      <c r="J259" s="218"/>
      <c r="L259" s="218"/>
      <c r="N259" s="218"/>
      <c r="P259" s="218"/>
      <c r="R259" s="218"/>
      <c r="T259" s="218"/>
      <c r="V259" s="218"/>
      <c r="X259" s="157"/>
      <c r="Z259" s="218"/>
    </row>
    <row r="260" spans="3:26" ht="15" customHeight="1" x14ac:dyDescent="0.25">
      <c r="C260" s="14"/>
      <c r="D260" s="14"/>
      <c r="E260" s="154"/>
      <c r="F260" s="153"/>
      <c r="H260" s="218"/>
      <c r="J260" s="218"/>
      <c r="L260" s="218"/>
      <c r="N260" s="218"/>
      <c r="P260" s="218"/>
      <c r="R260" s="218"/>
      <c r="T260" s="218"/>
      <c r="V260" s="218"/>
      <c r="X260" s="157"/>
      <c r="Z260" s="218"/>
    </row>
    <row r="261" spans="3:26" ht="15" customHeight="1" x14ac:dyDescent="0.25">
      <c r="C261" s="14"/>
      <c r="D261" s="14"/>
      <c r="E261" s="154"/>
      <c r="F261" s="153"/>
      <c r="H261" s="218"/>
      <c r="J261" s="218"/>
      <c r="L261" s="218"/>
      <c r="N261" s="218"/>
      <c r="P261" s="218"/>
      <c r="R261" s="218"/>
      <c r="T261" s="218"/>
      <c r="V261" s="218"/>
      <c r="X261" s="157"/>
      <c r="Z261" s="218"/>
    </row>
    <row r="262" spans="3:26" ht="15" customHeight="1" x14ac:dyDescent="0.25">
      <c r="C262" s="14"/>
      <c r="D262" s="14"/>
      <c r="E262" s="154"/>
      <c r="F262" s="153"/>
      <c r="H262" s="218"/>
      <c r="J262" s="218"/>
      <c r="L262" s="218"/>
      <c r="N262" s="218"/>
      <c r="P262" s="218"/>
      <c r="R262" s="218"/>
      <c r="T262" s="218"/>
      <c r="V262" s="218"/>
      <c r="X262" s="157"/>
      <c r="Z262" s="218"/>
    </row>
    <row r="263" spans="3:26" ht="15" customHeight="1" x14ac:dyDescent="0.25">
      <c r="C263" s="14"/>
      <c r="D263" s="14"/>
      <c r="E263" s="154"/>
      <c r="F263" s="153"/>
      <c r="H263" s="218"/>
      <c r="J263" s="218"/>
      <c r="L263" s="218"/>
      <c r="N263" s="218"/>
      <c r="P263" s="218"/>
      <c r="R263" s="218"/>
      <c r="T263" s="218"/>
      <c r="V263" s="218"/>
      <c r="X263" s="157"/>
      <c r="Z263" s="218"/>
    </row>
    <row r="264" spans="3:26" ht="15" customHeight="1" x14ac:dyDescent="0.25">
      <c r="C264" s="14"/>
      <c r="D264" s="14"/>
      <c r="E264" s="154"/>
      <c r="F264" s="153"/>
      <c r="H264" s="218"/>
      <c r="J264" s="218"/>
      <c r="L264" s="218"/>
      <c r="N264" s="218"/>
      <c r="P264" s="218"/>
      <c r="R264" s="218"/>
      <c r="T264" s="218"/>
      <c r="V264" s="218"/>
      <c r="X264" s="157"/>
      <c r="Z264" s="218"/>
    </row>
    <row r="265" spans="3:26" ht="15" customHeight="1" x14ac:dyDescent="0.25">
      <c r="C265" s="14"/>
      <c r="D265" s="14"/>
      <c r="E265" s="154"/>
      <c r="F265" s="153"/>
      <c r="H265" s="218"/>
      <c r="J265" s="218"/>
      <c r="L265" s="218"/>
      <c r="N265" s="218"/>
      <c r="P265" s="218"/>
      <c r="R265" s="218"/>
      <c r="T265" s="218"/>
      <c r="V265" s="218"/>
      <c r="X265" s="157"/>
      <c r="Z265" s="218"/>
    </row>
    <row r="266" spans="3:26" ht="15" customHeight="1" x14ac:dyDescent="0.25">
      <c r="C266" s="14"/>
      <c r="D266" s="14"/>
      <c r="E266" s="154"/>
      <c r="F266" s="153"/>
      <c r="H266" s="218"/>
      <c r="J266" s="218"/>
      <c r="L266" s="218"/>
      <c r="N266" s="218"/>
      <c r="P266" s="218"/>
      <c r="R266" s="218"/>
      <c r="T266" s="218"/>
      <c r="V266" s="218"/>
      <c r="X266" s="157"/>
      <c r="Z266" s="218"/>
    </row>
    <row r="267" spans="3:26" ht="15" customHeight="1" x14ac:dyDescent="0.25">
      <c r="C267" s="14"/>
      <c r="D267" s="14"/>
      <c r="E267" s="154"/>
      <c r="F267" s="153"/>
      <c r="H267" s="218"/>
      <c r="J267" s="218"/>
      <c r="L267" s="218"/>
      <c r="N267" s="218"/>
      <c r="P267" s="218"/>
      <c r="R267" s="218"/>
      <c r="T267" s="218"/>
      <c r="V267" s="218"/>
      <c r="X267" s="157"/>
      <c r="Z267" s="218"/>
    </row>
    <row r="268" spans="3:26" ht="15" customHeight="1" x14ac:dyDescent="0.25">
      <c r="C268" s="14"/>
      <c r="D268" s="14"/>
      <c r="E268" s="154"/>
      <c r="F268" s="153"/>
      <c r="H268" s="218"/>
      <c r="J268" s="218"/>
      <c r="L268" s="218"/>
      <c r="N268" s="218"/>
      <c r="P268" s="218"/>
      <c r="R268" s="218"/>
      <c r="T268" s="218"/>
      <c r="V268" s="218"/>
      <c r="X268" s="157"/>
      <c r="Z268" s="218"/>
    </row>
    <row r="269" spans="3:26" ht="15" customHeight="1" x14ac:dyDescent="0.25">
      <c r="C269" s="14"/>
      <c r="D269" s="14"/>
      <c r="E269" s="154"/>
      <c r="F269" s="153"/>
      <c r="H269" s="218"/>
      <c r="J269" s="218"/>
      <c r="L269" s="218"/>
      <c r="N269" s="218"/>
      <c r="P269" s="218"/>
      <c r="R269" s="218"/>
      <c r="T269" s="218"/>
      <c r="V269" s="218"/>
      <c r="X269" s="157"/>
      <c r="Z269" s="218"/>
    </row>
    <row r="270" spans="3:26" ht="15" customHeight="1" x14ac:dyDescent="0.25">
      <c r="C270" s="14"/>
      <c r="D270" s="14"/>
      <c r="E270" s="154"/>
      <c r="F270" s="153"/>
      <c r="H270" s="218"/>
      <c r="J270" s="218"/>
      <c r="L270" s="218"/>
      <c r="N270" s="218"/>
      <c r="P270" s="218"/>
      <c r="R270" s="218"/>
      <c r="T270" s="218"/>
      <c r="V270" s="218"/>
      <c r="X270" s="157"/>
      <c r="Z270" s="218"/>
    </row>
    <row r="271" spans="3:26" ht="15" customHeight="1" x14ac:dyDescent="0.25">
      <c r="C271" s="14"/>
      <c r="D271" s="14"/>
      <c r="E271" s="154"/>
      <c r="F271" s="153"/>
      <c r="H271" s="218"/>
      <c r="J271" s="218"/>
      <c r="L271" s="218"/>
      <c r="N271" s="218"/>
      <c r="P271" s="218"/>
      <c r="R271" s="218"/>
      <c r="T271" s="218"/>
      <c r="V271" s="218"/>
      <c r="X271" s="157"/>
      <c r="Z271" s="218"/>
    </row>
    <row r="272" spans="3:26" ht="15" customHeight="1" x14ac:dyDescent="0.25">
      <c r="C272" s="14"/>
      <c r="D272" s="14"/>
      <c r="E272" s="154"/>
      <c r="F272" s="153"/>
      <c r="H272" s="218"/>
      <c r="J272" s="218"/>
      <c r="L272" s="218"/>
      <c r="N272" s="218"/>
      <c r="P272" s="218"/>
      <c r="R272" s="218"/>
      <c r="T272" s="218"/>
      <c r="V272" s="218"/>
      <c r="X272" s="157"/>
      <c r="Z272" s="218"/>
    </row>
    <row r="273" spans="3:26" ht="15" customHeight="1" x14ac:dyDescent="0.25">
      <c r="C273" s="14"/>
      <c r="D273" s="14"/>
      <c r="E273" s="154"/>
      <c r="F273" s="153"/>
      <c r="H273" s="218"/>
      <c r="J273" s="218"/>
      <c r="L273" s="218"/>
      <c r="N273" s="218"/>
      <c r="P273" s="218"/>
      <c r="R273" s="218"/>
      <c r="T273" s="218"/>
      <c r="V273" s="218"/>
      <c r="X273" s="157"/>
      <c r="Z273" s="218"/>
    </row>
    <row r="274" spans="3:26" ht="15" customHeight="1" x14ac:dyDescent="0.25">
      <c r="C274" s="14"/>
      <c r="D274" s="14"/>
      <c r="E274" s="154"/>
      <c r="F274" s="153"/>
      <c r="H274" s="218"/>
      <c r="J274" s="218"/>
      <c r="L274" s="218"/>
      <c r="N274" s="218"/>
      <c r="P274" s="218"/>
      <c r="R274" s="218"/>
      <c r="T274" s="218"/>
      <c r="V274" s="218"/>
      <c r="X274" s="157"/>
      <c r="Z274" s="218"/>
    </row>
    <row r="275" spans="3:26" ht="15" customHeight="1" x14ac:dyDescent="0.25">
      <c r="C275" s="14"/>
      <c r="D275" s="14"/>
      <c r="E275" s="154"/>
      <c r="F275" s="153"/>
      <c r="H275" s="218"/>
      <c r="J275" s="218"/>
      <c r="L275" s="218"/>
      <c r="N275" s="218"/>
      <c r="P275" s="218"/>
      <c r="R275" s="218"/>
      <c r="T275" s="218"/>
      <c r="V275" s="218"/>
      <c r="X275" s="157"/>
      <c r="Z275" s="218"/>
    </row>
    <row r="276" spans="3:26" ht="15" customHeight="1" x14ac:dyDescent="0.25">
      <c r="C276" s="14"/>
      <c r="D276" s="14"/>
      <c r="E276" s="154"/>
      <c r="F276" s="153"/>
      <c r="H276" s="218"/>
      <c r="J276" s="218"/>
      <c r="L276" s="218"/>
      <c r="N276" s="218"/>
      <c r="P276" s="218"/>
      <c r="R276" s="218"/>
      <c r="T276" s="218"/>
      <c r="V276" s="218"/>
      <c r="X276" s="157"/>
      <c r="Z276" s="218"/>
    </row>
    <row r="277" spans="3:26" ht="15" customHeight="1" x14ac:dyDescent="0.25">
      <c r="C277" s="14"/>
      <c r="D277" s="14"/>
      <c r="E277" s="154"/>
      <c r="F277" s="153"/>
      <c r="H277" s="218"/>
      <c r="J277" s="218"/>
      <c r="L277" s="218"/>
      <c r="N277" s="218"/>
      <c r="P277" s="218"/>
      <c r="R277" s="218"/>
      <c r="T277" s="218"/>
      <c r="V277" s="218"/>
      <c r="X277" s="157"/>
      <c r="Z277" s="218"/>
    </row>
    <row r="278" spans="3:26" ht="15" customHeight="1" x14ac:dyDescent="0.25">
      <c r="C278" s="14"/>
      <c r="D278" s="14"/>
      <c r="E278" s="154"/>
      <c r="F278" s="153"/>
      <c r="H278" s="218"/>
      <c r="J278" s="218"/>
      <c r="L278" s="218"/>
      <c r="N278" s="218"/>
      <c r="P278" s="218"/>
      <c r="R278" s="218"/>
      <c r="T278" s="218"/>
      <c r="V278" s="218"/>
      <c r="X278" s="157"/>
      <c r="Z278" s="218"/>
    </row>
    <row r="279" spans="3:26" ht="15" customHeight="1" x14ac:dyDescent="0.25">
      <c r="C279" s="14"/>
      <c r="D279" s="14"/>
      <c r="E279" s="154"/>
      <c r="F279" s="153"/>
      <c r="H279" s="218"/>
      <c r="J279" s="218"/>
      <c r="L279" s="218"/>
      <c r="N279" s="218"/>
      <c r="P279" s="218"/>
      <c r="R279" s="218"/>
      <c r="T279" s="218"/>
      <c r="V279" s="218"/>
      <c r="X279" s="157"/>
      <c r="Z279" s="218"/>
    </row>
    <row r="280" spans="3:26" ht="15" customHeight="1" x14ac:dyDescent="0.25">
      <c r="C280" s="14"/>
      <c r="D280" s="14"/>
      <c r="E280" s="154"/>
      <c r="F280" s="153"/>
      <c r="H280" s="218"/>
      <c r="J280" s="218"/>
      <c r="L280" s="218"/>
      <c r="N280" s="218"/>
      <c r="P280" s="218"/>
      <c r="R280" s="218"/>
      <c r="T280" s="218"/>
      <c r="V280" s="218"/>
      <c r="X280" s="157"/>
      <c r="Z280" s="218"/>
    </row>
    <row r="281" spans="3:26" ht="15" customHeight="1" x14ac:dyDescent="0.25">
      <c r="C281" s="14"/>
      <c r="D281" s="14"/>
      <c r="E281" s="154"/>
      <c r="F281" s="153"/>
      <c r="H281" s="218"/>
      <c r="J281" s="218"/>
      <c r="L281" s="218"/>
      <c r="N281" s="218"/>
      <c r="P281" s="218"/>
      <c r="R281" s="218"/>
      <c r="T281" s="218"/>
      <c r="V281" s="218"/>
      <c r="X281" s="157"/>
      <c r="Z281" s="218"/>
    </row>
    <row r="282" spans="3:26" ht="15" customHeight="1" x14ac:dyDescent="0.25">
      <c r="C282" s="14"/>
      <c r="D282" s="14"/>
      <c r="E282" s="154"/>
      <c r="F282" s="153"/>
      <c r="H282" s="218"/>
      <c r="J282" s="218"/>
      <c r="L282" s="218"/>
      <c r="N282" s="218"/>
      <c r="P282" s="218"/>
      <c r="R282" s="218"/>
      <c r="T282" s="218"/>
      <c r="V282" s="218"/>
      <c r="X282" s="157"/>
      <c r="Z282" s="218"/>
    </row>
    <row r="283" spans="3:26" ht="15" customHeight="1" x14ac:dyDescent="0.25">
      <c r="C283" s="14"/>
      <c r="D283" s="14"/>
      <c r="E283" s="154"/>
      <c r="F283" s="153"/>
      <c r="H283" s="218"/>
      <c r="J283" s="218"/>
      <c r="L283" s="218"/>
      <c r="N283" s="218"/>
      <c r="P283" s="218"/>
      <c r="R283" s="218"/>
      <c r="T283" s="218"/>
      <c r="V283" s="218"/>
      <c r="X283" s="157"/>
      <c r="Z283" s="218"/>
    </row>
    <row r="284" spans="3:26" ht="15" customHeight="1" x14ac:dyDescent="0.25">
      <c r="C284" s="14"/>
      <c r="D284" s="14"/>
      <c r="E284" s="154"/>
      <c r="F284" s="153"/>
      <c r="H284" s="218"/>
      <c r="J284" s="218"/>
      <c r="L284" s="218"/>
      <c r="N284" s="218"/>
      <c r="P284" s="218"/>
      <c r="R284" s="218"/>
      <c r="T284" s="218"/>
      <c r="V284" s="218"/>
      <c r="X284" s="157"/>
      <c r="Z284" s="218"/>
    </row>
    <row r="285" spans="3:26" ht="15" customHeight="1" x14ac:dyDescent="0.25">
      <c r="C285" s="14"/>
      <c r="D285" s="14"/>
      <c r="E285" s="154"/>
      <c r="F285" s="153"/>
      <c r="H285" s="218"/>
      <c r="J285" s="218"/>
      <c r="L285" s="218"/>
      <c r="N285" s="218"/>
      <c r="P285" s="218"/>
      <c r="R285" s="218"/>
      <c r="T285" s="218"/>
      <c r="V285" s="218"/>
      <c r="X285" s="157"/>
      <c r="Z285" s="218"/>
    </row>
    <row r="286" spans="3:26" ht="15" customHeight="1" x14ac:dyDescent="0.25">
      <c r="C286" s="14"/>
      <c r="D286" s="14"/>
      <c r="E286" s="154"/>
      <c r="F286" s="153"/>
      <c r="H286" s="218"/>
      <c r="J286" s="218"/>
      <c r="L286" s="218"/>
      <c r="N286" s="218"/>
      <c r="P286" s="218"/>
      <c r="R286" s="218"/>
      <c r="T286" s="218"/>
      <c r="V286" s="218"/>
      <c r="X286" s="157"/>
      <c r="Z286" s="218"/>
    </row>
    <row r="287" spans="3:26" ht="15" customHeight="1" x14ac:dyDescent="0.25">
      <c r="C287" s="14"/>
      <c r="D287" s="14"/>
      <c r="E287" s="154"/>
      <c r="F287" s="153"/>
      <c r="H287" s="218"/>
      <c r="J287" s="218"/>
      <c r="L287" s="218"/>
      <c r="N287" s="218"/>
      <c r="P287" s="218"/>
      <c r="R287" s="218"/>
      <c r="T287" s="218"/>
      <c r="V287" s="218"/>
      <c r="X287" s="157"/>
      <c r="Z287" s="218"/>
    </row>
    <row r="288" spans="3:26" ht="15" customHeight="1" x14ac:dyDescent="0.25">
      <c r="C288" s="14"/>
      <c r="D288" s="14"/>
      <c r="E288" s="154"/>
      <c r="F288" s="153"/>
      <c r="H288" s="218"/>
      <c r="J288" s="218"/>
      <c r="L288" s="218"/>
      <c r="N288" s="218"/>
      <c r="P288" s="218"/>
      <c r="R288" s="218"/>
      <c r="T288" s="218"/>
      <c r="V288" s="218"/>
      <c r="X288" s="157"/>
      <c r="Z288" s="218"/>
    </row>
    <row r="289" spans="3:26" ht="15" customHeight="1" x14ac:dyDescent="0.25">
      <c r="C289" s="14"/>
      <c r="D289" s="14"/>
      <c r="E289" s="154"/>
      <c r="F289" s="153"/>
      <c r="H289" s="218"/>
      <c r="J289" s="218"/>
      <c r="L289" s="218"/>
      <c r="N289" s="218"/>
      <c r="P289" s="218"/>
      <c r="R289" s="218"/>
      <c r="T289" s="218"/>
      <c r="V289" s="218"/>
      <c r="X289" s="157"/>
      <c r="Z289" s="218"/>
    </row>
    <row r="290" spans="3:26" ht="15" customHeight="1" x14ac:dyDescent="0.25">
      <c r="C290" s="14"/>
      <c r="D290" s="14"/>
      <c r="E290" s="154"/>
      <c r="F290" s="153"/>
      <c r="H290" s="218"/>
      <c r="J290" s="218"/>
      <c r="L290" s="218"/>
      <c r="N290" s="218"/>
      <c r="P290" s="218"/>
      <c r="R290" s="218"/>
      <c r="T290" s="218"/>
      <c r="V290" s="218"/>
      <c r="X290" s="157"/>
      <c r="Z290" s="218"/>
    </row>
    <row r="291" spans="3:26" ht="15" customHeight="1" x14ac:dyDescent="0.25">
      <c r="C291" s="14"/>
      <c r="D291" s="14"/>
      <c r="E291" s="154"/>
      <c r="F291" s="153"/>
      <c r="H291" s="218"/>
      <c r="J291" s="218"/>
      <c r="L291" s="218"/>
      <c r="N291" s="218"/>
      <c r="P291" s="218"/>
      <c r="R291" s="218"/>
      <c r="T291" s="218"/>
      <c r="V291" s="218"/>
      <c r="X291" s="157"/>
      <c r="Z291" s="218"/>
    </row>
    <row r="292" spans="3:26" ht="15" customHeight="1" x14ac:dyDescent="0.25">
      <c r="C292" s="14"/>
      <c r="D292" s="14"/>
      <c r="E292" s="154"/>
      <c r="F292" s="153"/>
      <c r="H292" s="218"/>
      <c r="J292" s="218"/>
      <c r="L292" s="218"/>
      <c r="N292" s="218"/>
      <c r="P292" s="218"/>
      <c r="R292" s="218"/>
      <c r="T292" s="218"/>
      <c r="V292" s="218"/>
      <c r="X292" s="157"/>
      <c r="Z292" s="218"/>
    </row>
    <row r="293" spans="3:26" ht="15" customHeight="1" x14ac:dyDescent="0.25">
      <c r="C293" s="14"/>
      <c r="D293" s="14"/>
      <c r="E293" s="154"/>
      <c r="F293" s="153"/>
      <c r="H293" s="218"/>
      <c r="J293" s="218"/>
      <c r="L293" s="218"/>
      <c r="N293" s="218"/>
      <c r="P293" s="218"/>
      <c r="R293" s="218"/>
      <c r="T293" s="218"/>
      <c r="V293" s="218"/>
      <c r="X293" s="157"/>
      <c r="Z293" s="218"/>
    </row>
    <row r="294" spans="3:26" ht="15" customHeight="1" x14ac:dyDescent="0.25">
      <c r="C294" s="14"/>
      <c r="D294" s="14"/>
      <c r="E294" s="154"/>
      <c r="F294" s="153"/>
      <c r="H294" s="218"/>
      <c r="J294" s="218"/>
      <c r="L294" s="218"/>
      <c r="N294" s="218"/>
      <c r="P294" s="218"/>
      <c r="R294" s="218"/>
      <c r="T294" s="218"/>
      <c r="V294" s="218"/>
      <c r="X294" s="157"/>
      <c r="Z294" s="218"/>
    </row>
    <row r="295" spans="3:26" ht="15" customHeight="1" x14ac:dyDescent="0.25">
      <c r="C295" s="14"/>
      <c r="D295" s="14"/>
      <c r="E295" s="154"/>
      <c r="F295" s="153"/>
      <c r="H295" s="218"/>
      <c r="J295" s="218"/>
      <c r="L295" s="218"/>
      <c r="N295" s="218"/>
      <c r="P295" s="218"/>
      <c r="R295" s="218"/>
      <c r="T295" s="218"/>
      <c r="V295" s="218"/>
      <c r="X295" s="157"/>
      <c r="Z295" s="218"/>
    </row>
    <row r="296" spans="3:26" ht="15" customHeight="1" x14ac:dyDescent="0.25">
      <c r="C296" s="14"/>
      <c r="D296" s="14"/>
      <c r="E296" s="154"/>
      <c r="F296" s="153"/>
      <c r="H296" s="218"/>
      <c r="J296" s="218"/>
      <c r="L296" s="218"/>
      <c r="N296" s="218"/>
      <c r="P296" s="218"/>
      <c r="R296" s="218"/>
      <c r="T296" s="218"/>
      <c r="V296" s="218"/>
      <c r="X296" s="157"/>
      <c r="Z296" s="218"/>
    </row>
    <row r="297" spans="3:26" ht="15" customHeight="1" x14ac:dyDescent="0.25">
      <c r="C297" s="14"/>
      <c r="D297" s="14"/>
      <c r="E297" s="154"/>
      <c r="F297" s="153"/>
      <c r="H297" s="218"/>
      <c r="J297" s="218"/>
      <c r="L297" s="218"/>
      <c r="N297" s="218"/>
      <c r="P297" s="218"/>
      <c r="R297" s="218"/>
      <c r="T297" s="218"/>
      <c r="V297" s="218"/>
      <c r="X297" s="157"/>
      <c r="Z297" s="218"/>
    </row>
    <row r="298" spans="3:26" ht="15" customHeight="1" x14ac:dyDescent="0.25">
      <c r="C298" s="14"/>
      <c r="D298" s="14"/>
      <c r="E298" s="154"/>
      <c r="F298" s="153"/>
      <c r="H298" s="218"/>
      <c r="J298" s="218"/>
      <c r="L298" s="218"/>
      <c r="N298" s="218"/>
      <c r="P298" s="218"/>
      <c r="R298" s="218"/>
      <c r="T298" s="218"/>
      <c r="V298" s="218"/>
      <c r="X298" s="157"/>
      <c r="Z298" s="218"/>
    </row>
    <row r="299" spans="3:26" ht="15" customHeight="1" x14ac:dyDescent="0.25">
      <c r="C299" s="14"/>
      <c r="D299" s="14"/>
      <c r="E299" s="154"/>
      <c r="F299" s="153"/>
      <c r="H299" s="218"/>
      <c r="J299" s="218"/>
      <c r="L299" s="218"/>
      <c r="N299" s="218"/>
      <c r="P299" s="218"/>
      <c r="R299" s="218"/>
      <c r="T299" s="218"/>
      <c r="V299" s="218"/>
      <c r="X299" s="157"/>
      <c r="Z299" s="218"/>
    </row>
    <row r="300" spans="3:26" ht="15" customHeight="1" x14ac:dyDescent="0.25">
      <c r="C300" s="14"/>
      <c r="D300" s="14"/>
      <c r="E300" s="154"/>
      <c r="F300" s="153"/>
      <c r="H300" s="218"/>
      <c r="J300" s="218"/>
      <c r="L300" s="218"/>
      <c r="N300" s="218"/>
      <c r="P300" s="218"/>
      <c r="R300" s="218"/>
      <c r="T300" s="218"/>
      <c r="V300" s="218"/>
      <c r="X300" s="157"/>
      <c r="Z300" s="218"/>
    </row>
    <row r="301" spans="3:26" ht="15" customHeight="1" x14ac:dyDescent="0.25">
      <c r="C301" s="14"/>
      <c r="D301" s="14"/>
      <c r="E301" s="154"/>
      <c r="F301" s="153"/>
      <c r="H301" s="218"/>
      <c r="J301" s="218"/>
      <c r="L301" s="218"/>
      <c r="N301" s="218"/>
      <c r="P301" s="218"/>
      <c r="R301" s="218"/>
      <c r="T301" s="218"/>
      <c r="V301" s="218"/>
      <c r="X301" s="157"/>
      <c r="Z301" s="218"/>
    </row>
    <row r="302" spans="3:26" ht="15" customHeight="1" x14ac:dyDescent="0.25">
      <c r="C302" s="14"/>
      <c r="D302" s="14"/>
      <c r="E302" s="154"/>
      <c r="F302" s="153"/>
      <c r="H302" s="218"/>
      <c r="J302" s="218"/>
      <c r="L302" s="218"/>
      <c r="N302" s="218"/>
      <c r="P302" s="218"/>
      <c r="R302" s="218"/>
      <c r="T302" s="218"/>
      <c r="V302" s="218"/>
      <c r="X302" s="157"/>
      <c r="Z302" s="218"/>
    </row>
    <row r="303" spans="3:26" ht="15" customHeight="1" x14ac:dyDescent="0.25">
      <c r="C303" s="14"/>
      <c r="D303" s="14"/>
      <c r="E303" s="154"/>
      <c r="F303" s="153"/>
      <c r="H303" s="218"/>
      <c r="J303" s="218"/>
      <c r="L303" s="218"/>
      <c r="N303" s="218"/>
      <c r="P303" s="218"/>
      <c r="R303" s="218"/>
      <c r="T303" s="218"/>
      <c r="V303" s="218"/>
      <c r="X303" s="157"/>
      <c r="Z303" s="218"/>
    </row>
    <row r="304" spans="3:26" ht="15" customHeight="1" x14ac:dyDescent="0.25">
      <c r="C304" s="14"/>
      <c r="D304" s="14"/>
      <c r="E304" s="154"/>
      <c r="F304" s="153"/>
      <c r="H304" s="218"/>
      <c r="J304" s="218"/>
      <c r="L304" s="218"/>
      <c r="N304" s="218"/>
      <c r="P304" s="218"/>
      <c r="R304" s="218"/>
      <c r="T304" s="218"/>
      <c r="V304" s="218"/>
      <c r="X304" s="157"/>
      <c r="Z304" s="218"/>
    </row>
    <row r="305" spans="3:26" ht="15" customHeight="1" x14ac:dyDescent="0.25">
      <c r="C305" s="14"/>
      <c r="D305" s="14"/>
      <c r="E305" s="154"/>
      <c r="F305" s="153"/>
      <c r="H305" s="218"/>
      <c r="J305" s="218"/>
      <c r="L305" s="218"/>
      <c r="N305" s="218"/>
      <c r="P305" s="218"/>
      <c r="R305" s="218"/>
      <c r="T305" s="218"/>
      <c r="V305" s="218"/>
      <c r="X305" s="157"/>
      <c r="Z305" s="218"/>
    </row>
    <row r="306" spans="3:26" ht="15" customHeight="1" x14ac:dyDescent="0.25">
      <c r="C306" s="14"/>
      <c r="D306" s="14"/>
      <c r="E306" s="154"/>
      <c r="F306" s="153"/>
      <c r="H306" s="218"/>
      <c r="J306" s="218"/>
      <c r="L306" s="218"/>
      <c r="N306" s="218"/>
      <c r="P306" s="218"/>
      <c r="R306" s="218"/>
      <c r="T306" s="218"/>
      <c r="V306" s="218"/>
      <c r="X306" s="157"/>
      <c r="Z306" s="218"/>
    </row>
    <row r="307" spans="3:26" ht="15" customHeight="1" x14ac:dyDescent="0.25">
      <c r="C307" s="14"/>
      <c r="D307" s="14"/>
      <c r="E307" s="154"/>
      <c r="F307" s="153"/>
      <c r="H307" s="218"/>
      <c r="J307" s="218"/>
      <c r="L307" s="218"/>
      <c r="N307" s="218"/>
      <c r="P307" s="218"/>
      <c r="R307" s="218"/>
      <c r="T307" s="218"/>
      <c r="V307" s="218"/>
      <c r="X307" s="157"/>
      <c r="Z307" s="218"/>
    </row>
    <row r="308" spans="3:26" ht="15" customHeight="1" x14ac:dyDescent="0.25">
      <c r="C308" s="14"/>
      <c r="D308" s="14"/>
      <c r="E308" s="154"/>
      <c r="F308" s="153"/>
      <c r="H308" s="218"/>
      <c r="J308" s="218"/>
      <c r="L308" s="218"/>
      <c r="N308" s="218"/>
      <c r="P308" s="218"/>
      <c r="R308" s="218"/>
      <c r="T308" s="218"/>
      <c r="V308" s="218"/>
      <c r="X308" s="157"/>
      <c r="Z308" s="218"/>
    </row>
    <row r="309" spans="3:26" ht="15" customHeight="1" x14ac:dyDescent="0.25">
      <c r="C309" s="14"/>
      <c r="D309" s="14"/>
      <c r="E309" s="154"/>
      <c r="F309" s="153"/>
      <c r="H309" s="218"/>
      <c r="J309" s="218"/>
      <c r="L309" s="218"/>
      <c r="N309" s="218"/>
      <c r="P309" s="218"/>
      <c r="R309" s="218"/>
      <c r="T309" s="218"/>
      <c r="V309" s="218"/>
      <c r="X309" s="157"/>
      <c r="Z309" s="218"/>
    </row>
    <row r="310" spans="3:26" ht="15" customHeight="1" x14ac:dyDescent="0.25">
      <c r="C310" s="14"/>
      <c r="D310" s="14"/>
      <c r="E310" s="154"/>
      <c r="F310" s="153"/>
      <c r="H310" s="218"/>
      <c r="J310" s="218"/>
      <c r="L310" s="218"/>
      <c r="N310" s="218"/>
      <c r="P310" s="218"/>
      <c r="R310" s="218"/>
      <c r="T310" s="218"/>
      <c r="V310" s="218"/>
      <c r="X310" s="157"/>
      <c r="Z310" s="218"/>
    </row>
    <row r="311" spans="3:26" ht="15" customHeight="1" x14ac:dyDescent="0.25">
      <c r="C311" s="14"/>
      <c r="D311" s="14"/>
      <c r="E311" s="154"/>
      <c r="F311" s="153"/>
      <c r="H311" s="218"/>
      <c r="J311" s="218"/>
      <c r="L311" s="218"/>
      <c r="N311" s="218"/>
      <c r="P311" s="218"/>
      <c r="R311" s="218"/>
      <c r="T311" s="218"/>
      <c r="V311" s="218"/>
      <c r="X311" s="157"/>
      <c r="Z311" s="218"/>
    </row>
    <row r="312" spans="3:26" ht="15" customHeight="1" x14ac:dyDescent="0.25">
      <c r="C312" s="14"/>
      <c r="D312" s="14"/>
      <c r="E312" s="154"/>
      <c r="F312" s="153"/>
      <c r="H312" s="218"/>
      <c r="J312" s="218"/>
      <c r="L312" s="218"/>
      <c r="N312" s="218"/>
      <c r="P312" s="218"/>
      <c r="R312" s="218"/>
      <c r="T312" s="218"/>
      <c r="V312" s="218"/>
      <c r="X312" s="157"/>
      <c r="Z312" s="218"/>
    </row>
    <row r="313" spans="3:26" ht="15" customHeight="1" x14ac:dyDescent="0.25">
      <c r="C313" s="14"/>
      <c r="D313" s="14"/>
      <c r="E313" s="154"/>
      <c r="F313" s="153"/>
      <c r="H313" s="218"/>
      <c r="J313" s="218"/>
      <c r="L313" s="218"/>
      <c r="N313" s="218"/>
      <c r="P313" s="218"/>
      <c r="R313" s="218"/>
      <c r="T313" s="218"/>
      <c r="V313" s="218"/>
      <c r="X313" s="157"/>
      <c r="Z313" s="218"/>
    </row>
    <row r="314" spans="3:26" ht="15" customHeight="1" x14ac:dyDescent="0.25">
      <c r="C314" s="14"/>
      <c r="D314" s="14"/>
      <c r="E314" s="154"/>
      <c r="F314" s="153"/>
      <c r="H314" s="218"/>
      <c r="J314" s="218"/>
      <c r="L314" s="218"/>
      <c r="N314" s="218"/>
      <c r="P314" s="218"/>
      <c r="R314" s="218"/>
      <c r="T314" s="218"/>
      <c r="V314" s="218"/>
      <c r="X314" s="157"/>
      <c r="Z314" s="218"/>
    </row>
    <row r="315" spans="3:26" ht="15" customHeight="1" x14ac:dyDescent="0.25">
      <c r="C315" s="14"/>
      <c r="D315" s="14"/>
      <c r="E315" s="154"/>
      <c r="F315" s="153"/>
      <c r="H315" s="218"/>
      <c r="J315" s="218"/>
      <c r="L315" s="218"/>
      <c r="N315" s="218"/>
      <c r="P315" s="218"/>
      <c r="R315" s="218"/>
      <c r="T315" s="218"/>
      <c r="V315" s="218"/>
      <c r="X315" s="157"/>
      <c r="Z315" s="218"/>
    </row>
    <row r="316" spans="3:26" ht="15" customHeight="1" x14ac:dyDescent="0.25">
      <c r="C316" s="14"/>
      <c r="D316" s="14"/>
      <c r="E316" s="154"/>
      <c r="F316" s="153"/>
      <c r="H316" s="218"/>
      <c r="J316" s="218"/>
      <c r="L316" s="218"/>
      <c r="N316" s="218"/>
      <c r="P316" s="218"/>
      <c r="R316" s="218"/>
      <c r="T316" s="218"/>
      <c r="V316" s="218"/>
      <c r="X316" s="157"/>
      <c r="Z316" s="218"/>
    </row>
    <row r="317" spans="3:26" ht="15" customHeight="1" x14ac:dyDescent="0.25">
      <c r="C317" s="14"/>
      <c r="D317" s="14"/>
      <c r="E317" s="154"/>
      <c r="F317" s="153"/>
      <c r="H317" s="218"/>
      <c r="J317" s="218"/>
      <c r="L317" s="218"/>
      <c r="N317" s="218"/>
      <c r="P317" s="218"/>
      <c r="R317" s="218"/>
      <c r="T317" s="218"/>
      <c r="V317" s="218"/>
      <c r="X317" s="157"/>
      <c r="Z317" s="218"/>
    </row>
    <row r="318" spans="3:26" ht="15" customHeight="1" x14ac:dyDescent="0.25">
      <c r="C318" s="14"/>
      <c r="D318" s="14"/>
      <c r="E318" s="154"/>
      <c r="F318" s="153"/>
      <c r="H318" s="218"/>
      <c r="J318" s="218"/>
      <c r="L318" s="218"/>
      <c r="N318" s="218"/>
      <c r="P318" s="218"/>
      <c r="R318" s="218"/>
      <c r="T318" s="218"/>
      <c r="V318" s="218"/>
      <c r="X318" s="157"/>
      <c r="Z318" s="218"/>
    </row>
    <row r="319" spans="3:26" ht="15" customHeight="1" x14ac:dyDescent="0.25">
      <c r="C319" s="14"/>
      <c r="D319" s="14"/>
      <c r="E319" s="154"/>
      <c r="F319" s="153"/>
      <c r="H319" s="218"/>
      <c r="J319" s="218"/>
      <c r="L319" s="218"/>
      <c r="N319" s="218"/>
      <c r="P319" s="218"/>
      <c r="R319" s="218"/>
      <c r="T319" s="218"/>
      <c r="V319" s="218"/>
      <c r="X319" s="157"/>
      <c r="Z319" s="218"/>
    </row>
    <row r="320" spans="3:26" ht="15" customHeight="1" x14ac:dyDescent="0.25">
      <c r="C320" s="14"/>
      <c r="D320" s="14"/>
      <c r="E320" s="154"/>
      <c r="F320" s="153"/>
      <c r="H320" s="218"/>
      <c r="J320" s="218"/>
      <c r="L320" s="218"/>
      <c r="N320" s="218"/>
      <c r="P320" s="218"/>
      <c r="R320" s="218"/>
      <c r="T320" s="218"/>
      <c r="V320" s="218"/>
      <c r="X320" s="157"/>
      <c r="Z320" s="218"/>
    </row>
    <row r="321" spans="3:26" ht="15" customHeight="1" x14ac:dyDescent="0.25">
      <c r="C321" s="14"/>
      <c r="D321" s="14"/>
      <c r="E321" s="154"/>
      <c r="F321" s="153"/>
      <c r="H321" s="218"/>
      <c r="J321" s="218"/>
      <c r="L321" s="218"/>
      <c r="N321" s="218"/>
      <c r="P321" s="218"/>
      <c r="R321" s="218"/>
      <c r="T321" s="218"/>
      <c r="V321" s="218"/>
      <c r="X321" s="157"/>
      <c r="Z321" s="218"/>
    </row>
    <row r="322" spans="3:26" ht="15" customHeight="1" x14ac:dyDescent="0.25">
      <c r="C322" s="14"/>
      <c r="D322" s="14"/>
      <c r="E322" s="154"/>
      <c r="F322" s="153"/>
      <c r="H322" s="218"/>
      <c r="J322" s="218"/>
      <c r="L322" s="218"/>
      <c r="N322" s="218"/>
      <c r="P322" s="218"/>
      <c r="R322" s="218"/>
      <c r="T322" s="218"/>
      <c r="V322" s="218"/>
      <c r="X322" s="157"/>
      <c r="Z322" s="218"/>
    </row>
    <row r="323" spans="3:26" ht="15" customHeight="1" x14ac:dyDescent="0.25">
      <c r="C323" s="14"/>
      <c r="D323" s="14"/>
      <c r="E323" s="154"/>
      <c r="F323" s="153"/>
      <c r="H323" s="218"/>
      <c r="J323" s="218"/>
      <c r="L323" s="218"/>
      <c r="N323" s="218"/>
      <c r="P323" s="218"/>
      <c r="R323" s="218"/>
      <c r="T323" s="218"/>
      <c r="V323" s="218"/>
      <c r="X323" s="157"/>
      <c r="Z323" s="218"/>
    </row>
    <row r="324" spans="3:26" ht="15" customHeight="1" x14ac:dyDescent="0.25">
      <c r="C324" s="14"/>
      <c r="D324" s="14"/>
      <c r="E324" s="154"/>
      <c r="F324" s="153"/>
      <c r="H324" s="218"/>
      <c r="J324" s="218"/>
      <c r="L324" s="218"/>
      <c r="N324" s="218"/>
      <c r="P324" s="218"/>
      <c r="R324" s="218"/>
      <c r="T324" s="218"/>
      <c r="V324" s="218"/>
      <c r="X324" s="157"/>
      <c r="Z324" s="218"/>
    </row>
    <row r="325" spans="3:26" ht="15" customHeight="1" x14ac:dyDescent="0.25">
      <c r="C325" s="14"/>
      <c r="D325" s="14"/>
      <c r="E325" s="154"/>
      <c r="F325" s="153"/>
      <c r="H325" s="218"/>
      <c r="J325" s="218"/>
      <c r="L325" s="218"/>
      <c r="N325" s="218"/>
      <c r="P325" s="218"/>
      <c r="R325" s="218"/>
      <c r="T325" s="218"/>
      <c r="V325" s="218"/>
      <c r="X325" s="157"/>
      <c r="Z325" s="218"/>
    </row>
    <row r="326" spans="3:26" ht="15" customHeight="1" x14ac:dyDescent="0.25">
      <c r="C326" s="14"/>
      <c r="D326" s="14"/>
      <c r="E326" s="154"/>
      <c r="F326" s="153"/>
      <c r="H326" s="218"/>
      <c r="J326" s="218"/>
      <c r="L326" s="218"/>
      <c r="N326" s="218"/>
      <c r="P326" s="218"/>
      <c r="R326" s="218"/>
      <c r="T326" s="218"/>
      <c r="V326" s="218"/>
      <c r="X326" s="157"/>
      <c r="Z326" s="218"/>
    </row>
    <row r="327" spans="3:26" ht="15" customHeight="1" x14ac:dyDescent="0.25">
      <c r="C327" s="14"/>
      <c r="D327" s="14"/>
      <c r="E327" s="154"/>
      <c r="F327" s="153"/>
      <c r="H327" s="218"/>
      <c r="J327" s="218"/>
      <c r="L327" s="218"/>
      <c r="N327" s="218"/>
      <c r="P327" s="218"/>
      <c r="R327" s="218"/>
      <c r="T327" s="218"/>
      <c r="V327" s="218"/>
      <c r="X327" s="157"/>
      <c r="Z327" s="218"/>
    </row>
    <row r="328" spans="3:26" ht="15" customHeight="1" x14ac:dyDescent="0.25">
      <c r="C328" s="14"/>
      <c r="D328" s="14"/>
      <c r="E328" s="154"/>
      <c r="F328" s="153"/>
      <c r="H328" s="218"/>
      <c r="J328" s="218"/>
      <c r="L328" s="218"/>
      <c r="N328" s="218"/>
      <c r="P328" s="218"/>
      <c r="R328" s="218"/>
      <c r="T328" s="218"/>
      <c r="V328" s="218"/>
      <c r="X328" s="157"/>
      <c r="Z328" s="218"/>
    </row>
    <row r="329" spans="3:26" ht="15" customHeight="1" x14ac:dyDescent="0.25">
      <c r="C329" s="14"/>
      <c r="D329" s="14"/>
      <c r="E329" s="154"/>
      <c r="F329" s="153"/>
      <c r="H329" s="218"/>
      <c r="J329" s="218"/>
      <c r="L329" s="218"/>
      <c r="N329" s="218"/>
      <c r="P329" s="218"/>
      <c r="R329" s="218"/>
      <c r="T329" s="218"/>
      <c r="V329" s="218"/>
      <c r="X329" s="157"/>
      <c r="Z329" s="218"/>
    </row>
    <row r="330" spans="3:26" ht="15" customHeight="1" x14ac:dyDescent="0.25">
      <c r="C330" s="14"/>
      <c r="D330" s="14"/>
      <c r="E330" s="154"/>
      <c r="F330" s="153"/>
      <c r="H330" s="218"/>
      <c r="J330" s="218"/>
      <c r="L330" s="218"/>
      <c r="N330" s="218"/>
      <c r="P330" s="218"/>
      <c r="R330" s="218"/>
      <c r="T330" s="218"/>
      <c r="V330" s="218"/>
      <c r="X330" s="157"/>
      <c r="Z330" s="218"/>
    </row>
    <row r="331" spans="3:26" ht="15" customHeight="1" x14ac:dyDescent="0.25">
      <c r="C331" s="14"/>
      <c r="D331" s="14"/>
      <c r="E331" s="154"/>
      <c r="F331" s="153"/>
      <c r="H331" s="218"/>
      <c r="J331" s="218"/>
      <c r="L331" s="218"/>
      <c r="N331" s="218"/>
      <c r="P331" s="218"/>
      <c r="R331" s="218"/>
      <c r="T331" s="218"/>
      <c r="V331" s="218"/>
      <c r="X331" s="157"/>
      <c r="Z331" s="218"/>
    </row>
    <row r="332" spans="3:26" ht="15" customHeight="1" x14ac:dyDescent="0.25">
      <c r="C332" s="14"/>
      <c r="D332" s="14"/>
      <c r="E332" s="154"/>
      <c r="F332" s="153"/>
      <c r="H332" s="218"/>
      <c r="J332" s="218"/>
      <c r="L332" s="218"/>
      <c r="N332" s="218"/>
      <c r="P332" s="218"/>
      <c r="R332" s="218"/>
      <c r="T332" s="218"/>
      <c r="V332" s="218"/>
      <c r="X332" s="157"/>
      <c r="Z332" s="218"/>
    </row>
    <row r="333" spans="3:26" ht="15" customHeight="1" x14ac:dyDescent="0.25">
      <c r="C333" s="14"/>
      <c r="D333" s="14"/>
      <c r="E333" s="154"/>
      <c r="F333" s="153"/>
      <c r="H333" s="218"/>
      <c r="J333" s="218"/>
      <c r="L333" s="218"/>
      <c r="N333" s="218"/>
      <c r="P333" s="218"/>
      <c r="R333" s="218"/>
      <c r="T333" s="218"/>
      <c r="V333" s="218"/>
      <c r="X333" s="157"/>
      <c r="Z333" s="218"/>
    </row>
    <row r="334" spans="3:26" ht="15" customHeight="1" x14ac:dyDescent="0.25">
      <c r="C334" s="14"/>
      <c r="D334" s="14"/>
      <c r="E334" s="154"/>
      <c r="F334" s="153"/>
      <c r="H334" s="218"/>
      <c r="J334" s="218"/>
      <c r="L334" s="218"/>
      <c r="N334" s="218"/>
      <c r="P334" s="218"/>
      <c r="R334" s="218"/>
      <c r="T334" s="218"/>
      <c r="V334" s="218"/>
      <c r="X334" s="157"/>
      <c r="Z334" s="218"/>
    </row>
    <row r="335" spans="3:26" ht="15" customHeight="1" x14ac:dyDescent="0.25">
      <c r="C335" s="14"/>
      <c r="D335" s="14"/>
      <c r="E335" s="154"/>
      <c r="F335" s="153"/>
      <c r="H335" s="218"/>
      <c r="J335" s="218"/>
      <c r="L335" s="218"/>
      <c r="N335" s="218"/>
      <c r="P335" s="218"/>
      <c r="R335" s="218"/>
      <c r="T335" s="218"/>
      <c r="V335" s="218"/>
      <c r="X335" s="157"/>
      <c r="Z335" s="218"/>
    </row>
    <row r="336" spans="3:26" ht="15" customHeight="1" x14ac:dyDescent="0.25">
      <c r="C336" s="14"/>
      <c r="D336" s="14"/>
      <c r="E336" s="154"/>
      <c r="F336" s="153"/>
      <c r="H336" s="218"/>
      <c r="J336" s="218"/>
      <c r="L336" s="218"/>
      <c r="N336" s="218"/>
      <c r="P336" s="218"/>
      <c r="R336" s="218"/>
      <c r="T336" s="218"/>
      <c r="V336" s="218"/>
      <c r="X336" s="157"/>
      <c r="Z336" s="218"/>
    </row>
    <row r="337" spans="3:26" ht="15" customHeight="1" x14ac:dyDescent="0.25">
      <c r="C337" s="14"/>
      <c r="D337" s="14"/>
      <c r="E337" s="154"/>
      <c r="F337" s="153"/>
      <c r="H337" s="218"/>
      <c r="J337" s="218"/>
      <c r="L337" s="218"/>
      <c r="N337" s="218"/>
      <c r="P337" s="218"/>
      <c r="R337" s="218"/>
      <c r="T337" s="218"/>
      <c r="V337" s="218"/>
      <c r="X337" s="157"/>
      <c r="Z337" s="218"/>
    </row>
    <row r="338" spans="3:26" ht="15" customHeight="1" x14ac:dyDescent="0.25">
      <c r="C338" s="14"/>
      <c r="D338" s="14"/>
      <c r="E338" s="154"/>
      <c r="F338" s="153"/>
      <c r="H338" s="218"/>
      <c r="J338" s="218"/>
      <c r="L338" s="218"/>
      <c r="N338" s="218"/>
      <c r="P338" s="218"/>
      <c r="R338" s="218"/>
      <c r="T338" s="218"/>
      <c r="V338" s="218"/>
      <c r="X338" s="157"/>
      <c r="Z338" s="218"/>
    </row>
    <row r="339" spans="3:26" ht="15" customHeight="1" x14ac:dyDescent="0.25">
      <c r="C339" s="14"/>
      <c r="D339" s="14"/>
      <c r="E339" s="154"/>
      <c r="F339" s="153"/>
      <c r="H339" s="218"/>
      <c r="J339" s="218"/>
      <c r="L339" s="218"/>
      <c r="N339" s="218"/>
      <c r="P339" s="218"/>
      <c r="R339" s="218"/>
      <c r="T339" s="218"/>
      <c r="V339" s="218"/>
      <c r="X339" s="157"/>
      <c r="Z339" s="218"/>
    </row>
    <row r="340" spans="3:26" ht="15" customHeight="1" x14ac:dyDescent="0.25">
      <c r="C340" s="14"/>
      <c r="D340" s="14"/>
      <c r="E340" s="154"/>
      <c r="F340" s="153"/>
      <c r="H340" s="218"/>
      <c r="J340" s="218"/>
      <c r="L340" s="218"/>
      <c r="N340" s="218"/>
      <c r="P340" s="218"/>
      <c r="R340" s="218"/>
      <c r="T340" s="218"/>
      <c r="V340" s="218"/>
      <c r="X340" s="157"/>
      <c r="Z340" s="218"/>
    </row>
    <row r="341" spans="3:26" ht="15" customHeight="1" x14ac:dyDescent="0.25">
      <c r="C341" s="14"/>
      <c r="D341" s="14"/>
      <c r="E341" s="154"/>
      <c r="F341" s="153"/>
      <c r="H341" s="218"/>
      <c r="J341" s="218"/>
      <c r="L341" s="218"/>
      <c r="N341" s="218"/>
      <c r="P341" s="218"/>
      <c r="R341" s="218"/>
      <c r="T341" s="218"/>
      <c r="V341" s="218"/>
      <c r="X341" s="157"/>
      <c r="Z341" s="218"/>
    </row>
    <row r="342" spans="3:26" ht="15" customHeight="1" x14ac:dyDescent="0.25">
      <c r="C342" s="14"/>
      <c r="D342" s="14"/>
      <c r="E342" s="154"/>
      <c r="F342" s="153"/>
      <c r="H342" s="218"/>
      <c r="J342" s="218"/>
      <c r="L342" s="218"/>
      <c r="N342" s="218"/>
      <c r="P342" s="218"/>
      <c r="R342" s="218"/>
      <c r="T342" s="218"/>
      <c r="V342" s="218"/>
      <c r="X342" s="157"/>
      <c r="Z342" s="218"/>
    </row>
    <row r="343" spans="3:26" ht="15" customHeight="1" x14ac:dyDescent="0.25">
      <c r="C343" s="14"/>
      <c r="D343" s="14"/>
      <c r="E343" s="154"/>
      <c r="F343" s="153"/>
      <c r="H343" s="218"/>
      <c r="J343" s="218"/>
      <c r="L343" s="218"/>
      <c r="N343" s="218"/>
      <c r="P343" s="218"/>
      <c r="R343" s="218"/>
      <c r="T343" s="218"/>
      <c r="V343" s="218"/>
      <c r="X343" s="157"/>
      <c r="Z343" s="218"/>
    </row>
    <row r="344" spans="3:26" ht="15" customHeight="1" x14ac:dyDescent="0.25">
      <c r="C344" s="14"/>
      <c r="D344" s="14"/>
      <c r="E344" s="154"/>
      <c r="F344" s="153"/>
      <c r="H344" s="218"/>
      <c r="J344" s="218"/>
      <c r="L344" s="218"/>
      <c r="N344" s="218"/>
      <c r="P344" s="218"/>
      <c r="R344" s="218"/>
      <c r="T344" s="218"/>
      <c r="V344" s="218"/>
      <c r="X344" s="157"/>
      <c r="Z344" s="218"/>
    </row>
    <row r="345" spans="3:26" ht="15" customHeight="1" x14ac:dyDescent="0.25">
      <c r="C345" s="14"/>
      <c r="D345" s="14"/>
      <c r="E345" s="154"/>
      <c r="F345" s="153"/>
      <c r="H345" s="218"/>
      <c r="J345" s="218"/>
      <c r="L345" s="218"/>
      <c r="N345" s="218"/>
      <c r="P345" s="218"/>
      <c r="R345" s="218"/>
      <c r="T345" s="218"/>
      <c r="V345" s="218"/>
      <c r="X345" s="157"/>
      <c r="Z345" s="218"/>
    </row>
    <row r="346" spans="3:26" ht="15" customHeight="1" x14ac:dyDescent="0.25">
      <c r="C346" s="14"/>
      <c r="D346" s="14"/>
      <c r="E346" s="154"/>
      <c r="F346" s="153"/>
      <c r="H346" s="218"/>
      <c r="J346" s="218"/>
      <c r="L346" s="218"/>
      <c r="N346" s="218"/>
      <c r="P346" s="218"/>
      <c r="R346" s="218"/>
      <c r="T346" s="218"/>
      <c r="V346" s="218"/>
      <c r="X346" s="157"/>
      <c r="Z346" s="218"/>
    </row>
    <row r="347" spans="3:26" ht="15" customHeight="1" x14ac:dyDescent="0.25">
      <c r="C347" s="14"/>
      <c r="D347" s="14"/>
      <c r="E347" s="154"/>
      <c r="F347" s="153"/>
      <c r="H347" s="218"/>
      <c r="J347" s="218"/>
      <c r="L347" s="218"/>
      <c r="N347" s="218"/>
      <c r="P347" s="218"/>
      <c r="R347" s="218"/>
      <c r="T347" s="218"/>
      <c r="V347" s="218"/>
      <c r="X347" s="157"/>
      <c r="Z347" s="218"/>
    </row>
    <row r="348" spans="3:26" ht="15" customHeight="1" x14ac:dyDescent="0.25">
      <c r="C348" s="14"/>
      <c r="D348" s="14"/>
      <c r="E348" s="154"/>
      <c r="F348" s="153"/>
      <c r="H348" s="218"/>
      <c r="J348" s="218"/>
      <c r="L348" s="218"/>
      <c r="N348" s="218"/>
      <c r="P348" s="218"/>
      <c r="R348" s="218"/>
      <c r="T348" s="218"/>
      <c r="V348" s="218"/>
      <c r="X348" s="157"/>
      <c r="Z348" s="218"/>
    </row>
    <row r="349" spans="3:26" ht="15" customHeight="1" x14ac:dyDescent="0.25">
      <c r="C349" s="14"/>
      <c r="D349" s="14"/>
      <c r="E349" s="154"/>
      <c r="F349" s="153"/>
      <c r="H349" s="218"/>
      <c r="J349" s="218"/>
      <c r="L349" s="218"/>
      <c r="N349" s="218"/>
      <c r="P349" s="218"/>
      <c r="R349" s="218"/>
      <c r="T349" s="218"/>
      <c r="V349" s="218"/>
      <c r="X349" s="157"/>
      <c r="Z349" s="218"/>
    </row>
    <row r="350" spans="3:26" ht="15" customHeight="1" x14ac:dyDescent="0.25">
      <c r="C350" s="14"/>
      <c r="D350" s="14"/>
      <c r="E350" s="154"/>
      <c r="F350" s="153"/>
      <c r="H350" s="218"/>
      <c r="J350" s="218"/>
      <c r="L350" s="218"/>
      <c r="N350" s="218"/>
      <c r="P350" s="218"/>
      <c r="R350" s="218"/>
      <c r="T350" s="218"/>
      <c r="V350" s="218"/>
      <c r="X350" s="157"/>
      <c r="Z350" s="218"/>
    </row>
    <row r="351" spans="3:26" ht="15" customHeight="1" x14ac:dyDescent="0.25">
      <c r="C351" s="14"/>
      <c r="D351" s="14"/>
      <c r="E351" s="154"/>
      <c r="F351" s="153"/>
      <c r="H351" s="218"/>
      <c r="J351" s="218"/>
      <c r="L351" s="218"/>
      <c r="N351" s="218"/>
      <c r="P351" s="218"/>
      <c r="R351" s="218"/>
      <c r="T351" s="218"/>
      <c r="V351" s="218"/>
      <c r="X351" s="157"/>
      <c r="Z351" s="218"/>
    </row>
    <row r="352" spans="3:26" ht="15" customHeight="1" x14ac:dyDescent="0.25">
      <c r="C352" s="14"/>
      <c r="D352" s="14"/>
      <c r="E352" s="154"/>
      <c r="F352" s="153"/>
      <c r="H352" s="218"/>
      <c r="J352" s="218"/>
      <c r="L352" s="218"/>
      <c r="N352" s="218"/>
      <c r="P352" s="218"/>
      <c r="R352" s="218"/>
      <c r="T352" s="218"/>
      <c r="V352" s="218"/>
      <c r="X352" s="157"/>
      <c r="Z352" s="218"/>
    </row>
    <row r="353" spans="3:26" ht="15" customHeight="1" x14ac:dyDescent="0.25">
      <c r="C353" s="14"/>
      <c r="D353" s="14"/>
      <c r="E353" s="154"/>
      <c r="F353" s="153"/>
      <c r="H353" s="218"/>
      <c r="J353" s="218"/>
      <c r="L353" s="218"/>
      <c r="N353" s="218"/>
      <c r="P353" s="218"/>
      <c r="R353" s="218"/>
      <c r="T353" s="218"/>
      <c r="V353" s="218"/>
      <c r="X353" s="157"/>
      <c r="Z353" s="218"/>
    </row>
    <row r="354" spans="3:26" ht="15" customHeight="1" x14ac:dyDescent="0.25">
      <c r="C354" s="14"/>
      <c r="D354" s="14"/>
      <c r="E354" s="154"/>
      <c r="F354" s="153"/>
      <c r="H354" s="218"/>
      <c r="J354" s="218"/>
      <c r="L354" s="218"/>
      <c r="N354" s="218"/>
      <c r="P354" s="218"/>
      <c r="R354" s="218"/>
      <c r="T354" s="218"/>
      <c r="V354" s="218"/>
      <c r="X354" s="157"/>
      <c r="Z354" s="218"/>
    </row>
    <row r="355" spans="3:26" ht="15" customHeight="1" x14ac:dyDescent="0.25">
      <c r="C355" s="14"/>
      <c r="D355" s="14"/>
      <c r="E355" s="154"/>
      <c r="F355" s="153"/>
      <c r="H355" s="218"/>
      <c r="J355" s="218"/>
      <c r="L355" s="218"/>
      <c r="N355" s="218"/>
      <c r="P355" s="218"/>
      <c r="R355" s="218"/>
      <c r="T355" s="218"/>
      <c r="V355" s="218"/>
      <c r="X355" s="157"/>
      <c r="Z355" s="218"/>
    </row>
    <row r="356" spans="3:26" ht="15" customHeight="1" x14ac:dyDescent="0.25">
      <c r="C356" s="14"/>
      <c r="D356" s="14"/>
      <c r="E356" s="154"/>
      <c r="F356" s="153"/>
      <c r="H356" s="218"/>
      <c r="J356" s="218"/>
      <c r="L356" s="218"/>
      <c r="N356" s="218"/>
      <c r="P356" s="218"/>
      <c r="R356" s="218"/>
      <c r="T356" s="218"/>
      <c r="V356" s="218"/>
      <c r="X356" s="157"/>
      <c r="Z356" s="218"/>
    </row>
    <row r="357" spans="3:26" ht="15" customHeight="1" x14ac:dyDescent="0.25">
      <c r="C357" s="14"/>
      <c r="D357" s="14"/>
      <c r="E357" s="154"/>
      <c r="F357" s="153"/>
      <c r="H357" s="218"/>
      <c r="J357" s="218"/>
      <c r="L357" s="218"/>
      <c r="N357" s="218"/>
      <c r="P357" s="218"/>
      <c r="R357" s="218"/>
      <c r="T357" s="218"/>
      <c r="V357" s="218"/>
      <c r="X357" s="157"/>
      <c r="Z357" s="218"/>
    </row>
    <row r="358" spans="3:26" ht="15" customHeight="1" x14ac:dyDescent="0.25">
      <c r="C358" s="14"/>
      <c r="D358" s="14"/>
      <c r="E358" s="154"/>
      <c r="F358" s="153"/>
      <c r="H358" s="218"/>
      <c r="J358" s="218"/>
      <c r="L358" s="218"/>
      <c r="N358" s="218"/>
      <c r="P358" s="218"/>
      <c r="R358" s="218"/>
      <c r="T358" s="218"/>
      <c r="V358" s="218"/>
      <c r="X358" s="157"/>
      <c r="Z358" s="218"/>
    </row>
    <row r="359" spans="3:26" ht="15" customHeight="1" x14ac:dyDescent="0.25">
      <c r="C359" s="14"/>
      <c r="D359" s="14"/>
      <c r="E359" s="154"/>
      <c r="F359" s="153"/>
      <c r="H359" s="218"/>
      <c r="J359" s="218"/>
      <c r="L359" s="218"/>
      <c r="N359" s="218"/>
      <c r="P359" s="218"/>
      <c r="R359" s="218"/>
      <c r="T359" s="218"/>
      <c r="V359" s="218"/>
      <c r="X359" s="157"/>
      <c r="Z359" s="218"/>
    </row>
    <row r="360" spans="3:26" ht="15" customHeight="1" x14ac:dyDescent="0.25">
      <c r="C360" s="14"/>
      <c r="D360" s="14"/>
      <c r="E360" s="154"/>
      <c r="F360" s="153"/>
      <c r="H360" s="218"/>
      <c r="J360" s="218"/>
      <c r="L360" s="218"/>
      <c r="N360" s="218"/>
      <c r="P360" s="218"/>
      <c r="R360" s="218"/>
      <c r="T360" s="218"/>
      <c r="V360" s="218"/>
      <c r="X360" s="157"/>
      <c r="Z360" s="218"/>
    </row>
    <row r="361" spans="3:26" ht="15" customHeight="1" x14ac:dyDescent="0.25">
      <c r="C361" s="14"/>
      <c r="D361" s="14"/>
      <c r="E361" s="154"/>
      <c r="F361" s="153"/>
      <c r="H361" s="218"/>
      <c r="J361" s="218"/>
      <c r="L361" s="218"/>
      <c r="N361" s="218"/>
      <c r="P361" s="218"/>
      <c r="R361" s="218"/>
      <c r="T361" s="218"/>
      <c r="V361" s="218"/>
      <c r="X361" s="157"/>
      <c r="Z361" s="218"/>
    </row>
    <row r="362" spans="3:26" ht="15" customHeight="1" x14ac:dyDescent="0.25">
      <c r="C362" s="14"/>
      <c r="D362" s="14"/>
      <c r="E362" s="154"/>
      <c r="F362" s="153"/>
      <c r="H362" s="218"/>
      <c r="J362" s="218"/>
      <c r="L362" s="218"/>
      <c r="N362" s="218"/>
      <c r="P362" s="218"/>
      <c r="R362" s="218"/>
      <c r="T362" s="218"/>
      <c r="V362" s="218"/>
      <c r="X362" s="157"/>
      <c r="Z362" s="218"/>
    </row>
    <row r="363" spans="3:26" ht="15" customHeight="1" x14ac:dyDescent="0.25">
      <c r="C363" s="14"/>
      <c r="D363" s="14"/>
      <c r="E363" s="154"/>
      <c r="F363" s="153"/>
      <c r="H363" s="218"/>
      <c r="J363" s="218"/>
      <c r="L363" s="218"/>
      <c r="N363" s="218"/>
      <c r="P363" s="218"/>
      <c r="R363" s="218"/>
      <c r="T363" s="218"/>
      <c r="V363" s="218"/>
      <c r="X363" s="157"/>
      <c r="Z363" s="218"/>
    </row>
    <row r="364" spans="3:26" ht="15" customHeight="1" x14ac:dyDescent="0.25">
      <c r="C364" s="14"/>
      <c r="D364" s="14"/>
      <c r="E364" s="154"/>
      <c r="F364" s="153"/>
      <c r="H364" s="218"/>
      <c r="J364" s="218"/>
      <c r="L364" s="218"/>
      <c r="N364" s="218"/>
      <c r="P364" s="218"/>
      <c r="R364" s="218"/>
      <c r="T364" s="218"/>
      <c r="V364" s="218"/>
      <c r="X364" s="157"/>
      <c r="Z364" s="218"/>
    </row>
    <row r="365" spans="3:26" ht="15" customHeight="1" x14ac:dyDescent="0.25">
      <c r="C365" s="14"/>
      <c r="D365" s="14"/>
      <c r="E365" s="154"/>
      <c r="F365" s="153"/>
      <c r="H365" s="218"/>
      <c r="J365" s="218"/>
      <c r="L365" s="218"/>
      <c r="N365" s="218"/>
      <c r="P365" s="218"/>
      <c r="R365" s="218"/>
      <c r="T365" s="218"/>
      <c r="V365" s="218"/>
      <c r="X365" s="157"/>
      <c r="Z365" s="218"/>
    </row>
    <row r="366" spans="3:26" ht="15" customHeight="1" x14ac:dyDescent="0.25">
      <c r="C366" s="14"/>
      <c r="D366" s="14"/>
      <c r="E366" s="154"/>
      <c r="F366" s="153"/>
      <c r="H366" s="218"/>
      <c r="J366" s="218"/>
      <c r="L366" s="218"/>
      <c r="N366" s="218"/>
      <c r="P366" s="218"/>
      <c r="R366" s="218"/>
      <c r="T366" s="218"/>
      <c r="V366" s="218"/>
      <c r="X366" s="157"/>
      <c r="Z366" s="218"/>
    </row>
    <row r="367" spans="3:26" ht="15" customHeight="1" x14ac:dyDescent="0.25">
      <c r="C367" s="14"/>
      <c r="D367" s="14"/>
      <c r="E367" s="154"/>
      <c r="F367" s="153"/>
      <c r="H367" s="218"/>
      <c r="J367" s="218"/>
      <c r="L367" s="218"/>
      <c r="N367" s="218"/>
      <c r="P367" s="218"/>
      <c r="R367" s="218"/>
      <c r="T367" s="218"/>
      <c r="V367" s="218"/>
      <c r="X367" s="157"/>
      <c r="Z367" s="218"/>
    </row>
    <row r="368" spans="3:26" ht="15" customHeight="1" x14ac:dyDescent="0.25">
      <c r="C368" s="14"/>
      <c r="D368" s="14"/>
      <c r="E368" s="154"/>
      <c r="F368" s="153"/>
      <c r="H368" s="218"/>
      <c r="J368" s="218"/>
      <c r="L368" s="218"/>
      <c r="N368" s="218"/>
      <c r="P368" s="218"/>
      <c r="R368" s="218"/>
      <c r="T368" s="218"/>
      <c r="V368" s="218"/>
      <c r="X368" s="157"/>
      <c r="Z368" s="218"/>
    </row>
    <row r="369" spans="5:26" ht="15" customHeight="1" x14ac:dyDescent="0.25">
      <c r="E369" s="154"/>
      <c r="F369" s="182"/>
      <c r="H369" s="221"/>
      <c r="J369" s="221"/>
      <c r="L369" s="221"/>
      <c r="N369" s="221"/>
      <c r="P369" s="221"/>
      <c r="R369" s="221"/>
      <c r="T369" s="221"/>
      <c r="V369" s="221"/>
      <c r="X369" s="155"/>
      <c r="Z369" s="221"/>
    </row>
  </sheetData>
  <phoneticPr fontId="3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646070-4930-43CA-8CCB-326DB2A26EC1}">
  <sheetPr codeName="Sheet5"/>
  <dimension ref="A1:E35"/>
  <sheetViews>
    <sheetView tabSelected="1" zoomScaleNormal="100" workbookViewId="0">
      <selection activeCell="B22" sqref="B22"/>
    </sheetView>
  </sheetViews>
  <sheetFormatPr defaultRowHeight="14.25" x14ac:dyDescent="0.2"/>
  <cols>
    <col min="1" max="1" width="34.42578125" style="144" bestFit="1" customWidth="1"/>
    <col min="2" max="2" width="27.140625" style="144" customWidth="1"/>
    <col min="3" max="3" width="31.7109375" style="144" customWidth="1"/>
    <col min="4" max="4" width="42" style="144" customWidth="1"/>
    <col min="5" max="16384" width="9.140625" style="144"/>
  </cols>
  <sheetData>
    <row r="1" spans="1:5" x14ac:dyDescent="0.2">
      <c r="A1" s="144" t="s">
        <v>234</v>
      </c>
      <c r="B1" s="147" t="s">
        <v>233</v>
      </c>
      <c r="C1" s="147" t="s">
        <v>293</v>
      </c>
      <c r="D1" s="147" t="s">
        <v>292</v>
      </c>
    </row>
    <row r="2" spans="1:5" ht="15" x14ac:dyDescent="0.25">
      <c r="A2" s="158" t="s">
        <v>252</v>
      </c>
      <c r="B2" s="160" t="b">
        <v>1</v>
      </c>
      <c r="C2" s="148" t="b">
        <v>1</v>
      </c>
      <c r="D2" s="148" t="b">
        <v>0</v>
      </c>
      <c r="E2" s="146"/>
    </row>
    <row r="3" spans="1:5" ht="15" x14ac:dyDescent="0.25">
      <c r="A3" s="159" t="s">
        <v>235</v>
      </c>
      <c r="B3" s="160" t="s">
        <v>232</v>
      </c>
      <c r="C3" s="160" t="s">
        <v>232</v>
      </c>
      <c r="D3" s="160" t="s">
        <v>232</v>
      </c>
      <c r="E3" s="146"/>
    </row>
    <row r="4" spans="1:5" ht="15" x14ac:dyDescent="0.25">
      <c r="A4" s="159" t="s">
        <v>236</v>
      </c>
      <c r="B4" s="160" t="s">
        <v>232</v>
      </c>
      <c r="C4" s="160" t="s">
        <v>232</v>
      </c>
      <c r="D4" s="160" t="s">
        <v>250</v>
      </c>
      <c r="E4" s="146"/>
    </row>
    <row r="5" spans="1:5" ht="15" x14ac:dyDescent="0.25">
      <c r="A5" s="159" t="s">
        <v>237</v>
      </c>
      <c r="B5" s="160" t="s">
        <v>247</v>
      </c>
      <c r="C5" s="160" t="s">
        <v>294</v>
      </c>
      <c r="D5" s="160" t="str">
        <f ca="1">_xlfn.CONCAT("ETF_",D15,".csv")</f>
        <v>ETF_2026-09-03.csv</v>
      </c>
      <c r="E5" s="146"/>
    </row>
    <row r="6" spans="1:5" ht="15" x14ac:dyDescent="0.25">
      <c r="A6" s="159" t="s">
        <v>238</v>
      </c>
      <c r="B6" s="160" t="s">
        <v>248</v>
      </c>
      <c r="C6" s="160" t="s">
        <v>248</v>
      </c>
      <c r="D6" s="160" t="s">
        <v>232</v>
      </c>
      <c r="E6" s="146"/>
    </row>
    <row r="7" spans="1:5" ht="15" x14ac:dyDescent="0.25">
      <c r="A7" s="159" t="s">
        <v>239</v>
      </c>
      <c r="B7" s="160" t="s">
        <v>249</v>
      </c>
      <c r="C7" s="160" t="s">
        <v>249</v>
      </c>
      <c r="D7" s="160" t="s">
        <v>232</v>
      </c>
      <c r="E7" s="146"/>
    </row>
    <row r="8" spans="1:5" ht="15" x14ac:dyDescent="0.25">
      <c r="A8" s="159" t="s">
        <v>240</v>
      </c>
      <c r="B8" s="160" t="b">
        <v>1</v>
      </c>
      <c r="C8" s="160" t="b">
        <v>1</v>
      </c>
      <c r="D8" s="160" t="b">
        <v>0</v>
      </c>
      <c r="E8" s="146"/>
    </row>
    <row r="9" spans="1:5" ht="15" x14ac:dyDescent="0.25">
      <c r="A9" s="159" t="s">
        <v>241</v>
      </c>
      <c r="B9" s="161" t="b">
        <v>1</v>
      </c>
      <c r="C9" s="161" t="b">
        <v>1</v>
      </c>
      <c r="D9" s="160" t="b">
        <v>1</v>
      </c>
      <c r="E9" s="146"/>
    </row>
    <row r="10" spans="1:5" ht="15" x14ac:dyDescent="0.25">
      <c r="A10" s="159" t="s">
        <v>242</v>
      </c>
      <c r="B10" s="160" t="b">
        <v>0</v>
      </c>
      <c r="C10" s="160" t="b">
        <v>0</v>
      </c>
      <c r="D10" s="160" t="b">
        <v>0</v>
      </c>
      <c r="E10" s="146"/>
    </row>
    <row r="11" spans="1:5" ht="15" x14ac:dyDescent="0.25">
      <c r="A11" s="159" t="s">
        <v>243</v>
      </c>
      <c r="B11" s="160" t="b">
        <v>0</v>
      </c>
      <c r="C11" s="160" t="b">
        <v>0</v>
      </c>
      <c r="D11" s="160" t="s">
        <v>251</v>
      </c>
      <c r="E11" s="146"/>
    </row>
    <row r="12" spans="1:5" ht="15" x14ac:dyDescent="0.25">
      <c r="A12" s="159" t="s">
        <v>244</v>
      </c>
      <c r="B12" s="160" t="s">
        <v>245</v>
      </c>
      <c r="C12" s="160" t="s">
        <v>245</v>
      </c>
      <c r="D12" s="160" t="b">
        <v>0</v>
      </c>
      <c r="E12" s="146"/>
    </row>
    <row r="13" spans="1:5" s="149" customFormat="1" ht="15" x14ac:dyDescent="0.25">
      <c r="A13" s="159" t="s">
        <v>246</v>
      </c>
      <c r="B13" s="148">
        <v>30</v>
      </c>
      <c r="C13" s="148">
        <v>30</v>
      </c>
      <c r="D13" s="160">
        <f>15*60</f>
        <v>900</v>
      </c>
      <c r="E13" s="146"/>
    </row>
    <row r="14" spans="1:5" ht="15" thickBot="1" x14ac:dyDescent="0.25"/>
    <row r="15" spans="1:5" ht="15" thickBot="1" x14ac:dyDescent="0.25">
      <c r="D15" s="164" t="str">
        <f t="shared" ref="D15" ca="1" si="0">TEXT(TODAY(),"yyyy-mm-dd")</f>
        <v>2026-09-03</v>
      </c>
    </row>
    <row r="16" spans="1:5" ht="15" x14ac:dyDescent="0.2">
      <c r="A16" s="162" t="s">
        <v>295</v>
      </c>
    </row>
    <row r="17" spans="1:1" ht="15.75" thickBot="1" x14ac:dyDescent="0.25">
      <c r="A17" s="163" t="s">
        <v>253</v>
      </c>
    </row>
    <row r="25" spans="1:1" s="150" customFormat="1" x14ac:dyDescent="0.2"/>
    <row r="35" spans="1:2" x14ac:dyDescent="0.2">
      <c r="A35" s="145"/>
      <c r="B35" s="146"/>
    </row>
  </sheetData>
  <phoneticPr fontId="3" type="noConversion"/>
  <conditionalFormatting sqref="B2:D2">
    <cfRule type="cellIs" dxfId="0" priority="1" operator="equal">
      <formula>FALSE</formula>
    </cfRule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E3A53E-80F7-47D1-B079-AFED01258E36}">
  <dimension ref="A1:O52"/>
  <sheetViews>
    <sheetView workbookViewId="0">
      <selection activeCell="L26" sqref="L26"/>
    </sheetView>
  </sheetViews>
  <sheetFormatPr defaultColWidth="32" defaultRowHeight="15" x14ac:dyDescent="0.25"/>
  <cols>
    <col min="1" max="1" width="2" bestFit="1" customWidth="1"/>
    <col min="2" max="2" width="23.42578125" style="14" bestFit="1" customWidth="1"/>
    <col min="3" max="3" width="18.85546875" style="2" bestFit="1" customWidth="1"/>
    <col min="4" max="4" width="7.7109375" style="2" bestFit="1" customWidth="1"/>
    <col min="5" max="5" width="11.7109375" style="2" bestFit="1" customWidth="1"/>
    <col min="6" max="6" width="9.28515625" style="2" bestFit="1" customWidth="1"/>
    <col min="7" max="7" width="26.28515625" style="2" bestFit="1" customWidth="1"/>
    <col min="8" max="8" width="13.85546875" bestFit="1" customWidth="1"/>
    <col min="9" max="9" width="6.140625" bestFit="1" customWidth="1"/>
    <col min="10" max="10" width="4.5703125" bestFit="1" customWidth="1"/>
    <col min="11" max="11" width="4" bestFit="1" customWidth="1"/>
  </cols>
  <sheetData>
    <row r="1" spans="1:15" ht="15" customHeight="1" x14ac:dyDescent="0.25">
      <c r="B1" s="165" t="s">
        <v>298</v>
      </c>
      <c r="C1" s="1" t="s">
        <v>299</v>
      </c>
      <c r="D1" s="1" t="s">
        <v>300</v>
      </c>
      <c r="E1" s="1" t="s">
        <v>301</v>
      </c>
      <c r="F1" s="1" t="s">
        <v>287</v>
      </c>
      <c r="G1" s="1" t="s">
        <v>398</v>
      </c>
    </row>
    <row r="2" spans="1:15" ht="15" customHeight="1" x14ac:dyDescent="0.25">
      <c r="A2">
        <v>1</v>
      </c>
      <c r="B2" s="171" t="s">
        <v>302</v>
      </c>
      <c r="C2" s="166" t="s">
        <v>303</v>
      </c>
      <c r="D2" s="166" t="s">
        <v>305</v>
      </c>
      <c r="E2" s="166" t="s">
        <v>306</v>
      </c>
      <c r="F2" s="166" t="s">
        <v>307</v>
      </c>
      <c r="H2" s="167" t="s">
        <v>308</v>
      </c>
      <c r="I2" s="168">
        <v>2.4899999999999999E-2</v>
      </c>
      <c r="J2" s="167">
        <v>1.74</v>
      </c>
      <c r="K2" s="169">
        <v>320</v>
      </c>
    </row>
    <row r="3" spans="1:15" ht="15" customHeight="1" x14ac:dyDescent="0.25">
      <c r="A3">
        <f>A2+1</f>
        <v>2</v>
      </c>
      <c r="B3" s="14" t="s">
        <v>325</v>
      </c>
      <c r="C3" s="170" t="s">
        <v>310</v>
      </c>
      <c r="D3" s="166" t="s">
        <v>311</v>
      </c>
      <c r="E3" s="170" t="s">
        <v>312</v>
      </c>
      <c r="F3" s="170" t="s">
        <v>313</v>
      </c>
      <c r="G3" s="2" t="s">
        <v>390</v>
      </c>
      <c r="H3" s="167" t="s">
        <v>314</v>
      </c>
      <c r="I3" s="168">
        <v>3.2199999999999999E-2</v>
      </c>
      <c r="J3" s="167">
        <v>1.7</v>
      </c>
      <c r="K3" s="169">
        <v>297</v>
      </c>
    </row>
    <row r="4" spans="1:15" ht="15" customHeight="1" x14ac:dyDescent="0.25">
      <c r="A4">
        <f t="shared" ref="A4:A10" si="0">A3+1</f>
        <v>3</v>
      </c>
      <c r="B4" s="14" t="s">
        <v>343</v>
      </c>
      <c r="C4" s="170" t="s">
        <v>316</v>
      </c>
      <c r="D4" s="170" t="s">
        <v>317</v>
      </c>
      <c r="E4" s="170" t="s">
        <v>318</v>
      </c>
      <c r="F4" s="170" t="s">
        <v>319</v>
      </c>
      <c r="G4" s="2" t="s">
        <v>391</v>
      </c>
    </row>
    <row r="5" spans="1:15" ht="15" customHeight="1" x14ac:dyDescent="0.25">
      <c r="A5">
        <f t="shared" si="0"/>
        <v>4</v>
      </c>
      <c r="B5" s="14" t="s">
        <v>349</v>
      </c>
      <c r="C5" s="166" t="s">
        <v>320</v>
      </c>
      <c r="D5" s="170" t="s">
        <v>321</v>
      </c>
      <c r="E5" s="170" t="s">
        <v>322</v>
      </c>
      <c r="F5" s="170" t="s">
        <v>323</v>
      </c>
      <c r="G5" s="2" t="s">
        <v>392</v>
      </c>
      <c r="H5" s="167" t="s">
        <v>324</v>
      </c>
      <c r="I5" s="168">
        <v>2.92E-2</v>
      </c>
      <c r="J5" s="167">
        <v>1.89</v>
      </c>
      <c r="K5" s="169">
        <v>331</v>
      </c>
    </row>
    <row r="6" spans="1:15" ht="15" customHeight="1" x14ac:dyDescent="0.25">
      <c r="A6">
        <f t="shared" si="0"/>
        <v>5</v>
      </c>
      <c r="B6" s="14" t="s">
        <v>350</v>
      </c>
      <c r="C6" s="170" t="s">
        <v>326</v>
      </c>
      <c r="D6" s="170" t="s">
        <v>327</v>
      </c>
      <c r="E6" s="170" t="s">
        <v>328</v>
      </c>
      <c r="F6" s="170" t="s">
        <v>329</v>
      </c>
      <c r="G6" s="2" t="s">
        <v>393</v>
      </c>
    </row>
    <row r="7" spans="1:15" ht="15" customHeight="1" x14ac:dyDescent="0.25">
      <c r="A7">
        <f t="shared" si="0"/>
        <v>6</v>
      </c>
      <c r="B7" s="14" t="s">
        <v>351</v>
      </c>
      <c r="C7" s="170" t="s">
        <v>330</v>
      </c>
      <c r="D7" s="166" t="s">
        <v>331</v>
      </c>
      <c r="E7" s="170" t="s">
        <v>332</v>
      </c>
      <c r="F7" s="166" t="s">
        <v>333</v>
      </c>
      <c r="G7" s="2" t="s">
        <v>394</v>
      </c>
    </row>
    <row r="8" spans="1:15" ht="15" customHeight="1" x14ac:dyDescent="0.25">
      <c r="A8">
        <f t="shared" si="0"/>
        <v>7</v>
      </c>
      <c r="B8" s="14" t="s">
        <v>352</v>
      </c>
      <c r="C8" s="170" t="s">
        <v>334</v>
      </c>
      <c r="D8" s="170" t="s">
        <v>335</v>
      </c>
      <c r="E8" s="170" t="s">
        <v>336</v>
      </c>
      <c r="F8" s="170" t="s">
        <v>337</v>
      </c>
      <c r="G8" s="2" t="s">
        <v>395</v>
      </c>
      <c r="H8" s="167" t="s">
        <v>338</v>
      </c>
      <c r="I8" s="168">
        <v>3.6700000000000003E-2</v>
      </c>
      <c r="J8" s="167">
        <v>2.04</v>
      </c>
      <c r="K8" s="169">
        <v>291</v>
      </c>
    </row>
    <row r="9" spans="1:15" ht="15" customHeight="1" x14ac:dyDescent="0.25">
      <c r="A9">
        <f t="shared" si="0"/>
        <v>8</v>
      </c>
      <c r="B9" s="14" t="s">
        <v>353</v>
      </c>
      <c r="C9" s="170" t="s">
        <v>339</v>
      </c>
      <c r="D9" s="170" t="s">
        <v>340</v>
      </c>
      <c r="E9" s="170" t="s">
        <v>341</v>
      </c>
      <c r="F9" s="170" t="s">
        <v>342</v>
      </c>
      <c r="G9" s="2" t="s">
        <v>396</v>
      </c>
    </row>
    <row r="10" spans="1:15" ht="15" customHeight="1" x14ac:dyDescent="0.25">
      <c r="A10">
        <f t="shared" si="0"/>
        <v>9</v>
      </c>
      <c r="B10" s="14" t="s">
        <v>354</v>
      </c>
      <c r="C10" s="170" t="s">
        <v>344</v>
      </c>
      <c r="D10" s="170" t="s">
        <v>345</v>
      </c>
      <c r="E10" s="170" t="s">
        <v>346</v>
      </c>
      <c r="F10" s="170" t="s">
        <v>347</v>
      </c>
      <c r="G10" s="2" t="s">
        <v>397</v>
      </c>
      <c r="H10" s="167" t="s">
        <v>348</v>
      </c>
      <c r="I10" s="168">
        <v>4.0300000000000002E-2</v>
      </c>
      <c r="J10" s="167">
        <v>2.34</v>
      </c>
      <c r="K10" s="169">
        <v>327</v>
      </c>
    </row>
    <row r="11" spans="1:15" ht="15" customHeight="1" x14ac:dyDescent="0.25"/>
    <row r="12" spans="1:15" ht="15" customHeight="1" x14ac:dyDescent="0.25"/>
    <row r="13" spans="1:15" ht="15" customHeight="1" x14ac:dyDescent="0.25"/>
    <row r="14" spans="1:15" ht="15" customHeight="1" thickBot="1" x14ac:dyDescent="0.3">
      <c r="I14" s="2"/>
      <c r="J14" s="2"/>
      <c r="K14" s="2"/>
      <c r="L14" s="2"/>
      <c r="M14" s="2"/>
      <c r="N14" s="2"/>
      <c r="O14" s="2"/>
    </row>
    <row r="15" spans="1:15" ht="15" customHeight="1" x14ac:dyDescent="0.25">
      <c r="B15" s="178" t="s">
        <v>355</v>
      </c>
      <c r="C15" s="173" t="s">
        <v>356</v>
      </c>
      <c r="D15" s="173" t="s">
        <v>357</v>
      </c>
      <c r="E15" s="173"/>
      <c r="F15" s="173"/>
      <c r="G15" s="174"/>
      <c r="I15" s="2"/>
      <c r="J15" s="2"/>
      <c r="K15" s="2"/>
      <c r="L15" s="2"/>
      <c r="M15" s="2"/>
      <c r="N15" s="2"/>
      <c r="O15" s="2"/>
    </row>
    <row r="16" spans="1:15" ht="15" customHeight="1" x14ac:dyDescent="0.25">
      <c r="B16" s="179" t="s">
        <v>358</v>
      </c>
      <c r="C16" t="s">
        <v>359</v>
      </c>
      <c r="D16" t="s">
        <v>360</v>
      </c>
      <c r="E16"/>
      <c r="F16"/>
      <c r="G16" s="175"/>
      <c r="I16" s="2"/>
      <c r="J16" s="2"/>
      <c r="K16" s="2"/>
      <c r="L16" s="2"/>
      <c r="M16" s="2"/>
      <c r="N16" s="2"/>
      <c r="O16" s="2"/>
    </row>
    <row r="17" spans="2:15" ht="15" customHeight="1" x14ac:dyDescent="0.25">
      <c r="B17" s="179" t="s">
        <v>361</v>
      </c>
      <c r="C17" t="s">
        <v>362</v>
      </c>
      <c r="D17" t="s">
        <v>363</v>
      </c>
      <c r="E17" t="s">
        <v>364</v>
      </c>
      <c r="F17" t="s">
        <v>365</v>
      </c>
      <c r="G17" s="175" t="s">
        <v>366</v>
      </c>
      <c r="I17" s="2"/>
      <c r="J17" s="2"/>
      <c r="K17" s="2"/>
      <c r="L17" s="2"/>
      <c r="M17" s="2"/>
      <c r="N17" s="2"/>
      <c r="O17" s="2"/>
    </row>
    <row r="18" spans="2:15" ht="15" customHeight="1" x14ac:dyDescent="0.25">
      <c r="B18" s="179" t="s">
        <v>367</v>
      </c>
      <c r="C18" t="s">
        <v>368</v>
      </c>
      <c r="D18" t="s">
        <v>369</v>
      </c>
      <c r="E18"/>
      <c r="F18"/>
      <c r="G18" s="175"/>
      <c r="I18" s="2"/>
      <c r="J18" s="2"/>
      <c r="K18" s="2"/>
      <c r="L18" s="2"/>
      <c r="M18" s="2"/>
      <c r="N18" s="2"/>
      <c r="O18" s="2"/>
    </row>
    <row r="19" spans="2:15" ht="15" customHeight="1" x14ac:dyDescent="0.25">
      <c r="B19" s="179" t="s">
        <v>370</v>
      </c>
      <c r="C19" t="s">
        <v>285</v>
      </c>
      <c r="D19" t="s">
        <v>284</v>
      </c>
      <c r="E19" t="s">
        <v>371</v>
      </c>
      <c r="F19" t="s">
        <v>372</v>
      </c>
      <c r="G19" s="175"/>
      <c r="I19" s="2"/>
      <c r="J19" s="2"/>
      <c r="K19" s="2"/>
      <c r="L19" s="2"/>
      <c r="M19" s="2"/>
      <c r="N19" s="2"/>
      <c r="O19" s="2"/>
    </row>
    <row r="20" spans="2:15" ht="15" customHeight="1" thickBot="1" x14ac:dyDescent="0.3">
      <c r="B20" s="180" t="s">
        <v>373</v>
      </c>
      <c r="C20" s="176"/>
      <c r="D20" s="176"/>
      <c r="E20" s="176"/>
      <c r="F20" s="176"/>
      <c r="G20" s="177"/>
      <c r="I20" s="2"/>
      <c r="J20" s="2"/>
      <c r="K20" s="2"/>
      <c r="L20" s="2"/>
      <c r="M20" s="2"/>
      <c r="N20" s="2"/>
      <c r="O20" s="2"/>
    </row>
    <row r="21" spans="2:15" ht="15" customHeight="1" x14ac:dyDescent="0.25">
      <c r="C21"/>
      <c r="D21"/>
      <c r="E21"/>
      <c r="F21"/>
      <c r="G21"/>
      <c r="I21" s="2"/>
      <c r="J21" s="2"/>
      <c r="K21" s="2"/>
      <c r="L21" s="2"/>
      <c r="M21" s="2"/>
      <c r="N21" s="2"/>
      <c r="O21" s="2"/>
    </row>
    <row r="22" spans="2:15" ht="15" customHeight="1" x14ac:dyDescent="0.25">
      <c r="C22"/>
      <c r="D22"/>
      <c r="E22"/>
      <c r="F22"/>
      <c r="G22"/>
      <c r="H22" s="2"/>
      <c r="I22" s="2"/>
      <c r="J22" s="2"/>
      <c r="K22" s="2"/>
      <c r="L22" s="2"/>
      <c r="M22" s="2"/>
      <c r="N22" s="2"/>
      <c r="O22" s="2"/>
    </row>
    <row r="23" spans="2:15" ht="15" customHeight="1" x14ac:dyDescent="0.25">
      <c r="C23"/>
      <c r="D23"/>
      <c r="E23"/>
      <c r="F23"/>
      <c r="G23"/>
      <c r="H23" s="2"/>
      <c r="I23" s="2"/>
      <c r="J23" s="2"/>
      <c r="K23" s="2"/>
      <c r="L23" s="2"/>
      <c r="M23" s="2"/>
      <c r="N23" s="2"/>
      <c r="O23" s="2"/>
    </row>
    <row r="24" spans="2:15" ht="15" customHeight="1" thickBot="1" x14ac:dyDescent="0.3">
      <c r="E24"/>
      <c r="F24"/>
      <c r="G24"/>
      <c r="H24" s="2"/>
      <c r="I24" s="2"/>
      <c r="J24" s="2"/>
      <c r="K24" s="2"/>
      <c r="L24" s="2"/>
      <c r="M24" s="2"/>
      <c r="N24" s="2"/>
      <c r="O24" s="2"/>
    </row>
    <row r="25" spans="2:15" ht="15" customHeight="1" x14ac:dyDescent="0.25">
      <c r="B25" s="181" t="s">
        <v>374</v>
      </c>
      <c r="C25" s="173"/>
      <c r="D25" s="174"/>
      <c r="E25"/>
      <c r="F25"/>
      <c r="G25"/>
      <c r="H25" s="2"/>
      <c r="I25" s="2"/>
      <c r="J25" s="2"/>
      <c r="K25" s="2"/>
      <c r="L25" s="2"/>
      <c r="M25" s="2"/>
      <c r="N25" s="2"/>
      <c r="O25" s="2"/>
    </row>
    <row r="26" spans="2:15" ht="15" customHeight="1" x14ac:dyDescent="0.25">
      <c r="B26" s="19" t="s">
        <v>375</v>
      </c>
      <c r="C26" t="s">
        <v>376</v>
      </c>
      <c r="D26" s="175"/>
      <c r="E26"/>
      <c r="F26"/>
      <c r="G26"/>
    </row>
    <row r="27" spans="2:15" ht="15" customHeight="1" x14ac:dyDescent="0.25">
      <c r="B27" s="19" t="s">
        <v>377</v>
      </c>
      <c r="C27" t="s">
        <v>378</v>
      </c>
      <c r="D27" s="175"/>
      <c r="E27"/>
      <c r="F27"/>
      <c r="G27"/>
    </row>
    <row r="28" spans="2:15" ht="15" customHeight="1" x14ac:dyDescent="0.25">
      <c r="B28" s="19" t="s">
        <v>379</v>
      </c>
      <c r="C28" t="s">
        <v>380</v>
      </c>
      <c r="D28" s="175"/>
      <c r="E28"/>
      <c r="F28"/>
      <c r="G28"/>
    </row>
    <row r="29" spans="2:15" ht="15" customHeight="1" thickBot="1" x14ac:dyDescent="0.3">
      <c r="B29" s="18" t="s">
        <v>388</v>
      </c>
      <c r="C29" s="176" t="s">
        <v>389</v>
      </c>
      <c r="D29" s="177"/>
      <c r="E29"/>
      <c r="F29"/>
      <c r="G29"/>
    </row>
    <row r="30" spans="2:15" ht="15" customHeight="1" x14ac:dyDescent="0.25">
      <c r="B30"/>
      <c r="C30"/>
      <c r="D30"/>
      <c r="E30"/>
      <c r="F30"/>
      <c r="G30"/>
    </row>
    <row r="32" spans="2:15" ht="15" customHeight="1" x14ac:dyDescent="0.25"/>
    <row r="33" ht="15" customHeight="1" x14ac:dyDescent="0.25"/>
    <row r="34" ht="15" customHeight="1" x14ac:dyDescent="0.25"/>
    <row r="35" ht="15" customHeight="1" x14ac:dyDescent="0.25"/>
    <row r="36" ht="15" customHeight="1" x14ac:dyDescent="0.25"/>
    <row r="37" ht="15" customHeight="1" x14ac:dyDescent="0.25"/>
    <row r="38" ht="15" customHeight="1" x14ac:dyDescent="0.25"/>
    <row r="39" ht="15" customHeight="1" x14ac:dyDescent="0.25"/>
    <row r="42" ht="15" customHeight="1" x14ac:dyDescent="0.25"/>
    <row r="43" ht="15" customHeight="1" x14ac:dyDescent="0.25"/>
    <row r="44" ht="15" customHeight="1" x14ac:dyDescent="0.25"/>
    <row r="45" ht="15" customHeight="1" x14ac:dyDescent="0.25"/>
    <row r="50" spans="1:1" ht="15" customHeight="1" x14ac:dyDescent="0.25">
      <c r="A50" s="102"/>
    </row>
    <row r="51" spans="1:1" ht="15" customHeight="1" x14ac:dyDescent="0.25">
      <c r="A51" s="102"/>
    </row>
    <row r="52" spans="1:1" ht="15" customHeight="1" x14ac:dyDescent="0.25">
      <c r="A52" s="102"/>
    </row>
  </sheetData>
  <phoneticPr fontId="3" type="noConversion"/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4B6F99-334D-4668-BBC7-02C2065ABD80}">
  <sheetPr codeName="Sheet3"/>
  <dimension ref="A1:R36"/>
  <sheetViews>
    <sheetView workbookViewId="0">
      <selection activeCell="M27" sqref="M27"/>
    </sheetView>
  </sheetViews>
  <sheetFormatPr defaultColWidth="8.85546875" defaultRowHeight="15" x14ac:dyDescent="0.25"/>
  <cols>
    <col min="1" max="1" width="14.28515625" style="2" bestFit="1" customWidth="1"/>
    <col min="2" max="2" width="12.7109375" style="71" bestFit="1" customWidth="1"/>
    <col min="3" max="3" width="8.140625" style="2" bestFit="1" customWidth="1"/>
    <col min="4" max="4" width="8.5703125" style="20" bestFit="1" customWidth="1"/>
    <col min="5" max="5" width="9.85546875" style="20" bestFit="1" customWidth="1"/>
    <col min="6" max="7" width="9.7109375" style="20" bestFit="1" customWidth="1"/>
    <col min="8" max="8" width="13.28515625" style="2" bestFit="1" customWidth="1"/>
    <col min="9" max="9" width="14.42578125" style="2" bestFit="1" customWidth="1"/>
    <col min="10" max="10" width="14.140625" style="2" bestFit="1" customWidth="1"/>
    <col min="11" max="18" width="9.28515625" style="2" customWidth="1"/>
    <col min="19" max="19" width="16.7109375" style="2" bestFit="1" customWidth="1"/>
    <col min="20" max="20" width="9.85546875" style="2" bestFit="1" customWidth="1"/>
    <col min="21" max="22" width="11.28515625" style="2" bestFit="1" customWidth="1"/>
    <col min="23" max="23" width="17" style="2" bestFit="1" customWidth="1"/>
    <col min="24" max="24" width="13.42578125" style="2" bestFit="1" customWidth="1"/>
    <col min="25" max="25" width="17.28515625" style="2" bestFit="1" customWidth="1"/>
    <col min="26" max="26" width="21.140625" style="2" bestFit="1" customWidth="1"/>
    <col min="27" max="16384" width="8.85546875" style="2"/>
  </cols>
  <sheetData>
    <row r="1" spans="1:18" ht="15.75" thickBot="1" x14ac:dyDescent="0.3">
      <c r="A1" s="60" t="s">
        <v>18</v>
      </c>
      <c r="C1" s="69" t="s">
        <v>174</v>
      </c>
      <c r="D1" s="228" t="s">
        <v>199</v>
      </c>
      <c r="E1" s="229"/>
      <c r="F1" s="229"/>
      <c r="G1" s="229"/>
      <c r="H1" s="228" t="s">
        <v>200</v>
      </c>
      <c r="I1" s="229"/>
      <c r="J1" s="229"/>
      <c r="K1" s="228" t="s">
        <v>204</v>
      </c>
      <c r="L1" s="229"/>
      <c r="M1" s="229"/>
      <c r="N1" s="230"/>
      <c r="O1" s="228" t="s">
        <v>205</v>
      </c>
      <c r="P1" s="229"/>
      <c r="Q1" s="229"/>
      <c r="R1" s="230"/>
    </row>
    <row r="2" spans="1:18" ht="15.75" thickBot="1" x14ac:dyDescent="0.3">
      <c r="B2" s="106" t="s">
        <v>176</v>
      </c>
      <c r="C2" s="70" t="s">
        <v>175</v>
      </c>
      <c r="D2" s="107" t="s">
        <v>38</v>
      </c>
      <c r="E2" s="105" t="s">
        <v>74</v>
      </c>
      <c r="F2" s="105" t="s">
        <v>40</v>
      </c>
      <c r="G2" s="105" t="s">
        <v>169</v>
      </c>
      <c r="H2" s="107" t="s">
        <v>201</v>
      </c>
      <c r="I2" s="105" t="s">
        <v>202</v>
      </c>
      <c r="J2" s="105" t="s">
        <v>203</v>
      </c>
      <c r="K2" s="16" t="s">
        <v>34</v>
      </c>
      <c r="L2" s="1" t="s">
        <v>75</v>
      </c>
      <c r="M2" s="1" t="s">
        <v>33</v>
      </c>
      <c r="N2" s="17" t="s">
        <v>173</v>
      </c>
      <c r="O2" s="16" t="s">
        <v>34</v>
      </c>
      <c r="P2" s="1" t="s">
        <v>75</v>
      </c>
      <c r="Q2" s="1" t="s">
        <v>33</v>
      </c>
      <c r="R2" s="17" t="s">
        <v>173</v>
      </c>
    </row>
    <row r="3" spans="1:18" x14ac:dyDescent="0.25">
      <c r="A3" s="79" t="s">
        <v>25</v>
      </c>
      <c r="B3" s="80" t="s">
        <v>177</v>
      </c>
      <c r="C3" s="81">
        <v>4</v>
      </c>
      <c r="D3" s="108" t="s">
        <v>39</v>
      </c>
      <c r="E3" s="108" t="s">
        <v>163</v>
      </c>
      <c r="F3" s="108" t="s">
        <v>37</v>
      </c>
      <c r="G3" s="108" t="s">
        <v>171</v>
      </c>
      <c r="H3" s="110" t="b">
        <v>0</v>
      </c>
      <c r="I3" s="111" t="b">
        <v>0</v>
      </c>
      <c r="J3" s="111" t="b">
        <v>0</v>
      </c>
      <c r="K3" s="62"/>
      <c r="L3" s="63"/>
      <c r="M3" s="63"/>
      <c r="N3" s="61"/>
      <c r="O3" s="62"/>
      <c r="P3" s="63"/>
      <c r="Q3" s="63"/>
      <c r="R3" s="61"/>
    </row>
    <row r="4" spans="1:18" x14ac:dyDescent="0.25">
      <c r="A4" s="103" t="s">
        <v>196</v>
      </c>
      <c r="B4" s="72" t="s">
        <v>87</v>
      </c>
      <c r="C4" s="76" t="s">
        <v>87</v>
      </c>
      <c r="D4" s="84" t="b">
        <v>0</v>
      </c>
      <c r="E4" s="118" t="b">
        <v>0</v>
      </c>
      <c r="F4" s="118" t="b">
        <v>0</v>
      </c>
      <c r="G4" s="118" t="b">
        <v>0</v>
      </c>
      <c r="H4" s="64"/>
      <c r="K4" s="64"/>
      <c r="N4" s="65"/>
      <c r="O4" s="64"/>
      <c r="R4" s="65"/>
    </row>
    <row r="5" spans="1:18" x14ac:dyDescent="0.25">
      <c r="A5" s="74" t="s">
        <v>195</v>
      </c>
      <c r="B5" s="72" t="s">
        <v>87</v>
      </c>
      <c r="C5" s="76" t="s">
        <v>87</v>
      </c>
      <c r="D5" s="119" t="s">
        <v>39</v>
      </c>
      <c r="E5" s="119" t="s">
        <v>163</v>
      </c>
      <c r="F5" s="119" t="s">
        <v>37</v>
      </c>
      <c r="G5" s="118" t="b">
        <v>0</v>
      </c>
      <c r="H5" s="112" t="b">
        <v>0</v>
      </c>
      <c r="I5" s="120" t="b">
        <v>0</v>
      </c>
      <c r="J5" s="120" t="b">
        <v>0</v>
      </c>
      <c r="K5" s="64"/>
      <c r="N5" s="65"/>
      <c r="O5" s="64"/>
      <c r="R5" s="65"/>
    </row>
    <row r="6" spans="1:18" x14ac:dyDescent="0.25">
      <c r="A6" s="74" t="s">
        <v>30</v>
      </c>
      <c r="B6" s="75" t="s">
        <v>178</v>
      </c>
      <c r="C6" s="76">
        <v>8</v>
      </c>
      <c r="D6" s="83" t="s">
        <v>36</v>
      </c>
      <c r="E6" s="118" t="b">
        <v>0</v>
      </c>
      <c r="F6" s="119" t="s">
        <v>190</v>
      </c>
      <c r="G6" s="118" t="b">
        <v>0</v>
      </c>
      <c r="H6" s="64"/>
      <c r="K6" s="64"/>
      <c r="N6" s="65"/>
      <c r="O6" s="64"/>
      <c r="R6" s="65"/>
    </row>
    <row r="7" spans="1:18" x14ac:dyDescent="0.25">
      <c r="A7" s="94" t="s">
        <v>191</v>
      </c>
      <c r="B7" s="72" t="s">
        <v>87</v>
      </c>
      <c r="C7" s="73" t="s">
        <v>87</v>
      </c>
      <c r="D7" s="104" t="s">
        <v>197</v>
      </c>
      <c r="E7" s="118"/>
      <c r="F7" s="119"/>
      <c r="G7" s="118"/>
      <c r="H7" s="113" t="b">
        <v>0</v>
      </c>
      <c r="I7" s="120" t="b">
        <v>0</v>
      </c>
      <c r="J7" s="120" t="b">
        <v>0</v>
      </c>
      <c r="K7" s="64" t="b">
        <v>1</v>
      </c>
      <c r="N7" s="65"/>
      <c r="O7" s="64"/>
      <c r="R7" s="65"/>
    </row>
    <row r="8" spans="1:18" s="60" customFormat="1" x14ac:dyDescent="0.25">
      <c r="A8" s="74" t="s">
        <v>26</v>
      </c>
      <c r="B8" s="75" t="s">
        <v>177</v>
      </c>
      <c r="C8" s="76">
        <v>5</v>
      </c>
      <c r="D8" s="83" t="s">
        <v>39</v>
      </c>
      <c r="E8" s="119" t="s">
        <v>163</v>
      </c>
      <c r="F8" s="119" t="s">
        <v>37</v>
      </c>
      <c r="G8" s="118" t="b">
        <v>0</v>
      </c>
      <c r="H8" s="64" t="s">
        <v>39</v>
      </c>
      <c r="I8" s="2" t="s">
        <v>198</v>
      </c>
      <c r="J8" s="2" t="s">
        <v>37</v>
      </c>
      <c r="K8" s="64"/>
      <c r="L8" s="2"/>
      <c r="M8" s="2"/>
      <c r="N8" s="65"/>
      <c r="O8" s="64"/>
      <c r="P8" s="2"/>
      <c r="Q8" s="2"/>
      <c r="R8" s="65"/>
    </row>
    <row r="9" spans="1:18" s="59" customFormat="1" x14ac:dyDescent="0.25">
      <c r="A9" s="74" t="s">
        <v>6</v>
      </c>
      <c r="B9" s="75" t="s">
        <v>177</v>
      </c>
      <c r="C9" s="76">
        <v>1</v>
      </c>
      <c r="D9" s="119" t="s">
        <v>38</v>
      </c>
      <c r="E9" s="118" t="s">
        <v>189</v>
      </c>
      <c r="F9" s="119" t="s">
        <v>40</v>
      </c>
      <c r="G9" s="118" t="b">
        <v>0</v>
      </c>
      <c r="H9" s="112" t="b">
        <v>0</v>
      </c>
      <c r="I9" s="120" t="b">
        <v>0</v>
      </c>
      <c r="J9" s="120" t="b">
        <v>0</v>
      </c>
      <c r="K9" s="77"/>
      <c r="L9" s="20"/>
      <c r="M9" s="20"/>
      <c r="N9" s="78"/>
      <c r="O9" s="77"/>
      <c r="P9" s="20"/>
      <c r="Q9" s="20"/>
      <c r="R9" s="78"/>
    </row>
    <row r="10" spans="1:18" x14ac:dyDescent="0.25">
      <c r="A10" s="74" t="s">
        <v>22</v>
      </c>
      <c r="B10" s="75" t="s">
        <v>177</v>
      </c>
      <c r="C10" s="76">
        <v>9</v>
      </c>
      <c r="D10" s="84" t="b">
        <v>0</v>
      </c>
      <c r="E10" s="119" t="s">
        <v>147</v>
      </c>
      <c r="F10" s="119" t="s">
        <v>148</v>
      </c>
      <c r="G10" s="118" t="b">
        <v>0</v>
      </c>
      <c r="H10" s="64"/>
      <c r="K10" s="64"/>
      <c r="N10" s="65"/>
      <c r="O10" s="64"/>
      <c r="R10" s="65"/>
    </row>
    <row r="11" spans="1:18" x14ac:dyDescent="0.25">
      <c r="A11" s="94" t="s">
        <v>192</v>
      </c>
      <c r="B11" s="72" t="s">
        <v>87</v>
      </c>
      <c r="C11" s="73" t="s">
        <v>87</v>
      </c>
      <c r="D11" s="84"/>
      <c r="E11" s="119"/>
      <c r="F11" s="119"/>
      <c r="G11" s="118"/>
      <c r="H11" s="113" t="b">
        <v>0</v>
      </c>
      <c r="I11" s="120" t="b">
        <v>0</v>
      </c>
      <c r="J11" s="120" t="b">
        <v>0</v>
      </c>
      <c r="K11" s="64"/>
      <c r="N11" s="65"/>
      <c r="O11" s="64"/>
      <c r="R11" s="65"/>
    </row>
    <row r="12" spans="1:18" x14ac:dyDescent="0.25">
      <c r="A12" s="74" t="s">
        <v>181</v>
      </c>
      <c r="B12" s="75" t="s">
        <v>179</v>
      </c>
      <c r="C12" s="82" t="s">
        <v>87</v>
      </c>
      <c r="D12" s="84" t="b">
        <v>0</v>
      </c>
      <c r="E12" s="119" t="s">
        <v>147</v>
      </c>
      <c r="F12" s="119" t="s">
        <v>148</v>
      </c>
      <c r="G12" s="119" t="s">
        <v>186</v>
      </c>
      <c r="H12" s="64"/>
      <c r="K12" s="64"/>
      <c r="N12" s="65"/>
      <c r="O12" s="64"/>
      <c r="R12" s="65"/>
    </row>
    <row r="13" spans="1:18" x14ac:dyDescent="0.25">
      <c r="A13" s="74" t="s">
        <v>19</v>
      </c>
      <c r="B13" s="75" t="s">
        <v>182</v>
      </c>
      <c r="C13" s="76">
        <v>3</v>
      </c>
      <c r="D13" s="119" t="s">
        <v>161</v>
      </c>
      <c r="E13" s="119" t="s">
        <v>162</v>
      </c>
      <c r="F13" s="119" t="s">
        <v>35</v>
      </c>
      <c r="G13" s="118" t="b">
        <v>0</v>
      </c>
      <c r="H13" s="112" t="b">
        <v>0</v>
      </c>
      <c r="I13" s="120" t="b">
        <v>0</v>
      </c>
      <c r="J13" s="120" t="b">
        <v>0</v>
      </c>
      <c r="K13" s="64"/>
      <c r="N13" s="65"/>
      <c r="O13" s="64"/>
      <c r="R13" s="65"/>
    </row>
    <row r="14" spans="1:18" x14ac:dyDescent="0.25">
      <c r="A14" s="74" t="s">
        <v>29</v>
      </c>
      <c r="B14" s="75" t="s">
        <v>183</v>
      </c>
      <c r="C14" s="76">
        <v>10</v>
      </c>
      <c r="D14" s="84" t="b">
        <v>0</v>
      </c>
      <c r="E14" s="119" t="s">
        <v>162</v>
      </c>
      <c r="F14" s="119" t="s">
        <v>35</v>
      </c>
      <c r="G14" s="119" t="s">
        <v>184</v>
      </c>
      <c r="H14" s="64"/>
      <c r="K14" s="64"/>
      <c r="N14" s="65"/>
      <c r="O14" s="64"/>
      <c r="R14" s="65"/>
    </row>
    <row r="15" spans="1:18" x14ac:dyDescent="0.25">
      <c r="A15" s="74" t="s">
        <v>7</v>
      </c>
      <c r="B15" s="75" t="s">
        <v>178</v>
      </c>
      <c r="C15" s="76">
        <v>2</v>
      </c>
      <c r="D15" s="119" t="s">
        <v>165</v>
      </c>
      <c r="E15" s="119" t="s">
        <v>166</v>
      </c>
      <c r="F15" s="119" t="s">
        <v>167</v>
      </c>
      <c r="G15" s="119" t="s">
        <v>185</v>
      </c>
      <c r="H15" s="112" t="b">
        <v>0</v>
      </c>
      <c r="I15" s="120" t="b">
        <v>0</v>
      </c>
      <c r="J15" s="120" t="b">
        <v>0</v>
      </c>
      <c r="K15" s="64"/>
      <c r="N15" s="65"/>
      <c r="O15" s="64"/>
      <c r="R15" s="65"/>
    </row>
    <row r="16" spans="1:18" x14ac:dyDescent="0.25">
      <c r="A16" s="94" t="s">
        <v>70</v>
      </c>
      <c r="B16" s="72" t="s">
        <v>87</v>
      </c>
      <c r="C16" s="73" t="s">
        <v>87</v>
      </c>
      <c r="D16" s="84" t="b">
        <v>0</v>
      </c>
      <c r="E16" s="118" t="b">
        <v>0</v>
      </c>
      <c r="F16" s="118" t="b">
        <v>0</v>
      </c>
      <c r="G16" s="118" t="b">
        <v>0</v>
      </c>
      <c r="H16" s="64"/>
      <c r="K16" s="64"/>
      <c r="N16" s="65"/>
      <c r="O16" s="64"/>
      <c r="R16" s="65"/>
    </row>
    <row r="17" spans="1:18" x14ac:dyDescent="0.25">
      <c r="A17" s="74" t="s">
        <v>31</v>
      </c>
      <c r="B17" s="75" t="s">
        <v>178</v>
      </c>
      <c r="C17" s="76">
        <v>7</v>
      </c>
      <c r="D17" s="84" t="b">
        <v>0</v>
      </c>
      <c r="E17" s="119" t="s">
        <v>74</v>
      </c>
      <c r="F17" s="119" t="s">
        <v>40</v>
      </c>
      <c r="G17" s="119" t="s">
        <v>169</v>
      </c>
      <c r="H17" s="112" t="b">
        <v>0</v>
      </c>
      <c r="I17" s="120" t="b">
        <v>0</v>
      </c>
      <c r="J17" s="120" t="b">
        <v>0</v>
      </c>
      <c r="K17" s="64"/>
      <c r="N17" s="65"/>
      <c r="O17" s="64"/>
      <c r="R17" s="65"/>
    </row>
    <row r="18" spans="1:18" x14ac:dyDescent="0.25">
      <c r="A18" s="94" t="s">
        <v>71</v>
      </c>
      <c r="B18" s="72" t="s">
        <v>87</v>
      </c>
      <c r="C18" s="73" t="s">
        <v>87</v>
      </c>
      <c r="D18" s="84" t="b">
        <v>0</v>
      </c>
      <c r="E18" s="118" t="b">
        <v>0</v>
      </c>
      <c r="F18" s="118" t="b">
        <v>0</v>
      </c>
      <c r="G18" s="118" t="b">
        <v>0</v>
      </c>
      <c r="H18" s="64"/>
      <c r="K18" s="64"/>
      <c r="N18" s="65"/>
      <c r="O18" s="64"/>
      <c r="R18" s="65"/>
    </row>
    <row r="19" spans="1:18" s="85" customFormat="1" x14ac:dyDescent="0.25">
      <c r="A19" s="93" t="s">
        <v>180</v>
      </c>
      <c r="B19" s="86" t="s">
        <v>179</v>
      </c>
      <c r="C19" s="87" t="s">
        <v>87</v>
      </c>
      <c r="D19" s="88"/>
      <c r="E19" s="121"/>
      <c r="F19" s="121"/>
      <c r="G19" s="121"/>
      <c r="H19" s="91"/>
      <c r="K19" s="89"/>
      <c r="N19" s="90"/>
      <c r="O19" s="89"/>
      <c r="R19" s="90"/>
    </row>
    <row r="20" spans="1:18" x14ac:dyDescent="0.25">
      <c r="A20" s="74" t="s">
        <v>28</v>
      </c>
      <c r="B20" s="75" t="s">
        <v>177</v>
      </c>
      <c r="C20" s="76">
        <v>6</v>
      </c>
      <c r="D20" s="119" t="s">
        <v>38</v>
      </c>
      <c r="E20" s="119" t="s">
        <v>74</v>
      </c>
      <c r="F20" s="119" t="s">
        <v>40</v>
      </c>
      <c r="G20" s="118" t="b">
        <v>0</v>
      </c>
      <c r="H20" s="64"/>
      <c r="K20" s="64"/>
      <c r="N20" s="65"/>
      <c r="O20" s="64"/>
      <c r="R20" s="65"/>
    </row>
    <row r="21" spans="1:18" ht="15.75" thickBot="1" x14ac:dyDescent="0.3">
      <c r="A21" s="122" t="s">
        <v>145</v>
      </c>
      <c r="B21" s="123" t="s">
        <v>179</v>
      </c>
      <c r="C21" s="124" t="s">
        <v>87</v>
      </c>
      <c r="D21" s="92" t="b">
        <v>0</v>
      </c>
      <c r="E21" s="109" t="s">
        <v>188</v>
      </c>
      <c r="F21" s="109" t="s">
        <v>187</v>
      </c>
      <c r="G21" s="92" t="b">
        <v>0</v>
      </c>
      <c r="H21" s="66"/>
      <c r="I21" s="67"/>
      <c r="J21" s="67"/>
      <c r="K21" s="66"/>
      <c r="L21" s="67"/>
      <c r="M21" s="67"/>
      <c r="N21" s="68"/>
      <c r="O21" s="66"/>
      <c r="P21" s="67"/>
      <c r="Q21" s="67"/>
      <c r="R21" s="68"/>
    </row>
    <row r="22" spans="1:18" ht="15.75" thickBot="1" x14ac:dyDescent="0.3">
      <c r="C22" s="114" t="s">
        <v>44</v>
      </c>
      <c r="D22" s="115">
        <f>COUNTA(D3:D21)-COUNTIF(D3:D21,"FALSE")-COUNTIF(D3:D21, "NO PRICE")</f>
        <v>9</v>
      </c>
      <c r="E22" s="116">
        <f>COUNTA(E3:E21)-COUNTIF(E3:E21,"FALSE")-COUNTIF(E3:E21, "NO PRICE")</f>
        <v>11</v>
      </c>
      <c r="F22" s="116">
        <f>COUNTA(F3:F21)-COUNTIF(F3:F21,"FALSE")-COUNTIF(F3:F21, "NO PRICE")</f>
        <v>13</v>
      </c>
      <c r="G22" s="117">
        <f>COUNTA(G3:G21)-COUNTIF(G3:G21,"FALSE")-COUNTIF(G3:G21, "NO PRICE")</f>
        <v>5</v>
      </c>
      <c r="H22" s="115">
        <f>COUNTA(H3:H21)-COUNTIF(H3:H21,"FALSE")-COUNTIF(H3:H21, "NO PRICE")</f>
        <v>1</v>
      </c>
      <c r="J22"/>
      <c r="M22"/>
      <c r="Q22"/>
    </row>
    <row r="23" spans="1:18" x14ac:dyDescent="0.25">
      <c r="M23"/>
      <c r="Q23"/>
    </row>
    <row r="24" spans="1:18" x14ac:dyDescent="0.25">
      <c r="A24" s="2" t="s">
        <v>25</v>
      </c>
      <c r="D24" s="2"/>
      <c r="E24" s="2"/>
      <c r="F24" s="2"/>
    </row>
    <row r="25" spans="1:18" x14ac:dyDescent="0.25">
      <c r="A25" s="2" t="s">
        <v>195</v>
      </c>
      <c r="D25" s="2"/>
      <c r="E25" s="2"/>
      <c r="F25" s="2"/>
      <c r="G25" s="2"/>
    </row>
    <row r="26" spans="1:18" x14ac:dyDescent="0.25">
      <c r="A26" s="2" t="s">
        <v>30</v>
      </c>
      <c r="D26" s="2"/>
      <c r="E26" s="2"/>
      <c r="F26" s="2"/>
    </row>
    <row r="27" spans="1:18" x14ac:dyDescent="0.25">
      <c r="A27" s="2" t="s">
        <v>26</v>
      </c>
      <c r="D27" s="2"/>
      <c r="E27" s="2"/>
      <c r="F27" s="2"/>
    </row>
    <row r="28" spans="1:18" x14ac:dyDescent="0.25">
      <c r="A28" s="2" t="s">
        <v>6</v>
      </c>
      <c r="D28" s="2"/>
      <c r="E28" s="2"/>
      <c r="F28" s="2"/>
    </row>
    <row r="29" spans="1:18" x14ac:dyDescent="0.25">
      <c r="A29" s="2" t="s">
        <v>22</v>
      </c>
      <c r="D29" s="2"/>
      <c r="E29" s="2"/>
      <c r="F29" s="2"/>
      <c r="G29" s="2"/>
    </row>
    <row r="30" spans="1:18" x14ac:dyDescent="0.25">
      <c r="A30" s="2" t="s">
        <v>181</v>
      </c>
      <c r="D30" s="2"/>
      <c r="E30" s="2"/>
      <c r="F30" s="2"/>
    </row>
    <row r="31" spans="1:18" x14ac:dyDescent="0.25">
      <c r="A31" s="2" t="s">
        <v>19</v>
      </c>
      <c r="D31" s="2"/>
      <c r="E31" s="2"/>
      <c r="F31" s="2"/>
    </row>
    <row r="32" spans="1:18" x14ac:dyDescent="0.25">
      <c r="A32" s="2" t="s">
        <v>29</v>
      </c>
      <c r="D32" s="2"/>
      <c r="E32" s="2"/>
      <c r="F32" s="2"/>
    </row>
    <row r="33" spans="1:1" x14ac:dyDescent="0.25">
      <c r="A33" s="2" t="s">
        <v>7</v>
      </c>
    </row>
    <row r="34" spans="1:1" x14ac:dyDescent="0.25">
      <c r="A34" s="2" t="s">
        <v>31</v>
      </c>
    </row>
    <row r="35" spans="1:1" x14ac:dyDescent="0.25">
      <c r="A35" s="2" t="s">
        <v>28</v>
      </c>
    </row>
    <row r="36" spans="1:1" x14ac:dyDescent="0.25">
      <c r="A36" s="2" t="s">
        <v>145</v>
      </c>
    </row>
  </sheetData>
  <sortState xmlns:xlrd2="http://schemas.microsoft.com/office/spreadsheetml/2017/richdata2" ref="A24:A37">
    <sortCondition ref="A24:A37"/>
  </sortState>
  <mergeCells count="4">
    <mergeCell ref="K1:N1"/>
    <mergeCell ref="H1:J1"/>
    <mergeCell ref="O1:R1"/>
    <mergeCell ref="D1:G1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README</vt:lpstr>
      <vt:lpstr>Static Data Table</vt:lpstr>
      <vt:lpstr>Scalar Inputs Table</vt:lpstr>
      <vt:lpstr>Mkt Data Streaming Inputs</vt:lpstr>
      <vt:lpstr>SECTOR ETFs</vt:lpstr>
      <vt:lpstr>Venue Tables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Hyland</dc:creator>
  <cp:lastModifiedBy>Michael Hyland</cp:lastModifiedBy>
  <cp:lastPrinted>2026-04-16T21:16:24Z</cp:lastPrinted>
  <dcterms:created xsi:type="dcterms:W3CDTF">2026-01-24T15:44:31Z</dcterms:created>
  <dcterms:modified xsi:type="dcterms:W3CDTF">2026-09-04T02:01:54Z</dcterms:modified>
</cp:coreProperties>
</file>