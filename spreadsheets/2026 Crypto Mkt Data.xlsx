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4828E652-15E8-4BC6-8EFF-C115F51B10F5}" xr6:coauthVersionLast="47" xr6:coauthVersionMax="47" xr10:uidLastSave="{00000000-0000-0000-0000-000000000000}"/>
  <bookViews>
    <workbookView xWindow="-120" yWindow="-120" windowWidth="29040" windowHeight="15720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M34" i="22" s="1"/>
  <c r="D23" i="22"/>
  <c r="M33" i="22" s="1"/>
  <c r="A27" i="22"/>
  <c r="M36" i="22"/>
  <c r="M35" i="22"/>
  <c r="M32" i="22"/>
  <c r="M31" i="22"/>
  <c r="K34" i="22"/>
  <c r="L34" i="22"/>
  <c r="L35" i="22"/>
  <c r="E26" i="23"/>
  <c r="F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G36" i="23" l="1"/>
  <c r="G37" i="23" s="1"/>
  <c r="G39" i="23" s="1"/>
  <c r="H26" i="22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<sst xmlns="http://schemas.openxmlformats.org/spreadsheetml/2006/main" count="24107" uniqueCount="4083">
  <si>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</si>
  <si>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</si>
  <si>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</si>
  <si>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</si>
  <si>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</si>
  <si>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</si>
  <si>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</si>
  <si>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</si>
  <si>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</si>
  <si>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</si>
  <si>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</si>
  <si>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</si>
  <si>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</si>
  <si>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</si>
  <si>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</si>
  <si>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</si>
  <si>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</si>
  <si>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</si>
  <si>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</si>
  <si>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</si>
  <si>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</si>
  <si>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</si>
  <si>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</si>
  <si>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</si>
  <si>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</si>
  <si>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</si>
  <si>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</si>
  <si>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</si>
  <si>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</si>
  <si>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</si>
  <si>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</si>
  <si>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</si>
  <si>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</si>
  <si>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</si>
  <si>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</si>
  <si>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</si>
  <si>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</si>
  <si>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</si>
  <si>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</si>
  <si>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</si>
  <si>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</si>
  <si>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</si>
  <si>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</si>
  <si>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</si>
  <si>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</si>
  <si>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</si>
  <si>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</si>
  <si>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</si>
  <si>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</si>
  <si>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</si>
  <si>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</si>
  <si>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</si>
  <si>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</si>
  <si>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</si>
  <si>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</si>
  <si>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</si>
  <si>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</si>
  <si>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</si>
  <si>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</si>
  <si>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</si>
  <si>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</si>
  <si>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</si>
  <si>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</si>
  <si>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</si>
  <si>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</si>
  <si>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</si>
  <si>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</si>
  <si>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</si>
  <si>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</si>
  <si>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</si>
  <si>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</si>
  <si>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</si>
  <si>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</si>
  <si>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</si>
  <si>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</si>
  <si>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</si>
  <si>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</si>
  <si>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</si>
  <si>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</si>
  <si>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</si>
  <si>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</si>
  <si>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</si>
  <si>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</si>
  <si>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</si>
  <si>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</si>
  <si>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</si>
  <si>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</si>
  <si>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</si>
  <si>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</si>
  <si>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</si>
  <si>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</si>
  <si>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</si>
  <si>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</si>
  <si>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</si>
  <si>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</si>
  <si>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</si>
  <si>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</si>
  <si>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</si>
  <si>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</si>
  <si>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</si>
  <si>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</si>
  <si>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</si>
  <si>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</si>
  <si>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</si>
  <si>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</si>
  <si>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</si>
  <si>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</si>
  <si>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</si>
  <si>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</si>
  <si>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</si>
  <si>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</si>
  <si>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</si>
  <si>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</si>
  <si>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</si>
  <si>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ETHU6</t>
  </si>
  <si>
    <t>b/o ETHV6</t>
  </si>
  <si>
    <t>b/o ETHX6</t>
  </si>
  <si>
    <t>b/o ETHZ6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</si>
  <si>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</si>
  <si>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</si>
  <si>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</si>
  <si>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</si>
  <si>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</si>
  <si>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</si>
  <si>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</si>
  <si>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</si>
  <si>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</si>
  <si>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</si>
  <si>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</si>
  <si>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</si>
  <si>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</si>
  <si>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</si>
  <si>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</si>
  <si>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</si>
  <si>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</si>
  <si>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</si>
  <si>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</si>
  <si>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</si>
  <si>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</si>
  <si>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</si>
  <si>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ETHU6</t>
  </si>
  <si>
    <t>ETHV6</t>
  </si>
  <si>
    <t>ETHX6</t>
  </si>
  <si>
    <t>ETHZ6</t>
  </si>
  <si>
    <t>future_spread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</si>
  <si>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</si>
  <si>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</si>
  <si>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</si>
  <si>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</si>
  <si>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</si>
  <si>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</si>
  <si>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</si>
  <si>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</si>
  <si>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</si>
  <si>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</si>
  <si>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ETHU6/ETHV6</t>
  </si>
  <si>
    <t>ETHU6/ETHX6</t>
  </si>
  <si>
    <t>ETHU6/ETHZ6</t>
  </si>
  <si>
    <t>ETHV6/ETHX6</t>
  </si>
  <si>
    <t>ETHV6/ETHZ6</t>
  </si>
  <si>
    <t>ETHX6/ETHZ6</t>
  </si>
  <si>
    <t>synthetic</t>
  </si>
  <si>
    <t>syn BTCV6/BTCU6</t>
  </si>
  <si>
    <t>syn BTCX6/BTCU6</t>
  </si>
  <si>
    <t>syn BTCZ6/BTCU6</t>
  </si>
  <si>
    <t>syn BTCF7/BTCU6</t>
  </si>
  <si>
    <t>syn BTCV6/BTCX6/BTCU6</t>
  </si>
  <si>
    <t>syn BTCV6/BTCZ6/BTCU6</t>
  </si>
  <si>
    <t>syn BTCV6/BTCF7/BTCU6</t>
  </si>
  <si>
    <t>syn BTCX6/BTCV6/BTCU6</t>
  </si>
  <si>
    <t>syn BTCX6/BTCZ6/BTCU6</t>
  </si>
  <si>
    <t>syn BTCX6/BTCF7/BTCU6</t>
  </si>
  <si>
    <t>syn BTCZ6/BTCV6/BTCU6</t>
  </si>
  <si>
    <t>syn BTCZ6/BTCX6/BTCU6</t>
  </si>
  <si>
    <t>syn BTCZ6/BTCF7/BTCU6</t>
  </si>
  <si>
    <t>syn BTCF7/BTCV6/BTCU6</t>
  </si>
  <si>
    <t>syn BTCF7/BTCX6/BTCU6</t>
  </si>
  <si>
    <t>syn BTCF7/BTCZ6/BTCU6</t>
  </si>
  <si>
    <t>syn BTCV6/BTCX6/BTCZ6/BTCU6</t>
  </si>
  <si>
    <t>syn BTCV6/BTCX6/BTCF7/BTCU6</t>
  </si>
  <si>
    <t>syn BTCV6/BTCZ6/BTCX6/BTCU6</t>
  </si>
  <si>
    <t>syn BTCV6/BTCZ6/BTCF7/BTCU6</t>
  </si>
  <si>
    <t>syn BTCV6/BTCF7/BTCX6/BTCU6</t>
  </si>
  <si>
    <t>syn BTCV6/BTCF7/BTCZ6/BTCU6</t>
  </si>
  <si>
    <t>syn BTCX6/BTCV6/BTCZ6/BTCU6</t>
  </si>
  <si>
    <t>syn BTCX6/BTCV6/BTCF7/BTCU6</t>
  </si>
  <si>
    <t>syn BTCX6/BTCZ6/BTCV6/BTCU6</t>
  </si>
  <si>
    <t>syn BTCX6/BTCZ6/BTCF7/BTCU6</t>
  </si>
  <si>
    <t>syn BTCX6/BTCF7/BTCV6/BTCU6</t>
  </si>
  <si>
    <t>syn BTCX6/BTCF7/BTCZ6/BTCU6</t>
  </si>
  <si>
    <t>syn BTCZ6/BTCV6/BTCX6/BTCU6</t>
  </si>
  <si>
    <t>syn BTCZ6/BTCV6/BTCF7/BTCU6</t>
  </si>
  <si>
    <t>syn BTCZ6/BTCX6/BTCV6/BTCU6</t>
  </si>
  <si>
    <t>syn BTCZ6/BTCX6/BTCF7/BTCU6</t>
  </si>
  <si>
    <t>syn BTCZ6/BTCF7/BTCV6/BTCU6</t>
  </si>
  <si>
    <t>syn BTCZ6/BTCF7/BTCX6/BTCU6</t>
  </si>
  <si>
    <t>syn BTCF7/BTCV6/BTCX6/BTCU6</t>
  </si>
  <si>
    <t>syn BTCF7/BTCV6/BTCZ6/BTCU6</t>
  </si>
  <si>
    <t>syn BTCF7/BTCX6/BTCV6/BTCU6</t>
  </si>
  <si>
    <t>syn BTCF7/BTCX6/BTCZ6/BTCU6</t>
  </si>
  <si>
    <t>syn BTCF7/BTCZ6/BTCV6/BTCU6</t>
  </si>
  <si>
    <t>syn BTCF7/BTCZ6/BTCX6/BTCU6</t>
  </si>
  <si>
    <t>syn BTCV6/BTCX6/BTCZ6/BTCF7/BTCU6</t>
  </si>
  <si>
    <t>syn BTCV6/BTCX6/BTCF7/BTCZ6/BTCU6</t>
  </si>
  <si>
    <t>syn BTCV6/BTCZ6/BTCX6/BTCF7/BTCU6</t>
  </si>
  <si>
    <t>syn BTCV6/BTCZ6/BTCF7/BTCX6/BTCU6</t>
  </si>
  <si>
    <t>syn BTCV6/BTCF7/BTCX6/BTCZ6/BTCU6</t>
  </si>
  <si>
    <t>syn BTCV6/BTCF7/BTCZ6/BTCX6/BTCU6</t>
  </si>
  <si>
    <t>syn BTCX6/BTCV6/BTCZ6/BTCF7/BTCU6</t>
  </si>
  <si>
    <t>syn BTCX6/BTCV6/BTCF7/BTCZ6/BTCU6</t>
  </si>
  <si>
    <t>syn BTCX6/BTCZ6/BTCV6/BTCF7/BTCU6</t>
  </si>
  <si>
    <t>syn BTCX6/BTCZ6/BTCF7/BTCV6/BTCU6</t>
  </si>
  <si>
    <t>syn BTCX6/BTCF7/BTCV6/BTCZ6/BTCU6</t>
  </si>
  <si>
    <t>syn BTCX6/BTCF7/BTCZ6/BTCV6/BTCU6</t>
  </si>
  <si>
    <t>syn BTCZ6/BTCV6/BTCX6/BTCF7/BTCU6</t>
  </si>
  <si>
    <t>syn BTCZ6/BTCV6/BTCF7/BTCX6/BTCU6</t>
  </si>
  <si>
    <t>syn BTCZ6/BTCX6/BTCV6/BTCF7/BTCU6</t>
  </si>
  <si>
    <t>syn BTCZ6/BTCX6/BTCF7/BTCV6/BTCU6</t>
  </si>
  <si>
    <t>syn BTCZ6/BTCF7/BTCV6/BTCX6/BTCU6</t>
  </si>
  <si>
    <t>syn BTCZ6/BTCF7/BTCX6/BTCV6/BTCU6</t>
  </si>
  <si>
    <t>syn BTCF7/BTCV6/BTCX6/BTCZ6/BTCU6</t>
  </si>
  <si>
    <t>syn BTCF7/BTCV6/BTCZ6/BTCX6/BTCU6</t>
  </si>
  <si>
    <t>syn BTCF7/BTCX6/BTCV6/BTCZ6/BTCU6</t>
  </si>
  <si>
    <t>syn BTCF7/BTCX6/BTCZ6/BTCV6/BTCU6</t>
  </si>
  <si>
    <t>syn BTCF7/BTCZ6/BTCV6/BTCX6/BTCU6</t>
  </si>
  <si>
    <t>syn BTCF7/BTCZ6/BTCX6/BTCV6/BTCU6</t>
  </si>
  <si>
    <t>syn BTCU6/BTCV6</t>
  </si>
  <si>
    <t>syn BTCX6/BTCV6</t>
  </si>
  <si>
    <t>syn BTCZ6/BTCV6</t>
  </si>
  <si>
    <t>syn BTCF7/BTCV6</t>
  </si>
  <si>
    <t>syn BTCU6/BTCX6/BTCV6</t>
  </si>
  <si>
    <t>syn BTCU6/BTCZ6/BTCV6</t>
  </si>
  <si>
    <t>syn BTCU6/BTCF7/BTCV6</t>
  </si>
  <si>
    <t>syn BTCX6/BTCU6/BTCV6</t>
  </si>
  <si>
    <t>syn BTCX6/BTCZ6/BTCV6</t>
  </si>
  <si>
    <t>syn BTCX6/BTCF7/BTCV6</t>
  </si>
  <si>
    <t>syn BTCZ6/BTCU6/BTCV6</t>
  </si>
  <si>
    <t>syn BTCZ6/BTCX6/BTCV6</t>
  </si>
  <si>
    <t>syn BTCZ6/BTCF7/BTCV6</t>
  </si>
  <si>
    <t>syn BTCF7/BTCU6/BTCV6</t>
  </si>
  <si>
    <t>syn BTCF7/BTCX6/BTCV6</t>
  </si>
  <si>
    <t>syn BTCF7/BTCZ6/BTCV6</t>
  </si>
  <si>
    <t>syn BTCU6/BTCX6/BTCZ6/BTCV6</t>
  </si>
  <si>
    <t>syn BTCU6/BTCX6/BTCF7/BTCV6</t>
  </si>
  <si>
    <t>syn BTCU6/BTCZ6/BTCX6/BTCV6</t>
  </si>
  <si>
    <t>syn BTCU6/BTCZ6/BTCF7/BTCV6</t>
  </si>
  <si>
    <t>syn BTCU6/BTCF7/BTCX6/BTCV6</t>
  </si>
  <si>
    <t>syn BTCU6/BTCF7/BTCZ6/BTCV6</t>
  </si>
  <si>
    <t>syn BTCX6/BTCU6/BTCZ6/BTCV6</t>
  </si>
  <si>
    <t>syn BTCX6/BTCU6/BTCF7/BTCV6</t>
  </si>
  <si>
    <t>syn BTCX6/BTCZ6/BTCU6/BTCV6</t>
  </si>
  <si>
    <t>syn BTCX6/BTCZ6/BTCF7/BTCV6</t>
  </si>
  <si>
    <t>syn BTCX6/BTCF7/BTCU6/BTCV6</t>
  </si>
  <si>
    <t>syn BTCX6/BTCF7/BTCZ6/BTCV6</t>
  </si>
  <si>
    <t>syn BTCZ6/BTCU6/BTCX6/BTCV6</t>
  </si>
  <si>
    <t>syn BTCZ6/BTCU6/BTCF7/BTCV6</t>
  </si>
  <si>
    <t>syn BTCZ6/BTCX6/BTCU6/BTCV6</t>
  </si>
  <si>
    <t>syn BTCZ6/BTCX6/BTCF7/BTCV6</t>
  </si>
  <si>
    <t>syn BTCZ6/BTCF7/BTCU6/BTCV6</t>
  </si>
  <si>
    <t>syn BTCZ6/BTCF7/BTCX6/BTCV6</t>
  </si>
  <si>
    <t>syn BTCF7/BTCU6/BTCX6/BTCV6</t>
  </si>
  <si>
    <t>syn BTCF7/BTCU6/BTCZ6/BTCV6</t>
  </si>
  <si>
    <t>syn BTCF7/BTCX6/BTCU6/BTCV6</t>
  </si>
  <si>
    <t>syn BTCF7/BTCX6/BTCZ6/BTCV6</t>
  </si>
  <si>
    <t>syn BTCF7/BTCZ6/BTCU6/BTCV6</t>
  </si>
  <si>
    <t>syn BTCF7/BTCZ6/BTCX6/BTCV6</t>
  </si>
  <si>
    <t>syn BTCU6/BTCX6/BTCZ6/BTCF7/BTCV6</t>
  </si>
  <si>
    <t>syn BTCU6/BTCX6/BTCF7/BTCZ6/BTCV6</t>
  </si>
  <si>
    <t>syn BTCU6/BTCZ6/BTCX6/BTCF7/BTCV6</t>
  </si>
  <si>
    <t>syn BTCU6/BTCZ6/BTCF7/BTCX6/BTCV6</t>
  </si>
  <si>
    <t>syn BTCU6/BTCF7/BTCX6/BTCZ6/BTCV6</t>
  </si>
  <si>
    <t>syn BTCU6/BTCF7/BTCZ6/BTCX6/BTCV6</t>
  </si>
  <si>
    <t>syn BTCX6/BTCU6/BTCZ6/BTCF7/BTCV6</t>
  </si>
  <si>
    <t>syn BTCX6/BTCU6/BTCF7/BTCZ6/BTCV6</t>
  </si>
  <si>
    <t>syn BTCX6/BTCZ6/BTCU6/BTCF7/BTCV6</t>
  </si>
  <si>
    <t>syn BTCX6/BTCZ6/BTCF7/BTCU6/BTCV6</t>
  </si>
  <si>
    <t>syn BTCX6/BTCF7/BTCU6/BTCZ6/BTCV6</t>
  </si>
  <si>
    <t>syn BTCX6/BTCF7/BTCZ6/BTCU6/BTCV6</t>
  </si>
  <si>
    <t>syn BTCZ6/BTCU6/BTCX6/BTCF7/BTCV6</t>
  </si>
  <si>
    <t>syn BTCZ6/BTCU6/BTCF7/BTCX6/BTCV6</t>
  </si>
  <si>
    <t>syn BTCZ6/BTCX6/BTCU6/BTCF7/BTCV6</t>
  </si>
  <si>
    <t>syn BTCZ6/BTCX6/BTCF7/BTCU6/BTCV6</t>
  </si>
  <si>
    <t>syn BTCZ6/BTCF7/BTCU6/BTCX6/BTCV6</t>
  </si>
  <si>
    <t>syn BTCZ6/BTCF7/BTCX6/BTCU6/BTCV6</t>
  </si>
  <si>
    <t>syn BTCF7/BTCU6/BTCX6/BTCZ6/BTCV6</t>
  </si>
  <si>
    <t>syn BTCF7/BTCU6/BTCZ6/BTCX6/BTCV6</t>
  </si>
  <si>
    <t>syn BTCF7/BTCX6/BTCU6/BTCZ6/BTCV6</t>
  </si>
  <si>
    <t>syn BTCF7/BTCX6/BTCZ6/BTCU6/BTCV6</t>
  </si>
  <si>
    <t>syn BTCF7/BTCZ6/BTCU6/BTCX6/BTCV6</t>
  </si>
  <si>
    <t>syn BTCF7/BTCZ6/BTCX6/BTCU6/BTCV6</t>
  </si>
  <si>
    <t>syn BTCU6/BTCX6</t>
  </si>
  <si>
    <t>syn BTCV6/BTCX6</t>
  </si>
  <si>
    <t>syn BTCZ6/BTCX6</t>
  </si>
  <si>
    <t>syn BTCF7/BTCX6</t>
  </si>
  <si>
    <t>syn BTCU6/BTCV6/BTCX6</t>
  </si>
  <si>
    <t>syn BTCU6/BTCZ6/BTCX6</t>
  </si>
  <si>
    <t>syn BTCU6/BTCF7/BTCX6</t>
  </si>
  <si>
    <t>syn BTCV6/BTCU6/BTCX6</t>
  </si>
  <si>
    <t>syn BTCV6/BTCZ6/BTCX6</t>
  </si>
  <si>
    <t>syn BTCV6/BTCF7/BTCX6</t>
  </si>
  <si>
    <t>syn BTCZ6/BTCU6/BTCX6</t>
  </si>
  <si>
    <t>syn BTCZ6/BTCV6/BTCX6</t>
  </si>
  <si>
    <t>syn BTCZ6/BTCF7/BTCX6</t>
  </si>
  <si>
    <t>syn BTCF7/BTCU6/BTCX6</t>
  </si>
  <si>
    <t>syn BTCF7/BTCV6/BTCX6</t>
  </si>
  <si>
    <t>syn BTCF7/BTCZ6/BTCX6</t>
  </si>
  <si>
    <t>syn BTCU6/BTCV6/BTCZ6/BTCX6</t>
  </si>
  <si>
    <t>syn BTCU6/BTCV6/BTCF7/BTCX6</t>
  </si>
  <si>
    <t>syn BTCU6/BTCZ6/BTCV6/BTCX6</t>
  </si>
  <si>
    <t>syn BTCU6/BTCZ6/BTCF7/BTCX6</t>
  </si>
  <si>
    <t>syn BTCU6/BTCF7/BTCV6/BTCX6</t>
  </si>
  <si>
    <t>syn BTCU6/BTCF7/BTCZ6/BTCX6</t>
  </si>
  <si>
    <t>syn BTCV6/BTCU6/BTCZ6/BTCX6</t>
  </si>
  <si>
    <t>syn BTCV6/BTCU6/BTCF7/BTCX6</t>
  </si>
  <si>
    <t>syn BTCV6/BTCZ6/BTCU6/BTCX6</t>
  </si>
  <si>
    <t>syn BTCV6/BTCZ6/BTCF7/BTCX6</t>
  </si>
  <si>
    <t>syn BTCV6/BTCF7/BTCU6/BTCX6</t>
  </si>
  <si>
    <t>syn BTCV6/BTCF7/BTCZ6/BTCX6</t>
  </si>
  <si>
    <t>syn BTCZ6/BTCU6/BTCV6/BTCX6</t>
  </si>
  <si>
    <t>syn BTCZ6/BTCU6/BTCF7/BTCX6</t>
  </si>
  <si>
    <t>syn BTCZ6/BTCV6/BTCU6/BTCX6</t>
  </si>
  <si>
    <t>syn BTCZ6/BTCV6/BTCF7/BTCX6</t>
  </si>
  <si>
    <t>syn BTCZ6/BTCF7/BTCU6/BTCX6</t>
  </si>
  <si>
    <t>syn BTCZ6/BTCF7/BTCV6/BTCX6</t>
  </si>
  <si>
    <t>syn BTCF7/BTCU6/BTCV6/BTCX6</t>
  </si>
  <si>
    <t>syn BTCF7/BTCU6/BTCZ6/BTCX6</t>
  </si>
  <si>
    <t>syn BTCF7/BTCV6/BTCU6/BTCX6</t>
  </si>
  <si>
    <t>syn BTCF7/BTCV6/BTCZ6/BTCX6</t>
  </si>
  <si>
    <t>syn BTCF7/BTCZ6/BTCU6/BTCX6</t>
  </si>
  <si>
    <t>syn BTCF7/BTCZ6/BTCV6/BTCX6</t>
  </si>
  <si>
    <t>syn BTCU6/BTCV6/BTCZ6/BTCF7/BTCX6</t>
  </si>
  <si>
    <t>syn BTCU6/BTCV6/BTCF7/BTCZ6/BTCX6</t>
  </si>
  <si>
    <t>syn BTCU6/BTCZ6/BTCV6/BTCF7/BTCX6</t>
  </si>
  <si>
    <t>syn BTCU6/BTCZ6/BTCF7/BTCV6/BTCX6</t>
  </si>
  <si>
    <t>syn BTCU6/BTCF7/BTCV6/BTCZ6/BTCX6</t>
  </si>
  <si>
    <t>syn BTCU6/BTCF7/BTCZ6/BTCV6/BTCX6</t>
  </si>
  <si>
    <t>syn BTCV6/BTCU6/BTCZ6/BTCF7/BTCX6</t>
  </si>
  <si>
    <t>syn BTCV6/BTCU6/BTCF7/BTCZ6/BTCX6</t>
  </si>
  <si>
    <t>syn BTCV6/BTCZ6/BTCU6/BTCF7/BTCX6</t>
  </si>
  <si>
    <t>syn BTCV6/BTCZ6/BTCF7/BTCU6/BTCX6</t>
  </si>
  <si>
    <t>syn BTCV6/BTCF7/BTCU6/BTCZ6/BTCX6</t>
  </si>
  <si>
    <t>syn BTCV6/BTCF7/BTCZ6/BTCU6/BTCX6</t>
  </si>
  <si>
    <t>syn BTCZ6/BTCU6/BTCV6/BTCF7/BTCX6</t>
  </si>
  <si>
    <t>syn BTCZ6/BTCU6/BTCF7/BTCV6/BTCX6</t>
  </si>
  <si>
    <t>syn BTCZ6/BTCV6/BTCU6/BTCF7/BTCX6</t>
  </si>
  <si>
    <t>syn BTCZ6/BTCV6/BTCF7/BTCU6/BTCX6</t>
  </si>
  <si>
    <t>syn BTCZ6/BTCF7/BTCU6/BTCV6/BTCX6</t>
  </si>
  <si>
    <t>syn BTCZ6/BTCF7/BTCV6/BTCU6/BTCX6</t>
  </si>
  <si>
    <t>syn BTCF7/BTCU6/BTCV6/BTCZ6/BTCX6</t>
  </si>
  <si>
    <t>syn BTCF7/BTCU6/BTCZ6/BTCV6/BTCX6</t>
  </si>
  <si>
    <t>syn BTCF7/BTCV6/BTCU6/BTCZ6/BTCX6</t>
  </si>
  <si>
    <t>syn BTCF7/BTCV6/BTCZ6/BTCU6/BTCX6</t>
  </si>
  <si>
    <t>syn BTCF7/BTCZ6/BTCU6/BTCV6/BTCX6</t>
  </si>
  <si>
    <t>syn BTCF7/BTCZ6/BTCV6/BTCU6/BTCX6</t>
  </si>
  <si>
    <t>syn BTCU6/BTCZ6</t>
  </si>
  <si>
    <t>syn BTCV6/BTCZ6</t>
  </si>
  <si>
    <t>syn BTCX6/BTCZ6</t>
  </si>
  <si>
    <t>syn BTCF7/BTCZ6</t>
  </si>
  <si>
    <t>syn BTCU6/BTCV6/BTCZ6</t>
  </si>
  <si>
    <t>syn BTCU6/BTCX6/BTCZ6</t>
  </si>
  <si>
    <t>syn BTCU6/BTCF7/BTCZ6</t>
  </si>
  <si>
    <t>syn BTCV6/BTCU6/BTCZ6</t>
  </si>
  <si>
    <t>syn BTCV6/BTCX6/BTCZ6</t>
  </si>
  <si>
    <t>syn BTCV6/BTCF7/BTCZ6</t>
  </si>
  <si>
    <t>syn BTCX6/BTCU6/BTCZ6</t>
  </si>
  <si>
    <t>syn BTCX6/BTCV6/BTCZ6</t>
  </si>
  <si>
    <t>syn BTCX6/BTCF7/BTCZ6</t>
  </si>
  <si>
    <t>syn BTCF7/BTCU6/BTCZ6</t>
  </si>
  <si>
    <t>syn BTCF7/BTCV6/BTCZ6</t>
  </si>
  <si>
    <t>syn BTCF7/BTCX6/BTCZ6</t>
  </si>
  <si>
    <t>syn BTCU6/BTCV6/BTCX6/BTCZ6</t>
  </si>
  <si>
    <t>syn BTCU6/BTCV6/BTCF7/BTCZ6</t>
  </si>
  <si>
    <t>syn BTCU6/BTCX6/BTCV6/BTCZ6</t>
  </si>
  <si>
    <t>syn BTCU6/BTCX6/BTCF7/BTCZ6</t>
  </si>
  <si>
    <t>syn BTCU6/BTCF7/BTCV6/BTCZ6</t>
  </si>
  <si>
    <t>syn BTCU6/BTCF7/BTCX6/BTCZ6</t>
  </si>
  <si>
    <t>syn BTCV6/BTCU6/BTCX6/BTCZ6</t>
  </si>
  <si>
    <t>syn BTCV6/BTCU6/BTCF7/BTCZ6</t>
  </si>
  <si>
    <t>syn BTCV6/BTCX6/BTCU6/BTCZ6</t>
  </si>
  <si>
    <t>syn BTCV6/BTCX6/BTCF7/BTCZ6</t>
  </si>
  <si>
    <t>syn BTCV6/BTCF7/BTCU6/BTCZ6</t>
  </si>
  <si>
    <t>syn BTCV6/BTCF7/BTCX6/BTCZ6</t>
  </si>
  <si>
    <t>syn BTCX6/BTCU6/BTCV6/BTCZ6</t>
  </si>
  <si>
    <t>syn BTCX6/BTCU6/BTCF7/BTCZ6</t>
  </si>
  <si>
    <t>syn BTCX6/BTCV6/BTCU6/BTCZ6</t>
  </si>
  <si>
    <t>syn BTCX6/BTCV6/BTCF7/BTCZ6</t>
  </si>
  <si>
    <t>syn BTCX6/BTCF7/BTCU6/BTCZ6</t>
  </si>
  <si>
    <t>syn BTCX6/BTCF7/BTCV6/BTCZ6</t>
  </si>
  <si>
    <t>syn BTCF7/BTCU6/BTCV6/BTCZ6</t>
  </si>
  <si>
    <t>syn BTCF7/BTCU6/BTCX6/BTCZ6</t>
  </si>
  <si>
    <t>syn BTCF7/BTCV6/BTCU6/BTCZ6</t>
  </si>
  <si>
    <t>syn BTCF7/BTCV6/BTCX6/BTCZ6</t>
  </si>
  <si>
    <t>syn BTCF7/BTCX6/BTCU6/BTCZ6</t>
  </si>
  <si>
    <t>syn BTCF7/BTCX6/BTCV6/BTCZ6</t>
  </si>
  <si>
    <t>syn BTCU6/BTCV6/BTCX6/BTCF7/BTCZ6</t>
  </si>
  <si>
    <t>syn BTCU6/BTCV6/BTCF7/BTCX6/BTCZ6</t>
  </si>
  <si>
    <t>syn BTCU6/BTCX6/BTCV6/BTCF7/BTCZ6</t>
  </si>
  <si>
    <t>syn BTCU6/BTCX6/BTCF7/BTCV6/BTCZ6</t>
  </si>
  <si>
    <t>syn BTCU6/BTCF7/BTCV6/BTCX6/BTCZ6</t>
  </si>
  <si>
    <t>syn BTCU6/BTCF7/BTCX6/BTCV6/BTCZ6</t>
  </si>
  <si>
    <t>syn BTCV6/BTCU6/BTCX6/BTCF7/BTCZ6</t>
  </si>
  <si>
    <t>syn BTCV6/BTCU6/BTCF7/BTCX6/BTCZ6</t>
  </si>
  <si>
    <t>syn BTCV6/BTCX6/BTCU6/BTCF7/BTCZ6</t>
  </si>
  <si>
    <t>syn BTCV6/BTCX6/BTCF7/BTCU6/BTCZ6</t>
  </si>
  <si>
    <t>syn BTCV6/BTCF7/BTCU6/BTCX6/BTCZ6</t>
  </si>
  <si>
    <t>syn BTCV6/BTCF7/BTCX6/BTCU6/BTCZ6</t>
  </si>
  <si>
    <t>syn BTCX6/BTCU6/BTCV6/BTCF7/BTCZ6</t>
  </si>
  <si>
    <t>syn BTCX6/BTCU6/BTCF7/BTCV6/BTCZ6</t>
  </si>
  <si>
    <t>syn BTCX6/BTCV6/BTCU6/BTCF7/BTCZ6</t>
  </si>
  <si>
    <t>syn BTCX6/BTCV6/BTCF7/BTCU6/BTCZ6</t>
  </si>
  <si>
    <t>syn BTCX6/BTCF7/BTCU6/BTCV6/BTCZ6</t>
  </si>
  <si>
    <t>syn BTCX6/BTCF7/BTCV6/BTCU6/BTCZ6</t>
  </si>
  <si>
    <t>syn BTCF7/BTCU6/BTCV6/BTCX6/BTCZ6</t>
  </si>
  <si>
    <t>syn BTCF7/BTCU6/BTCX6/BTCV6/BTCZ6</t>
  </si>
  <si>
    <t>syn BTCF7/BTCV6/BTCU6/BTCX6/BTCZ6</t>
  </si>
  <si>
    <t>syn BTCF7/BTCV6/BTCX6/BTCU6/BTCZ6</t>
  </si>
  <si>
    <t>syn BTCF7/BTCX6/BTCU6/BTCV6/BTCZ6</t>
  </si>
  <si>
    <t>syn BTCF7/BTCX6/BTCV6/BTCU6/BTCZ6</t>
  </si>
  <si>
    <t>syn BTCU6/BTCF7</t>
  </si>
  <si>
    <t>syn BTCV6/BTCF7</t>
  </si>
  <si>
    <t>syn BTCX6/BTCF7</t>
  </si>
  <si>
    <t>syn BTCZ6/BTCF7</t>
  </si>
  <si>
    <t>syn BTCU6/BTCV6/BTCF7</t>
  </si>
  <si>
    <t>syn BTCU6/BTCX6/BTCF7</t>
  </si>
  <si>
    <t>syn BTCU6/BTCZ6/BTCF7</t>
  </si>
  <si>
    <t>syn BTCV6/BTCU6/BTCF7</t>
  </si>
  <si>
    <t>syn BTCV6/BTCX6/BTCF7</t>
  </si>
  <si>
    <t>syn BTCV6/BTCZ6/BTCF7</t>
  </si>
  <si>
    <t>syn BTCX6/BTCU6/BTCF7</t>
  </si>
  <si>
    <t>syn BTCX6/BTCV6/BTCF7</t>
  </si>
  <si>
    <t>syn BTCX6/BTCZ6/BTCF7</t>
  </si>
  <si>
    <t>syn BTCZ6/BTCU6/BTCF7</t>
  </si>
  <si>
    <t>syn BTCZ6/BTCV6/BTCF7</t>
  </si>
  <si>
    <t>syn BTCZ6/BTCX6/BTCF7</t>
  </si>
  <si>
    <t>syn BTCU6/BTCV6/BTCX6/BTCF7</t>
  </si>
  <si>
    <t>syn BTCU6/BTCV6/BTCZ6/BTCF7</t>
  </si>
  <si>
    <t>syn BTCU6/BTCX6/BTCV6/BTCF7</t>
  </si>
  <si>
    <t>syn BTCU6/BTCX6/BTCZ6/BTCF7</t>
  </si>
  <si>
    <t>syn BTCU6/BTCZ6/BTCV6/BTCF7</t>
  </si>
  <si>
    <t>syn BTCU6/BTCZ6/BTCX6/BTCF7</t>
  </si>
  <si>
    <t>syn BTCV6/BTCU6/BTCX6/BTCF7</t>
  </si>
  <si>
    <t>syn BTCV6/BTCU6/BTCZ6/BTCF7</t>
  </si>
  <si>
    <t>syn BTCV6/BTCX6/BTCU6/BTCF7</t>
  </si>
  <si>
    <t>syn BTCV6/BTCX6/BTCZ6/BTCF7</t>
  </si>
  <si>
    <t>syn BTCV6/BTCZ6/BTCU6/BTCF7</t>
  </si>
  <si>
    <t>syn BTCV6/BTCZ6/BTCX6/BTCF7</t>
  </si>
  <si>
    <t>syn BTCX6/BTCU6/BTCV6/BTCF7</t>
  </si>
  <si>
    <t>syn BTCX6/BTCU6/BTCZ6/BTCF7</t>
  </si>
  <si>
    <t>syn BTCX6/BTCV6/BTCU6/BTCF7</t>
  </si>
  <si>
    <t>syn BTCX6/BTCV6/BTCZ6/BTCF7</t>
  </si>
  <si>
    <t>syn BTCX6/BTCZ6/BTCU6/BTCF7</t>
  </si>
  <si>
    <t>syn BTCX6/BTCZ6/BTCV6/BTCF7</t>
  </si>
  <si>
    <t>syn BTCZ6/BTCU6/BTCV6/BTCF7</t>
  </si>
  <si>
    <t>syn BTCZ6/BTCU6/BTCX6/BTCF7</t>
  </si>
  <si>
    <t>syn BTCZ6/BTCV6/BTCU6/BTCF7</t>
  </si>
  <si>
    <t>syn BTCZ6/BTCV6/BTCX6/BTCF7</t>
  </si>
  <si>
    <t>syn BTCZ6/BTCX6/BTCU6/BTCF7</t>
  </si>
  <si>
    <t>syn BTCZ6/BTCX6/BTCV6/BTCF7</t>
  </si>
  <si>
    <t>syn BTCU6/BTCV6/BTCX6/BTCZ6/BTCF7</t>
  </si>
  <si>
    <t>syn BTCU6/BTCV6/BTCZ6/BTCX6/BTCF7</t>
  </si>
  <si>
    <t>syn BTCU6/BTCX6/BTCV6/BTCZ6/BTCF7</t>
  </si>
  <si>
    <t>syn BTCU6/BTCX6/BTCZ6/BTCV6/BTCF7</t>
  </si>
  <si>
    <t>syn BTCU6/BTCZ6/BTCV6/BTCX6/BTCF7</t>
  </si>
  <si>
    <t>syn BTCU6/BTCZ6/BTCX6/BTCV6/BTCF7</t>
  </si>
  <si>
    <t>syn BTCV6/BTCU6/BTCX6/BTCZ6/BTCF7</t>
  </si>
  <si>
    <t>syn BTCV6/BTCU6/BTCZ6/BTCX6/BTCF7</t>
  </si>
  <si>
    <t>syn BTCV6/BTCX6/BTCU6/BTCZ6/BTCF7</t>
  </si>
  <si>
    <t>syn BTCV6/BTCX6/BTCZ6/BTCU6/BTCF7</t>
  </si>
  <si>
    <t>syn BTCV6/BTCZ6/BTCU6/BTCX6/BTCF7</t>
  </si>
  <si>
    <t>syn BTCV6/BTCZ6/BTCX6/BTCU6/BTCF7</t>
  </si>
  <si>
    <t>syn BTCX6/BTCU6/BTCV6/BTCZ6/BTCF7</t>
  </si>
  <si>
    <t>syn BTCX6/BTCU6/BTCZ6/BTCV6/BTCF7</t>
  </si>
  <si>
    <t>syn BTCX6/BTCV6/BTCU6/BTCZ6/BTCF7</t>
  </si>
  <si>
    <t>syn BTCX6/BTCV6/BTCZ6/BTCU6/BTCF7</t>
  </si>
  <si>
    <t>syn BTCX6/BTCZ6/BTCU6/BTCV6/BTCF7</t>
  </si>
  <si>
    <t>syn BTCX6/BTCZ6/BTCV6/BTCU6/BTCF7</t>
  </si>
  <si>
    <t>syn BTCZ6/BTCU6/BTCV6/BTCX6/BTCF7</t>
  </si>
  <si>
    <t>syn BTCZ6/BTCU6/BTCX6/BTCV6/BTCF7</t>
  </si>
  <si>
    <t>syn BTCZ6/BTCV6/BTCU6/BTCX6/BTCF7</t>
  </si>
  <si>
    <t>syn BTCZ6/BTCV6/BTCX6/BTCU6/BTCF7</t>
  </si>
  <si>
    <t>syn BTCZ6/BTCX6/BTCU6/BTCV6/BTCF7</t>
  </si>
  <si>
    <t>syn BTCZ6/BTCX6/BTCV6/BTCU6/BTCF7</t>
  </si>
  <si>
    <t>syn ETHV6/ETHU6</t>
  </si>
  <si>
    <t>syn ETHX6/ETHU6</t>
  </si>
  <si>
    <t>syn ETHZ6/ETHU6</t>
  </si>
  <si>
    <t>syn ETHV6/ETHX6/ETHU6</t>
  </si>
  <si>
    <t>syn ETHV6/ETHZ6/ETHU6</t>
  </si>
  <si>
    <t>syn ETHX6/ETHV6/ETHU6</t>
  </si>
  <si>
    <t>syn ETHX6/ETHZ6/ETHU6</t>
  </si>
  <si>
    <t>syn ETHZ6/ETHV6/ETHU6</t>
  </si>
  <si>
    <t>syn ETHZ6/ETHX6/ETHU6</t>
  </si>
  <si>
    <t>syn ETHV6/ETHX6/ETHZ6/ETHU6</t>
  </si>
  <si>
    <t>syn ETHV6/ETHZ6/ETHX6/ETHU6</t>
  </si>
  <si>
    <t>syn ETHX6/ETHV6/ETHZ6/ETHU6</t>
  </si>
  <si>
    <t>syn ETHX6/ETHZ6/ETHV6/ETHU6</t>
  </si>
  <si>
    <t>syn ETHZ6/ETHV6/ETHX6/ETHU6</t>
  </si>
  <si>
    <t>syn ETHZ6/ETHX6/ETHV6/ETHU6</t>
  </si>
  <si>
    <t>syn ETHU6/ETHV6</t>
  </si>
  <si>
    <t>syn ETHX6/ETHV6</t>
  </si>
  <si>
    <t>syn ETHZ6/ETHV6</t>
  </si>
  <si>
    <t>syn ETHU6/ETHX6/ETHV6</t>
  </si>
  <si>
    <t>syn ETHU6/ETHZ6/ETHV6</t>
  </si>
  <si>
    <t>syn ETHX6/ETHU6/ETHV6</t>
  </si>
  <si>
    <t>syn ETHX6/ETHZ6/ETHV6</t>
  </si>
  <si>
    <t>syn ETHZ6/ETHU6/ETHV6</t>
  </si>
  <si>
    <t>syn ETHZ6/ETHX6/ETHV6</t>
  </si>
  <si>
    <t>syn ETHU6/ETHX6/ETHZ6/ETHV6</t>
  </si>
  <si>
    <t>syn ETHU6/ETHZ6/ETHX6/ETHV6</t>
  </si>
  <si>
    <t>syn ETHX6/ETHU6/ETHZ6/ETHV6</t>
  </si>
  <si>
    <t>syn ETHX6/ETHZ6/ETHU6/ETHV6</t>
  </si>
  <si>
    <t>syn ETHZ6/ETHU6/ETHX6/ETHV6</t>
  </si>
  <si>
    <t>syn ETHZ6/ETHX6/ETHU6/ETHV6</t>
  </si>
  <si>
    <t>syn ETHU6/ETHX6</t>
  </si>
  <si>
    <t>syn ETHV6/ETHX6</t>
  </si>
  <si>
    <t>syn ETHZ6/ETHX6</t>
  </si>
  <si>
    <t>syn ETHU6/ETHV6/ETHX6</t>
  </si>
  <si>
    <t>syn ETHU6/ETHZ6/ETHX6</t>
  </si>
  <si>
    <t>syn ETHV6/ETHU6/ETHX6</t>
  </si>
  <si>
    <t>syn ETHV6/ETHZ6/ETHX6</t>
  </si>
  <si>
    <t>syn ETHZ6/ETHU6/ETHX6</t>
  </si>
  <si>
    <t>syn ETHZ6/ETHV6/ETHX6</t>
  </si>
  <si>
    <t>syn ETHU6/ETHV6/ETHZ6/ETHX6</t>
  </si>
  <si>
    <t>syn ETHU6/ETHZ6/ETHV6/ETHX6</t>
  </si>
  <si>
    <t>syn ETHV6/ETHU6/ETHZ6/ETHX6</t>
  </si>
  <si>
    <t>syn ETHV6/ETHZ6/ETHU6/ETHX6</t>
  </si>
  <si>
    <t>syn ETHZ6/ETHU6/ETHV6/ETHX6</t>
  </si>
  <si>
    <t>syn ETHZ6/ETHV6/ETHU6/ETHX6</t>
  </si>
  <si>
    <t>syn ETHU6/ETHZ6</t>
  </si>
  <si>
    <t>syn ETHV6/ETHZ6</t>
  </si>
  <si>
    <t>syn ETHX6/ETHZ6</t>
  </si>
  <si>
    <t>syn ETHU6/ETHV6/ETHZ6</t>
  </si>
  <si>
    <t>syn ETHU6/ETHX6/ETHZ6</t>
  </si>
  <si>
    <t>syn ETHV6/ETHU6/ETHZ6</t>
  </si>
  <si>
    <t>syn ETHV6/ETHX6/ETHZ6</t>
  </si>
  <si>
    <t>syn ETHX6/ETHU6/ETHZ6</t>
  </si>
  <si>
    <t>syn ETHX6/ETHV6/ETHZ6</t>
  </si>
  <si>
    <t>syn ETHU6/ETHV6/ETHX6/ETHZ6</t>
  </si>
  <si>
    <t>syn ETHU6/ETHX6/ETHV6/ETHZ6</t>
  </si>
  <si>
    <t>syn ETHV6/ETHU6/ETHX6/ETHZ6</t>
  </si>
  <si>
    <t>syn ETHV6/ETHX6/ETHU6/ETHZ6</t>
  </si>
  <si>
    <t>syn ETHX6/ETHU6/ETHV6/ETHZ6</t>
  </si>
  <si>
    <t>syn ETHX6/ETHV6/ETHU6/ETHZ6</t>
  </si>
  <si>
    <t>b/o BTCG7</t>
  </si>
  <si>
    <t>b/o ETHF7</t>
  </si>
  <si>
    <t>b/o ETHG7</t>
  </si>
  <si>
    <t>BTCG7</t>
  </si>
  <si>
    <t>ETHF7</t>
  </si>
  <si>
    <t>ETHG7</t>
  </si>
  <si>
    <t>BTCU6/BTCG7</t>
  </si>
  <si>
    <t>BTCV6/BTCG7</t>
  </si>
  <si>
    <t>BTCX6/BTCG7</t>
  </si>
  <si>
    <t>BTCZ6/BTCG7</t>
  </si>
  <si>
    <t>BTCF7/BTCG7</t>
  </si>
  <si>
    <t>ETHU6/ETHF7</t>
  </si>
  <si>
    <t>ETHU6/ETHG7</t>
  </si>
  <si>
    <t>ETHV6/ETHF7</t>
  </si>
  <si>
    <t>ETHV6/ETHG7</t>
  </si>
  <si>
    <t>ETHX6/ETHF7</t>
  </si>
  <si>
    <t>ETHX6/ETHG7</t>
  </si>
  <si>
    <t>ETHZ6/ETHF7</t>
  </si>
  <si>
    <t>ETHZ6/ETHG7</t>
  </si>
  <si>
    <t>ETHF7/ETHG7</t>
  </si>
  <si>
    <t>syn BTCG7/BTCU6</t>
  </si>
  <si>
    <t>syn BTCV6/BTCG7/BTCU6</t>
  </si>
  <si>
    <t>syn BTCX6/BTCG7/BTCU6</t>
  </si>
  <si>
    <t>syn BTCZ6/BTCG7/BTCU6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</si>
  <si>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</si>
  <si>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</si>
  <si>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</si>
  <si>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</si>
  <si>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</si>
  <si>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BTCV6/BTCX6/BTCG7/BTCU6</t>
  </si>
  <si>
    <t>syn BTCV6/BTCZ6/BTCG7/BTCU6</t>
  </si>
  <si>
    <t>syn BTCV6/BTCF7/BTCG7/BTCU6</t>
  </si>
  <si>
    <t>syn BTCV6/BTCG7/BTCX6/BTCU6</t>
  </si>
  <si>
    <t>syn BTCV6/BTCG7/BTCZ6/BTCU6</t>
  </si>
  <si>
    <t>syn BTCV6/BTCG7/BTCF7/BTCU6</t>
  </si>
  <si>
    <t>syn BTCX6/BTCV6/BTCG7/BTCU6</t>
  </si>
  <si>
    <t>syn BTCX6/BTCZ6/BTCG7/BTCU6</t>
  </si>
  <si>
    <t>syn BTCX6/BTCF7/BTCG7/BTCU6</t>
  </si>
  <si>
    <t>syn BTCX6/BTCG7/BTCV6/BTCU6</t>
  </si>
  <si>
    <t>syn BTCX6/BTCG7/BTCZ6/BTCU6</t>
  </si>
  <si>
    <t>syn BTCX6/BTCG7/BTCF7/BTCU6</t>
  </si>
  <si>
    <t>syn BTCZ6/BTCV6/BTCG7/BTCU6</t>
  </si>
  <si>
    <t>syn BTCZ6/BTCX6/BTCG7/BTCU6</t>
  </si>
  <si>
    <t>syn BTCZ6/BTCF7/BTCG7/BTCU6</t>
  </si>
  <si>
    <t>syn BTCZ6/BTCG7/BTCV6/BTCU6</t>
  </si>
  <si>
    <t>syn BTCZ6/BTCG7/BTCX6/BTCU6</t>
  </si>
  <si>
    <t>syn BTCZ6/BTCG7/BTCF7/BTCU6</t>
  </si>
  <si>
    <t>syn BTCF7/BTCV6/BTCG7/BTCU6</t>
  </si>
  <si>
    <t>syn BTCF7/BTCX6/BTCG7/BTCU6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</si>
  <si>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</si>
  <si>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</si>
  <si>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</si>
  <si>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</si>
  <si>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</si>
  <si>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</si>
  <si>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</si>
  <si>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</si>
  <si>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</si>
  <si>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</si>
  <si>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</si>
  <si>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</si>
  <si>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</si>
  <si>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</si>
  <si>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</si>
  <si>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</si>
  <si>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BTCV6/BTCX6/BTCZ6/BTCG7/BTCU6</t>
  </si>
  <si>
    <t>syn BTCV6/BTCX6/BTCF7/BTCG7/BTCU6</t>
  </si>
  <si>
    <t>syn BTCV6/BTCX6/BTCG7/BTCZ6/BTCU6</t>
  </si>
  <si>
    <t>syn BTCV6/BTCX6/BTCG7/BTCF7/BTCU6</t>
  </si>
  <si>
    <t>syn BTCV6/BTCZ6/BTCX6/BTCG7/BTCU6</t>
  </si>
  <si>
    <t>syn BTCV6/BTCZ6/BTCF7/BTCG7/BTCU6</t>
  </si>
  <si>
    <t>syn BTCV6/BTCZ6/BTCG7/BTCX6/BTCU6</t>
  </si>
  <si>
    <t>syn BTCV6/BTCZ6/BTCG7/BTCF7/BTCU6</t>
  </si>
  <si>
    <t>syn BTCV6/BTCF7/BTCX6/BTCG7/BTCU6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</si>
  <si>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</si>
  <si>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</si>
  <si>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</si>
  <si>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</si>
  <si>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</si>
  <si>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</si>
  <si>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</si>
  <si>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</si>
  <si>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</si>
  <si>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BTCX6/BTCV6/BTCZ6/BTCG7/BTCU6</t>
  </si>
  <si>
    <t>syn BTCX6/BTCV6/BTCF7/BTCG7/BTCU6</t>
  </si>
  <si>
    <t>syn BTCX6/BTCV6/BTCG7/BTCZ6/BTCU6</t>
  </si>
  <si>
    <t>syn BTCX6/BTCV6/BTCG7/BTCF7/BTCU6</t>
  </si>
  <si>
    <t>syn BTCX6/BTCZ6/BTCV6/BTCG7/BTCU6</t>
  </si>
  <si>
    <t>syn BTCX6/BTCZ6/BTCF7/BTCG7/BTCU6</t>
  </si>
  <si>
    <t>syn BTCX6/BTCZ6/BTCG7/BTCV6/BTCU6</t>
  </si>
  <si>
    <t>syn BTCX6/BTCZ6/BTCG7/BTCF7/BTCU6</t>
  </si>
  <si>
    <t>syn BTCX6/BTCF7/BTCV6/BTCG7/BTCU6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</si>
  <si>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</si>
  <si>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</si>
  <si>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</si>
  <si>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</si>
  <si>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</si>
  <si>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</si>
  <si>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</si>
  <si>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</si>
  <si>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</si>
  <si>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BTCZ6/BTCV6/BTCX6/BTCG7/BTCU6</t>
  </si>
  <si>
    <t>syn BTCZ6/BTCV6/BTCF7/BTCG7/BTCU6</t>
  </si>
  <si>
    <t>syn BTCZ6/BTCV6/BTCG7/BTCX6/BTCU6</t>
  </si>
  <si>
    <t>syn BTCZ6/BTCV6/BTCG7/BTCF7/BTCU6</t>
  </si>
  <si>
    <t>syn BTCZ6/BTCX6/BTCV6/BTCG7/BTCU6</t>
  </si>
  <si>
    <t>syn BTCZ6/BTCX6/BTCF7/BTCG7/BTCU6</t>
  </si>
  <si>
    <t>syn BTCZ6/BTCX6/BTCG7/BTCV6/BTCU6</t>
  </si>
  <si>
    <t>syn BTCZ6/BTCX6/BTCG7/BTCF7/BTCU6</t>
  </si>
  <si>
    <t>syn BTCZ6/BTCF7/BTCV6/BTCG7/BTCU6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</si>
  <si>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</si>
  <si>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</si>
  <si>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</si>
  <si>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</si>
  <si>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</si>
  <si>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</si>
  <si>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</si>
  <si>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</si>
  <si>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</si>
  <si>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BTCF7/BTCV6/BTCX6/BTCG7/BTCU6</t>
  </si>
  <si>
    <t>syn BTCF7/BTCV6/BTCZ6/BTCG7/BTCU6</t>
  </si>
  <si>
    <t>syn BTCF7/BTCV6/BTCG7/BTCX6/BTCU6</t>
  </si>
  <si>
    <t>syn BTCF7/BTCV6/BTCG7/BTCZ6/BTCU6</t>
  </si>
  <si>
    <t>syn BTCF7/BTCX6/BTCV6/BTCG7/BTCU6</t>
  </si>
  <si>
    <t>syn BTCF7/BTCX6/BTCZ6/BTCG7/BTCU6</t>
  </si>
  <si>
    <t>syn BTCF7/BTCX6/BTCG7/BTCV6/BTCU6</t>
  </si>
  <si>
    <t>syn BTCF7/BTCX6/BTCG7/BTCZ6/BTCU6</t>
  </si>
  <si>
    <t>syn BTCF7/BTCZ6/BTCV6/BTCG7/BTCU6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</si>
  <si>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</si>
  <si>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</si>
  <si>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</si>
  <si>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</si>
  <si>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</si>
  <si>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</si>
  <si>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</si>
  <si>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</si>
  <si>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</si>
  <si>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</si>
  <si>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</si>
  <si>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</si>
  <si>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</si>
  <si>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</si>
  <si>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</si>
  <si>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</si>
  <si>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</si>
  <si>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</si>
  <si>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</si>
  <si>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</si>
  <si>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</si>
  <si>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</si>
  <si>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</si>
  <si>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</si>
  <si>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</si>
  <si>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</si>
  <si>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</si>
  <si>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</si>
  <si>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</si>
  <si>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</si>
  <si>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</si>
  <si>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</si>
  <si>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</si>
  <si>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</si>
  <si>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</si>
  <si>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</si>
  <si>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</si>
  <si>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</si>
  <si>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</si>
  <si>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</si>
  <si>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</si>
  <si>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</si>
  <si>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</si>
  <si>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</si>
  <si>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</si>
  <si>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</si>
  <si>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</si>
  <si>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</si>
  <si>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</si>
  <si>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</si>
  <si>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</si>
  <si>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</si>
  <si>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</si>
  <si>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</si>
  <si>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</si>
  <si>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</si>
  <si>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</si>
  <si>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</si>
  <si>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</si>
  <si>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</si>
  <si>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</si>
  <si>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</si>
  <si>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</si>
  <si>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</si>
  <si>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</si>
  <si>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</si>
  <si>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</si>
  <si>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</si>
  <si>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</si>
  <si>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</si>
  <si>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</si>
  <si>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</si>
  <si>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</si>
  <si>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</si>
  <si>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</si>
  <si>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</si>
  <si>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</si>
  <si>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</si>
  <si>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</si>
  <si>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</si>
  <si>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</si>
  <si>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</si>
  <si>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</si>
  <si>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</si>
  <si>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</si>
  <si>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</si>
  <si>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</si>
  <si>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</si>
  <si>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</si>
  <si>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</si>
  <si>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</si>
  <si>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</si>
  <si>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</si>
  <si>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</si>
  <si>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</si>
  <si>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</si>
  <si>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</si>
  <si>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</si>
  <si>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</si>
  <si>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</si>
  <si>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</si>
  <si>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</si>
  <si>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</si>
  <si>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</si>
  <si>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</si>
  <si>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</si>
  <si>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</si>
  <si>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</si>
  <si>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</si>
  <si>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</si>
  <si>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</si>
  <si>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</si>
  <si>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</si>
  <si>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</si>
  <si>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</si>
  <si>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</si>
  <si>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</si>
  <si>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</si>
  <si>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</si>
  <si>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</si>
  <si>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</si>
  <si>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</si>
  <si>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</si>
  <si>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</si>
  <si>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</si>
  <si>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</si>
  <si>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</si>
  <si>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</si>
  <si>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</si>
  <si>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</si>
  <si>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</si>
  <si>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</si>
  <si>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</si>
  <si>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</si>
  <si>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</si>
  <si>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</si>
  <si>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</si>
  <si>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</si>
  <si>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</si>
  <si>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</si>
  <si>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</si>
  <si>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</si>
  <si>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</si>
  <si>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</si>
  <si>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</si>
  <si>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</si>
  <si>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</si>
  <si>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</si>
  <si>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</si>
  <si>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</si>
  <si>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</si>
  <si>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</si>
  <si>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</si>
  <si>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BTCG7/BTCV6</t>
  </si>
  <si>
    <t>syn BTCU6/BTCG7/BTCV6</t>
  </si>
  <si>
    <t>syn BTCX6/BTCG7/BTCV6</t>
  </si>
  <si>
    <t>syn BTCZ6/BTCG7/BTCV6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</si>
  <si>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</si>
  <si>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</si>
  <si>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</si>
  <si>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</si>
  <si>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</si>
  <si>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BTCU6/BTCX6/BTCG7/BTCV6</t>
  </si>
  <si>
    <t>syn BTCU6/BTCZ6/BTCG7/BTCV6</t>
  </si>
  <si>
    <t>syn BTCU6/BTCF7/BTCG7/BTCV6</t>
  </si>
  <si>
    <t>syn BTCU6/BTCG7/BTCX6/BTCV6</t>
  </si>
  <si>
    <t>syn BTCU6/BTCG7/BTCZ6/BTCV6</t>
  </si>
  <si>
    <t>syn BTCU6/BTCG7/BTCF7/BTCV6</t>
  </si>
  <si>
    <t>syn BTCX6/BTCU6/BTCG7/BTCV6</t>
  </si>
  <si>
    <t>syn BTCX6/BTCZ6/BTCG7/BTCV6</t>
  </si>
  <si>
    <t>syn BTCX6/BTCF7/BTCG7/BTCV6</t>
  </si>
  <si>
    <t>syn BTCX6/BTCG7/BTCU6/BTCV6</t>
  </si>
  <si>
    <t>syn BTCX6/BTCG7/BTCZ6/BTCV6</t>
  </si>
  <si>
    <t>syn BTCX6/BTCG7/BTCF7/BTCV6</t>
  </si>
  <si>
    <t>syn BTCZ6/BTCU6/BTCG7/BTCV6</t>
  </si>
  <si>
    <t>syn BTCZ6/BTCX6/BTCG7/BTCV6</t>
  </si>
  <si>
    <t>syn BTCZ6/BTCF7/BTCG7/BTCV6</t>
  </si>
  <si>
    <t>syn BTCZ6/BTCG7/BTCU6/BTCV6</t>
  </si>
  <si>
    <t>syn BTCZ6/BTCG7/BTCX6/BTCV6</t>
  </si>
  <si>
    <t>syn BTCZ6/BTCG7/BTCF7/BTCV6</t>
  </si>
  <si>
    <t>syn BTCF7/BTCU6/BTCG7/BTCV6</t>
  </si>
  <si>
    <t>syn BTCF7/BTCX6/BTCG7/BTCV6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</si>
  <si>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</si>
  <si>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</si>
  <si>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</si>
  <si>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</si>
  <si>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</si>
  <si>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</si>
  <si>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</si>
  <si>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</si>
  <si>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</si>
  <si>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</si>
  <si>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</si>
  <si>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</si>
  <si>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</si>
  <si>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</si>
  <si>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</si>
  <si>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</si>
  <si>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BTCU6/BTCX6/BTCZ6/BTCG7/BTCV6</t>
  </si>
  <si>
    <t>syn BTCU6/BTCX6/BTCF7/BTCG7/BTCV6</t>
  </si>
  <si>
    <t>syn BTCU6/BTCX6/BTCG7/BTCZ6/BTCV6</t>
  </si>
  <si>
    <t>syn BTCU6/BTCX6/BTCG7/BTCF7/BTCV6</t>
  </si>
  <si>
    <t>syn BTCU6/BTCZ6/BTCX6/BTCG7/BTCV6</t>
  </si>
  <si>
    <t>syn BTCU6/BTCZ6/BTCF7/BTCG7/BTCV6</t>
  </si>
  <si>
    <t>syn BTCU6/BTCZ6/BTCG7/BTCX6/BTCV6</t>
  </si>
  <si>
    <t>syn BTCU6/BTCZ6/BTCG7/BTCF7/BTCV6</t>
  </si>
  <si>
    <t>syn BTCU6/BTCF7/BTCX6/BTCG7/BTCV6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</si>
  <si>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</si>
  <si>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</si>
  <si>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</si>
  <si>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</si>
  <si>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</si>
  <si>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</si>
  <si>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</si>
  <si>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</si>
  <si>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</si>
  <si>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BTCX6/BTCU6/BTCZ6/BTCG7/BTCV6</t>
  </si>
  <si>
    <t>syn BTCX6/BTCU6/BTCF7/BTCG7/BTCV6</t>
  </si>
  <si>
    <t>syn BTCX6/BTCU6/BTCG7/BTCZ6/BTCV6</t>
  </si>
  <si>
    <t>syn BTCX6/BTCU6/BTCG7/BTCF7/BTCV6</t>
  </si>
  <si>
    <t>syn BTCX6/BTCZ6/BTCU6/BTCG7/BTCV6</t>
  </si>
  <si>
    <t>syn BTCX6/BTCZ6/BTCF7/BTCG7/BTCV6</t>
  </si>
  <si>
    <t>syn BTCX6/BTCZ6/BTCG7/BTCU6/BTCV6</t>
  </si>
  <si>
    <t>syn BTCX6/BTCZ6/BTCG7/BTCF7/BTCV6</t>
  </si>
  <si>
    <t>syn BTCX6/BTCF7/BTCU6/BTCG7/BTCV6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</si>
  <si>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</si>
  <si>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</si>
  <si>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</si>
  <si>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</si>
  <si>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</si>
  <si>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</si>
  <si>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</si>
  <si>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</si>
  <si>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</si>
  <si>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BTCZ6/BTCU6/BTCX6/BTCG7/BTCV6</t>
  </si>
  <si>
    <t>syn BTCZ6/BTCU6/BTCF7/BTCG7/BTCV6</t>
  </si>
  <si>
    <t>syn BTCZ6/BTCU6/BTCG7/BTCX6/BTCV6</t>
  </si>
  <si>
    <t>syn BTCZ6/BTCU6/BTCG7/BTCF7/BTCV6</t>
  </si>
  <si>
    <t>syn BTCZ6/BTCX6/BTCU6/BTCG7/BTCV6</t>
  </si>
  <si>
    <t>syn BTCZ6/BTCX6/BTCF7/BTCG7/BTCV6</t>
  </si>
  <si>
    <t>syn BTCZ6/BTCX6/BTCG7/BTCU6/BTCV6</t>
  </si>
  <si>
    <t>syn BTCZ6/BTCX6/BTCG7/BTCF7/BTCV6</t>
  </si>
  <si>
    <t>syn BTCZ6/BTCF7/BTCU6/BTCG7/BTCV6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</si>
  <si>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</si>
  <si>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</si>
  <si>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</si>
  <si>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</si>
  <si>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</si>
  <si>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</si>
  <si>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</si>
  <si>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</si>
  <si>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</si>
  <si>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BTCF7/BTCU6/BTCX6/BTCG7/BTCV6</t>
  </si>
  <si>
    <t>syn BTCF7/BTCU6/BTCZ6/BTCG7/BTCV6</t>
  </si>
  <si>
    <t>syn BTCF7/BTCU6/BTCG7/BTCX6/BTCV6</t>
  </si>
  <si>
    <t>syn BTCF7/BTCU6/BTCG7/BTCZ6/BTCV6</t>
  </si>
  <si>
    <t>syn BTCF7/BTCX6/BTCU6/BTCG7/BTCV6</t>
  </si>
  <si>
    <t>syn BTCF7/BTCX6/BTCZ6/BTCG7/BTCV6</t>
  </si>
  <si>
    <t>syn BTCF7/BTCX6/BTCG7/BTCU6/BTCV6</t>
  </si>
  <si>
    <t>syn BTCF7/BTCX6/BTCG7/BTCZ6/BTCV6</t>
  </si>
  <si>
    <t>syn BTCF7/BTCZ6/BTCU6/BTCG7/BTCV6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</si>
  <si>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</si>
  <si>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</si>
  <si>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</si>
  <si>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</si>
  <si>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</si>
  <si>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</si>
  <si>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</si>
  <si>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</si>
  <si>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</si>
  <si>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</si>
  <si>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</si>
  <si>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</si>
  <si>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</si>
  <si>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</si>
  <si>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</si>
  <si>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</si>
  <si>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</si>
  <si>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</si>
  <si>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</si>
  <si>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</si>
  <si>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</si>
  <si>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</si>
  <si>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</si>
  <si>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</si>
  <si>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</si>
  <si>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</si>
  <si>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</si>
  <si>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</si>
  <si>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</si>
  <si>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</si>
  <si>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</si>
  <si>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</si>
  <si>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</si>
  <si>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</si>
  <si>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</si>
  <si>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</si>
  <si>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</si>
  <si>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</si>
  <si>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</si>
  <si>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</si>
  <si>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</si>
  <si>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</si>
  <si>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</si>
  <si>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</si>
  <si>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</si>
  <si>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</si>
  <si>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</si>
  <si>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</si>
  <si>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</si>
  <si>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</si>
  <si>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</si>
  <si>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</si>
  <si>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</si>
  <si>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</si>
  <si>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</si>
  <si>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</si>
  <si>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</si>
  <si>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</si>
  <si>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</si>
  <si>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</si>
  <si>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</si>
  <si>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</si>
  <si>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</si>
  <si>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</si>
  <si>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</si>
  <si>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</si>
  <si>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</si>
  <si>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</si>
  <si>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</si>
  <si>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</si>
  <si>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</si>
  <si>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</si>
  <si>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</si>
  <si>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</si>
  <si>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</si>
  <si>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</si>
  <si>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</si>
  <si>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</si>
  <si>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</si>
  <si>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</si>
  <si>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</si>
  <si>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</si>
  <si>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</si>
  <si>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</si>
  <si>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</si>
  <si>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</si>
  <si>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</si>
  <si>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</si>
  <si>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</si>
  <si>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</si>
  <si>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</si>
  <si>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</si>
  <si>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</si>
  <si>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</si>
  <si>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</si>
  <si>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</si>
  <si>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</si>
  <si>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</si>
  <si>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</si>
  <si>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</si>
  <si>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</si>
  <si>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</si>
  <si>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</si>
  <si>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</si>
  <si>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</si>
  <si>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</si>
  <si>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</si>
  <si>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</si>
  <si>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</si>
  <si>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</si>
  <si>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</si>
  <si>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</si>
  <si>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</si>
  <si>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</si>
  <si>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</si>
  <si>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</si>
  <si>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</si>
  <si>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</si>
  <si>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</si>
  <si>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</si>
  <si>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</si>
  <si>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</si>
  <si>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</si>
  <si>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</si>
  <si>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</si>
  <si>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</si>
  <si>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</si>
  <si>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</si>
  <si>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</si>
  <si>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</si>
  <si>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</si>
  <si>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</si>
  <si>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</si>
  <si>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</si>
  <si>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</si>
  <si>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</si>
  <si>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</si>
  <si>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</si>
  <si>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</si>
  <si>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</si>
  <si>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</si>
  <si>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</si>
  <si>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</si>
  <si>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</si>
  <si>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</si>
  <si>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</si>
  <si>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</si>
  <si>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</si>
  <si>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</si>
  <si>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</si>
  <si>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</si>
  <si>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</si>
  <si>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</si>
  <si>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BTCG7/BTCX6</t>
  </si>
  <si>
    <t>syn BTCU6/BTCG7/BTCX6</t>
  </si>
  <si>
    <t>syn BTCV6/BTCG7/BTCX6</t>
  </si>
  <si>
    <t>syn BTCZ6/BTCG7/BTCX6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</si>
  <si>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</si>
  <si>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</si>
  <si>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</si>
  <si>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</si>
  <si>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</si>
  <si>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BTCU6/BTCV6/BTCG7/BTCX6</t>
  </si>
  <si>
    <t>syn BTCU6/BTCZ6/BTCG7/BTCX6</t>
  </si>
  <si>
    <t>syn BTCU6/BTCF7/BTCG7/BTCX6</t>
  </si>
  <si>
    <t>syn BTCU6/BTCG7/BTCV6/BTCX6</t>
  </si>
  <si>
    <t>syn BTCU6/BTCG7/BTCZ6/BTCX6</t>
  </si>
  <si>
    <t>syn BTCU6/BTCG7/BTCF7/BTCX6</t>
  </si>
  <si>
    <t>syn BTCV6/BTCU6/BTCG7/BTCX6</t>
  </si>
  <si>
    <t>syn BTCV6/BTCZ6/BTCG7/BTCX6</t>
  </si>
  <si>
    <t>syn BTCV6/BTCF7/BTCG7/BTCX6</t>
  </si>
  <si>
    <t>syn BTCV6/BTCG7/BTCU6/BTCX6</t>
  </si>
  <si>
    <t>syn BTCV6/BTCG7/BTCZ6/BTCX6</t>
  </si>
  <si>
    <t>syn BTCV6/BTCG7/BTCF7/BTCX6</t>
  </si>
  <si>
    <t>syn BTCZ6/BTCU6/BTCG7/BTCX6</t>
  </si>
  <si>
    <t>syn BTCZ6/BTCV6/BTCG7/BTCX6</t>
  </si>
  <si>
    <t>syn BTCZ6/BTCF7/BTCG7/BTCX6</t>
  </si>
  <si>
    <t>syn BTCZ6/BTCG7/BTCU6/BTCX6</t>
  </si>
  <si>
    <t>syn BTCZ6/BTCG7/BTCV6/BTCX6</t>
  </si>
  <si>
    <t>syn BTCZ6/BTCG7/BTCF7/BTCX6</t>
  </si>
  <si>
    <t>syn BTCF7/BTCU6/BTCG7/BTCX6</t>
  </si>
  <si>
    <t>syn BTCF7/BTCV6/BTCG7/BTCX6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</si>
  <si>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</si>
  <si>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</si>
  <si>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</si>
  <si>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</si>
  <si>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</si>
  <si>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</si>
  <si>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</si>
  <si>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</si>
  <si>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</si>
  <si>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</si>
  <si>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</si>
  <si>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</si>
  <si>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</si>
  <si>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</si>
  <si>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</si>
  <si>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</si>
  <si>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BTCU6/BTCV6/BTCZ6/BTCG7/BTCX6</t>
  </si>
  <si>
    <t>syn BTCU6/BTCV6/BTCF7/BTCG7/BTCX6</t>
  </si>
  <si>
    <t>syn BTCU6/BTCV6/BTCG7/BTCZ6/BTCX6</t>
  </si>
  <si>
    <t>syn BTCU6/BTCV6/BTCG7/BTCF7/BTCX6</t>
  </si>
  <si>
    <t>syn BTCU6/BTCZ6/BTCV6/BTCG7/BTCX6</t>
  </si>
  <si>
    <t>syn BTCU6/BTCZ6/BTCF7/BTCG7/BTCX6</t>
  </si>
  <si>
    <t>syn BTCU6/BTCZ6/BTCG7/BTCV6/BTCX6</t>
  </si>
  <si>
    <t>syn BTCU6/BTCZ6/BTCG7/BTCF7/BTCX6</t>
  </si>
  <si>
    <t>syn BTCU6/BTCF7/BTCV6/BTCG7/BTCX6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</si>
  <si>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</si>
  <si>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</si>
  <si>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</si>
  <si>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</si>
  <si>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</si>
  <si>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</si>
  <si>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</si>
  <si>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</si>
  <si>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</si>
  <si>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BTCV6/BTCU6/BTCZ6/BTCG7/BTCX6</t>
  </si>
  <si>
    <t>syn BTCV6/BTCU6/BTCF7/BTCG7/BTCX6</t>
  </si>
  <si>
    <t>syn BTCV6/BTCU6/BTCG7/BTCZ6/BTCX6</t>
  </si>
  <si>
    <t>syn BTCV6/BTCU6/BTCG7/BTCF7/BTCX6</t>
  </si>
  <si>
    <t>syn BTCV6/BTCZ6/BTCU6/BTCG7/BTCX6</t>
  </si>
  <si>
    <t>syn BTCV6/BTCZ6/BTCF7/BTCG7/BTCX6</t>
  </si>
  <si>
    <t>syn BTCV6/BTCZ6/BTCG7/BTCU6/BTCX6</t>
  </si>
  <si>
    <t>syn BTCV6/BTCZ6/BTCG7/BTCF7/BTCX6</t>
  </si>
  <si>
    <t>syn BTCV6/BTCF7/BTCU6/BTCG7/BTCX6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</si>
  <si>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</si>
  <si>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</si>
  <si>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</si>
  <si>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</si>
  <si>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</si>
  <si>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</si>
  <si>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</si>
  <si>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</si>
  <si>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</si>
  <si>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BTCZ6/BTCU6/BTCV6/BTCG7/BTCX6</t>
  </si>
  <si>
    <t>syn BTCZ6/BTCU6/BTCF7/BTCG7/BTCX6</t>
  </si>
  <si>
    <t>syn BTCZ6/BTCU6/BTCG7/BTCV6/BTCX6</t>
  </si>
  <si>
    <t>syn BTCZ6/BTCU6/BTCG7/BTCF7/BTCX6</t>
  </si>
  <si>
    <t>syn BTCZ6/BTCV6/BTCU6/BTCG7/BTCX6</t>
  </si>
  <si>
    <t>syn BTCZ6/BTCV6/BTCF7/BTCG7/BTCX6</t>
  </si>
  <si>
    <t>syn BTCZ6/BTCV6/BTCG7/BTCU6/BTCX6</t>
  </si>
  <si>
    <t>syn BTCZ6/BTCV6/BTCG7/BTCF7/BTCX6</t>
  </si>
  <si>
    <t>syn BTCZ6/BTCF7/BTCU6/BTCG7/BTCX6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</si>
  <si>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</si>
  <si>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</si>
  <si>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</si>
  <si>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</si>
  <si>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</si>
  <si>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</si>
  <si>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</si>
  <si>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</si>
  <si>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</si>
  <si>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BTCF7/BTCU6/BTCV6/BTCG7/BTCX6</t>
  </si>
  <si>
    <t>syn BTCF7/BTCU6/BTCZ6/BTCG7/BTCX6</t>
  </si>
  <si>
    <t>syn BTCF7/BTCU6/BTCG7/BTCV6/BTCX6</t>
  </si>
  <si>
    <t>syn BTCF7/BTCU6/BTCG7/BTCZ6/BTCX6</t>
  </si>
  <si>
    <t>syn BTCF7/BTCV6/BTCU6/BTCG7/BTCX6</t>
  </si>
  <si>
    <t>syn BTCF7/BTCV6/BTCZ6/BTCG7/BTCX6</t>
  </si>
  <si>
    <t>syn BTCF7/BTCV6/BTCG7/BTCU6/BTCX6</t>
  </si>
  <si>
    <t>syn BTCF7/BTCV6/BTCG7/BTCZ6/BTCX6</t>
  </si>
  <si>
    <t>syn BTCF7/BTCZ6/BTCU6/BTCG7/BTCX6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</si>
  <si>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</si>
  <si>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</si>
  <si>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</si>
  <si>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</si>
  <si>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</si>
  <si>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</si>
  <si>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</si>
  <si>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</si>
  <si>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</si>
  <si>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</si>
  <si>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</si>
  <si>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</si>
  <si>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</si>
  <si>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</si>
  <si>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</si>
  <si>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</si>
  <si>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</si>
  <si>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</si>
  <si>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</si>
  <si>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</si>
  <si>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</si>
  <si>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</si>
  <si>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</si>
  <si>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</si>
  <si>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</si>
  <si>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</si>
  <si>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</si>
  <si>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</si>
  <si>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</si>
  <si>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</si>
  <si>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</si>
  <si>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</si>
  <si>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</si>
  <si>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</si>
  <si>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</si>
  <si>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</si>
  <si>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</si>
  <si>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</si>
  <si>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</si>
  <si>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</si>
  <si>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</si>
  <si>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</si>
  <si>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</si>
  <si>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</si>
  <si>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</si>
  <si>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</si>
  <si>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</si>
  <si>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</si>
  <si>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</si>
  <si>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</si>
  <si>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</si>
  <si>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</si>
  <si>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</si>
  <si>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</si>
  <si>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</si>
  <si>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</si>
  <si>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</si>
  <si>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</si>
  <si>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</si>
  <si>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</si>
  <si>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</si>
  <si>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</si>
  <si>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</si>
  <si>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</si>
  <si>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</si>
  <si>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</si>
  <si>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</si>
  <si>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</si>
  <si>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</si>
  <si>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</si>
  <si>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</si>
  <si>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</si>
  <si>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</si>
  <si>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</si>
  <si>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</si>
  <si>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</si>
  <si>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</si>
  <si>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</si>
  <si>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</si>
  <si>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</si>
  <si>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</si>
  <si>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</si>
  <si>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</si>
  <si>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</si>
  <si>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</si>
  <si>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</si>
  <si>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</si>
  <si>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</si>
  <si>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</si>
  <si>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</si>
  <si>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</si>
  <si>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</si>
  <si>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</si>
  <si>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</si>
  <si>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</si>
  <si>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</si>
  <si>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</si>
  <si>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</si>
  <si>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</si>
  <si>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</si>
  <si>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</si>
  <si>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</si>
  <si>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</si>
  <si>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</si>
  <si>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</si>
  <si>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</si>
  <si>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</si>
  <si>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</si>
  <si>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</si>
  <si>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</si>
  <si>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</si>
  <si>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</si>
  <si>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</si>
  <si>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</si>
  <si>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</si>
  <si>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</si>
  <si>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</si>
  <si>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</si>
  <si>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</si>
  <si>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</si>
  <si>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</si>
  <si>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</si>
  <si>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</si>
  <si>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</si>
  <si>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</si>
  <si>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</si>
  <si>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</si>
  <si>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</si>
  <si>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</si>
  <si>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</si>
  <si>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</si>
  <si>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</si>
  <si>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</si>
  <si>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</si>
  <si>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</si>
  <si>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</si>
  <si>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</si>
  <si>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</si>
  <si>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</si>
  <si>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</si>
  <si>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</si>
  <si>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</si>
  <si>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</si>
  <si>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</si>
  <si>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</si>
  <si>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</si>
  <si>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</si>
  <si>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</si>
  <si>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</si>
  <si>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</si>
  <si>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</si>
  <si>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</si>
  <si>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</si>
  <si>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BTCG7/BTCZ6</t>
  </si>
  <si>
    <t>syn BTCU6/BTCG7/BTCZ6</t>
  </si>
  <si>
    <t>syn BTCV6/BTCG7/BTCZ6</t>
  </si>
  <si>
    <t>syn BTCX6/BTCG7/BTCZ6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</si>
  <si>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</si>
  <si>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</si>
  <si>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</si>
  <si>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</si>
  <si>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</si>
  <si>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BTCU6/BTCV6/BTCG7/BTCZ6</t>
  </si>
  <si>
    <t>syn BTCU6/BTCX6/BTCG7/BTCZ6</t>
  </si>
  <si>
    <t>syn BTCU6/BTCF7/BTCG7/BTCZ6</t>
  </si>
  <si>
    <t>syn BTCU6/BTCG7/BTCV6/BTCZ6</t>
  </si>
  <si>
    <t>syn BTCU6/BTCG7/BTCX6/BTCZ6</t>
  </si>
  <si>
    <t>syn BTCU6/BTCG7/BTCF7/BTCZ6</t>
  </si>
  <si>
    <t>syn BTCV6/BTCU6/BTCG7/BTCZ6</t>
  </si>
  <si>
    <t>syn BTCV6/BTCX6/BTCG7/BTCZ6</t>
  </si>
  <si>
    <t>syn BTCV6/BTCF7/BTCG7/BTCZ6</t>
  </si>
  <si>
    <t>syn BTCV6/BTCG7/BTCU6/BTCZ6</t>
  </si>
  <si>
    <t>syn BTCV6/BTCG7/BTCX6/BTCZ6</t>
  </si>
  <si>
    <t>syn BTCV6/BTCG7/BTCF7/BTCZ6</t>
  </si>
  <si>
    <t>syn BTCX6/BTCU6/BTCG7/BTCZ6</t>
  </si>
  <si>
    <t>syn BTCX6/BTCV6/BTCG7/BTCZ6</t>
  </si>
  <si>
    <t>syn BTCX6/BTCF7/BTCG7/BTCZ6</t>
  </si>
  <si>
    <t>syn BTCX6/BTCG7/BTCU6/BTCZ6</t>
  </si>
  <si>
    <t>syn BTCX6/BTCG7/BTCV6/BTCZ6</t>
  </si>
  <si>
    <t>syn BTCX6/BTCG7/BTCF7/BTCZ6</t>
  </si>
  <si>
    <t>syn BTCF7/BTCU6/BTCG7/BTCZ6</t>
  </si>
  <si>
    <t>syn BTCF7/BTCV6/BTCG7/BTCZ6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</si>
  <si>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</si>
  <si>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</si>
  <si>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</si>
  <si>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</si>
  <si>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</si>
  <si>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</si>
  <si>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</si>
  <si>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</si>
  <si>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</si>
  <si>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</si>
  <si>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</si>
  <si>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</si>
  <si>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</si>
  <si>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</si>
  <si>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</si>
  <si>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</si>
  <si>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BTCU6/BTCV6/BTCX6/BTCG7/BTCZ6</t>
  </si>
  <si>
    <t>syn BTCU6/BTCV6/BTCF7/BTCG7/BTCZ6</t>
  </si>
  <si>
    <t>syn BTCU6/BTCV6/BTCG7/BTCX6/BTCZ6</t>
  </si>
  <si>
    <t>syn BTCU6/BTCV6/BTCG7/BTCF7/BTCZ6</t>
  </si>
  <si>
    <t>syn BTCU6/BTCX6/BTCV6/BTCG7/BTCZ6</t>
  </si>
  <si>
    <t>syn BTCU6/BTCX6/BTCF7/BTCG7/BTCZ6</t>
  </si>
  <si>
    <t>syn BTCU6/BTCX6/BTCG7/BTCV6/BTCZ6</t>
  </si>
  <si>
    <t>syn BTCU6/BTCX6/BTCG7/BTCF7/BTCZ6</t>
  </si>
  <si>
    <t>syn BTCU6/BTCF7/BTCV6/BTCG7/BTCZ6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</si>
  <si>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</si>
  <si>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</si>
  <si>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</si>
  <si>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</si>
  <si>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</si>
  <si>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</si>
  <si>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</si>
  <si>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</si>
  <si>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</si>
  <si>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BTCV6/BTCU6/BTCX6/BTCG7/BTCZ6</t>
  </si>
  <si>
    <t>syn BTCV6/BTCU6/BTCF7/BTCG7/BTCZ6</t>
  </si>
  <si>
    <t>syn BTCV6/BTCU6/BTCG7/BTCX6/BTCZ6</t>
  </si>
  <si>
    <t>syn BTCV6/BTCU6/BTCG7/BTCF7/BTCZ6</t>
  </si>
  <si>
    <t>syn BTCV6/BTCX6/BTCU6/BTCG7/BTCZ6</t>
  </si>
  <si>
    <t>syn BTCV6/BTCX6/BTCF7/BTCG7/BTCZ6</t>
  </si>
  <si>
    <t>syn BTCV6/BTCX6/BTCG7/BTCU6/BTCZ6</t>
  </si>
  <si>
    <t>syn BTCV6/BTCX6/BTCG7/BTCF7/BTCZ6</t>
  </si>
  <si>
    <t>syn BTCV6/BTCF7/BTCU6/BTCG7/BTCZ6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</si>
  <si>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</si>
  <si>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</si>
  <si>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</si>
  <si>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</si>
  <si>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</si>
  <si>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</si>
  <si>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</si>
  <si>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</si>
  <si>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</si>
  <si>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BTCX6/BTCU6/BTCV6/BTCG7/BTCZ6</t>
  </si>
  <si>
    <t>syn BTCX6/BTCU6/BTCF7/BTCG7/BTCZ6</t>
  </si>
  <si>
    <t>syn BTCX6/BTCU6/BTCG7/BTCV6/BTCZ6</t>
  </si>
  <si>
    <t>syn BTCX6/BTCU6/BTCG7/BTCF7/BTCZ6</t>
  </si>
  <si>
    <t>syn BTCX6/BTCV6/BTCU6/BTCG7/BTCZ6</t>
  </si>
  <si>
    <t>syn BTCX6/BTCV6/BTCF7/BTCG7/BTCZ6</t>
  </si>
  <si>
    <t>syn BTCX6/BTCV6/BTCG7/BTCU6/BTCZ6</t>
  </si>
  <si>
    <t>syn BTCX6/BTCV6/BTCG7/BTCF7/BTCZ6</t>
  </si>
  <si>
    <t>syn BTCX6/BTCF7/BTCU6/BTCG7/BTCZ6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</si>
  <si>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</si>
  <si>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</si>
  <si>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</si>
  <si>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</si>
  <si>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</si>
  <si>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</si>
  <si>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</si>
  <si>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</si>
  <si>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</si>
  <si>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BTCF7/BTCU6/BTCV6/BTCG7/BTCZ6</t>
  </si>
  <si>
    <t>syn BTCF7/BTCU6/BTCX6/BTCG7/BTCZ6</t>
  </si>
  <si>
    <t>syn BTCF7/BTCU6/BTCG7/BTCV6/BTCZ6</t>
  </si>
  <si>
    <t>syn BTCF7/BTCU6/BTCG7/BTCX6/BTCZ6</t>
  </si>
  <si>
    <t>syn BTCF7/BTCV6/BTCU6/BTCG7/BTCZ6</t>
  </si>
  <si>
    <t>syn BTCF7/BTCV6/BTCX6/BTCG7/BTCZ6</t>
  </si>
  <si>
    <t>syn BTCF7/BTCV6/BTCG7/BTCU6/BTCZ6</t>
  </si>
  <si>
    <t>syn BTCF7/BTCV6/BTCG7/BTCX6/BTCZ6</t>
  </si>
  <si>
    <t>syn BTCF7/BTCX6/BTCU6/BTCG7/BTCZ6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</si>
  <si>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</si>
  <si>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</si>
  <si>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</si>
  <si>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</si>
  <si>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</si>
  <si>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</si>
  <si>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</si>
  <si>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</si>
  <si>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</si>
  <si>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</si>
  <si>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</si>
  <si>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</si>
  <si>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</si>
  <si>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</si>
  <si>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</si>
  <si>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</si>
  <si>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</si>
  <si>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</si>
  <si>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</si>
  <si>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</si>
  <si>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</si>
  <si>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</si>
  <si>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</si>
  <si>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</si>
  <si>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</si>
  <si>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</si>
  <si>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</si>
  <si>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</si>
  <si>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</si>
  <si>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</si>
  <si>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</si>
  <si>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</si>
  <si>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</si>
  <si>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</si>
  <si>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</si>
  <si>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</si>
  <si>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</si>
  <si>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</si>
  <si>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</si>
  <si>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</si>
  <si>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</si>
  <si>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</si>
  <si>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</si>
  <si>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</si>
  <si>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</si>
  <si>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</si>
  <si>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</si>
  <si>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</si>
  <si>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</si>
  <si>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</si>
  <si>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</si>
  <si>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</si>
  <si>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</si>
  <si>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</si>
  <si>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</si>
  <si>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</si>
  <si>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</si>
  <si>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</si>
  <si>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</si>
  <si>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</si>
  <si>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</si>
  <si>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</si>
  <si>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</si>
  <si>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</si>
  <si>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</si>
  <si>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</si>
  <si>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</si>
  <si>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</si>
  <si>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</si>
  <si>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</si>
  <si>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</si>
  <si>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</si>
  <si>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</si>
  <si>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</si>
  <si>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</si>
  <si>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</si>
  <si>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</si>
  <si>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</si>
  <si>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</si>
  <si>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</si>
  <si>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</si>
  <si>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</si>
  <si>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</si>
  <si>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</si>
  <si>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</si>
  <si>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</si>
  <si>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</si>
  <si>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</si>
  <si>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</si>
  <si>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</si>
  <si>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</si>
  <si>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</si>
  <si>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</si>
  <si>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</si>
  <si>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</si>
  <si>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</si>
  <si>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</si>
  <si>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</si>
  <si>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</si>
  <si>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</si>
  <si>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</si>
  <si>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</si>
  <si>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</si>
  <si>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</si>
  <si>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</si>
  <si>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</si>
  <si>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</si>
  <si>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</si>
  <si>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</si>
  <si>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</si>
  <si>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</si>
  <si>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</si>
  <si>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</si>
  <si>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</si>
  <si>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</si>
  <si>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</si>
  <si>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</si>
  <si>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</si>
  <si>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</si>
  <si>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</si>
  <si>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</si>
  <si>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</si>
  <si>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</si>
  <si>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</si>
  <si>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</si>
  <si>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</si>
  <si>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</si>
  <si>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</si>
  <si>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</si>
  <si>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</si>
  <si>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</si>
  <si>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</si>
  <si>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</si>
  <si>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</si>
  <si>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</si>
  <si>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</si>
  <si>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</si>
  <si>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</si>
  <si>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</si>
  <si>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</si>
  <si>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</si>
  <si>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</si>
  <si>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</si>
  <si>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</si>
  <si>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</si>
  <si>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</si>
  <si>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</si>
  <si>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</si>
  <si>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</si>
  <si>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</si>
  <si>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</si>
  <si>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</si>
  <si>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</si>
  <si>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BTCG7/BTCF7</t>
  </si>
  <si>
    <t>syn BTCU6/BTCG7/BTCF7</t>
  </si>
  <si>
    <t>syn BTCV6/BTCG7/BTCF7</t>
  </si>
  <si>
    <t>syn BTCX6/BTCG7/BTCF7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</si>
  <si>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</si>
  <si>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</si>
  <si>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</si>
  <si>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</si>
  <si>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</si>
  <si>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BTCU6/BTCV6/BTCG7/BTCF7</t>
  </si>
  <si>
    <t>syn BTCU6/BTCX6/BTCG7/BTCF7</t>
  </si>
  <si>
    <t>syn BTCU6/BTCZ6/BTCG7/BTCF7</t>
  </si>
  <si>
    <t>syn BTCU6/BTCG7/BTCV6/BTCF7</t>
  </si>
  <si>
    <t>syn BTCU6/BTCG7/BTCX6/BTCF7</t>
  </si>
  <si>
    <t>syn BTCU6/BTCG7/BTCZ6/BTCF7</t>
  </si>
  <si>
    <t>syn BTCV6/BTCU6/BTCG7/BTCF7</t>
  </si>
  <si>
    <t>syn BTCV6/BTCX6/BTCG7/BTCF7</t>
  </si>
  <si>
    <t>syn BTCV6/BTCZ6/BTCG7/BTCF7</t>
  </si>
  <si>
    <t>syn BTCV6/BTCG7/BTCU6/BTCF7</t>
  </si>
  <si>
    <t>syn BTCV6/BTCG7/BTCX6/BTCF7</t>
  </si>
  <si>
    <t>syn BTCV6/BTCG7/BTCZ6/BTCF7</t>
  </si>
  <si>
    <t>syn BTCX6/BTCU6/BTCG7/BTCF7</t>
  </si>
  <si>
    <t>syn BTCX6/BTCV6/BTCG7/BTCF7</t>
  </si>
  <si>
    <t>syn BTCX6/BTCZ6/BTCG7/BTCF7</t>
  </si>
  <si>
    <t>syn BTCX6/BTCG7/BTCU6/BTCF7</t>
  </si>
  <si>
    <t>syn BTCX6/BTCG7/BTCV6/BTCF7</t>
  </si>
  <si>
    <t>syn BTCX6/BTCG7/BTCZ6/BTCF7</t>
  </si>
  <si>
    <t>syn BTCZ6/BTCU6/BTCG7/BTCF7</t>
  </si>
  <si>
    <t>syn BTCZ6/BTCV6/BTCG7/BTCF7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</si>
  <si>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</si>
  <si>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</si>
  <si>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</si>
  <si>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</si>
  <si>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</si>
  <si>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</si>
  <si>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</si>
  <si>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</si>
  <si>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</si>
  <si>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</si>
  <si>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</si>
  <si>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</si>
  <si>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</si>
  <si>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</si>
  <si>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</si>
  <si>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</si>
  <si>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BTCU6/BTCV6/BTCX6/BTCG7/BTCF7</t>
  </si>
  <si>
    <t>syn BTCU6/BTCV6/BTCZ6/BTCG7/BTCF7</t>
  </si>
  <si>
    <t>syn BTCU6/BTCV6/BTCG7/BTCX6/BTCF7</t>
  </si>
  <si>
    <t>syn BTCU6/BTCV6/BTCG7/BTCZ6/BTCF7</t>
  </si>
  <si>
    <t>syn BTCU6/BTCX6/BTCV6/BTCG7/BTCF7</t>
  </si>
  <si>
    <t>syn BTCU6/BTCX6/BTCZ6/BTCG7/BTCF7</t>
  </si>
  <si>
    <t>syn BTCU6/BTCX6/BTCG7/BTCV6/BTCF7</t>
  </si>
  <si>
    <t>syn BTCU6/BTCX6/BTCG7/BTCZ6/BTCF7</t>
  </si>
  <si>
    <t>syn BTCU6/BTCZ6/BTCV6/BTCG7/BTCF7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</si>
  <si>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</si>
  <si>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</si>
  <si>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</si>
  <si>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</si>
  <si>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</si>
  <si>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</si>
  <si>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</si>
  <si>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</si>
  <si>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</si>
  <si>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BTCV6/BTCU6/BTCX6/BTCG7/BTCF7</t>
  </si>
  <si>
    <t>syn BTCV6/BTCU6/BTCZ6/BTCG7/BTCF7</t>
  </si>
  <si>
    <t>syn BTCV6/BTCU6/BTCG7/BTCX6/BTCF7</t>
  </si>
  <si>
    <t>syn BTCV6/BTCU6/BTCG7/BTCZ6/BTCF7</t>
  </si>
  <si>
    <t>syn BTCV6/BTCX6/BTCU6/BTCG7/BTCF7</t>
  </si>
  <si>
    <t>syn BTCV6/BTCX6/BTCZ6/BTCG7/BTCF7</t>
  </si>
  <si>
    <t>syn BTCV6/BTCX6/BTCG7/BTCU6/BTCF7</t>
  </si>
  <si>
    <t>syn BTCV6/BTCX6/BTCG7/BTCZ6/BTCF7</t>
  </si>
  <si>
    <t>syn BTCV6/BTCZ6/BTCU6/BTCG7/BTCF7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</si>
  <si>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</si>
  <si>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</si>
  <si>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</si>
  <si>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</si>
  <si>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</si>
  <si>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</si>
  <si>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</si>
  <si>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</si>
  <si>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</si>
  <si>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BTCX6/BTCU6/BTCV6/BTCG7/BTCF7</t>
  </si>
  <si>
    <t>syn BTCX6/BTCU6/BTCZ6/BTCG7/BTCF7</t>
  </si>
  <si>
    <t>syn BTCX6/BTCU6/BTCG7/BTCV6/BTCF7</t>
  </si>
  <si>
    <t>syn BTCX6/BTCU6/BTCG7/BTCZ6/BTCF7</t>
  </si>
  <si>
    <t>syn BTCX6/BTCV6/BTCU6/BTCG7/BTCF7</t>
  </si>
  <si>
    <t>syn BTCX6/BTCV6/BTCZ6/BTCG7/BTCF7</t>
  </si>
  <si>
    <t>syn BTCX6/BTCV6/BTCG7/BTCU6/BTCF7</t>
  </si>
  <si>
    <t>syn BTCX6/BTCV6/BTCG7/BTCZ6/BTCF7</t>
  </si>
  <si>
    <t>syn BTCX6/BTCZ6/BTCU6/BTCG7/BTCF7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</si>
  <si>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</si>
  <si>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</si>
  <si>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</si>
  <si>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</si>
  <si>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</si>
  <si>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</si>
  <si>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</si>
  <si>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</si>
  <si>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</si>
  <si>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BTCZ6/BTCU6/BTCV6/BTCG7/BTCF7</t>
  </si>
  <si>
    <t>syn BTCZ6/BTCU6/BTCX6/BTCG7/BTCF7</t>
  </si>
  <si>
    <t>syn BTCZ6/BTCU6/BTCG7/BTCV6/BTCF7</t>
  </si>
  <si>
    <t>syn BTCZ6/BTCU6/BTCG7/BTCX6/BTCF7</t>
  </si>
  <si>
    <t>syn BTCZ6/BTCV6/BTCU6/BTCG7/BTCF7</t>
  </si>
  <si>
    <t>syn BTCZ6/BTCV6/BTCX6/BTCG7/BTCF7</t>
  </si>
  <si>
    <t>syn BTCZ6/BTCV6/BTCG7/BTCU6/BTCF7</t>
  </si>
  <si>
    <t>syn BTCZ6/BTCV6/BTCG7/BTCX6/BTCF7</t>
  </si>
  <si>
    <t>syn BTCZ6/BTCX6/BTCU6/BTCG7/BTCF7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</si>
  <si>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</si>
  <si>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</si>
  <si>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</si>
  <si>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</si>
  <si>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</si>
  <si>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</si>
  <si>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</si>
  <si>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</si>
  <si>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</si>
  <si>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</si>
  <si>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</si>
  <si>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</si>
  <si>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</si>
  <si>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</si>
  <si>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</si>
  <si>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</si>
  <si>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</si>
  <si>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</si>
  <si>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</si>
  <si>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</si>
  <si>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</si>
  <si>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</si>
  <si>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</si>
  <si>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</si>
  <si>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</si>
  <si>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</si>
  <si>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</si>
  <si>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</si>
  <si>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</si>
  <si>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</si>
  <si>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</si>
  <si>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</si>
  <si>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</si>
  <si>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</si>
  <si>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</si>
  <si>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</si>
  <si>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</si>
  <si>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</si>
  <si>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</si>
  <si>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</si>
  <si>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</si>
  <si>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</si>
  <si>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</si>
  <si>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</si>
  <si>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</si>
  <si>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</si>
  <si>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</si>
  <si>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</si>
  <si>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</si>
  <si>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</si>
  <si>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</si>
  <si>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</si>
  <si>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</si>
  <si>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</si>
  <si>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</si>
  <si>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</si>
  <si>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</si>
  <si>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</si>
  <si>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</si>
  <si>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</si>
  <si>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</si>
  <si>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</si>
  <si>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</si>
  <si>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</si>
  <si>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</si>
  <si>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</si>
  <si>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</si>
  <si>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</si>
  <si>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</si>
  <si>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</si>
  <si>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</si>
  <si>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</si>
  <si>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</si>
  <si>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</si>
  <si>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</si>
  <si>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</si>
  <si>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</si>
  <si>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</si>
  <si>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</si>
  <si>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</si>
  <si>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</si>
  <si>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</si>
  <si>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</si>
  <si>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</si>
  <si>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</si>
  <si>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</si>
  <si>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</si>
  <si>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</si>
  <si>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</si>
  <si>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</si>
  <si>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</si>
  <si>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</si>
  <si>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</si>
  <si>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</si>
  <si>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</si>
  <si>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</si>
  <si>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</si>
  <si>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</si>
  <si>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</si>
  <si>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</si>
  <si>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</si>
  <si>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</si>
  <si>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</si>
  <si>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</si>
  <si>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</si>
  <si>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</si>
  <si>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</si>
  <si>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</si>
  <si>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</si>
  <si>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</si>
  <si>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</si>
  <si>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</si>
  <si>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</si>
  <si>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</si>
  <si>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</si>
  <si>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</si>
  <si>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</si>
  <si>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</si>
  <si>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</si>
  <si>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</si>
  <si>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</si>
  <si>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</si>
  <si>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</si>
  <si>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</si>
  <si>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</si>
  <si>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</si>
  <si>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</si>
  <si>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</si>
  <si>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</si>
  <si>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</si>
  <si>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</si>
  <si>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</si>
  <si>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</si>
  <si>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</si>
  <si>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</si>
  <si>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</si>
  <si>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</si>
  <si>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</si>
  <si>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</si>
  <si>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</si>
  <si>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</si>
  <si>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</si>
  <si>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</si>
  <si>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</si>
  <si>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</si>
  <si>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</si>
  <si>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</si>
  <si>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</si>
  <si>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</si>
  <si>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</si>
  <si>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</si>
  <si>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</si>
  <si>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</si>
  <si>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</si>
  <si>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</si>
  <si>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</si>
  <si>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</si>
  <si>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</si>
  <si>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</si>
  <si>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</si>
  <si>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</si>
  <si>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</si>
  <si>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</si>
  <si>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</si>
  <si>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</si>
  <si>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</si>
  <si>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</si>
  <si>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</si>
  <si>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</si>
  <si>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</si>
  <si>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</si>
  <si>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</si>
  <si>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</si>
  <si>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</si>
  <si>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</si>
  <si>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</si>
  <si>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</si>
  <si>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</si>
  <si>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</si>
  <si>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</si>
  <si>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</si>
  <si>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</si>
  <si>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</si>
  <si>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</si>
  <si>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</si>
  <si>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</si>
  <si>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</si>
  <si>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</si>
  <si>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</si>
  <si>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</si>
  <si>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</si>
  <si>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</si>
  <si>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</si>
  <si>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</si>
  <si>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</si>
  <si>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</si>
  <si>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</si>
  <si>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</si>
  <si>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</si>
  <si>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</si>
  <si>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</si>
  <si>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</si>
  <si>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</si>
  <si>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</si>
  <si>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</si>
  <si>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</si>
  <si>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</si>
  <si>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</si>
  <si>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</si>
  <si>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</si>
  <si>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</si>
  <si>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</si>
  <si>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</si>
  <si>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</si>
  <si>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</si>
  <si>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</si>
  <si>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</si>
  <si>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</si>
  <si>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</si>
  <si>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</si>
  <si>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</si>
  <si>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</si>
  <si>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</si>
  <si>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</si>
  <si>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</si>
  <si>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</si>
  <si>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</si>
  <si>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</si>
  <si>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</si>
  <si>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</si>
  <si>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</si>
  <si>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</si>
  <si>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</si>
  <si>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</si>
  <si>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</si>
  <si>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</si>
  <si>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</si>
  <si>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</si>
  <si>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</si>
  <si>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</si>
  <si>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</si>
  <si>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</si>
  <si>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</si>
  <si>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</si>
  <si>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</si>
  <si>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</si>
  <si>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</si>
  <si>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</si>
  <si>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</si>
  <si>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</si>
  <si>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</si>
  <si>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</si>
  <si>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</si>
  <si>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</si>
  <si>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</si>
  <si>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</si>
  <si>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</si>
  <si>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</si>
  <si>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</si>
  <si>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</si>
  <si>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</si>
  <si>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</si>
  <si>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</si>
  <si>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</si>
  <si>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</si>
  <si>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</si>
  <si>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</si>
  <si>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</si>
  <si>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</si>
  <si>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</si>
  <si>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</si>
  <si>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</si>
  <si>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</si>
  <si>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</si>
  <si>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</si>
  <si>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</si>
  <si>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</si>
  <si>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</si>
  <si>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</si>
  <si>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</si>
  <si>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</si>
  <si>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</si>
  <si>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</si>
  <si>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</si>
  <si>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</si>
  <si>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</si>
  <si>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</si>
  <si>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</si>
  <si>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</si>
  <si>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</si>
  <si>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</si>
  <si>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</si>
  <si>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</si>
  <si>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</si>
  <si>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</si>
  <si>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</si>
  <si>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</si>
  <si>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</si>
  <si>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</si>
  <si>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</si>
  <si>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</si>
  <si>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</si>
  <si>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</si>
  <si>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</si>
  <si>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</si>
  <si>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</si>
  <si>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</si>
  <si>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</si>
  <si>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</si>
  <si>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</si>
  <si>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</si>
  <si>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</si>
  <si>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</si>
  <si>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</si>
  <si>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</si>
  <si>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</si>
  <si>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</si>
  <si>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</si>
  <si>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</si>
  <si>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</si>
  <si>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</si>
  <si>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</si>
  <si>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</si>
  <si>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</si>
  <si>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</si>
  <si>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</si>
  <si>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</si>
  <si>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</si>
  <si>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</si>
  <si>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</si>
  <si>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</si>
  <si>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</si>
  <si>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</si>
  <si>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</si>
  <si>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</si>
  <si>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</si>
  <si>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</si>
  <si>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</si>
  <si>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</si>
  <si>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</si>
  <si>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</si>
  <si>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</si>
  <si>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</si>
  <si>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</si>
  <si>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</si>
  <si>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</si>
  <si>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</si>
  <si>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</si>
  <si>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</si>
  <si>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</si>
  <si>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</si>
  <si>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</si>
  <si>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</si>
  <si>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</si>
  <si>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</si>
  <si>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</si>
  <si>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</si>
  <si>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</si>
  <si>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</si>
  <si>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</si>
  <si>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</si>
  <si>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</si>
  <si>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</si>
  <si>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</si>
  <si>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</si>
  <si>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</si>
  <si>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</si>
  <si>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</si>
  <si>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</si>
  <si>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</si>
  <si>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</si>
  <si>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</si>
  <si>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</si>
  <si>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</si>
  <si>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</si>
  <si>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</si>
  <si>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</si>
  <si>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</si>
  <si>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</si>
  <si>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</si>
  <si>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</si>
  <si>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</si>
  <si>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</si>
  <si>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</si>
  <si>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</si>
  <si>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</si>
  <si>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</si>
  <si>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</si>
  <si>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</si>
  <si>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</si>
  <si>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</si>
  <si>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</si>
  <si>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</si>
  <si>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</si>
  <si>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</si>
  <si>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</si>
  <si>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</si>
  <si>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</si>
  <si>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</si>
  <si>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</si>
  <si>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</si>
  <si>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</si>
  <si>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</si>
  <si>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</si>
  <si>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</si>
  <si>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</si>
  <si>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</si>
  <si>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</si>
  <si>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</si>
  <si>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</si>
  <si>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</si>
  <si>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</si>
  <si>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</si>
  <si>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</si>
  <si>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</si>
  <si>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</si>
  <si>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</si>
  <si>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</si>
  <si>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</si>
  <si>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</si>
  <si>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</si>
  <si>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</si>
  <si>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</si>
  <si>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</si>
  <si>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</si>
  <si>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</si>
  <si>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</si>
  <si>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</si>
  <si>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</si>
  <si>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</si>
  <si>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</si>
  <si>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</si>
  <si>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</si>
  <si>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</si>
  <si>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</si>
  <si>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</si>
  <si>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</si>
  <si>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</si>
  <si>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</si>
  <si>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</si>
  <si>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</si>
  <si>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</si>
  <si>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</si>
  <si>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</si>
  <si>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</si>
  <si>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</si>
  <si>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</si>
  <si>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</si>
  <si>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</si>
  <si>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</si>
  <si>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</si>
  <si>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</si>
  <si>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</si>
  <si>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</si>
  <si>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</si>
  <si>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</si>
  <si>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</si>
  <si>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</si>
  <si>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</si>
  <si>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</si>
  <si>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</si>
  <si>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</si>
  <si>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</si>
  <si>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</si>
  <si>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</si>
  <si>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</si>
  <si>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</si>
  <si>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</si>
  <si>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</si>
  <si>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</si>
  <si>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</si>
  <si>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</si>
  <si>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</si>
  <si>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</si>
  <si>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</si>
  <si>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</si>
  <si>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</si>
  <si>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</si>
  <si>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ETHF7/ETHU6</t>
  </si>
  <si>
    <t>syn ETHG7/ETHU6</t>
  </si>
  <si>
    <t>syn ETHV6/ETHF7/ETHU6</t>
  </si>
  <si>
    <t>syn ETHV6/ETHG7/ETHU6</t>
  </si>
  <si>
    <t>syn ETHX6/ETHF7/ETHU6</t>
  </si>
  <si>
    <t>syn ETHX6/ETHG7/ETHU6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</si>
  <si>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</si>
  <si>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</si>
  <si>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</si>
  <si>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</si>
  <si>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</si>
  <si>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</si>
  <si>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</si>
  <si>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</si>
  <si>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</si>
  <si>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</si>
  <si>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ETHV6/ETHX6/ETHF7/ETHU6</t>
  </si>
  <si>
    <t>syn ETHV6/ETHX6/ETHG7/ETHU6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</si>
  <si>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</si>
  <si>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</si>
  <si>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</si>
  <si>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</si>
  <si>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</si>
  <si>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</si>
  <si>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</si>
  <si>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</si>
  <si>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ETHX6/ETHV6/ETHF7/ETHU6</t>
  </si>
  <si>
    <t>syn ETHX6/ETHV6/ETHG7/ETHU6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</si>
  <si>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</si>
  <si>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</si>
  <si>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</si>
  <si>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</si>
  <si>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</si>
  <si>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</si>
  <si>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</si>
  <si>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</si>
  <si>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ETHZ6/ETHV6/ETHF7/ETHU6</t>
  </si>
  <si>
    <t>syn ETHZ6/ETHV6/ETHG7/ETHU6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</si>
  <si>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</si>
  <si>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</si>
  <si>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</si>
  <si>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</si>
  <si>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</si>
  <si>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</si>
  <si>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</si>
  <si>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</si>
  <si>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</si>
  <si>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</si>
  <si>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</si>
  <si>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</si>
  <si>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</si>
  <si>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</si>
  <si>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</si>
  <si>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</si>
  <si>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</si>
  <si>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</si>
  <si>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</si>
  <si>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</si>
  <si>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</si>
  <si>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</si>
  <si>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</si>
  <si>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</si>
  <si>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</si>
  <si>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</si>
  <si>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</si>
  <si>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</si>
  <si>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</si>
  <si>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</si>
  <si>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</si>
  <si>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</si>
  <si>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</si>
  <si>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</si>
  <si>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</si>
  <si>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</si>
  <si>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</si>
  <si>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</si>
  <si>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</si>
  <si>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</si>
  <si>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</si>
  <si>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</si>
  <si>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</si>
  <si>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</si>
  <si>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</si>
  <si>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</si>
  <si>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</si>
  <si>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</si>
  <si>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</si>
  <si>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</si>
  <si>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</si>
  <si>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</si>
  <si>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</si>
  <si>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</si>
  <si>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</si>
  <si>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</si>
  <si>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</si>
  <si>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</si>
  <si>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</si>
  <si>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</si>
  <si>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</si>
  <si>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</si>
  <si>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</si>
  <si>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</si>
  <si>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</si>
  <si>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</si>
  <si>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</si>
  <si>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</si>
  <si>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</si>
  <si>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</si>
  <si>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</si>
  <si>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</si>
  <si>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</si>
  <si>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</si>
  <si>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</si>
  <si>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</si>
  <si>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</si>
  <si>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</si>
  <si>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</si>
  <si>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</si>
  <si>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</si>
  <si>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</si>
  <si>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</si>
  <si>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</si>
  <si>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</si>
  <si>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</si>
  <si>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</si>
  <si>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</si>
  <si>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</si>
  <si>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</si>
  <si>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</si>
  <si>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</si>
  <si>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</si>
  <si>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</si>
  <si>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</si>
  <si>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</si>
  <si>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</si>
  <si>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</si>
  <si>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</si>
  <si>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</si>
  <si>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</si>
  <si>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</si>
  <si>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</si>
  <si>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</si>
  <si>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</si>
  <si>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</si>
  <si>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</si>
  <si>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</si>
  <si>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</si>
  <si>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</si>
  <si>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</si>
  <si>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</si>
  <si>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</si>
  <si>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</si>
  <si>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</si>
  <si>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</si>
  <si>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</si>
  <si>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</si>
  <si>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</si>
  <si>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</si>
  <si>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</si>
  <si>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</si>
  <si>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</si>
  <si>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</si>
  <si>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</si>
  <si>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</si>
  <si>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</si>
  <si>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</si>
  <si>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</si>
  <si>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</si>
  <si>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</si>
  <si>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</si>
  <si>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</si>
  <si>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</si>
  <si>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</si>
  <si>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</si>
  <si>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</si>
  <si>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</si>
  <si>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</si>
  <si>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</si>
  <si>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</si>
  <si>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</si>
  <si>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</si>
  <si>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</si>
  <si>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</si>
  <si>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</si>
  <si>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</si>
  <si>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</si>
  <si>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</si>
  <si>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</si>
  <si>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</si>
  <si>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</si>
  <si>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</si>
  <si>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</si>
  <si>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</si>
  <si>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</si>
  <si>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</si>
  <si>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</si>
  <si>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</si>
  <si>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</si>
  <si>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</si>
  <si>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</si>
  <si>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</si>
  <si>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</si>
  <si>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</si>
  <si>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</si>
  <si>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</si>
  <si>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</si>
  <si>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</si>
  <si>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</si>
  <si>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</si>
  <si>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</si>
  <si>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</si>
  <si>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</si>
  <si>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</si>
  <si>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</si>
  <si>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</si>
  <si>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</si>
  <si>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</si>
  <si>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</si>
  <si>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</si>
  <si>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</si>
  <si>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</si>
  <si>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</si>
  <si>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</si>
  <si>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</si>
  <si>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</si>
  <si>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</si>
  <si>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</si>
  <si>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</si>
  <si>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</si>
  <si>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</si>
  <si>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</si>
  <si>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</si>
  <si>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</si>
  <si>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</si>
  <si>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</si>
  <si>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</si>
  <si>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</si>
  <si>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</si>
  <si>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</si>
  <si>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</si>
  <si>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</si>
  <si>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</si>
  <si>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</si>
  <si>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</si>
  <si>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</si>
  <si>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</si>
  <si>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</si>
  <si>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</si>
  <si>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</si>
  <si>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</si>
  <si>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</si>
  <si>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</si>
  <si>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</si>
  <si>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</si>
  <si>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</si>
  <si>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</si>
  <si>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</si>
  <si>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</si>
  <si>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</si>
  <si>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</si>
  <si>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</si>
  <si>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</si>
  <si>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</si>
  <si>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</si>
  <si>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</si>
  <si>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</si>
  <si>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</si>
  <si>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</si>
  <si>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</si>
  <si>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</si>
  <si>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</si>
  <si>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</si>
  <si>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</si>
  <si>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</si>
  <si>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</si>
  <si>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</si>
  <si>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</si>
  <si>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</si>
  <si>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</si>
  <si>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</si>
  <si>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</si>
  <si>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</si>
  <si>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</si>
  <si>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</si>
  <si>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</si>
  <si>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</si>
  <si>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</si>
  <si>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</si>
  <si>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</si>
  <si>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</si>
  <si>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</si>
  <si>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</si>
  <si>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</si>
  <si>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</si>
  <si>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</si>
  <si>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</si>
  <si>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</si>
  <si>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</si>
  <si>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</si>
  <si>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</si>
  <si>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</si>
  <si>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</si>
  <si>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</si>
  <si>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</si>
  <si>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</si>
  <si>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</si>
  <si>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</si>
  <si>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</si>
  <si>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</si>
  <si>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</si>
  <si>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ETHF7/ETHV6</t>
  </si>
  <si>
    <t>syn ETHG7/ETHV6</t>
  </si>
  <si>
    <t>syn ETHU6/ETHF7/ETHV6</t>
  </si>
  <si>
    <t>syn ETHU6/ETHG7/ETHV6</t>
  </si>
  <si>
    <t>syn ETHX6/ETHF7/ETHV6</t>
  </si>
  <si>
    <t>syn ETHX6/ETHG7/ETHV6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</si>
  <si>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</si>
  <si>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</si>
  <si>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</si>
  <si>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</si>
  <si>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</si>
  <si>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</si>
  <si>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</si>
  <si>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</si>
  <si>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</si>
  <si>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</si>
  <si>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ETHU6/ETHX6/ETHF7/ETHV6</t>
  </si>
  <si>
    <t>syn ETHU6/ETHX6/ETHG7/ETHV6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</si>
  <si>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</si>
  <si>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</si>
  <si>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</si>
  <si>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</si>
  <si>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</si>
  <si>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</si>
  <si>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</si>
  <si>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</si>
  <si>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ETHX6/ETHU6/ETHF7/ETHV6</t>
  </si>
  <si>
    <t>syn ETHX6/ETHU6/ETHG7/ETHV6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</si>
  <si>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</si>
  <si>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</si>
  <si>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</si>
  <si>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</si>
  <si>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</si>
  <si>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</si>
  <si>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</si>
  <si>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</si>
  <si>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ETHZ6/ETHU6/ETHF7/ETHV6</t>
  </si>
  <si>
    <t>syn ETHZ6/ETHU6/ETHG7/ETHV6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</si>
  <si>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</si>
  <si>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</si>
  <si>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</si>
  <si>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</si>
  <si>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</si>
  <si>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</si>
  <si>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</si>
  <si>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</si>
  <si>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</si>
  <si>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</si>
  <si>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</si>
  <si>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</si>
  <si>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</si>
  <si>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</si>
  <si>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</si>
  <si>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</si>
  <si>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</si>
  <si>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</si>
  <si>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</si>
  <si>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</si>
  <si>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</si>
  <si>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</si>
  <si>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</si>
  <si>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</si>
  <si>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</si>
  <si>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</si>
  <si>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</si>
  <si>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</si>
  <si>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</si>
  <si>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</si>
  <si>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</si>
  <si>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</si>
  <si>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</si>
  <si>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</si>
  <si>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</si>
  <si>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</si>
  <si>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</si>
  <si>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</si>
  <si>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</si>
  <si>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</si>
  <si>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</si>
  <si>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</si>
  <si>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</si>
  <si>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</si>
  <si>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</si>
  <si>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</si>
  <si>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</si>
  <si>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</si>
  <si>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</si>
  <si>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</si>
  <si>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</si>
  <si>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</si>
  <si>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</si>
  <si>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</si>
  <si>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</si>
  <si>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</si>
  <si>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</si>
  <si>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</si>
  <si>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</si>
  <si>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</si>
  <si>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</si>
  <si>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</si>
  <si>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</si>
  <si>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</si>
  <si>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</si>
  <si>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</si>
  <si>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</si>
  <si>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</si>
  <si>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</si>
  <si>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</si>
  <si>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</si>
  <si>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</si>
  <si>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</si>
  <si>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</si>
  <si>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</si>
  <si>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</si>
  <si>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</si>
  <si>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</si>
  <si>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</si>
  <si>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</si>
  <si>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</si>
  <si>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</si>
  <si>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</si>
  <si>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</si>
  <si>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</si>
  <si>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</si>
  <si>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</si>
  <si>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</si>
  <si>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</si>
  <si>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</si>
  <si>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</si>
  <si>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</si>
  <si>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</si>
  <si>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</si>
  <si>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</si>
  <si>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</si>
  <si>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</si>
  <si>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</si>
  <si>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</si>
  <si>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</si>
  <si>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</si>
  <si>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</si>
  <si>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</si>
  <si>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</si>
  <si>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</si>
  <si>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</si>
  <si>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</si>
  <si>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</si>
  <si>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</si>
  <si>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</si>
  <si>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</si>
  <si>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</si>
  <si>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</si>
  <si>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</si>
  <si>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</si>
  <si>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</si>
  <si>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</si>
  <si>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</si>
  <si>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</si>
  <si>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</si>
  <si>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</si>
  <si>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</si>
  <si>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</si>
  <si>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</si>
  <si>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</si>
  <si>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</si>
  <si>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</si>
  <si>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</si>
  <si>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</si>
  <si>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</si>
  <si>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</si>
  <si>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</si>
  <si>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</si>
  <si>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</si>
  <si>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</si>
  <si>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</si>
  <si>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</si>
  <si>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</si>
  <si>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</si>
  <si>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</si>
  <si>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</si>
  <si>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</si>
  <si>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</si>
  <si>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</si>
  <si>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</si>
  <si>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</si>
  <si>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</si>
  <si>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</si>
  <si>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</si>
  <si>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</si>
  <si>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</si>
  <si>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</si>
  <si>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</si>
  <si>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</si>
  <si>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</si>
  <si>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</si>
  <si>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</si>
  <si>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</si>
  <si>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</si>
  <si>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</si>
  <si>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</si>
  <si>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</si>
  <si>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</si>
  <si>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</si>
  <si>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</si>
  <si>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</si>
  <si>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</si>
  <si>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</si>
  <si>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</si>
  <si>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</si>
  <si>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</si>
  <si>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</si>
  <si>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</si>
  <si>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</si>
  <si>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</si>
  <si>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</si>
  <si>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</si>
  <si>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</si>
  <si>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</si>
  <si>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</si>
  <si>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</si>
  <si>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</si>
  <si>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</si>
  <si>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</si>
  <si>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</si>
  <si>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</si>
  <si>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</si>
  <si>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</si>
  <si>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</si>
  <si>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</si>
  <si>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</si>
  <si>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</si>
  <si>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</si>
  <si>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</si>
  <si>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</si>
  <si>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</si>
  <si>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</si>
  <si>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</si>
  <si>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</si>
  <si>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</si>
  <si>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</si>
  <si>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</si>
  <si>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</si>
  <si>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</si>
  <si>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</si>
  <si>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</si>
  <si>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</si>
  <si>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</si>
  <si>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</si>
  <si>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</si>
  <si>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</si>
  <si>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</si>
  <si>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</si>
  <si>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</si>
  <si>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</si>
  <si>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</si>
  <si>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</si>
  <si>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</si>
  <si>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</si>
  <si>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</si>
  <si>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</si>
  <si>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</si>
  <si>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</si>
  <si>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</si>
  <si>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</si>
  <si>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</si>
  <si>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</si>
  <si>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</si>
  <si>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</si>
  <si>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</si>
  <si>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</si>
  <si>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</si>
  <si>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</si>
  <si>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</si>
  <si>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</si>
  <si>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</si>
  <si>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</si>
  <si>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</si>
  <si>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</si>
  <si>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</si>
  <si>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</si>
  <si>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</si>
  <si>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</si>
  <si>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</si>
  <si>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</si>
  <si>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</si>
  <si>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</si>
  <si>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</si>
  <si>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</si>
  <si>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</si>
  <si>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</si>
  <si>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</si>
  <si>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</si>
  <si>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</si>
  <si>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</si>
  <si>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</si>
  <si>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</si>
  <si>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</si>
  <si>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</si>
  <si>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</si>
  <si>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</si>
  <si>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</si>
  <si>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</si>
  <si>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</si>
  <si>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</si>
  <si>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</si>
  <si>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</si>
  <si>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</si>
  <si>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</si>
  <si>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</si>
  <si>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</si>
  <si>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</si>
  <si>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ETHF7/ETHX6</t>
  </si>
  <si>
    <t>syn ETHG7/ETHX6</t>
  </si>
  <si>
    <t>syn ETHU6/ETHF7/ETHX6</t>
  </si>
  <si>
    <t>syn ETHU6/ETHG7/ETHX6</t>
  </si>
  <si>
    <t>syn ETHV6/ETHF7/ETHX6</t>
  </si>
  <si>
    <t>syn ETHV6/ETHG7/ETHX6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</si>
  <si>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</si>
  <si>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</si>
  <si>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</si>
  <si>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</si>
  <si>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</si>
  <si>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</si>
  <si>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</si>
  <si>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</si>
  <si>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</si>
  <si>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</si>
  <si>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ETHU6/ETHV6/ETHF7/ETHX6</t>
  </si>
  <si>
    <t>syn ETHU6/ETHV6/ETHG7/ETHX6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</si>
  <si>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</si>
  <si>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</si>
  <si>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</si>
  <si>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</si>
  <si>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</si>
  <si>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</si>
  <si>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</si>
  <si>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</si>
  <si>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ETHV6/ETHU6/ETHF7/ETHX6</t>
  </si>
  <si>
    <t>syn ETHV6/ETHU6/ETHG7/ETHX6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</si>
  <si>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</si>
  <si>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</si>
  <si>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</si>
  <si>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</si>
  <si>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</si>
  <si>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</si>
  <si>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</si>
  <si>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</si>
  <si>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ETHZ6/ETHU6/ETHF7/ETHX6</t>
  </si>
  <si>
    <t>syn ETHZ6/ETHU6/ETHG7/ETHX6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</si>
  <si>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</si>
  <si>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</si>
  <si>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</si>
  <si>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</si>
  <si>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</si>
  <si>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</si>
  <si>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</si>
  <si>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</si>
  <si>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</si>
  <si>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</si>
  <si>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</si>
  <si>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</si>
  <si>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</si>
  <si>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</si>
  <si>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</si>
  <si>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</si>
  <si>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</si>
  <si>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</si>
  <si>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</si>
  <si>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</si>
  <si>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</si>
  <si>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</si>
  <si>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</si>
  <si>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</si>
  <si>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</si>
  <si>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</si>
  <si>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</si>
  <si>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</si>
  <si>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</si>
  <si>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</si>
  <si>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</si>
  <si>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</si>
  <si>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</si>
  <si>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</si>
  <si>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</si>
  <si>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</si>
  <si>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</si>
  <si>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</si>
  <si>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</si>
  <si>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</si>
  <si>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</si>
  <si>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</si>
  <si>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</si>
  <si>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</si>
  <si>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</si>
  <si>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</si>
  <si>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</si>
  <si>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</si>
  <si>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</si>
  <si>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</si>
  <si>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</si>
  <si>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</si>
  <si>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</si>
  <si>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</si>
  <si>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</si>
  <si>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</si>
  <si>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</si>
  <si>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</si>
  <si>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</si>
  <si>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</si>
  <si>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</si>
  <si>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</si>
  <si>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</si>
  <si>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</si>
  <si>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</si>
  <si>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</si>
  <si>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</si>
  <si>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</si>
  <si>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</si>
  <si>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</si>
  <si>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</si>
  <si>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</si>
  <si>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</si>
  <si>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</si>
  <si>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</si>
  <si>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</si>
  <si>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</si>
  <si>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</si>
  <si>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</si>
  <si>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</si>
  <si>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</si>
  <si>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</si>
  <si>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</si>
  <si>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</si>
  <si>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</si>
  <si>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</si>
  <si>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</si>
  <si>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</si>
  <si>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</si>
  <si>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</si>
  <si>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</si>
  <si>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</si>
  <si>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</si>
  <si>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</si>
  <si>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</si>
  <si>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</si>
  <si>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</si>
  <si>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</si>
  <si>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</si>
  <si>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</si>
  <si>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</si>
  <si>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</si>
  <si>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</si>
  <si>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</si>
  <si>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</si>
  <si>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</si>
  <si>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</si>
  <si>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</si>
  <si>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</si>
  <si>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</si>
  <si>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</si>
  <si>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</si>
  <si>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</si>
  <si>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</si>
  <si>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</si>
  <si>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</si>
  <si>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</si>
  <si>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</si>
  <si>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</si>
  <si>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</si>
  <si>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</si>
  <si>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</si>
  <si>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</si>
  <si>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</si>
  <si>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</si>
  <si>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</si>
  <si>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</si>
  <si>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</si>
  <si>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</si>
  <si>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</si>
  <si>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</si>
  <si>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</si>
  <si>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</si>
  <si>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</si>
  <si>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</si>
  <si>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</si>
  <si>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</si>
  <si>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</si>
  <si>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</si>
  <si>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</si>
  <si>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</si>
  <si>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</si>
  <si>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</si>
  <si>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</si>
  <si>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</si>
  <si>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</si>
  <si>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</si>
  <si>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</si>
  <si>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</si>
  <si>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</si>
  <si>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</si>
  <si>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</si>
  <si>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</si>
  <si>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</si>
  <si>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</si>
  <si>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</si>
  <si>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</si>
  <si>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</si>
  <si>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</si>
  <si>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</si>
  <si>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</si>
  <si>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</si>
  <si>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</si>
  <si>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</si>
  <si>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</si>
  <si>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</si>
  <si>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</si>
  <si>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</si>
  <si>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</si>
  <si>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</si>
  <si>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</si>
  <si>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</si>
  <si>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</si>
  <si>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</si>
  <si>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</si>
  <si>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</si>
  <si>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</si>
  <si>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</si>
  <si>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</si>
  <si>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</si>
  <si>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</si>
  <si>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</si>
  <si>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</si>
  <si>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</si>
  <si>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</si>
  <si>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</si>
  <si>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</si>
  <si>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</si>
  <si>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</si>
  <si>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</si>
  <si>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</si>
  <si>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</si>
  <si>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</si>
  <si>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</si>
  <si>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</si>
  <si>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</si>
  <si>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</si>
  <si>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</si>
  <si>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</si>
  <si>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</si>
  <si>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</si>
  <si>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</si>
  <si>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</si>
  <si>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</si>
  <si>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</si>
  <si>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</si>
  <si>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</si>
  <si>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</si>
  <si>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</si>
  <si>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</si>
  <si>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</si>
  <si>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</si>
  <si>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</si>
  <si>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</si>
  <si>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</si>
  <si>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</si>
  <si>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</si>
  <si>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</si>
  <si>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</si>
  <si>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</si>
  <si>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</si>
  <si>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</si>
  <si>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</si>
  <si>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</si>
  <si>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</si>
  <si>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</si>
  <si>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</si>
  <si>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</si>
  <si>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</si>
  <si>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</si>
  <si>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</si>
  <si>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</si>
  <si>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</si>
  <si>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</si>
  <si>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</si>
  <si>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</si>
  <si>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</si>
  <si>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</si>
  <si>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</si>
  <si>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</si>
  <si>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</si>
  <si>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</si>
  <si>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</si>
  <si>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</si>
  <si>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</si>
  <si>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</si>
  <si>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</si>
  <si>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</si>
  <si>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</si>
  <si>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</si>
  <si>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</si>
  <si>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</si>
  <si>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</si>
  <si>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</si>
  <si>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</si>
  <si>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</si>
  <si>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</si>
  <si>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</si>
  <si>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</si>
  <si>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</si>
  <si>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</si>
  <si>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</si>
  <si>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</si>
  <si>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</si>
  <si>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</si>
  <si>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</si>
  <si>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</si>
  <si>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</si>
  <si>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</si>
  <si>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</si>
  <si>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</si>
  <si>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</si>
  <si>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ETHF7/ETHZ6</t>
  </si>
  <si>
    <t>syn ETHG7/ETHZ6</t>
  </si>
  <si>
    <t>syn ETHU6/ETHF7/ETHZ6</t>
  </si>
  <si>
    <t>syn ETHU6/ETHG7/ETHZ6</t>
  </si>
  <si>
    <t>syn ETHV6/ETHF7/ETHZ6</t>
  </si>
  <si>
    <t>syn ETHV6/ETHG7/ETHZ6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</si>
  <si>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</si>
  <si>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</si>
  <si>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</si>
  <si>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</si>
  <si>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</si>
  <si>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</si>
  <si>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</si>
  <si>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</si>
  <si>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</si>
  <si>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</si>
  <si>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ETHU6/ETHV6/ETHF7/ETHZ6</t>
  </si>
  <si>
    <t>syn ETHU6/ETHV6/ETHG7/ETHZ6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</si>
  <si>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</si>
  <si>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</si>
  <si>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</si>
  <si>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</si>
  <si>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</si>
  <si>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</si>
  <si>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</si>
  <si>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</si>
  <si>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ETHV6/ETHU6/ETHF7/ETHZ6</t>
  </si>
  <si>
    <t>syn ETHV6/ETHU6/ETHG7/ETHZ6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</si>
  <si>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</si>
  <si>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</si>
  <si>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</si>
  <si>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</si>
  <si>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</si>
  <si>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</si>
  <si>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</si>
  <si>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</si>
  <si>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ETHX6/ETHU6/ETHF7/ETHZ6</t>
  </si>
  <si>
    <t>syn ETHX6/ETHU6/ETHG7/ETHZ6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</si>
  <si>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</si>
  <si>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</si>
  <si>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</si>
  <si>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</si>
  <si>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</si>
  <si>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</si>
  <si>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</si>
  <si>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</si>
  <si>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</si>
  <si>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</si>
  <si>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</si>
  <si>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</si>
  <si>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</si>
  <si>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</si>
  <si>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</si>
  <si>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</si>
  <si>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</si>
  <si>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</si>
  <si>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</si>
  <si>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</si>
  <si>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</si>
  <si>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</si>
  <si>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</si>
  <si>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</si>
  <si>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</si>
  <si>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</si>
  <si>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</si>
  <si>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</si>
  <si>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</si>
  <si>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</si>
  <si>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</si>
  <si>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</si>
  <si>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</si>
  <si>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</si>
  <si>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</si>
  <si>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</si>
  <si>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</si>
  <si>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</si>
  <si>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</si>
  <si>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</si>
  <si>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</si>
  <si>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</si>
  <si>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</si>
  <si>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</si>
  <si>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</si>
  <si>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</si>
  <si>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</si>
  <si>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</si>
  <si>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</si>
  <si>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</si>
  <si>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</si>
  <si>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</si>
  <si>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</si>
  <si>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</si>
  <si>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</si>
  <si>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</si>
  <si>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</si>
  <si>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</si>
  <si>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</si>
  <si>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</si>
  <si>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</si>
  <si>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</si>
  <si>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</si>
  <si>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</si>
  <si>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</si>
  <si>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</si>
  <si>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</si>
  <si>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</si>
  <si>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</si>
  <si>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</si>
  <si>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</si>
  <si>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</si>
  <si>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</si>
  <si>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</si>
  <si>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</si>
  <si>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</si>
  <si>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</si>
  <si>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</si>
  <si>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</si>
  <si>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</si>
  <si>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</si>
  <si>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</si>
  <si>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</si>
  <si>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</si>
  <si>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</si>
  <si>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</si>
  <si>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</si>
  <si>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</si>
  <si>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</si>
  <si>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</si>
  <si>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</si>
  <si>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</si>
  <si>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</si>
  <si>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</si>
  <si>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</si>
  <si>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</si>
  <si>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</si>
  <si>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</si>
  <si>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</si>
  <si>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</si>
  <si>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</si>
  <si>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</si>
  <si>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</si>
  <si>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</si>
  <si>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</si>
  <si>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</si>
  <si>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</si>
  <si>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</si>
  <si>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</si>
  <si>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</si>
  <si>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</si>
  <si>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</si>
  <si>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</si>
  <si>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</si>
  <si>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</si>
  <si>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</si>
  <si>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</si>
  <si>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</si>
  <si>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</si>
  <si>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</si>
  <si>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</si>
  <si>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</si>
  <si>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</si>
  <si>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</si>
  <si>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</si>
  <si>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</si>
  <si>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</si>
  <si>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</si>
  <si>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</si>
  <si>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</si>
  <si>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</si>
  <si>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</si>
  <si>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</si>
  <si>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</si>
  <si>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</si>
  <si>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</si>
  <si>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</si>
  <si>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</si>
  <si>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</si>
  <si>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</si>
  <si>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</si>
  <si>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</si>
  <si>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</si>
  <si>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</si>
  <si>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</si>
  <si>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</si>
  <si>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</si>
  <si>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</si>
  <si>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</si>
  <si>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</si>
  <si>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</si>
  <si>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</si>
  <si>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</si>
  <si>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</si>
  <si>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</si>
  <si>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</si>
  <si>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</si>
  <si>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</si>
  <si>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</si>
  <si>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</si>
  <si>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</si>
  <si>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</si>
  <si>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</si>
  <si>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</si>
  <si>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</si>
  <si>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</si>
  <si>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</si>
  <si>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</si>
  <si>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</si>
  <si>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</si>
  <si>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</si>
  <si>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</si>
  <si>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</si>
  <si>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</si>
  <si>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</si>
  <si>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</si>
  <si>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</si>
  <si>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</si>
  <si>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</si>
  <si>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</si>
  <si>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</si>
  <si>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</si>
  <si>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</si>
  <si>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</si>
  <si>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</si>
  <si>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</si>
  <si>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</si>
  <si>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</si>
  <si>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</si>
  <si>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</si>
  <si>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</si>
  <si>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</si>
  <si>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</si>
  <si>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</si>
  <si>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</si>
  <si>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</si>
  <si>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</si>
  <si>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</si>
  <si>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</si>
  <si>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</si>
  <si>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</si>
  <si>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</si>
  <si>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</si>
  <si>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</si>
  <si>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</si>
  <si>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</si>
  <si>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</si>
  <si>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</si>
  <si>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</si>
  <si>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</si>
  <si>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</si>
  <si>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</si>
  <si>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</si>
  <si>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</si>
  <si>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</si>
  <si>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</si>
  <si>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</si>
  <si>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</si>
  <si>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</si>
  <si>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</si>
  <si>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</si>
  <si>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</si>
  <si>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</si>
  <si>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</si>
  <si>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</si>
  <si>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</si>
  <si>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</si>
  <si>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</si>
  <si>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</si>
  <si>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</si>
  <si>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</si>
  <si>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</si>
  <si>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</si>
  <si>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</si>
  <si>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</si>
  <si>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</si>
  <si>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</si>
  <si>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</si>
  <si>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</si>
  <si>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</si>
  <si>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</si>
  <si>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</si>
  <si>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</si>
  <si>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</si>
  <si>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</si>
  <si>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</si>
  <si>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</si>
  <si>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</si>
  <si>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</si>
  <si>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</si>
  <si>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</si>
  <si>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</si>
  <si>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</si>
  <si>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</si>
  <si>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</si>
  <si>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</si>
  <si>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</si>
  <si>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</si>
  <si>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</si>
  <si>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</si>
  <si>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</si>
  <si>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</si>
  <si>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</si>
  <si>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</si>
  <si>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</si>
  <si>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</si>
  <si>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</si>
  <si>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</si>
  <si>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</si>
  <si>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</si>
  <si>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</si>
  <si>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</si>
  <si>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</si>
  <si>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</si>
  <si>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</si>
  <si>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</si>
  <si>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</si>
  <si>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</si>
  <si>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</si>
  <si>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</si>
  <si>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</si>
  <si>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</si>
  <si>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</si>
  <si>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</si>
  <si>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</si>
  <si>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</si>
  <si>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</si>
  <si>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</si>
  <si>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</si>
  <si>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</si>
  <si>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</si>
  <si>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</si>
  <si>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</si>
  <si>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</si>
  <si>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</si>
  <si>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</si>
  <si>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</si>
  <si>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</si>
  <si>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</si>
  <si>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</si>
  <si>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</si>
  <si>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</si>
  <si>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</si>
  <si>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</si>
  <si>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</si>
  <si>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</si>
  <si>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</si>
  <si>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</si>
  <si>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</si>
  <si>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</si>
  <si>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</si>
  <si>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</si>
  <si>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</si>
  <si>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</si>
  <si>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</si>
  <si>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</si>
  <si>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</si>
  <si>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</si>
  <si>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</si>
  <si>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</si>
  <si>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</si>
  <si>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</si>
  <si>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</si>
  <si>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</si>
  <si>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</si>
  <si>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</si>
  <si>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</si>
  <si>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</si>
  <si>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</si>
  <si>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</si>
  <si>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</si>
  <si>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</si>
  <si>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</si>
  <si>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</si>
  <si>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</si>
  <si>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</si>
  <si>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</si>
  <si>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</si>
  <si>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</si>
  <si>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</si>
  <si>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</si>
  <si>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</si>
  <si>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</si>
  <si>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</si>
  <si>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</si>
  <si>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</si>
  <si>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</si>
  <si>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</si>
  <si>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</si>
  <si>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</si>
  <si>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</si>
  <si>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</si>
  <si>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</si>
  <si>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</si>
  <si>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</si>
  <si>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</si>
  <si>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</si>
  <si>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</si>
  <si>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</si>
  <si>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</si>
  <si>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</si>
  <si>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</si>
  <si>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</si>
  <si>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</si>
  <si>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</si>
  <si>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</si>
  <si>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</si>
  <si>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</si>
  <si>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</si>
  <si>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</si>
  <si>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</si>
  <si>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</si>
  <si>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</si>
  <si>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</si>
  <si>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</si>
  <si>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</si>
  <si>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</si>
  <si>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</si>
  <si>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</si>
  <si>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</si>
  <si>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</si>
  <si>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</si>
  <si>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</si>
  <si>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</si>
  <si>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</si>
  <si>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</si>
  <si>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</si>
  <si>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</si>
  <si>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</si>
  <si>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</si>
  <si>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</si>
  <si>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</si>
  <si>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</si>
  <si>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</si>
  <si>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</si>
  <si>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</si>
  <si>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</si>
  <si>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</si>
  <si>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</si>
  <si>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</si>
  <si>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</si>
  <si>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</si>
  <si>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</si>
  <si>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</si>
  <si>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</si>
  <si>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</si>
  <si>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</si>
  <si>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</si>
  <si>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</si>
  <si>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</si>
  <si>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</si>
  <si>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</si>
  <si>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</si>
  <si>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</si>
  <si>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</si>
  <si>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</si>
  <si>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</si>
  <si>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</si>
  <si>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</si>
  <si>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</si>
  <si>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</si>
  <si>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</si>
  <si>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</si>
  <si>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</si>
  <si>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</si>
  <si>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</si>
  <si>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</si>
  <si>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</si>
  <si>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</si>
  <si>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</si>
  <si>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</si>
  <si>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</si>
  <si>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</si>
  <si>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</si>
  <si>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</si>
  <si>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</si>
  <si>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</si>
  <si>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</si>
  <si>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</si>
  <si>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</si>
  <si>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</si>
  <si>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</si>
  <si>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</si>
  <si>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</si>
  <si>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</si>
  <si>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</si>
  <si>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</si>
  <si>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</si>
  <si>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</si>
  <si>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</si>
  <si>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</si>
  <si>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</si>
  <si>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</si>
  <si>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</si>
  <si>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</si>
  <si>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</si>
  <si>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</si>
  <si>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</si>
  <si>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</si>
  <si>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</si>
  <si>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</si>
  <si>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</si>
  <si>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</si>
  <si>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</si>
  <si>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</si>
  <si>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</si>
  <si>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</si>
  <si>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</si>
  <si>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</si>
  <si>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</si>
  <si>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</si>
  <si>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</si>
  <si>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</si>
  <si>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</si>
  <si>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</si>
  <si>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</si>
  <si>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</si>
  <si>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</si>
  <si>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</si>
  <si>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</si>
  <si>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</si>
  <si>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</si>
  <si>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</si>
  <si>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</si>
  <si>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</si>
  <si>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</si>
  <si>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</si>
  <si>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</si>
  <si>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</si>
  <si>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</si>
  <si>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</si>
  <si>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</si>
  <si>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</si>
  <si>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</si>
  <si>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</si>
  <si>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</si>
  <si>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</si>
  <si>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</si>
  <si>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</si>
  <si>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</si>
  <si>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</si>
  <si>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</si>
  <si>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</si>
  <si>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</si>
  <si>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</si>
  <si>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</si>
  <si>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</si>
  <si>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</si>
  <si>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</si>
  <si>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</si>
  <si>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</si>
  <si>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</si>
  <si>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</si>
  <si>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</si>
  <si>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</si>
  <si>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</si>
  <si>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</si>
  <si>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</si>
  <si>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</si>
  <si>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</si>
  <si>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</si>
  <si>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</si>
  <si>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</si>
  <si>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</si>
  <si>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</si>
  <si>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</si>
  <si>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</si>
  <si>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</si>
  <si>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</si>
  <si>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</si>
  <si>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</si>
  <si>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</si>
  <si>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</si>
  <si>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</si>
  <si>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</si>
  <si>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</si>
  <si>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</si>
  <si>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</si>
  <si>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</si>
  <si>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</si>
  <si>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</si>
  <si>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</si>
  <si>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</si>
  <si>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</si>
  <si>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</si>
  <si>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</si>
  <si>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</si>
  <si>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</si>
  <si>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</si>
  <si>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</si>
  <si>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</si>
  <si>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</si>
  <si>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</si>
  <si>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</si>
  <si>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</si>
  <si>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</si>
  <si>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</si>
  <si>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</si>
  <si>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</si>
  <si>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</si>
  <si>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</si>
  <si>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</si>
  <si>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</si>
  <si>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</si>
  <si>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</si>
  <si>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</si>
  <si>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</si>
  <si>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</si>
  <si>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</si>
  <si>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</si>
  <si>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</si>
  <si>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</si>
  <si>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</si>
  <si>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</si>
  <si>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</si>
  <si>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</si>
  <si>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</si>
  <si>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</si>
  <si>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</si>
  <si>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</si>
  <si>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</si>
  <si>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</si>
  <si>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</si>
  <si>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</si>
  <si>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</si>
  <si>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</si>
  <si>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</si>
  <si>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</si>
  <si>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</si>
  <si>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</si>
  <si>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</si>
  <si>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</si>
  <si>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</si>
  <si>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</si>
  <si>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</si>
  <si>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</si>
  <si>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</si>
  <si>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</si>
  <si>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</si>
  <si>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</si>
  <si>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</si>
  <si>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</si>
  <si>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</si>
  <si>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</si>
  <si>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</si>
  <si>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</si>
  <si>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</si>
  <si>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</si>
  <si>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</si>
  <si>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</si>
  <si>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</si>
  <si>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</si>
  <si>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</si>
  <si>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</si>
  <si>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</si>
  <si>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</si>
  <si>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</si>
  <si>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</si>
  <si>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</si>
  <si>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</si>
  <si>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</si>
  <si>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</si>
  <si>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</si>
  <si>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</si>
  <si>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</si>
  <si>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</si>
  <si>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</si>
  <si>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</si>
  <si>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</si>
  <si>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</si>
  <si>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</si>
  <si>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</si>
  <si>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</si>
  <si>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</si>
  <si>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</si>
  <si>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</si>
  <si>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</si>
  <si>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</si>
  <si>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</si>
  <si>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</si>
  <si>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</si>
  <si>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</si>
  <si>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</si>
  <si>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</si>
  <si>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</si>
  <si>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</si>
  <si>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</si>
  <si>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</si>
  <si>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</si>
  <si>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</si>
  <si>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</si>
  <si>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</si>
  <si>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</si>
  <si>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</si>
  <si>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</si>
  <si>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</si>
  <si>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</si>
  <si>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</si>
  <si>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</si>
  <si>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</si>
  <si>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</si>
  <si>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</si>
  <si>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</si>
  <si>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</si>
  <si>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</si>
  <si>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</si>
  <si>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</si>
  <si>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</si>
  <si>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</si>
  <si>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</si>
  <si>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</si>
  <si>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</si>
  <si>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</si>
  <si>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</si>
  <si>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</si>
  <si>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</si>
  <si>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</si>
  <si>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</si>
  <si>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</si>
  <si>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</si>
  <si>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</si>
  <si>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</si>
  <si>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</si>
  <si>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</si>
  <si>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</si>
  <si>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</si>
  <si>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</si>
  <si>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</si>
  <si>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</si>
  <si>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</si>
  <si>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</si>
  <si>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</si>
  <si>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</si>
  <si>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</si>
  <si>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</si>
  <si>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</si>
  <si>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</si>
  <si>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</si>
  <si>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</si>
  <si>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</si>
  <si>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</si>
  <si>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</si>
  <si>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</si>
  <si>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</si>
  <si>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</si>
  <si>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</si>
  <si>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</si>
  <si>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</si>
  <si>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</si>
  <si>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</si>
  <si>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</si>
  <si>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</si>
  <si>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</si>
  <si>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</si>
  <si>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</si>
  <si>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</si>
  <si>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</si>
  <si>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</si>
  <si>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</si>
  <si>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</si>
  <si>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</si>
  <si>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</si>
  <si>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</si>
  <si>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</si>
  <si>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</si>
  <si>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</si>
  <si>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</si>
  <si>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</si>
  <si>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</si>
  <si>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</si>
  <si>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</si>
  <si>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</si>
  <si>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</si>
  <si>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</si>
  <si>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</si>
  <si>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</si>
  <si>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</si>
  <si>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</si>
  <si>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</si>
  <si>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</si>
  <si>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</si>
  <si>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</si>
  <si>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</si>
  <si>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</si>
  <si>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</si>
  <si>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</si>
  <si>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</si>
  <si>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</si>
  <si>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</si>
  <si>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</si>
  <si>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</si>
  <si>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</si>
  <si>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</si>
  <si>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</si>
  <si>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</si>
  <si>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</si>
  <si>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</si>
  <si>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</si>
  <si>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</si>
  <si>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</si>
  <si>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</si>
  <si>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</si>
  <si>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</si>
  <si>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</si>
  <si>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</si>
  <si>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</si>
  <si>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</si>
  <si>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</si>
  <si>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</si>
  <si>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</si>
  <si>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</si>
  <si>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</si>
  <si>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</si>
  <si>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</si>
  <si>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</si>
  <si>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</si>
  <si>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</si>
  <si>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</si>
  <si>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</si>
  <si>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</si>
  <si>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</si>
  <si>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</si>
  <si>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</si>
  <si>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</si>
  <si>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</si>
  <si>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</si>
  <si>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</si>
  <si>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</si>
  <si>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</si>
  <si>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</si>
  <si>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</si>
  <si>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</si>
  <si>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</si>
  <si>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</si>
  <si>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</si>
  <si>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</si>
  <si>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</si>
  <si>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</si>
  <si>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</si>
  <si>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</si>
  <si>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</si>
  <si>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</si>
  <si>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</si>
  <si>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</si>
  <si>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</si>
  <si>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</si>
  <si>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</si>
  <si>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</si>
  <si>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</si>
  <si>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</si>
  <si>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</si>
  <si>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</si>
  <si>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</si>
  <si>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</si>
  <si>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</si>
  <si>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</si>
  <si>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</si>
  <si>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</si>
  <si>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</si>
  <si>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</si>
  <si>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</si>
  <si>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</si>
  <si>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</si>
  <si>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</si>
  <si>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</si>
  <si>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</si>
  <si>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</si>
  <si>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</si>
  <si>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</si>
  <si>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</si>
  <si>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</si>
  <si>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</si>
  <si>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</si>
  <si>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</si>
  <si>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</si>
  <si>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</si>
  <si>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</si>
  <si>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</si>
  <si>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</si>
  <si>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</si>
  <si>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</si>
  <si>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</si>
  <si>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</si>
  <si>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</si>
  <si>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</si>
  <si>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</si>
  <si>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</si>
  <si>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</si>
  <si>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</si>
  <si>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</si>
  <si>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</si>
  <si>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</si>
  <si>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</si>
  <si>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</si>
  <si>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</si>
  <si>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</si>
  <si>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</si>
  <si>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</si>
  <si>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</si>
  <si>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</si>
  <si>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</si>
  <si>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</si>
  <si>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</si>
  <si>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</si>
  <si>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</si>
  <si>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</si>
  <si>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</si>
  <si>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</si>
  <si>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</si>
  <si>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</si>
  <si>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</si>
  <si>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</si>
  <si>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</si>
  <si>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</si>
  <si>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</si>
  <si>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</si>
  <si>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</si>
  <si>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</si>
  <si>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</si>
  <si>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</si>
  <si>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</si>
  <si>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</si>
  <si>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</si>
  <si>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</si>
  <si>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</si>
  <si>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</si>
  <si>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</si>
  <si>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</si>
  <si>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</si>
  <si>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</si>
  <si>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</si>
  <si>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</si>
  <si>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</si>
  <si>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</si>
  <si>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</si>
  <si>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</si>
  <si>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</si>
  <si>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</si>
  <si>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</si>
  <si>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</si>
  <si>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</si>
  <si>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</si>
  <si>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</si>
  <si>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</si>
  <si>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</si>
  <si>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</si>
  <si>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</si>
  <si>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</si>
  <si>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</si>
  <si>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</si>
  <si>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</si>
  <si>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</si>
  <si>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</si>
  <si>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</si>
  <si>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</si>
  <si>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</si>
  <si>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</si>
  <si>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</si>
  <si>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</si>
  <si>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</si>
  <si>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</si>
  <si>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</si>
  <si>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2026-08-30_15-18-00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</si>
</sst>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0.29110000000000003</v>
      </c>
      <c r="K2" s="273">
        <v>79004.960000000006</v>
      </c>
      <c r="L2" s="273">
        <v>78993.06</v>
      </c>
      <c r="M2" s="282">
        <v>2.5309999999999999E-2</v>
      </c>
      <c r="N2" s="281">
        <v>0.29110000000000003</v>
      </c>
      <c r="O2" s="275">
        <v>79.001249999999999</v>
      </c>
      <c r="P2" s="275">
        <v>79001.25</v>
      </c>
      <c r="Q2" s="275">
        <v>78922.248749999999</v>
      </c>
      <c r="R2" s="275">
        <v>-79080.91191000001</v>
      </c>
      <c r="S2" s="275">
        <v>-79001.91</v>
      </c>
      <c r="T2" s="275">
        <v>79.001910000000009</v>
      </c>
      <c r="U2" s="282">
        <v>2.5309999999999999E-2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/>
      <c r="K3" s="25"/>
      <c r="L3" s="25"/>
      <c r="M3" s="26"/>
      <c r="N3" s="24"/>
      <c r="O3" s="11"/>
      <c r="P3" s="11"/>
      <c r="Q3" s="11"/>
      <c r="R3" s="11"/>
      <c r="S3" s="11"/>
      <c r="T3" s="11"/>
      <c r="U3" s="27"/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5</v>
      </c>
      <c r="K4" s="273">
        <v>79225</v>
      </c>
      <c r="L4" s="273">
        <v>79300</v>
      </c>
      <c r="M4" s="274">
        <v>15</v>
      </c>
      <c r="N4" s="272">
        <v>5</v>
      </c>
      <c r="O4" s="275">
        <v>2.504</v>
      </c>
      <c r="P4" s="275">
        <v>79225</v>
      </c>
      <c r="Q4" s="275">
        <v>79222.495999999999</v>
      </c>
      <c r="R4" s="275">
        <v>-79302.504000000001</v>
      </c>
      <c r="S4" s="275">
        <v>-79300</v>
      </c>
      <c r="T4" s="275">
        <v>2.504</v>
      </c>
      <c r="U4" s="276">
        <v>15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5</v>
      </c>
      <c r="K5" s="273">
        <v>79280</v>
      </c>
      <c r="L5" s="273">
        <v>80190</v>
      </c>
      <c r="M5" s="274">
        <v>5</v>
      </c>
      <c r="N5" s="272">
        <v>5</v>
      </c>
      <c r="O5" s="275">
        <v>2.504</v>
      </c>
      <c r="P5" s="275">
        <v>79280</v>
      </c>
      <c r="Q5" s="275">
        <v>79277.495999999999</v>
      </c>
      <c r="R5" s="275">
        <v>-80192.504000000001</v>
      </c>
      <c r="S5" s="275">
        <v>-80190</v>
      </c>
      <c r="T5" s="275">
        <v>2.504</v>
      </c>
      <c r="U5" s="276">
        <v>5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85</v>
      </c>
      <c r="K6" s="273">
        <v>45370</v>
      </c>
      <c r="L6" s="273">
        <v>0</v>
      </c>
      <c r="M6" s="274">
        <v>0</v>
      </c>
      <c r="N6" s="272">
        <v>85</v>
      </c>
      <c r="O6" s="275">
        <v>2.504</v>
      </c>
      <c r="P6" s="275">
        <v>45370</v>
      </c>
      <c r="Q6" s="275">
        <v>45367.495999999999</v>
      </c>
      <c r="R6" s="275">
        <v>-2.504</v>
      </c>
      <c r="S6" s="275">
        <v>0</v>
      </c>
      <c r="T6" s="275">
        <v>2.504</v>
      </c>
      <c r="U6" s="276">
        <v>0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15</v>
      </c>
      <c r="K7" s="273">
        <v>77090</v>
      </c>
      <c r="L7" s="273">
        <v>82585</v>
      </c>
      <c r="M7" s="274">
        <v>15</v>
      </c>
      <c r="N7" s="272">
        <v>15</v>
      </c>
      <c r="O7" s="275">
        <v>2.504</v>
      </c>
      <c r="P7" s="275">
        <v>77090</v>
      </c>
      <c r="Q7" s="275">
        <v>77087.495999999999</v>
      </c>
      <c r="R7" s="275">
        <v>-82587.504000000001</v>
      </c>
      <c r="S7" s="275">
        <v>-82585</v>
      </c>
      <c r="T7" s="275">
        <v>2.504</v>
      </c>
      <c r="U7" s="276">
        <v>15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0</v>
      </c>
      <c r="K8" s="273">
        <v>0</v>
      </c>
      <c r="L8" s="273">
        <v>0</v>
      </c>
      <c r="M8" s="274">
        <v>0</v>
      </c>
      <c r="N8" s="272">
        <v>0</v>
      </c>
      <c r="O8" s="275">
        <v>2.504</v>
      </c>
      <c r="P8" s="275">
        <v>0</v>
      </c>
      <c r="Q8" s="275">
        <v>-2.504</v>
      </c>
      <c r="R8" s="275">
        <v>-2.504</v>
      </c>
      <c r="S8" s="275">
        <v>0</v>
      </c>
      <c r="T8" s="275">
        <v>2.504</v>
      </c>
      <c r="U8" s="276">
        <v>0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542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0</v>
      </c>
      <c r="K9" s="273">
        <v>0</v>
      </c>
      <c r="L9" s="273">
        <v>0</v>
      </c>
      <c r="M9" s="274">
        <v>0</v>
      </c>
      <c r="N9" s="272">
        <v>0</v>
      </c>
      <c r="O9" s="275">
        <v>2.504</v>
      </c>
      <c r="P9" s="275">
        <v>0</v>
      </c>
      <c r="Q9" s="275">
        <v>-2.504</v>
      </c>
      <c r="R9" s="275">
        <v>-2.504</v>
      </c>
      <c r="S9" s="275">
        <v>0</v>
      </c>
      <c r="T9" s="275">
        <v>2.504</v>
      </c>
      <c r="U9" s="276">
        <v>0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114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100</v>
      </c>
      <c r="K10" s="25">
        <v>2518.5</v>
      </c>
      <c r="L10" s="25">
        <v>2522</v>
      </c>
      <c r="M10" s="29">
        <v>50</v>
      </c>
      <c r="N10" s="28">
        <v>100</v>
      </c>
      <c r="O10" s="11">
        <v>0.1704</v>
      </c>
      <c r="P10" s="11">
        <v>2518.5</v>
      </c>
      <c r="Q10" s="11">
        <v>2518.3296</v>
      </c>
      <c r="R10" s="11">
        <v>-2522.1704</v>
      </c>
      <c r="S10" s="11">
        <v>-2522</v>
      </c>
      <c r="T10" s="11">
        <v>0.1704</v>
      </c>
      <c r="U10" s="30">
        <v>50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115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1</v>
      </c>
      <c r="K11" s="25">
        <v>2529.35</v>
      </c>
      <c r="L11" s="25">
        <v>2534.75</v>
      </c>
      <c r="M11" s="29">
        <v>50</v>
      </c>
      <c r="N11" s="28">
        <v>1</v>
      </c>
      <c r="O11" s="11">
        <v>17.2104</v>
      </c>
      <c r="P11" s="11">
        <v>2529.35</v>
      </c>
      <c r="Q11" s="11">
        <v>2512.1396</v>
      </c>
      <c r="R11" s="11">
        <v>-2551.6704</v>
      </c>
      <c r="S11" s="11">
        <v>-2551.5</v>
      </c>
      <c r="T11" s="11">
        <v>0.1704</v>
      </c>
      <c r="U11" s="30">
        <v>50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116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0</v>
      </c>
      <c r="K12" s="25">
        <v>-1</v>
      </c>
      <c r="L12" s="25">
        <v>-1</v>
      </c>
      <c r="M12" s="29">
        <v>0</v>
      </c>
      <c r="N12" s="28">
        <v>0</v>
      </c>
      <c r="O12" s="11">
        <v>0.1704</v>
      </c>
      <c r="P12" s="11">
        <v>-1</v>
      </c>
      <c r="Q12" s="11">
        <v>-1.1703999999999999</v>
      </c>
      <c r="R12" s="11">
        <v>0.8296</v>
      </c>
      <c r="S12" s="11">
        <v>1</v>
      </c>
      <c r="T12" s="11">
        <v>0.1704</v>
      </c>
      <c r="U12" s="30">
        <v>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117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1</v>
      </c>
      <c r="K13" s="25">
        <v>2533.5</v>
      </c>
      <c r="L13" s="25">
        <v>2711</v>
      </c>
      <c r="M13" s="29">
        <v>750</v>
      </c>
      <c r="N13" s="28">
        <v>1</v>
      </c>
      <c r="O13" s="11">
        <v>17.2104</v>
      </c>
      <c r="P13" s="11">
        <v>2533.5</v>
      </c>
      <c r="Q13" s="11">
        <v>2516.2896000000001</v>
      </c>
      <c r="R13" s="11">
        <v>-2711.1704</v>
      </c>
      <c r="S13" s="11">
        <v>-2711</v>
      </c>
      <c r="T13" s="11">
        <v>0.1704</v>
      </c>
      <c r="U13" s="30">
        <v>750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543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0</v>
      </c>
      <c r="K14" s="25">
        <v>-1</v>
      </c>
      <c r="L14" s="25">
        <v>-1</v>
      </c>
      <c r="M14" s="29">
        <v>0</v>
      </c>
      <c r="N14" s="28">
        <v>0</v>
      </c>
      <c r="O14" s="11">
        <v>0.1704</v>
      </c>
      <c r="P14" s="11">
        <v>-1</v>
      </c>
      <c r="Q14" s="11">
        <v>-1.1703999999999999</v>
      </c>
      <c r="R14" s="11">
        <v>0.8296</v>
      </c>
      <c r="S14" s="11">
        <v>1</v>
      </c>
      <c r="T14" s="11">
        <v>0.1704</v>
      </c>
      <c r="U14" s="30">
        <v>0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544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0</v>
      </c>
      <c r="K15" s="25">
        <v>-1</v>
      </c>
      <c r="L15" s="25">
        <v>-1</v>
      </c>
      <c r="M15" s="29">
        <v>0</v>
      </c>
      <c r="N15" s="28">
        <v>0</v>
      </c>
      <c r="O15" s="11">
        <v>0.1704</v>
      </c>
      <c r="P15" s="11">
        <v>-1</v>
      </c>
      <c r="Q15" s="11">
        <v>-1.1703999999999999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118</v>
      </c>
      <c r="B16" s="271" t="s">
        <v>119</v>
      </c>
      <c r="C16" s="271" t="s">
        <v>120</v>
      </c>
      <c r="D16" s="271" t="s">
        <v>106</v>
      </c>
      <c r="E16" s="271" t="s">
        <v>0</v>
      </c>
      <c r="F16" s="272">
        <v>0.29110000000000003</v>
      </c>
      <c r="G16" s="273">
        <v>79001.25</v>
      </c>
      <c r="H16" s="273">
        <v>79001.91</v>
      </c>
      <c r="I16" s="274">
        <v>2.5309999999999999E-2</v>
      </c>
      <c r="J16" s="281">
        <v>0.29110000000000003</v>
      </c>
      <c r="K16" s="273">
        <v>79001.25</v>
      </c>
      <c r="L16" s="273">
        <v>79001.91</v>
      </c>
      <c r="M16" s="282">
        <v>2.5309999999999999E-2</v>
      </c>
      <c r="N16" s="281">
        <v>0.29110000000000003</v>
      </c>
      <c r="O16" s="275">
        <v>79.001249999999999</v>
      </c>
      <c r="P16" s="275">
        <v>79001.25</v>
      </c>
      <c r="Q16" s="275">
        <v>78922.248749999999</v>
      </c>
      <c r="R16" s="275">
        <v>-79080.91191000001</v>
      </c>
      <c r="S16" s="275">
        <v>-79001.91</v>
      </c>
      <c r="T16" s="275">
        <v>79.001910000000009</v>
      </c>
      <c r="U16" s="282">
        <v>2.5309999999999999E-2</v>
      </c>
      <c r="V16" s="277">
        <v>1</v>
      </c>
      <c r="W16" s="277">
        <v>1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118</v>
      </c>
      <c r="B17" s="271" t="s">
        <v>119</v>
      </c>
      <c r="C17" s="271" t="s">
        <v>121</v>
      </c>
      <c r="D17" s="271" t="s">
        <v>106</v>
      </c>
      <c r="E17" s="271" t="s">
        <v>0</v>
      </c>
      <c r="F17" s="272">
        <v>1.2786399999999999E-3</v>
      </c>
      <c r="G17" s="273">
        <v>78993.05</v>
      </c>
      <c r="H17" s="273">
        <v>78993.06</v>
      </c>
      <c r="I17" s="274">
        <v>6.7000000000000002E-3</v>
      </c>
      <c r="J17" s="281">
        <v>1.2786399999999999E-3</v>
      </c>
      <c r="K17" s="273">
        <v>78993.05</v>
      </c>
      <c r="L17" s="273">
        <v>78993.06</v>
      </c>
      <c r="M17" s="282">
        <v>6.7000000000000002E-3</v>
      </c>
      <c r="N17" s="281">
        <v>1.2786399999999999E-3</v>
      </c>
      <c r="O17" s="275">
        <v>473.95830000000001</v>
      </c>
      <c r="P17" s="275">
        <v>78993.05</v>
      </c>
      <c r="Q17" s="275">
        <v>78519.091700000004</v>
      </c>
      <c r="R17" s="275">
        <v>-79467.018360000002</v>
      </c>
      <c r="S17" s="275">
        <v>-78993.06</v>
      </c>
      <c r="T17" s="275">
        <v>473.95835999999997</v>
      </c>
      <c r="U17" s="282">
        <v>6.7000000000000002E-3</v>
      </c>
      <c r="V17" s="277">
        <v>1</v>
      </c>
      <c r="W17" s="277">
        <v>1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118</v>
      </c>
      <c r="B18" s="271" t="s">
        <v>119</v>
      </c>
      <c r="C18" s="271" t="s">
        <v>122</v>
      </c>
      <c r="D18" s="271" t="s">
        <v>106</v>
      </c>
      <c r="E18" s="271" t="s">
        <v>0</v>
      </c>
      <c r="F18" s="272">
        <v>0.20261132000000001</v>
      </c>
      <c r="G18" s="273">
        <v>79004.960000000006</v>
      </c>
      <c r="H18" s="273">
        <v>79004.97</v>
      </c>
      <c r="I18" s="274">
        <v>0.14060871</v>
      </c>
      <c r="J18" s="281">
        <v>0.20261132000000001</v>
      </c>
      <c r="K18" s="273">
        <v>79004.960000000006</v>
      </c>
      <c r="L18" s="273">
        <v>79004.97</v>
      </c>
      <c r="M18" s="282">
        <v>0.14060871</v>
      </c>
      <c r="N18" s="281">
        <v>0.20261132000000001</v>
      </c>
      <c r="O18" s="275">
        <v>316.01984000000004</v>
      </c>
      <c r="P18" s="275">
        <v>79004.960000000006</v>
      </c>
      <c r="Q18" s="275">
        <v>78688.940160000013</v>
      </c>
      <c r="R18" s="275">
        <v>-79320.989880000008</v>
      </c>
      <c r="S18" s="275">
        <v>-79004.97</v>
      </c>
      <c r="T18" s="275">
        <v>316.01988</v>
      </c>
      <c r="U18" s="282">
        <v>0.14060871</v>
      </c>
      <c r="V18" s="277">
        <v>1</v>
      </c>
      <c r="W18" s="277">
        <v>1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118</v>
      </c>
      <c r="B19" s="271" t="s">
        <v>119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78994</v>
      </c>
      <c r="H19" s="273">
        <v>78994</v>
      </c>
      <c r="I19" s="274">
        <v>0</v>
      </c>
      <c r="J19" s="281">
        <v>0</v>
      </c>
      <c r="K19" s="273">
        <v>78994</v>
      </c>
      <c r="L19" s="273">
        <v>78994</v>
      </c>
      <c r="M19" s="282">
        <v>0</v>
      </c>
      <c r="N19" s="281">
        <v>0</v>
      </c>
      <c r="O19" s="275">
        <v>94.792799999999986</v>
      </c>
      <c r="P19" s="275">
        <v>78994</v>
      </c>
      <c r="Q19" s="275">
        <v>78899.207200000004</v>
      </c>
      <c r="R19" s="275">
        <v>-79088.792799999996</v>
      </c>
      <c r="S19" s="275">
        <v>-78994</v>
      </c>
      <c r="T19" s="275">
        <v>94.792799999999986</v>
      </c>
      <c r="U19" s="282">
        <v>0</v>
      </c>
      <c r="V19" s="277">
        <v>1</v>
      </c>
      <c r="W19" s="277">
        <v>1</v>
      </c>
      <c r="X19" s="277"/>
      <c r="Y19" s="277"/>
      <c r="Z19" s="276"/>
      <c r="AA19" s="392">
        <v>77574.75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118</v>
      </c>
      <c r="B20" s="271" t="s">
        <v>119</v>
      </c>
      <c r="C20" s="271" t="s">
        <v>123</v>
      </c>
      <c r="D20" s="271" t="s">
        <v>106</v>
      </c>
      <c r="E20" s="271" t="s">
        <v>0</v>
      </c>
      <c r="F20" s="272">
        <v>0.11247471000000001</v>
      </c>
      <c r="G20" s="273">
        <v>78995.7</v>
      </c>
      <c r="H20" s="273">
        <v>78995.8</v>
      </c>
      <c r="I20" s="274">
        <v>0.21866002000000001</v>
      </c>
      <c r="J20" s="281">
        <v>0.11247471000000001</v>
      </c>
      <c r="K20" s="273">
        <v>78995.7</v>
      </c>
      <c r="L20" s="273">
        <v>78995.8</v>
      </c>
      <c r="M20" s="282">
        <v>0.21866002000000001</v>
      </c>
      <c r="N20" s="281">
        <v>0.11247471000000001</v>
      </c>
      <c r="O20" s="275">
        <v>205.38881999999998</v>
      </c>
      <c r="P20" s="275">
        <v>78995.7</v>
      </c>
      <c r="Q20" s="275">
        <v>78790.311180000004</v>
      </c>
      <c r="R20" s="275">
        <v>-79201.189079999996</v>
      </c>
      <c r="S20" s="275">
        <v>-78995.8</v>
      </c>
      <c r="T20" s="275">
        <v>205.38908000000001</v>
      </c>
      <c r="U20" s="282">
        <v>0.21866002000000001</v>
      </c>
      <c r="V20" s="277">
        <v>1</v>
      </c>
      <c r="W20" s="277">
        <v>1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124</v>
      </c>
      <c r="B21" s="10" t="s">
        <v>125</v>
      </c>
      <c r="C21" s="10" t="s">
        <v>108</v>
      </c>
      <c r="D21" s="10" t="s">
        <v>106</v>
      </c>
      <c r="E21" s="10" t="s">
        <v>0</v>
      </c>
      <c r="F21" s="272"/>
      <c r="G21" s="273"/>
      <c r="H21" s="273"/>
      <c r="I21" s="274"/>
      <c r="J21" s="283"/>
      <c r="K21" s="25"/>
      <c r="L21" s="25"/>
      <c r="M21" s="26"/>
      <c r="N21" s="24"/>
      <c r="O21" s="11"/>
      <c r="P21" s="11"/>
      <c r="Q21" s="11"/>
      <c r="R21" s="11"/>
      <c r="S21" s="11"/>
      <c r="T21" s="11"/>
      <c r="U21" s="27"/>
      <c r="V21" s="12">
        <v>1</v>
      </c>
      <c r="W21" s="12">
        <v>1</v>
      </c>
      <c r="X21" s="12"/>
      <c r="Y21" s="12"/>
      <c r="Z21" s="30"/>
      <c r="AA21" s="393">
        <v>26.51</v>
      </c>
      <c r="AB21" s="400">
        <v>0</v>
      </c>
      <c r="AC21" s="19" t="s">
        <v>4082</v>
      </c>
    </row>
    <row r="22" spans="1:30" s="10" customFormat="1" x14ac:dyDescent="0.25">
      <c r="A22" s="37" t="s">
        <v>124</v>
      </c>
      <c r="B22" s="10" t="s">
        <v>126</v>
      </c>
      <c r="C22" s="10" t="s">
        <v>108</v>
      </c>
      <c r="D22" s="10" t="s">
        <v>106</v>
      </c>
      <c r="E22" s="10" t="s">
        <v>0</v>
      </c>
      <c r="F22" s="272"/>
      <c r="G22" s="273"/>
      <c r="H22" s="273"/>
      <c r="I22" s="274"/>
      <c r="J22" s="283"/>
      <c r="K22" s="25"/>
      <c r="L22" s="25"/>
      <c r="M22" s="26"/>
      <c r="N22" s="24"/>
      <c r="O22" s="11"/>
      <c r="P22" s="11"/>
      <c r="Q22" s="11"/>
      <c r="R22" s="11"/>
      <c r="S22" s="11"/>
      <c r="T22" s="11"/>
      <c r="U22" s="27"/>
      <c r="V22" s="12">
        <v>1</v>
      </c>
      <c r="W22" s="12">
        <v>1</v>
      </c>
      <c r="X22" s="12"/>
      <c r="Y22" s="12"/>
      <c r="Z22" s="30"/>
      <c r="AA22" s="393">
        <v>43.389999000000003</v>
      </c>
      <c r="AB22" s="400">
        <v>0</v>
      </c>
      <c r="AC22" s="19" t="s">
        <v>4082</v>
      </c>
    </row>
    <row r="23" spans="1:30" s="10" customFormat="1" x14ac:dyDescent="0.25">
      <c r="A23" s="37" t="s">
        <v>124</v>
      </c>
      <c r="B23" s="10" t="s">
        <v>127</v>
      </c>
      <c r="C23" s="10" t="s">
        <v>108</v>
      </c>
      <c r="D23" s="10" t="s">
        <v>106</v>
      </c>
      <c r="E23" s="10" t="s">
        <v>0</v>
      </c>
      <c r="F23" s="297"/>
      <c r="G23" s="25"/>
      <c r="H23" s="25"/>
      <c r="I23" s="298"/>
      <c r="J23" s="283"/>
      <c r="K23" s="25"/>
      <c r="L23" s="25"/>
      <c r="M23" s="26"/>
      <c r="N23" s="24"/>
      <c r="O23" s="11"/>
      <c r="P23" s="11"/>
      <c r="Q23" s="11"/>
      <c r="R23" s="11"/>
      <c r="S23" s="11"/>
      <c r="T23" s="11"/>
      <c r="U23" s="27"/>
      <c r="V23" s="12">
        <v>1</v>
      </c>
      <c r="W23" s="12">
        <v>1</v>
      </c>
      <c r="X23" s="12"/>
      <c r="Y23" s="12"/>
      <c r="Z23" s="30"/>
      <c r="AA23" s="393">
        <v>22.530000999999999</v>
      </c>
      <c r="AB23" s="400">
        <v>0</v>
      </c>
      <c r="AC23" s="19" t="s">
        <v>4082</v>
      </c>
    </row>
    <row r="24" spans="1:30" s="10" customFormat="1" x14ac:dyDescent="0.25">
      <c r="A24" s="37" t="s">
        <v>124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/>
      <c r="G24" s="25"/>
      <c r="H24" s="25"/>
      <c r="I24" s="298"/>
      <c r="J24" s="283"/>
      <c r="K24" s="25"/>
      <c r="L24" s="25"/>
      <c r="M24" s="26"/>
      <c r="N24" s="24"/>
      <c r="O24" s="11"/>
      <c r="P24" s="11"/>
      <c r="Q24" s="11"/>
      <c r="R24" s="11"/>
      <c r="S24" s="11"/>
      <c r="T24" s="11"/>
      <c r="U24" s="27"/>
      <c r="V24" s="12">
        <v>1</v>
      </c>
      <c r="W24" s="12">
        <v>1</v>
      </c>
      <c r="X24" s="12"/>
      <c r="Y24" s="12"/>
      <c r="Z24" s="30"/>
      <c r="AA24" s="393">
        <v>35.340000000000003</v>
      </c>
      <c r="AB24" s="400">
        <v>0</v>
      </c>
      <c r="AC24" s="19" t="s">
        <v>4082</v>
      </c>
    </row>
    <row r="25" spans="1:30" s="10" customFormat="1" x14ac:dyDescent="0.25">
      <c r="A25" s="37" t="s">
        <v>124</v>
      </c>
      <c r="B25" s="10" t="s">
        <v>128</v>
      </c>
      <c r="C25" s="10" t="s">
        <v>108</v>
      </c>
      <c r="D25" s="10" t="s">
        <v>106</v>
      </c>
      <c r="E25" s="10" t="s">
        <v>0</v>
      </c>
      <c r="F25" s="297"/>
      <c r="G25" s="25"/>
      <c r="H25" s="25"/>
      <c r="I25" s="298"/>
      <c r="J25" s="283"/>
      <c r="K25" s="25"/>
      <c r="L25" s="25"/>
      <c r="M25" s="26"/>
      <c r="N25" s="24"/>
      <c r="O25" s="11"/>
      <c r="P25" s="11"/>
      <c r="Q25" s="11"/>
      <c r="R25" s="11"/>
      <c r="S25" s="11"/>
      <c r="T25" s="11"/>
      <c r="U25" s="27"/>
      <c r="V25" s="12">
        <v>1</v>
      </c>
      <c r="W25" s="12">
        <v>1</v>
      </c>
      <c r="X25" s="12"/>
      <c r="Y25" s="12"/>
      <c r="Z25" s="30"/>
      <c r="AA25" s="393">
        <v>84.459998999999996</v>
      </c>
      <c r="AB25" s="400">
        <v>0</v>
      </c>
      <c r="AC25" s="19" t="s">
        <v>4082</v>
      </c>
    </row>
    <row r="26" spans="1:30" s="10" customFormat="1" x14ac:dyDescent="0.25">
      <c r="A26" s="37" t="s">
        <v>124</v>
      </c>
      <c r="B26" s="10" t="s">
        <v>129</v>
      </c>
      <c r="C26" s="10" t="s">
        <v>108</v>
      </c>
      <c r="D26" s="10" t="s">
        <v>106</v>
      </c>
      <c r="E26" s="10" t="s">
        <v>0</v>
      </c>
      <c r="F26" s="297"/>
      <c r="G26" s="25"/>
      <c r="H26" s="25"/>
      <c r="I26" s="298"/>
      <c r="J26" s="283"/>
      <c r="K26" s="25"/>
      <c r="L26" s="25"/>
      <c r="M26" s="26"/>
      <c r="N26" s="24"/>
      <c r="O26" s="11"/>
      <c r="P26" s="11"/>
      <c r="Q26" s="11"/>
      <c r="R26" s="11"/>
      <c r="S26" s="11"/>
      <c r="T26" s="11"/>
      <c r="U26" s="27"/>
      <c r="V26" s="12">
        <v>1</v>
      </c>
      <c r="W26" s="12">
        <v>1</v>
      </c>
      <c r="X26" s="12"/>
      <c r="Y26" s="12"/>
      <c r="Z26" s="30"/>
      <c r="AA26" s="393">
        <v>46.169998</v>
      </c>
      <c r="AB26" s="400">
        <v>0</v>
      </c>
      <c r="AC26" s="19" t="s">
        <v>4082</v>
      </c>
    </row>
    <row r="27" spans="1:30" s="10" customFormat="1" x14ac:dyDescent="0.25">
      <c r="A27" s="37" t="s">
        <v>124</v>
      </c>
      <c r="B27" s="10" t="s">
        <v>130</v>
      </c>
      <c r="C27" s="10" t="s">
        <v>108</v>
      </c>
      <c r="D27" s="10" t="s">
        <v>106</v>
      </c>
      <c r="E27" s="10" t="s">
        <v>0</v>
      </c>
      <c r="F27" s="297"/>
      <c r="G27" s="25"/>
      <c r="H27" s="25"/>
      <c r="I27" s="298"/>
      <c r="J27" s="283"/>
      <c r="K27" s="25"/>
      <c r="L27" s="25"/>
      <c r="M27" s="26"/>
      <c r="N27" s="24"/>
      <c r="O27" s="11"/>
      <c r="P27" s="11"/>
      <c r="Q27" s="11"/>
      <c r="R27" s="11"/>
      <c r="S27" s="11"/>
      <c r="T27" s="11"/>
      <c r="U27" s="27"/>
      <c r="V27" s="12">
        <v>1</v>
      </c>
      <c r="W27" s="12">
        <v>1</v>
      </c>
      <c r="X27" s="12"/>
      <c r="Y27" s="12"/>
      <c r="Z27" s="30"/>
      <c r="AA27" s="393">
        <v>69.559997999999993</v>
      </c>
      <c r="AB27" s="400">
        <v>0</v>
      </c>
      <c r="AC27" s="19" t="s">
        <v>4082</v>
      </c>
    </row>
    <row r="28" spans="1:30" s="10" customFormat="1" x14ac:dyDescent="0.25">
      <c r="A28" s="37" t="s">
        <v>124</v>
      </c>
      <c r="B28" s="10" t="s">
        <v>131</v>
      </c>
      <c r="C28" s="10" t="s">
        <v>108</v>
      </c>
      <c r="D28" s="10" t="s">
        <v>106</v>
      </c>
      <c r="E28" s="10" t="s">
        <v>0</v>
      </c>
      <c r="F28" s="297"/>
      <c r="G28" s="25"/>
      <c r="H28" s="25"/>
      <c r="I28" s="298"/>
      <c r="J28" s="283"/>
      <c r="K28" s="25"/>
      <c r="L28" s="25"/>
      <c r="M28" s="26"/>
      <c r="N28" s="24"/>
      <c r="O28" s="11"/>
      <c r="P28" s="11"/>
      <c r="Q28" s="11"/>
      <c r="R28" s="11"/>
      <c r="S28" s="11"/>
      <c r="T28" s="11"/>
      <c r="U28" s="27"/>
      <c r="V28" s="12">
        <v>1</v>
      </c>
      <c r="W28" s="12">
        <v>1</v>
      </c>
      <c r="X28" s="12"/>
      <c r="Y28" s="12"/>
      <c r="Z28" s="30"/>
      <c r="AA28" s="393">
        <v>61.860000999999997</v>
      </c>
      <c r="AB28" s="400">
        <v>0</v>
      </c>
      <c r="AC28" s="19" t="s">
        <v>4082</v>
      </c>
    </row>
    <row r="29" spans="1:30" s="10" customFormat="1" x14ac:dyDescent="0.25">
      <c r="A29" s="37" t="s">
        <v>124</v>
      </c>
      <c r="B29" s="10" t="s">
        <v>132</v>
      </c>
      <c r="C29" s="10" t="s">
        <v>108</v>
      </c>
      <c r="D29" s="10" t="s">
        <v>106</v>
      </c>
      <c r="E29" s="10" t="s">
        <v>0</v>
      </c>
      <c r="F29" s="297"/>
      <c r="G29" s="25"/>
      <c r="H29" s="25"/>
      <c r="I29" s="298"/>
      <c r="J29" s="283"/>
      <c r="K29" s="25"/>
      <c r="L29" s="25"/>
      <c r="M29" s="26"/>
      <c r="N29" s="24"/>
      <c r="O29" s="11"/>
      <c r="P29" s="11"/>
      <c r="Q29" s="11"/>
      <c r="R29" s="11"/>
      <c r="S29" s="11"/>
      <c r="T29" s="11"/>
      <c r="U29" s="27"/>
      <c r="V29" s="12">
        <v>1</v>
      </c>
      <c r="W29" s="12">
        <v>1</v>
      </c>
      <c r="X29" s="12"/>
      <c r="Y29" s="12"/>
      <c r="Z29" s="30"/>
      <c r="AA29" s="393">
        <v>22.59</v>
      </c>
      <c r="AB29" s="400">
        <v>0</v>
      </c>
      <c r="AC29" s="19" t="s">
        <v>4082</v>
      </c>
    </row>
    <row r="30" spans="1:30" s="10" customFormat="1" x14ac:dyDescent="0.25">
      <c r="A30" s="37" t="s">
        <v>124</v>
      </c>
      <c r="B30" s="10" t="s">
        <v>133</v>
      </c>
      <c r="C30" s="10" t="s">
        <v>108</v>
      </c>
      <c r="D30" s="10" t="s">
        <v>106</v>
      </c>
      <c r="E30" s="10" t="s">
        <v>0</v>
      </c>
      <c r="F30" s="297"/>
      <c r="G30" s="25"/>
      <c r="H30" s="25"/>
      <c r="I30" s="298"/>
      <c r="J30" s="283"/>
      <c r="K30" s="25"/>
      <c r="L30" s="25"/>
      <c r="M30" s="26"/>
      <c r="N30" s="24"/>
      <c r="O30" s="11"/>
      <c r="P30" s="11"/>
      <c r="Q30" s="11"/>
      <c r="R30" s="11"/>
      <c r="S30" s="11"/>
      <c r="T30" s="11"/>
      <c r="U30" s="27"/>
      <c r="V30" s="12">
        <v>1</v>
      </c>
      <c r="W30" s="12">
        <v>1</v>
      </c>
      <c r="X30" s="12"/>
      <c r="Y30" s="12"/>
      <c r="Z30" s="30"/>
      <c r="AA30" s="393">
        <v>45.290000999999997</v>
      </c>
      <c r="AB30" s="400">
        <v>0</v>
      </c>
      <c r="AC30" s="19" t="s">
        <v>4082</v>
      </c>
    </row>
    <row r="31" spans="1:30" s="271" customFormat="1" x14ac:dyDescent="0.25">
      <c r="A31" s="270" t="s">
        <v>134</v>
      </c>
      <c r="B31" s="271" t="s">
        <v>135</v>
      </c>
      <c r="C31" s="271" t="s">
        <v>108</v>
      </c>
      <c r="D31" s="271" t="s">
        <v>106</v>
      </c>
      <c r="E31" s="271" t="s">
        <v>0</v>
      </c>
      <c r="F31" s="272">
        <v>1</v>
      </c>
      <c r="G31" s="273">
        <v>79225</v>
      </c>
      <c r="H31" s="273">
        <v>79300</v>
      </c>
      <c r="I31" s="274">
        <v>3</v>
      </c>
      <c r="J31" s="272">
        <v>5</v>
      </c>
      <c r="K31" s="273">
        <v>79225</v>
      </c>
      <c r="L31" s="273">
        <v>79300</v>
      </c>
      <c r="M31" s="274">
        <v>15</v>
      </c>
      <c r="N31" s="272">
        <v>5</v>
      </c>
      <c r="O31" s="275">
        <v>2.504</v>
      </c>
      <c r="P31" s="275">
        <v>79225</v>
      </c>
      <c r="Q31" s="275">
        <v>79222.495999999999</v>
      </c>
      <c r="R31" s="275">
        <v>-79302.504000000001</v>
      </c>
      <c r="S31" s="275">
        <v>-79300</v>
      </c>
      <c r="T31" s="275">
        <v>2.504</v>
      </c>
      <c r="U31" s="276">
        <v>15</v>
      </c>
      <c r="V31" s="277">
        <v>1</v>
      </c>
      <c r="W31" s="277">
        <v>1</v>
      </c>
      <c r="X31" s="277">
        <v>26</v>
      </c>
      <c r="Y31" s="277"/>
      <c r="Z31" s="276"/>
      <c r="AA31" s="392">
        <v>77835</v>
      </c>
      <c r="AB31" s="399">
        <v>0</v>
      </c>
      <c r="AC31" s="280" t="s">
        <v>4082</v>
      </c>
    </row>
    <row r="32" spans="1:30" s="271" customFormat="1" x14ac:dyDescent="0.25">
      <c r="A32" s="270" t="s">
        <v>134</v>
      </c>
      <c r="B32" s="271" t="s">
        <v>136</v>
      </c>
      <c r="C32" s="271" t="s">
        <v>108</v>
      </c>
      <c r="D32" s="271" t="s">
        <v>106</v>
      </c>
      <c r="E32" s="271" t="s">
        <v>0</v>
      </c>
      <c r="F32" s="272">
        <v>1</v>
      </c>
      <c r="G32" s="273">
        <v>79280</v>
      </c>
      <c r="H32" s="273">
        <v>80190</v>
      </c>
      <c r="I32" s="274">
        <v>1</v>
      </c>
      <c r="J32" s="272">
        <v>5</v>
      </c>
      <c r="K32" s="273">
        <v>79280</v>
      </c>
      <c r="L32" s="273">
        <v>80190</v>
      </c>
      <c r="M32" s="274">
        <v>5</v>
      </c>
      <c r="N32" s="272">
        <v>5</v>
      </c>
      <c r="O32" s="275">
        <v>2.504</v>
      </c>
      <c r="P32" s="275">
        <v>79280</v>
      </c>
      <c r="Q32" s="275">
        <v>79277.495999999999</v>
      </c>
      <c r="R32" s="275">
        <v>-80192.504000000001</v>
      </c>
      <c r="S32" s="275">
        <v>-80190</v>
      </c>
      <c r="T32" s="275">
        <v>2.504</v>
      </c>
      <c r="U32" s="276">
        <v>5</v>
      </c>
      <c r="V32" s="277">
        <v>1</v>
      </c>
      <c r="W32" s="277">
        <v>1</v>
      </c>
      <c r="X32" s="277">
        <v>61</v>
      </c>
      <c r="Y32" s="277"/>
      <c r="Z32" s="276"/>
      <c r="AA32" s="392">
        <v>78255</v>
      </c>
      <c r="AB32" s="399">
        <v>0</v>
      </c>
      <c r="AC32" s="280" t="s">
        <v>4082</v>
      </c>
    </row>
    <row r="33" spans="1:29" s="271" customFormat="1" x14ac:dyDescent="0.25">
      <c r="A33" s="270" t="s">
        <v>134</v>
      </c>
      <c r="B33" s="271" t="s">
        <v>137</v>
      </c>
      <c r="C33" s="271" t="s">
        <v>108</v>
      </c>
      <c r="D33" s="271" t="s">
        <v>106</v>
      </c>
      <c r="E33" s="271" t="s">
        <v>0</v>
      </c>
      <c r="F33" s="272">
        <v>17</v>
      </c>
      <c r="G33" s="273">
        <v>45370</v>
      </c>
      <c r="H33" s="273">
        <v>0</v>
      </c>
      <c r="I33" s="274">
        <v>0</v>
      </c>
      <c r="J33" s="272">
        <v>85</v>
      </c>
      <c r="K33" s="273">
        <v>45370</v>
      </c>
      <c r="L33" s="273">
        <v>0</v>
      </c>
      <c r="M33" s="274">
        <v>0</v>
      </c>
      <c r="N33" s="272">
        <v>85</v>
      </c>
      <c r="O33" s="275">
        <v>2.504</v>
      </c>
      <c r="P33" s="275">
        <v>45370</v>
      </c>
      <c r="Q33" s="275">
        <v>45367.495999999999</v>
      </c>
      <c r="R33" s="275">
        <v>-2.504</v>
      </c>
      <c r="S33" s="275">
        <v>0</v>
      </c>
      <c r="T33" s="275">
        <v>2.504</v>
      </c>
      <c r="U33" s="276">
        <v>0</v>
      </c>
      <c r="V33" s="277">
        <v>1</v>
      </c>
      <c r="W33" s="277">
        <v>1</v>
      </c>
      <c r="X33" s="277">
        <v>89</v>
      </c>
      <c r="Y33" s="277"/>
      <c r="Z33" s="276"/>
      <c r="AA33" s="392">
        <v>78590</v>
      </c>
      <c r="AB33" s="399">
        <v>0</v>
      </c>
      <c r="AC33" s="280" t="s">
        <v>4082</v>
      </c>
    </row>
    <row r="34" spans="1:29" s="271" customFormat="1" x14ac:dyDescent="0.25">
      <c r="A34" s="270" t="s">
        <v>134</v>
      </c>
      <c r="B34" s="271" t="s">
        <v>138</v>
      </c>
      <c r="C34" s="271" t="s">
        <v>108</v>
      </c>
      <c r="D34" s="271" t="s">
        <v>106</v>
      </c>
      <c r="E34" s="271" t="s">
        <v>0</v>
      </c>
      <c r="F34" s="272">
        <v>3</v>
      </c>
      <c r="G34" s="273">
        <v>77090</v>
      </c>
      <c r="H34" s="273">
        <v>82585</v>
      </c>
      <c r="I34" s="274">
        <v>3</v>
      </c>
      <c r="J34" s="272">
        <v>15</v>
      </c>
      <c r="K34" s="273">
        <v>77090</v>
      </c>
      <c r="L34" s="273">
        <v>82585</v>
      </c>
      <c r="M34" s="274">
        <v>15</v>
      </c>
      <c r="N34" s="272">
        <v>15</v>
      </c>
      <c r="O34" s="275">
        <v>2.504</v>
      </c>
      <c r="P34" s="275">
        <v>77090</v>
      </c>
      <c r="Q34" s="275">
        <v>77087.495999999999</v>
      </c>
      <c r="R34" s="275">
        <v>-82587.504000000001</v>
      </c>
      <c r="S34" s="275">
        <v>-82585</v>
      </c>
      <c r="T34" s="275">
        <v>2.504</v>
      </c>
      <c r="U34" s="276">
        <v>15</v>
      </c>
      <c r="V34" s="277">
        <v>1</v>
      </c>
      <c r="W34" s="277">
        <v>1</v>
      </c>
      <c r="X34" s="277">
        <v>116</v>
      </c>
      <c r="Y34" s="277"/>
      <c r="Z34" s="276"/>
      <c r="AA34" s="392">
        <v>78925</v>
      </c>
      <c r="AB34" s="399">
        <v>0</v>
      </c>
      <c r="AC34" s="280" t="s">
        <v>4082</v>
      </c>
    </row>
    <row r="35" spans="1:29" s="271" customFormat="1" x14ac:dyDescent="0.25">
      <c r="A35" s="270" t="s">
        <v>134</v>
      </c>
      <c r="B35" s="271" t="s">
        <v>139</v>
      </c>
      <c r="C35" s="271" t="s">
        <v>108</v>
      </c>
      <c r="D35" s="271" t="s">
        <v>106</v>
      </c>
      <c r="E35" s="271" t="s">
        <v>0</v>
      </c>
      <c r="F35" s="272">
        <v>0</v>
      </c>
      <c r="G35" s="273">
        <v>0</v>
      </c>
      <c r="H35" s="273">
        <v>0</v>
      </c>
      <c r="I35" s="274">
        <v>0</v>
      </c>
      <c r="J35" s="272">
        <v>0</v>
      </c>
      <c r="K35" s="273">
        <v>0</v>
      </c>
      <c r="L35" s="273">
        <v>0</v>
      </c>
      <c r="M35" s="274">
        <v>0</v>
      </c>
      <c r="N35" s="272">
        <v>0</v>
      </c>
      <c r="O35" s="275">
        <v>2.504</v>
      </c>
      <c r="P35" s="275">
        <v>0</v>
      </c>
      <c r="Q35" s="275">
        <v>-2.504</v>
      </c>
      <c r="R35" s="275">
        <v>-2.504</v>
      </c>
      <c r="S35" s="275">
        <v>0</v>
      </c>
      <c r="T35" s="275">
        <v>2.504</v>
      </c>
      <c r="U35" s="276">
        <v>0</v>
      </c>
      <c r="V35" s="277">
        <v>1</v>
      </c>
      <c r="W35" s="277">
        <v>1</v>
      </c>
      <c r="X35" s="277">
        <v>152</v>
      </c>
      <c r="Y35" s="277"/>
      <c r="Z35" s="276"/>
      <c r="AA35" s="392">
        <v>79310</v>
      </c>
      <c r="AB35" s="399">
        <v>0</v>
      </c>
      <c r="AC35" s="280" t="s">
        <v>4082</v>
      </c>
    </row>
    <row r="36" spans="1:29" s="271" customFormat="1" x14ac:dyDescent="0.25">
      <c r="A36" s="270" t="s">
        <v>134</v>
      </c>
      <c r="B36" s="271" t="s">
        <v>545</v>
      </c>
      <c r="C36" s="271" t="s">
        <v>108</v>
      </c>
      <c r="D36" s="271" t="s">
        <v>106</v>
      </c>
      <c r="E36" s="271" t="s">
        <v>0</v>
      </c>
      <c r="F36" s="272">
        <v>0</v>
      </c>
      <c r="G36" s="273">
        <v>0</v>
      </c>
      <c r="H36" s="273">
        <v>0</v>
      </c>
      <c r="I36" s="274">
        <v>0</v>
      </c>
      <c r="J36" s="272">
        <v>0</v>
      </c>
      <c r="K36" s="273">
        <v>0</v>
      </c>
      <c r="L36" s="273">
        <v>0</v>
      </c>
      <c r="M36" s="274">
        <v>0</v>
      </c>
      <c r="N36" s="272">
        <v>0</v>
      </c>
      <c r="O36" s="275">
        <v>2.504</v>
      </c>
      <c r="P36" s="275">
        <v>0</v>
      </c>
      <c r="Q36" s="275">
        <v>-2.504</v>
      </c>
      <c r="R36" s="275">
        <v>-2.504</v>
      </c>
      <c r="S36" s="275">
        <v>0</v>
      </c>
      <c r="T36" s="275">
        <v>2.504</v>
      </c>
      <c r="U36" s="276">
        <v>0</v>
      </c>
      <c r="V36" s="277">
        <v>1</v>
      </c>
      <c r="W36" s="277">
        <v>1</v>
      </c>
      <c r="X36" s="277">
        <v>180</v>
      </c>
      <c r="Y36" s="277"/>
      <c r="Z36" s="276"/>
      <c r="AA36" s="392">
        <v>79695</v>
      </c>
      <c r="AB36" s="399">
        <v>0</v>
      </c>
      <c r="AC36" s="280" t="s">
        <v>4082</v>
      </c>
    </row>
    <row r="37" spans="1:29" s="10" customFormat="1" x14ac:dyDescent="0.25">
      <c r="A37" s="37" t="s">
        <v>134</v>
      </c>
      <c r="B37" s="10" t="s">
        <v>140</v>
      </c>
      <c r="C37" s="10" t="s">
        <v>108</v>
      </c>
      <c r="D37" s="10" t="s">
        <v>106</v>
      </c>
      <c r="E37" s="10" t="s">
        <v>0</v>
      </c>
      <c r="F37" s="28">
        <v>2</v>
      </c>
      <c r="G37" s="25">
        <v>2518.5</v>
      </c>
      <c r="H37" s="25">
        <v>2522</v>
      </c>
      <c r="I37" s="29">
        <v>1</v>
      </c>
      <c r="J37" s="28">
        <v>100</v>
      </c>
      <c r="K37" s="25">
        <v>2518.5</v>
      </c>
      <c r="L37" s="25">
        <v>2522</v>
      </c>
      <c r="M37" s="29">
        <v>50</v>
      </c>
      <c r="N37" s="28">
        <v>100</v>
      </c>
      <c r="O37" s="11">
        <v>0.1704</v>
      </c>
      <c r="P37" s="11">
        <v>2518.5</v>
      </c>
      <c r="Q37" s="11">
        <v>2518.3296</v>
      </c>
      <c r="R37" s="11">
        <v>-2522.1704</v>
      </c>
      <c r="S37" s="11">
        <v>-2522</v>
      </c>
      <c r="T37" s="11">
        <v>0.1704</v>
      </c>
      <c r="U37" s="30">
        <v>50</v>
      </c>
      <c r="V37" s="12">
        <v>1</v>
      </c>
      <c r="W37" s="12">
        <v>1</v>
      </c>
      <c r="X37" s="12">
        <v>26</v>
      </c>
      <c r="Y37" s="12"/>
      <c r="Z37" s="30"/>
      <c r="AA37" s="393">
        <v>2446.5</v>
      </c>
      <c r="AB37" s="400">
        <v>0</v>
      </c>
      <c r="AC37" s="19" t="s">
        <v>4082</v>
      </c>
    </row>
    <row r="38" spans="1:29" s="10" customFormat="1" x14ac:dyDescent="0.25">
      <c r="A38" s="37" t="s">
        <v>134</v>
      </c>
      <c r="B38" s="10" t="s">
        <v>141</v>
      </c>
      <c r="C38" s="10" t="s">
        <v>108</v>
      </c>
      <c r="D38" s="10" t="s">
        <v>106</v>
      </c>
      <c r="E38" s="10" t="s">
        <v>0</v>
      </c>
      <c r="F38" s="28">
        <v>1</v>
      </c>
      <c r="G38" s="25">
        <v>2507</v>
      </c>
      <c r="H38" s="25">
        <v>2551.5</v>
      </c>
      <c r="I38" s="29">
        <v>1</v>
      </c>
      <c r="J38" s="28">
        <v>50</v>
      </c>
      <c r="K38" s="25">
        <v>2507</v>
      </c>
      <c r="L38" s="25">
        <v>2551.5</v>
      </c>
      <c r="M38" s="29">
        <v>50</v>
      </c>
      <c r="N38" s="28">
        <v>50</v>
      </c>
      <c r="O38" s="11">
        <v>0.1704</v>
      </c>
      <c r="P38" s="11">
        <v>2507</v>
      </c>
      <c r="Q38" s="11">
        <v>2506.8296</v>
      </c>
      <c r="R38" s="11">
        <v>-2551.6704</v>
      </c>
      <c r="S38" s="11">
        <v>-2551.5</v>
      </c>
      <c r="T38" s="11">
        <v>0.1704</v>
      </c>
      <c r="U38" s="30">
        <v>50</v>
      </c>
      <c r="V38" s="12">
        <v>1</v>
      </c>
      <c r="W38" s="12">
        <v>1</v>
      </c>
      <c r="X38" s="12">
        <v>61</v>
      </c>
      <c r="Y38" s="12"/>
      <c r="Z38" s="30"/>
      <c r="AA38" s="393">
        <v>2458</v>
      </c>
      <c r="AB38" s="400">
        <v>0</v>
      </c>
      <c r="AC38" s="19" t="s">
        <v>4082</v>
      </c>
    </row>
    <row r="39" spans="1:29" s="10" customFormat="1" x14ac:dyDescent="0.25">
      <c r="A39" s="37" t="s">
        <v>134</v>
      </c>
      <c r="B39" s="10" t="s">
        <v>142</v>
      </c>
      <c r="C39" s="10" t="s">
        <v>108</v>
      </c>
      <c r="D39" s="10" t="s">
        <v>106</v>
      </c>
      <c r="E39" s="10" t="s">
        <v>0</v>
      </c>
      <c r="F39" s="28">
        <v>0</v>
      </c>
      <c r="G39" s="25">
        <v>-1</v>
      </c>
      <c r="H39" s="25">
        <v>-1</v>
      </c>
      <c r="I39" s="29">
        <v>0</v>
      </c>
      <c r="J39" s="28">
        <v>0</v>
      </c>
      <c r="K39" s="25">
        <v>-1</v>
      </c>
      <c r="L39" s="25">
        <v>-1</v>
      </c>
      <c r="M39" s="29">
        <v>0</v>
      </c>
      <c r="N39" s="28">
        <v>0</v>
      </c>
      <c r="O39" s="11">
        <v>0.1704</v>
      </c>
      <c r="P39" s="11">
        <v>-1</v>
      </c>
      <c r="Q39" s="11">
        <v>-1.1703999999999999</v>
      </c>
      <c r="R39" s="11">
        <v>0.8296</v>
      </c>
      <c r="S39" s="11">
        <v>1</v>
      </c>
      <c r="T39" s="11">
        <v>0.1704</v>
      </c>
      <c r="U39" s="30">
        <v>0</v>
      </c>
      <c r="V39" s="12">
        <v>1</v>
      </c>
      <c r="W39" s="12">
        <v>1</v>
      </c>
      <c r="X39" s="12">
        <v>89</v>
      </c>
      <c r="Y39" s="12"/>
      <c r="Z39" s="30"/>
      <c r="AA39" s="393">
        <v>2469</v>
      </c>
      <c r="AB39" s="400">
        <v>0</v>
      </c>
      <c r="AC39" s="19" t="s">
        <v>4082</v>
      </c>
    </row>
    <row r="40" spans="1:29" s="10" customFormat="1" x14ac:dyDescent="0.25">
      <c r="A40" s="37" t="s">
        <v>134</v>
      </c>
      <c r="B40" s="10" t="s">
        <v>143</v>
      </c>
      <c r="C40" s="10" t="s">
        <v>108</v>
      </c>
      <c r="D40" s="10" t="s">
        <v>106</v>
      </c>
      <c r="E40" s="10" t="s">
        <v>0</v>
      </c>
      <c r="F40" s="28">
        <v>15</v>
      </c>
      <c r="G40" s="25">
        <v>2368</v>
      </c>
      <c r="H40" s="25">
        <v>2711</v>
      </c>
      <c r="I40" s="29">
        <v>15</v>
      </c>
      <c r="J40" s="28">
        <v>750</v>
      </c>
      <c r="K40" s="25">
        <v>2368</v>
      </c>
      <c r="L40" s="25">
        <v>2711</v>
      </c>
      <c r="M40" s="29">
        <v>750</v>
      </c>
      <c r="N40" s="28">
        <v>750</v>
      </c>
      <c r="O40" s="11">
        <v>0.1704</v>
      </c>
      <c r="P40" s="11">
        <v>2368</v>
      </c>
      <c r="Q40" s="11">
        <v>2367.8296</v>
      </c>
      <c r="R40" s="11">
        <v>-2711.1704</v>
      </c>
      <c r="S40" s="11">
        <v>-2711</v>
      </c>
      <c r="T40" s="11">
        <v>0.1704</v>
      </c>
      <c r="U40" s="30">
        <v>750</v>
      </c>
      <c r="V40" s="12">
        <v>1</v>
      </c>
      <c r="W40" s="12">
        <v>1</v>
      </c>
      <c r="X40" s="12">
        <v>116</v>
      </c>
      <c r="Y40" s="12"/>
      <c r="Z40" s="30"/>
      <c r="AA40" s="393">
        <v>2480</v>
      </c>
      <c r="AB40" s="400">
        <v>0</v>
      </c>
      <c r="AC40" s="19" t="s">
        <v>4082</v>
      </c>
    </row>
    <row r="41" spans="1:29" s="10" customFormat="1" x14ac:dyDescent="0.25">
      <c r="A41" s="37" t="s">
        <v>134</v>
      </c>
      <c r="B41" s="10" t="s">
        <v>546</v>
      </c>
      <c r="C41" s="10" t="s">
        <v>108</v>
      </c>
      <c r="D41" s="10" t="s">
        <v>106</v>
      </c>
      <c r="E41" s="10" t="s">
        <v>0</v>
      </c>
      <c r="F41" s="28">
        <v>0</v>
      </c>
      <c r="G41" s="25">
        <v>-1</v>
      </c>
      <c r="H41" s="25">
        <v>-1</v>
      </c>
      <c r="I41" s="29">
        <v>0</v>
      </c>
      <c r="J41" s="28">
        <v>0</v>
      </c>
      <c r="K41" s="25">
        <v>-1</v>
      </c>
      <c r="L41" s="25">
        <v>-1</v>
      </c>
      <c r="M41" s="29">
        <v>0</v>
      </c>
      <c r="N41" s="28">
        <v>0</v>
      </c>
      <c r="O41" s="11">
        <v>0.1704</v>
      </c>
      <c r="P41" s="11">
        <v>-1</v>
      </c>
      <c r="Q41" s="11">
        <v>-1.1703999999999999</v>
      </c>
      <c r="R41" s="11">
        <v>0.8296</v>
      </c>
      <c r="S41" s="11">
        <v>1</v>
      </c>
      <c r="T41" s="11">
        <v>0.1704</v>
      </c>
      <c r="U41" s="30">
        <v>0</v>
      </c>
      <c r="V41" s="12">
        <v>1</v>
      </c>
      <c r="W41" s="12">
        <v>1</v>
      </c>
      <c r="X41" s="12">
        <v>152</v>
      </c>
      <c r="Y41" s="12"/>
      <c r="Z41" s="30"/>
      <c r="AA41" s="393">
        <v>2492.5</v>
      </c>
      <c r="AB41" s="400">
        <v>0</v>
      </c>
      <c r="AC41" s="19" t="s">
        <v>4082</v>
      </c>
    </row>
    <row r="42" spans="1:29" s="10" customFormat="1" x14ac:dyDescent="0.25">
      <c r="A42" s="37" t="s">
        <v>134</v>
      </c>
      <c r="B42" s="10" t="s">
        <v>547</v>
      </c>
      <c r="C42" s="10" t="s">
        <v>108</v>
      </c>
      <c r="D42" s="10" t="s">
        <v>106</v>
      </c>
      <c r="E42" s="10" t="s">
        <v>0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1</v>
      </c>
      <c r="W42" s="12">
        <v>1</v>
      </c>
      <c r="X42" s="12">
        <v>180</v>
      </c>
      <c r="Y42" s="12"/>
      <c r="Z42" s="30"/>
      <c r="AA42" s="393">
        <v>2505</v>
      </c>
      <c r="AB42" s="400">
        <v>0</v>
      </c>
      <c r="AC42" s="19" t="s">
        <v>4082</v>
      </c>
    </row>
    <row r="43" spans="1:29" s="271" customFormat="1" x14ac:dyDescent="0.25">
      <c r="A43" s="270" t="s">
        <v>144</v>
      </c>
      <c r="B43" s="271" t="s">
        <v>145</v>
      </c>
      <c r="C43" s="271" t="s">
        <v>108</v>
      </c>
      <c r="D43" s="271" t="s">
        <v>106</v>
      </c>
      <c r="E43" s="271" t="s">
        <v>0</v>
      </c>
      <c r="F43" s="272"/>
      <c r="G43" s="273"/>
      <c r="H43" s="273"/>
      <c r="I43" s="274"/>
      <c r="J43" s="272"/>
      <c r="K43" s="273"/>
      <c r="L43" s="273"/>
      <c r="M43" s="274"/>
      <c r="N43" s="272"/>
      <c r="O43" s="275"/>
      <c r="P43" s="275"/>
      <c r="Q43" s="275"/>
      <c r="R43" s="275"/>
      <c r="S43" s="275"/>
      <c r="T43" s="275"/>
      <c r="U43" s="276"/>
      <c r="V43" s="277">
        <v>1</v>
      </c>
      <c r="W43" s="277">
        <v>1</v>
      </c>
      <c r="X43" s="277"/>
      <c r="Y43" s="277">
        <v>26</v>
      </c>
      <c r="Z43" s="276">
        <v>61</v>
      </c>
      <c r="AA43" s="392">
        <v>420</v>
      </c>
      <c r="AB43" s="399"/>
      <c r="AC43" s="280" t="s">
        <v>4082</v>
      </c>
    </row>
    <row r="44" spans="1:29" s="271" customFormat="1" x14ac:dyDescent="0.25">
      <c r="A44" s="270" t="s">
        <v>144</v>
      </c>
      <c r="B44" s="271" t="s">
        <v>146</v>
      </c>
      <c r="C44" s="271" t="s">
        <v>108</v>
      </c>
      <c r="D44" s="271" t="s">
        <v>106</v>
      </c>
      <c r="E44" s="271" t="s">
        <v>0</v>
      </c>
      <c r="F44" s="272"/>
      <c r="G44" s="273"/>
      <c r="H44" s="273"/>
      <c r="I44" s="274"/>
      <c r="J44" s="272"/>
      <c r="K44" s="273"/>
      <c r="L44" s="273"/>
      <c r="M44" s="274"/>
      <c r="N44" s="272"/>
      <c r="O44" s="275"/>
      <c r="P44" s="275"/>
      <c r="Q44" s="275"/>
      <c r="R44" s="275"/>
      <c r="S44" s="275"/>
      <c r="T44" s="275"/>
      <c r="U44" s="276"/>
      <c r="V44" s="277">
        <v>1</v>
      </c>
      <c r="W44" s="277">
        <v>1</v>
      </c>
      <c r="X44" s="277"/>
      <c r="Y44" s="277">
        <v>26</v>
      </c>
      <c r="Z44" s="276">
        <v>89</v>
      </c>
      <c r="AA44" s="392">
        <v>755</v>
      </c>
      <c r="AB44" s="399"/>
      <c r="AC44" s="280" t="s">
        <v>4082</v>
      </c>
    </row>
    <row r="45" spans="1:29" s="271" customFormat="1" x14ac:dyDescent="0.25">
      <c r="A45" s="270" t="s">
        <v>144</v>
      </c>
      <c r="B45" s="271" t="s">
        <v>147</v>
      </c>
      <c r="C45" s="271" t="s">
        <v>108</v>
      </c>
      <c r="D45" s="271" t="s">
        <v>106</v>
      </c>
      <c r="E45" s="271" t="s">
        <v>0</v>
      </c>
      <c r="F45" s="272">
        <v>3</v>
      </c>
      <c r="G45" s="273">
        <v>-2210</v>
      </c>
      <c r="H45" s="273">
        <v>3360</v>
      </c>
      <c r="I45" s="274">
        <v>1</v>
      </c>
      <c r="J45" s="272">
        <v>3</v>
      </c>
      <c r="K45" s="273">
        <v>-2210</v>
      </c>
      <c r="L45" s="273">
        <v>3360</v>
      </c>
      <c r="M45" s="274">
        <v>1</v>
      </c>
      <c r="N45" s="272">
        <v>3</v>
      </c>
      <c r="O45" s="275">
        <v>25.04</v>
      </c>
      <c r="P45" s="275">
        <v>-2210</v>
      </c>
      <c r="Q45" s="275"/>
      <c r="R45" s="275"/>
      <c r="S45" s="275">
        <v>-3360</v>
      </c>
      <c r="T45" s="275">
        <v>25.04</v>
      </c>
      <c r="U45" s="276">
        <v>1</v>
      </c>
      <c r="V45" s="277">
        <v>1</v>
      </c>
      <c r="W45" s="277">
        <v>1</v>
      </c>
      <c r="X45" s="277"/>
      <c r="Y45" s="277">
        <v>26</v>
      </c>
      <c r="Z45" s="276">
        <v>116</v>
      </c>
      <c r="AA45" s="392">
        <v>1090</v>
      </c>
      <c r="AB45" s="399"/>
      <c r="AC45" s="280" t="s">
        <v>4082</v>
      </c>
    </row>
    <row r="46" spans="1:29" s="271" customFormat="1" x14ac:dyDescent="0.25">
      <c r="A46" s="270" t="s">
        <v>144</v>
      </c>
      <c r="B46" s="271" t="s">
        <v>148</v>
      </c>
      <c r="C46" s="271" t="s">
        <v>108</v>
      </c>
      <c r="D46" s="271" t="s">
        <v>106</v>
      </c>
      <c r="E46" s="271" t="s">
        <v>0</v>
      </c>
      <c r="F46" s="272"/>
      <c r="G46" s="273"/>
      <c r="H46" s="273"/>
      <c r="I46" s="274"/>
      <c r="J46" s="272"/>
      <c r="K46" s="273"/>
      <c r="L46" s="273"/>
      <c r="M46" s="274"/>
      <c r="N46" s="272"/>
      <c r="O46" s="275"/>
      <c r="P46" s="275"/>
      <c r="Q46" s="275"/>
      <c r="R46" s="275"/>
      <c r="S46" s="275"/>
      <c r="T46" s="275"/>
      <c r="U46" s="276"/>
      <c r="V46" s="277">
        <v>1</v>
      </c>
      <c r="W46" s="277">
        <v>1</v>
      </c>
      <c r="X46" s="277"/>
      <c r="Y46" s="277">
        <v>26</v>
      </c>
      <c r="Z46" s="276">
        <v>152</v>
      </c>
      <c r="AA46" s="392">
        <v>1475</v>
      </c>
      <c r="AB46" s="399"/>
      <c r="AC46" s="280" t="s">
        <v>4082</v>
      </c>
    </row>
    <row r="47" spans="1:29" s="271" customFormat="1" x14ac:dyDescent="0.25">
      <c r="A47" s="270" t="s">
        <v>144</v>
      </c>
      <c r="B47" s="271" t="s">
        <v>548</v>
      </c>
      <c r="C47" s="271" t="s">
        <v>108</v>
      </c>
      <c r="D47" s="271" t="s">
        <v>106</v>
      </c>
      <c r="E47" s="271" t="s">
        <v>0</v>
      </c>
      <c r="F47" s="272"/>
      <c r="G47" s="273"/>
      <c r="H47" s="273"/>
      <c r="I47" s="274"/>
      <c r="J47" s="272"/>
      <c r="K47" s="273"/>
      <c r="L47" s="273"/>
      <c r="M47" s="274"/>
      <c r="N47" s="272"/>
      <c r="O47" s="275"/>
      <c r="P47" s="275"/>
      <c r="Q47" s="275"/>
      <c r="R47" s="275"/>
      <c r="S47" s="275"/>
      <c r="T47" s="275"/>
      <c r="U47" s="276"/>
      <c r="V47" s="277">
        <v>1</v>
      </c>
      <c r="W47" s="277">
        <v>1</v>
      </c>
      <c r="X47" s="277"/>
      <c r="Y47" s="277">
        <v>26</v>
      </c>
      <c r="Z47" s="276">
        <v>180</v>
      </c>
      <c r="AA47" s="392">
        <v>1860</v>
      </c>
      <c r="AB47" s="399"/>
      <c r="AC47" s="280" t="s">
        <v>4082</v>
      </c>
    </row>
    <row r="48" spans="1:29" s="271" customFormat="1" x14ac:dyDescent="0.25">
      <c r="A48" s="270" t="s">
        <v>144</v>
      </c>
      <c r="B48" s="271" t="s">
        <v>149</v>
      </c>
      <c r="C48" s="271" t="s">
        <v>108</v>
      </c>
      <c r="D48" s="271" t="s">
        <v>106</v>
      </c>
      <c r="E48" s="271" t="s">
        <v>0</v>
      </c>
      <c r="F48" s="272"/>
      <c r="G48" s="273"/>
      <c r="H48" s="273"/>
      <c r="I48" s="274"/>
      <c r="J48" s="272"/>
      <c r="K48" s="273"/>
      <c r="L48" s="273"/>
      <c r="M48" s="274"/>
      <c r="N48" s="272"/>
      <c r="O48" s="275"/>
      <c r="P48" s="275"/>
      <c r="Q48" s="275"/>
      <c r="R48" s="275"/>
      <c r="S48" s="275"/>
      <c r="T48" s="275"/>
      <c r="U48" s="276"/>
      <c r="V48" s="277">
        <v>1</v>
      </c>
      <c r="W48" s="277">
        <v>1</v>
      </c>
      <c r="X48" s="277"/>
      <c r="Y48" s="277">
        <v>61</v>
      </c>
      <c r="Z48" s="276">
        <v>89</v>
      </c>
      <c r="AA48" s="392">
        <v>335</v>
      </c>
      <c r="AB48" s="399"/>
      <c r="AC48" s="280" t="s">
        <v>4082</v>
      </c>
    </row>
    <row r="49" spans="1:29" s="271" customFormat="1" x14ac:dyDescent="0.25">
      <c r="A49" s="270" t="s">
        <v>144</v>
      </c>
      <c r="B49" s="271" t="s">
        <v>150</v>
      </c>
      <c r="C49" s="271" t="s">
        <v>108</v>
      </c>
      <c r="D49" s="271" t="s">
        <v>106</v>
      </c>
      <c r="E49" s="271" t="s">
        <v>0</v>
      </c>
      <c r="F49" s="272">
        <v>1</v>
      </c>
      <c r="G49" s="273">
        <v>-3100</v>
      </c>
      <c r="H49" s="273">
        <v>3305</v>
      </c>
      <c r="I49" s="274">
        <v>1</v>
      </c>
      <c r="J49" s="272">
        <v>1</v>
      </c>
      <c r="K49" s="273">
        <v>-3100</v>
      </c>
      <c r="L49" s="273">
        <v>3305</v>
      </c>
      <c r="M49" s="274">
        <v>1</v>
      </c>
      <c r="N49" s="272">
        <v>1</v>
      </c>
      <c r="O49" s="275">
        <v>25.04</v>
      </c>
      <c r="P49" s="275">
        <v>-3100</v>
      </c>
      <c r="Q49" s="275"/>
      <c r="R49" s="275"/>
      <c r="S49" s="275">
        <v>-3305</v>
      </c>
      <c r="T49" s="275">
        <v>25.04</v>
      </c>
      <c r="U49" s="276">
        <v>1</v>
      </c>
      <c r="V49" s="277">
        <v>1</v>
      </c>
      <c r="W49" s="277">
        <v>1</v>
      </c>
      <c r="X49" s="277"/>
      <c r="Y49" s="277">
        <v>61</v>
      </c>
      <c r="Z49" s="276">
        <v>116</v>
      </c>
      <c r="AA49" s="392">
        <v>670</v>
      </c>
      <c r="AB49" s="399"/>
      <c r="AC49" s="280" t="s">
        <v>4082</v>
      </c>
    </row>
    <row r="50" spans="1:29" s="271" customFormat="1" x14ac:dyDescent="0.25">
      <c r="A50" s="270" t="s">
        <v>144</v>
      </c>
      <c r="B50" s="271" t="s">
        <v>151</v>
      </c>
      <c r="C50" s="271" t="s">
        <v>108</v>
      </c>
      <c r="D50" s="271" t="s">
        <v>106</v>
      </c>
      <c r="E50" s="271" t="s">
        <v>0</v>
      </c>
      <c r="F50" s="272"/>
      <c r="G50" s="273"/>
      <c r="H50" s="273"/>
      <c r="I50" s="274"/>
      <c r="J50" s="272"/>
      <c r="K50" s="273"/>
      <c r="L50" s="273"/>
      <c r="M50" s="274"/>
      <c r="N50" s="272"/>
      <c r="O50" s="275"/>
      <c r="P50" s="275"/>
      <c r="Q50" s="275"/>
      <c r="R50" s="275"/>
      <c r="S50" s="275"/>
      <c r="T50" s="275"/>
      <c r="U50" s="276"/>
      <c r="V50" s="277">
        <v>1</v>
      </c>
      <c r="W50" s="277">
        <v>1</v>
      </c>
      <c r="X50" s="277"/>
      <c r="Y50" s="277">
        <v>61</v>
      </c>
      <c r="Z50" s="276">
        <v>152</v>
      </c>
      <c r="AA50" s="392">
        <v>1055</v>
      </c>
      <c r="AB50" s="399"/>
      <c r="AC50" s="280" t="s">
        <v>4082</v>
      </c>
    </row>
    <row r="51" spans="1:29" s="271" customFormat="1" x14ac:dyDescent="0.25">
      <c r="A51" s="270" t="s">
        <v>144</v>
      </c>
      <c r="B51" s="271" t="s">
        <v>549</v>
      </c>
      <c r="C51" s="271" t="s">
        <v>108</v>
      </c>
      <c r="D51" s="271" t="s">
        <v>106</v>
      </c>
      <c r="E51" s="271" t="s">
        <v>0</v>
      </c>
      <c r="F51" s="272"/>
      <c r="G51" s="273"/>
      <c r="H51" s="273"/>
      <c r="I51" s="274"/>
      <c r="J51" s="272"/>
      <c r="K51" s="273"/>
      <c r="L51" s="273"/>
      <c r="M51" s="274"/>
      <c r="N51" s="272"/>
      <c r="O51" s="275"/>
      <c r="P51" s="275"/>
      <c r="Q51" s="275"/>
      <c r="R51" s="275"/>
      <c r="S51" s="275"/>
      <c r="T51" s="275"/>
      <c r="U51" s="276"/>
      <c r="V51" s="277">
        <v>1</v>
      </c>
      <c r="W51" s="277">
        <v>1</v>
      </c>
      <c r="X51" s="277"/>
      <c r="Y51" s="277">
        <v>61</v>
      </c>
      <c r="Z51" s="276">
        <v>180</v>
      </c>
      <c r="AA51" s="392">
        <v>1440</v>
      </c>
      <c r="AB51" s="399"/>
      <c r="AC51" s="280" t="s">
        <v>4082</v>
      </c>
    </row>
    <row r="52" spans="1:29" s="271" customFormat="1" x14ac:dyDescent="0.25">
      <c r="A52" s="270" t="s">
        <v>144</v>
      </c>
      <c r="B52" s="271" t="s">
        <v>152</v>
      </c>
      <c r="C52" s="271" t="s">
        <v>108</v>
      </c>
      <c r="D52" s="271" t="s">
        <v>106</v>
      </c>
      <c r="E52" s="271" t="s">
        <v>0</v>
      </c>
      <c r="F52" s="272"/>
      <c r="G52" s="273"/>
      <c r="H52" s="273"/>
      <c r="I52" s="274"/>
      <c r="J52" s="272"/>
      <c r="K52" s="273"/>
      <c r="L52" s="273"/>
      <c r="M52" s="274"/>
      <c r="N52" s="272"/>
      <c r="O52" s="275"/>
      <c r="P52" s="275"/>
      <c r="Q52" s="275"/>
      <c r="R52" s="275"/>
      <c r="S52" s="275"/>
      <c r="T52" s="275"/>
      <c r="U52" s="276"/>
      <c r="V52" s="277">
        <v>1</v>
      </c>
      <c r="W52" s="277">
        <v>1</v>
      </c>
      <c r="X52" s="277"/>
      <c r="Y52" s="277">
        <v>89</v>
      </c>
      <c r="Z52" s="276">
        <v>116</v>
      </c>
      <c r="AA52" s="392">
        <v>335</v>
      </c>
      <c r="AB52" s="399"/>
      <c r="AC52" s="280" t="s">
        <v>4082</v>
      </c>
    </row>
    <row r="53" spans="1:29" s="271" customFormat="1" x14ac:dyDescent="0.25">
      <c r="A53" s="270" t="s">
        <v>144</v>
      </c>
      <c r="B53" s="271" t="s">
        <v>153</v>
      </c>
      <c r="C53" s="271" t="s">
        <v>108</v>
      </c>
      <c r="D53" s="271" t="s">
        <v>106</v>
      </c>
      <c r="E53" s="271" t="s">
        <v>0</v>
      </c>
      <c r="F53" s="272"/>
      <c r="G53" s="273"/>
      <c r="H53" s="273"/>
      <c r="I53" s="274"/>
      <c r="J53" s="272"/>
      <c r="K53" s="273"/>
      <c r="L53" s="273"/>
      <c r="M53" s="274"/>
      <c r="N53" s="272"/>
      <c r="O53" s="275"/>
      <c r="P53" s="275"/>
      <c r="Q53" s="275"/>
      <c r="R53" s="275"/>
      <c r="S53" s="275"/>
      <c r="T53" s="275"/>
      <c r="U53" s="276"/>
      <c r="V53" s="277">
        <v>1</v>
      </c>
      <c r="W53" s="277">
        <v>1</v>
      </c>
      <c r="X53" s="277"/>
      <c r="Y53" s="277">
        <v>89</v>
      </c>
      <c r="Z53" s="276">
        <v>152</v>
      </c>
      <c r="AA53" s="392">
        <v>720</v>
      </c>
      <c r="AB53" s="399"/>
      <c r="AC53" s="280" t="s">
        <v>4082</v>
      </c>
    </row>
    <row r="54" spans="1:29" s="271" customFormat="1" x14ac:dyDescent="0.25">
      <c r="A54" s="270" t="s">
        <v>144</v>
      </c>
      <c r="B54" s="271" t="s">
        <v>550</v>
      </c>
      <c r="C54" s="271" t="s">
        <v>108</v>
      </c>
      <c r="D54" s="271" t="s">
        <v>106</v>
      </c>
      <c r="E54" s="271" t="s">
        <v>0</v>
      </c>
      <c r="F54" s="272"/>
      <c r="G54" s="273"/>
      <c r="H54" s="273"/>
      <c r="I54" s="274"/>
      <c r="J54" s="272"/>
      <c r="K54" s="273"/>
      <c r="L54" s="273"/>
      <c r="M54" s="274"/>
      <c r="N54" s="272"/>
      <c r="O54" s="275"/>
      <c r="P54" s="275"/>
      <c r="Q54" s="275"/>
      <c r="R54" s="275"/>
      <c r="S54" s="275"/>
      <c r="T54" s="275"/>
      <c r="U54" s="276"/>
      <c r="V54" s="277">
        <v>1</v>
      </c>
      <c r="W54" s="277">
        <v>1</v>
      </c>
      <c r="X54" s="277"/>
      <c r="Y54" s="277">
        <v>89</v>
      </c>
      <c r="Z54" s="276">
        <v>180</v>
      </c>
      <c r="AA54" s="392">
        <v>1105</v>
      </c>
      <c r="AB54" s="399"/>
      <c r="AC54" s="280" t="s">
        <v>4082</v>
      </c>
    </row>
    <row r="55" spans="1:29" s="271" customFormat="1" x14ac:dyDescent="0.25">
      <c r="A55" s="270" t="s">
        <v>144</v>
      </c>
      <c r="B55" s="271" t="s">
        <v>154</v>
      </c>
      <c r="C55" s="271" t="s">
        <v>108</v>
      </c>
      <c r="D55" s="271" t="s">
        <v>106</v>
      </c>
      <c r="E55" s="271" t="s">
        <v>0</v>
      </c>
      <c r="F55" s="272"/>
      <c r="G55" s="273"/>
      <c r="H55" s="273"/>
      <c r="I55" s="274"/>
      <c r="J55" s="272"/>
      <c r="K55" s="273"/>
      <c r="L55" s="273"/>
      <c r="M55" s="274"/>
      <c r="N55" s="272"/>
      <c r="O55" s="275"/>
      <c r="P55" s="275"/>
      <c r="Q55" s="275"/>
      <c r="R55" s="275"/>
      <c r="S55" s="275"/>
      <c r="T55" s="275"/>
      <c r="U55" s="276"/>
      <c r="V55" s="277">
        <v>1</v>
      </c>
      <c r="W55" s="277">
        <v>1</v>
      </c>
      <c r="X55" s="277"/>
      <c r="Y55" s="277">
        <v>116</v>
      </c>
      <c r="Z55" s="276">
        <v>152</v>
      </c>
      <c r="AA55" s="392">
        <v>385</v>
      </c>
      <c r="AB55" s="399"/>
      <c r="AC55" s="280" t="s">
        <v>4082</v>
      </c>
    </row>
    <row r="56" spans="1:29" s="271" customFormat="1" x14ac:dyDescent="0.25">
      <c r="A56" s="270" t="s">
        <v>144</v>
      </c>
      <c r="B56" s="271" t="s">
        <v>551</v>
      </c>
      <c r="C56" s="271" t="s">
        <v>108</v>
      </c>
      <c r="D56" s="271" t="s">
        <v>106</v>
      </c>
      <c r="E56" s="271" t="s">
        <v>0</v>
      </c>
      <c r="F56" s="272"/>
      <c r="G56" s="273"/>
      <c r="H56" s="273"/>
      <c r="I56" s="274"/>
      <c r="J56" s="272"/>
      <c r="K56" s="273"/>
      <c r="L56" s="273"/>
      <c r="M56" s="274"/>
      <c r="N56" s="272"/>
      <c r="O56" s="275"/>
      <c r="P56" s="275"/>
      <c r="Q56" s="275"/>
      <c r="R56" s="275"/>
      <c r="S56" s="275"/>
      <c r="T56" s="275"/>
      <c r="U56" s="276"/>
      <c r="V56" s="277">
        <v>1</v>
      </c>
      <c r="W56" s="277">
        <v>1</v>
      </c>
      <c r="X56" s="277"/>
      <c r="Y56" s="277">
        <v>116</v>
      </c>
      <c r="Z56" s="276">
        <v>180</v>
      </c>
      <c r="AA56" s="392">
        <v>770</v>
      </c>
      <c r="AB56" s="399"/>
      <c r="AC56" s="280" t="s">
        <v>4082</v>
      </c>
    </row>
    <row r="57" spans="1:29" s="271" customFormat="1" x14ac:dyDescent="0.25">
      <c r="A57" s="270" t="s">
        <v>144</v>
      </c>
      <c r="B57" s="271" t="s">
        <v>552</v>
      </c>
      <c r="C57" s="271" t="s">
        <v>108</v>
      </c>
      <c r="D57" s="271" t="s">
        <v>106</v>
      </c>
      <c r="E57" s="271" t="s">
        <v>0</v>
      </c>
      <c r="F57" s="272"/>
      <c r="G57" s="273"/>
      <c r="H57" s="273"/>
      <c r="I57" s="274"/>
      <c r="J57" s="272"/>
      <c r="K57" s="273"/>
      <c r="L57" s="273"/>
      <c r="M57" s="274"/>
      <c r="N57" s="272"/>
      <c r="O57" s="275"/>
      <c r="P57" s="275"/>
      <c r="Q57" s="275"/>
      <c r="R57" s="275"/>
      <c r="S57" s="275"/>
      <c r="T57" s="275"/>
      <c r="U57" s="276"/>
      <c r="V57" s="277">
        <v>1</v>
      </c>
      <c r="W57" s="277">
        <v>1</v>
      </c>
      <c r="X57" s="277"/>
      <c r="Y57" s="277">
        <v>152</v>
      </c>
      <c r="Z57" s="276">
        <v>180</v>
      </c>
      <c r="AA57" s="392">
        <v>385</v>
      </c>
      <c r="AB57" s="399"/>
      <c r="AC57" s="280" t="s">
        <v>4082</v>
      </c>
    </row>
    <row r="58" spans="1:29" s="10" customFormat="1" x14ac:dyDescent="0.25">
      <c r="A58" s="37" t="s">
        <v>144</v>
      </c>
      <c r="B58" s="10" t="s">
        <v>155</v>
      </c>
      <c r="C58" s="10" t="s">
        <v>108</v>
      </c>
      <c r="D58" s="10" t="s">
        <v>106</v>
      </c>
      <c r="E58" s="10" t="s">
        <v>0</v>
      </c>
      <c r="F58" s="28">
        <v>1</v>
      </c>
      <c r="G58" s="25">
        <v>10.85</v>
      </c>
      <c r="H58" s="25">
        <v>12.75</v>
      </c>
      <c r="I58" s="29">
        <v>1</v>
      </c>
      <c r="J58" s="28">
        <v>1</v>
      </c>
      <c r="K58" s="25">
        <v>10.85</v>
      </c>
      <c r="L58" s="25">
        <v>12.75</v>
      </c>
      <c r="M58" s="29">
        <v>1</v>
      </c>
      <c r="N58" s="28">
        <v>1</v>
      </c>
      <c r="O58" s="11">
        <v>17.04</v>
      </c>
      <c r="P58" s="11">
        <v>10.85</v>
      </c>
      <c r="Q58" s="11"/>
      <c r="R58" s="11"/>
      <c r="S58" s="11">
        <v>-12.75</v>
      </c>
      <c r="T58" s="11">
        <v>17.04</v>
      </c>
      <c r="U58" s="30">
        <v>1</v>
      </c>
      <c r="V58" s="12">
        <v>1</v>
      </c>
      <c r="W58" s="12">
        <v>1</v>
      </c>
      <c r="X58" s="12"/>
      <c r="Y58" s="12">
        <v>26</v>
      </c>
      <c r="Z58" s="30">
        <v>61</v>
      </c>
      <c r="AA58" s="393">
        <v>11.5</v>
      </c>
      <c r="AB58" s="400"/>
      <c r="AC58" s="19" t="s">
        <v>4082</v>
      </c>
    </row>
    <row r="59" spans="1:29" s="10" customFormat="1" x14ac:dyDescent="0.25">
      <c r="A59" s="37" t="s">
        <v>144</v>
      </c>
      <c r="B59" s="10" t="s">
        <v>156</v>
      </c>
      <c r="C59" s="10" t="s">
        <v>108</v>
      </c>
      <c r="D59" s="10" t="s">
        <v>106</v>
      </c>
      <c r="E59" s="10" t="s">
        <v>0</v>
      </c>
      <c r="F59" s="28"/>
      <c r="G59" s="25"/>
      <c r="H59" s="25"/>
      <c r="I59" s="29"/>
      <c r="J59" s="28"/>
      <c r="K59" s="25"/>
      <c r="L59" s="25"/>
      <c r="M59" s="29"/>
      <c r="N59" s="28"/>
      <c r="O59" s="11"/>
      <c r="P59" s="11"/>
      <c r="Q59" s="11"/>
      <c r="R59" s="11"/>
      <c r="S59" s="11"/>
      <c r="T59" s="11"/>
      <c r="U59" s="30"/>
      <c r="V59" s="12">
        <v>1</v>
      </c>
      <c r="W59" s="12">
        <v>1</v>
      </c>
      <c r="X59" s="12"/>
      <c r="Y59" s="12">
        <v>26</v>
      </c>
      <c r="Z59" s="30">
        <v>89</v>
      </c>
      <c r="AA59" s="393">
        <v>22.5</v>
      </c>
      <c r="AB59" s="400"/>
      <c r="AC59" s="19" t="s">
        <v>4082</v>
      </c>
    </row>
    <row r="60" spans="1:29" s="10" customFormat="1" x14ac:dyDescent="0.25">
      <c r="A60" s="37" t="s">
        <v>144</v>
      </c>
      <c r="B60" s="10" t="s">
        <v>157</v>
      </c>
      <c r="C60" s="10" t="s">
        <v>108</v>
      </c>
      <c r="D60" s="10" t="s">
        <v>106</v>
      </c>
      <c r="E60" s="10" t="s">
        <v>0</v>
      </c>
      <c r="F60" s="28">
        <v>1</v>
      </c>
      <c r="G60" s="25">
        <v>15</v>
      </c>
      <c r="H60" s="25">
        <v>192.5</v>
      </c>
      <c r="I60" s="29">
        <v>2</v>
      </c>
      <c r="J60" s="28">
        <v>1</v>
      </c>
      <c r="K60" s="25">
        <v>15</v>
      </c>
      <c r="L60" s="25">
        <v>192.5</v>
      </c>
      <c r="M60" s="29">
        <v>2</v>
      </c>
      <c r="N60" s="28">
        <v>1</v>
      </c>
      <c r="O60" s="11">
        <v>17.04</v>
      </c>
      <c r="P60" s="11">
        <v>15</v>
      </c>
      <c r="Q60" s="11"/>
      <c r="R60" s="11"/>
      <c r="S60" s="11">
        <v>-192.5</v>
      </c>
      <c r="T60" s="11">
        <v>17.04</v>
      </c>
      <c r="U60" s="30">
        <v>2</v>
      </c>
      <c r="V60" s="12">
        <v>1</v>
      </c>
      <c r="W60" s="12">
        <v>1</v>
      </c>
      <c r="X60" s="12"/>
      <c r="Y60" s="12">
        <v>26</v>
      </c>
      <c r="Z60" s="30">
        <v>116</v>
      </c>
      <c r="AA60" s="393">
        <v>33.5</v>
      </c>
      <c r="AB60" s="400"/>
      <c r="AC60" s="19" t="s">
        <v>4082</v>
      </c>
    </row>
    <row r="61" spans="1:29" s="10" customFormat="1" x14ac:dyDescent="0.25">
      <c r="A61" s="37" t="s">
        <v>144</v>
      </c>
      <c r="B61" s="10" t="s">
        <v>553</v>
      </c>
      <c r="C61" s="10" t="s">
        <v>108</v>
      </c>
      <c r="D61" s="10" t="s">
        <v>106</v>
      </c>
      <c r="E61" s="10" t="s">
        <v>0</v>
      </c>
      <c r="F61" s="28"/>
      <c r="G61" s="25"/>
      <c r="H61" s="25"/>
      <c r="I61" s="29"/>
      <c r="J61" s="28"/>
      <c r="K61" s="25"/>
      <c r="L61" s="25"/>
      <c r="M61" s="29"/>
      <c r="N61" s="28"/>
      <c r="O61" s="11"/>
      <c r="P61" s="11"/>
      <c r="Q61" s="11"/>
      <c r="R61" s="11"/>
      <c r="S61" s="11"/>
      <c r="T61" s="11"/>
      <c r="U61" s="30"/>
      <c r="V61" s="12">
        <v>1</v>
      </c>
      <c r="W61" s="12">
        <v>1</v>
      </c>
      <c r="X61" s="12"/>
      <c r="Y61" s="12">
        <v>26</v>
      </c>
      <c r="Z61" s="30">
        <v>152</v>
      </c>
      <c r="AA61" s="393">
        <v>46</v>
      </c>
      <c r="AB61" s="400"/>
      <c r="AC61" s="19" t="s">
        <v>4082</v>
      </c>
    </row>
    <row r="62" spans="1:29" s="10" customFormat="1" x14ac:dyDescent="0.25">
      <c r="A62" s="37" t="s">
        <v>144</v>
      </c>
      <c r="B62" s="10" t="s">
        <v>554</v>
      </c>
      <c r="C62" s="10" t="s">
        <v>108</v>
      </c>
      <c r="D62" s="10" t="s">
        <v>106</v>
      </c>
      <c r="E62" s="10" t="s">
        <v>0</v>
      </c>
      <c r="F62" s="28"/>
      <c r="G62" s="25"/>
      <c r="H62" s="25"/>
      <c r="I62" s="29"/>
      <c r="J62" s="28"/>
      <c r="K62" s="25"/>
      <c r="L62" s="25"/>
      <c r="M62" s="29"/>
      <c r="N62" s="28"/>
      <c r="O62" s="11"/>
      <c r="P62" s="11"/>
      <c r="Q62" s="11"/>
      <c r="R62" s="11"/>
      <c r="S62" s="11"/>
      <c r="T62" s="11"/>
      <c r="U62" s="30"/>
      <c r="V62" s="12">
        <v>1</v>
      </c>
      <c r="W62" s="12">
        <v>1</v>
      </c>
      <c r="X62" s="12"/>
      <c r="Y62" s="12">
        <v>26</v>
      </c>
      <c r="Z62" s="30">
        <v>180</v>
      </c>
      <c r="AA62" s="393">
        <v>58.5</v>
      </c>
      <c r="AB62" s="400"/>
      <c r="AC62" s="19" t="s">
        <v>4082</v>
      </c>
    </row>
    <row r="63" spans="1:29" s="10" customFormat="1" x14ac:dyDescent="0.25">
      <c r="A63" s="37" t="s">
        <v>144</v>
      </c>
      <c r="B63" s="10" t="s">
        <v>158</v>
      </c>
      <c r="C63" s="10" t="s">
        <v>108</v>
      </c>
      <c r="D63" s="10" t="s">
        <v>106</v>
      </c>
      <c r="E63" s="10" t="s">
        <v>0</v>
      </c>
      <c r="F63" s="28"/>
      <c r="G63" s="25"/>
      <c r="H63" s="25"/>
      <c r="I63" s="29"/>
      <c r="J63" s="28"/>
      <c r="K63" s="25"/>
      <c r="L63" s="25"/>
      <c r="M63" s="29"/>
      <c r="N63" s="28"/>
      <c r="O63" s="11"/>
      <c r="P63" s="11"/>
      <c r="Q63" s="11"/>
      <c r="R63" s="11"/>
      <c r="S63" s="11"/>
      <c r="T63" s="11"/>
      <c r="U63" s="30"/>
      <c r="V63" s="12">
        <v>1</v>
      </c>
      <c r="W63" s="12">
        <v>1</v>
      </c>
      <c r="X63" s="12"/>
      <c r="Y63" s="12">
        <v>61</v>
      </c>
      <c r="Z63" s="30">
        <v>89</v>
      </c>
      <c r="AA63" s="393">
        <v>11</v>
      </c>
      <c r="AB63" s="400"/>
      <c r="AC63" s="19" t="s">
        <v>4082</v>
      </c>
    </row>
    <row r="64" spans="1:29" s="10" customFormat="1" x14ac:dyDescent="0.25">
      <c r="A64" s="37" t="s">
        <v>144</v>
      </c>
      <c r="B64" s="10" t="s">
        <v>159</v>
      </c>
      <c r="C64" s="10" t="s">
        <v>108</v>
      </c>
      <c r="D64" s="10" t="s">
        <v>106</v>
      </c>
      <c r="E64" s="10" t="s">
        <v>0</v>
      </c>
      <c r="F64" s="28">
        <v>1</v>
      </c>
      <c r="G64" s="25">
        <v>-183.5</v>
      </c>
      <c r="H64" s="25">
        <v>204</v>
      </c>
      <c r="I64" s="29">
        <v>1</v>
      </c>
      <c r="J64" s="28">
        <v>1</v>
      </c>
      <c r="K64" s="25">
        <v>-183.5</v>
      </c>
      <c r="L64" s="25">
        <v>204</v>
      </c>
      <c r="M64" s="29">
        <v>1</v>
      </c>
      <c r="N64" s="28">
        <v>1</v>
      </c>
      <c r="O64" s="11">
        <v>17.04</v>
      </c>
      <c r="P64" s="11">
        <v>-183.5</v>
      </c>
      <c r="Q64" s="11"/>
      <c r="R64" s="11"/>
      <c r="S64" s="11">
        <v>-204</v>
      </c>
      <c r="T64" s="11">
        <v>17.04</v>
      </c>
      <c r="U64" s="30">
        <v>1</v>
      </c>
      <c r="V64" s="12">
        <v>1</v>
      </c>
      <c r="W64" s="12">
        <v>1</v>
      </c>
      <c r="X64" s="12"/>
      <c r="Y64" s="12">
        <v>61</v>
      </c>
      <c r="Z64" s="30">
        <v>116</v>
      </c>
      <c r="AA64" s="393">
        <v>22</v>
      </c>
      <c r="AB64" s="400"/>
      <c r="AC64" s="19" t="s">
        <v>4082</v>
      </c>
    </row>
    <row r="65" spans="1:29" s="10" customFormat="1" x14ac:dyDescent="0.25">
      <c r="A65" s="37" t="s">
        <v>144</v>
      </c>
      <c r="B65" s="10" t="s">
        <v>555</v>
      </c>
      <c r="C65" s="10" t="s">
        <v>108</v>
      </c>
      <c r="D65" s="10" t="s">
        <v>106</v>
      </c>
      <c r="E65" s="10" t="s">
        <v>0</v>
      </c>
      <c r="F65" s="28"/>
      <c r="G65" s="25"/>
      <c r="H65" s="25"/>
      <c r="I65" s="29"/>
      <c r="J65" s="28"/>
      <c r="K65" s="25"/>
      <c r="L65" s="25"/>
      <c r="M65" s="29"/>
      <c r="N65" s="28"/>
      <c r="O65" s="11"/>
      <c r="P65" s="11"/>
      <c r="Q65" s="11"/>
      <c r="R65" s="11"/>
      <c r="S65" s="11"/>
      <c r="T65" s="11"/>
      <c r="U65" s="30"/>
      <c r="V65" s="12">
        <v>1</v>
      </c>
      <c r="W65" s="12">
        <v>1</v>
      </c>
      <c r="X65" s="12"/>
      <c r="Y65" s="12">
        <v>61</v>
      </c>
      <c r="Z65" s="30">
        <v>152</v>
      </c>
      <c r="AA65" s="393">
        <v>34.5</v>
      </c>
      <c r="AB65" s="400"/>
      <c r="AC65" s="19" t="s">
        <v>4082</v>
      </c>
    </row>
    <row r="66" spans="1:29" s="10" customFormat="1" x14ac:dyDescent="0.25">
      <c r="A66" s="37" t="s">
        <v>144</v>
      </c>
      <c r="B66" s="10" t="s">
        <v>556</v>
      </c>
      <c r="C66" s="10" t="s">
        <v>108</v>
      </c>
      <c r="D66" s="10" t="s">
        <v>106</v>
      </c>
      <c r="E66" s="10" t="s">
        <v>0</v>
      </c>
      <c r="F66" s="28"/>
      <c r="G66" s="25"/>
      <c r="H66" s="25"/>
      <c r="I66" s="29"/>
      <c r="J66" s="28"/>
      <c r="K66" s="25"/>
      <c r="L66" s="25"/>
      <c r="M66" s="29"/>
      <c r="N66" s="28"/>
      <c r="O66" s="11"/>
      <c r="P66" s="11"/>
      <c r="Q66" s="11"/>
      <c r="R66" s="11"/>
      <c r="S66" s="11"/>
      <c r="T66" s="11"/>
      <c r="U66" s="30"/>
      <c r="V66" s="12">
        <v>1</v>
      </c>
      <c r="W66" s="12">
        <v>1</v>
      </c>
      <c r="X66" s="12"/>
      <c r="Y66" s="12">
        <v>61</v>
      </c>
      <c r="Z66" s="30">
        <v>180</v>
      </c>
      <c r="AA66" s="393">
        <v>47</v>
      </c>
      <c r="AB66" s="400"/>
      <c r="AC66" s="19" t="s">
        <v>4082</v>
      </c>
    </row>
    <row r="67" spans="1:29" s="10" customFormat="1" x14ac:dyDescent="0.25">
      <c r="A67" s="37" t="s">
        <v>144</v>
      </c>
      <c r="B67" s="10" t="s">
        <v>160</v>
      </c>
      <c r="C67" s="10" t="s">
        <v>108</v>
      </c>
      <c r="D67" s="10" t="s">
        <v>106</v>
      </c>
      <c r="E67" s="10" t="s">
        <v>0</v>
      </c>
      <c r="F67" s="28"/>
      <c r="G67" s="25"/>
      <c r="H67" s="25"/>
      <c r="I67" s="29"/>
      <c r="J67" s="28"/>
      <c r="K67" s="25"/>
      <c r="L67" s="25"/>
      <c r="M67" s="29"/>
      <c r="N67" s="28"/>
      <c r="O67" s="11"/>
      <c r="P67" s="11"/>
      <c r="Q67" s="11"/>
      <c r="R67" s="11"/>
      <c r="S67" s="11"/>
      <c r="T67" s="11"/>
      <c r="U67" s="30"/>
      <c r="V67" s="12">
        <v>1</v>
      </c>
      <c r="W67" s="12">
        <v>1</v>
      </c>
      <c r="X67" s="12"/>
      <c r="Y67" s="12">
        <v>89</v>
      </c>
      <c r="Z67" s="30">
        <v>116</v>
      </c>
      <c r="AA67" s="393">
        <v>11</v>
      </c>
      <c r="AB67" s="400"/>
      <c r="AC67" s="19" t="s">
        <v>4082</v>
      </c>
    </row>
    <row r="68" spans="1:29" s="10" customFormat="1" x14ac:dyDescent="0.25">
      <c r="A68" s="37" t="s">
        <v>144</v>
      </c>
      <c r="B68" s="10" t="s">
        <v>557</v>
      </c>
      <c r="C68" s="10" t="s">
        <v>108</v>
      </c>
      <c r="D68" s="10" t="s">
        <v>106</v>
      </c>
      <c r="E68" s="10" t="s">
        <v>0</v>
      </c>
      <c r="F68" s="28"/>
      <c r="G68" s="25"/>
      <c r="H68" s="25"/>
      <c r="I68" s="29"/>
      <c r="J68" s="28"/>
      <c r="K68" s="25"/>
      <c r="L68" s="25"/>
      <c r="M68" s="29"/>
      <c r="N68" s="28"/>
      <c r="O68" s="11"/>
      <c r="P68" s="11"/>
      <c r="Q68" s="11"/>
      <c r="R68" s="11"/>
      <c r="S68" s="11"/>
      <c r="T68" s="11"/>
      <c r="U68" s="30"/>
      <c r="V68" s="12">
        <v>1</v>
      </c>
      <c r="W68" s="12">
        <v>1</v>
      </c>
      <c r="X68" s="12"/>
      <c r="Y68" s="12">
        <v>89</v>
      </c>
      <c r="Z68" s="30">
        <v>152</v>
      </c>
      <c r="AA68" s="393">
        <v>23.5</v>
      </c>
      <c r="AB68" s="400"/>
      <c r="AC68" s="19" t="s">
        <v>4082</v>
      </c>
    </row>
    <row r="69" spans="1:29" s="10" customFormat="1" x14ac:dyDescent="0.25">
      <c r="A69" s="37" t="s">
        <v>144</v>
      </c>
      <c r="B69" s="10" t="s">
        <v>558</v>
      </c>
      <c r="C69" s="10" t="s">
        <v>108</v>
      </c>
      <c r="D69" s="10" t="s">
        <v>106</v>
      </c>
      <c r="E69" s="10" t="s">
        <v>0</v>
      </c>
      <c r="F69" s="28"/>
      <c r="G69" s="25"/>
      <c r="H69" s="25"/>
      <c r="I69" s="29"/>
      <c r="J69" s="28"/>
      <c r="K69" s="25"/>
      <c r="L69" s="25"/>
      <c r="M69" s="29"/>
      <c r="N69" s="28"/>
      <c r="O69" s="11"/>
      <c r="P69" s="11"/>
      <c r="Q69" s="11"/>
      <c r="R69" s="11"/>
      <c r="S69" s="11"/>
      <c r="T69" s="11"/>
      <c r="U69" s="30"/>
      <c r="V69" s="12">
        <v>1</v>
      </c>
      <c r="W69" s="12">
        <v>1</v>
      </c>
      <c r="X69" s="12"/>
      <c r="Y69" s="12">
        <v>89</v>
      </c>
      <c r="Z69" s="30">
        <v>180</v>
      </c>
      <c r="AA69" s="393">
        <v>36</v>
      </c>
      <c r="AB69" s="400"/>
      <c r="AC69" s="19" t="s">
        <v>4082</v>
      </c>
    </row>
    <row r="70" spans="1:29" s="10" customFormat="1" x14ac:dyDescent="0.25">
      <c r="A70" s="37" t="s">
        <v>144</v>
      </c>
      <c r="B70" s="10" t="s">
        <v>559</v>
      </c>
      <c r="C70" s="10" t="s">
        <v>108</v>
      </c>
      <c r="D70" s="10" t="s">
        <v>106</v>
      </c>
      <c r="E70" s="10" t="s">
        <v>0</v>
      </c>
      <c r="F70" s="28"/>
      <c r="G70" s="25"/>
      <c r="H70" s="25"/>
      <c r="I70" s="29"/>
      <c r="J70" s="28"/>
      <c r="K70" s="25"/>
      <c r="L70" s="25"/>
      <c r="M70" s="29"/>
      <c r="N70" s="28"/>
      <c r="O70" s="11"/>
      <c r="P70" s="11"/>
      <c r="Q70" s="11"/>
      <c r="R70" s="11"/>
      <c r="S70" s="11"/>
      <c r="T70" s="11"/>
      <c r="U70" s="30"/>
      <c r="V70" s="12">
        <v>1</v>
      </c>
      <c r="W70" s="12">
        <v>1</v>
      </c>
      <c r="X70" s="12"/>
      <c r="Y70" s="12">
        <v>116</v>
      </c>
      <c r="Z70" s="30">
        <v>152</v>
      </c>
      <c r="AA70" s="393">
        <v>12.5</v>
      </c>
      <c r="AB70" s="400"/>
      <c r="AC70" s="19" t="s">
        <v>4082</v>
      </c>
    </row>
    <row r="71" spans="1:29" s="10" customFormat="1" x14ac:dyDescent="0.25">
      <c r="A71" s="37" t="s">
        <v>144</v>
      </c>
      <c r="B71" s="10" t="s">
        <v>560</v>
      </c>
      <c r="C71" s="10" t="s">
        <v>108</v>
      </c>
      <c r="D71" s="10" t="s">
        <v>106</v>
      </c>
      <c r="E71" s="10" t="s">
        <v>0</v>
      </c>
      <c r="F71" s="28"/>
      <c r="G71" s="25"/>
      <c r="H71" s="25"/>
      <c r="I71" s="29"/>
      <c r="J71" s="28"/>
      <c r="K71" s="25"/>
      <c r="L71" s="25"/>
      <c r="M71" s="29"/>
      <c r="N71" s="28"/>
      <c r="O71" s="11"/>
      <c r="P71" s="11"/>
      <c r="Q71" s="11"/>
      <c r="R71" s="11"/>
      <c r="S71" s="11"/>
      <c r="T71" s="11"/>
      <c r="U71" s="30"/>
      <c r="V71" s="12">
        <v>1</v>
      </c>
      <c r="W71" s="12">
        <v>1</v>
      </c>
      <c r="X71" s="12"/>
      <c r="Y71" s="12">
        <v>116</v>
      </c>
      <c r="Z71" s="30">
        <v>180</v>
      </c>
      <c r="AA71" s="393">
        <v>25</v>
      </c>
      <c r="AB71" s="400"/>
      <c r="AC71" s="19" t="s">
        <v>4082</v>
      </c>
    </row>
    <row r="72" spans="1:29" s="10" customFormat="1" x14ac:dyDescent="0.25">
      <c r="A72" s="37" t="s">
        <v>144</v>
      </c>
      <c r="B72" s="10" t="s">
        <v>561</v>
      </c>
      <c r="C72" s="10" t="s">
        <v>108</v>
      </c>
      <c r="D72" s="10" t="s">
        <v>106</v>
      </c>
      <c r="E72" s="10" t="s">
        <v>0</v>
      </c>
      <c r="F72" s="28"/>
      <c r="G72" s="25"/>
      <c r="H72" s="25"/>
      <c r="I72" s="29"/>
      <c r="J72" s="28"/>
      <c r="K72" s="25"/>
      <c r="L72" s="25"/>
      <c r="M72" s="29"/>
      <c r="N72" s="28"/>
      <c r="O72" s="11"/>
      <c r="P72" s="11"/>
      <c r="Q72" s="11"/>
      <c r="R72" s="11"/>
      <c r="S72" s="11"/>
      <c r="T72" s="11"/>
      <c r="U72" s="30"/>
      <c r="V72" s="12">
        <v>1</v>
      </c>
      <c r="W72" s="12">
        <v>1</v>
      </c>
      <c r="X72" s="12"/>
      <c r="Y72" s="12">
        <v>152</v>
      </c>
      <c r="Z72" s="30">
        <v>180</v>
      </c>
      <c r="AA72" s="393">
        <v>12.5</v>
      </c>
      <c r="AB72" s="400"/>
      <c r="AC72" s="19" t="s">
        <v>4082</v>
      </c>
    </row>
    <row r="73" spans="1:29" s="271" customFormat="1" x14ac:dyDescent="0.25">
      <c r="A73" s="270" t="s">
        <v>161</v>
      </c>
      <c r="B73" s="271" t="s">
        <v>162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0</v>
      </c>
      <c r="K73" s="273"/>
      <c r="L73" s="273"/>
      <c r="M73" s="274">
        <v>0</v>
      </c>
      <c r="N73" s="272">
        <v>0</v>
      </c>
      <c r="O73" s="275"/>
      <c r="P73" s="275"/>
      <c r="Q73" s="275"/>
      <c r="R73" s="275"/>
      <c r="S73" s="275"/>
      <c r="T73" s="275"/>
      <c r="U73" s="276">
        <v>0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161</v>
      </c>
      <c r="B74" s="271" t="s">
        <v>163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0</v>
      </c>
      <c r="K74" s="273"/>
      <c r="L74" s="273"/>
      <c r="M74" s="274">
        <v>0</v>
      </c>
      <c r="N74" s="272">
        <v>0</v>
      </c>
      <c r="O74" s="275"/>
      <c r="P74" s="275"/>
      <c r="Q74" s="275"/>
      <c r="R74" s="275"/>
      <c r="S74" s="275"/>
      <c r="T74" s="275"/>
      <c r="U74" s="276">
        <v>0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161</v>
      </c>
      <c r="B75" s="271" t="s">
        <v>164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73730</v>
      </c>
      <c r="L75" s="273">
        <v>84795</v>
      </c>
      <c r="M75" s="274">
        <v>3</v>
      </c>
      <c r="N75" s="272">
        <v>1</v>
      </c>
      <c r="O75" s="275">
        <v>27.544</v>
      </c>
      <c r="P75" s="275">
        <v>73730</v>
      </c>
      <c r="Q75" s="275">
        <v>73702.456000000006</v>
      </c>
      <c r="R75" s="275">
        <v>-84822.543999999994</v>
      </c>
      <c r="S75" s="275">
        <v>-84795</v>
      </c>
      <c r="T75" s="275">
        <v>27.544</v>
      </c>
      <c r="U75" s="276">
        <v>3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161</v>
      </c>
      <c r="B76" s="271" t="s">
        <v>165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0</v>
      </c>
      <c r="K76" s="273"/>
      <c r="L76" s="273"/>
      <c r="M76" s="274">
        <v>0</v>
      </c>
      <c r="N76" s="272">
        <v>0</v>
      </c>
      <c r="O76" s="275"/>
      <c r="P76" s="275"/>
      <c r="Q76" s="275"/>
      <c r="R76" s="275"/>
      <c r="S76" s="275"/>
      <c r="T76" s="275"/>
      <c r="U76" s="276">
        <v>0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161</v>
      </c>
      <c r="B77" s="271" t="s">
        <v>562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0</v>
      </c>
      <c r="K77" s="273"/>
      <c r="L77" s="273"/>
      <c r="M77" s="274">
        <v>0</v>
      </c>
      <c r="N77" s="272">
        <v>0</v>
      </c>
      <c r="O77" s="275"/>
      <c r="P77" s="275"/>
      <c r="Q77" s="275"/>
      <c r="R77" s="275"/>
      <c r="S77" s="275"/>
      <c r="T77" s="275"/>
      <c r="U77" s="276">
        <v>0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161</v>
      </c>
      <c r="B78" s="271" t="s">
        <v>166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0</v>
      </c>
      <c r="K78" s="273"/>
      <c r="L78" s="273"/>
      <c r="M78" s="274">
        <v>0</v>
      </c>
      <c r="N78" s="272">
        <v>0</v>
      </c>
      <c r="O78" s="275"/>
      <c r="P78" s="275"/>
      <c r="Q78" s="275"/>
      <c r="R78" s="275"/>
      <c r="S78" s="275"/>
      <c r="T78" s="275"/>
      <c r="U78" s="276">
        <v>0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161</v>
      </c>
      <c r="B79" s="271" t="s">
        <v>167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1</v>
      </c>
      <c r="K79" s="273">
        <v>72820</v>
      </c>
      <c r="L79" s="273">
        <v>85705</v>
      </c>
      <c r="M79" s="274">
        <v>1</v>
      </c>
      <c r="N79" s="272">
        <v>1</v>
      </c>
      <c r="O79" s="275">
        <v>52.584000000000003</v>
      </c>
      <c r="P79" s="275">
        <v>72820</v>
      </c>
      <c r="Q79" s="275">
        <v>72767.415999999997</v>
      </c>
      <c r="R79" s="275">
        <v>-85757.584000000003</v>
      </c>
      <c r="S79" s="275">
        <v>-85705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161</v>
      </c>
      <c r="B80" s="271" t="s">
        <v>168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0</v>
      </c>
      <c r="K80" s="273"/>
      <c r="L80" s="273"/>
      <c r="M80" s="274">
        <v>0</v>
      </c>
      <c r="N80" s="272">
        <v>0</v>
      </c>
      <c r="O80" s="275"/>
      <c r="P80" s="275"/>
      <c r="Q80" s="275"/>
      <c r="R80" s="275"/>
      <c r="S80" s="275"/>
      <c r="T80" s="275"/>
      <c r="U80" s="276">
        <v>0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161</v>
      </c>
      <c r="B81" s="271" t="s">
        <v>563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0</v>
      </c>
      <c r="K81" s="273"/>
      <c r="L81" s="273"/>
      <c r="M81" s="274">
        <v>0</v>
      </c>
      <c r="N81" s="272">
        <v>0</v>
      </c>
      <c r="O81" s="275"/>
      <c r="P81" s="275"/>
      <c r="Q81" s="275"/>
      <c r="R81" s="275"/>
      <c r="S81" s="275"/>
      <c r="T81" s="275"/>
      <c r="U81" s="276">
        <v>0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161</v>
      </c>
      <c r="B82" s="271" t="s">
        <v>169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0</v>
      </c>
      <c r="K82" s="273"/>
      <c r="L82" s="273"/>
      <c r="M82" s="274">
        <v>0</v>
      </c>
      <c r="N82" s="272">
        <v>0</v>
      </c>
      <c r="O82" s="275"/>
      <c r="P82" s="275"/>
      <c r="Q82" s="275"/>
      <c r="R82" s="275"/>
      <c r="S82" s="275"/>
      <c r="T82" s="275"/>
      <c r="U82" s="276">
        <v>0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161</v>
      </c>
      <c r="B83" s="271" t="s">
        <v>170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0</v>
      </c>
      <c r="K83" s="273"/>
      <c r="L83" s="273"/>
      <c r="M83" s="274">
        <v>0</v>
      </c>
      <c r="N83" s="272">
        <v>0</v>
      </c>
      <c r="O83" s="275"/>
      <c r="P83" s="275"/>
      <c r="Q83" s="275"/>
      <c r="R83" s="275"/>
      <c r="S83" s="275"/>
      <c r="T83" s="275"/>
      <c r="U83" s="276">
        <v>0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161</v>
      </c>
      <c r="B84" s="271" t="s">
        <v>171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0</v>
      </c>
      <c r="K84" s="273"/>
      <c r="L84" s="273"/>
      <c r="M84" s="274">
        <v>0</v>
      </c>
      <c r="N84" s="272">
        <v>0</v>
      </c>
      <c r="O84" s="275"/>
      <c r="P84" s="275"/>
      <c r="Q84" s="275"/>
      <c r="R84" s="275"/>
      <c r="S84" s="275"/>
      <c r="T84" s="275"/>
      <c r="U84" s="276">
        <v>0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161</v>
      </c>
      <c r="B85" s="271" t="s">
        <v>564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0</v>
      </c>
      <c r="K85" s="273"/>
      <c r="L85" s="273"/>
      <c r="M85" s="274">
        <v>0</v>
      </c>
      <c r="N85" s="272">
        <v>0</v>
      </c>
      <c r="O85" s="275"/>
      <c r="P85" s="275"/>
      <c r="Q85" s="275"/>
      <c r="R85" s="275"/>
      <c r="S85" s="275"/>
      <c r="T85" s="275"/>
      <c r="U85" s="276">
        <v>0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161</v>
      </c>
      <c r="B86" s="271" t="s">
        <v>172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0</v>
      </c>
      <c r="K86" s="273"/>
      <c r="L86" s="273"/>
      <c r="M86" s="274">
        <v>0</v>
      </c>
      <c r="N86" s="272">
        <v>0</v>
      </c>
      <c r="O86" s="275"/>
      <c r="P86" s="275"/>
      <c r="Q86" s="275"/>
      <c r="R86" s="275"/>
      <c r="S86" s="275"/>
      <c r="T86" s="275"/>
      <c r="U86" s="276">
        <v>0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161</v>
      </c>
      <c r="B87" s="271" t="s">
        <v>173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0</v>
      </c>
      <c r="K87" s="273"/>
      <c r="L87" s="273"/>
      <c r="M87" s="274">
        <v>0</v>
      </c>
      <c r="N87" s="272">
        <v>0</v>
      </c>
      <c r="O87" s="275"/>
      <c r="P87" s="275"/>
      <c r="Q87" s="275"/>
      <c r="R87" s="275"/>
      <c r="S87" s="275"/>
      <c r="T87" s="275"/>
      <c r="U87" s="276">
        <v>0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161</v>
      </c>
      <c r="B88" s="271" t="s">
        <v>174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0</v>
      </c>
      <c r="K88" s="273"/>
      <c r="L88" s="273"/>
      <c r="M88" s="274">
        <v>0</v>
      </c>
      <c r="N88" s="272">
        <v>0</v>
      </c>
      <c r="O88" s="275"/>
      <c r="P88" s="275"/>
      <c r="Q88" s="275"/>
      <c r="R88" s="275"/>
      <c r="S88" s="275"/>
      <c r="T88" s="275"/>
      <c r="U88" s="276">
        <v>0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161</v>
      </c>
      <c r="B89" s="271" t="s">
        <v>565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0</v>
      </c>
      <c r="K89" s="273"/>
      <c r="L89" s="273"/>
      <c r="M89" s="274">
        <v>0</v>
      </c>
      <c r="N89" s="272">
        <v>0</v>
      </c>
      <c r="O89" s="275"/>
      <c r="P89" s="275"/>
      <c r="Q89" s="275"/>
      <c r="R89" s="275"/>
      <c r="S89" s="275"/>
      <c r="T89" s="275"/>
      <c r="U89" s="276">
        <v>0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161</v>
      </c>
      <c r="B90" s="271" t="s">
        <v>175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0</v>
      </c>
      <c r="K90" s="273"/>
      <c r="L90" s="273"/>
      <c r="M90" s="274">
        <v>0</v>
      </c>
      <c r="N90" s="272">
        <v>0</v>
      </c>
      <c r="O90" s="275"/>
      <c r="P90" s="275"/>
      <c r="Q90" s="275"/>
      <c r="R90" s="275"/>
      <c r="S90" s="275"/>
      <c r="T90" s="275"/>
      <c r="U90" s="276">
        <v>0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161</v>
      </c>
      <c r="B91" s="271" t="s">
        <v>176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0</v>
      </c>
      <c r="K91" s="273"/>
      <c r="L91" s="273"/>
      <c r="M91" s="274">
        <v>0</v>
      </c>
      <c r="N91" s="272">
        <v>0</v>
      </c>
      <c r="O91" s="275"/>
      <c r="P91" s="275"/>
      <c r="Q91" s="275"/>
      <c r="R91" s="275"/>
      <c r="S91" s="275"/>
      <c r="T91" s="275"/>
      <c r="U91" s="276">
        <v>0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161</v>
      </c>
      <c r="B92" s="271" t="s">
        <v>177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0</v>
      </c>
      <c r="K92" s="273"/>
      <c r="L92" s="273"/>
      <c r="M92" s="274">
        <v>0</v>
      </c>
      <c r="N92" s="272">
        <v>0</v>
      </c>
      <c r="O92" s="275"/>
      <c r="P92" s="275"/>
      <c r="Q92" s="275"/>
      <c r="R92" s="275"/>
      <c r="S92" s="275"/>
      <c r="T92" s="275"/>
      <c r="U92" s="276">
        <v>0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161</v>
      </c>
      <c r="B93" s="271" t="s">
        <v>566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161</v>
      </c>
      <c r="B94" s="271" t="s">
        <v>567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0</v>
      </c>
      <c r="K94" s="273"/>
      <c r="L94" s="273"/>
      <c r="M94" s="274">
        <v>0</v>
      </c>
      <c r="N94" s="272">
        <v>0</v>
      </c>
      <c r="O94" s="275"/>
      <c r="P94" s="275"/>
      <c r="Q94" s="275"/>
      <c r="R94" s="275"/>
      <c r="S94" s="275"/>
      <c r="T94" s="275"/>
      <c r="U94" s="276">
        <v>0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161</v>
      </c>
      <c r="B95" s="271" t="s">
        <v>568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0</v>
      </c>
      <c r="K95" s="273"/>
      <c r="L95" s="273"/>
      <c r="M95" s="274">
        <v>0</v>
      </c>
      <c r="N95" s="272">
        <v>0</v>
      </c>
      <c r="O95" s="275"/>
      <c r="P95" s="275"/>
      <c r="Q95" s="275"/>
      <c r="R95" s="275"/>
      <c r="S95" s="275"/>
      <c r="T95" s="275"/>
      <c r="U95" s="276">
        <v>0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161</v>
      </c>
      <c r="B96" s="271" t="s">
        <v>569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0</v>
      </c>
      <c r="K96" s="273"/>
      <c r="L96" s="273"/>
      <c r="M96" s="274">
        <v>0</v>
      </c>
      <c r="N96" s="272">
        <v>0</v>
      </c>
      <c r="O96" s="275"/>
      <c r="P96" s="275"/>
      <c r="Q96" s="275"/>
      <c r="R96" s="275"/>
      <c r="S96" s="275"/>
      <c r="T96" s="275"/>
      <c r="U96" s="276">
        <v>0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161</v>
      </c>
      <c r="B97" s="271" t="s">
        <v>570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161</v>
      </c>
      <c r="B98" s="271" t="s">
        <v>178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0</v>
      </c>
      <c r="K98" s="273"/>
      <c r="L98" s="273"/>
      <c r="M98" s="274">
        <v>0</v>
      </c>
      <c r="N98" s="272">
        <v>0</v>
      </c>
      <c r="O98" s="275"/>
      <c r="P98" s="275"/>
      <c r="Q98" s="275"/>
      <c r="R98" s="275"/>
      <c r="S98" s="275"/>
      <c r="T98" s="275"/>
      <c r="U98" s="276">
        <v>0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161</v>
      </c>
      <c r="B99" s="271" t="s">
        <v>179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0</v>
      </c>
      <c r="K99" s="273"/>
      <c r="L99" s="273"/>
      <c r="M99" s="274">
        <v>0</v>
      </c>
      <c r="N99" s="272">
        <v>0</v>
      </c>
      <c r="O99" s="275"/>
      <c r="P99" s="275"/>
      <c r="Q99" s="275"/>
      <c r="R99" s="275"/>
      <c r="S99" s="275"/>
      <c r="T99" s="275"/>
      <c r="U99" s="276">
        <v>0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161</v>
      </c>
      <c r="B100" s="271" t="s">
        <v>571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0</v>
      </c>
      <c r="K100" s="273"/>
      <c r="L100" s="273"/>
      <c r="M100" s="274">
        <v>0</v>
      </c>
      <c r="N100" s="272">
        <v>0</v>
      </c>
      <c r="O100" s="275"/>
      <c r="P100" s="275"/>
      <c r="Q100" s="275"/>
      <c r="R100" s="275"/>
      <c r="S100" s="275"/>
      <c r="T100" s="275"/>
      <c r="U100" s="276">
        <v>0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161</v>
      </c>
      <c r="B101" s="271" t="s">
        <v>180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0</v>
      </c>
      <c r="K101" s="273"/>
      <c r="L101" s="273"/>
      <c r="M101" s="274">
        <v>0</v>
      </c>
      <c r="N101" s="272">
        <v>0</v>
      </c>
      <c r="O101" s="275"/>
      <c r="P101" s="275"/>
      <c r="Q101" s="275"/>
      <c r="R101" s="275"/>
      <c r="S101" s="275"/>
      <c r="T101" s="275"/>
      <c r="U101" s="276">
        <v>0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161</v>
      </c>
      <c r="B102" s="271" t="s">
        <v>181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0</v>
      </c>
      <c r="K102" s="273"/>
      <c r="L102" s="273"/>
      <c r="M102" s="274">
        <v>0</v>
      </c>
      <c r="N102" s="272">
        <v>0</v>
      </c>
      <c r="O102" s="275"/>
      <c r="P102" s="275"/>
      <c r="Q102" s="275"/>
      <c r="R102" s="275"/>
      <c r="S102" s="275"/>
      <c r="T102" s="275"/>
      <c r="U102" s="276">
        <v>0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161</v>
      </c>
      <c r="B103" s="271" t="s">
        <v>572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0</v>
      </c>
      <c r="K103" s="273"/>
      <c r="L103" s="273"/>
      <c r="M103" s="274">
        <v>0</v>
      </c>
      <c r="N103" s="272">
        <v>0</v>
      </c>
      <c r="O103" s="275"/>
      <c r="P103" s="275"/>
      <c r="Q103" s="275"/>
      <c r="R103" s="275"/>
      <c r="S103" s="275"/>
      <c r="T103" s="275"/>
      <c r="U103" s="276">
        <v>0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161</v>
      </c>
      <c r="B104" s="271" t="s">
        <v>182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0</v>
      </c>
      <c r="K104" s="273"/>
      <c r="L104" s="273"/>
      <c r="M104" s="274">
        <v>0</v>
      </c>
      <c r="N104" s="272">
        <v>0</v>
      </c>
      <c r="O104" s="275"/>
      <c r="P104" s="275"/>
      <c r="Q104" s="275"/>
      <c r="R104" s="275"/>
      <c r="S104" s="275"/>
      <c r="T104" s="275"/>
      <c r="U104" s="276">
        <v>0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161</v>
      </c>
      <c r="B105" s="271" t="s">
        <v>183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0</v>
      </c>
      <c r="K105" s="273"/>
      <c r="L105" s="273"/>
      <c r="M105" s="274">
        <v>0</v>
      </c>
      <c r="N105" s="272">
        <v>0</v>
      </c>
      <c r="O105" s="275"/>
      <c r="P105" s="275"/>
      <c r="Q105" s="275"/>
      <c r="R105" s="275"/>
      <c r="S105" s="275"/>
      <c r="T105" s="275"/>
      <c r="U105" s="276">
        <v>0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161</v>
      </c>
      <c r="B106" s="271" t="s">
        <v>573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161</v>
      </c>
      <c r="B107" s="271" t="s">
        <v>574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0</v>
      </c>
      <c r="K107" s="273"/>
      <c r="L107" s="273"/>
      <c r="M107" s="274">
        <v>0</v>
      </c>
      <c r="N107" s="272">
        <v>0</v>
      </c>
      <c r="O107" s="275"/>
      <c r="P107" s="275"/>
      <c r="Q107" s="275"/>
      <c r="R107" s="275"/>
      <c r="S107" s="275"/>
      <c r="T107" s="275"/>
      <c r="U107" s="276">
        <v>0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161</v>
      </c>
      <c r="B108" s="271" t="s">
        <v>575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0</v>
      </c>
      <c r="K108" s="273"/>
      <c r="L108" s="273"/>
      <c r="M108" s="274">
        <v>0</v>
      </c>
      <c r="N108" s="272">
        <v>0</v>
      </c>
      <c r="O108" s="275"/>
      <c r="P108" s="275"/>
      <c r="Q108" s="275"/>
      <c r="R108" s="275"/>
      <c r="S108" s="275"/>
      <c r="T108" s="275"/>
      <c r="U108" s="276">
        <v>0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161</v>
      </c>
      <c r="B109" s="271" t="s">
        <v>576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161</v>
      </c>
      <c r="B110" s="271" t="s">
        <v>184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0</v>
      </c>
      <c r="K110" s="273"/>
      <c r="L110" s="273"/>
      <c r="M110" s="274">
        <v>0</v>
      </c>
      <c r="N110" s="272">
        <v>0</v>
      </c>
      <c r="O110" s="275"/>
      <c r="P110" s="275"/>
      <c r="Q110" s="275"/>
      <c r="R110" s="275"/>
      <c r="S110" s="275"/>
      <c r="T110" s="275"/>
      <c r="U110" s="276">
        <v>0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161</v>
      </c>
      <c r="B111" s="271" t="s">
        <v>185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0</v>
      </c>
      <c r="K111" s="273"/>
      <c r="L111" s="273"/>
      <c r="M111" s="274">
        <v>0</v>
      </c>
      <c r="N111" s="272">
        <v>0</v>
      </c>
      <c r="O111" s="275"/>
      <c r="P111" s="275"/>
      <c r="Q111" s="275"/>
      <c r="R111" s="275"/>
      <c r="S111" s="275"/>
      <c r="T111" s="275"/>
      <c r="U111" s="276">
        <v>0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161</v>
      </c>
      <c r="B112" s="271" t="s">
        <v>577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0</v>
      </c>
      <c r="K112" s="273"/>
      <c r="L112" s="273"/>
      <c r="M112" s="274">
        <v>0</v>
      </c>
      <c r="N112" s="272">
        <v>0</v>
      </c>
      <c r="O112" s="275"/>
      <c r="P112" s="275"/>
      <c r="Q112" s="275"/>
      <c r="R112" s="275"/>
      <c r="S112" s="275"/>
      <c r="T112" s="275"/>
      <c r="U112" s="276">
        <v>0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161</v>
      </c>
      <c r="B113" s="271" t="s">
        <v>186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0</v>
      </c>
      <c r="K113" s="273"/>
      <c r="L113" s="273"/>
      <c r="M113" s="274">
        <v>0</v>
      </c>
      <c r="N113" s="272">
        <v>0</v>
      </c>
      <c r="O113" s="275"/>
      <c r="P113" s="275"/>
      <c r="Q113" s="275"/>
      <c r="R113" s="275"/>
      <c r="S113" s="275"/>
      <c r="T113" s="275"/>
      <c r="U113" s="276">
        <v>0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161</v>
      </c>
      <c r="B114" s="271" t="s">
        <v>187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0</v>
      </c>
      <c r="K114" s="273"/>
      <c r="L114" s="273"/>
      <c r="M114" s="274">
        <v>0</v>
      </c>
      <c r="N114" s="272">
        <v>0</v>
      </c>
      <c r="O114" s="275"/>
      <c r="P114" s="275"/>
      <c r="Q114" s="275"/>
      <c r="R114" s="275"/>
      <c r="S114" s="275"/>
      <c r="T114" s="275"/>
      <c r="U114" s="276">
        <v>0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161</v>
      </c>
      <c r="B115" s="271" t="s">
        <v>578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0</v>
      </c>
      <c r="K115" s="273"/>
      <c r="L115" s="273"/>
      <c r="M115" s="274">
        <v>0</v>
      </c>
      <c r="N115" s="272">
        <v>0</v>
      </c>
      <c r="O115" s="275"/>
      <c r="P115" s="275"/>
      <c r="Q115" s="275"/>
      <c r="R115" s="275"/>
      <c r="S115" s="275"/>
      <c r="T115" s="275"/>
      <c r="U115" s="276">
        <v>0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161</v>
      </c>
      <c r="B116" s="271" t="s">
        <v>188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0</v>
      </c>
      <c r="K116" s="273"/>
      <c r="L116" s="273"/>
      <c r="M116" s="274">
        <v>0</v>
      </c>
      <c r="N116" s="272">
        <v>0</v>
      </c>
      <c r="O116" s="275"/>
      <c r="P116" s="275"/>
      <c r="Q116" s="275"/>
      <c r="R116" s="275"/>
      <c r="S116" s="275"/>
      <c r="T116" s="275"/>
      <c r="U116" s="276">
        <v>0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161</v>
      </c>
      <c r="B117" s="271" t="s">
        <v>189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0</v>
      </c>
      <c r="K117" s="273"/>
      <c r="L117" s="273"/>
      <c r="M117" s="274">
        <v>0</v>
      </c>
      <c r="N117" s="272">
        <v>0</v>
      </c>
      <c r="O117" s="275"/>
      <c r="P117" s="275"/>
      <c r="Q117" s="275"/>
      <c r="R117" s="275"/>
      <c r="S117" s="275"/>
      <c r="T117" s="275"/>
      <c r="U117" s="276">
        <v>0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161</v>
      </c>
      <c r="B118" s="271" t="s">
        <v>579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161</v>
      </c>
      <c r="B119" s="271" t="s">
        <v>580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0</v>
      </c>
      <c r="K119" s="273"/>
      <c r="L119" s="273"/>
      <c r="M119" s="274">
        <v>0</v>
      </c>
      <c r="N119" s="272">
        <v>0</v>
      </c>
      <c r="O119" s="275"/>
      <c r="P119" s="275"/>
      <c r="Q119" s="275"/>
      <c r="R119" s="275"/>
      <c r="S119" s="275"/>
      <c r="T119" s="275"/>
      <c r="U119" s="276">
        <v>0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161</v>
      </c>
      <c r="B120" s="271" t="s">
        <v>581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0</v>
      </c>
      <c r="K120" s="273"/>
      <c r="L120" s="273"/>
      <c r="M120" s="274">
        <v>0</v>
      </c>
      <c r="N120" s="272">
        <v>0</v>
      </c>
      <c r="O120" s="275"/>
      <c r="P120" s="275"/>
      <c r="Q120" s="275"/>
      <c r="R120" s="275"/>
      <c r="S120" s="275"/>
      <c r="T120" s="275"/>
      <c r="U120" s="276">
        <v>0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161</v>
      </c>
      <c r="B121" s="271" t="s">
        <v>582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161</v>
      </c>
      <c r="B122" s="271" t="s">
        <v>190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0</v>
      </c>
      <c r="K122" s="273"/>
      <c r="L122" s="273"/>
      <c r="M122" s="274">
        <v>0</v>
      </c>
      <c r="N122" s="272">
        <v>0</v>
      </c>
      <c r="O122" s="275"/>
      <c r="P122" s="275"/>
      <c r="Q122" s="275"/>
      <c r="R122" s="275"/>
      <c r="S122" s="275"/>
      <c r="T122" s="275"/>
      <c r="U122" s="276">
        <v>0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161</v>
      </c>
      <c r="B123" s="271" t="s">
        <v>191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0</v>
      </c>
      <c r="K123" s="273"/>
      <c r="L123" s="273"/>
      <c r="M123" s="274">
        <v>0</v>
      </c>
      <c r="N123" s="272">
        <v>0</v>
      </c>
      <c r="O123" s="275"/>
      <c r="P123" s="275"/>
      <c r="Q123" s="275"/>
      <c r="R123" s="275"/>
      <c r="S123" s="275"/>
      <c r="T123" s="275"/>
      <c r="U123" s="276">
        <v>0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161</v>
      </c>
      <c r="B124" s="271" t="s">
        <v>583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0</v>
      </c>
      <c r="K124" s="273"/>
      <c r="L124" s="273"/>
      <c r="M124" s="274">
        <v>0</v>
      </c>
      <c r="N124" s="272">
        <v>0</v>
      </c>
      <c r="O124" s="275"/>
      <c r="P124" s="275"/>
      <c r="Q124" s="275"/>
      <c r="R124" s="275"/>
      <c r="S124" s="275"/>
      <c r="T124" s="275"/>
      <c r="U124" s="276">
        <v>0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161</v>
      </c>
      <c r="B125" s="271" t="s">
        <v>192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0</v>
      </c>
      <c r="K125" s="273"/>
      <c r="L125" s="273"/>
      <c r="M125" s="274">
        <v>0</v>
      </c>
      <c r="N125" s="272">
        <v>0</v>
      </c>
      <c r="O125" s="275"/>
      <c r="P125" s="275"/>
      <c r="Q125" s="275"/>
      <c r="R125" s="275"/>
      <c r="S125" s="275"/>
      <c r="T125" s="275"/>
      <c r="U125" s="276">
        <v>0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161</v>
      </c>
      <c r="B126" s="271" t="s">
        <v>193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0</v>
      </c>
      <c r="K126" s="273"/>
      <c r="L126" s="273"/>
      <c r="M126" s="274">
        <v>0</v>
      </c>
      <c r="N126" s="272">
        <v>0</v>
      </c>
      <c r="O126" s="275"/>
      <c r="P126" s="275"/>
      <c r="Q126" s="275"/>
      <c r="R126" s="275"/>
      <c r="S126" s="275"/>
      <c r="T126" s="275"/>
      <c r="U126" s="276">
        <v>0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161</v>
      </c>
      <c r="B127" s="271" t="s">
        <v>584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0</v>
      </c>
      <c r="K127" s="273"/>
      <c r="L127" s="273"/>
      <c r="M127" s="274">
        <v>0</v>
      </c>
      <c r="N127" s="272">
        <v>0</v>
      </c>
      <c r="O127" s="275"/>
      <c r="P127" s="275"/>
      <c r="Q127" s="275"/>
      <c r="R127" s="275"/>
      <c r="S127" s="275"/>
      <c r="T127" s="275"/>
      <c r="U127" s="276">
        <v>0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161</v>
      </c>
      <c r="B128" s="271" t="s">
        <v>194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0</v>
      </c>
      <c r="K128" s="273"/>
      <c r="L128" s="273"/>
      <c r="M128" s="274">
        <v>0</v>
      </c>
      <c r="N128" s="272">
        <v>0</v>
      </c>
      <c r="O128" s="275"/>
      <c r="P128" s="275"/>
      <c r="Q128" s="275"/>
      <c r="R128" s="275"/>
      <c r="S128" s="275"/>
      <c r="T128" s="275"/>
      <c r="U128" s="276">
        <v>0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161</v>
      </c>
      <c r="B129" s="271" t="s">
        <v>195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0</v>
      </c>
      <c r="K129" s="273"/>
      <c r="L129" s="273"/>
      <c r="M129" s="274">
        <v>0</v>
      </c>
      <c r="N129" s="272">
        <v>0</v>
      </c>
      <c r="O129" s="275"/>
      <c r="P129" s="275"/>
      <c r="Q129" s="275"/>
      <c r="R129" s="275"/>
      <c r="S129" s="275"/>
      <c r="T129" s="275"/>
      <c r="U129" s="276">
        <v>0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161</v>
      </c>
      <c r="B130" s="271" t="s">
        <v>585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161</v>
      </c>
      <c r="B131" s="271" t="s">
        <v>586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0</v>
      </c>
      <c r="K131" s="273"/>
      <c r="L131" s="273"/>
      <c r="M131" s="274">
        <v>0</v>
      </c>
      <c r="N131" s="272">
        <v>0</v>
      </c>
      <c r="O131" s="275"/>
      <c r="P131" s="275"/>
      <c r="Q131" s="275"/>
      <c r="R131" s="275"/>
      <c r="S131" s="275"/>
      <c r="T131" s="275"/>
      <c r="U131" s="276">
        <v>0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161</v>
      </c>
      <c r="B132" s="271" t="s">
        <v>587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0</v>
      </c>
      <c r="K132" s="273"/>
      <c r="L132" s="273"/>
      <c r="M132" s="274">
        <v>0</v>
      </c>
      <c r="N132" s="272">
        <v>0</v>
      </c>
      <c r="O132" s="275"/>
      <c r="P132" s="275"/>
      <c r="Q132" s="275"/>
      <c r="R132" s="275"/>
      <c r="S132" s="275"/>
      <c r="T132" s="275"/>
      <c r="U132" s="276">
        <v>0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161</v>
      </c>
      <c r="B133" s="271" t="s">
        <v>588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161</v>
      </c>
      <c r="B134" s="271" t="s">
        <v>196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0</v>
      </c>
      <c r="K134" s="273"/>
      <c r="L134" s="273"/>
      <c r="M134" s="274">
        <v>0</v>
      </c>
      <c r="N134" s="272">
        <v>0</v>
      </c>
      <c r="O134" s="275"/>
      <c r="P134" s="275"/>
      <c r="Q134" s="275"/>
      <c r="R134" s="275"/>
      <c r="S134" s="275"/>
      <c r="T134" s="275"/>
      <c r="U134" s="276">
        <v>0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161</v>
      </c>
      <c r="B135" s="271" t="s">
        <v>197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0</v>
      </c>
      <c r="K135" s="273"/>
      <c r="L135" s="273"/>
      <c r="M135" s="274">
        <v>0</v>
      </c>
      <c r="N135" s="272">
        <v>0</v>
      </c>
      <c r="O135" s="275"/>
      <c r="P135" s="275"/>
      <c r="Q135" s="275"/>
      <c r="R135" s="275"/>
      <c r="S135" s="275"/>
      <c r="T135" s="275"/>
      <c r="U135" s="276">
        <v>0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161</v>
      </c>
      <c r="B136" s="271" t="s">
        <v>589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0</v>
      </c>
      <c r="K136" s="273"/>
      <c r="L136" s="273"/>
      <c r="M136" s="274">
        <v>0</v>
      </c>
      <c r="N136" s="272">
        <v>0</v>
      </c>
      <c r="O136" s="275"/>
      <c r="P136" s="275"/>
      <c r="Q136" s="275"/>
      <c r="R136" s="275"/>
      <c r="S136" s="275"/>
      <c r="T136" s="275"/>
      <c r="U136" s="276">
        <v>0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161</v>
      </c>
      <c r="B137" s="271" t="s">
        <v>198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0</v>
      </c>
      <c r="K137" s="273"/>
      <c r="L137" s="273"/>
      <c r="M137" s="274">
        <v>0</v>
      </c>
      <c r="N137" s="272">
        <v>0</v>
      </c>
      <c r="O137" s="275"/>
      <c r="P137" s="275"/>
      <c r="Q137" s="275"/>
      <c r="R137" s="275"/>
      <c r="S137" s="275"/>
      <c r="T137" s="275"/>
      <c r="U137" s="276">
        <v>0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161</v>
      </c>
      <c r="B138" s="271" t="s">
        <v>199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0</v>
      </c>
      <c r="K138" s="273"/>
      <c r="L138" s="273"/>
      <c r="M138" s="274">
        <v>0</v>
      </c>
      <c r="N138" s="272">
        <v>0</v>
      </c>
      <c r="O138" s="275"/>
      <c r="P138" s="275"/>
      <c r="Q138" s="275"/>
      <c r="R138" s="275"/>
      <c r="S138" s="275"/>
      <c r="T138" s="275"/>
      <c r="U138" s="276">
        <v>0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161</v>
      </c>
      <c r="B139" s="271" t="s">
        <v>590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0</v>
      </c>
      <c r="K139" s="273"/>
      <c r="L139" s="273"/>
      <c r="M139" s="274">
        <v>0</v>
      </c>
      <c r="N139" s="272">
        <v>0</v>
      </c>
      <c r="O139" s="275"/>
      <c r="P139" s="275"/>
      <c r="Q139" s="275"/>
      <c r="R139" s="275"/>
      <c r="S139" s="275"/>
      <c r="T139" s="275"/>
      <c r="U139" s="276">
        <v>0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161</v>
      </c>
      <c r="B140" s="271" t="s">
        <v>200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0</v>
      </c>
      <c r="K140" s="273"/>
      <c r="L140" s="273"/>
      <c r="M140" s="274">
        <v>0</v>
      </c>
      <c r="N140" s="272">
        <v>0</v>
      </c>
      <c r="O140" s="275"/>
      <c r="P140" s="275"/>
      <c r="Q140" s="275"/>
      <c r="R140" s="275"/>
      <c r="S140" s="275"/>
      <c r="T140" s="275"/>
      <c r="U140" s="276">
        <v>0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161</v>
      </c>
      <c r="B141" s="271" t="s">
        <v>201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0</v>
      </c>
      <c r="K141" s="273"/>
      <c r="L141" s="273"/>
      <c r="M141" s="274">
        <v>0</v>
      </c>
      <c r="N141" s="272">
        <v>0</v>
      </c>
      <c r="O141" s="275"/>
      <c r="P141" s="275"/>
      <c r="Q141" s="275"/>
      <c r="R141" s="275"/>
      <c r="S141" s="275"/>
      <c r="T141" s="275"/>
      <c r="U141" s="276">
        <v>0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161</v>
      </c>
      <c r="B142" s="271" t="s">
        <v>591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0</v>
      </c>
      <c r="K142" s="273"/>
      <c r="L142" s="273"/>
      <c r="M142" s="274">
        <v>0</v>
      </c>
      <c r="N142" s="272">
        <v>0</v>
      </c>
      <c r="O142" s="275"/>
      <c r="P142" s="275"/>
      <c r="Q142" s="275"/>
      <c r="R142" s="275"/>
      <c r="S142" s="275"/>
      <c r="T142" s="275"/>
      <c r="U142" s="276">
        <v>0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161</v>
      </c>
      <c r="B143" s="271" t="s">
        <v>592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161</v>
      </c>
      <c r="B144" s="271" t="s">
        <v>593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161</v>
      </c>
      <c r="B145" s="271" t="s">
        <v>594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161</v>
      </c>
      <c r="B146" s="271" t="s">
        <v>595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0</v>
      </c>
      <c r="K146" s="273"/>
      <c r="L146" s="273"/>
      <c r="M146" s="274">
        <v>0</v>
      </c>
      <c r="N146" s="272">
        <v>0</v>
      </c>
      <c r="O146" s="275"/>
      <c r="P146" s="275"/>
      <c r="Q146" s="275"/>
      <c r="R146" s="275"/>
      <c r="S146" s="275"/>
      <c r="T146" s="275"/>
      <c r="U146" s="276">
        <v>0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161</v>
      </c>
      <c r="B147" s="271" t="s">
        <v>596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0</v>
      </c>
      <c r="K147" s="273"/>
      <c r="L147" s="273"/>
      <c r="M147" s="274">
        <v>0</v>
      </c>
      <c r="N147" s="272">
        <v>0</v>
      </c>
      <c r="O147" s="275"/>
      <c r="P147" s="275"/>
      <c r="Q147" s="275"/>
      <c r="R147" s="275"/>
      <c r="S147" s="275"/>
      <c r="T147" s="275"/>
      <c r="U147" s="276">
        <v>0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161</v>
      </c>
      <c r="B148" s="271" t="s">
        <v>597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0</v>
      </c>
      <c r="K148" s="273"/>
      <c r="L148" s="273"/>
      <c r="M148" s="274">
        <v>0</v>
      </c>
      <c r="N148" s="272">
        <v>0</v>
      </c>
      <c r="O148" s="275"/>
      <c r="P148" s="275"/>
      <c r="Q148" s="275"/>
      <c r="R148" s="275"/>
      <c r="S148" s="275"/>
      <c r="T148" s="275"/>
      <c r="U148" s="276">
        <v>0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161</v>
      </c>
      <c r="B149" s="271" t="s">
        <v>598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0</v>
      </c>
      <c r="K149" s="273"/>
      <c r="L149" s="273"/>
      <c r="M149" s="274">
        <v>0</v>
      </c>
      <c r="N149" s="272">
        <v>0</v>
      </c>
      <c r="O149" s="275"/>
      <c r="P149" s="275"/>
      <c r="Q149" s="275"/>
      <c r="R149" s="275"/>
      <c r="S149" s="275"/>
      <c r="T149" s="275"/>
      <c r="U149" s="276">
        <v>0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161</v>
      </c>
      <c r="B150" s="271" t="s">
        <v>599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0</v>
      </c>
      <c r="K150" s="273"/>
      <c r="L150" s="273"/>
      <c r="M150" s="274">
        <v>0</v>
      </c>
      <c r="N150" s="272">
        <v>0</v>
      </c>
      <c r="O150" s="275"/>
      <c r="P150" s="275"/>
      <c r="Q150" s="275"/>
      <c r="R150" s="275"/>
      <c r="S150" s="275"/>
      <c r="T150" s="275"/>
      <c r="U150" s="276">
        <v>0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161</v>
      </c>
      <c r="B151" s="271" t="s">
        <v>600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0</v>
      </c>
      <c r="K151" s="273"/>
      <c r="L151" s="273"/>
      <c r="M151" s="274">
        <v>0</v>
      </c>
      <c r="N151" s="272">
        <v>0</v>
      </c>
      <c r="O151" s="275"/>
      <c r="P151" s="275"/>
      <c r="Q151" s="275"/>
      <c r="R151" s="275"/>
      <c r="S151" s="275"/>
      <c r="T151" s="275"/>
      <c r="U151" s="276">
        <v>0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161</v>
      </c>
      <c r="B152" s="271" t="s">
        <v>601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0</v>
      </c>
      <c r="K152" s="273"/>
      <c r="L152" s="273"/>
      <c r="M152" s="274">
        <v>0</v>
      </c>
      <c r="N152" s="272">
        <v>0</v>
      </c>
      <c r="O152" s="275"/>
      <c r="P152" s="275"/>
      <c r="Q152" s="275"/>
      <c r="R152" s="275"/>
      <c r="S152" s="275"/>
      <c r="T152" s="275"/>
      <c r="U152" s="276">
        <v>0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161</v>
      </c>
      <c r="B153" s="271" t="s">
        <v>602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0</v>
      </c>
      <c r="K153" s="273"/>
      <c r="L153" s="273"/>
      <c r="M153" s="274">
        <v>0</v>
      </c>
      <c r="N153" s="272">
        <v>0</v>
      </c>
      <c r="O153" s="275"/>
      <c r="P153" s="275"/>
      <c r="Q153" s="275"/>
      <c r="R153" s="275"/>
      <c r="S153" s="275"/>
      <c r="T153" s="275"/>
      <c r="U153" s="276">
        <v>0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161</v>
      </c>
      <c r="B154" s="271" t="s">
        <v>603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0</v>
      </c>
      <c r="K154" s="273"/>
      <c r="L154" s="273"/>
      <c r="M154" s="274">
        <v>0</v>
      </c>
      <c r="N154" s="272">
        <v>0</v>
      </c>
      <c r="O154" s="275"/>
      <c r="P154" s="275"/>
      <c r="Q154" s="275"/>
      <c r="R154" s="275"/>
      <c r="S154" s="275"/>
      <c r="T154" s="275"/>
      <c r="U154" s="276">
        <v>0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161</v>
      </c>
      <c r="B155" s="271" t="s">
        <v>604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161</v>
      </c>
      <c r="B156" s="271" t="s">
        <v>605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161</v>
      </c>
      <c r="B157" s="271" t="s">
        <v>606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161</v>
      </c>
      <c r="B158" s="271" t="s">
        <v>202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0</v>
      </c>
      <c r="K158" s="273"/>
      <c r="L158" s="273"/>
      <c r="M158" s="274">
        <v>0</v>
      </c>
      <c r="N158" s="272">
        <v>0</v>
      </c>
      <c r="O158" s="275"/>
      <c r="P158" s="275"/>
      <c r="Q158" s="275"/>
      <c r="R158" s="275"/>
      <c r="S158" s="275"/>
      <c r="T158" s="275"/>
      <c r="U158" s="276">
        <v>0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161</v>
      </c>
      <c r="B159" s="271" t="s">
        <v>607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0</v>
      </c>
      <c r="K159" s="273"/>
      <c r="L159" s="273"/>
      <c r="M159" s="274">
        <v>0</v>
      </c>
      <c r="N159" s="272">
        <v>0</v>
      </c>
      <c r="O159" s="275"/>
      <c r="P159" s="275"/>
      <c r="Q159" s="275"/>
      <c r="R159" s="275"/>
      <c r="S159" s="275"/>
      <c r="T159" s="275"/>
      <c r="U159" s="276">
        <v>0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161</v>
      </c>
      <c r="B160" s="271" t="s">
        <v>203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0</v>
      </c>
      <c r="K160" s="273"/>
      <c r="L160" s="273"/>
      <c r="M160" s="274">
        <v>0</v>
      </c>
      <c r="N160" s="272">
        <v>0</v>
      </c>
      <c r="O160" s="275"/>
      <c r="P160" s="275"/>
      <c r="Q160" s="275"/>
      <c r="R160" s="275"/>
      <c r="S160" s="275"/>
      <c r="T160" s="275"/>
      <c r="U160" s="276">
        <v>0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161</v>
      </c>
      <c r="B161" s="271" t="s">
        <v>608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161</v>
      </c>
      <c r="B162" s="271" t="s">
        <v>609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0</v>
      </c>
      <c r="K162" s="273"/>
      <c r="L162" s="273"/>
      <c r="M162" s="274">
        <v>0</v>
      </c>
      <c r="N162" s="272">
        <v>0</v>
      </c>
      <c r="O162" s="275"/>
      <c r="P162" s="275"/>
      <c r="Q162" s="275"/>
      <c r="R162" s="275"/>
      <c r="S162" s="275"/>
      <c r="T162" s="275"/>
      <c r="U162" s="276">
        <v>0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161</v>
      </c>
      <c r="B163" s="271" t="s">
        <v>610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161</v>
      </c>
      <c r="B164" s="271" t="s">
        <v>204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0</v>
      </c>
      <c r="K164" s="273"/>
      <c r="L164" s="273"/>
      <c r="M164" s="274">
        <v>0</v>
      </c>
      <c r="N164" s="272">
        <v>0</v>
      </c>
      <c r="O164" s="275"/>
      <c r="P164" s="275"/>
      <c r="Q164" s="275"/>
      <c r="R164" s="275"/>
      <c r="S164" s="275"/>
      <c r="T164" s="275"/>
      <c r="U164" s="276">
        <v>0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161</v>
      </c>
      <c r="B165" s="271" t="s">
        <v>611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0</v>
      </c>
      <c r="K165" s="273"/>
      <c r="L165" s="273"/>
      <c r="M165" s="274">
        <v>0</v>
      </c>
      <c r="N165" s="272">
        <v>0</v>
      </c>
      <c r="O165" s="275"/>
      <c r="P165" s="275"/>
      <c r="Q165" s="275"/>
      <c r="R165" s="275"/>
      <c r="S165" s="275"/>
      <c r="T165" s="275"/>
      <c r="U165" s="276">
        <v>0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161</v>
      </c>
      <c r="B166" s="271" t="s">
        <v>205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0</v>
      </c>
      <c r="K166" s="273"/>
      <c r="L166" s="273"/>
      <c r="M166" s="274">
        <v>0</v>
      </c>
      <c r="N166" s="272">
        <v>0</v>
      </c>
      <c r="O166" s="275"/>
      <c r="P166" s="275"/>
      <c r="Q166" s="275"/>
      <c r="R166" s="275"/>
      <c r="S166" s="275"/>
      <c r="T166" s="275"/>
      <c r="U166" s="276">
        <v>0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161</v>
      </c>
      <c r="B167" s="271" t="s">
        <v>612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161</v>
      </c>
      <c r="B168" s="271" t="s">
        <v>613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0</v>
      </c>
      <c r="K168" s="273"/>
      <c r="L168" s="273"/>
      <c r="M168" s="274">
        <v>0</v>
      </c>
      <c r="N168" s="272">
        <v>0</v>
      </c>
      <c r="O168" s="275"/>
      <c r="P168" s="275"/>
      <c r="Q168" s="275"/>
      <c r="R168" s="275"/>
      <c r="S168" s="275"/>
      <c r="T168" s="275"/>
      <c r="U168" s="276">
        <v>0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161</v>
      </c>
      <c r="B169" s="271" t="s">
        <v>614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161</v>
      </c>
      <c r="B170" s="271" t="s">
        <v>206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0</v>
      </c>
      <c r="K170" s="273"/>
      <c r="L170" s="273"/>
      <c r="M170" s="274">
        <v>0</v>
      </c>
      <c r="N170" s="272">
        <v>0</v>
      </c>
      <c r="O170" s="275"/>
      <c r="P170" s="275"/>
      <c r="Q170" s="275"/>
      <c r="R170" s="275"/>
      <c r="S170" s="275"/>
      <c r="T170" s="275"/>
      <c r="U170" s="276">
        <v>0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161</v>
      </c>
      <c r="B171" s="271" t="s">
        <v>615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0</v>
      </c>
      <c r="K171" s="273"/>
      <c r="L171" s="273"/>
      <c r="M171" s="274">
        <v>0</v>
      </c>
      <c r="N171" s="272">
        <v>0</v>
      </c>
      <c r="O171" s="275"/>
      <c r="P171" s="275"/>
      <c r="Q171" s="275"/>
      <c r="R171" s="275"/>
      <c r="S171" s="275"/>
      <c r="T171" s="275"/>
      <c r="U171" s="276">
        <v>0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161</v>
      </c>
      <c r="B172" s="271" t="s">
        <v>207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0</v>
      </c>
      <c r="K172" s="273"/>
      <c r="L172" s="273"/>
      <c r="M172" s="274">
        <v>0</v>
      </c>
      <c r="N172" s="272">
        <v>0</v>
      </c>
      <c r="O172" s="275"/>
      <c r="P172" s="275"/>
      <c r="Q172" s="275"/>
      <c r="R172" s="275"/>
      <c r="S172" s="275"/>
      <c r="T172" s="275"/>
      <c r="U172" s="276">
        <v>0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161</v>
      </c>
      <c r="B173" s="271" t="s">
        <v>616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0</v>
      </c>
      <c r="K173" s="273"/>
      <c r="L173" s="273"/>
      <c r="M173" s="274">
        <v>0</v>
      </c>
      <c r="N173" s="272">
        <v>0</v>
      </c>
      <c r="O173" s="275"/>
      <c r="P173" s="275"/>
      <c r="Q173" s="275"/>
      <c r="R173" s="275"/>
      <c r="S173" s="275"/>
      <c r="T173" s="275"/>
      <c r="U173" s="276">
        <v>0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161</v>
      </c>
      <c r="B174" s="271" t="s">
        <v>617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161</v>
      </c>
      <c r="B175" s="271" t="s">
        <v>618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161</v>
      </c>
      <c r="B176" s="271" t="s">
        <v>619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0</v>
      </c>
      <c r="K176" s="273"/>
      <c r="L176" s="273"/>
      <c r="M176" s="274">
        <v>0</v>
      </c>
      <c r="N176" s="272">
        <v>0</v>
      </c>
      <c r="O176" s="275"/>
      <c r="P176" s="275"/>
      <c r="Q176" s="275"/>
      <c r="R176" s="275"/>
      <c r="S176" s="275"/>
      <c r="T176" s="275"/>
      <c r="U176" s="276">
        <v>0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161</v>
      </c>
      <c r="B177" s="271" t="s">
        <v>620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0</v>
      </c>
      <c r="K177" s="273"/>
      <c r="L177" s="273"/>
      <c r="M177" s="274">
        <v>0</v>
      </c>
      <c r="N177" s="272">
        <v>0</v>
      </c>
      <c r="O177" s="275"/>
      <c r="P177" s="275"/>
      <c r="Q177" s="275"/>
      <c r="R177" s="275"/>
      <c r="S177" s="275"/>
      <c r="T177" s="275"/>
      <c r="U177" s="276">
        <v>0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161</v>
      </c>
      <c r="B178" s="271" t="s">
        <v>621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0</v>
      </c>
      <c r="K178" s="273"/>
      <c r="L178" s="273"/>
      <c r="M178" s="274">
        <v>0</v>
      </c>
      <c r="N178" s="272">
        <v>0</v>
      </c>
      <c r="O178" s="275"/>
      <c r="P178" s="275"/>
      <c r="Q178" s="275"/>
      <c r="R178" s="275"/>
      <c r="S178" s="275"/>
      <c r="T178" s="275"/>
      <c r="U178" s="276">
        <v>0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161</v>
      </c>
      <c r="B179" s="271" t="s">
        <v>622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0</v>
      </c>
      <c r="K179" s="273"/>
      <c r="L179" s="273"/>
      <c r="M179" s="274">
        <v>0</v>
      </c>
      <c r="N179" s="272">
        <v>0</v>
      </c>
      <c r="O179" s="275"/>
      <c r="P179" s="275"/>
      <c r="Q179" s="275"/>
      <c r="R179" s="275"/>
      <c r="S179" s="275"/>
      <c r="T179" s="275"/>
      <c r="U179" s="276">
        <v>0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161</v>
      </c>
      <c r="B180" s="271" t="s">
        <v>623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161</v>
      </c>
      <c r="B181" s="271" t="s">
        <v>624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161</v>
      </c>
      <c r="B182" s="271" t="s">
        <v>208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0</v>
      </c>
      <c r="K182" s="273"/>
      <c r="L182" s="273"/>
      <c r="M182" s="274">
        <v>0</v>
      </c>
      <c r="N182" s="272">
        <v>0</v>
      </c>
      <c r="O182" s="275"/>
      <c r="P182" s="275"/>
      <c r="Q182" s="275"/>
      <c r="R182" s="275"/>
      <c r="S182" s="275"/>
      <c r="T182" s="275"/>
      <c r="U182" s="276">
        <v>0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161</v>
      </c>
      <c r="B183" s="271" t="s">
        <v>625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0</v>
      </c>
      <c r="K183" s="273"/>
      <c r="L183" s="273"/>
      <c r="M183" s="274">
        <v>0</v>
      </c>
      <c r="N183" s="272">
        <v>0</v>
      </c>
      <c r="O183" s="275"/>
      <c r="P183" s="275"/>
      <c r="Q183" s="275"/>
      <c r="R183" s="275"/>
      <c r="S183" s="275"/>
      <c r="T183" s="275"/>
      <c r="U183" s="276">
        <v>0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161</v>
      </c>
      <c r="B184" s="271" t="s">
        <v>209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0</v>
      </c>
      <c r="K184" s="273"/>
      <c r="L184" s="273"/>
      <c r="M184" s="274">
        <v>0</v>
      </c>
      <c r="N184" s="272">
        <v>0</v>
      </c>
      <c r="O184" s="275"/>
      <c r="P184" s="275"/>
      <c r="Q184" s="275"/>
      <c r="R184" s="275"/>
      <c r="S184" s="275"/>
      <c r="T184" s="275"/>
      <c r="U184" s="276">
        <v>0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161</v>
      </c>
      <c r="B185" s="271" t="s">
        <v>626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161</v>
      </c>
      <c r="B186" s="271" t="s">
        <v>627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0</v>
      </c>
      <c r="K186" s="273"/>
      <c r="L186" s="273"/>
      <c r="M186" s="274">
        <v>0</v>
      </c>
      <c r="N186" s="272">
        <v>0</v>
      </c>
      <c r="O186" s="275"/>
      <c r="P186" s="275"/>
      <c r="Q186" s="275"/>
      <c r="R186" s="275"/>
      <c r="S186" s="275"/>
      <c r="T186" s="275"/>
      <c r="U186" s="276">
        <v>0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161</v>
      </c>
      <c r="B187" s="271" t="s">
        <v>628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161</v>
      </c>
      <c r="B188" s="271" t="s">
        <v>210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0</v>
      </c>
      <c r="K188" s="273"/>
      <c r="L188" s="273"/>
      <c r="M188" s="274">
        <v>0</v>
      </c>
      <c r="N188" s="272">
        <v>0</v>
      </c>
      <c r="O188" s="275"/>
      <c r="P188" s="275"/>
      <c r="Q188" s="275"/>
      <c r="R188" s="275"/>
      <c r="S188" s="275"/>
      <c r="T188" s="275"/>
      <c r="U188" s="276">
        <v>0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161</v>
      </c>
      <c r="B189" s="271" t="s">
        <v>629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0</v>
      </c>
      <c r="K189" s="273"/>
      <c r="L189" s="273"/>
      <c r="M189" s="274">
        <v>0</v>
      </c>
      <c r="N189" s="272">
        <v>0</v>
      </c>
      <c r="O189" s="275"/>
      <c r="P189" s="275"/>
      <c r="Q189" s="275"/>
      <c r="R189" s="275"/>
      <c r="S189" s="275"/>
      <c r="T189" s="275"/>
      <c r="U189" s="276">
        <v>0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161</v>
      </c>
      <c r="B190" s="271" t="s">
        <v>211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0</v>
      </c>
      <c r="K190" s="273"/>
      <c r="L190" s="273"/>
      <c r="M190" s="274">
        <v>0</v>
      </c>
      <c r="N190" s="272">
        <v>0</v>
      </c>
      <c r="O190" s="275"/>
      <c r="P190" s="275"/>
      <c r="Q190" s="275"/>
      <c r="R190" s="275"/>
      <c r="S190" s="275"/>
      <c r="T190" s="275"/>
      <c r="U190" s="276">
        <v>0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161</v>
      </c>
      <c r="B191" s="271" t="s">
        <v>630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161</v>
      </c>
      <c r="B192" s="271" t="s">
        <v>631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0</v>
      </c>
      <c r="K192" s="273"/>
      <c r="L192" s="273"/>
      <c r="M192" s="274">
        <v>0</v>
      </c>
      <c r="N192" s="272">
        <v>0</v>
      </c>
      <c r="O192" s="275"/>
      <c r="P192" s="275"/>
      <c r="Q192" s="275"/>
      <c r="R192" s="275"/>
      <c r="S192" s="275"/>
      <c r="T192" s="275"/>
      <c r="U192" s="276">
        <v>0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161</v>
      </c>
      <c r="B193" s="271" t="s">
        <v>632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161</v>
      </c>
      <c r="B194" s="271" t="s">
        <v>212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0</v>
      </c>
      <c r="K194" s="273"/>
      <c r="L194" s="273"/>
      <c r="M194" s="274">
        <v>0</v>
      </c>
      <c r="N194" s="272">
        <v>0</v>
      </c>
      <c r="O194" s="275"/>
      <c r="P194" s="275"/>
      <c r="Q194" s="275"/>
      <c r="R194" s="275"/>
      <c r="S194" s="275"/>
      <c r="T194" s="275"/>
      <c r="U194" s="276">
        <v>0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161</v>
      </c>
      <c r="B195" s="271" t="s">
        <v>633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0</v>
      </c>
      <c r="K195" s="273"/>
      <c r="L195" s="273"/>
      <c r="M195" s="274">
        <v>0</v>
      </c>
      <c r="N195" s="272">
        <v>0</v>
      </c>
      <c r="O195" s="275"/>
      <c r="P195" s="275"/>
      <c r="Q195" s="275"/>
      <c r="R195" s="275"/>
      <c r="S195" s="275"/>
      <c r="T195" s="275"/>
      <c r="U195" s="276">
        <v>0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161</v>
      </c>
      <c r="B196" s="271" t="s">
        <v>213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0</v>
      </c>
      <c r="K196" s="273"/>
      <c r="L196" s="273"/>
      <c r="M196" s="274">
        <v>0</v>
      </c>
      <c r="N196" s="272">
        <v>0</v>
      </c>
      <c r="O196" s="275"/>
      <c r="P196" s="275"/>
      <c r="Q196" s="275"/>
      <c r="R196" s="275"/>
      <c r="S196" s="275"/>
      <c r="T196" s="275"/>
      <c r="U196" s="276">
        <v>0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161</v>
      </c>
      <c r="B197" s="271" t="s">
        <v>634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0</v>
      </c>
      <c r="K197" s="273"/>
      <c r="L197" s="273"/>
      <c r="M197" s="274">
        <v>0</v>
      </c>
      <c r="N197" s="272">
        <v>0</v>
      </c>
      <c r="O197" s="275"/>
      <c r="P197" s="275"/>
      <c r="Q197" s="275"/>
      <c r="R197" s="275"/>
      <c r="S197" s="275"/>
      <c r="T197" s="275"/>
      <c r="U197" s="276">
        <v>0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161</v>
      </c>
      <c r="B198" s="271" t="s">
        <v>635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161</v>
      </c>
      <c r="B199" s="271" t="s">
        <v>636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161</v>
      </c>
      <c r="B200" s="271" t="s">
        <v>637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0</v>
      </c>
      <c r="K200" s="273"/>
      <c r="L200" s="273"/>
      <c r="M200" s="274">
        <v>0</v>
      </c>
      <c r="N200" s="272">
        <v>0</v>
      </c>
      <c r="O200" s="275"/>
      <c r="P200" s="275"/>
      <c r="Q200" s="275"/>
      <c r="R200" s="275"/>
      <c r="S200" s="275"/>
      <c r="T200" s="275"/>
      <c r="U200" s="276">
        <v>0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161</v>
      </c>
      <c r="B201" s="271" t="s">
        <v>638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0</v>
      </c>
      <c r="K201" s="273"/>
      <c r="L201" s="273"/>
      <c r="M201" s="274">
        <v>0</v>
      </c>
      <c r="N201" s="272">
        <v>0</v>
      </c>
      <c r="O201" s="275"/>
      <c r="P201" s="275"/>
      <c r="Q201" s="275"/>
      <c r="R201" s="275"/>
      <c r="S201" s="275"/>
      <c r="T201" s="275"/>
      <c r="U201" s="276">
        <v>0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161</v>
      </c>
      <c r="B202" s="271" t="s">
        <v>639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0</v>
      </c>
      <c r="K202" s="273"/>
      <c r="L202" s="273"/>
      <c r="M202" s="274">
        <v>0</v>
      </c>
      <c r="N202" s="272">
        <v>0</v>
      </c>
      <c r="O202" s="275"/>
      <c r="P202" s="275"/>
      <c r="Q202" s="275"/>
      <c r="R202" s="275"/>
      <c r="S202" s="275"/>
      <c r="T202" s="275"/>
      <c r="U202" s="276">
        <v>0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161</v>
      </c>
      <c r="B203" s="271" t="s">
        <v>640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0</v>
      </c>
      <c r="K203" s="273"/>
      <c r="L203" s="273"/>
      <c r="M203" s="274">
        <v>0</v>
      </c>
      <c r="N203" s="272">
        <v>0</v>
      </c>
      <c r="O203" s="275"/>
      <c r="P203" s="275"/>
      <c r="Q203" s="275"/>
      <c r="R203" s="275"/>
      <c r="S203" s="275"/>
      <c r="T203" s="275"/>
      <c r="U203" s="276">
        <v>0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161</v>
      </c>
      <c r="B204" s="271" t="s">
        <v>641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161</v>
      </c>
      <c r="B205" s="271" t="s">
        <v>642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161</v>
      </c>
      <c r="B206" s="271" t="s">
        <v>214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0</v>
      </c>
      <c r="K206" s="273"/>
      <c r="L206" s="273"/>
      <c r="M206" s="274">
        <v>0</v>
      </c>
      <c r="N206" s="272">
        <v>0</v>
      </c>
      <c r="O206" s="275"/>
      <c r="P206" s="275"/>
      <c r="Q206" s="275"/>
      <c r="R206" s="275"/>
      <c r="S206" s="275"/>
      <c r="T206" s="275"/>
      <c r="U206" s="276">
        <v>0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161</v>
      </c>
      <c r="B207" s="271" t="s">
        <v>643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0</v>
      </c>
      <c r="K207" s="273"/>
      <c r="L207" s="273"/>
      <c r="M207" s="274">
        <v>0</v>
      </c>
      <c r="N207" s="272">
        <v>0</v>
      </c>
      <c r="O207" s="275"/>
      <c r="P207" s="275"/>
      <c r="Q207" s="275"/>
      <c r="R207" s="275"/>
      <c r="S207" s="275"/>
      <c r="T207" s="275"/>
      <c r="U207" s="276">
        <v>0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161</v>
      </c>
      <c r="B208" s="271" t="s">
        <v>215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0</v>
      </c>
      <c r="K208" s="273"/>
      <c r="L208" s="273"/>
      <c r="M208" s="274">
        <v>0</v>
      </c>
      <c r="N208" s="272">
        <v>0</v>
      </c>
      <c r="O208" s="275"/>
      <c r="P208" s="275"/>
      <c r="Q208" s="275"/>
      <c r="R208" s="275"/>
      <c r="S208" s="275"/>
      <c r="T208" s="275"/>
      <c r="U208" s="276">
        <v>0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161</v>
      </c>
      <c r="B209" s="271" t="s">
        <v>644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161</v>
      </c>
      <c r="B210" s="271" t="s">
        <v>645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0</v>
      </c>
      <c r="K210" s="273"/>
      <c r="L210" s="273"/>
      <c r="M210" s="274">
        <v>0</v>
      </c>
      <c r="N210" s="272">
        <v>0</v>
      </c>
      <c r="O210" s="275"/>
      <c r="P210" s="275"/>
      <c r="Q210" s="275"/>
      <c r="R210" s="275"/>
      <c r="S210" s="275"/>
      <c r="T210" s="275"/>
      <c r="U210" s="276">
        <v>0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161</v>
      </c>
      <c r="B211" s="271" t="s">
        <v>646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161</v>
      </c>
      <c r="B212" s="271" t="s">
        <v>216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0</v>
      </c>
      <c r="K212" s="273"/>
      <c r="L212" s="273"/>
      <c r="M212" s="274">
        <v>0</v>
      </c>
      <c r="N212" s="272">
        <v>0</v>
      </c>
      <c r="O212" s="275"/>
      <c r="P212" s="275"/>
      <c r="Q212" s="275"/>
      <c r="R212" s="275"/>
      <c r="S212" s="275"/>
      <c r="T212" s="275"/>
      <c r="U212" s="276">
        <v>0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161</v>
      </c>
      <c r="B213" s="271" t="s">
        <v>647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0</v>
      </c>
      <c r="K213" s="273"/>
      <c r="L213" s="273"/>
      <c r="M213" s="274">
        <v>0</v>
      </c>
      <c r="N213" s="272">
        <v>0</v>
      </c>
      <c r="O213" s="275"/>
      <c r="P213" s="275"/>
      <c r="Q213" s="275"/>
      <c r="R213" s="275"/>
      <c r="S213" s="275"/>
      <c r="T213" s="275"/>
      <c r="U213" s="276">
        <v>0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161</v>
      </c>
      <c r="B214" s="271" t="s">
        <v>217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0</v>
      </c>
      <c r="K214" s="273"/>
      <c r="L214" s="273"/>
      <c r="M214" s="274">
        <v>0</v>
      </c>
      <c r="N214" s="272">
        <v>0</v>
      </c>
      <c r="O214" s="275"/>
      <c r="P214" s="275"/>
      <c r="Q214" s="275"/>
      <c r="R214" s="275"/>
      <c r="S214" s="275"/>
      <c r="T214" s="275"/>
      <c r="U214" s="276">
        <v>0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161</v>
      </c>
      <c r="B215" s="271" t="s">
        <v>648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161</v>
      </c>
      <c r="B216" s="271" t="s">
        <v>649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0</v>
      </c>
      <c r="K216" s="273"/>
      <c r="L216" s="273"/>
      <c r="M216" s="274">
        <v>0</v>
      </c>
      <c r="N216" s="272">
        <v>0</v>
      </c>
      <c r="O216" s="275"/>
      <c r="P216" s="275"/>
      <c r="Q216" s="275"/>
      <c r="R216" s="275"/>
      <c r="S216" s="275"/>
      <c r="T216" s="275"/>
      <c r="U216" s="276">
        <v>0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161</v>
      </c>
      <c r="B217" s="271" t="s">
        <v>650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161</v>
      </c>
      <c r="B218" s="271" t="s">
        <v>218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0</v>
      </c>
      <c r="K218" s="273"/>
      <c r="L218" s="273"/>
      <c r="M218" s="274">
        <v>0</v>
      </c>
      <c r="N218" s="272">
        <v>0</v>
      </c>
      <c r="O218" s="275"/>
      <c r="P218" s="275"/>
      <c r="Q218" s="275"/>
      <c r="R218" s="275"/>
      <c r="S218" s="275"/>
      <c r="T218" s="275"/>
      <c r="U218" s="276">
        <v>0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161</v>
      </c>
      <c r="B219" s="271" t="s">
        <v>651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0</v>
      </c>
      <c r="K219" s="273"/>
      <c r="L219" s="273"/>
      <c r="M219" s="274">
        <v>0</v>
      </c>
      <c r="N219" s="272">
        <v>0</v>
      </c>
      <c r="O219" s="275"/>
      <c r="P219" s="275"/>
      <c r="Q219" s="275"/>
      <c r="R219" s="275"/>
      <c r="S219" s="275"/>
      <c r="T219" s="275"/>
      <c r="U219" s="276">
        <v>0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161</v>
      </c>
      <c r="B220" s="271" t="s">
        <v>219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0</v>
      </c>
      <c r="K220" s="273"/>
      <c r="L220" s="273"/>
      <c r="M220" s="274">
        <v>0</v>
      </c>
      <c r="N220" s="272">
        <v>0</v>
      </c>
      <c r="O220" s="275"/>
      <c r="P220" s="275"/>
      <c r="Q220" s="275"/>
      <c r="R220" s="275"/>
      <c r="S220" s="275"/>
      <c r="T220" s="275"/>
      <c r="U220" s="276">
        <v>0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161</v>
      </c>
      <c r="B221" s="271" t="s">
        <v>652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0</v>
      </c>
      <c r="K221" s="273"/>
      <c r="L221" s="273"/>
      <c r="M221" s="274">
        <v>0</v>
      </c>
      <c r="N221" s="272">
        <v>0</v>
      </c>
      <c r="O221" s="275"/>
      <c r="P221" s="275"/>
      <c r="Q221" s="275"/>
      <c r="R221" s="275"/>
      <c r="S221" s="275"/>
      <c r="T221" s="275"/>
      <c r="U221" s="276">
        <v>0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161</v>
      </c>
      <c r="B222" s="271" t="s">
        <v>653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161</v>
      </c>
      <c r="B223" s="271" t="s">
        <v>654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161</v>
      </c>
      <c r="B224" s="271" t="s">
        <v>655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0</v>
      </c>
      <c r="K224" s="273"/>
      <c r="L224" s="273"/>
      <c r="M224" s="274">
        <v>0</v>
      </c>
      <c r="N224" s="272">
        <v>0</v>
      </c>
      <c r="O224" s="275"/>
      <c r="P224" s="275"/>
      <c r="Q224" s="275"/>
      <c r="R224" s="275"/>
      <c r="S224" s="275"/>
      <c r="T224" s="275"/>
      <c r="U224" s="276">
        <v>0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161</v>
      </c>
      <c r="B225" s="271" t="s">
        <v>656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0</v>
      </c>
      <c r="K225" s="273"/>
      <c r="L225" s="273"/>
      <c r="M225" s="274">
        <v>0</v>
      </c>
      <c r="N225" s="272">
        <v>0</v>
      </c>
      <c r="O225" s="275"/>
      <c r="P225" s="275"/>
      <c r="Q225" s="275"/>
      <c r="R225" s="275"/>
      <c r="S225" s="275"/>
      <c r="T225" s="275"/>
      <c r="U225" s="276">
        <v>0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161</v>
      </c>
      <c r="B226" s="271" t="s">
        <v>657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0</v>
      </c>
      <c r="K226" s="273"/>
      <c r="L226" s="273"/>
      <c r="M226" s="274">
        <v>0</v>
      </c>
      <c r="N226" s="272">
        <v>0</v>
      </c>
      <c r="O226" s="275"/>
      <c r="P226" s="275"/>
      <c r="Q226" s="275"/>
      <c r="R226" s="275"/>
      <c r="S226" s="275"/>
      <c r="T226" s="275"/>
      <c r="U226" s="276">
        <v>0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161</v>
      </c>
      <c r="B227" s="271" t="s">
        <v>658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0</v>
      </c>
      <c r="K227" s="273"/>
      <c r="L227" s="273"/>
      <c r="M227" s="274">
        <v>0</v>
      </c>
      <c r="N227" s="272">
        <v>0</v>
      </c>
      <c r="O227" s="275"/>
      <c r="P227" s="275"/>
      <c r="Q227" s="275"/>
      <c r="R227" s="275"/>
      <c r="S227" s="275"/>
      <c r="T227" s="275"/>
      <c r="U227" s="276">
        <v>0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161</v>
      </c>
      <c r="B228" s="271" t="s">
        <v>659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161</v>
      </c>
      <c r="B229" s="271" t="s">
        <v>660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161</v>
      </c>
      <c r="B230" s="271" t="s">
        <v>220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0</v>
      </c>
      <c r="K230" s="273"/>
      <c r="L230" s="273"/>
      <c r="M230" s="274">
        <v>0</v>
      </c>
      <c r="N230" s="272">
        <v>0</v>
      </c>
      <c r="O230" s="275"/>
      <c r="P230" s="275"/>
      <c r="Q230" s="275"/>
      <c r="R230" s="275"/>
      <c r="S230" s="275"/>
      <c r="T230" s="275"/>
      <c r="U230" s="276">
        <v>0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161</v>
      </c>
      <c r="B231" s="271" t="s">
        <v>661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0</v>
      </c>
      <c r="K231" s="273"/>
      <c r="L231" s="273"/>
      <c r="M231" s="274">
        <v>0</v>
      </c>
      <c r="N231" s="272">
        <v>0</v>
      </c>
      <c r="O231" s="275"/>
      <c r="P231" s="275"/>
      <c r="Q231" s="275"/>
      <c r="R231" s="275"/>
      <c r="S231" s="275"/>
      <c r="T231" s="275"/>
      <c r="U231" s="276">
        <v>0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161</v>
      </c>
      <c r="B232" s="271" t="s">
        <v>221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0</v>
      </c>
      <c r="K232" s="273"/>
      <c r="L232" s="273"/>
      <c r="M232" s="274">
        <v>0</v>
      </c>
      <c r="N232" s="272">
        <v>0</v>
      </c>
      <c r="O232" s="275"/>
      <c r="P232" s="275"/>
      <c r="Q232" s="275"/>
      <c r="R232" s="275"/>
      <c r="S232" s="275"/>
      <c r="T232" s="275"/>
      <c r="U232" s="276">
        <v>0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161</v>
      </c>
      <c r="B233" s="271" t="s">
        <v>662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0</v>
      </c>
      <c r="K233" s="273"/>
      <c r="L233" s="273"/>
      <c r="M233" s="274">
        <v>0</v>
      </c>
      <c r="N233" s="272">
        <v>0</v>
      </c>
      <c r="O233" s="275"/>
      <c r="P233" s="275"/>
      <c r="Q233" s="275"/>
      <c r="R233" s="275"/>
      <c r="S233" s="275"/>
      <c r="T233" s="275"/>
      <c r="U233" s="276">
        <v>0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161</v>
      </c>
      <c r="B234" s="271" t="s">
        <v>663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0</v>
      </c>
      <c r="K234" s="273"/>
      <c r="L234" s="273"/>
      <c r="M234" s="274">
        <v>0</v>
      </c>
      <c r="N234" s="272">
        <v>0</v>
      </c>
      <c r="O234" s="275"/>
      <c r="P234" s="275"/>
      <c r="Q234" s="275"/>
      <c r="R234" s="275"/>
      <c r="S234" s="275"/>
      <c r="T234" s="275"/>
      <c r="U234" s="276">
        <v>0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161</v>
      </c>
      <c r="B235" s="271" t="s">
        <v>664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0</v>
      </c>
      <c r="K235" s="273"/>
      <c r="L235" s="273"/>
      <c r="M235" s="274">
        <v>0</v>
      </c>
      <c r="N235" s="272">
        <v>0</v>
      </c>
      <c r="O235" s="275"/>
      <c r="P235" s="275"/>
      <c r="Q235" s="275"/>
      <c r="R235" s="275"/>
      <c r="S235" s="275"/>
      <c r="T235" s="275"/>
      <c r="U235" s="276">
        <v>0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161</v>
      </c>
      <c r="B236" s="271" t="s">
        <v>222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0</v>
      </c>
      <c r="K236" s="273"/>
      <c r="L236" s="273"/>
      <c r="M236" s="274">
        <v>0</v>
      </c>
      <c r="N236" s="272">
        <v>0</v>
      </c>
      <c r="O236" s="275"/>
      <c r="P236" s="275"/>
      <c r="Q236" s="275"/>
      <c r="R236" s="275"/>
      <c r="S236" s="275"/>
      <c r="T236" s="275"/>
      <c r="U236" s="276">
        <v>0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161</v>
      </c>
      <c r="B237" s="271" t="s">
        <v>665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0</v>
      </c>
      <c r="K237" s="273"/>
      <c r="L237" s="273"/>
      <c r="M237" s="274">
        <v>0</v>
      </c>
      <c r="N237" s="272">
        <v>0</v>
      </c>
      <c r="O237" s="275"/>
      <c r="P237" s="275"/>
      <c r="Q237" s="275"/>
      <c r="R237" s="275"/>
      <c r="S237" s="275"/>
      <c r="T237" s="275"/>
      <c r="U237" s="276">
        <v>0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161</v>
      </c>
      <c r="B238" s="271" t="s">
        <v>223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0</v>
      </c>
      <c r="K238" s="273"/>
      <c r="L238" s="273"/>
      <c r="M238" s="274">
        <v>0</v>
      </c>
      <c r="N238" s="272">
        <v>0</v>
      </c>
      <c r="O238" s="275"/>
      <c r="P238" s="275"/>
      <c r="Q238" s="275"/>
      <c r="R238" s="275"/>
      <c r="S238" s="275"/>
      <c r="T238" s="275"/>
      <c r="U238" s="276">
        <v>0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161</v>
      </c>
      <c r="B239" s="271" t="s">
        <v>666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0</v>
      </c>
      <c r="K239" s="273"/>
      <c r="L239" s="273"/>
      <c r="M239" s="274">
        <v>0</v>
      </c>
      <c r="N239" s="272">
        <v>0</v>
      </c>
      <c r="O239" s="275"/>
      <c r="P239" s="275"/>
      <c r="Q239" s="275"/>
      <c r="R239" s="275"/>
      <c r="S239" s="275"/>
      <c r="T239" s="275"/>
      <c r="U239" s="276">
        <v>0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161</v>
      </c>
      <c r="B240" s="271" t="s">
        <v>667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0</v>
      </c>
      <c r="K240" s="273"/>
      <c r="L240" s="273"/>
      <c r="M240" s="274">
        <v>0</v>
      </c>
      <c r="N240" s="272">
        <v>0</v>
      </c>
      <c r="O240" s="275"/>
      <c r="P240" s="275"/>
      <c r="Q240" s="275"/>
      <c r="R240" s="275"/>
      <c r="S240" s="275"/>
      <c r="T240" s="275"/>
      <c r="U240" s="276">
        <v>0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161</v>
      </c>
      <c r="B241" s="271" t="s">
        <v>668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0</v>
      </c>
      <c r="K241" s="273"/>
      <c r="L241" s="273"/>
      <c r="M241" s="274">
        <v>0</v>
      </c>
      <c r="N241" s="272">
        <v>0</v>
      </c>
      <c r="O241" s="275"/>
      <c r="P241" s="275"/>
      <c r="Q241" s="275"/>
      <c r="R241" s="275"/>
      <c r="S241" s="275"/>
      <c r="T241" s="275"/>
      <c r="U241" s="276">
        <v>0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161</v>
      </c>
      <c r="B242" s="271" t="s">
        <v>224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0</v>
      </c>
      <c r="K242" s="273"/>
      <c r="L242" s="273"/>
      <c r="M242" s="274">
        <v>0</v>
      </c>
      <c r="N242" s="272">
        <v>0</v>
      </c>
      <c r="O242" s="275"/>
      <c r="P242" s="275"/>
      <c r="Q242" s="275"/>
      <c r="R242" s="275"/>
      <c r="S242" s="275"/>
      <c r="T242" s="275"/>
      <c r="U242" s="276">
        <v>0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161</v>
      </c>
      <c r="B243" s="271" t="s">
        <v>669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0</v>
      </c>
      <c r="K243" s="273"/>
      <c r="L243" s="273"/>
      <c r="M243" s="274">
        <v>0</v>
      </c>
      <c r="N243" s="272">
        <v>0</v>
      </c>
      <c r="O243" s="275"/>
      <c r="P243" s="275"/>
      <c r="Q243" s="275"/>
      <c r="R243" s="275"/>
      <c r="S243" s="275"/>
      <c r="T243" s="275"/>
      <c r="U243" s="276">
        <v>0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161</v>
      </c>
      <c r="B244" s="271" t="s">
        <v>225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0</v>
      </c>
      <c r="K244" s="273"/>
      <c r="L244" s="273"/>
      <c r="M244" s="274">
        <v>0</v>
      </c>
      <c r="N244" s="272">
        <v>0</v>
      </c>
      <c r="O244" s="275"/>
      <c r="P244" s="275"/>
      <c r="Q244" s="275"/>
      <c r="R244" s="275"/>
      <c r="S244" s="275"/>
      <c r="T244" s="275"/>
      <c r="U244" s="276">
        <v>0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161</v>
      </c>
      <c r="B245" s="271" t="s">
        <v>670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0</v>
      </c>
      <c r="K245" s="273"/>
      <c r="L245" s="273"/>
      <c r="M245" s="274">
        <v>0</v>
      </c>
      <c r="N245" s="272">
        <v>0</v>
      </c>
      <c r="O245" s="275"/>
      <c r="P245" s="275"/>
      <c r="Q245" s="275"/>
      <c r="R245" s="275"/>
      <c r="S245" s="275"/>
      <c r="T245" s="275"/>
      <c r="U245" s="276">
        <v>0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161</v>
      </c>
      <c r="B246" s="271" t="s">
        <v>671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0</v>
      </c>
      <c r="K246" s="273"/>
      <c r="L246" s="273"/>
      <c r="M246" s="274">
        <v>0</v>
      </c>
      <c r="N246" s="272">
        <v>0</v>
      </c>
      <c r="O246" s="275"/>
      <c r="P246" s="275"/>
      <c r="Q246" s="275"/>
      <c r="R246" s="275"/>
      <c r="S246" s="275"/>
      <c r="T246" s="275"/>
      <c r="U246" s="276">
        <v>0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161</v>
      </c>
      <c r="B247" s="271" t="s">
        <v>672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0</v>
      </c>
      <c r="K247" s="273"/>
      <c r="L247" s="273"/>
      <c r="M247" s="274">
        <v>0</v>
      </c>
      <c r="N247" s="272">
        <v>0</v>
      </c>
      <c r="O247" s="275"/>
      <c r="P247" s="275"/>
      <c r="Q247" s="275"/>
      <c r="R247" s="275"/>
      <c r="S247" s="275"/>
      <c r="T247" s="275"/>
      <c r="U247" s="276">
        <v>0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161</v>
      </c>
      <c r="B248" s="271" t="s">
        <v>673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161</v>
      </c>
      <c r="B249" s="271" t="s">
        <v>674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161</v>
      </c>
      <c r="B250" s="271" t="s">
        <v>675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161</v>
      </c>
      <c r="B251" s="271" t="s">
        <v>676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161</v>
      </c>
      <c r="B252" s="271" t="s">
        <v>677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161</v>
      </c>
      <c r="B253" s="271" t="s">
        <v>678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161</v>
      </c>
      <c r="B254" s="271" t="s">
        <v>679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0</v>
      </c>
      <c r="K254" s="273"/>
      <c r="L254" s="273"/>
      <c r="M254" s="274">
        <v>0</v>
      </c>
      <c r="N254" s="272">
        <v>0</v>
      </c>
      <c r="O254" s="275"/>
      <c r="P254" s="275"/>
      <c r="Q254" s="275"/>
      <c r="R254" s="275"/>
      <c r="S254" s="275"/>
      <c r="T254" s="275"/>
      <c r="U254" s="276">
        <v>0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161</v>
      </c>
      <c r="B255" s="271" t="s">
        <v>680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0</v>
      </c>
      <c r="K255" s="273"/>
      <c r="L255" s="273"/>
      <c r="M255" s="274">
        <v>0</v>
      </c>
      <c r="N255" s="272">
        <v>0</v>
      </c>
      <c r="O255" s="275"/>
      <c r="P255" s="275"/>
      <c r="Q255" s="275"/>
      <c r="R255" s="275"/>
      <c r="S255" s="275"/>
      <c r="T255" s="275"/>
      <c r="U255" s="276">
        <v>0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161</v>
      </c>
      <c r="B256" s="271" t="s">
        <v>681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0</v>
      </c>
      <c r="K256" s="273"/>
      <c r="L256" s="273"/>
      <c r="M256" s="274">
        <v>0</v>
      </c>
      <c r="N256" s="272">
        <v>0</v>
      </c>
      <c r="O256" s="275"/>
      <c r="P256" s="275"/>
      <c r="Q256" s="275"/>
      <c r="R256" s="275"/>
      <c r="S256" s="275"/>
      <c r="T256" s="275"/>
      <c r="U256" s="276">
        <v>0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161</v>
      </c>
      <c r="B257" s="271" t="s">
        <v>682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0</v>
      </c>
      <c r="K257" s="273"/>
      <c r="L257" s="273"/>
      <c r="M257" s="274">
        <v>0</v>
      </c>
      <c r="N257" s="272">
        <v>0</v>
      </c>
      <c r="O257" s="275"/>
      <c r="P257" s="275"/>
      <c r="Q257" s="275"/>
      <c r="R257" s="275"/>
      <c r="S257" s="275"/>
      <c r="T257" s="275"/>
      <c r="U257" s="276">
        <v>0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161</v>
      </c>
      <c r="B258" s="271" t="s">
        <v>683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0</v>
      </c>
      <c r="K258" s="273"/>
      <c r="L258" s="273"/>
      <c r="M258" s="274">
        <v>0</v>
      </c>
      <c r="N258" s="272">
        <v>0</v>
      </c>
      <c r="O258" s="275"/>
      <c r="P258" s="275"/>
      <c r="Q258" s="275"/>
      <c r="R258" s="275"/>
      <c r="S258" s="275"/>
      <c r="T258" s="275"/>
      <c r="U258" s="276">
        <v>0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161</v>
      </c>
      <c r="B259" s="271" t="s">
        <v>684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0</v>
      </c>
      <c r="K259" s="273"/>
      <c r="L259" s="273"/>
      <c r="M259" s="274">
        <v>0</v>
      </c>
      <c r="N259" s="272">
        <v>0</v>
      </c>
      <c r="O259" s="275"/>
      <c r="P259" s="275"/>
      <c r="Q259" s="275"/>
      <c r="R259" s="275"/>
      <c r="S259" s="275"/>
      <c r="T259" s="275"/>
      <c r="U259" s="276">
        <v>0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161</v>
      </c>
      <c r="B260" s="271" t="s">
        <v>685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0</v>
      </c>
      <c r="K260" s="273"/>
      <c r="L260" s="273"/>
      <c r="M260" s="274">
        <v>0</v>
      </c>
      <c r="N260" s="272">
        <v>0</v>
      </c>
      <c r="O260" s="275"/>
      <c r="P260" s="275"/>
      <c r="Q260" s="275"/>
      <c r="R260" s="275"/>
      <c r="S260" s="275"/>
      <c r="T260" s="275"/>
      <c r="U260" s="276">
        <v>0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161</v>
      </c>
      <c r="B261" s="271" t="s">
        <v>686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0</v>
      </c>
      <c r="K261" s="273"/>
      <c r="L261" s="273"/>
      <c r="M261" s="274">
        <v>0</v>
      </c>
      <c r="N261" s="272">
        <v>0</v>
      </c>
      <c r="O261" s="275"/>
      <c r="P261" s="275"/>
      <c r="Q261" s="275"/>
      <c r="R261" s="275"/>
      <c r="S261" s="275"/>
      <c r="T261" s="275"/>
      <c r="U261" s="276">
        <v>0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161</v>
      </c>
      <c r="B262" s="271" t="s">
        <v>687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0</v>
      </c>
      <c r="K262" s="273"/>
      <c r="L262" s="273"/>
      <c r="M262" s="274">
        <v>0</v>
      </c>
      <c r="N262" s="272">
        <v>0</v>
      </c>
      <c r="O262" s="275"/>
      <c r="P262" s="275"/>
      <c r="Q262" s="275"/>
      <c r="R262" s="275"/>
      <c r="S262" s="275"/>
      <c r="T262" s="275"/>
      <c r="U262" s="276">
        <v>0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161</v>
      </c>
      <c r="B263" s="271" t="s">
        <v>688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0</v>
      </c>
      <c r="K263" s="273"/>
      <c r="L263" s="273"/>
      <c r="M263" s="274">
        <v>0</v>
      </c>
      <c r="N263" s="272">
        <v>0</v>
      </c>
      <c r="O263" s="275"/>
      <c r="P263" s="275"/>
      <c r="Q263" s="275"/>
      <c r="R263" s="275"/>
      <c r="S263" s="275"/>
      <c r="T263" s="275"/>
      <c r="U263" s="276">
        <v>0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161</v>
      </c>
      <c r="B264" s="271" t="s">
        <v>689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0</v>
      </c>
      <c r="K264" s="273"/>
      <c r="L264" s="273"/>
      <c r="M264" s="274">
        <v>0</v>
      </c>
      <c r="N264" s="272">
        <v>0</v>
      </c>
      <c r="O264" s="275"/>
      <c r="P264" s="275"/>
      <c r="Q264" s="275"/>
      <c r="R264" s="275"/>
      <c r="S264" s="275"/>
      <c r="T264" s="275"/>
      <c r="U264" s="276">
        <v>0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161</v>
      </c>
      <c r="B265" s="271" t="s">
        <v>690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0</v>
      </c>
      <c r="K265" s="273"/>
      <c r="L265" s="273"/>
      <c r="M265" s="274">
        <v>0</v>
      </c>
      <c r="N265" s="272">
        <v>0</v>
      </c>
      <c r="O265" s="275"/>
      <c r="P265" s="275"/>
      <c r="Q265" s="275"/>
      <c r="R265" s="275"/>
      <c r="S265" s="275"/>
      <c r="T265" s="275"/>
      <c r="U265" s="276">
        <v>0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161</v>
      </c>
      <c r="B266" s="271" t="s">
        <v>691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0</v>
      </c>
      <c r="K266" s="273"/>
      <c r="L266" s="273"/>
      <c r="M266" s="274">
        <v>0</v>
      </c>
      <c r="N266" s="272">
        <v>0</v>
      </c>
      <c r="O266" s="275"/>
      <c r="P266" s="275"/>
      <c r="Q266" s="275"/>
      <c r="R266" s="275"/>
      <c r="S266" s="275"/>
      <c r="T266" s="275"/>
      <c r="U266" s="276">
        <v>0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161</v>
      </c>
      <c r="B267" s="271" t="s">
        <v>692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0</v>
      </c>
      <c r="K267" s="273"/>
      <c r="L267" s="273"/>
      <c r="M267" s="274">
        <v>0</v>
      </c>
      <c r="N267" s="272">
        <v>0</v>
      </c>
      <c r="O267" s="275"/>
      <c r="P267" s="275"/>
      <c r="Q267" s="275"/>
      <c r="R267" s="275"/>
      <c r="S267" s="275"/>
      <c r="T267" s="275"/>
      <c r="U267" s="276">
        <v>0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161</v>
      </c>
      <c r="B268" s="271" t="s">
        <v>693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0</v>
      </c>
      <c r="K268" s="273"/>
      <c r="L268" s="273"/>
      <c r="M268" s="274">
        <v>0</v>
      </c>
      <c r="N268" s="272">
        <v>0</v>
      </c>
      <c r="O268" s="275"/>
      <c r="P268" s="275"/>
      <c r="Q268" s="275"/>
      <c r="R268" s="275"/>
      <c r="S268" s="275"/>
      <c r="T268" s="275"/>
      <c r="U268" s="276">
        <v>0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161</v>
      </c>
      <c r="B269" s="271" t="s">
        <v>694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0</v>
      </c>
      <c r="K269" s="273"/>
      <c r="L269" s="273"/>
      <c r="M269" s="274">
        <v>0</v>
      </c>
      <c r="N269" s="272">
        <v>0</v>
      </c>
      <c r="O269" s="275"/>
      <c r="P269" s="275"/>
      <c r="Q269" s="275"/>
      <c r="R269" s="275"/>
      <c r="S269" s="275"/>
      <c r="T269" s="275"/>
      <c r="U269" s="276">
        <v>0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161</v>
      </c>
      <c r="B270" s="271" t="s">
        <v>695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0</v>
      </c>
      <c r="K270" s="273"/>
      <c r="L270" s="273"/>
      <c r="M270" s="274">
        <v>0</v>
      </c>
      <c r="N270" s="272">
        <v>0</v>
      </c>
      <c r="O270" s="275"/>
      <c r="P270" s="275"/>
      <c r="Q270" s="275"/>
      <c r="R270" s="275"/>
      <c r="S270" s="275"/>
      <c r="T270" s="275"/>
      <c r="U270" s="276">
        <v>0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161</v>
      </c>
      <c r="B271" s="271" t="s">
        <v>696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0</v>
      </c>
      <c r="K271" s="273"/>
      <c r="L271" s="273"/>
      <c r="M271" s="274">
        <v>0</v>
      </c>
      <c r="N271" s="272">
        <v>0</v>
      </c>
      <c r="O271" s="275"/>
      <c r="P271" s="275"/>
      <c r="Q271" s="275"/>
      <c r="R271" s="275"/>
      <c r="S271" s="275"/>
      <c r="T271" s="275"/>
      <c r="U271" s="276">
        <v>0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161</v>
      </c>
      <c r="B272" s="271" t="s">
        <v>697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161</v>
      </c>
      <c r="B273" s="271" t="s">
        <v>698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161</v>
      </c>
      <c r="B274" s="271" t="s">
        <v>699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161</v>
      </c>
      <c r="B275" s="271" t="s">
        <v>700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161</v>
      </c>
      <c r="B276" s="271" t="s">
        <v>701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161</v>
      </c>
      <c r="B277" s="271" t="s">
        <v>702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0</v>
      </c>
      <c r="K277" s="273"/>
      <c r="L277" s="273"/>
      <c r="M277" s="274">
        <v>0</v>
      </c>
      <c r="N277" s="272">
        <v>0</v>
      </c>
      <c r="O277" s="275"/>
      <c r="P277" s="275"/>
      <c r="Q277" s="275"/>
      <c r="R277" s="275"/>
      <c r="S277" s="275"/>
      <c r="T277" s="275"/>
      <c r="U277" s="276">
        <v>0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161</v>
      </c>
      <c r="B278" s="271" t="s">
        <v>703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161</v>
      </c>
      <c r="B279" s="271" t="s">
        <v>704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161</v>
      </c>
      <c r="B280" s="271" t="s">
        <v>705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0</v>
      </c>
      <c r="K280" s="273"/>
      <c r="L280" s="273"/>
      <c r="M280" s="274">
        <v>0</v>
      </c>
      <c r="N280" s="272">
        <v>0</v>
      </c>
      <c r="O280" s="275"/>
      <c r="P280" s="275"/>
      <c r="Q280" s="275"/>
      <c r="R280" s="275"/>
      <c r="S280" s="275"/>
      <c r="T280" s="275"/>
      <c r="U280" s="276">
        <v>0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161</v>
      </c>
      <c r="B281" s="271" t="s">
        <v>706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161</v>
      </c>
      <c r="B282" s="271" t="s">
        <v>707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0</v>
      </c>
      <c r="K282" s="273"/>
      <c r="L282" s="273"/>
      <c r="M282" s="274">
        <v>0</v>
      </c>
      <c r="N282" s="272">
        <v>0</v>
      </c>
      <c r="O282" s="275"/>
      <c r="P282" s="275"/>
      <c r="Q282" s="275"/>
      <c r="R282" s="275"/>
      <c r="S282" s="275"/>
      <c r="T282" s="275"/>
      <c r="U282" s="276">
        <v>0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161</v>
      </c>
      <c r="B283" s="271" t="s">
        <v>708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161</v>
      </c>
      <c r="B284" s="271" t="s">
        <v>709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161</v>
      </c>
      <c r="B285" s="271" t="s">
        <v>710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161</v>
      </c>
      <c r="B286" s="271" t="s">
        <v>711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0</v>
      </c>
      <c r="K286" s="273"/>
      <c r="L286" s="273"/>
      <c r="M286" s="274">
        <v>0</v>
      </c>
      <c r="N286" s="272">
        <v>0</v>
      </c>
      <c r="O286" s="275"/>
      <c r="P286" s="275"/>
      <c r="Q286" s="275"/>
      <c r="R286" s="275"/>
      <c r="S286" s="275"/>
      <c r="T286" s="275"/>
      <c r="U286" s="276">
        <v>0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161</v>
      </c>
      <c r="B287" s="271" t="s">
        <v>712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161</v>
      </c>
      <c r="B288" s="271" t="s">
        <v>713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0</v>
      </c>
      <c r="K288" s="273"/>
      <c r="L288" s="273"/>
      <c r="M288" s="274">
        <v>0</v>
      </c>
      <c r="N288" s="272">
        <v>0</v>
      </c>
      <c r="O288" s="275"/>
      <c r="P288" s="275"/>
      <c r="Q288" s="275"/>
      <c r="R288" s="275"/>
      <c r="S288" s="275"/>
      <c r="T288" s="275"/>
      <c r="U288" s="276">
        <v>0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161</v>
      </c>
      <c r="B289" s="271" t="s">
        <v>714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161</v>
      </c>
      <c r="B290" s="271" t="s">
        <v>715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0</v>
      </c>
      <c r="K290" s="273"/>
      <c r="L290" s="273"/>
      <c r="M290" s="274">
        <v>0</v>
      </c>
      <c r="N290" s="272">
        <v>0</v>
      </c>
      <c r="O290" s="275"/>
      <c r="P290" s="275"/>
      <c r="Q290" s="275"/>
      <c r="R290" s="275"/>
      <c r="S290" s="275"/>
      <c r="T290" s="275"/>
      <c r="U290" s="276">
        <v>0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161</v>
      </c>
      <c r="B291" s="271" t="s">
        <v>716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0</v>
      </c>
      <c r="K291" s="273"/>
      <c r="L291" s="273"/>
      <c r="M291" s="274">
        <v>0</v>
      </c>
      <c r="N291" s="272">
        <v>0</v>
      </c>
      <c r="O291" s="275"/>
      <c r="P291" s="275"/>
      <c r="Q291" s="275"/>
      <c r="R291" s="275"/>
      <c r="S291" s="275"/>
      <c r="T291" s="275"/>
      <c r="U291" s="276">
        <v>0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161</v>
      </c>
      <c r="B292" s="271" t="s">
        <v>717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0</v>
      </c>
      <c r="K292" s="273"/>
      <c r="L292" s="273"/>
      <c r="M292" s="274">
        <v>0</v>
      </c>
      <c r="N292" s="272">
        <v>0</v>
      </c>
      <c r="O292" s="275"/>
      <c r="P292" s="275"/>
      <c r="Q292" s="275"/>
      <c r="R292" s="275"/>
      <c r="S292" s="275"/>
      <c r="T292" s="275"/>
      <c r="U292" s="276">
        <v>0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161</v>
      </c>
      <c r="B293" s="271" t="s">
        <v>718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0</v>
      </c>
      <c r="K293" s="273"/>
      <c r="L293" s="273"/>
      <c r="M293" s="274">
        <v>0</v>
      </c>
      <c r="N293" s="272">
        <v>0</v>
      </c>
      <c r="O293" s="275"/>
      <c r="P293" s="275"/>
      <c r="Q293" s="275"/>
      <c r="R293" s="275"/>
      <c r="S293" s="275"/>
      <c r="T293" s="275"/>
      <c r="U293" s="276">
        <v>0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161</v>
      </c>
      <c r="B294" s="271" t="s">
        <v>719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161</v>
      </c>
      <c r="B295" s="271" t="s">
        <v>720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161</v>
      </c>
      <c r="B296" s="271" t="s">
        <v>721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0</v>
      </c>
      <c r="K296" s="273"/>
      <c r="L296" s="273"/>
      <c r="M296" s="274">
        <v>0</v>
      </c>
      <c r="N296" s="272">
        <v>0</v>
      </c>
      <c r="O296" s="275"/>
      <c r="P296" s="275"/>
      <c r="Q296" s="275"/>
      <c r="R296" s="275"/>
      <c r="S296" s="275"/>
      <c r="T296" s="275"/>
      <c r="U296" s="276">
        <v>0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161</v>
      </c>
      <c r="B297" s="271" t="s">
        <v>722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0</v>
      </c>
      <c r="K297" s="273"/>
      <c r="L297" s="273"/>
      <c r="M297" s="274">
        <v>0</v>
      </c>
      <c r="N297" s="272">
        <v>0</v>
      </c>
      <c r="O297" s="275"/>
      <c r="P297" s="275"/>
      <c r="Q297" s="275"/>
      <c r="R297" s="275"/>
      <c r="S297" s="275"/>
      <c r="T297" s="275"/>
      <c r="U297" s="276">
        <v>0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161</v>
      </c>
      <c r="B298" s="271" t="s">
        <v>723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0</v>
      </c>
      <c r="K298" s="273"/>
      <c r="L298" s="273"/>
      <c r="M298" s="274">
        <v>0</v>
      </c>
      <c r="N298" s="272">
        <v>0</v>
      </c>
      <c r="O298" s="275"/>
      <c r="P298" s="275"/>
      <c r="Q298" s="275"/>
      <c r="R298" s="275"/>
      <c r="S298" s="275"/>
      <c r="T298" s="275"/>
      <c r="U298" s="276">
        <v>0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161</v>
      </c>
      <c r="B299" s="271" t="s">
        <v>724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0</v>
      </c>
      <c r="K299" s="273"/>
      <c r="L299" s="273"/>
      <c r="M299" s="274">
        <v>0</v>
      </c>
      <c r="N299" s="272">
        <v>0</v>
      </c>
      <c r="O299" s="275"/>
      <c r="P299" s="275"/>
      <c r="Q299" s="275"/>
      <c r="R299" s="275"/>
      <c r="S299" s="275"/>
      <c r="T299" s="275"/>
      <c r="U299" s="276">
        <v>0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161</v>
      </c>
      <c r="B300" s="271" t="s">
        <v>725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161</v>
      </c>
      <c r="B301" s="271" t="s">
        <v>726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161</v>
      </c>
      <c r="B302" s="271" t="s">
        <v>727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161</v>
      </c>
      <c r="B303" s="271" t="s">
        <v>728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161</v>
      </c>
      <c r="B304" s="271" t="s">
        <v>729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0</v>
      </c>
      <c r="K304" s="273"/>
      <c r="L304" s="273"/>
      <c r="M304" s="274">
        <v>0</v>
      </c>
      <c r="N304" s="272">
        <v>0</v>
      </c>
      <c r="O304" s="275"/>
      <c r="P304" s="275"/>
      <c r="Q304" s="275"/>
      <c r="R304" s="275"/>
      <c r="S304" s="275"/>
      <c r="T304" s="275"/>
      <c r="U304" s="276">
        <v>0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161</v>
      </c>
      <c r="B305" s="271" t="s">
        <v>730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161</v>
      </c>
      <c r="B306" s="271" t="s">
        <v>731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0</v>
      </c>
      <c r="K306" s="273"/>
      <c r="L306" s="273"/>
      <c r="M306" s="274">
        <v>0</v>
      </c>
      <c r="N306" s="272">
        <v>0</v>
      </c>
      <c r="O306" s="275"/>
      <c r="P306" s="275"/>
      <c r="Q306" s="275"/>
      <c r="R306" s="275"/>
      <c r="S306" s="275"/>
      <c r="T306" s="275"/>
      <c r="U306" s="276">
        <v>0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161</v>
      </c>
      <c r="B307" s="271" t="s">
        <v>732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161</v>
      </c>
      <c r="B308" s="271" t="s">
        <v>733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161</v>
      </c>
      <c r="B309" s="271" t="s">
        <v>734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161</v>
      </c>
      <c r="B310" s="271" t="s">
        <v>735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0</v>
      </c>
      <c r="K310" s="273"/>
      <c r="L310" s="273"/>
      <c r="M310" s="274">
        <v>0</v>
      </c>
      <c r="N310" s="272">
        <v>0</v>
      </c>
      <c r="O310" s="275"/>
      <c r="P310" s="275"/>
      <c r="Q310" s="275"/>
      <c r="R310" s="275"/>
      <c r="S310" s="275"/>
      <c r="T310" s="275"/>
      <c r="U310" s="276">
        <v>0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161</v>
      </c>
      <c r="B311" s="271" t="s">
        <v>736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161</v>
      </c>
      <c r="B312" s="271" t="s">
        <v>737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0</v>
      </c>
      <c r="K312" s="273"/>
      <c r="L312" s="273"/>
      <c r="M312" s="274">
        <v>0</v>
      </c>
      <c r="N312" s="272">
        <v>0</v>
      </c>
      <c r="O312" s="275"/>
      <c r="P312" s="275"/>
      <c r="Q312" s="275"/>
      <c r="R312" s="275"/>
      <c r="S312" s="275"/>
      <c r="T312" s="275"/>
      <c r="U312" s="276">
        <v>0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161</v>
      </c>
      <c r="B313" s="271" t="s">
        <v>738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161</v>
      </c>
      <c r="B314" s="271" t="s">
        <v>739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0</v>
      </c>
      <c r="K314" s="273"/>
      <c r="L314" s="273"/>
      <c r="M314" s="274">
        <v>0</v>
      </c>
      <c r="N314" s="272">
        <v>0</v>
      </c>
      <c r="O314" s="275"/>
      <c r="P314" s="275"/>
      <c r="Q314" s="275"/>
      <c r="R314" s="275"/>
      <c r="S314" s="275"/>
      <c r="T314" s="275"/>
      <c r="U314" s="276">
        <v>0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161</v>
      </c>
      <c r="B315" s="271" t="s">
        <v>740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0</v>
      </c>
      <c r="K315" s="273"/>
      <c r="L315" s="273"/>
      <c r="M315" s="274">
        <v>0</v>
      </c>
      <c r="N315" s="272">
        <v>0</v>
      </c>
      <c r="O315" s="275"/>
      <c r="P315" s="275"/>
      <c r="Q315" s="275"/>
      <c r="R315" s="275"/>
      <c r="S315" s="275"/>
      <c r="T315" s="275"/>
      <c r="U315" s="276">
        <v>0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161</v>
      </c>
      <c r="B316" s="271" t="s">
        <v>741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0</v>
      </c>
      <c r="K316" s="273"/>
      <c r="L316" s="273"/>
      <c r="M316" s="274">
        <v>0</v>
      </c>
      <c r="N316" s="272">
        <v>0</v>
      </c>
      <c r="O316" s="275"/>
      <c r="P316" s="275"/>
      <c r="Q316" s="275"/>
      <c r="R316" s="275"/>
      <c r="S316" s="275"/>
      <c r="T316" s="275"/>
      <c r="U316" s="276">
        <v>0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161</v>
      </c>
      <c r="B317" s="271" t="s">
        <v>742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0</v>
      </c>
      <c r="K317" s="273"/>
      <c r="L317" s="273"/>
      <c r="M317" s="274">
        <v>0</v>
      </c>
      <c r="N317" s="272">
        <v>0</v>
      </c>
      <c r="O317" s="275"/>
      <c r="P317" s="275"/>
      <c r="Q317" s="275"/>
      <c r="R317" s="275"/>
      <c r="S317" s="275"/>
      <c r="T317" s="275"/>
      <c r="U317" s="276">
        <v>0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161</v>
      </c>
      <c r="B318" s="271" t="s">
        <v>743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161</v>
      </c>
      <c r="B319" s="271" t="s">
        <v>744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161</v>
      </c>
      <c r="B320" s="271" t="s">
        <v>745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0</v>
      </c>
      <c r="K320" s="273"/>
      <c r="L320" s="273"/>
      <c r="M320" s="274">
        <v>0</v>
      </c>
      <c r="N320" s="272">
        <v>0</v>
      </c>
      <c r="O320" s="275"/>
      <c r="P320" s="275"/>
      <c r="Q320" s="275"/>
      <c r="R320" s="275"/>
      <c r="S320" s="275"/>
      <c r="T320" s="275"/>
      <c r="U320" s="276">
        <v>0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161</v>
      </c>
      <c r="B321" s="271" t="s">
        <v>746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0</v>
      </c>
      <c r="K321" s="273"/>
      <c r="L321" s="273"/>
      <c r="M321" s="274">
        <v>0</v>
      </c>
      <c r="N321" s="272">
        <v>0</v>
      </c>
      <c r="O321" s="275"/>
      <c r="P321" s="275"/>
      <c r="Q321" s="275"/>
      <c r="R321" s="275"/>
      <c r="S321" s="275"/>
      <c r="T321" s="275"/>
      <c r="U321" s="276">
        <v>0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161</v>
      </c>
      <c r="B322" s="271" t="s">
        <v>747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0</v>
      </c>
      <c r="K322" s="273"/>
      <c r="L322" s="273"/>
      <c r="M322" s="274">
        <v>0</v>
      </c>
      <c r="N322" s="272">
        <v>0</v>
      </c>
      <c r="O322" s="275"/>
      <c r="P322" s="275"/>
      <c r="Q322" s="275"/>
      <c r="R322" s="275"/>
      <c r="S322" s="275"/>
      <c r="T322" s="275"/>
      <c r="U322" s="276">
        <v>0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161</v>
      </c>
      <c r="B323" s="271" t="s">
        <v>748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0</v>
      </c>
      <c r="K323" s="273"/>
      <c r="L323" s="273"/>
      <c r="M323" s="274">
        <v>0</v>
      </c>
      <c r="N323" s="272">
        <v>0</v>
      </c>
      <c r="O323" s="275"/>
      <c r="P323" s="275"/>
      <c r="Q323" s="275"/>
      <c r="R323" s="275"/>
      <c r="S323" s="275"/>
      <c r="T323" s="275"/>
      <c r="U323" s="276">
        <v>0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161</v>
      </c>
      <c r="B324" s="271" t="s">
        <v>749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161</v>
      </c>
      <c r="B325" s="271" t="s">
        <v>750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161</v>
      </c>
      <c r="B326" s="271" t="s">
        <v>751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161</v>
      </c>
      <c r="B327" s="271" t="s">
        <v>752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161</v>
      </c>
      <c r="B328" s="271" t="s">
        <v>753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0</v>
      </c>
      <c r="K328" s="273"/>
      <c r="L328" s="273"/>
      <c r="M328" s="274">
        <v>0</v>
      </c>
      <c r="N328" s="272">
        <v>0</v>
      </c>
      <c r="O328" s="275"/>
      <c r="P328" s="275"/>
      <c r="Q328" s="275"/>
      <c r="R328" s="275"/>
      <c r="S328" s="275"/>
      <c r="T328" s="275"/>
      <c r="U328" s="276">
        <v>0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161</v>
      </c>
      <c r="B329" s="271" t="s">
        <v>754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161</v>
      </c>
      <c r="B330" s="271" t="s">
        <v>755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0</v>
      </c>
      <c r="K330" s="273"/>
      <c r="L330" s="273"/>
      <c r="M330" s="274">
        <v>0</v>
      </c>
      <c r="N330" s="272">
        <v>0</v>
      </c>
      <c r="O330" s="275"/>
      <c r="P330" s="275"/>
      <c r="Q330" s="275"/>
      <c r="R330" s="275"/>
      <c r="S330" s="275"/>
      <c r="T330" s="275"/>
      <c r="U330" s="276">
        <v>0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161</v>
      </c>
      <c r="B331" s="271" t="s">
        <v>756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161</v>
      </c>
      <c r="B332" s="271" t="s">
        <v>757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161</v>
      </c>
      <c r="B333" s="271" t="s">
        <v>758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161</v>
      </c>
      <c r="B334" s="271" t="s">
        <v>759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0</v>
      </c>
      <c r="K334" s="273"/>
      <c r="L334" s="273"/>
      <c r="M334" s="274">
        <v>0</v>
      </c>
      <c r="N334" s="272">
        <v>0</v>
      </c>
      <c r="O334" s="275"/>
      <c r="P334" s="275"/>
      <c r="Q334" s="275"/>
      <c r="R334" s="275"/>
      <c r="S334" s="275"/>
      <c r="T334" s="275"/>
      <c r="U334" s="276">
        <v>0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161</v>
      </c>
      <c r="B335" s="271" t="s">
        <v>760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161</v>
      </c>
      <c r="B336" s="271" t="s">
        <v>761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0</v>
      </c>
      <c r="K336" s="273"/>
      <c r="L336" s="273"/>
      <c r="M336" s="274">
        <v>0</v>
      </c>
      <c r="N336" s="272">
        <v>0</v>
      </c>
      <c r="O336" s="275"/>
      <c r="P336" s="275"/>
      <c r="Q336" s="275"/>
      <c r="R336" s="275"/>
      <c r="S336" s="275"/>
      <c r="T336" s="275"/>
      <c r="U336" s="276">
        <v>0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161</v>
      </c>
      <c r="B337" s="271" t="s">
        <v>762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161</v>
      </c>
      <c r="B338" s="271" t="s">
        <v>763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0</v>
      </c>
      <c r="K338" s="273"/>
      <c r="L338" s="273"/>
      <c r="M338" s="274">
        <v>0</v>
      </c>
      <c r="N338" s="272">
        <v>0</v>
      </c>
      <c r="O338" s="275"/>
      <c r="P338" s="275"/>
      <c r="Q338" s="275"/>
      <c r="R338" s="275"/>
      <c r="S338" s="275"/>
      <c r="T338" s="275"/>
      <c r="U338" s="276">
        <v>0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161</v>
      </c>
      <c r="B339" s="271" t="s">
        <v>764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0</v>
      </c>
      <c r="K339" s="273"/>
      <c r="L339" s="273"/>
      <c r="M339" s="274">
        <v>0</v>
      </c>
      <c r="N339" s="272">
        <v>0</v>
      </c>
      <c r="O339" s="275"/>
      <c r="P339" s="275"/>
      <c r="Q339" s="275"/>
      <c r="R339" s="275"/>
      <c r="S339" s="275"/>
      <c r="T339" s="275"/>
      <c r="U339" s="276">
        <v>0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161</v>
      </c>
      <c r="B340" s="271" t="s">
        <v>765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0</v>
      </c>
      <c r="K340" s="273"/>
      <c r="L340" s="273"/>
      <c r="M340" s="274">
        <v>0</v>
      </c>
      <c r="N340" s="272">
        <v>0</v>
      </c>
      <c r="O340" s="275"/>
      <c r="P340" s="275"/>
      <c r="Q340" s="275"/>
      <c r="R340" s="275"/>
      <c r="S340" s="275"/>
      <c r="T340" s="275"/>
      <c r="U340" s="276">
        <v>0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161</v>
      </c>
      <c r="B341" s="271" t="s">
        <v>766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0</v>
      </c>
      <c r="K341" s="273"/>
      <c r="L341" s="273"/>
      <c r="M341" s="274">
        <v>0</v>
      </c>
      <c r="N341" s="272">
        <v>0</v>
      </c>
      <c r="O341" s="275"/>
      <c r="P341" s="275"/>
      <c r="Q341" s="275"/>
      <c r="R341" s="275"/>
      <c r="S341" s="275"/>
      <c r="T341" s="275"/>
      <c r="U341" s="276">
        <v>0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161</v>
      </c>
      <c r="B342" s="271" t="s">
        <v>767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161</v>
      </c>
      <c r="B343" s="271" t="s">
        <v>768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161</v>
      </c>
      <c r="B344" s="271" t="s">
        <v>769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0</v>
      </c>
      <c r="K344" s="273"/>
      <c r="L344" s="273"/>
      <c r="M344" s="274">
        <v>0</v>
      </c>
      <c r="N344" s="272">
        <v>0</v>
      </c>
      <c r="O344" s="275"/>
      <c r="P344" s="275"/>
      <c r="Q344" s="275"/>
      <c r="R344" s="275"/>
      <c r="S344" s="275"/>
      <c r="T344" s="275"/>
      <c r="U344" s="276">
        <v>0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161</v>
      </c>
      <c r="B345" s="271" t="s">
        <v>770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0</v>
      </c>
      <c r="K345" s="273"/>
      <c r="L345" s="273"/>
      <c r="M345" s="274">
        <v>0</v>
      </c>
      <c r="N345" s="272">
        <v>0</v>
      </c>
      <c r="O345" s="275"/>
      <c r="P345" s="275"/>
      <c r="Q345" s="275"/>
      <c r="R345" s="275"/>
      <c r="S345" s="275"/>
      <c r="T345" s="275"/>
      <c r="U345" s="276">
        <v>0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161</v>
      </c>
      <c r="B346" s="271" t="s">
        <v>771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0</v>
      </c>
      <c r="K346" s="273"/>
      <c r="L346" s="273"/>
      <c r="M346" s="274">
        <v>0</v>
      </c>
      <c r="N346" s="272">
        <v>0</v>
      </c>
      <c r="O346" s="275"/>
      <c r="P346" s="275"/>
      <c r="Q346" s="275"/>
      <c r="R346" s="275"/>
      <c r="S346" s="275"/>
      <c r="T346" s="275"/>
      <c r="U346" s="276">
        <v>0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161</v>
      </c>
      <c r="B347" s="271" t="s">
        <v>772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0</v>
      </c>
      <c r="K347" s="273"/>
      <c r="L347" s="273"/>
      <c r="M347" s="274">
        <v>0</v>
      </c>
      <c r="N347" s="272">
        <v>0</v>
      </c>
      <c r="O347" s="275"/>
      <c r="P347" s="275"/>
      <c r="Q347" s="275"/>
      <c r="R347" s="275"/>
      <c r="S347" s="275"/>
      <c r="T347" s="275"/>
      <c r="U347" s="276">
        <v>0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161</v>
      </c>
      <c r="B348" s="271" t="s">
        <v>773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161</v>
      </c>
      <c r="B349" s="271" t="s">
        <v>774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161</v>
      </c>
      <c r="B350" s="271" t="s">
        <v>775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0</v>
      </c>
      <c r="K350" s="273"/>
      <c r="L350" s="273"/>
      <c r="M350" s="274">
        <v>0</v>
      </c>
      <c r="N350" s="272">
        <v>0</v>
      </c>
      <c r="O350" s="275"/>
      <c r="P350" s="275"/>
      <c r="Q350" s="275"/>
      <c r="R350" s="275"/>
      <c r="S350" s="275"/>
      <c r="T350" s="275"/>
      <c r="U350" s="276">
        <v>0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161</v>
      </c>
      <c r="B351" s="271" t="s">
        <v>776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0</v>
      </c>
      <c r="K351" s="273"/>
      <c r="L351" s="273"/>
      <c r="M351" s="274">
        <v>0</v>
      </c>
      <c r="N351" s="272">
        <v>0</v>
      </c>
      <c r="O351" s="275"/>
      <c r="P351" s="275"/>
      <c r="Q351" s="275"/>
      <c r="R351" s="275"/>
      <c r="S351" s="275"/>
      <c r="T351" s="275"/>
      <c r="U351" s="276">
        <v>0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161</v>
      </c>
      <c r="B352" s="271" t="s">
        <v>777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0</v>
      </c>
      <c r="K352" s="273"/>
      <c r="L352" s="273"/>
      <c r="M352" s="274">
        <v>0</v>
      </c>
      <c r="N352" s="272">
        <v>0</v>
      </c>
      <c r="O352" s="275"/>
      <c r="P352" s="275"/>
      <c r="Q352" s="275"/>
      <c r="R352" s="275"/>
      <c r="S352" s="275"/>
      <c r="T352" s="275"/>
      <c r="U352" s="276">
        <v>0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161</v>
      </c>
      <c r="B353" s="271" t="s">
        <v>778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0</v>
      </c>
      <c r="K353" s="273"/>
      <c r="L353" s="273"/>
      <c r="M353" s="274">
        <v>0</v>
      </c>
      <c r="N353" s="272">
        <v>0</v>
      </c>
      <c r="O353" s="275"/>
      <c r="P353" s="275"/>
      <c r="Q353" s="275"/>
      <c r="R353" s="275"/>
      <c r="S353" s="275"/>
      <c r="T353" s="275"/>
      <c r="U353" s="276">
        <v>0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161</v>
      </c>
      <c r="B354" s="271" t="s">
        <v>779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0</v>
      </c>
      <c r="K354" s="273"/>
      <c r="L354" s="273"/>
      <c r="M354" s="274">
        <v>0</v>
      </c>
      <c r="N354" s="272">
        <v>0</v>
      </c>
      <c r="O354" s="275"/>
      <c r="P354" s="275"/>
      <c r="Q354" s="275"/>
      <c r="R354" s="275"/>
      <c r="S354" s="275"/>
      <c r="T354" s="275"/>
      <c r="U354" s="276">
        <v>0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161</v>
      </c>
      <c r="B355" s="271" t="s">
        <v>780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0</v>
      </c>
      <c r="K355" s="273"/>
      <c r="L355" s="273"/>
      <c r="M355" s="274">
        <v>0</v>
      </c>
      <c r="N355" s="272">
        <v>0</v>
      </c>
      <c r="O355" s="275"/>
      <c r="P355" s="275"/>
      <c r="Q355" s="275"/>
      <c r="R355" s="275"/>
      <c r="S355" s="275"/>
      <c r="T355" s="275"/>
      <c r="U355" s="276">
        <v>0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161</v>
      </c>
      <c r="B356" s="271" t="s">
        <v>781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0</v>
      </c>
      <c r="K356" s="273"/>
      <c r="L356" s="273"/>
      <c r="M356" s="274">
        <v>0</v>
      </c>
      <c r="N356" s="272">
        <v>0</v>
      </c>
      <c r="O356" s="275"/>
      <c r="P356" s="275"/>
      <c r="Q356" s="275"/>
      <c r="R356" s="275"/>
      <c r="S356" s="275"/>
      <c r="T356" s="275"/>
      <c r="U356" s="276">
        <v>0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161</v>
      </c>
      <c r="B357" s="271" t="s">
        <v>782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0</v>
      </c>
      <c r="K357" s="273"/>
      <c r="L357" s="273"/>
      <c r="M357" s="274">
        <v>0</v>
      </c>
      <c r="N357" s="272">
        <v>0</v>
      </c>
      <c r="O357" s="275"/>
      <c r="P357" s="275"/>
      <c r="Q357" s="275"/>
      <c r="R357" s="275"/>
      <c r="S357" s="275"/>
      <c r="T357" s="275"/>
      <c r="U357" s="276">
        <v>0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161</v>
      </c>
      <c r="B358" s="271" t="s">
        <v>783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0</v>
      </c>
      <c r="K358" s="273"/>
      <c r="L358" s="273"/>
      <c r="M358" s="274">
        <v>0</v>
      </c>
      <c r="N358" s="272">
        <v>0</v>
      </c>
      <c r="O358" s="275"/>
      <c r="P358" s="275"/>
      <c r="Q358" s="275"/>
      <c r="R358" s="275"/>
      <c r="S358" s="275"/>
      <c r="T358" s="275"/>
      <c r="U358" s="276">
        <v>0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161</v>
      </c>
      <c r="B359" s="271" t="s">
        <v>784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0</v>
      </c>
      <c r="K359" s="273"/>
      <c r="L359" s="273"/>
      <c r="M359" s="274">
        <v>0</v>
      </c>
      <c r="N359" s="272">
        <v>0</v>
      </c>
      <c r="O359" s="275"/>
      <c r="P359" s="275"/>
      <c r="Q359" s="275"/>
      <c r="R359" s="275"/>
      <c r="S359" s="275"/>
      <c r="T359" s="275"/>
      <c r="U359" s="276">
        <v>0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161</v>
      </c>
      <c r="B360" s="271" t="s">
        <v>785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0</v>
      </c>
      <c r="K360" s="273"/>
      <c r="L360" s="273"/>
      <c r="M360" s="274">
        <v>0</v>
      </c>
      <c r="N360" s="272">
        <v>0</v>
      </c>
      <c r="O360" s="275"/>
      <c r="P360" s="275"/>
      <c r="Q360" s="275"/>
      <c r="R360" s="275"/>
      <c r="S360" s="275"/>
      <c r="T360" s="275"/>
      <c r="U360" s="276">
        <v>0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161</v>
      </c>
      <c r="B361" s="271" t="s">
        <v>786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0</v>
      </c>
      <c r="K361" s="273"/>
      <c r="L361" s="273"/>
      <c r="M361" s="274">
        <v>0</v>
      </c>
      <c r="N361" s="272">
        <v>0</v>
      </c>
      <c r="O361" s="275"/>
      <c r="P361" s="275"/>
      <c r="Q361" s="275"/>
      <c r="R361" s="275"/>
      <c r="S361" s="275"/>
      <c r="T361" s="275"/>
      <c r="U361" s="276">
        <v>0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161</v>
      </c>
      <c r="B362" s="271" t="s">
        <v>787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0</v>
      </c>
      <c r="K362" s="273"/>
      <c r="L362" s="273"/>
      <c r="M362" s="274">
        <v>0</v>
      </c>
      <c r="N362" s="272">
        <v>0</v>
      </c>
      <c r="O362" s="275"/>
      <c r="P362" s="275"/>
      <c r="Q362" s="275"/>
      <c r="R362" s="275"/>
      <c r="S362" s="275"/>
      <c r="T362" s="275"/>
      <c r="U362" s="276">
        <v>0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161</v>
      </c>
      <c r="B363" s="271" t="s">
        <v>788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0</v>
      </c>
      <c r="K363" s="273"/>
      <c r="L363" s="273"/>
      <c r="M363" s="274">
        <v>0</v>
      </c>
      <c r="N363" s="272">
        <v>0</v>
      </c>
      <c r="O363" s="275"/>
      <c r="P363" s="275"/>
      <c r="Q363" s="275"/>
      <c r="R363" s="275"/>
      <c r="S363" s="275"/>
      <c r="T363" s="275"/>
      <c r="U363" s="276">
        <v>0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161</v>
      </c>
      <c r="B364" s="271" t="s">
        <v>789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0</v>
      </c>
      <c r="K364" s="273"/>
      <c r="L364" s="273"/>
      <c r="M364" s="274">
        <v>0</v>
      </c>
      <c r="N364" s="272">
        <v>0</v>
      </c>
      <c r="O364" s="275"/>
      <c r="P364" s="275"/>
      <c r="Q364" s="275"/>
      <c r="R364" s="275"/>
      <c r="S364" s="275"/>
      <c r="T364" s="275"/>
      <c r="U364" s="276">
        <v>0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161</v>
      </c>
      <c r="B365" s="271" t="s">
        <v>790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0</v>
      </c>
      <c r="K365" s="273"/>
      <c r="L365" s="273"/>
      <c r="M365" s="274">
        <v>0</v>
      </c>
      <c r="N365" s="272">
        <v>0</v>
      </c>
      <c r="O365" s="275"/>
      <c r="P365" s="275"/>
      <c r="Q365" s="275"/>
      <c r="R365" s="275"/>
      <c r="S365" s="275"/>
      <c r="T365" s="275"/>
      <c r="U365" s="276">
        <v>0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161</v>
      </c>
      <c r="B366" s="271" t="s">
        <v>791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0</v>
      </c>
      <c r="K366" s="273"/>
      <c r="L366" s="273"/>
      <c r="M366" s="274">
        <v>0</v>
      </c>
      <c r="N366" s="272">
        <v>0</v>
      </c>
      <c r="O366" s="275"/>
      <c r="P366" s="275"/>
      <c r="Q366" s="275"/>
      <c r="R366" s="275"/>
      <c r="S366" s="275"/>
      <c r="T366" s="275"/>
      <c r="U366" s="276">
        <v>0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161</v>
      </c>
      <c r="B367" s="271" t="s">
        <v>792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0</v>
      </c>
      <c r="K367" s="273"/>
      <c r="L367" s="273"/>
      <c r="M367" s="274">
        <v>0</v>
      </c>
      <c r="N367" s="272">
        <v>0</v>
      </c>
      <c r="O367" s="275"/>
      <c r="P367" s="275"/>
      <c r="Q367" s="275"/>
      <c r="R367" s="275"/>
      <c r="S367" s="275"/>
      <c r="T367" s="275"/>
      <c r="U367" s="276">
        <v>0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161</v>
      </c>
      <c r="B368" s="271" t="s">
        <v>793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161</v>
      </c>
      <c r="B369" s="271" t="s">
        <v>794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161</v>
      </c>
      <c r="B370" s="271" t="s">
        <v>795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161</v>
      </c>
      <c r="B371" s="271" t="s">
        <v>796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161</v>
      </c>
      <c r="B372" s="271" t="s">
        <v>797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161</v>
      </c>
      <c r="B373" s="271" t="s">
        <v>798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161</v>
      </c>
      <c r="B374" s="271" t="s">
        <v>799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0</v>
      </c>
      <c r="K374" s="273"/>
      <c r="L374" s="273"/>
      <c r="M374" s="274">
        <v>0</v>
      </c>
      <c r="N374" s="272">
        <v>0</v>
      </c>
      <c r="O374" s="275"/>
      <c r="P374" s="275"/>
      <c r="Q374" s="275"/>
      <c r="R374" s="275"/>
      <c r="S374" s="275"/>
      <c r="T374" s="275"/>
      <c r="U374" s="276">
        <v>0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161</v>
      </c>
      <c r="B375" s="271" t="s">
        <v>800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0</v>
      </c>
      <c r="K375" s="273"/>
      <c r="L375" s="273"/>
      <c r="M375" s="274">
        <v>0</v>
      </c>
      <c r="N375" s="272">
        <v>0</v>
      </c>
      <c r="O375" s="275"/>
      <c r="P375" s="275"/>
      <c r="Q375" s="275"/>
      <c r="R375" s="275"/>
      <c r="S375" s="275"/>
      <c r="T375" s="275"/>
      <c r="U375" s="276">
        <v>0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161</v>
      </c>
      <c r="B376" s="271" t="s">
        <v>801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0</v>
      </c>
      <c r="K376" s="273"/>
      <c r="L376" s="273"/>
      <c r="M376" s="274">
        <v>0</v>
      </c>
      <c r="N376" s="272">
        <v>0</v>
      </c>
      <c r="O376" s="275"/>
      <c r="P376" s="275"/>
      <c r="Q376" s="275"/>
      <c r="R376" s="275"/>
      <c r="S376" s="275"/>
      <c r="T376" s="275"/>
      <c r="U376" s="276">
        <v>0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161</v>
      </c>
      <c r="B377" s="271" t="s">
        <v>802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0</v>
      </c>
      <c r="K377" s="273"/>
      <c r="L377" s="273"/>
      <c r="M377" s="274">
        <v>0</v>
      </c>
      <c r="N377" s="272">
        <v>0</v>
      </c>
      <c r="O377" s="275"/>
      <c r="P377" s="275"/>
      <c r="Q377" s="275"/>
      <c r="R377" s="275"/>
      <c r="S377" s="275"/>
      <c r="T377" s="275"/>
      <c r="U377" s="276">
        <v>0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161</v>
      </c>
      <c r="B378" s="271" t="s">
        <v>803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0</v>
      </c>
      <c r="K378" s="273"/>
      <c r="L378" s="273"/>
      <c r="M378" s="274">
        <v>0</v>
      </c>
      <c r="N378" s="272">
        <v>0</v>
      </c>
      <c r="O378" s="275"/>
      <c r="P378" s="275"/>
      <c r="Q378" s="275"/>
      <c r="R378" s="275"/>
      <c r="S378" s="275"/>
      <c r="T378" s="275"/>
      <c r="U378" s="276">
        <v>0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161</v>
      </c>
      <c r="B379" s="271" t="s">
        <v>804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0</v>
      </c>
      <c r="K379" s="273"/>
      <c r="L379" s="273"/>
      <c r="M379" s="274">
        <v>0</v>
      </c>
      <c r="N379" s="272">
        <v>0</v>
      </c>
      <c r="O379" s="275"/>
      <c r="P379" s="275"/>
      <c r="Q379" s="275"/>
      <c r="R379" s="275"/>
      <c r="S379" s="275"/>
      <c r="T379" s="275"/>
      <c r="U379" s="276">
        <v>0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161</v>
      </c>
      <c r="B380" s="271" t="s">
        <v>805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0</v>
      </c>
      <c r="K380" s="273"/>
      <c r="L380" s="273"/>
      <c r="M380" s="274">
        <v>0</v>
      </c>
      <c r="N380" s="272">
        <v>0</v>
      </c>
      <c r="O380" s="275"/>
      <c r="P380" s="275"/>
      <c r="Q380" s="275"/>
      <c r="R380" s="275"/>
      <c r="S380" s="275"/>
      <c r="T380" s="275"/>
      <c r="U380" s="276">
        <v>0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161</v>
      </c>
      <c r="B381" s="271" t="s">
        <v>806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0</v>
      </c>
      <c r="K381" s="273"/>
      <c r="L381" s="273"/>
      <c r="M381" s="274">
        <v>0</v>
      </c>
      <c r="N381" s="272">
        <v>0</v>
      </c>
      <c r="O381" s="275"/>
      <c r="P381" s="275"/>
      <c r="Q381" s="275"/>
      <c r="R381" s="275"/>
      <c r="S381" s="275"/>
      <c r="T381" s="275"/>
      <c r="U381" s="276">
        <v>0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161</v>
      </c>
      <c r="B382" s="271" t="s">
        <v>807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0</v>
      </c>
      <c r="K382" s="273"/>
      <c r="L382" s="273"/>
      <c r="M382" s="274">
        <v>0</v>
      </c>
      <c r="N382" s="272">
        <v>0</v>
      </c>
      <c r="O382" s="275"/>
      <c r="P382" s="275"/>
      <c r="Q382" s="275"/>
      <c r="R382" s="275"/>
      <c r="S382" s="275"/>
      <c r="T382" s="275"/>
      <c r="U382" s="276">
        <v>0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161</v>
      </c>
      <c r="B383" s="271" t="s">
        <v>808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0</v>
      </c>
      <c r="K383" s="273"/>
      <c r="L383" s="273"/>
      <c r="M383" s="274">
        <v>0</v>
      </c>
      <c r="N383" s="272">
        <v>0</v>
      </c>
      <c r="O383" s="275"/>
      <c r="P383" s="275"/>
      <c r="Q383" s="275"/>
      <c r="R383" s="275"/>
      <c r="S383" s="275"/>
      <c r="T383" s="275"/>
      <c r="U383" s="276">
        <v>0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161</v>
      </c>
      <c r="B384" s="271" t="s">
        <v>809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0</v>
      </c>
      <c r="K384" s="273"/>
      <c r="L384" s="273"/>
      <c r="M384" s="274">
        <v>0</v>
      </c>
      <c r="N384" s="272">
        <v>0</v>
      </c>
      <c r="O384" s="275"/>
      <c r="P384" s="275"/>
      <c r="Q384" s="275"/>
      <c r="R384" s="275"/>
      <c r="S384" s="275"/>
      <c r="T384" s="275"/>
      <c r="U384" s="276">
        <v>0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161</v>
      </c>
      <c r="B385" s="271" t="s">
        <v>810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0</v>
      </c>
      <c r="K385" s="273"/>
      <c r="L385" s="273"/>
      <c r="M385" s="274">
        <v>0</v>
      </c>
      <c r="N385" s="272">
        <v>0</v>
      </c>
      <c r="O385" s="275"/>
      <c r="P385" s="275"/>
      <c r="Q385" s="275"/>
      <c r="R385" s="275"/>
      <c r="S385" s="275"/>
      <c r="T385" s="275"/>
      <c r="U385" s="276">
        <v>0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161</v>
      </c>
      <c r="B386" s="271" t="s">
        <v>811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0</v>
      </c>
      <c r="K386" s="273"/>
      <c r="L386" s="273"/>
      <c r="M386" s="274">
        <v>0</v>
      </c>
      <c r="N386" s="272">
        <v>0</v>
      </c>
      <c r="O386" s="275"/>
      <c r="P386" s="275"/>
      <c r="Q386" s="275"/>
      <c r="R386" s="275"/>
      <c r="S386" s="275"/>
      <c r="T386" s="275"/>
      <c r="U386" s="276">
        <v>0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161</v>
      </c>
      <c r="B387" s="271" t="s">
        <v>812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0</v>
      </c>
      <c r="K387" s="273"/>
      <c r="L387" s="273"/>
      <c r="M387" s="274">
        <v>0</v>
      </c>
      <c r="N387" s="272">
        <v>0</v>
      </c>
      <c r="O387" s="275"/>
      <c r="P387" s="275"/>
      <c r="Q387" s="275"/>
      <c r="R387" s="275"/>
      <c r="S387" s="275"/>
      <c r="T387" s="275"/>
      <c r="U387" s="276">
        <v>0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161</v>
      </c>
      <c r="B388" s="271" t="s">
        <v>813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0</v>
      </c>
      <c r="K388" s="273"/>
      <c r="L388" s="273"/>
      <c r="M388" s="274">
        <v>0</v>
      </c>
      <c r="N388" s="272">
        <v>0</v>
      </c>
      <c r="O388" s="275"/>
      <c r="P388" s="275"/>
      <c r="Q388" s="275"/>
      <c r="R388" s="275"/>
      <c r="S388" s="275"/>
      <c r="T388" s="275"/>
      <c r="U388" s="276">
        <v>0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161</v>
      </c>
      <c r="B389" s="271" t="s">
        <v>814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0</v>
      </c>
      <c r="K389" s="273"/>
      <c r="L389" s="273"/>
      <c r="M389" s="274">
        <v>0</v>
      </c>
      <c r="N389" s="272">
        <v>0</v>
      </c>
      <c r="O389" s="275"/>
      <c r="P389" s="275"/>
      <c r="Q389" s="275"/>
      <c r="R389" s="275"/>
      <c r="S389" s="275"/>
      <c r="T389" s="275"/>
      <c r="U389" s="276">
        <v>0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161</v>
      </c>
      <c r="B390" s="271" t="s">
        <v>815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0</v>
      </c>
      <c r="K390" s="273"/>
      <c r="L390" s="273"/>
      <c r="M390" s="274">
        <v>0</v>
      </c>
      <c r="N390" s="272">
        <v>0</v>
      </c>
      <c r="O390" s="275"/>
      <c r="P390" s="275"/>
      <c r="Q390" s="275"/>
      <c r="R390" s="275"/>
      <c r="S390" s="275"/>
      <c r="T390" s="275"/>
      <c r="U390" s="276">
        <v>0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161</v>
      </c>
      <c r="B391" s="271" t="s">
        <v>816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0</v>
      </c>
      <c r="K391" s="273"/>
      <c r="L391" s="273"/>
      <c r="M391" s="274">
        <v>0</v>
      </c>
      <c r="N391" s="272">
        <v>0</v>
      </c>
      <c r="O391" s="275"/>
      <c r="P391" s="275"/>
      <c r="Q391" s="275"/>
      <c r="R391" s="275"/>
      <c r="S391" s="275"/>
      <c r="T391" s="275"/>
      <c r="U391" s="276">
        <v>0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161</v>
      </c>
      <c r="B392" s="271" t="s">
        <v>817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161</v>
      </c>
      <c r="B393" s="271" t="s">
        <v>818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161</v>
      </c>
      <c r="B394" s="271" t="s">
        <v>819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161</v>
      </c>
      <c r="B395" s="271" t="s">
        <v>820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161</v>
      </c>
      <c r="B396" s="271" t="s">
        <v>821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161</v>
      </c>
      <c r="B397" s="271" t="s">
        <v>822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161</v>
      </c>
      <c r="B398" s="271" t="s">
        <v>226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0</v>
      </c>
      <c r="K398" s="273"/>
      <c r="L398" s="273"/>
      <c r="M398" s="274">
        <v>0</v>
      </c>
      <c r="N398" s="272">
        <v>0</v>
      </c>
      <c r="O398" s="275"/>
      <c r="P398" s="275"/>
      <c r="Q398" s="275"/>
      <c r="R398" s="275"/>
      <c r="S398" s="275"/>
      <c r="T398" s="275"/>
      <c r="U398" s="276">
        <v>0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161</v>
      </c>
      <c r="B399" s="271" t="s">
        <v>227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0</v>
      </c>
      <c r="K399" s="273"/>
      <c r="L399" s="273"/>
      <c r="M399" s="274">
        <v>0</v>
      </c>
      <c r="N399" s="272">
        <v>0</v>
      </c>
      <c r="O399" s="275"/>
      <c r="P399" s="275"/>
      <c r="Q399" s="275"/>
      <c r="R399" s="275"/>
      <c r="S399" s="275"/>
      <c r="T399" s="275"/>
      <c r="U399" s="276">
        <v>0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161</v>
      </c>
      <c r="B400" s="271" t="s">
        <v>228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1</v>
      </c>
      <c r="K400" s="273">
        <v>73785</v>
      </c>
      <c r="L400" s="273">
        <v>85685</v>
      </c>
      <c r="M400" s="274">
        <v>1</v>
      </c>
      <c r="N400" s="272">
        <v>1</v>
      </c>
      <c r="O400" s="275">
        <v>27.544</v>
      </c>
      <c r="P400" s="275">
        <v>73785</v>
      </c>
      <c r="Q400" s="275">
        <v>73757.456000000006</v>
      </c>
      <c r="R400" s="275">
        <v>-85712.543999999994</v>
      </c>
      <c r="S400" s="275">
        <v>-85685</v>
      </c>
      <c r="T400" s="275">
        <v>27.544</v>
      </c>
      <c r="U400" s="276">
        <v>1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161</v>
      </c>
      <c r="B401" s="271" t="s">
        <v>229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0</v>
      </c>
      <c r="K401" s="273"/>
      <c r="L401" s="273"/>
      <c r="M401" s="274">
        <v>0</v>
      </c>
      <c r="N401" s="272">
        <v>0</v>
      </c>
      <c r="O401" s="275"/>
      <c r="P401" s="275"/>
      <c r="Q401" s="275"/>
      <c r="R401" s="275"/>
      <c r="S401" s="275"/>
      <c r="T401" s="275"/>
      <c r="U401" s="276">
        <v>0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161</v>
      </c>
      <c r="B402" s="271" t="s">
        <v>823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0</v>
      </c>
      <c r="K402" s="273"/>
      <c r="L402" s="273"/>
      <c r="M402" s="274">
        <v>0</v>
      </c>
      <c r="N402" s="272">
        <v>0</v>
      </c>
      <c r="O402" s="275"/>
      <c r="P402" s="275"/>
      <c r="Q402" s="275"/>
      <c r="R402" s="275"/>
      <c r="S402" s="275"/>
      <c r="T402" s="275"/>
      <c r="U402" s="276">
        <v>0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161</v>
      </c>
      <c r="B403" s="271" t="s">
        <v>230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0</v>
      </c>
      <c r="K403" s="273"/>
      <c r="L403" s="273"/>
      <c r="M403" s="274">
        <v>0</v>
      </c>
      <c r="N403" s="272">
        <v>0</v>
      </c>
      <c r="O403" s="275"/>
      <c r="P403" s="275"/>
      <c r="Q403" s="275"/>
      <c r="R403" s="275"/>
      <c r="S403" s="275"/>
      <c r="T403" s="275"/>
      <c r="U403" s="276">
        <v>0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161</v>
      </c>
      <c r="B404" s="271" t="s">
        <v>231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1</v>
      </c>
      <c r="K404" s="273">
        <v>73710</v>
      </c>
      <c r="L404" s="273">
        <v>85760</v>
      </c>
      <c r="M404" s="274">
        <v>1</v>
      </c>
      <c r="N404" s="272">
        <v>1</v>
      </c>
      <c r="O404" s="275">
        <v>52.584000000000003</v>
      </c>
      <c r="P404" s="275">
        <v>73710</v>
      </c>
      <c r="Q404" s="275">
        <v>73657.415999999997</v>
      </c>
      <c r="R404" s="275">
        <v>-85812.584000000003</v>
      </c>
      <c r="S404" s="275">
        <v>-85760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161</v>
      </c>
      <c r="B405" s="271" t="s">
        <v>232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0</v>
      </c>
      <c r="K405" s="273"/>
      <c r="L405" s="273"/>
      <c r="M405" s="274">
        <v>0</v>
      </c>
      <c r="N405" s="272">
        <v>0</v>
      </c>
      <c r="O405" s="275"/>
      <c r="P405" s="275"/>
      <c r="Q405" s="275"/>
      <c r="R405" s="275"/>
      <c r="S405" s="275"/>
      <c r="T405" s="275"/>
      <c r="U405" s="276">
        <v>0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161</v>
      </c>
      <c r="B406" s="271" t="s">
        <v>824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0</v>
      </c>
      <c r="K406" s="273"/>
      <c r="L406" s="273"/>
      <c r="M406" s="274">
        <v>0</v>
      </c>
      <c r="N406" s="272">
        <v>0</v>
      </c>
      <c r="O406" s="275"/>
      <c r="P406" s="275"/>
      <c r="Q406" s="275"/>
      <c r="R406" s="275"/>
      <c r="S406" s="275"/>
      <c r="T406" s="275"/>
      <c r="U406" s="276">
        <v>0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161</v>
      </c>
      <c r="B407" s="271" t="s">
        <v>233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0</v>
      </c>
      <c r="K407" s="273"/>
      <c r="L407" s="273"/>
      <c r="M407" s="274">
        <v>0</v>
      </c>
      <c r="N407" s="272">
        <v>0</v>
      </c>
      <c r="O407" s="275"/>
      <c r="P407" s="275"/>
      <c r="Q407" s="275"/>
      <c r="R407" s="275"/>
      <c r="S407" s="275"/>
      <c r="T407" s="275"/>
      <c r="U407" s="276">
        <v>0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161</v>
      </c>
      <c r="B408" s="271" t="s">
        <v>234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0</v>
      </c>
      <c r="K408" s="273"/>
      <c r="L408" s="273"/>
      <c r="M408" s="274">
        <v>0</v>
      </c>
      <c r="N408" s="272">
        <v>0</v>
      </c>
      <c r="O408" s="275"/>
      <c r="P408" s="275"/>
      <c r="Q408" s="275"/>
      <c r="R408" s="275"/>
      <c r="S408" s="275"/>
      <c r="T408" s="275"/>
      <c r="U408" s="276">
        <v>0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161</v>
      </c>
      <c r="B409" s="271" t="s">
        <v>235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0</v>
      </c>
      <c r="K409" s="273"/>
      <c r="L409" s="273"/>
      <c r="M409" s="274">
        <v>0</v>
      </c>
      <c r="N409" s="272">
        <v>0</v>
      </c>
      <c r="O409" s="275"/>
      <c r="P409" s="275"/>
      <c r="Q409" s="275"/>
      <c r="R409" s="275"/>
      <c r="S409" s="275"/>
      <c r="T409" s="275"/>
      <c r="U409" s="276">
        <v>0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161</v>
      </c>
      <c r="B410" s="271" t="s">
        <v>825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0</v>
      </c>
      <c r="K410" s="273"/>
      <c r="L410" s="273"/>
      <c r="M410" s="274">
        <v>0</v>
      </c>
      <c r="N410" s="272">
        <v>0</v>
      </c>
      <c r="O410" s="275"/>
      <c r="P410" s="275"/>
      <c r="Q410" s="275"/>
      <c r="R410" s="275"/>
      <c r="S410" s="275"/>
      <c r="T410" s="275"/>
      <c r="U410" s="276">
        <v>0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161</v>
      </c>
      <c r="B411" s="271" t="s">
        <v>236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0</v>
      </c>
      <c r="K411" s="273"/>
      <c r="L411" s="273"/>
      <c r="M411" s="274">
        <v>0</v>
      </c>
      <c r="N411" s="272">
        <v>0</v>
      </c>
      <c r="O411" s="275"/>
      <c r="P411" s="275"/>
      <c r="Q411" s="275"/>
      <c r="R411" s="275"/>
      <c r="S411" s="275"/>
      <c r="T411" s="275"/>
      <c r="U411" s="276">
        <v>0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161</v>
      </c>
      <c r="B412" s="271" t="s">
        <v>237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0</v>
      </c>
      <c r="K412" s="273"/>
      <c r="L412" s="273"/>
      <c r="M412" s="274">
        <v>0</v>
      </c>
      <c r="N412" s="272">
        <v>0</v>
      </c>
      <c r="O412" s="275"/>
      <c r="P412" s="275"/>
      <c r="Q412" s="275"/>
      <c r="R412" s="275"/>
      <c r="S412" s="275"/>
      <c r="T412" s="275"/>
      <c r="U412" s="276">
        <v>0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161</v>
      </c>
      <c r="B413" s="271" t="s">
        <v>238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0</v>
      </c>
      <c r="K413" s="273"/>
      <c r="L413" s="273"/>
      <c r="M413" s="274">
        <v>0</v>
      </c>
      <c r="N413" s="272">
        <v>0</v>
      </c>
      <c r="O413" s="275"/>
      <c r="P413" s="275"/>
      <c r="Q413" s="275"/>
      <c r="R413" s="275"/>
      <c r="S413" s="275"/>
      <c r="T413" s="275"/>
      <c r="U413" s="276">
        <v>0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161</v>
      </c>
      <c r="B414" s="271" t="s">
        <v>826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0</v>
      </c>
      <c r="K414" s="273"/>
      <c r="L414" s="273"/>
      <c r="M414" s="274">
        <v>0</v>
      </c>
      <c r="N414" s="272">
        <v>0</v>
      </c>
      <c r="O414" s="275"/>
      <c r="P414" s="275"/>
      <c r="Q414" s="275"/>
      <c r="R414" s="275"/>
      <c r="S414" s="275"/>
      <c r="T414" s="275"/>
      <c r="U414" s="276">
        <v>0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161</v>
      </c>
      <c r="B415" s="271" t="s">
        <v>239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0</v>
      </c>
      <c r="K415" s="273"/>
      <c r="L415" s="273"/>
      <c r="M415" s="274">
        <v>0</v>
      </c>
      <c r="N415" s="272">
        <v>0</v>
      </c>
      <c r="O415" s="275"/>
      <c r="P415" s="275"/>
      <c r="Q415" s="275"/>
      <c r="R415" s="275"/>
      <c r="S415" s="275"/>
      <c r="T415" s="275"/>
      <c r="U415" s="276">
        <v>0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161</v>
      </c>
      <c r="B416" s="271" t="s">
        <v>240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0</v>
      </c>
      <c r="K416" s="273"/>
      <c r="L416" s="273"/>
      <c r="M416" s="274">
        <v>0</v>
      </c>
      <c r="N416" s="272">
        <v>0</v>
      </c>
      <c r="O416" s="275"/>
      <c r="P416" s="275"/>
      <c r="Q416" s="275"/>
      <c r="R416" s="275"/>
      <c r="S416" s="275"/>
      <c r="T416" s="275"/>
      <c r="U416" s="276">
        <v>0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161</v>
      </c>
      <c r="B417" s="271" t="s">
        <v>241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0</v>
      </c>
      <c r="K417" s="273"/>
      <c r="L417" s="273"/>
      <c r="M417" s="274">
        <v>0</v>
      </c>
      <c r="N417" s="272">
        <v>0</v>
      </c>
      <c r="O417" s="275"/>
      <c r="P417" s="275"/>
      <c r="Q417" s="275"/>
      <c r="R417" s="275"/>
      <c r="S417" s="275"/>
      <c r="T417" s="275"/>
      <c r="U417" s="276">
        <v>0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161</v>
      </c>
      <c r="B418" s="271" t="s">
        <v>827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161</v>
      </c>
      <c r="B419" s="271" t="s">
        <v>828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0</v>
      </c>
      <c r="K419" s="273"/>
      <c r="L419" s="273"/>
      <c r="M419" s="274">
        <v>0</v>
      </c>
      <c r="N419" s="272">
        <v>0</v>
      </c>
      <c r="O419" s="275"/>
      <c r="P419" s="275"/>
      <c r="Q419" s="275"/>
      <c r="R419" s="275"/>
      <c r="S419" s="275"/>
      <c r="T419" s="275"/>
      <c r="U419" s="276">
        <v>0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161</v>
      </c>
      <c r="B420" s="271" t="s">
        <v>829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0</v>
      </c>
      <c r="K420" s="273"/>
      <c r="L420" s="273"/>
      <c r="M420" s="274">
        <v>0</v>
      </c>
      <c r="N420" s="272">
        <v>0</v>
      </c>
      <c r="O420" s="275"/>
      <c r="P420" s="275"/>
      <c r="Q420" s="275"/>
      <c r="R420" s="275"/>
      <c r="S420" s="275"/>
      <c r="T420" s="275"/>
      <c r="U420" s="276">
        <v>0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161</v>
      </c>
      <c r="B421" s="271" t="s">
        <v>830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0</v>
      </c>
      <c r="K421" s="273"/>
      <c r="L421" s="273"/>
      <c r="M421" s="274">
        <v>0</v>
      </c>
      <c r="N421" s="272">
        <v>0</v>
      </c>
      <c r="O421" s="275"/>
      <c r="P421" s="275"/>
      <c r="Q421" s="275"/>
      <c r="R421" s="275"/>
      <c r="S421" s="275"/>
      <c r="T421" s="275"/>
      <c r="U421" s="276">
        <v>0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161</v>
      </c>
      <c r="B422" s="271" t="s">
        <v>831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161</v>
      </c>
      <c r="B423" s="271" t="s">
        <v>242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0</v>
      </c>
      <c r="K423" s="273"/>
      <c r="L423" s="273"/>
      <c r="M423" s="274">
        <v>0</v>
      </c>
      <c r="N423" s="272">
        <v>0</v>
      </c>
      <c r="O423" s="275"/>
      <c r="P423" s="275"/>
      <c r="Q423" s="275"/>
      <c r="R423" s="275"/>
      <c r="S423" s="275"/>
      <c r="T423" s="275"/>
      <c r="U423" s="276">
        <v>0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161</v>
      </c>
      <c r="B424" s="271" t="s">
        <v>243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0</v>
      </c>
      <c r="K424" s="273"/>
      <c r="L424" s="273"/>
      <c r="M424" s="274">
        <v>0</v>
      </c>
      <c r="N424" s="272">
        <v>0</v>
      </c>
      <c r="O424" s="275"/>
      <c r="P424" s="275"/>
      <c r="Q424" s="275"/>
      <c r="R424" s="275"/>
      <c r="S424" s="275"/>
      <c r="T424" s="275"/>
      <c r="U424" s="276">
        <v>0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161</v>
      </c>
      <c r="B425" s="271" t="s">
        <v>832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0</v>
      </c>
      <c r="K425" s="273"/>
      <c r="L425" s="273"/>
      <c r="M425" s="274">
        <v>0</v>
      </c>
      <c r="N425" s="272">
        <v>0</v>
      </c>
      <c r="O425" s="275"/>
      <c r="P425" s="275"/>
      <c r="Q425" s="275"/>
      <c r="R425" s="275"/>
      <c r="S425" s="275"/>
      <c r="T425" s="275"/>
      <c r="U425" s="276">
        <v>0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161</v>
      </c>
      <c r="B426" s="271" t="s">
        <v>244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0</v>
      </c>
      <c r="K426" s="273"/>
      <c r="L426" s="273"/>
      <c r="M426" s="274">
        <v>0</v>
      </c>
      <c r="N426" s="272">
        <v>0</v>
      </c>
      <c r="O426" s="275"/>
      <c r="P426" s="275"/>
      <c r="Q426" s="275"/>
      <c r="R426" s="275"/>
      <c r="S426" s="275"/>
      <c r="T426" s="275"/>
      <c r="U426" s="276">
        <v>0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161</v>
      </c>
      <c r="B427" s="271" t="s">
        <v>245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0</v>
      </c>
      <c r="K427" s="273"/>
      <c r="L427" s="273"/>
      <c r="M427" s="274">
        <v>0</v>
      </c>
      <c r="N427" s="272">
        <v>0</v>
      </c>
      <c r="O427" s="275"/>
      <c r="P427" s="275"/>
      <c r="Q427" s="275"/>
      <c r="R427" s="275"/>
      <c r="S427" s="275"/>
      <c r="T427" s="275"/>
      <c r="U427" s="276">
        <v>0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161</v>
      </c>
      <c r="B428" s="271" t="s">
        <v>833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0</v>
      </c>
      <c r="K428" s="273"/>
      <c r="L428" s="273"/>
      <c r="M428" s="274">
        <v>0</v>
      </c>
      <c r="N428" s="272">
        <v>0</v>
      </c>
      <c r="O428" s="275"/>
      <c r="P428" s="275"/>
      <c r="Q428" s="275"/>
      <c r="R428" s="275"/>
      <c r="S428" s="275"/>
      <c r="T428" s="275"/>
      <c r="U428" s="276">
        <v>0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161</v>
      </c>
      <c r="B429" s="271" t="s">
        <v>246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0</v>
      </c>
      <c r="K429" s="273"/>
      <c r="L429" s="273"/>
      <c r="M429" s="274">
        <v>0</v>
      </c>
      <c r="N429" s="272">
        <v>0</v>
      </c>
      <c r="O429" s="275"/>
      <c r="P429" s="275"/>
      <c r="Q429" s="275"/>
      <c r="R429" s="275"/>
      <c r="S429" s="275"/>
      <c r="T429" s="275"/>
      <c r="U429" s="276">
        <v>0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161</v>
      </c>
      <c r="B430" s="271" t="s">
        <v>247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0</v>
      </c>
      <c r="K430" s="273"/>
      <c r="L430" s="273"/>
      <c r="M430" s="274">
        <v>0</v>
      </c>
      <c r="N430" s="272">
        <v>0</v>
      </c>
      <c r="O430" s="275"/>
      <c r="P430" s="275"/>
      <c r="Q430" s="275"/>
      <c r="R430" s="275"/>
      <c r="S430" s="275"/>
      <c r="T430" s="275"/>
      <c r="U430" s="276">
        <v>0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161</v>
      </c>
      <c r="B431" s="271" t="s">
        <v>834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161</v>
      </c>
      <c r="B432" s="271" t="s">
        <v>835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0</v>
      </c>
      <c r="K432" s="273"/>
      <c r="L432" s="273"/>
      <c r="M432" s="274">
        <v>0</v>
      </c>
      <c r="N432" s="272">
        <v>0</v>
      </c>
      <c r="O432" s="275"/>
      <c r="P432" s="275"/>
      <c r="Q432" s="275"/>
      <c r="R432" s="275"/>
      <c r="S432" s="275"/>
      <c r="T432" s="275"/>
      <c r="U432" s="276">
        <v>0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161</v>
      </c>
      <c r="B433" s="271" t="s">
        <v>836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0</v>
      </c>
      <c r="K433" s="273"/>
      <c r="L433" s="273"/>
      <c r="M433" s="274">
        <v>0</v>
      </c>
      <c r="N433" s="272">
        <v>0</v>
      </c>
      <c r="O433" s="275"/>
      <c r="P433" s="275"/>
      <c r="Q433" s="275"/>
      <c r="R433" s="275"/>
      <c r="S433" s="275"/>
      <c r="T433" s="275"/>
      <c r="U433" s="276">
        <v>0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161</v>
      </c>
      <c r="B434" s="271" t="s">
        <v>837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161</v>
      </c>
      <c r="B435" s="271" t="s">
        <v>248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0</v>
      </c>
      <c r="K435" s="273"/>
      <c r="L435" s="273"/>
      <c r="M435" s="274">
        <v>0</v>
      </c>
      <c r="N435" s="272">
        <v>0</v>
      </c>
      <c r="O435" s="275"/>
      <c r="P435" s="275"/>
      <c r="Q435" s="275"/>
      <c r="R435" s="275"/>
      <c r="S435" s="275"/>
      <c r="T435" s="275"/>
      <c r="U435" s="276">
        <v>0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161</v>
      </c>
      <c r="B436" s="271" t="s">
        <v>249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0</v>
      </c>
      <c r="K436" s="273"/>
      <c r="L436" s="273"/>
      <c r="M436" s="274">
        <v>0</v>
      </c>
      <c r="N436" s="272">
        <v>0</v>
      </c>
      <c r="O436" s="275"/>
      <c r="P436" s="275"/>
      <c r="Q436" s="275"/>
      <c r="R436" s="275"/>
      <c r="S436" s="275"/>
      <c r="T436" s="275"/>
      <c r="U436" s="276">
        <v>0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161</v>
      </c>
      <c r="B437" s="271" t="s">
        <v>838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0</v>
      </c>
      <c r="K437" s="273"/>
      <c r="L437" s="273"/>
      <c r="M437" s="274">
        <v>0</v>
      </c>
      <c r="N437" s="272">
        <v>0</v>
      </c>
      <c r="O437" s="275"/>
      <c r="P437" s="275"/>
      <c r="Q437" s="275"/>
      <c r="R437" s="275"/>
      <c r="S437" s="275"/>
      <c r="T437" s="275"/>
      <c r="U437" s="276">
        <v>0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161</v>
      </c>
      <c r="B438" s="271" t="s">
        <v>250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0</v>
      </c>
      <c r="K438" s="273"/>
      <c r="L438" s="273"/>
      <c r="M438" s="274">
        <v>0</v>
      </c>
      <c r="N438" s="272">
        <v>0</v>
      </c>
      <c r="O438" s="275"/>
      <c r="P438" s="275"/>
      <c r="Q438" s="275"/>
      <c r="R438" s="275"/>
      <c r="S438" s="275"/>
      <c r="T438" s="275"/>
      <c r="U438" s="276">
        <v>0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161</v>
      </c>
      <c r="B439" s="271" t="s">
        <v>251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0</v>
      </c>
      <c r="K439" s="273"/>
      <c r="L439" s="273"/>
      <c r="M439" s="274">
        <v>0</v>
      </c>
      <c r="N439" s="272">
        <v>0</v>
      </c>
      <c r="O439" s="275"/>
      <c r="P439" s="275"/>
      <c r="Q439" s="275"/>
      <c r="R439" s="275"/>
      <c r="S439" s="275"/>
      <c r="T439" s="275"/>
      <c r="U439" s="276">
        <v>0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161</v>
      </c>
      <c r="B440" s="271" t="s">
        <v>839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0</v>
      </c>
      <c r="K440" s="273"/>
      <c r="L440" s="273"/>
      <c r="M440" s="274">
        <v>0</v>
      </c>
      <c r="N440" s="272">
        <v>0</v>
      </c>
      <c r="O440" s="275"/>
      <c r="P440" s="275"/>
      <c r="Q440" s="275"/>
      <c r="R440" s="275"/>
      <c r="S440" s="275"/>
      <c r="T440" s="275"/>
      <c r="U440" s="276">
        <v>0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161</v>
      </c>
      <c r="B441" s="271" t="s">
        <v>252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0</v>
      </c>
      <c r="K441" s="273"/>
      <c r="L441" s="273"/>
      <c r="M441" s="274">
        <v>0</v>
      </c>
      <c r="N441" s="272">
        <v>0</v>
      </c>
      <c r="O441" s="275"/>
      <c r="P441" s="275"/>
      <c r="Q441" s="275"/>
      <c r="R441" s="275"/>
      <c r="S441" s="275"/>
      <c r="T441" s="275"/>
      <c r="U441" s="276">
        <v>0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161</v>
      </c>
      <c r="B442" s="271" t="s">
        <v>253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0</v>
      </c>
      <c r="K442" s="273"/>
      <c r="L442" s="273"/>
      <c r="M442" s="274">
        <v>0</v>
      </c>
      <c r="N442" s="272">
        <v>0</v>
      </c>
      <c r="O442" s="275"/>
      <c r="P442" s="275"/>
      <c r="Q442" s="275"/>
      <c r="R442" s="275"/>
      <c r="S442" s="275"/>
      <c r="T442" s="275"/>
      <c r="U442" s="276">
        <v>0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161</v>
      </c>
      <c r="B443" s="271" t="s">
        <v>840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161</v>
      </c>
      <c r="B444" s="271" t="s">
        <v>841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0</v>
      </c>
      <c r="K444" s="273"/>
      <c r="L444" s="273"/>
      <c r="M444" s="274">
        <v>0</v>
      </c>
      <c r="N444" s="272">
        <v>0</v>
      </c>
      <c r="O444" s="275"/>
      <c r="P444" s="275"/>
      <c r="Q444" s="275"/>
      <c r="R444" s="275"/>
      <c r="S444" s="275"/>
      <c r="T444" s="275"/>
      <c r="U444" s="276">
        <v>0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161</v>
      </c>
      <c r="B445" s="271" t="s">
        <v>842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0</v>
      </c>
      <c r="K445" s="273"/>
      <c r="L445" s="273"/>
      <c r="M445" s="274">
        <v>0</v>
      </c>
      <c r="N445" s="272">
        <v>0</v>
      </c>
      <c r="O445" s="275"/>
      <c r="P445" s="275"/>
      <c r="Q445" s="275"/>
      <c r="R445" s="275"/>
      <c r="S445" s="275"/>
      <c r="T445" s="275"/>
      <c r="U445" s="276">
        <v>0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161</v>
      </c>
      <c r="B446" s="271" t="s">
        <v>843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161</v>
      </c>
      <c r="B447" s="271" t="s">
        <v>254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0</v>
      </c>
      <c r="K447" s="273"/>
      <c r="L447" s="273"/>
      <c r="M447" s="274">
        <v>0</v>
      </c>
      <c r="N447" s="272">
        <v>0</v>
      </c>
      <c r="O447" s="275"/>
      <c r="P447" s="275"/>
      <c r="Q447" s="275"/>
      <c r="R447" s="275"/>
      <c r="S447" s="275"/>
      <c r="T447" s="275"/>
      <c r="U447" s="276">
        <v>0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161</v>
      </c>
      <c r="B448" s="271" t="s">
        <v>255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0</v>
      </c>
      <c r="K448" s="273"/>
      <c r="L448" s="273"/>
      <c r="M448" s="274">
        <v>0</v>
      </c>
      <c r="N448" s="272">
        <v>0</v>
      </c>
      <c r="O448" s="275"/>
      <c r="P448" s="275"/>
      <c r="Q448" s="275"/>
      <c r="R448" s="275"/>
      <c r="S448" s="275"/>
      <c r="T448" s="275"/>
      <c r="U448" s="276">
        <v>0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161</v>
      </c>
      <c r="B449" s="271" t="s">
        <v>844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0</v>
      </c>
      <c r="K449" s="273"/>
      <c r="L449" s="273"/>
      <c r="M449" s="274">
        <v>0</v>
      </c>
      <c r="N449" s="272">
        <v>0</v>
      </c>
      <c r="O449" s="275"/>
      <c r="P449" s="275"/>
      <c r="Q449" s="275"/>
      <c r="R449" s="275"/>
      <c r="S449" s="275"/>
      <c r="T449" s="275"/>
      <c r="U449" s="276">
        <v>0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161</v>
      </c>
      <c r="B450" s="271" t="s">
        <v>256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0</v>
      </c>
      <c r="K450" s="273"/>
      <c r="L450" s="273"/>
      <c r="M450" s="274">
        <v>0</v>
      </c>
      <c r="N450" s="272">
        <v>0</v>
      </c>
      <c r="O450" s="275"/>
      <c r="P450" s="275"/>
      <c r="Q450" s="275"/>
      <c r="R450" s="275"/>
      <c r="S450" s="275"/>
      <c r="T450" s="275"/>
      <c r="U450" s="276">
        <v>0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161</v>
      </c>
      <c r="B451" s="271" t="s">
        <v>257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0</v>
      </c>
      <c r="K451" s="273"/>
      <c r="L451" s="273"/>
      <c r="M451" s="274">
        <v>0</v>
      </c>
      <c r="N451" s="272">
        <v>0</v>
      </c>
      <c r="O451" s="275"/>
      <c r="P451" s="275"/>
      <c r="Q451" s="275"/>
      <c r="R451" s="275"/>
      <c r="S451" s="275"/>
      <c r="T451" s="275"/>
      <c r="U451" s="276">
        <v>0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161</v>
      </c>
      <c r="B452" s="271" t="s">
        <v>845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0</v>
      </c>
      <c r="K452" s="273"/>
      <c r="L452" s="273"/>
      <c r="M452" s="274">
        <v>0</v>
      </c>
      <c r="N452" s="272">
        <v>0</v>
      </c>
      <c r="O452" s="275"/>
      <c r="P452" s="275"/>
      <c r="Q452" s="275"/>
      <c r="R452" s="275"/>
      <c r="S452" s="275"/>
      <c r="T452" s="275"/>
      <c r="U452" s="276">
        <v>0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161</v>
      </c>
      <c r="B453" s="271" t="s">
        <v>258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0</v>
      </c>
      <c r="K453" s="273"/>
      <c r="L453" s="273"/>
      <c r="M453" s="274">
        <v>0</v>
      </c>
      <c r="N453" s="272">
        <v>0</v>
      </c>
      <c r="O453" s="275"/>
      <c r="P453" s="275"/>
      <c r="Q453" s="275"/>
      <c r="R453" s="275"/>
      <c r="S453" s="275"/>
      <c r="T453" s="275"/>
      <c r="U453" s="276">
        <v>0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161</v>
      </c>
      <c r="B454" s="271" t="s">
        <v>259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0</v>
      </c>
      <c r="K454" s="273"/>
      <c r="L454" s="273"/>
      <c r="M454" s="274">
        <v>0</v>
      </c>
      <c r="N454" s="272">
        <v>0</v>
      </c>
      <c r="O454" s="275"/>
      <c r="P454" s="275"/>
      <c r="Q454" s="275"/>
      <c r="R454" s="275"/>
      <c r="S454" s="275"/>
      <c r="T454" s="275"/>
      <c r="U454" s="276">
        <v>0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161</v>
      </c>
      <c r="B455" s="271" t="s">
        <v>846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161</v>
      </c>
      <c r="B456" s="271" t="s">
        <v>847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0</v>
      </c>
      <c r="K456" s="273"/>
      <c r="L456" s="273"/>
      <c r="M456" s="274">
        <v>0</v>
      </c>
      <c r="N456" s="272">
        <v>0</v>
      </c>
      <c r="O456" s="275"/>
      <c r="P456" s="275"/>
      <c r="Q456" s="275"/>
      <c r="R456" s="275"/>
      <c r="S456" s="275"/>
      <c r="T456" s="275"/>
      <c r="U456" s="276">
        <v>0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161</v>
      </c>
      <c r="B457" s="271" t="s">
        <v>848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0</v>
      </c>
      <c r="K457" s="273"/>
      <c r="L457" s="273"/>
      <c r="M457" s="274">
        <v>0</v>
      </c>
      <c r="N457" s="272">
        <v>0</v>
      </c>
      <c r="O457" s="275"/>
      <c r="P457" s="275"/>
      <c r="Q457" s="275"/>
      <c r="R457" s="275"/>
      <c r="S457" s="275"/>
      <c r="T457" s="275"/>
      <c r="U457" s="276">
        <v>0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161</v>
      </c>
      <c r="B458" s="271" t="s">
        <v>849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161</v>
      </c>
      <c r="B459" s="271" t="s">
        <v>260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0</v>
      </c>
      <c r="K459" s="273"/>
      <c r="L459" s="273"/>
      <c r="M459" s="274">
        <v>0</v>
      </c>
      <c r="N459" s="272">
        <v>0</v>
      </c>
      <c r="O459" s="275"/>
      <c r="P459" s="275"/>
      <c r="Q459" s="275"/>
      <c r="R459" s="275"/>
      <c r="S459" s="275"/>
      <c r="T459" s="275"/>
      <c r="U459" s="276">
        <v>0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161</v>
      </c>
      <c r="B460" s="271" t="s">
        <v>261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0</v>
      </c>
      <c r="K460" s="273"/>
      <c r="L460" s="273"/>
      <c r="M460" s="274">
        <v>0</v>
      </c>
      <c r="N460" s="272">
        <v>0</v>
      </c>
      <c r="O460" s="275"/>
      <c r="P460" s="275"/>
      <c r="Q460" s="275"/>
      <c r="R460" s="275"/>
      <c r="S460" s="275"/>
      <c r="T460" s="275"/>
      <c r="U460" s="276">
        <v>0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161</v>
      </c>
      <c r="B461" s="271" t="s">
        <v>850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0</v>
      </c>
      <c r="K461" s="273"/>
      <c r="L461" s="273"/>
      <c r="M461" s="274">
        <v>0</v>
      </c>
      <c r="N461" s="272">
        <v>0</v>
      </c>
      <c r="O461" s="275"/>
      <c r="P461" s="275"/>
      <c r="Q461" s="275"/>
      <c r="R461" s="275"/>
      <c r="S461" s="275"/>
      <c r="T461" s="275"/>
      <c r="U461" s="276">
        <v>0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161</v>
      </c>
      <c r="B462" s="271" t="s">
        <v>262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0</v>
      </c>
      <c r="K462" s="273"/>
      <c r="L462" s="273"/>
      <c r="M462" s="274">
        <v>0</v>
      </c>
      <c r="N462" s="272">
        <v>0</v>
      </c>
      <c r="O462" s="275"/>
      <c r="P462" s="275"/>
      <c r="Q462" s="275"/>
      <c r="R462" s="275"/>
      <c r="S462" s="275"/>
      <c r="T462" s="275"/>
      <c r="U462" s="276">
        <v>0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161</v>
      </c>
      <c r="B463" s="271" t="s">
        <v>263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0</v>
      </c>
      <c r="K463" s="273"/>
      <c r="L463" s="273"/>
      <c r="M463" s="274">
        <v>0</v>
      </c>
      <c r="N463" s="272">
        <v>0</v>
      </c>
      <c r="O463" s="275"/>
      <c r="P463" s="275"/>
      <c r="Q463" s="275"/>
      <c r="R463" s="275"/>
      <c r="S463" s="275"/>
      <c r="T463" s="275"/>
      <c r="U463" s="276">
        <v>0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161</v>
      </c>
      <c r="B464" s="271" t="s">
        <v>851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0</v>
      </c>
      <c r="K464" s="273"/>
      <c r="L464" s="273"/>
      <c r="M464" s="274">
        <v>0</v>
      </c>
      <c r="N464" s="272">
        <v>0</v>
      </c>
      <c r="O464" s="275"/>
      <c r="P464" s="275"/>
      <c r="Q464" s="275"/>
      <c r="R464" s="275"/>
      <c r="S464" s="275"/>
      <c r="T464" s="275"/>
      <c r="U464" s="276">
        <v>0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161</v>
      </c>
      <c r="B465" s="271" t="s">
        <v>264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0</v>
      </c>
      <c r="K465" s="273"/>
      <c r="L465" s="273"/>
      <c r="M465" s="274">
        <v>0</v>
      </c>
      <c r="N465" s="272">
        <v>0</v>
      </c>
      <c r="O465" s="275"/>
      <c r="P465" s="275"/>
      <c r="Q465" s="275"/>
      <c r="R465" s="275"/>
      <c r="S465" s="275"/>
      <c r="T465" s="275"/>
      <c r="U465" s="276">
        <v>0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161</v>
      </c>
      <c r="B466" s="271" t="s">
        <v>265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0</v>
      </c>
      <c r="K466" s="273"/>
      <c r="L466" s="273"/>
      <c r="M466" s="274">
        <v>0</v>
      </c>
      <c r="N466" s="272">
        <v>0</v>
      </c>
      <c r="O466" s="275"/>
      <c r="P466" s="275"/>
      <c r="Q466" s="275"/>
      <c r="R466" s="275"/>
      <c r="S466" s="275"/>
      <c r="T466" s="275"/>
      <c r="U466" s="276">
        <v>0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161</v>
      </c>
      <c r="B467" s="271" t="s">
        <v>852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0</v>
      </c>
      <c r="K467" s="273"/>
      <c r="L467" s="273"/>
      <c r="M467" s="274">
        <v>0</v>
      </c>
      <c r="N467" s="272">
        <v>0</v>
      </c>
      <c r="O467" s="275"/>
      <c r="P467" s="275"/>
      <c r="Q467" s="275"/>
      <c r="R467" s="275"/>
      <c r="S467" s="275"/>
      <c r="T467" s="275"/>
      <c r="U467" s="276">
        <v>0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161</v>
      </c>
      <c r="B468" s="271" t="s">
        <v>853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161</v>
      </c>
      <c r="B469" s="271" t="s">
        <v>854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161</v>
      </c>
      <c r="B470" s="271" t="s">
        <v>855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161</v>
      </c>
      <c r="B471" s="271" t="s">
        <v>856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0</v>
      </c>
      <c r="K471" s="273"/>
      <c r="L471" s="273"/>
      <c r="M471" s="274">
        <v>0</v>
      </c>
      <c r="N471" s="272">
        <v>0</v>
      </c>
      <c r="O471" s="275"/>
      <c r="P471" s="275"/>
      <c r="Q471" s="275"/>
      <c r="R471" s="275"/>
      <c r="S471" s="275"/>
      <c r="T471" s="275"/>
      <c r="U471" s="276">
        <v>0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161</v>
      </c>
      <c r="B472" s="271" t="s">
        <v>857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0</v>
      </c>
      <c r="K472" s="273"/>
      <c r="L472" s="273"/>
      <c r="M472" s="274">
        <v>0</v>
      </c>
      <c r="N472" s="272">
        <v>0</v>
      </c>
      <c r="O472" s="275"/>
      <c r="P472" s="275"/>
      <c r="Q472" s="275"/>
      <c r="R472" s="275"/>
      <c r="S472" s="275"/>
      <c r="T472" s="275"/>
      <c r="U472" s="276">
        <v>0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161</v>
      </c>
      <c r="B473" s="271" t="s">
        <v>858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0</v>
      </c>
      <c r="K473" s="273"/>
      <c r="L473" s="273"/>
      <c r="M473" s="274">
        <v>0</v>
      </c>
      <c r="N473" s="272">
        <v>0</v>
      </c>
      <c r="O473" s="275"/>
      <c r="P473" s="275"/>
      <c r="Q473" s="275"/>
      <c r="R473" s="275"/>
      <c r="S473" s="275"/>
      <c r="T473" s="275"/>
      <c r="U473" s="276">
        <v>0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161</v>
      </c>
      <c r="B474" s="271" t="s">
        <v>859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0</v>
      </c>
      <c r="K474" s="273"/>
      <c r="L474" s="273"/>
      <c r="M474" s="274">
        <v>0</v>
      </c>
      <c r="N474" s="272">
        <v>0</v>
      </c>
      <c r="O474" s="275"/>
      <c r="P474" s="275"/>
      <c r="Q474" s="275"/>
      <c r="R474" s="275"/>
      <c r="S474" s="275"/>
      <c r="T474" s="275"/>
      <c r="U474" s="276">
        <v>0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161</v>
      </c>
      <c r="B475" s="271" t="s">
        <v>860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0</v>
      </c>
      <c r="K475" s="273"/>
      <c r="L475" s="273"/>
      <c r="M475" s="274">
        <v>0</v>
      </c>
      <c r="N475" s="272">
        <v>0</v>
      </c>
      <c r="O475" s="275"/>
      <c r="P475" s="275"/>
      <c r="Q475" s="275"/>
      <c r="R475" s="275"/>
      <c r="S475" s="275"/>
      <c r="T475" s="275"/>
      <c r="U475" s="276">
        <v>0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161</v>
      </c>
      <c r="B476" s="271" t="s">
        <v>861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0</v>
      </c>
      <c r="K476" s="273"/>
      <c r="L476" s="273"/>
      <c r="M476" s="274">
        <v>0</v>
      </c>
      <c r="N476" s="272">
        <v>0</v>
      </c>
      <c r="O476" s="275"/>
      <c r="P476" s="275"/>
      <c r="Q476" s="275"/>
      <c r="R476" s="275"/>
      <c r="S476" s="275"/>
      <c r="T476" s="275"/>
      <c r="U476" s="276">
        <v>0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161</v>
      </c>
      <c r="B477" s="271" t="s">
        <v>862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0</v>
      </c>
      <c r="K477" s="273"/>
      <c r="L477" s="273"/>
      <c r="M477" s="274">
        <v>0</v>
      </c>
      <c r="N477" s="272">
        <v>0</v>
      </c>
      <c r="O477" s="275"/>
      <c r="P477" s="275"/>
      <c r="Q477" s="275"/>
      <c r="R477" s="275"/>
      <c r="S477" s="275"/>
      <c r="T477" s="275"/>
      <c r="U477" s="276">
        <v>0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161</v>
      </c>
      <c r="B478" s="271" t="s">
        <v>863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0</v>
      </c>
      <c r="K478" s="273"/>
      <c r="L478" s="273"/>
      <c r="M478" s="274">
        <v>0</v>
      </c>
      <c r="N478" s="272">
        <v>0</v>
      </c>
      <c r="O478" s="275"/>
      <c r="P478" s="275"/>
      <c r="Q478" s="275"/>
      <c r="R478" s="275"/>
      <c r="S478" s="275"/>
      <c r="T478" s="275"/>
      <c r="U478" s="276">
        <v>0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161</v>
      </c>
      <c r="B479" s="271" t="s">
        <v>864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0</v>
      </c>
      <c r="K479" s="273"/>
      <c r="L479" s="273"/>
      <c r="M479" s="274">
        <v>0</v>
      </c>
      <c r="N479" s="272">
        <v>0</v>
      </c>
      <c r="O479" s="275"/>
      <c r="P479" s="275"/>
      <c r="Q479" s="275"/>
      <c r="R479" s="275"/>
      <c r="S479" s="275"/>
      <c r="T479" s="275"/>
      <c r="U479" s="276">
        <v>0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161</v>
      </c>
      <c r="B480" s="271" t="s">
        <v>865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161</v>
      </c>
      <c r="B481" s="271" t="s">
        <v>866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161</v>
      </c>
      <c r="B482" s="271" t="s">
        <v>867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0</v>
      </c>
      <c r="K482" s="273"/>
      <c r="L482" s="273"/>
      <c r="M482" s="274">
        <v>0</v>
      </c>
      <c r="N482" s="272">
        <v>0</v>
      </c>
      <c r="O482" s="275"/>
      <c r="P482" s="275"/>
      <c r="Q482" s="275"/>
      <c r="R482" s="275"/>
      <c r="S482" s="275"/>
      <c r="T482" s="275"/>
      <c r="U482" s="276">
        <v>0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161</v>
      </c>
      <c r="B483" s="271" t="s">
        <v>266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0</v>
      </c>
      <c r="K483" s="273"/>
      <c r="L483" s="273"/>
      <c r="M483" s="274">
        <v>0</v>
      </c>
      <c r="N483" s="272">
        <v>0</v>
      </c>
      <c r="O483" s="275"/>
      <c r="P483" s="275"/>
      <c r="Q483" s="275"/>
      <c r="R483" s="275"/>
      <c r="S483" s="275"/>
      <c r="T483" s="275"/>
      <c r="U483" s="276">
        <v>0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161</v>
      </c>
      <c r="B484" s="271" t="s">
        <v>868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0</v>
      </c>
      <c r="K484" s="273"/>
      <c r="L484" s="273"/>
      <c r="M484" s="274">
        <v>0</v>
      </c>
      <c r="N484" s="272">
        <v>0</v>
      </c>
      <c r="O484" s="275"/>
      <c r="P484" s="275"/>
      <c r="Q484" s="275"/>
      <c r="R484" s="275"/>
      <c r="S484" s="275"/>
      <c r="T484" s="275"/>
      <c r="U484" s="276">
        <v>0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161</v>
      </c>
      <c r="B485" s="271" t="s">
        <v>267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0</v>
      </c>
      <c r="K485" s="273"/>
      <c r="L485" s="273"/>
      <c r="M485" s="274">
        <v>0</v>
      </c>
      <c r="N485" s="272">
        <v>0</v>
      </c>
      <c r="O485" s="275"/>
      <c r="P485" s="275"/>
      <c r="Q485" s="275"/>
      <c r="R485" s="275"/>
      <c r="S485" s="275"/>
      <c r="T485" s="275"/>
      <c r="U485" s="276">
        <v>0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161</v>
      </c>
      <c r="B486" s="271" t="s">
        <v>869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161</v>
      </c>
      <c r="B487" s="271" t="s">
        <v>870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0</v>
      </c>
      <c r="K487" s="273"/>
      <c r="L487" s="273"/>
      <c r="M487" s="274">
        <v>0</v>
      </c>
      <c r="N487" s="272">
        <v>0</v>
      </c>
      <c r="O487" s="275"/>
      <c r="P487" s="275"/>
      <c r="Q487" s="275"/>
      <c r="R487" s="275"/>
      <c r="S487" s="275"/>
      <c r="T487" s="275"/>
      <c r="U487" s="276">
        <v>0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161</v>
      </c>
      <c r="B488" s="271" t="s">
        <v>871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161</v>
      </c>
      <c r="B489" s="271" t="s">
        <v>268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0</v>
      </c>
      <c r="K489" s="273"/>
      <c r="L489" s="273"/>
      <c r="M489" s="274">
        <v>0</v>
      </c>
      <c r="N489" s="272">
        <v>0</v>
      </c>
      <c r="O489" s="275"/>
      <c r="P489" s="275"/>
      <c r="Q489" s="275"/>
      <c r="R489" s="275"/>
      <c r="S489" s="275"/>
      <c r="T489" s="275"/>
      <c r="U489" s="276">
        <v>0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161</v>
      </c>
      <c r="B490" s="271" t="s">
        <v>872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0</v>
      </c>
      <c r="K490" s="273"/>
      <c r="L490" s="273"/>
      <c r="M490" s="274">
        <v>0</v>
      </c>
      <c r="N490" s="272">
        <v>0</v>
      </c>
      <c r="O490" s="275"/>
      <c r="P490" s="275"/>
      <c r="Q490" s="275"/>
      <c r="R490" s="275"/>
      <c r="S490" s="275"/>
      <c r="T490" s="275"/>
      <c r="U490" s="276">
        <v>0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161</v>
      </c>
      <c r="B491" s="271" t="s">
        <v>269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0</v>
      </c>
      <c r="K491" s="273"/>
      <c r="L491" s="273"/>
      <c r="M491" s="274">
        <v>0</v>
      </c>
      <c r="N491" s="272">
        <v>0</v>
      </c>
      <c r="O491" s="275"/>
      <c r="P491" s="275"/>
      <c r="Q491" s="275"/>
      <c r="R491" s="275"/>
      <c r="S491" s="275"/>
      <c r="T491" s="275"/>
      <c r="U491" s="276">
        <v>0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161</v>
      </c>
      <c r="B492" s="271" t="s">
        <v>873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161</v>
      </c>
      <c r="B493" s="271" t="s">
        <v>874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0</v>
      </c>
      <c r="K493" s="273"/>
      <c r="L493" s="273"/>
      <c r="M493" s="274">
        <v>0</v>
      </c>
      <c r="N493" s="272">
        <v>0</v>
      </c>
      <c r="O493" s="275"/>
      <c r="P493" s="275"/>
      <c r="Q493" s="275"/>
      <c r="R493" s="275"/>
      <c r="S493" s="275"/>
      <c r="T493" s="275"/>
      <c r="U493" s="276">
        <v>0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161</v>
      </c>
      <c r="B494" s="271" t="s">
        <v>875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161</v>
      </c>
      <c r="B495" s="271" t="s">
        <v>270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0</v>
      </c>
      <c r="K495" s="273"/>
      <c r="L495" s="273"/>
      <c r="M495" s="274">
        <v>0</v>
      </c>
      <c r="N495" s="272">
        <v>0</v>
      </c>
      <c r="O495" s="275"/>
      <c r="P495" s="275"/>
      <c r="Q495" s="275"/>
      <c r="R495" s="275"/>
      <c r="S495" s="275"/>
      <c r="T495" s="275"/>
      <c r="U495" s="276">
        <v>0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161</v>
      </c>
      <c r="B496" s="271" t="s">
        <v>876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0</v>
      </c>
      <c r="K496" s="273"/>
      <c r="L496" s="273"/>
      <c r="M496" s="274">
        <v>0</v>
      </c>
      <c r="N496" s="272">
        <v>0</v>
      </c>
      <c r="O496" s="275"/>
      <c r="P496" s="275"/>
      <c r="Q496" s="275"/>
      <c r="R496" s="275"/>
      <c r="S496" s="275"/>
      <c r="T496" s="275"/>
      <c r="U496" s="276">
        <v>0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161</v>
      </c>
      <c r="B497" s="271" t="s">
        <v>271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0</v>
      </c>
      <c r="K497" s="273"/>
      <c r="L497" s="273"/>
      <c r="M497" s="274">
        <v>0</v>
      </c>
      <c r="N497" s="272">
        <v>0</v>
      </c>
      <c r="O497" s="275"/>
      <c r="P497" s="275"/>
      <c r="Q497" s="275"/>
      <c r="R497" s="275"/>
      <c r="S497" s="275"/>
      <c r="T497" s="275"/>
      <c r="U497" s="276">
        <v>0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161</v>
      </c>
      <c r="B498" s="271" t="s">
        <v>877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0</v>
      </c>
      <c r="K498" s="273"/>
      <c r="L498" s="273"/>
      <c r="M498" s="274">
        <v>0</v>
      </c>
      <c r="N498" s="272">
        <v>0</v>
      </c>
      <c r="O498" s="275"/>
      <c r="P498" s="275"/>
      <c r="Q498" s="275"/>
      <c r="R498" s="275"/>
      <c r="S498" s="275"/>
      <c r="T498" s="275"/>
      <c r="U498" s="276">
        <v>0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161</v>
      </c>
      <c r="B499" s="271" t="s">
        <v>878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161</v>
      </c>
      <c r="B500" s="271" t="s">
        <v>879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161</v>
      </c>
      <c r="B501" s="271" t="s">
        <v>880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0</v>
      </c>
      <c r="K501" s="273"/>
      <c r="L501" s="273"/>
      <c r="M501" s="274">
        <v>0</v>
      </c>
      <c r="N501" s="272">
        <v>0</v>
      </c>
      <c r="O501" s="275"/>
      <c r="P501" s="275"/>
      <c r="Q501" s="275"/>
      <c r="R501" s="275"/>
      <c r="S501" s="275"/>
      <c r="T501" s="275"/>
      <c r="U501" s="276">
        <v>0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161</v>
      </c>
      <c r="B502" s="271" t="s">
        <v>881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0</v>
      </c>
      <c r="K502" s="273"/>
      <c r="L502" s="273"/>
      <c r="M502" s="274">
        <v>0</v>
      </c>
      <c r="N502" s="272">
        <v>0</v>
      </c>
      <c r="O502" s="275"/>
      <c r="P502" s="275"/>
      <c r="Q502" s="275"/>
      <c r="R502" s="275"/>
      <c r="S502" s="275"/>
      <c r="T502" s="275"/>
      <c r="U502" s="276">
        <v>0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161</v>
      </c>
      <c r="B503" s="271" t="s">
        <v>882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0</v>
      </c>
      <c r="K503" s="273"/>
      <c r="L503" s="273"/>
      <c r="M503" s="274">
        <v>0</v>
      </c>
      <c r="N503" s="272">
        <v>0</v>
      </c>
      <c r="O503" s="275"/>
      <c r="P503" s="275"/>
      <c r="Q503" s="275"/>
      <c r="R503" s="275"/>
      <c r="S503" s="275"/>
      <c r="T503" s="275"/>
      <c r="U503" s="276">
        <v>0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161</v>
      </c>
      <c r="B504" s="271" t="s">
        <v>883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0</v>
      </c>
      <c r="K504" s="273"/>
      <c r="L504" s="273"/>
      <c r="M504" s="274">
        <v>0</v>
      </c>
      <c r="N504" s="272">
        <v>0</v>
      </c>
      <c r="O504" s="275"/>
      <c r="P504" s="275"/>
      <c r="Q504" s="275"/>
      <c r="R504" s="275"/>
      <c r="S504" s="275"/>
      <c r="T504" s="275"/>
      <c r="U504" s="276">
        <v>0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161</v>
      </c>
      <c r="B505" s="271" t="s">
        <v>884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161</v>
      </c>
      <c r="B506" s="271" t="s">
        <v>885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161</v>
      </c>
      <c r="B507" s="271" t="s">
        <v>272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0</v>
      </c>
      <c r="K507" s="273"/>
      <c r="L507" s="273"/>
      <c r="M507" s="274">
        <v>0</v>
      </c>
      <c r="N507" s="272">
        <v>0</v>
      </c>
      <c r="O507" s="275"/>
      <c r="P507" s="275"/>
      <c r="Q507" s="275"/>
      <c r="R507" s="275"/>
      <c r="S507" s="275"/>
      <c r="T507" s="275"/>
      <c r="U507" s="276">
        <v>0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161</v>
      </c>
      <c r="B508" s="271" t="s">
        <v>886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0</v>
      </c>
      <c r="K508" s="273"/>
      <c r="L508" s="273"/>
      <c r="M508" s="274">
        <v>0</v>
      </c>
      <c r="N508" s="272">
        <v>0</v>
      </c>
      <c r="O508" s="275"/>
      <c r="P508" s="275"/>
      <c r="Q508" s="275"/>
      <c r="R508" s="275"/>
      <c r="S508" s="275"/>
      <c r="T508" s="275"/>
      <c r="U508" s="276">
        <v>0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161</v>
      </c>
      <c r="B509" s="271" t="s">
        <v>273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0</v>
      </c>
      <c r="K509" s="273"/>
      <c r="L509" s="273"/>
      <c r="M509" s="274">
        <v>0</v>
      </c>
      <c r="N509" s="272">
        <v>0</v>
      </c>
      <c r="O509" s="275"/>
      <c r="P509" s="275"/>
      <c r="Q509" s="275"/>
      <c r="R509" s="275"/>
      <c r="S509" s="275"/>
      <c r="T509" s="275"/>
      <c r="U509" s="276">
        <v>0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161</v>
      </c>
      <c r="B510" s="271" t="s">
        <v>887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161</v>
      </c>
      <c r="B511" s="271" t="s">
        <v>888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0</v>
      </c>
      <c r="K511" s="273"/>
      <c r="L511" s="273"/>
      <c r="M511" s="274">
        <v>0</v>
      </c>
      <c r="N511" s="272">
        <v>0</v>
      </c>
      <c r="O511" s="275"/>
      <c r="P511" s="275"/>
      <c r="Q511" s="275"/>
      <c r="R511" s="275"/>
      <c r="S511" s="275"/>
      <c r="T511" s="275"/>
      <c r="U511" s="276">
        <v>0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161</v>
      </c>
      <c r="B512" s="271" t="s">
        <v>889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161</v>
      </c>
      <c r="B513" s="271" t="s">
        <v>274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0</v>
      </c>
      <c r="K513" s="273"/>
      <c r="L513" s="273"/>
      <c r="M513" s="274">
        <v>0</v>
      </c>
      <c r="N513" s="272">
        <v>0</v>
      </c>
      <c r="O513" s="275"/>
      <c r="P513" s="275"/>
      <c r="Q513" s="275"/>
      <c r="R513" s="275"/>
      <c r="S513" s="275"/>
      <c r="T513" s="275"/>
      <c r="U513" s="276">
        <v>0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161</v>
      </c>
      <c r="B514" s="271" t="s">
        <v>890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0</v>
      </c>
      <c r="K514" s="273"/>
      <c r="L514" s="273"/>
      <c r="M514" s="274">
        <v>0</v>
      </c>
      <c r="N514" s="272">
        <v>0</v>
      </c>
      <c r="O514" s="275"/>
      <c r="P514" s="275"/>
      <c r="Q514" s="275"/>
      <c r="R514" s="275"/>
      <c r="S514" s="275"/>
      <c r="T514" s="275"/>
      <c r="U514" s="276">
        <v>0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161</v>
      </c>
      <c r="B515" s="271" t="s">
        <v>275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0</v>
      </c>
      <c r="K515" s="273"/>
      <c r="L515" s="273"/>
      <c r="M515" s="274">
        <v>0</v>
      </c>
      <c r="N515" s="272">
        <v>0</v>
      </c>
      <c r="O515" s="275"/>
      <c r="P515" s="275"/>
      <c r="Q515" s="275"/>
      <c r="R515" s="275"/>
      <c r="S515" s="275"/>
      <c r="T515" s="275"/>
      <c r="U515" s="276">
        <v>0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161</v>
      </c>
      <c r="B516" s="271" t="s">
        <v>891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161</v>
      </c>
      <c r="B517" s="271" t="s">
        <v>892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0</v>
      </c>
      <c r="K517" s="273"/>
      <c r="L517" s="273"/>
      <c r="M517" s="274">
        <v>0</v>
      </c>
      <c r="N517" s="272">
        <v>0</v>
      </c>
      <c r="O517" s="275"/>
      <c r="P517" s="275"/>
      <c r="Q517" s="275"/>
      <c r="R517" s="275"/>
      <c r="S517" s="275"/>
      <c r="T517" s="275"/>
      <c r="U517" s="276">
        <v>0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161</v>
      </c>
      <c r="B518" s="271" t="s">
        <v>893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161</v>
      </c>
      <c r="B519" s="271" t="s">
        <v>276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0</v>
      </c>
      <c r="K519" s="273"/>
      <c r="L519" s="273"/>
      <c r="M519" s="274">
        <v>0</v>
      </c>
      <c r="N519" s="272">
        <v>0</v>
      </c>
      <c r="O519" s="275"/>
      <c r="P519" s="275"/>
      <c r="Q519" s="275"/>
      <c r="R519" s="275"/>
      <c r="S519" s="275"/>
      <c r="T519" s="275"/>
      <c r="U519" s="276">
        <v>0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161</v>
      </c>
      <c r="B520" s="271" t="s">
        <v>894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0</v>
      </c>
      <c r="K520" s="273"/>
      <c r="L520" s="273"/>
      <c r="M520" s="274">
        <v>0</v>
      </c>
      <c r="N520" s="272">
        <v>0</v>
      </c>
      <c r="O520" s="275"/>
      <c r="P520" s="275"/>
      <c r="Q520" s="275"/>
      <c r="R520" s="275"/>
      <c r="S520" s="275"/>
      <c r="T520" s="275"/>
      <c r="U520" s="276">
        <v>0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161</v>
      </c>
      <c r="B521" s="271" t="s">
        <v>277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0</v>
      </c>
      <c r="K521" s="273"/>
      <c r="L521" s="273"/>
      <c r="M521" s="274">
        <v>0</v>
      </c>
      <c r="N521" s="272">
        <v>0</v>
      </c>
      <c r="O521" s="275"/>
      <c r="P521" s="275"/>
      <c r="Q521" s="275"/>
      <c r="R521" s="275"/>
      <c r="S521" s="275"/>
      <c r="T521" s="275"/>
      <c r="U521" s="276">
        <v>0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161</v>
      </c>
      <c r="B522" s="271" t="s">
        <v>895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0</v>
      </c>
      <c r="K522" s="273"/>
      <c r="L522" s="273"/>
      <c r="M522" s="274">
        <v>0</v>
      </c>
      <c r="N522" s="272">
        <v>0</v>
      </c>
      <c r="O522" s="275"/>
      <c r="P522" s="275"/>
      <c r="Q522" s="275"/>
      <c r="R522" s="275"/>
      <c r="S522" s="275"/>
      <c r="T522" s="275"/>
      <c r="U522" s="276">
        <v>0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161</v>
      </c>
      <c r="B523" s="271" t="s">
        <v>896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161</v>
      </c>
      <c r="B524" s="271" t="s">
        <v>897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161</v>
      </c>
      <c r="B525" s="271" t="s">
        <v>898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0</v>
      </c>
      <c r="K525" s="273"/>
      <c r="L525" s="273"/>
      <c r="M525" s="274">
        <v>0</v>
      </c>
      <c r="N525" s="272">
        <v>0</v>
      </c>
      <c r="O525" s="275"/>
      <c r="P525" s="275"/>
      <c r="Q525" s="275"/>
      <c r="R525" s="275"/>
      <c r="S525" s="275"/>
      <c r="T525" s="275"/>
      <c r="U525" s="276">
        <v>0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161</v>
      </c>
      <c r="B526" s="271" t="s">
        <v>899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0</v>
      </c>
      <c r="K526" s="273"/>
      <c r="L526" s="273"/>
      <c r="M526" s="274">
        <v>0</v>
      </c>
      <c r="N526" s="272">
        <v>0</v>
      </c>
      <c r="O526" s="275"/>
      <c r="P526" s="275"/>
      <c r="Q526" s="275"/>
      <c r="R526" s="275"/>
      <c r="S526" s="275"/>
      <c r="T526" s="275"/>
      <c r="U526" s="276">
        <v>0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161</v>
      </c>
      <c r="B527" s="271" t="s">
        <v>900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0</v>
      </c>
      <c r="K527" s="273"/>
      <c r="L527" s="273"/>
      <c r="M527" s="274">
        <v>0</v>
      </c>
      <c r="N527" s="272">
        <v>0</v>
      </c>
      <c r="O527" s="275"/>
      <c r="P527" s="275"/>
      <c r="Q527" s="275"/>
      <c r="R527" s="275"/>
      <c r="S527" s="275"/>
      <c r="T527" s="275"/>
      <c r="U527" s="276">
        <v>0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161</v>
      </c>
      <c r="B528" s="271" t="s">
        <v>901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0</v>
      </c>
      <c r="K528" s="273"/>
      <c r="L528" s="273"/>
      <c r="M528" s="274">
        <v>0</v>
      </c>
      <c r="N528" s="272">
        <v>0</v>
      </c>
      <c r="O528" s="275"/>
      <c r="P528" s="275"/>
      <c r="Q528" s="275"/>
      <c r="R528" s="275"/>
      <c r="S528" s="275"/>
      <c r="T528" s="275"/>
      <c r="U528" s="276">
        <v>0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161</v>
      </c>
      <c r="B529" s="271" t="s">
        <v>902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161</v>
      </c>
      <c r="B530" s="271" t="s">
        <v>903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161</v>
      </c>
      <c r="B531" s="271" t="s">
        <v>278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0</v>
      </c>
      <c r="K531" s="273"/>
      <c r="L531" s="273"/>
      <c r="M531" s="274">
        <v>0</v>
      </c>
      <c r="N531" s="272">
        <v>0</v>
      </c>
      <c r="O531" s="275"/>
      <c r="P531" s="275"/>
      <c r="Q531" s="275"/>
      <c r="R531" s="275"/>
      <c r="S531" s="275"/>
      <c r="T531" s="275"/>
      <c r="U531" s="276">
        <v>0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161</v>
      </c>
      <c r="B532" s="271" t="s">
        <v>904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0</v>
      </c>
      <c r="K532" s="273"/>
      <c r="L532" s="273"/>
      <c r="M532" s="274">
        <v>0</v>
      </c>
      <c r="N532" s="272">
        <v>0</v>
      </c>
      <c r="O532" s="275"/>
      <c r="P532" s="275"/>
      <c r="Q532" s="275"/>
      <c r="R532" s="275"/>
      <c r="S532" s="275"/>
      <c r="T532" s="275"/>
      <c r="U532" s="276">
        <v>0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161</v>
      </c>
      <c r="B533" s="271" t="s">
        <v>279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0</v>
      </c>
      <c r="K533" s="273"/>
      <c r="L533" s="273"/>
      <c r="M533" s="274">
        <v>0</v>
      </c>
      <c r="N533" s="272">
        <v>0</v>
      </c>
      <c r="O533" s="275"/>
      <c r="P533" s="275"/>
      <c r="Q533" s="275"/>
      <c r="R533" s="275"/>
      <c r="S533" s="275"/>
      <c r="T533" s="275"/>
      <c r="U533" s="276">
        <v>0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161</v>
      </c>
      <c r="B534" s="271" t="s">
        <v>905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161</v>
      </c>
      <c r="B535" s="271" t="s">
        <v>906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0</v>
      </c>
      <c r="K535" s="273"/>
      <c r="L535" s="273"/>
      <c r="M535" s="274">
        <v>0</v>
      </c>
      <c r="N535" s="272">
        <v>0</v>
      </c>
      <c r="O535" s="275"/>
      <c r="P535" s="275"/>
      <c r="Q535" s="275"/>
      <c r="R535" s="275"/>
      <c r="S535" s="275"/>
      <c r="T535" s="275"/>
      <c r="U535" s="276">
        <v>0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161</v>
      </c>
      <c r="B536" s="271" t="s">
        <v>907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161</v>
      </c>
      <c r="B537" s="271" t="s">
        <v>280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0</v>
      </c>
      <c r="K537" s="273"/>
      <c r="L537" s="273"/>
      <c r="M537" s="274">
        <v>0</v>
      </c>
      <c r="N537" s="272">
        <v>0</v>
      </c>
      <c r="O537" s="275"/>
      <c r="P537" s="275"/>
      <c r="Q537" s="275"/>
      <c r="R537" s="275"/>
      <c r="S537" s="275"/>
      <c r="T537" s="275"/>
      <c r="U537" s="276">
        <v>0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161</v>
      </c>
      <c r="B538" s="271" t="s">
        <v>908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0</v>
      </c>
      <c r="K538" s="273"/>
      <c r="L538" s="273"/>
      <c r="M538" s="274">
        <v>0</v>
      </c>
      <c r="N538" s="272">
        <v>0</v>
      </c>
      <c r="O538" s="275"/>
      <c r="P538" s="275"/>
      <c r="Q538" s="275"/>
      <c r="R538" s="275"/>
      <c r="S538" s="275"/>
      <c r="T538" s="275"/>
      <c r="U538" s="276">
        <v>0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161</v>
      </c>
      <c r="B539" s="271" t="s">
        <v>281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0</v>
      </c>
      <c r="K539" s="273"/>
      <c r="L539" s="273"/>
      <c r="M539" s="274">
        <v>0</v>
      </c>
      <c r="N539" s="272">
        <v>0</v>
      </c>
      <c r="O539" s="275"/>
      <c r="P539" s="275"/>
      <c r="Q539" s="275"/>
      <c r="R539" s="275"/>
      <c r="S539" s="275"/>
      <c r="T539" s="275"/>
      <c r="U539" s="276">
        <v>0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161</v>
      </c>
      <c r="B540" s="271" t="s">
        <v>909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161</v>
      </c>
      <c r="B541" s="271" t="s">
        <v>910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0</v>
      </c>
      <c r="K541" s="273"/>
      <c r="L541" s="273"/>
      <c r="M541" s="274">
        <v>0</v>
      </c>
      <c r="N541" s="272">
        <v>0</v>
      </c>
      <c r="O541" s="275"/>
      <c r="P541" s="275"/>
      <c r="Q541" s="275"/>
      <c r="R541" s="275"/>
      <c r="S541" s="275"/>
      <c r="T541" s="275"/>
      <c r="U541" s="276">
        <v>0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161</v>
      </c>
      <c r="B542" s="271" t="s">
        <v>911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161</v>
      </c>
      <c r="B543" s="271" t="s">
        <v>282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0</v>
      </c>
      <c r="K543" s="273"/>
      <c r="L543" s="273"/>
      <c r="M543" s="274">
        <v>0</v>
      </c>
      <c r="N543" s="272">
        <v>0</v>
      </c>
      <c r="O543" s="275"/>
      <c r="P543" s="275"/>
      <c r="Q543" s="275"/>
      <c r="R543" s="275"/>
      <c r="S543" s="275"/>
      <c r="T543" s="275"/>
      <c r="U543" s="276">
        <v>0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161</v>
      </c>
      <c r="B544" s="271" t="s">
        <v>912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0</v>
      </c>
      <c r="K544" s="273"/>
      <c r="L544" s="273"/>
      <c r="M544" s="274">
        <v>0</v>
      </c>
      <c r="N544" s="272">
        <v>0</v>
      </c>
      <c r="O544" s="275"/>
      <c r="P544" s="275"/>
      <c r="Q544" s="275"/>
      <c r="R544" s="275"/>
      <c r="S544" s="275"/>
      <c r="T544" s="275"/>
      <c r="U544" s="276">
        <v>0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161</v>
      </c>
      <c r="B545" s="271" t="s">
        <v>283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0</v>
      </c>
      <c r="K545" s="273"/>
      <c r="L545" s="273"/>
      <c r="M545" s="274">
        <v>0</v>
      </c>
      <c r="N545" s="272">
        <v>0</v>
      </c>
      <c r="O545" s="275"/>
      <c r="P545" s="275"/>
      <c r="Q545" s="275"/>
      <c r="R545" s="275"/>
      <c r="S545" s="275"/>
      <c r="T545" s="275"/>
      <c r="U545" s="276">
        <v>0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161</v>
      </c>
      <c r="B546" s="271" t="s">
        <v>913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0</v>
      </c>
      <c r="K546" s="273"/>
      <c r="L546" s="273"/>
      <c r="M546" s="274">
        <v>0</v>
      </c>
      <c r="N546" s="272">
        <v>0</v>
      </c>
      <c r="O546" s="275"/>
      <c r="P546" s="275"/>
      <c r="Q546" s="275"/>
      <c r="R546" s="275"/>
      <c r="S546" s="275"/>
      <c r="T546" s="275"/>
      <c r="U546" s="276">
        <v>0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161</v>
      </c>
      <c r="B547" s="271" t="s">
        <v>914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161</v>
      </c>
      <c r="B548" s="271" t="s">
        <v>915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161</v>
      </c>
      <c r="B549" s="271" t="s">
        <v>916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0</v>
      </c>
      <c r="K549" s="273"/>
      <c r="L549" s="273"/>
      <c r="M549" s="274">
        <v>0</v>
      </c>
      <c r="N549" s="272">
        <v>0</v>
      </c>
      <c r="O549" s="275"/>
      <c r="P549" s="275"/>
      <c r="Q549" s="275"/>
      <c r="R549" s="275"/>
      <c r="S549" s="275"/>
      <c r="T549" s="275"/>
      <c r="U549" s="276">
        <v>0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161</v>
      </c>
      <c r="B550" s="271" t="s">
        <v>917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0</v>
      </c>
      <c r="K550" s="273"/>
      <c r="L550" s="273"/>
      <c r="M550" s="274">
        <v>0</v>
      </c>
      <c r="N550" s="272">
        <v>0</v>
      </c>
      <c r="O550" s="275"/>
      <c r="P550" s="275"/>
      <c r="Q550" s="275"/>
      <c r="R550" s="275"/>
      <c r="S550" s="275"/>
      <c r="T550" s="275"/>
      <c r="U550" s="276">
        <v>0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161</v>
      </c>
      <c r="B551" s="271" t="s">
        <v>918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0</v>
      </c>
      <c r="K551" s="273"/>
      <c r="L551" s="273"/>
      <c r="M551" s="274">
        <v>0</v>
      </c>
      <c r="N551" s="272">
        <v>0</v>
      </c>
      <c r="O551" s="275"/>
      <c r="P551" s="275"/>
      <c r="Q551" s="275"/>
      <c r="R551" s="275"/>
      <c r="S551" s="275"/>
      <c r="T551" s="275"/>
      <c r="U551" s="276">
        <v>0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161</v>
      </c>
      <c r="B552" s="271" t="s">
        <v>919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0</v>
      </c>
      <c r="K552" s="273"/>
      <c r="L552" s="273"/>
      <c r="M552" s="274">
        <v>0</v>
      </c>
      <c r="N552" s="272">
        <v>0</v>
      </c>
      <c r="O552" s="275"/>
      <c r="P552" s="275"/>
      <c r="Q552" s="275"/>
      <c r="R552" s="275"/>
      <c r="S552" s="275"/>
      <c r="T552" s="275"/>
      <c r="U552" s="276">
        <v>0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161</v>
      </c>
      <c r="B553" s="271" t="s">
        <v>920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161</v>
      </c>
      <c r="B554" s="271" t="s">
        <v>921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161</v>
      </c>
      <c r="B555" s="271" t="s">
        <v>284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0</v>
      </c>
      <c r="K555" s="273"/>
      <c r="L555" s="273"/>
      <c r="M555" s="274">
        <v>0</v>
      </c>
      <c r="N555" s="272">
        <v>0</v>
      </c>
      <c r="O555" s="275"/>
      <c r="P555" s="275"/>
      <c r="Q555" s="275"/>
      <c r="R555" s="275"/>
      <c r="S555" s="275"/>
      <c r="T555" s="275"/>
      <c r="U555" s="276">
        <v>0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161</v>
      </c>
      <c r="B556" s="271" t="s">
        <v>922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0</v>
      </c>
      <c r="K556" s="273"/>
      <c r="L556" s="273"/>
      <c r="M556" s="274">
        <v>0</v>
      </c>
      <c r="N556" s="272">
        <v>0</v>
      </c>
      <c r="O556" s="275"/>
      <c r="P556" s="275"/>
      <c r="Q556" s="275"/>
      <c r="R556" s="275"/>
      <c r="S556" s="275"/>
      <c r="T556" s="275"/>
      <c r="U556" s="276">
        <v>0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161</v>
      </c>
      <c r="B557" s="271" t="s">
        <v>285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0</v>
      </c>
      <c r="K557" s="273"/>
      <c r="L557" s="273"/>
      <c r="M557" s="274">
        <v>0</v>
      </c>
      <c r="N557" s="272">
        <v>0</v>
      </c>
      <c r="O557" s="275"/>
      <c r="P557" s="275"/>
      <c r="Q557" s="275"/>
      <c r="R557" s="275"/>
      <c r="S557" s="275"/>
      <c r="T557" s="275"/>
      <c r="U557" s="276">
        <v>0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161</v>
      </c>
      <c r="B558" s="271" t="s">
        <v>923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0</v>
      </c>
      <c r="K558" s="273"/>
      <c r="L558" s="273"/>
      <c r="M558" s="274">
        <v>0</v>
      </c>
      <c r="N558" s="272">
        <v>0</v>
      </c>
      <c r="O558" s="275"/>
      <c r="P558" s="275"/>
      <c r="Q558" s="275"/>
      <c r="R558" s="275"/>
      <c r="S558" s="275"/>
      <c r="T558" s="275"/>
      <c r="U558" s="276">
        <v>0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161</v>
      </c>
      <c r="B559" s="271" t="s">
        <v>924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0</v>
      </c>
      <c r="K559" s="273"/>
      <c r="L559" s="273"/>
      <c r="M559" s="274">
        <v>0</v>
      </c>
      <c r="N559" s="272">
        <v>0</v>
      </c>
      <c r="O559" s="275"/>
      <c r="P559" s="275"/>
      <c r="Q559" s="275"/>
      <c r="R559" s="275"/>
      <c r="S559" s="275"/>
      <c r="T559" s="275"/>
      <c r="U559" s="276">
        <v>0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161</v>
      </c>
      <c r="B560" s="271" t="s">
        <v>925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0</v>
      </c>
      <c r="K560" s="273"/>
      <c r="L560" s="273"/>
      <c r="M560" s="274">
        <v>0</v>
      </c>
      <c r="N560" s="272">
        <v>0</v>
      </c>
      <c r="O560" s="275"/>
      <c r="P560" s="275"/>
      <c r="Q560" s="275"/>
      <c r="R560" s="275"/>
      <c r="S560" s="275"/>
      <c r="T560" s="275"/>
      <c r="U560" s="276">
        <v>0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161</v>
      </c>
      <c r="B561" s="271" t="s">
        <v>286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0</v>
      </c>
      <c r="K561" s="273"/>
      <c r="L561" s="273"/>
      <c r="M561" s="274">
        <v>0</v>
      </c>
      <c r="N561" s="272">
        <v>0</v>
      </c>
      <c r="O561" s="275"/>
      <c r="P561" s="275"/>
      <c r="Q561" s="275"/>
      <c r="R561" s="275"/>
      <c r="S561" s="275"/>
      <c r="T561" s="275"/>
      <c r="U561" s="276">
        <v>0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161</v>
      </c>
      <c r="B562" s="271" t="s">
        <v>926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0</v>
      </c>
      <c r="K562" s="273"/>
      <c r="L562" s="273"/>
      <c r="M562" s="274">
        <v>0</v>
      </c>
      <c r="N562" s="272">
        <v>0</v>
      </c>
      <c r="O562" s="275"/>
      <c r="P562" s="275"/>
      <c r="Q562" s="275"/>
      <c r="R562" s="275"/>
      <c r="S562" s="275"/>
      <c r="T562" s="275"/>
      <c r="U562" s="276">
        <v>0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161</v>
      </c>
      <c r="B563" s="271" t="s">
        <v>287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0</v>
      </c>
      <c r="K563" s="273"/>
      <c r="L563" s="273"/>
      <c r="M563" s="274">
        <v>0</v>
      </c>
      <c r="N563" s="272">
        <v>0</v>
      </c>
      <c r="O563" s="275"/>
      <c r="P563" s="275"/>
      <c r="Q563" s="275"/>
      <c r="R563" s="275"/>
      <c r="S563" s="275"/>
      <c r="T563" s="275"/>
      <c r="U563" s="276">
        <v>0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161</v>
      </c>
      <c r="B564" s="271" t="s">
        <v>927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0</v>
      </c>
      <c r="K564" s="273"/>
      <c r="L564" s="273"/>
      <c r="M564" s="274">
        <v>0</v>
      </c>
      <c r="N564" s="272">
        <v>0</v>
      </c>
      <c r="O564" s="275"/>
      <c r="P564" s="275"/>
      <c r="Q564" s="275"/>
      <c r="R564" s="275"/>
      <c r="S564" s="275"/>
      <c r="T564" s="275"/>
      <c r="U564" s="276">
        <v>0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161</v>
      </c>
      <c r="B565" s="271" t="s">
        <v>928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0</v>
      </c>
      <c r="K565" s="273"/>
      <c r="L565" s="273"/>
      <c r="M565" s="274">
        <v>0</v>
      </c>
      <c r="N565" s="272">
        <v>0</v>
      </c>
      <c r="O565" s="275"/>
      <c r="P565" s="275"/>
      <c r="Q565" s="275"/>
      <c r="R565" s="275"/>
      <c r="S565" s="275"/>
      <c r="T565" s="275"/>
      <c r="U565" s="276">
        <v>0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161</v>
      </c>
      <c r="B566" s="271" t="s">
        <v>929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0</v>
      </c>
      <c r="K566" s="273"/>
      <c r="L566" s="273"/>
      <c r="M566" s="274">
        <v>0</v>
      </c>
      <c r="N566" s="272">
        <v>0</v>
      </c>
      <c r="O566" s="275"/>
      <c r="P566" s="275"/>
      <c r="Q566" s="275"/>
      <c r="R566" s="275"/>
      <c r="S566" s="275"/>
      <c r="T566" s="275"/>
      <c r="U566" s="276">
        <v>0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161</v>
      </c>
      <c r="B567" s="271" t="s">
        <v>288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0</v>
      </c>
      <c r="K567" s="273"/>
      <c r="L567" s="273"/>
      <c r="M567" s="274">
        <v>0</v>
      </c>
      <c r="N567" s="272">
        <v>0</v>
      </c>
      <c r="O567" s="275"/>
      <c r="P567" s="275"/>
      <c r="Q567" s="275"/>
      <c r="R567" s="275"/>
      <c r="S567" s="275"/>
      <c r="T567" s="275"/>
      <c r="U567" s="276">
        <v>0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161</v>
      </c>
      <c r="B568" s="271" t="s">
        <v>930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0</v>
      </c>
      <c r="K568" s="273"/>
      <c r="L568" s="273"/>
      <c r="M568" s="274">
        <v>0</v>
      </c>
      <c r="N568" s="272">
        <v>0</v>
      </c>
      <c r="O568" s="275"/>
      <c r="P568" s="275"/>
      <c r="Q568" s="275"/>
      <c r="R568" s="275"/>
      <c r="S568" s="275"/>
      <c r="T568" s="275"/>
      <c r="U568" s="276">
        <v>0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161</v>
      </c>
      <c r="B569" s="271" t="s">
        <v>289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0</v>
      </c>
      <c r="K569" s="273"/>
      <c r="L569" s="273"/>
      <c r="M569" s="274">
        <v>0</v>
      </c>
      <c r="N569" s="272">
        <v>0</v>
      </c>
      <c r="O569" s="275"/>
      <c r="P569" s="275"/>
      <c r="Q569" s="275"/>
      <c r="R569" s="275"/>
      <c r="S569" s="275"/>
      <c r="T569" s="275"/>
      <c r="U569" s="276">
        <v>0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161</v>
      </c>
      <c r="B570" s="271" t="s">
        <v>931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0</v>
      </c>
      <c r="K570" s="273"/>
      <c r="L570" s="273"/>
      <c r="M570" s="274">
        <v>0</v>
      </c>
      <c r="N570" s="272">
        <v>0</v>
      </c>
      <c r="O570" s="275"/>
      <c r="P570" s="275"/>
      <c r="Q570" s="275"/>
      <c r="R570" s="275"/>
      <c r="S570" s="275"/>
      <c r="T570" s="275"/>
      <c r="U570" s="276">
        <v>0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161</v>
      </c>
      <c r="B571" s="271" t="s">
        <v>932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0</v>
      </c>
      <c r="K571" s="273"/>
      <c r="L571" s="273"/>
      <c r="M571" s="274">
        <v>0</v>
      </c>
      <c r="N571" s="272">
        <v>0</v>
      </c>
      <c r="O571" s="275"/>
      <c r="P571" s="275"/>
      <c r="Q571" s="275"/>
      <c r="R571" s="275"/>
      <c r="S571" s="275"/>
      <c r="T571" s="275"/>
      <c r="U571" s="276">
        <v>0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161</v>
      </c>
      <c r="B572" s="271" t="s">
        <v>933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0</v>
      </c>
      <c r="K572" s="273"/>
      <c r="L572" s="273"/>
      <c r="M572" s="274">
        <v>0</v>
      </c>
      <c r="N572" s="272">
        <v>0</v>
      </c>
      <c r="O572" s="275"/>
      <c r="P572" s="275"/>
      <c r="Q572" s="275"/>
      <c r="R572" s="275"/>
      <c r="S572" s="275"/>
      <c r="T572" s="275"/>
      <c r="U572" s="276">
        <v>0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161</v>
      </c>
      <c r="B573" s="271" t="s">
        <v>934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161</v>
      </c>
      <c r="B574" s="271" t="s">
        <v>935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161</v>
      </c>
      <c r="B575" s="271" t="s">
        <v>936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161</v>
      </c>
      <c r="B576" s="271" t="s">
        <v>937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161</v>
      </c>
      <c r="B577" s="271" t="s">
        <v>938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161</v>
      </c>
      <c r="B578" s="271" t="s">
        <v>939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161</v>
      </c>
      <c r="B579" s="271" t="s">
        <v>940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0</v>
      </c>
      <c r="K579" s="273"/>
      <c r="L579" s="273"/>
      <c r="M579" s="274">
        <v>0</v>
      </c>
      <c r="N579" s="272">
        <v>0</v>
      </c>
      <c r="O579" s="275"/>
      <c r="P579" s="275"/>
      <c r="Q579" s="275"/>
      <c r="R579" s="275"/>
      <c r="S579" s="275"/>
      <c r="T579" s="275"/>
      <c r="U579" s="276">
        <v>0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161</v>
      </c>
      <c r="B580" s="271" t="s">
        <v>941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0</v>
      </c>
      <c r="K580" s="273"/>
      <c r="L580" s="273"/>
      <c r="M580" s="274">
        <v>0</v>
      </c>
      <c r="N580" s="272">
        <v>0</v>
      </c>
      <c r="O580" s="275"/>
      <c r="P580" s="275"/>
      <c r="Q580" s="275"/>
      <c r="R580" s="275"/>
      <c r="S580" s="275"/>
      <c r="T580" s="275"/>
      <c r="U580" s="276">
        <v>0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161</v>
      </c>
      <c r="B581" s="271" t="s">
        <v>942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0</v>
      </c>
      <c r="K581" s="273"/>
      <c r="L581" s="273"/>
      <c r="M581" s="274">
        <v>0</v>
      </c>
      <c r="N581" s="272">
        <v>0</v>
      </c>
      <c r="O581" s="275"/>
      <c r="P581" s="275"/>
      <c r="Q581" s="275"/>
      <c r="R581" s="275"/>
      <c r="S581" s="275"/>
      <c r="T581" s="275"/>
      <c r="U581" s="276">
        <v>0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161</v>
      </c>
      <c r="B582" s="271" t="s">
        <v>943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0</v>
      </c>
      <c r="K582" s="273"/>
      <c r="L582" s="273"/>
      <c r="M582" s="274">
        <v>0</v>
      </c>
      <c r="N582" s="272">
        <v>0</v>
      </c>
      <c r="O582" s="275"/>
      <c r="P582" s="275"/>
      <c r="Q582" s="275"/>
      <c r="R582" s="275"/>
      <c r="S582" s="275"/>
      <c r="T582" s="275"/>
      <c r="U582" s="276">
        <v>0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161</v>
      </c>
      <c r="B583" s="271" t="s">
        <v>944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0</v>
      </c>
      <c r="K583" s="273"/>
      <c r="L583" s="273"/>
      <c r="M583" s="274">
        <v>0</v>
      </c>
      <c r="N583" s="272">
        <v>0</v>
      </c>
      <c r="O583" s="275"/>
      <c r="P583" s="275"/>
      <c r="Q583" s="275"/>
      <c r="R583" s="275"/>
      <c r="S583" s="275"/>
      <c r="T583" s="275"/>
      <c r="U583" s="276">
        <v>0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161</v>
      </c>
      <c r="B584" s="271" t="s">
        <v>945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0</v>
      </c>
      <c r="K584" s="273"/>
      <c r="L584" s="273"/>
      <c r="M584" s="274">
        <v>0</v>
      </c>
      <c r="N584" s="272">
        <v>0</v>
      </c>
      <c r="O584" s="275"/>
      <c r="P584" s="275"/>
      <c r="Q584" s="275"/>
      <c r="R584" s="275"/>
      <c r="S584" s="275"/>
      <c r="T584" s="275"/>
      <c r="U584" s="276">
        <v>0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161</v>
      </c>
      <c r="B585" s="271" t="s">
        <v>946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0</v>
      </c>
      <c r="K585" s="273"/>
      <c r="L585" s="273"/>
      <c r="M585" s="274">
        <v>0</v>
      </c>
      <c r="N585" s="272">
        <v>0</v>
      </c>
      <c r="O585" s="275"/>
      <c r="P585" s="275"/>
      <c r="Q585" s="275"/>
      <c r="R585" s="275"/>
      <c r="S585" s="275"/>
      <c r="T585" s="275"/>
      <c r="U585" s="276">
        <v>0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161</v>
      </c>
      <c r="B586" s="271" t="s">
        <v>947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0</v>
      </c>
      <c r="K586" s="273"/>
      <c r="L586" s="273"/>
      <c r="M586" s="274">
        <v>0</v>
      </c>
      <c r="N586" s="272">
        <v>0</v>
      </c>
      <c r="O586" s="275"/>
      <c r="P586" s="275"/>
      <c r="Q586" s="275"/>
      <c r="R586" s="275"/>
      <c r="S586" s="275"/>
      <c r="T586" s="275"/>
      <c r="U586" s="276">
        <v>0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161</v>
      </c>
      <c r="B587" s="271" t="s">
        <v>948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0</v>
      </c>
      <c r="K587" s="273"/>
      <c r="L587" s="273"/>
      <c r="M587" s="274">
        <v>0</v>
      </c>
      <c r="N587" s="272">
        <v>0</v>
      </c>
      <c r="O587" s="275"/>
      <c r="P587" s="275"/>
      <c r="Q587" s="275"/>
      <c r="R587" s="275"/>
      <c r="S587" s="275"/>
      <c r="T587" s="275"/>
      <c r="U587" s="276">
        <v>0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161</v>
      </c>
      <c r="B588" s="271" t="s">
        <v>949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0</v>
      </c>
      <c r="K588" s="273"/>
      <c r="L588" s="273"/>
      <c r="M588" s="274">
        <v>0</v>
      </c>
      <c r="N588" s="272">
        <v>0</v>
      </c>
      <c r="O588" s="275"/>
      <c r="P588" s="275"/>
      <c r="Q588" s="275"/>
      <c r="R588" s="275"/>
      <c r="S588" s="275"/>
      <c r="T588" s="275"/>
      <c r="U588" s="276">
        <v>0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161</v>
      </c>
      <c r="B589" s="271" t="s">
        <v>950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0</v>
      </c>
      <c r="K589" s="273"/>
      <c r="L589" s="273"/>
      <c r="M589" s="274">
        <v>0</v>
      </c>
      <c r="N589" s="272">
        <v>0</v>
      </c>
      <c r="O589" s="275"/>
      <c r="P589" s="275"/>
      <c r="Q589" s="275"/>
      <c r="R589" s="275"/>
      <c r="S589" s="275"/>
      <c r="T589" s="275"/>
      <c r="U589" s="276">
        <v>0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161</v>
      </c>
      <c r="B590" s="271" t="s">
        <v>951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0</v>
      </c>
      <c r="K590" s="273"/>
      <c r="L590" s="273"/>
      <c r="M590" s="274">
        <v>0</v>
      </c>
      <c r="N590" s="272">
        <v>0</v>
      </c>
      <c r="O590" s="275"/>
      <c r="P590" s="275"/>
      <c r="Q590" s="275"/>
      <c r="R590" s="275"/>
      <c r="S590" s="275"/>
      <c r="T590" s="275"/>
      <c r="U590" s="276">
        <v>0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161</v>
      </c>
      <c r="B591" s="271" t="s">
        <v>952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0</v>
      </c>
      <c r="K591" s="273"/>
      <c r="L591" s="273"/>
      <c r="M591" s="274">
        <v>0</v>
      </c>
      <c r="N591" s="272">
        <v>0</v>
      </c>
      <c r="O591" s="275"/>
      <c r="P591" s="275"/>
      <c r="Q591" s="275"/>
      <c r="R591" s="275"/>
      <c r="S591" s="275"/>
      <c r="T591" s="275"/>
      <c r="U591" s="276">
        <v>0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161</v>
      </c>
      <c r="B592" s="271" t="s">
        <v>953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0</v>
      </c>
      <c r="K592" s="273"/>
      <c r="L592" s="273"/>
      <c r="M592" s="274">
        <v>0</v>
      </c>
      <c r="N592" s="272">
        <v>0</v>
      </c>
      <c r="O592" s="275"/>
      <c r="P592" s="275"/>
      <c r="Q592" s="275"/>
      <c r="R592" s="275"/>
      <c r="S592" s="275"/>
      <c r="T592" s="275"/>
      <c r="U592" s="276">
        <v>0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161</v>
      </c>
      <c r="B593" s="271" t="s">
        <v>954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0</v>
      </c>
      <c r="K593" s="273"/>
      <c r="L593" s="273"/>
      <c r="M593" s="274">
        <v>0</v>
      </c>
      <c r="N593" s="272">
        <v>0</v>
      </c>
      <c r="O593" s="275"/>
      <c r="P593" s="275"/>
      <c r="Q593" s="275"/>
      <c r="R593" s="275"/>
      <c r="S593" s="275"/>
      <c r="T593" s="275"/>
      <c r="U593" s="276">
        <v>0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161</v>
      </c>
      <c r="B594" s="271" t="s">
        <v>955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0</v>
      </c>
      <c r="K594" s="273"/>
      <c r="L594" s="273"/>
      <c r="M594" s="274">
        <v>0</v>
      </c>
      <c r="N594" s="272">
        <v>0</v>
      </c>
      <c r="O594" s="275"/>
      <c r="P594" s="275"/>
      <c r="Q594" s="275"/>
      <c r="R594" s="275"/>
      <c r="S594" s="275"/>
      <c r="T594" s="275"/>
      <c r="U594" s="276">
        <v>0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161</v>
      </c>
      <c r="B595" s="271" t="s">
        <v>956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0</v>
      </c>
      <c r="K595" s="273"/>
      <c r="L595" s="273"/>
      <c r="M595" s="274">
        <v>0</v>
      </c>
      <c r="N595" s="272">
        <v>0</v>
      </c>
      <c r="O595" s="275"/>
      <c r="P595" s="275"/>
      <c r="Q595" s="275"/>
      <c r="R595" s="275"/>
      <c r="S595" s="275"/>
      <c r="T595" s="275"/>
      <c r="U595" s="276">
        <v>0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161</v>
      </c>
      <c r="B596" s="271" t="s">
        <v>957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0</v>
      </c>
      <c r="K596" s="273"/>
      <c r="L596" s="273"/>
      <c r="M596" s="274">
        <v>0</v>
      </c>
      <c r="N596" s="272">
        <v>0</v>
      </c>
      <c r="O596" s="275"/>
      <c r="P596" s="275"/>
      <c r="Q596" s="275"/>
      <c r="R596" s="275"/>
      <c r="S596" s="275"/>
      <c r="T596" s="275"/>
      <c r="U596" s="276">
        <v>0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161</v>
      </c>
      <c r="B597" s="271" t="s">
        <v>958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161</v>
      </c>
      <c r="B598" s="271" t="s">
        <v>959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161</v>
      </c>
      <c r="B599" s="271" t="s">
        <v>960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161</v>
      </c>
      <c r="B600" s="271" t="s">
        <v>961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161</v>
      </c>
      <c r="B601" s="271" t="s">
        <v>962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161</v>
      </c>
      <c r="B602" s="271" t="s">
        <v>963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161</v>
      </c>
      <c r="B603" s="271" t="s">
        <v>964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161</v>
      </c>
      <c r="B604" s="271" t="s">
        <v>965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161</v>
      </c>
      <c r="B605" s="271" t="s">
        <v>966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0</v>
      </c>
      <c r="K605" s="273"/>
      <c r="L605" s="273"/>
      <c r="M605" s="274">
        <v>0</v>
      </c>
      <c r="N605" s="272">
        <v>0</v>
      </c>
      <c r="O605" s="275"/>
      <c r="P605" s="275"/>
      <c r="Q605" s="275"/>
      <c r="R605" s="275"/>
      <c r="S605" s="275"/>
      <c r="T605" s="275"/>
      <c r="U605" s="276">
        <v>0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161</v>
      </c>
      <c r="B606" s="271" t="s">
        <v>967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161</v>
      </c>
      <c r="B607" s="271" t="s">
        <v>968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0</v>
      </c>
      <c r="K607" s="273"/>
      <c r="L607" s="273"/>
      <c r="M607" s="274">
        <v>0</v>
      </c>
      <c r="N607" s="272">
        <v>0</v>
      </c>
      <c r="O607" s="275"/>
      <c r="P607" s="275"/>
      <c r="Q607" s="275"/>
      <c r="R607" s="275"/>
      <c r="S607" s="275"/>
      <c r="T607" s="275"/>
      <c r="U607" s="276">
        <v>0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161</v>
      </c>
      <c r="B608" s="271" t="s">
        <v>969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161</v>
      </c>
      <c r="B609" s="271" t="s">
        <v>970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161</v>
      </c>
      <c r="B610" s="271" t="s">
        <v>971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161</v>
      </c>
      <c r="B611" s="271" t="s">
        <v>972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0</v>
      </c>
      <c r="K611" s="273"/>
      <c r="L611" s="273"/>
      <c r="M611" s="274">
        <v>0</v>
      </c>
      <c r="N611" s="272">
        <v>0</v>
      </c>
      <c r="O611" s="275"/>
      <c r="P611" s="275"/>
      <c r="Q611" s="275"/>
      <c r="R611" s="275"/>
      <c r="S611" s="275"/>
      <c r="T611" s="275"/>
      <c r="U611" s="276">
        <v>0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161</v>
      </c>
      <c r="B612" s="271" t="s">
        <v>973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161</v>
      </c>
      <c r="B613" s="271" t="s">
        <v>974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0</v>
      </c>
      <c r="K613" s="273"/>
      <c r="L613" s="273"/>
      <c r="M613" s="274">
        <v>0</v>
      </c>
      <c r="N613" s="272">
        <v>0</v>
      </c>
      <c r="O613" s="275"/>
      <c r="P613" s="275"/>
      <c r="Q613" s="275"/>
      <c r="R613" s="275"/>
      <c r="S613" s="275"/>
      <c r="T613" s="275"/>
      <c r="U613" s="276">
        <v>0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161</v>
      </c>
      <c r="B614" s="271" t="s">
        <v>975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161</v>
      </c>
      <c r="B615" s="271" t="s">
        <v>976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0</v>
      </c>
      <c r="K615" s="273"/>
      <c r="L615" s="273"/>
      <c r="M615" s="274">
        <v>0</v>
      </c>
      <c r="N615" s="272">
        <v>0</v>
      </c>
      <c r="O615" s="275"/>
      <c r="P615" s="275"/>
      <c r="Q615" s="275"/>
      <c r="R615" s="275"/>
      <c r="S615" s="275"/>
      <c r="T615" s="275"/>
      <c r="U615" s="276">
        <v>0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161</v>
      </c>
      <c r="B616" s="271" t="s">
        <v>977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0</v>
      </c>
      <c r="K616" s="273"/>
      <c r="L616" s="273"/>
      <c r="M616" s="274">
        <v>0</v>
      </c>
      <c r="N616" s="272">
        <v>0</v>
      </c>
      <c r="O616" s="275"/>
      <c r="P616" s="275"/>
      <c r="Q616" s="275"/>
      <c r="R616" s="275"/>
      <c r="S616" s="275"/>
      <c r="T616" s="275"/>
      <c r="U616" s="276">
        <v>0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161</v>
      </c>
      <c r="B617" s="271" t="s">
        <v>978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0</v>
      </c>
      <c r="K617" s="273"/>
      <c r="L617" s="273"/>
      <c r="M617" s="274">
        <v>0</v>
      </c>
      <c r="N617" s="272">
        <v>0</v>
      </c>
      <c r="O617" s="275"/>
      <c r="P617" s="275"/>
      <c r="Q617" s="275"/>
      <c r="R617" s="275"/>
      <c r="S617" s="275"/>
      <c r="T617" s="275"/>
      <c r="U617" s="276">
        <v>0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161</v>
      </c>
      <c r="B618" s="271" t="s">
        <v>979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0</v>
      </c>
      <c r="K618" s="273"/>
      <c r="L618" s="273"/>
      <c r="M618" s="274">
        <v>0</v>
      </c>
      <c r="N618" s="272">
        <v>0</v>
      </c>
      <c r="O618" s="275"/>
      <c r="P618" s="275"/>
      <c r="Q618" s="275"/>
      <c r="R618" s="275"/>
      <c r="S618" s="275"/>
      <c r="T618" s="275"/>
      <c r="U618" s="276">
        <v>0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161</v>
      </c>
      <c r="B619" s="271" t="s">
        <v>980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161</v>
      </c>
      <c r="B620" s="271" t="s">
        <v>981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161</v>
      </c>
      <c r="B621" s="271" t="s">
        <v>982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0</v>
      </c>
      <c r="K621" s="273"/>
      <c r="L621" s="273"/>
      <c r="M621" s="274">
        <v>0</v>
      </c>
      <c r="N621" s="272">
        <v>0</v>
      </c>
      <c r="O621" s="275"/>
      <c r="P621" s="275"/>
      <c r="Q621" s="275"/>
      <c r="R621" s="275"/>
      <c r="S621" s="275"/>
      <c r="T621" s="275"/>
      <c r="U621" s="276">
        <v>0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161</v>
      </c>
      <c r="B622" s="271" t="s">
        <v>983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0</v>
      </c>
      <c r="K622" s="273"/>
      <c r="L622" s="273"/>
      <c r="M622" s="274">
        <v>0</v>
      </c>
      <c r="N622" s="272">
        <v>0</v>
      </c>
      <c r="O622" s="275"/>
      <c r="P622" s="275"/>
      <c r="Q622" s="275"/>
      <c r="R622" s="275"/>
      <c r="S622" s="275"/>
      <c r="T622" s="275"/>
      <c r="U622" s="276">
        <v>0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161</v>
      </c>
      <c r="B623" s="271" t="s">
        <v>984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0</v>
      </c>
      <c r="K623" s="273"/>
      <c r="L623" s="273"/>
      <c r="M623" s="274">
        <v>0</v>
      </c>
      <c r="N623" s="272">
        <v>0</v>
      </c>
      <c r="O623" s="275"/>
      <c r="P623" s="275"/>
      <c r="Q623" s="275"/>
      <c r="R623" s="275"/>
      <c r="S623" s="275"/>
      <c r="T623" s="275"/>
      <c r="U623" s="276">
        <v>0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161</v>
      </c>
      <c r="B624" s="271" t="s">
        <v>985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0</v>
      </c>
      <c r="K624" s="273"/>
      <c r="L624" s="273"/>
      <c r="M624" s="274">
        <v>0</v>
      </c>
      <c r="N624" s="272">
        <v>0</v>
      </c>
      <c r="O624" s="275"/>
      <c r="P624" s="275"/>
      <c r="Q624" s="275"/>
      <c r="R624" s="275"/>
      <c r="S624" s="275"/>
      <c r="T624" s="275"/>
      <c r="U624" s="276">
        <v>0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161</v>
      </c>
      <c r="B625" s="271" t="s">
        <v>986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161</v>
      </c>
      <c r="B626" s="271" t="s">
        <v>987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161</v>
      </c>
      <c r="B627" s="271" t="s">
        <v>988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161</v>
      </c>
      <c r="B628" s="271" t="s">
        <v>989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161</v>
      </c>
      <c r="B629" s="271" t="s">
        <v>990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0</v>
      </c>
      <c r="K629" s="273"/>
      <c r="L629" s="273"/>
      <c r="M629" s="274">
        <v>0</v>
      </c>
      <c r="N629" s="272">
        <v>0</v>
      </c>
      <c r="O629" s="275"/>
      <c r="P629" s="275"/>
      <c r="Q629" s="275"/>
      <c r="R629" s="275"/>
      <c r="S629" s="275"/>
      <c r="T629" s="275"/>
      <c r="U629" s="276">
        <v>0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161</v>
      </c>
      <c r="B630" s="271" t="s">
        <v>991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161</v>
      </c>
      <c r="B631" s="271" t="s">
        <v>992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0</v>
      </c>
      <c r="K631" s="273"/>
      <c r="L631" s="273"/>
      <c r="M631" s="274">
        <v>0</v>
      </c>
      <c r="N631" s="272">
        <v>0</v>
      </c>
      <c r="O631" s="275"/>
      <c r="P631" s="275"/>
      <c r="Q631" s="275"/>
      <c r="R631" s="275"/>
      <c r="S631" s="275"/>
      <c r="T631" s="275"/>
      <c r="U631" s="276">
        <v>0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161</v>
      </c>
      <c r="B632" s="271" t="s">
        <v>993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161</v>
      </c>
      <c r="B633" s="271" t="s">
        <v>994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161</v>
      </c>
      <c r="B634" s="271" t="s">
        <v>995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161</v>
      </c>
      <c r="B635" s="271" t="s">
        <v>996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0</v>
      </c>
      <c r="K635" s="273"/>
      <c r="L635" s="273"/>
      <c r="M635" s="274">
        <v>0</v>
      </c>
      <c r="N635" s="272">
        <v>0</v>
      </c>
      <c r="O635" s="275"/>
      <c r="P635" s="275"/>
      <c r="Q635" s="275"/>
      <c r="R635" s="275"/>
      <c r="S635" s="275"/>
      <c r="T635" s="275"/>
      <c r="U635" s="276">
        <v>0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161</v>
      </c>
      <c r="B636" s="271" t="s">
        <v>997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161</v>
      </c>
      <c r="B637" s="271" t="s">
        <v>998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0</v>
      </c>
      <c r="K637" s="273"/>
      <c r="L637" s="273"/>
      <c r="M637" s="274">
        <v>0</v>
      </c>
      <c r="N637" s="272">
        <v>0</v>
      </c>
      <c r="O637" s="275"/>
      <c r="P637" s="275"/>
      <c r="Q637" s="275"/>
      <c r="R637" s="275"/>
      <c r="S637" s="275"/>
      <c r="T637" s="275"/>
      <c r="U637" s="276">
        <v>0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161</v>
      </c>
      <c r="B638" s="271" t="s">
        <v>999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161</v>
      </c>
      <c r="B639" s="271" t="s">
        <v>1000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0</v>
      </c>
      <c r="K639" s="273"/>
      <c r="L639" s="273"/>
      <c r="M639" s="274">
        <v>0</v>
      </c>
      <c r="N639" s="272">
        <v>0</v>
      </c>
      <c r="O639" s="275"/>
      <c r="P639" s="275"/>
      <c r="Q639" s="275"/>
      <c r="R639" s="275"/>
      <c r="S639" s="275"/>
      <c r="T639" s="275"/>
      <c r="U639" s="276">
        <v>0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161</v>
      </c>
      <c r="B640" s="271" t="s">
        <v>1001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0</v>
      </c>
      <c r="K640" s="273"/>
      <c r="L640" s="273"/>
      <c r="M640" s="274">
        <v>0</v>
      </c>
      <c r="N640" s="272">
        <v>0</v>
      </c>
      <c r="O640" s="275"/>
      <c r="P640" s="275"/>
      <c r="Q640" s="275"/>
      <c r="R640" s="275"/>
      <c r="S640" s="275"/>
      <c r="T640" s="275"/>
      <c r="U640" s="276">
        <v>0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161</v>
      </c>
      <c r="B641" s="271" t="s">
        <v>1002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0</v>
      </c>
      <c r="K641" s="273"/>
      <c r="L641" s="273"/>
      <c r="M641" s="274">
        <v>0</v>
      </c>
      <c r="N641" s="272">
        <v>0</v>
      </c>
      <c r="O641" s="275"/>
      <c r="P641" s="275"/>
      <c r="Q641" s="275"/>
      <c r="R641" s="275"/>
      <c r="S641" s="275"/>
      <c r="T641" s="275"/>
      <c r="U641" s="276">
        <v>0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161</v>
      </c>
      <c r="B642" s="271" t="s">
        <v>1003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0</v>
      </c>
      <c r="K642" s="273"/>
      <c r="L642" s="273"/>
      <c r="M642" s="274">
        <v>0</v>
      </c>
      <c r="N642" s="272">
        <v>0</v>
      </c>
      <c r="O642" s="275"/>
      <c r="P642" s="275"/>
      <c r="Q642" s="275"/>
      <c r="R642" s="275"/>
      <c r="S642" s="275"/>
      <c r="T642" s="275"/>
      <c r="U642" s="276">
        <v>0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161</v>
      </c>
      <c r="B643" s="271" t="s">
        <v>1004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161</v>
      </c>
      <c r="B644" s="271" t="s">
        <v>1005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161</v>
      </c>
      <c r="B645" s="271" t="s">
        <v>1006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0</v>
      </c>
      <c r="K645" s="273"/>
      <c r="L645" s="273"/>
      <c r="M645" s="274">
        <v>0</v>
      </c>
      <c r="N645" s="272">
        <v>0</v>
      </c>
      <c r="O645" s="275"/>
      <c r="P645" s="275"/>
      <c r="Q645" s="275"/>
      <c r="R645" s="275"/>
      <c r="S645" s="275"/>
      <c r="T645" s="275"/>
      <c r="U645" s="276">
        <v>0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161</v>
      </c>
      <c r="B646" s="271" t="s">
        <v>1007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0</v>
      </c>
      <c r="K646" s="273"/>
      <c r="L646" s="273"/>
      <c r="M646" s="274">
        <v>0</v>
      </c>
      <c r="N646" s="272">
        <v>0</v>
      </c>
      <c r="O646" s="275"/>
      <c r="P646" s="275"/>
      <c r="Q646" s="275"/>
      <c r="R646" s="275"/>
      <c r="S646" s="275"/>
      <c r="T646" s="275"/>
      <c r="U646" s="276">
        <v>0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161</v>
      </c>
      <c r="B647" s="271" t="s">
        <v>1008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0</v>
      </c>
      <c r="K647" s="273"/>
      <c r="L647" s="273"/>
      <c r="M647" s="274">
        <v>0</v>
      </c>
      <c r="N647" s="272">
        <v>0</v>
      </c>
      <c r="O647" s="275"/>
      <c r="P647" s="275"/>
      <c r="Q647" s="275"/>
      <c r="R647" s="275"/>
      <c r="S647" s="275"/>
      <c r="T647" s="275"/>
      <c r="U647" s="276">
        <v>0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161</v>
      </c>
      <c r="B648" s="271" t="s">
        <v>1009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0</v>
      </c>
      <c r="K648" s="273"/>
      <c r="L648" s="273"/>
      <c r="M648" s="274">
        <v>0</v>
      </c>
      <c r="N648" s="272">
        <v>0</v>
      </c>
      <c r="O648" s="275"/>
      <c r="P648" s="275"/>
      <c r="Q648" s="275"/>
      <c r="R648" s="275"/>
      <c r="S648" s="275"/>
      <c r="T648" s="275"/>
      <c r="U648" s="276">
        <v>0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161</v>
      </c>
      <c r="B649" s="271" t="s">
        <v>1010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161</v>
      </c>
      <c r="B650" s="271" t="s">
        <v>1011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161</v>
      </c>
      <c r="B651" s="271" t="s">
        <v>1012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161</v>
      </c>
      <c r="B652" s="271" t="s">
        <v>1013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161</v>
      </c>
      <c r="B653" s="271" t="s">
        <v>1014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0</v>
      </c>
      <c r="K653" s="273"/>
      <c r="L653" s="273"/>
      <c r="M653" s="274">
        <v>0</v>
      </c>
      <c r="N653" s="272">
        <v>0</v>
      </c>
      <c r="O653" s="275"/>
      <c r="P653" s="275"/>
      <c r="Q653" s="275"/>
      <c r="R653" s="275"/>
      <c r="S653" s="275"/>
      <c r="T653" s="275"/>
      <c r="U653" s="276">
        <v>0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161</v>
      </c>
      <c r="B654" s="271" t="s">
        <v>1015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161</v>
      </c>
      <c r="B655" s="271" t="s">
        <v>1016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0</v>
      </c>
      <c r="K655" s="273"/>
      <c r="L655" s="273"/>
      <c r="M655" s="274">
        <v>0</v>
      </c>
      <c r="N655" s="272">
        <v>0</v>
      </c>
      <c r="O655" s="275"/>
      <c r="P655" s="275"/>
      <c r="Q655" s="275"/>
      <c r="R655" s="275"/>
      <c r="S655" s="275"/>
      <c r="T655" s="275"/>
      <c r="U655" s="276">
        <v>0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161</v>
      </c>
      <c r="B656" s="271" t="s">
        <v>1017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161</v>
      </c>
      <c r="B657" s="271" t="s">
        <v>1018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161</v>
      </c>
      <c r="B658" s="271" t="s">
        <v>1019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161</v>
      </c>
      <c r="B659" s="271" t="s">
        <v>1020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0</v>
      </c>
      <c r="K659" s="273"/>
      <c r="L659" s="273"/>
      <c r="M659" s="274">
        <v>0</v>
      </c>
      <c r="N659" s="272">
        <v>0</v>
      </c>
      <c r="O659" s="275"/>
      <c r="P659" s="275"/>
      <c r="Q659" s="275"/>
      <c r="R659" s="275"/>
      <c r="S659" s="275"/>
      <c r="T659" s="275"/>
      <c r="U659" s="276">
        <v>0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161</v>
      </c>
      <c r="B660" s="271" t="s">
        <v>1021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161</v>
      </c>
      <c r="B661" s="271" t="s">
        <v>1022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0</v>
      </c>
      <c r="K661" s="273"/>
      <c r="L661" s="273"/>
      <c r="M661" s="274">
        <v>0</v>
      </c>
      <c r="N661" s="272">
        <v>0</v>
      </c>
      <c r="O661" s="275"/>
      <c r="P661" s="275"/>
      <c r="Q661" s="275"/>
      <c r="R661" s="275"/>
      <c r="S661" s="275"/>
      <c r="T661" s="275"/>
      <c r="U661" s="276">
        <v>0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161</v>
      </c>
      <c r="B662" s="271" t="s">
        <v>1023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161</v>
      </c>
      <c r="B663" s="271" t="s">
        <v>1024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0</v>
      </c>
      <c r="K663" s="273"/>
      <c r="L663" s="273"/>
      <c r="M663" s="274">
        <v>0</v>
      </c>
      <c r="N663" s="272">
        <v>0</v>
      </c>
      <c r="O663" s="275"/>
      <c r="P663" s="275"/>
      <c r="Q663" s="275"/>
      <c r="R663" s="275"/>
      <c r="S663" s="275"/>
      <c r="T663" s="275"/>
      <c r="U663" s="276">
        <v>0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161</v>
      </c>
      <c r="B664" s="271" t="s">
        <v>1025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0</v>
      </c>
      <c r="K664" s="273"/>
      <c r="L664" s="273"/>
      <c r="M664" s="274">
        <v>0</v>
      </c>
      <c r="N664" s="272">
        <v>0</v>
      </c>
      <c r="O664" s="275"/>
      <c r="P664" s="275"/>
      <c r="Q664" s="275"/>
      <c r="R664" s="275"/>
      <c r="S664" s="275"/>
      <c r="T664" s="275"/>
      <c r="U664" s="276">
        <v>0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161</v>
      </c>
      <c r="B665" s="271" t="s">
        <v>1026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0</v>
      </c>
      <c r="K665" s="273"/>
      <c r="L665" s="273"/>
      <c r="M665" s="274">
        <v>0</v>
      </c>
      <c r="N665" s="272">
        <v>0</v>
      </c>
      <c r="O665" s="275"/>
      <c r="P665" s="275"/>
      <c r="Q665" s="275"/>
      <c r="R665" s="275"/>
      <c r="S665" s="275"/>
      <c r="T665" s="275"/>
      <c r="U665" s="276">
        <v>0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161</v>
      </c>
      <c r="B666" s="271" t="s">
        <v>1027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0</v>
      </c>
      <c r="K666" s="273"/>
      <c r="L666" s="273"/>
      <c r="M666" s="274">
        <v>0</v>
      </c>
      <c r="N666" s="272">
        <v>0</v>
      </c>
      <c r="O666" s="275"/>
      <c r="P666" s="275"/>
      <c r="Q666" s="275"/>
      <c r="R666" s="275"/>
      <c r="S666" s="275"/>
      <c r="T666" s="275"/>
      <c r="U666" s="276">
        <v>0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161</v>
      </c>
      <c r="B667" s="271" t="s">
        <v>1028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161</v>
      </c>
      <c r="B668" s="271" t="s">
        <v>1029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161</v>
      </c>
      <c r="B669" s="271" t="s">
        <v>1030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0</v>
      </c>
      <c r="K669" s="273"/>
      <c r="L669" s="273"/>
      <c r="M669" s="274">
        <v>0</v>
      </c>
      <c r="N669" s="272">
        <v>0</v>
      </c>
      <c r="O669" s="275"/>
      <c r="P669" s="275"/>
      <c r="Q669" s="275"/>
      <c r="R669" s="275"/>
      <c r="S669" s="275"/>
      <c r="T669" s="275"/>
      <c r="U669" s="276">
        <v>0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161</v>
      </c>
      <c r="B670" s="271" t="s">
        <v>1031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0</v>
      </c>
      <c r="K670" s="273"/>
      <c r="L670" s="273"/>
      <c r="M670" s="274">
        <v>0</v>
      </c>
      <c r="N670" s="272">
        <v>0</v>
      </c>
      <c r="O670" s="275"/>
      <c r="P670" s="275"/>
      <c r="Q670" s="275"/>
      <c r="R670" s="275"/>
      <c r="S670" s="275"/>
      <c r="T670" s="275"/>
      <c r="U670" s="276">
        <v>0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161</v>
      </c>
      <c r="B671" s="271" t="s">
        <v>1032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0</v>
      </c>
      <c r="K671" s="273"/>
      <c r="L671" s="273"/>
      <c r="M671" s="274">
        <v>0</v>
      </c>
      <c r="N671" s="272">
        <v>0</v>
      </c>
      <c r="O671" s="275"/>
      <c r="P671" s="275"/>
      <c r="Q671" s="275"/>
      <c r="R671" s="275"/>
      <c r="S671" s="275"/>
      <c r="T671" s="275"/>
      <c r="U671" s="276">
        <v>0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161</v>
      </c>
      <c r="B672" s="271" t="s">
        <v>1033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0</v>
      </c>
      <c r="K672" s="273"/>
      <c r="L672" s="273"/>
      <c r="M672" s="274">
        <v>0</v>
      </c>
      <c r="N672" s="272">
        <v>0</v>
      </c>
      <c r="O672" s="275"/>
      <c r="P672" s="275"/>
      <c r="Q672" s="275"/>
      <c r="R672" s="275"/>
      <c r="S672" s="275"/>
      <c r="T672" s="275"/>
      <c r="U672" s="276">
        <v>0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161</v>
      </c>
      <c r="B673" s="271" t="s">
        <v>1034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161</v>
      </c>
      <c r="B674" s="271" t="s">
        <v>1035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161</v>
      </c>
      <c r="B675" s="271" t="s">
        <v>1036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0</v>
      </c>
      <c r="K675" s="273"/>
      <c r="L675" s="273"/>
      <c r="M675" s="274">
        <v>0</v>
      </c>
      <c r="N675" s="272">
        <v>0</v>
      </c>
      <c r="O675" s="275"/>
      <c r="P675" s="275"/>
      <c r="Q675" s="275"/>
      <c r="R675" s="275"/>
      <c r="S675" s="275"/>
      <c r="T675" s="275"/>
      <c r="U675" s="276">
        <v>0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161</v>
      </c>
      <c r="B676" s="271" t="s">
        <v>1037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0</v>
      </c>
      <c r="K676" s="273"/>
      <c r="L676" s="273"/>
      <c r="M676" s="274">
        <v>0</v>
      </c>
      <c r="N676" s="272">
        <v>0</v>
      </c>
      <c r="O676" s="275"/>
      <c r="P676" s="275"/>
      <c r="Q676" s="275"/>
      <c r="R676" s="275"/>
      <c r="S676" s="275"/>
      <c r="T676" s="275"/>
      <c r="U676" s="276">
        <v>0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161</v>
      </c>
      <c r="B677" s="271" t="s">
        <v>1038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0</v>
      </c>
      <c r="K677" s="273"/>
      <c r="L677" s="273"/>
      <c r="M677" s="274">
        <v>0</v>
      </c>
      <c r="N677" s="272">
        <v>0</v>
      </c>
      <c r="O677" s="275"/>
      <c r="P677" s="275"/>
      <c r="Q677" s="275"/>
      <c r="R677" s="275"/>
      <c r="S677" s="275"/>
      <c r="T677" s="275"/>
      <c r="U677" s="276">
        <v>0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161</v>
      </c>
      <c r="B678" s="271" t="s">
        <v>1039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0</v>
      </c>
      <c r="K678" s="273"/>
      <c r="L678" s="273"/>
      <c r="M678" s="274">
        <v>0</v>
      </c>
      <c r="N678" s="272">
        <v>0</v>
      </c>
      <c r="O678" s="275"/>
      <c r="P678" s="275"/>
      <c r="Q678" s="275"/>
      <c r="R678" s="275"/>
      <c r="S678" s="275"/>
      <c r="T678" s="275"/>
      <c r="U678" s="276">
        <v>0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161</v>
      </c>
      <c r="B679" s="271" t="s">
        <v>1040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0</v>
      </c>
      <c r="K679" s="273"/>
      <c r="L679" s="273"/>
      <c r="M679" s="274">
        <v>0</v>
      </c>
      <c r="N679" s="272">
        <v>0</v>
      </c>
      <c r="O679" s="275"/>
      <c r="P679" s="275"/>
      <c r="Q679" s="275"/>
      <c r="R679" s="275"/>
      <c r="S679" s="275"/>
      <c r="T679" s="275"/>
      <c r="U679" s="276">
        <v>0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161</v>
      </c>
      <c r="B680" s="271" t="s">
        <v>1041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0</v>
      </c>
      <c r="K680" s="273"/>
      <c r="L680" s="273"/>
      <c r="M680" s="274">
        <v>0</v>
      </c>
      <c r="N680" s="272">
        <v>0</v>
      </c>
      <c r="O680" s="275"/>
      <c r="P680" s="275"/>
      <c r="Q680" s="275"/>
      <c r="R680" s="275"/>
      <c r="S680" s="275"/>
      <c r="T680" s="275"/>
      <c r="U680" s="276">
        <v>0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161</v>
      </c>
      <c r="B681" s="271" t="s">
        <v>1042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0</v>
      </c>
      <c r="K681" s="273"/>
      <c r="L681" s="273"/>
      <c r="M681" s="274">
        <v>0</v>
      </c>
      <c r="N681" s="272">
        <v>0</v>
      </c>
      <c r="O681" s="275"/>
      <c r="P681" s="275"/>
      <c r="Q681" s="275"/>
      <c r="R681" s="275"/>
      <c r="S681" s="275"/>
      <c r="T681" s="275"/>
      <c r="U681" s="276">
        <v>0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161</v>
      </c>
      <c r="B682" s="271" t="s">
        <v>1043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0</v>
      </c>
      <c r="K682" s="273"/>
      <c r="L682" s="273"/>
      <c r="M682" s="274">
        <v>0</v>
      </c>
      <c r="N682" s="272">
        <v>0</v>
      </c>
      <c r="O682" s="275"/>
      <c r="P682" s="275"/>
      <c r="Q682" s="275"/>
      <c r="R682" s="275"/>
      <c r="S682" s="275"/>
      <c r="T682" s="275"/>
      <c r="U682" s="276">
        <v>0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161</v>
      </c>
      <c r="B683" s="271" t="s">
        <v>1044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0</v>
      </c>
      <c r="K683" s="273"/>
      <c r="L683" s="273"/>
      <c r="M683" s="274">
        <v>0</v>
      </c>
      <c r="N683" s="272">
        <v>0</v>
      </c>
      <c r="O683" s="275"/>
      <c r="P683" s="275"/>
      <c r="Q683" s="275"/>
      <c r="R683" s="275"/>
      <c r="S683" s="275"/>
      <c r="T683" s="275"/>
      <c r="U683" s="276">
        <v>0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161</v>
      </c>
      <c r="B684" s="271" t="s">
        <v>1045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0</v>
      </c>
      <c r="K684" s="273"/>
      <c r="L684" s="273"/>
      <c r="M684" s="274">
        <v>0</v>
      </c>
      <c r="N684" s="272">
        <v>0</v>
      </c>
      <c r="O684" s="275"/>
      <c r="P684" s="275"/>
      <c r="Q684" s="275"/>
      <c r="R684" s="275"/>
      <c r="S684" s="275"/>
      <c r="T684" s="275"/>
      <c r="U684" s="276">
        <v>0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161</v>
      </c>
      <c r="B685" s="271" t="s">
        <v>1046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0</v>
      </c>
      <c r="K685" s="273"/>
      <c r="L685" s="273"/>
      <c r="M685" s="274">
        <v>0</v>
      </c>
      <c r="N685" s="272">
        <v>0</v>
      </c>
      <c r="O685" s="275"/>
      <c r="P685" s="275"/>
      <c r="Q685" s="275"/>
      <c r="R685" s="275"/>
      <c r="S685" s="275"/>
      <c r="T685" s="275"/>
      <c r="U685" s="276">
        <v>0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161</v>
      </c>
      <c r="B686" s="271" t="s">
        <v>1047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0</v>
      </c>
      <c r="K686" s="273"/>
      <c r="L686" s="273"/>
      <c r="M686" s="274">
        <v>0</v>
      </c>
      <c r="N686" s="272">
        <v>0</v>
      </c>
      <c r="O686" s="275"/>
      <c r="P686" s="275"/>
      <c r="Q686" s="275"/>
      <c r="R686" s="275"/>
      <c r="S686" s="275"/>
      <c r="T686" s="275"/>
      <c r="U686" s="276">
        <v>0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161</v>
      </c>
      <c r="B687" s="271" t="s">
        <v>1048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0</v>
      </c>
      <c r="K687" s="273"/>
      <c r="L687" s="273"/>
      <c r="M687" s="274">
        <v>0</v>
      </c>
      <c r="N687" s="272">
        <v>0</v>
      </c>
      <c r="O687" s="275"/>
      <c r="P687" s="275"/>
      <c r="Q687" s="275"/>
      <c r="R687" s="275"/>
      <c r="S687" s="275"/>
      <c r="T687" s="275"/>
      <c r="U687" s="276">
        <v>0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161</v>
      </c>
      <c r="B688" s="271" t="s">
        <v>1049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0</v>
      </c>
      <c r="K688" s="273"/>
      <c r="L688" s="273"/>
      <c r="M688" s="274">
        <v>0</v>
      </c>
      <c r="N688" s="272">
        <v>0</v>
      </c>
      <c r="O688" s="275"/>
      <c r="P688" s="275"/>
      <c r="Q688" s="275"/>
      <c r="R688" s="275"/>
      <c r="S688" s="275"/>
      <c r="T688" s="275"/>
      <c r="U688" s="276">
        <v>0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161</v>
      </c>
      <c r="B689" s="271" t="s">
        <v>1050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0</v>
      </c>
      <c r="K689" s="273"/>
      <c r="L689" s="273"/>
      <c r="M689" s="274">
        <v>0</v>
      </c>
      <c r="N689" s="272">
        <v>0</v>
      </c>
      <c r="O689" s="275"/>
      <c r="P689" s="275"/>
      <c r="Q689" s="275"/>
      <c r="R689" s="275"/>
      <c r="S689" s="275"/>
      <c r="T689" s="275"/>
      <c r="U689" s="276">
        <v>0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161</v>
      </c>
      <c r="B690" s="271" t="s">
        <v>1051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0</v>
      </c>
      <c r="K690" s="273"/>
      <c r="L690" s="273"/>
      <c r="M690" s="274">
        <v>0</v>
      </c>
      <c r="N690" s="272">
        <v>0</v>
      </c>
      <c r="O690" s="275"/>
      <c r="P690" s="275"/>
      <c r="Q690" s="275"/>
      <c r="R690" s="275"/>
      <c r="S690" s="275"/>
      <c r="T690" s="275"/>
      <c r="U690" s="276">
        <v>0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161</v>
      </c>
      <c r="B691" s="271" t="s">
        <v>1052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0</v>
      </c>
      <c r="K691" s="273"/>
      <c r="L691" s="273"/>
      <c r="M691" s="274">
        <v>0</v>
      </c>
      <c r="N691" s="272">
        <v>0</v>
      </c>
      <c r="O691" s="275"/>
      <c r="P691" s="275"/>
      <c r="Q691" s="275"/>
      <c r="R691" s="275"/>
      <c r="S691" s="275"/>
      <c r="T691" s="275"/>
      <c r="U691" s="276">
        <v>0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161</v>
      </c>
      <c r="B692" s="271" t="s">
        <v>1053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0</v>
      </c>
      <c r="K692" s="273"/>
      <c r="L692" s="273"/>
      <c r="M692" s="274">
        <v>0</v>
      </c>
      <c r="N692" s="272">
        <v>0</v>
      </c>
      <c r="O692" s="275"/>
      <c r="P692" s="275"/>
      <c r="Q692" s="275"/>
      <c r="R692" s="275"/>
      <c r="S692" s="275"/>
      <c r="T692" s="275"/>
      <c r="U692" s="276">
        <v>0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161</v>
      </c>
      <c r="B693" s="271" t="s">
        <v>1054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161</v>
      </c>
      <c r="B694" s="271" t="s">
        <v>1055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161</v>
      </c>
      <c r="B695" s="271" t="s">
        <v>1056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161</v>
      </c>
      <c r="B696" s="271" t="s">
        <v>1057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161</v>
      </c>
      <c r="B697" s="271" t="s">
        <v>1058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161</v>
      </c>
      <c r="B698" s="271" t="s">
        <v>1059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161</v>
      </c>
      <c r="B699" s="271" t="s">
        <v>1060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0</v>
      </c>
      <c r="K699" s="273"/>
      <c r="L699" s="273"/>
      <c r="M699" s="274">
        <v>0</v>
      </c>
      <c r="N699" s="272">
        <v>0</v>
      </c>
      <c r="O699" s="275"/>
      <c r="P699" s="275"/>
      <c r="Q699" s="275"/>
      <c r="R699" s="275"/>
      <c r="S699" s="275"/>
      <c r="T699" s="275"/>
      <c r="U699" s="276">
        <v>0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161</v>
      </c>
      <c r="B700" s="271" t="s">
        <v>1061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0</v>
      </c>
      <c r="K700" s="273"/>
      <c r="L700" s="273"/>
      <c r="M700" s="274">
        <v>0</v>
      </c>
      <c r="N700" s="272">
        <v>0</v>
      </c>
      <c r="O700" s="275"/>
      <c r="P700" s="275"/>
      <c r="Q700" s="275"/>
      <c r="R700" s="275"/>
      <c r="S700" s="275"/>
      <c r="T700" s="275"/>
      <c r="U700" s="276">
        <v>0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161</v>
      </c>
      <c r="B701" s="271" t="s">
        <v>1062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0</v>
      </c>
      <c r="K701" s="273"/>
      <c r="L701" s="273"/>
      <c r="M701" s="274">
        <v>0</v>
      </c>
      <c r="N701" s="272">
        <v>0</v>
      </c>
      <c r="O701" s="275"/>
      <c r="P701" s="275"/>
      <c r="Q701" s="275"/>
      <c r="R701" s="275"/>
      <c r="S701" s="275"/>
      <c r="T701" s="275"/>
      <c r="U701" s="276">
        <v>0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161</v>
      </c>
      <c r="B702" s="271" t="s">
        <v>1063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0</v>
      </c>
      <c r="K702" s="273"/>
      <c r="L702" s="273"/>
      <c r="M702" s="274">
        <v>0</v>
      </c>
      <c r="N702" s="272">
        <v>0</v>
      </c>
      <c r="O702" s="275"/>
      <c r="P702" s="275"/>
      <c r="Q702" s="275"/>
      <c r="R702" s="275"/>
      <c r="S702" s="275"/>
      <c r="T702" s="275"/>
      <c r="U702" s="276">
        <v>0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161</v>
      </c>
      <c r="B703" s="271" t="s">
        <v>1064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0</v>
      </c>
      <c r="K703" s="273"/>
      <c r="L703" s="273"/>
      <c r="M703" s="274">
        <v>0</v>
      </c>
      <c r="N703" s="272">
        <v>0</v>
      </c>
      <c r="O703" s="275"/>
      <c r="P703" s="275"/>
      <c r="Q703" s="275"/>
      <c r="R703" s="275"/>
      <c r="S703" s="275"/>
      <c r="T703" s="275"/>
      <c r="U703" s="276">
        <v>0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161</v>
      </c>
      <c r="B704" s="271" t="s">
        <v>1065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0</v>
      </c>
      <c r="K704" s="273"/>
      <c r="L704" s="273"/>
      <c r="M704" s="274">
        <v>0</v>
      </c>
      <c r="N704" s="272">
        <v>0</v>
      </c>
      <c r="O704" s="275"/>
      <c r="P704" s="275"/>
      <c r="Q704" s="275"/>
      <c r="R704" s="275"/>
      <c r="S704" s="275"/>
      <c r="T704" s="275"/>
      <c r="U704" s="276">
        <v>0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161</v>
      </c>
      <c r="B705" s="271" t="s">
        <v>1066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0</v>
      </c>
      <c r="K705" s="273"/>
      <c r="L705" s="273"/>
      <c r="M705" s="274">
        <v>0</v>
      </c>
      <c r="N705" s="272">
        <v>0</v>
      </c>
      <c r="O705" s="275"/>
      <c r="P705" s="275"/>
      <c r="Q705" s="275"/>
      <c r="R705" s="275"/>
      <c r="S705" s="275"/>
      <c r="T705" s="275"/>
      <c r="U705" s="276">
        <v>0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161</v>
      </c>
      <c r="B706" s="271" t="s">
        <v>1067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0</v>
      </c>
      <c r="K706" s="273"/>
      <c r="L706" s="273"/>
      <c r="M706" s="274">
        <v>0</v>
      </c>
      <c r="N706" s="272">
        <v>0</v>
      </c>
      <c r="O706" s="275"/>
      <c r="P706" s="275"/>
      <c r="Q706" s="275"/>
      <c r="R706" s="275"/>
      <c r="S706" s="275"/>
      <c r="T706" s="275"/>
      <c r="U706" s="276">
        <v>0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161</v>
      </c>
      <c r="B707" s="271" t="s">
        <v>1068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0</v>
      </c>
      <c r="K707" s="273"/>
      <c r="L707" s="273"/>
      <c r="M707" s="274">
        <v>0</v>
      </c>
      <c r="N707" s="272">
        <v>0</v>
      </c>
      <c r="O707" s="275"/>
      <c r="P707" s="275"/>
      <c r="Q707" s="275"/>
      <c r="R707" s="275"/>
      <c r="S707" s="275"/>
      <c r="T707" s="275"/>
      <c r="U707" s="276">
        <v>0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161</v>
      </c>
      <c r="B708" s="271" t="s">
        <v>1069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0</v>
      </c>
      <c r="K708" s="273"/>
      <c r="L708" s="273"/>
      <c r="M708" s="274">
        <v>0</v>
      </c>
      <c r="N708" s="272">
        <v>0</v>
      </c>
      <c r="O708" s="275"/>
      <c r="P708" s="275"/>
      <c r="Q708" s="275"/>
      <c r="R708" s="275"/>
      <c r="S708" s="275"/>
      <c r="T708" s="275"/>
      <c r="U708" s="276">
        <v>0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161</v>
      </c>
      <c r="B709" s="271" t="s">
        <v>1070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0</v>
      </c>
      <c r="K709" s="273"/>
      <c r="L709" s="273"/>
      <c r="M709" s="274">
        <v>0</v>
      </c>
      <c r="N709" s="272">
        <v>0</v>
      </c>
      <c r="O709" s="275"/>
      <c r="P709" s="275"/>
      <c r="Q709" s="275"/>
      <c r="R709" s="275"/>
      <c r="S709" s="275"/>
      <c r="T709" s="275"/>
      <c r="U709" s="276">
        <v>0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161</v>
      </c>
      <c r="B710" s="271" t="s">
        <v>1071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0</v>
      </c>
      <c r="K710" s="273"/>
      <c r="L710" s="273"/>
      <c r="M710" s="274">
        <v>0</v>
      </c>
      <c r="N710" s="272">
        <v>0</v>
      </c>
      <c r="O710" s="275"/>
      <c r="P710" s="275"/>
      <c r="Q710" s="275"/>
      <c r="R710" s="275"/>
      <c r="S710" s="275"/>
      <c r="T710" s="275"/>
      <c r="U710" s="276">
        <v>0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161</v>
      </c>
      <c r="B711" s="271" t="s">
        <v>1072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0</v>
      </c>
      <c r="K711" s="273"/>
      <c r="L711" s="273"/>
      <c r="M711" s="274">
        <v>0</v>
      </c>
      <c r="N711" s="272">
        <v>0</v>
      </c>
      <c r="O711" s="275"/>
      <c r="P711" s="275"/>
      <c r="Q711" s="275"/>
      <c r="R711" s="275"/>
      <c r="S711" s="275"/>
      <c r="T711" s="275"/>
      <c r="U711" s="276">
        <v>0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161</v>
      </c>
      <c r="B712" s="271" t="s">
        <v>1073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0</v>
      </c>
      <c r="K712" s="273"/>
      <c r="L712" s="273"/>
      <c r="M712" s="274">
        <v>0</v>
      </c>
      <c r="N712" s="272">
        <v>0</v>
      </c>
      <c r="O712" s="275"/>
      <c r="P712" s="275"/>
      <c r="Q712" s="275"/>
      <c r="R712" s="275"/>
      <c r="S712" s="275"/>
      <c r="T712" s="275"/>
      <c r="U712" s="276">
        <v>0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161</v>
      </c>
      <c r="B713" s="271" t="s">
        <v>1074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0</v>
      </c>
      <c r="K713" s="273"/>
      <c r="L713" s="273"/>
      <c r="M713" s="274">
        <v>0</v>
      </c>
      <c r="N713" s="272">
        <v>0</v>
      </c>
      <c r="O713" s="275"/>
      <c r="P713" s="275"/>
      <c r="Q713" s="275"/>
      <c r="R713" s="275"/>
      <c r="S713" s="275"/>
      <c r="T713" s="275"/>
      <c r="U713" s="276">
        <v>0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161</v>
      </c>
      <c r="B714" s="271" t="s">
        <v>1075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0</v>
      </c>
      <c r="K714" s="273"/>
      <c r="L714" s="273"/>
      <c r="M714" s="274">
        <v>0</v>
      </c>
      <c r="N714" s="272">
        <v>0</v>
      </c>
      <c r="O714" s="275"/>
      <c r="P714" s="275"/>
      <c r="Q714" s="275"/>
      <c r="R714" s="275"/>
      <c r="S714" s="275"/>
      <c r="T714" s="275"/>
      <c r="U714" s="276">
        <v>0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161</v>
      </c>
      <c r="B715" s="271" t="s">
        <v>1076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0</v>
      </c>
      <c r="K715" s="273"/>
      <c r="L715" s="273"/>
      <c r="M715" s="274">
        <v>0</v>
      </c>
      <c r="N715" s="272">
        <v>0</v>
      </c>
      <c r="O715" s="275"/>
      <c r="P715" s="275"/>
      <c r="Q715" s="275"/>
      <c r="R715" s="275"/>
      <c r="S715" s="275"/>
      <c r="T715" s="275"/>
      <c r="U715" s="276">
        <v>0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161</v>
      </c>
      <c r="B716" s="271" t="s">
        <v>1077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0</v>
      </c>
      <c r="K716" s="273"/>
      <c r="L716" s="273"/>
      <c r="M716" s="274">
        <v>0</v>
      </c>
      <c r="N716" s="272">
        <v>0</v>
      </c>
      <c r="O716" s="275"/>
      <c r="P716" s="275"/>
      <c r="Q716" s="275"/>
      <c r="R716" s="275"/>
      <c r="S716" s="275"/>
      <c r="T716" s="275"/>
      <c r="U716" s="276">
        <v>0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161</v>
      </c>
      <c r="B717" s="271" t="s">
        <v>1078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161</v>
      </c>
      <c r="B718" s="271" t="s">
        <v>1079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161</v>
      </c>
      <c r="B719" s="271" t="s">
        <v>1080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161</v>
      </c>
      <c r="B720" s="271" t="s">
        <v>1081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161</v>
      </c>
      <c r="B721" s="271" t="s">
        <v>1082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161</v>
      </c>
      <c r="B722" s="271" t="s">
        <v>1083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161</v>
      </c>
      <c r="B723" s="271" t="s">
        <v>290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0</v>
      </c>
      <c r="K723" s="273"/>
      <c r="L723" s="273"/>
      <c r="M723" s="274">
        <v>0</v>
      </c>
      <c r="N723" s="272">
        <v>0</v>
      </c>
      <c r="O723" s="275"/>
      <c r="P723" s="275"/>
      <c r="Q723" s="275"/>
      <c r="R723" s="275"/>
      <c r="S723" s="275"/>
      <c r="T723" s="275"/>
      <c r="U723" s="276">
        <v>0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161</v>
      </c>
      <c r="B724" s="271" t="s">
        <v>291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0</v>
      </c>
      <c r="K724" s="273"/>
      <c r="L724" s="273"/>
      <c r="M724" s="274">
        <v>0</v>
      </c>
      <c r="N724" s="272">
        <v>0</v>
      </c>
      <c r="O724" s="275"/>
      <c r="P724" s="275"/>
      <c r="Q724" s="275"/>
      <c r="R724" s="275"/>
      <c r="S724" s="275"/>
      <c r="T724" s="275"/>
      <c r="U724" s="276">
        <v>0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161</v>
      </c>
      <c r="B725" s="271" t="s">
        <v>292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0</v>
      </c>
      <c r="K725" s="273"/>
      <c r="L725" s="273"/>
      <c r="M725" s="274">
        <v>0</v>
      </c>
      <c r="N725" s="272">
        <v>0</v>
      </c>
      <c r="O725" s="275"/>
      <c r="P725" s="275"/>
      <c r="Q725" s="275"/>
      <c r="R725" s="275"/>
      <c r="S725" s="275"/>
      <c r="T725" s="275"/>
      <c r="U725" s="276">
        <v>0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161</v>
      </c>
      <c r="B726" s="271" t="s">
        <v>293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0</v>
      </c>
      <c r="K726" s="273"/>
      <c r="L726" s="273"/>
      <c r="M726" s="274">
        <v>0</v>
      </c>
      <c r="N726" s="272">
        <v>0</v>
      </c>
      <c r="O726" s="275"/>
      <c r="P726" s="275"/>
      <c r="Q726" s="275"/>
      <c r="R726" s="275"/>
      <c r="S726" s="275"/>
      <c r="T726" s="275"/>
      <c r="U726" s="276">
        <v>0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161</v>
      </c>
      <c r="B727" s="271" t="s">
        <v>1084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0</v>
      </c>
      <c r="K727" s="273"/>
      <c r="L727" s="273"/>
      <c r="M727" s="274">
        <v>0</v>
      </c>
      <c r="N727" s="272">
        <v>0</v>
      </c>
      <c r="O727" s="275"/>
      <c r="P727" s="275"/>
      <c r="Q727" s="275"/>
      <c r="R727" s="275"/>
      <c r="S727" s="275"/>
      <c r="T727" s="275"/>
      <c r="U727" s="276">
        <v>0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161</v>
      </c>
      <c r="B728" s="271" t="s">
        <v>294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0</v>
      </c>
      <c r="K728" s="273"/>
      <c r="L728" s="273"/>
      <c r="M728" s="274">
        <v>0</v>
      </c>
      <c r="N728" s="272">
        <v>0</v>
      </c>
      <c r="O728" s="275"/>
      <c r="P728" s="275"/>
      <c r="Q728" s="275"/>
      <c r="R728" s="275"/>
      <c r="S728" s="275"/>
      <c r="T728" s="275"/>
      <c r="U728" s="276">
        <v>0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161</v>
      </c>
      <c r="B729" s="271" t="s">
        <v>295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0</v>
      </c>
      <c r="K729" s="273"/>
      <c r="L729" s="273"/>
      <c r="M729" s="274">
        <v>0</v>
      </c>
      <c r="N729" s="272">
        <v>0</v>
      </c>
      <c r="O729" s="275"/>
      <c r="P729" s="275"/>
      <c r="Q729" s="275"/>
      <c r="R729" s="275"/>
      <c r="S729" s="275"/>
      <c r="T729" s="275"/>
      <c r="U729" s="276">
        <v>0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161</v>
      </c>
      <c r="B730" s="271" t="s">
        <v>296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0</v>
      </c>
      <c r="K730" s="273"/>
      <c r="L730" s="273"/>
      <c r="M730" s="274">
        <v>0</v>
      </c>
      <c r="N730" s="272">
        <v>0</v>
      </c>
      <c r="O730" s="275"/>
      <c r="P730" s="275"/>
      <c r="Q730" s="275"/>
      <c r="R730" s="275"/>
      <c r="S730" s="275"/>
      <c r="T730" s="275"/>
      <c r="U730" s="276">
        <v>0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161</v>
      </c>
      <c r="B731" s="271" t="s">
        <v>1085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0</v>
      </c>
      <c r="K731" s="273"/>
      <c r="L731" s="273"/>
      <c r="M731" s="274">
        <v>0</v>
      </c>
      <c r="N731" s="272">
        <v>0</v>
      </c>
      <c r="O731" s="275"/>
      <c r="P731" s="275"/>
      <c r="Q731" s="275"/>
      <c r="R731" s="275"/>
      <c r="S731" s="275"/>
      <c r="T731" s="275"/>
      <c r="U731" s="276">
        <v>0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161</v>
      </c>
      <c r="B732" s="271" t="s">
        <v>297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0</v>
      </c>
      <c r="K732" s="273"/>
      <c r="L732" s="273"/>
      <c r="M732" s="274">
        <v>0</v>
      </c>
      <c r="N732" s="272">
        <v>0</v>
      </c>
      <c r="O732" s="275"/>
      <c r="P732" s="275"/>
      <c r="Q732" s="275"/>
      <c r="R732" s="275"/>
      <c r="S732" s="275"/>
      <c r="T732" s="275"/>
      <c r="U732" s="276">
        <v>0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161</v>
      </c>
      <c r="B733" s="271" t="s">
        <v>298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0</v>
      </c>
      <c r="K733" s="273"/>
      <c r="L733" s="273"/>
      <c r="M733" s="274">
        <v>0</v>
      </c>
      <c r="N733" s="272">
        <v>0</v>
      </c>
      <c r="O733" s="275"/>
      <c r="P733" s="275"/>
      <c r="Q733" s="275"/>
      <c r="R733" s="275"/>
      <c r="S733" s="275"/>
      <c r="T733" s="275"/>
      <c r="U733" s="276">
        <v>0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161</v>
      </c>
      <c r="B734" s="271" t="s">
        <v>299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0</v>
      </c>
      <c r="K734" s="273"/>
      <c r="L734" s="273"/>
      <c r="M734" s="274">
        <v>0</v>
      </c>
      <c r="N734" s="272">
        <v>0</v>
      </c>
      <c r="O734" s="275"/>
      <c r="P734" s="275"/>
      <c r="Q734" s="275"/>
      <c r="R734" s="275"/>
      <c r="S734" s="275"/>
      <c r="T734" s="275"/>
      <c r="U734" s="276">
        <v>0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161</v>
      </c>
      <c r="B735" s="271" t="s">
        <v>1086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0</v>
      </c>
      <c r="K735" s="273"/>
      <c r="L735" s="273"/>
      <c r="M735" s="274">
        <v>0</v>
      </c>
      <c r="N735" s="272">
        <v>0</v>
      </c>
      <c r="O735" s="275"/>
      <c r="P735" s="275"/>
      <c r="Q735" s="275"/>
      <c r="R735" s="275"/>
      <c r="S735" s="275"/>
      <c r="T735" s="275"/>
      <c r="U735" s="276">
        <v>0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161</v>
      </c>
      <c r="B736" s="271" t="s">
        <v>300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0</v>
      </c>
      <c r="K736" s="273"/>
      <c r="L736" s="273"/>
      <c r="M736" s="274">
        <v>0</v>
      </c>
      <c r="N736" s="272">
        <v>0</v>
      </c>
      <c r="O736" s="275"/>
      <c r="P736" s="275"/>
      <c r="Q736" s="275"/>
      <c r="R736" s="275"/>
      <c r="S736" s="275"/>
      <c r="T736" s="275"/>
      <c r="U736" s="276">
        <v>0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161</v>
      </c>
      <c r="B737" s="271" t="s">
        <v>301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0</v>
      </c>
      <c r="K737" s="273"/>
      <c r="L737" s="273"/>
      <c r="M737" s="274">
        <v>0</v>
      </c>
      <c r="N737" s="272">
        <v>0</v>
      </c>
      <c r="O737" s="275"/>
      <c r="P737" s="275"/>
      <c r="Q737" s="275"/>
      <c r="R737" s="275"/>
      <c r="S737" s="275"/>
      <c r="T737" s="275"/>
      <c r="U737" s="276">
        <v>0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161</v>
      </c>
      <c r="B738" s="271" t="s">
        <v>302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0</v>
      </c>
      <c r="K738" s="273"/>
      <c r="L738" s="273"/>
      <c r="M738" s="274">
        <v>0</v>
      </c>
      <c r="N738" s="272">
        <v>0</v>
      </c>
      <c r="O738" s="275"/>
      <c r="P738" s="275"/>
      <c r="Q738" s="275"/>
      <c r="R738" s="275"/>
      <c r="S738" s="275"/>
      <c r="T738" s="275"/>
      <c r="U738" s="276">
        <v>0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161</v>
      </c>
      <c r="B739" s="271" t="s">
        <v>1087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0</v>
      </c>
      <c r="K739" s="273"/>
      <c r="L739" s="273"/>
      <c r="M739" s="274">
        <v>0</v>
      </c>
      <c r="N739" s="272">
        <v>0</v>
      </c>
      <c r="O739" s="275"/>
      <c r="P739" s="275"/>
      <c r="Q739" s="275"/>
      <c r="R739" s="275"/>
      <c r="S739" s="275"/>
      <c r="T739" s="275"/>
      <c r="U739" s="276">
        <v>0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161</v>
      </c>
      <c r="B740" s="271" t="s">
        <v>303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0</v>
      </c>
      <c r="K740" s="273"/>
      <c r="L740" s="273"/>
      <c r="M740" s="274">
        <v>0</v>
      </c>
      <c r="N740" s="272">
        <v>0</v>
      </c>
      <c r="O740" s="275"/>
      <c r="P740" s="275"/>
      <c r="Q740" s="275"/>
      <c r="R740" s="275"/>
      <c r="S740" s="275"/>
      <c r="T740" s="275"/>
      <c r="U740" s="276">
        <v>0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161</v>
      </c>
      <c r="B741" s="271" t="s">
        <v>304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0</v>
      </c>
      <c r="K741" s="273"/>
      <c r="L741" s="273"/>
      <c r="M741" s="274">
        <v>0</v>
      </c>
      <c r="N741" s="272">
        <v>0</v>
      </c>
      <c r="O741" s="275"/>
      <c r="P741" s="275"/>
      <c r="Q741" s="275"/>
      <c r="R741" s="275"/>
      <c r="S741" s="275"/>
      <c r="T741" s="275"/>
      <c r="U741" s="276">
        <v>0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161</v>
      </c>
      <c r="B742" s="271" t="s">
        <v>305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0</v>
      </c>
      <c r="K742" s="273"/>
      <c r="L742" s="273"/>
      <c r="M742" s="274">
        <v>0</v>
      </c>
      <c r="N742" s="272">
        <v>0</v>
      </c>
      <c r="O742" s="275"/>
      <c r="P742" s="275"/>
      <c r="Q742" s="275"/>
      <c r="R742" s="275"/>
      <c r="S742" s="275"/>
      <c r="T742" s="275"/>
      <c r="U742" s="276">
        <v>0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161</v>
      </c>
      <c r="B743" s="271" t="s">
        <v>1088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161</v>
      </c>
      <c r="B744" s="271" t="s">
        <v>1089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0</v>
      </c>
      <c r="K744" s="273"/>
      <c r="L744" s="273"/>
      <c r="M744" s="274">
        <v>0</v>
      </c>
      <c r="N744" s="272">
        <v>0</v>
      </c>
      <c r="O744" s="275"/>
      <c r="P744" s="275"/>
      <c r="Q744" s="275"/>
      <c r="R744" s="275"/>
      <c r="S744" s="275"/>
      <c r="T744" s="275"/>
      <c r="U744" s="276">
        <v>0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161</v>
      </c>
      <c r="B745" s="271" t="s">
        <v>1090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0</v>
      </c>
      <c r="K745" s="273"/>
      <c r="L745" s="273"/>
      <c r="M745" s="274">
        <v>0</v>
      </c>
      <c r="N745" s="272">
        <v>0</v>
      </c>
      <c r="O745" s="275"/>
      <c r="P745" s="275"/>
      <c r="Q745" s="275"/>
      <c r="R745" s="275"/>
      <c r="S745" s="275"/>
      <c r="T745" s="275"/>
      <c r="U745" s="276">
        <v>0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161</v>
      </c>
      <c r="B746" s="271" t="s">
        <v>1091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0</v>
      </c>
      <c r="K746" s="273"/>
      <c r="L746" s="273"/>
      <c r="M746" s="274">
        <v>0</v>
      </c>
      <c r="N746" s="272">
        <v>0</v>
      </c>
      <c r="O746" s="275"/>
      <c r="P746" s="275"/>
      <c r="Q746" s="275"/>
      <c r="R746" s="275"/>
      <c r="S746" s="275"/>
      <c r="T746" s="275"/>
      <c r="U746" s="276">
        <v>0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161</v>
      </c>
      <c r="B747" s="271" t="s">
        <v>1092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161</v>
      </c>
      <c r="B748" s="271" t="s">
        <v>306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0</v>
      </c>
      <c r="K748" s="273"/>
      <c r="L748" s="273"/>
      <c r="M748" s="274">
        <v>0</v>
      </c>
      <c r="N748" s="272">
        <v>0</v>
      </c>
      <c r="O748" s="275"/>
      <c r="P748" s="275"/>
      <c r="Q748" s="275"/>
      <c r="R748" s="275"/>
      <c r="S748" s="275"/>
      <c r="T748" s="275"/>
      <c r="U748" s="276">
        <v>0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161</v>
      </c>
      <c r="B749" s="271" t="s">
        <v>307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0</v>
      </c>
      <c r="K749" s="273"/>
      <c r="L749" s="273"/>
      <c r="M749" s="274">
        <v>0</v>
      </c>
      <c r="N749" s="272">
        <v>0</v>
      </c>
      <c r="O749" s="275"/>
      <c r="P749" s="275"/>
      <c r="Q749" s="275"/>
      <c r="R749" s="275"/>
      <c r="S749" s="275"/>
      <c r="T749" s="275"/>
      <c r="U749" s="276">
        <v>0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161</v>
      </c>
      <c r="B750" s="271" t="s">
        <v>1093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0</v>
      </c>
      <c r="K750" s="273"/>
      <c r="L750" s="273"/>
      <c r="M750" s="274">
        <v>0</v>
      </c>
      <c r="N750" s="272">
        <v>0</v>
      </c>
      <c r="O750" s="275"/>
      <c r="P750" s="275"/>
      <c r="Q750" s="275"/>
      <c r="R750" s="275"/>
      <c r="S750" s="275"/>
      <c r="T750" s="275"/>
      <c r="U750" s="276">
        <v>0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161</v>
      </c>
      <c r="B751" s="271" t="s">
        <v>308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0</v>
      </c>
      <c r="K751" s="273"/>
      <c r="L751" s="273"/>
      <c r="M751" s="274">
        <v>0</v>
      </c>
      <c r="N751" s="272">
        <v>0</v>
      </c>
      <c r="O751" s="275"/>
      <c r="P751" s="275"/>
      <c r="Q751" s="275"/>
      <c r="R751" s="275"/>
      <c r="S751" s="275"/>
      <c r="T751" s="275"/>
      <c r="U751" s="276">
        <v>0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161</v>
      </c>
      <c r="B752" s="271" t="s">
        <v>309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0</v>
      </c>
      <c r="K752" s="273"/>
      <c r="L752" s="273"/>
      <c r="M752" s="274">
        <v>0</v>
      </c>
      <c r="N752" s="272">
        <v>0</v>
      </c>
      <c r="O752" s="275"/>
      <c r="P752" s="275"/>
      <c r="Q752" s="275"/>
      <c r="R752" s="275"/>
      <c r="S752" s="275"/>
      <c r="T752" s="275"/>
      <c r="U752" s="276">
        <v>0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161</v>
      </c>
      <c r="B753" s="271" t="s">
        <v>1094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0</v>
      </c>
      <c r="K753" s="273"/>
      <c r="L753" s="273"/>
      <c r="M753" s="274">
        <v>0</v>
      </c>
      <c r="N753" s="272">
        <v>0</v>
      </c>
      <c r="O753" s="275"/>
      <c r="P753" s="275"/>
      <c r="Q753" s="275"/>
      <c r="R753" s="275"/>
      <c r="S753" s="275"/>
      <c r="T753" s="275"/>
      <c r="U753" s="276">
        <v>0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161</v>
      </c>
      <c r="B754" s="271" t="s">
        <v>310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0</v>
      </c>
      <c r="K754" s="273"/>
      <c r="L754" s="273"/>
      <c r="M754" s="274">
        <v>0</v>
      </c>
      <c r="N754" s="272">
        <v>0</v>
      </c>
      <c r="O754" s="275"/>
      <c r="P754" s="275"/>
      <c r="Q754" s="275"/>
      <c r="R754" s="275"/>
      <c r="S754" s="275"/>
      <c r="T754" s="275"/>
      <c r="U754" s="276">
        <v>0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161</v>
      </c>
      <c r="B755" s="271" t="s">
        <v>311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0</v>
      </c>
      <c r="K755" s="273"/>
      <c r="L755" s="273"/>
      <c r="M755" s="274">
        <v>0</v>
      </c>
      <c r="N755" s="272">
        <v>0</v>
      </c>
      <c r="O755" s="275"/>
      <c r="P755" s="275"/>
      <c r="Q755" s="275"/>
      <c r="R755" s="275"/>
      <c r="S755" s="275"/>
      <c r="T755" s="275"/>
      <c r="U755" s="276">
        <v>0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161</v>
      </c>
      <c r="B756" s="271" t="s">
        <v>1095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161</v>
      </c>
      <c r="B757" s="271" t="s">
        <v>1096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0</v>
      </c>
      <c r="K757" s="273"/>
      <c r="L757" s="273"/>
      <c r="M757" s="274">
        <v>0</v>
      </c>
      <c r="N757" s="272">
        <v>0</v>
      </c>
      <c r="O757" s="275"/>
      <c r="P757" s="275"/>
      <c r="Q757" s="275"/>
      <c r="R757" s="275"/>
      <c r="S757" s="275"/>
      <c r="T757" s="275"/>
      <c r="U757" s="276">
        <v>0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161</v>
      </c>
      <c r="B758" s="271" t="s">
        <v>1097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0</v>
      </c>
      <c r="K758" s="273"/>
      <c r="L758" s="273"/>
      <c r="M758" s="274">
        <v>0</v>
      </c>
      <c r="N758" s="272">
        <v>0</v>
      </c>
      <c r="O758" s="275"/>
      <c r="P758" s="275"/>
      <c r="Q758" s="275"/>
      <c r="R758" s="275"/>
      <c r="S758" s="275"/>
      <c r="T758" s="275"/>
      <c r="U758" s="276">
        <v>0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161</v>
      </c>
      <c r="B759" s="271" t="s">
        <v>1098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161</v>
      </c>
      <c r="B760" s="271" t="s">
        <v>312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0</v>
      </c>
      <c r="K760" s="273"/>
      <c r="L760" s="273"/>
      <c r="M760" s="274">
        <v>0</v>
      </c>
      <c r="N760" s="272">
        <v>0</v>
      </c>
      <c r="O760" s="275"/>
      <c r="P760" s="275"/>
      <c r="Q760" s="275"/>
      <c r="R760" s="275"/>
      <c r="S760" s="275"/>
      <c r="T760" s="275"/>
      <c r="U760" s="276">
        <v>0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161</v>
      </c>
      <c r="B761" s="271" t="s">
        <v>313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0</v>
      </c>
      <c r="K761" s="273"/>
      <c r="L761" s="273"/>
      <c r="M761" s="274">
        <v>0</v>
      </c>
      <c r="N761" s="272">
        <v>0</v>
      </c>
      <c r="O761" s="275"/>
      <c r="P761" s="275"/>
      <c r="Q761" s="275"/>
      <c r="R761" s="275"/>
      <c r="S761" s="275"/>
      <c r="T761" s="275"/>
      <c r="U761" s="276">
        <v>0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161</v>
      </c>
      <c r="B762" s="271" t="s">
        <v>1099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0</v>
      </c>
      <c r="K762" s="273"/>
      <c r="L762" s="273"/>
      <c r="M762" s="274">
        <v>0</v>
      </c>
      <c r="N762" s="272">
        <v>0</v>
      </c>
      <c r="O762" s="275"/>
      <c r="P762" s="275"/>
      <c r="Q762" s="275"/>
      <c r="R762" s="275"/>
      <c r="S762" s="275"/>
      <c r="T762" s="275"/>
      <c r="U762" s="276">
        <v>0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161</v>
      </c>
      <c r="B763" s="271" t="s">
        <v>314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0</v>
      </c>
      <c r="K763" s="273"/>
      <c r="L763" s="273"/>
      <c r="M763" s="274">
        <v>0</v>
      </c>
      <c r="N763" s="272">
        <v>0</v>
      </c>
      <c r="O763" s="275"/>
      <c r="P763" s="275"/>
      <c r="Q763" s="275"/>
      <c r="R763" s="275"/>
      <c r="S763" s="275"/>
      <c r="T763" s="275"/>
      <c r="U763" s="276">
        <v>0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161</v>
      </c>
      <c r="B764" s="271" t="s">
        <v>315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0</v>
      </c>
      <c r="K764" s="273"/>
      <c r="L764" s="273"/>
      <c r="M764" s="274">
        <v>0</v>
      </c>
      <c r="N764" s="272">
        <v>0</v>
      </c>
      <c r="O764" s="275"/>
      <c r="P764" s="275"/>
      <c r="Q764" s="275"/>
      <c r="R764" s="275"/>
      <c r="S764" s="275"/>
      <c r="T764" s="275"/>
      <c r="U764" s="276">
        <v>0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161</v>
      </c>
      <c r="B765" s="271" t="s">
        <v>1100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0</v>
      </c>
      <c r="K765" s="273"/>
      <c r="L765" s="273"/>
      <c r="M765" s="274">
        <v>0</v>
      </c>
      <c r="N765" s="272">
        <v>0</v>
      </c>
      <c r="O765" s="275"/>
      <c r="P765" s="275"/>
      <c r="Q765" s="275"/>
      <c r="R765" s="275"/>
      <c r="S765" s="275"/>
      <c r="T765" s="275"/>
      <c r="U765" s="276">
        <v>0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161</v>
      </c>
      <c r="B766" s="271" t="s">
        <v>316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0</v>
      </c>
      <c r="K766" s="273"/>
      <c r="L766" s="273"/>
      <c r="M766" s="274">
        <v>0</v>
      </c>
      <c r="N766" s="272">
        <v>0</v>
      </c>
      <c r="O766" s="275"/>
      <c r="P766" s="275"/>
      <c r="Q766" s="275"/>
      <c r="R766" s="275"/>
      <c r="S766" s="275"/>
      <c r="T766" s="275"/>
      <c r="U766" s="276">
        <v>0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161</v>
      </c>
      <c r="B767" s="271" t="s">
        <v>317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0</v>
      </c>
      <c r="K767" s="273"/>
      <c r="L767" s="273"/>
      <c r="M767" s="274">
        <v>0</v>
      </c>
      <c r="N767" s="272">
        <v>0</v>
      </c>
      <c r="O767" s="275"/>
      <c r="P767" s="275"/>
      <c r="Q767" s="275"/>
      <c r="R767" s="275"/>
      <c r="S767" s="275"/>
      <c r="T767" s="275"/>
      <c r="U767" s="276">
        <v>0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161</v>
      </c>
      <c r="B768" s="271" t="s">
        <v>1101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161</v>
      </c>
      <c r="B769" s="271" t="s">
        <v>1102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0</v>
      </c>
      <c r="K769" s="273"/>
      <c r="L769" s="273"/>
      <c r="M769" s="274">
        <v>0</v>
      </c>
      <c r="N769" s="272">
        <v>0</v>
      </c>
      <c r="O769" s="275"/>
      <c r="P769" s="275"/>
      <c r="Q769" s="275"/>
      <c r="R769" s="275"/>
      <c r="S769" s="275"/>
      <c r="T769" s="275"/>
      <c r="U769" s="276">
        <v>0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161</v>
      </c>
      <c r="B770" s="271" t="s">
        <v>1103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0</v>
      </c>
      <c r="K770" s="273"/>
      <c r="L770" s="273"/>
      <c r="M770" s="274">
        <v>0</v>
      </c>
      <c r="N770" s="272">
        <v>0</v>
      </c>
      <c r="O770" s="275"/>
      <c r="P770" s="275"/>
      <c r="Q770" s="275"/>
      <c r="R770" s="275"/>
      <c r="S770" s="275"/>
      <c r="T770" s="275"/>
      <c r="U770" s="276">
        <v>0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161</v>
      </c>
      <c r="B771" s="271" t="s">
        <v>1104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161</v>
      </c>
      <c r="B772" s="271" t="s">
        <v>318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0</v>
      </c>
      <c r="K772" s="273"/>
      <c r="L772" s="273"/>
      <c r="M772" s="274">
        <v>0</v>
      </c>
      <c r="N772" s="272">
        <v>0</v>
      </c>
      <c r="O772" s="275"/>
      <c r="P772" s="275"/>
      <c r="Q772" s="275"/>
      <c r="R772" s="275"/>
      <c r="S772" s="275"/>
      <c r="T772" s="275"/>
      <c r="U772" s="276">
        <v>0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161</v>
      </c>
      <c r="B773" s="271" t="s">
        <v>319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0</v>
      </c>
      <c r="K773" s="273"/>
      <c r="L773" s="273"/>
      <c r="M773" s="274">
        <v>0</v>
      </c>
      <c r="N773" s="272">
        <v>0</v>
      </c>
      <c r="O773" s="275"/>
      <c r="P773" s="275"/>
      <c r="Q773" s="275"/>
      <c r="R773" s="275"/>
      <c r="S773" s="275"/>
      <c r="T773" s="275"/>
      <c r="U773" s="276">
        <v>0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161</v>
      </c>
      <c r="B774" s="271" t="s">
        <v>1105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0</v>
      </c>
      <c r="K774" s="273"/>
      <c r="L774" s="273"/>
      <c r="M774" s="274">
        <v>0</v>
      </c>
      <c r="N774" s="272">
        <v>0</v>
      </c>
      <c r="O774" s="275"/>
      <c r="P774" s="275"/>
      <c r="Q774" s="275"/>
      <c r="R774" s="275"/>
      <c r="S774" s="275"/>
      <c r="T774" s="275"/>
      <c r="U774" s="276">
        <v>0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161</v>
      </c>
      <c r="B775" s="271" t="s">
        <v>320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0</v>
      </c>
      <c r="K775" s="273"/>
      <c r="L775" s="273"/>
      <c r="M775" s="274">
        <v>0</v>
      </c>
      <c r="N775" s="272">
        <v>0</v>
      </c>
      <c r="O775" s="275"/>
      <c r="P775" s="275"/>
      <c r="Q775" s="275"/>
      <c r="R775" s="275"/>
      <c r="S775" s="275"/>
      <c r="T775" s="275"/>
      <c r="U775" s="276">
        <v>0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161</v>
      </c>
      <c r="B776" s="271" t="s">
        <v>321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0</v>
      </c>
      <c r="K776" s="273"/>
      <c r="L776" s="273"/>
      <c r="M776" s="274">
        <v>0</v>
      </c>
      <c r="N776" s="272">
        <v>0</v>
      </c>
      <c r="O776" s="275"/>
      <c r="P776" s="275"/>
      <c r="Q776" s="275"/>
      <c r="R776" s="275"/>
      <c r="S776" s="275"/>
      <c r="T776" s="275"/>
      <c r="U776" s="276">
        <v>0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161</v>
      </c>
      <c r="B777" s="271" t="s">
        <v>1106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0</v>
      </c>
      <c r="K777" s="273"/>
      <c r="L777" s="273"/>
      <c r="M777" s="274">
        <v>0</v>
      </c>
      <c r="N777" s="272">
        <v>0</v>
      </c>
      <c r="O777" s="275"/>
      <c r="P777" s="275"/>
      <c r="Q777" s="275"/>
      <c r="R777" s="275"/>
      <c r="S777" s="275"/>
      <c r="T777" s="275"/>
      <c r="U777" s="276">
        <v>0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161</v>
      </c>
      <c r="B778" s="271" t="s">
        <v>322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0</v>
      </c>
      <c r="K778" s="273"/>
      <c r="L778" s="273"/>
      <c r="M778" s="274">
        <v>0</v>
      </c>
      <c r="N778" s="272">
        <v>0</v>
      </c>
      <c r="O778" s="275"/>
      <c r="P778" s="275"/>
      <c r="Q778" s="275"/>
      <c r="R778" s="275"/>
      <c r="S778" s="275"/>
      <c r="T778" s="275"/>
      <c r="U778" s="276">
        <v>0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161</v>
      </c>
      <c r="B779" s="271" t="s">
        <v>323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0</v>
      </c>
      <c r="K779" s="273"/>
      <c r="L779" s="273"/>
      <c r="M779" s="274">
        <v>0</v>
      </c>
      <c r="N779" s="272">
        <v>0</v>
      </c>
      <c r="O779" s="275"/>
      <c r="P779" s="275"/>
      <c r="Q779" s="275"/>
      <c r="R779" s="275"/>
      <c r="S779" s="275"/>
      <c r="T779" s="275"/>
      <c r="U779" s="276">
        <v>0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161</v>
      </c>
      <c r="B780" s="271" t="s">
        <v>1107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161</v>
      </c>
      <c r="B781" s="271" t="s">
        <v>1108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0</v>
      </c>
      <c r="K781" s="273"/>
      <c r="L781" s="273"/>
      <c r="M781" s="274">
        <v>0</v>
      </c>
      <c r="N781" s="272">
        <v>0</v>
      </c>
      <c r="O781" s="275"/>
      <c r="P781" s="275"/>
      <c r="Q781" s="275"/>
      <c r="R781" s="275"/>
      <c r="S781" s="275"/>
      <c r="T781" s="275"/>
      <c r="U781" s="276">
        <v>0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161</v>
      </c>
      <c r="B782" s="271" t="s">
        <v>1109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0</v>
      </c>
      <c r="K782" s="273"/>
      <c r="L782" s="273"/>
      <c r="M782" s="274">
        <v>0</v>
      </c>
      <c r="N782" s="272">
        <v>0</v>
      </c>
      <c r="O782" s="275"/>
      <c r="P782" s="275"/>
      <c r="Q782" s="275"/>
      <c r="R782" s="275"/>
      <c r="S782" s="275"/>
      <c r="T782" s="275"/>
      <c r="U782" s="276">
        <v>0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161</v>
      </c>
      <c r="B783" s="271" t="s">
        <v>1110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161</v>
      </c>
      <c r="B784" s="271" t="s">
        <v>324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0</v>
      </c>
      <c r="K784" s="273"/>
      <c r="L784" s="273"/>
      <c r="M784" s="274">
        <v>0</v>
      </c>
      <c r="N784" s="272">
        <v>0</v>
      </c>
      <c r="O784" s="275"/>
      <c r="P784" s="275"/>
      <c r="Q784" s="275"/>
      <c r="R784" s="275"/>
      <c r="S784" s="275"/>
      <c r="T784" s="275"/>
      <c r="U784" s="276">
        <v>0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161</v>
      </c>
      <c r="B785" s="271" t="s">
        <v>325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0</v>
      </c>
      <c r="K785" s="273"/>
      <c r="L785" s="273"/>
      <c r="M785" s="274">
        <v>0</v>
      </c>
      <c r="N785" s="272">
        <v>0</v>
      </c>
      <c r="O785" s="275"/>
      <c r="P785" s="275"/>
      <c r="Q785" s="275"/>
      <c r="R785" s="275"/>
      <c r="S785" s="275"/>
      <c r="T785" s="275"/>
      <c r="U785" s="276">
        <v>0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161</v>
      </c>
      <c r="B786" s="271" t="s">
        <v>1111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0</v>
      </c>
      <c r="K786" s="273"/>
      <c r="L786" s="273"/>
      <c r="M786" s="274">
        <v>0</v>
      </c>
      <c r="N786" s="272">
        <v>0</v>
      </c>
      <c r="O786" s="275"/>
      <c r="P786" s="275"/>
      <c r="Q786" s="275"/>
      <c r="R786" s="275"/>
      <c r="S786" s="275"/>
      <c r="T786" s="275"/>
      <c r="U786" s="276">
        <v>0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161</v>
      </c>
      <c r="B787" s="271" t="s">
        <v>326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0</v>
      </c>
      <c r="K787" s="273"/>
      <c r="L787" s="273"/>
      <c r="M787" s="274">
        <v>0</v>
      </c>
      <c r="N787" s="272">
        <v>0</v>
      </c>
      <c r="O787" s="275"/>
      <c r="P787" s="275"/>
      <c r="Q787" s="275"/>
      <c r="R787" s="275"/>
      <c r="S787" s="275"/>
      <c r="T787" s="275"/>
      <c r="U787" s="276">
        <v>0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161</v>
      </c>
      <c r="B788" s="271" t="s">
        <v>327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0</v>
      </c>
      <c r="K788" s="273"/>
      <c r="L788" s="273"/>
      <c r="M788" s="274">
        <v>0</v>
      </c>
      <c r="N788" s="272">
        <v>0</v>
      </c>
      <c r="O788" s="275"/>
      <c r="P788" s="275"/>
      <c r="Q788" s="275"/>
      <c r="R788" s="275"/>
      <c r="S788" s="275"/>
      <c r="T788" s="275"/>
      <c r="U788" s="276">
        <v>0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161</v>
      </c>
      <c r="B789" s="271" t="s">
        <v>1112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0</v>
      </c>
      <c r="K789" s="273"/>
      <c r="L789" s="273"/>
      <c r="M789" s="274">
        <v>0</v>
      </c>
      <c r="N789" s="272">
        <v>0</v>
      </c>
      <c r="O789" s="275"/>
      <c r="P789" s="275"/>
      <c r="Q789" s="275"/>
      <c r="R789" s="275"/>
      <c r="S789" s="275"/>
      <c r="T789" s="275"/>
      <c r="U789" s="276">
        <v>0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161</v>
      </c>
      <c r="B790" s="271" t="s">
        <v>328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0</v>
      </c>
      <c r="K790" s="273"/>
      <c r="L790" s="273"/>
      <c r="M790" s="274">
        <v>0</v>
      </c>
      <c r="N790" s="272">
        <v>0</v>
      </c>
      <c r="O790" s="275"/>
      <c r="P790" s="275"/>
      <c r="Q790" s="275"/>
      <c r="R790" s="275"/>
      <c r="S790" s="275"/>
      <c r="T790" s="275"/>
      <c r="U790" s="276">
        <v>0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161</v>
      </c>
      <c r="B791" s="271" t="s">
        <v>329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0</v>
      </c>
      <c r="K791" s="273"/>
      <c r="L791" s="273"/>
      <c r="M791" s="274">
        <v>0</v>
      </c>
      <c r="N791" s="272">
        <v>0</v>
      </c>
      <c r="O791" s="275"/>
      <c r="P791" s="275"/>
      <c r="Q791" s="275"/>
      <c r="R791" s="275"/>
      <c r="S791" s="275"/>
      <c r="T791" s="275"/>
      <c r="U791" s="276">
        <v>0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161</v>
      </c>
      <c r="B792" s="271" t="s">
        <v>1113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0</v>
      </c>
      <c r="K792" s="273"/>
      <c r="L792" s="273"/>
      <c r="M792" s="274">
        <v>0</v>
      </c>
      <c r="N792" s="272">
        <v>0</v>
      </c>
      <c r="O792" s="275"/>
      <c r="P792" s="275"/>
      <c r="Q792" s="275"/>
      <c r="R792" s="275"/>
      <c r="S792" s="275"/>
      <c r="T792" s="275"/>
      <c r="U792" s="276">
        <v>0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161</v>
      </c>
      <c r="B793" s="271" t="s">
        <v>1114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161</v>
      </c>
      <c r="B794" s="271" t="s">
        <v>1115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161</v>
      </c>
      <c r="B795" s="271" t="s">
        <v>1116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161</v>
      </c>
      <c r="B796" s="271" t="s">
        <v>1117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0</v>
      </c>
      <c r="K796" s="273"/>
      <c r="L796" s="273"/>
      <c r="M796" s="274">
        <v>0</v>
      </c>
      <c r="N796" s="272">
        <v>0</v>
      </c>
      <c r="O796" s="275"/>
      <c r="P796" s="275"/>
      <c r="Q796" s="275"/>
      <c r="R796" s="275"/>
      <c r="S796" s="275"/>
      <c r="T796" s="275"/>
      <c r="U796" s="276">
        <v>0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161</v>
      </c>
      <c r="B797" s="271" t="s">
        <v>1118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0</v>
      </c>
      <c r="K797" s="273"/>
      <c r="L797" s="273"/>
      <c r="M797" s="274">
        <v>0</v>
      </c>
      <c r="N797" s="272">
        <v>0</v>
      </c>
      <c r="O797" s="275"/>
      <c r="P797" s="275"/>
      <c r="Q797" s="275"/>
      <c r="R797" s="275"/>
      <c r="S797" s="275"/>
      <c r="T797" s="275"/>
      <c r="U797" s="276">
        <v>0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161</v>
      </c>
      <c r="B798" s="271" t="s">
        <v>1119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0</v>
      </c>
      <c r="K798" s="273"/>
      <c r="L798" s="273"/>
      <c r="M798" s="274">
        <v>0</v>
      </c>
      <c r="N798" s="272">
        <v>0</v>
      </c>
      <c r="O798" s="275"/>
      <c r="P798" s="275"/>
      <c r="Q798" s="275"/>
      <c r="R798" s="275"/>
      <c r="S798" s="275"/>
      <c r="T798" s="275"/>
      <c r="U798" s="276">
        <v>0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161</v>
      </c>
      <c r="B799" s="271" t="s">
        <v>1120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0</v>
      </c>
      <c r="K799" s="273"/>
      <c r="L799" s="273"/>
      <c r="M799" s="274">
        <v>0</v>
      </c>
      <c r="N799" s="272">
        <v>0</v>
      </c>
      <c r="O799" s="275"/>
      <c r="P799" s="275"/>
      <c r="Q799" s="275"/>
      <c r="R799" s="275"/>
      <c r="S799" s="275"/>
      <c r="T799" s="275"/>
      <c r="U799" s="276">
        <v>0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161</v>
      </c>
      <c r="B800" s="271" t="s">
        <v>1121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0</v>
      </c>
      <c r="K800" s="273"/>
      <c r="L800" s="273"/>
      <c r="M800" s="274">
        <v>0</v>
      </c>
      <c r="N800" s="272">
        <v>0</v>
      </c>
      <c r="O800" s="275"/>
      <c r="P800" s="275"/>
      <c r="Q800" s="275"/>
      <c r="R800" s="275"/>
      <c r="S800" s="275"/>
      <c r="T800" s="275"/>
      <c r="U800" s="276">
        <v>0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161</v>
      </c>
      <c r="B801" s="271" t="s">
        <v>1122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0</v>
      </c>
      <c r="K801" s="273"/>
      <c r="L801" s="273"/>
      <c r="M801" s="274">
        <v>0</v>
      </c>
      <c r="N801" s="272">
        <v>0</v>
      </c>
      <c r="O801" s="275"/>
      <c r="P801" s="275"/>
      <c r="Q801" s="275"/>
      <c r="R801" s="275"/>
      <c r="S801" s="275"/>
      <c r="T801" s="275"/>
      <c r="U801" s="276">
        <v>0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161</v>
      </c>
      <c r="B802" s="271" t="s">
        <v>1123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0</v>
      </c>
      <c r="K802" s="273"/>
      <c r="L802" s="273"/>
      <c r="M802" s="274">
        <v>0</v>
      </c>
      <c r="N802" s="272">
        <v>0</v>
      </c>
      <c r="O802" s="275"/>
      <c r="P802" s="275"/>
      <c r="Q802" s="275"/>
      <c r="R802" s="275"/>
      <c r="S802" s="275"/>
      <c r="T802" s="275"/>
      <c r="U802" s="276">
        <v>0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161</v>
      </c>
      <c r="B803" s="271" t="s">
        <v>1124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0</v>
      </c>
      <c r="K803" s="273"/>
      <c r="L803" s="273"/>
      <c r="M803" s="274">
        <v>0</v>
      </c>
      <c r="N803" s="272">
        <v>0</v>
      </c>
      <c r="O803" s="275"/>
      <c r="P803" s="275"/>
      <c r="Q803" s="275"/>
      <c r="R803" s="275"/>
      <c r="S803" s="275"/>
      <c r="T803" s="275"/>
      <c r="U803" s="276">
        <v>0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161</v>
      </c>
      <c r="B804" s="271" t="s">
        <v>1125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0</v>
      </c>
      <c r="K804" s="273"/>
      <c r="L804" s="273"/>
      <c r="M804" s="274">
        <v>0</v>
      </c>
      <c r="N804" s="272">
        <v>0</v>
      </c>
      <c r="O804" s="275"/>
      <c r="P804" s="275"/>
      <c r="Q804" s="275"/>
      <c r="R804" s="275"/>
      <c r="S804" s="275"/>
      <c r="T804" s="275"/>
      <c r="U804" s="276">
        <v>0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161</v>
      </c>
      <c r="B805" s="271" t="s">
        <v>1126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161</v>
      </c>
      <c r="B806" s="271" t="s">
        <v>1127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161</v>
      </c>
      <c r="B807" s="271" t="s">
        <v>1128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0</v>
      </c>
      <c r="K807" s="273"/>
      <c r="L807" s="273"/>
      <c r="M807" s="274">
        <v>0</v>
      </c>
      <c r="N807" s="272">
        <v>0</v>
      </c>
      <c r="O807" s="275"/>
      <c r="P807" s="275"/>
      <c r="Q807" s="275"/>
      <c r="R807" s="275"/>
      <c r="S807" s="275"/>
      <c r="T807" s="275"/>
      <c r="U807" s="276">
        <v>0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161</v>
      </c>
      <c r="B808" s="271" t="s">
        <v>330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0</v>
      </c>
      <c r="K808" s="273"/>
      <c r="L808" s="273"/>
      <c r="M808" s="274">
        <v>0</v>
      </c>
      <c r="N808" s="272">
        <v>0</v>
      </c>
      <c r="O808" s="275"/>
      <c r="P808" s="275"/>
      <c r="Q808" s="275"/>
      <c r="R808" s="275"/>
      <c r="S808" s="275"/>
      <c r="T808" s="275"/>
      <c r="U808" s="276">
        <v>0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161</v>
      </c>
      <c r="B809" s="271" t="s">
        <v>1129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0</v>
      </c>
      <c r="K809" s="273"/>
      <c r="L809" s="273"/>
      <c r="M809" s="274">
        <v>0</v>
      </c>
      <c r="N809" s="272">
        <v>0</v>
      </c>
      <c r="O809" s="275"/>
      <c r="P809" s="275"/>
      <c r="Q809" s="275"/>
      <c r="R809" s="275"/>
      <c r="S809" s="275"/>
      <c r="T809" s="275"/>
      <c r="U809" s="276">
        <v>0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161</v>
      </c>
      <c r="B810" s="271" t="s">
        <v>331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0</v>
      </c>
      <c r="K810" s="273"/>
      <c r="L810" s="273"/>
      <c r="M810" s="274">
        <v>0</v>
      </c>
      <c r="N810" s="272">
        <v>0</v>
      </c>
      <c r="O810" s="275"/>
      <c r="P810" s="275"/>
      <c r="Q810" s="275"/>
      <c r="R810" s="275"/>
      <c r="S810" s="275"/>
      <c r="T810" s="275"/>
      <c r="U810" s="276">
        <v>0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161</v>
      </c>
      <c r="B811" s="271" t="s">
        <v>1130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161</v>
      </c>
      <c r="B812" s="271" t="s">
        <v>1131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0</v>
      </c>
      <c r="K812" s="273"/>
      <c r="L812" s="273"/>
      <c r="M812" s="274">
        <v>0</v>
      </c>
      <c r="N812" s="272">
        <v>0</v>
      </c>
      <c r="O812" s="275"/>
      <c r="P812" s="275"/>
      <c r="Q812" s="275"/>
      <c r="R812" s="275"/>
      <c r="S812" s="275"/>
      <c r="T812" s="275"/>
      <c r="U812" s="276">
        <v>0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161</v>
      </c>
      <c r="B813" s="271" t="s">
        <v>1132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161</v>
      </c>
      <c r="B814" s="271" t="s">
        <v>332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0</v>
      </c>
      <c r="K814" s="273"/>
      <c r="L814" s="273"/>
      <c r="M814" s="274">
        <v>0</v>
      </c>
      <c r="N814" s="272">
        <v>0</v>
      </c>
      <c r="O814" s="275"/>
      <c r="P814" s="275"/>
      <c r="Q814" s="275"/>
      <c r="R814" s="275"/>
      <c r="S814" s="275"/>
      <c r="T814" s="275"/>
      <c r="U814" s="276">
        <v>0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161</v>
      </c>
      <c r="B815" s="271" t="s">
        <v>1133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0</v>
      </c>
      <c r="K815" s="273"/>
      <c r="L815" s="273"/>
      <c r="M815" s="274">
        <v>0</v>
      </c>
      <c r="N815" s="272">
        <v>0</v>
      </c>
      <c r="O815" s="275"/>
      <c r="P815" s="275"/>
      <c r="Q815" s="275"/>
      <c r="R815" s="275"/>
      <c r="S815" s="275"/>
      <c r="T815" s="275"/>
      <c r="U815" s="276">
        <v>0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161</v>
      </c>
      <c r="B816" s="271" t="s">
        <v>333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0</v>
      </c>
      <c r="K816" s="273"/>
      <c r="L816" s="273"/>
      <c r="M816" s="274">
        <v>0</v>
      </c>
      <c r="N816" s="272">
        <v>0</v>
      </c>
      <c r="O816" s="275"/>
      <c r="P816" s="275"/>
      <c r="Q816" s="275"/>
      <c r="R816" s="275"/>
      <c r="S816" s="275"/>
      <c r="T816" s="275"/>
      <c r="U816" s="276">
        <v>0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161</v>
      </c>
      <c r="B817" s="271" t="s">
        <v>1134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161</v>
      </c>
      <c r="B818" s="271" t="s">
        <v>1135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0</v>
      </c>
      <c r="K818" s="273"/>
      <c r="L818" s="273"/>
      <c r="M818" s="274">
        <v>0</v>
      </c>
      <c r="N818" s="272">
        <v>0</v>
      </c>
      <c r="O818" s="275"/>
      <c r="P818" s="275"/>
      <c r="Q818" s="275"/>
      <c r="R818" s="275"/>
      <c r="S818" s="275"/>
      <c r="T818" s="275"/>
      <c r="U818" s="276">
        <v>0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161</v>
      </c>
      <c r="B819" s="271" t="s">
        <v>1136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161</v>
      </c>
      <c r="B820" s="271" t="s">
        <v>334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0</v>
      </c>
      <c r="K820" s="273"/>
      <c r="L820" s="273"/>
      <c r="M820" s="274">
        <v>0</v>
      </c>
      <c r="N820" s="272">
        <v>0</v>
      </c>
      <c r="O820" s="275"/>
      <c r="P820" s="275"/>
      <c r="Q820" s="275"/>
      <c r="R820" s="275"/>
      <c r="S820" s="275"/>
      <c r="T820" s="275"/>
      <c r="U820" s="276">
        <v>0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161</v>
      </c>
      <c r="B821" s="271" t="s">
        <v>1137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0</v>
      </c>
      <c r="K821" s="273"/>
      <c r="L821" s="273"/>
      <c r="M821" s="274">
        <v>0</v>
      </c>
      <c r="N821" s="272">
        <v>0</v>
      </c>
      <c r="O821" s="275"/>
      <c r="P821" s="275"/>
      <c r="Q821" s="275"/>
      <c r="R821" s="275"/>
      <c r="S821" s="275"/>
      <c r="T821" s="275"/>
      <c r="U821" s="276">
        <v>0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161</v>
      </c>
      <c r="B822" s="271" t="s">
        <v>335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0</v>
      </c>
      <c r="K822" s="273"/>
      <c r="L822" s="273"/>
      <c r="M822" s="274">
        <v>0</v>
      </c>
      <c r="N822" s="272">
        <v>0</v>
      </c>
      <c r="O822" s="275"/>
      <c r="P822" s="275"/>
      <c r="Q822" s="275"/>
      <c r="R822" s="275"/>
      <c r="S822" s="275"/>
      <c r="T822" s="275"/>
      <c r="U822" s="276">
        <v>0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161</v>
      </c>
      <c r="B823" s="271" t="s">
        <v>1138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0</v>
      </c>
      <c r="K823" s="273"/>
      <c r="L823" s="273"/>
      <c r="M823" s="274">
        <v>0</v>
      </c>
      <c r="N823" s="272">
        <v>0</v>
      </c>
      <c r="O823" s="275"/>
      <c r="P823" s="275"/>
      <c r="Q823" s="275"/>
      <c r="R823" s="275"/>
      <c r="S823" s="275"/>
      <c r="T823" s="275"/>
      <c r="U823" s="276">
        <v>0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161</v>
      </c>
      <c r="B824" s="271" t="s">
        <v>1139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161</v>
      </c>
      <c r="B825" s="271" t="s">
        <v>1140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161</v>
      </c>
      <c r="B826" s="271" t="s">
        <v>1141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0</v>
      </c>
      <c r="K826" s="273"/>
      <c r="L826" s="273"/>
      <c r="M826" s="274">
        <v>0</v>
      </c>
      <c r="N826" s="272">
        <v>0</v>
      </c>
      <c r="O826" s="275"/>
      <c r="P826" s="275"/>
      <c r="Q826" s="275"/>
      <c r="R826" s="275"/>
      <c r="S826" s="275"/>
      <c r="T826" s="275"/>
      <c r="U826" s="276">
        <v>0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161</v>
      </c>
      <c r="B827" s="271" t="s">
        <v>1142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0</v>
      </c>
      <c r="K827" s="273"/>
      <c r="L827" s="273"/>
      <c r="M827" s="274">
        <v>0</v>
      </c>
      <c r="N827" s="272">
        <v>0</v>
      </c>
      <c r="O827" s="275"/>
      <c r="P827" s="275"/>
      <c r="Q827" s="275"/>
      <c r="R827" s="275"/>
      <c r="S827" s="275"/>
      <c r="T827" s="275"/>
      <c r="U827" s="276">
        <v>0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161</v>
      </c>
      <c r="B828" s="271" t="s">
        <v>1143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0</v>
      </c>
      <c r="K828" s="273"/>
      <c r="L828" s="273"/>
      <c r="M828" s="274">
        <v>0</v>
      </c>
      <c r="N828" s="272">
        <v>0</v>
      </c>
      <c r="O828" s="275"/>
      <c r="P828" s="275"/>
      <c r="Q828" s="275"/>
      <c r="R828" s="275"/>
      <c r="S828" s="275"/>
      <c r="T828" s="275"/>
      <c r="U828" s="276">
        <v>0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161</v>
      </c>
      <c r="B829" s="271" t="s">
        <v>1144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0</v>
      </c>
      <c r="K829" s="273"/>
      <c r="L829" s="273"/>
      <c r="M829" s="274">
        <v>0</v>
      </c>
      <c r="N829" s="272">
        <v>0</v>
      </c>
      <c r="O829" s="275"/>
      <c r="P829" s="275"/>
      <c r="Q829" s="275"/>
      <c r="R829" s="275"/>
      <c r="S829" s="275"/>
      <c r="T829" s="275"/>
      <c r="U829" s="276">
        <v>0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161</v>
      </c>
      <c r="B830" s="271" t="s">
        <v>1145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161</v>
      </c>
      <c r="B831" s="271" t="s">
        <v>1146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161</v>
      </c>
      <c r="B832" s="271" t="s">
        <v>336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0</v>
      </c>
      <c r="K832" s="273"/>
      <c r="L832" s="273"/>
      <c r="M832" s="274">
        <v>0</v>
      </c>
      <c r="N832" s="272">
        <v>0</v>
      </c>
      <c r="O832" s="275"/>
      <c r="P832" s="275"/>
      <c r="Q832" s="275"/>
      <c r="R832" s="275"/>
      <c r="S832" s="275"/>
      <c r="T832" s="275"/>
      <c r="U832" s="276">
        <v>0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161</v>
      </c>
      <c r="B833" s="271" t="s">
        <v>1147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0</v>
      </c>
      <c r="K833" s="273"/>
      <c r="L833" s="273"/>
      <c r="M833" s="274">
        <v>0</v>
      </c>
      <c r="N833" s="272">
        <v>0</v>
      </c>
      <c r="O833" s="275"/>
      <c r="P833" s="275"/>
      <c r="Q833" s="275"/>
      <c r="R833" s="275"/>
      <c r="S833" s="275"/>
      <c r="T833" s="275"/>
      <c r="U833" s="276">
        <v>0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161</v>
      </c>
      <c r="B834" s="271" t="s">
        <v>337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0</v>
      </c>
      <c r="K834" s="273"/>
      <c r="L834" s="273"/>
      <c r="M834" s="274">
        <v>0</v>
      </c>
      <c r="N834" s="272">
        <v>0</v>
      </c>
      <c r="O834" s="275"/>
      <c r="P834" s="275"/>
      <c r="Q834" s="275"/>
      <c r="R834" s="275"/>
      <c r="S834" s="275"/>
      <c r="T834" s="275"/>
      <c r="U834" s="276">
        <v>0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161</v>
      </c>
      <c r="B835" s="271" t="s">
        <v>1148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161</v>
      </c>
      <c r="B836" s="271" t="s">
        <v>1149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0</v>
      </c>
      <c r="K836" s="273"/>
      <c r="L836" s="273"/>
      <c r="M836" s="274">
        <v>0</v>
      </c>
      <c r="N836" s="272">
        <v>0</v>
      </c>
      <c r="O836" s="275"/>
      <c r="P836" s="275"/>
      <c r="Q836" s="275"/>
      <c r="R836" s="275"/>
      <c r="S836" s="275"/>
      <c r="T836" s="275"/>
      <c r="U836" s="276">
        <v>0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161</v>
      </c>
      <c r="B837" s="271" t="s">
        <v>1150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161</v>
      </c>
      <c r="B838" s="271" t="s">
        <v>338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0</v>
      </c>
      <c r="K838" s="273"/>
      <c r="L838" s="273"/>
      <c r="M838" s="274">
        <v>0</v>
      </c>
      <c r="N838" s="272">
        <v>0</v>
      </c>
      <c r="O838" s="275"/>
      <c r="P838" s="275"/>
      <c r="Q838" s="275"/>
      <c r="R838" s="275"/>
      <c r="S838" s="275"/>
      <c r="T838" s="275"/>
      <c r="U838" s="276">
        <v>0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161</v>
      </c>
      <c r="B839" s="271" t="s">
        <v>1151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0</v>
      </c>
      <c r="K839" s="273"/>
      <c r="L839" s="273"/>
      <c r="M839" s="274">
        <v>0</v>
      </c>
      <c r="N839" s="272">
        <v>0</v>
      </c>
      <c r="O839" s="275"/>
      <c r="P839" s="275"/>
      <c r="Q839" s="275"/>
      <c r="R839" s="275"/>
      <c r="S839" s="275"/>
      <c r="T839" s="275"/>
      <c r="U839" s="276">
        <v>0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161</v>
      </c>
      <c r="B840" s="271" t="s">
        <v>339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0</v>
      </c>
      <c r="K840" s="273"/>
      <c r="L840" s="273"/>
      <c r="M840" s="274">
        <v>0</v>
      </c>
      <c r="N840" s="272">
        <v>0</v>
      </c>
      <c r="O840" s="275"/>
      <c r="P840" s="275"/>
      <c r="Q840" s="275"/>
      <c r="R840" s="275"/>
      <c r="S840" s="275"/>
      <c r="T840" s="275"/>
      <c r="U840" s="276">
        <v>0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161</v>
      </c>
      <c r="B841" s="271" t="s">
        <v>1152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161</v>
      </c>
      <c r="B842" s="271" t="s">
        <v>1153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0</v>
      </c>
      <c r="K842" s="273"/>
      <c r="L842" s="273"/>
      <c r="M842" s="274">
        <v>0</v>
      </c>
      <c r="N842" s="272">
        <v>0</v>
      </c>
      <c r="O842" s="275"/>
      <c r="P842" s="275"/>
      <c r="Q842" s="275"/>
      <c r="R842" s="275"/>
      <c r="S842" s="275"/>
      <c r="T842" s="275"/>
      <c r="U842" s="276">
        <v>0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161</v>
      </c>
      <c r="B843" s="271" t="s">
        <v>1154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161</v>
      </c>
      <c r="B844" s="271" t="s">
        <v>340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0</v>
      </c>
      <c r="K844" s="273"/>
      <c r="L844" s="273"/>
      <c r="M844" s="274">
        <v>0</v>
      </c>
      <c r="N844" s="272">
        <v>0</v>
      </c>
      <c r="O844" s="275"/>
      <c r="P844" s="275"/>
      <c r="Q844" s="275"/>
      <c r="R844" s="275"/>
      <c r="S844" s="275"/>
      <c r="T844" s="275"/>
      <c r="U844" s="276">
        <v>0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161</v>
      </c>
      <c r="B845" s="271" t="s">
        <v>1155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0</v>
      </c>
      <c r="K845" s="273"/>
      <c r="L845" s="273"/>
      <c r="M845" s="274">
        <v>0</v>
      </c>
      <c r="N845" s="272">
        <v>0</v>
      </c>
      <c r="O845" s="275"/>
      <c r="P845" s="275"/>
      <c r="Q845" s="275"/>
      <c r="R845" s="275"/>
      <c r="S845" s="275"/>
      <c r="T845" s="275"/>
      <c r="U845" s="276">
        <v>0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161</v>
      </c>
      <c r="B846" s="271" t="s">
        <v>341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0</v>
      </c>
      <c r="K846" s="273"/>
      <c r="L846" s="273"/>
      <c r="M846" s="274">
        <v>0</v>
      </c>
      <c r="N846" s="272">
        <v>0</v>
      </c>
      <c r="O846" s="275"/>
      <c r="P846" s="275"/>
      <c r="Q846" s="275"/>
      <c r="R846" s="275"/>
      <c r="S846" s="275"/>
      <c r="T846" s="275"/>
      <c r="U846" s="276">
        <v>0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161</v>
      </c>
      <c r="B847" s="271" t="s">
        <v>1156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0</v>
      </c>
      <c r="K847" s="273"/>
      <c r="L847" s="273"/>
      <c r="M847" s="274">
        <v>0</v>
      </c>
      <c r="N847" s="272">
        <v>0</v>
      </c>
      <c r="O847" s="275"/>
      <c r="P847" s="275"/>
      <c r="Q847" s="275"/>
      <c r="R847" s="275"/>
      <c r="S847" s="275"/>
      <c r="T847" s="275"/>
      <c r="U847" s="276">
        <v>0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161</v>
      </c>
      <c r="B848" s="271" t="s">
        <v>1157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161</v>
      </c>
      <c r="B849" s="271" t="s">
        <v>1158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161</v>
      </c>
      <c r="B850" s="271" t="s">
        <v>1159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0</v>
      </c>
      <c r="K850" s="273"/>
      <c r="L850" s="273"/>
      <c r="M850" s="274">
        <v>0</v>
      </c>
      <c r="N850" s="272">
        <v>0</v>
      </c>
      <c r="O850" s="275"/>
      <c r="P850" s="275"/>
      <c r="Q850" s="275"/>
      <c r="R850" s="275"/>
      <c r="S850" s="275"/>
      <c r="T850" s="275"/>
      <c r="U850" s="276">
        <v>0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161</v>
      </c>
      <c r="B851" s="271" t="s">
        <v>1160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0</v>
      </c>
      <c r="K851" s="273"/>
      <c r="L851" s="273"/>
      <c r="M851" s="274">
        <v>0</v>
      </c>
      <c r="N851" s="272">
        <v>0</v>
      </c>
      <c r="O851" s="275"/>
      <c r="P851" s="275"/>
      <c r="Q851" s="275"/>
      <c r="R851" s="275"/>
      <c r="S851" s="275"/>
      <c r="T851" s="275"/>
      <c r="U851" s="276">
        <v>0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161</v>
      </c>
      <c r="B852" s="271" t="s">
        <v>1161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0</v>
      </c>
      <c r="K852" s="273"/>
      <c r="L852" s="273"/>
      <c r="M852" s="274">
        <v>0</v>
      </c>
      <c r="N852" s="272">
        <v>0</v>
      </c>
      <c r="O852" s="275"/>
      <c r="P852" s="275"/>
      <c r="Q852" s="275"/>
      <c r="R852" s="275"/>
      <c r="S852" s="275"/>
      <c r="T852" s="275"/>
      <c r="U852" s="276">
        <v>0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161</v>
      </c>
      <c r="B853" s="271" t="s">
        <v>1162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0</v>
      </c>
      <c r="K853" s="273"/>
      <c r="L853" s="273"/>
      <c r="M853" s="274">
        <v>0</v>
      </c>
      <c r="N853" s="272">
        <v>0</v>
      </c>
      <c r="O853" s="275"/>
      <c r="P853" s="275"/>
      <c r="Q853" s="275"/>
      <c r="R853" s="275"/>
      <c r="S853" s="275"/>
      <c r="T853" s="275"/>
      <c r="U853" s="276">
        <v>0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161</v>
      </c>
      <c r="B854" s="271" t="s">
        <v>1163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161</v>
      </c>
      <c r="B855" s="271" t="s">
        <v>1164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161</v>
      </c>
      <c r="B856" s="271" t="s">
        <v>342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0</v>
      </c>
      <c r="K856" s="273"/>
      <c r="L856" s="273"/>
      <c r="M856" s="274">
        <v>0</v>
      </c>
      <c r="N856" s="272">
        <v>0</v>
      </c>
      <c r="O856" s="275"/>
      <c r="P856" s="275"/>
      <c r="Q856" s="275"/>
      <c r="R856" s="275"/>
      <c r="S856" s="275"/>
      <c r="T856" s="275"/>
      <c r="U856" s="276">
        <v>0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161</v>
      </c>
      <c r="B857" s="271" t="s">
        <v>1165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0</v>
      </c>
      <c r="K857" s="273"/>
      <c r="L857" s="273"/>
      <c r="M857" s="274">
        <v>0</v>
      </c>
      <c r="N857" s="272">
        <v>0</v>
      </c>
      <c r="O857" s="275"/>
      <c r="P857" s="275"/>
      <c r="Q857" s="275"/>
      <c r="R857" s="275"/>
      <c r="S857" s="275"/>
      <c r="T857" s="275"/>
      <c r="U857" s="276">
        <v>0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161</v>
      </c>
      <c r="B858" s="271" t="s">
        <v>343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0</v>
      </c>
      <c r="K858" s="273"/>
      <c r="L858" s="273"/>
      <c r="M858" s="274">
        <v>0</v>
      </c>
      <c r="N858" s="272">
        <v>0</v>
      </c>
      <c r="O858" s="275"/>
      <c r="P858" s="275"/>
      <c r="Q858" s="275"/>
      <c r="R858" s="275"/>
      <c r="S858" s="275"/>
      <c r="T858" s="275"/>
      <c r="U858" s="276">
        <v>0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161</v>
      </c>
      <c r="B859" s="271" t="s">
        <v>1166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161</v>
      </c>
      <c r="B860" s="271" t="s">
        <v>1167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0</v>
      </c>
      <c r="K860" s="273"/>
      <c r="L860" s="273"/>
      <c r="M860" s="274">
        <v>0</v>
      </c>
      <c r="N860" s="272">
        <v>0</v>
      </c>
      <c r="O860" s="275"/>
      <c r="P860" s="275"/>
      <c r="Q860" s="275"/>
      <c r="R860" s="275"/>
      <c r="S860" s="275"/>
      <c r="T860" s="275"/>
      <c r="U860" s="276">
        <v>0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161</v>
      </c>
      <c r="B861" s="271" t="s">
        <v>1168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161</v>
      </c>
      <c r="B862" s="271" t="s">
        <v>344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0</v>
      </c>
      <c r="K862" s="273"/>
      <c r="L862" s="273"/>
      <c r="M862" s="274">
        <v>0</v>
      </c>
      <c r="N862" s="272">
        <v>0</v>
      </c>
      <c r="O862" s="275"/>
      <c r="P862" s="275"/>
      <c r="Q862" s="275"/>
      <c r="R862" s="275"/>
      <c r="S862" s="275"/>
      <c r="T862" s="275"/>
      <c r="U862" s="276">
        <v>0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161</v>
      </c>
      <c r="B863" s="271" t="s">
        <v>1169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0</v>
      </c>
      <c r="K863" s="273"/>
      <c r="L863" s="273"/>
      <c r="M863" s="274">
        <v>0</v>
      </c>
      <c r="N863" s="272">
        <v>0</v>
      </c>
      <c r="O863" s="275"/>
      <c r="P863" s="275"/>
      <c r="Q863" s="275"/>
      <c r="R863" s="275"/>
      <c r="S863" s="275"/>
      <c r="T863" s="275"/>
      <c r="U863" s="276">
        <v>0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161</v>
      </c>
      <c r="B864" s="271" t="s">
        <v>345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0</v>
      </c>
      <c r="K864" s="273"/>
      <c r="L864" s="273"/>
      <c r="M864" s="274">
        <v>0</v>
      </c>
      <c r="N864" s="272">
        <v>0</v>
      </c>
      <c r="O864" s="275"/>
      <c r="P864" s="275"/>
      <c r="Q864" s="275"/>
      <c r="R864" s="275"/>
      <c r="S864" s="275"/>
      <c r="T864" s="275"/>
      <c r="U864" s="276">
        <v>0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161</v>
      </c>
      <c r="B865" s="271" t="s">
        <v>1170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161</v>
      </c>
      <c r="B866" s="271" t="s">
        <v>1171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0</v>
      </c>
      <c r="K866" s="273"/>
      <c r="L866" s="273"/>
      <c r="M866" s="274">
        <v>0</v>
      </c>
      <c r="N866" s="272">
        <v>0</v>
      </c>
      <c r="O866" s="275"/>
      <c r="P866" s="275"/>
      <c r="Q866" s="275"/>
      <c r="R866" s="275"/>
      <c r="S866" s="275"/>
      <c r="T866" s="275"/>
      <c r="U866" s="276">
        <v>0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161</v>
      </c>
      <c r="B867" s="271" t="s">
        <v>1172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161</v>
      </c>
      <c r="B868" s="271" t="s">
        <v>346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0</v>
      </c>
      <c r="K868" s="273"/>
      <c r="L868" s="273"/>
      <c r="M868" s="274">
        <v>0</v>
      </c>
      <c r="N868" s="272">
        <v>0</v>
      </c>
      <c r="O868" s="275"/>
      <c r="P868" s="275"/>
      <c r="Q868" s="275"/>
      <c r="R868" s="275"/>
      <c r="S868" s="275"/>
      <c r="T868" s="275"/>
      <c r="U868" s="276">
        <v>0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161</v>
      </c>
      <c r="B869" s="271" t="s">
        <v>1173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0</v>
      </c>
      <c r="K869" s="273"/>
      <c r="L869" s="273"/>
      <c r="M869" s="274">
        <v>0</v>
      </c>
      <c r="N869" s="272">
        <v>0</v>
      </c>
      <c r="O869" s="275"/>
      <c r="P869" s="275"/>
      <c r="Q869" s="275"/>
      <c r="R869" s="275"/>
      <c r="S869" s="275"/>
      <c r="T869" s="275"/>
      <c r="U869" s="276">
        <v>0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161</v>
      </c>
      <c r="B870" s="271" t="s">
        <v>347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0</v>
      </c>
      <c r="K870" s="273"/>
      <c r="L870" s="273"/>
      <c r="M870" s="274">
        <v>0</v>
      </c>
      <c r="N870" s="272">
        <v>0</v>
      </c>
      <c r="O870" s="275"/>
      <c r="P870" s="275"/>
      <c r="Q870" s="275"/>
      <c r="R870" s="275"/>
      <c r="S870" s="275"/>
      <c r="T870" s="275"/>
      <c r="U870" s="276">
        <v>0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161</v>
      </c>
      <c r="B871" s="271" t="s">
        <v>1174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0</v>
      </c>
      <c r="K871" s="273"/>
      <c r="L871" s="273"/>
      <c r="M871" s="274">
        <v>0</v>
      </c>
      <c r="N871" s="272">
        <v>0</v>
      </c>
      <c r="O871" s="275"/>
      <c r="P871" s="275"/>
      <c r="Q871" s="275"/>
      <c r="R871" s="275"/>
      <c r="S871" s="275"/>
      <c r="T871" s="275"/>
      <c r="U871" s="276">
        <v>0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161</v>
      </c>
      <c r="B872" s="271" t="s">
        <v>1175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161</v>
      </c>
      <c r="B873" s="271" t="s">
        <v>1176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161</v>
      </c>
      <c r="B874" s="271" t="s">
        <v>1177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0</v>
      </c>
      <c r="K874" s="273"/>
      <c r="L874" s="273"/>
      <c r="M874" s="274">
        <v>0</v>
      </c>
      <c r="N874" s="272">
        <v>0</v>
      </c>
      <c r="O874" s="275"/>
      <c r="P874" s="275"/>
      <c r="Q874" s="275"/>
      <c r="R874" s="275"/>
      <c r="S874" s="275"/>
      <c r="T874" s="275"/>
      <c r="U874" s="276">
        <v>0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161</v>
      </c>
      <c r="B875" s="271" t="s">
        <v>1178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0</v>
      </c>
      <c r="K875" s="273"/>
      <c r="L875" s="273"/>
      <c r="M875" s="274">
        <v>0</v>
      </c>
      <c r="N875" s="272">
        <v>0</v>
      </c>
      <c r="O875" s="275"/>
      <c r="P875" s="275"/>
      <c r="Q875" s="275"/>
      <c r="R875" s="275"/>
      <c r="S875" s="275"/>
      <c r="T875" s="275"/>
      <c r="U875" s="276">
        <v>0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161</v>
      </c>
      <c r="B876" s="271" t="s">
        <v>1179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0</v>
      </c>
      <c r="K876" s="273"/>
      <c r="L876" s="273"/>
      <c r="M876" s="274">
        <v>0</v>
      </c>
      <c r="N876" s="272">
        <v>0</v>
      </c>
      <c r="O876" s="275"/>
      <c r="P876" s="275"/>
      <c r="Q876" s="275"/>
      <c r="R876" s="275"/>
      <c r="S876" s="275"/>
      <c r="T876" s="275"/>
      <c r="U876" s="276">
        <v>0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161</v>
      </c>
      <c r="B877" s="271" t="s">
        <v>1180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0</v>
      </c>
      <c r="K877" s="273"/>
      <c r="L877" s="273"/>
      <c r="M877" s="274">
        <v>0</v>
      </c>
      <c r="N877" s="272">
        <v>0</v>
      </c>
      <c r="O877" s="275"/>
      <c r="P877" s="275"/>
      <c r="Q877" s="275"/>
      <c r="R877" s="275"/>
      <c r="S877" s="275"/>
      <c r="T877" s="275"/>
      <c r="U877" s="276">
        <v>0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161</v>
      </c>
      <c r="B878" s="271" t="s">
        <v>1181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161</v>
      </c>
      <c r="B879" s="271" t="s">
        <v>1182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161</v>
      </c>
      <c r="B880" s="271" t="s">
        <v>348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0</v>
      </c>
      <c r="K880" s="273"/>
      <c r="L880" s="273"/>
      <c r="M880" s="274">
        <v>0</v>
      </c>
      <c r="N880" s="272">
        <v>0</v>
      </c>
      <c r="O880" s="275"/>
      <c r="P880" s="275"/>
      <c r="Q880" s="275"/>
      <c r="R880" s="275"/>
      <c r="S880" s="275"/>
      <c r="T880" s="275"/>
      <c r="U880" s="276">
        <v>0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161</v>
      </c>
      <c r="B881" s="271" t="s">
        <v>1183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0</v>
      </c>
      <c r="K881" s="273"/>
      <c r="L881" s="273"/>
      <c r="M881" s="274">
        <v>0</v>
      </c>
      <c r="N881" s="272">
        <v>0</v>
      </c>
      <c r="O881" s="275"/>
      <c r="P881" s="275"/>
      <c r="Q881" s="275"/>
      <c r="R881" s="275"/>
      <c r="S881" s="275"/>
      <c r="T881" s="275"/>
      <c r="U881" s="276">
        <v>0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161</v>
      </c>
      <c r="B882" s="271" t="s">
        <v>349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0</v>
      </c>
      <c r="K882" s="273"/>
      <c r="L882" s="273"/>
      <c r="M882" s="274">
        <v>0</v>
      </c>
      <c r="N882" s="272">
        <v>0</v>
      </c>
      <c r="O882" s="275"/>
      <c r="P882" s="275"/>
      <c r="Q882" s="275"/>
      <c r="R882" s="275"/>
      <c r="S882" s="275"/>
      <c r="T882" s="275"/>
      <c r="U882" s="276">
        <v>0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161</v>
      </c>
      <c r="B883" s="271" t="s">
        <v>1184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0</v>
      </c>
      <c r="K883" s="273"/>
      <c r="L883" s="273"/>
      <c r="M883" s="274">
        <v>0</v>
      </c>
      <c r="N883" s="272">
        <v>0</v>
      </c>
      <c r="O883" s="275"/>
      <c r="P883" s="275"/>
      <c r="Q883" s="275"/>
      <c r="R883" s="275"/>
      <c r="S883" s="275"/>
      <c r="T883" s="275"/>
      <c r="U883" s="276">
        <v>0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161</v>
      </c>
      <c r="B884" s="271" t="s">
        <v>1185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0</v>
      </c>
      <c r="K884" s="273"/>
      <c r="L884" s="273"/>
      <c r="M884" s="274">
        <v>0</v>
      </c>
      <c r="N884" s="272">
        <v>0</v>
      </c>
      <c r="O884" s="275"/>
      <c r="P884" s="275"/>
      <c r="Q884" s="275"/>
      <c r="R884" s="275"/>
      <c r="S884" s="275"/>
      <c r="T884" s="275"/>
      <c r="U884" s="276">
        <v>0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161</v>
      </c>
      <c r="B885" s="271" t="s">
        <v>1186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0</v>
      </c>
      <c r="K885" s="273"/>
      <c r="L885" s="273"/>
      <c r="M885" s="274">
        <v>0</v>
      </c>
      <c r="N885" s="272">
        <v>0</v>
      </c>
      <c r="O885" s="275"/>
      <c r="P885" s="275"/>
      <c r="Q885" s="275"/>
      <c r="R885" s="275"/>
      <c r="S885" s="275"/>
      <c r="T885" s="275"/>
      <c r="U885" s="276">
        <v>0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161</v>
      </c>
      <c r="B886" s="271" t="s">
        <v>350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0</v>
      </c>
      <c r="K886" s="273"/>
      <c r="L886" s="273"/>
      <c r="M886" s="274">
        <v>0</v>
      </c>
      <c r="N886" s="272">
        <v>0</v>
      </c>
      <c r="O886" s="275"/>
      <c r="P886" s="275"/>
      <c r="Q886" s="275"/>
      <c r="R886" s="275"/>
      <c r="S886" s="275"/>
      <c r="T886" s="275"/>
      <c r="U886" s="276">
        <v>0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161</v>
      </c>
      <c r="B887" s="271" t="s">
        <v>1187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0</v>
      </c>
      <c r="K887" s="273"/>
      <c r="L887" s="273"/>
      <c r="M887" s="274">
        <v>0</v>
      </c>
      <c r="N887" s="272">
        <v>0</v>
      </c>
      <c r="O887" s="275"/>
      <c r="P887" s="275"/>
      <c r="Q887" s="275"/>
      <c r="R887" s="275"/>
      <c r="S887" s="275"/>
      <c r="T887" s="275"/>
      <c r="U887" s="276">
        <v>0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161</v>
      </c>
      <c r="B888" s="271" t="s">
        <v>351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0</v>
      </c>
      <c r="K888" s="273"/>
      <c r="L888" s="273"/>
      <c r="M888" s="274">
        <v>0</v>
      </c>
      <c r="N888" s="272">
        <v>0</v>
      </c>
      <c r="O888" s="275"/>
      <c r="P888" s="275"/>
      <c r="Q888" s="275"/>
      <c r="R888" s="275"/>
      <c r="S888" s="275"/>
      <c r="T888" s="275"/>
      <c r="U888" s="276">
        <v>0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161</v>
      </c>
      <c r="B889" s="271" t="s">
        <v>1188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0</v>
      </c>
      <c r="K889" s="273"/>
      <c r="L889" s="273"/>
      <c r="M889" s="274">
        <v>0</v>
      </c>
      <c r="N889" s="272">
        <v>0</v>
      </c>
      <c r="O889" s="275"/>
      <c r="P889" s="275"/>
      <c r="Q889" s="275"/>
      <c r="R889" s="275"/>
      <c r="S889" s="275"/>
      <c r="T889" s="275"/>
      <c r="U889" s="276">
        <v>0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161</v>
      </c>
      <c r="B890" s="271" t="s">
        <v>1189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0</v>
      </c>
      <c r="K890" s="273"/>
      <c r="L890" s="273"/>
      <c r="M890" s="274">
        <v>0</v>
      </c>
      <c r="N890" s="272">
        <v>0</v>
      </c>
      <c r="O890" s="275"/>
      <c r="P890" s="275"/>
      <c r="Q890" s="275"/>
      <c r="R890" s="275"/>
      <c r="S890" s="275"/>
      <c r="T890" s="275"/>
      <c r="U890" s="276">
        <v>0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161</v>
      </c>
      <c r="B891" s="271" t="s">
        <v>1190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0</v>
      </c>
      <c r="K891" s="273"/>
      <c r="L891" s="273"/>
      <c r="M891" s="274">
        <v>0</v>
      </c>
      <c r="N891" s="272">
        <v>0</v>
      </c>
      <c r="O891" s="275"/>
      <c r="P891" s="275"/>
      <c r="Q891" s="275"/>
      <c r="R891" s="275"/>
      <c r="S891" s="275"/>
      <c r="T891" s="275"/>
      <c r="U891" s="276">
        <v>0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161</v>
      </c>
      <c r="B892" s="271" t="s">
        <v>352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0</v>
      </c>
      <c r="K892" s="273"/>
      <c r="L892" s="273"/>
      <c r="M892" s="274">
        <v>0</v>
      </c>
      <c r="N892" s="272">
        <v>0</v>
      </c>
      <c r="O892" s="275"/>
      <c r="P892" s="275"/>
      <c r="Q892" s="275"/>
      <c r="R892" s="275"/>
      <c r="S892" s="275"/>
      <c r="T892" s="275"/>
      <c r="U892" s="276">
        <v>0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161</v>
      </c>
      <c r="B893" s="271" t="s">
        <v>1191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0</v>
      </c>
      <c r="K893" s="273"/>
      <c r="L893" s="273"/>
      <c r="M893" s="274">
        <v>0</v>
      </c>
      <c r="N893" s="272">
        <v>0</v>
      </c>
      <c r="O893" s="275"/>
      <c r="P893" s="275"/>
      <c r="Q893" s="275"/>
      <c r="R893" s="275"/>
      <c r="S893" s="275"/>
      <c r="T893" s="275"/>
      <c r="U893" s="276">
        <v>0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161</v>
      </c>
      <c r="B894" s="271" t="s">
        <v>353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0</v>
      </c>
      <c r="K894" s="273"/>
      <c r="L894" s="273"/>
      <c r="M894" s="274">
        <v>0</v>
      </c>
      <c r="N894" s="272">
        <v>0</v>
      </c>
      <c r="O894" s="275"/>
      <c r="P894" s="275"/>
      <c r="Q894" s="275"/>
      <c r="R894" s="275"/>
      <c r="S894" s="275"/>
      <c r="T894" s="275"/>
      <c r="U894" s="276">
        <v>0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161</v>
      </c>
      <c r="B895" s="271" t="s">
        <v>1192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0</v>
      </c>
      <c r="K895" s="273"/>
      <c r="L895" s="273"/>
      <c r="M895" s="274">
        <v>0</v>
      </c>
      <c r="N895" s="272">
        <v>0</v>
      </c>
      <c r="O895" s="275"/>
      <c r="P895" s="275"/>
      <c r="Q895" s="275"/>
      <c r="R895" s="275"/>
      <c r="S895" s="275"/>
      <c r="T895" s="275"/>
      <c r="U895" s="276">
        <v>0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161</v>
      </c>
      <c r="B896" s="271" t="s">
        <v>1193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0</v>
      </c>
      <c r="K896" s="273"/>
      <c r="L896" s="273"/>
      <c r="M896" s="274">
        <v>0</v>
      </c>
      <c r="N896" s="272">
        <v>0</v>
      </c>
      <c r="O896" s="275"/>
      <c r="P896" s="275"/>
      <c r="Q896" s="275"/>
      <c r="R896" s="275"/>
      <c r="S896" s="275"/>
      <c r="T896" s="275"/>
      <c r="U896" s="276">
        <v>0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161</v>
      </c>
      <c r="B897" s="271" t="s">
        <v>1194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0</v>
      </c>
      <c r="K897" s="273"/>
      <c r="L897" s="273"/>
      <c r="M897" s="274">
        <v>0</v>
      </c>
      <c r="N897" s="272">
        <v>0</v>
      </c>
      <c r="O897" s="275"/>
      <c r="P897" s="275"/>
      <c r="Q897" s="275"/>
      <c r="R897" s="275"/>
      <c r="S897" s="275"/>
      <c r="T897" s="275"/>
      <c r="U897" s="276">
        <v>0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161</v>
      </c>
      <c r="B898" s="271" t="s">
        <v>1195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161</v>
      </c>
      <c r="B899" s="271" t="s">
        <v>1196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161</v>
      </c>
      <c r="B900" s="271" t="s">
        <v>1197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161</v>
      </c>
      <c r="B901" s="271" t="s">
        <v>1198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161</v>
      </c>
      <c r="B902" s="271" t="s">
        <v>1199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161</v>
      </c>
      <c r="B903" s="271" t="s">
        <v>1200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161</v>
      </c>
      <c r="B904" s="271" t="s">
        <v>1201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0</v>
      </c>
      <c r="K904" s="273"/>
      <c r="L904" s="273"/>
      <c r="M904" s="274">
        <v>0</v>
      </c>
      <c r="N904" s="272">
        <v>0</v>
      </c>
      <c r="O904" s="275"/>
      <c r="P904" s="275"/>
      <c r="Q904" s="275"/>
      <c r="R904" s="275"/>
      <c r="S904" s="275"/>
      <c r="T904" s="275"/>
      <c r="U904" s="276">
        <v>0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161</v>
      </c>
      <c r="B905" s="271" t="s">
        <v>1202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0</v>
      </c>
      <c r="K905" s="273"/>
      <c r="L905" s="273"/>
      <c r="M905" s="274">
        <v>0</v>
      </c>
      <c r="N905" s="272">
        <v>0</v>
      </c>
      <c r="O905" s="275"/>
      <c r="P905" s="275"/>
      <c r="Q905" s="275"/>
      <c r="R905" s="275"/>
      <c r="S905" s="275"/>
      <c r="T905" s="275"/>
      <c r="U905" s="276">
        <v>0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161</v>
      </c>
      <c r="B906" s="271" t="s">
        <v>1203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0</v>
      </c>
      <c r="K906" s="273"/>
      <c r="L906" s="273"/>
      <c r="M906" s="274">
        <v>0</v>
      </c>
      <c r="N906" s="272">
        <v>0</v>
      </c>
      <c r="O906" s="275"/>
      <c r="P906" s="275"/>
      <c r="Q906" s="275"/>
      <c r="R906" s="275"/>
      <c r="S906" s="275"/>
      <c r="T906" s="275"/>
      <c r="U906" s="276">
        <v>0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161</v>
      </c>
      <c r="B907" s="271" t="s">
        <v>1204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0</v>
      </c>
      <c r="K907" s="273"/>
      <c r="L907" s="273"/>
      <c r="M907" s="274">
        <v>0</v>
      </c>
      <c r="N907" s="272">
        <v>0</v>
      </c>
      <c r="O907" s="275"/>
      <c r="P907" s="275"/>
      <c r="Q907" s="275"/>
      <c r="R907" s="275"/>
      <c r="S907" s="275"/>
      <c r="T907" s="275"/>
      <c r="U907" s="276">
        <v>0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161</v>
      </c>
      <c r="B908" s="271" t="s">
        <v>1205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0</v>
      </c>
      <c r="K908" s="273"/>
      <c r="L908" s="273"/>
      <c r="M908" s="274">
        <v>0</v>
      </c>
      <c r="N908" s="272">
        <v>0</v>
      </c>
      <c r="O908" s="275"/>
      <c r="P908" s="275"/>
      <c r="Q908" s="275"/>
      <c r="R908" s="275"/>
      <c r="S908" s="275"/>
      <c r="T908" s="275"/>
      <c r="U908" s="276">
        <v>0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161</v>
      </c>
      <c r="B909" s="271" t="s">
        <v>1206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0</v>
      </c>
      <c r="K909" s="273"/>
      <c r="L909" s="273"/>
      <c r="M909" s="274">
        <v>0</v>
      </c>
      <c r="N909" s="272">
        <v>0</v>
      </c>
      <c r="O909" s="275"/>
      <c r="P909" s="275"/>
      <c r="Q909" s="275"/>
      <c r="R909" s="275"/>
      <c r="S909" s="275"/>
      <c r="T909" s="275"/>
      <c r="U909" s="276">
        <v>0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161</v>
      </c>
      <c r="B910" s="271" t="s">
        <v>1207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0</v>
      </c>
      <c r="K910" s="273"/>
      <c r="L910" s="273"/>
      <c r="M910" s="274">
        <v>0</v>
      </c>
      <c r="N910" s="272">
        <v>0</v>
      </c>
      <c r="O910" s="275"/>
      <c r="P910" s="275"/>
      <c r="Q910" s="275"/>
      <c r="R910" s="275"/>
      <c r="S910" s="275"/>
      <c r="T910" s="275"/>
      <c r="U910" s="276">
        <v>0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161</v>
      </c>
      <c r="B911" s="271" t="s">
        <v>1208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0</v>
      </c>
      <c r="K911" s="273"/>
      <c r="L911" s="273"/>
      <c r="M911" s="274">
        <v>0</v>
      </c>
      <c r="N911" s="272">
        <v>0</v>
      </c>
      <c r="O911" s="275"/>
      <c r="P911" s="275"/>
      <c r="Q911" s="275"/>
      <c r="R911" s="275"/>
      <c r="S911" s="275"/>
      <c r="T911" s="275"/>
      <c r="U911" s="276">
        <v>0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161</v>
      </c>
      <c r="B912" s="271" t="s">
        <v>1209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0</v>
      </c>
      <c r="K912" s="273"/>
      <c r="L912" s="273"/>
      <c r="M912" s="274">
        <v>0</v>
      </c>
      <c r="N912" s="272">
        <v>0</v>
      </c>
      <c r="O912" s="275"/>
      <c r="P912" s="275"/>
      <c r="Q912" s="275"/>
      <c r="R912" s="275"/>
      <c r="S912" s="275"/>
      <c r="T912" s="275"/>
      <c r="U912" s="276">
        <v>0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161</v>
      </c>
      <c r="B913" s="271" t="s">
        <v>1210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0</v>
      </c>
      <c r="K913" s="273"/>
      <c r="L913" s="273"/>
      <c r="M913" s="274">
        <v>0</v>
      </c>
      <c r="N913" s="272">
        <v>0</v>
      </c>
      <c r="O913" s="275"/>
      <c r="P913" s="275"/>
      <c r="Q913" s="275"/>
      <c r="R913" s="275"/>
      <c r="S913" s="275"/>
      <c r="T913" s="275"/>
      <c r="U913" s="276">
        <v>0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161</v>
      </c>
      <c r="B914" s="271" t="s">
        <v>1211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0</v>
      </c>
      <c r="K914" s="273"/>
      <c r="L914" s="273"/>
      <c r="M914" s="274">
        <v>0</v>
      </c>
      <c r="N914" s="272">
        <v>0</v>
      </c>
      <c r="O914" s="275"/>
      <c r="P914" s="275"/>
      <c r="Q914" s="275"/>
      <c r="R914" s="275"/>
      <c r="S914" s="275"/>
      <c r="T914" s="275"/>
      <c r="U914" s="276">
        <v>0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161</v>
      </c>
      <c r="B915" s="271" t="s">
        <v>1212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0</v>
      </c>
      <c r="K915" s="273"/>
      <c r="L915" s="273"/>
      <c r="M915" s="274">
        <v>0</v>
      </c>
      <c r="N915" s="272">
        <v>0</v>
      </c>
      <c r="O915" s="275"/>
      <c r="P915" s="275"/>
      <c r="Q915" s="275"/>
      <c r="R915" s="275"/>
      <c r="S915" s="275"/>
      <c r="T915" s="275"/>
      <c r="U915" s="276">
        <v>0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161</v>
      </c>
      <c r="B916" s="271" t="s">
        <v>1213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0</v>
      </c>
      <c r="K916" s="273"/>
      <c r="L916" s="273"/>
      <c r="M916" s="274">
        <v>0</v>
      </c>
      <c r="N916" s="272">
        <v>0</v>
      </c>
      <c r="O916" s="275"/>
      <c r="P916" s="275"/>
      <c r="Q916" s="275"/>
      <c r="R916" s="275"/>
      <c r="S916" s="275"/>
      <c r="T916" s="275"/>
      <c r="U916" s="276">
        <v>0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161</v>
      </c>
      <c r="B917" s="271" t="s">
        <v>1214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0</v>
      </c>
      <c r="K917" s="273"/>
      <c r="L917" s="273"/>
      <c r="M917" s="274">
        <v>0</v>
      </c>
      <c r="N917" s="272">
        <v>0</v>
      </c>
      <c r="O917" s="275"/>
      <c r="P917" s="275"/>
      <c r="Q917" s="275"/>
      <c r="R917" s="275"/>
      <c r="S917" s="275"/>
      <c r="T917" s="275"/>
      <c r="U917" s="276">
        <v>0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161</v>
      </c>
      <c r="B918" s="271" t="s">
        <v>1215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0</v>
      </c>
      <c r="K918" s="273"/>
      <c r="L918" s="273"/>
      <c r="M918" s="274">
        <v>0</v>
      </c>
      <c r="N918" s="272">
        <v>0</v>
      </c>
      <c r="O918" s="275"/>
      <c r="P918" s="275"/>
      <c r="Q918" s="275"/>
      <c r="R918" s="275"/>
      <c r="S918" s="275"/>
      <c r="T918" s="275"/>
      <c r="U918" s="276">
        <v>0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161</v>
      </c>
      <c r="B919" s="271" t="s">
        <v>1216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0</v>
      </c>
      <c r="K919" s="273"/>
      <c r="L919" s="273"/>
      <c r="M919" s="274">
        <v>0</v>
      </c>
      <c r="N919" s="272">
        <v>0</v>
      </c>
      <c r="O919" s="275"/>
      <c r="P919" s="275"/>
      <c r="Q919" s="275"/>
      <c r="R919" s="275"/>
      <c r="S919" s="275"/>
      <c r="T919" s="275"/>
      <c r="U919" s="276">
        <v>0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161</v>
      </c>
      <c r="B920" s="271" t="s">
        <v>1217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0</v>
      </c>
      <c r="K920" s="273"/>
      <c r="L920" s="273"/>
      <c r="M920" s="274">
        <v>0</v>
      </c>
      <c r="N920" s="272">
        <v>0</v>
      </c>
      <c r="O920" s="275"/>
      <c r="P920" s="275"/>
      <c r="Q920" s="275"/>
      <c r="R920" s="275"/>
      <c r="S920" s="275"/>
      <c r="T920" s="275"/>
      <c r="U920" s="276">
        <v>0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161</v>
      </c>
      <c r="B921" s="271" t="s">
        <v>1218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0</v>
      </c>
      <c r="K921" s="273"/>
      <c r="L921" s="273"/>
      <c r="M921" s="274">
        <v>0</v>
      </c>
      <c r="N921" s="272">
        <v>0</v>
      </c>
      <c r="O921" s="275"/>
      <c r="P921" s="275"/>
      <c r="Q921" s="275"/>
      <c r="R921" s="275"/>
      <c r="S921" s="275"/>
      <c r="T921" s="275"/>
      <c r="U921" s="276">
        <v>0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161</v>
      </c>
      <c r="B922" s="271" t="s">
        <v>1219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161</v>
      </c>
      <c r="B923" s="271" t="s">
        <v>1220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161</v>
      </c>
      <c r="B924" s="271" t="s">
        <v>1221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161</v>
      </c>
      <c r="B925" s="271" t="s">
        <v>1222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161</v>
      </c>
      <c r="B926" s="271" t="s">
        <v>1223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161</v>
      </c>
      <c r="B927" s="271" t="s">
        <v>1224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161</v>
      </c>
      <c r="B928" s="271" t="s">
        <v>1225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161</v>
      </c>
      <c r="B929" s="271" t="s">
        <v>1226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161</v>
      </c>
      <c r="B930" s="271" t="s">
        <v>1227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0</v>
      </c>
      <c r="K930" s="273"/>
      <c r="L930" s="273"/>
      <c r="M930" s="274">
        <v>0</v>
      </c>
      <c r="N930" s="272">
        <v>0</v>
      </c>
      <c r="O930" s="275"/>
      <c r="P930" s="275"/>
      <c r="Q930" s="275"/>
      <c r="R930" s="275"/>
      <c r="S930" s="275"/>
      <c r="T930" s="275"/>
      <c r="U930" s="276">
        <v>0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161</v>
      </c>
      <c r="B931" s="271" t="s">
        <v>1228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161</v>
      </c>
      <c r="B932" s="271" t="s">
        <v>1229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0</v>
      </c>
      <c r="K932" s="273"/>
      <c r="L932" s="273"/>
      <c r="M932" s="274">
        <v>0</v>
      </c>
      <c r="N932" s="272">
        <v>0</v>
      </c>
      <c r="O932" s="275"/>
      <c r="P932" s="275"/>
      <c r="Q932" s="275"/>
      <c r="R932" s="275"/>
      <c r="S932" s="275"/>
      <c r="T932" s="275"/>
      <c r="U932" s="276">
        <v>0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161</v>
      </c>
      <c r="B933" s="271" t="s">
        <v>1230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161</v>
      </c>
      <c r="B934" s="271" t="s">
        <v>1231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161</v>
      </c>
      <c r="B935" s="271" t="s">
        <v>1232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161</v>
      </c>
      <c r="B936" s="271" t="s">
        <v>1233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0</v>
      </c>
      <c r="K936" s="273"/>
      <c r="L936" s="273"/>
      <c r="M936" s="274">
        <v>0</v>
      </c>
      <c r="N936" s="272">
        <v>0</v>
      </c>
      <c r="O936" s="275"/>
      <c r="P936" s="275"/>
      <c r="Q936" s="275"/>
      <c r="R936" s="275"/>
      <c r="S936" s="275"/>
      <c r="T936" s="275"/>
      <c r="U936" s="276">
        <v>0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161</v>
      </c>
      <c r="B937" s="271" t="s">
        <v>1234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161</v>
      </c>
      <c r="B938" s="271" t="s">
        <v>1235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0</v>
      </c>
      <c r="K938" s="273"/>
      <c r="L938" s="273"/>
      <c r="M938" s="274">
        <v>0</v>
      </c>
      <c r="N938" s="272">
        <v>0</v>
      </c>
      <c r="O938" s="275"/>
      <c r="P938" s="275"/>
      <c r="Q938" s="275"/>
      <c r="R938" s="275"/>
      <c r="S938" s="275"/>
      <c r="T938" s="275"/>
      <c r="U938" s="276">
        <v>0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161</v>
      </c>
      <c r="B939" s="271" t="s">
        <v>1236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161</v>
      </c>
      <c r="B940" s="271" t="s">
        <v>1237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0</v>
      </c>
      <c r="K940" s="273"/>
      <c r="L940" s="273"/>
      <c r="M940" s="274">
        <v>0</v>
      </c>
      <c r="N940" s="272">
        <v>0</v>
      </c>
      <c r="O940" s="275"/>
      <c r="P940" s="275"/>
      <c r="Q940" s="275"/>
      <c r="R940" s="275"/>
      <c r="S940" s="275"/>
      <c r="T940" s="275"/>
      <c r="U940" s="276">
        <v>0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161</v>
      </c>
      <c r="B941" s="271" t="s">
        <v>1238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0</v>
      </c>
      <c r="K941" s="273"/>
      <c r="L941" s="273"/>
      <c r="M941" s="274">
        <v>0</v>
      </c>
      <c r="N941" s="272">
        <v>0</v>
      </c>
      <c r="O941" s="275"/>
      <c r="P941" s="275"/>
      <c r="Q941" s="275"/>
      <c r="R941" s="275"/>
      <c r="S941" s="275"/>
      <c r="T941" s="275"/>
      <c r="U941" s="276">
        <v>0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161</v>
      </c>
      <c r="B942" s="271" t="s">
        <v>1239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0</v>
      </c>
      <c r="K942" s="273"/>
      <c r="L942" s="273"/>
      <c r="M942" s="274">
        <v>0</v>
      </c>
      <c r="N942" s="272">
        <v>0</v>
      </c>
      <c r="O942" s="275"/>
      <c r="P942" s="275"/>
      <c r="Q942" s="275"/>
      <c r="R942" s="275"/>
      <c r="S942" s="275"/>
      <c r="T942" s="275"/>
      <c r="U942" s="276">
        <v>0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161</v>
      </c>
      <c r="B943" s="271" t="s">
        <v>1240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0</v>
      </c>
      <c r="K943" s="273"/>
      <c r="L943" s="273"/>
      <c r="M943" s="274">
        <v>0</v>
      </c>
      <c r="N943" s="272">
        <v>0</v>
      </c>
      <c r="O943" s="275"/>
      <c r="P943" s="275"/>
      <c r="Q943" s="275"/>
      <c r="R943" s="275"/>
      <c r="S943" s="275"/>
      <c r="T943" s="275"/>
      <c r="U943" s="276">
        <v>0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161</v>
      </c>
      <c r="B944" s="271" t="s">
        <v>1241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161</v>
      </c>
      <c r="B945" s="271" t="s">
        <v>1242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161</v>
      </c>
      <c r="B946" s="271" t="s">
        <v>1243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0</v>
      </c>
      <c r="K946" s="273"/>
      <c r="L946" s="273"/>
      <c r="M946" s="274">
        <v>0</v>
      </c>
      <c r="N946" s="272">
        <v>0</v>
      </c>
      <c r="O946" s="275"/>
      <c r="P946" s="275"/>
      <c r="Q946" s="275"/>
      <c r="R946" s="275"/>
      <c r="S946" s="275"/>
      <c r="T946" s="275"/>
      <c r="U946" s="276">
        <v>0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161</v>
      </c>
      <c r="B947" s="271" t="s">
        <v>1244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0</v>
      </c>
      <c r="K947" s="273"/>
      <c r="L947" s="273"/>
      <c r="M947" s="274">
        <v>0</v>
      </c>
      <c r="N947" s="272">
        <v>0</v>
      </c>
      <c r="O947" s="275"/>
      <c r="P947" s="275"/>
      <c r="Q947" s="275"/>
      <c r="R947" s="275"/>
      <c r="S947" s="275"/>
      <c r="T947" s="275"/>
      <c r="U947" s="276">
        <v>0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161</v>
      </c>
      <c r="B948" s="271" t="s">
        <v>1245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0</v>
      </c>
      <c r="K948" s="273"/>
      <c r="L948" s="273"/>
      <c r="M948" s="274">
        <v>0</v>
      </c>
      <c r="N948" s="272">
        <v>0</v>
      </c>
      <c r="O948" s="275"/>
      <c r="P948" s="275"/>
      <c r="Q948" s="275"/>
      <c r="R948" s="275"/>
      <c r="S948" s="275"/>
      <c r="T948" s="275"/>
      <c r="U948" s="276">
        <v>0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161</v>
      </c>
      <c r="B949" s="271" t="s">
        <v>1246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0</v>
      </c>
      <c r="K949" s="273"/>
      <c r="L949" s="273"/>
      <c r="M949" s="274">
        <v>0</v>
      </c>
      <c r="N949" s="272">
        <v>0</v>
      </c>
      <c r="O949" s="275"/>
      <c r="P949" s="275"/>
      <c r="Q949" s="275"/>
      <c r="R949" s="275"/>
      <c r="S949" s="275"/>
      <c r="T949" s="275"/>
      <c r="U949" s="276">
        <v>0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161</v>
      </c>
      <c r="B950" s="271" t="s">
        <v>1247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161</v>
      </c>
      <c r="B951" s="271" t="s">
        <v>1248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161</v>
      </c>
      <c r="B952" s="271" t="s">
        <v>1249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161</v>
      </c>
      <c r="B953" s="271" t="s">
        <v>1250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161</v>
      </c>
      <c r="B954" s="271" t="s">
        <v>1251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0</v>
      </c>
      <c r="K954" s="273"/>
      <c r="L954" s="273"/>
      <c r="M954" s="274">
        <v>0</v>
      </c>
      <c r="N954" s="272">
        <v>0</v>
      </c>
      <c r="O954" s="275"/>
      <c r="P954" s="275"/>
      <c r="Q954" s="275"/>
      <c r="R954" s="275"/>
      <c r="S954" s="275"/>
      <c r="T954" s="275"/>
      <c r="U954" s="276">
        <v>0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161</v>
      </c>
      <c r="B955" s="271" t="s">
        <v>1252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161</v>
      </c>
      <c r="B956" s="271" t="s">
        <v>1253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0</v>
      </c>
      <c r="K956" s="273"/>
      <c r="L956" s="273"/>
      <c r="M956" s="274">
        <v>0</v>
      </c>
      <c r="N956" s="272">
        <v>0</v>
      </c>
      <c r="O956" s="275"/>
      <c r="P956" s="275"/>
      <c r="Q956" s="275"/>
      <c r="R956" s="275"/>
      <c r="S956" s="275"/>
      <c r="T956" s="275"/>
      <c r="U956" s="276">
        <v>0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161</v>
      </c>
      <c r="B957" s="271" t="s">
        <v>1254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161</v>
      </c>
      <c r="B958" s="271" t="s">
        <v>1255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161</v>
      </c>
      <c r="B959" s="271" t="s">
        <v>1256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161</v>
      </c>
      <c r="B960" s="271" t="s">
        <v>1257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0</v>
      </c>
      <c r="K960" s="273"/>
      <c r="L960" s="273"/>
      <c r="M960" s="274">
        <v>0</v>
      </c>
      <c r="N960" s="272">
        <v>0</v>
      </c>
      <c r="O960" s="275"/>
      <c r="P960" s="275"/>
      <c r="Q960" s="275"/>
      <c r="R960" s="275"/>
      <c r="S960" s="275"/>
      <c r="T960" s="275"/>
      <c r="U960" s="276">
        <v>0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161</v>
      </c>
      <c r="B961" s="271" t="s">
        <v>1258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161</v>
      </c>
      <c r="B962" s="271" t="s">
        <v>1259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0</v>
      </c>
      <c r="K962" s="273"/>
      <c r="L962" s="273"/>
      <c r="M962" s="274">
        <v>0</v>
      </c>
      <c r="N962" s="272">
        <v>0</v>
      </c>
      <c r="O962" s="275"/>
      <c r="P962" s="275"/>
      <c r="Q962" s="275"/>
      <c r="R962" s="275"/>
      <c r="S962" s="275"/>
      <c r="T962" s="275"/>
      <c r="U962" s="276">
        <v>0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161</v>
      </c>
      <c r="B963" s="271" t="s">
        <v>1260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161</v>
      </c>
      <c r="B964" s="271" t="s">
        <v>1261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0</v>
      </c>
      <c r="K964" s="273"/>
      <c r="L964" s="273"/>
      <c r="M964" s="274">
        <v>0</v>
      </c>
      <c r="N964" s="272">
        <v>0</v>
      </c>
      <c r="O964" s="275"/>
      <c r="P964" s="275"/>
      <c r="Q964" s="275"/>
      <c r="R964" s="275"/>
      <c r="S964" s="275"/>
      <c r="T964" s="275"/>
      <c r="U964" s="276">
        <v>0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161</v>
      </c>
      <c r="B965" s="271" t="s">
        <v>1262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0</v>
      </c>
      <c r="K965" s="273"/>
      <c r="L965" s="273"/>
      <c r="M965" s="274">
        <v>0</v>
      </c>
      <c r="N965" s="272">
        <v>0</v>
      </c>
      <c r="O965" s="275"/>
      <c r="P965" s="275"/>
      <c r="Q965" s="275"/>
      <c r="R965" s="275"/>
      <c r="S965" s="275"/>
      <c r="T965" s="275"/>
      <c r="U965" s="276">
        <v>0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161</v>
      </c>
      <c r="B966" s="271" t="s">
        <v>1263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0</v>
      </c>
      <c r="K966" s="273"/>
      <c r="L966" s="273"/>
      <c r="M966" s="274">
        <v>0</v>
      </c>
      <c r="N966" s="272">
        <v>0</v>
      </c>
      <c r="O966" s="275"/>
      <c r="P966" s="275"/>
      <c r="Q966" s="275"/>
      <c r="R966" s="275"/>
      <c r="S966" s="275"/>
      <c r="T966" s="275"/>
      <c r="U966" s="276">
        <v>0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161</v>
      </c>
      <c r="B967" s="271" t="s">
        <v>1264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0</v>
      </c>
      <c r="K967" s="273"/>
      <c r="L967" s="273"/>
      <c r="M967" s="274">
        <v>0</v>
      </c>
      <c r="N967" s="272">
        <v>0</v>
      </c>
      <c r="O967" s="275"/>
      <c r="P967" s="275"/>
      <c r="Q967" s="275"/>
      <c r="R967" s="275"/>
      <c r="S967" s="275"/>
      <c r="T967" s="275"/>
      <c r="U967" s="276">
        <v>0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161</v>
      </c>
      <c r="B968" s="271" t="s">
        <v>1265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161</v>
      </c>
      <c r="B969" s="271" t="s">
        <v>1266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161</v>
      </c>
      <c r="B970" s="271" t="s">
        <v>1267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0</v>
      </c>
      <c r="K970" s="273"/>
      <c r="L970" s="273"/>
      <c r="M970" s="274">
        <v>0</v>
      </c>
      <c r="N970" s="272">
        <v>0</v>
      </c>
      <c r="O970" s="275"/>
      <c r="P970" s="275"/>
      <c r="Q970" s="275"/>
      <c r="R970" s="275"/>
      <c r="S970" s="275"/>
      <c r="T970" s="275"/>
      <c r="U970" s="276">
        <v>0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161</v>
      </c>
      <c r="B971" s="271" t="s">
        <v>1268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0</v>
      </c>
      <c r="K971" s="273"/>
      <c r="L971" s="273"/>
      <c r="M971" s="274">
        <v>0</v>
      </c>
      <c r="N971" s="272">
        <v>0</v>
      </c>
      <c r="O971" s="275"/>
      <c r="P971" s="275"/>
      <c r="Q971" s="275"/>
      <c r="R971" s="275"/>
      <c r="S971" s="275"/>
      <c r="T971" s="275"/>
      <c r="U971" s="276">
        <v>0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161</v>
      </c>
      <c r="B972" s="271" t="s">
        <v>1269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0</v>
      </c>
      <c r="K972" s="273"/>
      <c r="L972" s="273"/>
      <c r="M972" s="274">
        <v>0</v>
      </c>
      <c r="N972" s="272">
        <v>0</v>
      </c>
      <c r="O972" s="275"/>
      <c r="P972" s="275"/>
      <c r="Q972" s="275"/>
      <c r="R972" s="275"/>
      <c r="S972" s="275"/>
      <c r="T972" s="275"/>
      <c r="U972" s="276">
        <v>0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161</v>
      </c>
      <c r="B973" s="271" t="s">
        <v>1270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0</v>
      </c>
      <c r="K973" s="273"/>
      <c r="L973" s="273"/>
      <c r="M973" s="274">
        <v>0</v>
      </c>
      <c r="N973" s="272">
        <v>0</v>
      </c>
      <c r="O973" s="275"/>
      <c r="P973" s="275"/>
      <c r="Q973" s="275"/>
      <c r="R973" s="275"/>
      <c r="S973" s="275"/>
      <c r="T973" s="275"/>
      <c r="U973" s="276">
        <v>0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161</v>
      </c>
      <c r="B974" s="271" t="s">
        <v>1271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161</v>
      </c>
      <c r="B975" s="271" t="s">
        <v>1272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161</v>
      </c>
      <c r="B976" s="271" t="s">
        <v>1273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161</v>
      </c>
      <c r="B977" s="271" t="s">
        <v>1274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161</v>
      </c>
      <c r="B978" s="271" t="s">
        <v>1275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0</v>
      </c>
      <c r="K978" s="273"/>
      <c r="L978" s="273"/>
      <c r="M978" s="274">
        <v>0</v>
      </c>
      <c r="N978" s="272">
        <v>0</v>
      </c>
      <c r="O978" s="275"/>
      <c r="P978" s="275"/>
      <c r="Q978" s="275"/>
      <c r="R978" s="275"/>
      <c r="S978" s="275"/>
      <c r="T978" s="275"/>
      <c r="U978" s="276">
        <v>0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161</v>
      </c>
      <c r="B979" s="271" t="s">
        <v>1276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161</v>
      </c>
      <c r="B980" s="271" t="s">
        <v>1277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0</v>
      </c>
      <c r="K980" s="273"/>
      <c r="L980" s="273"/>
      <c r="M980" s="274">
        <v>0</v>
      </c>
      <c r="N980" s="272">
        <v>0</v>
      </c>
      <c r="O980" s="275"/>
      <c r="P980" s="275"/>
      <c r="Q980" s="275"/>
      <c r="R980" s="275"/>
      <c r="S980" s="275"/>
      <c r="T980" s="275"/>
      <c r="U980" s="276">
        <v>0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161</v>
      </c>
      <c r="B981" s="271" t="s">
        <v>1278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161</v>
      </c>
      <c r="B982" s="271" t="s">
        <v>1279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161</v>
      </c>
      <c r="B983" s="271" t="s">
        <v>1280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161</v>
      </c>
      <c r="B984" s="271" t="s">
        <v>1281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0</v>
      </c>
      <c r="K984" s="273"/>
      <c r="L984" s="273"/>
      <c r="M984" s="274">
        <v>0</v>
      </c>
      <c r="N984" s="272">
        <v>0</v>
      </c>
      <c r="O984" s="275"/>
      <c r="P984" s="275"/>
      <c r="Q984" s="275"/>
      <c r="R984" s="275"/>
      <c r="S984" s="275"/>
      <c r="T984" s="275"/>
      <c r="U984" s="276">
        <v>0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161</v>
      </c>
      <c r="B985" s="271" t="s">
        <v>1282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161</v>
      </c>
      <c r="B986" s="271" t="s">
        <v>1283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0</v>
      </c>
      <c r="K986" s="273"/>
      <c r="L986" s="273"/>
      <c r="M986" s="274">
        <v>0</v>
      </c>
      <c r="N986" s="272">
        <v>0</v>
      </c>
      <c r="O986" s="275"/>
      <c r="P986" s="275"/>
      <c r="Q986" s="275"/>
      <c r="R986" s="275"/>
      <c r="S986" s="275"/>
      <c r="T986" s="275"/>
      <c r="U986" s="276">
        <v>0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161</v>
      </c>
      <c r="B987" s="271" t="s">
        <v>1284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161</v>
      </c>
      <c r="B988" s="271" t="s">
        <v>1285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0</v>
      </c>
      <c r="K988" s="273"/>
      <c r="L988" s="273"/>
      <c r="M988" s="274">
        <v>0</v>
      </c>
      <c r="N988" s="272">
        <v>0</v>
      </c>
      <c r="O988" s="275"/>
      <c r="P988" s="275"/>
      <c r="Q988" s="275"/>
      <c r="R988" s="275"/>
      <c r="S988" s="275"/>
      <c r="T988" s="275"/>
      <c r="U988" s="276">
        <v>0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161</v>
      </c>
      <c r="B989" s="271" t="s">
        <v>1286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0</v>
      </c>
      <c r="K989" s="273"/>
      <c r="L989" s="273"/>
      <c r="M989" s="274">
        <v>0</v>
      </c>
      <c r="N989" s="272">
        <v>0</v>
      </c>
      <c r="O989" s="275"/>
      <c r="P989" s="275"/>
      <c r="Q989" s="275"/>
      <c r="R989" s="275"/>
      <c r="S989" s="275"/>
      <c r="T989" s="275"/>
      <c r="U989" s="276">
        <v>0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161</v>
      </c>
      <c r="B990" s="271" t="s">
        <v>1287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0</v>
      </c>
      <c r="K990" s="273"/>
      <c r="L990" s="273"/>
      <c r="M990" s="274">
        <v>0</v>
      </c>
      <c r="N990" s="272">
        <v>0</v>
      </c>
      <c r="O990" s="275"/>
      <c r="P990" s="275"/>
      <c r="Q990" s="275"/>
      <c r="R990" s="275"/>
      <c r="S990" s="275"/>
      <c r="T990" s="275"/>
      <c r="U990" s="276">
        <v>0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161</v>
      </c>
      <c r="B991" s="271" t="s">
        <v>1288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0</v>
      </c>
      <c r="K991" s="273"/>
      <c r="L991" s="273"/>
      <c r="M991" s="274">
        <v>0</v>
      </c>
      <c r="N991" s="272">
        <v>0</v>
      </c>
      <c r="O991" s="275"/>
      <c r="P991" s="275"/>
      <c r="Q991" s="275"/>
      <c r="R991" s="275"/>
      <c r="S991" s="275"/>
      <c r="T991" s="275"/>
      <c r="U991" s="276">
        <v>0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161</v>
      </c>
      <c r="B992" s="271" t="s">
        <v>1289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161</v>
      </c>
      <c r="B993" s="271" t="s">
        <v>1290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161</v>
      </c>
      <c r="B994" s="271" t="s">
        <v>1291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0</v>
      </c>
      <c r="K994" s="273"/>
      <c r="L994" s="273"/>
      <c r="M994" s="274">
        <v>0</v>
      </c>
      <c r="N994" s="272">
        <v>0</v>
      </c>
      <c r="O994" s="275"/>
      <c r="P994" s="275"/>
      <c r="Q994" s="275"/>
      <c r="R994" s="275"/>
      <c r="S994" s="275"/>
      <c r="T994" s="275"/>
      <c r="U994" s="276">
        <v>0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161</v>
      </c>
      <c r="B995" s="271" t="s">
        <v>1292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0</v>
      </c>
      <c r="K995" s="273"/>
      <c r="L995" s="273"/>
      <c r="M995" s="274">
        <v>0</v>
      </c>
      <c r="N995" s="272">
        <v>0</v>
      </c>
      <c r="O995" s="275"/>
      <c r="P995" s="275"/>
      <c r="Q995" s="275"/>
      <c r="R995" s="275"/>
      <c r="S995" s="275"/>
      <c r="T995" s="275"/>
      <c r="U995" s="276">
        <v>0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161</v>
      </c>
      <c r="B996" s="271" t="s">
        <v>1293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0</v>
      </c>
      <c r="K996" s="273"/>
      <c r="L996" s="273"/>
      <c r="M996" s="274">
        <v>0</v>
      </c>
      <c r="N996" s="272">
        <v>0</v>
      </c>
      <c r="O996" s="275"/>
      <c r="P996" s="275"/>
      <c r="Q996" s="275"/>
      <c r="R996" s="275"/>
      <c r="S996" s="275"/>
      <c r="T996" s="275"/>
      <c r="U996" s="276">
        <v>0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161</v>
      </c>
      <c r="B997" s="271" t="s">
        <v>1294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0</v>
      </c>
      <c r="K997" s="273"/>
      <c r="L997" s="273"/>
      <c r="M997" s="274">
        <v>0</v>
      </c>
      <c r="N997" s="272">
        <v>0</v>
      </c>
      <c r="O997" s="275"/>
      <c r="P997" s="275"/>
      <c r="Q997" s="275"/>
      <c r="R997" s="275"/>
      <c r="S997" s="275"/>
      <c r="T997" s="275"/>
      <c r="U997" s="276">
        <v>0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161</v>
      </c>
      <c r="B998" s="271" t="s">
        <v>1295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161</v>
      </c>
      <c r="B999" s="271" t="s">
        <v>1296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161</v>
      </c>
      <c r="B1000" s="271" t="s">
        <v>1297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0</v>
      </c>
      <c r="K1000" s="273"/>
      <c r="L1000" s="273"/>
      <c r="M1000" s="274">
        <v>0</v>
      </c>
      <c r="N1000" s="272">
        <v>0</v>
      </c>
      <c r="O1000" s="275"/>
      <c r="P1000" s="275"/>
      <c r="Q1000" s="275"/>
      <c r="R1000" s="275"/>
      <c r="S1000" s="275"/>
      <c r="T1000" s="275"/>
      <c r="U1000" s="276">
        <v>0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161</v>
      </c>
      <c r="B1001" s="271" t="s">
        <v>1298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0</v>
      </c>
      <c r="K1001" s="273"/>
      <c r="L1001" s="273"/>
      <c r="M1001" s="274">
        <v>0</v>
      </c>
      <c r="N1001" s="272">
        <v>0</v>
      </c>
      <c r="O1001" s="275"/>
      <c r="P1001" s="275"/>
      <c r="Q1001" s="275"/>
      <c r="R1001" s="275"/>
      <c r="S1001" s="275"/>
      <c r="T1001" s="275"/>
      <c r="U1001" s="276">
        <v>0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161</v>
      </c>
      <c r="B1002" s="271" t="s">
        <v>1299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0</v>
      </c>
      <c r="K1002" s="273"/>
      <c r="L1002" s="273"/>
      <c r="M1002" s="274">
        <v>0</v>
      </c>
      <c r="N1002" s="272">
        <v>0</v>
      </c>
      <c r="O1002" s="275"/>
      <c r="P1002" s="275"/>
      <c r="Q1002" s="275"/>
      <c r="R1002" s="275"/>
      <c r="S1002" s="275"/>
      <c r="T1002" s="275"/>
      <c r="U1002" s="276">
        <v>0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161</v>
      </c>
      <c r="B1003" s="271" t="s">
        <v>1300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0</v>
      </c>
      <c r="K1003" s="273"/>
      <c r="L1003" s="273"/>
      <c r="M1003" s="274">
        <v>0</v>
      </c>
      <c r="N1003" s="272">
        <v>0</v>
      </c>
      <c r="O1003" s="275"/>
      <c r="P1003" s="275"/>
      <c r="Q1003" s="275"/>
      <c r="R1003" s="275"/>
      <c r="S1003" s="275"/>
      <c r="T1003" s="275"/>
      <c r="U1003" s="276">
        <v>0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161</v>
      </c>
      <c r="B1004" s="271" t="s">
        <v>1301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0</v>
      </c>
      <c r="K1004" s="273"/>
      <c r="L1004" s="273"/>
      <c r="M1004" s="274">
        <v>0</v>
      </c>
      <c r="N1004" s="272">
        <v>0</v>
      </c>
      <c r="O1004" s="275"/>
      <c r="P1004" s="275"/>
      <c r="Q1004" s="275"/>
      <c r="R1004" s="275"/>
      <c r="S1004" s="275"/>
      <c r="T1004" s="275"/>
      <c r="U1004" s="276">
        <v>0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161</v>
      </c>
      <c r="B1005" s="271" t="s">
        <v>1302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0</v>
      </c>
      <c r="K1005" s="273"/>
      <c r="L1005" s="273"/>
      <c r="M1005" s="274">
        <v>0</v>
      </c>
      <c r="N1005" s="272">
        <v>0</v>
      </c>
      <c r="O1005" s="275"/>
      <c r="P1005" s="275"/>
      <c r="Q1005" s="275"/>
      <c r="R1005" s="275"/>
      <c r="S1005" s="275"/>
      <c r="T1005" s="275"/>
      <c r="U1005" s="276">
        <v>0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161</v>
      </c>
      <c r="B1006" s="271" t="s">
        <v>1303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0</v>
      </c>
      <c r="K1006" s="273"/>
      <c r="L1006" s="273"/>
      <c r="M1006" s="274">
        <v>0</v>
      </c>
      <c r="N1006" s="272">
        <v>0</v>
      </c>
      <c r="O1006" s="275"/>
      <c r="P1006" s="275"/>
      <c r="Q1006" s="275"/>
      <c r="R1006" s="275"/>
      <c r="S1006" s="275"/>
      <c r="T1006" s="275"/>
      <c r="U1006" s="276">
        <v>0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161</v>
      </c>
      <c r="B1007" s="271" t="s">
        <v>1304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0</v>
      </c>
      <c r="K1007" s="273"/>
      <c r="L1007" s="273"/>
      <c r="M1007" s="274">
        <v>0</v>
      </c>
      <c r="N1007" s="272">
        <v>0</v>
      </c>
      <c r="O1007" s="275"/>
      <c r="P1007" s="275"/>
      <c r="Q1007" s="275"/>
      <c r="R1007" s="275"/>
      <c r="S1007" s="275"/>
      <c r="T1007" s="275"/>
      <c r="U1007" s="276">
        <v>0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161</v>
      </c>
      <c r="B1008" s="271" t="s">
        <v>1305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0</v>
      </c>
      <c r="K1008" s="273"/>
      <c r="L1008" s="273"/>
      <c r="M1008" s="274">
        <v>0</v>
      </c>
      <c r="N1008" s="272">
        <v>0</v>
      </c>
      <c r="O1008" s="275"/>
      <c r="P1008" s="275"/>
      <c r="Q1008" s="275"/>
      <c r="R1008" s="275"/>
      <c r="S1008" s="275"/>
      <c r="T1008" s="275"/>
      <c r="U1008" s="276">
        <v>0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161</v>
      </c>
      <c r="B1009" s="271" t="s">
        <v>1306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0</v>
      </c>
      <c r="K1009" s="273"/>
      <c r="L1009" s="273"/>
      <c r="M1009" s="274">
        <v>0</v>
      </c>
      <c r="N1009" s="272">
        <v>0</v>
      </c>
      <c r="O1009" s="275"/>
      <c r="P1009" s="275"/>
      <c r="Q1009" s="275"/>
      <c r="R1009" s="275"/>
      <c r="S1009" s="275"/>
      <c r="T1009" s="275"/>
      <c r="U1009" s="276">
        <v>0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161</v>
      </c>
      <c r="B1010" s="271" t="s">
        <v>1307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0</v>
      </c>
      <c r="K1010" s="273"/>
      <c r="L1010" s="273"/>
      <c r="M1010" s="274">
        <v>0</v>
      </c>
      <c r="N1010" s="272">
        <v>0</v>
      </c>
      <c r="O1010" s="275"/>
      <c r="P1010" s="275"/>
      <c r="Q1010" s="275"/>
      <c r="R1010" s="275"/>
      <c r="S1010" s="275"/>
      <c r="T1010" s="275"/>
      <c r="U1010" s="276">
        <v>0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161</v>
      </c>
      <c r="B1011" s="271" t="s">
        <v>1308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0</v>
      </c>
      <c r="K1011" s="273"/>
      <c r="L1011" s="273"/>
      <c r="M1011" s="274">
        <v>0</v>
      </c>
      <c r="N1011" s="272">
        <v>0</v>
      </c>
      <c r="O1011" s="275"/>
      <c r="P1011" s="275"/>
      <c r="Q1011" s="275"/>
      <c r="R1011" s="275"/>
      <c r="S1011" s="275"/>
      <c r="T1011" s="275"/>
      <c r="U1011" s="276">
        <v>0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161</v>
      </c>
      <c r="B1012" s="271" t="s">
        <v>1309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0</v>
      </c>
      <c r="K1012" s="273"/>
      <c r="L1012" s="273"/>
      <c r="M1012" s="274">
        <v>0</v>
      </c>
      <c r="N1012" s="272">
        <v>0</v>
      </c>
      <c r="O1012" s="275"/>
      <c r="P1012" s="275"/>
      <c r="Q1012" s="275"/>
      <c r="R1012" s="275"/>
      <c r="S1012" s="275"/>
      <c r="T1012" s="275"/>
      <c r="U1012" s="276">
        <v>0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161</v>
      </c>
      <c r="B1013" s="271" t="s">
        <v>1310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0</v>
      </c>
      <c r="K1013" s="273"/>
      <c r="L1013" s="273"/>
      <c r="M1013" s="274">
        <v>0</v>
      </c>
      <c r="N1013" s="272">
        <v>0</v>
      </c>
      <c r="O1013" s="275"/>
      <c r="P1013" s="275"/>
      <c r="Q1013" s="275"/>
      <c r="R1013" s="275"/>
      <c r="S1013" s="275"/>
      <c r="T1013" s="275"/>
      <c r="U1013" s="276">
        <v>0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161</v>
      </c>
      <c r="B1014" s="271" t="s">
        <v>1311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0</v>
      </c>
      <c r="K1014" s="273"/>
      <c r="L1014" s="273"/>
      <c r="M1014" s="274">
        <v>0</v>
      </c>
      <c r="N1014" s="272">
        <v>0</v>
      </c>
      <c r="O1014" s="275"/>
      <c r="P1014" s="275"/>
      <c r="Q1014" s="275"/>
      <c r="R1014" s="275"/>
      <c r="S1014" s="275"/>
      <c r="T1014" s="275"/>
      <c r="U1014" s="276">
        <v>0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161</v>
      </c>
      <c r="B1015" s="271" t="s">
        <v>1312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0</v>
      </c>
      <c r="K1015" s="273"/>
      <c r="L1015" s="273"/>
      <c r="M1015" s="274">
        <v>0</v>
      </c>
      <c r="N1015" s="272">
        <v>0</v>
      </c>
      <c r="O1015" s="275"/>
      <c r="P1015" s="275"/>
      <c r="Q1015" s="275"/>
      <c r="R1015" s="275"/>
      <c r="S1015" s="275"/>
      <c r="T1015" s="275"/>
      <c r="U1015" s="276">
        <v>0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161</v>
      </c>
      <c r="B1016" s="271" t="s">
        <v>1313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0</v>
      </c>
      <c r="K1016" s="273"/>
      <c r="L1016" s="273"/>
      <c r="M1016" s="274">
        <v>0</v>
      </c>
      <c r="N1016" s="272">
        <v>0</v>
      </c>
      <c r="O1016" s="275"/>
      <c r="P1016" s="275"/>
      <c r="Q1016" s="275"/>
      <c r="R1016" s="275"/>
      <c r="S1016" s="275"/>
      <c r="T1016" s="275"/>
      <c r="U1016" s="276">
        <v>0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161</v>
      </c>
      <c r="B1017" s="271" t="s">
        <v>1314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0</v>
      </c>
      <c r="K1017" s="273"/>
      <c r="L1017" s="273"/>
      <c r="M1017" s="274">
        <v>0</v>
      </c>
      <c r="N1017" s="272">
        <v>0</v>
      </c>
      <c r="O1017" s="275"/>
      <c r="P1017" s="275"/>
      <c r="Q1017" s="275"/>
      <c r="R1017" s="275"/>
      <c r="S1017" s="275"/>
      <c r="T1017" s="275"/>
      <c r="U1017" s="276">
        <v>0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161</v>
      </c>
      <c r="B1018" s="271" t="s">
        <v>1315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161</v>
      </c>
      <c r="B1019" s="271" t="s">
        <v>1316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161</v>
      </c>
      <c r="B1020" s="271" t="s">
        <v>1317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161</v>
      </c>
      <c r="B1021" s="271" t="s">
        <v>1318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161</v>
      </c>
      <c r="B1022" s="271" t="s">
        <v>1319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161</v>
      </c>
      <c r="B1023" s="271" t="s">
        <v>1320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161</v>
      </c>
      <c r="B1024" s="271" t="s">
        <v>1321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0</v>
      </c>
      <c r="K1024" s="273"/>
      <c r="L1024" s="273"/>
      <c r="M1024" s="274">
        <v>0</v>
      </c>
      <c r="N1024" s="272">
        <v>0</v>
      </c>
      <c r="O1024" s="275"/>
      <c r="P1024" s="275"/>
      <c r="Q1024" s="275"/>
      <c r="R1024" s="275"/>
      <c r="S1024" s="275"/>
      <c r="T1024" s="275"/>
      <c r="U1024" s="276">
        <v>0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161</v>
      </c>
      <c r="B1025" s="271" t="s">
        <v>1322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0</v>
      </c>
      <c r="K1025" s="273"/>
      <c r="L1025" s="273"/>
      <c r="M1025" s="274">
        <v>0</v>
      </c>
      <c r="N1025" s="272">
        <v>0</v>
      </c>
      <c r="O1025" s="275"/>
      <c r="P1025" s="275"/>
      <c r="Q1025" s="275"/>
      <c r="R1025" s="275"/>
      <c r="S1025" s="275"/>
      <c r="T1025" s="275"/>
      <c r="U1025" s="276">
        <v>0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161</v>
      </c>
      <c r="B1026" s="271" t="s">
        <v>1323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0</v>
      </c>
      <c r="K1026" s="273"/>
      <c r="L1026" s="273"/>
      <c r="M1026" s="274">
        <v>0</v>
      </c>
      <c r="N1026" s="272">
        <v>0</v>
      </c>
      <c r="O1026" s="275"/>
      <c r="P1026" s="275"/>
      <c r="Q1026" s="275"/>
      <c r="R1026" s="275"/>
      <c r="S1026" s="275"/>
      <c r="T1026" s="275"/>
      <c r="U1026" s="276">
        <v>0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161</v>
      </c>
      <c r="B1027" s="271" t="s">
        <v>1324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0</v>
      </c>
      <c r="K1027" s="273"/>
      <c r="L1027" s="273"/>
      <c r="M1027" s="274">
        <v>0</v>
      </c>
      <c r="N1027" s="272">
        <v>0</v>
      </c>
      <c r="O1027" s="275"/>
      <c r="P1027" s="275"/>
      <c r="Q1027" s="275"/>
      <c r="R1027" s="275"/>
      <c r="S1027" s="275"/>
      <c r="T1027" s="275"/>
      <c r="U1027" s="276">
        <v>0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161</v>
      </c>
      <c r="B1028" s="271" t="s">
        <v>1325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0</v>
      </c>
      <c r="K1028" s="273"/>
      <c r="L1028" s="273"/>
      <c r="M1028" s="274">
        <v>0</v>
      </c>
      <c r="N1028" s="272">
        <v>0</v>
      </c>
      <c r="O1028" s="275"/>
      <c r="P1028" s="275"/>
      <c r="Q1028" s="275"/>
      <c r="R1028" s="275"/>
      <c r="S1028" s="275"/>
      <c r="T1028" s="275"/>
      <c r="U1028" s="276">
        <v>0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161</v>
      </c>
      <c r="B1029" s="271" t="s">
        <v>1326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0</v>
      </c>
      <c r="K1029" s="273"/>
      <c r="L1029" s="273"/>
      <c r="M1029" s="274">
        <v>0</v>
      </c>
      <c r="N1029" s="272">
        <v>0</v>
      </c>
      <c r="O1029" s="275"/>
      <c r="P1029" s="275"/>
      <c r="Q1029" s="275"/>
      <c r="R1029" s="275"/>
      <c r="S1029" s="275"/>
      <c r="T1029" s="275"/>
      <c r="U1029" s="276">
        <v>0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161</v>
      </c>
      <c r="B1030" s="271" t="s">
        <v>1327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0</v>
      </c>
      <c r="K1030" s="273"/>
      <c r="L1030" s="273"/>
      <c r="M1030" s="274">
        <v>0</v>
      </c>
      <c r="N1030" s="272">
        <v>0</v>
      </c>
      <c r="O1030" s="275"/>
      <c r="P1030" s="275"/>
      <c r="Q1030" s="275"/>
      <c r="R1030" s="275"/>
      <c r="S1030" s="275"/>
      <c r="T1030" s="275"/>
      <c r="U1030" s="276">
        <v>0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161</v>
      </c>
      <c r="B1031" s="271" t="s">
        <v>1328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0</v>
      </c>
      <c r="K1031" s="273"/>
      <c r="L1031" s="273"/>
      <c r="M1031" s="274">
        <v>0</v>
      </c>
      <c r="N1031" s="272">
        <v>0</v>
      </c>
      <c r="O1031" s="275"/>
      <c r="P1031" s="275"/>
      <c r="Q1031" s="275"/>
      <c r="R1031" s="275"/>
      <c r="S1031" s="275"/>
      <c r="T1031" s="275"/>
      <c r="U1031" s="276">
        <v>0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161</v>
      </c>
      <c r="B1032" s="271" t="s">
        <v>1329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0</v>
      </c>
      <c r="K1032" s="273"/>
      <c r="L1032" s="273"/>
      <c r="M1032" s="274">
        <v>0</v>
      </c>
      <c r="N1032" s="272">
        <v>0</v>
      </c>
      <c r="O1032" s="275"/>
      <c r="P1032" s="275"/>
      <c r="Q1032" s="275"/>
      <c r="R1032" s="275"/>
      <c r="S1032" s="275"/>
      <c r="T1032" s="275"/>
      <c r="U1032" s="276">
        <v>0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161</v>
      </c>
      <c r="B1033" s="271" t="s">
        <v>1330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0</v>
      </c>
      <c r="K1033" s="273"/>
      <c r="L1033" s="273"/>
      <c r="M1033" s="274">
        <v>0</v>
      </c>
      <c r="N1033" s="272">
        <v>0</v>
      </c>
      <c r="O1033" s="275"/>
      <c r="P1033" s="275"/>
      <c r="Q1033" s="275"/>
      <c r="R1033" s="275"/>
      <c r="S1033" s="275"/>
      <c r="T1033" s="275"/>
      <c r="U1033" s="276">
        <v>0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161</v>
      </c>
      <c r="B1034" s="271" t="s">
        <v>1331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0</v>
      </c>
      <c r="K1034" s="273"/>
      <c r="L1034" s="273"/>
      <c r="M1034" s="274">
        <v>0</v>
      </c>
      <c r="N1034" s="272">
        <v>0</v>
      </c>
      <c r="O1034" s="275"/>
      <c r="P1034" s="275"/>
      <c r="Q1034" s="275"/>
      <c r="R1034" s="275"/>
      <c r="S1034" s="275"/>
      <c r="T1034" s="275"/>
      <c r="U1034" s="276">
        <v>0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161</v>
      </c>
      <c r="B1035" s="271" t="s">
        <v>1332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0</v>
      </c>
      <c r="K1035" s="273"/>
      <c r="L1035" s="273"/>
      <c r="M1035" s="274">
        <v>0</v>
      </c>
      <c r="N1035" s="272">
        <v>0</v>
      </c>
      <c r="O1035" s="275"/>
      <c r="P1035" s="275"/>
      <c r="Q1035" s="275"/>
      <c r="R1035" s="275"/>
      <c r="S1035" s="275"/>
      <c r="T1035" s="275"/>
      <c r="U1035" s="276">
        <v>0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161</v>
      </c>
      <c r="B1036" s="271" t="s">
        <v>1333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0</v>
      </c>
      <c r="K1036" s="273"/>
      <c r="L1036" s="273"/>
      <c r="M1036" s="274">
        <v>0</v>
      </c>
      <c r="N1036" s="272">
        <v>0</v>
      </c>
      <c r="O1036" s="275"/>
      <c r="P1036" s="275"/>
      <c r="Q1036" s="275"/>
      <c r="R1036" s="275"/>
      <c r="S1036" s="275"/>
      <c r="T1036" s="275"/>
      <c r="U1036" s="276">
        <v>0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161</v>
      </c>
      <c r="B1037" s="271" t="s">
        <v>1334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0</v>
      </c>
      <c r="K1037" s="273"/>
      <c r="L1037" s="273"/>
      <c r="M1037" s="274">
        <v>0</v>
      </c>
      <c r="N1037" s="272">
        <v>0</v>
      </c>
      <c r="O1037" s="275"/>
      <c r="P1037" s="275"/>
      <c r="Q1037" s="275"/>
      <c r="R1037" s="275"/>
      <c r="S1037" s="275"/>
      <c r="T1037" s="275"/>
      <c r="U1037" s="276">
        <v>0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161</v>
      </c>
      <c r="B1038" s="271" t="s">
        <v>1335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0</v>
      </c>
      <c r="K1038" s="273"/>
      <c r="L1038" s="273"/>
      <c r="M1038" s="274">
        <v>0</v>
      </c>
      <c r="N1038" s="272">
        <v>0</v>
      </c>
      <c r="O1038" s="275"/>
      <c r="P1038" s="275"/>
      <c r="Q1038" s="275"/>
      <c r="R1038" s="275"/>
      <c r="S1038" s="275"/>
      <c r="T1038" s="275"/>
      <c r="U1038" s="276">
        <v>0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161</v>
      </c>
      <c r="B1039" s="271" t="s">
        <v>1336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0</v>
      </c>
      <c r="K1039" s="273"/>
      <c r="L1039" s="273"/>
      <c r="M1039" s="274">
        <v>0</v>
      </c>
      <c r="N1039" s="272">
        <v>0</v>
      </c>
      <c r="O1039" s="275"/>
      <c r="P1039" s="275"/>
      <c r="Q1039" s="275"/>
      <c r="R1039" s="275"/>
      <c r="S1039" s="275"/>
      <c r="T1039" s="275"/>
      <c r="U1039" s="276">
        <v>0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161</v>
      </c>
      <c r="B1040" s="271" t="s">
        <v>1337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0</v>
      </c>
      <c r="K1040" s="273"/>
      <c r="L1040" s="273"/>
      <c r="M1040" s="274">
        <v>0</v>
      </c>
      <c r="N1040" s="272">
        <v>0</v>
      </c>
      <c r="O1040" s="275"/>
      <c r="P1040" s="275"/>
      <c r="Q1040" s="275"/>
      <c r="R1040" s="275"/>
      <c r="S1040" s="275"/>
      <c r="T1040" s="275"/>
      <c r="U1040" s="276">
        <v>0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161</v>
      </c>
      <c r="B1041" s="271" t="s">
        <v>1338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0</v>
      </c>
      <c r="K1041" s="273"/>
      <c r="L1041" s="273"/>
      <c r="M1041" s="274">
        <v>0</v>
      </c>
      <c r="N1041" s="272">
        <v>0</v>
      </c>
      <c r="O1041" s="275"/>
      <c r="P1041" s="275"/>
      <c r="Q1041" s="275"/>
      <c r="R1041" s="275"/>
      <c r="S1041" s="275"/>
      <c r="T1041" s="275"/>
      <c r="U1041" s="276">
        <v>0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161</v>
      </c>
      <c r="B1042" s="271" t="s">
        <v>1339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161</v>
      </c>
      <c r="B1043" s="271" t="s">
        <v>1340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161</v>
      </c>
      <c r="B1044" s="271" t="s">
        <v>1341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161</v>
      </c>
      <c r="B1045" s="271" t="s">
        <v>1342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161</v>
      </c>
      <c r="B1046" s="271" t="s">
        <v>1343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161</v>
      </c>
      <c r="B1047" s="271" t="s">
        <v>1344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161</v>
      </c>
      <c r="B1048" s="271" t="s">
        <v>354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3</v>
      </c>
      <c r="K1048" s="273">
        <v>77015</v>
      </c>
      <c r="L1048" s="273">
        <v>82660</v>
      </c>
      <c r="M1048" s="274">
        <v>1</v>
      </c>
      <c r="N1048" s="272">
        <v>3</v>
      </c>
      <c r="O1048" s="275">
        <v>27.544</v>
      </c>
      <c r="P1048" s="275">
        <v>77015</v>
      </c>
      <c r="Q1048" s="275">
        <v>76987.456000000006</v>
      </c>
      <c r="R1048" s="275">
        <v>-82687.543999999994</v>
      </c>
      <c r="S1048" s="275">
        <v>-82660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161</v>
      </c>
      <c r="B1049" s="271" t="s">
        <v>355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1</v>
      </c>
      <c r="K1049" s="273">
        <v>76180</v>
      </c>
      <c r="L1049" s="273">
        <v>83495</v>
      </c>
      <c r="M1049" s="274">
        <v>1</v>
      </c>
      <c r="N1049" s="272">
        <v>1</v>
      </c>
      <c r="O1049" s="275">
        <v>27.544</v>
      </c>
      <c r="P1049" s="275">
        <v>76180</v>
      </c>
      <c r="Q1049" s="275">
        <v>76152.456000000006</v>
      </c>
      <c r="R1049" s="275">
        <v>-83522.543999999994</v>
      </c>
      <c r="S1049" s="275">
        <v>-83495</v>
      </c>
      <c r="T1049" s="275">
        <v>27.544</v>
      </c>
      <c r="U1049" s="276">
        <v>1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161</v>
      </c>
      <c r="B1050" s="271" t="s">
        <v>356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0</v>
      </c>
      <c r="K1050" s="273"/>
      <c r="L1050" s="273"/>
      <c r="M1050" s="274">
        <v>0</v>
      </c>
      <c r="N1050" s="272">
        <v>0</v>
      </c>
      <c r="O1050" s="275"/>
      <c r="P1050" s="275"/>
      <c r="Q1050" s="275"/>
      <c r="R1050" s="275"/>
      <c r="S1050" s="275"/>
      <c r="T1050" s="275"/>
      <c r="U1050" s="276">
        <v>0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161</v>
      </c>
      <c r="B1051" s="271" t="s">
        <v>357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0</v>
      </c>
      <c r="K1051" s="273"/>
      <c r="L1051" s="273"/>
      <c r="M1051" s="274">
        <v>0</v>
      </c>
      <c r="N1051" s="272">
        <v>0</v>
      </c>
      <c r="O1051" s="275"/>
      <c r="P1051" s="275"/>
      <c r="Q1051" s="275"/>
      <c r="R1051" s="275"/>
      <c r="S1051" s="275"/>
      <c r="T1051" s="275"/>
      <c r="U1051" s="276">
        <v>0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161</v>
      </c>
      <c r="B1052" s="271" t="s">
        <v>1345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0</v>
      </c>
      <c r="K1052" s="273"/>
      <c r="L1052" s="273"/>
      <c r="M1052" s="274">
        <v>0</v>
      </c>
      <c r="N1052" s="272">
        <v>0</v>
      </c>
      <c r="O1052" s="275"/>
      <c r="P1052" s="275"/>
      <c r="Q1052" s="275"/>
      <c r="R1052" s="275"/>
      <c r="S1052" s="275"/>
      <c r="T1052" s="275"/>
      <c r="U1052" s="276">
        <v>0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161</v>
      </c>
      <c r="B1053" s="271" t="s">
        <v>358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0</v>
      </c>
      <c r="K1053" s="273"/>
      <c r="L1053" s="273"/>
      <c r="M1053" s="274">
        <v>0</v>
      </c>
      <c r="N1053" s="272">
        <v>0</v>
      </c>
      <c r="O1053" s="275"/>
      <c r="P1053" s="275"/>
      <c r="Q1053" s="275"/>
      <c r="R1053" s="275"/>
      <c r="S1053" s="275"/>
      <c r="T1053" s="275"/>
      <c r="U1053" s="276">
        <v>0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161</v>
      </c>
      <c r="B1054" s="271" t="s">
        <v>359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0</v>
      </c>
      <c r="K1054" s="273"/>
      <c r="L1054" s="273"/>
      <c r="M1054" s="274">
        <v>0</v>
      </c>
      <c r="N1054" s="272">
        <v>0</v>
      </c>
      <c r="O1054" s="275"/>
      <c r="P1054" s="275"/>
      <c r="Q1054" s="275"/>
      <c r="R1054" s="275"/>
      <c r="S1054" s="275"/>
      <c r="T1054" s="275"/>
      <c r="U1054" s="276">
        <v>0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161</v>
      </c>
      <c r="B1055" s="271" t="s">
        <v>360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0</v>
      </c>
      <c r="K1055" s="273"/>
      <c r="L1055" s="273"/>
      <c r="M1055" s="274">
        <v>0</v>
      </c>
      <c r="N1055" s="272">
        <v>0</v>
      </c>
      <c r="O1055" s="275"/>
      <c r="P1055" s="275"/>
      <c r="Q1055" s="275"/>
      <c r="R1055" s="275"/>
      <c r="S1055" s="275"/>
      <c r="T1055" s="275"/>
      <c r="U1055" s="276">
        <v>0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161</v>
      </c>
      <c r="B1056" s="271" t="s">
        <v>1346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0</v>
      </c>
      <c r="K1056" s="273"/>
      <c r="L1056" s="273"/>
      <c r="M1056" s="274">
        <v>0</v>
      </c>
      <c r="N1056" s="272">
        <v>0</v>
      </c>
      <c r="O1056" s="275"/>
      <c r="P1056" s="275"/>
      <c r="Q1056" s="275"/>
      <c r="R1056" s="275"/>
      <c r="S1056" s="275"/>
      <c r="T1056" s="275"/>
      <c r="U1056" s="276">
        <v>0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161</v>
      </c>
      <c r="B1057" s="271" t="s">
        <v>361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0</v>
      </c>
      <c r="K1057" s="273"/>
      <c r="L1057" s="273"/>
      <c r="M1057" s="274">
        <v>0</v>
      </c>
      <c r="N1057" s="272">
        <v>0</v>
      </c>
      <c r="O1057" s="275"/>
      <c r="P1057" s="275"/>
      <c r="Q1057" s="275"/>
      <c r="R1057" s="275"/>
      <c r="S1057" s="275"/>
      <c r="T1057" s="275"/>
      <c r="U1057" s="276">
        <v>0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161</v>
      </c>
      <c r="B1058" s="271" t="s">
        <v>362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0</v>
      </c>
      <c r="K1058" s="273"/>
      <c r="L1058" s="273"/>
      <c r="M1058" s="274">
        <v>0</v>
      </c>
      <c r="N1058" s="272">
        <v>0</v>
      </c>
      <c r="O1058" s="275"/>
      <c r="P1058" s="275"/>
      <c r="Q1058" s="275"/>
      <c r="R1058" s="275"/>
      <c r="S1058" s="275"/>
      <c r="T1058" s="275"/>
      <c r="U1058" s="276">
        <v>0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161</v>
      </c>
      <c r="B1059" s="271" t="s">
        <v>363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0</v>
      </c>
      <c r="K1059" s="273"/>
      <c r="L1059" s="273"/>
      <c r="M1059" s="274">
        <v>0</v>
      </c>
      <c r="N1059" s="272">
        <v>0</v>
      </c>
      <c r="O1059" s="275"/>
      <c r="P1059" s="275"/>
      <c r="Q1059" s="275"/>
      <c r="R1059" s="275"/>
      <c r="S1059" s="275"/>
      <c r="T1059" s="275"/>
      <c r="U1059" s="276">
        <v>0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161</v>
      </c>
      <c r="B1060" s="271" t="s">
        <v>1347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0</v>
      </c>
      <c r="K1060" s="273"/>
      <c r="L1060" s="273"/>
      <c r="M1060" s="274">
        <v>0</v>
      </c>
      <c r="N1060" s="272">
        <v>0</v>
      </c>
      <c r="O1060" s="275"/>
      <c r="P1060" s="275"/>
      <c r="Q1060" s="275"/>
      <c r="R1060" s="275"/>
      <c r="S1060" s="275"/>
      <c r="T1060" s="275"/>
      <c r="U1060" s="276">
        <v>0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161</v>
      </c>
      <c r="B1061" s="271" t="s">
        <v>364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0</v>
      </c>
      <c r="K1061" s="273"/>
      <c r="L1061" s="273"/>
      <c r="M1061" s="274">
        <v>0</v>
      </c>
      <c r="N1061" s="272">
        <v>0</v>
      </c>
      <c r="O1061" s="275"/>
      <c r="P1061" s="275"/>
      <c r="Q1061" s="275"/>
      <c r="R1061" s="275"/>
      <c r="S1061" s="275"/>
      <c r="T1061" s="275"/>
      <c r="U1061" s="276">
        <v>0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161</v>
      </c>
      <c r="B1062" s="271" t="s">
        <v>365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0</v>
      </c>
      <c r="K1062" s="273"/>
      <c r="L1062" s="273"/>
      <c r="M1062" s="274">
        <v>0</v>
      </c>
      <c r="N1062" s="272">
        <v>0</v>
      </c>
      <c r="O1062" s="275"/>
      <c r="P1062" s="275"/>
      <c r="Q1062" s="275"/>
      <c r="R1062" s="275"/>
      <c r="S1062" s="275"/>
      <c r="T1062" s="275"/>
      <c r="U1062" s="276">
        <v>0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161</v>
      </c>
      <c r="B1063" s="271" t="s">
        <v>366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0</v>
      </c>
      <c r="K1063" s="273"/>
      <c r="L1063" s="273"/>
      <c r="M1063" s="274">
        <v>0</v>
      </c>
      <c r="N1063" s="272">
        <v>0</v>
      </c>
      <c r="O1063" s="275"/>
      <c r="P1063" s="275"/>
      <c r="Q1063" s="275"/>
      <c r="R1063" s="275"/>
      <c r="S1063" s="275"/>
      <c r="T1063" s="275"/>
      <c r="U1063" s="276">
        <v>0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161</v>
      </c>
      <c r="B1064" s="271" t="s">
        <v>1348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0</v>
      </c>
      <c r="K1064" s="273"/>
      <c r="L1064" s="273"/>
      <c r="M1064" s="274">
        <v>0</v>
      </c>
      <c r="N1064" s="272">
        <v>0</v>
      </c>
      <c r="O1064" s="275"/>
      <c r="P1064" s="275"/>
      <c r="Q1064" s="275"/>
      <c r="R1064" s="275"/>
      <c r="S1064" s="275"/>
      <c r="T1064" s="275"/>
      <c r="U1064" s="276">
        <v>0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161</v>
      </c>
      <c r="B1065" s="271" t="s">
        <v>367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0</v>
      </c>
      <c r="K1065" s="273"/>
      <c r="L1065" s="273"/>
      <c r="M1065" s="274">
        <v>0</v>
      </c>
      <c r="N1065" s="272">
        <v>0</v>
      </c>
      <c r="O1065" s="275"/>
      <c r="P1065" s="275"/>
      <c r="Q1065" s="275"/>
      <c r="R1065" s="275"/>
      <c r="S1065" s="275"/>
      <c r="T1065" s="275"/>
      <c r="U1065" s="276">
        <v>0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161</v>
      </c>
      <c r="B1066" s="271" t="s">
        <v>368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0</v>
      </c>
      <c r="K1066" s="273"/>
      <c r="L1066" s="273"/>
      <c r="M1066" s="274">
        <v>0</v>
      </c>
      <c r="N1066" s="272">
        <v>0</v>
      </c>
      <c r="O1066" s="275"/>
      <c r="P1066" s="275"/>
      <c r="Q1066" s="275"/>
      <c r="R1066" s="275"/>
      <c r="S1066" s="275"/>
      <c r="T1066" s="275"/>
      <c r="U1066" s="276">
        <v>0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161</v>
      </c>
      <c r="B1067" s="271" t="s">
        <v>369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0</v>
      </c>
      <c r="K1067" s="273"/>
      <c r="L1067" s="273"/>
      <c r="M1067" s="274">
        <v>0</v>
      </c>
      <c r="N1067" s="272">
        <v>0</v>
      </c>
      <c r="O1067" s="275"/>
      <c r="P1067" s="275"/>
      <c r="Q1067" s="275"/>
      <c r="R1067" s="275"/>
      <c r="S1067" s="275"/>
      <c r="T1067" s="275"/>
      <c r="U1067" s="276">
        <v>0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161</v>
      </c>
      <c r="B1068" s="271" t="s">
        <v>1349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161</v>
      </c>
      <c r="B1069" s="271" t="s">
        <v>1350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0</v>
      </c>
      <c r="K1069" s="273"/>
      <c r="L1069" s="273"/>
      <c r="M1069" s="274">
        <v>0</v>
      </c>
      <c r="N1069" s="272">
        <v>0</v>
      </c>
      <c r="O1069" s="275"/>
      <c r="P1069" s="275"/>
      <c r="Q1069" s="275"/>
      <c r="R1069" s="275"/>
      <c r="S1069" s="275"/>
      <c r="T1069" s="275"/>
      <c r="U1069" s="276">
        <v>0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161</v>
      </c>
      <c r="B1070" s="271" t="s">
        <v>1351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0</v>
      </c>
      <c r="K1070" s="273"/>
      <c r="L1070" s="273"/>
      <c r="M1070" s="274">
        <v>0</v>
      </c>
      <c r="N1070" s="272">
        <v>0</v>
      </c>
      <c r="O1070" s="275"/>
      <c r="P1070" s="275"/>
      <c r="Q1070" s="275"/>
      <c r="R1070" s="275"/>
      <c r="S1070" s="275"/>
      <c r="T1070" s="275"/>
      <c r="U1070" s="276">
        <v>0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161</v>
      </c>
      <c r="B1071" s="271" t="s">
        <v>1352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0</v>
      </c>
      <c r="K1071" s="273"/>
      <c r="L1071" s="273"/>
      <c r="M1071" s="274">
        <v>0</v>
      </c>
      <c r="N1071" s="272">
        <v>0</v>
      </c>
      <c r="O1071" s="275"/>
      <c r="P1071" s="275"/>
      <c r="Q1071" s="275"/>
      <c r="R1071" s="275"/>
      <c r="S1071" s="275"/>
      <c r="T1071" s="275"/>
      <c r="U1071" s="276">
        <v>0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161</v>
      </c>
      <c r="B1072" s="271" t="s">
        <v>1353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0</v>
      </c>
      <c r="K1072" s="273"/>
      <c r="L1072" s="273"/>
      <c r="M1072" s="274">
        <v>0</v>
      </c>
      <c r="N1072" s="272">
        <v>0</v>
      </c>
      <c r="O1072" s="275"/>
      <c r="P1072" s="275"/>
      <c r="Q1072" s="275"/>
      <c r="R1072" s="275"/>
      <c r="S1072" s="275"/>
      <c r="T1072" s="275"/>
      <c r="U1072" s="276">
        <v>0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161</v>
      </c>
      <c r="B1073" s="271" t="s">
        <v>370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0</v>
      </c>
      <c r="K1073" s="273"/>
      <c r="L1073" s="273"/>
      <c r="M1073" s="274">
        <v>0</v>
      </c>
      <c r="N1073" s="272">
        <v>0</v>
      </c>
      <c r="O1073" s="275"/>
      <c r="P1073" s="275"/>
      <c r="Q1073" s="275"/>
      <c r="R1073" s="275"/>
      <c r="S1073" s="275"/>
      <c r="T1073" s="275"/>
      <c r="U1073" s="276">
        <v>0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161</v>
      </c>
      <c r="B1074" s="271" t="s">
        <v>371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0</v>
      </c>
      <c r="K1074" s="273"/>
      <c r="L1074" s="273"/>
      <c r="M1074" s="274">
        <v>0</v>
      </c>
      <c r="N1074" s="272">
        <v>0</v>
      </c>
      <c r="O1074" s="275"/>
      <c r="P1074" s="275"/>
      <c r="Q1074" s="275"/>
      <c r="R1074" s="275"/>
      <c r="S1074" s="275"/>
      <c r="T1074" s="275"/>
      <c r="U1074" s="276">
        <v>0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161</v>
      </c>
      <c r="B1075" s="271" t="s">
        <v>1354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0</v>
      </c>
      <c r="K1075" s="273"/>
      <c r="L1075" s="273"/>
      <c r="M1075" s="274">
        <v>0</v>
      </c>
      <c r="N1075" s="272">
        <v>0</v>
      </c>
      <c r="O1075" s="275"/>
      <c r="P1075" s="275"/>
      <c r="Q1075" s="275"/>
      <c r="R1075" s="275"/>
      <c r="S1075" s="275"/>
      <c r="T1075" s="275"/>
      <c r="U1075" s="276">
        <v>0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161</v>
      </c>
      <c r="B1076" s="271" t="s">
        <v>372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0</v>
      </c>
      <c r="K1076" s="273"/>
      <c r="L1076" s="273"/>
      <c r="M1076" s="274">
        <v>0</v>
      </c>
      <c r="N1076" s="272">
        <v>0</v>
      </c>
      <c r="O1076" s="275"/>
      <c r="P1076" s="275"/>
      <c r="Q1076" s="275"/>
      <c r="R1076" s="275"/>
      <c r="S1076" s="275"/>
      <c r="T1076" s="275"/>
      <c r="U1076" s="276">
        <v>0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161</v>
      </c>
      <c r="B1077" s="271" t="s">
        <v>373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0</v>
      </c>
      <c r="K1077" s="273"/>
      <c r="L1077" s="273"/>
      <c r="M1077" s="274">
        <v>0</v>
      </c>
      <c r="N1077" s="272">
        <v>0</v>
      </c>
      <c r="O1077" s="275"/>
      <c r="P1077" s="275"/>
      <c r="Q1077" s="275"/>
      <c r="R1077" s="275"/>
      <c r="S1077" s="275"/>
      <c r="T1077" s="275"/>
      <c r="U1077" s="276">
        <v>0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161</v>
      </c>
      <c r="B1078" s="271" t="s">
        <v>1355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0</v>
      </c>
      <c r="K1078" s="273"/>
      <c r="L1078" s="273"/>
      <c r="M1078" s="274">
        <v>0</v>
      </c>
      <c r="N1078" s="272">
        <v>0</v>
      </c>
      <c r="O1078" s="275"/>
      <c r="P1078" s="275"/>
      <c r="Q1078" s="275"/>
      <c r="R1078" s="275"/>
      <c r="S1078" s="275"/>
      <c r="T1078" s="275"/>
      <c r="U1078" s="276">
        <v>0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161</v>
      </c>
      <c r="B1079" s="271" t="s">
        <v>374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0</v>
      </c>
      <c r="K1079" s="273"/>
      <c r="L1079" s="273"/>
      <c r="M1079" s="274">
        <v>0</v>
      </c>
      <c r="N1079" s="272">
        <v>0</v>
      </c>
      <c r="O1079" s="275"/>
      <c r="P1079" s="275"/>
      <c r="Q1079" s="275"/>
      <c r="R1079" s="275"/>
      <c r="S1079" s="275"/>
      <c r="T1079" s="275"/>
      <c r="U1079" s="276">
        <v>0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161</v>
      </c>
      <c r="B1080" s="271" t="s">
        <v>375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0</v>
      </c>
      <c r="K1080" s="273"/>
      <c r="L1080" s="273"/>
      <c r="M1080" s="274">
        <v>0</v>
      </c>
      <c r="N1080" s="272">
        <v>0</v>
      </c>
      <c r="O1080" s="275"/>
      <c r="P1080" s="275"/>
      <c r="Q1080" s="275"/>
      <c r="R1080" s="275"/>
      <c r="S1080" s="275"/>
      <c r="T1080" s="275"/>
      <c r="U1080" s="276">
        <v>0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161</v>
      </c>
      <c r="B1081" s="271" t="s">
        <v>1356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161</v>
      </c>
      <c r="B1082" s="271" t="s">
        <v>1357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0</v>
      </c>
      <c r="K1082" s="273"/>
      <c r="L1082" s="273"/>
      <c r="M1082" s="274">
        <v>0</v>
      </c>
      <c r="N1082" s="272">
        <v>0</v>
      </c>
      <c r="O1082" s="275"/>
      <c r="P1082" s="275"/>
      <c r="Q1082" s="275"/>
      <c r="R1082" s="275"/>
      <c r="S1082" s="275"/>
      <c r="T1082" s="275"/>
      <c r="U1082" s="276">
        <v>0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161</v>
      </c>
      <c r="B1083" s="271" t="s">
        <v>1358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0</v>
      </c>
      <c r="K1083" s="273"/>
      <c r="L1083" s="273"/>
      <c r="M1083" s="274">
        <v>0</v>
      </c>
      <c r="N1083" s="272">
        <v>0</v>
      </c>
      <c r="O1083" s="275"/>
      <c r="P1083" s="275"/>
      <c r="Q1083" s="275"/>
      <c r="R1083" s="275"/>
      <c r="S1083" s="275"/>
      <c r="T1083" s="275"/>
      <c r="U1083" s="276">
        <v>0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161</v>
      </c>
      <c r="B1084" s="271" t="s">
        <v>1359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161</v>
      </c>
      <c r="B1085" s="271" t="s">
        <v>376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0</v>
      </c>
      <c r="K1085" s="273"/>
      <c r="L1085" s="273"/>
      <c r="M1085" s="274">
        <v>0</v>
      </c>
      <c r="N1085" s="272">
        <v>0</v>
      </c>
      <c r="O1085" s="275"/>
      <c r="P1085" s="275"/>
      <c r="Q1085" s="275"/>
      <c r="R1085" s="275"/>
      <c r="S1085" s="275"/>
      <c r="T1085" s="275"/>
      <c r="U1085" s="276">
        <v>0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161</v>
      </c>
      <c r="B1086" s="271" t="s">
        <v>377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0</v>
      </c>
      <c r="K1086" s="273"/>
      <c r="L1086" s="273"/>
      <c r="M1086" s="274">
        <v>0</v>
      </c>
      <c r="N1086" s="272">
        <v>0</v>
      </c>
      <c r="O1086" s="275"/>
      <c r="P1086" s="275"/>
      <c r="Q1086" s="275"/>
      <c r="R1086" s="275"/>
      <c r="S1086" s="275"/>
      <c r="T1086" s="275"/>
      <c r="U1086" s="276">
        <v>0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161</v>
      </c>
      <c r="B1087" s="271" t="s">
        <v>1360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0</v>
      </c>
      <c r="K1087" s="273"/>
      <c r="L1087" s="273"/>
      <c r="M1087" s="274">
        <v>0</v>
      </c>
      <c r="N1087" s="272">
        <v>0</v>
      </c>
      <c r="O1087" s="275"/>
      <c r="P1087" s="275"/>
      <c r="Q1087" s="275"/>
      <c r="R1087" s="275"/>
      <c r="S1087" s="275"/>
      <c r="T1087" s="275"/>
      <c r="U1087" s="276">
        <v>0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161</v>
      </c>
      <c r="B1088" s="271" t="s">
        <v>378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0</v>
      </c>
      <c r="K1088" s="273"/>
      <c r="L1088" s="273"/>
      <c r="M1088" s="274">
        <v>0</v>
      </c>
      <c r="N1088" s="272">
        <v>0</v>
      </c>
      <c r="O1088" s="275"/>
      <c r="P1088" s="275"/>
      <c r="Q1088" s="275"/>
      <c r="R1088" s="275"/>
      <c r="S1088" s="275"/>
      <c r="T1088" s="275"/>
      <c r="U1088" s="276">
        <v>0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161</v>
      </c>
      <c r="B1089" s="271" t="s">
        <v>379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0</v>
      </c>
      <c r="K1089" s="273"/>
      <c r="L1089" s="273"/>
      <c r="M1089" s="274">
        <v>0</v>
      </c>
      <c r="N1089" s="272">
        <v>0</v>
      </c>
      <c r="O1089" s="275"/>
      <c r="P1089" s="275"/>
      <c r="Q1089" s="275"/>
      <c r="R1089" s="275"/>
      <c r="S1089" s="275"/>
      <c r="T1089" s="275"/>
      <c r="U1089" s="276">
        <v>0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161</v>
      </c>
      <c r="B1090" s="271" t="s">
        <v>1361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0</v>
      </c>
      <c r="K1090" s="273"/>
      <c r="L1090" s="273"/>
      <c r="M1090" s="274">
        <v>0</v>
      </c>
      <c r="N1090" s="272">
        <v>0</v>
      </c>
      <c r="O1090" s="275"/>
      <c r="P1090" s="275"/>
      <c r="Q1090" s="275"/>
      <c r="R1090" s="275"/>
      <c r="S1090" s="275"/>
      <c r="T1090" s="275"/>
      <c r="U1090" s="276">
        <v>0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161</v>
      </c>
      <c r="B1091" s="271" t="s">
        <v>380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0</v>
      </c>
      <c r="K1091" s="273"/>
      <c r="L1091" s="273"/>
      <c r="M1091" s="274">
        <v>0</v>
      </c>
      <c r="N1091" s="272">
        <v>0</v>
      </c>
      <c r="O1091" s="275"/>
      <c r="P1091" s="275"/>
      <c r="Q1091" s="275"/>
      <c r="R1091" s="275"/>
      <c r="S1091" s="275"/>
      <c r="T1091" s="275"/>
      <c r="U1091" s="276">
        <v>0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161</v>
      </c>
      <c r="B1092" s="271" t="s">
        <v>381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0</v>
      </c>
      <c r="K1092" s="273"/>
      <c r="L1092" s="273"/>
      <c r="M1092" s="274">
        <v>0</v>
      </c>
      <c r="N1092" s="272">
        <v>0</v>
      </c>
      <c r="O1092" s="275"/>
      <c r="P1092" s="275"/>
      <c r="Q1092" s="275"/>
      <c r="R1092" s="275"/>
      <c r="S1092" s="275"/>
      <c r="T1092" s="275"/>
      <c r="U1092" s="276">
        <v>0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161</v>
      </c>
      <c r="B1093" s="271" t="s">
        <v>1362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161</v>
      </c>
      <c r="B1094" s="271" t="s">
        <v>1363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0</v>
      </c>
      <c r="K1094" s="273"/>
      <c r="L1094" s="273"/>
      <c r="M1094" s="274">
        <v>0</v>
      </c>
      <c r="N1094" s="272">
        <v>0</v>
      </c>
      <c r="O1094" s="275"/>
      <c r="P1094" s="275"/>
      <c r="Q1094" s="275"/>
      <c r="R1094" s="275"/>
      <c r="S1094" s="275"/>
      <c r="T1094" s="275"/>
      <c r="U1094" s="276">
        <v>0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161</v>
      </c>
      <c r="B1095" s="271" t="s">
        <v>1364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0</v>
      </c>
      <c r="K1095" s="273"/>
      <c r="L1095" s="273"/>
      <c r="M1095" s="274">
        <v>0</v>
      </c>
      <c r="N1095" s="272">
        <v>0</v>
      </c>
      <c r="O1095" s="275"/>
      <c r="P1095" s="275"/>
      <c r="Q1095" s="275"/>
      <c r="R1095" s="275"/>
      <c r="S1095" s="275"/>
      <c r="T1095" s="275"/>
      <c r="U1095" s="276">
        <v>0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161</v>
      </c>
      <c r="B1096" s="271" t="s">
        <v>1365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161</v>
      </c>
      <c r="B1097" s="271" t="s">
        <v>382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0</v>
      </c>
      <c r="K1097" s="273"/>
      <c r="L1097" s="273"/>
      <c r="M1097" s="274">
        <v>0</v>
      </c>
      <c r="N1097" s="272">
        <v>0</v>
      </c>
      <c r="O1097" s="275"/>
      <c r="P1097" s="275"/>
      <c r="Q1097" s="275"/>
      <c r="R1097" s="275"/>
      <c r="S1097" s="275"/>
      <c r="T1097" s="275"/>
      <c r="U1097" s="276">
        <v>0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161</v>
      </c>
      <c r="B1098" s="271" t="s">
        <v>383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0</v>
      </c>
      <c r="K1098" s="273"/>
      <c r="L1098" s="273"/>
      <c r="M1098" s="274">
        <v>0</v>
      </c>
      <c r="N1098" s="272">
        <v>0</v>
      </c>
      <c r="O1098" s="275"/>
      <c r="P1098" s="275"/>
      <c r="Q1098" s="275"/>
      <c r="R1098" s="275"/>
      <c r="S1098" s="275"/>
      <c r="T1098" s="275"/>
      <c r="U1098" s="276">
        <v>0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161</v>
      </c>
      <c r="B1099" s="271" t="s">
        <v>1366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0</v>
      </c>
      <c r="K1099" s="273"/>
      <c r="L1099" s="273"/>
      <c r="M1099" s="274">
        <v>0</v>
      </c>
      <c r="N1099" s="272">
        <v>0</v>
      </c>
      <c r="O1099" s="275"/>
      <c r="P1099" s="275"/>
      <c r="Q1099" s="275"/>
      <c r="R1099" s="275"/>
      <c r="S1099" s="275"/>
      <c r="T1099" s="275"/>
      <c r="U1099" s="276">
        <v>0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161</v>
      </c>
      <c r="B1100" s="271" t="s">
        <v>384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0</v>
      </c>
      <c r="K1100" s="273"/>
      <c r="L1100" s="273"/>
      <c r="M1100" s="274">
        <v>0</v>
      </c>
      <c r="N1100" s="272">
        <v>0</v>
      </c>
      <c r="O1100" s="275"/>
      <c r="P1100" s="275"/>
      <c r="Q1100" s="275"/>
      <c r="R1100" s="275"/>
      <c r="S1100" s="275"/>
      <c r="T1100" s="275"/>
      <c r="U1100" s="276">
        <v>0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161</v>
      </c>
      <c r="B1101" s="271" t="s">
        <v>385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0</v>
      </c>
      <c r="K1101" s="273"/>
      <c r="L1101" s="273"/>
      <c r="M1101" s="274">
        <v>0</v>
      </c>
      <c r="N1101" s="272">
        <v>0</v>
      </c>
      <c r="O1101" s="275"/>
      <c r="P1101" s="275"/>
      <c r="Q1101" s="275"/>
      <c r="R1101" s="275"/>
      <c r="S1101" s="275"/>
      <c r="T1101" s="275"/>
      <c r="U1101" s="276">
        <v>0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161</v>
      </c>
      <c r="B1102" s="271" t="s">
        <v>1367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0</v>
      </c>
      <c r="K1102" s="273"/>
      <c r="L1102" s="273"/>
      <c r="M1102" s="274">
        <v>0</v>
      </c>
      <c r="N1102" s="272">
        <v>0</v>
      </c>
      <c r="O1102" s="275"/>
      <c r="P1102" s="275"/>
      <c r="Q1102" s="275"/>
      <c r="R1102" s="275"/>
      <c r="S1102" s="275"/>
      <c r="T1102" s="275"/>
      <c r="U1102" s="276">
        <v>0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161</v>
      </c>
      <c r="B1103" s="271" t="s">
        <v>386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0</v>
      </c>
      <c r="K1103" s="273"/>
      <c r="L1103" s="273"/>
      <c r="M1103" s="274">
        <v>0</v>
      </c>
      <c r="N1103" s="272">
        <v>0</v>
      </c>
      <c r="O1103" s="275"/>
      <c r="P1103" s="275"/>
      <c r="Q1103" s="275"/>
      <c r="R1103" s="275"/>
      <c r="S1103" s="275"/>
      <c r="T1103" s="275"/>
      <c r="U1103" s="276">
        <v>0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161</v>
      </c>
      <c r="B1104" s="271" t="s">
        <v>387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0</v>
      </c>
      <c r="K1104" s="273"/>
      <c r="L1104" s="273"/>
      <c r="M1104" s="274">
        <v>0</v>
      </c>
      <c r="N1104" s="272">
        <v>0</v>
      </c>
      <c r="O1104" s="275"/>
      <c r="P1104" s="275"/>
      <c r="Q1104" s="275"/>
      <c r="R1104" s="275"/>
      <c r="S1104" s="275"/>
      <c r="T1104" s="275"/>
      <c r="U1104" s="276">
        <v>0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161</v>
      </c>
      <c r="B1105" s="271" t="s">
        <v>1368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161</v>
      </c>
      <c r="B1106" s="271" t="s">
        <v>1369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0</v>
      </c>
      <c r="K1106" s="273"/>
      <c r="L1106" s="273"/>
      <c r="M1106" s="274">
        <v>0</v>
      </c>
      <c r="N1106" s="272">
        <v>0</v>
      </c>
      <c r="O1106" s="275"/>
      <c r="P1106" s="275"/>
      <c r="Q1106" s="275"/>
      <c r="R1106" s="275"/>
      <c r="S1106" s="275"/>
      <c r="T1106" s="275"/>
      <c r="U1106" s="276">
        <v>0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161</v>
      </c>
      <c r="B1107" s="271" t="s">
        <v>1370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0</v>
      </c>
      <c r="K1107" s="273"/>
      <c r="L1107" s="273"/>
      <c r="M1107" s="274">
        <v>0</v>
      </c>
      <c r="N1107" s="272">
        <v>0</v>
      </c>
      <c r="O1107" s="275"/>
      <c r="P1107" s="275"/>
      <c r="Q1107" s="275"/>
      <c r="R1107" s="275"/>
      <c r="S1107" s="275"/>
      <c r="T1107" s="275"/>
      <c r="U1107" s="276">
        <v>0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161</v>
      </c>
      <c r="B1108" s="271" t="s">
        <v>1371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161</v>
      </c>
      <c r="B1109" s="271" t="s">
        <v>388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0</v>
      </c>
      <c r="K1109" s="273"/>
      <c r="L1109" s="273"/>
      <c r="M1109" s="274">
        <v>0</v>
      </c>
      <c r="N1109" s="272">
        <v>0</v>
      </c>
      <c r="O1109" s="275"/>
      <c r="P1109" s="275"/>
      <c r="Q1109" s="275"/>
      <c r="R1109" s="275"/>
      <c r="S1109" s="275"/>
      <c r="T1109" s="275"/>
      <c r="U1109" s="276">
        <v>0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161</v>
      </c>
      <c r="B1110" s="271" t="s">
        <v>389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0</v>
      </c>
      <c r="K1110" s="273"/>
      <c r="L1110" s="273"/>
      <c r="M1110" s="274">
        <v>0</v>
      </c>
      <c r="N1110" s="272">
        <v>0</v>
      </c>
      <c r="O1110" s="275"/>
      <c r="P1110" s="275"/>
      <c r="Q1110" s="275"/>
      <c r="R1110" s="275"/>
      <c r="S1110" s="275"/>
      <c r="T1110" s="275"/>
      <c r="U1110" s="276">
        <v>0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161</v>
      </c>
      <c r="B1111" s="271" t="s">
        <v>1372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0</v>
      </c>
      <c r="K1111" s="273"/>
      <c r="L1111" s="273"/>
      <c r="M1111" s="274">
        <v>0</v>
      </c>
      <c r="N1111" s="272">
        <v>0</v>
      </c>
      <c r="O1111" s="275"/>
      <c r="P1111" s="275"/>
      <c r="Q1111" s="275"/>
      <c r="R1111" s="275"/>
      <c r="S1111" s="275"/>
      <c r="T1111" s="275"/>
      <c r="U1111" s="276">
        <v>0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161</v>
      </c>
      <c r="B1112" s="271" t="s">
        <v>390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0</v>
      </c>
      <c r="K1112" s="273"/>
      <c r="L1112" s="273"/>
      <c r="M1112" s="274">
        <v>0</v>
      </c>
      <c r="N1112" s="272">
        <v>0</v>
      </c>
      <c r="O1112" s="275"/>
      <c r="P1112" s="275"/>
      <c r="Q1112" s="275"/>
      <c r="R1112" s="275"/>
      <c r="S1112" s="275"/>
      <c r="T1112" s="275"/>
      <c r="U1112" s="276">
        <v>0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161</v>
      </c>
      <c r="B1113" s="271" t="s">
        <v>391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0</v>
      </c>
      <c r="K1113" s="273"/>
      <c r="L1113" s="273"/>
      <c r="M1113" s="274">
        <v>0</v>
      </c>
      <c r="N1113" s="272">
        <v>0</v>
      </c>
      <c r="O1113" s="275"/>
      <c r="P1113" s="275"/>
      <c r="Q1113" s="275"/>
      <c r="R1113" s="275"/>
      <c r="S1113" s="275"/>
      <c r="T1113" s="275"/>
      <c r="U1113" s="276">
        <v>0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161</v>
      </c>
      <c r="B1114" s="271" t="s">
        <v>1373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0</v>
      </c>
      <c r="K1114" s="273"/>
      <c r="L1114" s="273"/>
      <c r="M1114" s="274">
        <v>0</v>
      </c>
      <c r="N1114" s="272">
        <v>0</v>
      </c>
      <c r="O1114" s="275"/>
      <c r="P1114" s="275"/>
      <c r="Q1114" s="275"/>
      <c r="R1114" s="275"/>
      <c r="S1114" s="275"/>
      <c r="T1114" s="275"/>
      <c r="U1114" s="276">
        <v>0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161</v>
      </c>
      <c r="B1115" s="271" t="s">
        <v>392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0</v>
      </c>
      <c r="K1115" s="273"/>
      <c r="L1115" s="273"/>
      <c r="M1115" s="274">
        <v>0</v>
      </c>
      <c r="N1115" s="272">
        <v>0</v>
      </c>
      <c r="O1115" s="275"/>
      <c r="P1115" s="275"/>
      <c r="Q1115" s="275"/>
      <c r="R1115" s="275"/>
      <c r="S1115" s="275"/>
      <c r="T1115" s="275"/>
      <c r="U1115" s="276">
        <v>0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161</v>
      </c>
      <c r="B1116" s="271" t="s">
        <v>393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0</v>
      </c>
      <c r="K1116" s="273"/>
      <c r="L1116" s="273"/>
      <c r="M1116" s="274">
        <v>0</v>
      </c>
      <c r="N1116" s="272">
        <v>0</v>
      </c>
      <c r="O1116" s="275"/>
      <c r="P1116" s="275"/>
      <c r="Q1116" s="275"/>
      <c r="R1116" s="275"/>
      <c r="S1116" s="275"/>
      <c r="T1116" s="275"/>
      <c r="U1116" s="276">
        <v>0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161</v>
      </c>
      <c r="B1117" s="271" t="s">
        <v>1374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0</v>
      </c>
      <c r="K1117" s="273"/>
      <c r="L1117" s="273"/>
      <c r="M1117" s="274">
        <v>0</v>
      </c>
      <c r="N1117" s="272">
        <v>0</v>
      </c>
      <c r="O1117" s="275"/>
      <c r="P1117" s="275"/>
      <c r="Q1117" s="275"/>
      <c r="R1117" s="275"/>
      <c r="S1117" s="275"/>
      <c r="T1117" s="275"/>
      <c r="U1117" s="276">
        <v>0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161</v>
      </c>
      <c r="B1118" s="271" t="s">
        <v>1375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161</v>
      </c>
      <c r="B1119" s="271" t="s">
        <v>1376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161</v>
      </c>
      <c r="B1120" s="271" t="s">
        <v>1377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161</v>
      </c>
      <c r="B1121" s="271" t="s">
        <v>1378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0</v>
      </c>
      <c r="K1121" s="273"/>
      <c r="L1121" s="273"/>
      <c r="M1121" s="274">
        <v>0</v>
      </c>
      <c r="N1121" s="272">
        <v>0</v>
      </c>
      <c r="O1121" s="275"/>
      <c r="P1121" s="275"/>
      <c r="Q1121" s="275"/>
      <c r="R1121" s="275"/>
      <c r="S1121" s="275"/>
      <c r="T1121" s="275"/>
      <c r="U1121" s="276">
        <v>0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161</v>
      </c>
      <c r="B1122" s="271" t="s">
        <v>1379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0</v>
      </c>
      <c r="K1122" s="273"/>
      <c r="L1122" s="273"/>
      <c r="M1122" s="274">
        <v>0</v>
      </c>
      <c r="N1122" s="272">
        <v>0</v>
      </c>
      <c r="O1122" s="275"/>
      <c r="P1122" s="275"/>
      <c r="Q1122" s="275"/>
      <c r="R1122" s="275"/>
      <c r="S1122" s="275"/>
      <c r="T1122" s="275"/>
      <c r="U1122" s="276">
        <v>0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161</v>
      </c>
      <c r="B1123" s="271" t="s">
        <v>1380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0</v>
      </c>
      <c r="K1123" s="273"/>
      <c r="L1123" s="273"/>
      <c r="M1123" s="274">
        <v>0</v>
      </c>
      <c r="N1123" s="272">
        <v>0</v>
      </c>
      <c r="O1123" s="275"/>
      <c r="P1123" s="275"/>
      <c r="Q1123" s="275"/>
      <c r="R1123" s="275"/>
      <c r="S1123" s="275"/>
      <c r="T1123" s="275"/>
      <c r="U1123" s="276">
        <v>0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161</v>
      </c>
      <c r="B1124" s="271" t="s">
        <v>1381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0</v>
      </c>
      <c r="K1124" s="273"/>
      <c r="L1124" s="273"/>
      <c r="M1124" s="274">
        <v>0</v>
      </c>
      <c r="N1124" s="272">
        <v>0</v>
      </c>
      <c r="O1124" s="275"/>
      <c r="P1124" s="275"/>
      <c r="Q1124" s="275"/>
      <c r="R1124" s="275"/>
      <c r="S1124" s="275"/>
      <c r="T1124" s="275"/>
      <c r="U1124" s="276">
        <v>0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161</v>
      </c>
      <c r="B1125" s="271" t="s">
        <v>1382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0</v>
      </c>
      <c r="K1125" s="273"/>
      <c r="L1125" s="273"/>
      <c r="M1125" s="274">
        <v>0</v>
      </c>
      <c r="N1125" s="272">
        <v>0</v>
      </c>
      <c r="O1125" s="275"/>
      <c r="P1125" s="275"/>
      <c r="Q1125" s="275"/>
      <c r="R1125" s="275"/>
      <c r="S1125" s="275"/>
      <c r="T1125" s="275"/>
      <c r="U1125" s="276">
        <v>0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161</v>
      </c>
      <c r="B1126" s="271" t="s">
        <v>1383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0</v>
      </c>
      <c r="K1126" s="273"/>
      <c r="L1126" s="273"/>
      <c r="M1126" s="274">
        <v>0</v>
      </c>
      <c r="N1126" s="272">
        <v>0</v>
      </c>
      <c r="O1126" s="275"/>
      <c r="P1126" s="275"/>
      <c r="Q1126" s="275"/>
      <c r="R1126" s="275"/>
      <c r="S1126" s="275"/>
      <c r="T1126" s="275"/>
      <c r="U1126" s="276">
        <v>0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161</v>
      </c>
      <c r="B1127" s="271" t="s">
        <v>1384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0</v>
      </c>
      <c r="K1127" s="273"/>
      <c r="L1127" s="273"/>
      <c r="M1127" s="274">
        <v>0</v>
      </c>
      <c r="N1127" s="272">
        <v>0</v>
      </c>
      <c r="O1127" s="275"/>
      <c r="P1127" s="275"/>
      <c r="Q1127" s="275"/>
      <c r="R1127" s="275"/>
      <c r="S1127" s="275"/>
      <c r="T1127" s="275"/>
      <c r="U1127" s="276">
        <v>0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161</v>
      </c>
      <c r="B1128" s="271" t="s">
        <v>1385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0</v>
      </c>
      <c r="K1128" s="273"/>
      <c r="L1128" s="273"/>
      <c r="M1128" s="274">
        <v>0</v>
      </c>
      <c r="N1128" s="272">
        <v>0</v>
      </c>
      <c r="O1128" s="275"/>
      <c r="P1128" s="275"/>
      <c r="Q1128" s="275"/>
      <c r="R1128" s="275"/>
      <c r="S1128" s="275"/>
      <c r="T1128" s="275"/>
      <c r="U1128" s="276">
        <v>0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161</v>
      </c>
      <c r="B1129" s="271" t="s">
        <v>1386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0</v>
      </c>
      <c r="K1129" s="273"/>
      <c r="L1129" s="273"/>
      <c r="M1129" s="274">
        <v>0</v>
      </c>
      <c r="N1129" s="272">
        <v>0</v>
      </c>
      <c r="O1129" s="275"/>
      <c r="P1129" s="275"/>
      <c r="Q1129" s="275"/>
      <c r="R1129" s="275"/>
      <c r="S1129" s="275"/>
      <c r="T1129" s="275"/>
      <c r="U1129" s="276">
        <v>0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161</v>
      </c>
      <c r="B1130" s="271" t="s">
        <v>1387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161</v>
      </c>
      <c r="B1131" s="271" t="s">
        <v>1388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161</v>
      </c>
      <c r="B1132" s="271" t="s">
        <v>1389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161</v>
      </c>
      <c r="B1133" s="271" t="s">
        <v>394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0</v>
      </c>
      <c r="K1133" s="273"/>
      <c r="L1133" s="273"/>
      <c r="M1133" s="274">
        <v>0</v>
      </c>
      <c r="N1133" s="272">
        <v>0</v>
      </c>
      <c r="O1133" s="275"/>
      <c r="P1133" s="275"/>
      <c r="Q1133" s="275"/>
      <c r="R1133" s="275"/>
      <c r="S1133" s="275"/>
      <c r="T1133" s="275"/>
      <c r="U1133" s="276">
        <v>0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161</v>
      </c>
      <c r="B1134" s="271" t="s">
        <v>1390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0</v>
      </c>
      <c r="K1134" s="273"/>
      <c r="L1134" s="273"/>
      <c r="M1134" s="274">
        <v>0</v>
      </c>
      <c r="N1134" s="272">
        <v>0</v>
      </c>
      <c r="O1134" s="275"/>
      <c r="P1134" s="275"/>
      <c r="Q1134" s="275"/>
      <c r="R1134" s="275"/>
      <c r="S1134" s="275"/>
      <c r="T1134" s="275"/>
      <c r="U1134" s="276">
        <v>0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161</v>
      </c>
      <c r="B1135" s="271" t="s">
        <v>395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0</v>
      </c>
      <c r="K1135" s="273"/>
      <c r="L1135" s="273"/>
      <c r="M1135" s="274">
        <v>0</v>
      </c>
      <c r="N1135" s="272">
        <v>0</v>
      </c>
      <c r="O1135" s="275"/>
      <c r="P1135" s="275"/>
      <c r="Q1135" s="275"/>
      <c r="R1135" s="275"/>
      <c r="S1135" s="275"/>
      <c r="T1135" s="275"/>
      <c r="U1135" s="276">
        <v>0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161</v>
      </c>
      <c r="B1136" s="271" t="s">
        <v>1391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161</v>
      </c>
      <c r="B1137" s="271" t="s">
        <v>1392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0</v>
      </c>
      <c r="K1137" s="273"/>
      <c r="L1137" s="273"/>
      <c r="M1137" s="274">
        <v>0</v>
      </c>
      <c r="N1137" s="272">
        <v>0</v>
      </c>
      <c r="O1137" s="275"/>
      <c r="P1137" s="275"/>
      <c r="Q1137" s="275"/>
      <c r="R1137" s="275"/>
      <c r="S1137" s="275"/>
      <c r="T1137" s="275"/>
      <c r="U1137" s="276">
        <v>0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161</v>
      </c>
      <c r="B1138" s="271" t="s">
        <v>1393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161</v>
      </c>
      <c r="B1139" s="271" t="s">
        <v>396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0</v>
      </c>
      <c r="K1139" s="273"/>
      <c r="L1139" s="273"/>
      <c r="M1139" s="274">
        <v>0</v>
      </c>
      <c r="N1139" s="272">
        <v>0</v>
      </c>
      <c r="O1139" s="275"/>
      <c r="P1139" s="275"/>
      <c r="Q1139" s="275"/>
      <c r="R1139" s="275"/>
      <c r="S1139" s="275"/>
      <c r="T1139" s="275"/>
      <c r="U1139" s="276">
        <v>0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161</v>
      </c>
      <c r="B1140" s="271" t="s">
        <v>1394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0</v>
      </c>
      <c r="K1140" s="273"/>
      <c r="L1140" s="273"/>
      <c r="M1140" s="274">
        <v>0</v>
      </c>
      <c r="N1140" s="272">
        <v>0</v>
      </c>
      <c r="O1140" s="275"/>
      <c r="P1140" s="275"/>
      <c r="Q1140" s="275"/>
      <c r="R1140" s="275"/>
      <c r="S1140" s="275"/>
      <c r="T1140" s="275"/>
      <c r="U1140" s="276">
        <v>0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161</v>
      </c>
      <c r="B1141" s="271" t="s">
        <v>397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0</v>
      </c>
      <c r="K1141" s="273"/>
      <c r="L1141" s="273"/>
      <c r="M1141" s="274">
        <v>0</v>
      </c>
      <c r="N1141" s="272">
        <v>0</v>
      </c>
      <c r="O1141" s="275"/>
      <c r="P1141" s="275"/>
      <c r="Q1141" s="275"/>
      <c r="R1141" s="275"/>
      <c r="S1141" s="275"/>
      <c r="T1141" s="275"/>
      <c r="U1141" s="276">
        <v>0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161</v>
      </c>
      <c r="B1142" s="271" t="s">
        <v>1395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161</v>
      </c>
      <c r="B1143" s="271" t="s">
        <v>1396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0</v>
      </c>
      <c r="K1143" s="273"/>
      <c r="L1143" s="273"/>
      <c r="M1143" s="274">
        <v>0</v>
      </c>
      <c r="N1143" s="272">
        <v>0</v>
      </c>
      <c r="O1143" s="275"/>
      <c r="P1143" s="275"/>
      <c r="Q1143" s="275"/>
      <c r="R1143" s="275"/>
      <c r="S1143" s="275"/>
      <c r="T1143" s="275"/>
      <c r="U1143" s="276">
        <v>0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161</v>
      </c>
      <c r="B1144" s="271" t="s">
        <v>1397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161</v>
      </c>
      <c r="B1145" s="271" t="s">
        <v>398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0</v>
      </c>
      <c r="K1145" s="273"/>
      <c r="L1145" s="273"/>
      <c r="M1145" s="274">
        <v>0</v>
      </c>
      <c r="N1145" s="272">
        <v>0</v>
      </c>
      <c r="O1145" s="275"/>
      <c r="P1145" s="275"/>
      <c r="Q1145" s="275"/>
      <c r="R1145" s="275"/>
      <c r="S1145" s="275"/>
      <c r="T1145" s="275"/>
      <c r="U1145" s="276">
        <v>0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161</v>
      </c>
      <c r="B1146" s="271" t="s">
        <v>1398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0</v>
      </c>
      <c r="K1146" s="273"/>
      <c r="L1146" s="273"/>
      <c r="M1146" s="274">
        <v>0</v>
      </c>
      <c r="N1146" s="272">
        <v>0</v>
      </c>
      <c r="O1146" s="275"/>
      <c r="P1146" s="275"/>
      <c r="Q1146" s="275"/>
      <c r="R1146" s="275"/>
      <c r="S1146" s="275"/>
      <c r="T1146" s="275"/>
      <c r="U1146" s="276">
        <v>0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161</v>
      </c>
      <c r="B1147" s="271" t="s">
        <v>399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0</v>
      </c>
      <c r="K1147" s="273"/>
      <c r="L1147" s="273"/>
      <c r="M1147" s="274">
        <v>0</v>
      </c>
      <c r="N1147" s="272">
        <v>0</v>
      </c>
      <c r="O1147" s="275"/>
      <c r="P1147" s="275"/>
      <c r="Q1147" s="275"/>
      <c r="R1147" s="275"/>
      <c r="S1147" s="275"/>
      <c r="T1147" s="275"/>
      <c r="U1147" s="276">
        <v>0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161</v>
      </c>
      <c r="B1148" s="271" t="s">
        <v>1399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0</v>
      </c>
      <c r="K1148" s="273"/>
      <c r="L1148" s="273"/>
      <c r="M1148" s="274">
        <v>0</v>
      </c>
      <c r="N1148" s="272">
        <v>0</v>
      </c>
      <c r="O1148" s="275"/>
      <c r="P1148" s="275"/>
      <c r="Q1148" s="275"/>
      <c r="R1148" s="275"/>
      <c r="S1148" s="275"/>
      <c r="T1148" s="275"/>
      <c r="U1148" s="276">
        <v>0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161</v>
      </c>
      <c r="B1149" s="271" t="s">
        <v>1400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161</v>
      </c>
      <c r="B1150" s="271" t="s">
        <v>1401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161</v>
      </c>
      <c r="B1151" s="271" t="s">
        <v>1402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0</v>
      </c>
      <c r="K1151" s="273"/>
      <c r="L1151" s="273"/>
      <c r="M1151" s="274">
        <v>0</v>
      </c>
      <c r="N1151" s="272">
        <v>0</v>
      </c>
      <c r="O1151" s="275"/>
      <c r="P1151" s="275"/>
      <c r="Q1151" s="275"/>
      <c r="R1151" s="275"/>
      <c r="S1151" s="275"/>
      <c r="T1151" s="275"/>
      <c r="U1151" s="276">
        <v>0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161</v>
      </c>
      <c r="B1152" s="271" t="s">
        <v>1403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0</v>
      </c>
      <c r="K1152" s="273"/>
      <c r="L1152" s="273"/>
      <c r="M1152" s="274">
        <v>0</v>
      </c>
      <c r="N1152" s="272">
        <v>0</v>
      </c>
      <c r="O1152" s="275"/>
      <c r="P1152" s="275"/>
      <c r="Q1152" s="275"/>
      <c r="R1152" s="275"/>
      <c r="S1152" s="275"/>
      <c r="T1152" s="275"/>
      <c r="U1152" s="276">
        <v>0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161</v>
      </c>
      <c r="B1153" s="271" t="s">
        <v>1404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0</v>
      </c>
      <c r="K1153" s="273"/>
      <c r="L1153" s="273"/>
      <c r="M1153" s="274">
        <v>0</v>
      </c>
      <c r="N1153" s="272">
        <v>0</v>
      </c>
      <c r="O1153" s="275"/>
      <c r="P1153" s="275"/>
      <c r="Q1153" s="275"/>
      <c r="R1153" s="275"/>
      <c r="S1153" s="275"/>
      <c r="T1153" s="275"/>
      <c r="U1153" s="276">
        <v>0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161</v>
      </c>
      <c r="B1154" s="271" t="s">
        <v>1405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0</v>
      </c>
      <c r="K1154" s="273"/>
      <c r="L1154" s="273"/>
      <c r="M1154" s="274">
        <v>0</v>
      </c>
      <c r="N1154" s="272">
        <v>0</v>
      </c>
      <c r="O1154" s="275"/>
      <c r="P1154" s="275"/>
      <c r="Q1154" s="275"/>
      <c r="R1154" s="275"/>
      <c r="S1154" s="275"/>
      <c r="T1154" s="275"/>
      <c r="U1154" s="276">
        <v>0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161</v>
      </c>
      <c r="B1155" s="271" t="s">
        <v>1406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161</v>
      </c>
      <c r="B1156" s="271" t="s">
        <v>1407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161</v>
      </c>
      <c r="B1157" s="271" t="s">
        <v>400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0</v>
      </c>
      <c r="K1157" s="273"/>
      <c r="L1157" s="273"/>
      <c r="M1157" s="274">
        <v>0</v>
      </c>
      <c r="N1157" s="272">
        <v>0</v>
      </c>
      <c r="O1157" s="275"/>
      <c r="P1157" s="275"/>
      <c r="Q1157" s="275"/>
      <c r="R1157" s="275"/>
      <c r="S1157" s="275"/>
      <c r="T1157" s="275"/>
      <c r="U1157" s="276">
        <v>0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161</v>
      </c>
      <c r="B1158" s="271" t="s">
        <v>1408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0</v>
      </c>
      <c r="K1158" s="273"/>
      <c r="L1158" s="273"/>
      <c r="M1158" s="274">
        <v>0</v>
      </c>
      <c r="N1158" s="272">
        <v>0</v>
      </c>
      <c r="O1158" s="275"/>
      <c r="P1158" s="275"/>
      <c r="Q1158" s="275"/>
      <c r="R1158" s="275"/>
      <c r="S1158" s="275"/>
      <c r="T1158" s="275"/>
      <c r="U1158" s="276">
        <v>0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161</v>
      </c>
      <c r="B1159" s="271" t="s">
        <v>401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0</v>
      </c>
      <c r="K1159" s="273"/>
      <c r="L1159" s="273"/>
      <c r="M1159" s="274">
        <v>0</v>
      </c>
      <c r="N1159" s="272">
        <v>0</v>
      </c>
      <c r="O1159" s="275"/>
      <c r="P1159" s="275"/>
      <c r="Q1159" s="275"/>
      <c r="R1159" s="275"/>
      <c r="S1159" s="275"/>
      <c r="T1159" s="275"/>
      <c r="U1159" s="276">
        <v>0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161</v>
      </c>
      <c r="B1160" s="271" t="s">
        <v>1409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161</v>
      </c>
      <c r="B1161" s="271" t="s">
        <v>1410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0</v>
      </c>
      <c r="K1161" s="273"/>
      <c r="L1161" s="273"/>
      <c r="M1161" s="274">
        <v>0</v>
      </c>
      <c r="N1161" s="272">
        <v>0</v>
      </c>
      <c r="O1161" s="275"/>
      <c r="P1161" s="275"/>
      <c r="Q1161" s="275"/>
      <c r="R1161" s="275"/>
      <c r="S1161" s="275"/>
      <c r="T1161" s="275"/>
      <c r="U1161" s="276">
        <v>0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161</v>
      </c>
      <c r="B1162" s="271" t="s">
        <v>1411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161</v>
      </c>
      <c r="B1163" s="271" t="s">
        <v>402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0</v>
      </c>
      <c r="K1163" s="273"/>
      <c r="L1163" s="273"/>
      <c r="M1163" s="274">
        <v>0</v>
      </c>
      <c r="N1163" s="272">
        <v>0</v>
      </c>
      <c r="O1163" s="275"/>
      <c r="P1163" s="275"/>
      <c r="Q1163" s="275"/>
      <c r="R1163" s="275"/>
      <c r="S1163" s="275"/>
      <c r="T1163" s="275"/>
      <c r="U1163" s="276">
        <v>0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161</v>
      </c>
      <c r="B1164" s="271" t="s">
        <v>1412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0</v>
      </c>
      <c r="K1164" s="273"/>
      <c r="L1164" s="273"/>
      <c r="M1164" s="274">
        <v>0</v>
      </c>
      <c r="N1164" s="272">
        <v>0</v>
      </c>
      <c r="O1164" s="275"/>
      <c r="P1164" s="275"/>
      <c r="Q1164" s="275"/>
      <c r="R1164" s="275"/>
      <c r="S1164" s="275"/>
      <c r="T1164" s="275"/>
      <c r="U1164" s="276">
        <v>0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161</v>
      </c>
      <c r="B1165" s="271" t="s">
        <v>403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0</v>
      </c>
      <c r="K1165" s="273"/>
      <c r="L1165" s="273"/>
      <c r="M1165" s="274">
        <v>0</v>
      </c>
      <c r="N1165" s="272">
        <v>0</v>
      </c>
      <c r="O1165" s="275"/>
      <c r="P1165" s="275"/>
      <c r="Q1165" s="275"/>
      <c r="R1165" s="275"/>
      <c r="S1165" s="275"/>
      <c r="T1165" s="275"/>
      <c r="U1165" s="276">
        <v>0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161</v>
      </c>
      <c r="B1166" s="271" t="s">
        <v>1413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161</v>
      </c>
      <c r="B1167" s="271" t="s">
        <v>1414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0</v>
      </c>
      <c r="K1167" s="273"/>
      <c r="L1167" s="273"/>
      <c r="M1167" s="274">
        <v>0</v>
      </c>
      <c r="N1167" s="272">
        <v>0</v>
      </c>
      <c r="O1167" s="275"/>
      <c r="P1167" s="275"/>
      <c r="Q1167" s="275"/>
      <c r="R1167" s="275"/>
      <c r="S1167" s="275"/>
      <c r="T1167" s="275"/>
      <c r="U1167" s="276">
        <v>0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161</v>
      </c>
      <c r="B1168" s="271" t="s">
        <v>1415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161</v>
      </c>
      <c r="B1169" s="271" t="s">
        <v>404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0</v>
      </c>
      <c r="K1169" s="273"/>
      <c r="L1169" s="273"/>
      <c r="M1169" s="274">
        <v>0</v>
      </c>
      <c r="N1169" s="272">
        <v>0</v>
      </c>
      <c r="O1169" s="275"/>
      <c r="P1169" s="275"/>
      <c r="Q1169" s="275"/>
      <c r="R1169" s="275"/>
      <c r="S1169" s="275"/>
      <c r="T1169" s="275"/>
      <c r="U1169" s="276">
        <v>0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161</v>
      </c>
      <c r="B1170" s="271" t="s">
        <v>1416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0</v>
      </c>
      <c r="K1170" s="273"/>
      <c r="L1170" s="273"/>
      <c r="M1170" s="274">
        <v>0</v>
      </c>
      <c r="N1170" s="272">
        <v>0</v>
      </c>
      <c r="O1170" s="275"/>
      <c r="P1170" s="275"/>
      <c r="Q1170" s="275"/>
      <c r="R1170" s="275"/>
      <c r="S1170" s="275"/>
      <c r="T1170" s="275"/>
      <c r="U1170" s="276">
        <v>0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161</v>
      </c>
      <c r="B1171" s="271" t="s">
        <v>405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0</v>
      </c>
      <c r="K1171" s="273"/>
      <c r="L1171" s="273"/>
      <c r="M1171" s="274">
        <v>0</v>
      </c>
      <c r="N1171" s="272">
        <v>0</v>
      </c>
      <c r="O1171" s="275"/>
      <c r="P1171" s="275"/>
      <c r="Q1171" s="275"/>
      <c r="R1171" s="275"/>
      <c r="S1171" s="275"/>
      <c r="T1171" s="275"/>
      <c r="U1171" s="276">
        <v>0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161</v>
      </c>
      <c r="B1172" s="271" t="s">
        <v>1417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0</v>
      </c>
      <c r="K1172" s="273"/>
      <c r="L1172" s="273"/>
      <c r="M1172" s="274">
        <v>0</v>
      </c>
      <c r="N1172" s="272">
        <v>0</v>
      </c>
      <c r="O1172" s="275"/>
      <c r="P1172" s="275"/>
      <c r="Q1172" s="275"/>
      <c r="R1172" s="275"/>
      <c r="S1172" s="275"/>
      <c r="T1172" s="275"/>
      <c r="U1172" s="276">
        <v>0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161</v>
      </c>
      <c r="B1173" s="271" t="s">
        <v>1418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161</v>
      </c>
      <c r="B1174" s="271" t="s">
        <v>1419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161</v>
      </c>
      <c r="B1175" s="271" t="s">
        <v>1420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0</v>
      </c>
      <c r="K1175" s="273"/>
      <c r="L1175" s="273"/>
      <c r="M1175" s="274">
        <v>0</v>
      </c>
      <c r="N1175" s="272">
        <v>0</v>
      </c>
      <c r="O1175" s="275"/>
      <c r="P1175" s="275"/>
      <c r="Q1175" s="275"/>
      <c r="R1175" s="275"/>
      <c r="S1175" s="275"/>
      <c r="T1175" s="275"/>
      <c r="U1175" s="276">
        <v>0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161</v>
      </c>
      <c r="B1176" s="271" t="s">
        <v>1421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0</v>
      </c>
      <c r="K1176" s="273"/>
      <c r="L1176" s="273"/>
      <c r="M1176" s="274">
        <v>0</v>
      </c>
      <c r="N1176" s="272">
        <v>0</v>
      </c>
      <c r="O1176" s="275"/>
      <c r="P1176" s="275"/>
      <c r="Q1176" s="275"/>
      <c r="R1176" s="275"/>
      <c r="S1176" s="275"/>
      <c r="T1176" s="275"/>
      <c r="U1176" s="276">
        <v>0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161</v>
      </c>
      <c r="B1177" s="271" t="s">
        <v>1422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0</v>
      </c>
      <c r="K1177" s="273"/>
      <c r="L1177" s="273"/>
      <c r="M1177" s="274">
        <v>0</v>
      </c>
      <c r="N1177" s="272">
        <v>0</v>
      </c>
      <c r="O1177" s="275"/>
      <c r="P1177" s="275"/>
      <c r="Q1177" s="275"/>
      <c r="R1177" s="275"/>
      <c r="S1177" s="275"/>
      <c r="T1177" s="275"/>
      <c r="U1177" s="276">
        <v>0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161</v>
      </c>
      <c r="B1178" s="271" t="s">
        <v>1423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0</v>
      </c>
      <c r="K1178" s="273"/>
      <c r="L1178" s="273"/>
      <c r="M1178" s="274">
        <v>0</v>
      </c>
      <c r="N1178" s="272">
        <v>0</v>
      </c>
      <c r="O1178" s="275"/>
      <c r="P1178" s="275"/>
      <c r="Q1178" s="275"/>
      <c r="R1178" s="275"/>
      <c r="S1178" s="275"/>
      <c r="T1178" s="275"/>
      <c r="U1178" s="276">
        <v>0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161</v>
      </c>
      <c r="B1179" s="271" t="s">
        <v>1424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161</v>
      </c>
      <c r="B1180" s="271" t="s">
        <v>1425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161</v>
      </c>
      <c r="B1181" s="271" t="s">
        <v>406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0</v>
      </c>
      <c r="K1181" s="273"/>
      <c r="L1181" s="273"/>
      <c r="M1181" s="274">
        <v>0</v>
      </c>
      <c r="N1181" s="272">
        <v>0</v>
      </c>
      <c r="O1181" s="275"/>
      <c r="P1181" s="275"/>
      <c r="Q1181" s="275"/>
      <c r="R1181" s="275"/>
      <c r="S1181" s="275"/>
      <c r="T1181" s="275"/>
      <c r="U1181" s="276">
        <v>0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161</v>
      </c>
      <c r="B1182" s="271" t="s">
        <v>1426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0</v>
      </c>
      <c r="K1182" s="273"/>
      <c r="L1182" s="273"/>
      <c r="M1182" s="274">
        <v>0</v>
      </c>
      <c r="N1182" s="272">
        <v>0</v>
      </c>
      <c r="O1182" s="275"/>
      <c r="P1182" s="275"/>
      <c r="Q1182" s="275"/>
      <c r="R1182" s="275"/>
      <c r="S1182" s="275"/>
      <c r="T1182" s="275"/>
      <c r="U1182" s="276">
        <v>0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161</v>
      </c>
      <c r="B1183" s="271" t="s">
        <v>407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0</v>
      </c>
      <c r="K1183" s="273"/>
      <c r="L1183" s="273"/>
      <c r="M1183" s="274">
        <v>0</v>
      </c>
      <c r="N1183" s="272">
        <v>0</v>
      </c>
      <c r="O1183" s="275"/>
      <c r="P1183" s="275"/>
      <c r="Q1183" s="275"/>
      <c r="R1183" s="275"/>
      <c r="S1183" s="275"/>
      <c r="T1183" s="275"/>
      <c r="U1183" s="276">
        <v>0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161</v>
      </c>
      <c r="B1184" s="271" t="s">
        <v>1427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161</v>
      </c>
      <c r="B1185" s="271" t="s">
        <v>1428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0</v>
      </c>
      <c r="K1185" s="273"/>
      <c r="L1185" s="273"/>
      <c r="M1185" s="274">
        <v>0</v>
      </c>
      <c r="N1185" s="272">
        <v>0</v>
      </c>
      <c r="O1185" s="275"/>
      <c r="P1185" s="275"/>
      <c r="Q1185" s="275"/>
      <c r="R1185" s="275"/>
      <c r="S1185" s="275"/>
      <c r="T1185" s="275"/>
      <c r="U1185" s="276">
        <v>0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161</v>
      </c>
      <c r="B1186" s="271" t="s">
        <v>1429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161</v>
      </c>
      <c r="B1187" s="271" t="s">
        <v>408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0</v>
      </c>
      <c r="K1187" s="273"/>
      <c r="L1187" s="273"/>
      <c r="M1187" s="274">
        <v>0</v>
      </c>
      <c r="N1187" s="272">
        <v>0</v>
      </c>
      <c r="O1187" s="275"/>
      <c r="P1187" s="275"/>
      <c r="Q1187" s="275"/>
      <c r="R1187" s="275"/>
      <c r="S1187" s="275"/>
      <c r="T1187" s="275"/>
      <c r="U1187" s="276">
        <v>0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161</v>
      </c>
      <c r="B1188" s="271" t="s">
        <v>1430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0</v>
      </c>
      <c r="K1188" s="273"/>
      <c r="L1188" s="273"/>
      <c r="M1188" s="274">
        <v>0</v>
      </c>
      <c r="N1188" s="272">
        <v>0</v>
      </c>
      <c r="O1188" s="275"/>
      <c r="P1188" s="275"/>
      <c r="Q1188" s="275"/>
      <c r="R1188" s="275"/>
      <c r="S1188" s="275"/>
      <c r="T1188" s="275"/>
      <c r="U1188" s="276">
        <v>0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161</v>
      </c>
      <c r="B1189" s="271" t="s">
        <v>409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0</v>
      </c>
      <c r="K1189" s="273"/>
      <c r="L1189" s="273"/>
      <c r="M1189" s="274">
        <v>0</v>
      </c>
      <c r="N1189" s="272">
        <v>0</v>
      </c>
      <c r="O1189" s="275"/>
      <c r="P1189" s="275"/>
      <c r="Q1189" s="275"/>
      <c r="R1189" s="275"/>
      <c r="S1189" s="275"/>
      <c r="T1189" s="275"/>
      <c r="U1189" s="276">
        <v>0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161</v>
      </c>
      <c r="B1190" s="271" t="s">
        <v>1431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161</v>
      </c>
      <c r="B1191" s="271" t="s">
        <v>1432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0</v>
      </c>
      <c r="K1191" s="273"/>
      <c r="L1191" s="273"/>
      <c r="M1191" s="274">
        <v>0</v>
      </c>
      <c r="N1191" s="272">
        <v>0</v>
      </c>
      <c r="O1191" s="275"/>
      <c r="P1191" s="275"/>
      <c r="Q1191" s="275"/>
      <c r="R1191" s="275"/>
      <c r="S1191" s="275"/>
      <c r="T1191" s="275"/>
      <c r="U1191" s="276">
        <v>0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161</v>
      </c>
      <c r="B1192" s="271" t="s">
        <v>1433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161</v>
      </c>
      <c r="B1193" s="271" t="s">
        <v>410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0</v>
      </c>
      <c r="K1193" s="273"/>
      <c r="L1193" s="273"/>
      <c r="M1193" s="274">
        <v>0</v>
      </c>
      <c r="N1193" s="272">
        <v>0</v>
      </c>
      <c r="O1193" s="275"/>
      <c r="P1193" s="275"/>
      <c r="Q1193" s="275"/>
      <c r="R1193" s="275"/>
      <c r="S1193" s="275"/>
      <c r="T1193" s="275"/>
      <c r="U1193" s="276">
        <v>0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161</v>
      </c>
      <c r="B1194" s="271" t="s">
        <v>1434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0</v>
      </c>
      <c r="K1194" s="273"/>
      <c r="L1194" s="273"/>
      <c r="M1194" s="274">
        <v>0</v>
      </c>
      <c r="N1194" s="272">
        <v>0</v>
      </c>
      <c r="O1194" s="275"/>
      <c r="P1194" s="275"/>
      <c r="Q1194" s="275"/>
      <c r="R1194" s="275"/>
      <c r="S1194" s="275"/>
      <c r="T1194" s="275"/>
      <c r="U1194" s="276">
        <v>0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161</v>
      </c>
      <c r="B1195" s="271" t="s">
        <v>411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0</v>
      </c>
      <c r="K1195" s="273"/>
      <c r="L1195" s="273"/>
      <c r="M1195" s="274">
        <v>0</v>
      </c>
      <c r="N1195" s="272">
        <v>0</v>
      </c>
      <c r="O1195" s="275"/>
      <c r="P1195" s="275"/>
      <c r="Q1195" s="275"/>
      <c r="R1195" s="275"/>
      <c r="S1195" s="275"/>
      <c r="T1195" s="275"/>
      <c r="U1195" s="276">
        <v>0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161</v>
      </c>
      <c r="B1196" s="271" t="s">
        <v>1435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0</v>
      </c>
      <c r="K1196" s="273"/>
      <c r="L1196" s="273"/>
      <c r="M1196" s="274">
        <v>0</v>
      </c>
      <c r="N1196" s="272">
        <v>0</v>
      </c>
      <c r="O1196" s="275"/>
      <c r="P1196" s="275"/>
      <c r="Q1196" s="275"/>
      <c r="R1196" s="275"/>
      <c r="S1196" s="275"/>
      <c r="T1196" s="275"/>
      <c r="U1196" s="276">
        <v>0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161</v>
      </c>
      <c r="B1197" s="271" t="s">
        <v>1436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161</v>
      </c>
      <c r="B1198" s="271" t="s">
        <v>1437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161</v>
      </c>
      <c r="B1199" s="271" t="s">
        <v>1438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0</v>
      </c>
      <c r="K1199" s="273"/>
      <c r="L1199" s="273"/>
      <c r="M1199" s="274">
        <v>0</v>
      </c>
      <c r="N1199" s="272">
        <v>0</v>
      </c>
      <c r="O1199" s="275"/>
      <c r="P1199" s="275"/>
      <c r="Q1199" s="275"/>
      <c r="R1199" s="275"/>
      <c r="S1199" s="275"/>
      <c r="T1199" s="275"/>
      <c r="U1199" s="276">
        <v>0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161</v>
      </c>
      <c r="B1200" s="271" t="s">
        <v>1439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0</v>
      </c>
      <c r="K1200" s="273"/>
      <c r="L1200" s="273"/>
      <c r="M1200" s="274">
        <v>0</v>
      </c>
      <c r="N1200" s="272">
        <v>0</v>
      </c>
      <c r="O1200" s="275"/>
      <c r="P1200" s="275"/>
      <c r="Q1200" s="275"/>
      <c r="R1200" s="275"/>
      <c r="S1200" s="275"/>
      <c r="T1200" s="275"/>
      <c r="U1200" s="276">
        <v>0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161</v>
      </c>
      <c r="B1201" s="271" t="s">
        <v>1440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0</v>
      </c>
      <c r="K1201" s="273"/>
      <c r="L1201" s="273"/>
      <c r="M1201" s="274">
        <v>0</v>
      </c>
      <c r="N1201" s="272">
        <v>0</v>
      </c>
      <c r="O1201" s="275"/>
      <c r="P1201" s="275"/>
      <c r="Q1201" s="275"/>
      <c r="R1201" s="275"/>
      <c r="S1201" s="275"/>
      <c r="T1201" s="275"/>
      <c r="U1201" s="276">
        <v>0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161</v>
      </c>
      <c r="B1202" s="271" t="s">
        <v>1441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0</v>
      </c>
      <c r="K1202" s="273"/>
      <c r="L1202" s="273"/>
      <c r="M1202" s="274">
        <v>0</v>
      </c>
      <c r="N1202" s="272">
        <v>0</v>
      </c>
      <c r="O1202" s="275"/>
      <c r="P1202" s="275"/>
      <c r="Q1202" s="275"/>
      <c r="R1202" s="275"/>
      <c r="S1202" s="275"/>
      <c r="T1202" s="275"/>
      <c r="U1202" s="276">
        <v>0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161</v>
      </c>
      <c r="B1203" s="271" t="s">
        <v>1442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161</v>
      </c>
      <c r="B1204" s="271" t="s">
        <v>1443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161</v>
      </c>
      <c r="B1205" s="271" t="s">
        <v>412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0</v>
      </c>
      <c r="K1205" s="273"/>
      <c r="L1205" s="273"/>
      <c r="M1205" s="274">
        <v>0</v>
      </c>
      <c r="N1205" s="272">
        <v>0</v>
      </c>
      <c r="O1205" s="275"/>
      <c r="P1205" s="275"/>
      <c r="Q1205" s="275"/>
      <c r="R1205" s="275"/>
      <c r="S1205" s="275"/>
      <c r="T1205" s="275"/>
      <c r="U1205" s="276">
        <v>0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161</v>
      </c>
      <c r="B1206" s="271" t="s">
        <v>1444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0</v>
      </c>
      <c r="K1206" s="273"/>
      <c r="L1206" s="273"/>
      <c r="M1206" s="274">
        <v>0</v>
      </c>
      <c r="N1206" s="272">
        <v>0</v>
      </c>
      <c r="O1206" s="275"/>
      <c r="P1206" s="275"/>
      <c r="Q1206" s="275"/>
      <c r="R1206" s="275"/>
      <c r="S1206" s="275"/>
      <c r="T1206" s="275"/>
      <c r="U1206" s="276">
        <v>0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161</v>
      </c>
      <c r="B1207" s="271" t="s">
        <v>413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0</v>
      </c>
      <c r="K1207" s="273"/>
      <c r="L1207" s="273"/>
      <c r="M1207" s="274">
        <v>0</v>
      </c>
      <c r="N1207" s="272">
        <v>0</v>
      </c>
      <c r="O1207" s="275"/>
      <c r="P1207" s="275"/>
      <c r="Q1207" s="275"/>
      <c r="R1207" s="275"/>
      <c r="S1207" s="275"/>
      <c r="T1207" s="275"/>
      <c r="U1207" s="276">
        <v>0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161</v>
      </c>
      <c r="B1208" s="271" t="s">
        <v>1445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0</v>
      </c>
      <c r="K1208" s="273"/>
      <c r="L1208" s="273"/>
      <c r="M1208" s="274">
        <v>0</v>
      </c>
      <c r="N1208" s="272">
        <v>0</v>
      </c>
      <c r="O1208" s="275"/>
      <c r="P1208" s="275"/>
      <c r="Q1208" s="275"/>
      <c r="R1208" s="275"/>
      <c r="S1208" s="275"/>
      <c r="T1208" s="275"/>
      <c r="U1208" s="276">
        <v>0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161</v>
      </c>
      <c r="B1209" s="271" t="s">
        <v>1446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0</v>
      </c>
      <c r="K1209" s="273"/>
      <c r="L1209" s="273"/>
      <c r="M1209" s="274">
        <v>0</v>
      </c>
      <c r="N1209" s="272">
        <v>0</v>
      </c>
      <c r="O1209" s="275"/>
      <c r="P1209" s="275"/>
      <c r="Q1209" s="275"/>
      <c r="R1209" s="275"/>
      <c r="S1209" s="275"/>
      <c r="T1209" s="275"/>
      <c r="U1209" s="276">
        <v>0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161</v>
      </c>
      <c r="B1210" s="271" t="s">
        <v>1447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0</v>
      </c>
      <c r="K1210" s="273"/>
      <c r="L1210" s="273"/>
      <c r="M1210" s="274">
        <v>0</v>
      </c>
      <c r="N1210" s="272">
        <v>0</v>
      </c>
      <c r="O1210" s="275"/>
      <c r="P1210" s="275"/>
      <c r="Q1210" s="275"/>
      <c r="R1210" s="275"/>
      <c r="S1210" s="275"/>
      <c r="T1210" s="275"/>
      <c r="U1210" s="276">
        <v>0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161</v>
      </c>
      <c r="B1211" s="271" t="s">
        <v>414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0</v>
      </c>
      <c r="K1211" s="273"/>
      <c r="L1211" s="273"/>
      <c r="M1211" s="274">
        <v>0</v>
      </c>
      <c r="N1211" s="272">
        <v>0</v>
      </c>
      <c r="O1211" s="275"/>
      <c r="P1211" s="275"/>
      <c r="Q1211" s="275"/>
      <c r="R1211" s="275"/>
      <c r="S1211" s="275"/>
      <c r="T1211" s="275"/>
      <c r="U1211" s="276">
        <v>0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161</v>
      </c>
      <c r="B1212" s="271" t="s">
        <v>1448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0</v>
      </c>
      <c r="K1212" s="273"/>
      <c r="L1212" s="273"/>
      <c r="M1212" s="274">
        <v>0</v>
      </c>
      <c r="N1212" s="272">
        <v>0</v>
      </c>
      <c r="O1212" s="275"/>
      <c r="P1212" s="275"/>
      <c r="Q1212" s="275"/>
      <c r="R1212" s="275"/>
      <c r="S1212" s="275"/>
      <c r="T1212" s="275"/>
      <c r="U1212" s="276">
        <v>0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161</v>
      </c>
      <c r="B1213" s="271" t="s">
        <v>415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0</v>
      </c>
      <c r="K1213" s="273"/>
      <c r="L1213" s="273"/>
      <c r="M1213" s="274">
        <v>0</v>
      </c>
      <c r="N1213" s="272">
        <v>0</v>
      </c>
      <c r="O1213" s="275"/>
      <c r="P1213" s="275"/>
      <c r="Q1213" s="275"/>
      <c r="R1213" s="275"/>
      <c r="S1213" s="275"/>
      <c r="T1213" s="275"/>
      <c r="U1213" s="276">
        <v>0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161</v>
      </c>
      <c r="B1214" s="271" t="s">
        <v>1449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0</v>
      </c>
      <c r="K1214" s="273"/>
      <c r="L1214" s="273"/>
      <c r="M1214" s="274">
        <v>0</v>
      </c>
      <c r="N1214" s="272">
        <v>0</v>
      </c>
      <c r="O1214" s="275"/>
      <c r="P1214" s="275"/>
      <c r="Q1214" s="275"/>
      <c r="R1214" s="275"/>
      <c r="S1214" s="275"/>
      <c r="T1214" s="275"/>
      <c r="U1214" s="276">
        <v>0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161</v>
      </c>
      <c r="B1215" s="271" t="s">
        <v>1450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0</v>
      </c>
      <c r="K1215" s="273"/>
      <c r="L1215" s="273"/>
      <c r="M1215" s="274">
        <v>0</v>
      </c>
      <c r="N1215" s="272">
        <v>0</v>
      </c>
      <c r="O1215" s="275"/>
      <c r="P1215" s="275"/>
      <c r="Q1215" s="275"/>
      <c r="R1215" s="275"/>
      <c r="S1215" s="275"/>
      <c r="T1215" s="275"/>
      <c r="U1215" s="276">
        <v>0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161</v>
      </c>
      <c r="B1216" s="271" t="s">
        <v>1451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0</v>
      </c>
      <c r="K1216" s="273"/>
      <c r="L1216" s="273"/>
      <c r="M1216" s="274">
        <v>0</v>
      </c>
      <c r="N1216" s="272">
        <v>0</v>
      </c>
      <c r="O1216" s="275"/>
      <c r="P1216" s="275"/>
      <c r="Q1216" s="275"/>
      <c r="R1216" s="275"/>
      <c r="S1216" s="275"/>
      <c r="T1216" s="275"/>
      <c r="U1216" s="276">
        <v>0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161</v>
      </c>
      <c r="B1217" s="271" t="s">
        <v>416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0</v>
      </c>
      <c r="K1217" s="273"/>
      <c r="L1217" s="273"/>
      <c r="M1217" s="274">
        <v>0</v>
      </c>
      <c r="N1217" s="272">
        <v>0</v>
      </c>
      <c r="O1217" s="275"/>
      <c r="P1217" s="275"/>
      <c r="Q1217" s="275"/>
      <c r="R1217" s="275"/>
      <c r="S1217" s="275"/>
      <c r="T1217" s="275"/>
      <c r="U1217" s="276">
        <v>0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161</v>
      </c>
      <c r="B1218" s="271" t="s">
        <v>1452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0</v>
      </c>
      <c r="K1218" s="273"/>
      <c r="L1218" s="273"/>
      <c r="M1218" s="274">
        <v>0</v>
      </c>
      <c r="N1218" s="272">
        <v>0</v>
      </c>
      <c r="O1218" s="275"/>
      <c r="P1218" s="275"/>
      <c r="Q1218" s="275"/>
      <c r="R1218" s="275"/>
      <c r="S1218" s="275"/>
      <c r="T1218" s="275"/>
      <c r="U1218" s="276">
        <v>0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161</v>
      </c>
      <c r="B1219" s="271" t="s">
        <v>417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0</v>
      </c>
      <c r="K1219" s="273"/>
      <c r="L1219" s="273"/>
      <c r="M1219" s="274">
        <v>0</v>
      </c>
      <c r="N1219" s="272">
        <v>0</v>
      </c>
      <c r="O1219" s="275"/>
      <c r="P1219" s="275"/>
      <c r="Q1219" s="275"/>
      <c r="R1219" s="275"/>
      <c r="S1219" s="275"/>
      <c r="T1219" s="275"/>
      <c r="U1219" s="276">
        <v>0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161</v>
      </c>
      <c r="B1220" s="271" t="s">
        <v>1453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0</v>
      </c>
      <c r="K1220" s="273"/>
      <c r="L1220" s="273"/>
      <c r="M1220" s="274">
        <v>0</v>
      </c>
      <c r="N1220" s="272">
        <v>0</v>
      </c>
      <c r="O1220" s="275"/>
      <c r="P1220" s="275"/>
      <c r="Q1220" s="275"/>
      <c r="R1220" s="275"/>
      <c r="S1220" s="275"/>
      <c r="T1220" s="275"/>
      <c r="U1220" s="276">
        <v>0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161</v>
      </c>
      <c r="B1221" s="271" t="s">
        <v>1454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0</v>
      </c>
      <c r="K1221" s="273"/>
      <c r="L1221" s="273"/>
      <c r="M1221" s="274">
        <v>0</v>
      </c>
      <c r="N1221" s="272">
        <v>0</v>
      </c>
      <c r="O1221" s="275"/>
      <c r="P1221" s="275"/>
      <c r="Q1221" s="275"/>
      <c r="R1221" s="275"/>
      <c r="S1221" s="275"/>
      <c r="T1221" s="275"/>
      <c r="U1221" s="276">
        <v>0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161</v>
      </c>
      <c r="B1222" s="271" t="s">
        <v>1455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0</v>
      </c>
      <c r="K1222" s="273"/>
      <c r="L1222" s="273"/>
      <c r="M1222" s="274">
        <v>0</v>
      </c>
      <c r="N1222" s="272">
        <v>0</v>
      </c>
      <c r="O1222" s="275"/>
      <c r="P1222" s="275"/>
      <c r="Q1222" s="275"/>
      <c r="R1222" s="275"/>
      <c r="S1222" s="275"/>
      <c r="T1222" s="275"/>
      <c r="U1222" s="276">
        <v>0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161</v>
      </c>
      <c r="B1223" s="271" t="s">
        <v>1456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161</v>
      </c>
      <c r="B1224" s="271" t="s">
        <v>1457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161</v>
      </c>
      <c r="B1225" s="271" t="s">
        <v>1458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161</v>
      </c>
      <c r="B1226" s="271" t="s">
        <v>1459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161</v>
      </c>
      <c r="B1227" s="271" t="s">
        <v>1460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161</v>
      </c>
      <c r="B1228" s="271" t="s">
        <v>1461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161</v>
      </c>
      <c r="B1229" s="271" t="s">
        <v>1462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0</v>
      </c>
      <c r="K1229" s="273"/>
      <c r="L1229" s="273"/>
      <c r="M1229" s="274">
        <v>0</v>
      </c>
      <c r="N1229" s="272">
        <v>0</v>
      </c>
      <c r="O1229" s="275"/>
      <c r="P1229" s="275"/>
      <c r="Q1229" s="275"/>
      <c r="R1229" s="275"/>
      <c r="S1229" s="275"/>
      <c r="T1229" s="275"/>
      <c r="U1229" s="276">
        <v>0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161</v>
      </c>
      <c r="B1230" s="271" t="s">
        <v>1463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0</v>
      </c>
      <c r="K1230" s="273"/>
      <c r="L1230" s="273"/>
      <c r="M1230" s="274">
        <v>0</v>
      </c>
      <c r="N1230" s="272">
        <v>0</v>
      </c>
      <c r="O1230" s="275"/>
      <c r="P1230" s="275"/>
      <c r="Q1230" s="275"/>
      <c r="R1230" s="275"/>
      <c r="S1230" s="275"/>
      <c r="T1230" s="275"/>
      <c r="U1230" s="276">
        <v>0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161</v>
      </c>
      <c r="B1231" s="271" t="s">
        <v>1464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0</v>
      </c>
      <c r="K1231" s="273"/>
      <c r="L1231" s="273"/>
      <c r="M1231" s="274">
        <v>0</v>
      </c>
      <c r="N1231" s="272">
        <v>0</v>
      </c>
      <c r="O1231" s="275"/>
      <c r="P1231" s="275"/>
      <c r="Q1231" s="275"/>
      <c r="R1231" s="275"/>
      <c r="S1231" s="275"/>
      <c r="T1231" s="275"/>
      <c r="U1231" s="276">
        <v>0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161</v>
      </c>
      <c r="B1232" s="271" t="s">
        <v>1465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0</v>
      </c>
      <c r="K1232" s="273"/>
      <c r="L1232" s="273"/>
      <c r="M1232" s="274">
        <v>0</v>
      </c>
      <c r="N1232" s="272">
        <v>0</v>
      </c>
      <c r="O1232" s="275"/>
      <c r="P1232" s="275"/>
      <c r="Q1232" s="275"/>
      <c r="R1232" s="275"/>
      <c r="S1232" s="275"/>
      <c r="T1232" s="275"/>
      <c r="U1232" s="276">
        <v>0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161</v>
      </c>
      <c r="B1233" s="271" t="s">
        <v>1466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0</v>
      </c>
      <c r="K1233" s="273"/>
      <c r="L1233" s="273"/>
      <c r="M1233" s="274">
        <v>0</v>
      </c>
      <c r="N1233" s="272">
        <v>0</v>
      </c>
      <c r="O1233" s="275"/>
      <c r="P1233" s="275"/>
      <c r="Q1233" s="275"/>
      <c r="R1233" s="275"/>
      <c r="S1233" s="275"/>
      <c r="T1233" s="275"/>
      <c r="U1233" s="276">
        <v>0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161</v>
      </c>
      <c r="B1234" s="271" t="s">
        <v>1467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0</v>
      </c>
      <c r="K1234" s="273"/>
      <c r="L1234" s="273"/>
      <c r="M1234" s="274">
        <v>0</v>
      </c>
      <c r="N1234" s="272">
        <v>0</v>
      </c>
      <c r="O1234" s="275"/>
      <c r="P1234" s="275"/>
      <c r="Q1234" s="275"/>
      <c r="R1234" s="275"/>
      <c r="S1234" s="275"/>
      <c r="T1234" s="275"/>
      <c r="U1234" s="276">
        <v>0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161</v>
      </c>
      <c r="B1235" s="271" t="s">
        <v>1468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0</v>
      </c>
      <c r="K1235" s="273"/>
      <c r="L1235" s="273"/>
      <c r="M1235" s="274">
        <v>0</v>
      </c>
      <c r="N1235" s="272">
        <v>0</v>
      </c>
      <c r="O1235" s="275"/>
      <c r="P1235" s="275"/>
      <c r="Q1235" s="275"/>
      <c r="R1235" s="275"/>
      <c r="S1235" s="275"/>
      <c r="T1235" s="275"/>
      <c r="U1235" s="276">
        <v>0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161</v>
      </c>
      <c r="B1236" s="271" t="s">
        <v>1469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0</v>
      </c>
      <c r="K1236" s="273"/>
      <c r="L1236" s="273"/>
      <c r="M1236" s="274">
        <v>0</v>
      </c>
      <c r="N1236" s="272">
        <v>0</v>
      </c>
      <c r="O1236" s="275"/>
      <c r="P1236" s="275"/>
      <c r="Q1236" s="275"/>
      <c r="R1236" s="275"/>
      <c r="S1236" s="275"/>
      <c r="T1236" s="275"/>
      <c r="U1236" s="276">
        <v>0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161</v>
      </c>
      <c r="B1237" s="271" t="s">
        <v>1470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0</v>
      </c>
      <c r="K1237" s="273"/>
      <c r="L1237" s="273"/>
      <c r="M1237" s="274">
        <v>0</v>
      </c>
      <c r="N1237" s="272">
        <v>0</v>
      </c>
      <c r="O1237" s="275"/>
      <c r="P1237" s="275"/>
      <c r="Q1237" s="275"/>
      <c r="R1237" s="275"/>
      <c r="S1237" s="275"/>
      <c r="T1237" s="275"/>
      <c r="U1237" s="276">
        <v>0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161</v>
      </c>
      <c r="B1238" s="271" t="s">
        <v>1471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0</v>
      </c>
      <c r="K1238" s="273"/>
      <c r="L1238" s="273"/>
      <c r="M1238" s="274">
        <v>0</v>
      </c>
      <c r="N1238" s="272">
        <v>0</v>
      </c>
      <c r="O1238" s="275"/>
      <c r="P1238" s="275"/>
      <c r="Q1238" s="275"/>
      <c r="R1238" s="275"/>
      <c r="S1238" s="275"/>
      <c r="T1238" s="275"/>
      <c r="U1238" s="276">
        <v>0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161</v>
      </c>
      <c r="B1239" s="271" t="s">
        <v>1472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0</v>
      </c>
      <c r="K1239" s="273"/>
      <c r="L1239" s="273"/>
      <c r="M1239" s="274">
        <v>0</v>
      </c>
      <c r="N1239" s="272">
        <v>0</v>
      </c>
      <c r="O1239" s="275"/>
      <c r="P1239" s="275"/>
      <c r="Q1239" s="275"/>
      <c r="R1239" s="275"/>
      <c r="S1239" s="275"/>
      <c r="T1239" s="275"/>
      <c r="U1239" s="276">
        <v>0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161</v>
      </c>
      <c r="B1240" s="271" t="s">
        <v>1473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0</v>
      </c>
      <c r="K1240" s="273"/>
      <c r="L1240" s="273"/>
      <c r="M1240" s="274">
        <v>0</v>
      </c>
      <c r="N1240" s="272">
        <v>0</v>
      </c>
      <c r="O1240" s="275"/>
      <c r="P1240" s="275"/>
      <c r="Q1240" s="275"/>
      <c r="R1240" s="275"/>
      <c r="S1240" s="275"/>
      <c r="T1240" s="275"/>
      <c r="U1240" s="276">
        <v>0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161</v>
      </c>
      <c r="B1241" s="271" t="s">
        <v>1474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0</v>
      </c>
      <c r="K1241" s="273"/>
      <c r="L1241" s="273"/>
      <c r="M1241" s="274">
        <v>0</v>
      </c>
      <c r="N1241" s="272">
        <v>0</v>
      </c>
      <c r="O1241" s="275"/>
      <c r="P1241" s="275"/>
      <c r="Q1241" s="275"/>
      <c r="R1241" s="275"/>
      <c r="S1241" s="275"/>
      <c r="T1241" s="275"/>
      <c r="U1241" s="276">
        <v>0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161</v>
      </c>
      <c r="B1242" s="271" t="s">
        <v>1475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0</v>
      </c>
      <c r="K1242" s="273"/>
      <c r="L1242" s="273"/>
      <c r="M1242" s="274">
        <v>0</v>
      </c>
      <c r="N1242" s="272">
        <v>0</v>
      </c>
      <c r="O1242" s="275"/>
      <c r="P1242" s="275"/>
      <c r="Q1242" s="275"/>
      <c r="R1242" s="275"/>
      <c r="S1242" s="275"/>
      <c r="T1242" s="275"/>
      <c r="U1242" s="276">
        <v>0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161</v>
      </c>
      <c r="B1243" s="271" t="s">
        <v>1476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0</v>
      </c>
      <c r="K1243" s="273"/>
      <c r="L1243" s="273"/>
      <c r="M1243" s="274">
        <v>0</v>
      </c>
      <c r="N1243" s="272">
        <v>0</v>
      </c>
      <c r="O1243" s="275"/>
      <c r="P1243" s="275"/>
      <c r="Q1243" s="275"/>
      <c r="R1243" s="275"/>
      <c r="S1243" s="275"/>
      <c r="T1243" s="275"/>
      <c r="U1243" s="276">
        <v>0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161</v>
      </c>
      <c r="B1244" s="271" t="s">
        <v>1477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0</v>
      </c>
      <c r="K1244" s="273"/>
      <c r="L1244" s="273"/>
      <c r="M1244" s="274">
        <v>0</v>
      </c>
      <c r="N1244" s="272">
        <v>0</v>
      </c>
      <c r="O1244" s="275"/>
      <c r="P1244" s="275"/>
      <c r="Q1244" s="275"/>
      <c r="R1244" s="275"/>
      <c r="S1244" s="275"/>
      <c r="T1244" s="275"/>
      <c r="U1244" s="276">
        <v>0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161</v>
      </c>
      <c r="B1245" s="271" t="s">
        <v>1478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0</v>
      </c>
      <c r="K1245" s="273"/>
      <c r="L1245" s="273"/>
      <c r="M1245" s="274">
        <v>0</v>
      </c>
      <c r="N1245" s="272">
        <v>0</v>
      </c>
      <c r="O1245" s="275"/>
      <c r="P1245" s="275"/>
      <c r="Q1245" s="275"/>
      <c r="R1245" s="275"/>
      <c r="S1245" s="275"/>
      <c r="T1245" s="275"/>
      <c r="U1245" s="276">
        <v>0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161</v>
      </c>
      <c r="B1246" s="271" t="s">
        <v>1479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0</v>
      </c>
      <c r="K1246" s="273"/>
      <c r="L1246" s="273"/>
      <c r="M1246" s="274">
        <v>0</v>
      </c>
      <c r="N1246" s="272">
        <v>0</v>
      </c>
      <c r="O1246" s="275"/>
      <c r="P1246" s="275"/>
      <c r="Q1246" s="275"/>
      <c r="R1246" s="275"/>
      <c r="S1246" s="275"/>
      <c r="T1246" s="275"/>
      <c r="U1246" s="276">
        <v>0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161</v>
      </c>
      <c r="B1247" s="271" t="s">
        <v>1480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161</v>
      </c>
      <c r="B1248" s="271" t="s">
        <v>1481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161</v>
      </c>
      <c r="B1249" s="271" t="s">
        <v>1482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161</v>
      </c>
      <c r="B1250" s="271" t="s">
        <v>1483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161</v>
      </c>
      <c r="B1251" s="271" t="s">
        <v>1484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161</v>
      </c>
      <c r="B1252" s="271" t="s">
        <v>1485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161</v>
      </c>
      <c r="B1253" s="271" t="s">
        <v>1486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161</v>
      </c>
      <c r="B1254" s="271" t="s">
        <v>1487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161</v>
      </c>
      <c r="B1255" s="271" t="s">
        <v>1488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0</v>
      </c>
      <c r="K1255" s="273"/>
      <c r="L1255" s="273"/>
      <c r="M1255" s="274">
        <v>0</v>
      </c>
      <c r="N1255" s="272">
        <v>0</v>
      </c>
      <c r="O1255" s="275"/>
      <c r="P1255" s="275"/>
      <c r="Q1255" s="275"/>
      <c r="R1255" s="275"/>
      <c r="S1255" s="275"/>
      <c r="T1255" s="275"/>
      <c r="U1255" s="276">
        <v>0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161</v>
      </c>
      <c r="B1256" s="271" t="s">
        <v>1489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161</v>
      </c>
      <c r="B1257" s="271" t="s">
        <v>1490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0</v>
      </c>
      <c r="K1257" s="273"/>
      <c r="L1257" s="273"/>
      <c r="M1257" s="274">
        <v>0</v>
      </c>
      <c r="N1257" s="272">
        <v>0</v>
      </c>
      <c r="O1257" s="275"/>
      <c r="P1257" s="275"/>
      <c r="Q1257" s="275"/>
      <c r="R1257" s="275"/>
      <c r="S1257" s="275"/>
      <c r="T1257" s="275"/>
      <c r="U1257" s="276">
        <v>0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161</v>
      </c>
      <c r="B1258" s="271" t="s">
        <v>1491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161</v>
      </c>
      <c r="B1259" s="271" t="s">
        <v>1492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161</v>
      </c>
      <c r="B1260" s="271" t="s">
        <v>1493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161</v>
      </c>
      <c r="B1261" s="271" t="s">
        <v>1494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0</v>
      </c>
      <c r="K1261" s="273"/>
      <c r="L1261" s="273"/>
      <c r="M1261" s="274">
        <v>0</v>
      </c>
      <c r="N1261" s="272">
        <v>0</v>
      </c>
      <c r="O1261" s="275"/>
      <c r="P1261" s="275"/>
      <c r="Q1261" s="275"/>
      <c r="R1261" s="275"/>
      <c r="S1261" s="275"/>
      <c r="T1261" s="275"/>
      <c r="U1261" s="276">
        <v>0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161</v>
      </c>
      <c r="B1262" s="271" t="s">
        <v>1495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161</v>
      </c>
      <c r="B1263" s="271" t="s">
        <v>1496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0</v>
      </c>
      <c r="K1263" s="273"/>
      <c r="L1263" s="273"/>
      <c r="M1263" s="274">
        <v>0</v>
      </c>
      <c r="N1263" s="272">
        <v>0</v>
      </c>
      <c r="O1263" s="275"/>
      <c r="P1263" s="275"/>
      <c r="Q1263" s="275"/>
      <c r="R1263" s="275"/>
      <c r="S1263" s="275"/>
      <c r="T1263" s="275"/>
      <c r="U1263" s="276">
        <v>0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161</v>
      </c>
      <c r="B1264" s="271" t="s">
        <v>1497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161</v>
      </c>
      <c r="B1265" s="271" t="s">
        <v>1498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0</v>
      </c>
      <c r="K1265" s="273"/>
      <c r="L1265" s="273"/>
      <c r="M1265" s="274">
        <v>0</v>
      </c>
      <c r="N1265" s="272">
        <v>0</v>
      </c>
      <c r="O1265" s="275"/>
      <c r="P1265" s="275"/>
      <c r="Q1265" s="275"/>
      <c r="R1265" s="275"/>
      <c r="S1265" s="275"/>
      <c r="T1265" s="275"/>
      <c r="U1265" s="276">
        <v>0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161</v>
      </c>
      <c r="B1266" s="271" t="s">
        <v>1499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0</v>
      </c>
      <c r="K1266" s="273"/>
      <c r="L1266" s="273"/>
      <c r="M1266" s="274">
        <v>0</v>
      </c>
      <c r="N1266" s="272">
        <v>0</v>
      </c>
      <c r="O1266" s="275"/>
      <c r="P1266" s="275"/>
      <c r="Q1266" s="275"/>
      <c r="R1266" s="275"/>
      <c r="S1266" s="275"/>
      <c r="T1266" s="275"/>
      <c r="U1266" s="276">
        <v>0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161</v>
      </c>
      <c r="B1267" s="271" t="s">
        <v>1500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0</v>
      </c>
      <c r="K1267" s="273"/>
      <c r="L1267" s="273"/>
      <c r="M1267" s="274">
        <v>0</v>
      </c>
      <c r="N1267" s="272">
        <v>0</v>
      </c>
      <c r="O1267" s="275"/>
      <c r="P1267" s="275"/>
      <c r="Q1267" s="275"/>
      <c r="R1267" s="275"/>
      <c r="S1267" s="275"/>
      <c r="T1267" s="275"/>
      <c r="U1267" s="276">
        <v>0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161</v>
      </c>
      <c r="B1268" s="271" t="s">
        <v>1501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0</v>
      </c>
      <c r="K1268" s="273"/>
      <c r="L1268" s="273"/>
      <c r="M1268" s="274">
        <v>0</v>
      </c>
      <c r="N1268" s="272">
        <v>0</v>
      </c>
      <c r="O1268" s="275"/>
      <c r="P1268" s="275"/>
      <c r="Q1268" s="275"/>
      <c r="R1268" s="275"/>
      <c r="S1268" s="275"/>
      <c r="T1268" s="275"/>
      <c r="U1268" s="276">
        <v>0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161</v>
      </c>
      <c r="B1269" s="271" t="s">
        <v>1502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161</v>
      </c>
      <c r="B1270" s="271" t="s">
        <v>1503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161</v>
      </c>
      <c r="B1271" s="271" t="s">
        <v>1504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0</v>
      </c>
      <c r="K1271" s="273"/>
      <c r="L1271" s="273"/>
      <c r="M1271" s="274">
        <v>0</v>
      </c>
      <c r="N1271" s="272">
        <v>0</v>
      </c>
      <c r="O1271" s="275"/>
      <c r="P1271" s="275"/>
      <c r="Q1271" s="275"/>
      <c r="R1271" s="275"/>
      <c r="S1271" s="275"/>
      <c r="T1271" s="275"/>
      <c r="U1271" s="276">
        <v>0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161</v>
      </c>
      <c r="B1272" s="271" t="s">
        <v>1505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0</v>
      </c>
      <c r="K1272" s="273"/>
      <c r="L1272" s="273"/>
      <c r="M1272" s="274">
        <v>0</v>
      </c>
      <c r="N1272" s="272">
        <v>0</v>
      </c>
      <c r="O1272" s="275"/>
      <c r="P1272" s="275"/>
      <c r="Q1272" s="275"/>
      <c r="R1272" s="275"/>
      <c r="S1272" s="275"/>
      <c r="T1272" s="275"/>
      <c r="U1272" s="276">
        <v>0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161</v>
      </c>
      <c r="B1273" s="271" t="s">
        <v>1506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0</v>
      </c>
      <c r="K1273" s="273"/>
      <c r="L1273" s="273"/>
      <c r="M1273" s="274">
        <v>0</v>
      </c>
      <c r="N1273" s="272">
        <v>0</v>
      </c>
      <c r="O1273" s="275"/>
      <c r="P1273" s="275"/>
      <c r="Q1273" s="275"/>
      <c r="R1273" s="275"/>
      <c r="S1273" s="275"/>
      <c r="T1273" s="275"/>
      <c r="U1273" s="276">
        <v>0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161</v>
      </c>
      <c r="B1274" s="271" t="s">
        <v>1507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0</v>
      </c>
      <c r="K1274" s="273"/>
      <c r="L1274" s="273"/>
      <c r="M1274" s="274">
        <v>0</v>
      </c>
      <c r="N1274" s="272">
        <v>0</v>
      </c>
      <c r="O1274" s="275"/>
      <c r="P1274" s="275"/>
      <c r="Q1274" s="275"/>
      <c r="R1274" s="275"/>
      <c r="S1274" s="275"/>
      <c r="T1274" s="275"/>
      <c r="U1274" s="276">
        <v>0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161</v>
      </c>
      <c r="B1275" s="271" t="s">
        <v>1508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161</v>
      </c>
      <c r="B1276" s="271" t="s">
        <v>1509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161</v>
      </c>
      <c r="B1277" s="271" t="s">
        <v>1510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161</v>
      </c>
      <c r="B1278" s="271" t="s">
        <v>1511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161</v>
      </c>
      <c r="B1279" s="271" t="s">
        <v>1512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0</v>
      </c>
      <c r="K1279" s="273"/>
      <c r="L1279" s="273"/>
      <c r="M1279" s="274">
        <v>0</v>
      </c>
      <c r="N1279" s="272">
        <v>0</v>
      </c>
      <c r="O1279" s="275"/>
      <c r="P1279" s="275"/>
      <c r="Q1279" s="275"/>
      <c r="R1279" s="275"/>
      <c r="S1279" s="275"/>
      <c r="T1279" s="275"/>
      <c r="U1279" s="276">
        <v>0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161</v>
      </c>
      <c r="B1280" s="271" t="s">
        <v>1513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161</v>
      </c>
      <c r="B1281" s="271" t="s">
        <v>1514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0</v>
      </c>
      <c r="K1281" s="273"/>
      <c r="L1281" s="273"/>
      <c r="M1281" s="274">
        <v>0</v>
      </c>
      <c r="N1281" s="272">
        <v>0</v>
      </c>
      <c r="O1281" s="275"/>
      <c r="P1281" s="275"/>
      <c r="Q1281" s="275"/>
      <c r="R1281" s="275"/>
      <c r="S1281" s="275"/>
      <c r="T1281" s="275"/>
      <c r="U1281" s="276">
        <v>0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161</v>
      </c>
      <c r="B1282" s="271" t="s">
        <v>1515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161</v>
      </c>
      <c r="B1283" s="271" t="s">
        <v>1516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161</v>
      </c>
      <c r="B1284" s="271" t="s">
        <v>1517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161</v>
      </c>
      <c r="B1285" s="271" t="s">
        <v>1518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0</v>
      </c>
      <c r="K1285" s="273"/>
      <c r="L1285" s="273"/>
      <c r="M1285" s="274">
        <v>0</v>
      </c>
      <c r="N1285" s="272">
        <v>0</v>
      </c>
      <c r="O1285" s="275"/>
      <c r="P1285" s="275"/>
      <c r="Q1285" s="275"/>
      <c r="R1285" s="275"/>
      <c r="S1285" s="275"/>
      <c r="T1285" s="275"/>
      <c r="U1285" s="276">
        <v>0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161</v>
      </c>
      <c r="B1286" s="271" t="s">
        <v>1519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161</v>
      </c>
      <c r="B1287" s="271" t="s">
        <v>1520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0</v>
      </c>
      <c r="K1287" s="273"/>
      <c r="L1287" s="273"/>
      <c r="M1287" s="274">
        <v>0</v>
      </c>
      <c r="N1287" s="272">
        <v>0</v>
      </c>
      <c r="O1287" s="275"/>
      <c r="P1287" s="275"/>
      <c r="Q1287" s="275"/>
      <c r="R1287" s="275"/>
      <c r="S1287" s="275"/>
      <c r="T1287" s="275"/>
      <c r="U1287" s="276">
        <v>0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161</v>
      </c>
      <c r="B1288" s="271" t="s">
        <v>1521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161</v>
      </c>
      <c r="B1289" s="271" t="s">
        <v>1522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0</v>
      </c>
      <c r="K1289" s="273"/>
      <c r="L1289" s="273"/>
      <c r="M1289" s="274">
        <v>0</v>
      </c>
      <c r="N1289" s="272">
        <v>0</v>
      </c>
      <c r="O1289" s="275"/>
      <c r="P1289" s="275"/>
      <c r="Q1289" s="275"/>
      <c r="R1289" s="275"/>
      <c r="S1289" s="275"/>
      <c r="T1289" s="275"/>
      <c r="U1289" s="276">
        <v>0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161</v>
      </c>
      <c r="B1290" s="271" t="s">
        <v>1523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0</v>
      </c>
      <c r="K1290" s="273"/>
      <c r="L1290" s="273"/>
      <c r="M1290" s="274">
        <v>0</v>
      </c>
      <c r="N1290" s="272">
        <v>0</v>
      </c>
      <c r="O1290" s="275"/>
      <c r="P1290" s="275"/>
      <c r="Q1290" s="275"/>
      <c r="R1290" s="275"/>
      <c r="S1290" s="275"/>
      <c r="T1290" s="275"/>
      <c r="U1290" s="276">
        <v>0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161</v>
      </c>
      <c r="B1291" s="271" t="s">
        <v>1524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0</v>
      </c>
      <c r="K1291" s="273"/>
      <c r="L1291" s="273"/>
      <c r="M1291" s="274">
        <v>0</v>
      </c>
      <c r="N1291" s="272">
        <v>0</v>
      </c>
      <c r="O1291" s="275"/>
      <c r="P1291" s="275"/>
      <c r="Q1291" s="275"/>
      <c r="R1291" s="275"/>
      <c r="S1291" s="275"/>
      <c r="T1291" s="275"/>
      <c r="U1291" s="276">
        <v>0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161</v>
      </c>
      <c r="B1292" s="271" t="s">
        <v>1525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0</v>
      </c>
      <c r="K1292" s="273"/>
      <c r="L1292" s="273"/>
      <c r="M1292" s="274">
        <v>0</v>
      </c>
      <c r="N1292" s="272">
        <v>0</v>
      </c>
      <c r="O1292" s="275"/>
      <c r="P1292" s="275"/>
      <c r="Q1292" s="275"/>
      <c r="R1292" s="275"/>
      <c r="S1292" s="275"/>
      <c r="T1292" s="275"/>
      <c r="U1292" s="276">
        <v>0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161</v>
      </c>
      <c r="B1293" s="271" t="s">
        <v>1526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161</v>
      </c>
      <c r="B1294" s="271" t="s">
        <v>1527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161</v>
      </c>
      <c r="B1295" s="271" t="s">
        <v>1528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0</v>
      </c>
      <c r="K1295" s="273"/>
      <c r="L1295" s="273"/>
      <c r="M1295" s="274">
        <v>0</v>
      </c>
      <c r="N1295" s="272">
        <v>0</v>
      </c>
      <c r="O1295" s="275"/>
      <c r="P1295" s="275"/>
      <c r="Q1295" s="275"/>
      <c r="R1295" s="275"/>
      <c r="S1295" s="275"/>
      <c r="T1295" s="275"/>
      <c r="U1295" s="276">
        <v>0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161</v>
      </c>
      <c r="B1296" s="271" t="s">
        <v>1529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0</v>
      </c>
      <c r="K1296" s="273"/>
      <c r="L1296" s="273"/>
      <c r="M1296" s="274">
        <v>0</v>
      </c>
      <c r="N1296" s="272">
        <v>0</v>
      </c>
      <c r="O1296" s="275"/>
      <c r="P1296" s="275"/>
      <c r="Q1296" s="275"/>
      <c r="R1296" s="275"/>
      <c r="S1296" s="275"/>
      <c r="T1296" s="275"/>
      <c r="U1296" s="276">
        <v>0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161</v>
      </c>
      <c r="B1297" s="271" t="s">
        <v>1530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0</v>
      </c>
      <c r="K1297" s="273"/>
      <c r="L1297" s="273"/>
      <c r="M1297" s="274">
        <v>0</v>
      </c>
      <c r="N1297" s="272">
        <v>0</v>
      </c>
      <c r="O1297" s="275"/>
      <c r="P1297" s="275"/>
      <c r="Q1297" s="275"/>
      <c r="R1297" s="275"/>
      <c r="S1297" s="275"/>
      <c r="T1297" s="275"/>
      <c r="U1297" s="276">
        <v>0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161</v>
      </c>
      <c r="B1298" s="271" t="s">
        <v>1531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0</v>
      </c>
      <c r="K1298" s="273"/>
      <c r="L1298" s="273"/>
      <c r="M1298" s="274">
        <v>0</v>
      </c>
      <c r="N1298" s="272">
        <v>0</v>
      </c>
      <c r="O1298" s="275"/>
      <c r="P1298" s="275"/>
      <c r="Q1298" s="275"/>
      <c r="R1298" s="275"/>
      <c r="S1298" s="275"/>
      <c r="T1298" s="275"/>
      <c r="U1298" s="276">
        <v>0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161</v>
      </c>
      <c r="B1299" s="271" t="s">
        <v>1532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161</v>
      </c>
      <c r="B1300" s="271" t="s">
        <v>1533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161</v>
      </c>
      <c r="B1301" s="271" t="s">
        <v>1534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161</v>
      </c>
      <c r="B1302" s="271" t="s">
        <v>1535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161</v>
      </c>
      <c r="B1303" s="271" t="s">
        <v>1536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0</v>
      </c>
      <c r="K1303" s="273"/>
      <c r="L1303" s="273"/>
      <c r="M1303" s="274">
        <v>0</v>
      </c>
      <c r="N1303" s="272">
        <v>0</v>
      </c>
      <c r="O1303" s="275"/>
      <c r="P1303" s="275"/>
      <c r="Q1303" s="275"/>
      <c r="R1303" s="275"/>
      <c r="S1303" s="275"/>
      <c r="T1303" s="275"/>
      <c r="U1303" s="276">
        <v>0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161</v>
      </c>
      <c r="B1304" s="271" t="s">
        <v>1537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161</v>
      </c>
      <c r="B1305" s="271" t="s">
        <v>1538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0</v>
      </c>
      <c r="K1305" s="273"/>
      <c r="L1305" s="273"/>
      <c r="M1305" s="274">
        <v>0</v>
      </c>
      <c r="N1305" s="272">
        <v>0</v>
      </c>
      <c r="O1305" s="275"/>
      <c r="P1305" s="275"/>
      <c r="Q1305" s="275"/>
      <c r="R1305" s="275"/>
      <c r="S1305" s="275"/>
      <c r="T1305" s="275"/>
      <c r="U1305" s="276">
        <v>0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161</v>
      </c>
      <c r="B1306" s="271" t="s">
        <v>1539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161</v>
      </c>
      <c r="B1307" s="271" t="s">
        <v>1540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161</v>
      </c>
      <c r="B1308" s="271" t="s">
        <v>1541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161</v>
      </c>
      <c r="B1309" s="271" t="s">
        <v>1542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0</v>
      </c>
      <c r="K1309" s="273"/>
      <c r="L1309" s="273"/>
      <c r="M1309" s="274">
        <v>0</v>
      </c>
      <c r="N1309" s="272">
        <v>0</v>
      </c>
      <c r="O1309" s="275"/>
      <c r="P1309" s="275"/>
      <c r="Q1309" s="275"/>
      <c r="R1309" s="275"/>
      <c r="S1309" s="275"/>
      <c r="T1309" s="275"/>
      <c r="U1309" s="276">
        <v>0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161</v>
      </c>
      <c r="B1310" s="271" t="s">
        <v>1543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161</v>
      </c>
      <c r="B1311" s="271" t="s">
        <v>1544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0</v>
      </c>
      <c r="K1311" s="273"/>
      <c r="L1311" s="273"/>
      <c r="M1311" s="274">
        <v>0</v>
      </c>
      <c r="N1311" s="272">
        <v>0</v>
      </c>
      <c r="O1311" s="275"/>
      <c r="P1311" s="275"/>
      <c r="Q1311" s="275"/>
      <c r="R1311" s="275"/>
      <c r="S1311" s="275"/>
      <c r="T1311" s="275"/>
      <c r="U1311" s="276">
        <v>0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161</v>
      </c>
      <c r="B1312" s="271" t="s">
        <v>1545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161</v>
      </c>
      <c r="B1313" s="271" t="s">
        <v>1546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0</v>
      </c>
      <c r="K1313" s="273"/>
      <c r="L1313" s="273"/>
      <c r="M1313" s="274">
        <v>0</v>
      </c>
      <c r="N1313" s="272">
        <v>0</v>
      </c>
      <c r="O1313" s="275"/>
      <c r="P1313" s="275"/>
      <c r="Q1313" s="275"/>
      <c r="R1313" s="275"/>
      <c r="S1313" s="275"/>
      <c r="T1313" s="275"/>
      <c r="U1313" s="276">
        <v>0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161</v>
      </c>
      <c r="B1314" s="271" t="s">
        <v>1547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0</v>
      </c>
      <c r="K1314" s="273"/>
      <c r="L1314" s="273"/>
      <c r="M1314" s="274">
        <v>0</v>
      </c>
      <c r="N1314" s="272">
        <v>0</v>
      </c>
      <c r="O1314" s="275"/>
      <c r="P1314" s="275"/>
      <c r="Q1314" s="275"/>
      <c r="R1314" s="275"/>
      <c r="S1314" s="275"/>
      <c r="T1314" s="275"/>
      <c r="U1314" s="276">
        <v>0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161</v>
      </c>
      <c r="B1315" s="271" t="s">
        <v>1548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0</v>
      </c>
      <c r="K1315" s="273"/>
      <c r="L1315" s="273"/>
      <c r="M1315" s="274">
        <v>0</v>
      </c>
      <c r="N1315" s="272">
        <v>0</v>
      </c>
      <c r="O1315" s="275"/>
      <c r="P1315" s="275"/>
      <c r="Q1315" s="275"/>
      <c r="R1315" s="275"/>
      <c r="S1315" s="275"/>
      <c r="T1315" s="275"/>
      <c r="U1315" s="276">
        <v>0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161</v>
      </c>
      <c r="B1316" s="271" t="s">
        <v>1549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0</v>
      </c>
      <c r="K1316" s="273"/>
      <c r="L1316" s="273"/>
      <c r="M1316" s="274">
        <v>0</v>
      </c>
      <c r="N1316" s="272">
        <v>0</v>
      </c>
      <c r="O1316" s="275"/>
      <c r="P1316" s="275"/>
      <c r="Q1316" s="275"/>
      <c r="R1316" s="275"/>
      <c r="S1316" s="275"/>
      <c r="T1316" s="275"/>
      <c r="U1316" s="276">
        <v>0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161</v>
      </c>
      <c r="B1317" s="271" t="s">
        <v>1550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161</v>
      </c>
      <c r="B1318" s="271" t="s">
        <v>1551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161</v>
      </c>
      <c r="B1319" s="271" t="s">
        <v>1552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0</v>
      </c>
      <c r="K1319" s="273"/>
      <c r="L1319" s="273"/>
      <c r="M1319" s="274">
        <v>0</v>
      </c>
      <c r="N1319" s="272">
        <v>0</v>
      </c>
      <c r="O1319" s="275"/>
      <c r="P1319" s="275"/>
      <c r="Q1319" s="275"/>
      <c r="R1319" s="275"/>
      <c r="S1319" s="275"/>
      <c r="T1319" s="275"/>
      <c r="U1319" s="276">
        <v>0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161</v>
      </c>
      <c r="B1320" s="271" t="s">
        <v>1553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0</v>
      </c>
      <c r="K1320" s="273"/>
      <c r="L1320" s="273"/>
      <c r="M1320" s="274">
        <v>0</v>
      </c>
      <c r="N1320" s="272">
        <v>0</v>
      </c>
      <c r="O1320" s="275"/>
      <c r="P1320" s="275"/>
      <c r="Q1320" s="275"/>
      <c r="R1320" s="275"/>
      <c r="S1320" s="275"/>
      <c r="T1320" s="275"/>
      <c r="U1320" s="276">
        <v>0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161</v>
      </c>
      <c r="B1321" s="271" t="s">
        <v>1554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0</v>
      </c>
      <c r="K1321" s="273"/>
      <c r="L1321" s="273"/>
      <c r="M1321" s="274">
        <v>0</v>
      </c>
      <c r="N1321" s="272">
        <v>0</v>
      </c>
      <c r="O1321" s="275"/>
      <c r="P1321" s="275"/>
      <c r="Q1321" s="275"/>
      <c r="R1321" s="275"/>
      <c r="S1321" s="275"/>
      <c r="T1321" s="275"/>
      <c r="U1321" s="276">
        <v>0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161</v>
      </c>
      <c r="B1322" s="271" t="s">
        <v>1555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0</v>
      </c>
      <c r="K1322" s="273"/>
      <c r="L1322" s="273"/>
      <c r="M1322" s="274">
        <v>0</v>
      </c>
      <c r="N1322" s="272">
        <v>0</v>
      </c>
      <c r="O1322" s="275"/>
      <c r="P1322" s="275"/>
      <c r="Q1322" s="275"/>
      <c r="R1322" s="275"/>
      <c r="S1322" s="275"/>
      <c r="T1322" s="275"/>
      <c r="U1322" s="276">
        <v>0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161</v>
      </c>
      <c r="B1323" s="271" t="s">
        <v>1556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161</v>
      </c>
      <c r="B1324" s="271" t="s">
        <v>1557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161</v>
      </c>
      <c r="B1325" s="271" t="s">
        <v>1558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0</v>
      </c>
      <c r="K1325" s="273"/>
      <c r="L1325" s="273"/>
      <c r="M1325" s="274">
        <v>0</v>
      </c>
      <c r="N1325" s="272">
        <v>0</v>
      </c>
      <c r="O1325" s="275"/>
      <c r="P1325" s="275"/>
      <c r="Q1325" s="275"/>
      <c r="R1325" s="275"/>
      <c r="S1325" s="275"/>
      <c r="T1325" s="275"/>
      <c r="U1325" s="276">
        <v>0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161</v>
      </c>
      <c r="B1326" s="271" t="s">
        <v>1559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0</v>
      </c>
      <c r="K1326" s="273"/>
      <c r="L1326" s="273"/>
      <c r="M1326" s="274">
        <v>0</v>
      </c>
      <c r="N1326" s="272">
        <v>0</v>
      </c>
      <c r="O1326" s="275"/>
      <c r="P1326" s="275"/>
      <c r="Q1326" s="275"/>
      <c r="R1326" s="275"/>
      <c r="S1326" s="275"/>
      <c r="T1326" s="275"/>
      <c r="U1326" s="276">
        <v>0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161</v>
      </c>
      <c r="B1327" s="271" t="s">
        <v>1560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0</v>
      </c>
      <c r="K1327" s="273"/>
      <c r="L1327" s="273"/>
      <c r="M1327" s="274">
        <v>0</v>
      </c>
      <c r="N1327" s="272">
        <v>0</v>
      </c>
      <c r="O1327" s="275"/>
      <c r="P1327" s="275"/>
      <c r="Q1327" s="275"/>
      <c r="R1327" s="275"/>
      <c r="S1327" s="275"/>
      <c r="T1327" s="275"/>
      <c r="U1327" s="276">
        <v>0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161</v>
      </c>
      <c r="B1328" s="271" t="s">
        <v>1561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0</v>
      </c>
      <c r="K1328" s="273"/>
      <c r="L1328" s="273"/>
      <c r="M1328" s="274">
        <v>0</v>
      </c>
      <c r="N1328" s="272">
        <v>0</v>
      </c>
      <c r="O1328" s="275"/>
      <c r="P1328" s="275"/>
      <c r="Q1328" s="275"/>
      <c r="R1328" s="275"/>
      <c r="S1328" s="275"/>
      <c r="T1328" s="275"/>
      <c r="U1328" s="276">
        <v>0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161</v>
      </c>
      <c r="B1329" s="271" t="s">
        <v>1562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0</v>
      </c>
      <c r="K1329" s="273"/>
      <c r="L1329" s="273"/>
      <c r="M1329" s="274">
        <v>0</v>
      </c>
      <c r="N1329" s="272">
        <v>0</v>
      </c>
      <c r="O1329" s="275"/>
      <c r="P1329" s="275"/>
      <c r="Q1329" s="275"/>
      <c r="R1329" s="275"/>
      <c r="S1329" s="275"/>
      <c r="T1329" s="275"/>
      <c r="U1329" s="276">
        <v>0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161</v>
      </c>
      <c r="B1330" s="271" t="s">
        <v>1563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0</v>
      </c>
      <c r="K1330" s="273"/>
      <c r="L1330" s="273"/>
      <c r="M1330" s="274">
        <v>0</v>
      </c>
      <c r="N1330" s="272">
        <v>0</v>
      </c>
      <c r="O1330" s="275"/>
      <c r="P1330" s="275"/>
      <c r="Q1330" s="275"/>
      <c r="R1330" s="275"/>
      <c r="S1330" s="275"/>
      <c r="T1330" s="275"/>
      <c r="U1330" s="276">
        <v>0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161</v>
      </c>
      <c r="B1331" s="271" t="s">
        <v>1564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0</v>
      </c>
      <c r="K1331" s="273"/>
      <c r="L1331" s="273"/>
      <c r="M1331" s="274">
        <v>0</v>
      </c>
      <c r="N1331" s="272">
        <v>0</v>
      </c>
      <c r="O1331" s="275"/>
      <c r="P1331" s="275"/>
      <c r="Q1331" s="275"/>
      <c r="R1331" s="275"/>
      <c r="S1331" s="275"/>
      <c r="T1331" s="275"/>
      <c r="U1331" s="276">
        <v>0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161</v>
      </c>
      <c r="B1332" s="271" t="s">
        <v>1565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0</v>
      </c>
      <c r="K1332" s="273"/>
      <c r="L1332" s="273"/>
      <c r="M1332" s="274">
        <v>0</v>
      </c>
      <c r="N1332" s="272">
        <v>0</v>
      </c>
      <c r="O1332" s="275"/>
      <c r="P1332" s="275"/>
      <c r="Q1332" s="275"/>
      <c r="R1332" s="275"/>
      <c r="S1332" s="275"/>
      <c r="T1332" s="275"/>
      <c r="U1332" s="276">
        <v>0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161</v>
      </c>
      <c r="B1333" s="271" t="s">
        <v>1566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0</v>
      </c>
      <c r="K1333" s="273"/>
      <c r="L1333" s="273"/>
      <c r="M1333" s="274">
        <v>0</v>
      </c>
      <c r="N1333" s="272">
        <v>0</v>
      </c>
      <c r="O1333" s="275"/>
      <c r="P1333" s="275"/>
      <c r="Q1333" s="275"/>
      <c r="R1333" s="275"/>
      <c r="S1333" s="275"/>
      <c r="T1333" s="275"/>
      <c r="U1333" s="276">
        <v>0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161</v>
      </c>
      <c r="B1334" s="271" t="s">
        <v>1567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0</v>
      </c>
      <c r="K1334" s="273"/>
      <c r="L1334" s="273"/>
      <c r="M1334" s="274">
        <v>0</v>
      </c>
      <c r="N1334" s="272">
        <v>0</v>
      </c>
      <c r="O1334" s="275"/>
      <c r="P1334" s="275"/>
      <c r="Q1334" s="275"/>
      <c r="R1334" s="275"/>
      <c r="S1334" s="275"/>
      <c r="T1334" s="275"/>
      <c r="U1334" s="276">
        <v>0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161</v>
      </c>
      <c r="B1335" s="271" t="s">
        <v>1568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0</v>
      </c>
      <c r="K1335" s="273"/>
      <c r="L1335" s="273"/>
      <c r="M1335" s="274">
        <v>0</v>
      </c>
      <c r="N1335" s="272">
        <v>0</v>
      </c>
      <c r="O1335" s="275"/>
      <c r="P1335" s="275"/>
      <c r="Q1335" s="275"/>
      <c r="R1335" s="275"/>
      <c r="S1335" s="275"/>
      <c r="T1335" s="275"/>
      <c r="U1335" s="276">
        <v>0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161</v>
      </c>
      <c r="B1336" s="271" t="s">
        <v>1569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0</v>
      </c>
      <c r="K1336" s="273"/>
      <c r="L1336" s="273"/>
      <c r="M1336" s="274">
        <v>0</v>
      </c>
      <c r="N1336" s="272">
        <v>0</v>
      </c>
      <c r="O1336" s="275"/>
      <c r="P1336" s="275"/>
      <c r="Q1336" s="275"/>
      <c r="R1336" s="275"/>
      <c r="S1336" s="275"/>
      <c r="T1336" s="275"/>
      <c r="U1336" s="276">
        <v>0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161</v>
      </c>
      <c r="B1337" s="271" t="s">
        <v>1570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0</v>
      </c>
      <c r="K1337" s="273"/>
      <c r="L1337" s="273"/>
      <c r="M1337" s="274">
        <v>0</v>
      </c>
      <c r="N1337" s="272">
        <v>0</v>
      </c>
      <c r="O1337" s="275"/>
      <c r="P1337" s="275"/>
      <c r="Q1337" s="275"/>
      <c r="R1337" s="275"/>
      <c r="S1337" s="275"/>
      <c r="T1337" s="275"/>
      <c r="U1337" s="276">
        <v>0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161</v>
      </c>
      <c r="B1338" s="271" t="s">
        <v>1571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0</v>
      </c>
      <c r="K1338" s="273"/>
      <c r="L1338" s="273"/>
      <c r="M1338" s="274">
        <v>0</v>
      </c>
      <c r="N1338" s="272">
        <v>0</v>
      </c>
      <c r="O1338" s="275"/>
      <c r="P1338" s="275"/>
      <c r="Q1338" s="275"/>
      <c r="R1338" s="275"/>
      <c r="S1338" s="275"/>
      <c r="T1338" s="275"/>
      <c r="U1338" s="276">
        <v>0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161</v>
      </c>
      <c r="B1339" s="271" t="s">
        <v>1572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0</v>
      </c>
      <c r="K1339" s="273"/>
      <c r="L1339" s="273"/>
      <c r="M1339" s="274">
        <v>0</v>
      </c>
      <c r="N1339" s="272">
        <v>0</v>
      </c>
      <c r="O1339" s="275"/>
      <c r="P1339" s="275"/>
      <c r="Q1339" s="275"/>
      <c r="R1339" s="275"/>
      <c r="S1339" s="275"/>
      <c r="T1339" s="275"/>
      <c r="U1339" s="276">
        <v>0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161</v>
      </c>
      <c r="B1340" s="271" t="s">
        <v>1573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0</v>
      </c>
      <c r="K1340" s="273"/>
      <c r="L1340" s="273"/>
      <c r="M1340" s="274">
        <v>0</v>
      </c>
      <c r="N1340" s="272">
        <v>0</v>
      </c>
      <c r="O1340" s="275"/>
      <c r="P1340" s="275"/>
      <c r="Q1340" s="275"/>
      <c r="R1340" s="275"/>
      <c r="S1340" s="275"/>
      <c r="T1340" s="275"/>
      <c r="U1340" s="276">
        <v>0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161</v>
      </c>
      <c r="B1341" s="271" t="s">
        <v>1574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0</v>
      </c>
      <c r="K1341" s="273"/>
      <c r="L1341" s="273"/>
      <c r="M1341" s="274">
        <v>0</v>
      </c>
      <c r="N1341" s="272">
        <v>0</v>
      </c>
      <c r="O1341" s="275"/>
      <c r="P1341" s="275"/>
      <c r="Q1341" s="275"/>
      <c r="R1341" s="275"/>
      <c r="S1341" s="275"/>
      <c r="T1341" s="275"/>
      <c r="U1341" s="276">
        <v>0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161</v>
      </c>
      <c r="B1342" s="271" t="s">
        <v>1575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0</v>
      </c>
      <c r="K1342" s="273"/>
      <c r="L1342" s="273"/>
      <c r="M1342" s="274">
        <v>0</v>
      </c>
      <c r="N1342" s="272">
        <v>0</v>
      </c>
      <c r="O1342" s="275"/>
      <c r="P1342" s="275"/>
      <c r="Q1342" s="275"/>
      <c r="R1342" s="275"/>
      <c r="S1342" s="275"/>
      <c r="T1342" s="275"/>
      <c r="U1342" s="276">
        <v>0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161</v>
      </c>
      <c r="B1343" s="271" t="s">
        <v>1576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161</v>
      </c>
      <c r="B1344" s="271" t="s">
        <v>1577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161</v>
      </c>
      <c r="B1345" s="271" t="s">
        <v>1578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161</v>
      </c>
      <c r="B1346" s="271" t="s">
        <v>1579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161</v>
      </c>
      <c r="B1347" s="271" t="s">
        <v>1580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161</v>
      </c>
      <c r="B1348" s="271" t="s">
        <v>1581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161</v>
      </c>
      <c r="B1349" s="271" t="s">
        <v>1582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0</v>
      </c>
      <c r="K1349" s="273"/>
      <c r="L1349" s="273"/>
      <c r="M1349" s="274">
        <v>0</v>
      </c>
      <c r="N1349" s="272">
        <v>0</v>
      </c>
      <c r="O1349" s="275"/>
      <c r="P1349" s="275"/>
      <c r="Q1349" s="275"/>
      <c r="R1349" s="275"/>
      <c r="S1349" s="275"/>
      <c r="T1349" s="275"/>
      <c r="U1349" s="276">
        <v>0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161</v>
      </c>
      <c r="B1350" s="271" t="s">
        <v>1583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0</v>
      </c>
      <c r="K1350" s="273"/>
      <c r="L1350" s="273"/>
      <c r="M1350" s="274">
        <v>0</v>
      </c>
      <c r="N1350" s="272">
        <v>0</v>
      </c>
      <c r="O1350" s="275"/>
      <c r="P1350" s="275"/>
      <c r="Q1350" s="275"/>
      <c r="R1350" s="275"/>
      <c r="S1350" s="275"/>
      <c r="T1350" s="275"/>
      <c r="U1350" s="276">
        <v>0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161</v>
      </c>
      <c r="B1351" s="271" t="s">
        <v>1584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0</v>
      </c>
      <c r="K1351" s="273"/>
      <c r="L1351" s="273"/>
      <c r="M1351" s="274">
        <v>0</v>
      </c>
      <c r="N1351" s="272">
        <v>0</v>
      </c>
      <c r="O1351" s="275"/>
      <c r="P1351" s="275"/>
      <c r="Q1351" s="275"/>
      <c r="R1351" s="275"/>
      <c r="S1351" s="275"/>
      <c r="T1351" s="275"/>
      <c r="U1351" s="276">
        <v>0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161</v>
      </c>
      <c r="B1352" s="271" t="s">
        <v>1585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0</v>
      </c>
      <c r="K1352" s="273"/>
      <c r="L1352" s="273"/>
      <c r="M1352" s="274">
        <v>0</v>
      </c>
      <c r="N1352" s="272">
        <v>0</v>
      </c>
      <c r="O1352" s="275"/>
      <c r="P1352" s="275"/>
      <c r="Q1352" s="275"/>
      <c r="R1352" s="275"/>
      <c r="S1352" s="275"/>
      <c r="T1352" s="275"/>
      <c r="U1352" s="276">
        <v>0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161</v>
      </c>
      <c r="B1353" s="271" t="s">
        <v>1586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0</v>
      </c>
      <c r="K1353" s="273"/>
      <c r="L1353" s="273"/>
      <c r="M1353" s="274">
        <v>0</v>
      </c>
      <c r="N1353" s="272">
        <v>0</v>
      </c>
      <c r="O1353" s="275"/>
      <c r="P1353" s="275"/>
      <c r="Q1353" s="275"/>
      <c r="R1353" s="275"/>
      <c r="S1353" s="275"/>
      <c r="T1353" s="275"/>
      <c r="U1353" s="276">
        <v>0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161</v>
      </c>
      <c r="B1354" s="271" t="s">
        <v>1587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0</v>
      </c>
      <c r="K1354" s="273"/>
      <c r="L1354" s="273"/>
      <c r="M1354" s="274">
        <v>0</v>
      </c>
      <c r="N1354" s="272">
        <v>0</v>
      </c>
      <c r="O1354" s="275"/>
      <c r="P1354" s="275"/>
      <c r="Q1354" s="275"/>
      <c r="R1354" s="275"/>
      <c r="S1354" s="275"/>
      <c r="T1354" s="275"/>
      <c r="U1354" s="276">
        <v>0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161</v>
      </c>
      <c r="B1355" s="271" t="s">
        <v>1588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0</v>
      </c>
      <c r="K1355" s="273"/>
      <c r="L1355" s="273"/>
      <c r="M1355" s="274">
        <v>0</v>
      </c>
      <c r="N1355" s="272">
        <v>0</v>
      </c>
      <c r="O1355" s="275"/>
      <c r="P1355" s="275"/>
      <c r="Q1355" s="275"/>
      <c r="R1355" s="275"/>
      <c r="S1355" s="275"/>
      <c r="T1355" s="275"/>
      <c r="U1355" s="276">
        <v>0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161</v>
      </c>
      <c r="B1356" s="271" t="s">
        <v>1589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0</v>
      </c>
      <c r="K1356" s="273"/>
      <c r="L1356" s="273"/>
      <c r="M1356" s="274">
        <v>0</v>
      </c>
      <c r="N1356" s="272">
        <v>0</v>
      </c>
      <c r="O1356" s="275"/>
      <c r="P1356" s="275"/>
      <c r="Q1356" s="275"/>
      <c r="R1356" s="275"/>
      <c r="S1356" s="275"/>
      <c r="T1356" s="275"/>
      <c r="U1356" s="276">
        <v>0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161</v>
      </c>
      <c r="B1357" s="271" t="s">
        <v>1590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0</v>
      </c>
      <c r="K1357" s="273"/>
      <c r="L1357" s="273"/>
      <c r="M1357" s="274">
        <v>0</v>
      </c>
      <c r="N1357" s="272">
        <v>0</v>
      </c>
      <c r="O1357" s="275"/>
      <c r="P1357" s="275"/>
      <c r="Q1357" s="275"/>
      <c r="R1357" s="275"/>
      <c r="S1357" s="275"/>
      <c r="T1357" s="275"/>
      <c r="U1357" s="276">
        <v>0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161</v>
      </c>
      <c r="B1358" s="271" t="s">
        <v>1591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0</v>
      </c>
      <c r="K1358" s="273"/>
      <c r="L1358" s="273"/>
      <c r="M1358" s="274">
        <v>0</v>
      </c>
      <c r="N1358" s="272">
        <v>0</v>
      </c>
      <c r="O1358" s="275"/>
      <c r="P1358" s="275"/>
      <c r="Q1358" s="275"/>
      <c r="R1358" s="275"/>
      <c r="S1358" s="275"/>
      <c r="T1358" s="275"/>
      <c r="U1358" s="276">
        <v>0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161</v>
      </c>
      <c r="B1359" s="271" t="s">
        <v>1592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0</v>
      </c>
      <c r="K1359" s="273"/>
      <c r="L1359" s="273"/>
      <c r="M1359" s="274">
        <v>0</v>
      </c>
      <c r="N1359" s="272">
        <v>0</v>
      </c>
      <c r="O1359" s="275"/>
      <c r="P1359" s="275"/>
      <c r="Q1359" s="275"/>
      <c r="R1359" s="275"/>
      <c r="S1359" s="275"/>
      <c r="T1359" s="275"/>
      <c r="U1359" s="276">
        <v>0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161</v>
      </c>
      <c r="B1360" s="271" t="s">
        <v>1593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0</v>
      </c>
      <c r="K1360" s="273"/>
      <c r="L1360" s="273"/>
      <c r="M1360" s="274">
        <v>0</v>
      </c>
      <c r="N1360" s="272">
        <v>0</v>
      </c>
      <c r="O1360" s="275"/>
      <c r="P1360" s="275"/>
      <c r="Q1360" s="275"/>
      <c r="R1360" s="275"/>
      <c r="S1360" s="275"/>
      <c r="T1360" s="275"/>
      <c r="U1360" s="276">
        <v>0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161</v>
      </c>
      <c r="B1361" s="271" t="s">
        <v>1594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0</v>
      </c>
      <c r="K1361" s="273"/>
      <c r="L1361" s="273"/>
      <c r="M1361" s="274">
        <v>0</v>
      </c>
      <c r="N1361" s="272">
        <v>0</v>
      </c>
      <c r="O1361" s="275"/>
      <c r="P1361" s="275"/>
      <c r="Q1361" s="275"/>
      <c r="R1361" s="275"/>
      <c r="S1361" s="275"/>
      <c r="T1361" s="275"/>
      <c r="U1361" s="276">
        <v>0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161</v>
      </c>
      <c r="B1362" s="271" t="s">
        <v>1595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0</v>
      </c>
      <c r="K1362" s="273"/>
      <c r="L1362" s="273"/>
      <c r="M1362" s="274">
        <v>0</v>
      </c>
      <c r="N1362" s="272">
        <v>0</v>
      </c>
      <c r="O1362" s="275"/>
      <c r="P1362" s="275"/>
      <c r="Q1362" s="275"/>
      <c r="R1362" s="275"/>
      <c r="S1362" s="275"/>
      <c r="T1362" s="275"/>
      <c r="U1362" s="276">
        <v>0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161</v>
      </c>
      <c r="B1363" s="271" t="s">
        <v>1596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0</v>
      </c>
      <c r="K1363" s="273"/>
      <c r="L1363" s="273"/>
      <c r="M1363" s="274">
        <v>0</v>
      </c>
      <c r="N1363" s="272">
        <v>0</v>
      </c>
      <c r="O1363" s="275"/>
      <c r="P1363" s="275"/>
      <c r="Q1363" s="275"/>
      <c r="R1363" s="275"/>
      <c r="S1363" s="275"/>
      <c r="T1363" s="275"/>
      <c r="U1363" s="276">
        <v>0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161</v>
      </c>
      <c r="B1364" s="271" t="s">
        <v>1597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0</v>
      </c>
      <c r="K1364" s="273"/>
      <c r="L1364" s="273"/>
      <c r="M1364" s="274">
        <v>0</v>
      </c>
      <c r="N1364" s="272">
        <v>0</v>
      </c>
      <c r="O1364" s="275"/>
      <c r="P1364" s="275"/>
      <c r="Q1364" s="275"/>
      <c r="R1364" s="275"/>
      <c r="S1364" s="275"/>
      <c r="T1364" s="275"/>
      <c r="U1364" s="276">
        <v>0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161</v>
      </c>
      <c r="B1365" s="271" t="s">
        <v>1598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0</v>
      </c>
      <c r="K1365" s="273"/>
      <c r="L1365" s="273"/>
      <c r="M1365" s="274">
        <v>0</v>
      </c>
      <c r="N1365" s="272">
        <v>0</v>
      </c>
      <c r="O1365" s="275"/>
      <c r="P1365" s="275"/>
      <c r="Q1365" s="275"/>
      <c r="R1365" s="275"/>
      <c r="S1365" s="275"/>
      <c r="T1365" s="275"/>
      <c r="U1365" s="276">
        <v>0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161</v>
      </c>
      <c r="B1366" s="271" t="s">
        <v>1599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0</v>
      </c>
      <c r="K1366" s="273"/>
      <c r="L1366" s="273"/>
      <c r="M1366" s="274">
        <v>0</v>
      </c>
      <c r="N1366" s="272">
        <v>0</v>
      </c>
      <c r="O1366" s="275"/>
      <c r="P1366" s="275"/>
      <c r="Q1366" s="275"/>
      <c r="R1366" s="275"/>
      <c r="S1366" s="275"/>
      <c r="T1366" s="275"/>
      <c r="U1366" s="276">
        <v>0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161</v>
      </c>
      <c r="B1367" s="271" t="s">
        <v>1600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161</v>
      </c>
      <c r="B1368" s="271" t="s">
        <v>1601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161</v>
      </c>
      <c r="B1369" s="271" t="s">
        <v>1602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161</v>
      </c>
      <c r="B1370" s="271" t="s">
        <v>1603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161</v>
      </c>
      <c r="B1371" s="271" t="s">
        <v>1604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161</v>
      </c>
      <c r="B1372" s="271" t="s">
        <v>1605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161</v>
      </c>
      <c r="B1373" s="271" t="s">
        <v>418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0</v>
      </c>
      <c r="K1373" s="273"/>
      <c r="L1373" s="273"/>
      <c r="M1373" s="274">
        <v>0</v>
      </c>
      <c r="N1373" s="272">
        <v>0</v>
      </c>
      <c r="O1373" s="275"/>
      <c r="P1373" s="275"/>
      <c r="Q1373" s="275"/>
      <c r="R1373" s="275"/>
      <c r="S1373" s="275"/>
      <c r="T1373" s="275"/>
      <c r="U1373" s="276">
        <v>0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161</v>
      </c>
      <c r="B1374" s="271" t="s">
        <v>419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0</v>
      </c>
      <c r="K1374" s="273"/>
      <c r="L1374" s="273"/>
      <c r="M1374" s="274">
        <v>0</v>
      </c>
      <c r="N1374" s="272">
        <v>0</v>
      </c>
      <c r="O1374" s="275"/>
      <c r="P1374" s="275"/>
      <c r="Q1374" s="275"/>
      <c r="R1374" s="275"/>
      <c r="S1374" s="275"/>
      <c r="T1374" s="275"/>
      <c r="U1374" s="276">
        <v>0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161</v>
      </c>
      <c r="B1375" s="271" t="s">
        <v>420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0</v>
      </c>
      <c r="K1375" s="273"/>
      <c r="L1375" s="273"/>
      <c r="M1375" s="274">
        <v>0</v>
      </c>
      <c r="N1375" s="272">
        <v>0</v>
      </c>
      <c r="O1375" s="275"/>
      <c r="P1375" s="275"/>
      <c r="Q1375" s="275"/>
      <c r="R1375" s="275"/>
      <c r="S1375" s="275"/>
      <c r="T1375" s="275"/>
      <c r="U1375" s="276">
        <v>0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161</v>
      </c>
      <c r="B1376" s="271" t="s">
        <v>421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0</v>
      </c>
      <c r="K1376" s="273"/>
      <c r="L1376" s="273"/>
      <c r="M1376" s="274">
        <v>0</v>
      </c>
      <c r="N1376" s="272">
        <v>0</v>
      </c>
      <c r="O1376" s="275"/>
      <c r="P1376" s="275"/>
      <c r="Q1376" s="275"/>
      <c r="R1376" s="275"/>
      <c r="S1376" s="275"/>
      <c r="T1376" s="275"/>
      <c r="U1376" s="276">
        <v>0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161</v>
      </c>
      <c r="B1377" s="271" t="s">
        <v>1606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0</v>
      </c>
      <c r="K1377" s="273"/>
      <c r="L1377" s="273"/>
      <c r="M1377" s="274">
        <v>0</v>
      </c>
      <c r="N1377" s="272">
        <v>0</v>
      </c>
      <c r="O1377" s="275"/>
      <c r="P1377" s="275"/>
      <c r="Q1377" s="275"/>
      <c r="R1377" s="275"/>
      <c r="S1377" s="275"/>
      <c r="T1377" s="275"/>
      <c r="U1377" s="276">
        <v>0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161</v>
      </c>
      <c r="B1378" s="271" t="s">
        <v>422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0</v>
      </c>
      <c r="K1378" s="273"/>
      <c r="L1378" s="273"/>
      <c r="M1378" s="274">
        <v>0</v>
      </c>
      <c r="N1378" s="272">
        <v>0</v>
      </c>
      <c r="O1378" s="275"/>
      <c r="P1378" s="275"/>
      <c r="Q1378" s="275"/>
      <c r="R1378" s="275"/>
      <c r="S1378" s="275"/>
      <c r="T1378" s="275"/>
      <c r="U1378" s="276">
        <v>0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161</v>
      </c>
      <c r="B1379" s="271" t="s">
        <v>423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0</v>
      </c>
      <c r="K1379" s="273"/>
      <c r="L1379" s="273"/>
      <c r="M1379" s="274">
        <v>0</v>
      </c>
      <c r="N1379" s="272">
        <v>0</v>
      </c>
      <c r="O1379" s="275"/>
      <c r="P1379" s="275"/>
      <c r="Q1379" s="275"/>
      <c r="R1379" s="275"/>
      <c r="S1379" s="275"/>
      <c r="T1379" s="275"/>
      <c r="U1379" s="276">
        <v>0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161</v>
      </c>
      <c r="B1380" s="271" t="s">
        <v>424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0</v>
      </c>
      <c r="K1380" s="273"/>
      <c r="L1380" s="273"/>
      <c r="M1380" s="274">
        <v>0</v>
      </c>
      <c r="N1380" s="272">
        <v>0</v>
      </c>
      <c r="O1380" s="275"/>
      <c r="P1380" s="275"/>
      <c r="Q1380" s="275"/>
      <c r="R1380" s="275"/>
      <c r="S1380" s="275"/>
      <c r="T1380" s="275"/>
      <c r="U1380" s="276">
        <v>0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161</v>
      </c>
      <c r="B1381" s="271" t="s">
        <v>1607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161</v>
      </c>
      <c r="B1382" s="271" t="s">
        <v>425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0</v>
      </c>
      <c r="K1382" s="273"/>
      <c r="L1382" s="273"/>
      <c r="M1382" s="274">
        <v>0</v>
      </c>
      <c r="N1382" s="272">
        <v>0</v>
      </c>
      <c r="O1382" s="275"/>
      <c r="P1382" s="275"/>
      <c r="Q1382" s="275"/>
      <c r="R1382" s="275"/>
      <c r="S1382" s="275"/>
      <c r="T1382" s="275"/>
      <c r="U1382" s="276">
        <v>0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161</v>
      </c>
      <c r="B1383" s="271" t="s">
        <v>426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0</v>
      </c>
      <c r="K1383" s="273"/>
      <c r="L1383" s="273"/>
      <c r="M1383" s="274">
        <v>0</v>
      </c>
      <c r="N1383" s="272">
        <v>0</v>
      </c>
      <c r="O1383" s="275"/>
      <c r="P1383" s="275"/>
      <c r="Q1383" s="275"/>
      <c r="R1383" s="275"/>
      <c r="S1383" s="275"/>
      <c r="T1383" s="275"/>
      <c r="U1383" s="276">
        <v>0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161</v>
      </c>
      <c r="B1384" s="271" t="s">
        <v>427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0</v>
      </c>
      <c r="K1384" s="273"/>
      <c r="L1384" s="273"/>
      <c r="M1384" s="274">
        <v>0</v>
      </c>
      <c r="N1384" s="272">
        <v>0</v>
      </c>
      <c r="O1384" s="275"/>
      <c r="P1384" s="275"/>
      <c r="Q1384" s="275"/>
      <c r="R1384" s="275"/>
      <c r="S1384" s="275"/>
      <c r="T1384" s="275"/>
      <c r="U1384" s="276">
        <v>0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161</v>
      </c>
      <c r="B1385" s="271" t="s">
        <v>1608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161</v>
      </c>
      <c r="B1386" s="271" t="s">
        <v>428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0</v>
      </c>
      <c r="K1386" s="273"/>
      <c r="L1386" s="273"/>
      <c r="M1386" s="274">
        <v>0</v>
      </c>
      <c r="N1386" s="272">
        <v>0</v>
      </c>
      <c r="O1386" s="275"/>
      <c r="P1386" s="275"/>
      <c r="Q1386" s="275"/>
      <c r="R1386" s="275"/>
      <c r="S1386" s="275"/>
      <c r="T1386" s="275"/>
      <c r="U1386" s="276">
        <v>0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161</v>
      </c>
      <c r="B1387" s="271" t="s">
        <v>429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0</v>
      </c>
      <c r="K1387" s="273"/>
      <c r="L1387" s="273"/>
      <c r="M1387" s="274">
        <v>0</v>
      </c>
      <c r="N1387" s="272">
        <v>0</v>
      </c>
      <c r="O1387" s="275"/>
      <c r="P1387" s="275"/>
      <c r="Q1387" s="275"/>
      <c r="R1387" s="275"/>
      <c r="S1387" s="275"/>
      <c r="T1387" s="275"/>
      <c r="U1387" s="276">
        <v>0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161</v>
      </c>
      <c r="B1388" s="271" t="s">
        <v>430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0</v>
      </c>
      <c r="K1388" s="273"/>
      <c r="L1388" s="273"/>
      <c r="M1388" s="274">
        <v>0</v>
      </c>
      <c r="N1388" s="272">
        <v>0</v>
      </c>
      <c r="O1388" s="275"/>
      <c r="P1388" s="275"/>
      <c r="Q1388" s="275"/>
      <c r="R1388" s="275"/>
      <c r="S1388" s="275"/>
      <c r="T1388" s="275"/>
      <c r="U1388" s="276">
        <v>0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161</v>
      </c>
      <c r="B1389" s="271" t="s">
        <v>1609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161</v>
      </c>
      <c r="B1390" s="271" t="s">
        <v>431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0</v>
      </c>
      <c r="K1390" s="273"/>
      <c r="L1390" s="273"/>
      <c r="M1390" s="274">
        <v>0</v>
      </c>
      <c r="N1390" s="272">
        <v>0</v>
      </c>
      <c r="O1390" s="275"/>
      <c r="P1390" s="275"/>
      <c r="Q1390" s="275"/>
      <c r="R1390" s="275"/>
      <c r="S1390" s="275"/>
      <c r="T1390" s="275"/>
      <c r="U1390" s="276">
        <v>0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161</v>
      </c>
      <c r="B1391" s="271" t="s">
        <v>432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0</v>
      </c>
      <c r="K1391" s="273"/>
      <c r="L1391" s="273"/>
      <c r="M1391" s="274">
        <v>0</v>
      </c>
      <c r="N1391" s="272">
        <v>0</v>
      </c>
      <c r="O1391" s="275"/>
      <c r="P1391" s="275"/>
      <c r="Q1391" s="275"/>
      <c r="R1391" s="275"/>
      <c r="S1391" s="275"/>
      <c r="T1391" s="275"/>
      <c r="U1391" s="276">
        <v>0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161</v>
      </c>
      <c r="B1392" s="271" t="s">
        <v>433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0</v>
      </c>
      <c r="K1392" s="273"/>
      <c r="L1392" s="273"/>
      <c r="M1392" s="274">
        <v>0</v>
      </c>
      <c r="N1392" s="272">
        <v>0</v>
      </c>
      <c r="O1392" s="275"/>
      <c r="P1392" s="275"/>
      <c r="Q1392" s="275"/>
      <c r="R1392" s="275"/>
      <c r="S1392" s="275"/>
      <c r="T1392" s="275"/>
      <c r="U1392" s="276">
        <v>0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161</v>
      </c>
      <c r="B1393" s="271" t="s">
        <v>1610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161</v>
      </c>
      <c r="B1394" s="271" t="s">
        <v>1611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0</v>
      </c>
      <c r="K1394" s="273"/>
      <c r="L1394" s="273"/>
      <c r="M1394" s="274">
        <v>0</v>
      </c>
      <c r="N1394" s="272">
        <v>0</v>
      </c>
      <c r="O1394" s="275"/>
      <c r="P1394" s="275"/>
      <c r="Q1394" s="275"/>
      <c r="R1394" s="275"/>
      <c r="S1394" s="275"/>
      <c r="T1394" s="275"/>
      <c r="U1394" s="276">
        <v>0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161</v>
      </c>
      <c r="B1395" s="271" t="s">
        <v>1612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0</v>
      </c>
      <c r="K1395" s="273"/>
      <c r="L1395" s="273"/>
      <c r="M1395" s="274">
        <v>0</v>
      </c>
      <c r="N1395" s="272">
        <v>0</v>
      </c>
      <c r="O1395" s="275"/>
      <c r="P1395" s="275"/>
      <c r="Q1395" s="275"/>
      <c r="R1395" s="275"/>
      <c r="S1395" s="275"/>
      <c r="T1395" s="275"/>
      <c r="U1395" s="276">
        <v>0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161</v>
      </c>
      <c r="B1396" s="271" t="s">
        <v>1613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0</v>
      </c>
      <c r="K1396" s="273"/>
      <c r="L1396" s="273"/>
      <c r="M1396" s="274">
        <v>0</v>
      </c>
      <c r="N1396" s="272">
        <v>0</v>
      </c>
      <c r="O1396" s="275"/>
      <c r="P1396" s="275"/>
      <c r="Q1396" s="275"/>
      <c r="R1396" s="275"/>
      <c r="S1396" s="275"/>
      <c r="T1396" s="275"/>
      <c r="U1396" s="276">
        <v>0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161</v>
      </c>
      <c r="B1397" s="271" t="s">
        <v>1614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0</v>
      </c>
      <c r="K1397" s="273"/>
      <c r="L1397" s="273"/>
      <c r="M1397" s="274">
        <v>0</v>
      </c>
      <c r="N1397" s="272">
        <v>0</v>
      </c>
      <c r="O1397" s="275"/>
      <c r="P1397" s="275"/>
      <c r="Q1397" s="275"/>
      <c r="R1397" s="275"/>
      <c r="S1397" s="275"/>
      <c r="T1397" s="275"/>
      <c r="U1397" s="276">
        <v>0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161</v>
      </c>
      <c r="B1398" s="271" t="s">
        <v>434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0</v>
      </c>
      <c r="K1398" s="273"/>
      <c r="L1398" s="273"/>
      <c r="M1398" s="274">
        <v>0</v>
      </c>
      <c r="N1398" s="272">
        <v>0</v>
      </c>
      <c r="O1398" s="275"/>
      <c r="P1398" s="275"/>
      <c r="Q1398" s="275"/>
      <c r="R1398" s="275"/>
      <c r="S1398" s="275"/>
      <c r="T1398" s="275"/>
      <c r="U1398" s="276">
        <v>0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161</v>
      </c>
      <c r="B1399" s="271" t="s">
        <v>435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0</v>
      </c>
      <c r="K1399" s="273"/>
      <c r="L1399" s="273"/>
      <c r="M1399" s="274">
        <v>0</v>
      </c>
      <c r="N1399" s="272">
        <v>0</v>
      </c>
      <c r="O1399" s="275"/>
      <c r="P1399" s="275"/>
      <c r="Q1399" s="275"/>
      <c r="R1399" s="275"/>
      <c r="S1399" s="275"/>
      <c r="T1399" s="275"/>
      <c r="U1399" s="276">
        <v>0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161</v>
      </c>
      <c r="B1400" s="271" t="s">
        <v>1615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161</v>
      </c>
      <c r="B1401" s="271" t="s">
        <v>436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0</v>
      </c>
      <c r="K1401" s="273"/>
      <c r="L1401" s="273"/>
      <c r="M1401" s="274">
        <v>0</v>
      </c>
      <c r="N1401" s="272">
        <v>0</v>
      </c>
      <c r="O1401" s="275"/>
      <c r="P1401" s="275"/>
      <c r="Q1401" s="275"/>
      <c r="R1401" s="275"/>
      <c r="S1401" s="275"/>
      <c r="T1401" s="275"/>
      <c r="U1401" s="276">
        <v>0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161</v>
      </c>
      <c r="B1402" s="271" t="s">
        <v>437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0</v>
      </c>
      <c r="K1402" s="273"/>
      <c r="L1402" s="273"/>
      <c r="M1402" s="274">
        <v>0</v>
      </c>
      <c r="N1402" s="272">
        <v>0</v>
      </c>
      <c r="O1402" s="275"/>
      <c r="P1402" s="275"/>
      <c r="Q1402" s="275"/>
      <c r="R1402" s="275"/>
      <c r="S1402" s="275"/>
      <c r="T1402" s="275"/>
      <c r="U1402" s="276">
        <v>0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161</v>
      </c>
      <c r="B1403" s="271" t="s">
        <v>1616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161</v>
      </c>
      <c r="B1404" s="271" t="s">
        <v>438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0</v>
      </c>
      <c r="K1404" s="273"/>
      <c r="L1404" s="273"/>
      <c r="M1404" s="274">
        <v>0</v>
      </c>
      <c r="N1404" s="272">
        <v>0</v>
      </c>
      <c r="O1404" s="275"/>
      <c r="P1404" s="275"/>
      <c r="Q1404" s="275"/>
      <c r="R1404" s="275"/>
      <c r="S1404" s="275"/>
      <c r="T1404" s="275"/>
      <c r="U1404" s="276">
        <v>0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161</v>
      </c>
      <c r="B1405" s="271" t="s">
        <v>439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0</v>
      </c>
      <c r="K1405" s="273"/>
      <c r="L1405" s="273"/>
      <c r="M1405" s="274">
        <v>0</v>
      </c>
      <c r="N1405" s="272">
        <v>0</v>
      </c>
      <c r="O1405" s="275"/>
      <c r="P1405" s="275"/>
      <c r="Q1405" s="275"/>
      <c r="R1405" s="275"/>
      <c r="S1405" s="275"/>
      <c r="T1405" s="275"/>
      <c r="U1405" s="276">
        <v>0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161</v>
      </c>
      <c r="B1406" s="271" t="s">
        <v>1617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161</v>
      </c>
      <c r="B1407" s="271" t="s">
        <v>1618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0</v>
      </c>
      <c r="K1407" s="273"/>
      <c r="L1407" s="273"/>
      <c r="M1407" s="274">
        <v>0</v>
      </c>
      <c r="N1407" s="272">
        <v>0</v>
      </c>
      <c r="O1407" s="275"/>
      <c r="P1407" s="275"/>
      <c r="Q1407" s="275"/>
      <c r="R1407" s="275"/>
      <c r="S1407" s="275"/>
      <c r="T1407" s="275"/>
      <c r="U1407" s="276">
        <v>0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161</v>
      </c>
      <c r="B1408" s="271" t="s">
        <v>1619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0</v>
      </c>
      <c r="K1408" s="273"/>
      <c r="L1408" s="273"/>
      <c r="M1408" s="274">
        <v>0</v>
      </c>
      <c r="N1408" s="272">
        <v>0</v>
      </c>
      <c r="O1408" s="275"/>
      <c r="P1408" s="275"/>
      <c r="Q1408" s="275"/>
      <c r="R1408" s="275"/>
      <c r="S1408" s="275"/>
      <c r="T1408" s="275"/>
      <c r="U1408" s="276">
        <v>0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161</v>
      </c>
      <c r="B1409" s="271" t="s">
        <v>1620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0</v>
      </c>
      <c r="K1409" s="273"/>
      <c r="L1409" s="273"/>
      <c r="M1409" s="274">
        <v>0</v>
      </c>
      <c r="N1409" s="272">
        <v>0</v>
      </c>
      <c r="O1409" s="275"/>
      <c r="P1409" s="275"/>
      <c r="Q1409" s="275"/>
      <c r="R1409" s="275"/>
      <c r="S1409" s="275"/>
      <c r="T1409" s="275"/>
      <c r="U1409" s="276">
        <v>0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161</v>
      </c>
      <c r="B1410" s="271" t="s">
        <v>440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0</v>
      </c>
      <c r="K1410" s="273"/>
      <c r="L1410" s="273"/>
      <c r="M1410" s="274">
        <v>0</v>
      </c>
      <c r="N1410" s="272">
        <v>0</v>
      </c>
      <c r="O1410" s="275"/>
      <c r="P1410" s="275"/>
      <c r="Q1410" s="275"/>
      <c r="R1410" s="275"/>
      <c r="S1410" s="275"/>
      <c r="T1410" s="275"/>
      <c r="U1410" s="276">
        <v>0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161</v>
      </c>
      <c r="B1411" s="271" t="s">
        <v>441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0</v>
      </c>
      <c r="K1411" s="273"/>
      <c r="L1411" s="273"/>
      <c r="M1411" s="274">
        <v>0</v>
      </c>
      <c r="N1411" s="272">
        <v>0</v>
      </c>
      <c r="O1411" s="275"/>
      <c r="P1411" s="275"/>
      <c r="Q1411" s="275"/>
      <c r="R1411" s="275"/>
      <c r="S1411" s="275"/>
      <c r="T1411" s="275"/>
      <c r="U1411" s="276">
        <v>0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161</v>
      </c>
      <c r="B1412" s="271" t="s">
        <v>1621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161</v>
      </c>
      <c r="B1413" s="271" t="s">
        <v>442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0</v>
      </c>
      <c r="K1413" s="273"/>
      <c r="L1413" s="273"/>
      <c r="M1413" s="274">
        <v>0</v>
      </c>
      <c r="N1413" s="272">
        <v>0</v>
      </c>
      <c r="O1413" s="275"/>
      <c r="P1413" s="275"/>
      <c r="Q1413" s="275"/>
      <c r="R1413" s="275"/>
      <c r="S1413" s="275"/>
      <c r="T1413" s="275"/>
      <c r="U1413" s="276">
        <v>0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161</v>
      </c>
      <c r="B1414" s="271" t="s">
        <v>443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0</v>
      </c>
      <c r="K1414" s="273"/>
      <c r="L1414" s="273"/>
      <c r="M1414" s="274">
        <v>0</v>
      </c>
      <c r="N1414" s="272">
        <v>0</v>
      </c>
      <c r="O1414" s="275"/>
      <c r="P1414" s="275"/>
      <c r="Q1414" s="275"/>
      <c r="R1414" s="275"/>
      <c r="S1414" s="275"/>
      <c r="T1414" s="275"/>
      <c r="U1414" s="276">
        <v>0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161</v>
      </c>
      <c r="B1415" s="271" t="s">
        <v>1622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161</v>
      </c>
      <c r="B1416" s="271" t="s">
        <v>444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0</v>
      </c>
      <c r="K1416" s="273"/>
      <c r="L1416" s="273"/>
      <c r="M1416" s="274">
        <v>0</v>
      </c>
      <c r="N1416" s="272">
        <v>0</v>
      </c>
      <c r="O1416" s="275"/>
      <c r="P1416" s="275"/>
      <c r="Q1416" s="275"/>
      <c r="R1416" s="275"/>
      <c r="S1416" s="275"/>
      <c r="T1416" s="275"/>
      <c r="U1416" s="276">
        <v>0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161</v>
      </c>
      <c r="B1417" s="271" t="s">
        <v>445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0</v>
      </c>
      <c r="K1417" s="273"/>
      <c r="L1417" s="273"/>
      <c r="M1417" s="274">
        <v>0</v>
      </c>
      <c r="N1417" s="272">
        <v>0</v>
      </c>
      <c r="O1417" s="275"/>
      <c r="P1417" s="275"/>
      <c r="Q1417" s="275"/>
      <c r="R1417" s="275"/>
      <c r="S1417" s="275"/>
      <c r="T1417" s="275"/>
      <c r="U1417" s="276">
        <v>0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161</v>
      </c>
      <c r="B1418" s="271" t="s">
        <v>1623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161</v>
      </c>
      <c r="B1419" s="271" t="s">
        <v>1624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0</v>
      </c>
      <c r="K1419" s="273"/>
      <c r="L1419" s="273"/>
      <c r="M1419" s="274">
        <v>0</v>
      </c>
      <c r="N1419" s="272">
        <v>0</v>
      </c>
      <c r="O1419" s="275"/>
      <c r="P1419" s="275"/>
      <c r="Q1419" s="275"/>
      <c r="R1419" s="275"/>
      <c r="S1419" s="275"/>
      <c r="T1419" s="275"/>
      <c r="U1419" s="276">
        <v>0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161</v>
      </c>
      <c r="B1420" s="271" t="s">
        <v>1625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0</v>
      </c>
      <c r="K1420" s="273"/>
      <c r="L1420" s="273"/>
      <c r="M1420" s="274">
        <v>0</v>
      </c>
      <c r="N1420" s="272">
        <v>0</v>
      </c>
      <c r="O1420" s="275"/>
      <c r="P1420" s="275"/>
      <c r="Q1420" s="275"/>
      <c r="R1420" s="275"/>
      <c r="S1420" s="275"/>
      <c r="T1420" s="275"/>
      <c r="U1420" s="276">
        <v>0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161</v>
      </c>
      <c r="B1421" s="271" t="s">
        <v>1626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0</v>
      </c>
      <c r="K1421" s="273"/>
      <c r="L1421" s="273"/>
      <c r="M1421" s="274">
        <v>0</v>
      </c>
      <c r="N1421" s="272">
        <v>0</v>
      </c>
      <c r="O1421" s="275"/>
      <c r="P1421" s="275"/>
      <c r="Q1421" s="275"/>
      <c r="R1421" s="275"/>
      <c r="S1421" s="275"/>
      <c r="T1421" s="275"/>
      <c r="U1421" s="276">
        <v>0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161</v>
      </c>
      <c r="B1422" s="271" t="s">
        <v>446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0</v>
      </c>
      <c r="K1422" s="273"/>
      <c r="L1422" s="273"/>
      <c r="M1422" s="274">
        <v>0</v>
      </c>
      <c r="N1422" s="272">
        <v>0</v>
      </c>
      <c r="O1422" s="275"/>
      <c r="P1422" s="275"/>
      <c r="Q1422" s="275"/>
      <c r="R1422" s="275"/>
      <c r="S1422" s="275"/>
      <c r="T1422" s="275"/>
      <c r="U1422" s="276">
        <v>0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161</v>
      </c>
      <c r="B1423" s="271" t="s">
        <v>447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0</v>
      </c>
      <c r="K1423" s="273"/>
      <c r="L1423" s="273"/>
      <c r="M1423" s="274">
        <v>0</v>
      </c>
      <c r="N1423" s="272">
        <v>0</v>
      </c>
      <c r="O1423" s="275"/>
      <c r="P1423" s="275"/>
      <c r="Q1423" s="275"/>
      <c r="R1423" s="275"/>
      <c r="S1423" s="275"/>
      <c r="T1423" s="275"/>
      <c r="U1423" s="276">
        <v>0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161</v>
      </c>
      <c r="B1424" s="271" t="s">
        <v>1627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161</v>
      </c>
      <c r="B1425" s="271" t="s">
        <v>448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0</v>
      </c>
      <c r="K1425" s="273"/>
      <c r="L1425" s="273"/>
      <c r="M1425" s="274">
        <v>0</v>
      </c>
      <c r="N1425" s="272">
        <v>0</v>
      </c>
      <c r="O1425" s="275"/>
      <c r="P1425" s="275"/>
      <c r="Q1425" s="275"/>
      <c r="R1425" s="275"/>
      <c r="S1425" s="275"/>
      <c r="T1425" s="275"/>
      <c r="U1425" s="276">
        <v>0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161</v>
      </c>
      <c r="B1426" s="271" t="s">
        <v>449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0</v>
      </c>
      <c r="K1426" s="273"/>
      <c r="L1426" s="273"/>
      <c r="M1426" s="274">
        <v>0</v>
      </c>
      <c r="N1426" s="272">
        <v>0</v>
      </c>
      <c r="O1426" s="275"/>
      <c r="P1426" s="275"/>
      <c r="Q1426" s="275"/>
      <c r="R1426" s="275"/>
      <c r="S1426" s="275"/>
      <c r="T1426" s="275"/>
      <c r="U1426" s="276">
        <v>0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161</v>
      </c>
      <c r="B1427" s="271" t="s">
        <v>1628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161</v>
      </c>
      <c r="B1428" s="271" t="s">
        <v>450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0</v>
      </c>
      <c r="K1428" s="273"/>
      <c r="L1428" s="273"/>
      <c r="M1428" s="274">
        <v>0</v>
      </c>
      <c r="N1428" s="272">
        <v>0</v>
      </c>
      <c r="O1428" s="275"/>
      <c r="P1428" s="275"/>
      <c r="Q1428" s="275"/>
      <c r="R1428" s="275"/>
      <c r="S1428" s="275"/>
      <c r="T1428" s="275"/>
      <c r="U1428" s="276">
        <v>0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161</v>
      </c>
      <c r="B1429" s="271" t="s">
        <v>451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0</v>
      </c>
      <c r="K1429" s="273"/>
      <c r="L1429" s="273"/>
      <c r="M1429" s="274">
        <v>0</v>
      </c>
      <c r="N1429" s="272">
        <v>0</v>
      </c>
      <c r="O1429" s="275"/>
      <c r="P1429" s="275"/>
      <c r="Q1429" s="275"/>
      <c r="R1429" s="275"/>
      <c r="S1429" s="275"/>
      <c r="T1429" s="275"/>
      <c r="U1429" s="276">
        <v>0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161</v>
      </c>
      <c r="B1430" s="271" t="s">
        <v>1629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161</v>
      </c>
      <c r="B1431" s="271" t="s">
        <v>1630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0</v>
      </c>
      <c r="K1431" s="273"/>
      <c r="L1431" s="273"/>
      <c r="M1431" s="274">
        <v>0</v>
      </c>
      <c r="N1431" s="272">
        <v>0</v>
      </c>
      <c r="O1431" s="275"/>
      <c r="P1431" s="275"/>
      <c r="Q1431" s="275"/>
      <c r="R1431" s="275"/>
      <c r="S1431" s="275"/>
      <c r="T1431" s="275"/>
      <c r="U1431" s="276">
        <v>0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161</v>
      </c>
      <c r="B1432" s="271" t="s">
        <v>1631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0</v>
      </c>
      <c r="K1432" s="273"/>
      <c r="L1432" s="273"/>
      <c r="M1432" s="274">
        <v>0</v>
      </c>
      <c r="N1432" s="272">
        <v>0</v>
      </c>
      <c r="O1432" s="275"/>
      <c r="P1432" s="275"/>
      <c r="Q1432" s="275"/>
      <c r="R1432" s="275"/>
      <c r="S1432" s="275"/>
      <c r="T1432" s="275"/>
      <c r="U1432" s="276">
        <v>0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161</v>
      </c>
      <c r="B1433" s="271" t="s">
        <v>1632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0</v>
      </c>
      <c r="K1433" s="273"/>
      <c r="L1433" s="273"/>
      <c r="M1433" s="274">
        <v>0</v>
      </c>
      <c r="N1433" s="272">
        <v>0</v>
      </c>
      <c r="O1433" s="275"/>
      <c r="P1433" s="275"/>
      <c r="Q1433" s="275"/>
      <c r="R1433" s="275"/>
      <c r="S1433" s="275"/>
      <c r="T1433" s="275"/>
      <c r="U1433" s="276">
        <v>0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161</v>
      </c>
      <c r="B1434" s="271" t="s">
        <v>452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0</v>
      </c>
      <c r="K1434" s="273"/>
      <c r="L1434" s="273"/>
      <c r="M1434" s="274">
        <v>0</v>
      </c>
      <c r="N1434" s="272">
        <v>0</v>
      </c>
      <c r="O1434" s="275"/>
      <c r="P1434" s="275"/>
      <c r="Q1434" s="275"/>
      <c r="R1434" s="275"/>
      <c r="S1434" s="275"/>
      <c r="T1434" s="275"/>
      <c r="U1434" s="276">
        <v>0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161</v>
      </c>
      <c r="B1435" s="271" t="s">
        <v>453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0</v>
      </c>
      <c r="K1435" s="273"/>
      <c r="L1435" s="273"/>
      <c r="M1435" s="274">
        <v>0</v>
      </c>
      <c r="N1435" s="272">
        <v>0</v>
      </c>
      <c r="O1435" s="275"/>
      <c r="P1435" s="275"/>
      <c r="Q1435" s="275"/>
      <c r="R1435" s="275"/>
      <c r="S1435" s="275"/>
      <c r="T1435" s="275"/>
      <c r="U1435" s="276">
        <v>0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161</v>
      </c>
      <c r="B1436" s="271" t="s">
        <v>1633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161</v>
      </c>
      <c r="B1437" s="271" t="s">
        <v>454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0</v>
      </c>
      <c r="K1437" s="273"/>
      <c r="L1437" s="273"/>
      <c r="M1437" s="274">
        <v>0</v>
      </c>
      <c r="N1437" s="272">
        <v>0</v>
      </c>
      <c r="O1437" s="275"/>
      <c r="P1437" s="275"/>
      <c r="Q1437" s="275"/>
      <c r="R1437" s="275"/>
      <c r="S1437" s="275"/>
      <c r="T1437" s="275"/>
      <c r="U1437" s="276">
        <v>0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161</v>
      </c>
      <c r="B1438" s="271" t="s">
        <v>455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0</v>
      </c>
      <c r="K1438" s="273"/>
      <c r="L1438" s="273"/>
      <c r="M1438" s="274">
        <v>0</v>
      </c>
      <c r="N1438" s="272">
        <v>0</v>
      </c>
      <c r="O1438" s="275"/>
      <c r="P1438" s="275"/>
      <c r="Q1438" s="275"/>
      <c r="R1438" s="275"/>
      <c r="S1438" s="275"/>
      <c r="T1438" s="275"/>
      <c r="U1438" s="276">
        <v>0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161</v>
      </c>
      <c r="B1439" s="271" t="s">
        <v>1634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161</v>
      </c>
      <c r="B1440" s="271" t="s">
        <v>456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0</v>
      </c>
      <c r="K1440" s="273"/>
      <c r="L1440" s="273"/>
      <c r="M1440" s="274">
        <v>0</v>
      </c>
      <c r="N1440" s="272">
        <v>0</v>
      </c>
      <c r="O1440" s="275"/>
      <c r="P1440" s="275"/>
      <c r="Q1440" s="275"/>
      <c r="R1440" s="275"/>
      <c r="S1440" s="275"/>
      <c r="T1440" s="275"/>
      <c r="U1440" s="276">
        <v>0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161</v>
      </c>
      <c r="B1441" s="271" t="s">
        <v>457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0</v>
      </c>
      <c r="K1441" s="273"/>
      <c r="L1441" s="273"/>
      <c r="M1441" s="274">
        <v>0</v>
      </c>
      <c r="N1441" s="272">
        <v>0</v>
      </c>
      <c r="O1441" s="275"/>
      <c r="P1441" s="275"/>
      <c r="Q1441" s="275"/>
      <c r="R1441" s="275"/>
      <c r="S1441" s="275"/>
      <c r="T1441" s="275"/>
      <c r="U1441" s="276">
        <v>0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161</v>
      </c>
      <c r="B1442" s="271" t="s">
        <v>1635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161</v>
      </c>
      <c r="B1443" s="271" t="s">
        <v>1636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0</v>
      </c>
      <c r="K1443" s="273"/>
      <c r="L1443" s="273"/>
      <c r="M1443" s="274">
        <v>0</v>
      </c>
      <c r="N1443" s="272">
        <v>0</v>
      </c>
      <c r="O1443" s="275"/>
      <c r="P1443" s="275"/>
      <c r="Q1443" s="275"/>
      <c r="R1443" s="275"/>
      <c r="S1443" s="275"/>
      <c r="T1443" s="275"/>
      <c r="U1443" s="276">
        <v>0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161</v>
      </c>
      <c r="B1444" s="271" t="s">
        <v>1637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0</v>
      </c>
      <c r="K1444" s="273"/>
      <c r="L1444" s="273"/>
      <c r="M1444" s="274">
        <v>0</v>
      </c>
      <c r="N1444" s="272">
        <v>0</v>
      </c>
      <c r="O1444" s="275"/>
      <c r="P1444" s="275"/>
      <c r="Q1444" s="275"/>
      <c r="R1444" s="275"/>
      <c r="S1444" s="275"/>
      <c r="T1444" s="275"/>
      <c r="U1444" s="276">
        <v>0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161</v>
      </c>
      <c r="B1445" s="271" t="s">
        <v>1638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0</v>
      </c>
      <c r="K1445" s="273"/>
      <c r="L1445" s="273"/>
      <c r="M1445" s="274">
        <v>0</v>
      </c>
      <c r="N1445" s="272">
        <v>0</v>
      </c>
      <c r="O1445" s="275"/>
      <c r="P1445" s="275"/>
      <c r="Q1445" s="275"/>
      <c r="R1445" s="275"/>
      <c r="S1445" s="275"/>
      <c r="T1445" s="275"/>
      <c r="U1445" s="276">
        <v>0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161</v>
      </c>
      <c r="B1446" s="271" t="s">
        <v>1639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0</v>
      </c>
      <c r="K1446" s="273"/>
      <c r="L1446" s="273"/>
      <c r="M1446" s="274">
        <v>0</v>
      </c>
      <c r="N1446" s="272">
        <v>0</v>
      </c>
      <c r="O1446" s="275"/>
      <c r="P1446" s="275"/>
      <c r="Q1446" s="275"/>
      <c r="R1446" s="275"/>
      <c r="S1446" s="275"/>
      <c r="T1446" s="275"/>
      <c r="U1446" s="276">
        <v>0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161</v>
      </c>
      <c r="B1447" s="271" t="s">
        <v>1640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0</v>
      </c>
      <c r="K1447" s="273"/>
      <c r="L1447" s="273"/>
      <c r="M1447" s="274">
        <v>0</v>
      </c>
      <c r="N1447" s="272">
        <v>0</v>
      </c>
      <c r="O1447" s="275"/>
      <c r="P1447" s="275"/>
      <c r="Q1447" s="275"/>
      <c r="R1447" s="275"/>
      <c r="S1447" s="275"/>
      <c r="T1447" s="275"/>
      <c r="U1447" s="276">
        <v>0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161</v>
      </c>
      <c r="B1448" s="271" t="s">
        <v>1641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0</v>
      </c>
      <c r="K1448" s="273"/>
      <c r="L1448" s="273"/>
      <c r="M1448" s="274">
        <v>0</v>
      </c>
      <c r="N1448" s="272">
        <v>0</v>
      </c>
      <c r="O1448" s="275"/>
      <c r="P1448" s="275"/>
      <c r="Q1448" s="275"/>
      <c r="R1448" s="275"/>
      <c r="S1448" s="275"/>
      <c r="T1448" s="275"/>
      <c r="U1448" s="276">
        <v>0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161</v>
      </c>
      <c r="B1449" s="271" t="s">
        <v>1642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0</v>
      </c>
      <c r="K1449" s="273"/>
      <c r="L1449" s="273"/>
      <c r="M1449" s="274">
        <v>0</v>
      </c>
      <c r="N1449" s="272">
        <v>0</v>
      </c>
      <c r="O1449" s="275"/>
      <c r="P1449" s="275"/>
      <c r="Q1449" s="275"/>
      <c r="R1449" s="275"/>
      <c r="S1449" s="275"/>
      <c r="T1449" s="275"/>
      <c r="U1449" s="276">
        <v>0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161</v>
      </c>
      <c r="B1450" s="271" t="s">
        <v>1643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0</v>
      </c>
      <c r="K1450" s="273"/>
      <c r="L1450" s="273"/>
      <c r="M1450" s="274">
        <v>0</v>
      </c>
      <c r="N1450" s="272">
        <v>0</v>
      </c>
      <c r="O1450" s="275"/>
      <c r="P1450" s="275"/>
      <c r="Q1450" s="275"/>
      <c r="R1450" s="275"/>
      <c r="S1450" s="275"/>
      <c r="T1450" s="275"/>
      <c r="U1450" s="276">
        <v>0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161</v>
      </c>
      <c r="B1451" s="271" t="s">
        <v>1644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0</v>
      </c>
      <c r="K1451" s="273"/>
      <c r="L1451" s="273"/>
      <c r="M1451" s="274">
        <v>0</v>
      </c>
      <c r="N1451" s="272">
        <v>0</v>
      </c>
      <c r="O1451" s="275"/>
      <c r="P1451" s="275"/>
      <c r="Q1451" s="275"/>
      <c r="R1451" s="275"/>
      <c r="S1451" s="275"/>
      <c r="T1451" s="275"/>
      <c r="U1451" s="276">
        <v>0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161</v>
      </c>
      <c r="B1452" s="271" t="s">
        <v>1645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0</v>
      </c>
      <c r="K1452" s="273"/>
      <c r="L1452" s="273"/>
      <c r="M1452" s="274">
        <v>0</v>
      </c>
      <c r="N1452" s="272">
        <v>0</v>
      </c>
      <c r="O1452" s="275"/>
      <c r="P1452" s="275"/>
      <c r="Q1452" s="275"/>
      <c r="R1452" s="275"/>
      <c r="S1452" s="275"/>
      <c r="T1452" s="275"/>
      <c r="U1452" s="276">
        <v>0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161</v>
      </c>
      <c r="B1453" s="271" t="s">
        <v>1646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0</v>
      </c>
      <c r="K1453" s="273"/>
      <c r="L1453" s="273"/>
      <c r="M1453" s="274">
        <v>0</v>
      </c>
      <c r="N1453" s="272">
        <v>0</v>
      </c>
      <c r="O1453" s="275"/>
      <c r="P1453" s="275"/>
      <c r="Q1453" s="275"/>
      <c r="R1453" s="275"/>
      <c r="S1453" s="275"/>
      <c r="T1453" s="275"/>
      <c r="U1453" s="276">
        <v>0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161</v>
      </c>
      <c r="B1454" s="271" t="s">
        <v>1647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0</v>
      </c>
      <c r="K1454" s="273"/>
      <c r="L1454" s="273"/>
      <c r="M1454" s="274">
        <v>0</v>
      </c>
      <c r="N1454" s="272">
        <v>0</v>
      </c>
      <c r="O1454" s="275"/>
      <c r="P1454" s="275"/>
      <c r="Q1454" s="275"/>
      <c r="R1454" s="275"/>
      <c r="S1454" s="275"/>
      <c r="T1454" s="275"/>
      <c r="U1454" s="276">
        <v>0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161</v>
      </c>
      <c r="B1455" s="271" t="s">
        <v>1648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0</v>
      </c>
      <c r="K1455" s="273"/>
      <c r="L1455" s="273"/>
      <c r="M1455" s="274">
        <v>0</v>
      </c>
      <c r="N1455" s="272">
        <v>0</v>
      </c>
      <c r="O1455" s="275"/>
      <c r="P1455" s="275"/>
      <c r="Q1455" s="275"/>
      <c r="R1455" s="275"/>
      <c r="S1455" s="275"/>
      <c r="T1455" s="275"/>
      <c r="U1455" s="276">
        <v>0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161</v>
      </c>
      <c r="B1456" s="271" t="s">
        <v>1649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0</v>
      </c>
      <c r="K1456" s="273"/>
      <c r="L1456" s="273"/>
      <c r="M1456" s="274">
        <v>0</v>
      </c>
      <c r="N1456" s="272">
        <v>0</v>
      </c>
      <c r="O1456" s="275"/>
      <c r="P1456" s="275"/>
      <c r="Q1456" s="275"/>
      <c r="R1456" s="275"/>
      <c r="S1456" s="275"/>
      <c r="T1456" s="275"/>
      <c r="U1456" s="276">
        <v>0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161</v>
      </c>
      <c r="B1457" s="271" t="s">
        <v>1650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0</v>
      </c>
      <c r="K1457" s="273"/>
      <c r="L1457" s="273"/>
      <c r="M1457" s="274">
        <v>0</v>
      </c>
      <c r="N1457" s="272">
        <v>0</v>
      </c>
      <c r="O1457" s="275"/>
      <c r="P1457" s="275"/>
      <c r="Q1457" s="275"/>
      <c r="R1457" s="275"/>
      <c r="S1457" s="275"/>
      <c r="T1457" s="275"/>
      <c r="U1457" s="276">
        <v>0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161</v>
      </c>
      <c r="B1458" s="271" t="s">
        <v>458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0</v>
      </c>
      <c r="K1458" s="273"/>
      <c r="L1458" s="273"/>
      <c r="M1458" s="274">
        <v>0</v>
      </c>
      <c r="N1458" s="272">
        <v>0</v>
      </c>
      <c r="O1458" s="275"/>
      <c r="P1458" s="275"/>
      <c r="Q1458" s="275"/>
      <c r="R1458" s="275"/>
      <c r="S1458" s="275"/>
      <c r="T1458" s="275"/>
      <c r="U1458" s="276">
        <v>0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161</v>
      </c>
      <c r="B1459" s="271" t="s">
        <v>1651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161</v>
      </c>
      <c r="B1460" s="271" t="s">
        <v>459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0</v>
      </c>
      <c r="K1460" s="273"/>
      <c r="L1460" s="273"/>
      <c r="M1460" s="274">
        <v>0</v>
      </c>
      <c r="N1460" s="272">
        <v>0</v>
      </c>
      <c r="O1460" s="275"/>
      <c r="P1460" s="275"/>
      <c r="Q1460" s="275"/>
      <c r="R1460" s="275"/>
      <c r="S1460" s="275"/>
      <c r="T1460" s="275"/>
      <c r="U1460" s="276">
        <v>0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161</v>
      </c>
      <c r="B1461" s="271" t="s">
        <v>1652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161</v>
      </c>
      <c r="B1462" s="271" t="s">
        <v>1653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0</v>
      </c>
      <c r="K1462" s="273"/>
      <c r="L1462" s="273"/>
      <c r="M1462" s="274">
        <v>0</v>
      </c>
      <c r="N1462" s="272">
        <v>0</v>
      </c>
      <c r="O1462" s="275"/>
      <c r="P1462" s="275"/>
      <c r="Q1462" s="275"/>
      <c r="R1462" s="275"/>
      <c r="S1462" s="275"/>
      <c r="T1462" s="275"/>
      <c r="U1462" s="276">
        <v>0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161</v>
      </c>
      <c r="B1463" s="271" t="s">
        <v>1654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0</v>
      </c>
      <c r="K1463" s="273"/>
      <c r="L1463" s="273"/>
      <c r="M1463" s="274">
        <v>0</v>
      </c>
      <c r="N1463" s="272">
        <v>0</v>
      </c>
      <c r="O1463" s="275"/>
      <c r="P1463" s="275"/>
      <c r="Q1463" s="275"/>
      <c r="R1463" s="275"/>
      <c r="S1463" s="275"/>
      <c r="T1463" s="275"/>
      <c r="U1463" s="276">
        <v>0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161</v>
      </c>
      <c r="B1464" s="271" t="s">
        <v>460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0</v>
      </c>
      <c r="K1464" s="273"/>
      <c r="L1464" s="273"/>
      <c r="M1464" s="274">
        <v>0</v>
      </c>
      <c r="N1464" s="272">
        <v>0</v>
      </c>
      <c r="O1464" s="275"/>
      <c r="P1464" s="275"/>
      <c r="Q1464" s="275"/>
      <c r="R1464" s="275"/>
      <c r="S1464" s="275"/>
      <c r="T1464" s="275"/>
      <c r="U1464" s="276">
        <v>0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161</v>
      </c>
      <c r="B1465" s="271" t="s">
        <v>1655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161</v>
      </c>
      <c r="B1466" s="271" t="s">
        <v>461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0</v>
      </c>
      <c r="K1466" s="273"/>
      <c r="L1466" s="273"/>
      <c r="M1466" s="274">
        <v>0</v>
      </c>
      <c r="N1466" s="272">
        <v>0</v>
      </c>
      <c r="O1466" s="275"/>
      <c r="P1466" s="275"/>
      <c r="Q1466" s="275"/>
      <c r="R1466" s="275"/>
      <c r="S1466" s="275"/>
      <c r="T1466" s="275"/>
      <c r="U1466" s="276">
        <v>0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161</v>
      </c>
      <c r="B1467" s="271" t="s">
        <v>1656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161</v>
      </c>
      <c r="B1468" s="271" t="s">
        <v>1657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0</v>
      </c>
      <c r="K1468" s="273"/>
      <c r="L1468" s="273"/>
      <c r="M1468" s="274">
        <v>0</v>
      </c>
      <c r="N1468" s="272">
        <v>0</v>
      </c>
      <c r="O1468" s="275"/>
      <c r="P1468" s="275"/>
      <c r="Q1468" s="275"/>
      <c r="R1468" s="275"/>
      <c r="S1468" s="275"/>
      <c r="T1468" s="275"/>
      <c r="U1468" s="276">
        <v>0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161</v>
      </c>
      <c r="B1469" s="271" t="s">
        <v>1658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0</v>
      </c>
      <c r="K1469" s="273"/>
      <c r="L1469" s="273"/>
      <c r="M1469" s="274">
        <v>0</v>
      </c>
      <c r="N1469" s="272">
        <v>0</v>
      </c>
      <c r="O1469" s="275"/>
      <c r="P1469" s="275"/>
      <c r="Q1469" s="275"/>
      <c r="R1469" s="275"/>
      <c r="S1469" s="275"/>
      <c r="T1469" s="275"/>
      <c r="U1469" s="276">
        <v>0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161</v>
      </c>
      <c r="B1470" s="271" t="s">
        <v>462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0</v>
      </c>
      <c r="K1470" s="273"/>
      <c r="L1470" s="273"/>
      <c r="M1470" s="274">
        <v>0</v>
      </c>
      <c r="N1470" s="272">
        <v>0</v>
      </c>
      <c r="O1470" s="275"/>
      <c r="P1470" s="275"/>
      <c r="Q1470" s="275"/>
      <c r="R1470" s="275"/>
      <c r="S1470" s="275"/>
      <c r="T1470" s="275"/>
      <c r="U1470" s="276">
        <v>0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161</v>
      </c>
      <c r="B1471" s="271" t="s">
        <v>1659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161</v>
      </c>
      <c r="B1472" s="271" t="s">
        <v>463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0</v>
      </c>
      <c r="K1472" s="273"/>
      <c r="L1472" s="273"/>
      <c r="M1472" s="274">
        <v>0</v>
      </c>
      <c r="N1472" s="272">
        <v>0</v>
      </c>
      <c r="O1472" s="275"/>
      <c r="P1472" s="275"/>
      <c r="Q1472" s="275"/>
      <c r="R1472" s="275"/>
      <c r="S1472" s="275"/>
      <c r="T1472" s="275"/>
      <c r="U1472" s="276">
        <v>0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161</v>
      </c>
      <c r="B1473" s="271" t="s">
        <v>1660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161</v>
      </c>
      <c r="B1474" s="271" t="s">
        <v>1661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0</v>
      </c>
      <c r="K1474" s="273"/>
      <c r="L1474" s="273"/>
      <c r="M1474" s="274">
        <v>0</v>
      </c>
      <c r="N1474" s="272">
        <v>0</v>
      </c>
      <c r="O1474" s="275"/>
      <c r="P1474" s="275"/>
      <c r="Q1474" s="275"/>
      <c r="R1474" s="275"/>
      <c r="S1474" s="275"/>
      <c r="T1474" s="275"/>
      <c r="U1474" s="276">
        <v>0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161</v>
      </c>
      <c r="B1475" s="271" t="s">
        <v>1662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0</v>
      </c>
      <c r="K1475" s="273"/>
      <c r="L1475" s="273"/>
      <c r="M1475" s="274">
        <v>0</v>
      </c>
      <c r="N1475" s="272">
        <v>0</v>
      </c>
      <c r="O1475" s="275"/>
      <c r="P1475" s="275"/>
      <c r="Q1475" s="275"/>
      <c r="R1475" s="275"/>
      <c r="S1475" s="275"/>
      <c r="T1475" s="275"/>
      <c r="U1475" s="276">
        <v>0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161</v>
      </c>
      <c r="B1476" s="271" t="s">
        <v>1663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0</v>
      </c>
      <c r="K1476" s="273"/>
      <c r="L1476" s="273"/>
      <c r="M1476" s="274">
        <v>0</v>
      </c>
      <c r="N1476" s="272">
        <v>0</v>
      </c>
      <c r="O1476" s="275"/>
      <c r="P1476" s="275"/>
      <c r="Q1476" s="275"/>
      <c r="R1476" s="275"/>
      <c r="S1476" s="275"/>
      <c r="T1476" s="275"/>
      <c r="U1476" s="276">
        <v>0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161</v>
      </c>
      <c r="B1477" s="271" t="s">
        <v>1664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0</v>
      </c>
      <c r="K1477" s="273"/>
      <c r="L1477" s="273"/>
      <c r="M1477" s="274">
        <v>0</v>
      </c>
      <c r="N1477" s="272">
        <v>0</v>
      </c>
      <c r="O1477" s="275"/>
      <c r="P1477" s="275"/>
      <c r="Q1477" s="275"/>
      <c r="R1477" s="275"/>
      <c r="S1477" s="275"/>
      <c r="T1477" s="275"/>
      <c r="U1477" s="276">
        <v>0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161</v>
      </c>
      <c r="B1478" s="271" t="s">
        <v>1665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0</v>
      </c>
      <c r="K1478" s="273"/>
      <c r="L1478" s="273"/>
      <c r="M1478" s="274">
        <v>0</v>
      </c>
      <c r="N1478" s="272">
        <v>0</v>
      </c>
      <c r="O1478" s="275"/>
      <c r="P1478" s="275"/>
      <c r="Q1478" s="275"/>
      <c r="R1478" s="275"/>
      <c r="S1478" s="275"/>
      <c r="T1478" s="275"/>
      <c r="U1478" s="276">
        <v>0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161</v>
      </c>
      <c r="B1479" s="271" t="s">
        <v>1666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0</v>
      </c>
      <c r="K1479" s="273"/>
      <c r="L1479" s="273"/>
      <c r="M1479" s="274">
        <v>0</v>
      </c>
      <c r="N1479" s="272">
        <v>0</v>
      </c>
      <c r="O1479" s="275"/>
      <c r="P1479" s="275"/>
      <c r="Q1479" s="275"/>
      <c r="R1479" s="275"/>
      <c r="S1479" s="275"/>
      <c r="T1479" s="275"/>
      <c r="U1479" s="276">
        <v>0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161</v>
      </c>
      <c r="B1480" s="271" t="s">
        <v>1667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0</v>
      </c>
      <c r="K1480" s="273"/>
      <c r="L1480" s="273"/>
      <c r="M1480" s="274">
        <v>0</v>
      </c>
      <c r="N1480" s="272">
        <v>0</v>
      </c>
      <c r="O1480" s="275"/>
      <c r="P1480" s="275"/>
      <c r="Q1480" s="275"/>
      <c r="R1480" s="275"/>
      <c r="S1480" s="275"/>
      <c r="T1480" s="275"/>
      <c r="U1480" s="276">
        <v>0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161</v>
      </c>
      <c r="B1481" s="271" t="s">
        <v>1668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0</v>
      </c>
      <c r="K1481" s="273"/>
      <c r="L1481" s="273"/>
      <c r="M1481" s="274">
        <v>0</v>
      </c>
      <c r="N1481" s="272">
        <v>0</v>
      </c>
      <c r="O1481" s="275"/>
      <c r="P1481" s="275"/>
      <c r="Q1481" s="275"/>
      <c r="R1481" s="275"/>
      <c r="S1481" s="275"/>
      <c r="T1481" s="275"/>
      <c r="U1481" s="276">
        <v>0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161</v>
      </c>
      <c r="B1482" s="271" t="s">
        <v>464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0</v>
      </c>
      <c r="K1482" s="273"/>
      <c r="L1482" s="273"/>
      <c r="M1482" s="274">
        <v>0</v>
      </c>
      <c r="N1482" s="272">
        <v>0</v>
      </c>
      <c r="O1482" s="275"/>
      <c r="P1482" s="275"/>
      <c r="Q1482" s="275"/>
      <c r="R1482" s="275"/>
      <c r="S1482" s="275"/>
      <c r="T1482" s="275"/>
      <c r="U1482" s="276">
        <v>0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161</v>
      </c>
      <c r="B1483" s="271" t="s">
        <v>1669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161</v>
      </c>
      <c r="B1484" s="271" t="s">
        <v>465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0</v>
      </c>
      <c r="K1484" s="273"/>
      <c r="L1484" s="273"/>
      <c r="M1484" s="274">
        <v>0</v>
      </c>
      <c r="N1484" s="272">
        <v>0</v>
      </c>
      <c r="O1484" s="275"/>
      <c r="P1484" s="275"/>
      <c r="Q1484" s="275"/>
      <c r="R1484" s="275"/>
      <c r="S1484" s="275"/>
      <c r="T1484" s="275"/>
      <c r="U1484" s="276">
        <v>0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161</v>
      </c>
      <c r="B1485" s="271" t="s">
        <v>1670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161</v>
      </c>
      <c r="B1486" s="271" t="s">
        <v>1671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0</v>
      </c>
      <c r="K1486" s="273"/>
      <c r="L1486" s="273"/>
      <c r="M1486" s="274">
        <v>0</v>
      </c>
      <c r="N1486" s="272">
        <v>0</v>
      </c>
      <c r="O1486" s="275"/>
      <c r="P1486" s="275"/>
      <c r="Q1486" s="275"/>
      <c r="R1486" s="275"/>
      <c r="S1486" s="275"/>
      <c r="T1486" s="275"/>
      <c r="U1486" s="276">
        <v>0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161</v>
      </c>
      <c r="B1487" s="271" t="s">
        <v>1672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0</v>
      </c>
      <c r="K1487" s="273"/>
      <c r="L1487" s="273"/>
      <c r="M1487" s="274">
        <v>0</v>
      </c>
      <c r="N1487" s="272">
        <v>0</v>
      </c>
      <c r="O1487" s="275"/>
      <c r="P1487" s="275"/>
      <c r="Q1487" s="275"/>
      <c r="R1487" s="275"/>
      <c r="S1487" s="275"/>
      <c r="T1487" s="275"/>
      <c r="U1487" s="276">
        <v>0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161</v>
      </c>
      <c r="B1488" s="271" t="s">
        <v>466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0</v>
      </c>
      <c r="K1488" s="273"/>
      <c r="L1488" s="273"/>
      <c r="M1488" s="274">
        <v>0</v>
      </c>
      <c r="N1488" s="272">
        <v>0</v>
      </c>
      <c r="O1488" s="275"/>
      <c r="P1488" s="275"/>
      <c r="Q1488" s="275"/>
      <c r="R1488" s="275"/>
      <c r="S1488" s="275"/>
      <c r="T1488" s="275"/>
      <c r="U1488" s="276">
        <v>0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161</v>
      </c>
      <c r="B1489" s="271" t="s">
        <v>1673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161</v>
      </c>
      <c r="B1490" s="271" t="s">
        <v>467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0</v>
      </c>
      <c r="K1490" s="273"/>
      <c r="L1490" s="273"/>
      <c r="M1490" s="274">
        <v>0</v>
      </c>
      <c r="N1490" s="272">
        <v>0</v>
      </c>
      <c r="O1490" s="275"/>
      <c r="P1490" s="275"/>
      <c r="Q1490" s="275"/>
      <c r="R1490" s="275"/>
      <c r="S1490" s="275"/>
      <c r="T1490" s="275"/>
      <c r="U1490" s="276">
        <v>0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161</v>
      </c>
      <c r="B1491" s="271" t="s">
        <v>1674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161</v>
      </c>
      <c r="B1492" s="271" t="s">
        <v>1675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0</v>
      </c>
      <c r="K1492" s="273"/>
      <c r="L1492" s="273"/>
      <c r="M1492" s="274">
        <v>0</v>
      </c>
      <c r="N1492" s="272">
        <v>0</v>
      </c>
      <c r="O1492" s="275"/>
      <c r="P1492" s="275"/>
      <c r="Q1492" s="275"/>
      <c r="R1492" s="275"/>
      <c r="S1492" s="275"/>
      <c r="T1492" s="275"/>
      <c r="U1492" s="276">
        <v>0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161</v>
      </c>
      <c r="B1493" s="271" t="s">
        <v>1676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0</v>
      </c>
      <c r="K1493" s="273"/>
      <c r="L1493" s="273"/>
      <c r="M1493" s="274">
        <v>0</v>
      </c>
      <c r="N1493" s="272">
        <v>0</v>
      </c>
      <c r="O1493" s="275"/>
      <c r="P1493" s="275"/>
      <c r="Q1493" s="275"/>
      <c r="R1493" s="275"/>
      <c r="S1493" s="275"/>
      <c r="T1493" s="275"/>
      <c r="U1493" s="276">
        <v>0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161</v>
      </c>
      <c r="B1494" s="271" t="s">
        <v>468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0</v>
      </c>
      <c r="K1494" s="273"/>
      <c r="L1494" s="273"/>
      <c r="M1494" s="274">
        <v>0</v>
      </c>
      <c r="N1494" s="272">
        <v>0</v>
      </c>
      <c r="O1494" s="275"/>
      <c r="P1494" s="275"/>
      <c r="Q1494" s="275"/>
      <c r="R1494" s="275"/>
      <c r="S1494" s="275"/>
      <c r="T1494" s="275"/>
      <c r="U1494" s="276">
        <v>0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161</v>
      </c>
      <c r="B1495" s="271" t="s">
        <v>1677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161</v>
      </c>
      <c r="B1496" s="271" t="s">
        <v>469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0</v>
      </c>
      <c r="K1496" s="273"/>
      <c r="L1496" s="273"/>
      <c r="M1496" s="274">
        <v>0</v>
      </c>
      <c r="N1496" s="272">
        <v>0</v>
      </c>
      <c r="O1496" s="275"/>
      <c r="P1496" s="275"/>
      <c r="Q1496" s="275"/>
      <c r="R1496" s="275"/>
      <c r="S1496" s="275"/>
      <c r="T1496" s="275"/>
      <c r="U1496" s="276">
        <v>0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161</v>
      </c>
      <c r="B1497" s="271" t="s">
        <v>1678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161</v>
      </c>
      <c r="B1498" s="271" t="s">
        <v>1679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0</v>
      </c>
      <c r="K1498" s="273"/>
      <c r="L1498" s="273"/>
      <c r="M1498" s="274">
        <v>0</v>
      </c>
      <c r="N1498" s="272">
        <v>0</v>
      </c>
      <c r="O1498" s="275"/>
      <c r="P1498" s="275"/>
      <c r="Q1498" s="275"/>
      <c r="R1498" s="275"/>
      <c r="S1498" s="275"/>
      <c r="T1498" s="275"/>
      <c r="U1498" s="276">
        <v>0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161</v>
      </c>
      <c r="B1499" s="271" t="s">
        <v>1680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0</v>
      </c>
      <c r="K1499" s="273"/>
      <c r="L1499" s="273"/>
      <c r="M1499" s="274">
        <v>0</v>
      </c>
      <c r="N1499" s="272">
        <v>0</v>
      </c>
      <c r="O1499" s="275"/>
      <c r="P1499" s="275"/>
      <c r="Q1499" s="275"/>
      <c r="R1499" s="275"/>
      <c r="S1499" s="275"/>
      <c r="T1499" s="275"/>
      <c r="U1499" s="276">
        <v>0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161</v>
      </c>
      <c r="B1500" s="271" t="s">
        <v>1681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0</v>
      </c>
      <c r="K1500" s="273"/>
      <c r="L1500" s="273"/>
      <c r="M1500" s="274">
        <v>0</v>
      </c>
      <c r="N1500" s="272">
        <v>0</v>
      </c>
      <c r="O1500" s="275"/>
      <c r="P1500" s="275"/>
      <c r="Q1500" s="275"/>
      <c r="R1500" s="275"/>
      <c r="S1500" s="275"/>
      <c r="T1500" s="275"/>
      <c r="U1500" s="276">
        <v>0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161</v>
      </c>
      <c r="B1501" s="271" t="s">
        <v>1682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0</v>
      </c>
      <c r="K1501" s="273"/>
      <c r="L1501" s="273"/>
      <c r="M1501" s="274">
        <v>0</v>
      </c>
      <c r="N1501" s="272">
        <v>0</v>
      </c>
      <c r="O1501" s="275"/>
      <c r="P1501" s="275"/>
      <c r="Q1501" s="275"/>
      <c r="R1501" s="275"/>
      <c r="S1501" s="275"/>
      <c r="T1501" s="275"/>
      <c r="U1501" s="276">
        <v>0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161</v>
      </c>
      <c r="B1502" s="271" t="s">
        <v>1683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0</v>
      </c>
      <c r="K1502" s="273"/>
      <c r="L1502" s="273"/>
      <c r="M1502" s="274">
        <v>0</v>
      </c>
      <c r="N1502" s="272">
        <v>0</v>
      </c>
      <c r="O1502" s="275"/>
      <c r="P1502" s="275"/>
      <c r="Q1502" s="275"/>
      <c r="R1502" s="275"/>
      <c r="S1502" s="275"/>
      <c r="T1502" s="275"/>
      <c r="U1502" s="276">
        <v>0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161</v>
      </c>
      <c r="B1503" s="271" t="s">
        <v>1684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0</v>
      </c>
      <c r="K1503" s="273"/>
      <c r="L1503" s="273"/>
      <c r="M1503" s="274">
        <v>0</v>
      </c>
      <c r="N1503" s="272">
        <v>0</v>
      </c>
      <c r="O1503" s="275"/>
      <c r="P1503" s="275"/>
      <c r="Q1503" s="275"/>
      <c r="R1503" s="275"/>
      <c r="S1503" s="275"/>
      <c r="T1503" s="275"/>
      <c r="U1503" s="276">
        <v>0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161</v>
      </c>
      <c r="B1504" s="271" t="s">
        <v>1685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0</v>
      </c>
      <c r="K1504" s="273"/>
      <c r="L1504" s="273"/>
      <c r="M1504" s="274">
        <v>0</v>
      </c>
      <c r="N1504" s="272">
        <v>0</v>
      </c>
      <c r="O1504" s="275"/>
      <c r="P1504" s="275"/>
      <c r="Q1504" s="275"/>
      <c r="R1504" s="275"/>
      <c r="S1504" s="275"/>
      <c r="T1504" s="275"/>
      <c r="U1504" s="276">
        <v>0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161</v>
      </c>
      <c r="B1505" s="271" t="s">
        <v>1686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0</v>
      </c>
      <c r="K1505" s="273"/>
      <c r="L1505" s="273"/>
      <c r="M1505" s="274">
        <v>0</v>
      </c>
      <c r="N1505" s="272">
        <v>0</v>
      </c>
      <c r="O1505" s="275"/>
      <c r="P1505" s="275"/>
      <c r="Q1505" s="275"/>
      <c r="R1505" s="275"/>
      <c r="S1505" s="275"/>
      <c r="T1505" s="275"/>
      <c r="U1505" s="276">
        <v>0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161</v>
      </c>
      <c r="B1506" s="271" t="s">
        <v>470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0</v>
      </c>
      <c r="K1506" s="273"/>
      <c r="L1506" s="273"/>
      <c r="M1506" s="274">
        <v>0</v>
      </c>
      <c r="N1506" s="272">
        <v>0</v>
      </c>
      <c r="O1506" s="275"/>
      <c r="P1506" s="275"/>
      <c r="Q1506" s="275"/>
      <c r="R1506" s="275"/>
      <c r="S1506" s="275"/>
      <c r="T1506" s="275"/>
      <c r="U1506" s="276">
        <v>0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161</v>
      </c>
      <c r="B1507" s="271" t="s">
        <v>1687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161</v>
      </c>
      <c r="B1508" s="271" t="s">
        <v>471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0</v>
      </c>
      <c r="K1508" s="273"/>
      <c r="L1508" s="273"/>
      <c r="M1508" s="274">
        <v>0</v>
      </c>
      <c r="N1508" s="272">
        <v>0</v>
      </c>
      <c r="O1508" s="275"/>
      <c r="P1508" s="275"/>
      <c r="Q1508" s="275"/>
      <c r="R1508" s="275"/>
      <c r="S1508" s="275"/>
      <c r="T1508" s="275"/>
      <c r="U1508" s="276">
        <v>0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161</v>
      </c>
      <c r="B1509" s="271" t="s">
        <v>1688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161</v>
      </c>
      <c r="B1510" s="271" t="s">
        <v>1689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0</v>
      </c>
      <c r="K1510" s="273"/>
      <c r="L1510" s="273"/>
      <c r="M1510" s="274">
        <v>0</v>
      </c>
      <c r="N1510" s="272">
        <v>0</v>
      </c>
      <c r="O1510" s="275"/>
      <c r="P1510" s="275"/>
      <c r="Q1510" s="275"/>
      <c r="R1510" s="275"/>
      <c r="S1510" s="275"/>
      <c r="T1510" s="275"/>
      <c r="U1510" s="276">
        <v>0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161</v>
      </c>
      <c r="B1511" s="271" t="s">
        <v>1690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0</v>
      </c>
      <c r="K1511" s="273"/>
      <c r="L1511" s="273"/>
      <c r="M1511" s="274">
        <v>0</v>
      </c>
      <c r="N1511" s="272">
        <v>0</v>
      </c>
      <c r="O1511" s="275"/>
      <c r="P1511" s="275"/>
      <c r="Q1511" s="275"/>
      <c r="R1511" s="275"/>
      <c r="S1511" s="275"/>
      <c r="T1511" s="275"/>
      <c r="U1511" s="276">
        <v>0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161</v>
      </c>
      <c r="B1512" s="271" t="s">
        <v>472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0</v>
      </c>
      <c r="K1512" s="273"/>
      <c r="L1512" s="273"/>
      <c r="M1512" s="274">
        <v>0</v>
      </c>
      <c r="N1512" s="272">
        <v>0</v>
      </c>
      <c r="O1512" s="275"/>
      <c r="P1512" s="275"/>
      <c r="Q1512" s="275"/>
      <c r="R1512" s="275"/>
      <c r="S1512" s="275"/>
      <c r="T1512" s="275"/>
      <c r="U1512" s="276">
        <v>0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161</v>
      </c>
      <c r="B1513" s="271" t="s">
        <v>1691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161</v>
      </c>
      <c r="B1514" s="271" t="s">
        <v>473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0</v>
      </c>
      <c r="K1514" s="273"/>
      <c r="L1514" s="273"/>
      <c r="M1514" s="274">
        <v>0</v>
      </c>
      <c r="N1514" s="272">
        <v>0</v>
      </c>
      <c r="O1514" s="275"/>
      <c r="P1514" s="275"/>
      <c r="Q1514" s="275"/>
      <c r="R1514" s="275"/>
      <c r="S1514" s="275"/>
      <c r="T1514" s="275"/>
      <c r="U1514" s="276">
        <v>0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161</v>
      </c>
      <c r="B1515" s="271" t="s">
        <v>1692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161</v>
      </c>
      <c r="B1516" s="271" t="s">
        <v>1693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0</v>
      </c>
      <c r="K1516" s="273"/>
      <c r="L1516" s="273"/>
      <c r="M1516" s="274">
        <v>0</v>
      </c>
      <c r="N1516" s="272">
        <v>0</v>
      </c>
      <c r="O1516" s="275"/>
      <c r="P1516" s="275"/>
      <c r="Q1516" s="275"/>
      <c r="R1516" s="275"/>
      <c r="S1516" s="275"/>
      <c r="T1516" s="275"/>
      <c r="U1516" s="276">
        <v>0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161</v>
      </c>
      <c r="B1517" s="271" t="s">
        <v>1694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0</v>
      </c>
      <c r="K1517" s="273"/>
      <c r="L1517" s="273"/>
      <c r="M1517" s="274">
        <v>0</v>
      </c>
      <c r="N1517" s="272">
        <v>0</v>
      </c>
      <c r="O1517" s="275"/>
      <c r="P1517" s="275"/>
      <c r="Q1517" s="275"/>
      <c r="R1517" s="275"/>
      <c r="S1517" s="275"/>
      <c r="T1517" s="275"/>
      <c r="U1517" s="276">
        <v>0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161</v>
      </c>
      <c r="B1518" s="271" t="s">
        <v>474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0</v>
      </c>
      <c r="K1518" s="273"/>
      <c r="L1518" s="273"/>
      <c r="M1518" s="274">
        <v>0</v>
      </c>
      <c r="N1518" s="272">
        <v>0</v>
      </c>
      <c r="O1518" s="275"/>
      <c r="P1518" s="275"/>
      <c r="Q1518" s="275"/>
      <c r="R1518" s="275"/>
      <c r="S1518" s="275"/>
      <c r="T1518" s="275"/>
      <c r="U1518" s="276">
        <v>0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161</v>
      </c>
      <c r="B1519" s="271" t="s">
        <v>1695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161</v>
      </c>
      <c r="B1520" s="271" t="s">
        <v>475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0</v>
      </c>
      <c r="K1520" s="273"/>
      <c r="L1520" s="273"/>
      <c r="M1520" s="274">
        <v>0</v>
      </c>
      <c r="N1520" s="272">
        <v>0</v>
      </c>
      <c r="O1520" s="275"/>
      <c r="P1520" s="275"/>
      <c r="Q1520" s="275"/>
      <c r="R1520" s="275"/>
      <c r="S1520" s="275"/>
      <c r="T1520" s="275"/>
      <c r="U1520" s="276">
        <v>0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161</v>
      </c>
      <c r="B1521" s="271" t="s">
        <v>1696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161</v>
      </c>
      <c r="B1522" s="271" t="s">
        <v>1697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0</v>
      </c>
      <c r="K1522" s="273"/>
      <c r="L1522" s="273"/>
      <c r="M1522" s="274">
        <v>0</v>
      </c>
      <c r="N1522" s="272">
        <v>0</v>
      </c>
      <c r="O1522" s="275"/>
      <c r="P1522" s="275"/>
      <c r="Q1522" s="275"/>
      <c r="R1522" s="275"/>
      <c r="S1522" s="275"/>
      <c r="T1522" s="275"/>
      <c r="U1522" s="276">
        <v>0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161</v>
      </c>
      <c r="B1523" s="271" t="s">
        <v>1698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0</v>
      </c>
      <c r="K1523" s="273"/>
      <c r="L1523" s="273"/>
      <c r="M1523" s="274">
        <v>0</v>
      </c>
      <c r="N1523" s="272">
        <v>0</v>
      </c>
      <c r="O1523" s="275"/>
      <c r="P1523" s="275"/>
      <c r="Q1523" s="275"/>
      <c r="R1523" s="275"/>
      <c r="S1523" s="275"/>
      <c r="T1523" s="275"/>
      <c r="U1523" s="276">
        <v>0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161</v>
      </c>
      <c r="B1524" s="271" t="s">
        <v>1699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0</v>
      </c>
      <c r="K1524" s="273"/>
      <c r="L1524" s="273"/>
      <c r="M1524" s="274">
        <v>0</v>
      </c>
      <c r="N1524" s="272">
        <v>0</v>
      </c>
      <c r="O1524" s="275"/>
      <c r="P1524" s="275"/>
      <c r="Q1524" s="275"/>
      <c r="R1524" s="275"/>
      <c r="S1524" s="275"/>
      <c r="T1524" s="275"/>
      <c r="U1524" s="276">
        <v>0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161</v>
      </c>
      <c r="B1525" s="271" t="s">
        <v>1700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0</v>
      </c>
      <c r="K1525" s="273"/>
      <c r="L1525" s="273"/>
      <c r="M1525" s="274">
        <v>0</v>
      </c>
      <c r="N1525" s="272">
        <v>0</v>
      </c>
      <c r="O1525" s="275"/>
      <c r="P1525" s="275"/>
      <c r="Q1525" s="275"/>
      <c r="R1525" s="275"/>
      <c r="S1525" s="275"/>
      <c r="T1525" s="275"/>
      <c r="U1525" s="276">
        <v>0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161</v>
      </c>
      <c r="B1526" s="271" t="s">
        <v>1701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0</v>
      </c>
      <c r="K1526" s="273"/>
      <c r="L1526" s="273"/>
      <c r="M1526" s="274">
        <v>0</v>
      </c>
      <c r="N1526" s="272">
        <v>0</v>
      </c>
      <c r="O1526" s="275"/>
      <c r="P1526" s="275"/>
      <c r="Q1526" s="275"/>
      <c r="R1526" s="275"/>
      <c r="S1526" s="275"/>
      <c r="T1526" s="275"/>
      <c r="U1526" s="276">
        <v>0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161</v>
      </c>
      <c r="B1527" s="271" t="s">
        <v>1702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0</v>
      </c>
      <c r="K1527" s="273"/>
      <c r="L1527" s="273"/>
      <c r="M1527" s="274">
        <v>0</v>
      </c>
      <c r="N1527" s="272">
        <v>0</v>
      </c>
      <c r="O1527" s="275"/>
      <c r="P1527" s="275"/>
      <c r="Q1527" s="275"/>
      <c r="R1527" s="275"/>
      <c r="S1527" s="275"/>
      <c r="T1527" s="275"/>
      <c r="U1527" s="276">
        <v>0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161</v>
      </c>
      <c r="B1528" s="271" t="s">
        <v>1703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0</v>
      </c>
      <c r="K1528" s="273"/>
      <c r="L1528" s="273"/>
      <c r="M1528" s="274">
        <v>0</v>
      </c>
      <c r="N1528" s="272">
        <v>0</v>
      </c>
      <c r="O1528" s="275"/>
      <c r="P1528" s="275"/>
      <c r="Q1528" s="275"/>
      <c r="R1528" s="275"/>
      <c r="S1528" s="275"/>
      <c r="T1528" s="275"/>
      <c r="U1528" s="276">
        <v>0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161</v>
      </c>
      <c r="B1529" s="271" t="s">
        <v>1704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0</v>
      </c>
      <c r="K1529" s="273"/>
      <c r="L1529" s="273"/>
      <c r="M1529" s="274">
        <v>0</v>
      </c>
      <c r="N1529" s="272">
        <v>0</v>
      </c>
      <c r="O1529" s="275"/>
      <c r="P1529" s="275"/>
      <c r="Q1529" s="275"/>
      <c r="R1529" s="275"/>
      <c r="S1529" s="275"/>
      <c r="T1529" s="275"/>
      <c r="U1529" s="276">
        <v>0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161</v>
      </c>
      <c r="B1530" s="271" t="s">
        <v>476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0</v>
      </c>
      <c r="K1530" s="273"/>
      <c r="L1530" s="273"/>
      <c r="M1530" s="274">
        <v>0</v>
      </c>
      <c r="N1530" s="272">
        <v>0</v>
      </c>
      <c r="O1530" s="275"/>
      <c r="P1530" s="275"/>
      <c r="Q1530" s="275"/>
      <c r="R1530" s="275"/>
      <c r="S1530" s="275"/>
      <c r="T1530" s="275"/>
      <c r="U1530" s="276">
        <v>0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161</v>
      </c>
      <c r="B1531" s="271" t="s">
        <v>1705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161</v>
      </c>
      <c r="B1532" s="271" t="s">
        <v>477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0</v>
      </c>
      <c r="K1532" s="273"/>
      <c r="L1532" s="273"/>
      <c r="M1532" s="274">
        <v>0</v>
      </c>
      <c r="N1532" s="272">
        <v>0</v>
      </c>
      <c r="O1532" s="275"/>
      <c r="P1532" s="275"/>
      <c r="Q1532" s="275"/>
      <c r="R1532" s="275"/>
      <c r="S1532" s="275"/>
      <c r="T1532" s="275"/>
      <c r="U1532" s="276">
        <v>0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161</v>
      </c>
      <c r="B1533" s="271" t="s">
        <v>1706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161</v>
      </c>
      <c r="B1534" s="271" t="s">
        <v>1707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0</v>
      </c>
      <c r="K1534" s="273"/>
      <c r="L1534" s="273"/>
      <c r="M1534" s="274">
        <v>0</v>
      </c>
      <c r="N1534" s="272">
        <v>0</v>
      </c>
      <c r="O1534" s="275"/>
      <c r="P1534" s="275"/>
      <c r="Q1534" s="275"/>
      <c r="R1534" s="275"/>
      <c r="S1534" s="275"/>
      <c r="T1534" s="275"/>
      <c r="U1534" s="276">
        <v>0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161</v>
      </c>
      <c r="B1535" s="271" t="s">
        <v>1708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0</v>
      </c>
      <c r="K1535" s="273"/>
      <c r="L1535" s="273"/>
      <c r="M1535" s="274">
        <v>0</v>
      </c>
      <c r="N1535" s="272">
        <v>0</v>
      </c>
      <c r="O1535" s="275"/>
      <c r="P1535" s="275"/>
      <c r="Q1535" s="275"/>
      <c r="R1535" s="275"/>
      <c r="S1535" s="275"/>
      <c r="T1535" s="275"/>
      <c r="U1535" s="276">
        <v>0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161</v>
      </c>
      <c r="B1536" s="271" t="s">
        <v>478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0</v>
      </c>
      <c r="K1536" s="273"/>
      <c r="L1536" s="273"/>
      <c r="M1536" s="274">
        <v>0</v>
      </c>
      <c r="N1536" s="272">
        <v>0</v>
      </c>
      <c r="O1536" s="275"/>
      <c r="P1536" s="275"/>
      <c r="Q1536" s="275"/>
      <c r="R1536" s="275"/>
      <c r="S1536" s="275"/>
      <c r="T1536" s="275"/>
      <c r="U1536" s="276">
        <v>0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161</v>
      </c>
      <c r="B1537" s="271" t="s">
        <v>1709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161</v>
      </c>
      <c r="B1538" s="271" t="s">
        <v>479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0</v>
      </c>
      <c r="K1538" s="273"/>
      <c r="L1538" s="273"/>
      <c r="M1538" s="274">
        <v>0</v>
      </c>
      <c r="N1538" s="272">
        <v>0</v>
      </c>
      <c r="O1538" s="275"/>
      <c r="P1538" s="275"/>
      <c r="Q1538" s="275"/>
      <c r="R1538" s="275"/>
      <c r="S1538" s="275"/>
      <c r="T1538" s="275"/>
      <c r="U1538" s="276">
        <v>0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161</v>
      </c>
      <c r="B1539" s="271" t="s">
        <v>1710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161</v>
      </c>
      <c r="B1540" s="271" t="s">
        <v>1711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0</v>
      </c>
      <c r="K1540" s="273"/>
      <c r="L1540" s="273"/>
      <c r="M1540" s="274">
        <v>0</v>
      </c>
      <c r="N1540" s="272">
        <v>0</v>
      </c>
      <c r="O1540" s="275"/>
      <c r="P1540" s="275"/>
      <c r="Q1540" s="275"/>
      <c r="R1540" s="275"/>
      <c r="S1540" s="275"/>
      <c r="T1540" s="275"/>
      <c r="U1540" s="276">
        <v>0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161</v>
      </c>
      <c r="B1541" s="271" t="s">
        <v>1712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0</v>
      </c>
      <c r="K1541" s="273"/>
      <c r="L1541" s="273"/>
      <c r="M1541" s="274">
        <v>0</v>
      </c>
      <c r="N1541" s="272">
        <v>0</v>
      </c>
      <c r="O1541" s="275"/>
      <c r="P1541" s="275"/>
      <c r="Q1541" s="275"/>
      <c r="R1541" s="275"/>
      <c r="S1541" s="275"/>
      <c r="T1541" s="275"/>
      <c r="U1541" s="276">
        <v>0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161</v>
      </c>
      <c r="B1542" s="271" t="s">
        <v>480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0</v>
      </c>
      <c r="K1542" s="273"/>
      <c r="L1542" s="273"/>
      <c r="M1542" s="274">
        <v>0</v>
      </c>
      <c r="N1542" s="272">
        <v>0</v>
      </c>
      <c r="O1542" s="275"/>
      <c r="P1542" s="275"/>
      <c r="Q1542" s="275"/>
      <c r="R1542" s="275"/>
      <c r="S1542" s="275"/>
      <c r="T1542" s="275"/>
      <c r="U1542" s="276">
        <v>0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161</v>
      </c>
      <c r="B1543" s="271" t="s">
        <v>1713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161</v>
      </c>
      <c r="B1544" s="271" t="s">
        <v>481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0</v>
      </c>
      <c r="K1544" s="273"/>
      <c r="L1544" s="273"/>
      <c r="M1544" s="274">
        <v>0</v>
      </c>
      <c r="N1544" s="272">
        <v>0</v>
      </c>
      <c r="O1544" s="275"/>
      <c r="P1544" s="275"/>
      <c r="Q1544" s="275"/>
      <c r="R1544" s="275"/>
      <c r="S1544" s="275"/>
      <c r="T1544" s="275"/>
      <c r="U1544" s="276">
        <v>0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161</v>
      </c>
      <c r="B1545" s="271" t="s">
        <v>1714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161</v>
      </c>
      <c r="B1546" s="271" t="s">
        <v>1715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0</v>
      </c>
      <c r="K1546" s="273"/>
      <c r="L1546" s="273"/>
      <c r="M1546" s="274">
        <v>0</v>
      </c>
      <c r="N1546" s="272">
        <v>0</v>
      </c>
      <c r="O1546" s="275"/>
      <c r="P1546" s="275"/>
      <c r="Q1546" s="275"/>
      <c r="R1546" s="275"/>
      <c r="S1546" s="275"/>
      <c r="T1546" s="275"/>
      <c r="U1546" s="276">
        <v>0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161</v>
      </c>
      <c r="B1547" s="271" t="s">
        <v>1716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0</v>
      </c>
      <c r="K1547" s="273"/>
      <c r="L1547" s="273"/>
      <c r="M1547" s="274">
        <v>0</v>
      </c>
      <c r="N1547" s="272">
        <v>0</v>
      </c>
      <c r="O1547" s="275"/>
      <c r="P1547" s="275"/>
      <c r="Q1547" s="275"/>
      <c r="R1547" s="275"/>
      <c r="S1547" s="275"/>
      <c r="T1547" s="275"/>
      <c r="U1547" s="276">
        <v>0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161</v>
      </c>
      <c r="B1548" s="271" t="s">
        <v>1717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0</v>
      </c>
      <c r="K1548" s="273"/>
      <c r="L1548" s="273"/>
      <c r="M1548" s="274">
        <v>0</v>
      </c>
      <c r="N1548" s="272">
        <v>0</v>
      </c>
      <c r="O1548" s="275"/>
      <c r="P1548" s="275"/>
      <c r="Q1548" s="275"/>
      <c r="R1548" s="275"/>
      <c r="S1548" s="275"/>
      <c r="T1548" s="275"/>
      <c r="U1548" s="276">
        <v>0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161</v>
      </c>
      <c r="B1549" s="271" t="s">
        <v>1718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0</v>
      </c>
      <c r="K1549" s="273"/>
      <c r="L1549" s="273"/>
      <c r="M1549" s="274">
        <v>0</v>
      </c>
      <c r="N1549" s="272">
        <v>0</v>
      </c>
      <c r="O1549" s="275"/>
      <c r="P1549" s="275"/>
      <c r="Q1549" s="275"/>
      <c r="R1549" s="275"/>
      <c r="S1549" s="275"/>
      <c r="T1549" s="275"/>
      <c r="U1549" s="276">
        <v>0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161</v>
      </c>
      <c r="B1550" s="271" t="s">
        <v>1719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0</v>
      </c>
      <c r="K1550" s="273"/>
      <c r="L1550" s="273"/>
      <c r="M1550" s="274">
        <v>0</v>
      </c>
      <c r="N1550" s="272">
        <v>0</v>
      </c>
      <c r="O1550" s="275"/>
      <c r="P1550" s="275"/>
      <c r="Q1550" s="275"/>
      <c r="R1550" s="275"/>
      <c r="S1550" s="275"/>
      <c r="T1550" s="275"/>
      <c r="U1550" s="276">
        <v>0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161</v>
      </c>
      <c r="B1551" s="271" t="s">
        <v>1720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0</v>
      </c>
      <c r="K1551" s="273"/>
      <c r="L1551" s="273"/>
      <c r="M1551" s="274">
        <v>0</v>
      </c>
      <c r="N1551" s="272">
        <v>0</v>
      </c>
      <c r="O1551" s="275"/>
      <c r="P1551" s="275"/>
      <c r="Q1551" s="275"/>
      <c r="R1551" s="275"/>
      <c r="S1551" s="275"/>
      <c r="T1551" s="275"/>
      <c r="U1551" s="276">
        <v>0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161</v>
      </c>
      <c r="B1552" s="271" t="s">
        <v>1721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0</v>
      </c>
      <c r="K1552" s="273"/>
      <c r="L1552" s="273"/>
      <c r="M1552" s="274">
        <v>0</v>
      </c>
      <c r="N1552" s="272">
        <v>0</v>
      </c>
      <c r="O1552" s="275"/>
      <c r="P1552" s="275"/>
      <c r="Q1552" s="275"/>
      <c r="R1552" s="275"/>
      <c r="S1552" s="275"/>
      <c r="T1552" s="275"/>
      <c r="U1552" s="276">
        <v>0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161</v>
      </c>
      <c r="B1553" s="271" t="s">
        <v>1722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0</v>
      </c>
      <c r="K1553" s="273"/>
      <c r="L1553" s="273"/>
      <c r="M1553" s="274">
        <v>0</v>
      </c>
      <c r="N1553" s="272">
        <v>0</v>
      </c>
      <c r="O1553" s="275"/>
      <c r="P1553" s="275"/>
      <c r="Q1553" s="275"/>
      <c r="R1553" s="275"/>
      <c r="S1553" s="275"/>
      <c r="T1553" s="275"/>
      <c r="U1553" s="276">
        <v>0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161</v>
      </c>
      <c r="B1554" s="271" t="s">
        <v>1723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0</v>
      </c>
      <c r="K1554" s="273"/>
      <c r="L1554" s="273"/>
      <c r="M1554" s="274">
        <v>0</v>
      </c>
      <c r="N1554" s="272">
        <v>0</v>
      </c>
      <c r="O1554" s="275"/>
      <c r="P1554" s="275"/>
      <c r="Q1554" s="275"/>
      <c r="R1554" s="275"/>
      <c r="S1554" s="275"/>
      <c r="T1554" s="275"/>
      <c r="U1554" s="276">
        <v>0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161</v>
      </c>
      <c r="B1555" s="271" t="s">
        <v>1724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0</v>
      </c>
      <c r="K1555" s="273"/>
      <c r="L1555" s="273"/>
      <c r="M1555" s="274">
        <v>0</v>
      </c>
      <c r="N1555" s="272">
        <v>0</v>
      </c>
      <c r="O1555" s="275"/>
      <c r="P1555" s="275"/>
      <c r="Q1555" s="275"/>
      <c r="R1555" s="275"/>
      <c r="S1555" s="275"/>
      <c r="T1555" s="275"/>
      <c r="U1555" s="276">
        <v>0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161</v>
      </c>
      <c r="B1556" s="271" t="s">
        <v>1725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0</v>
      </c>
      <c r="K1556" s="273"/>
      <c r="L1556" s="273"/>
      <c r="M1556" s="274">
        <v>0</v>
      </c>
      <c r="N1556" s="272">
        <v>0</v>
      </c>
      <c r="O1556" s="275"/>
      <c r="P1556" s="275"/>
      <c r="Q1556" s="275"/>
      <c r="R1556" s="275"/>
      <c r="S1556" s="275"/>
      <c r="T1556" s="275"/>
      <c r="U1556" s="276">
        <v>0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161</v>
      </c>
      <c r="B1557" s="271" t="s">
        <v>1726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0</v>
      </c>
      <c r="K1557" s="273"/>
      <c r="L1557" s="273"/>
      <c r="M1557" s="274">
        <v>0</v>
      </c>
      <c r="N1557" s="272">
        <v>0</v>
      </c>
      <c r="O1557" s="275"/>
      <c r="P1557" s="275"/>
      <c r="Q1557" s="275"/>
      <c r="R1557" s="275"/>
      <c r="S1557" s="275"/>
      <c r="T1557" s="275"/>
      <c r="U1557" s="276">
        <v>0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161</v>
      </c>
      <c r="B1558" s="271" t="s">
        <v>1727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0</v>
      </c>
      <c r="K1558" s="273"/>
      <c r="L1558" s="273"/>
      <c r="M1558" s="274">
        <v>0</v>
      </c>
      <c r="N1558" s="272">
        <v>0</v>
      </c>
      <c r="O1558" s="275"/>
      <c r="P1558" s="275"/>
      <c r="Q1558" s="275"/>
      <c r="R1558" s="275"/>
      <c r="S1558" s="275"/>
      <c r="T1558" s="275"/>
      <c r="U1558" s="276">
        <v>0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161</v>
      </c>
      <c r="B1559" s="271" t="s">
        <v>1728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0</v>
      </c>
      <c r="K1559" s="273"/>
      <c r="L1559" s="273"/>
      <c r="M1559" s="274">
        <v>0</v>
      </c>
      <c r="N1559" s="272">
        <v>0</v>
      </c>
      <c r="O1559" s="275"/>
      <c r="P1559" s="275"/>
      <c r="Q1559" s="275"/>
      <c r="R1559" s="275"/>
      <c r="S1559" s="275"/>
      <c r="T1559" s="275"/>
      <c r="U1559" s="276">
        <v>0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161</v>
      </c>
      <c r="B1560" s="271" t="s">
        <v>1729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0</v>
      </c>
      <c r="K1560" s="273"/>
      <c r="L1560" s="273"/>
      <c r="M1560" s="274">
        <v>0</v>
      </c>
      <c r="N1560" s="272">
        <v>0</v>
      </c>
      <c r="O1560" s="275"/>
      <c r="P1560" s="275"/>
      <c r="Q1560" s="275"/>
      <c r="R1560" s="275"/>
      <c r="S1560" s="275"/>
      <c r="T1560" s="275"/>
      <c r="U1560" s="276">
        <v>0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161</v>
      </c>
      <c r="B1561" s="271" t="s">
        <v>1730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0</v>
      </c>
      <c r="K1561" s="273"/>
      <c r="L1561" s="273"/>
      <c r="M1561" s="274">
        <v>0</v>
      </c>
      <c r="N1561" s="272">
        <v>0</v>
      </c>
      <c r="O1561" s="275"/>
      <c r="P1561" s="275"/>
      <c r="Q1561" s="275"/>
      <c r="R1561" s="275"/>
      <c r="S1561" s="275"/>
      <c r="T1561" s="275"/>
      <c r="U1561" s="276">
        <v>0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161</v>
      </c>
      <c r="B1562" s="271" t="s">
        <v>1731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0</v>
      </c>
      <c r="K1562" s="273"/>
      <c r="L1562" s="273"/>
      <c r="M1562" s="274">
        <v>0</v>
      </c>
      <c r="N1562" s="272">
        <v>0</v>
      </c>
      <c r="O1562" s="275"/>
      <c r="P1562" s="275"/>
      <c r="Q1562" s="275"/>
      <c r="R1562" s="275"/>
      <c r="S1562" s="275"/>
      <c r="T1562" s="275"/>
      <c r="U1562" s="276">
        <v>0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161</v>
      </c>
      <c r="B1563" s="271" t="s">
        <v>1732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0</v>
      </c>
      <c r="K1563" s="273"/>
      <c r="L1563" s="273"/>
      <c r="M1563" s="274">
        <v>0</v>
      </c>
      <c r="N1563" s="272">
        <v>0</v>
      </c>
      <c r="O1563" s="275"/>
      <c r="P1563" s="275"/>
      <c r="Q1563" s="275"/>
      <c r="R1563" s="275"/>
      <c r="S1563" s="275"/>
      <c r="T1563" s="275"/>
      <c r="U1563" s="276">
        <v>0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161</v>
      </c>
      <c r="B1564" s="271" t="s">
        <v>1733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0</v>
      </c>
      <c r="K1564" s="273"/>
      <c r="L1564" s="273"/>
      <c r="M1564" s="274">
        <v>0</v>
      </c>
      <c r="N1564" s="272">
        <v>0</v>
      </c>
      <c r="O1564" s="275"/>
      <c r="P1564" s="275"/>
      <c r="Q1564" s="275"/>
      <c r="R1564" s="275"/>
      <c r="S1564" s="275"/>
      <c r="T1564" s="275"/>
      <c r="U1564" s="276">
        <v>0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161</v>
      </c>
      <c r="B1565" s="271" t="s">
        <v>1734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0</v>
      </c>
      <c r="K1565" s="273"/>
      <c r="L1565" s="273"/>
      <c r="M1565" s="274">
        <v>0</v>
      </c>
      <c r="N1565" s="272">
        <v>0</v>
      </c>
      <c r="O1565" s="275"/>
      <c r="P1565" s="275"/>
      <c r="Q1565" s="275"/>
      <c r="R1565" s="275"/>
      <c r="S1565" s="275"/>
      <c r="T1565" s="275"/>
      <c r="U1565" s="276">
        <v>0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161</v>
      </c>
      <c r="B1566" s="271" t="s">
        <v>1735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0</v>
      </c>
      <c r="K1566" s="273"/>
      <c r="L1566" s="273"/>
      <c r="M1566" s="274">
        <v>0</v>
      </c>
      <c r="N1566" s="272">
        <v>0</v>
      </c>
      <c r="O1566" s="275"/>
      <c r="P1566" s="275"/>
      <c r="Q1566" s="275"/>
      <c r="R1566" s="275"/>
      <c r="S1566" s="275"/>
      <c r="T1566" s="275"/>
      <c r="U1566" s="276">
        <v>0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161</v>
      </c>
      <c r="B1567" s="271" t="s">
        <v>1736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0</v>
      </c>
      <c r="K1567" s="273"/>
      <c r="L1567" s="273"/>
      <c r="M1567" s="274">
        <v>0</v>
      </c>
      <c r="N1567" s="272">
        <v>0</v>
      </c>
      <c r="O1567" s="275"/>
      <c r="P1567" s="275"/>
      <c r="Q1567" s="275"/>
      <c r="R1567" s="275"/>
      <c r="S1567" s="275"/>
      <c r="T1567" s="275"/>
      <c r="U1567" s="276">
        <v>0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161</v>
      </c>
      <c r="B1568" s="271" t="s">
        <v>1737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0</v>
      </c>
      <c r="K1568" s="273"/>
      <c r="L1568" s="273"/>
      <c r="M1568" s="274">
        <v>0</v>
      </c>
      <c r="N1568" s="272">
        <v>0</v>
      </c>
      <c r="O1568" s="275"/>
      <c r="P1568" s="275"/>
      <c r="Q1568" s="275"/>
      <c r="R1568" s="275"/>
      <c r="S1568" s="275"/>
      <c r="T1568" s="275"/>
      <c r="U1568" s="276">
        <v>0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161</v>
      </c>
      <c r="B1569" s="271" t="s">
        <v>1738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0</v>
      </c>
      <c r="K1569" s="273"/>
      <c r="L1569" s="273"/>
      <c r="M1569" s="274">
        <v>0</v>
      </c>
      <c r="N1569" s="272">
        <v>0</v>
      </c>
      <c r="O1569" s="275"/>
      <c r="P1569" s="275"/>
      <c r="Q1569" s="275"/>
      <c r="R1569" s="275"/>
      <c r="S1569" s="275"/>
      <c r="T1569" s="275"/>
      <c r="U1569" s="276">
        <v>0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161</v>
      </c>
      <c r="B1570" s="271" t="s">
        <v>1739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0</v>
      </c>
      <c r="K1570" s="273"/>
      <c r="L1570" s="273"/>
      <c r="M1570" s="274">
        <v>0</v>
      </c>
      <c r="N1570" s="272">
        <v>0</v>
      </c>
      <c r="O1570" s="275"/>
      <c r="P1570" s="275"/>
      <c r="Q1570" s="275"/>
      <c r="R1570" s="275"/>
      <c r="S1570" s="275"/>
      <c r="T1570" s="275"/>
      <c r="U1570" s="276">
        <v>0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161</v>
      </c>
      <c r="B1571" s="271" t="s">
        <v>1740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0</v>
      </c>
      <c r="K1571" s="273"/>
      <c r="L1571" s="273"/>
      <c r="M1571" s="274">
        <v>0</v>
      </c>
      <c r="N1571" s="272">
        <v>0</v>
      </c>
      <c r="O1571" s="275"/>
      <c r="P1571" s="275"/>
      <c r="Q1571" s="275"/>
      <c r="R1571" s="275"/>
      <c r="S1571" s="275"/>
      <c r="T1571" s="275"/>
      <c r="U1571" s="276">
        <v>0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161</v>
      </c>
      <c r="B1572" s="271" t="s">
        <v>1741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0</v>
      </c>
      <c r="K1572" s="273"/>
      <c r="L1572" s="273"/>
      <c r="M1572" s="274">
        <v>0</v>
      </c>
      <c r="N1572" s="272">
        <v>0</v>
      </c>
      <c r="O1572" s="275"/>
      <c r="P1572" s="275"/>
      <c r="Q1572" s="275"/>
      <c r="R1572" s="275"/>
      <c r="S1572" s="275"/>
      <c r="T1572" s="275"/>
      <c r="U1572" s="276">
        <v>0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161</v>
      </c>
      <c r="B1573" s="271" t="s">
        <v>1742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0</v>
      </c>
      <c r="K1573" s="273"/>
      <c r="L1573" s="273"/>
      <c r="M1573" s="274">
        <v>0</v>
      </c>
      <c r="N1573" s="272">
        <v>0</v>
      </c>
      <c r="O1573" s="275"/>
      <c r="P1573" s="275"/>
      <c r="Q1573" s="275"/>
      <c r="R1573" s="275"/>
      <c r="S1573" s="275"/>
      <c r="T1573" s="275"/>
      <c r="U1573" s="276">
        <v>0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161</v>
      </c>
      <c r="B1574" s="271" t="s">
        <v>1743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0</v>
      </c>
      <c r="K1574" s="273"/>
      <c r="L1574" s="273"/>
      <c r="M1574" s="274">
        <v>0</v>
      </c>
      <c r="N1574" s="272">
        <v>0</v>
      </c>
      <c r="O1574" s="275"/>
      <c r="P1574" s="275"/>
      <c r="Q1574" s="275"/>
      <c r="R1574" s="275"/>
      <c r="S1574" s="275"/>
      <c r="T1574" s="275"/>
      <c r="U1574" s="276">
        <v>0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161</v>
      </c>
      <c r="B1575" s="271" t="s">
        <v>1744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0</v>
      </c>
      <c r="K1575" s="273"/>
      <c r="L1575" s="273"/>
      <c r="M1575" s="274">
        <v>0</v>
      </c>
      <c r="N1575" s="272">
        <v>0</v>
      </c>
      <c r="O1575" s="275"/>
      <c r="P1575" s="275"/>
      <c r="Q1575" s="275"/>
      <c r="R1575" s="275"/>
      <c r="S1575" s="275"/>
      <c r="T1575" s="275"/>
      <c r="U1575" s="276">
        <v>0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161</v>
      </c>
      <c r="B1576" s="271" t="s">
        <v>1745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0</v>
      </c>
      <c r="K1576" s="273"/>
      <c r="L1576" s="273"/>
      <c r="M1576" s="274">
        <v>0</v>
      </c>
      <c r="N1576" s="272">
        <v>0</v>
      </c>
      <c r="O1576" s="275"/>
      <c r="P1576" s="275"/>
      <c r="Q1576" s="275"/>
      <c r="R1576" s="275"/>
      <c r="S1576" s="275"/>
      <c r="T1576" s="275"/>
      <c r="U1576" s="276">
        <v>0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161</v>
      </c>
      <c r="B1577" s="271" t="s">
        <v>1746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0</v>
      </c>
      <c r="K1577" s="273"/>
      <c r="L1577" s="273"/>
      <c r="M1577" s="274">
        <v>0</v>
      </c>
      <c r="N1577" s="272">
        <v>0</v>
      </c>
      <c r="O1577" s="275"/>
      <c r="P1577" s="275"/>
      <c r="Q1577" s="275"/>
      <c r="R1577" s="275"/>
      <c r="S1577" s="275"/>
      <c r="T1577" s="275"/>
      <c r="U1577" s="276">
        <v>0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161</v>
      </c>
      <c r="B1578" s="271" t="s">
        <v>1747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161</v>
      </c>
      <c r="B1579" s="271" t="s">
        <v>1748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0</v>
      </c>
      <c r="K1579" s="273"/>
      <c r="L1579" s="273"/>
      <c r="M1579" s="274">
        <v>0</v>
      </c>
      <c r="N1579" s="272">
        <v>0</v>
      </c>
      <c r="O1579" s="275"/>
      <c r="P1579" s="275"/>
      <c r="Q1579" s="275"/>
      <c r="R1579" s="275"/>
      <c r="S1579" s="275"/>
      <c r="T1579" s="275"/>
      <c r="U1579" s="276">
        <v>0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161</v>
      </c>
      <c r="B1580" s="271" t="s">
        <v>1749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161</v>
      </c>
      <c r="B1581" s="271" t="s">
        <v>1750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0</v>
      </c>
      <c r="K1581" s="273"/>
      <c r="L1581" s="273"/>
      <c r="M1581" s="274">
        <v>0</v>
      </c>
      <c r="N1581" s="272">
        <v>0</v>
      </c>
      <c r="O1581" s="275"/>
      <c r="P1581" s="275"/>
      <c r="Q1581" s="275"/>
      <c r="R1581" s="275"/>
      <c r="S1581" s="275"/>
      <c r="T1581" s="275"/>
      <c r="U1581" s="276">
        <v>0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161</v>
      </c>
      <c r="B1582" s="271" t="s">
        <v>1751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0</v>
      </c>
      <c r="K1582" s="273"/>
      <c r="L1582" s="273"/>
      <c r="M1582" s="274">
        <v>0</v>
      </c>
      <c r="N1582" s="272">
        <v>0</v>
      </c>
      <c r="O1582" s="275"/>
      <c r="P1582" s="275"/>
      <c r="Q1582" s="275"/>
      <c r="R1582" s="275"/>
      <c r="S1582" s="275"/>
      <c r="T1582" s="275"/>
      <c r="U1582" s="276">
        <v>0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161</v>
      </c>
      <c r="B1583" s="271" t="s">
        <v>1752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0</v>
      </c>
      <c r="K1583" s="273"/>
      <c r="L1583" s="273"/>
      <c r="M1583" s="274">
        <v>0</v>
      </c>
      <c r="N1583" s="272">
        <v>0</v>
      </c>
      <c r="O1583" s="275"/>
      <c r="P1583" s="275"/>
      <c r="Q1583" s="275"/>
      <c r="R1583" s="275"/>
      <c r="S1583" s="275"/>
      <c r="T1583" s="275"/>
      <c r="U1583" s="276">
        <v>0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161</v>
      </c>
      <c r="B1584" s="271" t="s">
        <v>1753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161</v>
      </c>
      <c r="B1585" s="271" t="s">
        <v>1754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0</v>
      </c>
      <c r="K1585" s="273"/>
      <c r="L1585" s="273"/>
      <c r="M1585" s="274">
        <v>0</v>
      </c>
      <c r="N1585" s="272">
        <v>0</v>
      </c>
      <c r="O1585" s="275"/>
      <c r="P1585" s="275"/>
      <c r="Q1585" s="275"/>
      <c r="R1585" s="275"/>
      <c r="S1585" s="275"/>
      <c r="T1585" s="275"/>
      <c r="U1585" s="276">
        <v>0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161</v>
      </c>
      <c r="B1586" s="271" t="s">
        <v>1755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161</v>
      </c>
      <c r="B1587" s="271" t="s">
        <v>1756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0</v>
      </c>
      <c r="K1587" s="273"/>
      <c r="L1587" s="273"/>
      <c r="M1587" s="274">
        <v>0</v>
      </c>
      <c r="N1587" s="272">
        <v>0</v>
      </c>
      <c r="O1587" s="275"/>
      <c r="P1587" s="275"/>
      <c r="Q1587" s="275"/>
      <c r="R1587" s="275"/>
      <c r="S1587" s="275"/>
      <c r="T1587" s="275"/>
      <c r="U1587" s="276">
        <v>0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161</v>
      </c>
      <c r="B1588" s="271" t="s">
        <v>1757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0</v>
      </c>
      <c r="K1588" s="273"/>
      <c r="L1588" s="273"/>
      <c r="M1588" s="274">
        <v>0</v>
      </c>
      <c r="N1588" s="272">
        <v>0</v>
      </c>
      <c r="O1588" s="275"/>
      <c r="P1588" s="275"/>
      <c r="Q1588" s="275"/>
      <c r="R1588" s="275"/>
      <c r="S1588" s="275"/>
      <c r="T1588" s="275"/>
      <c r="U1588" s="276">
        <v>0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161</v>
      </c>
      <c r="B1589" s="271" t="s">
        <v>1758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0</v>
      </c>
      <c r="K1589" s="273"/>
      <c r="L1589" s="273"/>
      <c r="M1589" s="274">
        <v>0</v>
      </c>
      <c r="N1589" s="272">
        <v>0</v>
      </c>
      <c r="O1589" s="275"/>
      <c r="P1589" s="275"/>
      <c r="Q1589" s="275"/>
      <c r="R1589" s="275"/>
      <c r="S1589" s="275"/>
      <c r="T1589" s="275"/>
      <c r="U1589" s="276">
        <v>0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161</v>
      </c>
      <c r="B1590" s="271" t="s">
        <v>1759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161</v>
      </c>
      <c r="B1591" s="271" t="s">
        <v>1760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0</v>
      </c>
      <c r="K1591" s="273"/>
      <c r="L1591" s="273"/>
      <c r="M1591" s="274">
        <v>0</v>
      </c>
      <c r="N1591" s="272">
        <v>0</v>
      </c>
      <c r="O1591" s="275"/>
      <c r="P1591" s="275"/>
      <c r="Q1591" s="275"/>
      <c r="R1591" s="275"/>
      <c r="S1591" s="275"/>
      <c r="T1591" s="275"/>
      <c r="U1591" s="276">
        <v>0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161</v>
      </c>
      <c r="B1592" s="271" t="s">
        <v>1761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161</v>
      </c>
      <c r="B1593" s="271" t="s">
        <v>1762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0</v>
      </c>
      <c r="K1593" s="273"/>
      <c r="L1593" s="273"/>
      <c r="M1593" s="274">
        <v>0</v>
      </c>
      <c r="N1593" s="272">
        <v>0</v>
      </c>
      <c r="O1593" s="275"/>
      <c r="P1593" s="275"/>
      <c r="Q1593" s="275"/>
      <c r="R1593" s="275"/>
      <c r="S1593" s="275"/>
      <c r="T1593" s="275"/>
      <c r="U1593" s="276">
        <v>0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161</v>
      </c>
      <c r="B1594" s="271" t="s">
        <v>1763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0</v>
      </c>
      <c r="K1594" s="273"/>
      <c r="L1594" s="273"/>
      <c r="M1594" s="274">
        <v>0</v>
      </c>
      <c r="N1594" s="272">
        <v>0</v>
      </c>
      <c r="O1594" s="275"/>
      <c r="P1594" s="275"/>
      <c r="Q1594" s="275"/>
      <c r="R1594" s="275"/>
      <c r="S1594" s="275"/>
      <c r="T1594" s="275"/>
      <c r="U1594" s="276">
        <v>0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161</v>
      </c>
      <c r="B1595" s="271" t="s">
        <v>1764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0</v>
      </c>
      <c r="K1595" s="273"/>
      <c r="L1595" s="273"/>
      <c r="M1595" s="274">
        <v>0</v>
      </c>
      <c r="N1595" s="272">
        <v>0</v>
      </c>
      <c r="O1595" s="275"/>
      <c r="P1595" s="275"/>
      <c r="Q1595" s="275"/>
      <c r="R1595" s="275"/>
      <c r="S1595" s="275"/>
      <c r="T1595" s="275"/>
      <c r="U1595" s="276">
        <v>0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161</v>
      </c>
      <c r="B1596" s="271" t="s">
        <v>1765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0</v>
      </c>
      <c r="K1596" s="273"/>
      <c r="L1596" s="273"/>
      <c r="M1596" s="274">
        <v>0</v>
      </c>
      <c r="N1596" s="272">
        <v>0</v>
      </c>
      <c r="O1596" s="275"/>
      <c r="P1596" s="275"/>
      <c r="Q1596" s="275"/>
      <c r="R1596" s="275"/>
      <c r="S1596" s="275"/>
      <c r="T1596" s="275"/>
      <c r="U1596" s="276">
        <v>0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161</v>
      </c>
      <c r="B1597" s="271" t="s">
        <v>1766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0</v>
      </c>
      <c r="K1597" s="273"/>
      <c r="L1597" s="273"/>
      <c r="M1597" s="274">
        <v>0</v>
      </c>
      <c r="N1597" s="272">
        <v>0</v>
      </c>
      <c r="O1597" s="275"/>
      <c r="P1597" s="275"/>
      <c r="Q1597" s="275"/>
      <c r="R1597" s="275"/>
      <c r="S1597" s="275"/>
      <c r="T1597" s="275"/>
      <c r="U1597" s="276">
        <v>0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161</v>
      </c>
      <c r="B1598" s="271" t="s">
        <v>1767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0</v>
      </c>
      <c r="K1598" s="273"/>
      <c r="L1598" s="273"/>
      <c r="M1598" s="274">
        <v>0</v>
      </c>
      <c r="N1598" s="272">
        <v>0</v>
      </c>
      <c r="O1598" s="275"/>
      <c r="P1598" s="275"/>
      <c r="Q1598" s="275"/>
      <c r="R1598" s="275"/>
      <c r="S1598" s="275"/>
      <c r="T1598" s="275"/>
      <c r="U1598" s="276">
        <v>0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161</v>
      </c>
      <c r="B1599" s="271" t="s">
        <v>1768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0</v>
      </c>
      <c r="K1599" s="273"/>
      <c r="L1599" s="273"/>
      <c r="M1599" s="274">
        <v>0</v>
      </c>
      <c r="N1599" s="272">
        <v>0</v>
      </c>
      <c r="O1599" s="275"/>
      <c r="P1599" s="275"/>
      <c r="Q1599" s="275"/>
      <c r="R1599" s="275"/>
      <c r="S1599" s="275"/>
      <c r="T1599" s="275"/>
      <c r="U1599" s="276">
        <v>0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161</v>
      </c>
      <c r="B1600" s="271" t="s">
        <v>1769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0</v>
      </c>
      <c r="K1600" s="273"/>
      <c r="L1600" s="273"/>
      <c r="M1600" s="274">
        <v>0</v>
      </c>
      <c r="N1600" s="272">
        <v>0</v>
      </c>
      <c r="O1600" s="275"/>
      <c r="P1600" s="275"/>
      <c r="Q1600" s="275"/>
      <c r="R1600" s="275"/>
      <c r="S1600" s="275"/>
      <c r="T1600" s="275"/>
      <c r="U1600" s="276">
        <v>0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161</v>
      </c>
      <c r="B1601" s="271" t="s">
        <v>1770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0</v>
      </c>
      <c r="K1601" s="273"/>
      <c r="L1601" s="273"/>
      <c r="M1601" s="274">
        <v>0</v>
      </c>
      <c r="N1601" s="272">
        <v>0</v>
      </c>
      <c r="O1601" s="275"/>
      <c r="P1601" s="275"/>
      <c r="Q1601" s="275"/>
      <c r="R1601" s="275"/>
      <c r="S1601" s="275"/>
      <c r="T1601" s="275"/>
      <c r="U1601" s="276">
        <v>0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161</v>
      </c>
      <c r="B1602" s="271" t="s">
        <v>1771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161</v>
      </c>
      <c r="B1603" s="271" t="s">
        <v>1772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0</v>
      </c>
      <c r="K1603" s="273"/>
      <c r="L1603" s="273"/>
      <c r="M1603" s="274">
        <v>0</v>
      </c>
      <c r="N1603" s="272">
        <v>0</v>
      </c>
      <c r="O1603" s="275"/>
      <c r="P1603" s="275"/>
      <c r="Q1603" s="275"/>
      <c r="R1603" s="275"/>
      <c r="S1603" s="275"/>
      <c r="T1603" s="275"/>
      <c r="U1603" s="276">
        <v>0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161</v>
      </c>
      <c r="B1604" s="271" t="s">
        <v>1773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161</v>
      </c>
      <c r="B1605" s="271" t="s">
        <v>1774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0</v>
      </c>
      <c r="K1605" s="273"/>
      <c r="L1605" s="273"/>
      <c r="M1605" s="274">
        <v>0</v>
      </c>
      <c r="N1605" s="272">
        <v>0</v>
      </c>
      <c r="O1605" s="275"/>
      <c r="P1605" s="275"/>
      <c r="Q1605" s="275"/>
      <c r="R1605" s="275"/>
      <c r="S1605" s="275"/>
      <c r="T1605" s="275"/>
      <c r="U1605" s="276">
        <v>0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161</v>
      </c>
      <c r="B1606" s="271" t="s">
        <v>1775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0</v>
      </c>
      <c r="K1606" s="273"/>
      <c r="L1606" s="273"/>
      <c r="M1606" s="274">
        <v>0</v>
      </c>
      <c r="N1606" s="272">
        <v>0</v>
      </c>
      <c r="O1606" s="275"/>
      <c r="P1606" s="275"/>
      <c r="Q1606" s="275"/>
      <c r="R1606" s="275"/>
      <c r="S1606" s="275"/>
      <c r="T1606" s="275"/>
      <c r="U1606" s="276">
        <v>0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161</v>
      </c>
      <c r="B1607" s="271" t="s">
        <v>1776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0</v>
      </c>
      <c r="K1607" s="273"/>
      <c r="L1607" s="273"/>
      <c r="M1607" s="274">
        <v>0</v>
      </c>
      <c r="N1607" s="272">
        <v>0</v>
      </c>
      <c r="O1607" s="275"/>
      <c r="P1607" s="275"/>
      <c r="Q1607" s="275"/>
      <c r="R1607" s="275"/>
      <c r="S1607" s="275"/>
      <c r="T1607" s="275"/>
      <c r="U1607" s="276">
        <v>0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161</v>
      </c>
      <c r="B1608" s="271" t="s">
        <v>1777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161</v>
      </c>
      <c r="B1609" s="271" t="s">
        <v>1778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0</v>
      </c>
      <c r="K1609" s="273"/>
      <c r="L1609" s="273"/>
      <c r="M1609" s="274">
        <v>0</v>
      </c>
      <c r="N1609" s="272">
        <v>0</v>
      </c>
      <c r="O1609" s="275"/>
      <c r="P1609" s="275"/>
      <c r="Q1609" s="275"/>
      <c r="R1609" s="275"/>
      <c r="S1609" s="275"/>
      <c r="T1609" s="275"/>
      <c r="U1609" s="276">
        <v>0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161</v>
      </c>
      <c r="B1610" s="271" t="s">
        <v>1779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161</v>
      </c>
      <c r="B1611" s="271" t="s">
        <v>1780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0</v>
      </c>
      <c r="K1611" s="273"/>
      <c r="L1611" s="273"/>
      <c r="M1611" s="274">
        <v>0</v>
      </c>
      <c r="N1611" s="272">
        <v>0</v>
      </c>
      <c r="O1611" s="275"/>
      <c r="P1611" s="275"/>
      <c r="Q1611" s="275"/>
      <c r="R1611" s="275"/>
      <c r="S1611" s="275"/>
      <c r="T1611" s="275"/>
      <c r="U1611" s="276">
        <v>0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161</v>
      </c>
      <c r="B1612" s="271" t="s">
        <v>1781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0</v>
      </c>
      <c r="K1612" s="273"/>
      <c r="L1612" s="273"/>
      <c r="M1612" s="274">
        <v>0</v>
      </c>
      <c r="N1612" s="272">
        <v>0</v>
      </c>
      <c r="O1612" s="275"/>
      <c r="P1612" s="275"/>
      <c r="Q1612" s="275"/>
      <c r="R1612" s="275"/>
      <c r="S1612" s="275"/>
      <c r="T1612" s="275"/>
      <c r="U1612" s="276">
        <v>0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161</v>
      </c>
      <c r="B1613" s="271" t="s">
        <v>1782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0</v>
      </c>
      <c r="K1613" s="273"/>
      <c r="L1613" s="273"/>
      <c r="M1613" s="274">
        <v>0</v>
      </c>
      <c r="N1613" s="272">
        <v>0</v>
      </c>
      <c r="O1613" s="275"/>
      <c r="P1613" s="275"/>
      <c r="Q1613" s="275"/>
      <c r="R1613" s="275"/>
      <c r="S1613" s="275"/>
      <c r="T1613" s="275"/>
      <c r="U1613" s="276">
        <v>0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161</v>
      </c>
      <c r="B1614" s="271" t="s">
        <v>1783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161</v>
      </c>
      <c r="B1615" s="271" t="s">
        <v>1784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0</v>
      </c>
      <c r="K1615" s="273"/>
      <c r="L1615" s="273"/>
      <c r="M1615" s="274">
        <v>0</v>
      </c>
      <c r="N1615" s="272">
        <v>0</v>
      </c>
      <c r="O1615" s="275"/>
      <c r="P1615" s="275"/>
      <c r="Q1615" s="275"/>
      <c r="R1615" s="275"/>
      <c r="S1615" s="275"/>
      <c r="T1615" s="275"/>
      <c r="U1615" s="276">
        <v>0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161</v>
      </c>
      <c r="B1616" s="271" t="s">
        <v>1785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161</v>
      </c>
      <c r="B1617" s="271" t="s">
        <v>1786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0</v>
      </c>
      <c r="K1617" s="273"/>
      <c r="L1617" s="273"/>
      <c r="M1617" s="274">
        <v>0</v>
      </c>
      <c r="N1617" s="272">
        <v>0</v>
      </c>
      <c r="O1617" s="275"/>
      <c r="P1617" s="275"/>
      <c r="Q1617" s="275"/>
      <c r="R1617" s="275"/>
      <c r="S1617" s="275"/>
      <c r="T1617" s="275"/>
      <c r="U1617" s="276">
        <v>0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161</v>
      </c>
      <c r="B1618" s="271" t="s">
        <v>1787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0</v>
      </c>
      <c r="K1618" s="273"/>
      <c r="L1618" s="273"/>
      <c r="M1618" s="274">
        <v>0</v>
      </c>
      <c r="N1618" s="272">
        <v>0</v>
      </c>
      <c r="O1618" s="275"/>
      <c r="P1618" s="275"/>
      <c r="Q1618" s="275"/>
      <c r="R1618" s="275"/>
      <c r="S1618" s="275"/>
      <c r="T1618" s="275"/>
      <c r="U1618" s="276">
        <v>0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161</v>
      </c>
      <c r="B1619" s="271" t="s">
        <v>1788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0</v>
      </c>
      <c r="K1619" s="273"/>
      <c r="L1619" s="273"/>
      <c r="M1619" s="274">
        <v>0</v>
      </c>
      <c r="N1619" s="272">
        <v>0</v>
      </c>
      <c r="O1619" s="275"/>
      <c r="P1619" s="275"/>
      <c r="Q1619" s="275"/>
      <c r="R1619" s="275"/>
      <c r="S1619" s="275"/>
      <c r="T1619" s="275"/>
      <c r="U1619" s="276">
        <v>0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161</v>
      </c>
      <c r="B1620" s="271" t="s">
        <v>1789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0</v>
      </c>
      <c r="K1620" s="273"/>
      <c r="L1620" s="273"/>
      <c r="M1620" s="274">
        <v>0</v>
      </c>
      <c r="N1620" s="272">
        <v>0</v>
      </c>
      <c r="O1620" s="275"/>
      <c r="P1620" s="275"/>
      <c r="Q1620" s="275"/>
      <c r="R1620" s="275"/>
      <c r="S1620" s="275"/>
      <c r="T1620" s="275"/>
      <c r="U1620" s="276">
        <v>0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161</v>
      </c>
      <c r="B1621" s="271" t="s">
        <v>1790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0</v>
      </c>
      <c r="K1621" s="273"/>
      <c r="L1621" s="273"/>
      <c r="M1621" s="274">
        <v>0</v>
      </c>
      <c r="N1621" s="272">
        <v>0</v>
      </c>
      <c r="O1621" s="275"/>
      <c r="P1621" s="275"/>
      <c r="Q1621" s="275"/>
      <c r="R1621" s="275"/>
      <c r="S1621" s="275"/>
      <c r="T1621" s="275"/>
      <c r="U1621" s="276">
        <v>0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161</v>
      </c>
      <c r="B1622" s="271" t="s">
        <v>1791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0</v>
      </c>
      <c r="K1622" s="273"/>
      <c r="L1622" s="273"/>
      <c r="M1622" s="274">
        <v>0</v>
      </c>
      <c r="N1622" s="272">
        <v>0</v>
      </c>
      <c r="O1622" s="275"/>
      <c r="P1622" s="275"/>
      <c r="Q1622" s="275"/>
      <c r="R1622" s="275"/>
      <c r="S1622" s="275"/>
      <c r="T1622" s="275"/>
      <c r="U1622" s="276">
        <v>0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161</v>
      </c>
      <c r="B1623" s="271" t="s">
        <v>1792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0</v>
      </c>
      <c r="K1623" s="273"/>
      <c r="L1623" s="273"/>
      <c r="M1623" s="274">
        <v>0</v>
      </c>
      <c r="N1623" s="272">
        <v>0</v>
      </c>
      <c r="O1623" s="275"/>
      <c r="P1623" s="275"/>
      <c r="Q1623" s="275"/>
      <c r="R1623" s="275"/>
      <c r="S1623" s="275"/>
      <c r="T1623" s="275"/>
      <c r="U1623" s="276">
        <v>0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161</v>
      </c>
      <c r="B1624" s="271" t="s">
        <v>1793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0</v>
      </c>
      <c r="K1624" s="273"/>
      <c r="L1624" s="273"/>
      <c r="M1624" s="274">
        <v>0</v>
      </c>
      <c r="N1624" s="272">
        <v>0</v>
      </c>
      <c r="O1624" s="275"/>
      <c r="P1624" s="275"/>
      <c r="Q1624" s="275"/>
      <c r="R1624" s="275"/>
      <c r="S1624" s="275"/>
      <c r="T1624" s="275"/>
      <c r="U1624" s="276">
        <v>0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161</v>
      </c>
      <c r="B1625" s="271" t="s">
        <v>1794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0</v>
      </c>
      <c r="K1625" s="273"/>
      <c r="L1625" s="273"/>
      <c r="M1625" s="274">
        <v>0</v>
      </c>
      <c r="N1625" s="272">
        <v>0</v>
      </c>
      <c r="O1625" s="275"/>
      <c r="P1625" s="275"/>
      <c r="Q1625" s="275"/>
      <c r="R1625" s="275"/>
      <c r="S1625" s="275"/>
      <c r="T1625" s="275"/>
      <c r="U1625" s="276">
        <v>0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161</v>
      </c>
      <c r="B1626" s="271" t="s">
        <v>1795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161</v>
      </c>
      <c r="B1627" s="271" t="s">
        <v>1796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0</v>
      </c>
      <c r="K1627" s="273"/>
      <c r="L1627" s="273"/>
      <c r="M1627" s="274">
        <v>0</v>
      </c>
      <c r="N1627" s="272">
        <v>0</v>
      </c>
      <c r="O1627" s="275"/>
      <c r="P1627" s="275"/>
      <c r="Q1627" s="275"/>
      <c r="R1627" s="275"/>
      <c r="S1627" s="275"/>
      <c r="T1627" s="275"/>
      <c r="U1627" s="276">
        <v>0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161</v>
      </c>
      <c r="B1628" s="271" t="s">
        <v>1797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161</v>
      </c>
      <c r="B1629" s="271" t="s">
        <v>1798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0</v>
      </c>
      <c r="K1629" s="273"/>
      <c r="L1629" s="273"/>
      <c r="M1629" s="274">
        <v>0</v>
      </c>
      <c r="N1629" s="272">
        <v>0</v>
      </c>
      <c r="O1629" s="275"/>
      <c r="P1629" s="275"/>
      <c r="Q1629" s="275"/>
      <c r="R1629" s="275"/>
      <c r="S1629" s="275"/>
      <c r="T1629" s="275"/>
      <c r="U1629" s="276">
        <v>0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161</v>
      </c>
      <c r="B1630" s="271" t="s">
        <v>1799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0</v>
      </c>
      <c r="K1630" s="273"/>
      <c r="L1630" s="273"/>
      <c r="M1630" s="274">
        <v>0</v>
      </c>
      <c r="N1630" s="272">
        <v>0</v>
      </c>
      <c r="O1630" s="275"/>
      <c r="P1630" s="275"/>
      <c r="Q1630" s="275"/>
      <c r="R1630" s="275"/>
      <c r="S1630" s="275"/>
      <c r="T1630" s="275"/>
      <c r="U1630" s="276">
        <v>0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161</v>
      </c>
      <c r="B1631" s="271" t="s">
        <v>1800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0</v>
      </c>
      <c r="K1631" s="273"/>
      <c r="L1631" s="273"/>
      <c r="M1631" s="274">
        <v>0</v>
      </c>
      <c r="N1631" s="272">
        <v>0</v>
      </c>
      <c r="O1631" s="275"/>
      <c r="P1631" s="275"/>
      <c r="Q1631" s="275"/>
      <c r="R1631" s="275"/>
      <c r="S1631" s="275"/>
      <c r="T1631" s="275"/>
      <c r="U1631" s="276">
        <v>0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161</v>
      </c>
      <c r="B1632" s="271" t="s">
        <v>1801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161</v>
      </c>
      <c r="B1633" s="271" t="s">
        <v>1802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0</v>
      </c>
      <c r="K1633" s="273"/>
      <c r="L1633" s="273"/>
      <c r="M1633" s="274">
        <v>0</v>
      </c>
      <c r="N1633" s="272">
        <v>0</v>
      </c>
      <c r="O1633" s="275"/>
      <c r="P1633" s="275"/>
      <c r="Q1633" s="275"/>
      <c r="R1633" s="275"/>
      <c r="S1633" s="275"/>
      <c r="T1633" s="275"/>
      <c r="U1633" s="276">
        <v>0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161</v>
      </c>
      <c r="B1634" s="271" t="s">
        <v>1803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161</v>
      </c>
      <c r="B1635" s="271" t="s">
        <v>1804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0</v>
      </c>
      <c r="K1635" s="273"/>
      <c r="L1635" s="273"/>
      <c r="M1635" s="274">
        <v>0</v>
      </c>
      <c r="N1635" s="272">
        <v>0</v>
      </c>
      <c r="O1635" s="275"/>
      <c r="P1635" s="275"/>
      <c r="Q1635" s="275"/>
      <c r="R1635" s="275"/>
      <c r="S1635" s="275"/>
      <c r="T1635" s="275"/>
      <c r="U1635" s="276">
        <v>0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161</v>
      </c>
      <c r="B1636" s="271" t="s">
        <v>1805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0</v>
      </c>
      <c r="K1636" s="273"/>
      <c r="L1636" s="273"/>
      <c r="M1636" s="274">
        <v>0</v>
      </c>
      <c r="N1636" s="272">
        <v>0</v>
      </c>
      <c r="O1636" s="275"/>
      <c r="P1636" s="275"/>
      <c r="Q1636" s="275"/>
      <c r="R1636" s="275"/>
      <c r="S1636" s="275"/>
      <c r="T1636" s="275"/>
      <c r="U1636" s="276">
        <v>0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161</v>
      </c>
      <c r="B1637" s="271" t="s">
        <v>1806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0</v>
      </c>
      <c r="K1637" s="273"/>
      <c r="L1637" s="273"/>
      <c r="M1637" s="274">
        <v>0</v>
      </c>
      <c r="N1637" s="272">
        <v>0</v>
      </c>
      <c r="O1637" s="275"/>
      <c r="P1637" s="275"/>
      <c r="Q1637" s="275"/>
      <c r="R1637" s="275"/>
      <c r="S1637" s="275"/>
      <c r="T1637" s="275"/>
      <c r="U1637" s="276">
        <v>0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161</v>
      </c>
      <c r="B1638" s="271" t="s">
        <v>1807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161</v>
      </c>
      <c r="B1639" s="271" t="s">
        <v>1808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0</v>
      </c>
      <c r="K1639" s="273"/>
      <c r="L1639" s="273"/>
      <c r="M1639" s="274">
        <v>0</v>
      </c>
      <c r="N1639" s="272">
        <v>0</v>
      </c>
      <c r="O1639" s="275"/>
      <c r="P1639" s="275"/>
      <c r="Q1639" s="275"/>
      <c r="R1639" s="275"/>
      <c r="S1639" s="275"/>
      <c r="T1639" s="275"/>
      <c r="U1639" s="276">
        <v>0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161</v>
      </c>
      <c r="B1640" s="271" t="s">
        <v>1809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161</v>
      </c>
      <c r="B1641" s="271" t="s">
        <v>1810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0</v>
      </c>
      <c r="K1641" s="273"/>
      <c r="L1641" s="273"/>
      <c r="M1641" s="274">
        <v>0</v>
      </c>
      <c r="N1641" s="272">
        <v>0</v>
      </c>
      <c r="O1641" s="275"/>
      <c r="P1641" s="275"/>
      <c r="Q1641" s="275"/>
      <c r="R1641" s="275"/>
      <c r="S1641" s="275"/>
      <c r="T1641" s="275"/>
      <c r="U1641" s="276">
        <v>0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161</v>
      </c>
      <c r="B1642" s="271" t="s">
        <v>1811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0</v>
      </c>
      <c r="K1642" s="273"/>
      <c r="L1642" s="273"/>
      <c r="M1642" s="274">
        <v>0</v>
      </c>
      <c r="N1642" s="272">
        <v>0</v>
      </c>
      <c r="O1642" s="275"/>
      <c r="P1642" s="275"/>
      <c r="Q1642" s="275"/>
      <c r="R1642" s="275"/>
      <c r="S1642" s="275"/>
      <c r="T1642" s="275"/>
      <c r="U1642" s="276">
        <v>0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161</v>
      </c>
      <c r="B1643" s="271" t="s">
        <v>1812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0</v>
      </c>
      <c r="K1643" s="273"/>
      <c r="L1643" s="273"/>
      <c r="M1643" s="274">
        <v>0</v>
      </c>
      <c r="N1643" s="272">
        <v>0</v>
      </c>
      <c r="O1643" s="275"/>
      <c r="P1643" s="275"/>
      <c r="Q1643" s="275"/>
      <c r="R1643" s="275"/>
      <c r="S1643" s="275"/>
      <c r="T1643" s="275"/>
      <c r="U1643" s="276">
        <v>0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161</v>
      </c>
      <c r="B1644" s="271" t="s">
        <v>1813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0</v>
      </c>
      <c r="K1644" s="273"/>
      <c r="L1644" s="273"/>
      <c r="M1644" s="274">
        <v>0</v>
      </c>
      <c r="N1644" s="272">
        <v>0</v>
      </c>
      <c r="O1644" s="275"/>
      <c r="P1644" s="275"/>
      <c r="Q1644" s="275"/>
      <c r="R1644" s="275"/>
      <c r="S1644" s="275"/>
      <c r="T1644" s="275"/>
      <c r="U1644" s="276">
        <v>0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161</v>
      </c>
      <c r="B1645" s="271" t="s">
        <v>1814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0</v>
      </c>
      <c r="K1645" s="273"/>
      <c r="L1645" s="273"/>
      <c r="M1645" s="274">
        <v>0</v>
      </c>
      <c r="N1645" s="272">
        <v>0</v>
      </c>
      <c r="O1645" s="275"/>
      <c r="P1645" s="275"/>
      <c r="Q1645" s="275"/>
      <c r="R1645" s="275"/>
      <c r="S1645" s="275"/>
      <c r="T1645" s="275"/>
      <c r="U1645" s="276">
        <v>0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161</v>
      </c>
      <c r="B1646" s="271" t="s">
        <v>1815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0</v>
      </c>
      <c r="K1646" s="273"/>
      <c r="L1646" s="273"/>
      <c r="M1646" s="274">
        <v>0</v>
      </c>
      <c r="N1646" s="272">
        <v>0</v>
      </c>
      <c r="O1646" s="275"/>
      <c r="P1646" s="275"/>
      <c r="Q1646" s="275"/>
      <c r="R1646" s="275"/>
      <c r="S1646" s="275"/>
      <c r="T1646" s="275"/>
      <c r="U1646" s="276">
        <v>0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161</v>
      </c>
      <c r="B1647" s="271" t="s">
        <v>1816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0</v>
      </c>
      <c r="K1647" s="273"/>
      <c r="L1647" s="273"/>
      <c r="M1647" s="274">
        <v>0</v>
      </c>
      <c r="N1647" s="272">
        <v>0</v>
      </c>
      <c r="O1647" s="275"/>
      <c r="P1647" s="275"/>
      <c r="Q1647" s="275"/>
      <c r="R1647" s="275"/>
      <c r="S1647" s="275"/>
      <c r="T1647" s="275"/>
      <c r="U1647" s="276">
        <v>0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161</v>
      </c>
      <c r="B1648" s="271" t="s">
        <v>1817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0</v>
      </c>
      <c r="K1648" s="273"/>
      <c r="L1648" s="273"/>
      <c r="M1648" s="274">
        <v>0</v>
      </c>
      <c r="N1648" s="272">
        <v>0</v>
      </c>
      <c r="O1648" s="275"/>
      <c r="P1648" s="275"/>
      <c r="Q1648" s="275"/>
      <c r="R1648" s="275"/>
      <c r="S1648" s="275"/>
      <c r="T1648" s="275"/>
      <c r="U1648" s="276">
        <v>0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161</v>
      </c>
      <c r="B1649" s="271" t="s">
        <v>1818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0</v>
      </c>
      <c r="K1649" s="273"/>
      <c r="L1649" s="273"/>
      <c r="M1649" s="274">
        <v>0</v>
      </c>
      <c r="N1649" s="272">
        <v>0</v>
      </c>
      <c r="O1649" s="275"/>
      <c r="P1649" s="275"/>
      <c r="Q1649" s="275"/>
      <c r="R1649" s="275"/>
      <c r="S1649" s="275"/>
      <c r="T1649" s="275"/>
      <c r="U1649" s="276">
        <v>0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161</v>
      </c>
      <c r="B1650" s="271" t="s">
        <v>1819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161</v>
      </c>
      <c r="B1651" s="271" t="s">
        <v>1820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0</v>
      </c>
      <c r="K1651" s="273"/>
      <c r="L1651" s="273"/>
      <c r="M1651" s="274">
        <v>0</v>
      </c>
      <c r="N1651" s="272">
        <v>0</v>
      </c>
      <c r="O1651" s="275"/>
      <c r="P1651" s="275"/>
      <c r="Q1651" s="275"/>
      <c r="R1651" s="275"/>
      <c r="S1651" s="275"/>
      <c r="T1651" s="275"/>
      <c r="U1651" s="276">
        <v>0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161</v>
      </c>
      <c r="B1652" s="271" t="s">
        <v>1821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161</v>
      </c>
      <c r="B1653" s="271" t="s">
        <v>1822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0</v>
      </c>
      <c r="K1653" s="273"/>
      <c r="L1653" s="273"/>
      <c r="M1653" s="274">
        <v>0</v>
      </c>
      <c r="N1653" s="272">
        <v>0</v>
      </c>
      <c r="O1653" s="275"/>
      <c r="P1653" s="275"/>
      <c r="Q1653" s="275"/>
      <c r="R1653" s="275"/>
      <c r="S1653" s="275"/>
      <c r="T1653" s="275"/>
      <c r="U1653" s="276">
        <v>0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161</v>
      </c>
      <c r="B1654" s="271" t="s">
        <v>1823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0</v>
      </c>
      <c r="K1654" s="273"/>
      <c r="L1654" s="273"/>
      <c r="M1654" s="274">
        <v>0</v>
      </c>
      <c r="N1654" s="272">
        <v>0</v>
      </c>
      <c r="O1654" s="275"/>
      <c r="P1654" s="275"/>
      <c r="Q1654" s="275"/>
      <c r="R1654" s="275"/>
      <c r="S1654" s="275"/>
      <c r="T1654" s="275"/>
      <c r="U1654" s="276">
        <v>0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161</v>
      </c>
      <c r="B1655" s="271" t="s">
        <v>1824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0</v>
      </c>
      <c r="K1655" s="273"/>
      <c r="L1655" s="273"/>
      <c r="M1655" s="274">
        <v>0</v>
      </c>
      <c r="N1655" s="272">
        <v>0</v>
      </c>
      <c r="O1655" s="275"/>
      <c r="P1655" s="275"/>
      <c r="Q1655" s="275"/>
      <c r="R1655" s="275"/>
      <c r="S1655" s="275"/>
      <c r="T1655" s="275"/>
      <c r="U1655" s="276">
        <v>0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161</v>
      </c>
      <c r="B1656" s="271" t="s">
        <v>1825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161</v>
      </c>
      <c r="B1657" s="271" t="s">
        <v>1826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0</v>
      </c>
      <c r="K1657" s="273"/>
      <c r="L1657" s="273"/>
      <c r="M1657" s="274">
        <v>0</v>
      </c>
      <c r="N1657" s="272">
        <v>0</v>
      </c>
      <c r="O1657" s="275"/>
      <c r="P1657" s="275"/>
      <c r="Q1657" s="275"/>
      <c r="R1657" s="275"/>
      <c r="S1657" s="275"/>
      <c r="T1657" s="275"/>
      <c r="U1657" s="276">
        <v>0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161</v>
      </c>
      <c r="B1658" s="271" t="s">
        <v>1827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161</v>
      </c>
      <c r="B1659" s="271" t="s">
        <v>1828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0</v>
      </c>
      <c r="K1659" s="273"/>
      <c r="L1659" s="273"/>
      <c r="M1659" s="274">
        <v>0</v>
      </c>
      <c r="N1659" s="272">
        <v>0</v>
      </c>
      <c r="O1659" s="275"/>
      <c r="P1659" s="275"/>
      <c r="Q1659" s="275"/>
      <c r="R1659" s="275"/>
      <c r="S1659" s="275"/>
      <c r="T1659" s="275"/>
      <c r="U1659" s="276">
        <v>0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161</v>
      </c>
      <c r="B1660" s="271" t="s">
        <v>1829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0</v>
      </c>
      <c r="K1660" s="273"/>
      <c r="L1660" s="273"/>
      <c r="M1660" s="274">
        <v>0</v>
      </c>
      <c r="N1660" s="272">
        <v>0</v>
      </c>
      <c r="O1660" s="275"/>
      <c r="P1660" s="275"/>
      <c r="Q1660" s="275"/>
      <c r="R1660" s="275"/>
      <c r="S1660" s="275"/>
      <c r="T1660" s="275"/>
      <c r="U1660" s="276">
        <v>0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161</v>
      </c>
      <c r="B1661" s="271" t="s">
        <v>1830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0</v>
      </c>
      <c r="K1661" s="273"/>
      <c r="L1661" s="273"/>
      <c r="M1661" s="274">
        <v>0</v>
      </c>
      <c r="N1661" s="272">
        <v>0</v>
      </c>
      <c r="O1661" s="275"/>
      <c r="P1661" s="275"/>
      <c r="Q1661" s="275"/>
      <c r="R1661" s="275"/>
      <c r="S1661" s="275"/>
      <c r="T1661" s="275"/>
      <c r="U1661" s="276">
        <v>0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161</v>
      </c>
      <c r="B1662" s="271" t="s">
        <v>1831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161</v>
      </c>
      <c r="B1663" s="271" t="s">
        <v>1832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0</v>
      </c>
      <c r="K1663" s="273"/>
      <c r="L1663" s="273"/>
      <c r="M1663" s="274">
        <v>0</v>
      </c>
      <c r="N1663" s="272">
        <v>0</v>
      </c>
      <c r="O1663" s="275"/>
      <c r="P1663" s="275"/>
      <c r="Q1663" s="275"/>
      <c r="R1663" s="275"/>
      <c r="S1663" s="275"/>
      <c r="T1663" s="275"/>
      <c r="U1663" s="276">
        <v>0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161</v>
      </c>
      <c r="B1664" s="271" t="s">
        <v>1833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161</v>
      </c>
      <c r="B1665" s="271" t="s">
        <v>1834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0</v>
      </c>
      <c r="K1665" s="273"/>
      <c r="L1665" s="273"/>
      <c r="M1665" s="274">
        <v>0</v>
      </c>
      <c r="N1665" s="272">
        <v>0</v>
      </c>
      <c r="O1665" s="275"/>
      <c r="P1665" s="275"/>
      <c r="Q1665" s="275"/>
      <c r="R1665" s="275"/>
      <c r="S1665" s="275"/>
      <c r="T1665" s="275"/>
      <c r="U1665" s="276">
        <v>0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161</v>
      </c>
      <c r="B1666" s="271" t="s">
        <v>1835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0</v>
      </c>
      <c r="K1666" s="273"/>
      <c r="L1666" s="273"/>
      <c r="M1666" s="274">
        <v>0</v>
      </c>
      <c r="N1666" s="272">
        <v>0</v>
      </c>
      <c r="O1666" s="275"/>
      <c r="P1666" s="275"/>
      <c r="Q1666" s="275"/>
      <c r="R1666" s="275"/>
      <c r="S1666" s="275"/>
      <c r="T1666" s="275"/>
      <c r="U1666" s="276">
        <v>0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161</v>
      </c>
      <c r="B1667" s="271" t="s">
        <v>1836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0</v>
      </c>
      <c r="K1667" s="273"/>
      <c r="L1667" s="273"/>
      <c r="M1667" s="274">
        <v>0</v>
      </c>
      <c r="N1667" s="272">
        <v>0</v>
      </c>
      <c r="O1667" s="275"/>
      <c r="P1667" s="275"/>
      <c r="Q1667" s="275"/>
      <c r="R1667" s="275"/>
      <c r="S1667" s="275"/>
      <c r="T1667" s="275"/>
      <c r="U1667" s="276">
        <v>0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161</v>
      </c>
      <c r="B1668" s="271" t="s">
        <v>1837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0</v>
      </c>
      <c r="K1668" s="273"/>
      <c r="L1668" s="273"/>
      <c r="M1668" s="274">
        <v>0</v>
      </c>
      <c r="N1668" s="272">
        <v>0</v>
      </c>
      <c r="O1668" s="275"/>
      <c r="P1668" s="275"/>
      <c r="Q1668" s="275"/>
      <c r="R1668" s="275"/>
      <c r="S1668" s="275"/>
      <c r="T1668" s="275"/>
      <c r="U1668" s="276">
        <v>0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161</v>
      </c>
      <c r="B1669" s="271" t="s">
        <v>1838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0</v>
      </c>
      <c r="K1669" s="273"/>
      <c r="L1669" s="273"/>
      <c r="M1669" s="274">
        <v>0</v>
      </c>
      <c r="N1669" s="272">
        <v>0</v>
      </c>
      <c r="O1669" s="275"/>
      <c r="P1669" s="275"/>
      <c r="Q1669" s="275"/>
      <c r="R1669" s="275"/>
      <c r="S1669" s="275"/>
      <c r="T1669" s="275"/>
      <c r="U1669" s="276">
        <v>0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161</v>
      </c>
      <c r="B1670" s="271" t="s">
        <v>1839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0</v>
      </c>
      <c r="K1670" s="273"/>
      <c r="L1670" s="273"/>
      <c r="M1670" s="274">
        <v>0</v>
      </c>
      <c r="N1670" s="272">
        <v>0</v>
      </c>
      <c r="O1670" s="275"/>
      <c r="P1670" s="275"/>
      <c r="Q1670" s="275"/>
      <c r="R1670" s="275"/>
      <c r="S1670" s="275"/>
      <c r="T1670" s="275"/>
      <c r="U1670" s="276">
        <v>0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161</v>
      </c>
      <c r="B1671" s="271" t="s">
        <v>1840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0</v>
      </c>
      <c r="K1671" s="273"/>
      <c r="L1671" s="273"/>
      <c r="M1671" s="274">
        <v>0</v>
      </c>
      <c r="N1671" s="272">
        <v>0</v>
      </c>
      <c r="O1671" s="275"/>
      <c r="P1671" s="275"/>
      <c r="Q1671" s="275"/>
      <c r="R1671" s="275"/>
      <c r="S1671" s="275"/>
      <c r="T1671" s="275"/>
      <c r="U1671" s="276">
        <v>0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161</v>
      </c>
      <c r="B1672" s="271" t="s">
        <v>1841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0</v>
      </c>
      <c r="K1672" s="273"/>
      <c r="L1672" s="273"/>
      <c r="M1672" s="274">
        <v>0</v>
      </c>
      <c r="N1672" s="272">
        <v>0</v>
      </c>
      <c r="O1672" s="275"/>
      <c r="P1672" s="275"/>
      <c r="Q1672" s="275"/>
      <c r="R1672" s="275"/>
      <c r="S1672" s="275"/>
      <c r="T1672" s="275"/>
      <c r="U1672" s="276">
        <v>0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161</v>
      </c>
      <c r="B1673" s="271" t="s">
        <v>1842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0</v>
      </c>
      <c r="K1673" s="273"/>
      <c r="L1673" s="273"/>
      <c r="M1673" s="274">
        <v>0</v>
      </c>
      <c r="N1673" s="272">
        <v>0</v>
      </c>
      <c r="O1673" s="275"/>
      <c r="P1673" s="275"/>
      <c r="Q1673" s="275"/>
      <c r="R1673" s="275"/>
      <c r="S1673" s="275"/>
      <c r="T1673" s="275"/>
      <c r="U1673" s="276">
        <v>0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161</v>
      </c>
      <c r="B1674" s="271" t="s">
        <v>1843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0</v>
      </c>
      <c r="K1674" s="273"/>
      <c r="L1674" s="273"/>
      <c r="M1674" s="274">
        <v>0</v>
      </c>
      <c r="N1674" s="272">
        <v>0</v>
      </c>
      <c r="O1674" s="275"/>
      <c r="P1674" s="275"/>
      <c r="Q1674" s="275"/>
      <c r="R1674" s="275"/>
      <c r="S1674" s="275"/>
      <c r="T1674" s="275"/>
      <c r="U1674" s="276">
        <v>0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161</v>
      </c>
      <c r="B1675" s="271" t="s">
        <v>1844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0</v>
      </c>
      <c r="K1675" s="273"/>
      <c r="L1675" s="273"/>
      <c r="M1675" s="274">
        <v>0</v>
      </c>
      <c r="N1675" s="272">
        <v>0</v>
      </c>
      <c r="O1675" s="275"/>
      <c r="P1675" s="275"/>
      <c r="Q1675" s="275"/>
      <c r="R1675" s="275"/>
      <c r="S1675" s="275"/>
      <c r="T1675" s="275"/>
      <c r="U1675" s="276">
        <v>0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161</v>
      </c>
      <c r="B1676" s="271" t="s">
        <v>1845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0</v>
      </c>
      <c r="K1676" s="273"/>
      <c r="L1676" s="273"/>
      <c r="M1676" s="274">
        <v>0</v>
      </c>
      <c r="N1676" s="272">
        <v>0</v>
      </c>
      <c r="O1676" s="275"/>
      <c r="P1676" s="275"/>
      <c r="Q1676" s="275"/>
      <c r="R1676" s="275"/>
      <c r="S1676" s="275"/>
      <c r="T1676" s="275"/>
      <c r="U1676" s="276">
        <v>0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161</v>
      </c>
      <c r="B1677" s="271" t="s">
        <v>1846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0</v>
      </c>
      <c r="K1677" s="273"/>
      <c r="L1677" s="273"/>
      <c r="M1677" s="274">
        <v>0</v>
      </c>
      <c r="N1677" s="272">
        <v>0</v>
      </c>
      <c r="O1677" s="275"/>
      <c r="P1677" s="275"/>
      <c r="Q1677" s="275"/>
      <c r="R1677" s="275"/>
      <c r="S1677" s="275"/>
      <c r="T1677" s="275"/>
      <c r="U1677" s="276">
        <v>0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161</v>
      </c>
      <c r="B1678" s="271" t="s">
        <v>1847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0</v>
      </c>
      <c r="K1678" s="273"/>
      <c r="L1678" s="273"/>
      <c r="M1678" s="274">
        <v>0</v>
      </c>
      <c r="N1678" s="272">
        <v>0</v>
      </c>
      <c r="O1678" s="275"/>
      <c r="P1678" s="275"/>
      <c r="Q1678" s="275"/>
      <c r="R1678" s="275"/>
      <c r="S1678" s="275"/>
      <c r="T1678" s="275"/>
      <c r="U1678" s="276">
        <v>0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161</v>
      </c>
      <c r="B1679" s="271" t="s">
        <v>1848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0</v>
      </c>
      <c r="K1679" s="273"/>
      <c r="L1679" s="273"/>
      <c r="M1679" s="274">
        <v>0</v>
      </c>
      <c r="N1679" s="272">
        <v>0</v>
      </c>
      <c r="O1679" s="275"/>
      <c r="P1679" s="275"/>
      <c r="Q1679" s="275"/>
      <c r="R1679" s="275"/>
      <c r="S1679" s="275"/>
      <c r="T1679" s="275"/>
      <c r="U1679" s="276">
        <v>0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161</v>
      </c>
      <c r="B1680" s="271" t="s">
        <v>1849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0</v>
      </c>
      <c r="K1680" s="273"/>
      <c r="L1680" s="273"/>
      <c r="M1680" s="274">
        <v>0</v>
      </c>
      <c r="N1680" s="272">
        <v>0</v>
      </c>
      <c r="O1680" s="275"/>
      <c r="P1680" s="275"/>
      <c r="Q1680" s="275"/>
      <c r="R1680" s="275"/>
      <c r="S1680" s="275"/>
      <c r="T1680" s="275"/>
      <c r="U1680" s="276">
        <v>0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161</v>
      </c>
      <c r="B1681" s="271" t="s">
        <v>1850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0</v>
      </c>
      <c r="K1681" s="273"/>
      <c r="L1681" s="273"/>
      <c r="M1681" s="274">
        <v>0</v>
      </c>
      <c r="N1681" s="272">
        <v>0</v>
      </c>
      <c r="O1681" s="275"/>
      <c r="P1681" s="275"/>
      <c r="Q1681" s="275"/>
      <c r="R1681" s="275"/>
      <c r="S1681" s="275"/>
      <c r="T1681" s="275"/>
      <c r="U1681" s="276">
        <v>0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161</v>
      </c>
      <c r="B1682" s="271" t="s">
        <v>1851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0</v>
      </c>
      <c r="K1682" s="273"/>
      <c r="L1682" s="273"/>
      <c r="M1682" s="274">
        <v>0</v>
      </c>
      <c r="N1682" s="272">
        <v>0</v>
      </c>
      <c r="O1682" s="275"/>
      <c r="P1682" s="275"/>
      <c r="Q1682" s="275"/>
      <c r="R1682" s="275"/>
      <c r="S1682" s="275"/>
      <c r="T1682" s="275"/>
      <c r="U1682" s="276">
        <v>0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161</v>
      </c>
      <c r="B1683" s="271" t="s">
        <v>1852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0</v>
      </c>
      <c r="K1683" s="273"/>
      <c r="L1683" s="273"/>
      <c r="M1683" s="274">
        <v>0</v>
      </c>
      <c r="N1683" s="272">
        <v>0</v>
      </c>
      <c r="O1683" s="275"/>
      <c r="P1683" s="275"/>
      <c r="Q1683" s="275"/>
      <c r="R1683" s="275"/>
      <c r="S1683" s="275"/>
      <c r="T1683" s="275"/>
      <c r="U1683" s="276">
        <v>0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161</v>
      </c>
      <c r="B1684" s="271" t="s">
        <v>1853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0</v>
      </c>
      <c r="K1684" s="273"/>
      <c r="L1684" s="273"/>
      <c r="M1684" s="274">
        <v>0</v>
      </c>
      <c r="N1684" s="272">
        <v>0</v>
      </c>
      <c r="O1684" s="275"/>
      <c r="P1684" s="275"/>
      <c r="Q1684" s="275"/>
      <c r="R1684" s="275"/>
      <c r="S1684" s="275"/>
      <c r="T1684" s="275"/>
      <c r="U1684" s="276">
        <v>0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161</v>
      </c>
      <c r="B1685" s="271" t="s">
        <v>1854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0</v>
      </c>
      <c r="K1685" s="273"/>
      <c r="L1685" s="273"/>
      <c r="M1685" s="274">
        <v>0</v>
      </c>
      <c r="N1685" s="272">
        <v>0</v>
      </c>
      <c r="O1685" s="275"/>
      <c r="P1685" s="275"/>
      <c r="Q1685" s="275"/>
      <c r="R1685" s="275"/>
      <c r="S1685" s="275"/>
      <c r="T1685" s="275"/>
      <c r="U1685" s="276">
        <v>0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161</v>
      </c>
      <c r="B1686" s="271" t="s">
        <v>1855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0</v>
      </c>
      <c r="K1686" s="273"/>
      <c r="L1686" s="273"/>
      <c r="M1686" s="274">
        <v>0</v>
      </c>
      <c r="N1686" s="272">
        <v>0</v>
      </c>
      <c r="O1686" s="275"/>
      <c r="P1686" s="275"/>
      <c r="Q1686" s="275"/>
      <c r="R1686" s="275"/>
      <c r="S1686" s="275"/>
      <c r="T1686" s="275"/>
      <c r="U1686" s="276">
        <v>0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161</v>
      </c>
      <c r="B1687" s="271" t="s">
        <v>1856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0</v>
      </c>
      <c r="K1687" s="273"/>
      <c r="L1687" s="273"/>
      <c r="M1687" s="274">
        <v>0</v>
      </c>
      <c r="N1687" s="272">
        <v>0</v>
      </c>
      <c r="O1687" s="275"/>
      <c r="P1687" s="275"/>
      <c r="Q1687" s="275"/>
      <c r="R1687" s="275"/>
      <c r="S1687" s="275"/>
      <c r="T1687" s="275"/>
      <c r="U1687" s="276">
        <v>0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161</v>
      </c>
      <c r="B1688" s="271" t="s">
        <v>1857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0</v>
      </c>
      <c r="K1688" s="273"/>
      <c r="L1688" s="273"/>
      <c r="M1688" s="274">
        <v>0</v>
      </c>
      <c r="N1688" s="272">
        <v>0</v>
      </c>
      <c r="O1688" s="275"/>
      <c r="P1688" s="275"/>
      <c r="Q1688" s="275"/>
      <c r="R1688" s="275"/>
      <c r="S1688" s="275"/>
      <c r="T1688" s="275"/>
      <c r="U1688" s="276">
        <v>0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161</v>
      </c>
      <c r="B1689" s="271" t="s">
        <v>1858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0</v>
      </c>
      <c r="K1689" s="273"/>
      <c r="L1689" s="273"/>
      <c r="M1689" s="274">
        <v>0</v>
      </c>
      <c r="N1689" s="272">
        <v>0</v>
      </c>
      <c r="O1689" s="275"/>
      <c r="P1689" s="275"/>
      <c r="Q1689" s="275"/>
      <c r="R1689" s="275"/>
      <c r="S1689" s="275"/>
      <c r="T1689" s="275"/>
      <c r="U1689" s="276">
        <v>0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161</v>
      </c>
      <c r="B1690" s="271" t="s">
        <v>1859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0</v>
      </c>
      <c r="K1690" s="273"/>
      <c r="L1690" s="273"/>
      <c r="M1690" s="274">
        <v>0</v>
      </c>
      <c r="N1690" s="272">
        <v>0</v>
      </c>
      <c r="O1690" s="275"/>
      <c r="P1690" s="275"/>
      <c r="Q1690" s="275"/>
      <c r="R1690" s="275"/>
      <c r="S1690" s="275"/>
      <c r="T1690" s="275"/>
      <c r="U1690" s="276">
        <v>0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161</v>
      </c>
      <c r="B1691" s="271" t="s">
        <v>1860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0</v>
      </c>
      <c r="K1691" s="273"/>
      <c r="L1691" s="273"/>
      <c r="M1691" s="274">
        <v>0</v>
      </c>
      <c r="N1691" s="272">
        <v>0</v>
      </c>
      <c r="O1691" s="275"/>
      <c r="P1691" s="275"/>
      <c r="Q1691" s="275"/>
      <c r="R1691" s="275"/>
      <c r="S1691" s="275"/>
      <c r="T1691" s="275"/>
      <c r="U1691" s="276">
        <v>0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161</v>
      </c>
      <c r="B1692" s="271" t="s">
        <v>1861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0</v>
      </c>
      <c r="K1692" s="273"/>
      <c r="L1692" s="273"/>
      <c r="M1692" s="274">
        <v>0</v>
      </c>
      <c r="N1692" s="272">
        <v>0</v>
      </c>
      <c r="O1692" s="275"/>
      <c r="P1692" s="275"/>
      <c r="Q1692" s="275"/>
      <c r="R1692" s="275"/>
      <c r="S1692" s="275"/>
      <c r="T1692" s="275"/>
      <c r="U1692" s="276">
        <v>0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161</v>
      </c>
      <c r="B1693" s="271" t="s">
        <v>1862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0</v>
      </c>
      <c r="K1693" s="273"/>
      <c r="L1693" s="273"/>
      <c r="M1693" s="274">
        <v>0</v>
      </c>
      <c r="N1693" s="272">
        <v>0</v>
      </c>
      <c r="O1693" s="275"/>
      <c r="P1693" s="275"/>
      <c r="Q1693" s="275"/>
      <c r="R1693" s="275"/>
      <c r="S1693" s="275"/>
      <c r="T1693" s="275"/>
      <c r="U1693" s="276">
        <v>0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161</v>
      </c>
      <c r="B1694" s="271" t="s">
        <v>1863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0</v>
      </c>
      <c r="K1694" s="273"/>
      <c r="L1694" s="273"/>
      <c r="M1694" s="274">
        <v>0</v>
      </c>
      <c r="N1694" s="272">
        <v>0</v>
      </c>
      <c r="O1694" s="275"/>
      <c r="P1694" s="275"/>
      <c r="Q1694" s="275"/>
      <c r="R1694" s="275"/>
      <c r="S1694" s="275"/>
      <c r="T1694" s="275"/>
      <c r="U1694" s="276">
        <v>0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161</v>
      </c>
      <c r="B1695" s="271" t="s">
        <v>1864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0</v>
      </c>
      <c r="K1695" s="273"/>
      <c r="L1695" s="273"/>
      <c r="M1695" s="274">
        <v>0</v>
      </c>
      <c r="N1695" s="272">
        <v>0</v>
      </c>
      <c r="O1695" s="275"/>
      <c r="P1695" s="275"/>
      <c r="Q1695" s="275"/>
      <c r="R1695" s="275"/>
      <c r="S1695" s="275"/>
      <c r="T1695" s="275"/>
      <c r="U1695" s="276">
        <v>0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161</v>
      </c>
      <c r="B1696" s="271" t="s">
        <v>1865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0</v>
      </c>
      <c r="K1696" s="273"/>
      <c r="L1696" s="273"/>
      <c r="M1696" s="274">
        <v>0</v>
      </c>
      <c r="N1696" s="272">
        <v>0</v>
      </c>
      <c r="O1696" s="275"/>
      <c r="P1696" s="275"/>
      <c r="Q1696" s="275"/>
      <c r="R1696" s="275"/>
      <c r="S1696" s="275"/>
      <c r="T1696" s="275"/>
      <c r="U1696" s="276">
        <v>0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161</v>
      </c>
      <c r="B1697" s="271" t="s">
        <v>1866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0</v>
      </c>
      <c r="K1697" s="273"/>
      <c r="L1697" s="273"/>
      <c r="M1697" s="274">
        <v>0</v>
      </c>
      <c r="N1697" s="272">
        <v>0</v>
      </c>
      <c r="O1697" s="275"/>
      <c r="P1697" s="275"/>
      <c r="Q1697" s="275"/>
      <c r="R1697" s="275"/>
      <c r="S1697" s="275"/>
      <c r="T1697" s="275"/>
      <c r="U1697" s="276">
        <v>0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161</v>
      </c>
      <c r="B1698" s="271" t="s">
        <v>1867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0</v>
      </c>
      <c r="K1698" s="273"/>
      <c r="L1698" s="273"/>
      <c r="M1698" s="274">
        <v>0</v>
      </c>
      <c r="N1698" s="272">
        <v>0</v>
      </c>
      <c r="O1698" s="275"/>
      <c r="P1698" s="275"/>
      <c r="Q1698" s="275"/>
      <c r="R1698" s="275"/>
      <c r="S1698" s="275"/>
      <c r="T1698" s="275"/>
      <c r="U1698" s="276">
        <v>0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161</v>
      </c>
      <c r="B1699" s="271" t="s">
        <v>1868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0</v>
      </c>
      <c r="K1699" s="273"/>
      <c r="L1699" s="273"/>
      <c r="M1699" s="274">
        <v>0</v>
      </c>
      <c r="N1699" s="272">
        <v>0</v>
      </c>
      <c r="O1699" s="275"/>
      <c r="P1699" s="275"/>
      <c r="Q1699" s="275"/>
      <c r="R1699" s="275"/>
      <c r="S1699" s="275"/>
      <c r="T1699" s="275"/>
      <c r="U1699" s="276">
        <v>0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161</v>
      </c>
      <c r="B1700" s="271" t="s">
        <v>1869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0</v>
      </c>
      <c r="K1700" s="273"/>
      <c r="L1700" s="273"/>
      <c r="M1700" s="274">
        <v>0</v>
      </c>
      <c r="N1700" s="272">
        <v>0</v>
      </c>
      <c r="O1700" s="275"/>
      <c r="P1700" s="275"/>
      <c r="Q1700" s="275"/>
      <c r="R1700" s="275"/>
      <c r="S1700" s="275"/>
      <c r="T1700" s="275"/>
      <c r="U1700" s="276">
        <v>0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161</v>
      </c>
      <c r="B1701" s="271" t="s">
        <v>1870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0</v>
      </c>
      <c r="K1701" s="273"/>
      <c r="L1701" s="273"/>
      <c r="M1701" s="274">
        <v>0</v>
      </c>
      <c r="N1701" s="272">
        <v>0</v>
      </c>
      <c r="O1701" s="275"/>
      <c r="P1701" s="275"/>
      <c r="Q1701" s="275"/>
      <c r="R1701" s="275"/>
      <c r="S1701" s="275"/>
      <c r="T1701" s="275"/>
      <c r="U1701" s="276">
        <v>0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161</v>
      </c>
      <c r="B1702" s="271" t="s">
        <v>1871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0</v>
      </c>
      <c r="K1702" s="273"/>
      <c r="L1702" s="273"/>
      <c r="M1702" s="274">
        <v>0</v>
      </c>
      <c r="N1702" s="272">
        <v>0</v>
      </c>
      <c r="O1702" s="275"/>
      <c r="P1702" s="275"/>
      <c r="Q1702" s="275"/>
      <c r="R1702" s="275"/>
      <c r="S1702" s="275"/>
      <c r="T1702" s="275"/>
      <c r="U1702" s="276">
        <v>0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161</v>
      </c>
      <c r="B1703" s="271" t="s">
        <v>1872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0</v>
      </c>
      <c r="K1703" s="273"/>
      <c r="L1703" s="273"/>
      <c r="M1703" s="274">
        <v>0</v>
      </c>
      <c r="N1703" s="272">
        <v>0</v>
      </c>
      <c r="O1703" s="275"/>
      <c r="P1703" s="275"/>
      <c r="Q1703" s="275"/>
      <c r="R1703" s="275"/>
      <c r="S1703" s="275"/>
      <c r="T1703" s="275"/>
      <c r="U1703" s="276">
        <v>0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161</v>
      </c>
      <c r="B1704" s="271" t="s">
        <v>1873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0</v>
      </c>
      <c r="K1704" s="273"/>
      <c r="L1704" s="273"/>
      <c r="M1704" s="274">
        <v>0</v>
      </c>
      <c r="N1704" s="272">
        <v>0</v>
      </c>
      <c r="O1704" s="275"/>
      <c r="P1704" s="275"/>
      <c r="Q1704" s="275"/>
      <c r="R1704" s="275"/>
      <c r="S1704" s="275"/>
      <c r="T1704" s="275"/>
      <c r="U1704" s="276">
        <v>0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161</v>
      </c>
      <c r="B1705" s="271" t="s">
        <v>1874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0</v>
      </c>
      <c r="K1705" s="273"/>
      <c r="L1705" s="273"/>
      <c r="M1705" s="274">
        <v>0</v>
      </c>
      <c r="N1705" s="272">
        <v>0</v>
      </c>
      <c r="O1705" s="275"/>
      <c r="P1705" s="275"/>
      <c r="Q1705" s="275"/>
      <c r="R1705" s="275"/>
      <c r="S1705" s="275"/>
      <c r="T1705" s="275"/>
      <c r="U1705" s="276">
        <v>0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161</v>
      </c>
      <c r="B1706" s="271" t="s">
        <v>1875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0</v>
      </c>
      <c r="K1706" s="273"/>
      <c r="L1706" s="273"/>
      <c r="M1706" s="274">
        <v>0</v>
      </c>
      <c r="N1706" s="272">
        <v>0</v>
      </c>
      <c r="O1706" s="275"/>
      <c r="P1706" s="275"/>
      <c r="Q1706" s="275"/>
      <c r="R1706" s="275"/>
      <c r="S1706" s="275"/>
      <c r="T1706" s="275"/>
      <c r="U1706" s="276">
        <v>0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161</v>
      </c>
      <c r="B1707" s="271" t="s">
        <v>1876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0</v>
      </c>
      <c r="K1707" s="273"/>
      <c r="L1707" s="273"/>
      <c r="M1707" s="274">
        <v>0</v>
      </c>
      <c r="N1707" s="272">
        <v>0</v>
      </c>
      <c r="O1707" s="275"/>
      <c r="P1707" s="275"/>
      <c r="Q1707" s="275"/>
      <c r="R1707" s="275"/>
      <c r="S1707" s="275"/>
      <c r="T1707" s="275"/>
      <c r="U1707" s="276">
        <v>0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161</v>
      </c>
      <c r="B1708" s="271" t="s">
        <v>1877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0</v>
      </c>
      <c r="K1708" s="273"/>
      <c r="L1708" s="273"/>
      <c r="M1708" s="274">
        <v>0</v>
      </c>
      <c r="N1708" s="272">
        <v>0</v>
      </c>
      <c r="O1708" s="275"/>
      <c r="P1708" s="275"/>
      <c r="Q1708" s="275"/>
      <c r="R1708" s="275"/>
      <c r="S1708" s="275"/>
      <c r="T1708" s="275"/>
      <c r="U1708" s="276">
        <v>0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161</v>
      </c>
      <c r="B1709" s="271" t="s">
        <v>1878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0</v>
      </c>
      <c r="K1709" s="273"/>
      <c r="L1709" s="273"/>
      <c r="M1709" s="274">
        <v>0</v>
      </c>
      <c r="N1709" s="272">
        <v>0</v>
      </c>
      <c r="O1709" s="275"/>
      <c r="P1709" s="275"/>
      <c r="Q1709" s="275"/>
      <c r="R1709" s="275"/>
      <c r="S1709" s="275"/>
      <c r="T1709" s="275"/>
      <c r="U1709" s="276">
        <v>0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161</v>
      </c>
      <c r="B1710" s="271" t="s">
        <v>1879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0</v>
      </c>
      <c r="K1710" s="273"/>
      <c r="L1710" s="273"/>
      <c r="M1710" s="274">
        <v>0</v>
      </c>
      <c r="N1710" s="272">
        <v>0</v>
      </c>
      <c r="O1710" s="275"/>
      <c r="P1710" s="275"/>
      <c r="Q1710" s="275"/>
      <c r="R1710" s="275"/>
      <c r="S1710" s="275"/>
      <c r="T1710" s="275"/>
      <c r="U1710" s="276">
        <v>0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161</v>
      </c>
      <c r="B1711" s="271" t="s">
        <v>1880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0</v>
      </c>
      <c r="K1711" s="273"/>
      <c r="L1711" s="273"/>
      <c r="M1711" s="274">
        <v>0</v>
      </c>
      <c r="N1711" s="272">
        <v>0</v>
      </c>
      <c r="O1711" s="275"/>
      <c r="P1711" s="275"/>
      <c r="Q1711" s="275"/>
      <c r="R1711" s="275"/>
      <c r="S1711" s="275"/>
      <c r="T1711" s="275"/>
      <c r="U1711" s="276">
        <v>0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161</v>
      </c>
      <c r="B1712" s="271" t="s">
        <v>1881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0</v>
      </c>
      <c r="K1712" s="273"/>
      <c r="L1712" s="273"/>
      <c r="M1712" s="274">
        <v>0</v>
      </c>
      <c r="N1712" s="272">
        <v>0</v>
      </c>
      <c r="O1712" s="275"/>
      <c r="P1712" s="275"/>
      <c r="Q1712" s="275"/>
      <c r="R1712" s="275"/>
      <c r="S1712" s="275"/>
      <c r="T1712" s="275"/>
      <c r="U1712" s="276">
        <v>0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161</v>
      </c>
      <c r="B1713" s="271" t="s">
        <v>1882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0</v>
      </c>
      <c r="K1713" s="273"/>
      <c r="L1713" s="273"/>
      <c r="M1713" s="274">
        <v>0</v>
      </c>
      <c r="N1713" s="272">
        <v>0</v>
      </c>
      <c r="O1713" s="275"/>
      <c r="P1713" s="275"/>
      <c r="Q1713" s="275"/>
      <c r="R1713" s="275"/>
      <c r="S1713" s="275"/>
      <c r="T1713" s="275"/>
      <c r="U1713" s="276">
        <v>0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161</v>
      </c>
      <c r="B1714" s="271" t="s">
        <v>1883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0</v>
      </c>
      <c r="K1714" s="273"/>
      <c r="L1714" s="273"/>
      <c r="M1714" s="274">
        <v>0</v>
      </c>
      <c r="N1714" s="272">
        <v>0</v>
      </c>
      <c r="O1714" s="275"/>
      <c r="P1714" s="275"/>
      <c r="Q1714" s="275"/>
      <c r="R1714" s="275"/>
      <c r="S1714" s="275"/>
      <c r="T1714" s="275"/>
      <c r="U1714" s="276">
        <v>0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161</v>
      </c>
      <c r="B1715" s="271" t="s">
        <v>1884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0</v>
      </c>
      <c r="K1715" s="273"/>
      <c r="L1715" s="273"/>
      <c r="M1715" s="274">
        <v>0</v>
      </c>
      <c r="N1715" s="272">
        <v>0</v>
      </c>
      <c r="O1715" s="275"/>
      <c r="P1715" s="275"/>
      <c r="Q1715" s="275"/>
      <c r="R1715" s="275"/>
      <c r="S1715" s="275"/>
      <c r="T1715" s="275"/>
      <c r="U1715" s="276">
        <v>0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161</v>
      </c>
      <c r="B1716" s="271" t="s">
        <v>1885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0</v>
      </c>
      <c r="K1716" s="273"/>
      <c r="L1716" s="273"/>
      <c r="M1716" s="274">
        <v>0</v>
      </c>
      <c r="N1716" s="272">
        <v>0</v>
      </c>
      <c r="O1716" s="275"/>
      <c r="P1716" s="275"/>
      <c r="Q1716" s="275"/>
      <c r="R1716" s="275"/>
      <c r="S1716" s="275"/>
      <c r="T1716" s="275"/>
      <c r="U1716" s="276">
        <v>0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161</v>
      </c>
      <c r="B1717" s="271" t="s">
        <v>1886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0</v>
      </c>
      <c r="K1717" s="273"/>
      <c r="L1717" s="273"/>
      <c r="M1717" s="274">
        <v>0</v>
      </c>
      <c r="N1717" s="272">
        <v>0</v>
      </c>
      <c r="O1717" s="275"/>
      <c r="P1717" s="275"/>
      <c r="Q1717" s="275"/>
      <c r="R1717" s="275"/>
      <c r="S1717" s="275"/>
      <c r="T1717" s="275"/>
      <c r="U1717" s="276">
        <v>0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161</v>
      </c>
      <c r="B1718" s="271" t="s">
        <v>1887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0</v>
      </c>
      <c r="K1718" s="273"/>
      <c r="L1718" s="273"/>
      <c r="M1718" s="274">
        <v>0</v>
      </c>
      <c r="N1718" s="272">
        <v>0</v>
      </c>
      <c r="O1718" s="275"/>
      <c r="P1718" s="275"/>
      <c r="Q1718" s="275"/>
      <c r="R1718" s="275"/>
      <c r="S1718" s="275"/>
      <c r="T1718" s="275"/>
      <c r="U1718" s="276">
        <v>0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161</v>
      </c>
      <c r="B1719" s="271" t="s">
        <v>1888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0</v>
      </c>
      <c r="K1719" s="273"/>
      <c r="L1719" s="273"/>
      <c r="M1719" s="274">
        <v>0</v>
      </c>
      <c r="N1719" s="272">
        <v>0</v>
      </c>
      <c r="O1719" s="275"/>
      <c r="P1719" s="275"/>
      <c r="Q1719" s="275"/>
      <c r="R1719" s="275"/>
      <c r="S1719" s="275"/>
      <c r="T1719" s="275"/>
      <c r="U1719" s="276">
        <v>0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161</v>
      </c>
      <c r="B1720" s="271" t="s">
        <v>1889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0</v>
      </c>
      <c r="K1720" s="273"/>
      <c r="L1720" s="273"/>
      <c r="M1720" s="274">
        <v>0</v>
      </c>
      <c r="N1720" s="272">
        <v>0</v>
      </c>
      <c r="O1720" s="275"/>
      <c r="P1720" s="275"/>
      <c r="Q1720" s="275"/>
      <c r="R1720" s="275"/>
      <c r="S1720" s="275"/>
      <c r="T1720" s="275"/>
      <c r="U1720" s="276">
        <v>0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161</v>
      </c>
      <c r="B1721" s="271" t="s">
        <v>1890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0</v>
      </c>
      <c r="K1721" s="273"/>
      <c r="L1721" s="273"/>
      <c r="M1721" s="274">
        <v>0</v>
      </c>
      <c r="N1721" s="272">
        <v>0</v>
      </c>
      <c r="O1721" s="275"/>
      <c r="P1721" s="275"/>
      <c r="Q1721" s="275"/>
      <c r="R1721" s="275"/>
      <c r="S1721" s="275"/>
      <c r="T1721" s="275"/>
      <c r="U1721" s="276">
        <v>0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161</v>
      </c>
      <c r="B1722" s="271" t="s">
        <v>1891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0</v>
      </c>
      <c r="K1722" s="273"/>
      <c r="L1722" s="273"/>
      <c r="M1722" s="274">
        <v>0</v>
      </c>
      <c r="N1722" s="272">
        <v>0</v>
      </c>
      <c r="O1722" s="275"/>
      <c r="P1722" s="275"/>
      <c r="Q1722" s="275"/>
      <c r="R1722" s="275"/>
      <c r="S1722" s="275"/>
      <c r="T1722" s="275"/>
      <c r="U1722" s="276">
        <v>0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161</v>
      </c>
      <c r="B1723" s="271" t="s">
        <v>1892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0</v>
      </c>
      <c r="K1723" s="273"/>
      <c r="L1723" s="273"/>
      <c r="M1723" s="274">
        <v>0</v>
      </c>
      <c r="N1723" s="272">
        <v>0</v>
      </c>
      <c r="O1723" s="275"/>
      <c r="P1723" s="275"/>
      <c r="Q1723" s="275"/>
      <c r="R1723" s="275"/>
      <c r="S1723" s="275"/>
      <c r="T1723" s="275"/>
      <c r="U1723" s="276">
        <v>0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161</v>
      </c>
      <c r="B1724" s="271" t="s">
        <v>1893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0</v>
      </c>
      <c r="K1724" s="273"/>
      <c r="L1724" s="273"/>
      <c r="M1724" s="274">
        <v>0</v>
      </c>
      <c r="N1724" s="272">
        <v>0</v>
      </c>
      <c r="O1724" s="275"/>
      <c r="P1724" s="275"/>
      <c r="Q1724" s="275"/>
      <c r="R1724" s="275"/>
      <c r="S1724" s="275"/>
      <c r="T1724" s="275"/>
      <c r="U1724" s="276">
        <v>0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161</v>
      </c>
      <c r="B1725" s="271" t="s">
        <v>1894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0</v>
      </c>
      <c r="K1725" s="273"/>
      <c r="L1725" s="273"/>
      <c r="M1725" s="274">
        <v>0</v>
      </c>
      <c r="N1725" s="272">
        <v>0</v>
      </c>
      <c r="O1725" s="275"/>
      <c r="P1725" s="275"/>
      <c r="Q1725" s="275"/>
      <c r="R1725" s="275"/>
      <c r="S1725" s="275"/>
      <c r="T1725" s="275"/>
      <c r="U1725" s="276">
        <v>0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161</v>
      </c>
      <c r="B1726" s="271" t="s">
        <v>1895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0</v>
      </c>
      <c r="K1726" s="273"/>
      <c r="L1726" s="273"/>
      <c r="M1726" s="274">
        <v>0</v>
      </c>
      <c r="N1726" s="272">
        <v>0</v>
      </c>
      <c r="O1726" s="275"/>
      <c r="P1726" s="275"/>
      <c r="Q1726" s="275"/>
      <c r="R1726" s="275"/>
      <c r="S1726" s="275"/>
      <c r="T1726" s="275"/>
      <c r="U1726" s="276">
        <v>0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161</v>
      </c>
      <c r="B1727" s="271" t="s">
        <v>1896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0</v>
      </c>
      <c r="K1727" s="273"/>
      <c r="L1727" s="273"/>
      <c r="M1727" s="274">
        <v>0</v>
      </c>
      <c r="N1727" s="272">
        <v>0</v>
      </c>
      <c r="O1727" s="275"/>
      <c r="P1727" s="275"/>
      <c r="Q1727" s="275"/>
      <c r="R1727" s="275"/>
      <c r="S1727" s="275"/>
      <c r="T1727" s="275"/>
      <c r="U1727" s="276">
        <v>0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161</v>
      </c>
      <c r="B1728" s="271" t="s">
        <v>1897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0</v>
      </c>
      <c r="K1728" s="273"/>
      <c r="L1728" s="273"/>
      <c r="M1728" s="274">
        <v>0</v>
      </c>
      <c r="N1728" s="272">
        <v>0</v>
      </c>
      <c r="O1728" s="275"/>
      <c r="P1728" s="275"/>
      <c r="Q1728" s="275"/>
      <c r="R1728" s="275"/>
      <c r="S1728" s="275"/>
      <c r="T1728" s="275"/>
      <c r="U1728" s="276">
        <v>0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161</v>
      </c>
      <c r="B1729" s="271" t="s">
        <v>1898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0</v>
      </c>
      <c r="K1729" s="273"/>
      <c r="L1729" s="273"/>
      <c r="M1729" s="274">
        <v>0</v>
      </c>
      <c r="N1729" s="272">
        <v>0</v>
      </c>
      <c r="O1729" s="275"/>
      <c r="P1729" s="275"/>
      <c r="Q1729" s="275"/>
      <c r="R1729" s="275"/>
      <c r="S1729" s="275"/>
      <c r="T1729" s="275"/>
      <c r="U1729" s="276">
        <v>0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161</v>
      </c>
      <c r="B1730" s="271" t="s">
        <v>1899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0</v>
      </c>
      <c r="K1730" s="273"/>
      <c r="L1730" s="273"/>
      <c r="M1730" s="274">
        <v>0</v>
      </c>
      <c r="N1730" s="272">
        <v>0</v>
      </c>
      <c r="O1730" s="275"/>
      <c r="P1730" s="275"/>
      <c r="Q1730" s="275"/>
      <c r="R1730" s="275"/>
      <c r="S1730" s="275"/>
      <c r="T1730" s="275"/>
      <c r="U1730" s="276">
        <v>0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161</v>
      </c>
      <c r="B1731" s="271" t="s">
        <v>1900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0</v>
      </c>
      <c r="K1731" s="273"/>
      <c r="L1731" s="273"/>
      <c r="M1731" s="274">
        <v>0</v>
      </c>
      <c r="N1731" s="272">
        <v>0</v>
      </c>
      <c r="O1731" s="275"/>
      <c r="P1731" s="275"/>
      <c r="Q1731" s="275"/>
      <c r="R1731" s="275"/>
      <c r="S1731" s="275"/>
      <c r="T1731" s="275"/>
      <c r="U1731" s="276">
        <v>0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161</v>
      </c>
      <c r="B1732" s="271" t="s">
        <v>1901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0</v>
      </c>
      <c r="K1732" s="273"/>
      <c r="L1732" s="273"/>
      <c r="M1732" s="274">
        <v>0</v>
      </c>
      <c r="N1732" s="272">
        <v>0</v>
      </c>
      <c r="O1732" s="275"/>
      <c r="P1732" s="275"/>
      <c r="Q1732" s="275"/>
      <c r="R1732" s="275"/>
      <c r="S1732" s="275"/>
      <c r="T1732" s="275"/>
      <c r="U1732" s="276">
        <v>0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161</v>
      </c>
      <c r="B1733" s="271" t="s">
        <v>1902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0</v>
      </c>
      <c r="K1733" s="273"/>
      <c r="L1733" s="273"/>
      <c r="M1733" s="274">
        <v>0</v>
      </c>
      <c r="N1733" s="272">
        <v>0</v>
      </c>
      <c r="O1733" s="275"/>
      <c r="P1733" s="275"/>
      <c r="Q1733" s="275"/>
      <c r="R1733" s="275"/>
      <c r="S1733" s="275"/>
      <c r="T1733" s="275"/>
      <c r="U1733" s="276">
        <v>0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161</v>
      </c>
      <c r="B1734" s="271" t="s">
        <v>1903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0</v>
      </c>
      <c r="K1734" s="273"/>
      <c r="L1734" s="273"/>
      <c r="M1734" s="274">
        <v>0</v>
      </c>
      <c r="N1734" s="272">
        <v>0</v>
      </c>
      <c r="O1734" s="275"/>
      <c r="P1734" s="275"/>
      <c r="Q1734" s="275"/>
      <c r="R1734" s="275"/>
      <c r="S1734" s="275"/>
      <c r="T1734" s="275"/>
      <c r="U1734" s="276">
        <v>0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161</v>
      </c>
      <c r="B1735" s="271" t="s">
        <v>1904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0</v>
      </c>
      <c r="K1735" s="273"/>
      <c r="L1735" s="273"/>
      <c r="M1735" s="274">
        <v>0</v>
      </c>
      <c r="N1735" s="272">
        <v>0</v>
      </c>
      <c r="O1735" s="275"/>
      <c r="P1735" s="275"/>
      <c r="Q1735" s="275"/>
      <c r="R1735" s="275"/>
      <c r="S1735" s="275"/>
      <c r="T1735" s="275"/>
      <c r="U1735" s="276">
        <v>0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161</v>
      </c>
      <c r="B1736" s="271" t="s">
        <v>1905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0</v>
      </c>
      <c r="K1736" s="273"/>
      <c r="L1736" s="273"/>
      <c r="M1736" s="274">
        <v>0</v>
      </c>
      <c r="N1736" s="272">
        <v>0</v>
      </c>
      <c r="O1736" s="275"/>
      <c r="P1736" s="275"/>
      <c r="Q1736" s="275"/>
      <c r="R1736" s="275"/>
      <c r="S1736" s="275"/>
      <c r="T1736" s="275"/>
      <c r="U1736" s="276">
        <v>0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161</v>
      </c>
      <c r="B1737" s="271" t="s">
        <v>1906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0</v>
      </c>
      <c r="K1737" s="273"/>
      <c r="L1737" s="273"/>
      <c r="M1737" s="274">
        <v>0</v>
      </c>
      <c r="N1737" s="272">
        <v>0</v>
      </c>
      <c r="O1737" s="275"/>
      <c r="P1737" s="275"/>
      <c r="Q1737" s="275"/>
      <c r="R1737" s="275"/>
      <c r="S1737" s="275"/>
      <c r="T1737" s="275"/>
      <c r="U1737" s="276">
        <v>0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161</v>
      </c>
      <c r="B1738" s="271" t="s">
        <v>1907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0</v>
      </c>
      <c r="K1738" s="273"/>
      <c r="L1738" s="273"/>
      <c r="M1738" s="274">
        <v>0</v>
      </c>
      <c r="N1738" s="272">
        <v>0</v>
      </c>
      <c r="O1738" s="275"/>
      <c r="P1738" s="275"/>
      <c r="Q1738" s="275"/>
      <c r="R1738" s="275"/>
      <c r="S1738" s="275"/>
      <c r="T1738" s="275"/>
      <c r="U1738" s="276">
        <v>0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161</v>
      </c>
      <c r="B1739" s="271" t="s">
        <v>1908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0</v>
      </c>
      <c r="K1739" s="273"/>
      <c r="L1739" s="273"/>
      <c r="M1739" s="274">
        <v>0</v>
      </c>
      <c r="N1739" s="272">
        <v>0</v>
      </c>
      <c r="O1739" s="275"/>
      <c r="P1739" s="275"/>
      <c r="Q1739" s="275"/>
      <c r="R1739" s="275"/>
      <c r="S1739" s="275"/>
      <c r="T1739" s="275"/>
      <c r="U1739" s="276">
        <v>0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161</v>
      </c>
      <c r="B1740" s="271" t="s">
        <v>1909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0</v>
      </c>
      <c r="K1740" s="273"/>
      <c r="L1740" s="273"/>
      <c r="M1740" s="274">
        <v>0</v>
      </c>
      <c r="N1740" s="272">
        <v>0</v>
      </c>
      <c r="O1740" s="275"/>
      <c r="P1740" s="275"/>
      <c r="Q1740" s="275"/>
      <c r="R1740" s="275"/>
      <c r="S1740" s="275"/>
      <c r="T1740" s="275"/>
      <c r="U1740" s="276">
        <v>0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161</v>
      </c>
      <c r="B1741" s="271" t="s">
        <v>1910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0</v>
      </c>
      <c r="K1741" s="273"/>
      <c r="L1741" s="273"/>
      <c r="M1741" s="274">
        <v>0</v>
      </c>
      <c r="N1741" s="272">
        <v>0</v>
      </c>
      <c r="O1741" s="275"/>
      <c r="P1741" s="275"/>
      <c r="Q1741" s="275"/>
      <c r="R1741" s="275"/>
      <c r="S1741" s="275"/>
      <c r="T1741" s="275"/>
      <c r="U1741" s="276">
        <v>0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161</v>
      </c>
      <c r="B1742" s="271" t="s">
        <v>1911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0</v>
      </c>
      <c r="K1742" s="273"/>
      <c r="L1742" s="273"/>
      <c r="M1742" s="274">
        <v>0</v>
      </c>
      <c r="N1742" s="272">
        <v>0</v>
      </c>
      <c r="O1742" s="275"/>
      <c r="P1742" s="275"/>
      <c r="Q1742" s="275"/>
      <c r="R1742" s="275"/>
      <c r="S1742" s="275"/>
      <c r="T1742" s="275"/>
      <c r="U1742" s="276">
        <v>0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161</v>
      </c>
      <c r="B1743" s="271" t="s">
        <v>1912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0</v>
      </c>
      <c r="K1743" s="273"/>
      <c r="L1743" s="273"/>
      <c r="M1743" s="274">
        <v>0</v>
      </c>
      <c r="N1743" s="272">
        <v>0</v>
      </c>
      <c r="O1743" s="275"/>
      <c r="P1743" s="275"/>
      <c r="Q1743" s="275"/>
      <c r="R1743" s="275"/>
      <c r="S1743" s="275"/>
      <c r="T1743" s="275"/>
      <c r="U1743" s="276">
        <v>0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161</v>
      </c>
      <c r="B1744" s="271" t="s">
        <v>1913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0</v>
      </c>
      <c r="K1744" s="273"/>
      <c r="L1744" s="273"/>
      <c r="M1744" s="274">
        <v>0</v>
      </c>
      <c r="N1744" s="272">
        <v>0</v>
      </c>
      <c r="O1744" s="275"/>
      <c r="P1744" s="275"/>
      <c r="Q1744" s="275"/>
      <c r="R1744" s="275"/>
      <c r="S1744" s="275"/>
      <c r="T1744" s="275"/>
      <c r="U1744" s="276">
        <v>0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161</v>
      </c>
      <c r="B1745" s="271" t="s">
        <v>1914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0</v>
      </c>
      <c r="K1745" s="273"/>
      <c r="L1745" s="273"/>
      <c r="M1745" s="274">
        <v>0</v>
      </c>
      <c r="N1745" s="272">
        <v>0</v>
      </c>
      <c r="O1745" s="275"/>
      <c r="P1745" s="275"/>
      <c r="Q1745" s="275"/>
      <c r="R1745" s="275"/>
      <c r="S1745" s="275"/>
      <c r="T1745" s="275"/>
      <c r="U1745" s="276">
        <v>0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161</v>
      </c>
      <c r="B1746" s="271" t="s">
        <v>1915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0</v>
      </c>
      <c r="K1746" s="273"/>
      <c r="L1746" s="273"/>
      <c r="M1746" s="274">
        <v>0</v>
      </c>
      <c r="N1746" s="272">
        <v>0</v>
      </c>
      <c r="O1746" s="275"/>
      <c r="P1746" s="275"/>
      <c r="Q1746" s="275"/>
      <c r="R1746" s="275"/>
      <c r="S1746" s="275"/>
      <c r="T1746" s="275"/>
      <c r="U1746" s="276">
        <v>0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161</v>
      </c>
      <c r="B1747" s="271" t="s">
        <v>1916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0</v>
      </c>
      <c r="K1747" s="273"/>
      <c r="L1747" s="273"/>
      <c r="M1747" s="274">
        <v>0</v>
      </c>
      <c r="N1747" s="272">
        <v>0</v>
      </c>
      <c r="O1747" s="275"/>
      <c r="P1747" s="275"/>
      <c r="Q1747" s="275"/>
      <c r="R1747" s="275"/>
      <c r="S1747" s="275"/>
      <c r="T1747" s="275"/>
      <c r="U1747" s="276">
        <v>0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161</v>
      </c>
      <c r="B1748" s="271" t="s">
        <v>1917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0</v>
      </c>
      <c r="K1748" s="273"/>
      <c r="L1748" s="273"/>
      <c r="M1748" s="274">
        <v>0</v>
      </c>
      <c r="N1748" s="272">
        <v>0</v>
      </c>
      <c r="O1748" s="275"/>
      <c r="P1748" s="275"/>
      <c r="Q1748" s="275"/>
      <c r="R1748" s="275"/>
      <c r="S1748" s="275"/>
      <c r="T1748" s="275"/>
      <c r="U1748" s="276">
        <v>0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161</v>
      </c>
      <c r="B1749" s="271" t="s">
        <v>1918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0</v>
      </c>
      <c r="K1749" s="273"/>
      <c r="L1749" s="273"/>
      <c r="M1749" s="274">
        <v>0</v>
      </c>
      <c r="N1749" s="272">
        <v>0</v>
      </c>
      <c r="O1749" s="275"/>
      <c r="P1749" s="275"/>
      <c r="Q1749" s="275"/>
      <c r="R1749" s="275"/>
      <c r="S1749" s="275"/>
      <c r="T1749" s="275"/>
      <c r="U1749" s="276">
        <v>0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161</v>
      </c>
      <c r="B1750" s="271" t="s">
        <v>1919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0</v>
      </c>
      <c r="K1750" s="273"/>
      <c r="L1750" s="273"/>
      <c r="M1750" s="274">
        <v>0</v>
      </c>
      <c r="N1750" s="272">
        <v>0</v>
      </c>
      <c r="O1750" s="275"/>
      <c r="P1750" s="275"/>
      <c r="Q1750" s="275"/>
      <c r="R1750" s="275"/>
      <c r="S1750" s="275"/>
      <c r="T1750" s="275"/>
      <c r="U1750" s="276">
        <v>0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161</v>
      </c>
      <c r="B1751" s="271" t="s">
        <v>1920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0</v>
      </c>
      <c r="K1751" s="273"/>
      <c r="L1751" s="273"/>
      <c r="M1751" s="274">
        <v>0</v>
      </c>
      <c r="N1751" s="272">
        <v>0</v>
      </c>
      <c r="O1751" s="275"/>
      <c r="P1751" s="275"/>
      <c r="Q1751" s="275"/>
      <c r="R1751" s="275"/>
      <c r="S1751" s="275"/>
      <c r="T1751" s="275"/>
      <c r="U1751" s="276">
        <v>0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161</v>
      </c>
      <c r="B1752" s="271" t="s">
        <v>1921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0</v>
      </c>
      <c r="K1752" s="273"/>
      <c r="L1752" s="273"/>
      <c r="M1752" s="274">
        <v>0</v>
      </c>
      <c r="N1752" s="272">
        <v>0</v>
      </c>
      <c r="O1752" s="275"/>
      <c r="P1752" s="275"/>
      <c r="Q1752" s="275"/>
      <c r="R1752" s="275"/>
      <c r="S1752" s="275"/>
      <c r="T1752" s="275"/>
      <c r="U1752" s="276">
        <v>0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161</v>
      </c>
      <c r="B1753" s="271" t="s">
        <v>1922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0</v>
      </c>
      <c r="K1753" s="273"/>
      <c r="L1753" s="273"/>
      <c r="M1753" s="274">
        <v>0</v>
      </c>
      <c r="N1753" s="272">
        <v>0</v>
      </c>
      <c r="O1753" s="275"/>
      <c r="P1753" s="275"/>
      <c r="Q1753" s="275"/>
      <c r="R1753" s="275"/>
      <c r="S1753" s="275"/>
      <c r="T1753" s="275"/>
      <c r="U1753" s="276">
        <v>0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161</v>
      </c>
      <c r="B1754" s="271" t="s">
        <v>1923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0</v>
      </c>
      <c r="K1754" s="273"/>
      <c r="L1754" s="273"/>
      <c r="M1754" s="274">
        <v>0</v>
      </c>
      <c r="N1754" s="272">
        <v>0</v>
      </c>
      <c r="O1754" s="275"/>
      <c r="P1754" s="275"/>
      <c r="Q1754" s="275"/>
      <c r="R1754" s="275"/>
      <c r="S1754" s="275"/>
      <c r="T1754" s="275"/>
      <c r="U1754" s="276">
        <v>0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161</v>
      </c>
      <c r="B1755" s="271" t="s">
        <v>1924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0</v>
      </c>
      <c r="K1755" s="273"/>
      <c r="L1755" s="273"/>
      <c r="M1755" s="274">
        <v>0</v>
      </c>
      <c r="N1755" s="272">
        <v>0</v>
      </c>
      <c r="O1755" s="275"/>
      <c r="P1755" s="275"/>
      <c r="Q1755" s="275"/>
      <c r="R1755" s="275"/>
      <c r="S1755" s="275"/>
      <c r="T1755" s="275"/>
      <c r="U1755" s="276">
        <v>0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161</v>
      </c>
      <c r="B1756" s="271" t="s">
        <v>1925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0</v>
      </c>
      <c r="K1756" s="273"/>
      <c r="L1756" s="273"/>
      <c r="M1756" s="274">
        <v>0</v>
      </c>
      <c r="N1756" s="272">
        <v>0</v>
      </c>
      <c r="O1756" s="275"/>
      <c r="P1756" s="275"/>
      <c r="Q1756" s="275"/>
      <c r="R1756" s="275"/>
      <c r="S1756" s="275"/>
      <c r="T1756" s="275"/>
      <c r="U1756" s="276">
        <v>0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161</v>
      </c>
      <c r="B1757" s="271" t="s">
        <v>1926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0</v>
      </c>
      <c r="K1757" s="273"/>
      <c r="L1757" s="273"/>
      <c r="M1757" s="274">
        <v>0</v>
      </c>
      <c r="N1757" s="272">
        <v>0</v>
      </c>
      <c r="O1757" s="275"/>
      <c r="P1757" s="275"/>
      <c r="Q1757" s="275"/>
      <c r="R1757" s="275"/>
      <c r="S1757" s="275"/>
      <c r="T1757" s="275"/>
      <c r="U1757" s="276">
        <v>0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161</v>
      </c>
      <c r="B1758" s="271" t="s">
        <v>1927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0</v>
      </c>
      <c r="K1758" s="273"/>
      <c r="L1758" s="273"/>
      <c r="M1758" s="274">
        <v>0</v>
      </c>
      <c r="N1758" s="272">
        <v>0</v>
      </c>
      <c r="O1758" s="275"/>
      <c r="P1758" s="275"/>
      <c r="Q1758" s="275"/>
      <c r="R1758" s="275"/>
      <c r="S1758" s="275"/>
      <c r="T1758" s="275"/>
      <c r="U1758" s="276">
        <v>0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161</v>
      </c>
      <c r="B1759" s="271" t="s">
        <v>1928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0</v>
      </c>
      <c r="K1759" s="273"/>
      <c r="L1759" s="273"/>
      <c r="M1759" s="274">
        <v>0</v>
      </c>
      <c r="N1759" s="272">
        <v>0</v>
      </c>
      <c r="O1759" s="275"/>
      <c r="P1759" s="275"/>
      <c r="Q1759" s="275"/>
      <c r="R1759" s="275"/>
      <c r="S1759" s="275"/>
      <c r="T1759" s="275"/>
      <c r="U1759" s="276">
        <v>0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161</v>
      </c>
      <c r="B1760" s="271" t="s">
        <v>1929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0</v>
      </c>
      <c r="K1760" s="273"/>
      <c r="L1760" s="273"/>
      <c r="M1760" s="274">
        <v>0</v>
      </c>
      <c r="N1760" s="272">
        <v>0</v>
      </c>
      <c r="O1760" s="275"/>
      <c r="P1760" s="275"/>
      <c r="Q1760" s="275"/>
      <c r="R1760" s="275"/>
      <c r="S1760" s="275"/>
      <c r="T1760" s="275"/>
      <c r="U1760" s="276">
        <v>0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161</v>
      </c>
      <c r="B1761" s="271" t="s">
        <v>1930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0</v>
      </c>
      <c r="K1761" s="273"/>
      <c r="L1761" s="273"/>
      <c r="M1761" s="274">
        <v>0</v>
      </c>
      <c r="N1761" s="272">
        <v>0</v>
      </c>
      <c r="O1761" s="275"/>
      <c r="P1761" s="275"/>
      <c r="Q1761" s="275"/>
      <c r="R1761" s="275"/>
      <c r="S1761" s="275"/>
      <c r="T1761" s="275"/>
      <c r="U1761" s="276">
        <v>0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161</v>
      </c>
      <c r="B1762" s="271" t="s">
        <v>1931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0</v>
      </c>
      <c r="K1762" s="273"/>
      <c r="L1762" s="273"/>
      <c r="M1762" s="274">
        <v>0</v>
      </c>
      <c r="N1762" s="272">
        <v>0</v>
      </c>
      <c r="O1762" s="275"/>
      <c r="P1762" s="275"/>
      <c r="Q1762" s="275"/>
      <c r="R1762" s="275"/>
      <c r="S1762" s="275"/>
      <c r="T1762" s="275"/>
      <c r="U1762" s="276">
        <v>0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161</v>
      </c>
      <c r="B1763" s="271" t="s">
        <v>1932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0</v>
      </c>
      <c r="K1763" s="273"/>
      <c r="L1763" s="273"/>
      <c r="M1763" s="274">
        <v>0</v>
      </c>
      <c r="N1763" s="272">
        <v>0</v>
      </c>
      <c r="O1763" s="275"/>
      <c r="P1763" s="275"/>
      <c r="Q1763" s="275"/>
      <c r="R1763" s="275"/>
      <c r="S1763" s="275"/>
      <c r="T1763" s="275"/>
      <c r="U1763" s="276">
        <v>0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161</v>
      </c>
      <c r="B1764" s="271" t="s">
        <v>1933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0</v>
      </c>
      <c r="K1764" s="273"/>
      <c r="L1764" s="273"/>
      <c r="M1764" s="274">
        <v>0</v>
      </c>
      <c r="N1764" s="272">
        <v>0</v>
      </c>
      <c r="O1764" s="275"/>
      <c r="P1764" s="275"/>
      <c r="Q1764" s="275"/>
      <c r="R1764" s="275"/>
      <c r="S1764" s="275"/>
      <c r="T1764" s="275"/>
      <c r="U1764" s="276">
        <v>0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161</v>
      </c>
      <c r="B1765" s="271" t="s">
        <v>1934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0</v>
      </c>
      <c r="K1765" s="273"/>
      <c r="L1765" s="273"/>
      <c r="M1765" s="274">
        <v>0</v>
      </c>
      <c r="N1765" s="272">
        <v>0</v>
      </c>
      <c r="O1765" s="275"/>
      <c r="P1765" s="275"/>
      <c r="Q1765" s="275"/>
      <c r="R1765" s="275"/>
      <c r="S1765" s="275"/>
      <c r="T1765" s="275"/>
      <c r="U1765" s="276">
        <v>0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161</v>
      </c>
      <c r="B1766" s="271" t="s">
        <v>1935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0</v>
      </c>
      <c r="K1766" s="273"/>
      <c r="L1766" s="273"/>
      <c r="M1766" s="274">
        <v>0</v>
      </c>
      <c r="N1766" s="272">
        <v>0</v>
      </c>
      <c r="O1766" s="275"/>
      <c r="P1766" s="275"/>
      <c r="Q1766" s="275"/>
      <c r="R1766" s="275"/>
      <c r="S1766" s="275"/>
      <c r="T1766" s="275"/>
      <c r="U1766" s="276">
        <v>0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161</v>
      </c>
      <c r="B1767" s="271" t="s">
        <v>1936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0</v>
      </c>
      <c r="K1767" s="273"/>
      <c r="L1767" s="273"/>
      <c r="M1767" s="274">
        <v>0</v>
      </c>
      <c r="N1767" s="272">
        <v>0</v>
      </c>
      <c r="O1767" s="275"/>
      <c r="P1767" s="275"/>
      <c r="Q1767" s="275"/>
      <c r="R1767" s="275"/>
      <c r="S1767" s="275"/>
      <c r="T1767" s="275"/>
      <c r="U1767" s="276">
        <v>0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161</v>
      </c>
      <c r="B1768" s="271" t="s">
        <v>1937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0</v>
      </c>
      <c r="K1768" s="273"/>
      <c r="L1768" s="273"/>
      <c r="M1768" s="274">
        <v>0</v>
      </c>
      <c r="N1768" s="272">
        <v>0</v>
      </c>
      <c r="O1768" s="275"/>
      <c r="P1768" s="275"/>
      <c r="Q1768" s="275"/>
      <c r="R1768" s="275"/>
      <c r="S1768" s="275"/>
      <c r="T1768" s="275"/>
      <c r="U1768" s="276">
        <v>0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161</v>
      </c>
      <c r="B1769" s="271" t="s">
        <v>1938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0</v>
      </c>
      <c r="K1769" s="273"/>
      <c r="L1769" s="273"/>
      <c r="M1769" s="274">
        <v>0</v>
      </c>
      <c r="N1769" s="272">
        <v>0</v>
      </c>
      <c r="O1769" s="275"/>
      <c r="P1769" s="275"/>
      <c r="Q1769" s="275"/>
      <c r="R1769" s="275"/>
      <c r="S1769" s="275"/>
      <c r="T1769" s="275"/>
      <c r="U1769" s="276">
        <v>0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161</v>
      </c>
      <c r="B1770" s="271" t="s">
        <v>1939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0</v>
      </c>
      <c r="K1770" s="273"/>
      <c r="L1770" s="273"/>
      <c r="M1770" s="274">
        <v>0</v>
      </c>
      <c r="N1770" s="272">
        <v>0</v>
      </c>
      <c r="O1770" s="275"/>
      <c r="P1770" s="275"/>
      <c r="Q1770" s="275"/>
      <c r="R1770" s="275"/>
      <c r="S1770" s="275"/>
      <c r="T1770" s="275"/>
      <c r="U1770" s="276">
        <v>0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161</v>
      </c>
      <c r="B1771" s="271" t="s">
        <v>1940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0</v>
      </c>
      <c r="K1771" s="273"/>
      <c r="L1771" s="273"/>
      <c r="M1771" s="274">
        <v>0</v>
      </c>
      <c r="N1771" s="272">
        <v>0</v>
      </c>
      <c r="O1771" s="275"/>
      <c r="P1771" s="275"/>
      <c r="Q1771" s="275"/>
      <c r="R1771" s="275"/>
      <c r="S1771" s="275"/>
      <c r="T1771" s="275"/>
      <c r="U1771" s="276">
        <v>0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161</v>
      </c>
      <c r="B1772" s="271" t="s">
        <v>1941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0</v>
      </c>
      <c r="K1772" s="273"/>
      <c r="L1772" s="273"/>
      <c r="M1772" s="274">
        <v>0</v>
      </c>
      <c r="N1772" s="272">
        <v>0</v>
      </c>
      <c r="O1772" s="275"/>
      <c r="P1772" s="275"/>
      <c r="Q1772" s="275"/>
      <c r="R1772" s="275"/>
      <c r="S1772" s="275"/>
      <c r="T1772" s="275"/>
      <c r="U1772" s="276">
        <v>0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161</v>
      </c>
      <c r="B1773" s="271" t="s">
        <v>1942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0</v>
      </c>
      <c r="K1773" s="273"/>
      <c r="L1773" s="273"/>
      <c r="M1773" s="274">
        <v>0</v>
      </c>
      <c r="N1773" s="272">
        <v>0</v>
      </c>
      <c r="O1773" s="275"/>
      <c r="P1773" s="275"/>
      <c r="Q1773" s="275"/>
      <c r="R1773" s="275"/>
      <c r="S1773" s="275"/>
      <c r="T1773" s="275"/>
      <c r="U1773" s="276">
        <v>0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161</v>
      </c>
      <c r="B1774" s="271" t="s">
        <v>1943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0</v>
      </c>
      <c r="K1774" s="273"/>
      <c r="L1774" s="273"/>
      <c r="M1774" s="274">
        <v>0</v>
      </c>
      <c r="N1774" s="272">
        <v>0</v>
      </c>
      <c r="O1774" s="275"/>
      <c r="P1774" s="275"/>
      <c r="Q1774" s="275"/>
      <c r="R1774" s="275"/>
      <c r="S1774" s="275"/>
      <c r="T1774" s="275"/>
      <c r="U1774" s="276">
        <v>0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161</v>
      </c>
      <c r="B1775" s="271" t="s">
        <v>1944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0</v>
      </c>
      <c r="K1775" s="273"/>
      <c r="L1775" s="273"/>
      <c r="M1775" s="274">
        <v>0</v>
      </c>
      <c r="N1775" s="272">
        <v>0</v>
      </c>
      <c r="O1775" s="275"/>
      <c r="P1775" s="275"/>
      <c r="Q1775" s="275"/>
      <c r="R1775" s="275"/>
      <c r="S1775" s="275"/>
      <c r="T1775" s="275"/>
      <c r="U1775" s="276">
        <v>0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161</v>
      </c>
      <c r="B1776" s="271" t="s">
        <v>1945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0</v>
      </c>
      <c r="K1776" s="273"/>
      <c r="L1776" s="273"/>
      <c r="M1776" s="274">
        <v>0</v>
      </c>
      <c r="N1776" s="272">
        <v>0</v>
      </c>
      <c r="O1776" s="275"/>
      <c r="P1776" s="275"/>
      <c r="Q1776" s="275"/>
      <c r="R1776" s="275"/>
      <c r="S1776" s="275"/>
      <c r="T1776" s="275"/>
      <c r="U1776" s="276">
        <v>0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161</v>
      </c>
      <c r="B1777" s="271" t="s">
        <v>1946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0</v>
      </c>
      <c r="K1777" s="273"/>
      <c r="L1777" s="273"/>
      <c r="M1777" s="274">
        <v>0</v>
      </c>
      <c r="N1777" s="272">
        <v>0</v>
      </c>
      <c r="O1777" s="275"/>
      <c r="P1777" s="275"/>
      <c r="Q1777" s="275"/>
      <c r="R1777" s="275"/>
      <c r="S1777" s="275"/>
      <c r="T1777" s="275"/>
      <c r="U1777" s="276">
        <v>0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161</v>
      </c>
      <c r="B1778" s="271" t="s">
        <v>1947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0</v>
      </c>
      <c r="K1778" s="273"/>
      <c r="L1778" s="273"/>
      <c r="M1778" s="274">
        <v>0</v>
      </c>
      <c r="N1778" s="272">
        <v>0</v>
      </c>
      <c r="O1778" s="275"/>
      <c r="P1778" s="275"/>
      <c r="Q1778" s="275"/>
      <c r="R1778" s="275"/>
      <c r="S1778" s="275"/>
      <c r="T1778" s="275"/>
      <c r="U1778" s="276">
        <v>0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161</v>
      </c>
      <c r="B1779" s="271" t="s">
        <v>1948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0</v>
      </c>
      <c r="K1779" s="273"/>
      <c r="L1779" s="273"/>
      <c r="M1779" s="274">
        <v>0</v>
      </c>
      <c r="N1779" s="272">
        <v>0</v>
      </c>
      <c r="O1779" s="275"/>
      <c r="P1779" s="275"/>
      <c r="Q1779" s="275"/>
      <c r="R1779" s="275"/>
      <c r="S1779" s="275"/>
      <c r="T1779" s="275"/>
      <c r="U1779" s="276">
        <v>0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161</v>
      </c>
      <c r="B1780" s="271" t="s">
        <v>1949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0</v>
      </c>
      <c r="K1780" s="273"/>
      <c r="L1780" s="273"/>
      <c r="M1780" s="274">
        <v>0</v>
      </c>
      <c r="N1780" s="272">
        <v>0</v>
      </c>
      <c r="O1780" s="275"/>
      <c r="P1780" s="275"/>
      <c r="Q1780" s="275"/>
      <c r="R1780" s="275"/>
      <c r="S1780" s="275"/>
      <c r="T1780" s="275"/>
      <c r="U1780" s="276">
        <v>0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161</v>
      </c>
      <c r="B1781" s="271" t="s">
        <v>1950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0</v>
      </c>
      <c r="K1781" s="273"/>
      <c r="L1781" s="273"/>
      <c r="M1781" s="274">
        <v>0</v>
      </c>
      <c r="N1781" s="272">
        <v>0</v>
      </c>
      <c r="O1781" s="275"/>
      <c r="P1781" s="275"/>
      <c r="Q1781" s="275"/>
      <c r="R1781" s="275"/>
      <c r="S1781" s="275"/>
      <c r="T1781" s="275"/>
      <c r="U1781" s="276">
        <v>0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161</v>
      </c>
      <c r="B1782" s="271" t="s">
        <v>1951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0</v>
      </c>
      <c r="K1782" s="273"/>
      <c r="L1782" s="273"/>
      <c r="M1782" s="274">
        <v>0</v>
      </c>
      <c r="N1782" s="272">
        <v>0</v>
      </c>
      <c r="O1782" s="275"/>
      <c r="P1782" s="275"/>
      <c r="Q1782" s="275"/>
      <c r="R1782" s="275"/>
      <c r="S1782" s="275"/>
      <c r="T1782" s="275"/>
      <c r="U1782" s="276">
        <v>0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161</v>
      </c>
      <c r="B1783" s="271" t="s">
        <v>1952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0</v>
      </c>
      <c r="K1783" s="273"/>
      <c r="L1783" s="273"/>
      <c r="M1783" s="274">
        <v>0</v>
      </c>
      <c r="N1783" s="272">
        <v>0</v>
      </c>
      <c r="O1783" s="275"/>
      <c r="P1783" s="275"/>
      <c r="Q1783" s="275"/>
      <c r="R1783" s="275"/>
      <c r="S1783" s="275"/>
      <c r="T1783" s="275"/>
      <c r="U1783" s="276">
        <v>0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161</v>
      </c>
      <c r="B1784" s="271" t="s">
        <v>1953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0</v>
      </c>
      <c r="K1784" s="273"/>
      <c r="L1784" s="273"/>
      <c r="M1784" s="274">
        <v>0</v>
      </c>
      <c r="N1784" s="272">
        <v>0</v>
      </c>
      <c r="O1784" s="275"/>
      <c r="P1784" s="275"/>
      <c r="Q1784" s="275"/>
      <c r="R1784" s="275"/>
      <c r="S1784" s="275"/>
      <c r="T1784" s="275"/>
      <c r="U1784" s="276">
        <v>0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161</v>
      </c>
      <c r="B1785" s="271" t="s">
        <v>1954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0</v>
      </c>
      <c r="K1785" s="273"/>
      <c r="L1785" s="273"/>
      <c r="M1785" s="274">
        <v>0</v>
      </c>
      <c r="N1785" s="272">
        <v>0</v>
      </c>
      <c r="O1785" s="275"/>
      <c r="P1785" s="275"/>
      <c r="Q1785" s="275"/>
      <c r="R1785" s="275"/>
      <c r="S1785" s="275"/>
      <c r="T1785" s="275"/>
      <c r="U1785" s="276">
        <v>0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161</v>
      </c>
      <c r="B1786" s="271" t="s">
        <v>1955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0</v>
      </c>
      <c r="K1786" s="273"/>
      <c r="L1786" s="273"/>
      <c r="M1786" s="274">
        <v>0</v>
      </c>
      <c r="N1786" s="272">
        <v>0</v>
      </c>
      <c r="O1786" s="275"/>
      <c r="P1786" s="275"/>
      <c r="Q1786" s="275"/>
      <c r="R1786" s="275"/>
      <c r="S1786" s="275"/>
      <c r="T1786" s="275"/>
      <c r="U1786" s="276">
        <v>0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161</v>
      </c>
      <c r="B1787" s="271" t="s">
        <v>1956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0</v>
      </c>
      <c r="K1787" s="273"/>
      <c r="L1787" s="273"/>
      <c r="M1787" s="274">
        <v>0</v>
      </c>
      <c r="N1787" s="272">
        <v>0</v>
      </c>
      <c r="O1787" s="275"/>
      <c r="P1787" s="275"/>
      <c r="Q1787" s="275"/>
      <c r="R1787" s="275"/>
      <c r="S1787" s="275"/>
      <c r="T1787" s="275"/>
      <c r="U1787" s="276">
        <v>0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161</v>
      </c>
      <c r="B1788" s="271" t="s">
        <v>1957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0</v>
      </c>
      <c r="K1788" s="273"/>
      <c r="L1788" s="273"/>
      <c r="M1788" s="274">
        <v>0</v>
      </c>
      <c r="N1788" s="272">
        <v>0</v>
      </c>
      <c r="O1788" s="275"/>
      <c r="P1788" s="275"/>
      <c r="Q1788" s="275"/>
      <c r="R1788" s="275"/>
      <c r="S1788" s="275"/>
      <c r="T1788" s="275"/>
      <c r="U1788" s="276">
        <v>0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161</v>
      </c>
      <c r="B1789" s="271" t="s">
        <v>1958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0</v>
      </c>
      <c r="K1789" s="273"/>
      <c r="L1789" s="273"/>
      <c r="M1789" s="274">
        <v>0</v>
      </c>
      <c r="N1789" s="272">
        <v>0</v>
      </c>
      <c r="O1789" s="275"/>
      <c r="P1789" s="275"/>
      <c r="Q1789" s="275"/>
      <c r="R1789" s="275"/>
      <c r="S1789" s="275"/>
      <c r="T1789" s="275"/>
      <c r="U1789" s="276">
        <v>0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161</v>
      </c>
      <c r="B1790" s="271" t="s">
        <v>1959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0</v>
      </c>
      <c r="K1790" s="273"/>
      <c r="L1790" s="273"/>
      <c r="M1790" s="274">
        <v>0</v>
      </c>
      <c r="N1790" s="272">
        <v>0</v>
      </c>
      <c r="O1790" s="275"/>
      <c r="P1790" s="275"/>
      <c r="Q1790" s="275"/>
      <c r="R1790" s="275"/>
      <c r="S1790" s="275"/>
      <c r="T1790" s="275"/>
      <c r="U1790" s="276">
        <v>0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161</v>
      </c>
      <c r="B1791" s="271" t="s">
        <v>1960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0</v>
      </c>
      <c r="K1791" s="273"/>
      <c r="L1791" s="273"/>
      <c r="M1791" s="274">
        <v>0</v>
      </c>
      <c r="N1791" s="272">
        <v>0</v>
      </c>
      <c r="O1791" s="275"/>
      <c r="P1791" s="275"/>
      <c r="Q1791" s="275"/>
      <c r="R1791" s="275"/>
      <c r="S1791" s="275"/>
      <c r="T1791" s="275"/>
      <c r="U1791" s="276">
        <v>0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161</v>
      </c>
      <c r="B1792" s="271" t="s">
        <v>1961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0</v>
      </c>
      <c r="K1792" s="273"/>
      <c r="L1792" s="273"/>
      <c r="M1792" s="274">
        <v>0</v>
      </c>
      <c r="N1792" s="272">
        <v>0</v>
      </c>
      <c r="O1792" s="275"/>
      <c r="P1792" s="275"/>
      <c r="Q1792" s="275"/>
      <c r="R1792" s="275"/>
      <c r="S1792" s="275"/>
      <c r="T1792" s="275"/>
      <c r="U1792" s="276">
        <v>0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161</v>
      </c>
      <c r="B1793" s="271" t="s">
        <v>1962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0</v>
      </c>
      <c r="K1793" s="273"/>
      <c r="L1793" s="273"/>
      <c r="M1793" s="274">
        <v>0</v>
      </c>
      <c r="N1793" s="272">
        <v>0</v>
      </c>
      <c r="O1793" s="275"/>
      <c r="P1793" s="275"/>
      <c r="Q1793" s="275"/>
      <c r="R1793" s="275"/>
      <c r="S1793" s="275"/>
      <c r="T1793" s="275"/>
      <c r="U1793" s="276">
        <v>0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161</v>
      </c>
      <c r="B1794" s="271" t="s">
        <v>1963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0</v>
      </c>
      <c r="K1794" s="273"/>
      <c r="L1794" s="273"/>
      <c r="M1794" s="274">
        <v>0</v>
      </c>
      <c r="N1794" s="272">
        <v>0</v>
      </c>
      <c r="O1794" s="275"/>
      <c r="P1794" s="275"/>
      <c r="Q1794" s="275"/>
      <c r="R1794" s="275"/>
      <c r="S1794" s="275"/>
      <c r="T1794" s="275"/>
      <c r="U1794" s="276">
        <v>0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161</v>
      </c>
      <c r="B1795" s="271" t="s">
        <v>1964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0</v>
      </c>
      <c r="K1795" s="273"/>
      <c r="L1795" s="273"/>
      <c r="M1795" s="274">
        <v>0</v>
      </c>
      <c r="N1795" s="272">
        <v>0</v>
      </c>
      <c r="O1795" s="275"/>
      <c r="P1795" s="275"/>
      <c r="Q1795" s="275"/>
      <c r="R1795" s="275"/>
      <c r="S1795" s="275"/>
      <c r="T1795" s="275"/>
      <c r="U1795" s="276">
        <v>0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161</v>
      </c>
      <c r="B1796" s="271" t="s">
        <v>1965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0</v>
      </c>
      <c r="K1796" s="273"/>
      <c r="L1796" s="273"/>
      <c r="M1796" s="274">
        <v>0</v>
      </c>
      <c r="N1796" s="272">
        <v>0</v>
      </c>
      <c r="O1796" s="275"/>
      <c r="P1796" s="275"/>
      <c r="Q1796" s="275"/>
      <c r="R1796" s="275"/>
      <c r="S1796" s="275"/>
      <c r="T1796" s="275"/>
      <c r="U1796" s="276">
        <v>0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161</v>
      </c>
      <c r="B1797" s="271" t="s">
        <v>1966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0</v>
      </c>
      <c r="K1797" s="273"/>
      <c r="L1797" s="273"/>
      <c r="M1797" s="274">
        <v>0</v>
      </c>
      <c r="N1797" s="272">
        <v>0</v>
      </c>
      <c r="O1797" s="275"/>
      <c r="P1797" s="275"/>
      <c r="Q1797" s="275"/>
      <c r="R1797" s="275"/>
      <c r="S1797" s="275"/>
      <c r="T1797" s="275"/>
      <c r="U1797" s="276">
        <v>0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161</v>
      </c>
      <c r="B1798" s="271" t="s">
        <v>1967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0</v>
      </c>
      <c r="K1798" s="273"/>
      <c r="L1798" s="273"/>
      <c r="M1798" s="274">
        <v>0</v>
      </c>
      <c r="N1798" s="272">
        <v>0</v>
      </c>
      <c r="O1798" s="275"/>
      <c r="P1798" s="275"/>
      <c r="Q1798" s="275"/>
      <c r="R1798" s="275"/>
      <c r="S1798" s="275"/>
      <c r="T1798" s="275"/>
      <c r="U1798" s="276">
        <v>0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161</v>
      </c>
      <c r="B1799" s="271" t="s">
        <v>1968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0</v>
      </c>
      <c r="K1799" s="273"/>
      <c r="L1799" s="273"/>
      <c r="M1799" s="274">
        <v>0</v>
      </c>
      <c r="N1799" s="272">
        <v>0</v>
      </c>
      <c r="O1799" s="275"/>
      <c r="P1799" s="275"/>
      <c r="Q1799" s="275"/>
      <c r="R1799" s="275"/>
      <c r="S1799" s="275"/>
      <c r="T1799" s="275"/>
      <c r="U1799" s="276">
        <v>0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161</v>
      </c>
      <c r="B1800" s="271" t="s">
        <v>1969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0</v>
      </c>
      <c r="K1800" s="273"/>
      <c r="L1800" s="273"/>
      <c r="M1800" s="274">
        <v>0</v>
      </c>
      <c r="N1800" s="272">
        <v>0</v>
      </c>
      <c r="O1800" s="275"/>
      <c r="P1800" s="275"/>
      <c r="Q1800" s="275"/>
      <c r="R1800" s="275"/>
      <c r="S1800" s="275"/>
      <c r="T1800" s="275"/>
      <c r="U1800" s="276">
        <v>0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161</v>
      </c>
      <c r="B1801" s="271" t="s">
        <v>1970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0</v>
      </c>
      <c r="K1801" s="273"/>
      <c r="L1801" s="273"/>
      <c r="M1801" s="274">
        <v>0</v>
      </c>
      <c r="N1801" s="272">
        <v>0</v>
      </c>
      <c r="O1801" s="275"/>
      <c r="P1801" s="275"/>
      <c r="Q1801" s="275"/>
      <c r="R1801" s="275"/>
      <c r="S1801" s="275"/>
      <c r="T1801" s="275"/>
      <c r="U1801" s="276">
        <v>0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161</v>
      </c>
      <c r="B1802" s="271" t="s">
        <v>1971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0</v>
      </c>
      <c r="K1802" s="273"/>
      <c r="L1802" s="273"/>
      <c r="M1802" s="274">
        <v>0</v>
      </c>
      <c r="N1802" s="272">
        <v>0</v>
      </c>
      <c r="O1802" s="275"/>
      <c r="P1802" s="275"/>
      <c r="Q1802" s="275"/>
      <c r="R1802" s="275"/>
      <c r="S1802" s="275"/>
      <c r="T1802" s="275"/>
      <c r="U1802" s="276">
        <v>0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161</v>
      </c>
      <c r="B1803" s="271" t="s">
        <v>1972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0</v>
      </c>
      <c r="K1803" s="273"/>
      <c r="L1803" s="273"/>
      <c r="M1803" s="274">
        <v>0</v>
      </c>
      <c r="N1803" s="272">
        <v>0</v>
      </c>
      <c r="O1803" s="275"/>
      <c r="P1803" s="275"/>
      <c r="Q1803" s="275"/>
      <c r="R1803" s="275"/>
      <c r="S1803" s="275"/>
      <c r="T1803" s="275"/>
      <c r="U1803" s="276">
        <v>0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161</v>
      </c>
      <c r="B1804" s="271" t="s">
        <v>1973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0</v>
      </c>
      <c r="K1804" s="273"/>
      <c r="L1804" s="273"/>
      <c r="M1804" s="274">
        <v>0</v>
      </c>
      <c r="N1804" s="272">
        <v>0</v>
      </c>
      <c r="O1804" s="275"/>
      <c r="P1804" s="275"/>
      <c r="Q1804" s="275"/>
      <c r="R1804" s="275"/>
      <c r="S1804" s="275"/>
      <c r="T1804" s="275"/>
      <c r="U1804" s="276">
        <v>0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161</v>
      </c>
      <c r="B1805" s="271" t="s">
        <v>1974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0</v>
      </c>
      <c r="K1805" s="273"/>
      <c r="L1805" s="273"/>
      <c r="M1805" s="274">
        <v>0</v>
      </c>
      <c r="N1805" s="272">
        <v>0</v>
      </c>
      <c r="O1805" s="275"/>
      <c r="P1805" s="275"/>
      <c r="Q1805" s="275"/>
      <c r="R1805" s="275"/>
      <c r="S1805" s="275"/>
      <c r="T1805" s="275"/>
      <c r="U1805" s="276">
        <v>0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161</v>
      </c>
      <c r="B1806" s="271" t="s">
        <v>1975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0</v>
      </c>
      <c r="K1806" s="273"/>
      <c r="L1806" s="273"/>
      <c r="M1806" s="274">
        <v>0</v>
      </c>
      <c r="N1806" s="272">
        <v>0</v>
      </c>
      <c r="O1806" s="275"/>
      <c r="P1806" s="275"/>
      <c r="Q1806" s="275"/>
      <c r="R1806" s="275"/>
      <c r="S1806" s="275"/>
      <c r="T1806" s="275"/>
      <c r="U1806" s="276">
        <v>0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161</v>
      </c>
      <c r="B1807" s="271" t="s">
        <v>1976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0</v>
      </c>
      <c r="K1807" s="273"/>
      <c r="L1807" s="273"/>
      <c r="M1807" s="274">
        <v>0</v>
      </c>
      <c r="N1807" s="272">
        <v>0</v>
      </c>
      <c r="O1807" s="275"/>
      <c r="P1807" s="275"/>
      <c r="Q1807" s="275"/>
      <c r="R1807" s="275"/>
      <c r="S1807" s="275"/>
      <c r="T1807" s="275"/>
      <c r="U1807" s="276">
        <v>0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161</v>
      </c>
      <c r="B1808" s="271" t="s">
        <v>1977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0</v>
      </c>
      <c r="K1808" s="273"/>
      <c r="L1808" s="273"/>
      <c r="M1808" s="274">
        <v>0</v>
      </c>
      <c r="N1808" s="272">
        <v>0</v>
      </c>
      <c r="O1808" s="275"/>
      <c r="P1808" s="275"/>
      <c r="Q1808" s="275"/>
      <c r="R1808" s="275"/>
      <c r="S1808" s="275"/>
      <c r="T1808" s="275"/>
      <c r="U1808" s="276">
        <v>0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161</v>
      </c>
      <c r="B1809" s="271" t="s">
        <v>1978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0</v>
      </c>
      <c r="K1809" s="273"/>
      <c r="L1809" s="273"/>
      <c r="M1809" s="274">
        <v>0</v>
      </c>
      <c r="N1809" s="272">
        <v>0</v>
      </c>
      <c r="O1809" s="275"/>
      <c r="P1809" s="275"/>
      <c r="Q1809" s="275"/>
      <c r="R1809" s="275"/>
      <c r="S1809" s="275"/>
      <c r="T1809" s="275"/>
      <c r="U1809" s="276">
        <v>0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161</v>
      </c>
      <c r="B1810" s="271" t="s">
        <v>1979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0</v>
      </c>
      <c r="K1810" s="273"/>
      <c r="L1810" s="273"/>
      <c r="M1810" s="274">
        <v>0</v>
      </c>
      <c r="N1810" s="272">
        <v>0</v>
      </c>
      <c r="O1810" s="275"/>
      <c r="P1810" s="275"/>
      <c r="Q1810" s="275"/>
      <c r="R1810" s="275"/>
      <c r="S1810" s="275"/>
      <c r="T1810" s="275"/>
      <c r="U1810" s="276">
        <v>0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161</v>
      </c>
      <c r="B1811" s="271" t="s">
        <v>1980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0</v>
      </c>
      <c r="K1811" s="273"/>
      <c r="L1811" s="273"/>
      <c r="M1811" s="274">
        <v>0</v>
      </c>
      <c r="N1811" s="272">
        <v>0</v>
      </c>
      <c r="O1811" s="275"/>
      <c r="P1811" s="275"/>
      <c r="Q1811" s="275"/>
      <c r="R1811" s="275"/>
      <c r="S1811" s="275"/>
      <c r="T1811" s="275"/>
      <c r="U1811" s="276">
        <v>0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161</v>
      </c>
      <c r="B1812" s="271" t="s">
        <v>1981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0</v>
      </c>
      <c r="K1812" s="273"/>
      <c r="L1812" s="273"/>
      <c r="M1812" s="274">
        <v>0</v>
      </c>
      <c r="N1812" s="272">
        <v>0</v>
      </c>
      <c r="O1812" s="275"/>
      <c r="P1812" s="275"/>
      <c r="Q1812" s="275"/>
      <c r="R1812" s="275"/>
      <c r="S1812" s="275"/>
      <c r="T1812" s="275"/>
      <c r="U1812" s="276">
        <v>0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161</v>
      </c>
      <c r="B1813" s="271" t="s">
        <v>1982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0</v>
      </c>
      <c r="K1813" s="273"/>
      <c r="L1813" s="273"/>
      <c r="M1813" s="274">
        <v>0</v>
      </c>
      <c r="N1813" s="272">
        <v>0</v>
      </c>
      <c r="O1813" s="275"/>
      <c r="P1813" s="275"/>
      <c r="Q1813" s="275"/>
      <c r="R1813" s="275"/>
      <c r="S1813" s="275"/>
      <c r="T1813" s="275"/>
      <c r="U1813" s="276">
        <v>0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161</v>
      </c>
      <c r="B1814" s="271" t="s">
        <v>1983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0</v>
      </c>
      <c r="K1814" s="273"/>
      <c r="L1814" s="273"/>
      <c r="M1814" s="274">
        <v>0</v>
      </c>
      <c r="N1814" s="272">
        <v>0</v>
      </c>
      <c r="O1814" s="275"/>
      <c r="P1814" s="275"/>
      <c r="Q1814" s="275"/>
      <c r="R1814" s="275"/>
      <c r="S1814" s="275"/>
      <c r="T1814" s="275"/>
      <c r="U1814" s="276">
        <v>0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161</v>
      </c>
      <c r="B1815" s="271" t="s">
        <v>1984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0</v>
      </c>
      <c r="K1815" s="273"/>
      <c r="L1815" s="273"/>
      <c r="M1815" s="274">
        <v>0</v>
      </c>
      <c r="N1815" s="272">
        <v>0</v>
      </c>
      <c r="O1815" s="275"/>
      <c r="P1815" s="275"/>
      <c r="Q1815" s="275"/>
      <c r="R1815" s="275"/>
      <c r="S1815" s="275"/>
      <c r="T1815" s="275"/>
      <c r="U1815" s="276">
        <v>0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161</v>
      </c>
      <c r="B1816" s="271" t="s">
        <v>1985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0</v>
      </c>
      <c r="K1816" s="273"/>
      <c r="L1816" s="273"/>
      <c r="M1816" s="274">
        <v>0</v>
      </c>
      <c r="N1816" s="272">
        <v>0</v>
      </c>
      <c r="O1816" s="275"/>
      <c r="P1816" s="275"/>
      <c r="Q1816" s="275"/>
      <c r="R1816" s="275"/>
      <c r="S1816" s="275"/>
      <c r="T1816" s="275"/>
      <c r="U1816" s="276">
        <v>0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161</v>
      </c>
      <c r="B1817" s="271" t="s">
        <v>1986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0</v>
      </c>
      <c r="K1817" s="273"/>
      <c r="L1817" s="273"/>
      <c r="M1817" s="274">
        <v>0</v>
      </c>
      <c r="N1817" s="272">
        <v>0</v>
      </c>
      <c r="O1817" s="275"/>
      <c r="P1817" s="275"/>
      <c r="Q1817" s="275"/>
      <c r="R1817" s="275"/>
      <c r="S1817" s="275"/>
      <c r="T1817" s="275"/>
      <c r="U1817" s="276">
        <v>0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161</v>
      </c>
      <c r="B1818" s="271" t="s">
        <v>1987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0</v>
      </c>
      <c r="K1818" s="273"/>
      <c r="L1818" s="273"/>
      <c r="M1818" s="274">
        <v>0</v>
      </c>
      <c r="N1818" s="272">
        <v>0</v>
      </c>
      <c r="O1818" s="275"/>
      <c r="P1818" s="275"/>
      <c r="Q1818" s="275"/>
      <c r="R1818" s="275"/>
      <c r="S1818" s="275"/>
      <c r="T1818" s="275"/>
      <c r="U1818" s="276">
        <v>0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161</v>
      </c>
      <c r="B1819" s="271" t="s">
        <v>1988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0</v>
      </c>
      <c r="K1819" s="273"/>
      <c r="L1819" s="273"/>
      <c r="M1819" s="274">
        <v>0</v>
      </c>
      <c r="N1819" s="272">
        <v>0</v>
      </c>
      <c r="O1819" s="275"/>
      <c r="P1819" s="275"/>
      <c r="Q1819" s="275"/>
      <c r="R1819" s="275"/>
      <c r="S1819" s="275"/>
      <c r="T1819" s="275"/>
      <c r="U1819" s="276">
        <v>0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161</v>
      </c>
      <c r="B1820" s="271" t="s">
        <v>1989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0</v>
      </c>
      <c r="K1820" s="273"/>
      <c r="L1820" s="273"/>
      <c r="M1820" s="274">
        <v>0</v>
      </c>
      <c r="N1820" s="272">
        <v>0</v>
      </c>
      <c r="O1820" s="275"/>
      <c r="P1820" s="275"/>
      <c r="Q1820" s="275"/>
      <c r="R1820" s="275"/>
      <c r="S1820" s="275"/>
      <c r="T1820" s="275"/>
      <c r="U1820" s="276">
        <v>0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161</v>
      </c>
      <c r="B1821" s="271" t="s">
        <v>1990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0</v>
      </c>
      <c r="K1821" s="273"/>
      <c r="L1821" s="273"/>
      <c r="M1821" s="274">
        <v>0</v>
      </c>
      <c r="N1821" s="272">
        <v>0</v>
      </c>
      <c r="O1821" s="275"/>
      <c r="P1821" s="275"/>
      <c r="Q1821" s="275"/>
      <c r="R1821" s="275"/>
      <c r="S1821" s="275"/>
      <c r="T1821" s="275"/>
      <c r="U1821" s="276">
        <v>0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161</v>
      </c>
      <c r="B1822" s="271" t="s">
        <v>1991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0</v>
      </c>
      <c r="K1822" s="273"/>
      <c r="L1822" s="273"/>
      <c r="M1822" s="274">
        <v>0</v>
      </c>
      <c r="N1822" s="272">
        <v>0</v>
      </c>
      <c r="O1822" s="275"/>
      <c r="P1822" s="275"/>
      <c r="Q1822" s="275"/>
      <c r="R1822" s="275"/>
      <c r="S1822" s="275"/>
      <c r="T1822" s="275"/>
      <c r="U1822" s="276">
        <v>0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161</v>
      </c>
      <c r="B1823" s="271" t="s">
        <v>1992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0</v>
      </c>
      <c r="K1823" s="273"/>
      <c r="L1823" s="273"/>
      <c r="M1823" s="274">
        <v>0</v>
      </c>
      <c r="N1823" s="272">
        <v>0</v>
      </c>
      <c r="O1823" s="275"/>
      <c r="P1823" s="275"/>
      <c r="Q1823" s="275"/>
      <c r="R1823" s="275"/>
      <c r="S1823" s="275"/>
      <c r="T1823" s="275"/>
      <c r="U1823" s="276">
        <v>0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161</v>
      </c>
      <c r="B1824" s="271" t="s">
        <v>1993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0</v>
      </c>
      <c r="K1824" s="273"/>
      <c r="L1824" s="273"/>
      <c r="M1824" s="274">
        <v>0</v>
      </c>
      <c r="N1824" s="272">
        <v>0</v>
      </c>
      <c r="O1824" s="275"/>
      <c r="P1824" s="275"/>
      <c r="Q1824" s="275"/>
      <c r="R1824" s="275"/>
      <c r="S1824" s="275"/>
      <c r="T1824" s="275"/>
      <c r="U1824" s="276">
        <v>0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161</v>
      </c>
      <c r="B1825" s="271" t="s">
        <v>1994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0</v>
      </c>
      <c r="K1825" s="273"/>
      <c r="L1825" s="273"/>
      <c r="M1825" s="274">
        <v>0</v>
      </c>
      <c r="N1825" s="272">
        <v>0</v>
      </c>
      <c r="O1825" s="275"/>
      <c r="P1825" s="275"/>
      <c r="Q1825" s="275"/>
      <c r="R1825" s="275"/>
      <c r="S1825" s="275"/>
      <c r="T1825" s="275"/>
      <c r="U1825" s="276">
        <v>0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161</v>
      </c>
      <c r="B1826" s="271" t="s">
        <v>1995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0</v>
      </c>
      <c r="K1826" s="273"/>
      <c r="L1826" s="273"/>
      <c r="M1826" s="274">
        <v>0</v>
      </c>
      <c r="N1826" s="272">
        <v>0</v>
      </c>
      <c r="O1826" s="275"/>
      <c r="P1826" s="275"/>
      <c r="Q1826" s="275"/>
      <c r="R1826" s="275"/>
      <c r="S1826" s="275"/>
      <c r="T1826" s="275"/>
      <c r="U1826" s="276">
        <v>0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161</v>
      </c>
      <c r="B1827" s="271" t="s">
        <v>1996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0</v>
      </c>
      <c r="K1827" s="273"/>
      <c r="L1827" s="273"/>
      <c r="M1827" s="274">
        <v>0</v>
      </c>
      <c r="N1827" s="272">
        <v>0</v>
      </c>
      <c r="O1827" s="275"/>
      <c r="P1827" s="275"/>
      <c r="Q1827" s="275"/>
      <c r="R1827" s="275"/>
      <c r="S1827" s="275"/>
      <c r="T1827" s="275"/>
      <c r="U1827" s="276">
        <v>0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161</v>
      </c>
      <c r="B1828" s="271" t="s">
        <v>1997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0</v>
      </c>
      <c r="K1828" s="273"/>
      <c r="L1828" s="273"/>
      <c r="M1828" s="274">
        <v>0</v>
      </c>
      <c r="N1828" s="272">
        <v>0</v>
      </c>
      <c r="O1828" s="275"/>
      <c r="P1828" s="275"/>
      <c r="Q1828" s="275"/>
      <c r="R1828" s="275"/>
      <c r="S1828" s="275"/>
      <c r="T1828" s="275"/>
      <c r="U1828" s="276">
        <v>0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161</v>
      </c>
      <c r="B1829" s="271" t="s">
        <v>1998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0</v>
      </c>
      <c r="K1829" s="273"/>
      <c r="L1829" s="273"/>
      <c r="M1829" s="274">
        <v>0</v>
      </c>
      <c r="N1829" s="272">
        <v>0</v>
      </c>
      <c r="O1829" s="275"/>
      <c r="P1829" s="275"/>
      <c r="Q1829" s="275"/>
      <c r="R1829" s="275"/>
      <c r="S1829" s="275"/>
      <c r="T1829" s="275"/>
      <c r="U1829" s="276">
        <v>0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161</v>
      </c>
      <c r="B1830" s="271" t="s">
        <v>1999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0</v>
      </c>
      <c r="K1830" s="273"/>
      <c r="L1830" s="273"/>
      <c r="M1830" s="274">
        <v>0</v>
      </c>
      <c r="N1830" s="272">
        <v>0</v>
      </c>
      <c r="O1830" s="275"/>
      <c r="P1830" s="275"/>
      <c r="Q1830" s="275"/>
      <c r="R1830" s="275"/>
      <c r="S1830" s="275"/>
      <c r="T1830" s="275"/>
      <c r="U1830" s="276">
        <v>0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161</v>
      </c>
      <c r="B1831" s="271" t="s">
        <v>2000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0</v>
      </c>
      <c r="K1831" s="273"/>
      <c r="L1831" s="273"/>
      <c r="M1831" s="274">
        <v>0</v>
      </c>
      <c r="N1831" s="272">
        <v>0</v>
      </c>
      <c r="O1831" s="275"/>
      <c r="P1831" s="275"/>
      <c r="Q1831" s="275"/>
      <c r="R1831" s="275"/>
      <c r="S1831" s="275"/>
      <c r="T1831" s="275"/>
      <c r="U1831" s="276">
        <v>0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161</v>
      </c>
      <c r="B1832" s="271" t="s">
        <v>2001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0</v>
      </c>
      <c r="K1832" s="273"/>
      <c r="L1832" s="273"/>
      <c r="M1832" s="274">
        <v>0</v>
      </c>
      <c r="N1832" s="272">
        <v>0</v>
      </c>
      <c r="O1832" s="275"/>
      <c r="P1832" s="275"/>
      <c r="Q1832" s="275"/>
      <c r="R1832" s="275"/>
      <c r="S1832" s="275"/>
      <c r="T1832" s="275"/>
      <c r="U1832" s="276">
        <v>0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161</v>
      </c>
      <c r="B1833" s="271" t="s">
        <v>2002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0</v>
      </c>
      <c r="K1833" s="273"/>
      <c r="L1833" s="273"/>
      <c r="M1833" s="274">
        <v>0</v>
      </c>
      <c r="N1833" s="272">
        <v>0</v>
      </c>
      <c r="O1833" s="275"/>
      <c r="P1833" s="275"/>
      <c r="Q1833" s="275"/>
      <c r="R1833" s="275"/>
      <c r="S1833" s="275"/>
      <c r="T1833" s="275"/>
      <c r="U1833" s="276">
        <v>0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161</v>
      </c>
      <c r="B1834" s="271" t="s">
        <v>2003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0</v>
      </c>
      <c r="K1834" s="273"/>
      <c r="L1834" s="273"/>
      <c r="M1834" s="274">
        <v>0</v>
      </c>
      <c r="N1834" s="272">
        <v>0</v>
      </c>
      <c r="O1834" s="275"/>
      <c r="P1834" s="275"/>
      <c r="Q1834" s="275"/>
      <c r="R1834" s="275"/>
      <c r="S1834" s="275"/>
      <c r="T1834" s="275"/>
      <c r="U1834" s="276">
        <v>0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161</v>
      </c>
      <c r="B1835" s="271" t="s">
        <v>2004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0</v>
      </c>
      <c r="K1835" s="273"/>
      <c r="L1835" s="273"/>
      <c r="M1835" s="274">
        <v>0</v>
      </c>
      <c r="N1835" s="272">
        <v>0</v>
      </c>
      <c r="O1835" s="275"/>
      <c r="P1835" s="275"/>
      <c r="Q1835" s="275"/>
      <c r="R1835" s="275"/>
      <c r="S1835" s="275"/>
      <c r="T1835" s="275"/>
      <c r="U1835" s="276">
        <v>0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161</v>
      </c>
      <c r="B1836" s="271" t="s">
        <v>2005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0</v>
      </c>
      <c r="K1836" s="273"/>
      <c r="L1836" s="273"/>
      <c r="M1836" s="274">
        <v>0</v>
      </c>
      <c r="N1836" s="272">
        <v>0</v>
      </c>
      <c r="O1836" s="275"/>
      <c r="P1836" s="275"/>
      <c r="Q1836" s="275"/>
      <c r="R1836" s="275"/>
      <c r="S1836" s="275"/>
      <c r="T1836" s="275"/>
      <c r="U1836" s="276">
        <v>0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161</v>
      </c>
      <c r="B1837" s="271" t="s">
        <v>2006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0</v>
      </c>
      <c r="K1837" s="273"/>
      <c r="L1837" s="273"/>
      <c r="M1837" s="274">
        <v>0</v>
      </c>
      <c r="N1837" s="272">
        <v>0</v>
      </c>
      <c r="O1837" s="275"/>
      <c r="P1837" s="275"/>
      <c r="Q1837" s="275"/>
      <c r="R1837" s="275"/>
      <c r="S1837" s="275"/>
      <c r="T1837" s="275"/>
      <c r="U1837" s="276">
        <v>0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161</v>
      </c>
      <c r="B1838" s="271" t="s">
        <v>2007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0</v>
      </c>
      <c r="K1838" s="273"/>
      <c r="L1838" s="273"/>
      <c r="M1838" s="274">
        <v>0</v>
      </c>
      <c r="N1838" s="272">
        <v>0</v>
      </c>
      <c r="O1838" s="275"/>
      <c r="P1838" s="275"/>
      <c r="Q1838" s="275"/>
      <c r="R1838" s="275"/>
      <c r="S1838" s="275"/>
      <c r="T1838" s="275"/>
      <c r="U1838" s="276">
        <v>0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161</v>
      </c>
      <c r="B1839" s="271" t="s">
        <v>2008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0</v>
      </c>
      <c r="K1839" s="273"/>
      <c r="L1839" s="273"/>
      <c r="M1839" s="274">
        <v>0</v>
      </c>
      <c r="N1839" s="272">
        <v>0</v>
      </c>
      <c r="O1839" s="275"/>
      <c r="P1839" s="275"/>
      <c r="Q1839" s="275"/>
      <c r="R1839" s="275"/>
      <c r="S1839" s="275"/>
      <c r="T1839" s="275"/>
      <c r="U1839" s="276">
        <v>0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161</v>
      </c>
      <c r="B1840" s="271" t="s">
        <v>2009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0</v>
      </c>
      <c r="K1840" s="273"/>
      <c r="L1840" s="273"/>
      <c r="M1840" s="274">
        <v>0</v>
      </c>
      <c r="N1840" s="272">
        <v>0</v>
      </c>
      <c r="O1840" s="275"/>
      <c r="P1840" s="275"/>
      <c r="Q1840" s="275"/>
      <c r="R1840" s="275"/>
      <c r="S1840" s="275"/>
      <c r="T1840" s="275"/>
      <c r="U1840" s="276">
        <v>0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161</v>
      </c>
      <c r="B1841" s="271" t="s">
        <v>2010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0</v>
      </c>
      <c r="K1841" s="273"/>
      <c r="L1841" s="273"/>
      <c r="M1841" s="274">
        <v>0</v>
      </c>
      <c r="N1841" s="272">
        <v>0</v>
      </c>
      <c r="O1841" s="275"/>
      <c r="P1841" s="275"/>
      <c r="Q1841" s="275"/>
      <c r="R1841" s="275"/>
      <c r="S1841" s="275"/>
      <c r="T1841" s="275"/>
      <c r="U1841" s="276">
        <v>0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161</v>
      </c>
      <c r="B1842" s="271" t="s">
        <v>2011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0</v>
      </c>
      <c r="K1842" s="273"/>
      <c r="L1842" s="273"/>
      <c r="M1842" s="274">
        <v>0</v>
      </c>
      <c r="N1842" s="272">
        <v>0</v>
      </c>
      <c r="O1842" s="275"/>
      <c r="P1842" s="275"/>
      <c r="Q1842" s="275"/>
      <c r="R1842" s="275"/>
      <c r="S1842" s="275"/>
      <c r="T1842" s="275"/>
      <c r="U1842" s="276">
        <v>0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161</v>
      </c>
      <c r="B1843" s="271" t="s">
        <v>2012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0</v>
      </c>
      <c r="K1843" s="273"/>
      <c r="L1843" s="273"/>
      <c r="M1843" s="274">
        <v>0</v>
      </c>
      <c r="N1843" s="272">
        <v>0</v>
      </c>
      <c r="O1843" s="275"/>
      <c r="P1843" s="275"/>
      <c r="Q1843" s="275"/>
      <c r="R1843" s="275"/>
      <c r="S1843" s="275"/>
      <c r="T1843" s="275"/>
      <c r="U1843" s="276">
        <v>0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161</v>
      </c>
      <c r="B1844" s="271" t="s">
        <v>2013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0</v>
      </c>
      <c r="K1844" s="273"/>
      <c r="L1844" s="273"/>
      <c r="M1844" s="274">
        <v>0</v>
      </c>
      <c r="N1844" s="272">
        <v>0</v>
      </c>
      <c r="O1844" s="275"/>
      <c r="P1844" s="275"/>
      <c r="Q1844" s="275"/>
      <c r="R1844" s="275"/>
      <c r="S1844" s="275"/>
      <c r="T1844" s="275"/>
      <c r="U1844" s="276">
        <v>0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161</v>
      </c>
      <c r="B1845" s="271" t="s">
        <v>2014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0</v>
      </c>
      <c r="K1845" s="273"/>
      <c r="L1845" s="273"/>
      <c r="M1845" s="274">
        <v>0</v>
      </c>
      <c r="N1845" s="272">
        <v>0</v>
      </c>
      <c r="O1845" s="275"/>
      <c r="P1845" s="275"/>
      <c r="Q1845" s="275"/>
      <c r="R1845" s="275"/>
      <c r="S1845" s="275"/>
      <c r="T1845" s="275"/>
      <c r="U1845" s="276">
        <v>0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161</v>
      </c>
      <c r="B1846" s="271" t="s">
        <v>2015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0</v>
      </c>
      <c r="K1846" s="273"/>
      <c r="L1846" s="273"/>
      <c r="M1846" s="274">
        <v>0</v>
      </c>
      <c r="N1846" s="272">
        <v>0</v>
      </c>
      <c r="O1846" s="275"/>
      <c r="P1846" s="275"/>
      <c r="Q1846" s="275"/>
      <c r="R1846" s="275"/>
      <c r="S1846" s="275"/>
      <c r="T1846" s="275"/>
      <c r="U1846" s="276">
        <v>0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161</v>
      </c>
      <c r="B1847" s="271" t="s">
        <v>2016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0</v>
      </c>
      <c r="K1847" s="273"/>
      <c r="L1847" s="273"/>
      <c r="M1847" s="274">
        <v>0</v>
      </c>
      <c r="N1847" s="272">
        <v>0</v>
      </c>
      <c r="O1847" s="275"/>
      <c r="P1847" s="275"/>
      <c r="Q1847" s="275"/>
      <c r="R1847" s="275"/>
      <c r="S1847" s="275"/>
      <c r="T1847" s="275"/>
      <c r="U1847" s="276">
        <v>0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161</v>
      </c>
      <c r="B1848" s="271" t="s">
        <v>2017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0</v>
      </c>
      <c r="K1848" s="273"/>
      <c r="L1848" s="273"/>
      <c r="M1848" s="274">
        <v>0</v>
      </c>
      <c r="N1848" s="272">
        <v>0</v>
      </c>
      <c r="O1848" s="275"/>
      <c r="P1848" s="275"/>
      <c r="Q1848" s="275"/>
      <c r="R1848" s="275"/>
      <c r="S1848" s="275"/>
      <c r="T1848" s="275"/>
      <c r="U1848" s="276">
        <v>0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161</v>
      </c>
      <c r="B1849" s="271" t="s">
        <v>2018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0</v>
      </c>
      <c r="K1849" s="273"/>
      <c r="L1849" s="273"/>
      <c r="M1849" s="274">
        <v>0</v>
      </c>
      <c r="N1849" s="272">
        <v>0</v>
      </c>
      <c r="O1849" s="275"/>
      <c r="P1849" s="275"/>
      <c r="Q1849" s="275"/>
      <c r="R1849" s="275"/>
      <c r="S1849" s="275"/>
      <c r="T1849" s="275"/>
      <c r="U1849" s="276">
        <v>0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161</v>
      </c>
      <c r="B1850" s="271" t="s">
        <v>2019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0</v>
      </c>
      <c r="K1850" s="273"/>
      <c r="L1850" s="273"/>
      <c r="M1850" s="274">
        <v>0</v>
      </c>
      <c r="N1850" s="272">
        <v>0</v>
      </c>
      <c r="O1850" s="275"/>
      <c r="P1850" s="275"/>
      <c r="Q1850" s="275"/>
      <c r="R1850" s="275"/>
      <c r="S1850" s="275"/>
      <c r="T1850" s="275"/>
      <c r="U1850" s="276">
        <v>0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161</v>
      </c>
      <c r="B1851" s="271" t="s">
        <v>2020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0</v>
      </c>
      <c r="K1851" s="273"/>
      <c r="L1851" s="273"/>
      <c r="M1851" s="274">
        <v>0</v>
      </c>
      <c r="N1851" s="272">
        <v>0</v>
      </c>
      <c r="O1851" s="275"/>
      <c r="P1851" s="275"/>
      <c r="Q1851" s="275"/>
      <c r="R1851" s="275"/>
      <c r="S1851" s="275"/>
      <c r="T1851" s="275"/>
      <c r="U1851" s="276">
        <v>0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161</v>
      </c>
      <c r="B1852" s="271" t="s">
        <v>2021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0</v>
      </c>
      <c r="K1852" s="273"/>
      <c r="L1852" s="273"/>
      <c r="M1852" s="274">
        <v>0</v>
      </c>
      <c r="N1852" s="272">
        <v>0</v>
      </c>
      <c r="O1852" s="275"/>
      <c r="P1852" s="275"/>
      <c r="Q1852" s="275"/>
      <c r="R1852" s="275"/>
      <c r="S1852" s="275"/>
      <c r="T1852" s="275"/>
      <c r="U1852" s="276">
        <v>0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161</v>
      </c>
      <c r="B1853" s="271" t="s">
        <v>2022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0</v>
      </c>
      <c r="K1853" s="273"/>
      <c r="L1853" s="273"/>
      <c r="M1853" s="274">
        <v>0</v>
      </c>
      <c r="N1853" s="272">
        <v>0</v>
      </c>
      <c r="O1853" s="275"/>
      <c r="P1853" s="275"/>
      <c r="Q1853" s="275"/>
      <c r="R1853" s="275"/>
      <c r="S1853" s="275"/>
      <c r="T1853" s="275"/>
      <c r="U1853" s="276">
        <v>0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161</v>
      </c>
      <c r="B1854" s="271" t="s">
        <v>2023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0</v>
      </c>
      <c r="K1854" s="273"/>
      <c r="L1854" s="273"/>
      <c r="M1854" s="274">
        <v>0</v>
      </c>
      <c r="N1854" s="272">
        <v>0</v>
      </c>
      <c r="O1854" s="275"/>
      <c r="P1854" s="275"/>
      <c r="Q1854" s="275"/>
      <c r="R1854" s="275"/>
      <c r="S1854" s="275"/>
      <c r="T1854" s="275"/>
      <c r="U1854" s="276">
        <v>0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161</v>
      </c>
      <c r="B1855" s="271" t="s">
        <v>2024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0</v>
      </c>
      <c r="K1855" s="273"/>
      <c r="L1855" s="273"/>
      <c r="M1855" s="274">
        <v>0</v>
      </c>
      <c r="N1855" s="272">
        <v>0</v>
      </c>
      <c r="O1855" s="275"/>
      <c r="P1855" s="275"/>
      <c r="Q1855" s="275"/>
      <c r="R1855" s="275"/>
      <c r="S1855" s="275"/>
      <c r="T1855" s="275"/>
      <c r="U1855" s="276">
        <v>0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161</v>
      </c>
      <c r="B1856" s="271" t="s">
        <v>2025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0</v>
      </c>
      <c r="K1856" s="273"/>
      <c r="L1856" s="273"/>
      <c r="M1856" s="274">
        <v>0</v>
      </c>
      <c r="N1856" s="272">
        <v>0</v>
      </c>
      <c r="O1856" s="275"/>
      <c r="P1856" s="275"/>
      <c r="Q1856" s="275"/>
      <c r="R1856" s="275"/>
      <c r="S1856" s="275"/>
      <c r="T1856" s="275"/>
      <c r="U1856" s="276">
        <v>0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161</v>
      </c>
      <c r="B1857" s="271" t="s">
        <v>2026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0</v>
      </c>
      <c r="K1857" s="273"/>
      <c r="L1857" s="273"/>
      <c r="M1857" s="274">
        <v>0</v>
      </c>
      <c r="N1857" s="272">
        <v>0</v>
      </c>
      <c r="O1857" s="275"/>
      <c r="P1857" s="275"/>
      <c r="Q1857" s="275"/>
      <c r="R1857" s="275"/>
      <c r="S1857" s="275"/>
      <c r="T1857" s="275"/>
      <c r="U1857" s="276">
        <v>0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161</v>
      </c>
      <c r="B1858" s="271" t="s">
        <v>2027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0</v>
      </c>
      <c r="K1858" s="273"/>
      <c r="L1858" s="273"/>
      <c r="M1858" s="274">
        <v>0</v>
      </c>
      <c r="N1858" s="272">
        <v>0</v>
      </c>
      <c r="O1858" s="275"/>
      <c r="P1858" s="275"/>
      <c r="Q1858" s="275"/>
      <c r="R1858" s="275"/>
      <c r="S1858" s="275"/>
      <c r="T1858" s="275"/>
      <c r="U1858" s="276">
        <v>0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161</v>
      </c>
      <c r="B1859" s="271" t="s">
        <v>2028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0</v>
      </c>
      <c r="K1859" s="273"/>
      <c r="L1859" s="273"/>
      <c r="M1859" s="274">
        <v>0</v>
      </c>
      <c r="N1859" s="272">
        <v>0</v>
      </c>
      <c r="O1859" s="275"/>
      <c r="P1859" s="275"/>
      <c r="Q1859" s="275"/>
      <c r="R1859" s="275"/>
      <c r="S1859" s="275"/>
      <c r="T1859" s="275"/>
      <c r="U1859" s="276">
        <v>0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161</v>
      </c>
      <c r="B1860" s="271" t="s">
        <v>2029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0</v>
      </c>
      <c r="K1860" s="273"/>
      <c r="L1860" s="273"/>
      <c r="M1860" s="274">
        <v>0</v>
      </c>
      <c r="N1860" s="272">
        <v>0</v>
      </c>
      <c r="O1860" s="275"/>
      <c r="P1860" s="275"/>
      <c r="Q1860" s="275"/>
      <c r="R1860" s="275"/>
      <c r="S1860" s="275"/>
      <c r="T1860" s="275"/>
      <c r="U1860" s="276">
        <v>0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161</v>
      </c>
      <c r="B1861" s="271" t="s">
        <v>2030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0</v>
      </c>
      <c r="K1861" s="273"/>
      <c r="L1861" s="273"/>
      <c r="M1861" s="274">
        <v>0</v>
      </c>
      <c r="N1861" s="272">
        <v>0</v>
      </c>
      <c r="O1861" s="275"/>
      <c r="P1861" s="275"/>
      <c r="Q1861" s="275"/>
      <c r="R1861" s="275"/>
      <c r="S1861" s="275"/>
      <c r="T1861" s="275"/>
      <c r="U1861" s="276">
        <v>0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161</v>
      </c>
      <c r="B1862" s="271" t="s">
        <v>2031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0</v>
      </c>
      <c r="K1862" s="273"/>
      <c r="L1862" s="273"/>
      <c r="M1862" s="274">
        <v>0</v>
      </c>
      <c r="N1862" s="272">
        <v>0</v>
      </c>
      <c r="O1862" s="275"/>
      <c r="P1862" s="275"/>
      <c r="Q1862" s="275"/>
      <c r="R1862" s="275"/>
      <c r="S1862" s="275"/>
      <c r="T1862" s="275"/>
      <c r="U1862" s="276">
        <v>0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161</v>
      </c>
      <c r="B1863" s="271" t="s">
        <v>2032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0</v>
      </c>
      <c r="K1863" s="273"/>
      <c r="L1863" s="273"/>
      <c r="M1863" s="274">
        <v>0</v>
      </c>
      <c r="N1863" s="272">
        <v>0</v>
      </c>
      <c r="O1863" s="275"/>
      <c r="P1863" s="275"/>
      <c r="Q1863" s="275"/>
      <c r="R1863" s="275"/>
      <c r="S1863" s="275"/>
      <c r="T1863" s="275"/>
      <c r="U1863" s="276">
        <v>0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161</v>
      </c>
      <c r="B1864" s="271" t="s">
        <v>2033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0</v>
      </c>
      <c r="K1864" s="273"/>
      <c r="L1864" s="273"/>
      <c r="M1864" s="274">
        <v>0</v>
      </c>
      <c r="N1864" s="272">
        <v>0</v>
      </c>
      <c r="O1864" s="275"/>
      <c r="P1864" s="275"/>
      <c r="Q1864" s="275"/>
      <c r="R1864" s="275"/>
      <c r="S1864" s="275"/>
      <c r="T1864" s="275"/>
      <c r="U1864" s="276">
        <v>0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161</v>
      </c>
      <c r="B1865" s="271" t="s">
        <v>2034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0</v>
      </c>
      <c r="K1865" s="273"/>
      <c r="L1865" s="273"/>
      <c r="M1865" s="274">
        <v>0</v>
      </c>
      <c r="N1865" s="272">
        <v>0</v>
      </c>
      <c r="O1865" s="275"/>
      <c r="P1865" s="275"/>
      <c r="Q1865" s="275"/>
      <c r="R1865" s="275"/>
      <c r="S1865" s="275"/>
      <c r="T1865" s="275"/>
      <c r="U1865" s="276">
        <v>0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161</v>
      </c>
      <c r="B1866" s="271" t="s">
        <v>2035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0</v>
      </c>
      <c r="K1866" s="273"/>
      <c r="L1866" s="273"/>
      <c r="M1866" s="274">
        <v>0</v>
      </c>
      <c r="N1866" s="272">
        <v>0</v>
      </c>
      <c r="O1866" s="275"/>
      <c r="P1866" s="275"/>
      <c r="Q1866" s="275"/>
      <c r="R1866" s="275"/>
      <c r="S1866" s="275"/>
      <c r="T1866" s="275"/>
      <c r="U1866" s="276">
        <v>0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161</v>
      </c>
      <c r="B1867" s="271" t="s">
        <v>2036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0</v>
      </c>
      <c r="K1867" s="273"/>
      <c r="L1867" s="273"/>
      <c r="M1867" s="274">
        <v>0</v>
      </c>
      <c r="N1867" s="272">
        <v>0</v>
      </c>
      <c r="O1867" s="275"/>
      <c r="P1867" s="275"/>
      <c r="Q1867" s="275"/>
      <c r="R1867" s="275"/>
      <c r="S1867" s="275"/>
      <c r="T1867" s="275"/>
      <c r="U1867" s="276">
        <v>0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161</v>
      </c>
      <c r="B1868" s="271" t="s">
        <v>2037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0</v>
      </c>
      <c r="K1868" s="273"/>
      <c r="L1868" s="273"/>
      <c r="M1868" s="274">
        <v>0</v>
      </c>
      <c r="N1868" s="272">
        <v>0</v>
      </c>
      <c r="O1868" s="275"/>
      <c r="P1868" s="275"/>
      <c r="Q1868" s="275"/>
      <c r="R1868" s="275"/>
      <c r="S1868" s="275"/>
      <c r="T1868" s="275"/>
      <c r="U1868" s="276">
        <v>0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161</v>
      </c>
      <c r="B1869" s="271" t="s">
        <v>2038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0</v>
      </c>
      <c r="K1869" s="273"/>
      <c r="L1869" s="273"/>
      <c r="M1869" s="274">
        <v>0</v>
      </c>
      <c r="N1869" s="272">
        <v>0</v>
      </c>
      <c r="O1869" s="275"/>
      <c r="P1869" s="275"/>
      <c r="Q1869" s="275"/>
      <c r="R1869" s="275"/>
      <c r="S1869" s="275"/>
      <c r="T1869" s="275"/>
      <c r="U1869" s="276">
        <v>0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161</v>
      </c>
      <c r="B1870" s="271" t="s">
        <v>2039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0</v>
      </c>
      <c r="K1870" s="273"/>
      <c r="L1870" s="273"/>
      <c r="M1870" s="274">
        <v>0</v>
      </c>
      <c r="N1870" s="272">
        <v>0</v>
      </c>
      <c r="O1870" s="275"/>
      <c r="P1870" s="275"/>
      <c r="Q1870" s="275"/>
      <c r="R1870" s="275"/>
      <c r="S1870" s="275"/>
      <c r="T1870" s="275"/>
      <c r="U1870" s="276">
        <v>0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161</v>
      </c>
      <c r="B1871" s="271" t="s">
        <v>2040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0</v>
      </c>
      <c r="K1871" s="273"/>
      <c r="L1871" s="273"/>
      <c r="M1871" s="274">
        <v>0</v>
      </c>
      <c r="N1871" s="272">
        <v>0</v>
      </c>
      <c r="O1871" s="275"/>
      <c r="P1871" s="275"/>
      <c r="Q1871" s="275"/>
      <c r="R1871" s="275"/>
      <c r="S1871" s="275"/>
      <c r="T1871" s="275"/>
      <c r="U1871" s="276">
        <v>0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161</v>
      </c>
      <c r="B1872" s="271" t="s">
        <v>2041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0</v>
      </c>
      <c r="K1872" s="273"/>
      <c r="L1872" s="273"/>
      <c r="M1872" s="274">
        <v>0</v>
      </c>
      <c r="N1872" s="272">
        <v>0</v>
      </c>
      <c r="O1872" s="275"/>
      <c r="P1872" s="275"/>
      <c r="Q1872" s="275"/>
      <c r="R1872" s="275"/>
      <c r="S1872" s="275"/>
      <c r="T1872" s="275"/>
      <c r="U1872" s="276">
        <v>0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161</v>
      </c>
      <c r="B1873" s="271" t="s">
        <v>2042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0</v>
      </c>
      <c r="K1873" s="273"/>
      <c r="L1873" s="273"/>
      <c r="M1873" s="274">
        <v>0</v>
      </c>
      <c r="N1873" s="272">
        <v>0</v>
      </c>
      <c r="O1873" s="275"/>
      <c r="P1873" s="275"/>
      <c r="Q1873" s="275"/>
      <c r="R1873" s="275"/>
      <c r="S1873" s="275"/>
      <c r="T1873" s="275"/>
      <c r="U1873" s="276">
        <v>0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161</v>
      </c>
      <c r="B1874" s="271" t="s">
        <v>2043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0</v>
      </c>
      <c r="K1874" s="273"/>
      <c r="L1874" s="273"/>
      <c r="M1874" s="274">
        <v>0</v>
      </c>
      <c r="N1874" s="272">
        <v>0</v>
      </c>
      <c r="O1874" s="275"/>
      <c r="P1874" s="275"/>
      <c r="Q1874" s="275"/>
      <c r="R1874" s="275"/>
      <c r="S1874" s="275"/>
      <c r="T1874" s="275"/>
      <c r="U1874" s="276">
        <v>0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161</v>
      </c>
      <c r="B1875" s="271" t="s">
        <v>2044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0</v>
      </c>
      <c r="K1875" s="273"/>
      <c r="L1875" s="273"/>
      <c r="M1875" s="274">
        <v>0</v>
      </c>
      <c r="N1875" s="272">
        <v>0</v>
      </c>
      <c r="O1875" s="275"/>
      <c r="P1875" s="275"/>
      <c r="Q1875" s="275"/>
      <c r="R1875" s="275"/>
      <c r="S1875" s="275"/>
      <c r="T1875" s="275"/>
      <c r="U1875" s="276">
        <v>0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161</v>
      </c>
      <c r="B1876" s="271" t="s">
        <v>2045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0</v>
      </c>
      <c r="K1876" s="273"/>
      <c r="L1876" s="273"/>
      <c r="M1876" s="274">
        <v>0</v>
      </c>
      <c r="N1876" s="272">
        <v>0</v>
      </c>
      <c r="O1876" s="275"/>
      <c r="P1876" s="275"/>
      <c r="Q1876" s="275"/>
      <c r="R1876" s="275"/>
      <c r="S1876" s="275"/>
      <c r="T1876" s="275"/>
      <c r="U1876" s="276">
        <v>0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161</v>
      </c>
      <c r="B1877" s="271" t="s">
        <v>2046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0</v>
      </c>
      <c r="K1877" s="273"/>
      <c r="L1877" s="273"/>
      <c r="M1877" s="274">
        <v>0</v>
      </c>
      <c r="N1877" s="272">
        <v>0</v>
      </c>
      <c r="O1877" s="275"/>
      <c r="P1877" s="275"/>
      <c r="Q1877" s="275"/>
      <c r="R1877" s="275"/>
      <c r="S1877" s="275"/>
      <c r="T1877" s="275"/>
      <c r="U1877" s="276">
        <v>0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161</v>
      </c>
      <c r="B1878" s="271" t="s">
        <v>2047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0</v>
      </c>
      <c r="K1878" s="273"/>
      <c r="L1878" s="273"/>
      <c r="M1878" s="274">
        <v>0</v>
      </c>
      <c r="N1878" s="272">
        <v>0</v>
      </c>
      <c r="O1878" s="275"/>
      <c r="P1878" s="275"/>
      <c r="Q1878" s="275"/>
      <c r="R1878" s="275"/>
      <c r="S1878" s="275"/>
      <c r="T1878" s="275"/>
      <c r="U1878" s="276">
        <v>0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161</v>
      </c>
      <c r="B1879" s="271" t="s">
        <v>2048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0</v>
      </c>
      <c r="K1879" s="273"/>
      <c r="L1879" s="273"/>
      <c r="M1879" s="274">
        <v>0</v>
      </c>
      <c r="N1879" s="272">
        <v>0</v>
      </c>
      <c r="O1879" s="275"/>
      <c r="P1879" s="275"/>
      <c r="Q1879" s="275"/>
      <c r="R1879" s="275"/>
      <c r="S1879" s="275"/>
      <c r="T1879" s="275"/>
      <c r="U1879" s="276">
        <v>0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161</v>
      </c>
      <c r="B1880" s="271" t="s">
        <v>2049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0</v>
      </c>
      <c r="K1880" s="273"/>
      <c r="L1880" s="273"/>
      <c r="M1880" s="274">
        <v>0</v>
      </c>
      <c r="N1880" s="272">
        <v>0</v>
      </c>
      <c r="O1880" s="275"/>
      <c r="P1880" s="275"/>
      <c r="Q1880" s="275"/>
      <c r="R1880" s="275"/>
      <c r="S1880" s="275"/>
      <c r="T1880" s="275"/>
      <c r="U1880" s="276">
        <v>0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161</v>
      </c>
      <c r="B1881" s="271" t="s">
        <v>2050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0</v>
      </c>
      <c r="K1881" s="273"/>
      <c r="L1881" s="273"/>
      <c r="M1881" s="274">
        <v>0</v>
      </c>
      <c r="N1881" s="272">
        <v>0</v>
      </c>
      <c r="O1881" s="275"/>
      <c r="P1881" s="275"/>
      <c r="Q1881" s="275"/>
      <c r="R1881" s="275"/>
      <c r="S1881" s="275"/>
      <c r="T1881" s="275"/>
      <c r="U1881" s="276">
        <v>0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161</v>
      </c>
      <c r="B1882" s="271" t="s">
        <v>2051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0</v>
      </c>
      <c r="K1882" s="273"/>
      <c r="L1882" s="273"/>
      <c r="M1882" s="274">
        <v>0</v>
      </c>
      <c r="N1882" s="272">
        <v>0</v>
      </c>
      <c r="O1882" s="275"/>
      <c r="P1882" s="275"/>
      <c r="Q1882" s="275"/>
      <c r="R1882" s="275"/>
      <c r="S1882" s="275"/>
      <c r="T1882" s="275"/>
      <c r="U1882" s="276">
        <v>0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161</v>
      </c>
      <c r="B1883" s="271" t="s">
        <v>2052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0</v>
      </c>
      <c r="K1883" s="273"/>
      <c r="L1883" s="273"/>
      <c r="M1883" s="274">
        <v>0</v>
      </c>
      <c r="N1883" s="272">
        <v>0</v>
      </c>
      <c r="O1883" s="275"/>
      <c r="P1883" s="275"/>
      <c r="Q1883" s="275"/>
      <c r="R1883" s="275"/>
      <c r="S1883" s="275"/>
      <c r="T1883" s="275"/>
      <c r="U1883" s="276">
        <v>0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161</v>
      </c>
      <c r="B1884" s="271" t="s">
        <v>2053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0</v>
      </c>
      <c r="K1884" s="273"/>
      <c r="L1884" s="273"/>
      <c r="M1884" s="274">
        <v>0</v>
      </c>
      <c r="N1884" s="272">
        <v>0</v>
      </c>
      <c r="O1884" s="275"/>
      <c r="P1884" s="275"/>
      <c r="Q1884" s="275"/>
      <c r="R1884" s="275"/>
      <c r="S1884" s="275"/>
      <c r="T1884" s="275"/>
      <c r="U1884" s="276">
        <v>0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161</v>
      </c>
      <c r="B1885" s="271" t="s">
        <v>2054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0</v>
      </c>
      <c r="K1885" s="273"/>
      <c r="L1885" s="273"/>
      <c r="M1885" s="274">
        <v>0</v>
      </c>
      <c r="N1885" s="272">
        <v>0</v>
      </c>
      <c r="O1885" s="275"/>
      <c r="P1885" s="275"/>
      <c r="Q1885" s="275"/>
      <c r="R1885" s="275"/>
      <c r="S1885" s="275"/>
      <c r="T1885" s="275"/>
      <c r="U1885" s="276">
        <v>0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161</v>
      </c>
      <c r="B1886" s="271" t="s">
        <v>2055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0</v>
      </c>
      <c r="K1886" s="273"/>
      <c r="L1886" s="273"/>
      <c r="M1886" s="274">
        <v>0</v>
      </c>
      <c r="N1886" s="272">
        <v>0</v>
      </c>
      <c r="O1886" s="275"/>
      <c r="P1886" s="275"/>
      <c r="Q1886" s="275"/>
      <c r="R1886" s="275"/>
      <c r="S1886" s="275"/>
      <c r="T1886" s="275"/>
      <c r="U1886" s="276">
        <v>0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161</v>
      </c>
      <c r="B1887" s="271" t="s">
        <v>2056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0</v>
      </c>
      <c r="K1887" s="273"/>
      <c r="L1887" s="273"/>
      <c r="M1887" s="274">
        <v>0</v>
      </c>
      <c r="N1887" s="272">
        <v>0</v>
      </c>
      <c r="O1887" s="275"/>
      <c r="P1887" s="275"/>
      <c r="Q1887" s="275"/>
      <c r="R1887" s="275"/>
      <c r="S1887" s="275"/>
      <c r="T1887" s="275"/>
      <c r="U1887" s="276">
        <v>0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161</v>
      </c>
      <c r="B1888" s="271" t="s">
        <v>2057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0</v>
      </c>
      <c r="K1888" s="273"/>
      <c r="L1888" s="273"/>
      <c r="M1888" s="274">
        <v>0</v>
      </c>
      <c r="N1888" s="272">
        <v>0</v>
      </c>
      <c r="O1888" s="275"/>
      <c r="P1888" s="275"/>
      <c r="Q1888" s="275"/>
      <c r="R1888" s="275"/>
      <c r="S1888" s="275"/>
      <c r="T1888" s="275"/>
      <c r="U1888" s="276">
        <v>0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161</v>
      </c>
      <c r="B1889" s="271" t="s">
        <v>2058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0</v>
      </c>
      <c r="K1889" s="273"/>
      <c r="L1889" s="273"/>
      <c r="M1889" s="274">
        <v>0</v>
      </c>
      <c r="N1889" s="272">
        <v>0</v>
      </c>
      <c r="O1889" s="275"/>
      <c r="P1889" s="275"/>
      <c r="Q1889" s="275"/>
      <c r="R1889" s="275"/>
      <c r="S1889" s="275"/>
      <c r="T1889" s="275"/>
      <c r="U1889" s="276">
        <v>0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161</v>
      </c>
      <c r="B1890" s="271" t="s">
        <v>2059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0</v>
      </c>
      <c r="K1890" s="273"/>
      <c r="L1890" s="273"/>
      <c r="M1890" s="274">
        <v>0</v>
      </c>
      <c r="N1890" s="272">
        <v>0</v>
      </c>
      <c r="O1890" s="275"/>
      <c r="P1890" s="275"/>
      <c r="Q1890" s="275"/>
      <c r="R1890" s="275"/>
      <c r="S1890" s="275"/>
      <c r="T1890" s="275"/>
      <c r="U1890" s="276">
        <v>0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161</v>
      </c>
      <c r="B1891" s="271" t="s">
        <v>2060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0</v>
      </c>
      <c r="K1891" s="273"/>
      <c r="L1891" s="273"/>
      <c r="M1891" s="274">
        <v>0</v>
      </c>
      <c r="N1891" s="272">
        <v>0</v>
      </c>
      <c r="O1891" s="275"/>
      <c r="P1891" s="275"/>
      <c r="Q1891" s="275"/>
      <c r="R1891" s="275"/>
      <c r="S1891" s="275"/>
      <c r="T1891" s="275"/>
      <c r="U1891" s="276">
        <v>0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161</v>
      </c>
      <c r="B1892" s="271" t="s">
        <v>2061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0</v>
      </c>
      <c r="K1892" s="273"/>
      <c r="L1892" s="273"/>
      <c r="M1892" s="274">
        <v>0</v>
      </c>
      <c r="N1892" s="272">
        <v>0</v>
      </c>
      <c r="O1892" s="275"/>
      <c r="P1892" s="275"/>
      <c r="Q1892" s="275"/>
      <c r="R1892" s="275"/>
      <c r="S1892" s="275"/>
      <c r="T1892" s="275"/>
      <c r="U1892" s="276">
        <v>0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161</v>
      </c>
      <c r="B1893" s="271" t="s">
        <v>2062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0</v>
      </c>
      <c r="K1893" s="273"/>
      <c r="L1893" s="273"/>
      <c r="M1893" s="274">
        <v>0</v>
      </c>
      <c r="N1893" s="272">
        <v>0</v>
      </c>
      <c r="O1893" s="275"/>
      <c r="P1893" s="275"/>
      <c r="Q1893" s="275"/>
      <c r="R1893" s="275"/>
      <c r="S1893" s="275"/>
      <c r="T1893" s="275"/>
      <c r="U1893" s="276">
        <v>0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161</v>
      </c>
      <c r="B1894" s="271" t="s">
        <v>2063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0</v>
      </c>
      <c r="K1894" s="273"/>
      <c r="L1894" s="273"/>
      <c r="M1894" s="274">
        <v>0</v>
      </c>
      <c r="N1894" s="272">
        <v>0</v>
      </c>
      <c r="O1894" s="275"/>
      <c r="P1894" s="275"/>
      <c r="Q1894" s="275"/>
      <c r="R1894" s="275"/>
      <c r="S1894" s="275"/>
      <c r="T1894" s="275"/>
      <c r="U1894" s="276">
        <v>0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161</v>
      </c>
      <c r="B1895" s="271" t="s">
        <v>2064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0</v>
      </c>
      <c r="K1895" s="273"/>
      <c r="L1895" s="273"/>
      <c r="M1895" s="274">
        <v>0</v>
      </c>
      <c r="N1895" s="272">
        <v>0</v>
      </c>
      <c r="O1895" s="275"/>
      <c r="P1895" s="275"/>
      <c r="Q1895" s="275"/>
      <c r="R1895" s="275"/>
      <c r="S1895" s="275"/>
      <c r="T1895" s="275"/>
      <c r="U1895" s="276">
        <v>0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161</v>
      </c>
      <c r="B1896" s="271" t="s">
        <v>2065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0</v>
      </c>
      <c r="K1896" s="273"/>
      <c r="L1896" s="273"/>
      <c r="M1896" s="274">
        <v>0</v>
      </c>
      <c r="N1896" s="272">
        <v>0</v>
      </c>
      <c r="O1896" s="275"/>
      <c r="P1896" s="275"/>
      <c r="Q1896" s="275"/>
      <c r="R1896" s="275"/>
      <c r="S1896" s="275"/>
      <c r="T1896" s="275"/>
      <c r="U1896" s="276">
        <v>0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161</v>
      </c>
      <c r="B1897" s="271" t="s">
        <v>2066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0</v>
      </c>
      <c r="K1897" s="273"/>
      <c r="L1897" s="273"/>
      <c r="M1897" s="274">
        <v>0</v>
      </c>
      <c r="N1897" s="272">
        <v>0</v>
      </c>
      <c r="O1897" s="275"/>
      <c r="P1897" s="275"/>
      <c r="Q1897" s="275"/>
      <c r="R1897" s="275"/>
      <c r="S1897" s="275"/>
      <c r="T1897" s="275"/>
      <c r="U1897" s="276">
        <v>0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161</v>
      </c>
      <c r="B1898" s="271" t="s">
        <v>2067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0</v>
      </c>
      <c r="K1898" s="273"/>
      <c r="L1898" s="273"/>
      <c r="M1898" s="274">
        <v>0</v>
      </c>
      <c r="N1898" s="272">
        <v>0</v>
      </c>
      <c r="O1898" s="275"/>
      <c r="P1898" s="275"/>
      <c r="Q1898" s="275"/>
      <c r="R1898" s="275"/>
      <c r="S1898" s="275"/>
      <c r="T1898" s="275"/>
      <c r="U1898" s="276">
        <v>0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161</v>
      </c>
      <c r="B1899" s="271" t="s">
        <v>2068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0</v>
      </c>
      <c r="K1899" s="273"/>
      <c r="L1899" s="273"/>
      <c r="M1899" s="274">
        <v>0</v>
      </c>
      <c r="N1899" s="272">
        <v>0</v>
      </c>
      <c r="O1899" s="275"/>
      <c r="P1899" s="275"/>
      <c r="Q1899" s="275"/>
      <c r="R1899" s="275"/>
      <c r="S1899" s="275"/>
      <c r="T1899" s="275"/>
      <c r="U1899" s="276">
        <v>0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161</v>
      </c>
      <c r="B1900" s="271" t="s">
        <v>2069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0</v>
      </c>
      <c r="K1900" s="273"/>
      <c r="L1900" s="273"/>
      <c r="M1900" s="274">
        <v>0</v>
      </c>
      <c r="N1900" s="272">
        <v>0</v>
      </c>
      <c r="O1900" s="275"/>
      <c r="P1900" s="275"/>
      <c r="Q1900" s="275"/>
      <c r="R1900" s="275"/>
      <c r="S1900" s="275"/>
      <c r="T1900" s="275"/>
      <c r="U1900" s="276">
        <v>0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161</v>
      </c>
      <c r="B1901" s="271" t="s">
        <v>2070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0</v>
      </c>
      <c r="K1901" s="273"/>
      <c r="L1901" s="273"/>
      <c r="M1901" s="274">
        <v>0</v>
      </c>
      <c r="N1901" s="272">
        <v>0</v>
      </c>
      <c r="O1901" s="275"/>
      <c r="P1901" s="275"/>
      <c r="Q1901" s="275"/>
      <c r="R1901" s="275"/>
      <c r="S1901" s="275"/>
      <c r="T1901" s="275"/>
      <c r="U1901" s="276">
        <v>0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161</v>
      </c>
      <c r="B1902" s="271" t="s">
        <v>2071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0</v>
      </c>
      <c r="K1902" s="273"/>
      <c r="L1902" s="273"/>
      <c r="M1902" s="274">
        <v>0</v>
      </c>
      <c r="N1902" s="272">
        <v>0</v>
      </c>
      <c r="O1902" s="275"/>
      <c r="P1902" s="275"/>
      <c r="Q1902" s="275"/>
      <c r="R1902" s="275"/>
      <c r="S1902" s="275"/>
      <c r="T1902" s="275"/>
      <c r="U1902" s="276">
        <v>0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161</v>
      </c>
      <c r="B1903" s="271" t="s">
        <v>2072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0</v>
      </c>
      <c r="K1903" s="273"/>
      <c r="L1903" s="273"/>
      <c r="M1903" s="274">
        <v>0</v>
      </c>
      <c r="N1903" s="272">
        <v>0</v>
      </c>
      <c r="O1903" s="275"/>
      <c r="P1903" s="275"/>
      <c r="Q1903" s="275"/>
      <c r="R1903" s="275"/>
      <c r="S1903" s="275"/>
      <c r="T1903" s="275"/>
      <c r="U1903" s="276">
        <v>0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161</v>
      </c>
      <c r="B1904" s="271" t="s">
        <v>2073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0</v>
      </c>
      <c r="K1904" s="273"/>
      <c r="L1904" s="273"/>
      <c r="M1904" s="274">
        <v>0</v>
      </c>
      <c r="N1904" s="272">
        <v>0</v>
      </c>
      <c r="O1904" s="275"/>
      <c r="P1904" s="275"/>
      <c r="Q1904" s="275"/>
      <c r="R1904" s="275"/>
      <c r="S1904" s="275"/>
      <c r="T1904" s="275"/>
      <c r="U1904" s="276">
        <v>0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161</v>
      </c>
      <c r="B1905" s="271" t="s">
        <v>2074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0</v>
      </c>
      <c r="K1905" s="273"/>
      <c r="L1905" s="273"/>
      <c r="M1905" s="274">
        <v>0</v>
      </c>
      <c r="N1905" s="272">
        <v>0</v>
      </c>
      <c r="O1905" s="275"/>
      <c r="P1905" s="275"/>
      <c r="Q1905" s="275"/>
      <c r="R1905" s="275"/>
      <c r="S1905" s="275"/>
      <c r="T1905" s="275"/>
      <c r="U1905" s="276">
        <v>0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161</v>
      </c>
      <c r="B1906" s="271" t="s">
        <v>2075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0</v>
      </c>
      <c r="K1906" s="273"/>
      <c r="L1906" s="273"/>
      <c r="M1906" s="274">
        <v>0</v>
      </c>
      <c r="N1906" s="272">
        <v>0</v>
      </c>
      <c r="O1906" s="275"/>
      <c r="P1906" s="275"/>
      <c r="Q1906" s="275"/>
      <c r="R1906" s="275"/>
      <c r="S1906" s="275"/>
      <c r="T1906" s="275"/>
      <c r="U1906" s="276">
        <v>0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161</v>
      </c>
      <c r="B1907" s="271" t="s">
        <v>2076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0</v>
      </c>
      <c r="K1907" s="273"/>
      <c r="L1907" s="273"/>
      <c r="M1907" s="274">
        <v>0</v>
      </c>
      <c r="N1907" s="272">
        <v>0</v>
      </c>
      <c r="O1907" s="275"/>
      <c r="P1907" s="275"/>
      <c r="Q1907" s="275"/>
      <c r="R1907" s="275"/>
      <c r="S1907" s="275"/>
      <c r="T1907" s="275"/>
      <c r="U1907" s="276">
        <v>0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161</v>
      </c>
      <c r="B1908" s="271" t="s">
        <v>2077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0</v>
      </c>
      <c r="K1908" s="273"/>
      <c r="L1908" s="273"/>
      <c r="M1908" s="274">
        <v>0</v>
      </c>
      <c r="N1908" s="272">
        <v>0</v>
      </c>
      <c r="O1908" s="275"/>
      <c r="P1908" s="275"/>
      <c r="Q1908" s="275"/>
      <c r="R1908" s="275"/>
      <c r="S1908" s="275"/>
      <c r="T1908" s="275"/>
      <c r="U1908" s="276">
        <v>0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161</v>
      </c>
      <c r="B1909" s="271" t="s">
        <v>2078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0</v>
      </c>
      <c r="K1909" s="273"/>
      <c r="L1909" s="273"/>
      <c r="M1909" s="274">
        <v>0</v>
      </c>
      <c r="N1909" s="272">
        <v>0</v>
      </c>
      <c r="O1909" s="275"/>
      <c r="P1909" s="275"/>
      <c r="Q1909" s="275"/>
      <c r="R1909" s="275"/>
      <c r="S1909" s="275"/>
      <c r="T1909" s="275"/>
      <c r="U1909" s="276">
        <v>0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161</v>
      </c>
      <c r="B1910" s="271" t="s">
        <v>2079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0</v>
      </c>
      <c r="K1910" s="273"/>
      <c r="L1910" s="273"/>
      <c r="M1910" s="274">
        <v>0</v>
      </c>
      <c r="N1910" s="272">
        <v>0</v>
      </c>
      <c r="O1910" s="275"/>
      <c r="P1910" s="275"/>
      <c r="Q1910" s="275"/>
      <c r="R1910" s="275"/>
      <c r="S1910" s="275"/>
      <c r="T1910" s="275"/>
      <c r="U1910" s="276">
        <v>0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161</v>
      </c>
      <c r="B1911" s="271" t="s">
        <v>2080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0</v>
      </c>
      <c r="K1911" s="273"/>
      <c r="L1911" s="273"/>
      <c r="M1911" s="274">
        <v>0</v>
      </c>
      <c r="N1911" s="272">
        <v>0</v>
      </c>
      <c r="O1911" s="275"/>
      <c r="P1911" s="275"/>
      <c r="Q1911" s="275"/>
      <c r="R1911" s="275"/>
      <c r="S1911" s="275"/>
      <c r="T1911" s="275"/>
      <c r="U1911" s="276">
        <v>0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161</v>
      </c>
      <c r="B1912" s="271" t="s">
        <v>2081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0</v>
      </c>
      <c r="K1912" s="273"/>
      <c r="L1912" s="273"/>
      <c r="M1912" s="274">
        <v>0</v>
      </c>
      <c r="N1912" s="272">
        <v>0</v>
      </c>
      <c r="O1912" s="275"/>
      <c r="P1912" s="275"/>
      <c r="Q1912" s="275"/>
      <c r="R1912" s="275"/>
      <c r="S1912" s="275"/>
      <c r="T1912" s="275"/>
      <c r="U1912" s="276">
        <v>0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161</v>
      </c>
      <c r="B1913" s="271" t="s">
        <v>2082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0</v>
      </c>
      <c r="K1913" s="273"/>
      <c r="L1913" s="273"/>
      <c r="M1913" s="274">
        <v>0</v>
      </c>
      <c r="N1913" s="272">
        <v>0</v>
      </c>
      <c r="O1913" s="275"/>
      <c r="P1913" s="275"/>
      <c r="Q1913" s="275"/>
      <c r="R1913" s="275"/>
      <c r="S1913" s="275"/>
      <c r="T1913" s="275"/>
      <c r="U1913" s="276">
        <v>0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161</v>
      </c>
      <c r="B1914" s="271" t="s">
        <v>2083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0</v>
      </c>
      <c r="K1914" s="273"/>
      <c r="L1914" s="273"/>
      <c r="M1914" s="274">
        <v>0</v>
      </c>
      <c r="N1914" s="272">
        <v>0</v>
      </c>
      <c r="O1914" s="275"/>
      <c r="P1914" s="275"/>
      <c r="Q1914" s="275"/>
      <c r="R1914" s="275"/>
      <c r="S1914" s="275"/>
      <c r="T1914" s="275"/>
      <c r="U1914" s="276">
        <v>0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161</v>
      </c>
      <c r="B1915" s="271" t="s">
        <v>2084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0</v>
      </c>
      <c r="K1915" s="273"/>
      <c r="L1915" s="273"/>
      <c r="M1915" s="274">
        <v>0</v>
      </c>
      <c r="N1915" s="272">
        <v>0</v>
      </c>
      <c r="O1915" s="275"/>
      <c r="P1915" s="275"/>
      <c r="Q1915" s="275"/>
      <c r="R1915" s="275"/>
      <c r="S1915" s="275"/>
      <c r="T1915" s="275"/>
      <c r="U1915" s="276">
        <v>0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161</v>
      </c>
      <c r="B1916" s="271" t="s">
        <v>2085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0</v>
      </c>
      <c r="K1916" s="273"/>
      <c r="L1916" s="273"/>
      <c r="M1916" s="274">
        <v>0</v>
      </c>
      <c r="N1916" s="272">
        <v>0</v>
      </c>
      <c r="O1916" s="275"/>
      <c r="P1916" s="275"/>
      <c r="Q1916" s="275"/>
      <c r="R1916" s="275"/>
      <c r="S1916" s="275"/>
      <c r="T1916" s="275"/>
      <c r="U1916" s="276">
        <v>0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161</v>
      </c>
      <c r="B1917" s="271" t="s">
        <v>2086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0</v>
      </c>
      <c r="K1917" s="273"/>
      <c r="L1917" s="273"/>
      <c r="M1917" s="274">
        <v>0</v>
      </c>
      <c r="N1917" s="272">
        <v>0</v>
      </c>
      <c r="O1917" s="275"/>
      <c r="P1917" s="275"/>
      <c r="Q1917" s="275"/>
      <c r="R1917" s="275"/>
      <c r="S1917" s="275"/>
      <c r="T1917" s="275"/>
      <c r="U1917" s="276">
        <v>0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161</v>
      </c>
      <c r="B1918" s="271" t="s">
        <v>2087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0</v>
      </c>
      <c r="K1918" s="273"/>
      <c r="L1918" s="273"/>
      <c r="M1918" s="274">
        <v>0</v>
      </c>
      <c r="N1918" s="272">
        <v>0</v>
      </c>
      <c r="O1918" s="275"/>
      <c r="P1918" s="275"/>
      <c r="Q1918" s="275"/>
      <c r="R1918" s="275"/>
      <c r="S1918" s="275"/>
      <c r="T1918" s="275"/>
      <c r="U1918" s="276">
        <v>0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161</v>
      </c>
      <c r="B1919" s="271" t="s">
        <v>2088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0</v>
      </c>
      <c r="K1919" s="273"/>
      <c r="L1919" s="273"/>
      <c r="M1919" s="274">
        <v>0</v>
      </c>
      <c r="N1919" s="272">
        <v>0</v>
      </c>
      <c r="O1919" s="275"/>
      <c r="P1919" s="275"/>
      <c r="Q1919" s="275"/>
      <c r="R1919" s="275"/>
      <c r="S1919" s="275"/>
      <c r="T1919" s="275"/>
      <c r="U1919" s="276">
        <v>0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161</v>
      </c>
      <c r="B1920" s="271" t="s">
        <v>2089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0</v>
      </c>
      <c r="K1920" s="273"/>
      <c r="L1920" s="273"/>
      <c r="M1920" s="274">
        <v>0</v>
      </c>
      <c r="N1920" s="272">
        <v>0</v>
      </c>
      <c r="O1920" s="275"/>
      <c r="P1920" s="275"/>
      <c r="Q1920" s="275"/>
      <c r="R1920" s="275"/>
      <c r="S1920" s="275"/>
      <c r="T1920" s="275"/>
      <c r="U1920" s="276">
        <v>0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161</v>
      </c>
      <c r="B1921" s="271" t="s">
        <v>2090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0</v>
      </c>
      <c r="K1921" s="273"/>
      <c r="L1921" s="273"/>
      <c r="M1921" s="274">
        <v>0</v>
      </c>
      <c r="N1921" s="272">
        <v>0</v>
      </c>
      <c r="O1921" s="275"/>
      <c r="P1921" s="275"/>
      <c r="Q1921" s="275"/>
      <c r="R1921" s="275"/>
      <c r="S1921" s="275"/>
      <c r="T1921" s="275"/>
      <c r="U1921" s="276">
        <v>0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161</v>
      </c>
      <c r="B1922" s="271" t="s">
        <v>2091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0</v>
      </c>
      <c r="K1922" s="273"/>
      <c r="L1922" s="273"/>
      <c r="M1922" s="274">
        <v>0</v>
      </c>
      <c r="N1922" s="272">
        <v>0</v>
      </c>
      <c r="O1922" s="275"/>
      <c r="P1922" s="275"/>
      <c r="Q1922" s="275"/>
      <c r="R1922" s="275"/>
      <c r="S1922" s="275"/>
      <c r="T1922" s="275"/>
      <c r="U1922" s="276">
        <v>0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161</v>
      </c>
      <c r="B1923" s="271" t="s">
        <v>2092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0</v>
      </c>
      <c r="K1923" s="273"/>
      <c r="L1923" s="273"/>
      <c r="M1923" s="274">
        <v>0</v>
      </c>
      <c r="N1923" s="272">
        <v>0</v>
      </c>
      <c r="O1923" s="275"/>
      <c r="P1923" s="275"/>
      <c r="Q1923" s="275"/>
      <c r="R1923" s="275"/>
      <c r="S1923" s="275"/>
      <c r="T1923" s="275"/>
      <c r="U1923" s="276">
        <v>0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161</v>
      </c>
      <c r="B1924" s="271" t="s">
        <v>2093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0</v>
      </c>
      <c r="K1924" s="273"/>
      <c r="L1924" s="273"/>
      <c r="M1924" s="274">
        <v>0</v>
      </c>
      <c r="N1924" s="272">
        <v>0</v>
      </c>
      <c r="O1924" s="275"/>
      <c r="P1924" s="275"/>
      <c r="Q1924" s="275"/>
      <c r="R1924" s="275"/>
      <c r="S1924" s="275"/>
      <c r="T1924" s="275"/>
      <c r="U1924" s="276">
        <v>0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161</v>
      </c>
      <c r="B1925" s="271" t="s">
        <v>2094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0</v>
      </c>
      <c r="K1925" s="273"/>
      <c r="L1925" s="273"/>
      <c r="M1925" s="274">
        <v>0</v>
      </c>
      <c r="N1925" s="272">
        <v>0</v>
      </c>
      <c r="O1925" s="275"/>
      <c r="P1925" s="275"/>
      <c r="Q1925" s="275"/>
      <c r="R1925" s="275"/>
      <c r="S1925" s="275"/>
      <c r="T1925" s="275"/>
      <c r="U1925" s="276">
        <v>0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161</v>
      </c>
      <c r="B1926" s="271" t="s">
        <v>2095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0</v>
      </c>
      <c r="K1926" s="273"/>
      <c r="L1926" s="273"/>
      <c r="M1926" s="274">
        <v>0</v>
      </c>
      <c r="N1926" s="272">
        <v>0</v>
      </c>
      <c r="O1926" s="275"/>
      <c r="P1926" s="275"/>
      <c r="Q1926" s="275"/>
      <c r="R1926" s="275"/>
      <c r="S1926" s="275"/>
      <c r="T1926" s="275"/>
      <c r="U1926" s="276">
        <v>0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161</v>
      </c>
      <c r="B1927" s="271" t="s">
        <v>2096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0</v>
      </c>
      <c r="K1927" s="273"/>
      <c r="L1927" s="273"/>
      <c r="M1927" s="274">
        <v>0</v>
      </c>
      <c r="N1927" s="272">
        <v>0</v>
      </c>
      <c r="O1927" s="275"/>
      <c r="P1927" s="275"/>
      <c r="Q1927" s="275"/>
      <c r="R1927" s="275"/>
      <c r="S1927" s="275"/>
      <c r="T1927" s="275"/>
      <c r="U1927" s="276">
        <v>0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161</v>
      </c>
      <c r="B1928" s="271" t="s">
        <v>2097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0</v>
      </c>
      <c r="K1928" s="273"/>
      <c r="L1928" s="273"/>
      <c r="M1928" s="274">
        <v>0</v>
      </c>
      <c r="N1928" s="272">
        <v>0</v>
      </c>
      <c r="O1928" s="275"/>
      <c r="P1928" s="275"/>
      <c r="Q1928" s="275"/>
      <c r="R1928" s="275"/>
      <c r="S1928" s="275"/>
      <c r="T1928" s="275"/>
      <c r="U1928" s="276">
        <v>0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161</v>
      </c>
      <c r="B1929" s="271" t="s">
        <v>2098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0</v>
      </c>
      <c r="K1929" s="273"/>
      <c r="L1929" s="273"/>
      <c r="M1929" s="274">
        <v>0</v>
      </c>
      <c r="N1929" s="272">
        <v>0</v>
      </c>
      <c r="O1929" s="275"/>
      <c r="P1929" s="275"/>
      <c r="Q1929" s="275"/>
      <c r="R1929" s="275"/>
      <c r="S1929" s="275"/>
      <c r="T1929" s="275"/>
      <c r="U1929" s="276">
        <v>0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161</v>
      </c>
      <c r="B1930" s="271" t="s">
        <v>2099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0</v>
      </c>
      <c r="K1930" s="273"/>
      <c r="L1930" s="273"/>
      <c r="M1930" s="274">
        <v>0</v>
      </c>
      <c r="N1930" s="272">
        <v>0</v>
      </c>
      <c r="O1930" s="275"/>
      <c r="P1930" s="275"/>
      <c r="Q1930" s="275"/>
      <c r="R1930" s="275"/>
      <c r="S1930" s="275"/>
      <c r="T1930" s="275"/>
      <c r="U1930" s="276">
        <v>0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161</v>
      </c>
      <c r="B1931" s="271" t="s">
        <v>2100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0</v>
      </c>
      <c r="K1931" s="273"/>
      <c r="L1931" s="273"/>
      <c r="M1931" s="274">
        <v>0</v>
      </c>
      <c r="N1931" s="272">
        <v>0</v>
      </c>
      <c r="O1931" s="275"/>
      <c r="P1931" s="275"/>
      <c r="Q1931" s="275"/>
      <c r="R1931" s="275"/>
      <c r="S1931" s="275"/>
      <c r="T1931" s="275"/>
      <c r="U1931" s="276">
        <v>0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161</v>
      </c>
      <c r="B1932" s="271" t="s">
        <v>2101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0</v>
      </c>
      <c r="K1932" s="273"/>
      <c r="L1932" s="273"/>
      <c r="M1932" s="274">
        <v>0</v>
      </c>
      <c r="N1932" s="272">
        <v>0</v>
      </c>
      <c r="O1932" s="275"/>
      <c r="P1932" s="275"/>
      <c r="Q1932" s="275"/>
      <c r="R1932" s="275"/>
      <c r="S1932" s="275"/>
      <c r="T1932" s="275"/>
      <c r="U1932" s="276">
        <v>0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161</v>
      </c>
      <c r="B1933" s="271" t="s">
        <v>2102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0</v>
      </c>
      <c r="K1933" s="273"/>
      <c r="L1933" s="273"/>
      <c r="M1933" s="274">
        <v>0</v>
      </c>
      <c r="N1933" s="272">
        <v>0</v>
      </c>
      <c r="O1933" s="275"/>
      <c r="P1933" s="275"/>
      <c r="Q1933" s="275"/>
      <c r="R1933" s="275"/>
      <c r="S1933" s="275"/>
      <c r="T1933" s="275"/>
      <c r="U1933" s="276">
        <v>0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161</v>
      </c>
      <c r="B1934" s="271" t="s">
        <v>2103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0</v>
      </c>
      <c r="K1934" s="273"/>
      <c r="L1934" s="273"/>
      <c r="M1934" s="274">
        <v>0</v>
      </c>
      <c r="N1934" s="272">
        <v>0</v>
      </c>
      <c r="O1934" s="275"/>
      <c r="P1934" s="275"/>
      <c r="Q1934" s="275"/>
      <c r="R1934" s="275"/>
      <c r="S1934" s="275"/>
      <c r="T1934" s="275"/>
      <c r="U1934" s="276">
        <v>0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161</v>
      </c>
      <c r="B1935" s="271" t="s">
        <v>2104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0</v>
      </c>
      <c r="K1935" s="273"/>
      <c r="L1935" s="273"/>
      <c r="M1935" s="274">
        <v>0</v>
      </c>
      <c r="N1935" s="272">
        <v>0</v>
      </c>
      <c r="O1935" s="275"/>
      <c r="P1935" s="275"/>
      <c r="Q1935" s="275"/>
      <c r="R1935" s="275"/>
      <c r="S1935" s="275"/>
      <c r="T1935" s="275"/>
      <c r="U1935" s="276">
        <v>0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161</v>
      </c>
      <c r="B1936" s="271" t="s">
        <v>2105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0</v>
      </c>
      <c r="K1936" s="273"/>
      <c r="L1936" s="273"/>
      <c r="M1936" s="274">
        <v>0</v>
      </c>
      <c r="N1936" s="272">
        <v>0</v>
      </c>
      <c r="O1936" s="275"/>
      <c r="P1936" s="275"/>
      <c r="Q1936" s="275"/>
      <c r="R1936" s="275"/>
      <c r="S1936" s="275"/>
      <c r="T1936" s="275"/>
      <c r="U1936" s="276">
        <v>0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161</v>
      </c>
      <c r="B1937" s="271" t="s">
        <v>2106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0</v>
      </c>
      <c r="K1937" s="273"/>
      <c r="L1937" s="273"/>
      <c r="M1937" s="274">
        <v>0</v>
      </c>
      <c r="N1937" s="272">
        <v>0</v>
      </c>
      <c r="O1937" s="275"/>
      <c r="P1937" s="275"/>
      <c r="Q1937" s="275"/>
      <c r="R1937" s="275"/>
      <c r="S1937" s="275"/>
      <c r="T1937" s="275"/>
      <c r="U1937" s="276">
        <v>0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161</v>
      </c>
      <c r="B1938" s="271" t="s">
        <v>2107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0</v>
      </c>
      <c r="K1938" s="273"/>
      <c r="L1938" s="273"/>
      <c r="M1938" s="274">
        <v>0</v>
      </c>
      <c r="N1938" s="272">
        <v>0</v>
      </c>
      <c r="O1938" s="275"/>
      <c r="P1938" s="275"/>
      <c r="Q1938" s="275"/>
      <c r="R1938" s="275"/>
      <c r="S1938" s="275"/>
      <c r="T1938" s="275"/>
      <c r="U1938" s="276">
        <v>0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161</v>
      </c>
      <c r="B1939" s="271" t="s">
        <v>2108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0</v>
      </c>
      <c r="K1939" s="273"/>
      <c r="L1939" s="273"/>
      <c r="M1939" s="274">
        <v>0</v>
      </c>
      <c r="N1939" s="272">
        <v>0</v>
      </c>
      <c r="O1939" s="275"/>
      <c r="P1939" s="275"/>
      <c r="Q1939" s="275"/>
      <c r="R1939" s="275"/>
      <c r="S1939" s="275"/>
      <c r="T1939" s="275"/>
      <c r="U1939" s="276">
        <v>0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161</v>
      </c>
      <c r="B1940" s="271" t="s">
        <v>2109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0</v>
      </c>
      <c r="K1940" s="273"/>
      <c r="L1940" s="273"/>
      <c r="M1940" s="274">
        <v>0</v>
      </c>
      <c r="N1940" s="272">
        <v>0</v>
      </c>
      <c r="O1940" s="275"/>
      <c r="P1940" s="275"/>
      <c r="Q1940" s="275"/>
      <c r="R1940" s="275"/>
      <c r="S1940" s="275"/>
      <c r="T1940" s="275"/>
      <c r="U1940" s="276">
        <v>0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161</v>
      </c>
      <c r="B1941" s="271" t="s">
        <v>2110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0</v>
      </c>
      <c r="K1941" s="273"/>
      <c r="L1941" s="273"/>
      <c r="M1941" s="274">
        <v>0</v>
      </c>
      <c r="N1941" s="272">
        <v>0</v>
      </c>
      <c r="O1941" s="275"/>
      <c r="P1941" s="275"/>
      <c r="Q1941" s="275"/>
      <c r="R1941" s="275"/>
      <c r="S1941" s="275"/>
      <c r="T1941" s="275"/>
      <c r="U1941" s="276">
        <v>0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161</v>
      </c>
      <c r="B1942" s="271" t="s">
        <v>2111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0</v>
      </c>
      <c r="K1942" s="273"/>
      <c r="L1942" s="273"/>
      <c r="M1942" s="274">
        <v>0</v>
      </c>
      <c r="N1942" s="272">
        <v>0</v>
      </c>
      <c r="O1942" s="275"/>
      <c r="P1942" s="275"/>
      <c r="Q1942" s="275"/>
      <c r="R1942" s="275"/>
      <c r="S1942" s="275"/>
      <c r="T1942" s="275"/>
      <c r="U1942" s="276">
        <v>0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161</v>
      </c>
      <c r="B1943" s="271" t="s">
        <v>2112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0</v>
      </c>
      <c r="K1943" s="273"/>
      <c r="L1943" s="273"/>
      <c r="M1943" s="274">
        <v>0</v>
      </c>
      <c r="N1943" s="272">
        <v>0</v>
      </c>
      <c r="O1943" s="275"/>
      <c r="P1943" s="275"/>
      <c r="Q1943" s="275"/>
      <c r="R1943" s="275"/>
      <c r="S1943" s="275"/>
      <c r="T1943" s="275"/>
      <c r="U1943" s="276">
        <v>0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161</v>
      </c>
      <c r="B1944" s="271" t="s">
        <v>2113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0</v>
      </c>
      <c r="K1944" s="273"/>
      <c r="L1944" s="273"/>
      <c r="M1944" s="274">
        <v>0</v>
      </c>
      <c r="N1944" s="272">
        <v>0</v>
      </c>
      <c r="O1944" s="275"/>
      <c r="P1944" s="275"/>
      <c r="Q1944" s="275"/>
      <c r="R1944" s="275"/>
      <c r="S1944" s="275"/>
      <c r="T1944" s="275"/>
      <c r="U1944" s="276">
        <v>0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161</v>
      </c>
      <c r="B1945" s="271" t="s">
        <v>2114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0</v>
      </c>
      <c r="K1945" s="273"/>
      <c r="L1945" s="273"/>
      <c r="M1945" s="274">
        <v>0</v>
      </c>
      <c r="N1945" s="272">
        <v>0</v>
      </c>
      <c r="O1945" s="275"/>
      <c r="P1945" s="275"/>
      <c r="Q1945" s="275"/>
      <c r="R1945" s="275"/>
      <c r="S1945" s="275"/>
      <c r="T1945" s="275"/>
      <c r="U1945" s="276">
        <v>0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161</v>
      </c>
      <c r="B1946" s="271" t="s">
        <v>2115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0</v>
      </c>
      <c r="K1946" s="273"/>
      <c r="L1946" s="273"/>
      <c r="M1946" s="274">
        <v>0</v>
      </c>
      <c r="N1946" s="272">
        <v>0</v>
      </c>
      <c r="O1946" s="275"/>
      <c r="P1946" s="275"/>
      <c r="Q1946" s="275"/>
      <c r="R1946" s="275"/>
      <c r="S1946" s="275"/>
      <c r="T1946" s="275"/>
      <c r="U1946" s="276">
        <v>0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161</v>
      </c>
      <c r="B1947" s="271" t="s">
        <v>2116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0</v>
      </c>
      <c r="K1947" s="273"/>
      <c r="L1947" s="273"/>
      <c r="M1947" s="274">
        <v>0</v>
      </c>
      <c r="N1947" s="272">
        <v>0</v>
      </c>
      <c r="O1947" s="275"/>
      <c r="P1947" s="275"/>
      <c r="Q1947" s="275"/>
      <c r="R1947" s="275"/>
      <c r="S1947" s="275"/>
      <c r="T1947" s="275"/>
      <c r="U1947" s="276">
        <v>0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161</v>
      </c>
      <c r="B1948" s="271" t="s">
        <v>2117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0</v>
      </c>
      <c r="K1948" s="273"/>
      <c r="L1948" s="273"/>
      <c r="M1948" s="274">
        <v>0</v>
      </c>
      <c r="N1948" s="272">
        <v>0</v>
      </c>
      <c r="O1948" s="275"/>
      <c r="P1948" s="275"/>
      <c r="Q1948" s="275"/>
      <c r="R1948" s="275"/>
      <c r="S1948" s="275"/>
      <c r="T1948" s="275"/>
      <c r="U1948" s="276">
        <v>0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161</v>
      </c>
      <c r="B1949" s="271" t="s">
        <v>2118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0</v>
      </c>
      <c r="K1949" s="273"/>
      <c r="L1949" s="273"/>
      <c r="M1949" s="274">
        <v>0</v>
      </c>
      <c r="N1949" s="272">
        <v>0</v>
      </c>
      <c r="O1949" s="275"/>
      <c r="P1949" s="275"/>
      <c r="Q1949" s="275"/>
      <c r="R1949" s="275"/>
      <c r="S1949" s="275"/>
      <c r="T1949" s="275"/>
      <c r="U1949" s="276">
        <v>0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161</v>
      </c>
      <c r="B1950" s="271" t="s">
        <v>2119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0</v>
      </c>
      <c r="K1950" s="273"/>
      <c r="L1950" s="273"/>
      <c r="M1950" s="274">
        <v>0</v>
      </c>
      <c r="N1950" s="272">
        <v>0</v>
      </c>
      <c r="O1950" s="275"/>
      <c r="P1950" s="275"/>
      <c r="Q1950" s="275"/>
      <c r="R1950" s="275"/>
      <c r="S1950" s="275"/>
      <c r="T1950" s="275"/>
      <c r="U1950" s="276">
        <v>0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161</v>
      </c>
      <c r="B1951" s="271" t="s">
        <v>2120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0</v>
      </c>
      <c r="K1951" s="273"/>
      <c r="L1951" s="273"/>
      <c r="M1951" s="274">
        <v>0</v>
      </c>
      <c r="N1951" s="272">
        <v>0</v>
      </c>
      <c r="O1951" s="275"/>
      <c r="P1951" s="275"/>
      <c r="Q1951" s="275"/>
      <c r="R1951" s="275"/>
      <c r="S1951" s="275"/>
      <c r="T1951" s="275"/>
      <c r="U1951" s="276">
        <v>0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161</v>
      </c>
      <c r="B1952" s="271" t="s">
        <v>2121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0</v>
      </c>
      <c r="K1952" s="273"/>
      <c r="L1952" s="273"/>
      <c r="M1952" s="274">
        <v>0</v>
      </c>
      <c r="N1952" s="272">
        <v>0</v>
      </c>
      <c r="O1952" s="275"/>
      <c r="P1952" s="275"/>
      <c r="Q1952" s="275"/>
      <c r="R1952" s="275"/>
      <c r="S1952" s="275"/>
      <c r="T1952" s="275"/>
      <c r="U1952" s="276">
        <v>0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161</v>
      </c>
      <c r="B1953" s="271" t="s">
        <v>2122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0</v>
      </c>
      <c r="K1953" s="273"/>
      <c r="L1953" s="273"/>
      <c r="M1953" s="274">
        <v>0</v>
      </c>
      <c r="N1953" s="272">
        <v>0</v>
      </c>
      <c r="O1953" s="275"/>
      <c r="P1953" s="275"/>
      <c r="Q1953" s="275"/>
      <c r="R1953" s="275"/>
      <c r="S1953" s="275"/>
      <c r="T1953" s="275"/>
      <c r="U1953" s="276">
        <v>0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161</v>
      </c>
      <c r="B1954" s="271" t="s">
        <v>2123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0</v>
      </c>
      <c r="K1954" s="273"/>
      <c r="L1954" s="273"/>
      <c r="M1954" s="274">
        <v>0</v>
      </c>
      <c r="N1954" s="272">
        <v>0</v>
      </c>
      <c r="O1954" s="275"/>
      <c r="P1954" s="275"/>
      <c r="Q1954" s="275"/>
      <c r="R1954" s="275"/>
      <c r="S1954" s="275"/>
      <c r="T1954" s="275"/>
      <c r="U1954" s="276">
        <v>0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161</v>
      </c>
      <c r="B1955" s="271" t="s">
        <v>2124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0</v>
      </c>
      <c r="K1955" s="273"/>
      <c r="L1955" s="273"/>
      <c r="M1955" s="274">
        <v>0</v>
      </c>
      <c r="N1955" s="272">
        <v>0</v>
      </c>
      <c r="O1955" s="275"/>
      <c r="P1955" s="275"/>
      <c r="Q1955" s="275"/>
      <c r="R1955" s="275"/>
      <c r="S1955" s="275"/>
      <c r="T1955" s="275"/>
      <c r="U1955" s="276">
        <v>0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161</v>
      </c>
      <c r="B1956" s="271" t="s">
        <v>2125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0</v>
      </c>
      <c r="K1956" s="273"/>
      <c r="L1956" s="273"/>
      <c r="M1956" s="274">
        <v>0</v>
      </c>
      <c r="N1956" s="272">
        <v>0</v>
      </c>
      <c r="O1956" s="275"/>
      <c r="P1956" s="275"/>
      <c r="Q1956" s="275"/>
      <c r="R1956" s="275"/>
      <c r="S1956" s="275"/>
      <c r="T1956" s="275"/>
      <c r="U1956" s="276">
        <v>0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161</v>
      </c>
      <c r="B1957" s="271" t="s">
        <v>2126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0</v>
      </c>
      <c r="K1957" s="273"/>
      <c r="L1957" s="273"/>
      <c r="M1957" s="274">
        <v>0</v>
      </c>
      <c r="N1957" s="272">
        <v>0</v>
      </c>
      <c r="O1957" s="275"/>
      <c r="P1957" s="275"/>
      <c r="Q1957" s="275"/>
      <c r="R1957" s="275"/>
      <c r="S1957" s="275"/>
      <c r="T1957" s="275"/>
      <c r="U1957" s="276">
        <v>0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161</v>
      </c>
      <c r="B1958" s="271" t="s">
        <v>2127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0</v>
      </c>
      <c r="K1958" s="273"/>
      <c r="L1958" s="273"/>
      <c r="M1958" s="274">
        <v>0</v>
      </c>
      <c r="N1958" s="272">
        <v>0</v>
      </c>
      <c r="O1958" s="275"/>
      <c r="P1958" s="275"/>
      <c r="Q1958" s="275"/>
      <c r="R1958" s="275"/>
      <c r="S1958" s="275"/>
      <c r="T1958" s="275"/>
      <c r="U1958" s="276">
        <v>0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161</v>
      </c>
      <c r="B1959" s="271" t="s">
        <v>2128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0</v>
      </c>
      <c r="K1959" s="273"/>
      <c r="L1959" s="273"/>
      <c r="M1959" s="274">
        <v>0</v>
      </c>
      <c r="N1959" s="272">
        <v>0</v>
      </c>
      <c r="O1959" s="275"/>
      <c r="P1959" s="275"/>
      <c r="Q1959" s="275"/>
      <c r="R1959" s="275"/>
      <c r="S1959" s="275"/>
      <c r="T1959" s="275"/>
      <c r="U1959" s="276">
        <v>0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161</v>
      </c>
      <c r="B1960" s="271" t="s">
        <v>2129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0</v>
      </c>
      <c r="K1960" s="273"/>
      <c r="L1960" s="273"/>
      <c r="M1960" s="274">
        <v>0</v>
      </c>
      <c r="N1960" s="272">
        <v>0</v>
      </c>
      <c r="O1960" s="275"/>
      <c r="P1960" s="275"/>
      <c r="Q1960" s="275"/>
      <c r="R1960" s="275"/>
      <c r="S1960" s="275"/>
      <c r="T1960" s="275"/>
      <c r="U1960" s="276">
        <v>0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161</v>
      </c>
      <c r="B1961" s="271" t="s">
        <v>2130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0</v>
      </c>
      <c r="K1961" s="273"/>
      <c r="L1961" s="273"/>
      <c r="M1961" s="274">
        <v>0</v>
      </c>
      <c r="N1961" s="272">
        <v>0</v>
      </c>
      <c r="O1961" s="275"/>
      <c r="P1961" s="275"/>
      <c r="Q1961" s="275"/>
      <c r="R1961" s="275"/>
      <c r="S1961" s="275"/>
      <c r="T1961" s="275"/>
      <c r="U1961" s="276">
        <v>0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161</v>
      </c>
      <c r="B1962" s="271" t="s">
        <v>2131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0</v>
      </c>
      <c r="K1962" s="273"/>
      <c r="L1962" s="273"/>
      <c r="M1962" s="274">
        <v>0</v>
      </c>
      <c r="N1962" s="272">
        <v>0</v>
      </c>
      <c r="O1962" s="275"/>
      <c r="P1962" s="275"/>
      <c r="Q1962" s="275"/>
      <c r="R1962" s="275"/>
      <c r="S1962" s="275"/>
      <c r="T1962" s="275"/>
      <c r="U1962" s="276">
        <v>0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161</v>
      </c>
      <c r="B1963" s="271" t="s">
        <v>2132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0</v>
      </c>
      <c r="K1963" s="273"/>
      <c r="L1963" s="273"/>
      <c r="M1963" s="274">
        <v>0</v>
      </c>
      <c r="N1963" s="272">
        <v>0</v>
      </c>
      <c r="O1963" s="275"/>
      <c r="P1963" s="275"/>
      <c r="Q1963" s="275"/>
      <c r="R1963" s="275"/>
      <c r="S1963" s="275"/>
      <c r="T1963" s="275"/>
      <c r="U1963" s="276">
        <v>0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161</v>
      </c>
      <c r="B1964" s="271" t="s">
        <v>2133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0</v>
      </c>
      <c r="K1964" s="273"/>
      <c r="L1964" s="273"/>
      <c r="M1964" s="274">
        <v>0</v>
      </c>
      <c r="N1964" s="272">
        <v>0</v>
      </c>
      <c r="O1964" s="275"/>
      <c r="P1964" s="275"/>
      <c r="Q1964" s="275"/>
      <c r="R1964" s="275"/>
      <c r="S1964" s="275"/>
      <c r="T1964" s="275"/>
      <c r="U1964" s="276">
        <v>0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161</v>
      </c>
      <c r="B1965" s="271" t="s">
        <v>2134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0</v>
      </c>
      <c r="K1965" s="273"/>
      <c r="L1965" s="273"/>
      <c r="M1965" s="274">
        <v>0</v>
      </c>
      <c r="N1965" s="272">
        <v>0</v>
      </c>
      <c r="O1965" s="275"/>
      <c r="P1965" s="275"/>
      <c r="Q1965" s="275"/>
      <c r="R1965" s="275"/>
      <c r="S1965" s="275"/>
      <c r="T1965" s="275"/>
      <c r="U1965" s="276">
        <v>0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161</v>
      </c>
      <c r="B1966" s="271" t="s">
        <v>2135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0</v>
      </c>
      <c r="K1966" s="273"/>
      <c r="L1966" s="273"/>
      <c r="M1966" s="274">
        <v>0</v>
      </c>
      <c r="N1966" s="272">
        <v>0</v>
      </c>
      <c r="O1966" s="275"/>
      <c r="P1966" s="275"/>
      <c r="Q1966" s="275"/>
      <c r="R1966" s="275"/>
      <c r="S1966" s="275"/>
      <c r="T1966" s="275"/>
      <c r="U1966" s="276">
        <v>0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161</v>
      </c>
      <c r="B1967" s="271" t="s">
        <v>2136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0</v>
      </c>
      <c r="K1967" s="273"/>
      <c r="L1967" s="273"/>
      <c r="M1967" s="274">
        <v>0</v>
      </c>
      <c r="N1967" s="272">
        <v>0</v>
      </c>
      <c r="O1967" s="275"/>
      <c r="P1967" s="275"/>
      <c r="Q1967" s="275"/>
      <c r="R1967" s="275"/>
      <c r="S1967" s="275"/>
      <c r="T1967" s="275"/>
      <c r="U1967" s="276">
        <v>0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161</v>
      </c>
      <c r="B1968" s="271" t="s">
        <v>2137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0</v>
      </c>
      <c r="K1968" s="273"/>
      <c r="L1968" s="273"/>
      <c r="M1968" s="274">
        <v>0</v>
      </c>
      <c r="N1968" s="272">
        <v>0</v>
      </c>
      <c r="O1968" s="275"/>
      <c r="P1968" s="275"/>
      <c r="Q1968" s="275"/>
      <c r="R1968" s="275"/>
      <c r="S1968" s="275"/>
      <c r="T1968" s="275"/>
      <c r="U1968" s="276">
        <v>0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161</v>
      </c>
      <c r="B1969" s="271" t="s">
        <v>2138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0</v>
      </c>
      <c r="K1969" s="273"/>
      <c r="L1969" s="273"/>
      <c r="M1969" s="274">
        <v>0</v>
      </c>
      <c r="N1969" s="272">
        <v>0</v>
      </c>
      <c r="O1969" s="275"/>
      <c r="P1969" s="275"/>
      <c r="Q1969" s="275"/>
      <c r="R1969" s="275"/>
      <c r="S1969" s="275"/>
      <c r="T1969" s="275"/>
      <c r="U1969" s="276">
        <v>0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161</v>
      </c>
      <c r="B1970" s="271" t="s">
        <v>2139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0</v>
      </c>
      <c r="K1970" s="273"/>
      <c r="L1970" s="273"/>
      <c r="M1970" s="274">
        <v>0</v>
      </c>
      <c r="N1970" s="272">
        <v>0</v>
      </c>
      <c r="O1970" s="275"/>
      <c r="P1970" s="275"/>
      <c r="Q1970" s="275"/>
      <c r="R1970" s="275"/>
      <c r="S1970" s="275"/>
      <c r="T1970" s="275"/>
      <c r="U1970" s="276">
        <v>0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161</v>
      </c>
      <c r="B1971" s="271" t="s">
        <v>2140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0</v>
      </c>
      <c r="K1971" s="273"/>
      <c r="L1971" s="273"/>
      <c r="M1971" s="274">
        <v>0</v>
      </c>
      <c r="N1971" s="272">
        <v>0</v>
      </c>
      <c r="O1971" s="275"/>
      <c r="P1971" s="275"/>
      <c r="Q1971" s="275"/>
      <c r="R1971" s="275"/>
      <c r="S1971" s="275"/>
      <c r="T1971" s="275"/>
      <c r="U1971" s="276">
        <v>0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161</v>
      </c>
      <c r="B1972" s="271" t="s">
        <v>2141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0</v>
      </c>
      <c r="K1972" s="273"/>
      <c r="L1972" s="273"/>
      <c r="M1972" s="274">
        <v>0</v>
      </c>
      <c r="N1972" s="272">
        <v>0</v>
      </c>
      <c r="O1972" s="275"/>
      <c r="P1972" s="275"/>
      <c r="Q1972" s="275"/>
      <c r="R1972" s="275"/>
      <c r="S1972" s="275"/>
      <c r="T1972" s="275"/>
      <c r="U1972" s="276">
        <v>0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161</v>
      </c>
      <c r="B1973" s="271" t="s">
        <v>2142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0</v>
      </c>
      <c r="K1973" s="273"/>
      <c r="L1973" s="273"/>
      <c r="M1973" s="274">
        <v>0</v>
      </c>
      <c r="N1973" s="272">
        <v>0</v>
      </c>
      <c r="O1973" s="275"/>
      <c r="P1973" s="275"/>
      <c r="Q1973" s="275"/>
      <c r="R1973" s="275"/>
      <c r="S1973" s="275"/>
      <c r="T1973" s="275"/>
      <c r="U1973" s="276">
        <v>0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161</v>
      </c>
      <c r="B1974" s="271" t="s">
        <v>2143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0</v>
      </c>
      <c r="K1974" s="273"/>
      <c r="L1974" s="273"/>
      <c r="M1974" s="274">
        <v>0</v>
      </c>
      <c r="N1974" s="272">
        <v>0</v>
      </c>
      <c r="O1974" s="275"/>
      <c r="P1974" s="275"/>
      <c r="Q1974" s="275"/>
      <c r="R1974" s="275"/>
      <c r="S1974" s="275"/>
      <c r="T1974" s="275"/>
      <c r="U1974" s="276">
        <v>0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161</v>
      </c>
      <c r="B1975" s="271" t="s">
        <v>2144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0</v>
      </c>
      <c r="K1975" s="273"/>
      <c r="L1975" s="273"/>
      <c r="M1975" s="274">
        <v>0</v>
      </c>
      <c r="N1975" s="272">
        <v>0</v>
      </c>
      <c r="O1975" s="275"/>
      <c r="P1975" s="275"/>
      <c r="Q1975" s="275"/>
      <c r="R1975" s="275"/>
      <c r="S1975" s="275"/>
      <c r="T1975" s="275"/>
      <c r="U1975" s="276">
        <v>0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161</v>
      </c>
      <c r="B1976" s="271" t="s">
        <v>2145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0</v>
      </c>
      <c r="K1976" s="273"/>
      <c r="L1976" s="273"/>
      <c r="M1976" s="274">
        <v>0</v>
      </c>
      <c r="N1976" s="272">
        <v>0</v>
      </c>
      <c r="O1976" s="275"/>
      <c r="P1976" s="275"/>
      <c r="Q1976" s="275"/>
      <c r="R1976" s="275"/>
      <c r="S1976" s="275"/>
      <c r="T1976" s="275"/>
      <c r="U1976" s="276">
        <v>0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161</v>
      </c>
      <c r="B1977" s="271" t="s">
        <v>2146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0</v>
      </c>
      <c r="K1977" s="273"/>
      <c r="L1977" s="273"/>
      <c r="M1977" s="274">
        <v>0</v>
      </c>
      <c r="N1977" s="272">
        <v>0</v>
      </c>
      <c r="O1977" s="275"/>
      <c r="P1977" s="275"/>
      <c r="Q1977" s="275"/>
      <c r="R1977" s="275"/>
      <c r="S1977" s="275"/>
      <c r="T1977" s="275"/>
      <c r="U1977" s="276">
        <v>0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161</v>
      </c>
      <c r="B1978" s="271" t="s">
        <v>2147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0</v>
      </c>
      <c r="K1978" s="273"/>
      <c r="L1978" s="273"/>
      <c r="M1978" s="274">
        <v>0</v>
      </c>
      <c r="N1978" s="272">
        <v>0</v>
      </c>
      <c r="O1978" s="275"/>
      <c r="P1978" s="275"/>
      <c r="Q1978" s="275"/>
      <c r="R1978" s="275"/>
      <c r="S1978" s="275"/>
      <c r="T1978" s="275"/>
      <c r="U1978" s="276">
        <v>0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161</v>
      </c>
      <c r="B1979" s="271" t="s">
        <v>2148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0</v>
      </c>
      <c r="K1979" s="273"/>
      <c r="L1979" s="273"/>
      <c r="M1979" s="274">
        <v>0</v>
      </c>
      <c r="N1979" s="272">
        <v>0</v>
      </c>
      <c r="O1979" s="275"/>
      <c r="P1979" s="275"/>
      <c r="Q1979" s="275"/>
      <c r="R1979" s="275"/>
      <c r="S1979" s="275"/>
      <c r="T1979" s="275"/>
      <c r="U1979" s="276">
        <v>0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161</v>
      </c>
      <c r="B1980" s="271" t="s">
        <v>2149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0</v>
      </c>
      <c r="K1980" s="273"/>
      <c r="L1980" s="273"/>
      <c r="M1980" s="274">
        <v>0</v>
      </c>
      <c r="N1980" s="272">
        <v>0</v>
      </c>
      <c r="O1980" s="275"/>
      <c r="P1980" s="275"/>
      <c r="Q1980" s="275"/>
      <c r="R1980" s="275"/>
      <c r="S1980" s="275"/>
      <c r="T1980" s="275"/>
      <c r="U1980" s="276">
        <v>0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161</v>
      </c>
      <c r="B1981" s="271" t="s">
        <v>2150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0</v>
      </c>
      <c r="K1981" s="273"/>
      <c r="L1981" s="273"/>
      <c r="M1981" s="274">
        <v>0</v>
      </c>
      <c r="N1981" s="272">
        <v>0</v>
      </c>
      <c r="O1981" s="275"/>
      <c r="P1981" s="275"/>
      <c r="Q1981" s="275"/>
      <c r="R1981" s="275"/>
      <c r="S1981" s="275"/>
      <c r="T1981" s="275"/>
      <c r="U1981" s="276">
        <v>0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161</v>
      </c>
      <c r="B1982" s="271" t="s">
        <v>2151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0</v>
      </c>
      <c r="K1982" s="273"/>
      <c r="L1982" s="273"/>
      <c r="M1982" s="274">
        <v>0</v>
      </c>
      <c r="N1982" s="272">
        <v>0</v>
      </c>
      <c r="O1982" s="275"/>
      <c r="P1982" s="275"/>
      <c r="Q1982" s="275"/>
      <c r="R1982" s="275"/>
      <c r="S1982" s="275"/>
      <c r="T1982" s="275"/>
      <c r="U1982" s="276">
        <v>0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161</v>
      </c>
      <c r="B1983" s="271" t="s">
        <v>2152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0</v>
      </c>
      <c r="K1983" s="273"/>
      <c r="L1983" s="273"/>
      <c r="M1983" s="274">
        <v>0</v>
      </c>
      <c r="N1983" s="272">
        <v>0</v>
      </c>
      <c r="O1983" s="275"/>
      <c r="P1983" s="275"/>
      <c r="Q1983" s="275"/>
      <c r="R1983" s="275"/>
      <c r="S1983" s="275"/>
      <c r="T1983" s="275"/>
      <c r="U1983" s="276">
        <v>0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161</v>
      </c>
      <c r="B1984" s="271" t="s">
        <v>2153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0</v>
      </c>
      <c r="K1984" s="273"/>
      <c r="L1984" s="273"/>
      <c r="M1984" s="274">
        <v>0</v>
      </c>
      <c r="N1984" s="272">
        <v>0</v>
      </c>
      <c r="O1984" s="275"/>
      <c r="P1984" s="275"/>
      <c r="Q1984" s="275"/>
      <c r="R1984" s="275"/>
      <c r="S1984" s="275"/>
      <c r="T1984" s="275"/>
      <c r="U1984" s="276">
        <v>0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161</v>
      </c>
      <c r="B1985" s="271" t="s">
        <v>2154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0</v>
      </c>
      <c r="K1985" s="273"/>
      <c r="L1985" s="273"/>
      <c r="M1985" s="274">
        <v>0</v>
      </c>
      <c r="N1985" s="272">
        <v>0</v>
      </c>
      <c r="O1985" s="275"/>
      <c r="P1985" s="275"/>
      <c r="Q1985" s="275"/>
      <c r="R1985" s="275"/>
      <c r="S1985" s="275"/>
      <c r="T1985" s="275"/>
      <c r="U1985" s="276">
        <v>0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161</v>
      </c>
      <c r="B1986" s="271" t="s">
        <v>2155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0</v>
      </c>
      <c r="K1986" s="273"/>
      <c r="L1986" s="273"/>
      <c r="M1986" s="274">
        <v>0</v>
      </c>
      <c r="N1986" s="272">
        <v>0</v>
      </c>
      <c r="O1986" s="275"/>
      <c r="P1986" s="275"/>
      <c r="Q1986" s="275"/>
      <c r="R1986" s="275"/>
      <c r="S1986" s="275"/>
      <c r="T1986" s="275"/>
      <c r="U1986" s="276">
        <v>0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161</v>
      </c>
      <c r="B1987" s="271" t="s">
        <v>2156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0</v>
      </c>
      <c r="K1987" s="273"/>
      <c r="L1987" s="273"/>
      <c r="M1987" s="274">
        <v>0</v>
      </c>
      <c r="N1987" s="272">
        <v>0</v>
      </c>
      <c r="O1987" s="275"/>
      <c r="P1987" s="275"/>
      <c r="Q1987" s="275"/>
      <c r="R1987" s="275"/>
      <c r="S1987" s="275"/>
      <c r="T1987" s="275"/>
      <c r="U1987" s="276">
        <v>0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161</v>
      </c>
      <c r="B1988" s="271" t="s">
        <v>2157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0</v>
      </c>
      <c r="K1988" s="273"/>
      <c r="L1988" s="273"/>
      <c r="M1988" s="274">
        <v>0</v>
      </c>
      <c r="N1988" s="272">
        <v>0</v>
      </c>
      <c r="O1988" s="275"/>
      <c r="P1988" s="275"/>
      <c r="Q1988" s="275"/>
      <c r="R1988" s="275"/>
      <c r="S1988" s="275"/>
      <c r="T1988" s="275"/>
      <c r="U1988" s="276">
        <v>0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161</v>
      </c>
      <c r="B1989" s="271" t="s">
        <v>2158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0</v>
      </c>
      <c r="K1989" s="273"/>
      <c r="L1989" s="273"/>
      <c r="M1989" s="274">
        <v>0</v>
      </c>
      <c r="N1989" s="272">
        <v>0</v>
      </c>
      <c r="O1989" s="275"/>
      <c r="P1989" s="275"/>
      <c r="Q1989" s="275"/>
      <c r="R1989" s="275"/>
      <c r="S1989" s="275"/>
      <c r="T1989" s="275"/>
      <c r="U1989" s="276">
        <v>0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161</v>
      </c>
      <c r="B1990" s="271" t="s">
        <v>2159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0</v>
      </c>
      <c r="K1990" s="273"/>
      <c r="L1990" s="273"/>
      <c r="M1990" s="274">
        <v>0</v>
      </c>
      <c r="N1990" s="272">
        <v>0</v>
      </c>
      <c r="O1990" s="275"/>
      <c r="P1990" s="275"/>
      <c r="Q1990" s="275"/>
      <c r="R1990" s="275"/>
      <c r="S1990" s="275"/>
      <c r="T1990" s="275"/>
      <c r="U1990" s="276">
        <v>0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161</v>
      </c>
      <c r="B1991" s="271" t="s">
        <v>2160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0</v>
      </c>
      <c r="K1991" s="273"/>
      <c r="L1991" s="273"/>
      <c r="M1991" s="274">
        <v>0</v>
      </c>
      <c r="N1991" s="272">
        <v>0</v>
      </c>
      <c r="O1991" s="275"/>
      <c r="P1991" s="275"/>
      <c r="Q1991" s="275"/>
      <c r="R1991" s="275"/>
      <c r="S1991" s="275"/>
      <c r="T1991" s="275"/>
      <c r="U1991" s="276">
        <v>0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161</v>
      </c>
      <c r="B1992" s="271" t="s">
        <v>2161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0</v>
      </c>
      <c r="K1992" s="273"/>
      <c r="L1992" s="273"/>
      <c r="M1992" s="274">
        <v>0</v>
      </c>
      <c r="N1992" s="272">
        <v>0</v>
      </c>
      <c r="O1992" s="275"/>
      <c r="P1992" s="275"/>
      <c r="Q1992" s="275"/>
      <c r="R1992" s="275"/>
      <c r="S1992" s="275"/>
      <c r="T1992" s="275"/>
      <c r="U1992" s="276">
        <v>0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161</v>
      </c>
      <c r="B1993" s="271" t="s">
        <v>2162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0</v>
      </c>
      <c r="K1993" s="273"/>
      <c r="L1993" s="273"/>
      <c r="M1993" s="274">
        <v>0</v>
      </c>
      <c r="N1993" s="272">
        <v>0</v>
      </c>
      <c r="O1993" s="275"/>
      <c r="P1993" s="275"/>
      <c r="Q1993" s="275"/>
      <c r="R1993" s="275"/>
      <c r="S1993" s="275"/>
      <c r="T1993" s="275"/>
      <c r="U1993" s="276">
        <v>0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161</v>
      </c>
      <c r="B1994" s="271" t="s">
        <v>2163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0</v>
      </c>
      <c r="K1994" s="273"/>
      <c r="L1994" s="273"/>
      <c r="M1994" s="274">
        <v>0</v>
      </c>
      <c r="N1994" s="272">
        <v>0</v>
      </c>
      <c r="O1994" s="275"/>
      <c r="P1994" s="275"/>
      <c r="Q1994" s="275"/>
      <c r="R1994" s="275"/>
      <c r="S1994" s="275"/>
      <c r="T1994" s="275"/>
      <c r="U1994" s="276">
        <v>0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161</v>
      </c>
      <c r="B1995" s="271" t="s">
        <v>2164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0</v>
      </c>
      <c r="K1995" s="273"/>
      <c r="L1995" s="273"/>
      <c r="M1995" s="274">
        <v>0</v>
      </c>
      <c r="N1995" s="272">
        <v>0</v>
      </c>
      <c r="O1995" s="275"/>
      <c r="P1995" s="275"/>
      <c r="Q1995" s="275"/>
      <c r="R1995" s="275"/>
      <c r="S1995" s="275"/>
      <c r="T1995" s="275"/>
      <c r="U1995" s="276">
        <v>0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161</v>
      </c>
      <c r="B1996" s="271" t="s">
        <v>2165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0</v>
      </c>
      <c r="K1996" s="273"/>
      <c r="L1996" s="273"/>
      <c r="M1996" s="274">
        <v>0</v>
      </c>
      <c r="N1996" s="272">
        <v>0</v>
      </c>
      <c r="O1996" s="275"/>
      <c r="P1996" s="275"/>
      <c r="Q1996" s="275"/>
      <c r="R1996" s="275"/>
      <c r="S1996" s="275"/>
      <c r="T1996" s="275"/>
      <c r="U1996" s="276">
        <v>0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161</v>
      </c>
      <c r="B1997" s="271" t="s">
        <v>2166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0</v>
      </c>
      <c r="K1997" s="273"/>
      <c r="L1997" s="273"/>
      <c r="M1997" s="274">
        <v>0</v>
      </c>
      <c r="N1997" s="272">
        <v>0</v>
      </c>
      <c r="O1997" s="275"/>
      <c r="P1997" s="275"/>
      <c r="Q1997" s="275"/>
      <c r="R1997" s="275"/>
      <c r="S1997" s="275"/>
      <c r="T1997" s="275"/>
      <c r="U1997" s="276">
        <v>0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161</v>
      </c>
      <c r="B1998" s="271" t="s">
        <v>2167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0</v>
      </c>
      <c r="K1998" s="273"/>
      <c r="L1998" s="273"/>
      <c r="M1998" s="274">
        <v>0</v>
      </c>
      <c r="N1998" s="272">
        <v>0</v>
      </c>
      <c r="O1998" s="275"/>
      <c r="P1998" s="275"/>
      <c r="Q1998" s="275"/>
      <c r="R1998" s="275"/>
      <c r="S1998" s="275"/>
      <c r="T1998" s="275"/>
      <c r="U1998" s="276">
        <v>0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161</v>
      </c>
      <c r="B1999" s="271" t="s">
        <v>2168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0</v>
      </c>
      <c r="K1999" s="273"/>
      <c r="L1999" s="273"/>
      <c r="M1999" s="274">
        <v>0</v>
      </c>
      <c r="N1999" s="272">
        <v>0</v>
      </c>
      <c r="O1999" s="275"/>
      <c r="P1999" s="275"/>
      <c r="Q1999" s="275"/>
      <c r="R1999" s="275"/>
      <c r="S1999" s="275"/>
      <c r="T1999" s="275"/>
      <c r="U1999" s="276">
        <v>0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161</v>
      </c>
      <c r="B2000" s="271" t="s">
        <v>2169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0</v>
      </c>
      <c r="K2000" s="273"/>
      <c r="L2000" s="273"/>
      <c r="M2000" s="274">
        <v>0</v>
      </c>
      <c r="N2000" s="272">
        <v>0</v>
      </c>
      <c r="O2000" s="275"/>
      <c r="P2000" s="275"/>
      <c r="Q2000" s="275"/>
      <c r="R2000" s="275"/>
      <c r="S2000" s="275"/>
      <c r="T2000" s="275"/>
      <c r="U2000" s="276">
        <v>0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161</v>
      </c>
      <c r="B2001" s="271" t="s">
        <v>2170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0</v>
      </c>
      <c r="K2001" s="273"/>
      <c r="L2001" s="273"/>
      <c r="M2001" s="274">
        <v>0</v>
      </c>
      <c r="N2001" s="272">
        <v>0</v>
      </c>
      <c r="O2001" s="275"/>
      <c r="P2001" s="275"/>
      <c r="Q2001" s="275"/>
      <c r="R2001" s="275"/>
      <c r="S2001" s="275"/>
      <c r="T2001" s="275"/>
      <c r="U2001" s="276">
        <v>0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161</v>
      </c>
      <c r="B2002" s="271" t="s">
        <v>2171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0</v>
      </c>
      <c r="K2002" s="273"/>
      <c r="L2002" s="273"/>
      <c r="M2002" s="274">
        <v>0</v>
      </c>
      <c r="N2002" s="272">
        <v>0</v>
      </c>
      <c r="O2002" s="275"/>
      <c r="P2002" s="275"/>
      <c r="Q2002" s="275"/>
      <c r="R2002" s="275"/>
      <c r="S2002" s="275"/>
      <c r="T2002" s="275"/>
      <c r="U2002" s="276">
        <v>0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161</v>
      </c>
      <c r="B2003" s="271" t="s">
        <v>2172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0</v>
      </c>
      <c r="K2003" s="273"/>
      <c r="L2003" s="273"/>
      <c r="M2003" s="274">
        <v>0</v>
      </c>
      <c r="N2003" s="272">
        <v>0</v>
      </c>
      <c r="O2003" s="275"/>
      <c r="P2003" s="275"/>
      <c r="Q2003" s="275"/>
      <c r="R2003" s="275"/>
      <c r="S2003" s="275"/>
      <c r="T2003" s="275"/>
      <c r="U2003" s="276">
        <v>0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161</v>
      </c>
      <c r="B2004" s="271" t="s">
        <v>2173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0</v>
      </c>
      <c r="K2004" s="273"/>
      <c r="L2004" s="273"/>
      <c r="M2004" s="274">
        <v>0</v>
      </c>
      <c r="N2004" s="272">
        <v>0</v>
      </c>
      <c r="O2004" s="275"/>
      <c r="P2004" s="275"/>
      <c r="Q2004" s="275"/>
      <c r="R2004" s="275"/>
      <c r="S2004" s="275"/>
      <c r="T2004" s="275"/>
      <c r="U2004" s="276">
        <v>0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161</v>
      </c>
      <c r="B2005" s="271" t="s">
        <v>2174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0</v>
      </c>
      <c r="K2005" s="273"/>
      <c r="L2005" s="273"/>
      <c r="M2005" s="274">
        <v>0</v>
      </c>
      <c r="N2005" s="272">
        <v>0</v>
      </c>
      <c r="O2005" s="275"/>
      <c r="P2005" s="275"/>
      <c r="Q2005" s="275"/>
      <c r="R2005" s="275"/>
      <c r="S2005" s="275"/>
      <c r="T2005" s="275"/>
      <c r="U2005" s="276">
        <v>0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161</v>
      </c>
      <c r="B2006" s="271" t="s">
        <v>2175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0</v>
      </c>
      <c r="K2006" s="273"/>
      <c r="L2006" s="273"/>
      <c r="M2006" s="274">
        <v>0</v>
      </c>
      <c r="N2006" s="272">
        <v>0</v>
      </c>
      <c r="O2006" s="275"/>
      <c r="P2006" s="275"/>
      <c r="Q2006" s="275"/>
      <c r="R2006" s="275"/>
      <c r="S2006" s="275"/>
      <c r="T2006" s="275"/>
      <c r="U2006" s="276">
        <v>0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161</v>
      </c>
      <c r="B2007" s="271" t="s">
        <v>2176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0</v>
      </c>
      <c r="K2007" s="273"/>
      <c r="L2007" s="273"/>
      <c r="M2007" s="274">
        <v>0</v>
      </c>
      <c r="N2007" s="272">
        <v>0</v>
      </c>
      <c r="O2007" s="275"/>
      <c r="P2007" s="275"/>
      <c r="Q2007" s="275"/>
      <c r="R2007" s="275"/>
      <c r="S2007" s="275"/>
      <c r="T2007" s="275"/>
      <c r="U2007" s="276">
        <v>0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161</v>
      </c>
      <c r="B2008" s="271" t="s">
        <v>2177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0</v>
      </c>
      <c r="K2008" s="273"/>
      <c r="L2008" s="273"/>
      <c r="M2008" s="274">
        <v>0</v>
      </c>
      <c r="N2008" s="272">
        <v>0</v>
      </c>
      <c r="O2008" s="275"/>
      <c r="P2008" s="275"/>
      <c r="Q2008" s="275"/>
      <c r="R2008" s="275"/>
      <c r="S2008" s="275"/>
      <c r="T2008" s="275"/>
      <c r="U2008" s="276">
        <v>0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161</v>
      </c>
      <c r="B2009" s="271" t="s">
        <v>2178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0</v>
      </c>
      <c r="K2009" s="273"/>
      <c r="L2009" s="273"/>
      <c r="M2009" s="274">
        <v>0</v>
      </c>
      <c r="N2009" s="272">
        <v>0</v>
      </c>
      <c r="O2009" s="275"/>
      <c r="P2009" s="275"/>
      <c r="Q2009" s="275"/>
      <c r="R2009" s="275"/>
      <c r="S2009" s="275"/>
      <c r="T2009" s="275"/>
      <c r="U2009" s="276">
        <v>0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161</v>
      </c>
      <c r="B2010" s="271" t="s">
        <v>2179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0</v>
      </c>
      <c r="K2010" s="273"/>
      <c r="L2010" s="273"/>
      <c r="M2010" s="274">
        <v>0</v>
      </c>
      <c r="N2010" s="272">
        <v>0</v>
      </c>
      <c r="O2010" s="275"/>
      <c r="P2010" s="275"/>
      <c r="Q2010" s="275"/>
      <c r="R2010" s="275"/>
      <c r="S2010" s="275"/>
      <c r="T2010" s="275"/>
      <c r="U2010" s="276">
        <v>0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161</v>
      </c>
      <c r="B2011" s="271" t="s">
        <v>2180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0</v>
      </c>
      <c r="K2011" s="273"/>
      <c r="L2011" s="273"/>
      <c r="M2011" s="274">
        <v>0</v>
      </c>
      <c r="N2011" s="272">
        <v>0</v>
      </c>
      <c r="O2011" s="275"/>
      <c r="P2011" s="275"/>
      <c r="Q2011" s="275"/>
      <c r="R2011" s="275"/>
      <c r="S2011" s="275"/>
      <c r="T2011" s="275"/>
      <c r="U2011" s="276">
        <v>0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161</v>
      </c>
      <c r="B2012" s="271" t="s">
        <v>2181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0</v>
      </c>
      <c r="K2012" s="273"/>
      <c r="L2012" s="273"/>
      <c r="M2012" s="274">
        <v>0</v>
      </c>
      <c r="N2012" s="272">
        <v>0</v>
      </c>
      <c r="O2012" s="275"/>
      <c r="P2012" s="275"/>
      <c r="Q2012" s="275"/>
      <c r="R2012" s="275"/>
      <c r="S2012" s="275"/>
      <c r="T2012" s="275"/>
      <c r="U2012" s="276">
        <v>0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161</v>
      </c>
      <c r="B2013" s="271" t="s">
        <v>2182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0</v>
      </c>
      <c r="K2013" s="273"/>
      <c r="L2013" s="273"/>
      <c r="M2013" s="274">
        <v>0</v>
      </c>
      <c r="N2013" s="272">
        <v>0</v>
      </c>
      <c r="O2013" s="275"/>
      <c r="P2013" s="275"/>
      <c r="Q2013" s="275"/>
      <c r="R2013" s="275"/>
      <c r="S2013" s="275"/>
      <c r="T2013" s="275"/>
      <c r="U2013" s="276">
        <v>0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161</v>
      </c>
      <c r="B2014" s="271" t="s">
        <v>2183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0</v>
      </c>
      <c r="K2014" s="273"/>
      <c r="L2014" s="273"/>
      <c r="M2014" s="274">
        <v>0</v>
      </c>
      <c r="N2014" s="272">
        <v>0</v>
      </c>
      <c r="O2014" s="275"/>
      <c r="P2014" s="275"/>
      <c r="Q2014" s="275"/>
      <c r="R2014" s="275"/>
      <c r="S2014" s="275"/>
      <c r="T2014" s="275"/>
      <c r="U2014" s="276">
        <v>0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161</v>
      </c>
      <c r="B2015" s="271" t="s">
        <v>2184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0</v>
      </c>
      <c r="K2015" s="273"/>
      <c r="L2015" s="273"/>
      <c r="M2015" s="274">
        <v>0</v>
      </c>
      <c r="N2015" s="272">
        <v>0</v>
      </c>
      <c r="O2015" s="275"/>
      <c r="P2015" s="275"/>
      <c r="Q2015" s="275"/>
      <c r="R2015" s="275"/>
      <c r="S2015" s="275"/>
      <c r="T2015" s="275"/>
      <c r="U2015" s="276">
        <v>0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161</v>
      </c>
      <c r="B2016" s="271" t="s">
        <v>2185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0</v>
      </c>
      <c r="K2016" s="273"/>
      <c r="L2016" s="273"/>
      <c r="M2016" s="274">
        <v>0</v>
      </c>
      <c r="N2016" s="272">
        <v>0</v>
      </c>
      <c r="O2016" s="275"/>
      <c r="P2016" s="275"/>
      <c r="Q2016" s="275"/>
      <c r="R2016" s="275"/>
      <c r="S2016" s="275"/>
      <c r="T2016" s="275"/>
      <c r="U2016" s="276">
        <v>0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161</v>
      </c>
      <c r="B2017" s="271" t="s">
        <v>2186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0</v>
      </c>
      <c r="K2017" s="273"/>
      <c r="L2017" s="273"/>
      <c r="M2017" s="274">
        <v>0</v>
      </c>
      <c r="N2017" s="272">
        <v>0</v>
      </c>
      <c r="O2017" s="275"/>
      <c r="P2017" s="275"/>
      <c r="Q2017" s="275"/>
      <c r="R2017" s="275"/>
      <c r="S2017" s="275"/>
      <c r="T2017" s="275"/>
      <c r="U2017" s="276">
        <v>0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161</v>
      </c>
      <c r="B2018" s="271" t="s">
        <v>2187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0</v>
      </c>
      <c r="K2018" s="273"/>
      <c r="L2018" s="273"/>
      <c r="M2018" s="274">
        <v>0</v>
      </c>
      <c r="N2018" s="272">
        <v>0</v>
      </c>
      <c r="O2018" s="275"/>
      <c r="P2018" s="275"/>
      <c r="Q2018" s="275"/>
      <c r="R2018" s="275"/>
      <c r="S2018" s="275"/>
      <c r="T2018" s="275"/>
      <c r="U2018" s="276">
        <v>0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161</v>
      </c>
      <c r="B2019" s="271" t="s">
        <v>2188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0</v>
      </c>
      <c r="K2019" s="273"/>
      <c r="L2019" s="273"/>
      <c r="M2019" s="274">
        <v>0</v>
      </c>
      <c r="N2019" s="272">
        <v>0</v>
      </c>
      <c r="O2019" s="275"/>
      <c r="P2019" s="275"/>
      <c r="Q2019" s="275"/>
      <c r="R2019" s="275"/>
      <c r="S2019" s="275"/>
      <c r="T2019" s="275"/>
      <c r="U2019" s="276">
        <v>0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161</v>
      </c>
      <c r="B2020" s="271" t="s">
        <v>2189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0</v>
      </c>
      <c r="K2020" s="273"/>
      <c r="L2020" s="273"/>
      <c r="M2020" s="274">
        <v>0</v>
      </c>
      <c r="N2020" s="272">
        <v>0</v>
      </c>
      <c r="O2020" s="275"/>
      <c r="P2020" s="275"/>
      <c r="Q2020" s="275"/>
      <c r="R2020" s="275"/>
      <c r="S2020" s="275"/>
      <c r="T2020" s="275"/>
      <c r="U2020" s="276">
        <v>0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161</v>
      </c>
      <c r="B2021" s="271" t="s">
        <v>2190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0</v>
      </c>
      <c r="K2021" s="273"/>
      <c r="L2021" s="273"/>
      <c r="M2021" s="274">
        <v>0</v>
      </c>
      <c r="N2021" s="272">
        <v>0</v>
      </c>
      <c r="O2021" s="275"/>
      <c r="P2021" s="275"/>
      <c r="Q2021" s="275"/>
      <c r="R2021" s="275"/>
      <c r="S2021" s="275"/>
      <c r="T2021" s="275"/>
      <c r="U2021" s="276">
        <v>0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161</v>
      </c>
      <c r="B2022" s="271" t="s">
        <v>2191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0</v>
      </c>
      <c r="K2022" s="273"/>
      <c r="L2022" s="273"/>
      <c r="M2022" s="274">
        <v>0</v>
      </c>
      <c r="N2022" s="272">
        <v>0</v>
      </c>
      <c r="O2022" s="275"/>
      <c r="P2022" s="275"/>
      <c r="Q2022" s="275"/>
      <c r="R2022" s="275"/>
      <c r="S2022" s="275"/>
      <c r="T2022" s="275"/>
      <c r="U2022" s="276">
        <v>0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161</v>
      </c>
      <c r="B2023" s="10" t="s">
        <v>482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1</v>
      </c>
      <c r="K2023" s="25">
        <v>2494.25</v>
      </c>
      <c r="L2023" s="25">
        <v>2540.65</v>
      </c>
      <c r="M2023" s="29">
        <v>1</v>
      </c>
      <c r="N2023" s="28">
        <v>1</v>
      </c>
      <c r="O2023" s="11">
        <v>17.2104</v>
      </c>
      <c r="P2023" s="11">
        <v>2494.25</v>
      </c>
      <c r="Q2023" s="11">
        <v>2477.0396000000001</v>
      </c>
      <c r="R2023" s="11">
        <v>-2557.8604</v>
      </c>
      <c r="S2023" s="11">
        <v>-2540.65</v>
      </c>
      <c r="T2023" s="11">
        <v>17.2104</v>
      </c>
      <c r="U2023" s="30">
        <v>1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161</v>
      </c>
      <c r="B2024" s="10" t="s">
        <v>483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0</v>
      </c>
      <c r="K2024" s="25"/>
      <c r="L2024" s="25"/>
      <c r="M2024" s="29">
        <v>0</v>
      </c>
      <c r="N2024" s="28">
        <v>0</v>
      </c>
      <c r="O2024" s="11"/>
      <c r="P2024" s="11"/>
      <c r="Q2024" s="11"/>
      <c r="R2024" s="11"/>
      <c r="S2024" s="11"/>
      <c r="T2024" s="11"/>
      <c r="U2024" s="30">
        <v>0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161</v>
      </c>
      <c r="B2025" s="10" t="s">
        <v>484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2</v>
      </c>
      <c r="K2025" s="25">
        <v>2175.5</v>
      </c>
      <c r="L2025" s="25">
        <v>2696</v>
      </c>
      <c r="M2025" s="29">
        <v>1</v>
      </c>
      <c r="N2025" s="28">
        <v>2</v>
      </c>
      <c r="O2025" s="11">
        <v>17.2104</v>
      </c>
      <c r="P2025" s="11">
        <v>2175.5</v>
      </c>
      <c r="Q2025" s="11">
        <v>2158.2896000000001</v>
      </c>
      <c r="R2025" s="11">
        <v>-2713.2103999999999</v>
      </c>
      <c r="S2025" s="11">
        <v>-2696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161</v>
      </c>
      <c r="B2026" s="10" t="s">
        <v>2192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0</v>
      </c>
      <c r="K2026" s="25"/>
      <c r="L2026" s="25"/>
      <c r="M2026" s="29">
        <v>0</v>
      </c>
      <c r="N2026" s="28">
        <v>0</v>
      </c>
      <c r="O2026" s="11"/>
      <c r="P2026" s="11"/>
      <c r="Q2026" s="11"/>
      <c r="R2026" s="11"/>
      <c r="S2026" s="11"/>
      <c r="T2026" s="11"/>
      <c r="U2026" s="30">
        <v>0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161</v>
      </c>
      <c r="B2027" s="10" t="s">
        <v>2193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161</v>
      </c>
      <c r="B2028" s="10" t="s">
        <v>485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0</v>
      </c>
      <c r="K2028" s="25"/>
      <c r="L2028" s="25"/>
      <c r="M2028" s="29">
        <v>0</v>
      </c>
      <c r="N2028" s="28">
        <v>0</v>
      </c>
      <c r="O2028" s="11"/>
      <c r="P2028" s="11"/>
      <c r="Q2028" s="11"/>
      <c r="R2028" s="11"/>
      <c r="S2028" s="11"/>
      <c r="T2028" s="11"/>
      <c r="U2028" s="30">
        <v>0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161</v>
      </c>
      <c r="B2029" s="10" t="s">
        <v>486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1</v>
      </c>
      <c r="K2029" s="25">
        <v>2131</v>
      </c>
      <c r="L2029" s="25">
        <v>2740.5</v>
      </c>
      <c r="M2029" s="29">
        <v>1</v>
      </c>
      <c r="N2029" s="28">
        <v>1</v>
      </c>
      <c r="O2029" s="11">
        <v>34.250399999999999</v>
      </c>
      <c r="P2029" s="11">
        <v>2131</v>
      </c>
      <c r="Q2029" s="11">
        <v>2096.7496000000001</v>
      </c>
      <c r="R2029" s="11">
        <v>-2774.7503999999999</v>
      </c>
      <c r="S2029" s="11">
        <v>-2740.5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161</v>
      </c>
      <c r="B2030" s="10" t="s">
        <v>2194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0</v>
      </c>
      <c r="K2030" s="25"/>
      <c r="L2030" s="25"/>
      <c r="M2030" s="29">
        <v>0</v>
      </c>
      <c r="N2030" s="28">
        <v>0</v>
      </c>
      <c r="O2030" s="11"/>
      <c r="P2030" s="11"/>
      <c r="Q2030" s="11"/>
      <c r="R2030" s="11"/>
      <c r="S2030" s="11"/>
      <c r="T2030" s="11"/>
      <c r="U2030" s="30">
        <v>0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161</v>
      </c>
      <c r="B2031" s="10" t="s">
        <v>2195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161</v>
      </c>
      <c r="B2032" s="10" t="s">
        <v>487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0</v>
      </c>
      <c r="K2032" s="25"/>
      <c r="L2032" s="25"/>
      <c r="M2032" s="29">
        <v>0</v>
      </c>
      <c r="N2032" s="28">
        <v>0</v>
      </c>
      <c r="O2032" s="11"/>
      <c r="P2032" s="11"/>
      <c r="Q2032" s="11"/>
      <c r="R2032" s="11"/>
      <c r="S2032" s="11"/>
      <c r="T2032" s="11"/>
      <c r="U2032" s="30">
        <v>0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161</v>
      </c>
      <c r="B2033" s="10" t="s">
        <v>488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0</v>
      </c>
      <c r="K2033" s="25"/>
      <c r="L2033" s="25"/>
      <c r="M2033" s="29">
        <v>0</v>
      </c>
      <c r="N2033" s="28">
        <v>0</v>
      </c>
      <c r="O2033" s="11"/>
      <c r="P2033" s="11"/>
      <c r="Q2033" s="11"/>
      <c r="R2033" s="11"/>
      <c r="S2033" s="11"/>
      <c r="T2033" s="11"/>
      <c r="U2033" s="30">
        <v>0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161</v>
      </c>
      <c r="B2034" s="10" t="s">
        <v>2196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0</v>
      </c>
      <c r="K2034" s="25"/>
      <c r="L2034" s="25"/>
      <c r="M2034" s="29">
        <v>0</v>
      </c>
      <c r="N2034" s="28">
        <v>0</v>
      </c>
      <c r="O2034" s="11"/>
      <c r="P2034" s="11"/>
      <c r="Q2034" s="11"/>
      <c r="R2034" s="11"/>
      <c r="S2034" s="11"/>
      <c r="T2034" s="11"/>
      <c r="U2034" s="30">
        <v>0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161</v>
      </c>
      <c r="B2035" s="10" t="s">
        <v>2197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161</v>
      </c>
      <c r="B2036" s="10" t="s">
        <v>489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1</v>
      </c>
      <c r="K2036" s="25">
        <v>2151.25</v>
      </c>
      <c r="L2036" s="25">
        <v>2883.65</v>
      </c>
      <c r="M2036" s="29">
        <v>1</v>
      </c>
      <c r="N2036" s="28">
        <v>1</v>
      </c>
      <c r="O2036" s="11">
        <v>34.250399999999999</v>
      </c>
      <c r="P2036" s="11">
        <v>2151.25</v>
      </c>
      <c r="Q2036" s="11">
        <v>2116.9996000000001</v>
      </c>
      <c r="R2036" s="11">
        <v>-2917.9004</v>
      </c>
      <c r="S2036" s="11">
        <v>-2883.65</v>
      </c>
      <c r="T2036" s="11">
        <v>34.250399999999999</v>
      </c>
      <c r="U2036" s="30">
        <v>1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161</v>
      </c>
      <c r="B2037" s="10" t="s">
        <v>490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0</v>
      </c>
      <c r="K2037" s="25"/>
      <c r="L2037" s="25"/>
      <c r="M2037" s="29">
        <v>0</v>
      </c>
      <c r="N2037" s="28">
        <v>0</v>
      </c>
      <c r="O2037" s="11"/>
      <c r="P2037" s="11"/>
      <c r="Q2037" s="11"/>
      <c r="R2037" s="11"/>
      <c r="S2037" s="11"/>
      <c r="T2037" s="11"/>
      <c r="U2037" s="30">
        <v>0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161</v>
      </c>
      <c r="B2038" s="10" t="s">
        <v>2198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0</v>
      </c>
      <c r="K2038" s="25"/>
      <c r="L2038" s="25"/>
      <c r="M2038" s="29">
        <v>0</v>
      </c>
      <c r="N2038" s="28">
        <v>0</v>
      </c>
      <c r="O2038" s="11"/>
      <c r="P2038" s="11"/>
      <c r="Q2038" s="11"/>
      <c r="R2038" s="11"/>
      <c r="S2038" s="11"/>
      <c r="T2038" s="11"/>
      <c r="U2038" s="30">
        <v>0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161</v>
      </c>
      <c r="B2039" s="10" t="s">
        <v>2199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161</v>
      </c>
      <c r="B2040" s="10" t="s">
        <v>2200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0</v>
      </c>
      <c r="K2040" s="25"/>
      <c r="L2040" s="25"/>
      <c r="M2040" s="29">
        <v>0</v>
      </c>
      <c r="N2040" s="28">
        <v>0</v>
      </c>
      <c r="O2040" s="11"/>
      <c r="P2040" s="11"/>
      <c r="Q2040" s="11"/>
      <c r="R2040" s="11"/>
      <c r="S2040" s="11"/>
      <c r="T2040" s="11"/>
      <c r="U2040" s="30">
        <v>0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161</v>
      </c>
      <c r="B2041" s="10" t="s">
        <v>2201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0</v>
      </c>
      <c r="K2041" s="25"/>
      <c r="L2041" s="25"/>
      <c r="M2041" s="29">
        <v>0</v>
      </c>
      <c r="N2041" s="28">
        <v>0</v>
      </c>
      <c r="O2041" s="11"/>
      <c r="P2041" s="11"/>
      <c r="Q2041" s="11"/>
      <c r="R2041" s="11"/>
      <c r="S2041" s="11"/>
      <c r="T2041" s="11"/>
      <c r="U2041" s="30">
        <v>0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161</v>
      </c>
      <c r="B2042" s="10" t="s">
        <v>2202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0</v>
      </c>
      <c r="K2042" s="25"/>
      <c r="L2042" s="25"/>
      <c r="M2042" s="29">
        <v>0</v>
      </c>
      <c r="N2042" s="28">
        <v>0</v>
      </c>
      <c r="O2042" s="11"/>
      <c r="P2042" s="11"/>
      <c r="Q2042" s="11"/>
      <c r="R2042" s="11"/>
      <c r="S2042" s="11"/>
      <c r="T2042" s="11"/>
      <c r="U2042" s="30">
        <v>0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161</v>
      </c>
      <c r="B2043" s="10" t="s">
        <v>2203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161</v>
      </c>
      <c r="B2044" s="10" t="s">
        <v>2204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161</v>
      </c>
      <c r="B2045" s="10" t="s">
        <v>2205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161</v>
      </c>
      <c r="B2046" s="10" t="s">
        <v>2206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161</v>
      </c>
      <c r="B2047" s="10" t="s">
        <v>2207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161</v>
      </c>
      <c r="B2048" s="10" t="s">
        <v>491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0</v>
      </c>
      <c r="K2048" s="25"/>
      <c r="L2048" s="25"/>
      <c r="M2048" s="29">
        <v>0</v>
      </c>
      <c r="N2048" s="28">
        <v>0</v>
      </c>
      <c r="O2048" s="11"/>
      <c r="P2048" s="11"/>
      <c r="Q2048" s="11"/>
      <c r="R2048" s="11"/>
      <c r="S2048" s="11"/>
      <c r="T2048" s="11"/>
      <c r="U2048" s="30">
        <v>0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161</v>
      </c>
      <c r="B2049" s="10" t="s">
        <v>2208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0</v>
      </c>
      <c r="K2049" s="25"/>
      <c r="L2049" s="25"/>
      <c r="M2049" s="29">
        <v>0</v>
      </c>
      <c r="N2049" s="28">
        <v>0</v>
      </c>
      <c r="O2049" s="11"/>
      <c r="P2049" s="11"/>
      <c r="Q2049" s="11"/>
      <c r="R2049" s="11"/>
      <c r="S2049" s="11"/>
      <c r="T2049" s="11"/>
      <c r="U2049" s="30">
        <v>0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161</v>
      </c>
      <c r="B2050" s="10" t="s">
        <v>2209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161</v>
      </c>
      <c r="B2051" s="10" t="s">
        <v>492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0</v>
      </c>
      <c r="K2051" s="25"/>
      <c r="L2051" s="25"/>
      <c r="M2051" s="29">
        <v>0</v>
      </c>
      <c r="N2051" s="28">
        <v>0</v>
      </c>
      <c r="O2051" s="11"/>
      <c r="P2051" s="11"/>
      <c r="Q2051" s="11"/>
      <c r="R2051" s="11"/>
      <c r="S2051" s="11"/>
      <c r="T2051" s="11"/>
      <c r="U2051" s="30">
        <v>0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161</v>
      </c>
      <c r="B2052" s="10" t="s">
        <v>2210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0</v>
      </c>
      <c r="K2052" s="25"/>
      <c r="L2052" s="25"/>
      <c r="M2052" s="29">
        <v>0</v>
      </c>
      <c r="N2052" s="28">
        <v>0</v>
      </c>
      <c r="O2052" s="11"/>
      <c r="P2052" s="11"/>
      <c r="Q2052" s="11"/>
      <c r="R2052" s="11"/>
      <c r="S2052" s="11"/>
      <c r="T2052" s="11"/>
      <c r="U2052" s="30">
        <v>0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161</v>
      </c>
      <c r="B2053" s="10" t="s">
        <v>2211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161</v>
      </c>
      <c r="B2054" s="10" t="s">
        <v>2212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0</v>
      </c>
      <c r="K2054" s="25"/>
      <c r="L2054" s="25"/>
      <c r="M2054" s="29">
        <v>0</v>
      </c>
      <c r="N2054" s="28">
        <v>0</v>
      </c>
      <c r="O2054" s="11"/>
      <c r="P2054" s="11"/>
      <c r="Q2054" s="11"/>
      <c r="R2054" s="11"/>
      <c r="S2054" s="11"/>
      <c r="T2054" s="11"/>
      <c r="U2054" s="30">
        <v>0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161</v>
      </c>
      <c r="B2055" s="10" t="s">
        <v>2213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0</v>
      </c>
      <c r="K2055" s="25"/>
      <c r="L2055" s="25"/>
      <c r="M2055" s="29">
        <v>0</v>
      </c>
      <c r="N2055" s="28">
        <v>0</v>
      </c>
      <c r="O2055" s="11"/>
      <c r="P2055" s="11"/>
      <c r="Q2055" s="11"/>
      <c r="R2055" s="11"/>
      <c r="S2055" s="11"/>
      <c r="T2055" s="11"/>
      <c r="U2055" s="30">
        <v>0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161</v>
      </c>
      <c r="B2056" s="10" t="s">
        <v>2214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161</v>
      </c>
      <c r="B2057" s="10" t="s">
        <v>2215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161</v>
      </c>
      <c r="B2058" s="10" t="s">
        <v>2216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161</v>
      </c>
      <c r="B2059" s="10" t="s">
        <v>2217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161</v>
      </c>
      <c r="B2060" s="10" t="s">
        <v>493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0</v>
      </c>
      <c r="K2060" s="25"/>
      <c r="L2060" s="25"/>
      <c r="M2060" s="29">
        <v>0</v>
      </c>
      <c r="N2060" s="28">
        <v>0</v>
      </c>
      <c r="O2060" s="11"/>
      <c r="P2060" s="11"/>
      <c r="Q2060" s="11"/>
      <c r="R2060" s="11"/>
      <c r="S2060" s="11"/>
      <c r="T2060" s="11"/>
      <c r="U2060" s="30">
        <v>0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161</v>
      </c>
      <c r="B2061" s="10" t="s">
        <v>2218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0</v>
      </c>
      <c r="K2061" s="25"/>
      <c r="L2061" s="25"/>
      <c r="M2061" s="29">
        <v>0</v>
      </c>
      <c r="N2061" s="28">
        <v>0</v>
      </c>
      <c r="O2061" s="11"/>
      <c r="P2061" s="11"/>
      <c r="Q2061" s="11"/>
      <c r="R2061" s="11"/>
      <c r="S2061" s="11"/>
      <c r="T2061" s="11"/>
      <c r="U2061" s="30">
        <v>0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161</v>
      </c>
      <c r="B2062" s="10" t="s">
        <v>2219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161</v>
      </c>
      <c r="B2063" s="10" t="s">
        <v>494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0</v>
      </c>
      <c r="K2063" s="25"/>
      <c r="L2063" s="25"/>
      <c r="M2063" s="29">
        <v>0</v>
      </c>
      <c r="N2063" s="28">
        <v>0</v>
      </c>
      <c r="O2063" s="11"/>
      <c r="P2063" s="11"/>
      <c r="Q2063" s="11"/>
      <c r="R2063" s="11"/>
      <c r="S2063" s="11"/>
      <c r="T2063" s="11"/>
      <c r="U2063" s="30">
        <v>0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161</v>
      </c>
      <c r="B2064" s="10" t="s">
        <v>2220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0</v>
      </c>
      <c r="K2064" s="25"/>
      <c r="L2064" s="25"/>
      <c r="M2064" s="29">
        <v>0</v>
      </c>
      <c r="N2064" s="28">
        <v>0</v>
      </c>
      <c r="O2064" s="11"/>
      <c r="P2064" s="11"/>
      <c r="Q2064" s="11"/>
      <c r="R2064" s="11"/>
      <c r="S2064" s="11"/>
      <c r="T2064" s="11"/>
      <c r="U2064" s="30">
        <v>0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161</v>
      </c>
      <c r="B2065" s="10" t="s">
        <v>2221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161</v>
      </c>
      <c r="B2066" s="10" t="s">
        <v>2222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0</v>
      </c>
      <c r="K2066" s="25"/>
      <c r="L2066" s="25"/>
      <c r="M2066" s="29">
        <v>0</v>
      </c>
      <c r="N2066" s="28">
        <v>0</v>
      </c>
      <c r="O2066" s="11"/>
      <c r="P2066" s="11"/>
      <c r="Q2066" s="11"/>
      <c r="R2066" s="11"/>
      <c r="S2066" s="11"/>
      <c r="T2066" s="11"/>
      <c r="U2066" s="30">
        <v>0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161</v>
      </c>
      <c r="B2067" s="10" t="s">
        <v>2223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0</v>
      </c>
      <c r="K2067" s="25"/>
      <c r="L2067" s="25"/>
      <c r="M2067" s="29">
        <v>0</v>
      </c>
      <c r="N2067" s="28">
        <v>0</v>
      </c>
      <c r="O2067" s="11"/>
      <c r="P2067" s="11"/>
      <c r="Q2067" s="11"/>
      <c r="R2067" s="11"/>
      <c r="S2067" s="11"/>
      <c r="T2067" s="11"/>
      <c r="U2067" s="30">
        <v>0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161</v>
      </c>
      <c r="B2068" s="10" t="s">
        <v>2224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161</v>
      </c>
      <c r="B2069" s="10" t="s">
        <v>2225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161</v>
      </c>
      <c r="B2070" s="10" t="s">
        <v>2226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161</v>
      </c>
      <c r="B2071" s="10" t="s">
        <v>2227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161</v>
      </c>
      <c r="B2072" s="10" t="s">
        <v>495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0</v>
      </c>
      <c r="K2072" s="25"/>
      <c r="L2072" s="25"/>
      <c r="M2072" s="29">
        <v>0</v>
      </c>
      <c r="N2072" s="28">
        <v>0</v>
      </c>
      <c r="O2072" s="11"/>
      <c r="P2072" s="11"/>
      <c r="Q2072" s="11"/>
      <c r="R2072" s="11"/>
      <c r="S2072" s="11"/>
      <c r="T2072" s="11"/>
      <c r="U2072" s="30">
        <v>0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161</v>
      </c>
      <c r="B2073" s="10" t="s">
        <v>2228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0</v>
      </c>
      <c r="K2073" s="25"/>
      <c r="L2073" s="25"/>
      <c r="M2073" s="29">
        <v>0</v>
      </c>
      <c r="N2073" s="28">
        <v>0</v>
      </c>
      <c r="O2073" s="11"/>
      <c r="P2073" s="11"/>
      <c r="Q2073" s="11"/>
      <c r="R2073" s="11"/>
      <c r="S2073" s="11"/>
      <c r="T2073" s="11"/>
      <c r="U2073" s="30">
        <v>0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161</v>
      </c>
      <c r="B2074" s="10" t="s">
        <v>2229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161</v>
      </c>
      <c r="B2075" s="10" t="s">
        <v>496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0</v>
      </c>
      <c r="K2075" s="25"/>
      <c r="L2075" s="25"/>
      <c r="M2075" s="29">
        <v>0</v>
      </c>
      <c r="N2075" s="28">
        <v>0</v>
      </c>
      <c r="O2075" s="11"/>
      <c r="P2075" s="11"/>
      <c r="Q2075" s="11"/>
      <c r="R2075" s="11"/>
      <c r="S2075" s="11"/>
      <c r="T2075" s="11"/>
      <c r="U2075" s="30">
        <v>0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161</v>
      </c>
      <c r="B2076" s="10" t="s">
        <v>2230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0</v>
      </c>
      <c r="K2076" s="25"/>
      <c r="L2076" s="25"/>
      <c r="M2076" s="29">
        <v>0</v>
      </c>
      <c r="N2076" s="28">
        <v>0</v>
      </c>
      <c r="O2076" s="11"/>
      <c r="P2076" s="11"/>
      <c r="Q2076" s="11"/>
      <c r="R2076" s="11"/>
      <c r="S2076" s="11"/>
      <c r="T2076" s="11"/>
      <c r="U2076" s="30">
        <v>0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161</v>
      </c>
      <c r="B2077" s="10" t="s">
        <v>2231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161</v>
      </c>
      <c r="B2078" s="10" t="s">
        <v>2232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0</v>
      </c>
      <c r="K2078" s="25"/>
      <c r="L2078" s="25"/>
      <c r="M2078" s="29">
        <v>0</v>
      </c>
      <c r="N2078" s="28">
        <v>0</v>
      </c>
      <c r="O2078" s="11"/>
      <c r="P2078" s="11"/>
      <c r="Q2078" s="11"/>
      <c r="R2078" s="11"/>
      <c r="S2078" s="11"/>
      <c r="T2078" s="11"/>
      <c r="U2078" s="30">
        <v>0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161</v>
      </c>
      <c r="B2079" s="10" t="s">
        <v>2233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0</v>
      </c>
      <c r="K2079" s="25"/>
      <c r="L2079" s="25"/>
      <c r="M2079" s="29">
        <v>0</v>
      </c>
      <c r="N2079" s="28">
        <v>0</v>
      </c>
      <c r="O2079" s="11"/>
      <c r="P2079" s="11"/>
      <c r="Q2079" s="11"/>
      <c r="R2079" s="11"/>
      <c r="S2079" s="11"/>
      <c r="T2079" s="11"/>
      <c r="U2079" s="30">
        <v>0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161</v>
      </c>
      <c r="B2080" s="10" t="s">
        <v>2234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161</v>
      </c>
      <c r="B2081" s="10" t="s">
        <v>2235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161</v>
      </c>
      <c r="B2082" s="10" t="s">
        <v>2236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161</v>
      </c>
      <c r="B2083" s="10" t="s">
        <v>2237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161</v>
      </c>
      <c r="B2084" s="10" t="s">
        <v>2238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0</v>
      </c>
      <c r="K2084" s="25"/>
      <c r="L2084" s="25"/>
      <c r="M2084" s="29">
        <v>0</v>
      </c>
      <c r="N2084" s="28">
        <v>0</v>
      </c>
      <c r="O2084" s="11"/>
      <c r="P2084" s="11"/>
      <c r="Q2084" s="11"/>
      <c r="R2084" s="11"/>
      <c r="S2084" s="11"/>
      <c r="T2084" s="11"/>
      <c r="U2084" s="30">
        <v>0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161</v>
      </c>
      <c r="B2085" s="10" t="s">
        <v>2239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0</v>
      </c>
      <c r="K2085" s="25"/>
      <c r="L2085" s="25"/>
      <c r="M2085" s="29">
        <v>0</v>
      </c>
      <c r="N2085" s="28">
        <v>0</v>
      </c>
      <c r="O2085" s="11"/>
      <c r="P2085" s="11"/>
      <c r="Q2085" s="11"/>
      <c r="R2085" s="11"/>
      <c r="S2085" s="11"/>
      <c r="T2085" s="11"/>
      <c r="U2085" s="30">
        <v>0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161</v>
      </c>
      <c r="B2086" s="10" t="s">
        <v>2240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161</v>
      </c>
      <c r="B2087" s="10" t="s">
        <v>2241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0</v>
      </c>
      <c r="K2087" s="25"/>
      <c r="L2087" s="25"/>
      <c r="M2087" s="29">
        <v>0</v>
      </c>
      <c r="N2087" s="28">
        <v>0</v>
      </c>
      <c r="O2087" s="11"/>
      <c r="P2087" s="11"/>
      <c r="Q2087" s="11"/>
      <c r="R2087" s="11"/>
      <c r="S2087" s="11"/>
      <c r="T2087" s="11"/>
      <c r="U2087" s="30">
        <v>0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161</v>
      </c>
      <c r="B2088" s="10" t="s">
        <v>2242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0</v>
      </c>
      <c r="K2088" s="25"/>
      <c r="L2088" s="25"/>
      <c r="M2088" s="29">
        <v>0</v>
      </c>
      <c r="N2088" s="28">
        <v>0</v>
      </c>
      <c r="O2088" s="11"/>
      <c r="P2088" s="11"/>
      <c r="Q2088" s="11"/>
      <c r="R2088" s="11"/>
      <c r="S2088" s="11"/>
      <c r="T2088" s="11"/>
      <c r="U2088" s="30">
        <v>0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161</v>
      </c>
      <c r="B2089" s="10" t="s">
        <v>2243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161</v>
      </c>
      <c r="B2090" s="10" t="s">
        <v>2244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0</v>
      </c>
      <c r="K2090" s="25"/>
      <c r="L2090" s="25"/>
      <c r="M2090" s="29">
        <v>0</v>
      </c>
      <c r="N2090" s="28">
        <v>0</v>
      </c>
      <c r="O2090" s="11"/>
      <c r="P2090" s="11"/>
      <c r="Q2090" s="11"/>
      <c r="R2090" s="11"/>
      <c r="S2090" s="11"/>
      <c r="T2090" s="11"/>
      <c r="U2090" s="30">
        <v>0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161</v>
      </c>
      <c r="B2091" s="10" t="s">
        <v>2245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0</v>
      </c>
      <c r="K2091" s="25"/>
      <c r="L2091" s="25"/>
      <c r="M2091" s="29">
        <v>0</v>
      </c>
      <c r="N2091" s="28">
        <v>0</v>
      </c>
      <c r="O2091" s="11"/>
      <c r="P2091" s="11"/>
      <c r="Q2091" s="11"/>
      <c r="R2091" s="11"/>
      <c r="S2091" s="11"/>
      <c r="T2091" s="11"/>
      <c r="U2091" s="30">
        <v>0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161</v>
      </c>
      <c r="B2092" s="10" t="s">
        <v>2246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161</v>
      </c>
      <c r="B2093" s="10" t="s">
        <v>2247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161</v>
      </c>
      <c r="B2094" s="10" t="s">
        <v>2248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161</v>
      </c>
      <c r="B2095" s="10" t="s">
        <v>2249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161</v>
      </c>
      <c r="B2096" s="10" t="s">
        <v>2250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161</v>
      </c>
      <c r="B2097" s="10" t="s">
        <v>2251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161</v>
      </c>
      <c r="B2098" s="10" t="s">
        <v>2252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161</v>
      </c>
      <c r="B2099" s="10" t="s">
        <v>2253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161</v>
      </c>
      <c r="B2100" s="10" t="s">
        <v>2254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161</v>
      </c>
      <c r="B2101" s="10" t="s">
        <v>2255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161</v>
      </c>
      <c r="B2102" s="10" t="s">
        <v>2256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161</v>
      </c>
      <c r="B2103" s="10" t="s">
        <v>2257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161</v>
      </c>
      <c r="B2104" s="10" t="s">
        <v>2258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161</v>
      </c>
      <c r="B2105" s="10" t="s">
        <v>2259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161</v>
      </c>
      <c r="B2106" s="10" t="s">
        <v>2260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161</v>
      </c>
      <c r="B2107" s="10" t="s">
        <v>2261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161</v>
      </c>
      <c r="B2108" s="10" t="s">
        <v>2262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0</v>
      </c>
      <c r="K2108" s="25"/>
      <c r="L2108" s="25"/>
      <c r="M2108" s="29">
        <v>0</v>
      </c>
      <c r="N2108" s="28">
        <v>0</v>
      </c>
      <c r="O2108" s="11"/>
      <c r="P2108" s="11"/>
      <c r="Q2108" s="11"/>
      <c r="R2108" s="11"/>
      <c r="S2108" s="11"/>
      <c r="T2108" s="11"/>
      <c r="U2108" s="30">
        <v>0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161</v>
      </c>
      <c r="B2109" s="10" t="s">
        <v>2263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161</v>
      </c>
      <c r="B2110" s="10" t="s">
        <v>2264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0</v>
      </c>
      <c r="K2110" s="25"/>
      <c r="L2110" s="25"/>
      <c r="M2110" s="29">
        <v>0</v>
      </c>
      <c r="N2110" s="28">
        <v>0</v>
      </c>
      <c r="O2110" s="11"/>
      <c r="P2110" s="11"/>
      <c r="Q2110" s="11"/>
      <c r="R2110" s="11"/>
      <c r="S2110" s="11"/>
      <c r="T2110" s="11"/>
      <c r="U2110" s="30">
        <v>0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161</v>
      </c>
      <c r="B2111" s="10" t="s">
        <v>2265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161</v>
      </c>
      <c r="B2112" s="10" t="s">
        <v>2266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161</v>
      </c>
      <c r="B2113" s="10" t="s">
        <v>2267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161</v>
      </c>
      <c r="B2114" s="10" t="s">
        <v>2268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0</v>
      </c>
      <c r="K2114" s="25"/>
      <c r="L2114" s="25"/>
      <c r="M2114" s="29">
        <v>0</v>
      </c>
      <c r="N2114" s="28">
        <v>0</v>
      </c>
      <c r="O2114" s="11"/>
      <c r="P2114" s="11"/>
      <c r="Q2114" s="11"/>
      <c r="R2114" s="11"/>
      <c r="S2114" s="11"/>
      <c r="T2114" s="11"/>
      <c r="U2114" s="30">
        <v>0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161</v>
      </c>
      <c r="B2115" s="10" t="s">
        <v>2269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161</v>
      </c>
      <c r="B2116" s="10" t="s">
        <v>2270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0</v>
      </c>
      <c r="K2116" s="25"/>
      <c r="L2116" s="25"/>
      <c r="M2116" s="29">
        <v>0</v>
      </c>
      <c r="N2116" s="28">
        <v>0</v>
      </c>
      <c r="O2116" s="11"/>
      <c r="P2116" s="11"/>
      <c r="Q2116" s="11"/>
      <c r="R2116" s="11"/>
      <c r="S2116" s="11"/>
      <c r="T2116" s="11"/>
      <c r="U2116" s="30">
        <v>0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161</v>
      </c>
      <c r="B2117" s="10" t="s">
        <v>2271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161</v>
      </c>
      <c r="B2118" s="10" t="s">
        <v>2272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161</v>
      </c>
      <c r="B2119" s="10" t="s">
        <v>2273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161</v>
      </c>
      <c r="B2120" s="10" t="s">
        <v>2274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0</v>
      </c>
      <c r="K2120" s="25"/>
      <c r="L2120" s="25"/>
      <c r="M2120" s="29">
        <v>0</v>
      </c>
      <c r="N2120" s="28">
        <v>0</v>
      </c>
      <c r="O2120" s="11"/>
      <c r="P2120" s="11"/>
      <c r="Q2120" s="11"/>
      <c r="R2120" s="11"/>
      <c r="S2120" s="11"/>
      <c r="T2120" s="11"/>
      <c r="U2120" s="30">
        <v>0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161</v>
      </c>
      <c r="B2121" s="10" t="s">
        <v>2275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161</v>
      </c>
      <c r="B2122" s="10" t="s">
        <v>2276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0</v>
      </c>
      <c r="K2122" s="25"/>
      <c r="L2122" s="25"/>
      <c r="M2122" s="29">
        <v>0</v>
      </c>
      <c r="N2122" s="28">
        <v>0</v>
      </c>
      <c r="O2122" s="11"/>
      <c r="P2122" s="11"/>
      <c r="Q2122" s="11"/>
      <c r="R2122" s="11"/>
      <c r="S2122" s="11"/>
      <c r="T2122" s="11"/>
      <c r="U2122" s="30">
        <v>0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161</v>
      </c>
      <c r="B2123" s="10" t="s">
        <v>2277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161</v>
      </c>
      <c r="B2124" s="10" t="s">
        <v>2278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161</v>
      </c>
      <c r="B2125" s="10" t="s">
        <v>2279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161</v>
      </c>
      <c r="B2126" s="10" t="s">
        <v>2280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161</v>
      </c>
      <c r="B2127" s="10" t="s">
        <v>2281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161</v>
      </c>
      <c r="B2128" s="10" t="s">
        <v>2282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161</v>
      </c>
      <c r="B2129" s="10" t="s">
        <v>2283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161</v>
      </c>
      <c r="B2130" s="10" t="s">
        <v>2284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161</v>
      </c>
      <c r="B2131" s="10" t="s">
        <v>2285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161</v>
      </c>
      <c r="B2132" s="10" t="s">
        <v>2286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0</v>
      </c>
      <c r="K2132" s="25"/>
      <c r="L2132" s="25"/>
      <c r="M2132" s="29">
        <v>0</v>
      </c>
      <c r="N2132" s="28">
        <v>0</v>
      </c>
      <c r="O2132" s="11"/>
      <c r="P2132" s="11"/>
      <c r="Q2132" s="11"/>
      <c r="R2132" s="11"/>
      <c r="S2132" s="11"/>
      <c r="T2132" s="11"/>
      <c r="U2132" s="30">
        <v>0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161</v>
      </c>
      <c r="B2133" s="10" t="s">
        <v>2287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161</v>
      </c>
      <c r="B2134" s="10" t="s">
        <v>2288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0</v>
      </c>
      <c r="K2134" s="25"/>
      <c r="L2134" s="25"/>
      <c r="M2134" s="29">
        <v>0</v>
      </c>
      <c r="N2134" s="28">
        <v>0</v>
      </c>
      <c r="O2134" s="11"/>
      <c r="P2134" s="11"/>
      <c r="Q2134" s="11"/>
      <c r="R2134" s="11"/>
      <c r="S2134" s="11"/>
      <c r="T2134" s="11"/>
      <c r="U2134" s="30">
        <v>0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161</v>
      </c>
      <c r="B2135" s="10" t="s">
        <v>2289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161</v>
      </c>
      <c r="B2136" s="10" t="s">
        <v>2290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161</v>
      </c>
      <c r="B2137" s="10" t="s">
        <v>2291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161</v>
      </c>
      <c r="B2138" s="10" t="s">
        <v>2292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0</v>
      </c>
      <c r="K2138" s="25"/>
      <c r="L2138" s="25"/>
      <c r="M2138" s="29">
        <v>0</v>
      </c>
      <c r="N2138" s="28">
        <v>0</v>
      </c>
      <c r="O2138" s="11"/>
      <c r="P2138" s="11"/>
      <c r="Q2138" s="11"/>
      <c r="R2138" s="11"/>
      <c r="S2138" s="11"/>
      <c r="T2138" s="11"/>
      <c r="U2138" s="30">
        <v>0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161</v>
      </c>
      <c r="B2139" s="10" t="s">
        <v>2293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161</v>
      </c>
      <c r="B2140" s="10" t="s">
        <v>2294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0</v>
      </c>
      <c r="K2140" s="25"/>
      <c r="L2140" s="25"/>
      <c r="M2140" s="29">
        <v>0</v>
      </c>
      <c r="N2140" s="28">
        <v>0</v>
      </c>
      <c r="O2140" s="11"/>
      <c r="P2140" s="11"/>
      <c r="Q2140" s="11"/>
      <c r="R2140" s="11"/>
      <c r="S2140" s="11"/>
      <c r="T2140" s="11"/>
      <c r="U2140" s="30">
        <v>0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161</v>
      </c>
      <c r="B2141" s="10" t="s">
        <v>2295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161</v>
      </c>
      <c r="B2142" s="10" t="s">
        <v>2296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161</v>
      </c>
      <c r="B2143" s="10" t="s">
        <v>2297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161</v>
      </c>
      <c r="B2144" s="10" t="s">
        <v>2298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0</v>
      </c>
      <c r="K2144" s="25"/>
      <c r="L2144" s="25"/>
      <c r="M2144" s="29">
        <v>0</v>
      </c>
      <c r="N2144" s="28">
        <v>0</v>
      </c>
      <c r="O2144" s="11"/>
      <c r="P2144" s="11"/>
      <c r="Q2144" s="11"/>
      <c r="R2144" s="11"/>
      <c r="S2144" s="11"/>
      <c r="T2144" s="11"/>
      <c r="U2144" s="30">
        <v>0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161</v>
      </c>
      <c r="B2145" s="10" t="s">
        <v>2299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161</v>
      </c>
      <c r="B2146" s="10" t="s">
        <v>2300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0</v>
      </c>
      <c r="K2146" s="25"/>
      <c r="L2146" s="25"/>
      <c r="M2146" s="29">
        <v>0</v>
      </c>
      <c r="N2146" s="28">
        <v>0</v>
      </c>
      <c r="O2146" s="11"/>
      <c r="P2146" s="11"/>
      <c r="Q2146" s="11"/>
      <c r="R2146" s="11"/>
      <c r="S2146" s="11"/>
      <c r="T2146" s="11"/>
      <c r="U2146" s="30">
        <v>0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161</v>
      </c>
      <c r="B2147" s="10" t="s">
        <v>2301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161</v>
      </c>
      <c r="B2148" s="10" t="s">
        <v>2302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161</v>
      </c>
      <c r="B2149" s="10" t="s">
        <v>2303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161</v>
      </c>
      <c r="B2150" s="10" t="s">
        <v>2304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161</v>
      </c>
      <c r="B2151" s="10" t="s">
        <v>2305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161</v>
      </c>
      <c r="B2152" s="10" t="s">
        <v>2306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161</v>
      </c>
      <c r="B2153" s="10" t="s">
        <v>2307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161</v>
      </c>
      <c r="B2154" s="10" t="s">
        <v>2308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161</v>
      </c>
      <c r="B2155" s="10" t="s">
        <v>2309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161</v>
      </c>
      <c r="B2156" s="10" t="s">
        <v>2310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0</v>
      </c>
      <c r="K2156" s="25"/>
      <c r="L2156" s="25"/>
      <c r="M2156" s="29">
        <v>0</v>
      </c>
      <c r="N2156" s="28">
        <v>0</v>
      </c>
      <c r="O2156" s="11"/>
      <c r="P2156" s="11"/>
      <c r="Q2156" s="11"/>
      <c r="R2156" s="11"/>
      <c r="S2156" s="11"/>
      <c r="T2156" s="11"/>
      <c r="U2156" s="30">
        <v>0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161</v>
      </c>
      <c r="B2157" s="10" t="s">
        <v>2311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161</v>
      </c>
      <c r="B2158" s="10" t="s">
        <v>2312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0</v>
      </c>
      <c r="K2158" s="25"/>
      <c r="L2158" s="25"/>
      <c r="M2158" s="29">
        <v>0</v>
      </c>
      <c r="N2158" s="28">
        <v>0</v>
      </c>
      <c r="O2158" s="11"/>
      <c r="P2158" s="11"/>
      <c r="Q2158" s="11"/>
      <c r="R2158" s="11"/>
      <c r="S2158" s="11"/>
      <c r="T2158" s="11"/>
      <c r="U2158" s="30">
        <v>0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161</v>
      </c>
      <c r="B2159" s="10" t="s">
        <v>2313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161</v>
      </c>
      <c r="B2160" s="10" t="s">
        <v>2314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161</v>
      </c>
      <c r="B2161" s="10" t="s">
        <v>2315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161</v>
      </c>
      <c r="B2162" s="10" t="s">
        <v>2316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0</v>
      </c>
      <c r="K2162" s="25"/>
      <c r="L2162" s="25"/>
      <c r="M2162" s="29">
        <v>0</v>
      </c>
      <c r="N2162" s="28">
        <v>0</v>
      </c>
      <c r="O2162" s="11"/>
      <c r="P2162" s="11"/>
      <c r="Q2162" s="11"/>
      <c r="R2162" s="11"/>
      <c r="S2162" s="11"/>
      <c r="T2162" s="11"/>
      <c r="U2162" s="30">
        <v>0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161</v>
      </c>
      <c r="B2163" s="10" t="s">
        <v>2317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161</v>
      </c>
      <c r="B2164" s="10" t="s">
        <v>2318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0</v>
      </c>
      <c r="K2164" s="25"/>
      <c r="L2164" s="25"/>
      <c r="M2164" s="29">
        <v>0</v>
      </c>
      <c r="N2164" s="28">
        <v>0</v>
      </c>
      <c r="O2164" s="11"/>
      <c r="P2164" s="11"/>
      <c r="Q2164" s="11"/>
      <c r="R2164" s="11"/>
      <c r="S2164" s="11"/>
      <c r="T2164" s="11"/>
      <c r="U2164" s="30">
        <v>0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161</v>
      </c>
      <c r="B2165" s="10" t="s">
        <v>2319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161</v>
      </c>
      <c r="B2166" s="10" t="s">
        <v>2320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161</v>
      </c>
      <c r="B2167" s="10" t="s">
        <v>2321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161</v>
      </c>
      <c r="B2168" s="10" t="s">
        <v>2322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0</v>
      </c>
      <c r="K2168" s="25"/>
      <c r="L2168" s="25"/>
      <c r="M2168" s="29">
        <v>0</v>
      </c>
      <c r="N2168" s="28">
        <v>0</v>
      </c>
      <c r="O2168" s="11"/>
      <c r="P2168" s="11"/>
      <c r="Q2168" s="11"/>
      <c r="R2168" s="11"/>
      <c r="S2168" s="11"/>
      <c r="T2168" s="11"/>
      <c r="U2168" s="30">
        <v>0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161</v>
      </c>
      <c r="B2169" s="10" t="s">
        <v>2323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161</v>
      </c>
      <c r="B2170" s="10" t="s">
        <v>2324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0</v>
      </c>
      <c r="K2170" s="25"/>
      <c r="L2170" s="25"/>
      <c r="M2170" s="29">
        <v>0</v>
      </c>
      <c r="N2170" s="28">
        <v>0</v>
      </c>
      <c r="O2170" s="11"/>
      <c r="P2170" s="11"/>
      <c r="Q2170" s="11"/>
      <c r="R2170" s="11"/>
      <c r="S2170" s="11"/>
      <c r="T2170" s="11"/>
      <c r="U2170" s="30">
        <v>0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161</v>
      </c>
      <c r="B2171" s="10" t="s">
        <v>2325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161</v>
      </c>
      <c r="B2172" s="10" t="s">
        <v>2326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161</v>
      </c>
      <c r="B2173" s="10" t="s">
        <v>2327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161</v>
      </c>
      <c r="B2174" s="10" t="s">
        <v>2328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161</v>
      </c>
      <c r="B2175" s="10" t="s">
        <v>2329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161</v>
      </c>
      <c r="B2176" s="10" t="s">
        <v>2330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161</v>
      </c>
      <c r="B2177" s="10" t="s">
        <v>2331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161</v>
      </c>
      <c r="B2178" s="10" t="s">
        <v>2332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161</v>
      </c>
      <c r="B2179" s="10" t="s">
        <v>2333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161</v>
      </c>
      <c r="B2180" s="10" t="s">
        <v>2334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0</v>
      </c>
      <c r="K2180" s="25"/>
      <c r="L2180" s="25"/>
      <c r="M2180" s="29">
        <v>0</v>
      </c>
      <c r="N2180" s="28">
        <v>0</v>
      </c>
      <c r="O2180" s="11"/>
      <c r="P2180" s="11"/>
      <c r="Q2180" s="11"/>
      <c r="R2180" s="11"/>
      <c r="S2180" s="11"/>
      <c r="T2180" s="11"/>
      <c r="U2180" s="30">
        <v>0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161</v>
      </c>
      <c r="B2181" s="10" t="s">
        <v>2335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161</v>
      </c>
      <c r="B2182" s="10" t="s">
        <v>2336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0</v>
      </c>
      <c r="K2182" s="25"/>
      <c r="L2182" s="25"/>
      <c r="M2182" s="29">
        <v>0</v>
      </c>
      <c r="N2182" s="28">
        <v>0</v>
      </c>
      <c r="O2182" s="11"/>
      <c r="P2182" s="11"/>
      <c r="Q2182" s="11"/>
      <c r="R2182" s="11"/>
      <c r="S2182" s="11"/>
      <c r="T2182" s="11"/>
      <c r="U2182" s="30">
        <v>0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161</v>
      </c>
      <c r="B2183" s="10" t="s">
        <v>2337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161</v>
      </c>
      <c r="B2184" s="10" t="s">
        <v>2338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161</v>
      </c>
      <c r="B2185" s="10" t="s">
        <v>2339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161</v>
      </c>
      <c r="B2186" s="10" t="s">
        <v>2340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0</v>
      </c>
      <c r="K2186" s="25"/>
      <c r="L2186" s="25"/>
      <c r="M2186" s="29">
        <v>0</v>
      </c>
      <c r="N2186" s="28">
        <v>0</v>
      </c>
      <c r="O2186" s="11"/>
      <c r="P2186" s="11"/>
      <c r="Q2186" s="11"/>
      <c r="R2186" s="11"/>
      <c r="S2186" s="11"/>
      <c r="T2186" s="11"/>
      <c r="U2186" s="30">
        <v>0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161</v>
      </c>
      <c r="B2187" s="10" t="s">
        <v>2341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161</v>
      </c>
      <c r="B2188" s="10" t="s">
        <v>2342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0</v>
      </c>
      <c r="K2188" s="25"/>
      <c r="L2188" s="25"/>
      <c r="M2188" s="29">
        <v>0</v>
      </c>
      <c r="N2188" s="28">
        <v>0</v>
      </c>
      <c r="O2188" s="11"/>
      <c r="P2188" s="11"/>
      <c r="Q2188" s="11"/>
      <c r="R2188" s="11"/>
      <c r="S2188" s="11"/>
      <c r="T2188" s="11"/>
      <c r="U2188" s="30">
        <v>0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161</v>
      </c>
      <c r="B2189" s="10" t="s">
        <v>2343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161</v>
      </c>
      <c r="B2190" s="10" t="s">
        <v>2344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161</v>
      </c>
      <c r="B2191" s="10" t="s">
        <v>2345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161</v>
      </c>
      <c r="B2192" s="10" t="s">
        <v>2346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0</v>
      </c>
      <c r="K2192" s="25"/>
      <c r="L2192" s="25"/>
      <c r="M2192" s="29">
        <v>0</v>
      </c>
      <c r="N2192" s="28">
        <v>0</v>
      </c>
      <c r="O2192" s="11"/>
      <c r="P2192" s="11"/>
      <c r="Q2192" s="11"/>
      <c r="R2192" s="11"/>
      <c r="S2192" s="11"/>
      <c r="T2192" s="11"/>
      <c r="U2192" s="30">
        <v>0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161</v>
      </c>
      <c r="B2193" s="10" t="s">
        <v>2347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161</v>
      </c>
      <c r="B2194" s="10" t="s">
        <v>2348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0</v>
      </c>
      <c r="K2194" s="25"/>
      <c r="L2194" s="25"/>
      <c r="M2194" s="29">
        <v>0</v>
      </c>
      <c r="N2194" s="28">
        <v>0</v>
      </c>
      <c r="O2194" s="11"/>
      <c r="P2194" s="11"/>
      <c r="Q2194" s="11"/>
      <c r="R2194" s="11"/>
      <c r="S2194" s="11"/>
      <c r="T2194" s="11"/>
      <c r="U2194" s="30">
        <v>0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161</v>
      </c>
      <c r="B2195" s="10" t="s">
        <v>2349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161</v>
      </c>
      <c r="B2196" s="10" t="s">
        <v>2350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161</v>
      </c>
      <c r="B2197" s="10" t="s">
        <v>2351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161</v>
      </c>
      <c r="B2198" s="10" t="s">
        <v>2352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161</v>
      </c>
      <c r="B2199" s="10" t="s">
        <v>2353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161</v>
      </c>
      <c r="B2200" s="10" t="s">
        <v>2354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161</v>
      </c>
      <c r="B2201" s="10" t="s">
        <v>2355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161</v>
      </c>
      <c r="B2202" s="10" t="s">
        <v>2356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161</v>
      </c>
      <c r="B2203" s="10" t="s">
        <v>2357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161</v>
      </c>
      <c r="B2204" s="10" t="s">
        <v>2358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161</v>
      </c>
      <c r="B2205" s="10" t="s">
        <v>2359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161</v>
      </c>
      <c r="B2206" s="10" t="s">
        <v>2360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161</v>
      </c>
      <c r="B2207" s="10" t="s">
        <v>2361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161</v>
      </c>
      <c r="B2208" s="10" t="s">
        <v>2362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161</v>
      </c>
      <c r="B2209" s="10" t="s">
        <v>2363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161</v>
      </c>
      <c r="B2210" s="10" t="s">
        <v>2364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161</v>
      </c>
      <c r="B2211" s="10" t="s">
        <v>2365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161</v>
      </c>
      <c r="B2212" s="10" t="s">
        <v>2366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161</v>
      </c>
      <c r="B2213" s="10" t="s">
        <v>2367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161</v>
      </c>
      <c r="B2214" s="10" t="s">
        <v>2368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161</v>
      </c>
      <c r="B2215" s="10" t="s">
        <v>2369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161</v>
      </c>
      <c r="B2216" s="10" t="s">
        <v>2370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161</v>
      </c>
      <c r="B2217" s="10" t="s">
        <v>2371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161</v>
      </c>
      <c r="B2218" s="10" t="s">
        <v>2372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161</v>
      </c>
      <c r="B2219" s="10" t="s">
        <v>2373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161</v>
      </c>
      <c r="B2220" s="10" t="s">
        <v>2374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161</v>
      </c>
      <c r="B2221" s="10" t="s">
        <v>2375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161</v>
      </c>
      <c r="B2222" s="10" t="s">
        <v>2376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161</v>
      </c>
      <c r="B2223" s="10" t="s">
        <v>2377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161</v>
      </c>
      <c r="B2224" s="10" t="s">
        <v>2378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161</v>
      </c>
      <c r="B2225" s="10" t="s">
        <v>2379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161</v>
      </c>
      <c r="B2226" s="10" t="s">
        <v>2380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161</v>
      </c>
      <c r="B2227" s="10" t="s">
        <v>2381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161</v>
      </c>
      <c r="B2228" s="10" t="s">
        <v>2382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161</v>
      </c>
      <c r="B2229" s="10" t="s">
        <v>2383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161</v>
      </c>
      <c r="B2230" s="10" t="s">
        <v>2384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161</v>
      </c>
      <c r="B2231" s="10" t="s">
        <v>2385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161</v>
      </c>
      <c r="B2232" s="10" t="s">
        <v>2386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161</v>
      </c>
      <c r="B2233" s="10" t="s">
        <v>2387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161</v>
      </c>
      <c r="B2234" s="10" t="s">
        <v>2388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161</v>
      </c>
      <c r="B2235" s="10" t="s">
        <v>2389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161</v>
      </c>
      <c r="B2236" s="10" t="s">
        <v>2390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161</v>
      </c>
      <c r="B2237" s="10" t="s">
        <v>2391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161</v>
      </c>
      <c r="B2238" s="10" t="s">
        <v>2392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161</v>
      </c>
      <c r="B2239" s="10" t="s">
        <v>2393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161</v>
      </c>
      <c r="B2240" s="10" t="s">
        <v>2394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161</v>
      </c>
      <c r="B2241" s="10" t="s">
        <v>2395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161</v>
      </c>
      <c r="B2242" s="10" t="s">
        <v>2396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161</v>
      </c>
      <c r="B2243" s="10" t="s">
        <v>2397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161</v>
      </c>
      <c r="B2244" s="10" t="s">
        <v>2398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161</v>
      </c>
      <c r="B2245" s="10" t="s">
        <v>2399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161</v>
      </c>
      <c r="B2246" s="10" t="s">
        <v>2400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161</v>
      </c>
      <c r="B2247" s="10" t="s">
        <v>2401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161</v>
      </c>
      <c r="B2248" s="10" t="s">
        <v>2402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161</v>
      </c>
      <c r="B2249" s="10" t="s">
        <v>2403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161</v>
      </c>
      <c r="B2250" s="10" t="s">
        <v>2404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161</v>
      </c>
      <c r="B2251" s="10" t="s">
        <v>2405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161</v>
      </c>
      <c r="B2252" s="10" t="s">
        <v>2406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161</v>
      </c>
      <c r="B2253" s="10" t="s">
        <v>2407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161</v>
      </c>
      <c r="B2254" s="10" t="s">
        <v>2408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161</v>
      </c>
      <c r="B2255" s="10" t="s">
        <v>2409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161</v>
      </c>
      <c r="B2256" s="10" t="s">
        <v>2410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161</v>
      </c>
      <c r="B2257" s="10" t="s">
        <v>2411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161</v>
      </c>
      <c r="B2258" s="10" t="s">
        <v>2412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161</v>
      </c>
      <c r="B2259" s="10" t="s">
        <v>2413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161</v>
      </c>
      <c r="B2260" s="10" t="s">
        <v>2414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161</v>
      </c>
      <c r="B2261" s="10" t="s">
        <v>2415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161</v>
      </c>
      <c r="B2262" s="10" t="s">
        <v>2416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161</v>
      </c>
      <c r="B2263" s="10" t="s">
        <v>2417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161</v>
      </c>
      <c r="B2264" s="10" t="s">
        <v>2418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161</v>
      </c>
      <c r="B2265" s="10" t="s">
        <v>2419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161</v>
      </c>
      <c r="B2266" s="10" t="s">
        <v>2420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161</v>
      </c>
      <c r="B2267" s="10" t="s">
        <v>2421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161</v>
      </c>
      <c r="B2268" s="10" t="s">
        <v>2422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161</v>
      </c>
      <c r="B2269" s="10" t="s">
        <v>2423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161</v>
      </c>
      <c r="B2270" s="10" t="s">
        <v>2424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161</v>
      </c>
      <c r="B2271" s="10" t="s">
        <v>2425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161</v>
      </c>
      <c r="B2272" s="10" t="s">
        <v>2426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161</v>
      </c>
      <c r="B2273" s="10" t="s">
        <v>2427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161</v>
      </c>
      <c r="B2274" s="10" t="s">
        <v>2428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161</v>
      </c>
      <c r="B2275" s="10" t="s">
        <v>2429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161</v>
      </c>
      <c r="B2276" s="10" t="s">
        <v>2430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161</v>
      </c>
      <c r="B2277" s="10" t="s">
        <v>2431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161</v>
      </c>
      <c r="B2278" s="10" t="s">
        <v>2432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161</v>
      </c>
      <c r="B2279" s="10" t="s">
        <v>2433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161</v>
      </c>
      <c r="B2280" s="10" t="s">
        <v>2434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161</v>
      </c>
      <c r="B2281" s="10" t="s">
        <v>2435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161</v>
      </c>
      <c r="B2282" s="10" t="s">
        <v>2436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161</v>
      </c>
      <c r="B2283" s="10" t="s">
        <v>2437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161</v>
      </c>
      <c r="B2284" s="10" t="s">
        <v>2438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161</v>
      </c>
      <c r="B2285" s="10" t="s">
        <v>2439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161</v>
      </c>
      <c r="B2286" s="10" t="s">
        <v>2440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161</v>
      </c>
      <c r="B2287" s="10" t="s">
        <v>2441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161</v>
      </c>
      <c r="B2288" s="10" t="s">
        <v>2442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161</v>
      </c>
      <c r="B2289" s="10" t="s">
        <v>2443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161</v>
      </c>
      <c r="B2290" s="10" t="s">
        <v>2444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161</v>
      </c>
      <c r="B2291" s="10" t="s">
        <v>2445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161</v>
      </c>
      <c r="B2292" s="10" t="s">
        <v>2446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161</v>
      </c>
      <c r="B2293" s="10" t="s">
        <v>2447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161</v>
      </c>
      <c r="B2294" s="10" t="s">
        <v>2448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161</v>
      </c>
      <c r="B2295" s="10" t="s">
        <v>2449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161</v>
      </c>
      <c r="B2296" s="10" t="s">
        <v>2450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161</v>
      </c>
      <c r="B2297" s="10" t="s">
        <v>2451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161</v>
      </c>
      <c r="B2298" s="10" t="s">
        <v>2452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161</v>
      </c>
      <c r="B2299" s="10" t="s">
        <v>2453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161</v>
      </c>
      <c r="B2300" s="10" t="s">
        <v>2454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161</v>
      </c>
      <c r="B2301" s="10" t="s">
        <v>2455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161</v>
      </c>
      <c r="B2302" s="10" t="s">
        <v>2456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161</v>
      </c>
      <c r="B2303" s="10" t="s">
        <v>2457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161</v>
      </c>
      <c r="B2304" s="10" t="s">
        <v>2458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161</v>
      </c>
      <c r="B2305" s="10" t="s">
        <v>2459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161</v>
      </c>
      <c r="B2306" s="10" t="s">
        <v>2460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161</v>
      </c>
      <c r="B2307" s="10" t="s">
        <v>2461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161</v>
      </c>
      <c r="B2308" s="10" t="s">
        <v>2462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161</v>
      </c>
      <c r="B2309" s="10" t="s">
        <v>2463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161</v>
      </c>
      <c r="B2310" s="10" t="s">
        <v>2464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161</v>
      </c>
      <c r="B2311" s="10" t="s">
        <v>2465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161</v>
      </c>
      <c r="B2312" s="10" t="s">
        <v>2466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161</v>
      </c>
      <c r="B2313" s="10" t="s">
        <v>2467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161</v>
      </c>
      <c r="B2314" s="10" t="s">
        <v>2468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161</v>
      </c>
      <c r="B2315" s="10" t="s">
        <v>2469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161</v>
      </c>
      <c r="B2316" s="10" t="s">
        <v>2470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161</v>
      </c>
      <c r="B2317" s="10" t="s">
        <v>2471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161</v>
      </c>
      <c r="B2318" s="10" t="s">
        <v>2472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161</v>
      </c>
      <c r="B2319" s="10" t="s">
        <v>2473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161</v>
      </c>
      <c r="B2320" s="10" t="s">
        <v>2474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161</v>
      </c>
      <c r="B2321" s="10" t="s">
        <v>2475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161</v>
      </c>
      <c r="B2322" s="10" t="s">
        <v>2476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161</v>
      </c>
      <c r="B2323" s="10" t="s">
        <v>2477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161</v>
      </c>
      <c r="B2324" s="10" t="s">
        <v>2478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161</v>
      </c>
      <c r="B2325" s="10" t="s">
        <v>2479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161</v>
      </c>
      <c r="B2326" s="10" t="s">
        <v>2480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161</v>
      </c>
      <c r="B2327" s="10" t="s">
        <v>2481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161</v>
      </c>
      <c r="B2328" s="10" t="s">
        <v>2482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161</v>
      </c>
      <c r="B2329" s="10" t="s">
        <v>2483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161</v>
      </c>
      <c r="B2330" s="10" t="s">
        <v>2484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161</v>
      </c>
      <c r="B2331" s="10" t="s">
        <v>2485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161</v>
      </c>
      <c r="B2332" s="10" t="s">
        <v>2486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161</v>
      </c>
      <c r="B2333" s="10" t="s">
        <v>2487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161</v>
      </c>
      <c r="B2334" s="10" t="s">
        <v>2488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161</v>
      </c>
      <c r="B2335" s="10" t="s">
        <v>2489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161</v>
      </c>
      <c r="B2336" s="10" t="s">
        <v>2490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161</v>
      </c>
      <c r="B2337" s="10" t="s">
        <v>2491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161</v>
      </c>
      <c r="B2338" s="10" t="s">
        <v>2492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161</v>
      </c>
      <c r="B2339" s="10" t="s">
        <v>2493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161</v>
      </c>
      <c r="B2340" s="10" t="s">
        <v>2494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161</v>
      </c>
      <c r="B2341" s="10" t="s">
        <v>2495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161</v>
      </c>
      <c r="B2342" s="10" t="s">
        <v>2496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161</v>
      </c>
      <c r="B2343" s="10" t="s">
        <v>2497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161</v>
      </c>
      <c r="B2344" s="10" t="s">
        <v>2498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161</v>
      </c>
      <c r="B2345" s="10" t="s">
        <v>2499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161</v>
      </c>
      <c r="B2346" s="10" t="s">
        <v>2500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161</v>
      </c>
      <c r="B2347" s="10" t="s">
        <v>2501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161</v>
      </c>
      <c r="B2348" s="10" t="s">
        <v>497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1</v>
      </c>
      <c r="K2348" s="25">
        <v>2529.35</v>
      </c>
      <c r="L2348" s="25">
        <v>2534.75</v>
      </c>
      <c r="M2348" s="29">
        <v>1</v>
      </c>
      <c r="N2348" s="28">
        <v>1</v>
      </c>
      <c r="O2348" s="11">
        <v>17.2104</v>
      </c>
      <c r="P2348" s="11">
        <v>2529.35</v>
      </c>
      <c r="Q2348" s="11">
        <v>2512.1396</v>
      </c>
      <c r="R2348" s="11">
        <v>-2551.9603999999999</v>
      </c>
      <c r="S2348" s="11">
        <v>-2534.75</v>
      </c>
      <c r="T2348" s="11">
        <v>17.2104</v>
      </c>
      <c r="U2348" s="30">
        <v>1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161</v>
      </c>
      <c r="B2349" s="10" t="s">
        <v>498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0</v>
      </c>
      <c r="K2349" s="25"/>
      <c r="L2349" s="25"/>
      <c r="M2349" s="29">
        <v>0</v>
      </c>
      <c r="N2349" s="28">
        <v>0</v>
      </c>
      <c r="O2349" s="11"/>
      <c r="P2349" s="11"/>
      <c r="Q2349" s="11"/>
      <c r="R2349" s="11"/>
      <c r="S2349" s="11"/>
      <c r="T2349" s="11"/>
      <c r="U2349" s="30">
        <v>0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161</v>
      </c>
      <c r="B2350" s="10" t="s">
        <v>499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1</v>
      </c>
      <c r="K2350" s="25">
        <v>2164</v>
      </c>
      <c r="L2350" s="25">
        <v>2894.5</v>
      </c>
      <c r="M2350" s="29">
        <v>1</v>
      </c>
      <c r="N2350" s="28">
        <v>1</v>
      </c>
      <c r="O2350" s="11">
        <v>17.2104</v>
      </c>
      <c r="P2350" s="11">
        <v>2164</v>
      </c>
      <c r="Q2350" s="11">
        <v>2146.7896000000001</v>
      </c>
      <c r="R2350" s="11">
        <v>-2911.7103999999999</v>
      </c>
      <c r="S2350" s="11">
        <v>-2894.5</v>
      </c>
      <c r="T2350" s="11">
        <v>17.2104</v>
      </c>
      <c r="U2350" s="30">
        <v>1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161</v>
      </c>
      <c r="B2351" s="10" t="s">
        <v>2502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0</v>
      </c>
      <c r="K2351" s="25"/>
      <c r="L2351" s="25"/>
      <c r="M2351" s="29">
        <v>0</v>
      </c>
      <c r="N2351" s="28">
        <v>0</v>
      </c>
      <c r="O2351" s="11"/>
      <c r="P2351" s="11"/>
      <c r="Q2351" s="11"/>
      <c r="R2351" s="11"/>
      <c r="S2351" s="11"/>
      <c r="T2351" s="11"/>
      <c r="U2351" s="30">
        <v>0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161</v>
      </c>
      <c r="B2352" s="10" t="s">
        <v>2503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161</v>
      </c>
      <c r="B2353" s="10" t="s">
        <v>500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0</v>
      </c>
      <c r="K2353" s="25"/>
      <c r="L2353" s="25"/>
      <c r="M2353" s="29">
        <v>0</v>
      </c>
      <c r="N2353" s="28">
        <v>0</v>
      </c>
      <c r="O2353" s="11"/>
      <c r="P2353" s="11"/>
      <c r="Q2353" s="11"/>
      <c r="R2353" s="11"/>
      <c r="S2353" s="11"/>
      <c r="T2353" s="11"/>
      <c r="U2353" s="30">
        <v>0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161</v>
      </c>
      <c r="B2354" s="10" t="s">
        <v>501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1</v>
      </c>
      <c r="K2354" s="25">
        <v>2329.5</v>
      </c>
      <c r="L2354" s="25">
        <v>2898</v>
      </c>
      <c r="M2354" s="29">
        <v>1</v>
      </c>
      <c r="N2354" s="28">
        <v>1</v>
      </c>
      <c r="O2354" s="11">
        <v>34.250399999999999</v>
      </c>
      <c r="P2354" s="11">
        <v>2329.5</v>
      </c>
      <c r="Q2354" s="11">
        <v>2295.2496000000001</v>
      </c>
      <c r="R2354" s="11">
        <v>-2932.2503999999999</v>
      </c>
      <c r="S2354" s="11">
        <v>-2898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161</v>
      </c>
      <c r="B2355" s="10" t="s">
        <v>2504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0</v>
      </c>
      <c r="K2355" s="25"/>
      <c r="L2355" s="25"/>
      <c r="M2355" s="29">
        <v>0</v>
      </c>
      <c r="N2355" s="28">
        <v>0</v>
      </c>
      <c r="O2355" s="11"/>
      <c r="P2355" s="11"/>
      <c r="Q2355" s="11"/>
      <c r="R2355" s="11"/>
      <c r="S2355" s="11"/>
      <c r="T2355" s="11"/>
      <c r="U2355" s="30">
        <v>0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161</v>
      </c>
      <c r="B2356" s="10" t="s">
        <v>2505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161</v>
      </c>
      <c r="B2357" s="10" t="s">
        <v>502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0</v>
      </c>
      <c r="K2357" s="25"/>
      <c r="L2357" s="25"/>
      <c r="M2357" s="29">
        <v>0</v>
      </c>
      <c r="N2357" s="28">
        <v>0</v>
      </c>
      <c r="O2357" s="11"/>
      <c r="P2357" s="11"/>
      <c r="Q2357" s="11"/>
      <c r="R2357" s="11"/>
      <c r="S2357" s="11"/>
      <c r="T2357" s="11"/>
      <c r="U2357" s="30">
        <v>0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161</v>
      </c>
      <c r="B2358" s="10" t="s">
        <v>503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0</v>
      </c>
      <c r="K2358" s="25"/>
      <c r="L2358" s="25"/>
      <c r="M2358" s="29">
        <v>0</v>
      </c>
      <c r="N2358" s="28">
        <v>0</v>
      </c>
      <c r="O2358" s="11"/>
      <c r="P2358" s="11"/>
      <c r="Q2358" s="11"/>
      <c r="R2358" s="11"/>
      <c r="S2358" s="11"/>
      <c r="T2358" s="11"/>
      <c r="U2358" s="30">
        <v>0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161</v>
      </c>
      <c r="B2359" s="10" t="s">
        <v>2506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0</v>
      </c>
      <c r="K2359" s="25"/>
      <c r="L2359" s="25"/>
      <c r="M2359" s="29">
        <v>0</v>
      </c>
      <c r="N2359" s="28">
        <v>0</v>
      </c>
      <c r="O2359" s="11"/>
      <c r="P2359" s="11"/>
      <c r="Q2359" s="11"/>
      <c r="R2359" s="11"/>
      <c r="S2359" s="11"/>
      <c r="T2359" s="11"/>
      <c r="U2359" s="30">
        <v>0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161</v>
      </c>
      <c r="B2360" s="10" t="s">
        <v>2507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161</v>
      </c>
      <c r="B2361" s="10" t="s">
        <v>504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1</v>
      </c>
      <c r="K2361" s="25">
        <v>2186.35</v>
      </c>
      <c r="L2361" s="25">
        <v>2708.75</v>
      </c>
      <c r="M2361" s="29">
        <v>1</v>
      </c>
      <c r="N2361" s="28">
        <v>1</v>
      </c>
      <c r="O2361" s="11">
        <v>34.250399999999999</v>
      </c>
      <c r="P2361" s="11">
        <v>2186.35</v>
      </c>
      <c r="Q2361" s="11">
        <v>2152.0996</v>
      </c>
      <c r="R2361" s="11">
        <v>-2743.0003999999999</v>
      </c>
      <c r="S2361" s="11">
        <v>-2708.75</v>
      </c>
      <c r="T2361" s="11">
        <v>34.250399999999999</v>
      </c>
      <c r="U2361" s="30">
        <v>1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161</v>
      </c>
      <c r="B2362" s="10" t="s">
        <v>505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0</v>
      </c>
      <c r="K2362" s="25"/>
      <c r="L2362" s="25"/>
      <c r="M2362" s="29">
        <v>0</v>
      </c>
      <c r="N2362" s="28">
        <v>0</v>
      </c>
      <c r="O2362" s="11"/>
      <c r="P2362" s="11"/>
      <c r="Q2362" s="11"/>
      <c r="R2362" s="11"/>
      <c r="S2362" s="11"/>
      <c r="T2362" s="11"/>
      <c r="U2362" s="30">
        <v>0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161</v>
      </c>
      <c r="B2363" s="10" t="s">
        <v>2508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0</v>
      </c>
      <c r="K2363" s="25"/>
      <c r="L2363" s="25"/>
      <c r="M2363" s="29">
        <v>0</v>
      </c>
      <c r="N2363" s="28">
        <v>0</v>
      </c>
      <c r="O2363" s="11"/>
      <c r="P2363" s="11"/>
      <c r="Q2363" s="11"/>
      <c r="R2363" s="11"/>
      <c r="S2363" s="11"/>
      <c r="T2363" s="11"/>
      <c r="U2363" s="30">
        <v>0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161</v>
      </c>
      <c r="B2364" s="10" t="s">
        <v>2509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161</v>
      </c>
      <c r="B2365" s="10" t="s">
        <v>2510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0</v>
      </c>
      <c r="K2365" s="25"/>
      <c r="L2365" s="25"/>
      <c r="M2365" s="29">
        <v>0</v>
      </c>
      <c r="N2365" s="28">
        <v>0</v>
      </c>
      <c r="O2365" s="11"/>
      <c r="P2365" s="11"/>
      <c r="Q2365" s="11"/>
      <c r="R2365" s="11"/>
      <c r="S2365" s="11"/>
      <c r="T2365" s="11"/>
      <c r="U2365" s="30">
        <v>0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161</v>
      </c>
      <c r="B2366" s="10" t="s">
        <v>2511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0</v>
      </c>
      <c r="K2366" s="25"/>
      <c r="L2366" s="25"/>
      <c r="M2366" s="29">
        <v>0</v>
      </c>
      <c r="N2366" s="28">
        <v>0</v>
      </c>
      <c r="O2366" s="11"/>
      <c r="P2366" s="11"/>
      <c r="Q2366" s="11"/>
      <c r="R2366" s="11"/>
      <c r="S2366" s="11"/>
      <c r="T2366" s="11"/>
      <c r="U2366" s="30">
        <v>0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161</v>
      </c>
      <c r="B2367" s="10" t="s">
        <v>2512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0</v>
      </c>
      <c r="K2367" s="25"/>
      <c r="L2367" s="25"/>
      <c r="M2367" s="29">
        <v>0</v>
      </c>
      <c r="N2367" s="28">
        <v>0</v>
      </c>
      <c r="O2367" s="11"/>
      <c r="P2367" s="11"/>
      <c r="Q2367" s="11"/>
      <c r="R2367" s="11"/>
      <c r="S2367" s="11"/>
      <c r="T2367" s="11"/>
      <c r="U2367" s="30">
        <v>0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161</v>
      </c>
      <c r="B2368" s="10" t="s">
        <v>2513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161</v>
      </c>
      <c r="B2369" s="10" t="s">
        <v>2514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161</v>
      </c>
      <c r="B2370" s="10" t="s">
        <v>2515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161</v>
      </c>
      <c r="B2371" s="10" t="s">
        <v>2516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161</v>
      </c>
      <c r="B2372" s="10" t="s">
        <v>2517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161</v>
      </c>
      <c r="B2373" s="10" t="s">
        <v>506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0</v>
      </c>
      <c r="K2373" s="25"/>
      <c r="L2373" s="25"/>
      <c r="M2373" s="29">
        <v>0</v>
      </c>
      <c r="N2373" s="28">
        <v>0</v>
      </c>
      <c r="O2373" s="11"/>
      <c r="P2373" s="11"/>
      <c r="Q2373" s="11"/>
      <c r="R2373" s="11"/>
      <c r="S2373" s="11"/>
      <c r="T2373" s="11"/>
      <c r="U2373" s="30">
        <v>0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161</v>
      </c>
      <c r="B2374" s="10" t="s">
        <v>2518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0</v>
      </c>
      <c r="K2374" s="25"/>
      <c r="L2374" s="25"/>
      <c r="M2374" s="29">
        <v>0</v>
      </c>
      <c r="N2374" s="28">
        <v>0</v>
      </c>
      <c r="O2374" s="11"/>
      <c r="P2374" s="11"/>
      <c r="Q2374" s="11"/>
      <c r="R2374" s="11"/>
      <c r="S2374" s="11"/>
      <c r="T2374" s="11"/>
      <c r="U2374" s="30">
        <v>0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161</v>
      </c>
      <c r="B2375" s="10" t="s">
        <v>2519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161</v>
      </c>
      <c r="B2376" s="10" t="s">
        <v>507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0</v>
      </c>
      <c r="K2376" s="25"/>
      <c r="L2376" s="25"/>
      <c r="M2376" s="29">
        <v>0</v>
      </c>
      <c r="N2376" s="28">
        <v>0</v>
      </c>
      <c r="O2376" s="11"/>
      <c r="P2376" s="11"/>
      <c r="Q2376" s="11"/>
      <c r="R2376" s="11"/>
      <c r="S2376" s="11"/>
      <c r="T2376" s="11"/>
      <c r="U2376" s="30">
        <v>0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161</v>
      </c>
      <c r="B2377" s="10" t="s">
        <v>2520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0</v>
      </c>
      <c r="K2377" s="25"/>
      <c r="L2377" s="25"/>
      <c r="M2377" s="29">
        <v>0</v>
      </c>
      <c r="N2377" s="28">
        <v>0</v>
      </c>
      <c r="O2377" s="11"/>
      <c r="P2377" s="11"/>
      <c r="Q2377" s="11"/>
      <c r="R2377" s="11"/>
      <c r="S2377" s="11"/>
      <c r="T2377" s="11"/>
      <c r="U2377" s="30">
        <v>0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161</v>
      </c>
      <c r="B2378" s="10" t="s">
        <v>2521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161</v>
      </c>
      <c r="B2379" s="10" t="s">
        <v>2522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0</v>
      </c>
      <c r="K2379" s="25"/>
      <c r="L2379" s="25"/>
      <c r="M2379" s="29">
        <v>0</v>
      </c>
      <c r="N2379" s="28">
        <v>0</v>
      </c>
      <c r="O2379" s="11"/>
      <c r="P2379" s="11"/>
      <c r="Q2379" s="11"/>
      <c r="R2379" s="11"/>
      <c r="S2379" s="11"/>
      <c r="T2379" s="11"/>
      <c r="U2379" s="30">
        <v>0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161</v>
      </c>
      <c r="B2380" s="10" t="s">
        <v>2523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0</v>
      </c>
      <c r="K2380" s="25"/>
      <c r="L2380" s="25"/>
      <c r="M2380" s="29">
        <v>0</v>
      </c>
      <c r="N2380" s="28">
        <v>0</v>
      </c>
      <c r="O2380" s="11"/>
      <c r="P2380" s="11"/>
      <c r="Q2380" s="11"/>
      <c r="R2380" s="11"/>
      <c r="S2380" s="11"/>
      <c r="T2380" s="11"/>
      <c r="U2380" s="30">
        <v>0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161</v>
      </c>
      <c r="B2381" s="10" t="s">
        <v>2524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161</v>
      </c>
      <c r="B2382" s="10" t="s">
        <v>2525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161</v>
      </c>
      <c r="B2383" s="10" t="s">
        <v>2526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161</v>
      </c>
      <c r="B2384" s="10" t="s">
        <v>2527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161</v>
      </c>
      <c r="B2385" s="10" t="s">
        <v>508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0</v>
      </c>
      <c r="K2385" s="25"/>
      <c r="L2385" s="25"/>
      <c r="M2385" s="29">
        <v>0</v>
      </c>
      <c r="N2385" s="28">
        <v>0</v>
      </c>
      <c r="O2385" s="11"/>
      <c r="P2385" s="11"/>
      <c r="Q2385" s="11"/>
      <c r="R2385" s="11"/>
      <c r="S2385" s="11"/>
      <c r="T2385" s="11"/>
      <c r="U2385" s="30">
        <v>0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161</v>
      </c>
      <c r="B2386" s="10" t="s">
        <v>2528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0</v>
      </c>
      <c r="K2386" s="25"/>
      <c r="L2386" s="25"/>
      <c r="M2386" s="29">
        <v>0</v>
      </c>
      <c r="N2386" s="28">
        <v>0</v>
      </c>
      <c r="O2386" s="11"/>
      <c r="P2386" s="11"/>
      <c r="Q2386" s="11"/>
      <c r="R2386" s="11"/>
      <c r="S2386" s="11"/>
      <c r="T2386" s="11"/>
      <c r="U2386" s="30">
        <v>0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161</v>
      </c>
      <c r="B2387" s="10" t="s">
        <v>2529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161</v>
      </c>
      <c r="B2388" s="10" t="s">
        <v>509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0</v>
      </c>
      <c r="K2388" s="25"/>
      <c r="L2388" s="25"/>
      <c r="M2388" s="29">
        <v>0</v>
      </c>
      <c r="N2388" s="28">
        <v>0</v>
      </c>
      <c r="O2388" s="11"/>
      <c r="P2388" s="11"/>
      <c r="Q2388" s="11"/>
      <c r="R2388" s="11"/>
      <c r="S2388" s="11"/>
      <c r="T2388" s="11"/>
      <c r="U2388" s="30">
        <v>0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161</v>
      </c>
      <c r="B2389" s="10" t="s">
        <v>2530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0</v>
      </c>
      <c r="K2389" s="25"/>
      <c r="L2389" s="25"/>
      <c r="M2389" s="29">
        <v>0</v>
      </c>
      <c r="N2389" s="28">
        <v>0</v>
      </c>
      <c r="O2389" s="11"/>
      <c r="P2389" s="11"/>
      <c r="Q2389" s="11"/>
      <c r="R2389" s="11"/>
      <c r="S2389" s="11"/>
      <c r="T2389" s="11"/>
      <c r="U2389" s="30">
        <v>0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161</v>
      </c>
      <c r="B2390" s="10" t="s">
        <v>2531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161</v>
      </c>
      <c r="B2391" s="10" t="s">
        <v>2532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0</v>
      </c>
      <c r="K2391" s="25"/>
      <c r="L2391" s="25"/>
      <c r="M2391" s="29">
        <v>0</v>
      </c>
      <c r="N2391" s="28">
        <v>0</v>
      </c>
      <c r="O2391" s="11"/>
      <c r="P2391" s="11"/>
      <c r="Q2391" s="11"/>
      <c r="R2391" s="11"/>
      <c r="S2391" s="11"/>
      <c r="T2391" s="11"/>
      <c r="U2391" s="30">
        <v>0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161</v>
      </c>
      <c r="B2392" s="10" t="s">
        <v>2533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0</v>
      </c>
      <c r="K2392" s="25"/>
      <c r="L2392" s="25"/>
      <c r="M2392" s="29">
        <v>0</v>
      </c>
      <c r="N2392" s="28">
        <v>0</v>
      </c>
      <c r="O2392" s="11"/>
      <c r="P2392" s="11"/>
      <c r="Q2392" s="11"/>
      <c r="R2392" s="11"/>
      <c r="S2392" s="11"/>
      <c r="T2392" s="11"/>
      <c r="U2392" s="30">
        <v>0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161</v>
      </c>
      <c r="B2393" s="10" t="s">
        <v>2534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161</v>
      </c>
      <c r="B2394" s="10" t="s">
        <v>2535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161</v>
      </c>
      <c r="B2395" s="10" t="s">
        <v>2536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161</v>
      </c>
      <c r="B2396" s="10" t="s">
        <v>2537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161</v>
      </c>
      <c r="B2397" s="10" t="s">
        <v>510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0</v>
      </c>
      <c r="K2397" s="25"/>
      <c r="L2397" s="25"/>
      <c r="M2397" s="29">
        <v>0</v>
      </c>
      <c r="N2397" s="28">
        <v>0</v>
      </c>
      <c r="O2397" s="11"/>
      <c r="P2397" s="11"/>
      <c r="Q2397" s="11"/>
      <c r="R2397" s="11"/>
      <c r="S2397" s="11"/>
      <c r="T2397" s="11"/>
      <c r="U2397" s="30">
        <v>0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161</v>
      </c>
      <c r="B2398" s="10" t="s">
        <v>2538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0</v>
      </c>
      <c r="K2398" s="25"/>
      <c r="L2398" s="25"/>
      <c r="M2398" s="29">
        <v>0</v>
      </c>
      <c r="N2398" s="28">
        <v>0</v>
      </c>
      <c r="O2398" s="11"/>
      <c r="P2398" s="11"/>
      <c r="Q2398" s="11"/>
      <c r="R2398" s="11"/>
      <c r="S2398" s="11"/>
      <c r="T2398" s="11"/>
      <c r="U2398" s="30">
        <v>0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161</v>
      </c>
      <c r="B2399" s="10" t="s">
        <v>2539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161</v>
      </c>
      <c r="B2400" s="10" t="s">
        <v>511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0</v>
      </c>
      <c r="K2400" s="25"/>
      <c r="L2400" s="25"/>
      <c r="M2400" s="29">
        <v>0</v>
      </c>
      <c r="N2400" s="28">
        <v>0</v>
      </c>
      <c r="O2400" s="11"/>
      <c r="P2400" s="11"/>
      <c r="Q2400" s="11"/>
      <c r="R2400" s="11"/>
      <c r="S2400" s="11"/>
      <c r="T2400" s="11"/>
      <c r="U2400" s="30">
        <v>0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161</v>
      </c>
      <c r="B2401" s="10" t="s">
        <v>2540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0</v>
      </c>
      <c r="K2401" s="25"/>
      <c r="L2401" s="25"/>
      <c r="M2401" s="29">
        <v>0</v>
      </c>
      <c r="N2401" s="28">
        <v>0</v>
      </c>
      <c r="O2401" s="11"/>
      <c r="P2401" s="11"/>
      <c r="Q2401" s="11"/>
      <c r="R2401" s="11"/>
      <c r="S2401" s="11"/>
      <c r="T2401" s="11"/>
      <c r="U2401" s="30">
        <v>0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161</v>
      </c>
      <c r="B2402" s="10" t="s">
        <v>2541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161</v>
      </c>
      <c r="B2403" s="10" t="s">
        <v>2542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0</v>
      </c>
      <c r="K2403" s="25"/>
      <c r="L2403" s="25"/>
      <c r="M2403" s="29">
        <v>0</v>
      </c>
      <c r="N2403" s="28">
        <v>0</v>
      </c>
      <c r="O2403" s="11"/>
      <c r="P2403" s="11"/>
      <c r="Q2403" s="11"/>
      <c r="R2403" s="11"/>
      <c r="S2403" s="11"/>
      <c r="T2403" s="11"/>
      <c r="U2403" s="30">
        <v>0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161</v>
      </c>
      <c r="B2404" s="10" t="s">
        <v>2543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0</v>
      </c>
      <c r="K2404" s="25"/>
      <c r="L2404" s="25"/>
      <c r="M2404" s="29">
        <v>0</v>
      </c>
      <c r="N2404" s="28">
        <v>0</v>
      </c>
      <c r="O2404" s="11"/>
      <c r="P2404" s="11"/>
      <c r="Q2404" s="11"/>
      <c r="R2404" s="11"/>
      <c r="S2404" s="11"/>
      <c r="T2404" s="11"/>
      <c r="U2404" s="30">
        <v>0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161</v>
      </c>
      <c r="B2405" s="10" t="s">
        <v>2544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161</v>
      </c>
      <c r="B2406" s="10" t="s">
        <v>2545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161</v>
      </c>
      <c r="B2407" s="10" t="s">
        <v>2546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161</v>
      </c>
      <c r="B2408" s="10" t="s">
        <v>2547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161</v>
      </c>
      <c r="B2409" s="10" t="s">
        <v>2548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0</v>
      </c>
      <c r="K2409" s="25"/>
      <c r="L2409" s="25"/>
      <c r="M2409" s="29">
        <v>0</v>
      </c>
      <c r="N2409" s="28">
        <v>0</v>
      </c>
      <c r="O2409" s="11"/>
      <c r="P2409" s="11"/>
      <c r="Q2409" s="11"/>
      <c r="R2409" s="11"/>
      <c r="S2409" s="11"/>
      <c r="T2409" s="11"/>
      <c r="U2409" s="30">
        <v>0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161</v>
      </c>
      <c r="B2410" s="10" t="s">
        <v>2549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0</v>
      </c>
      <c r="K2410" s="25"/>
      <c r="L2410" s="25"/>
      <c r="M2410" s="29">
        <v>0</v>
      </c>
      <c r="N2410" s="28">
        <v>0</v>
      </c>
      <c r="O2410" s="11"/>
      <c r="P2410" s="11"/>
      <c r="Q2410" s="11"/>
      <c r="R2410" s="11"/>
      <c r="S2410" s="11"/>
      <c r="T2410" s="11"/>
      <c r="U2410" s="30">
        <v>0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161</v>
      </c>
      <c r="B2411" s="10" t="s">
        <v>2550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161</v>
      </c>
      <c r="B2412" s="10" t="s">
        <v>2551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0</v>
      </c>
      <c r="K2412" s="25"/>
      <c r="L2412" s="25"/>
      <c r="M2412" s="29">
        <v>0</v>
      </c>
      <c r="N2412" s="28">
        <v>0</v>
      </c>
      <c r="O2412" s="11"/>
      <c r="P2412" s="11"/>
      <c r="Q2412" s="11"/>
      <c r="R2412" s="11"/>
      <c r="S2412" s="11"/>
      <c r="T2412" s="11"/>
      <c r="U2412" s="30">
        <v>0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161</v>
      </c>
      <c r="B2413" s="10" t="s">
        <v>2552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0</v>
      </c>
      <c r="K2413" s="25"/>
      <c r="L2413" s="25"/>
      <c r="M2413" s="29">
        <v>0</v>
      </c>
      <c r="N2413" s="28">
        <v>0</v>
      </c>
      <c r="O2413" s="11"/>
      <c r="P2413" s="11"/>
      <c r="Q2413" s="11"/>
      <c r="R2413" s="11"/>
      <c r="S2413" s="11"/>
      <c r="T2413" s="11"/>
      <c r="U2413" s="30">
        <v>0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161</v>
      </c>
      <c r="B2414" s="10" t="s">
        <v>2553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161</v>
      </c>
      <c r="B2415" s="10" t="s">
        <v>2554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0</v>
      </c>
      <c r="K2415" s="25"/>
      <c r="L2415" s="25"/>
      <c r="M2415" s="29">
        <v>0</v>
      </c>
      <c r="N2415" s="28">
        <v>0</v>
      </c>
      <c r="O2415" s="11"/>
      <c r="P2415" s="11"/>
      <c r="Q2415" s="11"/>
      <c r="R2415" s="11"/>
      <c r="S2415" s="11"/>
      <c r="T2415" s="11"/>
      <c r="U2415" s="30">
        <v>0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161</v>
      </c>
      <c r="B2416" s="10" t="s">
        <v>2555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0</v>
      </c>
      <c r="K2416" s="25"/>
      <c r="L2416" s="25"/>
      <c r="M2416" s="29">
        <v>0</v>
      </c>
      <c r="N2416" s="28">
        <v>0</v>
      </c>
      <c r="O2416" s="11"/>
      <c r="P2416" s="11"/>
      <c r="Q2416" s="11"/>
      <c r="R2416" s="11"/>
      <c r="S2416" s="11"/>
      <c r="T2416" s="11"/>
      <c r="U2416" s="30">
        <v>0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161</v>
      </c>
      <c r="B2417" s="10" t="s">
        <v>2556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161</v>
      </c>
      <c r="B2418" s="10" t="s">
        <v>2557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161</v>
      </c>
      <c r="B2419" s="10" t="s">
        <v>2558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161</v>
      </c>
      <c r="B2420" s="10" t="s">
        <v>2559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161</v>
      </c>
      <c r="B2421" s="10" t="s">
        <v>2560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161</v>
      </c>
      <c r="B2422" s="10" t="s">
        <v>2561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161</v>
      </c>
      <c r="B2423" s="10" t="s">
        <v>2562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161</v>
      </c>
      <c r="B2424" s="10" t="s">
        <v>2563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161</v>
      </c>
      <c r="B2425" s="10" t="s">
        <v>2564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161</v>
      </c>
      <c r="B2426" s="10" t="s">
        <v>2565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161</v>
      </c>
      <c r="B2427" s="10" t="s">
        <v>2566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161</v>
      </c>
      <c r="B2428" s="10" t="s">
        <v>2567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161</v>
      </c>
      <c r="B2429" s="10" t="s">
        <v>2568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161</v>
      </c>
      <c r="B2430" s="10" t="s">
        <v>2569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161</v>
      </c>
      <c r="B2431" s="10" t="s">
        <v>2570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161</v>
      </c>
      <c r="B2432" s="10" t="s">
        <v>2571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161</v>
      </c>
      <c r="B2433" s="10" t="s">
        <v>2572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0</v>
      </c>
      <c r="K2433" s="25"/>
      <c r="L2433" s="25"/>
      <c r="M2433" s="29">
        <v>0</v>
      </c>
      <c r="N2433" s="28">
        <v>0</v>
      </c>
      <c r="O2433" s="11"/>
      <c r="P2433" s="11"/>
      <c r="Q2433" s="11"/>
      <c r="R2433" s="11"/>
      <c r="S2433" s="11"/>
      <c r="T2433" s="11"/>
      <c r="U2433" s="30">
        <v>0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161</v>
      </c>
      <c r="B2434" s="10" t="s">
        <v>2573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161</v>
      </c>
      <c r="B2435" s="10" t="s">
        <v>2574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0</v>
      </c>
      <c r="K2435" s="25"/>
      <c r="L2435" s="25"/>
      <c r="M2435" s="29">
        <v>0</v>
      </c>
      <c r="N2435" s="28">
        <v>0</v>
      </c>
      <c r="O2435" s="11"/>
      <c r="P2435" s="11"/>
      <c r="Q2435" s="11"/>
      <c r="R2435" s="11"/>
      <c r="S2435" s="11"/>
      <c r="T2435" s="11"/>
      <c r="U2435" s="30">
        <v>0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161</v>
      </c>
      <c r="B2436" s="10" t="s">
        <v>2575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161</v>
      </c>
      <c r="B2437" s="10" t="s">
        <v>2576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161</v>
      </c>
      <c r="B2438" s="10" t="s">
        <v>2577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161</v>
      </c>
      <c r="B2439" s="10" t="s">
        <v>2578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0</v>
      </c>
      <c r="K2439" s="25"/>
      <c r="L2439" s="25"/>
      <c r="M2439" s="29">
        <v>0</v>
      </c>
      <c r="N2439" s="28">
        <v>0</v>
      </c>
      <c r="O2439" s="11"/>
      <c r="P2439" s="11"/>
      <c r="Q2439" s="11"/>
      <c r="R2439" s="11"/>
      <c r="S2439" s="11"/>
      <c r="T2439" s="11"/>
      <c r="U2439" s="30">
        <v>0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161</v>
      </c>
      <c r="B2440" s="10" t="s">
        <v>2579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161</v>
      </c>
      <c r="B2441" s="10" t="s">
        <v>2580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0</v>
      </c>
      <c r="K2441" s="25"/>
      <c r="L2441" s="25"/>
      <c r="M2441" s="29">
        <v>0</v>
      </c>
      <c r="N2441" s="28">
        <v>0</v>
      </c>
      <c r="O2441" s="11"/>
      <c r="P2441" s="11"/>
      <c r="Q2441" s="11"/>
      <c r="R2441" s="11"/>
      <c r="S2441" s="11"/>
      <c r="T2441" s="11"/>
      <c r="U2441" s="30">
        <v>0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161</v>
      </c>
      <c r="B2442" s="10" t="s">
        <v>2581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161</v>
      </c>
      <c r="B2443" s="10" t="s">
        <v>2582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161</v>
      </c>
      <c r="B2444" s="10" t="s">
        <v>2583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161</v>
      </c>
      <c r="B2445" s="10" t="s">
        <v>2584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0</v>
      </c>
      <c r="K2445" s="25"/>
      <c r="L2445" s="25"/>
      <c r="M2445" s="29">
        <v>0</v>
      </c>
      <c r="N2445" s="28">
        <v>0</v>
      </c>
      <c r="O2445" s="11"/>
      <c r="P2445" s="11"/>
      <c r="Q2445" s="11"/>
      <c r="R2445" s="11"/>
      <c r="S2445" s="11"/>
      <c r="T2445" s="11"/>
      <c r="U2445" s="30">
        <v>0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161</v>
      </c>
      <c r="B2446" s="10" t="s">
        <v>2585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161</v>
      </c>
      <c r="B2447" s="10" t="s">
        <v>2586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0</v>
      </c>
      <c r="K2447" s="25"/>
      <c r="L2447" s="25"/>
      <c r="M2447" s="29">
        <v>0</v>
      </c>
      <c r="N2447" s="28">
        <v>0</v>
      </c>
      <c r="O2447" s="11"/>
      <c r="P2447" s="11"/>
      <c r="Q2447" s="11"/>
      <c r="R2447" s="11"/>
      <c r="S2447" s="11"/>
      <c r="T2447" s="11"/>
      <c r="U2447" s="30">
        <v>0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161</v>
      </c>
      <c r="B2448" s="10" t="s">
        <v>2587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161</v>
      </c>
      <c r="B2449" s="10" t="s">
        <v>2588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161</v>
      </c>
      <c r="B2450" s="10" t="s">
        <v>2589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161</v>
      </c>
      <c r="B2451" s="10" t="s">
        <v>2590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161</v>
      </c>
      <c r="B2452" s="10" t="s">
        <v>2591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161</v>
      </c>
      <c r="B2453" s="10" t="s">
        <v>2592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161</v>
      </c>
      <c r="B2454" s="10" t="s">
        <v>2593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161</v>
      </c>
      <c r="B2455" s="10" t="s">
        <v>2594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161</v>
      </c>
      <c r="B2456" s="10" t="s">
        <v>2595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161</v>
      </c>
      <c r="B2457" s="10" t="s">
        <v>2596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0</v>
      </c>
      <c r="K2457" s="25"/>
      <c r="L2457" s="25"/>
      <c r="M2457" s="29">
        <v>0</v>
      </c>
      <c r="N2457" s="28">
        <v>0</v>
      </c>
      <c r="O2457" s="11"/>
      <c r="P2457" s="11"/>
      <c r="Q2457" s="11"/>
      <c r="R2457" s="11"/>
      <c r="S2457" s="11"/>
      <c r="T2457" s="11"/>
      <c r="U2457" s="30">
        <v>0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161</v>
      </c>
      <c r="B2458" s="10" t="s">
        <v>2597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161</v>
      </c>
      <c r="B2459" s="10" t="s">
        <v>2598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0</v>
      </c>
      <c r="K2459" s="25"/>
      <c r="L2459" s="25"/>
      <c r="M2459" s="29">
        <v>0</v>
      </c>
      <c r="N2459" s="28">
        <v>0</v>
      </c>
      <c r="O2459" s="11"/>
      <c r="P2459" s="11"/>
      <c r="Q2459" s="11"/>
      <c r="R2459" s="11"/>
      <c r="S2459" s="11"/>
      <c r="T2459" s="11"/>
      <c r="U2459" s="30">
        <v>0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161</v>
      </c>
      <c r="B2460" s="10" t="s">
        <v>2599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161</v>
      </c>
      <c r="B2461" s="10" t="s">
        <v>2600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161</v>
      </c>
      <c r="B2462" s="10" t="s">
        <v>2601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161</v>
      </c>
      <c r="B2463" s="10" t="s">
        <v>2602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0</v>
      </c>
      <c r="K2463" s="25"/>
      <c r="L2463" s="25"/>
      <c r="M2463" s="29">
        <v>0</v>
      </c>
      <c r="N2463" s="28">
        <v>0</v>
      </c>
      <c r="O2463" s="11"/>
      <c r="P2463" s="11"/>
      <c r="Q2463" s="11"/>
      <c r="R2463" s="11"/>
      <c r="S2463" s="11"/>
      <c r="T2463" s="11"/>
      <c r="U2463" s="30">
        <v>0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161</v>
      </c>
      <c r="B2464" s="10" t="s">
        <v>2603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161</v>
      </c>
      <c r="B2465" s="10" t="s">
        <v>2604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0</v>
      </c>
      <c r="K2465" s="25"/>
      <c r="L2465" s="25"/>
      <c r="M2465" s="29">
        <v>0</v>
      </c>
      <c r="N2465" s="28">
        <v>0</v>
      </c>
      <c r="O2465" s="11"/>
      <c r="P2465" s="11"/>
      <c r="Q2465" s="11"/>
      <c r="R2465" s="11"/>
      <c r="S2465" s="11"/>
      <c r="T2465" s="11"/>
      <c r="U2465" s="30">
        <v>0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161</v>
      </c>
      <c r="B2466" s="10" t="s">
        <v>2605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161</v>
      </c>
      <c r="B2467" s="10" t="s">
        <v>2606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161</v>
      </c>
      <c r="B2468" s="10" t="s">
        <v>2607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161</v>
      </c>
      <c r="B2469" s="10" t="s">
        <v>2608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0</v>
      </c>
      <c r="K2469" s="25"/>
      <c r="L2469" s="25"/>
      <c r="M2469" s="29">
        <v>0</v>
      </c>
      <c r="N2469" s="28">
        <v>0</v>
      </c>
      <c r="O2469" s="11"/>
      <c r="P2469" s="11"/>
      <c r="Q2469" s="11"/>
      <c r="R2469" s="11"/>
      <c r="S2469" s="11"/>
      <c r="T2469" s="11"/>
      <c r="U2469" s="30">
        <v>0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161</v>
      </c>
      <c r="B2470" s="10" t="s">
        <v>2609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161</v>
      </c>
      <c r="B2471" s="10" t="s">
        <v>2610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0</v>
      </c>
      <c r="K2471" s="25"/>
      <c r="L2471" s="25"/>
      <c r="M2471" s="29">
        <v>0</v>
      </c>
      <c r="N2471" s="28">
        <v>0</v>
      </c>
      <c r="O2471" s="11"/>
      <c r="P2471" s="11"/>
      <c r="Q2471" s="11"/>
      <c r="R2471" s="11"/>
      <c r="S2471" s="11"/>
      <c r="T2471" s="11"/>
      <c r="U2471" s="30">
        <v>0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161</v>
      </c>
      <c r="B2472" s="10" t="s">
        <v>2611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161</v>
      </c>
      <c r="B2473" s="10" t="s">
        <v>2612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161</v>
      </c>
      <c r="B2474" s="10" t="s">
        <v>2613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161</v>
      </c>
      <c r="B2475" s="10" t="s">
        <v>2614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161</v>
      </c>
      <c r="B2476" s="10" t="s">
        <v>2615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161</v>
      </c>
      <c r="B2477" s="10" t="s">
        <v>2616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161</v>
      </c>
      <c r="B2478" s="10" t="s">
        <v>2617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161</v>
      </c>
      <c r="B2479" s="10" t="s">
        <v>2618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161</v>
      </c>
      <c r="B2480" s="10" t="s">
        <v>2619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161</v>
      </c>
      <c r="B2481" s="10" t="s">
        <v>2620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0</v>
      </c>
      <c r="K2481" s="25"/>
      <c r="L2481" s="25"/>
      <c r="M2481" s="29">
        <v>0</v>
      </c>
      <c r="N2481" s="28">
        <v>0</v>
      </c>
      <c r="O2481" s="11"/>
      <c r="P2481" s="11"/>
      <c r="Q2481" s="11"/>
      <c r="R2481" s="11"/>
      <c r="S2481" s="11"/>
      <c r="T2481" s="11"/>
      <c r="U2481" s="30">
        <v>0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161</v>
      </c>
      <c r="B2482" s="10" t="s">
        <v>2621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161</v>
      </c>
      <c r="B2483" s="10" t="s">
        <v>2622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0</v>
      </c>
      <c r="K2483" s="25"/>
      <c r="L2483" s="25"/>
      <c r="M2483" s="29">
        <v>0</v>
      </c>
      <c r="N2483" s="28">
        <v>0</v>
      </c>
      <c r="O2483" s="11"/>
      <c r="P2483" s="11"/>
      <c r="Q2483" s="11"/>
      <c r="R2483" s="11"/>
      <c r="S2483" s="11"/>
      <c r="T2483" s="11"/>
      <c r="U2483" s="30">
        <v>0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161</v>
      </c>
      <c r="B2484" s="10" t="s">
        <v>2623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161</v>
      </c>
      <c r="B2485" s="10" t="s">
        <v>2624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161</v>
      </c>
      <c r="B2486" s="10" t="s">
        <v>2625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161</v>
      </c>
      <c r="B2487" s="10" t="s">
        <v>2626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0</v>
      </c>
      <c r="K2487" s="25"/>
      <c r="L2487" s="25"/>
      <c r="M2487" s="29">
        <v>0</v>
      </c>
      <c r="N2487" s="28">
        <v>0</v>
      </c>
      <c r="O2487" s="11"/>
      <c r="P2487" s="11"/>
      <c r="Q2487" s="11"/>
      <c r="R2487" s="11"/>
      <c r="S2487" s="11"/>
      <c r="T2487" s="11"/>
      <c r="U2487" s="30">
        <v>0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161</v>
      </c>
      <c r="B2488" s="10" t="s">
        <v>2627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161</v>
      </c>
      <c r="B2489" s="10" t="s">
        <v>2628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0</v>
      </c>
      <c r="K2489" s="25"/>
      <c r="L2489" s="25"/>
      <c r="M2489" s="29">
        <v>0</v>
      </c>
      <c r="N2489" s="28">
        <v>0</v>
      </c>
      <c r="O2489" s="11"/>
      <c r="P2489" s="11"/>
      <c r="Q2489" s="11"/>
      <c r="R2489" s="11"/>
      <c r="S2489" s="11"/>
      <c r="T2489" s="11"/>
      <c r="U2489" s="30">
        <v>0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161</v>
      </c>
      <c r="B2490" s="10" t="s">
        <v>2629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161</v>
      </c>
      <c r="B2491" s="10" t="s">
        <v>2630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161</v>
      </c>
      <c r="B2492" s="10" t="s">
        <v>2631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161</v>
      </c>
      <c r="B2493" s="10" t="s">
        <v>2632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0</v>
      </c>
      <c r="K2493" s="25"/>
      <c r="L2493" s="25"/>
      <c r="M2493" s="29">
        <v>0</v>
      </c>
      <c r="N2493" s="28">
        <v>0</v>
      </c>
      <c r="O2493" s="11"/>
      <c r="P2493" s="11"/>
      <c r="Q2493" s="11"/>
      <c r="R2493" s="11"/>
      <c r="S2493" s="11"/>
      <c r="T2493" s="11"/>
      <c r="U2493" s="30">
        <v>0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161</v>
      </c>
      <c r="B2494" s="10" t="s">
        <v>2633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161</v>
      </c>
      <c r="B2495" s="10" t="s">
        <v>2634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0</v>
      </c>
      <c r="K2495" s="25"/>
      <c r="L2495" s="25"/>
      <c r="M2495" s="29">
        <v>0</v>
      </c>
      <c r="N2495" s="28">
        <v>0</v>
      </c>
      <c r="O2495" s="11"/>
      <c r="P2495" s="11"/>
      <c r="Q2495" s="11"/>
      <c r="R2495" s="11"/>
      <c r="S2495" s="11"/>
      <c r="T2495" s="11"/>
      <c r="U2495" s="30">
        <v>0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161</v>
      </c>
      <c r="B2496" s="10" t="s">
        <v>2635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161</v>
      </c>
      <c r="B2497" s="10" t="s">
        <v>2636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161</v>
      </c>
      <c r="B2498" s="10" t="s">
        <v>2637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161</v>
      </c>
      <c r="B2499" s="10" t="s">
        <v>2638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161</v>
      </c>
      <c r="B2500" s="10" t="s">
        <v>2639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161</v>
      </c>
      <c r="B2501" s="10" t="s">
        <v>2640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161</v>
      </c>
      <c r="B2502" s="10" t="s">
        <v>2641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161</v>
      </c>
      <c r="B2503" s="10" t="s">
        <v>2642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161</v>
      </c>
      <c r="B2504" s="10" t="s">
        <v>2643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161</v>
      </c>
      <c r="B2505" s="10" t="s">
        <v>2644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0</v>
      </c>
      <c r="K2505" s="25"/>
      <c r="L2505" s="25"/>
      <c r="M2505" s="29">
        <v>0</v>
      </c>
      <c r="N2505" s="28">
        <v>0</v>
      </c>
      <c r="O2505" s="11"/>
      <c r="P2505" s="11"/>
      <c r="Q2505" s="11"/>
      <c r="R2505" s="11"/>
      <c r="S2505" s="11"/>
      <c r="T2505" s="11"/>
      <c r="U2505" s="30">
        <v>0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161</v>
      </c>
      <c r="B2506" s="10" t="s">
        <v>2645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161</v>
      </c>
      <c r="B2507" s="10" t="s">
        <v>2646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0</v>
      </c>
      <c r="K2507" s="25"/>
      <c r="L2507" s="25"/>
      <c r="M2507" s="29">
        <v>0</v>
      </c>
      <c r="N2507" s="28">
        <v>0</v>
      </c>
      <c r="O2507" s="11"/>
      <c r="P2507" s="11"/>
      <c r="Q2507" s="11"/>
      <c r="R2507" s="11"/>
      <c r="S2507" s="11"/>
      <c r="T2507" s="11"/>
      <c r="U2507" s="30">
        <v>0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161</v>
      </c>
      <c r="B2508" s="10" t="s">
        <v>2647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161</v>
      </c>
      <c r="B2509" s="10" t="s">
        <v>2648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161</v>
      </c>
      <c r="B2510" s="10" t="s">
        <v>2649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161</v>
      </c>
      <c r="B2511" s="10" t="s">
        <v>2650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0</v>
      </c>
      <c r="K2511" s="25"/>
      <c r="L2511" s="25"/>
      <c r="M2511" s="29">
        <v>0</v>
      </c>
      <c r="N2511" s="28">
        <v>0</v>
      </c>
      <c r="O2511" s="11"/>
      <c r="P2511" s="11"/>
      <c r="Q2511" s="11"/>
      <c r="R2511" s="11"/>
      <c r="S2511" s="11"/>
      <c r="T2511" s="11"/>
      <c r="U2511" s="30">
        <v>0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161</v>
      </c>
      <c r="B2512" s="10" t="s">
        <v>2651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161</v>
      </c>
      <c r="B2513" s="10" t="s">
        <v>2652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0</v>
      </c>
      <c r="K2513" s="25"/>
      <c r="L2513" s="25"/>
      <c r="M2513" s="29">
        <v>0</v>
      </c>
      <c r="N2513" s="28">
        <v>0</v>
      </c>
      <c r="O2513" s="11"/>
      <c r="P2513" s="11"/>
      <c r="Q2513" s="11"/>
      <c r="R2513" s="11"/>
      <c r="S2513" s="11"/>
      <c r="T2513" s="11"/>
      <c r="U2513" s="30">
        <v>0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161</v>
      </c>
      <c r="B2514" s="10" t="s">
        <v>2653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161</v>
      </c>
      <c r="B2515" s="10" t="s">
        <v>2654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161</v>
      </c>
      <c r="B2516" s="10" t="s">
        <v>2655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161</v>
      </c>
      <c r="B2517" s="10" t="s">
        <v>2656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0</v>
      </c>
      <c r="K2517" s="25"/>
      <c r="L2517" s="25"/>
      <c r="M2517" s="29">
        <v>0</v>
      </c>
      <c r="N2517" s="28">
        <v>0</v>
      </c>
      <c r="O2517" s="11"/>
      <c r="P2517" s="11"/>
      <c r="Q2517" s="11"/>
      <c r="R2517" s="11"/>
      <c r="S2517" s="11"/>
      <c r="T2517" s="11"/>
      <c r="U2517" s="30">
        <v>0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161</v>
      </c>
      <c r="B2518" s="10" t="s">
        <v>2657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161</v>
      </c>
      <c r="B2519" s="10" t="s">
        <v>2658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0</v>
      </c>
      <c r="K2519" s="25"/>
      <c r="L2519" s="25"/>
      <c r="M2519" s="29">
        <v>0</v>
      </c>
      <c r="N2519" s="28">
        <v>0</v>
      </c>
      <c r="O2519" s="11"/>
      <c r="P2519" s="11"/>
      <c r="Q2519" s="11"/>
      <c r="R2519" s="11"/>
      <c r="S2519" s="11"/>
      <c r="T2519" s="11"/>
      <c r="U2519" s="30">
        <v>0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161</v>
      </c>
      <c r="B2520" s="10" t="s">
        <v>2659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161</v>
      </c>
      <c r="B2521" s="10" t="s">
        <v>2660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161</v>
      </c>
      <c r="B2522" s="10" t="s">
        <v>2661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161</v>
      </c>
      <c r="B2523" s="10" t="s">
        <v>2662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161</v>
      </c>
      <c r="B2524" s="10" t="s">
        <v>2663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161</v>
      </c>
      <c r="B2525" s="10" t="s">
        <v>2664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161</v>
      </c>
      <c r="B2526" s="10" t="s">
        <v>2665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161</v>
      </c>
      <c r="B2527" s="10" t="s">
        <v>2666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161</v>
      </c>
      <c r="B2528" s="10" t="s">
        <v>2667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161</v>
      </c>
      <c r="B2529" s="10" t="s">
        <v>2668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161</v>
      </c>
      <c r="B2530" s="10" t="s">
        <v>2669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161</v>
      </c>
      <c r="B2531" s="10" t="s">
        <v>2670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161</v>
      </c>
      <c r="B2532" s="10" t="s">
        <v>2671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161</v>
      </c>
      <c r="B2533" s="10" t="s">
        <v>2672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161</v>
      </c>
      <c r="B2534" s="10" t="s">
        <v>2673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161</v>
      </c>
      <c r="B2535" s="10" t="s">
        <v>2674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161</v>
      </c>
      <c r="B2536" s="10" t="s">
        <v>2675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161</v>
      </c>
      <c r="B2537" s="10" t="s">
        <v>2676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161</v>
      </c>
      <c r="B2538" s="10" t="s">
        <v>2677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161</v>
      </c>
      <c r="B2539" s="10" t="s">
        <v>2678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161</v>
      </c>
      <c r="B2540" s="10" t="s">
        <v>2679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161</v>
      </c>
      <c r="B2541" s="10" t="s">
        <v>2680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161</v>
      </c>
      <c r="B2542" s="10" t="s">
        <v>2681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161</v>
      </c>
      <c r="B2543" s="10" t="s">
        <v>2682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161</v>
      </c>
      <c r="B2544" s="10" t="s">
        <v>2683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161</v>
      </c>
      <c r="B2545" s="10" t="s">
        <v>2684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161</v>
      </c>
      <c r="B2546" s="10" t="s">
        <v>2685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161</v>
      </c>
      <c r="B2547" s="10" t="s">
        <v>2686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161</v>
      </c>
      <c r="B2548" s="10" t="s">
        <v>2687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161</v>
      </c>
      <c r="B2549" s="10" t="s">
        <v>2688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161</v>
      </c>
      <c r="B2550" s="10" t="s">
        <v>2689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161</v>
      </c>
      <c r="B2551" s="10" t="s">
        <v>2690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161</v>
      </c>
      <c r="B2552" s="10" t="s">
        <v>2691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161</v>
      </c>
      <c r="B2553" s="10" t="s">
        <v>2692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161</v>
      </c>
      <c r="B2554" s="10" t="s">
        <v>2693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161</v>
      </c>
      <c r="B2555" s="10" t="s">
        <v>2694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161</v>
      </c>
      <c r="B2556" s="10" t="s">
        <v>2695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161</v>
      </c>
      <c r="B2557" s="10" t="s">
        <v>2696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161</v>
      </c>
      <c r="B2558" s="10" t="s">
        <v>2697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161</v>
      </c>
      <c r="B2559" s="10" t="s">
        <v>2698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161</v>
      </c>
      <c r="B2560" s="10" t="s">
        <v>2699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161</v>
      </c>
      <c r="B2561" s="10" t="s">
        <v>2700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161</v>
      </c>
      <c r="B2562" s="10" t="s">
        <v>2701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161</v>
      </c>
      <c r="B2563" s="10" t="s">
        <v>2702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161</v>
      </c>
      <c r="B2564" s="10" t="s">
        <v>2703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161</v>
      </c>
      <c r="B2565" s="10" t="s">
        <v>2704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161</v>
      </c>
      <c r="B2566" s="10" t="s">
        <v>2705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161</v>
      </c>
      <c r="B2567" s="10" t="s">
        <v>2706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161</v>
      </c>
      <c r="B2568" s="10" t="s">
        <v>2707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161</v>
      </c>
      <c r="B2569" s="10" t="s">
        <v>2708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161</v>
      </c>
      <c r="B2570" s="10" t="s">
        <v>2709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161</v>
      </c>
      <c r="B2571" s="10" t="s">
        <v>2710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161</v>
      </c>
      <c r="B2572" s="10" t="s">
        <v>2711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161</v>
      </c>
      <c r="B2573" s="10" t="s">
        <v>2712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161</v>
      </c>
      <c r="B2574" s="10" t="s">
        <v>2713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161</v>
      </c>
      <c r="B2575" s="10" t="s">
        <v>2714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161</v>
      </c>
      <c r="B2576" s="10" t="s">
        <v>2715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161</v>
      </c>
      <c r="B2577" s="10" t="s">
        <v>2716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161</v>
      </c>
      <c r="B2578" s="10" t="s">
        <v>2717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161</v>
      </c>
      <c r="B2579" s="10" t="s">
        <v>2718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161</v>
      </c>
      <c r="B2580" s="10" t="s">
        <v>2719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161</v>
      </c>
      <c r="B2581" s="10" t="s">
        <v>2720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161</v>
      </c>
      <c r="B2582" s="10" t="s">
        <v>2721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161</v>
      </c>
      <c r="B2583" s="10" t="s">
        <v>2722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161</v>
      </c>
      <c r="B2584" s="10" t="s">
        <v>2723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161</v>
      </c>
      <c r="B2585" s="10" t="s">
        <v>2724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161</v>
      </c>
      <c r="B2586" s="10" t="s">
        <v>2725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161</v>
      </c>
      <c r="B2587" s="10" t="s">
        <v>2726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161</v>
      </c>
      <c r="B2588" s="10" t="s">
        <v>2727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161</v>
      </c>
      <c r="B2589" s="10" t="s">
        <v>2728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161</v>
      </c>
      <c r="B2590" s="10" t="s">
        <v>2729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161</v>
      </c>
      <c r="B2591" s="10" t="s">
        <v>2730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161</v>
      </c>
      <c r="B2592" s="10" t="s">
        <v>2731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161</v>
      </c>
      <c r="B2593" s="10" t="s">
        <v>2732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161</v>
      </c>
      <c r="B2594" s="10" t="s">
        <v>2733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161</v>
      </c>
      <c r="B2595" s="10" t="s">
        <v>2734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161</v>
      </c>
      <c r="B2596" s="10" t="s">
        <v>2735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161</v>
      </c>
      <c r="B2597" s="10" t="s">
        <v>2736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161</v>
      </c>
      <c r="B2598" s="10" t="s">
        <v>2737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161</v>
      </c>
      <c r="B2599" s="10" t="s">
        <v>2738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161</v>
      </c>
      <c r="B2600" s="10" t="s">
        <v>2739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161</v>
      </c>
      <c r="B2601" s="10" t="s">
        <v>2740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161</v>
      </c>
      <c r="B2602" s="10" t="s">
        <v>2741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161</v>
      </c>
      <c r="B2603" s="10" t="s">
        <v>2742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161</v>
      </c>
      <c r="B2604" s="10" t="s">
        <v>2743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161</v>
      </c>
      <c r="B2605" s="10" t="s">
        <v>2744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161</v>
      </c>
      <c r="B2606" s="10" t="s">
        <v>2745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161</v>
      </c>
      <c r="B2607" s="10" t="s">
        <v>2746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161</v>
      </c>
      <c r="B2608" s="10" t="s">
        <v>2747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161</v>
      </c>
      <c r="B2609" s="10" t="s">
        <v>2748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161</v>
      </c>
      <c r="B2610" s="10" t="s">
        <v>2749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161</v>
      </c>
      <c r="B2611" s="10" t="s">
        <v>2750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161</v>
      </c>
      <c r="B2612" s="10" t="s">
        <v>2751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161</v>
      </c>
      <c r="B2613" s="10" t="s">
        <v>2752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161</v>
      </c>
      <c r="B2614" s="10" t="s">
        <v>2753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161</v>
      </c>
      <c r="B2615" s="10" t="s">
        <v>2754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161</v>
      </c>
      <c r="B2616" s="10" t="s">
        <v>2755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161</v>
      </c>
      <c r="B2617" s="10" t="s">
        <v>2756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161</v>
      </c>
      <c r="B2618" s="10" t="s">
        <v>2757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161</v>
      </c>
      <c r="B2619" s="10" t="s">
        <v>2758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161</v>
      </c>
      <c r="B2620" s="10" t="s">
        <v>2759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161</v>
      </c>
      <c r="B2621" s="10" t="s">
        <v>2760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161</v>
      </c>
      <c r="B2622" s="10" t="s">
        <v>2761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161</v>
      </c>
      <c r="B2623" s="10" t="s">
        <v>2762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161</v>
      </c>
      <c r="B2624" s="10" t="s">
        <v>2763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161</v>
      </c>
      <c r="B2625" s="10" t="s">
        <v>2764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161</v>
      </c>
      <c r="B2626" s="10" t="s">
        <v>2765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161</v>
      </c>
      <c r="B2627" s="10" t="s">
        <v>2766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161</v>
      </c>
      <c r="B2628" s="10" t="s">
        <v>2767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161</v>
      </c>
      <c r="B2629" s="10" t="s">
        <v>2768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161</v>
      </c>
      <c r="B2630" s="10" t="s">
        <v>2769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161</v>
      </c>
      <c r="B2631" s="10" t="s">
        <v>2770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161</v>
      </c>
      <c r="B2632" s="10" t="s">
        <v>2771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161</v>
      </c>
      <c r="B2633" s="10" t="s">
        <v>2772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161</v>
      </c>
      <c r="B2634" s="10" t="s">
        <v>2773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161</v>
      </c>
      <c r="B2635" s="10" t="s">
        <v>2774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161</v>
      </c>
      <c r="B2636" s="10" t="s">
        <v>2775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161</v>
      </c>
      <c r="B2637" s="10" t="s">
        <v>2776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161</v>
      </c>
      <c r="B2638" s="10" t="s">
        <v>2777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161</v>
      </c>
      <c r="B2639" s="10" t="s">
        <v>2778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161</v>
      </c>
      <c r="B2640" s="10" t="s">
        <v>2779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161</v>
      </c>
      <c r="B2641" s="10" t="s">
        <v>2780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161</v>
      </c>
      <c r="B2642" s="10" t="s">
        <v>2781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161</v>
      </c>
      <c r="B2643" s="10" t="s">
        <v>2782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161</v>
      </c>
      <c r="B2644" s="10" t="s">
        <v>2783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161</v>
      </c>
      <c r="B2645" s="10" t="s">
        <v>2784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161</v>
      </c>
      <c r="B2646" s="10" t="s">
        <v>2785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161</v>
      </c>
      <c r="B2647" s="10" t="s">
        <v>2786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161</v>
      </c>
      <c r="B2648" s="10" t="s">
        <v>2787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161</v>
      </c>
      <c r="B2649" s="10" t="s">
        <v>2788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161</v>
      </c>
      <c r="B2650" s="10" t="s">
        <v>2789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161</v>
      </c>
      <c r="B2651" s="10" t="s">
        <v>2790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161</v>
      </c>
      <c r="B2652" s="10" t="s">
        <v>2791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161</v>
      </c>
      <c r="B2653" s="10" t="s">
        <v>2792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161</v>
      </c>
      <c r="B2654" s="10" t="s">
        <v>2793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161</v>
      </c>
      <c r="B2655" s="10" t="s">
        <v>2794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161</v>
      </c>
      <c r="B2656" s="10" t="s">
        <v>2795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161</v>
      </c>
      <c r="B2657" s="10" t="s">
        <v>2796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161</v>
      </c>
      <c r="B2658" s="10" t="s">
        <v>2797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161</v>
      </c>
      <c r="B2659" s="10" t="s">
        <v>2798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161</v>
      </c>
      <c r="B2660" s="10" t="s">
        <v>2799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161</v>
      </c>
      <c r="B2661" s="10" t="s">
        <v>2800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161</v>
      </c>
      <c r="B2662" s="10" t="s">
        <v>2801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161</v>
      </c>
      <c r="B2663" s="10" t="s">
        <v>2802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161</v>
      </c>
      <c r="B2664" s="10" t="s">
        <v>2803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161</v>
      </c>
      <c r="B2665" s="10" t="s">
        <v>2804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161</v>
      </c>
      <c r="B2666" s="10" t="s">
        <v>2805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161</v>
      </c>
      <c r="B2667" s="10" t="s">
        <v>2806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161</v>
      </c>
      <c r="B2668" s="10" t="s">
        <v>2807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161</v>
      </c>
      <c r="B2669" s="10" t="s">
        <v>2808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161</v>
      </c>
      <c r="B2670" s="10" t="s">
        <v>2809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161</v>
      </c>
      <c r="B2671" s="10" t="s">
        <v>2810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161</v>
      </c>
      <c r="B2672" s="10" t="s">
        <v>2811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161</v>
      </c>
      <c r="B2673" s="10" t="s">
        <v>512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0</v>
      </c>
      <c r="K2673" s="25"/>
      <c r="L2673" s="25"/>
      <c r="M2673" s="29">
        <v>0</v>
      </c>
      <c r="N2673" s="28">
        <v>0</v>
      </c>
      <c r="O2673" s="11"/>
      <c r="P2673" s="11"/>
      <c r="Q2673" s="11"/>
      <c r="R2673" s="11"/>
      <c r="S2673" s="11"/>
      <c r="T2673" s="11"/>
      <c r="U2673" s="30">
        <v>0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161</v>
      </c>
      <c r="B2674" s="10" t="s">
        <v>513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0</v>
      </c>
      <c r="K2674" s="25"/>
      <c r="L2674" s="25"/>
      <c r="M2674" s="29">
        <v>0</v>
      </c>
      <c r="N2674" s="28">
        <v>0</v>
      </c>
      <c r="O2674" s="11"/>
      <c r="P2674" s="11"/>
      <c r="Q2674" s="11"/>
      <c r="R2674" s="11"/>
      <c r="S2674" s="11"/>
      <c r="T2674" s="11"/>
      <c r="U2674" s="30">
        <v>0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161</v>
      </c>
      <c r="B2675" s="10" t="s">
        <v>514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0</v>
      </c>
      <c r="K2675" s="25"/>
      <c r="L2675" s="25"/>
      <c r="M2675" s="29">
        <v>0</v>
      </c>
      <c r="N2675" s="28">
        <v>0</v>
      </c>
      <c r="O2675" s="11"/>
      <c r="P2675" s="11"/>
      <c r="Q2675" s="11"/>
      <c r="R2675" s="11"/>
      <c r="S2675" s="11"/>
      <c r="T2675" s="11"/>
      <c r="U2675" s="30">
        <v>0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161</v>
      </c>
      <c r="B2676" s="10" t="s">
        <v>2812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0</v>
      </c>
      <c r="K2676" s="25"/>
      <c r="L2676" s="25"/>
      <c r="M2676" s="29">
        <v>0</v>
      </c>
      <c r="N2676" s="28">
        <v>0</v>
      </c>
      <c r="O2676" s="11"/>
      <c r="P2676" s="11"/>
      <c r="Q2676" s="11"/>
      <c r="R2676" s="11"/>
      <c r="S2676" s="11"/>
      <c r="T2676" s="11"/>
      <c r="U2676" s="30">
        <v>0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161</v>
      </c>
      <c r="B2677" s="10" t="s">
        <v>2813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161</v>
      </c>
      <c r="B2678" s="10" t="s">
        <v>515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0</v>
      </c>
      <c r="K2678" s="25"/>
      <c r="L2678" s="25"/>
      <c r="M2678" s="29">
        <v>0</v>
      </c>
      <c r="N2678" s="28">
        <v>0</v>
      </c>
      <c r="O2678" s="11"/>
      <c r="P2678" s="11"/>
      <c r="Q2678" s="11"/>
      <c r="R2678" s="11"/>
      <c r="S2678" s="11"/>
      <c r="T2678" s="11"/>
      <c r="U2678" s="30">
        <v>0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161</v>
      </c>
      <c r="B2679" s="10" t="s">
        <v>516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0</v>
      </c>
      <c r="K2679" s="25"/>
      <c r="L2679" s="25"/>
      <c r="M2679" s="29">
        <v>0</v>
      </c>
      <c r="N2679" s="28">
        <v>0</v>
      </c>
      <c r="O2679" s="11"/>
      <c r="P2679" s="11"/>
      <c r="Q2679" s="11"/>
      <c r="R2679" s="11"/>
      <c r="S2679" s="11"/>
      <c r="T2679" s="11"/>
      <c r="U2679" s="30">
        <v>0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161</v>
      </c>
      <c r="B2680" s="10" t="s">
        <v>2814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0</v>
      </c>
      <c r="K2680" s="25"/>
      <c r="L2680" s="25"/>
      <c r="M2680" s="29">
        <v>0</v>
      </c>
      <c r="N2680" s="28">
        <v>0</v>
      </c>
      <c r="O2680" s="11"/>
      <c r="P2680" s="11"/>
      <c r="Q2680" s="11"/>
      <c r="R2680" s="11"/>
      <c r="S2680" s="11"/>
      <c r="T2680" s="11"/>
      <c r="U2680" s="30">
        <v>0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161</v>
      </c>
      <c r="B2681" s="10" t="s">
        <v>2815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161</v>
      </c>
      <c r="B2682" s="10" t="s">
        <v>517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0</v>
      </c>
      <c r="K2682" s="25"/>
      <c r="L2682" s="25"/>
      <c r="M2682" s="29">
        <v>0</v>
      </c>
      <c r="N2682" s="28">
        <v>0</v>
      </c>
      <c r="O2682" s="11"/>
      <c r="P2682" s="11"/>
      <c r="Q2682" s="11"/>
      <c r="R2682" s="11"/>
      <c r="S2682" s="11"/>
      <c r="T2682" s="11"/>
      <c r="U2682" s="30">
        <v>0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161</v>
      </c>
      <c r="B2683" s="10" t="s">
        <v>518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0</v>
      </c>
      <c r="K2683" s="25"/>
      <c r="L2683" s="25"/>
      <c r="M2683" s="29">
        <v>0</v>
      </c>
      <c r="N2683" s="28">
        <v>0</v>
      </c>
      <c r="O2683" s="11"/>
      <c r="P2683" s="11"/>
      <c r="Q2683" s="11"/>
      <c r="R2683" s="11"/>
      <c r="S2683" s="11"/>
      <c r="T2683" s="11"/>
      <c r="U2683" s="30">
        <v>0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161</v>
      </c>
      <c r="B2684" s="10" t="s">
        <v>2816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0</v>
      </c>
      <c r="K2684" s="25"/>
      <c r="L2684" s="25"/>
      <c r="M2684" s="29">
        <v>0</v>
      </c>
      <c r="N2684" s="28">
        <v>0</v>
      </c>
      <c r="O2684" s="11"/>
      <c r="P2684" s="11"/>
      <c r="Q2684" s="11"/>
      <c r="R2684" s="11"/>
      <c r="S2684" s="11"/>
      <c r="T2684" s="11"/>
      <c r="U2684" s="30">
        <v>0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161</v>
      </c>
      <c r="B2685" s="10" t="s">
        <v>2817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161</v>
      </c>
      <c r="B2686" s="10" t="s">
        <v>519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0</v>
      </c>
      <c r="K2686" s="25"/>
      <c r="L2686" s="25"/>
      <c r="M2686" s="29">
        <v>0</v>
      </c>
      <c r="N2686" s="28">
        <v>0</v>
      </c>
      <c r="O2686" s="11"/>
      <c r="P2686" s="11"/>
      <c r="Q2686" s="11"/>
      <c r="R2686" s="11"/>
      <c r="S2686" s="11"/>
      <c r="T2686" s="11"/>
      <c r="U2686" s="30">
        <v>0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161</v>
      </c>
      <c r="B2687" s="10" t="s">
        <v>520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0</v>
      </c>
      <c r="K2687" s="25"/>
      <c r="L2687" s="25"/>
      <c r="M2687" s="29">
        <v>0</v>
      </c>
      <c r="N2687" s="28">
        <v>0</v>
      </c>
      <c r="O2687" s="11"/>
      <c r="P2687" s="11"/>
      <c r="Q2687" s="11"/>
      <c r="R2687" s="11"/>
      <c r="S2687" s="11"/>
      <c r="T2687" s="11"/>
      <c r="U2687" s="30">
        <v>0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161</v>
      </c>
      <c r="B2688" s="10" t="s">
        <v>2818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0</v>
      </c>
      <c r="K2688" s="25"/>
      <c r="L2688" s="25"/>
      <c r="M2688" s="29">
        <v>0</v>
      </c>
      <c r="N2688" s="28">
        <v>0</v>
      </c>
      <c r="O2688" s="11"/>
      <c r="P2688" s="11"/>
      <c r="Q2688" s="11"/>
      <c r="R2688" s="11"/>
      <c r="S2688" s="11"/>
      <c r="T2688" s="11"/>
      <c r="U2688" s="30">
        <v>0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161</v>
      </c>
      <c r="B2689" s="10" t="s">
        <v>2819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161</v>
      </c>
      <c r="B2690" s="10" t="s">
        <v>2820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0</v>
      </c>
      <c r="K2690" s="25"/>
      <c r="L2690" s="25"/>
      <c r="M2690" s="29">
        <v>0</v>
      </c>
      <c r="N2690" s="28">
        <v>0</v>
      </c>
      <c r="O2690" s="11"/>
      <c r="P2690" s="11"/>
      <c r="Q2690" s="11"/>
      <c r="R2690" s="11"/>
      <c r="S2690" s="11"/>
      <c r="T2690" s="11"/>
      <c r="U2690" s="30">
        <v>0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161</v>
      </c>
      <c r="B2691" s="10" t="s">
        <v>2821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0</v>
      </c>
      <c r="K2691" s="25"/>
      <c r="L2691" s="25"/>
      <c r="M2691" s="29">
        <v>0</v>
      </c>
      <c r="N2691" s="28">
        <v>0</v>
      </c>
      <c r="O2691" s="11"/>
      <c r="P2691" s="11"/>
      <c r="Q2691" s="11"/>
      <c r="R2691" s="11"/>
      <c r="S2691" s="11"/>
      <c r="T2691" s="11"/>
      <c r="U2691" s="30">
        <v>0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161</v>
      </c>
      <c r="B2692" s="10" t="s">
        <v>2822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0</v>
      </c>
      <c r="K2692" s="25"/>
      <c r="L2692" s="25"/>
      <c r="M2692" s="29">
        <v>0</v>
      </c>
      <c r="N2692" s="28">
        <v>0</v>
      </c>
      <c r="O2692" s="11"/>
      <c r="P2692" s="11"/>
      <c r="Q2692" s="11"/>
      <c r="R2692" s="11"/>
      <c r="S2692" s="11"/>
      <c r="T2692" s="11"/>
      <c r="U2692" s="30">
        <v>0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161</v>
      </c>
      <c r="B2693" s="10" t="s">
        <v>2823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161</v>
      </c>
      <c r="B2694" s="10" t="s">
        <v>2824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161</v>
      </c>
      <c r="B2695" s="10" t="s">
        <v>2825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161</v>
      </c>
      <c r="B2696" s="10" t="s">
        <v>2826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161</v>
      </c>
      <c r="B2697" s="10" t="s">
        <v>2827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161</v>
      </c>
      <c r="B2698" s="10" t="s">
        <v>521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0</v>
      </c>
      <c r="K2698" s="25"/>
      <c r="L2698" s="25"/>
      <c r="M2698" s="29">
        <v>0</v>
      </c>
      <c r="N2698" s="28">
        <v>0</v>
      </c>
      <c r="O2698" s="11"/>
      <c r="P2698" s="11"/>
      <c r="Q2698" s="11"/>
      <c r="R2698" s="11"/>
      <c r="S2698" s="11"/>
      <c r="T2698" s="11"/>
      <c r="U2698" s="30">
        <v>0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161</v>
      </c>
      <c r="B2699" s="10" t="s">
        <v>2828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0</v>
      </c>
      <c r="K2699" s="25"/>
      <c r="L2699" s="25"/>
      <c r="M2699" s="29">
        <v>0</v>
      </c>
      <c r="N2699" s="28">
        <v>0</v>
      </c>
      <c r="O2699" s="11"/>
      <c r="P2699" s="11"/>
      <c r="Q2699" s="11"/>
      <c r="R2699" s="11"/>
      <c r="S2699" s="11"/>
      <c r="T2699" s="11"/>
      <c r="U2699" s="30">
        <v>0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161</v>
      </c>
      <c r="B2700" s="10" t="s">
        <v>2829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161</v>
      </c>
      <c r="B2701" s="10" t="s">
        <v>522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0</v>
      </c>
      <c r="K2701" s="25"/>
      <c r="L2701" s="25"/>
      <c r="M2701" s="29">
        <v>0</v>
      </c>
      <c r="N2701" s="28">
        <v>0</v>
      </c>
      <c r="O2701" s="11"/>
      <c r="P2701" s="11"/>
      <c r="Q2701" s="11"/>
      <c r="R2701" s="11"/>
      <c r="S2701" s="11"/>
      <c r="T2701" s="11"/>
      <c r="U2701" s="30">
        <v>0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161</v>
      </c>
      <c r="B2702" s="10" t="s">
        <v>2830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0</v>
      </c>
      <c r="K2702" s="25"/>
      <c r="L2702" s="25"/>
      <c r="M2702" s="29">
        <v>0</v>
      </c>
      <c r="N2702" s="28">
        <v>0</v>
      </c>
      <c r="O2702" s="11"/>
      <c r="P2702" s="11"/>
      <c r="Q2702" s="11"/>
      <c r="R2702" s="11"/>
      <c r="S2702" s="11"/>
      <c r="T2702" s="11"/>
      <c r="U2702" s="30">
        <v>0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161</v>
      </c>
      <c r="B2703" s="10" t="s">
        <v>2831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161</v>
      </c>
      <c r="B2704" s="10" t="s">
        <v>2832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0</v>
      </c>
      <c r="K2704" s="25"/>
      <c r="L2704" s="25"/>
      <c r="M2704" s="29">
        <v>0</v>
      </c>
      <c r="N2704" s="28">
        <v>0</v>
      </c>
      <c r="O2704" s="11"/>
      <c r="P2704" s="11"/>
      <c r="Q2704" s="11"/>
      <c r="R2704" s="11"/>
      <c r="S2704" s="11"/>
      <c r="T2704" s="11"/>
      <c r="U2704" s="30">
        <v>0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161</v>
      </c>
      <c r="B2705" s="10" t="s">
        <v>2833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0</v>
      </c>
      <c r="K2705" s="25"/>
      <c r="L2705" s="25"/>
      <c r="M2705" s="29">
        <v>0</v>
      </c>
      <c r="N2705" s="28">
        <v>0</v>
      </c>
      <c r="O2705" s="11"/>
      <c r="P2705" s="11"/>
      <c r="Q2705" s="11"/>
      <c r="R2705" s="11"/>
      <c r="S2705" s="11"/>
      <c r="T2705" s="11"/>
      <c r="U2705" s="30">
        <v>0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161</v>
      </c>
      <c r="B2706" s="10" t="s">
        <v>2834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161</v>
      </c>
      <c r="B2707" s="10" t="s">
        <v>2835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161</v>
      </c>
      <c r="B2708" s="10" t="s">
        <v>2836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161</v>
      </c>
      <c r="B2709" s="10" t="s">
        <v>2837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161</v>
      </c>
      <c r="B2710" s="10" t="s">
        <v>523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0</v>
      </c>
      <c r="K2710" s="25"/>
      <c r="L2710" s="25"/>
      <c r="M2710" s="29">
        <v>0</v>
      </c>
      <c r="N2710" s="28">
        <v>0</v>
      </c>
      <c r="O2710" s="11"/>
      <c r="P2710" s="11"/>
      <c r="Q2710" s="11"/>
      <c r="R2710" s="11"/>
      <c r="S2710" s="11"/>
      <c r="T2710" s="11"/>
      <c r="U2710" s="30">
        <v>0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161</v>
      </c>
      <c r="B2711" s="10" t="s">
        <v>2838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0</v>
      </c>
      <c r="K2711" s="25"/>
      <c r="L2711" s="25"/>
      <c r="M2711" s="29">
        <v>0</v>
      </c>
      <c r="N2711" s="28">
        <v>0</v>
      </c>
      <c r="O2711" s="11"/>
      <c r="P2711" s="11"/>
      <c r="Q2711" s="11"/>
      <c r="R2711" s="11"/>
      <c r="S2711" s="11"/>
      <c r="T2711" s="11"/>
      <c r="U2711" s="30">
        <v>0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161</v>
      </c>
      <c r="B2712" s="10" t="s">
        <v>2839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161</v>
      </c>
      <c r="B2713" s="10" t="s">
        <v>524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0</v>
      </c>
      <c r="K2713" s="25"/>
      <c r="L2713" s="25"/>
      <c r="M2713" s="29">
        <v>0</v>
      </c>
      <c r="N2713" s="28">
        <v>0</v>
      </c>
      <c r="O2713" s="11"/>
      <c r="P2713" s="11"/>
      <c r="Q2713" s="11"/>
      <c r="R2713" s="11"/>
      <c r="S2713" s="11"/>
      <c r="T2713" s="11"/>
      <c r="U2713" s="30">
        <v>0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161</v>
      </c>
      <c r="B2714" s="10" t="s">
        <v>2840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0</v>
      </c>
      <c r="K2714" s="25"/>
      <c r="L2714" s="25"/>
      <c r="M2714" s="29">
        <v>0</v>
      </c>
      <c r="N2714" s="28">
        <v>0</v>
      </c>
      <c r="O2714" s="11"/>
      <c r="P2714" s="11"/>
      <c r="Q2714" s="11"/>
      <c r="R2714" s="11"/>
      <c r="S2714" s="11"/>
      <c r="T2714" s="11"/>
      <c r="U2714" s="30">
        <v>0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161</v>
      </c>
      <c r="B2715" s="10" t="s">
        <v>2841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161</v>
      </c>
      <c r="B2716" s="10" t="s">
        <v>2842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0</v>
      </c>
      <c r="K2716" s="25"/>
      <c r="L2716" s="25"/>
      <c r="M2716" s="29">
        <v>0</v>
      </c>
      <c r="N2716" s="28">
        <v>0</v>
      </c>
      <c r="O2716" s="11"/>
      <c r="P2716" s="11"/>
      <c r="Q2716" s="11"/>
      <c r="R2716" s="11"/>
      <c r="S2716" s="11"/>
      <c r="T2716" s="11"/>
      <c r="U2716" s="30">
        <v>0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161</v>
      </c>
      <c r="B2717" s="10" t="s">
        <v>2843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0</v>
      </c>
      <c r="K2717" s="25"/>
      <c r="L2717" s="25"/>
      <c r="M2717" s="29">
        <v>0</v>
      </c>
      <c r="N2717" s="28">
        <v>0</v>
      </c>
      <c r="O2717" s="11"/>
      <c r="P2717" s="11"/>
      <c r="Q2717" s="11"/>
      <c r="R2717" s="11"/>
      <c r="S2717" s="11"/>
      <c r="T2717" s="11"/>
      <c r="U2717" s="30">
        <v>0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161</v>
      </c>
      <c r="B2718" s="10" t="s">
        <v>2844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161</v>
      </c>
      <c r="B2719" s="10" t="s">
        <v>2845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161</v>
      </c>
      <c r="B2720" s="10" t="s">
        <v>2846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161</v>
      </c>
      <c r="B2721" s="10" t="s">
        <v>2847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161</v>
      </c>
      <c r="B2722" s="10" t="s">
        <v>525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0</v>
      </c>
      <c r="K2722" s="25"/>
      <c r="L2722" s="25"/>
      <c r="M2722" s="29">
        <v>0</v>
      </c>
      <c r="N2722" s="28">
        <v>0</v>
      </c>
      <c r="O2722" s="11"/>
      <c r="P2722" s="11"/>
      <c r="Q2722" s="11"/>
      <c r="R2722" s="11"/>
      <c r="S2722" s="11"/>
      <c r="T2722" s="11"/>
      <c r="U2722" s="30">
        <v>0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161</v>
      </c>
      <c r="B2723" s="10" t="s">
        <v>2848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0</v>
      </c>
      <c r="K2723" s="25"/>
      <c r="L2723" s="25"/>
      <c r="M2723" s="29">
        <v>0</v>
      </c>
      <c r="N2723" s="28">
        <v>0</v>
      </c>
      <c r="O2723" s="11"/>
      <c r="P2723" s="11"/>
      <c r="Q2723" s="11"/>
      <c r="R2723" s="11"/>
      <c r="S2723" s="11"/>
      <c r="T2723" s="11"/>
      <c r="U2723" s="30">
        <v>0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161</v>
      </c>
      <c r="B2724" s="10" t="s">
        <v>2849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161</v>
      </c>
      <c r="B2725" s="10" t="s">
        <v>526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0</v>
      </c>
      <c r="K2725" s="25"/>
      <c r="L2725" s="25"/>
      <c r="M2725" s="29">
        <v>0</v>
      </c>
      <c r="N2725" s="28">
        <v>0</v>
      </c>
      <c r="O2725" s="11"/>
      <c r="P2725" s="11"/>
      <c r="Q2725" s="11"/>
      <c r="R2725" s="11"/>
      <c r="S2725" s="11"/>
      <c r="T2725" s="11"/>
      <c r="U2725" s="30">
        <v>0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161</v>
      </c>
      <c r="B2726" s="10" t="s">
        <v>2850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0</v>
      </c>
      <c r="K2726" s="25"/>
      <c r="L2726" s="25"/>
      <c r="M2726" s="29">
        <v>0</v>
      </c>
      <c r="N2726" s="28">
        <v>0</v>
      </c>
      <c r="O2726" s="11"/>
      <c r="P2726" s="11"/>
      <c r="Q2726" s="11"/>
      <c r="R2726" s="11"/>
      <c r="S2726" s="11"/>
      <c r="T2726" s="11"/>
      <c r="U2726" s="30">
        <v>0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161</v>
      </c>
      <c r="B2727" s="10" t="s">
        <v>2851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161</v>
      </c>
      <c r="B2728" s="10" t="s">
        <v>2852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0</v>
      </c>
      <c r="K2728" s="25"/>
      <c r="L2728" s="25"/>
      <c r="M2728" s="29">
        <v>0</v>
      </c>
      <c r="N2728" s="28">
        <v>0</v>
      </c>
      <c r="O2728" s="11"/>
      <c r="P2728" s="11"/>
      <c r="Q2728" s="11"/>
      <c r="R2728" s="11"/>
      <c r="S2728" s="11"/>
      <c r="T2728" s="11"/>
      <c r="U2728" s="30">
        <v>0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161</v>
      </c>
      <c r="B2729" s="10" t="s">
        <v>2853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0</v>
      </c>
      <c r="K2729" s="25"/>
      <c r="L2729" s="25"/>
      <c r="M2729" s="29">
        <v>0</v>
      </c>
      <c r="N2729" s="28">
        <v>0</v>
      </c>
      <c r="O2729" s="11"/>
      <c r="P2729" s="11"/>
      <c r="Q2729" s="11"/>
      <c r="R2729" s="11"/>
      <c r="S2729" s="11"/>
      <c r="T2729" s="11"/>
      <c r="U2729" s="30">
        <v>0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161</v>
      </c>
      <c r="B2730" s="10" t="s">
        <v>2854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161</v>
      </c>
      <c r="B2731" s="10" t="s">
        <v>2855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161</v>
      </c>
      <c r="B2732" s="10" t="s">
        <v>2856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161</v>
      </c>
      <c r="B2733" s="10" t="s">
        <v>2857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161</v>
      </c>
      <c r="B2734" s="10" t="s">
        <v>2858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0</v>
      </c>
      <c r="K2734" s="25"/>
      <c r="L2734" s="25"/>
      <c r="M2734" s="29">
        <v>0</v>
      </c>
      <c r="N2734" s="28">
        <v>0</v>
      </c>
      <c r="O2734" s="11"/>
      <c r="P2734" s="11"/>
      <c r="Q2734" s="11"/>
      <c r="R2734" s="11"/>
      <c r="S2734" s="11"/>
      <c r="T2734" s="11"/>
      <c r="U2734" s="30">
        <v>0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161</v>
      </c>
      <c r="B2735" s="10" t="s">
        <v>2859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0</v>
      </c>
      <c r="K2735" s="25"/>
      <c r="L2735" s="25"/>
      <c r="M2735" s="29">
        <v>0</v>
      </c>
      <c r="N2735" s="28">
        <v>0</v>
      </c>
      <c r="O2735" s="11"/>
      <c r="P2735" s="11"/>
      <c r="Q2735" s="11"/>
      <c r="R2735" s="11"/>
      <c r="S2735" s="11"/>
      <c r="T2735" s="11"/>
      <c r="U2735" s="30">
        <v>0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161</v>
      </c>
      <c r="B2736" s="10" t="s">
        <v>2860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161</v>
      </c>
      <c r="B2737" s="10" t="s">
        <v>2861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0</v>
      </c>
      <c r="K2737" s="25"/>
      <c r="L2737" s="25"/>
      <c r="M2737" s="29">
        <v>0</v>
      </c>
      <c r="N2737" s="28">
        <v>0</v>
      </c>
      <c r="O2737" s="11"/>
      <c r="P2737" s="11"/>
      <c r="Q2737" s="11"/>
      <c r="R2737" s="11"/>
      <c r="S2737" s="11"/>
      <c r="T2737" s="11"/>
      <c r="U2737" s="30">
        <v>0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161</v>
      </c>
      <c r="B2738" s="10" t="s">
        <v>2862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0</v>
      </c>
      <c r="K2738" s="25"/>
      <c r="L2738" s="25"/>
      <c r="M2738" s="29">
        <v>0</v>
      </c>
      <c r="N2738" s="28">
        <v>0</v>
      </c>
      <c r="O2738" s="11"/>
      <c r="P2738" s="11"/>
      <c r="Q2738" s="11"/>
      <c r="R2738" s="11"/>
      <c r="S2738" s="11"/>
      <c r="T2738" s="11"/>
      <c r="U2738" s="30">
        <v>0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161</v>
      </c>
      <c r="B2739" s="10" t="s">
        <v>2863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161</v>
      </c>
      <c r="B2740" s="10" t="s">
        <v>2864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0</v>
      </c>
      <c r="K2740" s="25"/>
      <c r="L2740" s="25"/>
      <c r="M2740" s="29">
        <v>0</v>
      </c>
      <c r="N2740" s="28">
        <v>0</v>
      </c>
      <c r="O2740" s="11"/>
      <c r="P2740" s="11"/>
      <c r="Q2740" s="11"/>
      <c r="R2740" s="11"/>
      <c r="S2740" s="11"/>
      <c r="T2740" s="11"/>
      <c r="U2740" s="30">
        <v>0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161</v>
      </c>
      <c r="B2741" s="10" t="s">
        <v>2865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0</v>
      </c>
      <c r="K2741" s="25"/>
      <c r="L2741" s="25"/>
      <c r="M2741" s="29">
        <v>0</v>
      </c>
      <c r="N2741" s="28">
        <v>0</v>
      </c>
      <c r="O2741" s="11"/>
      <c r="P2741" s="11"/>
      <c r="Q2741" s="11"/>
      <c r="R2741" s="11"/>
      <c r="S2741" s="11"/>
      <c r="T2741" s="11"/>
      <c r="U2741" s="30">
        <v>0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161</v>
      </c>
      <c r="B2742" s="10" t="s">
        <v>2866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161</v>
      </c>
      <c r="B2743" s="10" t="s">
        <v>2867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161</v>
      </c>
      <c r="B2744" s="10" t="s">
        <v>2868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161</v>
      </c>
      <c r="B2745" s="10" t="s">
        <v>2869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161</v>
      </c>
      <c r="B2746" s="10" t="s">
        <v>2870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161</v>
      </c>
      <c r="B2747" s="10" t="s">
        <v>2871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161</v>
      </c>
      <c r="B2748" s="10" t="s">
        <v>2872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161</v>
      </c>
      <c r="B2749" s="10" t="s">
        <v>2873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161</v>
      </c>
      <c r="B2750" s="10" t="s">
        <v>2874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161</v>
      </c>
      <c r="B2751" s="10" t="s">
        <v>2875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161</v>
      </c>
      <c r="B2752" s="10" t="s">
        <v>2876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161</v>
      </c>
      <c r="B2753" s="10" t="s">
        <v>2877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161</v>
      </c>
      <c r="B2754" s="10" t="s">
        <v>2878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161</v>
      </c>
      <c r="B2755" s="10" t="s">
        <v>2879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161</v>
      </c>
      <c r="B2756" s="10" t="s">
        <v>2880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161</v>
      </c>
      <c r="B2757" s="10" t="s">
        <v>2881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161</v>
      </c>
      <c r="B2758" s="10" t="s">
        <v>2882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0</v>
      </c>
      <c r="K2758" s="25"/>
      <c r="L2758" s="25"/>
      <c r="M2758" s="29">
        <v>0</v>
      </c>
      <c r="N2758" s="28">
        <v>0</v>
      </c>
      <c r="O2758" s="11"/>
      <c r="P2758" s="11"/>
      <c r="Q2758" s="11"/>
      <c r="R2758" s="11"/>
      <c r="S2758" s="11"/>
      <c r="T2758" s="11"/>
      <c r="U2758" s="30">
        <v>0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161</v>
      </c>
      <c r="B2759" s="10" t="s">
        <v>2883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161</v>
      </c>
      <c r="B2760" s="10" t="s">
        <v>2884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0</v>
      </c>
      <c r="K2760" s="25"/>
      <c r="L2760" s="25"/>
      <c r="M2760" s="29">
        <v>0</v>
      </c>
      <c r="N2760" s="28">
        <v>0</v>
      </c>
      <c r="O2760" s="11"/>
      <c r="P2760" s="11"/>
      <c r="Q2760" s="11"/>
      <c r="R2760" s="11"/>
      <c r="S2760" s="11"/>
      <c r="T2760" s="11"/>
      <c r="U2760" s="30">
        <v>0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161</v>
      </c>
      <c r="B2761" s="10" t="s">
        <v>2885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161</v>
      </c>
      <c r="B2762" s="10" t="s">
        <v>2886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161</v>
      </c>
      <c r="B2763" s="10" t="s">
        <v>2887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161</v>
      </c>
      <c r="B2764" s="10" t="s">
        <v>2888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0</v>
      </c>
      <c r="K2764" s="25"/>
      <c r="L2764" s="25"/>
      <c r="M2764" s="29">
        <v>0</v>
      </c>
      <c r="N2764" s="28">
        <v>0</v>
      </c>
      <c r="O2764" s="11"/>
      <c r="P2764" s="11"/>
      <c r="Q2764" s="11"/>
      <c r="R2764" s="11"/>
      <c r="S2764" s="11"/>
      <c r="T2764" s="11"/>
      <c r="U2764" s="30">
        <v>0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161</v>
      </c>
      <c r="B2765" s="10" t="s">
        <v>2889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161</v>
      </c>
      <c r="B2766" s="10" t="s">
        <v>2890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0</v>
      </c>
      <c r="K2766" s="25"/>
      <c r="L2766" s="25"/>
      <c r="M2766" s="29">
        <v>0</v>
      </c>
      <c r="N2766" s="28">
        <v>0</v>
      </c>
      <c r="O2766" s="11"/>
      <c r="P2766" s="11"/>
      <c r="Q2766" s="11"/>
      <c r="R2766" s="11"/>
      <c r="S2766" s="11"/>
      <c r="T2766" s="11"/>
      <c r="U2766" s="30">
        <v>0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161</v>
      </c>
      <c r="B2767" s="10" t="s">
        <v>2891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161</v>
      </c>
      <c r="B2768" s="10" t="s">
        <v>2892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161</v>
      </c>
      <c r="B2769" s="10" t="s">
        <v>2893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161</v>
      </c>
      <c r="B2770" s="10" t="s">
        <v>2894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0</v>
      </c>
      <c r="K2770" s="25"/>
      <c r="L2770" s="25"/>
      <c r="M2770" s="29">
        <v>0</v>
      </c>
      <c r="N2770" s="28">
        <v>0</v>
      </c>
      <c r="O2770" s="11"/>
      <c r="P2770" s="11"/>
      <c r="Q2770" s="11"/>
      <c r="R2770" s="11"/>
      <c r="S2770" s="11"/>
      <c r="T2770" s="11"/>
      <c r="U2770" s="30">
        <v>0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161</v>
      </c>
      <c r="B2771" s="10" t="s">
        <v>2895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161</v>
      </c>
      <c r="B2772" s="10" t="s">
        <v>2896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0</v>
      </c>
      <c r="K2772" s="25"/>
      <c r="L2772" s="25"/>
      <c r="M2772" s="29">
        <v>0</v>
      </c>
      <c r="N2772" s="28">
        <v>0</v>
      </c>
      <c r="O2772" s="11"/>
      <c r="P2772" s="11"/>
      <c r="Q2772" s="11"/>
      <c r="R2772" s="11"/>
      <c r="S2772" s="11"/>
      <c r="T2772" s="11"/>
      <c r="U2772" s="30">
        <v>0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161</v>
      </c>
      <c r="B2773" s="10" t="s">
        <v>2897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161</v>
      </c>
      <c r="B2774" s="10" t="s">
        <v>2898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161</v>
      </c>
      <c r="B2775" s="10" t="s">
        <v>2899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161</v>
      </c>
      <c r="B2776" s="10" t="s">
        <v>2900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161</v>
      </c>
      <c r="B2777" s="10" t="s">
        <v>2901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161</v>
      </c>
      <c r="B2778" s="10" t="s">
        <v>2902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161</v>
      </c>
      <c r="B2779" s="10" t="s">
        <v>2903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161</v>
      </c>
      <c r="B2780" s="10" t="s">
        <v>2904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161</v>
      </c>
      <c r="B2781" s="10" t="s">
        <v>2905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161</v>
      </c>
      <c r="B2782" s="10" t="s">
        <v>2906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0</v>
      </c>
      <c r="K2782" s="25"/>
      <c r="L2782" s="25"/>
      <c r="M2782" s="29">
        <v>0</v>
      </c>
      <c r="N2782" s="28">
        <v>0</v>
      </c>
      <c r="O2782" s="11"/>
      <c r="P2782" s="11"/>
      <c r="Q2782" s="11"/>
      <c r="R2782" s="11"/>
      <c r="S2782" s="11"/>
      <c r="T2782" s="11"/>
      <c r="U2782" s="30">
        <v>0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161</v>
      </c>
      <c r="B2783" s="10" t="s">
        <v>2907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161</v>
      </c>
      <c r="B2784" s="10" t="s">
        <v>2908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0</v>
      </c>
      <c r="K2784" s="25"/>
      <c r="L2784" s="25"/>
      <c r="M2784" s="29">
        <v>0</v>
      </c>
      <c r="N2784" s="28">
        <v>0</v>
      </c>
      <c r="O2784" s="11"/>
      <c r="P2784" s="11"/>
      <c r="Q2784" s="11"/>
      <c r="R2784" s="11"/>
      <c r="S2784" s="11"/>
      <c r="T2784" s="11"/>
      <c r="U2784" s="30">
        <v>0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161</v>
      </c>
      <c r="B2785" s="10" t="s">
        <v>2909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161</v>
      </c>
      <c r="B2786" s="10" t="s">
        <v>2910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161</v>
      </c>
      <c r="B2787" s="10" t="s">
        <v>2911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161</v>
      </c>
      <c r="B2788" s="10" t="s">
        <v>2912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0</v>
      </c>
      <c r="K2788" s="25"/>
      <c r="L2788" s="25"/>
      <c r="M2788" s="29">
        <v>0</v>
      </c>
      <c r="N2788" s="28">
        <v>0</v>
      </c>
      <c r="O2788" s="11"/>
      <c r="P2788" s="11"/>
      <c r="Q2788" s="11"/>
      <c r="R2788" s="11"/>
      <c r="S2788" s="11"/>
      <c r="T2788" s="11"/>
      <c r="U2788" s="30">
        <v>0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161</v>
      </c>
      <c r="B2789" s="10" t="s">
        <v>2913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161</v>
      </c>
      <c r="B2790" s="10" t="s">
        <v>2914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0</v>
      </c>
      <c r="K2790" s="25"/>
      <c r="L2790" s="25"/>
      <c r="M2790" s="29">
        <v>0</v>
      </c>
      <c r="N2790" s="28">
        <v>0</v>
      </c>
      <c r="O2790" s="11"/>
      <c r="P2790" s="11"/>
      <c r="Q2790" s="11"/>
      <c r="R2790" s="11"/>
      <c r="S2790" s="11"/>
      <c r="T2790" s="11"/>
      <c r="U2790" s="30">
        <v>0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161</v>
      </c>
      <c r="B2791" s="10" t="s">
        <v>2915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161</v>
      </c>
      <c r="B2792" s="10" t="s">
        <v>2916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161</v>
      </c>
      <c r="B2793" s="10" t="s">
        <v>2917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161</v>
      </c>
      <c r="B2794" s="10" t="s">
        <v>2918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0</v>
      </c>
      <c r="K2794" s="25"/>
      <c r="L2794" s="25"/>
      <c r="M2794" s="29">
        <v>0</v>
      </c>
      <c r="N2794" s="28">
        <v>0</v>
      </c>
      <c r="O2794" s="11"/>
      <c r="P2794" s="11"/>
      <c r="Q2794" s="11"/>
      <c r="R2794" s="11"/>
      <c r="S2794" s="11"/>
      <c r="T2794" s="11"/>
      <c r="U2794" s="30">
        <v>0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161</v>
      </c>
      <c r="B2795" s="10" t="s">
        <v>2919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161</v>
      </c>
      <c r="B2796" s="10" t="s">
        <v>2920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0</v>
      </c>
      <c r="K2796" s="25"/>
      <c r="L2796" s="25"/>
      <c r="M2796" s="29">
        <v>0</v>
      </c>
      <c r="N2796" s="28">
        <v>0</v>
      </c>
      <c r="O2796" s="11"/>
      <c r="P2796" s="11"/>
      <c r="Q2796" s="11"/>
      <c r="R2796" s="11"/>
      <c r="S2796" s="11"/>
      <c r="T2796" s="11"/>
      <c r="U2796" s="30">
        <v>0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161</v>
      </c>
      <c r="B2797" s="10" t="s">
        <v>2921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161</v>
      </c>
      <c r="B2798" s="10" t="s">
        <v>2922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161</v>
      </c>
      <c r="B2799" s="10" t="s">
        <v>2923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161</v>
      </c>
      <c r="B2800" s="10" t="s">
        <v>2924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161</v>
      </c>
      <c r="B2801" s="10" t="s">
        <v>2925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161</v>
      </c>
      <c r="B2802" s="10" t="s">
        <v>2926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161</v>
      </c>
      <c r="B2803" s="10" t="s">
        <v>2927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161</v>
      </c>
      <c r="B2804" s="10" t="s">
        <v>2928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161</v>
      </c>
      <c r="B2805" s="10" t="s">
        <v>2929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161</v>
      </c>
      <c r="B2806" s="10" t="s">
        <v>2930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0</v>
      </c>
      <c r="K2806" s="25"/>
      <c r="L2806" s="25"/>
      <c r="M2806" s="29">
        <v>0</v>
      </c>
      <c r="N2806" s="28">
        <v>0</v>
      </c>
      <c r="O2806" s="11"/>
      <c r="P2806" s="11"/>
      <c r="Q2806" s="11"/>
      <c r="R2806" s="11"/>
      <c r="S2806" s="11"/>
      <c r="T2806" s="11"/>
      <c r="U2806" s="30">
        <v>0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161</v>
      </c>
      <c r="B2807" s="10" t="s">
        <v>2931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161</v>
      </c>
      <c r="B2808" s="10" t="s">
        <v>2932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0</v>
      </c>
      <c r="K2808" s="25"/>
      <c r="L2808" s="25"/>
      <c r="M2808" s="29">
        <v>0</v>
      </c>
      <c r="N2808" s="28">
        <v>0</v>
      </c>
      <c r="O2808" s="11"/>
      <c r="P2808" s="11"/>
      <c r="Q2808" s="11"/>
      <c r="R2808" s="11"/>
      <c r="S2808" s="11"/>
      <c r="T2808" s="11"/>
      <c r="U2808" s="30">
        <v>0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161</v>
      </c>
      <c r="B2809" s="10" t="s">
        <v>2933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161</v>
      </c>
      <c r="B2810" s="10" t="s">
        <v>2934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161</v>
      </c>
      <c r="B2811" s="10" t="s">
        <v>2935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161</v>
      </c>
      <c r="B2812" s="10" t="s">
        <v>2936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0</v>
      </c>
      <c r="K2812" s="25"/>
      <c r="L2812" s="25"/>
      <c r="M2812" s="29">
        <v>0</v>
      </c>
      <c r="N2812" s="28">
        <v>0</v>
      </c>
      <c r="O2812" s="11"/>
      <c r="P2812" s="11"/>
      <c r="Q2812" s="11"/>
      <c r="R2812" s="11"/>
      <c r="S2812" s="11"/>
      <c r="T2812" s="11"/>
      <c r="U2812" s="30">
        <v>0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161</v>
      </c>
      <c r="B2813" s="10" t="s">
        <v>2937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161</v>
      </c>
      <c r="B2814" s="10" t="s">
        <v>2938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0</v>
      </c>
      <c r="K2814" s="25"/>
      <c r="L2814" s="25"/>
      <c r="M2814" s="29">
        <v>0</v>
      </c>
      <c r="N2814" s="28">
        <v>0</v>
      </c>
      <c r="O2814" s="11"/>
      <c r="P2814" s="11"/>
      <c r="Q2814" s="11"/>
      <c r="R2814" s="11"/>
      <c r="S2814" s="11"/>
      <c r="T2814" s="11"/>
      <c r="U2814" s="30">
        <v>0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161</v>
      </c>
      <c r="B2815" s="10" t="s">
        <v>2939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161</v>
      </c>
      <c r="B2816" s="10" t="s">
        <v>2940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161</v>
      </c>
      <c r="B2817" s="10" t="s">
        <v>2941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161</v>
      </c>
      <c r="B2818" s="10" t="s">
        <v>2942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0</v>
      </c>
      <c r="K2818" s="25"/>
      <c r="L2818" s="25"/>
      <c r="M2818" s="29">
        <v>0</v>
      </c>
      <c r="N2818" s="28">
        <v>0</v>
      </c>
      <c r="O2818" s="11"/>
      <c r="P2818" s="11"/>
      <c r="Q2818" s="11"/>
      <c r="R2818" s="11"/>
      <c r="S2818" s="11"/>
      <c r="T2818" s="11"/>
      <c r="U2818" s="30">
        <v>0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161</v>
      </c>
      <c r="B2819" s="10" t="s">
        <v>2943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161</v>
      </c>
      <c r="B2820" s="10" t="s">
        <v>2944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0</v>
      </c>
      <c r="K2820" s="25"/>
      <c r="L2820" s="25"/>
      <c r="M2820" s="29">
        <v>0</v>
      </c>
      <c r="N2820" s="28">
        <v>0</v>
      </c>
      <c r="O2820" s="11"/>
      <c r="P2820" s="11"/>
      <c r="Q2820" s="11"/>
      <c r="R2820" s="11"/>
      <c r="S2820" s="11"/>
      <c r="T2820" s="11"/>
      <c r="U2820" s="30">
        <v>0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161</v>
      </c>
      <c r="B2821" s="10" t="s">
        <v>2945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161</v>
      </c>
      <c r="B2822" s="10" t="s">
        <v>2946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161</v>
      </c>
      <c r="B2823" s="10" t="s">
        <v>2947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161</v>
      </c>
      <c r="B2824" s="10" t="s">
        <v>2948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161</v>
      </c>
      <c r="B2825" s="10" t="s">
        <v>2949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161</v>
      </c>
      <c r="B2826" s="10" t="s">
        <v>2950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161</v>
      </c>
      <c r="B2827" s="10" t="s">
        <v>2951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161</v>
      </c>
      <c r="B2828" s="10" t="s">
        <v>2952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161</v>
      </c>
      <c r="B2829" s="10" t="s">
        <v>2953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161</v>
      </c>
      <c r="B2830" s="10" t="s">
        <v>2954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0</v>
      </c>
      <c r="K2830" s="25"/>
      <c r="L2830" s="25"/>
      <c r="M2830" s="29">
        <v>0</v>
      </c>
      <c r="N2830" s="28">
        <v>0</v>
      </c>
      <c r="O2830" s="11"/>
      <c r="P2830" s="11"/>
      <c r="Q2830" s="11"/>
      <c r="R2830" s="11"/>
      <c r="S2830" s="11"/>
      <c r="T2830" s="11"/>
      <c r="U2830" s="30">
        <v>0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161</v>
      </c>
      <c r="B2831" s="10" t="s">
        <v>2955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161</v>
      </c>
      <c r="B2832" s="10" t="s">
        <v>2956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0</v>
      </c>
      <c r="K2832" s="25"/>
      <c r="L2832" s="25"/>
      <c r="M2832" s="29">
        <v>0</v>
      </c>
      <c r="N2832" s="28">
        <v>0</v>
      </c>
      <c r="O2832" s="11"/>
      <c r="P2832" s="11"/>
      <c r="Q2832" s="11"/>
      <c r="R2832" s="11"/>
      <c r="S2832" s="11"/>
      <c r="T2832" s="11"/>
      <c r="U2832" s="30">
        <v>0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161</v>
      </c>
      <c r="B2833" s="10" t="s">
        <v>2957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161</v>
      </c>
      <c r="B2834" s="10" t="s">
        <v>2958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161</v>
      </c>
      <c r="B2835" s="10" t="s">
        <v>2959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161</v>
      </c>
      <c r="B2836" s="10" t="s">
        <v>2960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0</v>
      </c>
      <c r="K2836" s="25"/>
      <c r="L2836" s="25"/>
      <c r="M2836" s="29">
        <v>0</v>
      </c>
      <c r="N2836" s="28">
        <v>0</v>
      </c>
      <c r="O2836" s="11"/>
      <c r="P2836" s="11"/>
      <c r="Q2836" s="11"/>
      <c r="R2836" s="11"/>
      <c r="S2836" s="11"/>
      <c r="T2836" s="11"/>
      <c r="U2836" s="30">
        <v>0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161</v>
      </c>
      <c r="B2837" s="10" t="s">
        <v>2961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161</v>
      </c>
      <c r="B2838" s="10" t="s">
        <v>2962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0</v>
      </c>
      <c r="K2838" s="25"/>
      <c r="L2838" s="25"/>
      <c r="M2838" s="29">
        <v>0</v>
      </c>
      <c r="N2838" s="28">
        <v>0</v>
      </c>
      <c r="O2838" s="11"/>
      <c r="P2838" s="11"/>
      <c r="Q2838" s="11"/>
      <c r="R2838" s="11"/>
      <c r="S2838" s="11"/>
      <c r="T2838" s="11"/>
      <c r="U2838" s="30">
        <v>0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161</v>
      </c>
      <c r="B2839" s="10" t="s">
        <v>2963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161</v>
      </c>
      <c r="B2840" s="10" t="s">
        <v>2964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161</v>
      </c>
      <c r="B2841" s="10" t="s">
        <v>2965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161</v>
      </c>
      <c r="B2842" s="10" t="s">
        <v>2966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0</v>
      </c>
      <c r="K2842" s="25"/>
      <c r="L2842" s="25"/>
      <c r="M2842" s="29">
        <v>0</v>
      </c>
      <c r="N2842" s="28">
        <v>0</v>
      </c>
      <c r="O2842" s="11"/>
      <c r="P2842" s="11"/>
      <c r="Q2842" s="11"/>
      <c r="R2842" s="11"/>
      <c r="S2842" s="11"/>
      <c r="T2842" s="11"/>
      <c r="U2842" s="30">
        <v>0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161</v>
      </c>
      <c r="B2843" s="10" t="s">
        <v>2967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161</v>
      </c>
      <c r="B2844" s="10" t="s">
        <v>2968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0</v>
      </c>
      <c r="K2844" s="25"/>
      <c r="L2844" s="25"/>
      <c r="M2844" s="29">
        <v>0</v>
      </c>
      <c r="N2844" s="28">
        <v>0</v>
      </c>
      <c r="O2844" s="11"/>
      <c r="P2844" s="11"/>
      <c r="Q2844" s="11"/>
      <c r="R2844" s="11"/>
      <c r="S2844" s="11"/>
      <c r="T2844" s="11"/>
      <c r="U2844" s="30">
        <v>0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161</v>
      </c>
      <c r="B2845" s="10" t="s">
        <v>2969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161</v>
      </c>
      <c r="B2846" s="10" t="s">
        <v>2970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161</v>
      </c>
      <c r="B2847" s="10" t="s">
        <v>2971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161</v>
      </c>
      <c r="B2848" s="10" t="s">
        <v>2972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161</v>
      </c>
      <c r="B2849" s="10" t="s">
        <v>2973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161</v>
      </c>
      <c r="B2850" s="10" t="s">
        <v>2974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161</v>
      </c>
      <c r="B2851" s="10" t="s">
        <v>2975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161</v>
      </c>
      <c r="B2852" s="10" t="s">
        <v>2976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161</v>
      </c>
      <c r="B2853" s="10" t="s">
        <v>2977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161</v>
      </c>
      <c r="B2854" s="10" t="s">
        <v>2978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161</v>
      </c>
      <c r="B2855" s="10" t="s">
        <v>2979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161</v>
      </c>
      <c r="B2856" s="10" t="s">
        <v>2980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161</v>
      </c>
      <c r="B2857" s="10" t="s">
        <v>2981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161</v>
      </c>
      <c r="B2858" s="10" t="s">
        <v>2982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161</v>
      </c>
      <c r="B2859" s="10" t="s">
        <v>2983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161</v>
      </c>
      <c r="B2860" s="10" t="s">
        <v>2984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161</v>
      </c>
      <c r="B2861" s="10" t="s">
        <v>2985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161</v>
      </c>
      <c r="B2862" s="10" t="s">
        <v>2986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161</v>
      </c>
      <c r="B2863" s="10" t="s">
        <v>2987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161</v>
      </c>
      <c r="B2864" s="10" t="s">
        <v>2988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161</v>
      </c>
      <c r="B2865" s="10" t="s">
        <v>2989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161</v>
      </c>
      <c r="B2866" s="10" t="s">
        <v>2990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161</v>
      </c>
      <c r="B2867" s="10" t="s">
        <v>2991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161</v>
      </c>
      <c r="B2868" s="10" t="s">
        <v>2992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161</v>
      </c>
      <c r="B2869" s="10" t="s">
        <v>2993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161</v>
      </c>
      <c r="B2870" s="10" t="s">
        <v>2994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161</v>
      </c>
      <c r="B2871" s="10" t="s">
        <v>2995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161</v>
      </c>
      <c r="B2872" s="10" t="s">
        <v>2996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161</v>
      </c>
      <c r="B2873" s="10" t="s">
        <v>2997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161</v>
      </c>
      <c r="B2874" s="10" t="s">
        <v>2998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161</v>
      </c>
      <c r="B2875" s="10" t="s">
        <v>2999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161</v>
      </c>
      <c r="B2876" s="10" t="s">
        <v>3000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161</v>
      </c>
      <c r="B2877" s="10" t="s">
        <v>3001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161</v>
      </c>
      <c r="B2878" s="10" t="s">
        <v>3002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161</v>
      </c>
      <c r="B2879" s="10" t="s">
        <v>3003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161</v>
      </c>
      <c r="B2880" s="10" t="s">
        <v>3004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161</v>
      </c>
      <c r="B2881" s="10" t="s">
        <v>3005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161</v>
      </c>
      <c r="B2882" s="10" t="s">
        <v>3006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161</v>
      </c>
      <c r="B2883" s="10" t="s">
        <v>3007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161</v>
      </c>
      <c r="B2884" s="10" t="s">
        <v>3008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161</v>
      </c>
      <c r="B2885" s="10" t="s">
        <v>3009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161</v>
      </c>
      <c r="B2886" s="10" t="s">
        <v>3010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161</v>
      </c>
      <c r="B2887" s="10" t="s">
        <v>3011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161</v>
      </c>
      <c r="B2888" s="10" t="s">
        <v>3012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161</v>
      </c>
      <c r="B2889" s="10" t="s">
        <v>3013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161</v>
      </c>
      <c r="B2890" s="10" t="s">
        <v>3014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161</v>
      </c>
      <c r="B2891" s="10" t="s">
        <v>3015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161</v>
      </c>
      <c r="B2892" s="10" t="s">
        <v>3016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161</v>
      </c>
      <c r="B2893" s="10" t="s">
        <v>3017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161</v>
      </c>
      <c r="B2894" s="10" t="s">
        <v>3018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161</v>
      </c>
      <c r="B2895" s="10" t="s">
        <v>3019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161</v>
      </c>
      <c r="B2896" s="10" t="s">
        <v>3020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161</v>
      </c>
      <c r="B2897" s="10" t="s">
        <v>3021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161</v>
      </c>
      <c r="B2898" s="10" t="s">
        <v>3022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161</v>
      </c>
      <c r="B2899" s="10" t="s">
        <v>3023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161</v>
      </c>
      <c r="B2900" s="10" t="s">
        <v>3024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161</v>
      </c>
      <c r="B2901" s="10" t="s">
        <v>3025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161</v>
      </c>
      <c r="B2902" s="10" t="s">
        <v>3026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161</v>
      </c>
      <c r="B2903" s="10" t="s">
        <v>3027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161</v>
      </c>
      <c r="B2904" s="10" t="s">
        <v>3028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161</v>
      </c>
      <c r="B2905" s="10" t="s">
        <v>3029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161</v>
      </c>
      <c r="B2906" s="10" t="s">
        <v>3030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161</v>
      </c>
      <c r="B2907" s="10" t="s">
        <v>3031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161</v>
      </c>
      <c r="B2908" s="10" t="s">
        <v>3032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161</v>
      </c>
      <c r="B2909" s="10" t="s">
        <v>3033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161</v>
      </c>
      <c r="B2910" s="10" t="s">
        <v>3034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161</v>
      </c>
      <c r="B2911" s="10" t="s">
        <v>3035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161</v>
      </c>
      <c r="B2912" s="10" t="s">
        <v>3036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161</v>
      </c>
      <c r="B2913" s="10" t="s">
        <v>3037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161</v>
      </c>
      <c r="B2914" s="10" t="s">
        <v>3038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161</v>
      </c>
      <c r="B2915" s="10" t="s">
        <v>3039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161</v>
      </c>
      <c r="B2916" s="10" t="s">
        <v>3040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161</v>
      </c>
      <c r="B2917" s="10" t="s">
        <v>3041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161</v>
      </c>
      <c r="B2918" s="10" t="s">
        <v>3042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161</v>
      </c>
      <c r="B2919" s="10" t="s">
        <v>3043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161</v>
      </c>
      <c r="B2920" s="10" t="s">
        <v>3044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161</v>
      </c>
      <c r="B2921" s="10" t="s">
        <v>3045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161</v>
      </c>
      <c r="B2922" s="10" t="s">
        <v>3046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161</v>
      </c>
      <c r="B2923" s="10" t="s">
        <v>3047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161</v>
      </c>
      <c r="B2924" s="10" t="s">
        <v>3048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161</v>
      </c>
      <c r="B2925" s="10" t="s">
        <v>3049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161</v>
      </c>
      <c r="B2926" s="10" t="s">
        <v>3050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161</v>
      </c>
      <c r="B2927" s="10" t="s">
        <v>3051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161</v>
      </c>
      <c r="B2928" s="10" t="s">
        <v>3052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161</v>
      </c>
      <c r="B2929" s="10" t="s">
        <v>3053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161</v>
      </c>
      <c r="B2930" s="10" t="s">
        <v>3054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161</v>
      </c>
      <c r="B2931" s="10" t="s">
        <v>3055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161</v>
      </c>
      <c r="B2932" s="10" t="s">
        <v>3056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161</v>
      </c>
      <c r="B2933" s="10" t="s">
        <v>3057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161</v>
      </c>
      <c r="B2934" s="10" t="s">
        <v>3058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161</v>
      </c>
      <c r="B2935" s="10" t="s">
        <v>3059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161</v>
      </c>
      <c r="B2936" s="10" t="s">
        <v>3060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161</v>
      </c>
      <c r="B2937" s="10" t="s">
        <v>3061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161</v>
      </c>
      <c r="B2938" s="10" t="s">
        <v>3062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161</v>
      </c>
      <c r="B2939" s="10" t="s">
        <v>3063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161</v>
      </c>
      <c r="B2940" s="10" t="s">
        <v>3064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161</v>
      </c>
      <c r="B2941" s="10" t="s">
        <v>3065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161</v>
      </c>
      <c r="B2942" s="10" t="s">
        <v>3066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161</v>
      </c>
      <c r="B2943" s="10" t="s">
        <v>3067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161</v>
      </c>
      <c r="B2944" s="10" t="s">
        <v>3068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161</v>
      </c>
      <c r="B2945" s="10" t="s">
        <v>3069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161</v>
      </c>
      <c r="B2946" s="10" t="s">
        <v>3070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161</v>
      </c>
      <c r="B2947" s="10" t="s">
        <v>3071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161</v>
      </c>
      <c r="B2948" s="10" t="s">
        <v>3072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161</v>
      </c>
      <c r="B2949" s="10" t="s">
        <v>3073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161</v>
      </c>
      <c r="B2950" s="10" t="s">
        <v>3074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161</v>
      </c>
      <c r="B2951" s="10" t="s">
        <v>3075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161</v>
      </c>
      <c r="B2952" s="10" t="s">
        <v>3076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161</v>
      </c>
      <c r="B2953" s="10" t="s">
        <v>3077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161</v>
      </c>
      <c r="B2954" s="10" t="s">
        <v>3078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161</v>
      </c>
      <c r="B2955" s="10" t="s">
        <v>3079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161</v>
      </c>
      <c r="B2956" s="10" t="s">
        <v>3080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161</v>
      </c>
      <c r="B2957" s="10" t="s">
        <v>3081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161</v>
      </c>
      <c r="B2958" s="10" t="s">
        <v>3082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161</v>
      </c>
      <c r="B2959" s="10" t="s">
        <v>3083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161</v>
      </c>
      <c r="B2960" s="10" t="s">
        <v>3084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161</v>
      </c>
      <c r="B2961" s="10" t="s">
        <v>3085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161</v>
      </c>
      <c r="B2962" s="10" t="s">
        <v>3086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161</v>
      </c>
      <c r="B2963" s="10" t="s">
        <v>3087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161</v>
      </c>
      <c r="B2964" s="10" t="s">
        <v>3088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161</v>
      </c>
      <c r="B2965" s="10" t="s">
        <v>3089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161</v>
      </c>
      <c r="B2966" s="10" t="s">
        <v>3090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161</v>
      </c>
      <c r="B2967" s="10" t="s">
        <v>3091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161</v>
      </c>
      <c r="B2968" s="10" t="s">
        <v>3092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161</v>
      </c>
      <c r="B2969" s="10" t="s">
        <v>3093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161</v>
      </c>
      <c r="B2970" s="10" t="s">
        <v>3094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161</v>
      </c>
      <c r="B2971" s="10" t="s">
        <v>3095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161</v>
      </c>
      <c r="B2972" s="10" t="s">
        <v>3096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161</v>
      </c>
      <c r="B2973" s="10" t="s">
        <v>3097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161</v>
      </c>
      <c r="B2974" s="10" t="s">
        <v>3098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161</v>
      </c>
      <c r="B2975" s="10" t="s">
        <v>3099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161</v>
      </c>
      <c r="B2976" s="10" t="s">
        <v>3100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161</v>
      </c>
      <c r="B2977" s="10" t="s">
        <v>3101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161</v>
      </c>
      <c r="B2978" s="10" t="s">
        <v>3102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161</v>
      </c>
      <c r="B2979" s="10" t="s">
        <v>3103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161</v>
      </c>
      <c r="B2980" s="10" t="s">
        <v>3104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161</v>
      </c>
      <c r="B2981" s="10" t="s">
        <v>3105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161</v>
      </c>
      <c r="B2982" s="10" t="s">
        <v>3106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161</v>
      </c>
      <c r="B2983" s="10" t="s">
        <v>3107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161</v>
      </c>
      <c r="B2984" s="10" t="s">
        <v>3108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161</v>
      </c>
      <c r="B2985" s="10" t="s">
        <v>3109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161</v>
      </c>
      <c r="B2986" s="10" t="s">
        <v>3110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161</v>
      </c>
      <c r="B2987" s="10" t="s">
        <v>3111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161</v>
      </c>
      <c r="B2988" s="10" t="s">
        <v>3112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161</v>
      </c>
      <c r="B2989" s="10" t="s">
        <v>3113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161</v>
      </c>
      <c r="B2990" s="10" t="s">
        <v>3114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161</v>
      </c>
      <c r="B2991" s="10" t="s">
        <v>3115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161</v>
      </c>
      <c r="B2992" s="10" t="s">
        <v>3116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161</v>
      </c>
      <c r="B2993" s="10" t="s">
        <v>3117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161</v>
      </c>
      <c r="B2994" s="10" t="s">
        <v>3118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161</v>
      </c>
      <c r="B2995" s="10" t="s">
        <v>3119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161</v>
      </c>
      <c r="B2996" s="10" t="s">
        <v>3120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161</v>
      </c>
      <c r="B2997" s="10" t="s">
        <v>3121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161</v>
      </c>
      <c r="B2998" s="10" t="s">
        <v>527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1</v>
      </c>
      <c r="K2998" s="25">
        <v>2533.5</v>
      </c>
      <c r="L2998" s="25">
        <v>2714.5</v>
      </c>
      <c r="M2998" s="29">
        <v>2</v>
      </c>
      <c r="N2998" s="28">
        <v>1</v>
      </c>
      <c r="O2998" s="11">
        <v>17.2104</v>
      </c>
      <c r="P2998" s="11">
        <v>2533.5</v>
      </c>
      <c r="Q2998" s="11">
        <v>2516.2896000000001</v>
      </c>
      <c r="R2998" s="11">
        <v>-2731.7103999999999</v>
      </c>
      <c r="S2998" s="11">
        <v>-2714.5</v>
      </c>
      <c r="T2998" s="11">
        <v>17.2104</v>
      </c>
      <c r="U2998" s="30">
        <v>2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161</v>
      </c>
      <c r="B2999" s="10" t="s">
        <v>528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1</v>
      </c>
      <c r="K2999" s="25">
        <v>2323.5</v>
      </c>
      <c r="L2999" s="25">
        <v>2755.5</v>
      </c>
      <c r="M2999" s="29">
        <v>1</v>
      </c>
      <c r="N2999" s="28">
        <v>1</v>
      </c>
      <c r="O2999" s="11">
        <v>17.2104</v>
      </c>
      <c r="P2999" s="11">
        <v>2323.5</v>
      </c>
      <c r="Q2999" s="11">
        <v>2306.2896000000001</v>
      </c>
      <c r="R2999" s="11">
        <v>-2772.7103999999999</v>
      </c>
      <c r="S2999" s="11">
        <v>-2755.5</v>
      </c>
      <c r="T2999" s="11">
        <v>17.2104</v>
      </c>
      <c r="U2999" s="30">
        <v>1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161</v>
      </c>
      <c r="B3000" s="10" t="s">
        <v>529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0</v>
      </c>
      <c r="K3000" s="25"/>
      <c r="L3000" s="25"/>
      <c r="M3000" s="29">
        <v>0</v>
      </c>
      <c r="N3000" s="28">
        <v>0</v>
      </c>
      <c r="O3000" s="11"/>
      <c r="P3000" s="11"/>
      <c r="Q3000" s="11"/>
      <c r="R3000" s="11"/>
      <c r="S3000" s="11"/>
      <c r="T3000" s="11"/>
      <c r="U3000" s="30">
        <v>0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161</v>
      </c>
      <c r="B3001" s="10" t="s">
        <v>3122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0</v>
      </c>
      <c r="K3001" s="25"/>
      <c r="L3001" s="25"/>
      <c r="M3001" s="29">
        <v>0</v>
      </c>
      <c r="N3001" s="28">
        <v>0</v>
      </c>
      <c r="O3001" s="11"/>
      <c r="P3001" s="11"/>
      <c r="Q3001" s="11"/>
      <c r="R3001" s="11"/>
      <c r="S3001" s="11"/>
      <c r="T3001" s="11"/>
      <c r="U3001" s="30">
        <v>0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161</v>
      </c>
      <c r="B3002" s="10" t="s">
        <v>3123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161</v>
      </c>
      <c r="B3003" s="10" t="s">
        <v>530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1</v>
      </c>
      <c r="K3003" s="25">
        <v>2345.85</v>
      </c>
      <c r="L3003" s="25">
        <v>2738.75</v>
      </c>
      <c r="M3003" s="29">
        <v>1</v>
      </c>
      <c r="N3003" s="28">
        <v>1</v>
      </c>
      <c r="O3003" s="11">
        <v>34.250399999999999</v>
      </c>
      <c r="P3003" s="11">
        <v>2345.85</v>
      </c>
      <c r="Q3003" s="11">
        <v>2311.5996</v>
      </c>
      <c r="R3003" s="11">
        <v>-2773.0003999999999</v>
      </c>
      <c r="S3003" s="11">
        <v>-2738.75</v>
      </c>
      <c r="T3003" s="11">
        <v>34.250399999999999</v>
      </c>
      <c r="U3003" s="30">
        <v>1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161</v>
      </c>
      <c r="B3004" s="10" t="s">
        <v>531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0</v>
      </c>
      <c r="K3004" s="25"/>
      <c r="L3004" s="25"/>
      <c r="M3004" s="29">
        <v>0</v>
      </c>
      <c r="N3004" s="28">
        <v>0</v>
      </c>
      <c r="O3004" s="11"/>
      <c r="P3004" s="11"/>
      <c r="Q3004" s="11"/>
      <c r="R3004" s="11"/>
      <c r="S3004" s="11"/>
      <c r="T3004" s="11"/>
      <c r="U3004" s="30">
        <v>0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161</v>
      </c>
      <c r="B3005" s="10" t="s">
        <v>3124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0</v>
      </c>
      <c r="K3005" s="25"/>
      <c r="L3005" s="25"/>
      <c r="M3005" s="29">
        <v>0</v>
      </c>
      <c r="N3005" s="28">
        <v>0</v>
      </c>
      <c r="O3005" s="11"/>
      <c r="P3005" s="11"/>
      <c r="Q3005" s="11"/>
      <c r="R3005" s="11"/>
      <c r="S3005" s="11"/>
      <c r="T3005" s="11"/>
      <c r="U3005" s="30">
        <v>0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161</v>
      </c>
      <c r="B3006" s="10" t="s">
        <v>3125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161</v>
      </c>
      <c r="B3007" s="10" t="s">
        <v>532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1</v>
      </c>
      <c r="K3007" s="25">
        <v>2509.25</v>
      </c>
      <c r="L3007" s="25">
        <v>2733.15</v>
      </c>
      <c r="M3007" s="29">
        <v>1</v>
      </c>
      <c r="N3007" s="28">
        <v>1</v>
      </c>
      <c r="O3007" s="11">
        <v>34.250399999999999</v>
      </c>
      <c r="P3007" s="11">
        <v>2509.25</v>
      </c>
      <c r="Q3007" s="11">
        <v>2474.9996000000001</v>
      </c>
      <c r="R3007" s="11">
        <v>-2767.4004</v>
      </c>
      <c r="S3007" s="11">
        <v>-2733.15</v>
      </c>
      <c r="T3007" s="11">
        <v>34.250399999999999</v>
      </c>
      <c r="U3007" s="30">
        <v>1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161</v>
      </c>
      <c r="B3008" s="10" t="s">
        <v>533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0</v>
      </c>
      <c r="K3008" s="25"/>
      <c r="L3008" s="25"/>
      <c r="M3008" s="29">
        <v>0</v>
      </c>
      <c r="N3008" s="28">
        <v>0</v>
      </c>
      <c r="O3008" s="11"/>
      <c r="P3008" s="11"/>
      <c r="Q3008" s="11"/>
      <c r="R3008" s="11"/>
      <c r="S3008" s="11"/>
      <c r="T3008" s="11"/>
      <c r="U3008" s="30">
        <v>0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161</v>
      </c>
      <c r="B3009" s="10" t="s">
        <v>3126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0</v>
      </c>
      <c r="K3009" s="25"/>
      <c r="L3009" s="25"/>
      <c r="M3009" s="29">
        <v>0</v>
      </c>
      <c r="N3009" s="28">
        <v>0</v>
      </c>
      <c r="O3009" s="11"/>
      <c r="P3009" s="11"/>
      <c r="Q3009" s="11"/>
      <c r="R3009" s="11"/>
      <c r="S3009" s="11"/>
      <c r="T3009" s="11"/>
      <c r="U3009" s="30">
        <v>0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161</v>
      </c>
      <c r="B3010" s="10" t="s">
        <v>3127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161</v>
      </c>
      <c r="B3011" s="10" t="s">
        <v>534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0</v>
      </c>
      <c r="K3011" s="25"/>
      <c r="L3011" s="25"/>
      <c r="M3011" s="29">
        <v>0</v>
      </c>
      <c r="N3011" s="28">
        <v>0</v>
      </c>
      <c r="O3011" s="11"/>
      <c r="P3011" s="11"/>
      <c r="Q3011" s="11"/>
      <c r="R3011" s="11"/>
      <c r="S3011" s="11"/>
      <c r="T3011" s="11"/>
      <c r="U3011" s="30">
        <v>0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161</v>
      </c>
      <c r="B3012" s="10" t="s">
        <v>535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0</v>
      </c>
      <c r="K3012" s="25"/>
      <c r="L3012" s="25"/>
      <c r="M3012" s="29">
        <v>0</v>
      </c>
      <c r="N3012" s="28">
        <v>0</v>
      </c>
      <c r="O3012" s="11"/>
      <c r="P3012" s="11"/>
      <c r="Q3012" s="11"/>
      <c r="R3012" s="11"/>
      <c r="S3012" s="11"/>
      <c r="T3012" s="11"/>
      <c r="U3012" s="30">
        <v>0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161</v>
      </c>
      <c r="B3013" s="10" t="s">
        <v>3128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0</v>
      </c>
      <c r="K3013" s="25"/>
      <c r="L3013" s="25"/>
      <c r="M3013" s="29">
        <v>0</v>
      </c>
      <c r="N3013" s="28">
        <v>0</v>
      </c>
      <c r="O3013" s="11"/>
      <c r="P3013" s="11"/>
      <c r="Q3013" s="11"/>
      <c r="R3013" s="11"/>
      <c r="S3013" s="11"/>
      <c r="T3013" s="11"/>
      <c r="U3013" s="30">
        <v>0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161</v>
      </c>
      <c r="B3014" s="10" t="s">
        <v>3129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161</v>
      </c>
      <c r="B3015" s="10" t="s">
        <v>3130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0</v>
      </c>
      <c r="K3015" s="25"/>
      <c r="L3015" s="25"/>
      <c r="M3015" s="29">
        <v>0</v>
      </c>
      <c r="N3015" s="28">
        <v>0</v>
      </c>
      <c r="O3015" s="11"/>
      <c r="P3015" s="11"/>
      <c r="Q3015" s="11"/>
      <c r="R3015" s="11"/>
      <c r="S3015" s="11"/>
      <c r="T3015" s="11"/>
      <c r="U3015" s="30">
        <v>0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161</v>
      </c>
      <c r="B3016" s="10" t="s">
        <v>3131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0</v>
      </c>
      <c r="K3016" s="25"/>
      <c r="L3016" s="25"/>
      <c r="M3016" s="29">
        <v>0</v>
      </c>
      <c r="N3016" s="28">
        <v>0</v>
      </c>
      <c r="O3016" s="11"/>
      <c r="P3016" s="11"/>
      <c r="Q3016" s="11"/>
      <c r="R3016" s="11"/>
      <c r="S3016" s="11"/>
      <c r="T3016" s="11"/>
      <c r="U3016" s="30">
        <v>0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161</v>
      </c>
      <c r="B3017" s="10" t="s">
        <v>3132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0</v>
      </c>
      <c r="K3017" s="25"/>
      <c r="L3017" s="25"/>
      <c r="M3017" s="29">
        <v>0</v>
      </c>
      <c r="N3017" s="28">
        <v>0</v>
      </c>
      <c r="O3017" s="11"/>
      <c r="P3017" s="11"/>
      <c r="Q3017" s="11"/>
      <c r="R3017" s="11"/>
      <c r="S3017" s="11"/>
      <c r="T3017" s="11"/>
      <c r="U3017" s="30">
        <v>0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161</v>
      </c>
      <c r="B3018" s="10" t="s">
        <v>3133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161</v>
      </c>
      <c r="B3019" s="10" t="s">
        <v>3134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161</v>
      </c>
      <c r="B3020" s="10" t="s">
        <v>3135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161</v>
      </c>
      <c r="B3021" s="10" t="s">
        <v>3136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161</v>
      </c>
      <c r="B3022" s="10" t="s">
        <v>3137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161</v>
      </c>
      <c r="B3023" s="10" t="s">
        <v>536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0</v>
      </c>
      <c r="K3023" s="25"/>
      <c r="L3023" s="25"/>
      <c r="M3023" s="29">
        <v>0</v>
      </c>
      <c r="N3023" s="28">
        <v>0</v>
      </c>
      <c r="O3023" s="11"/>
      <c r="P3023" s="11"/>
      <c r="Q3023" s="11"/>
      <c r="R3023" s="11"/>
      <c r="S3023" s="11"/>
      <c r="T3023" s="11"/>
      <c r="U3023" s="30">
        <v>0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161</v>
      </c>
      <c r="B3024" s="10" t="s">
        <v>3138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0</v>
      </c>
      <c r="K3024" s="25"/>
      <c r="L3024" s="25"/>
      <c r="M3024" s="29">
        <v>0</v>
      </c>
      <c r="N3024" s="28">
        <v>0</v>
      </c>
      <c r="O3024" s="11"/>
      <c r="P3024" s="11"/>
      <c r="Q3024" s="11"/>
      <c r="R3024" s="11"/>
      <c r="S3024" s="11"/>
      <c r="T3024" s="11"/>
      <c r="U3024" s="30">
        <v>0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161</v>
      </c>
      <c r="B3025" s="10" t="s">
        <v>3139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161</v>
      </c>
      <c r="B3026" s="10" t="s">
        <v>537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0</v>
      </c>
      <c r="K3026" s="25"/>
      <c r="L3026" s="25"/>
      <c r="M3026" s="29">
        <v>0</v>
      </c>
      <c r="N3026" s="28">
        <v>0</v>
      </c>
      <c r="O3026" s="11"/>
      <c r="P3026" s="11"/>
      <c r="Q3026" s="11"/>
      <c r="R3026" s="11"/>
      <c r="S3026" s="11"/>
      <c r="T3026" s="11"/>
      <c r="U3026" s="30">
        <v>0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161</v>
      </c>
      <c r="B3027" s="10" t="s">
        <v>3140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0</v>
      </c>
      <c r="K3027" s="25"/>
      <c r="L3027" s="25"/>
      <c r="M3027" s="29">
        <v>0</v>
      </c>
      <c r="N3027" s="28">
        <v>0</v>
      </c>
      <c r="O3027" s="11"/>
      <c r="P3027" s="11"/>
      <c r="Q3027" s="11"/>
      <c r="R3027" s="11"/>
      <c r="S3027" s="11"/>
      <c r="T3027" s="11"/>
      <c r="U3027" s="30">
        <v>0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161</v>
      </c>
      <c r="B3028" s="10" t="s">
        <v>3141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161</v>
      </c>
      <c r="B3029" s="10" t="s">
        <v>3142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0</v>
      </c>
      <c r="K3029" s="25"/>
      <c r="L3029" s="25"/>
      <c r="M3029" s="29">
        <v>0</v>
      </c>
      <c r="N3029" s="28">
        <v>0</v>
      </c>
      <c r="O3029" s="11"/>
      <c r="P3029" s="11"/>
      <c r="Q3029" s="11"/>
      <c r="R3029" s="11"/>
      <c r="S3029" s="11"/>
      <c r="T3029" s="11"/>
      <c r="U3029" s="30">
        <v>0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161</v>
      </c>
      <c r="B3030" s="10" t="s">
        <v>3143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0</v>
      </c>
      <c r="K3030" s="25"/>
      <c r="L3030" s="25"/>
      <c r="M3030" s="29">
        <v>0</v>
      </c>
      <c r="N3030" s="28">
        <v>0</v>
      </c>
      <c r="O3030" s="11"/>
      <c r="P3030" s="11"/>
      <c r="Q3030" s="11"/>
      <c r="R3030" s="11"/>
      <c r="S3030" s="11"/>
      <c r="T3030" s="11"/>
      <c r="U3030" s="30">
        <v>0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161</v>
      </c>
      <c r="B3031" s="10" t="s">
        <v>3144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161</v>
      </c>
      <c r="B3032" s="10" t="s">
        <v>3145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161</v>
      </c>
      <c r="B3033" s="10" t="s">
        <v>3146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161</v>
      </c>
      <c r="B3034" s="10" t="s">
        <v>3147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161</v>
      </c>
      <c r="B3035" s="10" t="s">
        <v>538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0</v>
      </c>
      <c r="K3035" s="25"/>
      <c r="L3035" s="25"/>
      <c r="M3035" s="29">
        <v>0</v>
      </c>
      <c r="N3035" s="28">
        <v>0</v>
      </c>
      <c r="O3035" s="11"/>
      <c r="P3035" s="11"/>
      <c r="Q3035" s="11"/>
      <c r="R3035" s="11"/>
      <c r="S3035" s="11"/>
      <c r="T3035" s="11"/>
      <c r="U3035" s="30">
        <v>0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161</v>
      </c>
      <c r="B3036" s="10" t="s">
        <v>3148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0</v>
      </c>
      <c r="K3036" s="25"/>
      <c r="L3036" s="25"/>
      <c r="M3036" s="29">
        <v>0</v>
      </c>
      <c r="N3036" s="28">
        <v>0</v>
      </c>
      <c r="O3036" s="11"/>
      <c r="P3036" s="11"/>
      <c r="Q3036" s="11"/>
      <c r="R3036" s="11"/>
      <c r="S3036" s="11"/>
      <c r="T3036" s="11"/>
      <c r="U3036" s="30">
        <v>0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161</v>
      </c>
      <c r="B3037" s="10" t="s">
        <v>3149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161</v>
      </c>
      <c r="B3038" s="10" t="s">
        <v>539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0</v>
      </c>
      <c r="K3038" s="25"/>
      <c r="L3038" s="25"/>
      <c r="M3038" s="29">
        <v>0</v>
      </c>
      <c r="N3038" s="28">
        <v>0</v>
      </c>
      <c r="O3038" s="11"/>
      <c r="P3038" s="11"/>
      <c r="Q3038" s="11"/>
      <c r="R3038" s="11"/>
      <c r="S3038" s="11"/>
      <c r="T3038" s="11"/>
      <c r="U3038" s="30">
        <v>0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161</v>
      </c>
      <c r="B3039" s="10" t="s">
        <v>3150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0</v>
      </c>
      <c r="K3039" s="25"/>
      <c r="L3039" s="25"/>
      <c r="M3039" s="29">
        <v>0</v>
      </c>
      <c r="N3039" s="28">
        <v>0</v>
      </c>
      <c r="O3039" s="11"/>
      <c r="P3039" s="11"/>
      <c r="Q3039" s="11"/>
      <c r="R3039" s="11"/>
      <c r="S3039" s="11"/>
      <c r="T3039" s="11"/>
      <c r="U3039" s="30">
        <v>0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161</v>
      </c>
      <c r="B3040" s="10" t="s">
        <v>3151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161</v>
      </c>
      <c r="B3041" s="10" t="s">
        <v>3152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0</v>
      </c>
      <c r="K3041" s="25"/>
      <c r="L3041" s="25"/>
      <c r="M3041" s="29">
        <v>0</v>
      </c>
      <c r="N3041" s="28">
        <v>0</v>
      </c>
      <c r="O3041" s="11"/>
      <c r="P3041" s="11"/>
      <c r="Q3041" s="11"/>
      <c r="R3041" s="11"/>
      <c r="S3041" s="11"/>
      <c r="T3041" s="11"/>
      <c r="U3041" s="30">
        <v>0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161</v>
      </c>
      <c r="B3042" s="10" t="s">
        <v>3153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0</v>
      </c>
      <c r="K3042" s="25"/>
      <c r="L3042" s="25"/>
      <c r="M3042" s="29">
        <v>0</v>
      </c>
      <c r="N3042" s="28">
        <v>0</v>
      </c>
      <c r="O3042" s="11"/>
      <c r="P3042" s="11"/>
      <c r="Q3042" s="11"/>
      <c r="R3042" s="11"/>
      <c r="S3042" s="11"/>
      <c r="T3042" s="11"/>
      <c r="U3042" s="30">
        <v>0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161</v>
      </c>
      <c r="B3043" s="10" t="s">
        <v>3154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161</v>
      </c>
      <c r="B3044" s="10" t="s">
        <v>3155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161</v>
      </c>
      <c r="B3045" s="10" t="s">
        <v>3156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161</v>
      </c>
      <c r="B3046" s="10" t="s">
        <v>3157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161</v>
      </c>
      <c r="B3047" s="10" t="s">
        <v>540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0</v>
      </c>
      <c r="K3047" s="25"/>
      <c r="L3047" s="25"/>
      <c r="M3047" s="29">
        <v>0</v>
      </c>
      <c r="N3047" s="28">
        <v>0</v>
      </c>
      <c r="O3047" s="11"/>
      <c r="P3047" s="11"/>
      <c r="Q3047" s="11"/>
      <c r="R3047" s="11"/>
      <c r="S3047" s="11"/>
      <c r="T3047" s="11"/>
      <c r="U3047" s="30">
        <v>0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161</v>
      </c>
      <c r="B3048" s="10" t="s">
        <v>3158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0</v>
      </c>
      <c r="K3048" s="25"/>
      <c r="L3048" s="25"/>
      <c r="M3048" s="29">
        <v>0</v>
      </c>
      <c r="N3048" s="28">
        <v>0</v>
      </c>
      <c r="O3048" s="11"/>
      <c r="P3048" s="11"/>
      <c r="Q3048" s="11"/>
      <c r="R3048" s="11"/>
      <c r="S3048" s="11"/>
      <c r="T3048" s="11"/>
      <c r="U3048" s="30">
        <v>0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161</v>
      </c>
      <c r="B3049" s="10" t="s">
        <v>3159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161</v>
      </c>
      <c r="B3050" s="10" t="s">
        <v>541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0</v>
      </c>
      <c r="K3050" s="25"/>
      <c r="L3050" s="25"/>
      <c r="M3050" s="29">
        <v>0</v>
      </c>
      <c r="N3050" s="28">
        <v>0</v>
      </c>
      <c r="O3050" s="11"/>
      <c r="P3050" s="11"/>
      <c r="Q3050" s="11"/>
      <c r="R3050" s="11"/>
      <c r="S3050" s="11"/>
      <c r="T3050" s="11"/>
      <c r="U3050" s="30">
        <v>0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161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0</v>
      </c>
      <c r="K3051" s="25"/>
      <c r="L3051" s="25"/>
      <c r="M3051" s="29">
        <v>0</v>
      </c>
      <c r="N3051" s="28">
        <v>0</v>
      </c>
      <c r="O3051" s="11"/>
      <c r="P3051" s="11"/>
      <c r="Q3051" s="11"/>
      <c r="R3051" s="11"/>
      <c r="S3051" s="11"/>
      <c r="T3051" s="11"/>
      <c r="U3051" s="30">
        <v>0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161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161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0</v>
      </c>
      <c r="K3053" s="25"/>
      <c r="L3053" s="25"/>
      <c r="M3053" s="29">
        <v>0</v>
      </c>
      <c r="N3053" s="28">
        <v>0</v>
      </c>
      <c r="O3053" s="11"/>
      <c r="P3053" s="11"/>
      <c r="Q3053" s="11"/>
      <c r="R3053" s="11"/>
      <c r="S3053" s="11"/>
      <c r="T3053" s="11"/>
      <c r="U3053" s="30">
        <v>0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161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0</v>
      </c>
      <c r="K3054" s="25"/>
      <c r="L3054" s="25"/>
      <c r="M3054" s="29">
        <v>0</v>
      </c>
      <c r="N3054" s="28">
        <v>0</v>
      </c>
      <c r="O3054" s="11"/>
      <c r="P3054" s="11"/>
      <c r="Q3054" s="11"/>
      <c r="R3054" s="11"/>
      <c r="S3054" s="11"/>
      <c r="T3054" s="11"/>
      <c r="U3054" s="30">
        <v>0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161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161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161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161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161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0</v>
      </c>
      <c r="K3059" s="25"/>
      <c r="L3059" s="25"/>
      <c r="M3059" s="29">
        <v>0</v>
      </c>
      <c r="N3059" s="28">
        <v>0</v>
      </c>
      <c r="O3059" s="11"/>
      <c r="P3059" s="11"/>
      <c r="Q3059" s="11"/>
      <c r="R3059" s="11"/>
      <c r="S3059" s="11"/>
      <c r="T3059" s="11"/>
      <c r="U3059" s="30">
        <v>0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161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0</v>
      </c>
      <c r="K3060" s="25"/>
      <c r="L3060" s="25"/>
      <c r="M3060" s="29">
        <v>0</v>
      </c>
      <c r="N3060" s="28">
        <v>0</v>
      </c>
      <c r="O3060" s="11"/>
      <c r="P3060" s="11"/>
      <c r="Q3060" s="11"/>
      <c r="R3060" s="11"/>
      <c r="S3060" s="11"/>
      <c r="T3060" s="11"/>
      <c r="U3060" s="30">
        <v>0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161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161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0</v>
      </c>
      <c r="K3062" s="25"/>
      <c r="L3062" s="25"/>
      <c r="M3062" s="29">
        <v>0</v>
      </c>
      <c r="N3062" s="28">
        <v>0</v>
      </c>
      <c r="O3062" s="11"/>
      <c r="P3062" s="11"/>
      <c r="Q3062" s="11"/>
      <c r="R3062" s="11"/>
      <c r="S3062" s="11"/>
      <c r="T3062" s="11"/>
      <c r="U3062" s="30">
        <v>0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161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0</v>
      </c>
      <c r="K3063" s="25"/>
      <c r="L3063" s="25"/>
      <c r="M3063" s="29">
        <v>0</v>
      </c>
      <c r="N3063" s="28">
        <v>0</v>
      </c>
      <c r="O3063" s="11"/>
      <c r="P3063" s="11"/>
      <c r="Q3063" s="11"/>
      <c r="R3063" s="11"/>
      <c r="S3063" s="11"/>
      <c r="T3063" s="11"/>
      <c r="U3063" s="30">
        <v>0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161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161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0</v>
      </c>
      <c r="K3065" s="25"/>
      <c r="L3065" s="25"/>
      <c r="M3065" s="29">
        <v>0</v>
      </c>
      <c r="N3065" s="28">
        <v>0</v>
      </c>
      <c r="O3065" s="11"/>
      <c r="P3065" s="11"/>
      <c r="Q3065" s="11"/>
      <c r="R3065" s="11"/>
      <c r="S3065" s="11"/>
      <c r="T3065" s="11"/>
      <c r="U3065" s="30">
        <v>0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161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0</v>
      </c>
      <c r="K3066" s="25"/>
      <c r="L3066" s="25"/>
      <c r="M3066" s="29">
        <v>0</v>
      </c>
      <c r="N3066" s="28">
        <v>0</v>
      </c>
      <c r="O3066" s="11"/>
      <c r="P3066" s="11"/>
      <c r="Q3066" s="11"/>
      <c r="R3066" s="11"/>
      <c r="S3066" s="11"/>
      <c r="T3066" s="11"/>
      <c r="U3066" s="30">
        <v>0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161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161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161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161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161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161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161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161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161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161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161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161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161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161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161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161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161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0</v>
      </c>
      <c r="K3083" s="25"/>
      <c r="L3083" s="25"/>
      <c r="M3083" s="29">
        <v>0</v>
      </c>
      <c r="N3083" s="28">
        <v>0</v>
      </c>
      <c r="O3083" s="11"/>
      <c r="P3083" s="11"/>
      <c r="Q3083" s="11"/>
      <c r="R3083" s="11"/>
      <c r="S3083" s="11"/>
      <c r="T3083" s="11"/>
      <c r="U3083" s="30">
        <v>0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161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161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0</v>
      </c>
      <c r="K3085" s="25"/>
      <c r="L3085" s="25"/>
      <c r="M3085" s="29">
        <v>0</v>
      </c>
      <c r="N3085" s="28">
        <v>0</v>
      </c>
      <c r="O3085" s="11"/>
      <c r="P3085" s="11"/>
      <c r="Q3085" s="11"/>
      <c r="R3085" s="11"/>
      <c r="S3085" s="11"/>
      <c r="T3085" s="11"/>
      <c r="U3085" s="30">
        <v>0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161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161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161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161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0</v>
      </c>
      <c r="K3089" s="25"/>
      <c r="L3089" s="25"/>
      <c r="M3089" s="29">
        <v>0</v>
      </c>
      <c r="N3089" s="28">
        <v>0</v>
      </c>
      <c r="O3089" s="11"/>
      <c r="P3089" s="11"/>
      <c r="Q3089" s="11"/>
      <c r="R3089" s="11"/>
      <c r="S3089" s="11"/>
      <c r="T3089" s="11"/>
      <c r="U3089" s="30">
        <v>0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161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161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0</v>
      </c>
      <c r="K3091" s="25"/>
      <c r="L3091" s="25"/>
      <c r="M3091" s="29">
        <v>0</v>
      </c>
      <c r="N3091" s="28">
        <v>0</v>
      </c>
      <c r="O3091" s="11"/>
      <c r="P3091" s="11"/>
      <c r="Q3091" s="11"/>
      <c r="R3091" s="11"/>
      <c r="S3091" s="11"/>
      <c r="T3091" s="11"/>
      <c r="U3091" s="30">
        <v>0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161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161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161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161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0</v>
      </c>
      <c r="K3095" s="25"/>
      <c r="L3095" s="25"/>
      <c r="M3095" s="29">
        <v>0</v>
      </c>
      <c r="N3095" s="28">
        <v>0</v>
      </c>
      <c r="O3095" s="11"/>
      <c r="P3095" s="11"/>
      <c r="Q3095" s="11"/>
      <c r="R3095" s="11"/>
      <c r="S3095" s="11"/>
      <c r="T3095" s="11"/>
      <c r="U3095" s="30">
        <v>0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161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161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0</v>
      </c>
      <c r="K3097" s="25"/>
      <c r="L3097" s="25"/>
      <c r="M3097" s="29">
        <v>0</v>
      </c>
      <c r="N3097" s="28">
        <v>0</v>
      </c>
      <c r="O3097" s="11"/>
      <c r="P3097" s="11"/>
      <c r="Q3097" s="11"/>
      <c r="R3097" s="11"/>
      <c r="S3097" s="11"/>
      <c r="T3097" s="11"/>
      <c r="U3097" s="30">
        <v>0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161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161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161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161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161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161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161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161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161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161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0</v>
      </c>
      <c r="K3107" s="25"/>
      <c r="L3107" s="25"/>
      <c r="M3107" s="29">
        <v>0</v>
      </c>
      <c r="N3107" s="28">
        <v>0</v>
      </c>
      <c r="O3107" s="11"/>
      <c r="P3107" s="11"/>
      <c r="Q3107" s="11"/>
      <c r="R3107" s="11"/>
      <c r="S3107" s="11"/>
      <c r="T3107" s="11"/>
      <c r="U3107" s="30">
        <v>0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161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161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0</v>
      </c>
      <c r="K3109" s="25"/>
      <c r="L3109" s="25"/>
      <c r="M3109" s="29">
        <v>0</v>
      </c>
      <c r="N3109" s="28">
        <v>0</v>
      </c>
      <c r="O3109" s="11"/>
      <c r="P3109" s="11"/>
      <c r="Q3109" s="11"/>
      <c r="R3109" s="11"/>
      <c r="S3109" s="11"/>
      <c r="T3109" s="11"/>
      <c r="U3109" s="30">
        <v>0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161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161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161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161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0</v>
      </c>
      <c r="K3113" s="25"/>
      <c r="L3113" s="25"/>
      <c r="M3113" s="29">
        <v>0</v>
      </c>
      <c r="N3113" s="28">
        <v>0</v>
      </c>
      <c r="O3113" s="11"/>
      <c r="P3113" s="11"/>
      <c r="Q3113" s="11"/>
      <c r="R3113" s="11"/>
      <c r="S3113" s="11"/>
      <c r="T3113" s="11"/>
      <c r="U3113" s="30">
        <v>0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161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161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0</v>
      </c>
      <c r="K3115" s="25"/>
      <c r="L3115" s="25"/>
      <c r="M3115" s="29">
        <v>0</v>
      </c>
      <c r="N3115" s="28">
        <v>0</v>
      </c>
      <c r="O3115" s="11"/>
      <c r="P3115" s="11"/>
      <c r="Q3115" s="11"/>
      <c r="R3115" s="11"/>
      <c r="S3115" s="11"/>
      <c r="T3115" s="11"/>
      <c r="U3115" s="30">
        <v>0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161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161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161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161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0</v>
      </c>
      <c r="K3119" s="25"/>
      <c r="L3119" s="25"/>
      <c r="M3119" s="29">
        <v>0</v>
      </c>
      <c r="N3119" s="28">
        <v>0</v>
      </c>
      <c r="O3119" s="11"/>
      <c r="P3119" s="11"/>
      <c r="Q3119" s="11"/>
      <c r="R3119" s="11"/>
      <c r="S3119" s="11"/>
      <c r="T3119" s="11"/>
      <c r="U3119" s="30">
        <v>0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161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161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0</v>
      </c>
      <c r="K3121" s="25"/>
      <c r="L3121" s="25"/>
      <c r="M3121" s="29">
        <v>0</v>
      </c>
      <c r="N3121" s="28">
        <v>0</v>
      </c>
      <c r="O3121" s="11"/>
      <c r="P3121" s="11"/>
      <c r="Q3121" s="11"/>
      <c r="R3121" s="11"/>
      <c r="S3121" s="11"/>
      <c r="T3121" s="11"/>
      <c r="U3121" s="30">
        <v>0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161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161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161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161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161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161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161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161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161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161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0</v>
      </c>
      <c r="K3131" s="25"/>
      <c r="L3131" s="25"/>
      <c r="M3131" s="29">
        <v>0</v>
      </c>
      <c r="N3131" s="28">
        <v>0</v>
      </c>
      <c r="O3131" s="11"/>
      <c r="P3131" s="11"/>
      <c r="Q3131" s="11"/>
      <c r="R3131" s="11"/>
      <c r="S3131" s="11"/>
      <c r="T3131" s="11"/>
      <c r="U3131" s="30">
        <v>0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161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161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0</v>
      </c>
      <c r="K3133" s="25"/>
      <c r="L3133" s="25"/>
      <c r="M3133" s="29">
        <v>0</v>
      </c>
      <c r="N3133" s="28">
        <v>0</v>
      </c>
      <c r="O3133" s="11"/>
      <c r="P3133" s="11"/>
      <c r="Q3133" s="11"/>
      <c r="R3133" s="11"/>
      <c r="S3133" s="11"/>
      <c r="T3133" s="11"/>
      <c r="U3133" s="30">
        <v>0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161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161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161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161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0</v>
      </c>
      <c r="K3137" s="25"/>
      <c r="L3137" s="25"/>
      <c r="M3137" s="29">
        <v>0</v>
      </c>
      <c r="N3137" s="28">
        <v>0</v>
      </c>
      <c r="O3137" s="11"/>
      <c r="P3137" s="11"/>
      <c r="Q3137" s="11"/>
      <c r="R3137" s="11"/>
      <c r="S3137" s="11"/>
      <c r="T3137" s="11"/>
      <c r="U3137" s="30">
        <v>0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161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161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0</v>
      </c>
      <c r="K3139" s="25"/>
      <c r="L3139" s="25"/>
      <c r="M3139" s="29">
        <v>0</v>
      </c>
      <c r="N3139" s="28">
        <v>0</v>
      </c>
      <c r="O3139" s="11"/>
      <c r="P3139" s="11"/>
      <c r="Q3139" s="11"/>
      <c r="R3139" s="11"/>
      <c r="S3139" s="11"/>
      <c r="T3139" s="11"/>
      <c r="U3139" s="30">
        <v>0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161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161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161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161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0</v>
      </c>
      <c r="K3143" s="25"/>
      <c r="L3143" s="25"/>
      <c r="M3143" s="29">
        <v>0</v>
      </c>
      <c r="N3143" s="28">
        <v>0</v>
      </c>
      <c r="O3143" s="11"/>
      <c r="P3143" s="11"/>
      <c r="Q3143" s="11"/>
      <c r="R3143" s="11"/>
      <c r="S3143" s="11"/>
      <c r="T3143" s="11"/>
      <c r="U3143" s="30">
        <v>0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161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161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0</v>
      </c>
      <c r="K3145" s="25"/>
      <c r="L3145" s="25"/>
      <c r="M3145" s="29">
        <v>0</v>
      </c>
      <c r="N3145" s="28">
        <v>0</v>
      </c>
      <c r="O3145" s="11"/>
      <c r="P3145" s="11"/>
      <c r="Q3145" s="11"/>
      <c r="R3145" s="11"/>
      <c r="S3145" s="11"/>
      <c r="T3145" s="11"/>
      <c r="U3145" s="30">
        <v>0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161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161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161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161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161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161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161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161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161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161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0</v>
      </c>
      <c r="K3155" s="25"/>
      <c r="L3155" s="25"/>
      <c r="M3155" s="29">
        <v>0</v>
      </c>
      <c r="N3155" s="28">
        <v>0</v>
      </c>
      <c r="O3155" s="11"/>
      <c r="P3155" s="11"/>
      <c r="Q3155" s="11"/>
      <c r="R3155" s="11"/>
      <c r="S3155" s="11"/>
      <c r="T3155" s="11"/>
      <c r="U3155" s="30">
        <v>0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161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161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0</v>
      </c>
      <c r="K3157" s="25"/>
      <c r="L3157" s="25"/>
      <c r="M3157" s="29">
        <v>0</v>
      </c>
      <c r="N3157" s="28">
        <v>0</v>
      </c>
      <c r="O3157" s="11"/>
      <c r="P3157" s="11"/>
      <c r="Q3157" s="11"/>
      <c r="R3157" s="11"/>
      <c r="S3157" s="11"/>
      <c r="T3157" s="11"/>
      <c r="U3157" s="30">
        <v>0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161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161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161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161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0</v>
      </c>
      <c r="K3161" s="25"/>
      <c r="L3161" s="25"/>
      <c r="M3161" s="29">
        <v>0</v>
      </c>
      <c r="N3161" s="28">
        <v>0</v>
      </c>
      <c r="O3161" s="11"/>
      <c r="P3161" s="11"/>
      <c r="Q3161" s="11"/>
      <c r="R3161" s="11"/>
      <c r="S3161" s="11"/>
      <c r="T3161" s="11"/>
      <c r="U3161" s="30">
        <v>0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161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161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0</v>
      </c>
      <c r="K3163" s="25"/>
      <c r="L3163" s="25"/>
      <c r="M3163" s="29">
        <v>0</v>
      </c>
      <c r="N3163" s="28">
        <v>0</v>
      </c>
      <c r="O3163" s="11"/>
      <c r="P3163" s="11"/>
      <c r="Q3163" s="11"/>
      <c r="R3163" s="11"/>
      <c r="S3163" s="11"/>
      <c r="T3163" s="11"/>
      <c r="U3163" s="30">
        <v>0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161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161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161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161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0</v>
      </c>
      <c r="K3167" s="25"/>
      <c r="L3167" s="25"/>
      <c r="M3167" s="29">
        <v>0</v>
      </c>
      <c r="N3167" s="28">
        <v>0</v>
      </c>
      <c r="O3167" s="11"/>
      <c r="P3167" s="11"/>
      <c r="Q3167" s="11"/>
      <c r="R3167" s="11"/>
      <c r="S3167" s="11"/>
      <c r="T3167" s="11"/>
      <c r="U3167" s="30">
        <v>0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161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161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0</v>
      </c>
      <c r="K3169" s="25"/>
      <c r="L3169" s="25"/>
      <c r="M3169" s="29">
        <v>0</v>
      </c>
      <c r="N3169" s="28">
        <v>0</v>
      </c>
      <c r="O3169" s="11"/>
      <c r="P3169" s="11"/>
      <c r="Q3169" s="11"/>
      <c r="R3169" s="11"/>
      <c r="S3169" s="11"/>
      <c r="T3169" s="11"/>
      <c r="U3169" s="30">
        <v>0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161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161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161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161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161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161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161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161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161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161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161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161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161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161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161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161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161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161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161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161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161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161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161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161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161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161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161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161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161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161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161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161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161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161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161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161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161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161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161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161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161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161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161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161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161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161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161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161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161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161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161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161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161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161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161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161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161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161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161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161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161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161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161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161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161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161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161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161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161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161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161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161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161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161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161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161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161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161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161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161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161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161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161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161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161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161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161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161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161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161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161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161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161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161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161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161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161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161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161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161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161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161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161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161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161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161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161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161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161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161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161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161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161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161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161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161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161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161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161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161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161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161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161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161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161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161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161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161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161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161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161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161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161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161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161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161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161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161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161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161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161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161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161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161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161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161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161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161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161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161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161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161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161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161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0</v>
      </c>
      <c r="K3323" s="25"/>
      <c r="L3323" s="25"/>
      <c r="M3323" s="29">
        <v>0</v>
      </c>
      <c r="N3323" s="28">
        <v>0</v>
      </c>
      <c r="O3323" s="11"/>
      <c r="P3323" s="11"/>
      <c r="Q3323" s="11"/>
      <c r="R3323" s="11"/>
      <c r="S3323" s="11"/>
      <c r="T3323" s="11"/>
      <c r="U3323" s="30">
        <v>0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161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0</v>
      </c>
      <c r="K3324" s="25"/>
      <c r="L3324" s="25"/>
      <c r="M3324" s="29">
        <v>0</v>
      </c>
      <c r="N3324" s="28">
        <v>0</v>
      </c>
      <c r="O3324" s="11"/>
      <c r="P3324" s="11"/>
      <c r="Q3324" s="11"/>
      <c r="R3324" s="11"/>
      <c r="S3324" s="11"/>
      <c r="T3324" s="11"/>
      <c r="U3324" s="30">
        <v>0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161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0</v>
      </c>
      <c r="K3325" s="25"/>
      <c r="L3325" s="25"/>
      <c r="M3325" s="29">
        <v>0</v>
      </c>
      <c r="N3325" s="28">
        <v>0</v>
      </c>
      <c r="O3325" s="11"/>
      <c r="P3325" s="11"/>
      <c r="Q3325" s="11"/>
      <c r="R3325" s="11"/>
      <c r="S3325" s="11"/>
      <c r="T3325" s="11"/>
      <c r="U3325" s="30">
        <v>0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161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0</v>
      </c>
      <c r="K3326" s="25"/>
      <c r="L3326" s="25"/>
      <c r="M3326" s="29">
        <v>0</v>
      </c>
      <c r="N3326" s="28">
        <v>0</v>
      </c>
      <c r="O3326" s="11"/>
      <c r="P3326" s="11"/>
      <c r="Q3326" s="11"/>
      <c r="R3326" s="11"/>
      <c r="S3326" s="11"/>
      <c r="T3326" s="11"/>
      <c r="U3326" s="30">
        <v>0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161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161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0</v>
      </c>
      <c r="K3328" s="25"/>
      <c r="L3328" s="25"/>
      <c r="M3328" s="29">
        <v>0</v>
      </c>
      <c r="N3328" s="28">
        <v>0</v>
      </c>
      <c r="O3328" s="11"/>
      <c r="P3328" s="11"/>
      <c r="Q3328" s="11"/>
      <c r="R3328" s="11"/>
      <c r="S3328" s="11"/>
      <c r="T3328" s="11"/>
      <c r="U3328" s="30">
        <v>0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161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0</v>
      </c>
      <c r="K3329" s="25"/>
      <c r="L3329" s="25"/>
      <c r="M3329" s="29">
        <v>0</v>
      </c>
      <c r="N3329" s="28">
        <v>0</v>
      </c>
      <c r="O3329" s="11"/>
      <c r="P3329" s="11"/>
      <c r="Q3329" s="11"/>
      <c r="R3329" s="11"/>
      <c r="S3329" s="11"/>
      <c r="T3329" s="11"/>
      <c r="U3329" s="30">
        <v>0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161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0</v>
      </c>
      <c r="K3330" s="25"/>
      <c r="L3330" s="25"/>
      <c r="M3330" s="29">
        <v>0</v>
      </c>
      <c r="N3330" s="28">
        <v>0</v>
      </c>
      <c r="O3330" s="11"/>
      <c r="P3330" s="11"/>
      <c r="Q3330" s="11"/>
      <c r="R3330" s="11"/>
      <c r="S3330" s="11"/>
      <c r="T3330" s="11"/>
      <c r="U3330" s="30">
        <v>0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161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161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0</v>
      </c>
      <c r="K3332" s="25"/>
      <c r="L3332" s="25"/>
      <c r="M3332" s="29">
        <v>0</v>
      </c>
      <c r="N3332" s="28">
        <v>0</v>
      </c>
      <c r="O3332" s="11"/>
      <c r="P3332" s="11"/>
      <c r="Q3332" s="11"/>
      <c r="R3332" s="11"/>
      <c r="S3332" s="11"/>
      <c r="T3332" s="11"/>
      <c r="U3332" s="30">
        <v>0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161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0</v>
      </c>
      <c r="K3333" s="25"/>
      <c r="L3333" s="25"/>
      <c r="M3333" s="29">
        <v>0</v>
      </c>
      <c r="N3333" s="28">
        <v>0</v>
      </c>
      <c r="O3333" s="11"/>
      <c r="P3333" s="11"/>
      <c r="Q3333" s="11"/>
      <c r="R3333" s="11"/>
      <c r="S3333" s="11"/>
      <c r="T3333" s="11"/>
      <c r="U3333" s="30">
        <v>0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161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0</v>
      </c>
      <c r="K3334" s="25"/>
      <c r="L3334" s="25"/>
      <c r="M3334" s="29">
        <v>0</v>
      </c>
      <c r="N3334" s="28">
        <v>0</v>
      </c>
      <c r="O3334" s="11"/>
      <c r="P3334" s="11"/>
      <c r="Q3334" s="11"/>
      <c r="R3334" s="11"/>
      <c r="S3334" s="11"/>
      <c r="T3334" s="11"/>
      <c r="U3334" s="30">
        <v>0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161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161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0</v>
      </c>
      <c r="K3336" s="25"/>
      <c r="L3336" s="25"/>
      <c r="M3336" s="29">
        <v>0</v>
      </c>
      <c r="N3336" s="28">
        <v>0</v>
      </c>
      <c r="O3336" s="11"/>
      <c r="P3336" s="11"/>
      <c r="Q3336" s="11"/>
      <c r="R3336" s="11"/>
      <c r="S3336" s="11"/>
      <c r="T3336" s="11"/>
      <c r="U3336" s="30">
        <v>0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161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0</v>
      </c>
      <c r="K3337" s="25"/>
      <c r="L3337" s="25"/>
      <c r="M3337" s="29">
        <v>0</v>
      </c>
      <c r="N3337" s="28">
        <v>0</v>
      </c>
      <c r="O3337" s="11"/>
      <c r="P3337" s="11"/>
      <c r="Q3337" s="11"/>
      <c r="R3337" s="11"/>
      <c r="S3337" s="11"/>
      <c r="T3337" s="11"/>
      <c r="U3337" s="30">
        <v>0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161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0</v>
      </c>
      <c r="K3338" s="25"/>
      <c r="L3338" s="25"/>
      <c r="M3338" s="29">
        <v>0</v>
      </c>
      <c r="N3338" s="28">
        <v>0</v>
      </c>
      <c r="O3338" s="11"/>
      <c r="P3338" s="11"/>
      <c r="Q3338" s="11"/>
      <c r="R3338" s="11"/>
      <c r="S3338" s="11"/>
      <c r="T3338" s="11"/>
      <c r="U3338" s="30">
        <v>0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161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161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0</v>
      </c>
      <c r="K3340" s="25"/>
      <c r="L3340" s="25"/>
      <c r="M3340" s="29">
        <v>0</v>
      </c>
      <c r="N3340" s="28">
        <v>0</v>
      </c>
      <c r="O3340" s="11"/>
      <c r="P3340" s="11"/>
      <c r="Q3340" s="11"/>
      <c r="R3340" s="11"/>
      <c r="S3340" s="11"/>
      <c r="T3340" s="11"/>
      <c r="U3340" s="30">
        <v>0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161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0</v>
      </c>
      <c r="K3341" s="25"/>
      <c r="L3341" s="25"/>
      <c r="M3341" s="29">
        <v>0</v>
      </c>
      <c r="N3341" s="28">
        <v>0</v>
      </c>
      <c r="O3341" s="11"/>
      <c r="P3341" s="11"/>
      <c r="Q3341" s="11"/>
      <c r="R3341" s="11"/>
      <c r="S3341" s="11"/>
      <c r="T3341" s="11"/>
      <c r="U3341" s="30">
        <v>0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161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0</v>
      </c>
      <c r="K3342" s="25"/>
      <c r="L3342" s="25"/>
      <c r="M3342" s="29">
        <v>0</v>
      </c>
      <c r="N3342" s="28">
        <v>0</v>
      </c>
      <c r="O3342" s="11"/>
      <c r="P3342" s="11"/>
      <c r="Q3342" s="11"/>
      <c r="R3342" s="11"/>
      <c r="S3342" s="11"/>
      <c r="T3342" s="11"/>
      <c r="U3342" s="30">
        <v>0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161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161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161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161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161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161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0</v>
      </c>
      <c r="K3348" s="25"/>
      <c r="L3348" s="25"/>
      <c r="M3348" s="29">
        <v>0</v>
      </c>
      <c r="N3348" s="28">
        <v>0</v>
      </c>
      <c r="O3348" s="11"/>
      <c r="P3348" s="11"/>
      <c r="Q3348" s="11"/>
      <c r="R3348" s="11"/>
      <c r="S3348" s="11"/>
      <c r="T3348" s="11"/>
      <c r="U3348" s="30">
        <v>0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161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0</v>
      </c>
      <c r="K3349" s="25"/>
      <c r="L3349" s="25"/>
      <c r="M3349" s="29">
        <v>0</v>
      </c>
      <c r="N3349" s="28">
        <v>0</v>
      </c>
      <c r="O3349" s="11"/>
      <c r="P3349" s="11"/>
      <c r="Q3349" s="11"/>
      <c r="R3349" s="11"/>
      <c r="S3349" s="11"/>
      <c r="T3349" s="11"/>
      <c r="U3349" s="30">
        <v>0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161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161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0</v>
      </c>
      <c r="K3351" s="25"/>
      <c r="L3351" s="25"/>
      <c r="M3351" s="29">
        <v>0</v>
      </c>
      <c r="N3351" s="28">
        <v>0</v>
      </c>
      <c r="O3351" s="11"/>
      <c r="P3351" s="11"/>
      <c r="Q3351" s="11"/>
      <c r="R3351" s="11"/>
      <c r="S3351" s="11"/>
      <c r="T3351" s="11"/>
      <c r="U3351" s="30">
        <v>0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161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0</v>
      </c>
      <c r="K3352" s="25"/>
      <c r="L3352" s="25"/>
      <c r="M3352" s="29">
        <v>0</v>
      </c>
      <c r="N3352" s="28">
        <v>0</v>
      </c>
      <c r="O3352" s="11"/>
      <c r="P3352" s="11"/>
      <c r="Q3352" s="11"/>
      <c r="R3352" s="11"/>
      <c r="S3352" s="11"/>
      <c r="T3352" s="11"/>
      <c r="U3352" s="30">
        <v>0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161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161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0</v>
      </c>
      <c r="K3354" s="25"/>
      <c r="L3354" s="25"/>
      <c r="M3354" s="29">
        <v>0</v>
      </c>
      <c r="N3354" s="28">
        <v>0</v>
      </c>
      <c r="O3354" s="11"/>
      <c r="P3354" s="11"/>
      <c r="Q3354" s="11"/>
      <c r="R3354" s="11"/>
      <c r="S3354" s="11"/>
      <c r="T3354" s="11"/>
      <c r="U3354" s="30">
        <v>0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161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0</v>
      </c>
      <c r="K3355" s="25"/>
      <c r="L3355" s="25"/>
      <c r="M3355" s="29">
        <v>0</v>
      </c>
      <c r="N3355" s="28">
        <v>0</v>
      </c>
      <c r="O3355" s="11"/>
      <c r="P3355" s="11"/>
      <c r="Q3355" s="11"/>
      <c r="R3355" s="11"/>
      <c r="S3355" s="11"/>
      <c r="T3355" s="11"/>
      <c r="U3355" s="30">
        <v>0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161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161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161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161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161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0</v>
      </c>
      <c r="K3360" s="25"/>
      <c r="L3360" s="25"/>
      <c r="M3360" s="29">
        <v>0</v>
      </c>
      <c r="N3360" s="28">
        <v>0</v>
      </c>
      <c r="O3360" s="11"/>
      <c r="P3360" s="11"/>
      <c r="Q3360" s="11"/>
      <c r="R3360" s="11"/>
      <c r="S3360" s="11"/>
      <c r="T3360" s="11"/>
      <c r="U3360" s="30">
        <v>0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161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0</v>
      </c>
      <c r="K3361" s="25"/>
      <c r="L3361" s="25"/>
      <c r="M3361" s="29">
        <v>0</v>
      </c>
      <c r="N3361" s="28">
        <v>0</v>
      </c>
      <c r="O3361" s="11"/>
      <c r="P3361" s="11"/>
      <c r="Q3361" s="11"/>
      <c r="R3361" s="11"/>
      <c r="S3361" s="11"/>
      <c r="T3361" s="11"/>
      <c r="U3361" s="30">
        <v>0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161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161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0</v>
      </c>
      <c r="K3363" s="25"/>
      <c r="L3363" s="25"/>
      <c r="M3363" s="29">
        <v>0</v>
      </c>
      <c r="N3363" s="28">
        <v>0</v>
      </c>
      <c r="O3363" s="11"/>
      <c r="P3363" s="11"/>
      <c r="Q3363" s="11"/>
      <c r="R3363" s="11"/>
      <c r="S3363" s="11"/>
      <c r="T3363" s="11"/>
      <c r="U3363" s="30">
        <v>0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161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0</v>
      </c>
      <c r="K3364" s="25"/>
      <c r="L3364" s="25"/>
      <c r="M3364" s="29">
        <v>0</v>
      </c>
      <c r="N3364" s="28">
        <v>0</v>
      </c>
      <c r="O3364" s="11"/>
      <c r="P3364" s="11"/>
      <c r="Q3364" s="11"/>
      <c r="R3364" s="11"/>
      <c r="S3364" s="11"/>
      <c r="T3364" s="11"/>
      <c r="U3364" s="30">
        <v>0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161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161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0</v>
      </c>
      <c r="K3366" s="25"/>
      <c r="L3366" s="25"/>
      <c r="M3366" s="29">
        <v>0</v>
      </c>
      <c r="N3366" s="28">
        <v>0</v>
      </c>
      <c r="O3366" s="11"/>
      <c r="P3366" s="11"/>
      <c r="Q3366" s="11"/>
      <c r="R3366" s="11"/>
      <c r="S3366" s="11"/>
      <c r="T3366" s="11"/>
      <c r="U3366" s="30">
        <v>0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161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0</v>
      </c>
      <c r="K3367" s="25"/>
      <c r="L3367" s="25"/>
      <c r="M3367" s="29">
        <v>0</v>
      </c>
      <c r="N3367" s="28">
        <v>0</v>
      </c>
      <c r="O3367" s="11"/>
      <c r="P3367" s="11"/>
      <c r="Q3367" s="11"/>
      <c r="R3367" s="11"/>
      <c r="S3367" s="11"/>
      <c r="T3367" s="11"/>
      <c r="U3367" s="30">
        <v>0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161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161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161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161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161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0</v>
      </c>
      <c r="K3372" s="25"/>
      <c r="L3372" s="25"/>
      <c r="M3372" s="29">
        <v>0</v>
      </c>
      <c r="N3372" s="28">
        <v>0</v>
      </c>
      <c r="O3372" s="11"/>
      <c r="P3372" s="11"/>
      <c r="Q3372" s="11"/>
      <c r="R3372" s="11"/>
      <c r="S3372" s="11"/>
      <c r="T3372" s="11"/>
      <c r="U3372" s="30">
        <v>0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161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0</v>
      </c>
      <c r="K3373" s="25"/>
      <c r="L3373" s="25"/>
      <c r="M3373" s="29">
        <v>0</v>
      </c>
      <c r="N3373" s="28">
        <v>0</v>
      </c>
      <c r="O3373" s="11"/>
      <c r="P3373" s="11"/>
      <c r="Q3373" s="11"/>
      <c r="R3373" s="11"/>
      <c r="S3373" s="11"/>
      <c r="T3373" s="11"/>
      <c r="U3373" s="30">
        <v>0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161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161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0</v>
      </c>
      <c r="K3375" s="25"/>
      <c r="L3375" s="25"/>
      <c r="M3375" s="29">
        <v>0</v>
      </c>
      <c r="N3375" s="28">
        <v>0</v>
      </c>
      <c r="O3375" s="11"/>
      <c r="P3375" s="11"/>
      <c r="Q3375" s="11"/>
      <c r="R3375" s="11"/>
      <c r="S3375" s="11"/>
      <c r="T3375" s="11"/>
      <c r="U3375" s="30">
        <v>0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161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0</v>
      </c>
      <c r="K3376" s="25"/>
      <c r="L3376" s="25"/>
      <c r="M3376" s="29">
        <v>0</v>
      </c>
      <c r="N3376" s="28">
        <v>0</v>
      </c>
      <c r="O3376" s="11"/>
      <c r="P3376" s="11"/>
      <c r="Q3376" s="11"/>
      <c r="R3376" s="11"/>
      <c r="S3376" s="11"/>
      <c r="T3376" s="11"/>
      <c r="U3376" s="30">
        <v>0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161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161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0</v>
      </c>
      <c r="K3378" s="25"/>
      <c r="L3378" s="25"/>
      <c r="M3378" s="29">
        <v>0</v>
      </c>
      <c r="N3378" s="28">
        <v>0</v>
      </c>
      <c r="O3378" s="11"/>
      <c r="P3378" s="11"/>
      <c r="Q3378" s="11"/>
      <c r="R3378" s="11"/>
      <c r="S3378" s="11"/>
      <c r="T3378" s="11"/>
      <c r="U3378" s="30">
        <v>0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161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0</v>
      </c>
      <c r="K3379" s="25"/>
      <c r="L3379" s="25"/>
      <c r="M3379" s="29">
        <v>0</v>
      </c>
      <c r="N3379" s="28">
        <v>0</v>
      </c>
      <c r="O3379" s="11"/>
      <c r="P3379" s="11"/>
      <c r="Q3379" s="11"/>
      <c r="R3379" s="11"/>
      <c r="S3379" s="11"/>
      <c r="T3379" s="11"/>
      <c r="U3379" s="30">
        <v>0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161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161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161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161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161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0</v>
      </c>
      <c r="K3384" s="25"/>
      <c r="L3384" s="25"/>
      <c r="M3384" s="29">
        <v>0</v>
      </c>
      <c r="N3384" s="28">
        <v>0</v>
      </c>
      <c r="O3384" s="11"/>
      <c r="P3384" s="11"/>
      <c r="Q3384" s="11"/>
      <c r="R3384" s="11"/>
      <c r="S3384" s="11"/>
      <c r="T3384" s="11"/>
      <c r="U3384" s="30">
        <v>0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161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0</v>
      </c>
      <c r="K3385" s="25"/>
      <c r="L3385" s="25"/>
      <c r="M3385" s="29">
        <v>0</v>
      </c>
      <c r="N3385" s="28">
        <v>0</v>
      </c>
      <c r="O3385" s="11"/>
      <c r="P3385" s="11"/>
      <c r="Q3385" s="11"/>
      <c r="R3385" s="11"/>
      <c r="S3385" s="11"/>
      <c r="T3385" s="11"/>
      <c r="U3385" s="30">
        <v>0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161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161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0</v>
      </c>
      <c r="K3387" s="25"/>
      <c r="L3387" s="25"/>
      <c r="M3387" s="29">
        <v>0</v>
      </c>
      <c r="N3387" s="28">
        <v>0</v>
      </c>
      <c r="O3387" s="11"/>
      <c r="P3387" s="11"/>
      <c r="Q3387" s="11"/>
      <c r="R3387" s="11"/>
      <c r="S3387" s="11"/>
      <c r="T3387" s="11"/>
      <c r="U3387" s="30">
        <v>0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161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0</v>
      </c>
      <c r="K3388" s="25"/>
      <c r="L3388" s="25"/>
      <c r="M3388" s="29">
        <v>0</v>
      </c>
      <c r="N3388" s="28">
        <v>0</v>
      </c>
      <c r="O3388" s="11"/>
      <c r="P3388" s="11"/>
      <c r="Q3388" s="11"/>
      <c r="R3388" s="11"/>
      <c r="S3388" s="11"/>
      <c r="T3388" s="11"/>
      <c r="U3388" s="30">
        <v>0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161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161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0</v>
      </c>
      <c r="K3390" s="25"/>
      <c r="L3390" s="25"/>
      <c r="M3390" s="29">
        <v>0</v>
      </c>
      <c r="N3390" s="28">
        <v>0</v>
      </c>
      <c r="O3390" s="11"/>
      <c r="P3390" s="11"/>
      <c r="Q3390" s="11"/>
      <c r="R3390" s="11"/>
      <c r="S3390" s="11"/>
      <c r="T3390" s="11"/>
      <c r="U3390" s="30">
        <v>0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161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0</v>
      </c>
      <c r="K3391" s="25"/>
      <c r="L3391" s="25"/>
      <c r="M3391" s="29">
        <v>0</v>
      </c>
      <c r="N3391" s="28">
        <v>0</v>
      </c>
      <c r="O3391" s="11"/>
      <c r="P3391" s="11"/>
      <c r="Q3391" s="11"/>
      <c r="R3391" s="11"/>
      <c r="S3391" s="11"/>
      <c r="T3391" s="11"/>
      <c r="U3391" s="30">
        <v>0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161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161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161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161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161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161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161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161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161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161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161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161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161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161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161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161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161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0</v>
      </c>
      <c r="K3408" s="25"/>
      <c r="L3408" s="25"/>
      <c r="M3408" s="29">
        <v>0</v>
      </c>
      <c r="N3408" s="28">
        <v>0</v>
      </c>
      <c r="O3408" s="11"/>
      <c r="P3408" s="11"/>
      <c r="Q3408" s="11"/>
      <c r="R3408" s="11"/>
      <c r="S3408" s="11"/>
      <c r="T3408" s="11"/>
      <c r="U3408" s="30">
        <v>0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161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161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0</v>
      </c>
      <c r="K3410" s="25"/>
      <c r="L3410" s="25"/>
      <c r="M3410" s="29">
        <v>0</v>
      </c>
      <c r="N3410" s="28">
        <v>0</v>
      </c>
      <c r="O3410" s="11"/>
      <c r="P3410" s="11"/>
      <c r="Q3410" s="11"/>
      <c r="R3410" s="11"/>
      <c r="S3410" s="11"/>
      <c r="T3410" s="11"/>
      <c r="U3410" s="30">
        <v>0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161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161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161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161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0</v>
      </c>
      <c r="K3414" s="25"/>
      <c r="L3414" s="25"/>
      <c r="M3414" s="29">
        <v>0</v>
      </c>
      <c r="N3414" s="28">
        <v>0</v>
      </c>
      <c r="O3414" s="11"/>
      <c r="P3414" s="11"/>
      <c r="Q3414" s="11"/>
      <c r="R3414" s="11"/>
      <c r="S3414" s="11"/>
      <c r="T3414" s="11"/>
      <c r="U3414" s="30">
        <v>0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161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161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0</v>
      </c>
      <c r="K3416" s="25"/>
      <c r="L3416" s="25"/>
      <c r="M3416" s="29">
        <v>0</v>
      </c>
      <c r="N3416" s="28">
        <v>0</v>
      </c>
      <c r="O3416" s="11"/>
      <c r="P3416" s="11"/>
      <c r="Q3416" s="11"/>
      <c r="R3416" s="11"/>
      <c r="S3416" s="11"/>
      <c r="T3416" s="11"/>
      <c r="U3416" s="30">
        <v>0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161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161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161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161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0</v>
      </c>
      <c r="K3420" s="25"/>
      <c r="L3420" s="25"/>
      <c r="M3420" s="29">
        <v>0</v>
      </c>
      <c r="N3420" s="28">
        <v>0</v>
      </c>
      <c r="O3420" s="11"/>
      <c r="P3420" s="11"/>
      <c r="Q3420" s="11"/>
      <c r="R3420" s="11"/>
      <c r="S3420" s="11"/>
      <c r="T3420" s="11"/>
      <c r="U3420" s="30">
        <v>0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161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161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0</v>
      </c>
      <c r="K3422" s="25"/>
      <c r="L3422" s="25"/>
      <c r="M3422" s="29">
        <v>0</v>
      </c>
      <c r="N3422" s="28">
        <v>0</v>
      </c>
      <c r="O3422" s="11"/>
      <c r="P3422" s="11"/>
      <c r="Q3422" s="11"/>
      <c r="R3422" s="11"/>
      <c r="S3422" s="11"/>
      <c r="T3422" s="11"/>
      <c r="U3422" s="30">
        <v>0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161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161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161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161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161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161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161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161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161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161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0</v>
      </c>
      <c r="K3432" s="25"/>
      <c r="L3432" s="25"/>
      <c r="M3432" s="29">
        <v>0</v>
      </c>
      <c r="N3432" s="28">
        <v>0</v>
      </c>
      <c r="O3432" s="11"/>
      <c r="P3432" s="11"/>
      <c r="Q3432" s="11"/>
      <c r="R3432" s="11"/>
      <c r="S3432" s="11"/>
      <c r="T3432" s="11"/>
      <c r="U3432" s="30">
        <v>0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161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161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0</v>
      </c>
      <c r="K3434" s="25"/>
      <c r="L3434" s="25"/>
      <c r="M3434" s="29">
        <v>0</v>
      </c>
      <c r="N3434" s="28">
        <v>0</v>
      </c>
      <c r="O3434" s="11"/>
      <c r="P3434" s="11"/>
      <c r="Q3434" s="11"/>
      <c r="R3434" s="11"/>
      <c r="S3434" s="11"/>
      <c r="T3434" s="11"/>
      <c r="U3434" s="30">
        <v>0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161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161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161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161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0</v>
      </c>
      <c r="K3438" s="25"/>
      <c r="L3438" s="25"/>
      <c r="M3438" s="29">
        <v>0</v>
      </c>
      <c r="N3438" s="28">
        <v>0</v>
      </c>
      <c r="O3438" s="11"/>
      <c r="P3438" s="11"/>
      <c r="Q3438" s="11"/>
      <c r="R3438" s="11"/>
      <c r="S3438" s="11"/>
      <c r="T3438" s="11"/>
      <c r="U3438" s="30">
        <v>0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161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161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0</v>
      </c>
      <c r="K3440" s="25"/>
      <c r="L3440" s="25"/>
      <c r="M3440" s="29">
        <v>0</v>
      </c>
      <c r="N3440" s="28">
        <v>0</v>
      </c>
      <c r="O3440" s="11"/>
      <c r="P3440" s="11"/>
      <c r="Q3440" s="11"/>
      <c r="R3440" s="11"/>
      <c r="S3440" s="11"/>
      <c r="T3440" s="11"/>
      <c r="U3440" s="30">
        <v>0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161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161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161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161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0</v>
      </c>
      <c r="K3444" s="25"/>
      <c r="L3444" s="25"/>
      <c r="M3444" s="29">
        <v>0</v>
      </c>
      <c r="N3444" s="28">
        <v>0</v>
      </c>
      <c r="O3444" s="11"/>
      <c r="P3444" s="11"/>
      <c r="Q3444" s="11"/>
      <c r="R3444" s="11"/>
      <c r="S3444" s="11"/>
      <c r="T3444" s="11"/>
      <c r="U3444" s="30">
        <v>0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161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161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0</v>
      </c>
      <c r="K3446" s="25"/>
      <c r="L3446" s="25"/>
      <c r="M3446" s="29">
        <v>0</v>
      </c>
      <c r="N3446" s="28">
        <v>0</v>
      </c>
      <c r="O3446" s="11"/>
      <c r="P3446" s="11"/>
      <c r="Q3446" s="11"/>
      <c r="R3446" s="11"/>
      <c r="S3446" s="11"/>
      <c r="T3446" s="11"/>
      <c r="U3446" s="30">
        <v>0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161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161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161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161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161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161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161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161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161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161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0</v>
      </c>
      <c r="K3456" s="25"/>
      <c r="L3456" s="25"/>
      <c r="M3456" s="29">
        <v>0</v>
      </c>
      <c r="N3456" s="28">
        <v>0</v>
      </c>
      <c r="O3456" s="11"/>
      <c r="P3456" s="11"/>
      <c r="Q3456" s="11"/>
      <c r="R3456" s="11"/>
      <c r="S3456" s="11"/>
      <c r="T3456" s="11"/>
      <c r="U3456" s="30">
        <v>0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161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161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0</v>
      </c>
      <c r="K3458" s="25"/>
      <c r="L3458" s="25"/>
      <c r="M3458" s="29">
        <v>0</v>
      </c>
      <c r="N3458" s="28">
        <v>0</v>
      </c>
      <c r="O3458" s="11"/>
      <c r="P3458" s="11"/>
      <c r="Q3458" s="11"/>
      <c r="R3458" s="11"/>
      <c r="S3458" s="11"/>
      <c r="T3458" s="11"/>
      <c r="U3458" s="30">
        <v>0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161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161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161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161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0</v>
      </c>
      <c r="K3462" s="25"/>
      <c r="L3462" s="25"/>
      <c r="M3462" s="29">
        <v>0</v>
      </c>
      <c r="N3462" s="28">
        <v>0</v>
      </c>
      <c r="O3462" s="11"/>
      <c r="P3462" s="11"/>
      <c r="Q3462" s="11"/>
      <c r="R3462" s="11"/>
      <c r="S3462" s="11"/>
      <c r="T3462" s="11"/>
      <c r="U3462" s="30">
        <v>0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161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161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0</v>
      </c>
      <c r="K3464" s="25"/>
      <c r="L3464" s="25"/>
      <c r="M3464" s="29">
        <v>0</v>
      </c>
      <c r="N3464" s="28">
        <v>0</v>
      </c>
      <c r="O3464" s="11"/>
      <c r="P3464" s="11"/>
      <c r="Q3464" s="11"/>
      <c r="R3464" s="11"/>
      <c r="S3464" s="11"/>
      <c r="T3464" s="11"/>
      <c r="U3464" s="30">
        <v>0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161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161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161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161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0</v>
      </c>
      <c r="K3468" s="25"/>
      <c r="L3468" s="25"/>
      <c r="M3468" s="29">
        <v>0</v>
      </c>
      <c r="N3468" s="28">
        <v>0</v>
      </c>
      <c r="O3468" s="11"/>
      <c r="P3468" s="11"/>
      <c r="Q3468" s="11"/>
      <c r="R3468" s="11"/>
      <c r="S3468" s="11"/>
      <c r="T3468" s="11"/>
      <c r="U3468" s="30">
        <v>0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161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161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0</v>
      </c>
      <c r="K3470" s="25"/>
      <c r="L3470" s="25"/>
      <c r="M3470" s="29">
        <v>0</v>
      </c>
      <c r="N3470" s="28">
        <v>0</v>
      </c>
      <c r="O3470" s="11"/>
      <c r="P3470" s="11"/>
      <c r="Q3470" s="11"/>
      <c r="R3470" s="11"/>
      <c r="S3470" s="11"/>
      <c r="T3470" s="11"/>
      <c r="U3470" s="30">
        <v>0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161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161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161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161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161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161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161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161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161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161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0</v>
      </c>
      <c r="K3480" s="25"/>
      <c r="L3480" s="25"/>
      <c r="M3480" s="29">
        <v>0</v>
      </c>
      <c r="N3480" s="28">
        <v>0</v>
      </c>
      <c r="O3480" s="11"/>
      <c r="P3480" s="11"/>
      <c r="Q3480" s="11"/>
      <c r="R3480" s="11"/>
      <c r="S3480" s="11"/>
      <c r="T3480" s="11"/>
      <c r="U3480" s="30">
        <v>0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161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161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0</v>
      </c>
      <c r="K3482" s="25"/>
      <c r="L3482" s="25"/>
      <c r="M3482" s="29">
        <v>0</v>
      </c>
      <c r="N3482" s="28">
        <v>0</v>
      </c>
      <c r="O3482" s="11"/>
      <c r="P3482" s="11"/>
      <c r="Q3482" s="11"/>
      <c r="R3482" s="11"/>
      <c r="S3482" s="11"/>
      <c r="T3482" s="11"/>
      <c r="U3482" s="30">
        <v>0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161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161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161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161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0</v>
      </c>
      <c r="K3486" s="25"/>
      <c r="L3486" s="25"/>
      <c r="M3486" s="29">
        <v>0</v>
      </c>
      <c r="N3486" s="28">
        <v>0</v>
      </c>
      <c r="O3486" s="11"/>
      <c r="P3486" s="11"/>
      <c r="Q3486" s="11"/>
      <c r="R3486" s="11"/>
      <c r="S3486" s="11"/>
      <c r="T3486" s="11"/>
      <c r="U3486" s="30">
        <v>0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161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161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0</v>
      </c>
      <c r="K3488" s="25"/>
      <c r="L3488" s="25"/>
      <c r="M3488" s="29">
        <v>0</v>
      </c>
      <c r="N3488" s="28">
        <v>0</v>
      </c>
      <c r="O3488" s="11"/>
      <c r="P3488" s="11"/>
      <c r="Q3488" s="11"/>
      <c r="R3488" s="11"/>
      <c r="S3488" s="11"/>
      <c r="T3488" s="11"/>
      <c r="U3488" s="30">
        <v>0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161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161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161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161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0</v>
      </c>
      <c r="K3492" s="25"/>
      <c r="L3492" s="25"/>
      <c r="M3492" s="29">
        <v>0</v>
      </c>
      <c r="N3492" s="28">
        <v>0</v>
      </c>
      <c r="O3492" s="11"/>
      <c r="P3492" s="11"/>
      <c r="Q3492" s="11"/>
      <c r="R3492" s="11"/>
      <c r="S3492" s="11"/>
      <c r="T3492" s="11"/>
      <c r="U3492" s="30">
        <v>0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161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161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0</v>
      </c>
      <c r="K3494" s="25"/>
      <c r="L3494" s="25"/>
      <c r="M3494" s="29">
        <v>0</v>
      </c>
      <c r="N3494" s="28">
        <v>0</v>
      </c>
      <c r="O3494" s="11"/>
      <c r="P3494" s="11"/>
      <c r="Q3494" s="11"/>
      <c r="R3494" s="11"/>
      <c r="S3494" s="11"/>
      <c r="T3494" s="11"/>
      <c r="U3494" s="30">
        <v>0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161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161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161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161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161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161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161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161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161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161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161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161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161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161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161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161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161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161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161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161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161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161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161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161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161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161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161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161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161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161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161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161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161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161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161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161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161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161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161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161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161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161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161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161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161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161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161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161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161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161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161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161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161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161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161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161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161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161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161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161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161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161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161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161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161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161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161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161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161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161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161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161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161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161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161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161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161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161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161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161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161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161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161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161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161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161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161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161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161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161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161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161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161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161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161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161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161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161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161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161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161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161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161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161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161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161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161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161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161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161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161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161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161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161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161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161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161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161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161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161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161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161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161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161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161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161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161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161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161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161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161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161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161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161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161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161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161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161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161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161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161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161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161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161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161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161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161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161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161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161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161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161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161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161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161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161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161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161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0</v>
      </c>
      <c r="K3652" s="25"/>
      <c r="L3652" s="25"/>
      <c r="M3652" s="29">
        <v>0</v>
      </c>
      <c r="N3652" s="28">
        <v>0</v>
      </c>
      <c r="O3652" s="11"/>
      <c r="P3652" s="11"/>
      <c r="Q3652" s="11"/>
      <c r="R3652" s="11"/>
      <c r="S3652" s="11"/>
      <c r="T3652" s="11"/>
      <c r="U3652" s="30">
        <v>0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161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161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161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161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0</v>
      </c>
      <c r="K3656" s="25"/>
      <c r="L3656" s="25"/>
      <c r="M3656" s="29">
        <v>0</v>
      </c>
      <c r="N3656" s="28">
        <v>0</v>
      </c>
      <c r="O3656" s="11"/>
      <c r="P3656" s="11"/>
      <c r="Q3656" s="11"/>
      <c r="R3656" s="11"/>
      <c r="S3656" s="11"/>
      <c r="T3656" s="11"/>
      <c r="U3656" s="30">
        <v>0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161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161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161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161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0</v>
      </c>
      <c r="K3660" s="25"/>
      <c r="L3660" s="25"/>
      <c r="M3660" s="29">
        <v>0</v>
      </c>
      <c r="N3660" s="28">
        <v>0</v>
      </c>
      <c r="O3660" s="11"/>
      <c r="P3660" s="11"/>
      <c r="Q3660" s="11"/>
      <c r="R3660" s="11"/>
      <c r="S3660" s="11"/>
      <c r="T3660" s="11"/>
      <c r="U3660" s="30">
        <v>0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161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161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161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161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0</v>
      </c>
      <c r="K3664" s="25"/>
      <c r="L3664" s="25"/>
      <c r="M3664" s="29">
        <v>0</v>
      </c>
      <c r="N3664" s="28">
        <v>0</v>
      </c>
      <c r="O3664" s="11"/>
      <c r="P3664" s="11"/>
      <c r="Q3664" s="11"/>
      <c r="R3664" s="11"/>
      <c r="S3664" s="11"/>
      <c r="T3664" s="11"/>
      <c r="U3664" s="30">
        <v>0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161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161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161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161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0</v>
      </c>
      <c r="K3668" s="25"/>
      <c r="L3668" s="25"/>
      <c r="M3668" s="29">
        <v>0</v>
      </c>
      <c r="N3668" s="28">
        <v>0</v>
      </c>
      <c r="O3668" s="11"/>
      <c r="P3668" s="11"/>
      <c r="Q3668" s="11"/>
      <c r="R3668" s="11"/>
      <c r="S3668" s="11"/>
      <c r="T3668" s="11"/>
      <c r="U3668" s="30">
        <v>0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161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161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161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161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161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161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161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0</v>
      </c>
      <c r="K3675" s="25"/>
      <c r="L3675" s="25"/>
      <c r="M3675" s="29">
        <v>0</v>
      </c>
      <c r="N3675" s="28">
        <v>0</v>
      </c>
      <c r="O3675" s="11"/>
      <c r="P3675" s="11"/>
      <c r="Q3675" s="11"/>
      <c r="R3675" s="11"/>
      <c r="S3675" s="11"/>
      <c r="T3675" s="11"/>
      <c r="U3675" s="30">
        <v>0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161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161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161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0</v>
      </c>
      <c r="K3678" s="25"/>
      <c r="L3678" s="25"/>
      <c r="M3678" s="29">
        <v>0</v>
      </c>
      <c r="N3678" s="28">
        <v>0</v>
      </c>
      <c r="O3678" s="11"/>
      <c r="P3678" s="11"/>
      <c r="Q3678" s="11"/>
      <c r="R3678" s="11"/>
      <c r="S3678" s="11"/>
      <c r="T3678" s="11"/>
      <c r="U3678" s="30">
        <v>0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161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161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161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0</v>
      </c>
      <c r="K3681" s="25"/>
      <c r="L3681" s="25"/>
      <c r="M3681" s="29">
        <v>0</v>
      </c>
      <c r="N3681" s="28">
        <v>0</v>
      </c>
      <c r="O3681" s="11"/>
      <c r="P3681" s="11"/>
      <c r="Q3681" s="11"/>
      <c r="R3681" s="11"/>
      <c r="S3681" s="11"/>
      <c r="T3681" s="11"/>
      <c r="U3681" s="30">
        <v>0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161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161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161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161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161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161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0</v>
      </c>
      <c r="K3687" s="25"/>
      <c r="L3687" s="25"/>
      <c r="M3687" s="29">
        <v>0</v>
      </c>
      <c r="N3687" s="28">
        <v>0</v>
      </c>
      <c r="O3687" s="11"/>
      <c r="P3687" s="11"/>
      <c r="Q3687" s="11"/>
      <c r="R3687" s="11"/>
      <c r="S3687" s="11"/>
      <c r="T3687" s="11"/>
      <c r="U3687" s="30">
        <v>0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161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161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161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0</v>
      </c>
      <c r="K3690" s="25"/>
      <c r="L3690" s="25"/>
      <c r="M3690" s="29">
        <v>0</v>
      </c>
      <c r="N3690" s="28">
        <v>0</v>
      </c>
      <c r="O3690" s="11"/>
      <c r="P3690" s="11"/>
      <c r="Q3690" s="11"/>
      <c r="R3690" s="11"/>
      <c r="S3690" s="11"/>
      <c r="T3690" s="11"/>
      <c r="U3690" s="30">
        <v>0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161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161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161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0</v>
      </c>
      <c r="K3693" s="25"/>
      <c r="L3693" s="25"/>
      <c r="M3693" s="29">
        <v>0</v>
      </c>
      <c r="N3693" s="28">
        <v>0</v>
      </c>
      <c r="O3693" s="11"/>
      <c r="P3693" s="11"/>
      <c r="Q3693" s="11"/>
      <c r="R3693" s="11"/>
      <c r="S3693" s="11"/>
      <c r="T3693" s="11"/>
      <c r="U3693" s="30">
        <v>0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161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161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161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161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161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161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0</v>
      </c>
      <c r="K3699" s="25"/>
      <c r="L3699" s="25"/>
      <c r="M3699" s="29">
        <v>0</v>
      </c>
      <c r="N3699" s="28">
        <v>0</v>
      </c>
      <c r="O3699" s="11"/>
      <c r="P3699" s="11"/>
      <c r="Q3699" s="11"/>
      <c r="R3699" s="11"/>
      <c r="S3699" s="11"/>
      <c r="T3699" s="11"/>
      <c r="U3699" s="30">
        <v>0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161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161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161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0</v>
      </c>
      <c r="K3702" s="25"/>
      <c r="L3702" s="25"/>
      <c r="M3702" s="29">
        <v>0</v>
      </c>
      <c r="N3702" s="28">
        <v>0</v>
      </c>
      <c r="O3702" s="11"/>
      <c r="P3702" s="11"/>
      <c r="Q3702" s="11"/>
      <c r="R3702" s="11"/>
      <c r="S3702" s="11"/>
      <c r="T3702" s="11"/>
      <c r="U3702" s="30">
        <v>0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161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161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161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0</v>
      </c>
      <c r="K3705" s="25"/>
      <c r="L3705" s="25"/>
      <c r="M3705" s="29">
        <v>0</v>
      </c>
      <c r="N3705" s="28">
        <v>0</v>
      </c>
      <c r="O3705" s="11"/>
      <c r="P3705" s="11"/>
      <c r="Q3705" s="11"/>
      <c r="R3705" s="11"/>
      <c r="S3705" s="11"/>
      <c r="T3705" s="11"/>
      <c r="U3705" s="30">
        <v>0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161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161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161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161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161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161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0</v>
      </c>
      <c r="K3711" s="25"/>
      <c r="L3711" s="25"/>
      <c r="M3711" s="29">
        <v>0</v>
      </c>
      <c r="N3711" s="28">
        <v>0</v>
      </c>
      <c r="O3711" s="11"/>
      <c r="P3711" s="11"/>
      <c r="Q3711" s="11"/>
      <c r="R3711" s="11"/>
      <c r="S3711" s="11"/>
      <c r="T3711" s="11"/>
      <c r="U3711" s="30">
        <v>0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161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161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161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0</v>
      </c>
      <c r="K3714" s="25"/>
      <c r="L3714" s="25"/>
      <c r="M3714" s="29">
        <v>0</v>
      </c>
      <c r="N3714" s="28">
        <v>0</v>
      </c>
      <c r="O3714" s="11"/>
      <c r="P3714" s="11"/>
      <c r="Q3714" s="11"/>
      <c r="R3714" s="11"/>
      <c r="S3714" s="11"/>
      <c r="T3714" s="11"/>
      <c r="U3714" s="30">
        <v>0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161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161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161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0</v>
      </c>
      <c r="K3717" s="25"/>
      <c r="L3717" s="25"/>
      <c r="M3717" s="29">
        <v>0</v>
      </c>
      <c r="N3717" s="28">
        <v>0</v>
      </c>
      <c r="O3717" s="11"/>
      <c r="P3717" s="11"/>
      <c r="Q3717" s="11"/>
      <c r="R3717" s="11"/>
      <c r="S3717" s="11"/>
      <c r="T3717" s="11"/>
      <c r="U3717" s="30">
        <v>0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161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161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161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161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161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161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161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161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161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161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161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161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161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161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161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161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161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0</v>
      </c>
      <c r="K3734" s="25"/>
      <c r="L3734" s="25"/>
      <c r="M3734" s="29">
        <v>0</v>
      </c>
      <c r="N3734" s="28">
        <v>0</v>
      </c>
      <c r="O3734" s="11"/>
      <c r="P3734" s="11"/>
      <c r="Q3734" s="11"/>
      <c r="R3734" s="11"/>
      <c r="S3734" s="11"/>
      <c r="T3734" s="11"/>
      <c r="U3734" s="30">
        <v>0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161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161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0</v>
      </c>
      <c r="K3736" s="25"/>
      <c r="L3736" s="25"/>
      <c r="M3736" s="29">
        <v>0</v>
      </c>
      <c r="N3736" s="28">
        <v>0</v>
      </c>
      <c r="O3736" s="11"/>
      <c r="P3736" s="11"/>
      <c r="Q3736" s="11"/>
      <c r="R3736" s="11"/>
      <c r="S3736" s="11"/>
      <c r="T3736" s="11"/>
      <c r="U3736" s="30">
        <v>0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161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161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161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161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0</v>
      </c>
      <c r="K3740" s="25"/>
      <c r="L3740" s="25"/>
      <c r="M3740" s="29">
        <v>0</v>
      </c>
      <c r="N3740" s="28">
        <v>0</v>
      </c>
      <c r="O3740" s="11"/>
      <c r="P3740" s="11"/>
      <c r="Q3740" s="11"/>
      <c r="R3740" s="11"/>
      <c r="S3740" s="11"/>
      <c r="T3740" s="11"/>
      <c r="U3740" s="30">
        <v>0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161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161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0</v>
      </c>
      <c r="K3742" s="25"/>
      <c r="L3742" s="25"/>
      <c r="M3742" s="29">
        <v>0</v>
      </c>
      <c r="N3742" s="28">
        <v>0</v>
      </c>
      <c r="O3742" s="11"/>
      <c r="P3742" s="11"/>
      <c r="Q3742" s="11"/>
      <c r="R3742" s="11"/>
      <c r="S3742" s="11"/>
      <c r="T3742" s="11"/>
      <c r="U3742" s="30">
        <v>0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161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161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161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161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0</v>
      </c>
      <c r="K3746" s="25"/>
      <c r="L3746" s="25"/>
      <c r="M3746" s="29">
        <v>0</v>
      </c>
      <c r="N3746" s="28">
        <v>0</v>
      </c>
      <c r="O3746" s="11"/>
      <c r="P3746" s="11"/>
      <c r="Q3746" s="11"/>
      <c r="R3746" s="11"/>
      <c r="S3746" s="11"/>
      <c r="T3746" s="11"/>
      <c r="U3746" s="30">
        <v>0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161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161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0</v>
      </c>
      <c r="K3748" s="25"/>
      <c r="L3748" s="25"/>
      <c r="M3748" s="29">
        <v>0</v>
      </c>
      <c r="N3748" s="28">
        <v>0</v>
      </c>
      <c r="O3748" s="11"/>
      <c r="P3748" s="11"/>
      <c r="Q3748" s="11"/>
      <c r="R3748" s="11"/>
      <c r="S3748" s="11"/>
      <c r="T3748" s="11"/>
      <c r="U3748" s="30">
        <v>0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161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161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161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161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161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161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161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161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161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161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0</v>
      </c>
      <c r="K3758" s="25"/>
      <c r="L3758" s="25"/>
      <c r="M3758" s="29">
        <v>0</v>
      </c>
      <c r="N3758" s="28">
        <v>0</v>
      </c>
      <c r="O3758" s="11"/>
      <c r="P3758" s="11"/>
      <c r="Q3758" s="11"/>
      <c r="R3758" s="11"/>
      <c r="S3758" s="11"/>
      <c r="T3758" s="11"/>
      <c r="U3758" s="30">
        <v>0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161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161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0</v>
      </c>
      <c r="K3760" s="25"/>
      <c r="L3760" s="25"/>
      <c r="M3760" s="29">
        <v>0</v>
      </c>
      <c r="N3760" s="28">
        <v>0</v>
      </c>
      <c r="O3760" s="11"/>
      <c r="P3760" s="11"/>
      <c r="Q3760" s="11"/>
      <c r="R3760" s="11"/>
      <c r="S3760" s="11"/>
      <c r="T3760" s="11"/>
      <c r="U3760" s="30">
        <v>0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161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161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161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161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0</v>
      </c>
      <c r="K3764" s="25"/>
      <c r="L3764" s="25"/>
      <c r="M3764" s="29">
        <v>0</v>
      </c>
      <c r="N3764" s="28">
        <v>0</v>
      </c>
      <c r="O3764" s="11"/>
      <c r="P3764" s="11"/>
      <c r="Q3764" s="11"/>
      <c r="R3764" s="11"/>
      <c r="S3764" s="11"/>
      <c r="T3764" s="11"/>
      <c r="U3764" s="30">
        <v>0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161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161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0</v>
      </c>
      <c r="K3766" s="25"/>
      <c r="L3766" s="25"/>
      <c r="M3766" s="29">
        <v>0</v>
      </c>
      <c r="N3766" s="28">
        <v>0</v>
      </c>
      <c r="O3766" s="11"/>
      <c r="P3766" s="11"/>
      <c r="Q3766" s="11"/>
      <c r="R3766" s="11"/>
      <c r="S3766" s="11"/>
      <c r="T3766" s="11"/>
      <c r="U3766" s="30">
        <v>0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161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161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161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161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0</v>
      </c>
      <c r="K3770" s="25"/>
      <c r="L3770" s="25"/>
      <c r="M3770" s="29">
        <v>0</v>
      </c>
      <c r="N3770" s="28">
        <v>0</v>
      </c>
      <c r="O3770" s="11"/>
      <c r="P3770" s="11"/>
      <c r="Q3770" s="11"/>
      <c r="R3770" s="11"/>
      <c r="S3770" s="11"/>
      <c r="T3770" s="11"/>
      <c r="U3770" s="30">
        <v>0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161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161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0</v>
      </c>
      <c r="K3772" s="25"/>
      <c r="L3772" s="25"/>
      <c r="M3772" s="29">
        <v>0</v>
      </c>
      <c r="N3772" s="28">
        <v>0</v>
      </c>
      <c r="O3772" s="11"/>
      <c r="P3772" s="11"/>
      <c r="Q3772" s="11"/>
      <c r="R3772" s="11"/>
      <c r="S3772" s="11"/>
      <c r="T3772" s="11"/>
      <c r="U3772" s="30">
        <v>0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161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161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161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161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161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161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161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161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161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161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0</v>
      </c>
      <c r="K3782" s="25"/>
      <c r="L3782" s="25"/>
      <c r="M3782" s="29">
        <v>0</v>
      </c>
      <c r="N3782" s="28">
        <v>0</v>
      </c>
      <c r="O3782" s="11"/>
      <c r="P3782" s="11"/>
      <c r="Q3782" s="11"/>
      <c r="R3782" s="11"/>
      <c r="S3782" s="11"/>
      <c r="T3782" s="11"/>
      <c r="U3782" s="30">
        <v>0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161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161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0</v>
      </c>
      <c r="K3784" s="25"/>
      <c r="L3784" s="25"/>
      <c r="M3784" s="29">
        <v>0</v>
      </c>
      <c r="N3784" s="28">
        <v>0</v>
      </c>
      <c r="O3784" s="11"/>
      <c r="P3784" s="11"/>
      <c r="Q3784" s="11"/>
      <c r="R3784" s="11"/>
      <c r="S3784" s="11"/>
      <c r="T3784" s="11"/>
      <c r="U3784" s="30">
        <v>0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161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161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161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161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0</v>
      </c>
      <c r="K3788" s="25"/>
      <c r="L3788" s="25"/>
      <c r="M3788" s="29">
        <v>0</v>
      </c>
      <c r="N3788" s="28">
        <v>0</v>
      </c>
      <c r="O3788" s="11"/>
      <c r="P3788" s="11"/>
      <c r="Q3788" s="11"/>
      <c r="R3788" s="11"/>
      <c r="S3788" s="11"/>
      <c r="T3788" s="11"/>
      <c r="U3788" s="30">
        <v>0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161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161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0</v>
      </c>
      <c r="K3790" s="25"/>
      <c r="L3790" s="25"/>
      <c r="M3790" s="29">
        <v>0</v>
      </c>
      <c r="N3790" s="28">
        <v>0</v>
      </c>
      <c r="O3790" s="11"/>
      <c r="P3790" s="11"/>
      <c r="Q3790" s="11"/>
      <c r="R3790" s="11"/>
      <c r="S3790" s="11"/>
      <c r="T3790" s="11"/>
      <c r="U3790" s="30">
        <v>0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161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161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161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161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0</v>
      </c>
      <c r="K3794" s="25"/>
      <c r="L3794" s="25"/>
      <c r="M3794" s="29">
        <v>0</v>
      </c>
      <c r="N3794" s="28">
        <v>0</v>
      </c>
      <c r="O3794" s="11"/>
      <c r="P3794" s="11"/>
      <c r="Q3794" s="11"/>
      <c r="R3794" s="11"/>
      <c r="S3794" s="11"/>
      <c r="T3794" s="11"/>
      <c r="U3794" s="30">
        <v>0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161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161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0</v>
      </c>
      <c r="K3796" s="25"/>
      <c r="L3796" s="25"/>
      <c r="M3796" s="29">
        <v>0</v>
      </c>
      <c r="N3796" s="28">
        <v>0</v>
      </c>
      <c r="O3796" s="11"/>
      <c r="P3796" s="11"/>
      <c r="Q3796" s="11"/>
      <c r="R3796" s="11"/>
      <c r="S3796" s="11"/>
      <c r="T3796" s="11"/>
      <c r="U3796" s="30">
        <v>0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161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161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161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161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161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161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161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161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161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161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0</v>
      </c>
      <c r="K3806" s="25"/>
      <c r="L3806" s="25"/>
      <c r="M3806" s="29">
        <v>0</v>
      </c>
      <c r="N3806" s="28">
        <v>0</v>
      </c>
      <c r="O3806" s="11"/>
      <c r="P3806" s="11"/>
      <c r="Q3806" s="11"/>
      <c r="R3806" s="11"/>
      <c r="S3806" s="11"/>
      <c r="T3806" s="11"/>
      <c r="U3806" s="30">
        <v>0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161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161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0</v>
      </c>
      <c r="K3808" s="25"/>
      <c r="L3808" s="25"/>
      <c r="M3808" s="29">
        <v>0</v>
      </c>
      <c r="N3808" s="28">
        <v>0</v>
      </c>
      <c r="O3808" s="11"/>
      <c r="P3808" s="11"/>
      <c r="Q3808" s="11"/>
      <c r="R3808" s="11"/>
      <c r="S3808" s="11"/>
      <c r="T3808" s="11"/>
      <c r="U3808" s="30">
        <v>0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161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161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161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161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0</v>
      </c>
      <c r="K3812" s="25"/>
      <c r="L3812" s="25"/>
      <c r="M3812" s="29">
        <v>0</v>
      </c>
      <c r="N3812" s="28">
        <v>0</v>
      </c>
      <c r="O3812" s="11"/>
      <c r="P3812" s="11"/>
      <c r="Q3812" s="11"/>
      <c r="R3812" s="11"/>
      <c r="S3812" s="11"/>
      <c r="T3812" s="11"/>
      <c r="U3812" s="30">
        <v>0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161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161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0</v>
      </c>
      <c r="K3814" s="25"/>
      <c r="L3814" s="25"/>
      <c r="M3814" s="29">
        <v>0</v>
      </c>
      <c r="N3814" s="28">
        <v>0</v>
      </c>
      <c r="O3814" s="11"/>
      <c r="P3814" s="11"/>
      <c r="Q3814" s="11"/>
      <c r="R3814" s="11"/>
      <c r="S3814" s="11"/>
      <c r="T3814" s="11"/>
      <c r="U3814" s="30">
        <v>0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161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161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161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161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0</v>
      </c>
      <c r="K3818" s="25"/>
      <c r="L3818" s="25"/>
      <c r="M3818" s="29">
        <v>0</v>
      </c>
      <c r="N3818" s="28">
        <v>0</v>
      </c>
      <c r="O3818" s="11"/>
      <c r="P3818" s="11"/>
      <c r="Q3818" s="11"/>
      <c r="R3818" s="11"/>
      <c r="S3818" s="11"/>
      <c r="T3818" s="11"/>
      <c r="U3818" s="30">
        <v>0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161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161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0</v>
      </c>
      <c r="K3820" s="25"/>
      <c r="L3820" s="25"/>
      <c r="M3820" s="29">
        <v>0</v>
      </c>
      <c r="N3820" s="28">
        <v>0</v>
      </c>
      <c r="O3820" s="11"/>
      <c r="P3820" s="11"/>
      <c r="Q3820" s="11"/>
      <c r="R3820" s="11"/>
      <c r="S3820" s="11"/>
      <c r="T3820" s="11"/>
      <c r="U3820" s="30">
        <v>0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161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161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161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161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161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161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161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161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161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161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161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161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161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161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161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161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161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161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161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161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161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161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161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161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161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161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161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161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161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161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161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161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161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0</v>
      </c>
      <c r="K3853" s="25"/>
      <c r="L3853" s="25"/>
      <c r="M3853" s="29">
        <v>0</v>
      </c>
      <c r="N3853" s="28">
        <v>0</v>
      </c>
      <c r="O3853" s="11"/>
      <c r="P3853" s="11"/>
      <c r="Q3853" s="11"/>
      <c r="R3853" s="11"/>
      <c r="S3853" s="11"/>
      <c r="T3853" s="11"/>
      <c r="U3853" s="30">
        <v>0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161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161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0</v>
      </c>
      <c r="K3855" s="25"/>
      <c r="L3855" s="25"/>
      <c r="M3855" s="29">
        <v>0</v>
      </c>
      <c r="N3855" s="28">
        <v>0</v>
      </c>
      <c r="O3855" s="11"/>
      <c r="P3855" s="11"/>
      <c r="Q3855" s="11"/>
      <c r="R3855" s="11"/>
      <c r="S3855" s="11"/>
      <c r="T3855" s="11"/>
      <c r="U3855" s="30">
        <v>0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161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161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161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161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0</v>
      </c>
      <c r="K3859" s="25"/>
      <c r="L3859" s="25"/>
      <c r="M3859" s="29">
        <v>0</v>
      </c>
      <c r="N3859" s="28">
        <v>0</v>
      </c>
      <c r="O3859" s="11"/>
      <c r="P3859" s="11"/>
      <c r="Q3859" s="11"/>
      <c r="R3859" s="11"/>
      <c r="S3859" s="11"/>
      <c r="T3859" s="11"/>
      <c r="U3859" s="30">
        <v>0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161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161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0</v>
      </c>
      <c r="K3861" s="25"/>
      <c r="L3861" s="25"/>
      <c r="M3861" s="29">
        <v>0</v>
      </c>
      <c r="N3861" s="28">
        <v>0</v>
      </c>
      <c r="O3861" s="11"/>
      <c r="P3861" s="11"/>
      <c r="Q3861" s="11"/>
      <c r="R3861" s="11"/>
      <c r="S3861" s="11"/>
      <c r="T3861" s="11"/>
      <c r="U3861" s="30">
        <v>0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161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161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161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161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0</v>
      </c>
      <c r="K3865" s="25"/>
      <c r="L3865" s="25"/>
      <c r="M3865" s="29">
        <v>0</v>
      </c>
      <c r="N3865" s="28">
        <v>0</v>
      </c>
      <c r="O3865" s="11"/>
      <c r="P3865" s="11"/>
      <c r="Q3865" s="11"/>
      <c r="R3865" s="11"/>
      <c r="S3865" s="11"/>
      <c r="T3865" s="11"/>
      <c r="U3865" s="30">
        <v>0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161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161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0</v>
      </c>
      <c r="K3867" s="25"/>
      <c r="L3867" s="25"/>
      <c r="M3867" s="29">
        <v>0</v>
      </c>
      <c r="N3867" s="28">
        <v>0</v>
      </c>
      <c r="O3867" s="11"/>
      <c r="P3867" s="11"/>
      <c r="Q3867" s="11"/>
      <c r="R3867" s="11"/>
      <c r="S3867" s="11"/>
      <c r="T3867" s="11"/>
      <c r="U3867" s="30">
        <v>0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161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161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161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161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161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161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161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161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161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161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0</v>
      </c>
      <c r="K3877" s="25"/>
      <c r="L3877" s="25"/>
      <c r="M3877" s="29">
        <v>0</v>
      </c>
      <c r="N3877" s="28">
        <v>0</v>
      </c>
      <c r="O3877" s="11"/>
      <c r="P3877" s="11"/>
      <c r="Q3877" s="11"/>
      <c r="R3877" s="11"/>
      <c r="S3877" s="11"/>
      <c r="T3877" s="11"/>
      <c r="U3877" s="30">
        <v>0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161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161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0</v>
      </c>
      <c r="K3879" s="25"/>
      <c r="L3879" s="25"/>
      <c r="M3879" s="29">
        <v>0</v>
      </c>
      <c r="N3879" s="28">
        <v>0</v>
      </c>
      <c r="O3879" s="11"/>
      <c r="P3879" s="11"/>
      <c r="Q3879" s="11"/>
      <c r="R3879" s="11"/>
      <c r="S3879" s="11"/>
      <c r="T3879" s="11"/>
      <c r="U3879" s="30">
        <v>0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161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161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161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161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0</v>
      </c>
      <c r="K3883" s="25"/>
      <c r="L3883" s="25"/>
      <c r="M3883" s="29">
        <v>0</v>
      </c>
      <c r="N3883" s="28">
        <v>0</v>
      </c>
      <c r="O3883" s="11"/>
      <c r="P3883" s="11"/>
      <c r="Q3883" s="11"/>
      <c r="R3883" s="11"/>
      <c r="S3883" s="11"/>
      <c r="T3883" s="11"/>
      <c r="U3883" s="30">
        <v>0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161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161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0</v>
      </c>
      <c r="K3885" s="25"/>
      <c r="L3885" s="25"/>
      <c r="M3885" s="29">
        <v>0</v>
      </c>
      <c r="N3885" s="28">
        <v>0</v>
      </c>
      <c r="O3885" s="11"/>
      <c r="P3885" s="11"/>
      <c r="Q3885" s="11"/>
      <c r="R3885" s="11"/>
      <c r="S3885" s="11"/>
      <c r="T3885" s="11"/>
      <c r="U3885" s="30">
        <v>0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161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161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161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161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0</v>
      </c>
      <c r="K3889" s="25"/>
      <c r="L3889" s="25"/>
      <c r="M3889" s="29">
        <v>0</v>
      </c>
      <c r="N3889" s="28">
        <v>0</v>
      </c>
      <c r="O3889" s="11"/>
      <c r="P3889" s="11"/>
      <c r="Q3889" s="11"/>
      <c r="R3889" s="11"/>
      <c r="S3889" s="11"/>
      <c r="T3889" s="11"/>
      <c r="U3889" s="30">
        <v>0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161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161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0</v>
      </c>
      <c r="K3891" s="25"/>
      <c r="L3891" s="25"/>
      <c r="M3891" s="29">
        <v>0</v>
      </c>
      <c r="N3891" s="28">
        <v>0</v>
      </c>
      <c r="O3891" s="11"/>
      <c r="P3891" s="11"/>
      <c r="Q3891" s="11"/>
      <c r="R3891" s="11"/>
      <c r="S3891" s="11"/>
      <c r="T3891" s="11"/>
      <c r="U3891" s="30">
        <v>0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161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161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161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161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161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161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161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161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161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161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0</v>
      </c>
      <c r="K3901" s="25"/>
      <c r="L3901" s="25"/>
      <c r="M3901" s="29">
        <v>0</v>
      </c>
      <c r="N3901" s="28">
        <v>0</v>
      </c>
      <c r="O3901" s="11"/>
      <c r="P3901" s="11"/>
      <c r="Q3901" s="11"/>
      <c r="R3901" s="11"/>
      <c r="S3901" s="11"/>
      <c r="T3901" s="11"/>
      <c r="U3901" s="30">
        <v>0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161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161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0</v>
      </c>
      <c r="K3903" s="25"/>
      <c r="L3903" s="25"/>
      <c r="M3903" s="29">
        <v>0</v>
      </c>
      <c r="N3903" s="28">
        <v>0</v>
      </c>
      <c r="O3903" s="11"/>
      <c r="P3903" s="11"/>
      <c r="Q3903" s="11"/>
      <c r="R3903" s="11"/>
      <c r="S3903" s="11"/>
      <c r="T3903" s="11"/>
      <c r="U3903" s="30">
        <v>0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161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161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161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161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0</v>
      </c>
      <c r="K3907" s="25"/>
      <c r="L3907" s="25"/>
      <c r="M3907" s="29">
        <v>0</v>
      </c>
      <c r="N3907" s="28">
        <v>0</v>
      </c>
      <c r="O3907" s="11"/>
      <c r="P3907" s="11"/>
      <c r="Q3907" s="11"/>
      <c r="R3907" s="11"/>
      <c r="S3907" s="11"/>
      <c r="T3907" s="11"/>
      <c r="U3907" s="30">
        <v>0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161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161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0</v>
      </c>
      <c r="K3909" s="25"/>
      <c r="L3909" s="25"/>
      <c r="M3909" s="29">
        <v>0</v>
      </c>
      <c r="N3909" s="28">
        <v>0</v>
      </c>
      <c r="O3909" s="11"/>
      <c r="P3909" s="11"/>
      <c r="Q3909" s="11"/>
      <c r="R3909" s="11"/>
      <c r="S3909" s="11"/>
      <c r="T3909" s="11"/>
      <c r="U3909" s="30">
        <v>0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161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161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161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161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0</v>
      </c>
      <c r="K3913" s="25"/>
      <c r="L3913" s="25"/>
      <c r="M3913" s="29">
        <v>0</v>
      </c>
      <c r="N3913" s="28">
        <v>0</v>
      </c>
      <c r="O3913" s="11"/>
      <c r="P3913" s="11"/>
      <c r="Q3913" s="11"/>
      <c r="R3913" s="11"/>
      <c r="S3913" s="11"/>
      <c r="T3913" s="11"/>
      <c r="U3913" s="30">
        <v>0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161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161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0</v>
      </c>
      <c r="K3915" s="25"/>
      <c r="L3915" s="25"/>
      <c r="M3915" s="29">
        <v>0</v>
      </c>
      <c r="N3915" s="28">
        <v>0</v>
      </c>
      <c r="O3915" s="11"/>
      <c r="P3915" s="11"/>
      <c r="Q3915" s="11"/>
      <c r="R3915" s="11"/>
      <c r="S3915" s="11"/>
      <c r="T3915" s="11"/>
      <c r="U3915" s="30">
        <v>0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161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161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161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161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161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161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161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161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161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161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0</v>
      </c>
      <c r="K3925" s="25"/>
      <c r="L3925" s="25"/>
      <c r="M3925" s="29">
        <v>0</v>
      </c>
      <c r="N3925" s="28">
        <v>0</v>
      </c>
      <c r="O3925" s="11"/>
      <c r="P3925" s="11"/>
      <c r="Q3925" s="11"/>
      <c r="R3925" s="11"/>
      <c r="S3925" s="11"/>
      <c r="T3925" s="11"/>
      <c r="U3925" s="30">
        <v>0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161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161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0</v>
      </c>
      <c r="K3927" s="25"/>
      <c r="L3927" s="25"/>
      <c r="M3927" s="29">
        <v>0</v>
      </c>
      <c r="N3927" s="28">
        <v>0</v>
      </c>
      <c r="O3927" s="11"/>
      <c r="P3927" s="11"/>
      <c r="Q3927" s="11"/>
      <c r="R3927" s="11"/>
      <c r="S3927" s="11"/>
      <c r="T3927" s="11"/>
      <c r="U3927" s="30">
        <v>0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161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161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161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161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0</v>
      </c>
      <c r="K3931" s="25"/>
      <c r="L3931" s="25"/>
      <c r="M3931" s="29">
        <v>0</v>
      </c>
      <c r="N3931" s="28">
        <v>0</v>
      </c>
      <c r="O3931" s="11"/>
      <c r="P3931" s="11"/>
      <c r="Q3931" s="11"/>
      <c r="R3931" s="11"/>
      <c r="S3931" s="11"/>
      <c r="T3931" s="11"/>
      <c r="U3931" s="30">
        <v>0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161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161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0</v>
      </c>
      <c r="K3933" s="25"/>
      <c r="L3933" s="25"/>
      <c r="M3933" s="29">
        <v>0</v>
      </c>
      <c r="N3933" s="28">
        <v>0</v>
      </c>
      <c r="O3933" s="11"/>
      <c r="P3933" s="11"/>
      <c r="Q3933" s="11"/>
      <c r="R3933" s="11"/>
      <c r="S3933" s="11"/>
      <c r="T3933" s="11"/>
      <c r="U3933" s="30">
        <v>0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161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161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161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161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0</v>
      </c>
      <c r="K3937" s="25"/>
      <c r="L3937" s="25"/>
      <c r="M3937" s="29">
        <v>0</v>
      </c>
      <c r="N3937" s="28">
        <v>0</v>
      </c>
      <c r="O3937" s="11"/>
      <c r="P3937" s="11"/>
      <c r="Q3937" s="11"/>
      <c r="R3937" s="11"/>
      <c r="S3937" s="11"/>
      <c r="T3937" s="11"/>
      <c r="U3937" s="30">
        <v>0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161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161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0</v>
      </c>
      <c r="K3939" s="25"/>
      <c r="L3939" s="25"/>
      <c r="M3939" s="29">
        <v>0</v>
      </c>
      <c r="N3939" s="28">
        <v>0</v>
      </c>
      <c r="O3939" s="11"/>
      <c r="P3939" s="11"/>
      <c r="Q3939" s="11"/>
      <c r="R3939" s="11"/>
      <c r="S3939" s="11"/>
      <c r="T3939" s="11"/>
      <c r="U3939" s="30">
        <v>0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161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161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161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161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161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161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161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161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161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161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161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161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161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161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161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161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161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161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161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161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161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161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161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161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161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161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161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161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161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161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161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161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161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M25" sqref="M25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7" t="s">
        <v>47</v>
      </c>
      <c r="B3" s="183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26</v>
      </c>
      <c r="E3" s="152" cm="1">
        <f t="array" aca="1" ref="E3" ca="1">INDIRECT(ADDRESS($B3,11,1,1,"mkt data"))</f>
        <v>79225</v>
      </c>
      <c r="F3" s="153">
        <f ca="1">AVERAGE(E3,G3)</f>
        <v>79262.5</v>
      </c>
      <c r="G3" s="154" cm="1">
        <f t="array" aca="1" ref="G3" ca="1">INDIRECT(ADDRESS($B3,12,1,1,"mkt data"))</f>
        <v>79300</v>
      </c>
      <c r="H3" s="173"/>
      <c r="I3" s="174"/>
      <c r="J3" s="151"/>
      <c r="K3" s="366">
        <f ca="1">+E4-G3</f>
        <v>-20</v>
      </c>
      <c r="L3" s="367"/>
      <c r="M3" s="368">
        <f ca="1">+G4-E3</f>
        <v>965</v>
      </c>
      <c r="N3" s="381">
        <f ca="1">M3-K3</f>
        <v>985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8"/>
      <c r="B4" s="224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61</v>
      </c>
      <c r="E4" s="152" cm="1">
        <f t="array" aca="1" ref="E4" ca="1">INDIRECT(ADDRESS($B4,11,1,1,"mkt data"))</f>
        <v>79280</v>
      </c>
      <c r="F4" s="153">
        <f t="shared" ref="F4:F8" ca="1" si="0">AVERAGE(E4,G4)</f>
        <v>79735</v>
      </c>
      <c r="G4" s="154" cm="1">
        <f t="array" aca="1" ref="G4" ca="1">INDIRECT(ADDRESS($B4,12,1,1,"mkt data"))</f>
        <v>80190</v>
      </c>
      <c r="H4" s="173" t="str">
        <f ca="1">C3</f>
        <v>BTCU6</v>
      </c>
      <c r="I4" s="174" t="str">
        <f ca="1">C4</f>
        <v>BTCV6</v>
      </c>
      <c r="J4" s="151">
        <f t="shared" ref="J4:M8" ca="1" si="1">D4-D3</f>
        <v>35</v>
      </c>
      <c r="K4" s="243">
        <f t="shared" ca="1" si="1"/>
        <v>55</v>
      </c>
      <c r="L4" s="153">
        <f t="shared" ca="1" si="1"/>
        <v>472.5</v>
      </c>
      <c r="M4" s="243">
        <f ca="1">G4-G3</f>
        <v>890</v>
      </c>
      <c r="N4" s="154">
        <f ca="1">M4-K4</f>
        <v>835</v>
      </c>
      <c r="O4" s="183" t="str">
        <f t="shared" ref="O4:P20" ca="1" si="2">H4</f>
        <v>BTCU6</v>
      </c>
      <c r="P4" s="184" t="str">
        <f t="shared" ca="1" si="2"/>
        <v>BTCV6</v>
      </c>
      <c r="Q4" s="188">
        <f ca="1">IF(J4=35,80%,100%)</f>
        <v>0.8</v>
      </c>
      <c r="R4" s="153">
        <f ca="1">$K4*$Q4</f>
        <v>44</v>
      </c>
      <c r="S4" s="153">
        <f ca="1">$L4*$Q4</f>
        <v>378</v>
      </c>
      <c r="T4" s="153">
        <f ca="1">$M4*$Q4</f>
        <v>712</v>
      </c>
      <c r="U4" s="189">
        <f ca="1">T4-R4</f>
        <v>668</v>
      </c>
      <c r="V4" s="183" t="str">
        <f t="shared" ref="V4:V8" ca="1" si="3">O4</f>
        <v>BTCU6</v>
      </c>
      <c r="W4" s="184" t="str">
        <f t="shared" ref="W4:W8" ca="1" si="4">P4</f>
        <v>BTCV6</v>
      </c>
      <c r="X4" s="188">
        <f ca="1">Q4/80%</f>
        <v>1</v>
      </c>
      <c r="Y4" s="153">
        <f ca="1">$K4*$X4</f>
        <v>55</v>
      </c>
      <c r="Z4" s="153">
        <f ca="1">$L4*$X4</f>
        <v>472.5</v>
      </c>
      <c r="AA4" s="153">
        <f ca="1">$M4*$X4</f>
        <v>890</v>
      </c>
      <c r="AB4" s="189">
        <f ca="1">AA4-Y4</f>
        <v>835</v>
      </c>
      <c r="AC4" s="183" t="str">
        <f t="shared" ref="AC4:AC8" ca="1" si="5">V4</f>
        <v>BTCU6</v>
      </c>
      <c r="AD4" s="184" t="str">
        <f t="shared" ref="AD4:AD8" ca="1" si="6">W4</f>
        <v>BTCV6</v>
      </c>
      <c r="AE4" s="226">
        <f ca="1">J4/$AE$21</f>
        <v>9.7222222222222224E-2</v>
      </c>
      <c r="AF4" s="229">
        <f ca="1">K4/$F3/$AE4</f>
        <v>7.1372248631356031E-3</v>
      </c>
      <c r="AG4" s="229">
        <f t="shared" ref="AG4:AG8" ca="1" si="7">L4/$F3/$AE4</f>
        <v>6.1315249960574039E-2</v>
      </c>
      <c r="AH4" s="229">
        <f t="shared" ref="AH4:AH8" ca="1" si="8">M4/$F3/$AE4</f>
        <v>0.11549327505801249</v>
      </c>
      <c r="AI4" s="239">
        <f ca="1">AH4-AF4</f>
        <v>0.10835605019487689</v>
      </c>
    </row>
    <row r="5" spans="1:54" x14ac:dyDescent="0.25">
      <c r="A5" s="408"/>
      <c r="B5" s="224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89</v>
      </c>
      <c r="E5" s="152" cm="1">
        <f t="array" aca="1" ref="E5" ca="1">INDIRECT(ADDRESS($B5,11,1,1,"mkt data"))</f>
        <v>45370</v>
      </c>
      <c r="F5" s="153">
        <f t="shared" ca="1" si="0"/>
        <v>22685</v>
      </c>
      <c r="G5" s="154" cm="1">
        <f t="array" aca="1" ref="G5" ca="1">INDIRECT(ADDRESS($B5,12,1,1,"mkt data"))</f>
        <v>0</v>
      </c>
      <c r="H5" s="173" t="str">
        <f ca="1">C4</f>
        <v>BTCV6</v>
      </c>
      <c r="I5" s="174" t="str">
        <f ca="1">C5</f>
        <v>BTCX6</v>
      </c>
      <c r="J5" s="151">
        <f t="shared" ca="1" si="1"/>
        <v>28</v>
      </c>
      <c r="K5" s="243">
        <f ca="1">E5-E4</f>
        <v>-33910</v>
      </c>
      <c r="L5" s="153">
        <f t="shared" ca="1" si="1"/>
        <v>-57050</v>
      </c>
      <c r="M5" s="243">
        <f ca="1">G5-G4</f>
        <v>-80190</v>
      </c>
      <c r="N5" s="154">
        <f t="shared" ref="N5:N8" ca="1" si="10">M5-K5</f>
        <v>-46280</v>
      </c>
      <c r="O5" s="183" t="str">
        <f t="shared" ca="1" si="2"/>
        <v>BTCV6</v>
      </c>
      <c r="P5" s="184" t="str">
        <f t="shared" ca="1" si="2"/>
        <v>BTCX6</v>
      </c>
      <c r="Q5" s="188">
        <f ca="1">IF(J5=35,80%,100%)</f>
        <v>1</v>
      </c>
      <c r="R5" s="153">
        <f ca="1">$K5*$Q5</f>
        <v>-33910</v>
      </c>
      <c r="S5" s="153">
        <f ca="1">$L5*$Q5</f>
        <v>-57050</v>
      </c>
      <c r="T5" s="153">
        <f ca="1">$M5*$Q5</f>
        <v>-80190</v>
      </c>
      <c r="U5" s="189">
        <f t="shared" ref="U5:U20" ca="1" si="11">T5-R5</f>
        <v>-46280</v>
      </c>
      <c r="V5" s="183" t="str">
        <f t="shared" ca="1" si="3"/>
        <v>BTCV6</v>
      </c>
      <c r="W5" s="184" t="str">
        <f t="shared" ca="1" si="4"/>
        <v>BTCX6</v>
      </c>
      <c r="X5" s="188">
        <f ca="1">Q5/80%</f>
        <v>1.25</v>
      </c>
      <c r="Y5" s="153">
        <f ca="1">$K5*$X5</f>
        <v>-42387.5</v>
      </c>
      <c r="Z5" s="153">
        <f ca="1">$L5*$X5</f>
        <v>-71312.5</v>
      </c>
      <c r="AA5" s="153">
        <f ca="1">$M5*$X5</f>
        <v>-100237.5</v>
      </c>
      <c r="AB5" s="189">
        <f t="shared" ref="AB5:AB8" ca="1" si="12">AA5-Y5</f>
        <v>-57850</v>
      </c>
      <c r="AC5" s="183" t="str">
        <f t="shared" ca="1" si="5"/>
        <v>BTCV6</v>
      </c>
      <c r="AD5" s="184" t="str">
        <f t="shared" ca="1" si="6"/>
        <v>BTCX6</v>
      </c>
      <c r="AE5" s="226">
        <f t="shared" ref="AE5:AE8" ca="1" si="13">J5/$AE$21</f>
        <v>7.7777777777777779E-2</v>
      </c>
      <c r="AF5" s="229">
        <f t="shared" ref="AF5:AF8" ca="1" si="14">K5/$F4/$AE5</f>
        <v>-5.4679339598133101</v>
      </c>
      <c r="AG5" s="229">
        <f t="shared" ca="1" si="7"/>
        <v>-9.1992224242804301</v>
      </c>
      <c r="AH5" s="229">
        <f t="shared" ca="1" si="8"/>
        <v>-12.930510888747547</v>
      </c>
      <c r="AI5" s="239">
        <f t="shared" ref="AI5:AI20" ca="1" si="15">AH5-AF5</f>
        <v>-7.4625769289342365</v>
      </c>
    </row>
    <row r="6" spans="1:54" x14ac:dyDescent="0.25">
      <c r="A6" s="408"/>
      <c r="B6" s="224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116</v>
      </c>
      <c r="E6" s="152" cm="1">
        <f t="array" aca="1" ref="E6" ca="1">INDIRECT(ADDRESS($B6,11,1,1,"mkt data"))</f>
        <v>77090</v>
      </c>
      <c r="F6" s="153">
        <f t="shared" ca="1" si="0"/>
        <v>79837.5</v>
      </c>
      <c r="G6" s="154" cm="1">
        <f t="array" aca="1" ref="G6" ca="1">INDIRECT(ADDRESS($B6,12,1,1,"mkt data"))</f>
        <v>82585</v>
      </c>
      <c r="H6" s="173" t="str">
        <f ca="1">C5</f>
        <v>BTCX6</v>
      </c>
      <c r="I6" s="174" t="str">
        <f ca="1">C6</f>
        <v>BTCZ6</v>
      </c>
      <c r="J6" s="151">
        <f t="shared" ca="1" si="1"/>
        <v>27</v>
      </c>
      <c r="K6" s="152">
        <f t="shared" ca="1" si="1"/>
        <v>31720</v>
      </c>
      <c r="L6" s="153">
        <f t="shared" ca="1" si="1"/>
        <v>57152.5</v>
      </c>
      <c r="M6" s="152">
        <f ca="1">G6-G5</f>
        <v>82585</v>
      </c>
      <c r="N6" s="154">
        <f t="shared" ca="1" si="10"/>
        <v>50865</v>
      </c>
      <c r="O6" s="183" t="str">
        <f t="shared" ca="1" si="2"/>
        <v>BTCX6</v>
      </c>
      <c r="P6" s="184" t="str">
        <f t="shared" ca="1" si="2"/>
        <v>BTCZ6</v>
      </c>
      <c r="Q6" s="188">
        <f ca="1">IF(J6=35,80%,100%)</f>
        <v>1</v>
      </c>
      <c r="R6" s="153">
        <f ca="1">$K6*$Q6</f>
        <v>31720</v>
      </c>
      <c r="S6" s="153">
        <f ca="1">$L6*$Q6</f>
        <v>57152.5</v>
      </c>
      <c r="T6" s="153">
        <f ca="1">$M6*$Q6</f>
        <v>82585</v>
      </c>
      <c r="U6" s="189">
        <f t="shared" ca="1" si="11"/>
        <v>50865</v>
      </c>
      <c r="V6" s="183" t="str">
        <f t="shared" ca="1" si="3"/>
        <v>BTCX6</v>
      </c>
      <c r="W6" s="184" t="str">
        <f t="shared" ca="1" si="4"/>
        <v>BTCZ6</v>
      </c>
      <c r="X6" s="188">
        <f ca="1">Q6/80%</f>
        <v>1.25</v>
      </c>
      <c r="Y6" s="153">
        <f ca="1">$K6*$X6</f>
        <v>39650</v>
      </c>
      <c r="Z6" s="153">
        <f ca="1">$L6*$X6</f>
        <v>71440.625</v>
      </c>
      <c r="AA6" s="153">
        <f ca="1">$M6*$X6</f>
        <v>103231.25</v>
      </c>
      <c r="AB6" s="189">
        <f t="shared" ca="1" si="12"/>
        <v>63581.25</v>
      </c>
      <c r="AC6" s="183" t="str">
        <f t="shared" ca="1" si="5"/>
        <v>BTCX6</v>
      </c>
      <c r="AD6" s="184" t="str">
        <f t="shared" ca="1" si="6"/>
        <v>BTCZ6</v>
      </c>
      <c r="AE6" s="226">
        <f t="shared" ca="1" si="13"/>
        <v>7.4999999999999997E-2</v>
      </c>
      <c r="AF6" s="229">
        <f t="shared" ca="1" si="14"/>
        <v>18.643744030563518</v>
      </c>
      <c r="AG6" s="229">
        <f t="shared" ca="1" si="7"/>
        <v>33.591947689368894</v>
      </c>
      <c r="AH6" s="229">
        <f t="shared" ca="1" si="8"/>
        <v>48.54015134817427</v>
      </c>
      <c r="AI6" s="239">
        <f t="shared" ca="1" si="15"/>
        <v>29.896407317610752</v>
      </c>
    </row>
    <row r="7" spans="1:54" x14ac:dyDescent="0.25">
      <c r="A7" s="408"/>
      <c r="B7" s="224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152</v>
      </c>
      <c r="E7" s="152" cm="1">
        <f t="array" aca="1" ref="E7" ca="1">INDIRECT(ADDRESS($B7,11,1,1,"mkt data"))</f>
        <v>0</v>
      </c>
      <c r="F7" s="153">
        <f t="shared" ca="1" si="0"/>
        <v>0</v>
      </c>
      <c r="G7" s="154" cm="1">
        <f t="array" aca="1" ref="G7" ca="1">INDIRECT(ADDRESS($B7,12,1,1,"mkt data"))</f>
        <v>0</v>
      </c>
      <c r="H7" s="173" t="str">
        <f ca="1">C6</f>
        <v>BTCZ6</v>
      </c>
      <c r="I7" s="174" t="str">
        <f ca="1">C7</f>
        <v>BTCF7</v>
      </c>
      <c r="J7" s="151">
        <f t="shared" ca="1" si="1"/>
        <v>36</v>
      </c>
      <c r="K7" s="152">
        <f t="shared" ca="1" si="1"/>
        <v>-77090</v>
      </c>
      <c r="L7" s="153">
        <f t="shared" ca="1" si="1"/>
        <v>-79837.5</v>
      </c>
      <c r="M7" s="152">
        <f t="shared" ca="1" si="1"/>
        <v>-82585</v>
      </c>
      <c r="N7" s="154">
        <f t="shared" ca="1" si="10"/>
        <v>-5495</v>
      </c>
      <c r="O7" s="183" t="str">
        <f t="shared" ca="1" si="2"/>
        <v>BTCZ6</v>
      </c>
      <c r="P7" s="184" t="str">
        <f t="shared" ca="1" si="2"/>
        <v>BTCF7</v>
      </c>
      <c r="Q7" s="188">
        <f ca="1">IF(J7=35,80%,100%)</f>
        <v>1</v>
      </c>
      <c r="R7" s="153">
        <f ca="1">$K7*$Q7</f>
        <v>-77090</v>
      </c>
      <c r="S7" s="153">
        <f ca="1">$L7*$Q7</f>
        <v>-79837.5</v>
      </c>
      <c r="T7" s="153">
        <f ca="1">$M7*$Q7</f>
        <v>-82585</v>
      </c>
      <c r="U7" s="189">
        <f t="shared" ca="1" si="11"/>
        <v>-5495</v>
      </c>
      <c r="V7" s="183" t="str">
        <f t="shared" ca="1" si="3"/>
        <v>BTCZ6</v>
      </c>
      <c r="W7" s="184" t="str">
        <f t="shared" ca="1" si="4"/>
        <v>BTCF7</v>
      </c>
      <c r="X7" s="188">
        <f ca="1">Q7/80%</f>
        <v>1.25</v>
      </c>
      <c r="Y7" s="153">
        <f ca="1">$K7*$X7</f>
        <v>-96362.5</v>
      </c>
      <c r="Z7" s="153">
        <f ca="1">$L7*$X7</f>
        <v>-99796.875</v>
      </c>
      <c r="AA7" s="153">
        <f ca="1">$M7*$X7</f>
        <v>-103231.25</v>
      </c>
      <c r="AB7" s="189">
        <f t="shared" ca="1" si="12"/>
        <v>-6868.75</v>
      </c>
      <c r="AC7" s="183" t="str">
        <f t="shared" ca="1" si="5"/>
        <v>BTCZ6</v>
      </c>
      <c r="AD7" s="184" t="str">
        <f t="shared" ca="1" si="6"/>
        <v>BTCF7</v>
      </c>
      <c r="AE7" s="226">
        <f t="shared" ca="1" si="13"/>
        <v>0.1</v>
      </c>
      <c r="AF7" s="229">
        <f t="shared" ca="1" si="14"/>
        <v>-9.6558634726788792</v>
      </c>
      <c r="AG7" s="229">
        <f t="shared" ca="1" si="7"/>
        <v>-10</v>
      </c>
      <c r="AH7" s="229">
        <f t="shared" ca="1" si="8"/>
        <v>-10.344136527321121</v>
      </c>
      <c r="AI7" s="239">
        <f t="shared" ca="1" si="15"/>
        <v>-0.68827305464224153</v>
      </c>
    </row>
    <row r="8" spans="1:54" ht="15.75" thickBot="1" x14ac:dyDescent="0.3">
      <c r="A8" s="409"/>
      <c r="B8" s="224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180</v>
      </c>
      <c r="E8" s="152" cm="1">
        <f t="array" aca="1" ref="E8" ca="1">INDIRECT(ADDRESS($B8,11,1,1,"mkt data"))</f>
        <v>0</v>
      </c>
      <c r="F8" s="153">
        <f t="shared" ca="1" si="0"/>
        <v>0</v>
      </c>
      <c r="G8" s="154" cm="1">
        <f t="array" aca="1" ref="G8" ca="1">INDIRECT(ADDRESS($B8,12,1,1,"mkt data"))</f>
        <v>0</v>
      </c>
      <c r="H8" s="173" t="str">
        <f ca="1">C7</f>
        <v>BTCF7</v>
      </c>
      <c r="I8" s="174" t="str">
        <f ca="1">C8</f>
        <v>BTCG7</v>
      </c>
      <c r="J8" s="155">
        <f t="shared" ca="1" si="1"/>
        <v>28</v>
      </c>
      <c r="K8" s="158">
        <f t="shared" ca="1" si="1"/>
        <v>0</v>
      </c>
      <c r="L8" s="159">
        <f t="shared" ca="1" si="1"/>
        <v>0</v>
      </c>
      <c r="M8" s="158">
        <f t="shared" ca="1" si="1"/>
        <v>0</v>
      </c>
      <c r="N8" s="160">
        <f t="shared" ca="1" si="10"/>
        <v>0</v>
      </c>
      <c r="O8" s="183" t="str">
        <f t="shared" ca="1" si="2"/>
        <v>BTCF7</v>
      </c>
      <c r="P8" s="184" t="str">
        <f t="shared" ca="1" si="2"/>
        <v>BTCG7</v>
      </c>
      <c r="Q8" s="190">
        <f ca="1">IF(J8=35,80%,100%)</f>
        <v>1</v>
      </c>
      <c r="R8" s="159">
        <f ca="1">$K8*$Q8</f>
        <v>0</v>
      </c>
      <c r="S8" s="159">
        <f ca="1">$L8*$Q8</f>
        <v>0</v>
      </c>
      <c r="T8" s="159">
        <f ca="1">$M8*$Q8</f>
        <v>0</v>
      </c>
      <c r="U8" s="191">
        <f t="shared" ca="1" si="11"/>
        <v>0</v>
      </c>
      <c r="V8" s="183" t="str">
        <f t="shared" ca="1" si="3"/>
        <v>BTCF7</v>
      </c>
      <c r="W8" s="184" t="str">
        <f t="shared" ca="1" si="4"/>
        <v>BTCG7</v>
      </c>
      <c r="X8" s="190">
        <f ca="1">Q8/80%</f>
        <v>1.25</v>
      </c>
      <c r="Y8" s="159">
        <f ca="1">$K8*$X8</f>
        <v>0</v>
      </c>
      <c r="Z8" s="159">
        <f ca="1">$L8*$X8</f>
        <v>0</v>
      </c>
      <c r="AA8" s="159">
        <f ca="1">$M8*$X8</f>
        <v>0</v>
      </c>
      <c r="AB8" s="191">
        <f t="shared" ca="1" si="12"/>
        <v>0</v>
      </c>
      <c r="AC8" s="183" t="str">
        <f t="shared" ca="1" si="5"/>
        <v>BTCF7</v>
      </c>
      <c r="AD8" s="184" t="str">
        <f t="shared" ca="1" si="6"/>
        <v>BTCG7</v>
      </c>
      <c r="AE8" s="227">
        <f t="shared" ca="1" si="13"/>
        <v>7.7777777777777779E-2</v>
      </c>
      <c r="AF8" s="232" t="e">
        <f t="shared" ca="1" si="14"/>
        <v>#DIV/0!</v>
      </c>
      <c r="AG8" s="232" t="e">
        <f t="shared" ca="1" si="7"/>
        <v>#DIV/0!</v>
      </c>
      <c r="AH8" s="232" t="e">
        <f t="shared" ca="1" si="8"/>
        <v>#DIV/0!</v>
      </c>
      <c r="AI8" s="240" t="e">
        <f t="shared" ca="1" si="15"/>
        <v>#DIV/0!</v>
      </c>
    </row>
    <row r="9" spans="1:54" x14ac:dyDescent="0.25">
      <c r="A9" s="407" t="s">
        <v>45</v>
      </c>
      <c r="B9" s="299">
        <v>4</v>
      </c>
      <c r="C9" s="170" t="str" cm="1">
        <f t="array" aca="1" ref="C9" ca="1">INDIRECT(ADDRESS($B9,2,1,1,"mkt data"))</f>
        <v>b/o BTCU6</v>
      </c>
      <c r="D9" s="161">
        <f ca="1">D3</f>
        <v>26</v>
      </c>
      <c r="E9" s="162" cm="1">
        <f t="array" aca="1" ref="E9" ca="1">INDIRECT(ADDRESS($B9,11,1,1,"mkt data"))</f>
        <v>79225</v>
      </c>
      <c r="F9" s="163">
        <f ca="1">AVERAGE(E9,G9)</f>
        <v>79262.5</v>
      </c>
      <c r="G9" s="164" cm="1">
        <f t="array" aca="1" ref="G9" ca="1">INDIRECT(ADDRESS($B9,12,1,1,"mkt data"))</f>
        <v>79300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8"/>
      <c r="B10" s="224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61</v>
      </c>
      <c r="E10" s="152" cm="1">
        <f t="array" aca="1" ref="E10" ca="1">INDIRECT(ADDRESS($B10,11,1,1,"mkt data"))</f>
        <v>79280</v>
      </c>
      <c r="F10" s="153">
        <f t="shared" ref="F10:F20" ca="1" si="17">AVERAGE(E10,G10)</f>
        <v>79735</v>
      </c>
      <c r="G10" s="154" cm="1">
        <f t="array" aca="1" ref="G10" ca="1">INDIRECT(ADDRESS($B10,12,1,1,"mkt data"))</f>
        <v>80190</v>
      </c>
      <c r="H10" s="173" t="str">
        <f ca="1">C9</f>
        <v>b/o BTCU6</v>
      </c>
      <c r="I10" s="174" t="str">
        <f ca="1">C10</f>
        <v>b/o BTCV6</v>
      </c>
      <c r="J10" s="151">
        <f ca="1">J4</f>
        <v>35</v>
      </c>
      <c r="K10" s="152">
        <f ca="1">E10-E9</f>
        <v>55</v>
      </c>
      <c r="L10" s="372">
        <f ca="1">F10-F9</f>
        <v>472.5</v>
      </c>
      <c r="M10" s="152">
        <f t="shared" ref="K10:M14" ca="1" si="18">G10-G9</f>
        <v>890</v>
      </c>
      <c r="N10" s="154">
        <f ca="1">M10-K10</f>
        <v>835</v>
      </c>
      <c r="O10" s="173" t="str">
        <f t="shared" ca="1" si="2"/>
        <v>b/o BTCU6</v>
      </c>
      <c r="P10" s="174" t="str">
        <f t="shared" ca="1" si="2"/>
        <v>b/o BTCV6</v>
      </c>
      <c r="Q10" s="181">
        <f ca="1">Q4</f>
        <v>0.8</v>
      </c>
      <c r="R10" s="152">
        <f ca="1">$K10*$Q10</f>
        <v>44</v>
      </c>
      <c r="S10" s="153">
        <f ca="1">$L10*$Q10</f>
        <v>378</v>
      </c>
      <c r="T10" s="152">
        <f ca="1">$M10*$Q10</f>
        <v>712</v>
      </c>
      <c r="U10" s="154">
        <f t="shared" ca="1" si="11"/>
        <v>668</v>
      </c>
      <c r="V10" s="173" t="str">
        <f t="shared" ref="V10:V14" ca="1" si="19">O10</f>
        <v>b/o BTCU6</v>
      </c>
      <c r="W10" s="174" t="str">
        <f t="shared" ref="W10:W14" ca="1" si="20">P10</f>
        <v>b/o BTCV6</v>
      </c>
      <c r="X10" s="181">
        <f ca="1">X4</f>
        <v>1</v>
      </c>
      <c r="Y10" s="152">
        <f ca="1">$K10*$X10</f>
        <v>55</v>
      </c>
      <c r="Z10" s="153">
        <f ca="1">$L10*$X10</f>
        <v>472.5</v>
      </c>
      <c r="AA10" s="152">
        <f ca="1">$M10*$X10</f>
        <v>890</v>
      </c>
      <c r="AB10" s="154">
        <f t="shared" ref="AB10:AB14" ca="1" si="21">AA10-Y10</f>
        <v>835</v>
      </c>
      <c r="AC10" s="173" t="str">
        <f t="shared" ref="AC10:AC14" ca="1" si="22">V10</f>
        <v>b/o BTCU6</v>
      </c>
      <c r="AD10" s="174" t="str">
        <f t="shared" ref="AD10:AD14" ca="1" si="23">W10</f>
        <v>b/o BTCV6</v>
      </c>
      <c r="AE10" s="226">
        <f ca="1">J10/$AE$21</f>
        <v>9.7222222222222224E-2</v>
      </c>
      <c r="AF10" s="230">
        <f ca="1">K10/$F9/$AE10</f>
        <v>7.1372248631356031E-3</v>
      </c>
      <c r="AG10" s="229">
        <f t="shared" ref="AG10:AG14" ca="1" si="24">L10/$F9/$AE10</f>
        <v>6.1315249960574039E-2</v>
      </c>
      <c r="AH10" s="230">
        <f t="shared" ref="AH10:AH14" ca="1" si="25">M10/$F9/$AE10</f>
        <v>0.11549327505801249</v>
      </c>
      <c r="AI10" s="234">
        <f t="shared" ca="1" si="15"/>
        <v>0.10835605019487689</v>
      </c>
    </row>
    <row r="11" spans="1:54" x14ac:dyDescent="0.25">
      <c r="A11" s="408"/>
      <c r="B11" s="224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89</v>
      </c>
      <c r="E11" s="152" cm="1">
        <f t="array" aca="1" ref="E11" ca="1">INDIRECT(ADDRESS($B11,11,1,1,"mkt data"))</f>
        <v>45370</v>
      </c>
      <c r="F11" s="153">
        <f t="shared" ca="1" si="17"/>
        <v>22685</v>
      </c>
      <c r="G11" s="154" cm="1">
        <f t="array" aca="1" ref="G11" ca="1">INDIRECT(ADDRESS($B11,12,1,1,"mkt data"))</f>
        <v>0</v>
      </c>
      <c r="H11" s="173" t="str">
        <f ca="1">C10</f>
        <v>b/o BTCV6</v>
      </c>
      <c r="I11" s="174" t="str">
        <f ca="1">C11</f>
        <v>b/o BTCX6</v>
      </c>
      <c r="J11" s="151">
        <f t="shared" ref="J11:J14" ca="1" si="26">J5</f>
        <v>28</v>
      </c>
      <c r="K11" s="152">
        <f ca="1">E11-E10</f>
        <v>-33910</v>
      </c>
      <c r="L11" s="372">
        <f t="shared" ca="1" si="18"/>
        <v>-57050</v>
      </c>
      <c r="M11" s="152">
        <f ca="1">G11-G10</f>
        <v>-80190</v>
      </c>
      <c r="N11" s="154">
        <f t="shared" ref="N11:N14" ca="1" si="27">M11-K11</f>
        <v>-46280</v>
      </c>
      <c r="O11" s="173" t="str">
        <f t="shared" ca="1" si="2"/>
        <v>b/o BTCV6</v>
      </c>
      <c r="P11" s="174" t="str">
        <f t="shared" ca="1" si="2"/>
        <v>b/o BTCX6</v>
      </c>
      <c r="Q11" s="181">
        <f ca="1">Q5</f>
        <v>1</v>
      </c>
      <c r="R11" s="152">
        <f ca="1">$K11*$Q11</f>
        <v>-33910</v>
      </c>
      <c r="S11" s="153">
        <f ca="1">$L11*$Q11</f>
        <v>-57050</v>
      </c>
      <c r="T11" s="152">
        <f ca="1">$M11*$Q11</f>
        <v>-80190</v>
      </c>
      <c r="U11" s="154">
        <f t="shared" ca="1" si="11"/>
        <v>-46280</v>
      </c>
      <c r="V11" s="173" t="str">
        <f t="shared" ca="1" si="19"/>
        <v>b/o BTCV6</v>
      </c>
      <c r="W11" s="174" t="str">
        <f t="shared" ca="1" si="20"/>
        <v>b/o BTCX6</v>
      </c>
      <c r="X11" s="181">
        <f ca="1">X5</f>
        <v>1.25</v>
      </c>
      <c r="Y11" s="152">
        <f ca="1">$K11*$X11</f>
        <v>-42387.5</v>
      </c>
      <c r="Z11" s="153">
        <f ca="1">$L11*$X11</f>
        <v>-71312.5</v>
      </c>
      <c r="AA11" s="152">
        <f ca="1">$M11*$X11</f>
        <v>-100237.5</v>
      </c>
      <c r="AB11" s="154">
        <f t="shared" ca="1" si="21"/>
        <v>-57850</v>
      </c>
      <c r="AC11" s="173" t="str">
        <f t="shared" ca="1" si="22"/>
        <v>b/o BTCV6</v>
      </c>
      <c r="AD11" s="174" t="str">
        <f t="shared" ca="1" si="23"/>
        <v>b/o BTCX6</v>
      </c>
      <c r="AE11" s="226">
        <f t="shared" ref="AE11:AE14" ca="1" si="28">J11/$AE$21</f>
        <v>7.7777777777777779E-2</v>
      </c>
      <c r="AF11" s="230">
        <f t="shared" ref="AF11:AF14" ca="1" si="29">K11/$F10/$AE11</f>
        <v>-5.4679339598133101</v>
      </c>
      <c r="AG11" s="229">
        <f t="shared" ca="1" si="24"/>
        <v>-9.1992224242804301</v>
      </c>
      <c r="AH11" s="230">
        <f t="shared" ca="1" si="25"/>
        <v>-12.930510888747547</v>
      </c>
      <c r="AI11" s="234">
        <f t="shared" ca="1" si="15"/>
        <v>-7.4625769289342365</v>
      </c>
    </row>
    <row r="12" spans="1:54" x14ac:dyDescent="0.25">
      <c r="A12" s="408"/>
      <c r="B12" s="224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116</v>
      </c>
      <c r="E12" s="152" cm="1">
        <f t="array" aca="1" ref="E12" ca="1">INDIRECT(ADDRESS($B12,11,1,1,"mkt data"))</f>
        <v>77090</v>
      </c>
      <c r="F12" s="153">
        <f t="shared" ca="1" si="17"/>
        <v>79837.5</v>
      </c>
      <c r="G12" s="154" cm="1">
        <f t="array" aca="1" ref="G12" ca="1">INDIRECT(ADDRESS($B12,12,1,1,"mkt data"))</f>
        <v>82585</v>
      </c>
      <c r="H12" s="173" t="str">
        <f ca="1">C11</f>
        <v>b/o BTCX6</v>
      </c>
      <c r="I12" s="174" t="str">
        <f ca="1">C12</f>
        <v>b/o BTCZ6</v>
      </c>
      <c r="J12" s="151">
        <f t="shared" ca="1" si="26"/>
        <v>27</v>
      </c>
      <c r="K12" s="152">
        <f t="shared" ca="1" si="18"/>
        <v>31720</v>
      </c>
      <c r="L12" s="372">
        <f t="shared" ca="1" si="18"/>
        <v>57152.5</v>
      </c>
      <c r="M12" s="152">
        <f t="shared" ca="1" si="18"/>
        <v>82585</v>
      </c>
      <c r="N12" s="154">
        <f t="shared" ca="1" si="27"/>
        <v>50865</v>
      </c>
      <c r="O12" s="173" t="str">
        <f t="shared" ca="1" si="2"/>
        <v>b/o BTCX6</v>
      </c>
      <c r="P12" s="174" t="str">
        <f t="shared" ca="1" si="2"/>
        <v>b/o BTCZ6</v>
      </c>
      <c r="Q12" s="181">
        <f ca="1">Q6</f>
        <v>1</v>
      </c>
      <c r="R12" s="152">
        <f ca="1">$K12*$Q12</f>
        <v>31720</v>
      </c>
      <c r="S12" s="153">
        <f ca="1">$L12*$Q12</f>
        <v>57152.5</v>
      </c>
      <c r="T12" s="152">
        <f ca="1">$M12*$Q12</f>
        <v>82585</v>
      </c>
      <c r="U12" s="154">
        <f t="shared" ca="1" si="11"/>
        <v>50865</v>
      </c>
      <c r="V12" s="173" t="str">
        <f t="shared" ca="1" si="19"/>
        <v>b/o BTCX6</v>
      </c>
      <c r="W12" s="174" t="str">
        <f t="shared" ca="1" si="20"/>
        <v>b/o BTCZ6</v>
      </c>
      <c r="X12" s="181">
        <f ca="1">X6</f>
        <v>1.25</v>
      </c>
      <c r="Y12" s="152">
        <f ca="1">$K12*$X12</f>
        <v>39650</v>
      </c>
      <c r="Z12" s="153">
        <f ca="1">$L12*$X12</f>
        <v>71440.625</v>
      </c>
      <c r="AA12" s="152">
        <f ca="1">$M12*$X12</f>
        <v>103231.25</v>
      </c>
      <c r="AB12" s="154">
        <f t="shared" ca="1" si="21"/>
        <v>63581.25</v>
      </c>
      <c r="AC12" s="173" t="str">
        <f t="shared" ca="1" si="22"/>
        <v>b/o BTCX6</v>
      </c>
      <c r="AD12" s="174" t="str">
        <f t="shared" ca="1" si="23"/>
        <v>b/o BTCZ6</v>
      </c>
      <c r="AE12" s="226">
        <f t="shared" ca="1" si="28"/>
        <v>7.4999999999999997E-2</v>
      </c>
      <c r="AF12" s="230">
        <f t="shared" ca="1" si="29"/>
        <v>18.643744030563518</v>
      </c>
      <c r="AG12" s="229">
        <f t="shared" ca="1" si="24"/>
        <v>33.591947689368894</v>
      </c>
      <c r="AH12" s="230">
        <f t="shared" ca="1" si="25"/>
        <v>48.54015134817427</v>
      </c>
      <c r="AI12" s="234">
        <f t="shared" ca="1" si="15"/>
        <v>29.896407317610752</v>
      </c>
    </row>
    <row r="13" spans="1:54" x14ac:dyDescent="0.25">
      <c r="A13" s="408"/>
      <c r="B13" s="224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152</v>
      </c>
      <c r="E13" s="152" cm="1">
        <f t="array" aca="1" ref="E13" ca="1">INDIRECT(ADDRESS($B13,11,1,1,"mkt data"))</f>
        <v>0</v>
      </c>
      <c r="F13" s="153">
        <f t="shared" ca="1" si="17"/>
        <v>0</v>
      </c>
      <c r="G13" s="154" cm="1">
        <f t="array" aca="1" ref="G13" ca="1">INDIRECT(ADDRESS($B13,12,1,1,"mkt data"))</f>
        <v>0</v>
      </c>
      <c r="H13" s="173" t="str">
        <f ca="1">C12</f>
        <v>b/o BTCZ6</v>
      </c>
      <c r="I13" s="174" t="str">
        <f ca="1">C13</f>
        <v>b/o BTCF7</v>
      </c>
      <c r="J13" s="151">
        <f t="shared" ca="1" si="26"/>
        <v>36</v>
      </c>
      <c r="K13" s="389">
        <f ca="1">E13-E12</f>
        <v>-77090</v>
      </c>
      <c r="L13" s="390">
        <f t="shared" ca="1" si="18"/>
        <v>-79837.5</v>
      </c>
      <c r="M13" s="389">
        <f t="shared" ca="1" si="18"/>
        <v>-82585</v>
      </c>
      <c r="N13" s="154">
        <f t="shared" ca="1" si="27"/>
        <v>-5495</v>
      </c>
      <c r="O13" s="173" t="str">
        <f t="shared" ca="1" si="2"/>
        <v>b/o BTCZ6</v>
      </c>
      <c r="P13" s="174" t="str">
        <f t="shared" ca="1" si="2"/>
        <v>b/o BTCF7</v>
      </c>
      <c r="Q13" s="181">
        <f ca="1">Q7</f>
        <v>1</v>
      </c>
      <c r="R13" s="152">
        <f ca="1">$K13*$Q13</f>
        <v>-77090</v>
      </c>
      <c r="S13" s="153">
        <f ca="1">$L13*$Q13</f>
        <v>-79837.5</v>
      </c>
      <c r="T13" s="152">
        <f ca="1">$M13*$Q13</f>
        <v>-82585</v>
      </c>
      <c r="U13" s="154">
        <f t="shared" ca="1" si="11"/>
        <v>-5495</v>
      </c>
      <c r="V13" s="173" t="str">
        <f t="shared" ca="1" si="19"/>
        <v>b/o BTCZ6</v>
      </c>
      <c r="W13" s="174" t="str">
        <f t="shared" ca="1" si="20"/>
        <v>b/o BTCF7</v>
      </c>
      <c r="X13" s="181">
        <f ca="1">X7</f>
        <v>1.25</v>
      </c>
      <c r="Y13" s="152">
        <f ca="1">$K13*$X13</f>
        <v>-96362.5</v>
      </c>
      <c r="Z13" s="153">
        <f ca="1">$L13*$X13</f>
        <v>-99796.875</v>
      </c>
      <c r="AA13" s="152">
        <f ca="1">$M13*$X13</f>
        <v>-103231.25</v>
      </c>
      <c r="AB13" s="154">
        <f t="shared" ca="1" si="21"/>
        <v>-6868.75</v>
      </c>
      <c r="AC13" s="173" t="str">
        <f t="shared" ca="1" si="22"/>
        <v>b/o BTCZ6</v>
      </c>
      <c r="AD13" s="174" t="str">
        <f t="shared" ca="1" si="23"/>
        <v>b/o BTCF7</v>
      </c>
      <c r="AE13" s="226">
        <f t="shared" ca="1" si="28"/>
        <v>0.1</v>
      </c>
      <c r="AF13" s="230">
        <f t="shared" ca="1" si="29"/>
        <v>-9.6558634726788792</v>
      </c>
      <c r="AG13" s="229">
        <f t="shared" ca="1" si="24"/>
        <v>-10</v>
      </c>
      <c r="AH13" s="230">
        <f ca="1">M13/$F12/$AE13</f>
        <v>-10.344136527321121</v>
      </c>
      <c r="AI13" s="234">
        <f t="shared" ca="1" si="15"/>
        <v>-0.68827305464224153</v>
      </c>
    </row>
    <row r="14" spans="1:54" ht="15.75" thickBot="1" x14ac:dyDescent="0.3">
      <c r="A14" s="409"/>
      <c r="B14" s="225">
        <f t="shared" si="9"/>
        <v>9</v>
      </c>
      <c r="C14" s="156" t="str" cm="1">
        <f t="array" aca="1" ref="C14" ca="1">INDIRECT(ADDRESS($B14,2,1,1,"mkt data"))</f>
        <v>b/o BTCG7</v>
      </c>
      <c r="D14" s="157">
        <f t="shared" ca="1" si="16"/>
        <v>180</v>
      </c>
      <c r="E14" s="158" cm="1">
        <f t="array" aca="1" ref="E14" ca="1">INDIRECT(ADDRESS($B14,11,1,1,"mkt data"))</f>
        <v>0</v>
      </c>
      <c r="F14" s="159">
        <f t="shared" ca="1" si="17"/>
        <v>0</v>
      </c>
      <c r="G14" s="160" cm="1">
        <f t="array" aca="1" ref="G14" ca="1">INDIRECT(ADDRESS($B14,12,1,1,"mkt data"))</f>
        <v>0</v>
      </c>
      <c r="H14" s="175" t="str">
        <f ca="1">C13</f>
        <v>b/o BTCF7</v>
      </c>
      <c r="I14" s="176" t="str">
        <f ca="1">C14</f>
        <v>b/o BTCG7</v>
      </c>
      <c r="J14" s="155">
        <f t="shared" ca="1" si="26"/>
        <v>28</v>
      </c>
      <c r="K14" s="158">
        <f t="shared" ca="1" si="18"/>
        <v>0</v>
      </c>
      <c r="L14" s="373">
        <f ca="1">F14-F13</f>
        <v>0</v>
      </c>
      <c r="M14" s="158">
        <f t="shared" ca="1" si="18"/>
        <v>0</v>
      </c>
      <c r="N14" s="160">
        <f t="shared" ca="1" si="27"/>
        <v>0</v>
      </c>
      <c r="O14" s="175" t="str">
        <f t="shared" ca="1" si="2"/>
        <v>b/o BTCF7</v>
      </c>
      <c r="P14" s="176" t="str">
        <f t="shared" ca="1" si="2"/>
        <v>b/o BTCG7</v>
      </c>
      <c r="Q14" s="181">
        <f ca="1">Q8</f>
        <v>1</v>
      </c>
      <c r="R14" s="152">
        <f ca="1">$K14*$Q14</f>
        <v>0</v>
      </c>
      <c r="S14" s="153">
        <f ca="1">$L14*$Q14</f>
        <v>0</v>
      </c>
      <c r="T14" s="152">
        <f ca="1">$M14*$Q14</f>
        <v>0</v>
      </c>
      <c r="U14" s="154">
        <f t="shared" ca="1" si="11"/>
        <v>0</v>
      </c>
      <c r="V14" s="173" t="str">
        <f t="shared" ca="1" si="19"/>
        <v>b/o BTCF7</v>
      </c>
      <c r="W14" s="174" t="str">
        <f t="shared" ca="1" si="20"/>
        <v>b/o BTCG7</v>
      </c>
      <c r="X14" s="181">
        <f ca="1">X8</f>
        <v>1.25</v>
      </c>
      <c r="Y14" s="152">
        <f ca="1">$K14*$X14</f>
        <v>0</v>
      </c>
      <c r="Z14" s="153">
        <f ca="1">$L14*$X14</f>
        <v>0</v>
      </c>
      <c r="AA14" s="152">
        <f ca="1">$M14*$X14</f>
        <v>0</v>
      </c>
      <c r="AB14" s="154">
        <f t="shared" ca="1" si="21"/>
        <v>0</v>
      </c>
      <c r="AC14" s="175" t="str">
        <f t="shared" ca="1" si="22"/>
        <v>b/o BTCF7</v>
      </c>
      <c r="AD14" s="176" t="str">
        <f t="shared" ca="1" si="23"/>
        <v>b/o BTCG7</v>
      </c>
      <c r="AE14" s="227">
        <f t="shared" ca="1" si="28"/>
        <v>7.7777777777777779E-2</v>
      </c>
      <c r="AF14" s="231" t="e">
        <f t="shared" ca="1" si="29"/>
        <v>#DIV/0!</v>
      </c>
      <c r="AG14" s="232" t="e">
        <f t="shared" ca="1" si="24"/>
        <v>#DIV/0!</v>
      </c>
      <c r="AH14" s="231" t="e">
        <f t="shared" ca="1" si="25"/>
        <v>#DIV/0!</v>
      </c>
      <c r="AI14" s="236" t="e">
        <f t="shared" ca="1" si="15"/>
        <v>#DIV/0!</v>
      </c>
    </row>
    <row r="15" spans="1:54" x14ac:dyDescent="0.25">
      <c r="A15" s="407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8"/>
      <c r="B16" s="183">
        <v>43</v>
      </c>
      <c r="C16" s="2" t="str" cm="1">
        <f t="array" aca="1" ref="C16" ca="1">INDIRECT(ADDRESS($B16,2,1,1,"mkt data"))</f>
        <v>BTCU6/BTCV6</v>
      </c>
      <c r="E16" s="152" cm="1">
        <f t="array" aca="1" ref="E16" ca="1">INDIRECT(ADDRESS($B16,11,1,1,"mkt data"))</f>
        <v>0</v>
      </c>
      <c r="F16" s="153">
        <f t="shared" ca="1" si="17"/>
        <v>0</v>
      </c>
      <c r="G16" s="246" cm="1">
        <f t="array" aca="1" ref="G16" ca="1">INDIRECT(ADDRESS($B16,12,1,1,"mkt data"))</f>
        <v>0</v>
      </c>
      <c r="H16" s="173" t="str" cm="1">
        <f t="array" aca="1" ref="H16:I16" ca="1">_xlfn.TEXTSPLIT(C16,"/")</f>
        <v>BTCU6</v>
      </c>
      <c r="I16" s="174" t="str">
        <f ca="1"/>
        <v>BTCV6</v>
      </c>
      <c r="J16" s="151">
        <f ca="1">J4</f>
        <v>35</v>
      </c>
      <c r="K16" s="152">
        <f t="shared" ref="K16:M20" ca="1" si="30">E16</f>
        <v>0</v>
      </c>
      <c r="L16" s="292">
        <f t="shared" ca="1" si="30"/>
        <v>0</v>
      </c>
      <c r="M16" s="152">
        <f ca="1">G16</f>
        <v>0</v>
      </c>
      <c r="N16" s="154">
        <f ca="1">M16-K16</f>
        <v>0</v>
      </c>
      <c r="O16" s="173" t="str">
        <f t="shared" ca="1" si="2"/>
        <v>BTCU6</v>
      </c>
      <c r="P16" s="103" t="str">
        <f t="shared" ca="1" si="2"/>
        <v>BTCV6</v>
      </c>
      <c r="Q16" s="205">
        <f ca="1">Q4</f>
        <v>0.8</v>
      </c>
      <c r="R16" s="152">
        <f ca="1">$K16*$Q16</f>
        <v>0</v>
      </c>
      <c r="S16" s="153">
        <f ca="1">$L16*$Q16</f>
        <v>0</v>
      </c>
      <c r="T16" s="152">
        <f ca="1">$M16*$Q16</f>
        <v>0</v>
      </c>
      <c r="U16" s="154">
        <f t="shared" ca="1" si="11"/>
        <v>0</v>
      </c>
      <c r="V16" s="173" t="str">
        <f t="shared" ref="V16:V20" ca="1" si="31">O16</f>
        <v>BTCU6</v>
      </c>
      <c r="W16" s="174" t="str">
        <f t="shared" ref="W16:W20" ca="1" si="32">P16</f>
        <v>BTCV6</v>
      </c>
      <c r="X16" s="181">
        <f ca="1">X4</f>
        <v>1</v>
      </c>
      <c r="Y16" s="152">
        <f ca="1">$K16*$X16</f>
        <v>0</v>
      </c>
      <c r="Z16" s="153">
        <f ca="1">$L16*$X16</f>
        <v>0</v>
      </c>
      <c r="AA16" s="152">
        <f ca="1">$M16*$X16</f>
        <v>0</v>
      </c>
      <c r="AB16" s="206">
        <f t="shared" ref="AB16:AB20" ca="1" si="33">AA16-Y16</f>
        <v>0</v>
      </c>
      <c r="AC16" s="173" t="str">
        <f t="shared" ref="AC16:AC20" ca="1" si="34">V16</f>
        <v>BTCU6</v>
      </c>
      <c r="AD16" s="103" t="str">
        <f t="shared" ref="AD16:AD20" ca="1" si="35">W16</f>
        <v>BTCV6</v>
      </c>
      <c r="AE16" s="226">
        <f ca="1">J16/$AE$21</f>
        <v>9.7222222222222224E-2</v>
      </c>
      <c r="AF16" s="230">
        <f ca="1">K16/$F9/$AE16</f>
        <v>0</v>
      </c>
      <c r="AG16" s="229">
        <f t="shared" ref="AG16:AH16" ca="1" si="36">L16/$F9/$AE16</f>
        <v>0</v>
      </c>
      <c r="AH16" s="230">
        <f t="shared" ca="1" si="36"/>
        <v>0</v>
      </c>
      <c r="AI16" s="234">
        <f t="shared" ca="1" si="15"/>
        <v>0</v>
      </c>
    </row>
    <row r="17" spans="1:35" x14ac:dyDescent="0.25">
      <c r="A17" s="408"/>
      <c r="B17" s="224">
        <f>B16+5</f>
        <v>48</v>
      </c>
      <c r="C17" s="2" t="str" cm="1">
        <f t="array" aca="1" ref="C17" ca="1">INDIRECT(ADDRESS($B17,2,1,1,"mkt data"))</f>
        <v>BTCV6/BTCX6</v>
      </c>
      <c r="E17" s="152" cm="1">
        <f t="array" aca="1" ref="E17" ca="1">INDIRECT(ADDRESS($B17,11,1,1,"mkt data"))</f>
        <v>0</v>
      </c>
      <c r="F17" s="153">
        <f t="shared" ca="1" si="17"/>
        <v>0</v>
      </c>
      <c r="G17" s="246" cm="1">
        <f t="array" aca="1" ref="G17" ca="1">INDIRECT(ADDRESS($B17,12,1,1,"mkt data"))</f>
        <v>0</v>
      </c>
      <c r="H17" s="173" t="str" cm="1">
        <f t="array" aca="1" ref="H17:I17" ca="1">_xlfn.TEXTSPLIT(C17,"/")</f>
        <v>BTCV6</v>
      </c>
      <c r="I17" s="174" t="str">
        <f ca="1"/>
        <v>BTCX6</v>
      </c>
      <c r="J17" s="151">
        <f ca="1">J5</f>
        <v>28</v>
      </c>
      <c r="K17" s="152">
        <f t="shared" ca="1" si="30"/>
        <v>0</v>
      </c>
      <c r="L17" s="292">
        <f ca="1">F17</f>
        <v>0</v>
      </c>
      <c r="M17" s="152">
        <f t="shared" ca="1" si="30"/>
        <v>0</v>
      </c>
      <c r="N17" s="154">
        <f t="shared" ref="N17:N20" ca="1" si="37">M17-K17</f>
        <v>0</v>
      </c>
      <c r="O17" s="173" t="str">
        <f t="shared" ca="1" si="2"/>
        <v>BTCV6</v>
      </c>
      <c r="P17" s="103" t="str">
        <f t="shared" ca="1" si="2"/>
        <v>BTCX6</v>
      </c>
      <c r="Q17" s="205">
        <f ca="1">Q5</f>
        <v>1</v>
      </c>
      <c r="R17" s="152">
        <f ca="1">$K17*$Q17</f>
        <v>0</v>
      </c>
      <c r="S17" s="153">
        <f ca="1">$L17*$Q17</f>
        <v>0</v>
      </c>
      <c r="T17" s="152">
        <f ca="1">$M17*$Q17</f>
        <v>0</v>
      </c>
      <c r="U17" s="154">
        <f t="shared" ca="1" si="11"/>
        <v>0</v>
      </c>
      <c r="V17" s="173" t="str">
        <f t="shared" ca="1" si="31"/>
        <v>BTCV6</v>
      </c>
      <c r="W17" s="174" t="str">
        <f t="shared" ca="1" si="32"/>
        <v>BTCX6</v>
      </c>
      <c r="X17" s="181">
        <f ca="1">X5</f>
        <v>1.25</v>
      </c>
      <c r="Y17" s="152">
        <f ca="1">$K17*$X17</f>
        <v>0</v>
      </c>
      <c r="Z17" s="153">
        <f ca="1">$L17*$X17</f>
        <v>0</v>
      </c>
      <c r="AA17" s="152">
        <f ca="1">$M17*$X17</f>
        <v>0</v>
      </c>
      <c r="AB17" s="206">
        <f t="shared" ca="1" si="33"/>
        <v>0</v>
      </c>
      <c r="AC17" s="173" t="str">
        <f t="shared" ca="1" si="34"/>
        <v>BTCV6</v>
      </c>
      <c r="AD17" s="103" t="str">
        <f t="shared" ca="1" si="35"/>
        <v>BTCX6</v>
      </c>
      <c r="AE17" s="226">
        <f t="shared" ref="AE17:AE20" ca="1" si="38">J17/$AE$21</f>
        <v>7.7777777777777779E-2</v>
      </c>
      <c r="AF17" s="230">
        <f t="shared" ref="AF17:AH17" ca="1" si="39">K17/$F10/$AE17</f>
        <v>0</v>
      </c>
      <c r="AG17" s="229">
        <f t="shared" ca="1" si="39"/>
        <v>0</v>
      </c>
      <c r="AH17" s="230">
        <f t="shared" ca="1" si="39"/>
        <v>0</v>
      </c>
      <c r="AI17" s="234">
        <f t="shared" ca="1" si="15"/>
        <v>0</v>
      </c>
    </row>
    <row r="18" spans="1:35" x14ac:dyDescent="0.25">
      <c r="A18" s="408"/>
      <c r="B18" s="224">
        <f>B17+4</f>
        <v>52</v>
      </c>
      <c r="C18" s="2" t="str" cm="1">
        <f t="array" aca="1" ref="C18" ca="1">INDIRECT(ADDRESS($B18,2,1,1,"mkt data"))</f>
        <v>BTCX6/BTCZ6</v>
      </c>
      <c r="E18" s="152" cm="1">
        <f t="array" aca="1" ref="E18" ca="1">INDIRECT(ADDRESS($B18,11,1,1,"mkt data"))</f>
        <v>0</v>
      </c>
      <c r="F18" s="153">
        <f t="shared" ca="1" si="17"/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BTCX6</v>
      </c>
      <c r="I18" s="174" t="str">
        <f ca="1"/>
        <v>BTCZ6</v>
      </c>
      <c r="J18" s="151">
        <f ca="1">J6</f>
        <v>27</v>
      </c>
      <c r="K18" s="152">
        <f t="shared" ca="1" si="30"/>
        <v>0</v>
      </c>
      <c r="L18" s="292">
        <f ca="1">F18</f>
        <v>0</v>
      </c>
      <c r="M18" s="152">
        <f t="shared" ca="1" si="30"/>
        <v>0</v>
      </c>
      <c r="N18" s="154">
        <f t="shared" ca="1" si="37"/>
        <v>0</v>
      </c>
      <c r="O18" s="173" t="str">
        <f t="shared" ca="1" si="2"/>
        <v>BTCX6</v>
      </c>
      <c r="P18" s="103" t="str">
        <f t="shared" ca="1" si="2"/>
        <v>BTCZ6</v>
      </c>
      <c r="Q18" s="205">
        <f ca="1">Q6</f>
        <v>1</v>
      </c>
      <c r="R18" s="152">
        <f ca="1">$K18*$Q18</f>
        <v>0</v>
      </c>
      <c r="S18" s="153">
        <f ca="1">$L18*$Q18</f>
        <v>0</v>
      </c>
      <c r="T18" s="152">
        <f ca="1">$M18*$Q18</f>
        <v>0</v>
      </c>
      <c r="U18" s="154">
        <f t="shared" ca="1" si="11"/>
        <v>0</v>
      </c>
      <c r="V18" s="173" t="str">
        <f t="shared" ca="1" si="31"/>
        <v>BTCX6</v>
      </c>
      <c r="W18" s="174" t="str">
        <f t="shared" ca="1" si="32"/>
        <v>BTCZ6</v>
      </c>
      <c r="X18" s="181">
        <f ca="1">X6</f>
        <v>1.25</v>
      </c>
      <c r="Y18" s="152">
        <f ca="1">$K18*$X18</f>
        <v>0</v>
      </c>
      <c r="Z18" s="153">
        <f ca="1">$L18*$X18</f>
        <v>0</v>
      </c>
      <c r="AA18" s="152">
        <f ca="1">$M18*$X18</f>
        <v>0</v>
      </c>
      <c r="AB18" s="206">
        <f t="shared" ca="1" si="33"/>
        <v>0</v>
      </c>
      <c r="AC18" s="173" t="str">
        <f t="shared" ca="1" si="34"/>
        <v>BTCX6</v>
      </c>
      <c r="AD18" s="103" t="str">
        <f t="shared" ca="1" si="35"/>
        <v>BTCZ6</v>
      </c>
      <c r="AE18" s="226">
        <f t="shared" ca="1" si="38"/>
        <v>7.4999999999999997E-2</v>
      </c>
      <c r="AF18" s="230">
        <f t="shared" ref="AF18:AH18" ca="1" si="40">K18/$F11/$AE18</f>
        <v>0</v>
      </c>
      <c r="AG18" s="229">
        <f t="shared" ca="1" si="40"/>
        <v>0</v>
      </c>
      <c r="AH18" s="230">
        <f t="shared" ca="1" si="40"/>
        <v>0</v>
      </c>
      <c r="AI18" s="234">
        <f t="shared" ca="1" si="15"/>
        <v>0</v>
      </c>
    </row>
    <row r="19" spans="1:35" x14ac:dyDescent="0.25">
      <c r="A19" s="408"/>
      <c r="B19" s="224">
        <f>B18+3</f>
        <v>55</v>
      </c>
      <c r="C19" s="2" t="str" cm="1">
        <f t="array" aca="1" ref="C19" ca="1">INDIRECT(ADDRESS($B19,2,1,1,"mkt data"))</f>
        <v>BTCZ6/BTCF7</v>
      </c>
      <c r="E19" s="152" cm="1">
        <f t="array" aca="1" ref="E19" ca="1">INDIRECT(ADDRESS($B19,11,1,1,"mkt data"))</f>
        <v>0</v>
      </c>
      <c r="F19" s="153">
        <f t="shared" ca="1" si="17"/>
        <v>0</v>
      </c>
      <c r="G19" s="246" cm="1">
        <f t="array" aca="1" ref="G19" ca="1">INDIRECT(ADDRESS($B19,12,1,1,"mkt data"))</f>
        <v>0</v>
      </c>
      <c r="H19" s="173" t="str" cm="1">
        <f t="array" aca="1" ref="H19:I19" ca="1">_xlfn.TEXTSPLIT(C19,"/")</f>
        <v>BTCZ6</v>
      </c>
      <c r="I19" s="174" t="str">
        <f ca="1"/>
        <v>BTCF7</v>
      </c>
      <c r="J19" s="151">
        <f ca="1">J7</f>
        <v>36</v>
      </c>
      <c r="K19" s="152">
        <f t="shared" ca="1" si="30"/>
        <v>0</v>
      </c>
      <c r="L19" s="292">
        <f t="shared" ca="1" si="30"/>
        <v>0</v>
      </c>
      <c r="M19" s="152">
        <f t="shared" ca="1" si="30"/>
        <v>0</v>
      </c>
      <c r="N19" s="154">
        <f t="shared" ca="1" si="37"/>
        <v>0</v>
      </c>
      <c r="O19" s="173" t="str">
        <f t="shared" ca="1" si="2"/>
        <v>BTCZ6</v>
      </c>
      <c r="P19" s="103" t="str">
        <f t="shared" ca="1" si="2"/>
        <v>BTCF7</v>
      </c>
      <c r="Q19" s="205">
        <f ca="1">Q7</f>
        <v>1</v>
      </c>
      <c r="R19" s="152">
        <f ca="1">$K19*$Q19</f>
        <v>0</v>
      </c>
      <c r="S19" s="153">
        <f ca="1">$L19*$Q19</f>
        <v>0</v>
      </c>
      <c r="T19" s="152">
        <f ca="1">$M19*$Q19</f>
        <v>0</v>
      </c>
      <c r="U19" s="154">
        <f t="shared" ca="1" si="11"/>
        <v>0</v>
      </c>
      <c r="V19" s="173" t="str">
        <f t="shared" ca="1" si="31"/>
        <v>BTCZ6</v>
      </c>
      <c r="W19" s="174" t="str">
        <f t="shared" ca="1" si="32"/>
        <v>BTCF7</v>
      </c>
      <c r="X19" s="181">
        <f ca="1">X7</f>
        <v>1.25</v>
      </c>
      <c r="Y19" s="152">
        <f ca="1">$K19*$X19</f>
        <v>0</v>
      </c>
      <c r="Z19" s="153">
        <f ca="1">$L19*$X19</f>
        <v>0</v>
      </c>
      <c r="AA19" s="152">
        <f ca="1">$M19*$X19</f>
        <v>0</v>
      </c>
      <c r="AB19" s="206">
        <f t="shared" ca="1" si="33"/>
        <v>0</v>
      </c>
      <c r="AC19" s="173" t="str">
        <f t="shared" ca="1" si="34"/>
        <v>BTCZ6</v>
      </c>
      <c r="AD19" s="103" t="str">
        <f t="shared" ca="1" si="35"/>
        <v>BTCF7</v>
      </c>
      <c r="AE19" s="226">
        <f t="shared" ca="1" si="38"/>
        <v>0.1</v>
      </c>
      <c r="AF19" s="230">
        <f t="shared" ref="AF19:AH19" ca="1" si="41">K19/$F12/$AE19</f>
        <v>0</v>
      </c>
      <c r="AG19" s="229">
        <f t="shared" ca="1" si="41"/>
        <v>0</v>
      </c>
      <c r="AH19" s="230">
        <f t="shared" ca="1" si="41"/>
        <v>0</v>
      </c>
      <c r="AI19" s="234">
        <f t="shared" ca="1" si="15"/>
        <v>0</v>
      </c>
    </row>
    <row r="20" spans="1:35" ht="15.75" thickBot="1" x14ac:dyDescent="0.3">
      <c r="A20" s="409"/>
      <c r="B20" s="225">
        <f>B19+2</f>
        <v>57</v>
      </c>
      <c r="C20" s="156" t="str" cm="1">
        <f t="array" aca="1" ref="C20" ca="1">INDIRECT(ADDRESS($B20,2,1,1,"mkt data"))</f>
        <v>BTCF7/BTCG7</v>
      </c>
      <c r="D20" s="157"/>
      <c r="E20" s="158" cm="1">
        <f t="array" aca="1" ref="E20" ca="1">INDIRECT(ADDRESS($B20,11,1,1,"mkt data"))</f>
        <v>0</v>
      </c>
      <c r="F20" s="159">
        <f t="shared" ca="1" si="17"/>
        <v>0</v>
      </c>
      <c r="G20" s="252" cm="1">
        <f t="array" aca="1" ref="G20" ca="1">INDIRECT(ADDRESS($B20,12,1,1,"mkt data"))</f>
        <v>0</v>
      </c>
      <c r="H20" s="175" t="str" cm="1">
        <f t="array" aca="1" ref="H20:I20" ca="1">_xlfn.TEXTSPLIT(C20,"/")</f>
        <v>BTCF7</v>
      </c>
      <c r="I20" s="176" t="str">
        <f ca="1"/>
        <v>BTCG7</v>
      </c>
      <c r="J20" s="155">
        <f ca="1">J8</f>
        <v>28</v>
      </c>
      <c r="K20" s="158">
        <f t="shared" ca="1" si="30"/>
        <v>0</v>
      </c>
      <c r="L20" s="293">
        <f t="shared" ca="1" si="30"/>
        <v>0</v>
      </c>
      <c r="M20" s="158">
        <f t="shared" ca="1" si="30"/>
        <v>0</v>
      </c>
      <c r="N20" s="160">
        <f t="shared" ca="1" si="37"/>
        <v>0</v>
      </c>
      <c r="O20" s="175" t="str">
        <f t="shared" ca="1" si="2"/>
        <v>BTCF7</v>
      </c>
      <c r="P20" s="194" t="str">
        <f t="shared" ca="1" si="2"/>
        <v>BTCG7</v>
      </c>
      <c r="Q20" s="207">
        <f ca="1">Q8</f>
        <v>1</v>
      </c>
      <c r="R20" s="208">
        <f ca="1">$K20*$Q20</f>
        <v>0</v>
      </c>
      <c r="S20" s="209">
        <f ca="1">$L20*$Q20</f>
        <v>0</v>
      </c>
      <c r="T20" s="208">
        <f ca="1">$M20*$Q20</f>
        <v>0</v>
      </c>
      <c r="U20" s="210">
        <f t="shared" ca="1" si="11"/>
        <v>0</v>
      </c>
      <c r="V20" s="211" t="str">
        <f t="shared" ca="1" si="31"/>
        <v>BTCF7</v>
      </c>
      <c r="W20" s="212" t="str">
        <f t="shared" ca="1" si="32"/>
        <v>BTCG7</v>
      </c>
      <c r="X20" s="213">
        <f ca="1">X8</f>
        <v>1.25</v>
      </c>
      <c r="Y20" s="208">
        <f ca="1">$K20*$X20</f>
        <v>0</v>
      </c>
      <c r="Z20" s="209">
        <f ca="1">$L20*$X20</f>
        <v>0</v>
      </c>
      <c r="AA20" s="208">
        <f ca="1">$M20*$X20</f>
        <v>0</v>
      </c>
      <c r="AB20" s="214">
        <f t="shared" ca="1" si="33"/>
        <v>0</v>
      </c>
      <c r="AC20" s="175" t="str">
        <f t="shared" ca="1" si="34"/>
        <v>BTCF7</v>
      </c>
      <c r="AD20" s="194" t="str">
        <f t="shared" ca="1" si="35"/>
        <v>BTCG7</v>
      </c>
      <c r="AE20" s="227">
        <f t="shared" ca="1" si="38"/>
        <v>7.7777777777777779E-2</v>
      </c>
      <c r="AF20" s="231" t="e">
        <f t="shared" ref="AF20:AH20" ca="1" si="42">K20/$F13/$AE20</f>
        <v>#DIV/0!</v>
      </c>
      <c r="AG20" s="232" t="e">
        <f t="shared" ca="1" si="42"/>
        <v>#DIV/0!</v>
      </c>
      <c r="AH20" s="231" t="e">
        <f t="shared" ca="1" si="42"/>
        <v>#DIV/0!</v>
      </c>
      <c r="AI20" s="236" t="e">
        <f t="shared" ca="1" si="15"/>
        <v>#DIV/0!</v>
      </c>
    </row>
    <row r="21" spans="1:35" ht="15.75" thickBot="1" x14ac:dyDescent="0.3">
      <c r="A21" s="407" t="s">
        <v>50</v>
      </c>
      <c r="B21" s="185"/>
      <c r="C21" s="170" t="str">
        <f ca="1">C3</f>
        <v>BTCU6</v>
      </c>
      <c r="D21" s="402">
        <f>'MKT DATA'!AB31</f>
        <v>0</v>
      </c>
      <c r="E21" s="397">
        <f>'MKT DATA'!AA31</f>
        <v>77835</v>
      </c>
      <c r="F21" s="163">
        <f ca="1">F9</f>
        <v>79262.5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8"/>
      <c r="B22" s="224"/>
      <c r="C22" s="2" t="str">
        <f t="shared" ref="C22:C26" ca="1" si="44">C4</f>
        <v>BTCV6</v>
      </c>
      <c r="D22" s="402">
        <f>'MKT DATA'!AB32</f>
        <v>0</v>
      </c>
      <c r="E22" s="398">
        <f>'MKT DATA'!AA32</f>
        <v>78255</v>
      </c>
      <c r="F22" s="153">
        <f t="shared" ref="F22:F26" ca="1" si="45">F10</f>
        <v>79735</v>
      </c>
      <c r="G22" s="154">
        <f ca="1">D22*$R$24*(F22-E22)</f>
        <v>0</v>
      </c>
      <c r="H22" s="218">
        <f>E22-E21</f>
        <v>420</v>
      </c>
      <c r="I22" s="374">
        <f ca="1">L10-H22</f>
        <v>52.5</v>
      </c>
      <c r="K22" s="103"/>
      <c r="L22" s="103"/>
      <c r="M22" s="103"/>
      <c r="N22" s="103"/>
      <c r="Q22" s="195" t="s">
        <v>49</v>
      </c>
      <c r="R22" s="217">
        <f ca="1">MAX(R16:R20)-U21</f>
        <v>-18.0288</v>
      </c>
      <c r="S22" s="217"/>
      <c r="T22" s="149">
        <f ca="1">MIN(T16:T20)+U21</f>
        <v>18.0288</v>
      </c>
      <c r="U22" s="388">
        <f ca="1">MAX(R16:R20)-MIN(T16:T20)</f>
        <v>0</v>
      </c>
      <c r="X22" s="195" t="s">
        <v>49</v>
      </c>
      <c r="Y22" s="217">
        <f ca="1">MAX(Y16:Y20)-AB21</f>
        <v>-22.535999999999998</v>
      </c>
      <c r="Z22" s="217"/>
      <c r="AA22" s="217">
        <f ca="1">MIN(AA16:AA20)+AB21</f>
        <v>22.535999999999998</v>
      </c>
      <c r="AB22" s="197">
        <f ca="1">MAX(Y16:Y20)-MIN(AA16:AA20)</f>
        <v>0</v>
      </c>
      <c r="AE22" s="291"/>
    </row>
    <row r="23" spans="1:35" ht="15.75" thickBot="1" x14ac:dyDescent="0.3">
      <c r="A23" s="408"/>
      <c r="B23" s="224"/>
      <c r="C23" s="2" t="str">
        <f t="shared" ca="1" si="44"/>
        <v>BTCX6</v>
      </c>
      <c r="D23" s="402">
        <f>'MKT DATA'!AB33</f>
        <v>0</v>
      </c>
      <c r="E23" s="398">
        <f>'MKT DATA'!AA33</f>
        <v>78590</v>
      </c>
      <c r="F23" s="153">
        <f t="shared" ca="1" si="45"/>
        <v>22685</v>
      </c>
      <c r="G23" s="154">
        <f t="shared" ca="1" si="43"/>
        <v>0</v>
      </c>
      <c r="H23" s="219">
        <f t="shared" ref="H23:H26" si="46">E23-E22</f>
        <v>335</v>
      </c>
      <c r="I23" s="375">
        <f t="shared" ref="I23:I25" ca="1" si="47">L11-H23</f>
        <v>-57385</v>
      </c>
      <c r="K23" s="103"/>
      <c r="L23" s="103"/>
      <c r="T23" s="349" t="s">
        <v>72</v>
      </c>
      <c r="U23" s="257">
        <f ca="1">U22-U21</f>
        <v>-18.0288</v>
      </c>
      <c r="V23" s="172" t="s">
        <v>73</v>
      </c>
      <c r="AA23" s="349" t="s">
        <v>72</v>
      </c>
      <c r="AB23" s="257">
        <f ca="1">AB22-AB21</f>
        <v>-22.535999999999998</v>
      </c>
      <c r="AC23" s="172" t="s">
        <v>73</v>
      </c>
    </row>
    <row r="24" spans="1:35" ht="15.75" thickBot="1" x14ac:dyDescent="0.3">
      <c r="A24" s="408"/>
      <c r="B24" s="224"/>
      <c r="C24" s="2" t="str">
        <f t="shared" ca="1" si="44"/>
        <v>BTCZ6</v>
      </c>
      <c r="D24" s="402">
        <f>'MKT DATA'!AB34</f>
        <v>0</v>
      </c>
      <c r="E24" s="398">
        <f>'MKT DATA'!AA34</f>
        <v>78925</v>
      </c>
      <c r="F24" s="153">
        <f t="shared" ca="1" si="45"/>
        <v>79837.5</v>
      </c>
      <c r="G24" s="154">
        <f t="shared" ca="1" si="43"/>
        <v>0</v>
      </c>
      <c r="H24" s="219">
        <f t="shared" si="46"/>
        <v>335</v>
      </c>
      <c r="I24" s="375">
        <f ca="1">L12-H24</f>
        <v>56817.5</v>
      </c>
      <c r="K24" s="103"/>
      <c r="L24" s="103"/>
      <c r="Q24" s="287" t="s">
        <v>57</v>
      </c>
      <c r="R24" s="286">
        <v>5</v>
      </c>
      <c r="T24" s="195"/>
      <c r="U24" s="269">
        <f ca="1">U23*R24</f>
        <v>-90.144000000000005</v>
      </c>
      <c r="V24" s="176" t="s">
        <v>74</v>
      </c>
      <c r="AA24" s="195"/>
      <c r="AB24" s="269">
        <f ca="1">AB23*R24</f>
        <v>-112.67999999999999</v>
      </c>
      <c r="AC24" s="176" t="s">
        <v>74</v>
      </c>
    </row>
    <row r="25" spans="1:35" ht="15.75" thickBot="1" x14ac:dyDescent="0.3">
      <c r="A25" s="408"/>
      <c r="B25" s="224"/>
      <c r="C25" s="2" t="str">
        <f t="shared" ca="1" si="44"/>
        <v>BTCF7</v>
      </c>
      <c r="D25" s="402">
        <f>'MKT DATA'!AB35</f>
        <v>0</v>
      </c>
      <c r="E25" s="398">
        <f>'MKT DATA'!AA35</f>
        <v>79310</v>
      </c>
      <c r="F25" s="153">
        <f t="shared" ca="1" si="45"/>
        <v>0</v>
      </c>
      <c r="G25" s="154">
        <f t="shared" ca="1" si="43"/>
        <v>0</v>
      </c>
      <c r="H25" s="219">
        <f t="shared" si="46"/>
        <v>385</v>
      </c>
      <c r="I25" s="375">
        <f t="shared" ca="1" si="47"/>
        <v>-80222.5</v>
      </c>
      <c r="K25" s="103"/>
      <c r="L25" s="103"/>
    </row>
    <row r="26" spans="1:35" ht="15.75" thickBot="1" x14ac:dyDescent="0.3">
      <c r="A26" s="409"/>
      <c r="B26" s="225"/>
      <c r="C26" s="156" t="str">
        <f t="shared" ca="1" si="44"/>
        <v>BTCG7</v>
      </c>
      <c r="D26" s="403">
        <f>'MKT DATA'!AB36</f>
        <v>0</v>
      </c>
      <c r="E26" s="398">
        <f>'MKT DATA'!AA36</f>
        <v>79695</v>
      </c>
      <c r="F26" s="159">
        <f t="shared" ca="1" si="45"/>
        <v>0</v>
      </c>
      <c r="G26" s="160">
        <f t="shared" ca="1" si="43"/>
        <v>0</v>
      </c>
      <c r="H26" s="220">
        <f t="shared" si="46"/>
        <v>385</v>
      </c>
      <c r="I26" s="376">
        <f ca="1">L14-H26</f>
        <v>-385</v>
      </c>
      <c r="J26" s="307"/>
      <c r="K26" s="103"/>
      <c r="L26" s="103"/>
      <c r="Q26" s="382">
        <f ca="1">L16</f>
        <v>0</v>
      </c>
      <c r="R26" s="221">
        <v>1.25</v>
      </c>
      <c r="S26" s="249">
        <f ca="1">+Q26*R26</f>
        <v>0</v>
      </c>
    </row>
    <row r="27" spans="1:35" ht="15.75" thickBot="1" x14ac:dyDescent="0.3">
      <c r="A27" s="356" t="str">
        <f>'MKT DATA'!AC2</f>
        <v>2026-08-30_15-18-00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0</v>
      </c>
      <c r="R27" s="222">
        <v>0.8</v>
      </c>
      <c r="S27" s="383">
        <f ca="1">L17</f>
        <v>0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0</v>
      </c>
      <c r="S28" s="68">
        <f ca="1">+S26-S27</f>
        <v>0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-77835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-78255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-78590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-78925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-79310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-79695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79225</v>
      </c>
      <c r="I43" s="309">
        <f ca="1">E47</f>
        <v>79280</v>
      </c>
      <c r="J43" s="309">
        <f ca="1">E48</f>
        <v>45370</v>
      </c>
      <c r="K43" s="310">
        <f ca="1">E49</f>
        <v>77090</v>
      </c>
      <c r="L43" s="310">
        <f ca="1">E50</f>
        <v>0</v>
      </c>
      <c r="M43" s="311">
        <f ca="1">E51</f>
        <v>0</v>
      </c>
      <c r="O43" s="1"/>
    </row>
    <row r="44" spans="3:29" ht="15.75" thickBot="1" x14ac:dyDescent="0.3">
      <c r="E44" s="7"/>
      <c r="G44" s="103" t="s">
        <v>39</v>
      </c>
      <c r="H44" s="242">
        <f ca="1">F46</f>
        <v>79300</v>
      </c>
      <c r="I44" s="242">
        <f ca="1">F47</f>
        <v>80190</v>
      </c>
      <c r="J44" s="242">
        <f ca="1">F48</f>
        <v>0</v>
      </c>
      <c r="K44" s="149">
        <f ca="1">F49</f>
        <v>82585</v>
      </c>
      <c r="L44" s="149">
        <f ca="1">F50</f>
        <v>0</v>
      </c>
      <c r="M44" s="312">
        <f ca="1">F51</f>
        <v>0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BTCU6</v>
      </c>
      <c r="I45" s="3" t="str">
        <f ca="1">G47</f>
        <v>b/o BTCV6</v>
      </c>
      <c r="J45" s="3" t="str">
        <f ca="1">G48</f>
        <v>b/o BTCX6</v>
      </c>
      <c r="K45" s="3" t="str">
        <f ca="1">G49</f>
        <v>b/o BTCZ6</v>
      </c>
      <c r="L45" s="3" t="str">
        <f ca="1">G50</f>
        <v>b/o BTCF7</v>
      </c>
      <c r="M45" s="87" t="str">
        <f ca="1">G51</f>
        <v>b/o BTCG7</v>
      </c>
      <c r="O45" s="6"/>
      <c r="P45" s="323" t="str">
        <f ca="1">O46</f>
        <v>BTCU6</v>
      </c>
      <c r="Q45" s="323" t="str">
        <f ca="1">O47</f>
        <v>BTCV6</v>
      </c>
      <c r="R45" s="323" t="str">
        <f ca="1">O48</f>
        <v>BTCX6</v>
      </c>
      <c r="S45" s="323" t="str">
        <f ca="1">O49</f>
        <v>BTCZ6</v>
      </c>
      <c r="T45" s="323" t="str">
        <f ca="1">O50</f>
        <v>BTCF7</v>
      </c>
      <c r="U45" s="324" t="str">
        <f ca="1">O51</f>
        <v>BTCG7</v>
      </c>
      <c r="W45" s="6"/>
      <c r="X45" s="323" t="str">
        <f ca="1">W46</f>
        <v>BTCU6</v>
      </c>
      <c r="Y45" s="323" t="str">
        <f ca="1">W47</f>
        <v>BTCV6</v>
      </c>
      <c r="Z45" s="323" t="str">
        <f ca="1">W48</f>
        <v>BTCX6</v>
      </c>
      <c r="AA45" s="323" t="str">
        <f ca="1">W49</f>
        <v>BTCZ6</v>
      </c>
      <c r="AB45" s="323" t="str">
        <f ca="1">W50</f>
        <v>BTCF7</v>
      </c>
      <c r="AC45" s="324" t="str">
        <f ca="1">W51</f>
        <v>BTCG7</v>
      </c>
    </row>
    <row r="46" spans="3:29" x14ac:dyDescent="0.25">
      <c r="E46" s="313">
        <f t="shared" ref="E46:E51" ca="1" si="51">E9</f>
        <v>79225</v>
      </c>
      <c r="F46" s="149">
        <f t="shared" ref="F46:F51" ca="1" si="52">G9</f>
        <v>79300</v>
      </c>
      <c r="G46" s="103" t="str">
        <f t="shared" ref="G46:G51" ca="1" si="53">C9</f>
        <v>b/o BTCU6</v>
      </c>
      <c r="H46" s="314"/>
      <c r="I46" s="315">
        <f ca="1">I$44-$F46</f>
        <v>890</v>
      </c>
      <c r="J46" s="315">
        <f ca="1">J$44-$F46</f>
        <v>-79300</v>
      </c>
      <c r="K46" s="315">
        <f ca="1">K$44-$F46</f>
        <v>3285</v>
      </c>
      <c r="L46" s="315">
        <f ca="1">L$44-$F46</f>
        <v>-79300</v>
      </c>
      <c r="M46" s="316">
        <f ca="1">M$44-$F46</f>
        <v>-79300</v>
      </c>
      <c r="O46" s="173" t="str">
        <f t="shared" ref="O46:O51" ca="1" si="54">C3</f>
        <v>BTCU6</v>
      </c>
      <c r="P46" s="314"/>
      <c r="Q46" s="315">
        <f>'MKT DATA'!$H43</f>
        <v>0</v>
      </c>
      <c r="R46" s="315">
        <f>'MKT DATA'!$H44</f>
        <v>0</v>
      </c>
      <c r="S46" s="315">
        <f>'MKT DATA'!$H45</f>
        <v>3360</v>
      </c>
      <c r="T46" s="315">
        <f>'MKT DATA'!$H46</f>
        <v>0</v>
      </c>
      <c r="U46" s="316">
        <f>'MKT DATA'!$H47</f>
        <v>0</v>
      </c>
      <c r="W46" s="173" t="str">
        <f ca="1">O46</f>
        <v>BTCU6</v>
      </c>
      <c r="X46" s="314"/>
      <c r="Y46" s="315">
        <f ca="1">Q46-I46</f>
        <v>-890</v>
      </c>
      <c r="Z46" s="315">
        <f t="shared" ref="Z46:AC50" ca="1" si="55">R46-J46</f>
        <v>79300</v>
      </c>
      <c r="AA46" s="315">
        <f t="shared" ca="1" si="55"/>
        <v>75</v>
      </c>
      <c r="AB46" s="315">
        <f t="shared" ca="1" si="55"/>
        <v>79300</v>
      </c>
      <c r="AC46" s="316">
        <f t="shared" ca="1" si="55"/>
        <v>79300</v>
      </c>
    </row>
    <row r="47" spans="3:29" x14ac:dyDescent="0.25">
      <c r="E47" s="313">
        <f t="shared" ca="1" si="51"/>
        <v>79280</v>
      </c>
      <c r="F47" s="149">
        <f t="shared" ca="1" si="52"/>
        <v>80190</v>
      </c>
      <c r="G47" s="103" t="str">
        <f t="shared" ca="1" si="53"/>
        <v>b/o BTCV6</v>
      </c>
      <c r="H47" s="317">
        <f ca="1">$E47-H$43</f>
        <v>55</v>
      </c>
      <c r="I47" s="314"/>
      <c r="J47" s="315">
        <f ca="1">J$44-$F47</f>
        <v>-80190</v>
      </c>
      <c r="K47" s="315">
        <f ca="1">K$44-$F47</f>
        <v>2395</v>
      </c>
      <c r="L47" s="315">
        <f ca="1">L$44-$F47</f>
        <v>-80190</v>
      </c>
      <c r="M47" s="316">
        <f ca="1">M$44-$F47</f>
        <v>-80190</v>
      </c>
      <c r="O47" s="173" t="str">
        <f t="shared" ca="1" si="54"/>
        <v>BTCV6</v>
      </c>
      <c r="P47" s="317">
        <f>'MKT DATA'!$G43</f>
        <v>0</v>
      </c>
      <c r="Q47" s="314"/>
      <c r="R47" s="315">
        <f>'MKT DATA'!$H48</f>
        <v>0</v>
      </c>
      <c r="S47" s="315">
        <f>'MKT DATA'!$H49</f>
        <v>3305</v>
      </c>
      <c r="T47" s="315">
        <f>'MKT DATA'!$H50</f>
        <v>0</v>
      </c>
      <c r="U47" s="316">
        <f>'MKT DATA'!$H51</f>
        <v>0</v>
      </c>
      <c r="W47" s="173" t="str">
        <f t="shared" ref="W47:W51" ca="1" si="56">O47</f>
        <v>BTCV6</v>
      </c>
      <c r="X47" s="317">
        <f ca="1">H47-P47</f>
        <v>55</v>
      </c>
      <c r="Y47" s="314"/>
      <c r="Z47" s="315">
        <f t="shared" ca="1" si="55"/>
        <v>80190</v>
      </c>
      <c r="AA47" s="315">
        <f t="shared" ca="1" si="55"/>
        <v>910</v>
      </c>
      <c r="AB47" s="315">
        <f t="shared" ca="1" si="55"/>
        <v>80190</v>
      </c>
      <c r="AC47" s="316">
        <f t="shared" ca="1" si="55"/>
        <v>80190</v>
      </c>
    </row>
    <row r="48" spans="3:29" x14ac:dyDescent="0.25">
      <c r="E48" s="313">
        <f t="shared" ca="1" si="51"/>
        <v>45370</v>
      </c>
      <c r="F48" s="149">
        <f t="shared" ca="1" si="52"/>
        <v>0</v>
      </c>
      <c r="G48" s="103" t="str">
        <f t="shared" ca="1" si="53"/>
        <v>b/o BTCX6</v>
      </c>
      <c r="H48" s="317">
        <f ca="1">$E48-H$43</f>
        <v>-33855</v>
      </c>
      <c r="I48" s="317">
        <f ca="1">$E48-I$43</f>
        <v>-33910</v>
      </c>
      <c r="J48" s="314"/>
      <c r="K48" s="315">
        <f ca="1">K$44-$F48</f>
        <v>82585</v>
      </c>
      <c r="L48" s="315">
        <f ca="1">L$44-$F48</f>
        <v>0</v>
      </c>
      <c r="M48" s="316">
        <f ca="1">M$44-$F48</f>
        <v>0</v>
      </c>
      <c r="O48" s="173" t="str">
        <f t="shared" ca="1" si="54"/>
        <v>BTCX6</v>
      </c>
      <c r="P48" s="317">
        <f>'MKT DATA'!$G44</f>
        <v>0</v>
      </c>
      <c r="Q48" s="317">
        <f>'MKT DATA'!$G48</f>
        <v>0</v>
      </c>
      <c r="R48" s="314"/>
      <c r="S48" s="315">
        <f>'MKT DATA'!$H52</f>
        <v>0</v>
      </c>
      <c r="T48" s="315">
        <f>'MKT DATA'!$H53</f>
        <v>0</v>
      </c>
      <c r="U48" s="316">
        <f>'MKT DATA'!$H54</f>
        <v>0</v>
      </c>
      <c r="W48" s="173" t="str">
        <f t="shared" ca="1" si="56"/>
        <v>BTCX6</v>
      </c>
      <c r="X48" s="317">
        <f t="shared" ref="X48:X51" ca="1" si="57">H48-P48</f>
        <v>-33855</v>
      </c>
      <c r="Y48" s="317">
        <f t="shared" ref="Y48:AB51" ca="1" si="58">I48-Q48</f>
        <v>-33910</v>
      </c>
      <c r="Z48" s="314"/>
      <c r="AA48" s="315">
        <f t="shared" ca="1" si="55"/>
        <v>-82585</v>
      </c>
      <c r="AB48" s="315">
        <f t="shared" ca="1" si="55"/>
        <v>0</v>
      </c>
      <c r="AC48" s="316">
        <f t="shared" ca="1" si="55"/>
        <v>0</v>
      </c>
    </row>
    <row r="49" spans="5:29" x14ac:dyDescent="0.25">
      <c r="E49" s="313">
        <f t="shared" ca="1" si="51"/>
        <v>77090</v>
      </c>
      <c r="F49" s="149">
        <f t="shared" ca="1" si="52"/>
        <v>82585</v>
      </c>
      <c r="G49" s="103" t="str">
        <f t="shared" ca="1" si="53"/>
        <v>b/o BTCZ6</v>
      </c>
      <c r="H49" s="317">
        <f ca="1">$E49-H$43</f>
        <v>-2135</v>
      </c>
      <c r="I49" s="317">
        <f ca="1">$E49-I$43</f>
        <v>-2190</v>
      </c>
      <c r="J49" s="317">
        <f ca="1">$E49-J$43</f>
        <v>31720</v>
      </c>
      <c r="K49" s="314"/>
      <c r="L49" s="315">
        <f ca="1">L$44-$F49</f>
        <v>-82585</v>
      </c>
      <c r="M49" s="316">
        <f ca="1">M$44-$F49</f>
        <v>-82585</v>
      </c>
      <c r="O49" s="173" t="str">
        <f t="shared" ca="1" si="54"/>
        <v>BTCZ6</v>
      </c>
      <c r="P49" s="317">
        <f>'MKT DATA'!$G45</f>
        <v>-2210</v>
      </c>
      <c r="Q49" s="317">
        <f>'MKT DATA'!$G49</f>
        <v>-3100</v>
      </c>
      <c r="R49" s="317">
        <f>'MKT DATA'!$G52</f>
        <v>0</v>
      </c>
      <c r="S49" s="314"/>
      <c r="T49" s="315">
        <f>'MKT DATA'!$H55</f>
        <v>0</v>
      </c>
      <c r="U49" s="316">
        <f>'MKT DATA'!$H56</f>
        <v>0</v>
      </c>
      <c r="W49" s="173" t="str">
        <f t="shared" ca="1" si="56"/>
        <v>BTCZ6</v>
      </c>
      <c r="X49" s="317">
        <f t="shared" ca="1" si="57"/>
        <v>75</v>
      </c>
      <c r="Y49" s="317">
        <f t="shared" ca="1" si="58"/>
        <v>910</v>
      </c>
      <c r="Z49" s="317">
        <f t="shared" ca="1" si="58"/>
        <v>31720</v>
      </c>
      <c r="AA49" s="314"/>
      <c r="AB49" s="315">
        <f t="shared" ca="1" si="55"/>
        <v>82585</v>
      </c>
      <c r="AC49" s="316">
        <f t="shared" ca="1" si="55"/>
        <v>82585</v>
      </c>
    </row>
    <row r="50" spans="5:29" x14ac:dyDescent="0.25">
      <c r="E50" s="313">
        <f t="shared" ca="1" si="51"/>
        <v>0</v>
      </c>
      <c r="F50" s="149">
        <f t="shared" ca="1" si="52"/>
        <v>0</v>
      </c>
      <c r="G50" s="103" t="str">
        <f t="shared" ca="1" si="53"/>
        <v>b/o BTCF7</v>
      </c>
      <c r="H50" s="317">
        <f ca="1">$E50-H$43</f>
        <v>-79225</v>
      </c>
      <c r="I50" s="317">
        <f ca="1">$E50-I$43</f>
        <v>-79280</v>
      </c>
      <c r="J50" s="317">
        <f ca="1">$E50-J$43</f>
        <v>-45370</v>
      </c>
      <c r="K50" s="317">
        <f ca="1">$E50-K$43</f>
        <v>-77090</v>
      </c>
      <c r="L50" s="314"/>
      <c r="M50" s="316">
        <f ca="1">M$44-$F50</f>
        <v>0</v>
      </c>
      <c r="O50" s="173" t="str">
        <f t="shared" ca="1" si="54"/>
        <v>BTCF7</v>
      </c>
      <c r="P50" s="317">
        <f>'MKT DATA'!$G46</f>
        <v>0</v>
      </c>
      <c r="Q50" s="317">
        <f>'MKT DATA'!$G50</f>
        <v>0</v>
      </c>
      <c r="R50" s="317">
        <f>'MKT DATA'!$G53</f>
        <v>0</v>
      </c>
      <c r="S50" s="317">
        <f>'MKT DATA'!$G55</f>
        <v>0</v>
      </c>
      <c r="T50" s="314"/>
      <c r="U50" s="316">
        <f>'MKT DATA'!$H57</f>
        <v>0</v>
      </c>
      <c r="W50" s="173" t="str">
        <f t="shared" ca="1" si="56"/>
        <v>BTCF7</v>
      </c>
      <c r="X50" s="317">
        <f t="shared" ca="1" si="57"/>
        <v>-79225</v>
      </c>
      <c r="Y50" s="317">
        <f t="shared" ca="1" si="58"/>
        <v>-79280</v>
      </c>
      <c r="Z50" s="317">
        <f t="shared" ca="1" si="58"/>
        <v>-45370</v>
      </c>
      <c r="AA50" s="317">
        <f t="shared" ca="1" si="58"/>
        <v>-77090</v>
      </c>
      <c r="AB50" s="314"/>
      <c r="AC50" s="316">
        <f t="shared" ca="1" si="55"/>
        <v>0</v>
      </c>
    </row>
    <row r="51" spans="5:29" ht="15.75" thickBot="1" x14ac:dyDescent="0.3">
      <c r="E51" s="318">
        <f t="shared" ca="1" si="51"/>
        <v>0</v>
      </c>
      <c r="F51" s="217">
        <f t="shared" ca="1" si="52"/>
        <v>0</v>
      </c>
      <c r="G51" s="194" t="str">
        <f t="shared" ca="1" si="53"/>
        <v>b/o BTCG7</v>
      </c>
      <c r="H51" s="319">
        <f ca="1">$E51-H$43</f>
        <v>-79225</v>
      </c>
      <c r="I51" s="319">
        <f ca="1">$E51-I$43</f>
        <v>-79280</v>
      </c>
      <c r="J51" s="319">
        <f ca="1">$E51-J$43</f>
        <v>-45370</v>
      </c>
      <c r="K51" s="319">
        <f ca="1">$E51-K$43</f>
        <v>-77090</v>
      </c>
      <c r="L51" s="319">
        <f ca="1">$E51-L$43</f>
        <v>0</v>
      </c>
      <c r="M51" s="320"/>
      <c r="O51" s="175" t="str">
        <f t="shared" ca="1" si="54"/>
        <v>BTCG7</v>
      </c>
      <c r="P51" s="319">
        <f>'MKT DATA'!$G47</f>
        <v>0</v>
      </c>
      <c r="Q51" s="319">
        <f>'MKT DATA'!$G51</f>
        <v>0</v>
      </c>
      <c r="R51" s="319">
        <f>'MKT DATA'!$G54</f>
        <v>0</v>
      </c>
      <c r="S51" s="319">
        <f>'MKT DATA'!$G56</f>
        <v>0</v>
      </c>
      <c r="T51" s="319">
        <f>'MKT DATA'!$G57</f>
        <v>0</v>
      </c>
      <c r="U51" s="320"/>
      <c r="W51" s="175" t="str">
        <f t="shared" ca="1" si="56"/>
        <v>BTCG7</v>
      </c>
      <c r="X51" s="319">
        <f t="shared" ca="1" si="57"/>
        <v>-79225</v>
      </c>
      <c r="Y51" s="319">
        <f t="shared" ca="1" si="58"/>
        <v>-79280</v>
      </c>
      <c r="Z51" s="319">
        <f t="shared" ca="1" si="58"/>
        <v>-45370</v>
      </c>
      <c r="AA51" s="319">
        <f t="shared" ca="1" si="58"/>
        <v>-77090</v>
      </c>
      <c r="AB51" s="319">
        <f t="shared" ca="1" si="58"/>
        <v>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7" t="s">
        <v>47</v>
      </c>
      <c r="B3" s="183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26</v>
      </c>
      <c r="E3" s="244" cm="1">
        <f t="array" aca="1" ref="E3" ca="1">INDIRECT(ADDRESS($B3,11,1,1,"mkt data"))</f>
        <v>2518.5</v>
      </c>
      <c r="F3" s="245">
        <f t="shared" ref="F3:F12" ca="1" si="0">AVERAGE(E3,G3)</f>
        <v>2520.25</v>
      </c>
      <c r="G3" s="246" cm="1">
        <f t="array" aca="1" ref="G3" ca="1">INDIRECT(ADDRESS($B3,12,1,1,"mkt data"))</f>
        <v>2522</v>
      </c>
      <c r="H3" s="173"/>
      <c r="I3" s="174"/>
      <c r="J3" s="169"/>
      <c r="K3" s="369">
        <f ca="1">+E4-G3</f>
        <v>-15</v>
      </c>
      <c r="L3" s="370"/>
      <c r="M3" s="371">
        <f ca="1">+G4-E3</f>
        <v>33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8"/>
      <c r="B4" s="224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61</v>
      </c>
      <c r="E4" s="244" cm="1">
        <f t="array" aca="1" ref="E4" ca="1">INDIRECT(ADDRESS($B4,11,1,1,"mkt data"))</f>
        <v>2507</v>
      </c>
      <c r="F4" s="245">
        <f t="shared" ca="1" si="0"/>
        <v>2529.25</v>
      </c>
      <c r="G4" s="246" cm="1">
        <f t="array" aca="1" ref="G4" ca="1">INDIRECT(ADDRESS($B4,12,1,1,"mkt data"))</f>
        <v>2551.5</v>
      </c>
      <c r="H4" s="173" t="str">
        <f ca="1">C3</f>
        <v>ETHU6</v>
      </c>
      <c r="I4" s="174" t="str">
        <f ca="1">C4</f>
        <v>ETHV6</v>
      </c>
      <c r="J4" s="151">
        <f t="shared" ref="J4:M6" ca="1" si="1">D4-D3</f>
        <v>35</v>
      </c>
      <c r="K4" s="256">
        <f t="shared" ca="1" si="1"/>
        <v>-11.5</v>
      </c>
      <c r="L4" s="245">
        <f t="shared" ca="1" si="1"/>
        <v>9</v>
      </c>
      <c r="M4" s="256">
        <f ca="1">G4-G3</f>
        <v>29.5</v>
      </c>
      <c r="N4" s="246">
        <f ca="1">M4-K4</f>
        <v>41</v>
      </c>
      <c r="O4" s="183" t="str">
        <f t="shared" ref="O4:P8" ca="1" si="2">H4</f>
        <v>ETHU6</v>
      </c>
      <c r="P4" s="184" t="str">
        <f t="shared" ca="1" si="2"/>
        <v>ETHV6</v>
      </c>
      <c r="Q4" s="188">
        <f ca="1">IF(J4=35,80%,100%)</f>
        <v>0.8</v>
      </c>
      <c r="R4" s="245">
        <f ca="1">$K4*$Q4</f>
        <v>-9.2000000000000011</v>
      </c>
      <c r="S4" s="245">
        <f ca="1">$L4*$Q4</f>
        <v>7.2</v>
      </c>
      <c r="T4" s="245">
        <f ca="1">$M4*$Q4</f>
        <v>23.6</v>
      </c>
      <c r="U4" s="259">
        <f ca="1">T4-R4</f>
        <v>32.800000000000004</v>
      </c>
      <c r="V4" s="183" t="str">
        <f t="shared" ref="V4:W8" ca="1" si="3">O4</f>
        <v>ETHU6</v>
      </c>
      <c r="W4" s="184" t="str">
        <f t="shared" ca="1" si="3"/>
        <v>ETHV6</v>
      </c>
      <c r="X4" s="188">
        <f ca="1">Q4/80%</f>
        <v>1</v>
      </c>
      <c r="Y4" s="245">
        <f ca="1">$K4*$X4</f>
        <v>-11.5</v>
      </c>
      <c r="Z4" s="245">
        <f ca="1">$L4*$X4</f>
        <v>9</v>
      </c>
      <c r="AA4" s="245">
        <f ca="1">$M4*$X4</f>
        <v>29.5</v>
      </c>
      <c r="AB4" s="259">
        <f ca="1">AA4-Y4</f>
        <v>41</v>
      </c>
      <c r="AC4" s="183" t="str">
        <f t="shared" ref="AC4:AD8" ca="1" si="4">V4</f>
        <v>ETHU6</v>
      </c>
      <c r="AD4" s="184" t="str">
        <f t="shared" ca="1" si="4"/>
        <v>ETHV6</v>
      </c>
      <c r="AE4" s="226">
        <f ca="1">J4/$AE$21</f>
        <v>9.7222222222222224E-2</v>
      </c>
      <c r="AF4" s="229">
        <f t="shared" ref="AF4:AH8" ca="1" si="5">K4/$F3/$AE4</f>
        <v>-4.6934119347570399E-2</v>
      </c>
      <c r="AG4" s="229">
        <f t="shared" ca="1" si="5"/>
        <v>3.6731049924185528E-2</v>
      </c>
      <c r="AH4" s="229">
        <f t="shared" ca="1" si="5"/>
        <v>0.12039621919594144</v>
      </c>
      <c r="AI4" s="239">
        <f ca="1">AH4-AF4</f>
        <v>0.16733033854351184</v>
      </c>
    </row>
    <row r="5" spans="1:38" x14ac:dyDescent="0.25">
      <c r="A5" s="408"/>
      <c r="B5" s="224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89</v>
      </c>
      <c r="E5" s="244" cm="1">
        <f t="array" aca="1" ref="E5" ca="1">INDIRECT(ADDRESS($B5,11,1,1,"mkt data"))</f>
        <v>-1</v>
      </c>
      <c r="F5" s="245">
        <f t="shared" ca="1" si="0"/>
        <v>-1</v>
      </c>
      <c r="G5" s="246" cm="1">
        <f t="array" aca="1" ref="G5" ca="1">INDIRECT(ADDRESS($B5,12,1,1,"mkt data"))</f>
        <v>-1</v>
      </c>
      <c r="H5" s="173" t="str">
        <f ca="1">C4</f>
        <v>ETHV6</v>
      </c>
      <c r="I5" s="174" t="str">
        <f ca="1">C5</f>
        <v>ETHX6</v>
      </c>
      <c r="J5" s="151">
        <f t="shared" ca="1" si="1"/>
        <v>28</v>
      </c>
      <c r="K5" s="256">
        <f t="shared" ca="1" si="1"/>
        <v>-2508</v>
      </c>
      <c r="L5" s="245">
        <f t="shared" ca="1" si="1"/>
        <v>-2530.25</v>
      </c>
      <c r="M5" s="256">
        <f t="shared" ca="1" si="1"/>
        <v>-2552.5</v>
      </c>
      <c r="N5" s="246">
        <f ca="1">M5-K5</f>
        <v>-44.5</v>
      </c>
      <c r="O5" s="183" t="str">
        <f t="shared" ca="1" si="2"/>
        <v>ETHV6</v>
      </c>
      <c r="P5" s="184" t="str">
        <f t="shared" ca="1" si="2"/>
        <v>ETHX6</v>
      </c>
      <c r="Q5" s="188">
        <f ca="1">IF(J5=35,80%,100%)</f>
        <v>1</v>
      </c>
      <c r="R5" s="245">
        <f ca="1">$K5*$Q5</f>
        <v>-2508</v>
      </c>
      <c r="S5" s="245">
        <f ca="1">$L5*$Q5</f>
        <v>-2530.25</v>
      </c>
      <c r="T5" s="245">
        <f ca="1">$M5*$Q5</f>
        <v>-2552.5</v>
      </c>
      <c r="U5" s="259">
        <f ca="1">T5-R5</f>
        <v>-44.5</v>
      </c>
      <c r="V5" s="183" t="str">
        <f t="shared" ca="1" si="3"/>
        <v>ETHV6</v>
      </c>
      <c r="W5" s="184" t="str">
        <f t="shared" ca="1" si="3"/>
        <v>ETHX6</v>
      </c>
      <c r="X5" s="188">
        <f ca="1">Q5/80%</f>
        <v>1.25</v>
      </c>
      <c r="Y5" s="245">
        <f ca="1">$K5*$X5</f>
        <v>-3135</v>
      </c>
      <c r="Z5" s="245">
        <f ca="1">$L5*$X5</f>
        <v>-3162.8125</v>
      </c>
      <c r="AA5" s="245">
        <f ca="1">$M5*$X5</f>
        <v>-3190.625</v>
      </c>
      <c r="AB5" s="259">
        <f ca="1">AA5-Y5</f>
        <v>-55.625</v>
      </c>
      <c r="AC5" s="183" t="str">
        <f t="shared" ca="1" si="4"/>
        <v>ETHV6</v>
      </c>
      <c r="AD5" s="184" t="str">
        <f t="shared" ca="1" si="4"/>
        <v>ETHX6</v>
      </c>
      <c r="AE5" s="226">
        <f t="shared" ref="AE5:AE8" ca="1" si="7">J5/$AE$21</f>
        <v>7.7777777777777779E-2</v>
      </c>
      <c r="AF5" s="229">
        <f t="shared" ca="1" si="5"/>
        <v>-12.74912099860207</v>
      </c>
      <c r="AG5" s="229">
        <f t="shared" ca="1" si="5"/>
        <v>-12.862226238721245</v>
      </c>
      <c r="AH5" s="229">
        <f t="shared" ca="1" si="5"/>
        <v>-12.975331478840424</v>
      </c>
      <c r="AI5" s="239">
        <f ca="1">AH5-AF5</f>
        <v>-0.22621048023835399</v>
      </c>
    </row>
    <row r="6" spans="1:38" x14ac:dyDescent="0.25">
      <c r="A6" s="408"/>
      <c r="B6" s="224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116</v>
      </c>
      <c r="E6" s="244" cm="1">
        <f t="array" aca="1" ref="E6" ca="1">INDIRECT(ADDRESS($B6,11,1,1,"mkt data"))</f>
        <v>2368</v>
      </c>
      <c r="F6" s="245">
        <f t="shared" ca="1" si="0"/>
        <v>2539.5</v>
      </c>
      <c r="G6" s="246" cm="1">
        <f t="array" aca="1" ref="G6" ca="1">INDIRECT(ADDRESS($B6,12,1,1,"mkt data"))</f>
        <v>2711</v>
      </c>
      <c r="H6" s="173" t="str">
        <f ca="1">C5</f>
        <v>ETHX6</v>
      </c>
      <c r="I6" s="174" t="str">
        <f ca="1">C6</f>
        <v>ETHZ6</v>
      </c>
      <c r="J6" s="151">
        <f t="shared" ca="1" si="1"/>
        <v>27</v>
      </c>
      <c r="K6" s="244">
        <f t="shared" ca="1" si="1"/>
        <v>2369</v>
      </c>
      <c r="L6" s="245">
        <f t="shared" ca="1" si="1"/>
        <v>2540.5</v>
      </c>
      <c r="M6" s="244">
        <f t="shared" ca="1" si="1"/>
        <v>2712</v>
      </c>
      <c r="N6" s="246">
        <f ca="1">M6-K6</f>
        <v>343</v>
      </c>
      <c r="O6" s="183" t="str">
        <f t="shared" ca="1" si="2"/>
        <v>ETHX6</v>
      </c>
      <c r="P6" s="184" t="str">
        <f t="shared" ca="1" si="2"/>
        <v>ETHZ6</v>
      </c>
      <c r="Q6" s="188">
        <f ca="1">IF(J6=35,80%,100%)</f>
        <v>1</v>
      </c>
      <c r="R6" s="245">
        <f ca="1">$K6*$Q6</f>
        <v>2369</v>
      </c>
      <c r="S6" s="245">
        <f ca="1">$L6*$Q6</f>
        <v>2540.5</v>
      </c>
      <c r="T6" s="245">
        <f ca="1">$M6*$Q6</f>
        <v>2712</v>
      </c>
      <c r="U6" s="259">
        <f ca="1">T6-R6</f>
        <v>343</v>
      </c>
      <c r="V6" s="183" t="str">
        <f t="shared" ca="1" si="3"/>
        <v>ETHX6</v>
      </c>
      <c r="W6" s="184" t="str">
        <f t="shared" ca="1" si="3"/>
        <v>ETHZ6</v>
      </c>
      <c r="X6" s="188">
        <f ca="1">Q6/80%</f>
        <v>1.25</v>
      </c>
      <c r="Y6" s="245">
        <f ca="1">$K6*$X6</f>
        <v>2961.25</v>
      </c>
      <c r="Z6" s="245">
        <f ca="1">$L6*$X6</f>
        <v>3175.625</v>
      </c>
      <c r="AA6" s="245">
        <f ca="1">$M6*$X6</f>
        <v>3390</v>
      </c>
      <c r="AB6" s="259">
        <f ca="1">AA6-Y6</f>
        <v>428.75</v>
      </c>
      <c r="AC6" s="183" t="str">
        <f t="shared" ca="1" si="4"/>
        <v>ETHX6</v>
      </c>
      <c r="AD6" s="184" t="str">
        <f t="shared" ca="1" si="4"/>
        <v>ETHZ6</v>
      </c>
      <c r="AE6" s="226">
        <f t="shared" ca="1" si="7"/>
        <v>7.4999999999999997E-2</v>
      </c>
      <c r="AF6" s="229">
        <f t="shared" ca="1" si="5"/>
        <v>-31586.666666666668</v>
      </c>
      <c r="AG6" s="229">
        <f t="shared" ca="1" si="5"/>
        <v>-33873.333333333336</v>
      </c>
      <c r="AH6" s="229">
        <f t="shared" ca="1" si="5"/>
        <v>-36160</v>
      </c>
      <c r="AI6" s="239">
        <f ca="1">AH6-AF6</f>
        <v>-4573.3333333333321</v>
      </c>
    </row>
    <row r="7" spans="1:38" x14ac:dyDescent="0.25">
      <c r="A7" s="408"/>
      <c r="B7" s="224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152</v>
      </c>
      <c r="E7" s="244"/>
      <c r="F7" s="245"/>
      <c r="G7" s="246"/>
      <c r="H7" s="173" t="str">
        <f ca="1">C6</f>
        <v>ETHZ6</v>
      </c>
      <c r="I7" s="174" t="str">
        <f ca="1">C7</f>
        <v>ETHF7</v>
      </c>
      <c r="J7" s="151">
        <f ca="1">D7-D6</f>
        <v>36</v>
      </c>
      <c r="K7" s="244"/>
      <c r="L7" s="245"/>
      <c r="M7" s="244"/>
      <c r="N7" s="246"/>
      <c r="O7" s="183" t="str">
        <f t="shared" ca="1" si="2"/>
        <v>ETHZ6</v>
      </c>
      <c r="P7" s="184" t="str">
        <f t="shared" ca="1" si="2"/>
        <v>ETHF7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ETHZ6</v>
      </c>
      <c r="W7" s="184" t="str">
        <f t="shared" ca="1" si="3"/>
        <v>ETHF7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ETHZ6</v>
      </c>
      <c r="AD7" s="184" t="str">
        <f t="shared" ca="1" si="4"/>
        <v>ETHF7</v>
      </c>
      <c r="AE7" s="226">
        <f t="shared" ca="1" si="7"/>
        <v>0.1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9"/>
      <c r="B8" s="225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180</v>
      </c>
      <c r="E8" s="244"/>
      <c r="F8" s="245"/>
      <c r="G8" s="246"/>
      <c r="H8" s="173" t="str">
        <f ca="1">C7</f>
        <v>ETHF7</v>
      </c>
      <c r="I8" s="174" t="str">
        <f ca="1">C8</f>
        <v>ETHG7</v>
      </c>
      <c r="J8" s="155">
        <f ca="1">D8-D7</f>
        <v>28</v>
      </c>
      <c r="K8" s="250"/>
      <c r="L8" s="251"/>
      <c r="M8" s="250"/>
      <c r="N8" s="252"/>
      <c r="O8" s="183" t="str">
        <f t="shared" ca="1" si="2"/>
        <v>ETHF7</v>
      </c>
      <c r="P8" s="184" t="str">
        <f t="shared" ca="1" si="2"/>
        <v>ETHG7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ETHF7</v>
      </c>
      <c r="W8" s="184" t="str">
        <f t="shared" ca="1" si="3"/>
        <v>ETHG7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ETHF7</v>
      </c>
      <c r="AD8" s="184" t="str">
        <f t="shared" ca="1" si="4"/>
        <v>ETHG7</v>
      </c>
      <c r="AE8" s="227">
        <f t="shared" ca="1" si="7"/>
        <v>7.7777777777777779E-2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7" t="s">
        <v>45</v>
      </c>
      <c r="B9" s="299">
        <v>10</v>
      </c>
      <c r="C9" s="170" t="str" cm="1">
        <f t="array" aca="1" ref="C9" ca="1">INDIRECT(ADDRESS($B9,2,1,1,"mkt data"))</f>
        <v>b/o ETHU6</v>
      </c>
      <c r="D9" s="161">
        <f t="shared" ref="D9:D14" ca="1" si="8">D3</f>
        <v>26</v>
      </c>
      <c r="E9" s="247" cm="1">
        <f t="array" aca="1" ref="E9" ca="1">INDIRECT(ADDRESS($B9,11,1,1,"mkt data"))</f>
        <v>2518.5</v>
      </c>
      <c r="F9" s="248">
        <f t="shared" ca="1" si="0"/>
        <v>2520.25</v>
      </c>
      <c r="G9" s="249" cm="1">
        <f t="array" aca="1" ref="G9" ca="1">INDIRECT(ADDRESS($B9,12,1,1,"mkt data"))</f>
        <v>2522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8"/>
      <c r="B10" s="224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61</v>
      </c>
      <c r="E10" s="244" cm="1">
        <f t="array" aca="1" ref="E10" ca="1">INDIRECT(ADDRESS($B10,11,1,1,"mkt data"))</f>
        <v>2529.35</v>
      </c>
      <c r="F10" s="245">
        <f t="shared" ca="1" si="0"/>
        <v>2532.0500000000002</v>
      </c>
      <c r="G10" s="246" cm="1">
        <f t="array" aca="1" ref="G10" ca="1">INDIRECT(ADDRESS($B10,12,1,1,"mkt data"))</f>
        <v>2534.75</v>
      </c>
      <c r="H10" s="173" t="str">
        <f ca="1">C9</f>
        <v>b/o ETHU6</v>
      </c>
      <c r="I10" s="174" t="str">
        <f ca="1">C10</f>
        <v>b/o ETHV6</v>
      </c>
      <c r="J10" s="151">
        <f ca="1">J4</f>
        <v>35</v>
      </c>
      <c r="K10" s="244">
        <f t="shared" ref="K10:M12" ca="1" si="9">E10-E9</f>
        <v>10.849999999999909</v>
      </c>
      <c r="L10" s="377">
        <f t="shared" ca="1" si="9"/>
        <v>11.800000000000182</v>
      </c>
      <c r="M10" s="244">
        <f t="shared" ca="1" si="9"/>
        <v>12.75</v>
      </c>
      <c r="N10" s="246">
        <f ca="1">M10-K10</f>
        <v>1.9000000000000909</v>
      </c>
      <c r="O10" s="173" t="str">
        <f t="shared" ref="O10:P14" ca="1" si="10">H10</f>
        <v>b/o ETHU6</v>
      </c>
      <c r="P10" s="174" t="str">
        <f t="shared" ca="1" si="10"/>
        <v>b/o ETHV6</v>
      </c>
      <c r="Q10" s="181">
        <f ca="1">Q4</f>
        <v>0.8</v>
      </c>
      <c r="R10" s="244">
        <f ca="1">$K10*$Q10</f>
        <v>8.6799999999999269</v>
      </c>
      <c r="S10" s="245">
        <f ca="1">$L10*$Q10</f>
        <v>9.4400000000001452</v>
      </c>
      <c r="T10" s="244">
        <f ca="1">$M10*$Q10</f>
        <v>10.200000000000001</v>
      </c>
      <c r="U10" s="246">
        <f ca="1">T10-R10</f>
        <v>1.5200000000000742</v>
      </c>
      <c r="V10" s="173" t="str">
        <f t="shared" ref="V10:W14" ca="1" si="11">O10</f>
        <v>b/o ETHU6</v>
      </c>
      <c r="W10" s="174" t="str">
        <f t="shared" ca="1" si="11"/>
        <v>b/o ETHV6</v>
      </c>
      <c r="X10" s="181">
        <f ca="1">X4</f>
        <v>1</v>
      </c>
      <c r="Y10" s="244">
        <f ca="1">$K10*$X10</f>
        <v>10.849999999999909</v>
      </c>
      <c r="Z10" s="245">
        <f ca="1">$L10*$X10</f>
        <v>11.800000000000182</v>
      </c>
      <c r="AA10" s="244">
        <f ca="1">$M10*$X10</f>
        <v>12.75</v>
      </c>
      <c r="AB10" s="246">
        <f ca="1">AA10-Y10</f>
        <v>1.9000000000000909</v>
      </c>
      <c r="AC10" s="173" t="str">
        <f t="shared" ref="AC10:AD14" ca="1" si="12">V10</f>
        <v>b/o ETHU6</v>
      </c>
      <c r="AD10" s="174" t="str">
        <f t="shared" ca="1" si="12"/>
        <v>b/o ETHV6</v>
      </c>
      <c r="AE10" s="226">
        <f ca="1">J10/$AE$21</f>
        <v>9.7222222222222224E-2</v>
      </c>
      <c r="AF10" s="230">
        <f t="shared" ref="AF10:AH12" ca="1" si="13">K10/$F9/$AE10</f>
        <v>4.4281321297489955E-2</v>
      </c>
      <c r="AG10" s="229">
        <f t="shared" ca="1" si="13"/>
        <v>4.8158487678377319E-2</v>
      </c>
      <c r="AH10" s="230">
        <f t="shared" ca="1" si="13"/>
        <v>5.2035654059262824E-2</v>
      </c>
      <c r="AI10" s="234">
        <f ca="1">AH10-AF10</f>
        <v>7.7543327617728697E-3</v>
      </c>
    </row>
    <row r="11" spans="1:38" x14ac:dyDescent="0.25">
      <c r="A11" s="408"/>
      <c r="B11" s="224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89</v>
      </c>
      <c r="E11" s="244" cm="1">
        <f t="array" aca="1" ref="E11" ca="1">INDIRECT(ADDRESS($B11,11,1,1,"mkt data"))</f>
        <v>-1</v>
      </c>
      <c r="F11" s="245">
        <f t="shared" ca="1" si="0"/>
        <v>-1</v>
      </c>
      <c r="G11" s="246" cm="1">
        <f t="array" aca="1" ref="G11" ca="1">INDIRECT(ADDRESS($B11,12,1,1,"mkt data"))</f>
        <v>-1</v>
      </c>
      <c r="H11" s="173" t="str">
        <f ca="1">C10</f>
        <v>b/o ETHV6</v>
      </c>
      <c r="I11" s="174" t="str">
        <f ca="1">C11</f>
        <v>b/o ETHX6</v>
      </c>
      <c r="J11" s="151">
        <f ca="1">J5</f>
        <v>28</v>
      </c>
      <c r="K11" s="244">
        <f t="shared" ca="1" si="9"/>
        <v>-2530.35</v>
      </c>
      <c r="L11" s="377">
        <f t="shared" ca="1" si="9"/>
        <v>-2533.0500000000002</v>
      </c>
      <c r="M11" s="244">
        <f t="shared" ca="1" si="9"/>
        <v>-2535.75</v>
      </c>
      <c r="N11" s="246">
        <f ca="1">M11-K11</f>
        <v>-5.4000000000000909</v>
      </c>
      <c r="O11" s="173" t="str">
        <f t="shared" ca="1" si="10"/>
        <v>b/o ETHV6</v>
      </c>
      <c r="P11" s="174" t="str">
        <f t="shared" ca="1" si="10"/>
        <v>b/o ETHX6</v>
      </c>
      <c r="Q11" s="181">
        <f ca="1">Q5</f>
        <v>1</v>
      </c>
      <c r="R11" s="244">
        <f ca="1">$K11*$Q11</f>
        <v>-2530.35</v>
      </c>
      <c r="S11" s="245">
        <f ca="1">$L11*$Q11</f>
        <v>-2533.0500000000002</v>
      </c>
      <c r="T11" s="244">
        <f ca="1">$M11*$Q11</f>
        <v>-2535.75</v>
      </c>
      <c r="U11" s="246">
        <f ca="1">T11-R11</f>
        <v>-5.4000000000000909</v>
      </c>
      <c r="V11" s="173" t="str">
        <f t="shared" ca="1" si="11"/>
        <v>b/o ETHV6</v>
      </c>
      <c r="W11" s="174" t="str">
        <f t="shared" ca="1" si="11"/>
        <v>b/o ETHX6</v>
      </c>
      <c r="X11" s="181">
        <f ca="1">X5</f>
        <v>1.25</v>
      </c>
      <c r="Y11" s="244">
        <f ca="1">$K11*$X11</f>
        <v>-3162.9375</v>
      </c>
      <c r="Z11" s="245">
        <f ca="1">$L11*$X11</f>
        <v>-3166.3125</v>
      </c>
      <c r="AA11" s="244">
        <f ca="1">$M11*$X11</f>
        <v>-3169.6875</v>
      </c>
      <c r="AB11" s="246">
        <f ca="1">AA11-Y11</f>
        <v>-6.75</v>
      </c>
      <c r="AC11" s="173" t="str">
        <f t="shared" ca="1" si="12"/>
        <v>b/o ETHV6</v>
      </c>
      <c r="AD11" s="174" t="str">
        <f t="shared" ca="1" si="12"/>
        <v>b/o ETHX6</v>
      </c>
      <c r="AE11" s="226">
        <f t="shared" ref="AE11:AE14" ca="1" si="15">J11/$AE$21</f>
        <v>7.7777777777777779E-2</v>
      </c>
      <c r="AF11" s="230">
        <f t="shared" ca="1" si="13"/>
        <v>-12.848510664707026</v>
      </c>
      <c r="AG11" s="229">
        <f t="shared" ca="1" si="13"/>
        <v>-12.862220617399226</v>
      </c>
      <c r="AH11" s="230">
        <f t="shared" ca="1" si="13"/>
        <v>-12.875930570091427</v>
      </c>
      <c r="AI11" s="234">
        <f ca="1">AH11-AF11</f>
        <v>-2.7419905384400423E-2</v>
      </c>
    </row>
    <row r="12" spans="1:38" x14ac:dyDescent="0.25">
      <c r="A12" s="408"/>
      <c r="B12" s="224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116</v>
      </c>
      <c r="E12" s="244" cm="1">
        <f t="array" aca="1" ref="E12" ca="1">INDIRECT(ADDRESS($B12,11,1,1,"mkt data"))</f>
        <v>2533.5</v>
      </c>
      <c r="F12" s="245">
        <f t="shared" ca="1" si="0"/>
        <v>2622.25</v>
      </c>
      <c r="G12" s="246" cm="1">
        <f t="array" aca="1" ref="G12" ca="1">INDIRECT(ADDRESS($B12,12,1,1,"mkt data"))</f>
        <v>2711</v>
      </c>
      <c r="H12" s="173" t="str">
        <f ca="1">C11</f>
        <v>b/o ETHX6</v>
      </c>
      <c r="I12" s="174" t="str">
        <f ca="1">C12</f>
        <v>b/o ETHZ6</v>
      </c>
      <c r="J12" s="151">
        <f ca="1">J6</f>
        <v>27</v>
      </c>
      <c r="K12" s="244">
        <f t="shared" ca="1" si="9"/>
        <v>2534.5</v>
      </c>
      <c r="L12" s="377">
        <f ca="1">F12-F11</f>
        <v>2623.25</v>
      </c>
      <c r="M12" s="244">
        <f t="shared" ca="1" si="9"/>
        <v>2712</v>
      </c>
      <c r="N12" s="246">
        <f ca="1">M12-K12</f>
        <v>177.5</v>
      </c>
      <c r="O12" s="173" t="str">
        <f t="shared" ca="1" si="10"/>
        <v>b/o ETHX6</v>
      </c>
      <c r="P12" s="174" t="str">
        <f t="shared" ca="1" si="10"/>
        <v>b/o ETHZ6</v>
      </c>
      <c r="Q12" s="181">
        <f ca="1">Q6</f>
        <v>1</v>
      </c>
      <c r="R12" s="244">
        <f ca="1">$K12*$Q12</f>
        <v>2534.5</v>
      </c>
      <c r="S12" s="245">
        <f ca="1">$L12*$Q12</f>
        <v>2623.25</v>
      </c>
      <c r="T12" s="244">
        <f ca="1">$M12*$Q12</f>
        <v>2712</v>
      </c>
      <c r="U12" s="246">
        <f ca="1">T12-R12</f>
        <v>177.5</v>
      </c>
      <c r="V12" s="173" t="str">
        <f t="shared" ca="1" si="11"/>
        <v>b/o ETHX6</v>
      </c>
      <c r="W12" s="174" t="str">
        <f t="shared" ca="1" si="11"/>
        <v>b/o ETHZ6</v>
      </c>
      <c r="X12" s="181">
        <f ca="1">X6</f>
        <v>1.25</v>
      </c>
      <c r="Y12" s="244">
        <f ca="1">$K12*$X12</f>
        <v>3168.125</v>
      </c>
      <c r="Z12" s="245">
        <f ca="1">$L12*$X12</f>
        <v>3279.0625</v>
      </c>
      <c r="AA12" s="244">
        <f ca="1">$M12*$X12</f>
        <v>3390</v>
      </c>
      <c r="AB12" s="246">
        <f ca="1">AA12-Y12</f>
        <v>221.875</v>
      </c>
      <c r="AC12" s="173" t="str">
        <f t="shared" ca="1" si="12"/>
        <v>b/o ETHX6</v>
      </c>
      <c r="AD12" s="174" t="str">
        <f t="shared" ca="1" si="12"/>
        <v>b/o ETHZ6</v>
      </c>
      <c r="AE12" s="226">
        <f t="shared" ca="1" si="15"/>
        <v>7.4999999999999997E-2</v>
      </c>
      <c r="AF12" s="230">
        <f t="shared" ca="1" si="13"/>
        <v>-33793.333333333336</v>
      </c>
      <c r="AG12" s="229">
        <f t="shared" ca="1" si="13"/>
        <v>-34976.666666666672</v>
      </c>
      <c r="AH12" s="230">
        <f t="shared" ca="1" si="13"/>
        <v>-36160</v>
      </c>
      <c r="AI12" s="234">
        <f ca="1">AH12-AF12</f>
        <v>-2366.6666666666642</v>
      </c>
    </row>
    <row r="13" spans="1:38" x14ac:dyDescent="0.25">
      <c r="A13" s="408"/>
      <c r="B13" s="224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152</v>
      </c>
      <c r="E13" s="244"/>
      <c r="F13" s="245"/>
      <c r="G13" s="246"/>
      <c r="H13" s="173" t="str">
        <f ca="1">C12</f>
        <v>b/o ETHZ6</v>
      </c>
      <c r="I13" s="174" t="str">
        <f ca="1">C13</f>
        <v>b/o ETHF7</v>
      </c>
      <c r="J13" s="151">
        <f ca="1">J7</f>
        <v>36</v>
      </c>
      <c r="K13" s="244"/>
      <c r="L13" s="294"/>
      <c r="M13" s="244"/>
      <c r="N13" s="246"/>
      <c r="O13" s="173" t="str">
        <f t="shared" ca="1" si="10"/>
        <v>b/o ETHZ6</v>
      </c>
      <c r="P13" s="174" t="str">
        <f t="shared" ca="1" si="10"/>
        <v>b/o ETHF7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ETHZ6</v>
      </c>
      <c r="W13" s="174" t="str">
        <f t="shared" ca="1" si="11"/>
        <v>b/o ETHF7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ETHZ6</v>
      </c>
      <c r="AD13" s="174" t="str">
        <f t="shared" ca="1" si="12"/>
        <v>b/o ETHF7</v>
      </c>
      <c r="AE13" s="226">
        <f t="shared" ca="1" si="15"/>
        <v>0.1</v>
      </c>
      <c r="AF13" s="230"/>
      <c r="AG13" s="229"/>
      <c r="AH13" s="230"/>
      <c r="AI13" s="234"/>
    </row>
    <row r="14" spans="1:38" ht="15.75" thickBot="1" x14ac:dyDescent="0.3">
      <c r="A14" s="409"/>
      <c r="B14" s="225">
        <f t="shared" si="14"/>
        <v>15</v>
      </c>
      <c r="C14" s="156" t="str" cm="1">
        <f t="array" aca="1" ref="C14" ca="1">INDIRECT(ADDRESS($B14,2,1,1,"mkt data"))</f>
        <v>b/o ETHG7</v>
      </c>
      <c r="D14" s="157">
        <f t="shared" ca="1" si="8"/>
        <v>180</v>
      </c>
      <c r="E14" s="250"/>
      <c r="F14" s="251"/>
      <c r="G14" s="252"/>
      <c r="H14" s="175" t="str">
        <f ca="1">C13</f>
        <v>b/o ETHF7</v>
      </c>
      <c r="I14" s="176" t="str">
        <f ca="1">C14</f>
        <v>b/o ETHG7</v>
      </c>
      <c r="J14" s="155">
        <f ca="1">J8</f>
        <v>28</v>
      </c>
      <c r="K14" s="250"/>
      <c r="L14" s="295"/>
      <c r="M14" s="250"/>
      <c r="N14" s="252"/>
      <c r="O14" s="175" t="str">
        <f t="shared" ca="1" si="10"/>
        <v>b/o ETHF7</v>
      </c>
      <c r="P14" s="176" t="str">
        <f t="shared" ca="1" si="10"/>
        <v>b/o ETHG7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ETHF7</v>
      </c>
      <c r="W14" s="174" t="str">
        <f t="shared" ca="1" si="11"/>
        <v>b/o ETHG7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ETHF7</v>
      </c>
      <c r="AD14" s="176" t="str">
        <f t="shared" ca="1" si="12"/>
        <v>b/o ETHG7</v>
      </c>
      <c r="AE14" s="227">
        <f t="shared" ca="1" si="15"/>
        <v>7.7777777777777779E-2</v>
      </c>
      <c r="AF14" s="231"/>
      <c r="AG14" s="232"/>
      <c r="AH14" s="231"/>
      <c r="AI14" s="236"/>
    </row>
    <row r="15" spans="1:38" ht="15.75" thickBot="1" x14ac:dyDescent="0.3">
      <c r="A15" s="407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8"/>
      <c r="B16" s="183">
        <v>58</v>
      </c>
      <c r="C16" s="2" t="str" cm="1">
        <f t="array" aca="1" ref="C16" ca="1">INDIRECT(ADDRESS($B16,2,1,1,"mkt data"))</f>
        <v>ETHU6/ETHV6</v>
      </c>
      <c r="E16" s="244" cm="1">
        <f t="array" aca="1" ref="E16" ca="1">INDIRECT(ADDRESS($B16,11,1,1,"mkt data"))</f>
        <v>10.85</v>
      </c>
      <c r="F16" s="245">
        <f ca="1">AVERAGE(E16,G16)</f>
        <v>11.8</v>
      </c>
      <c r="G16" s="246" cm="1">
        <f t="array" aca="1" ref="G16" ca="1">INDIRECT(ADDRESS($B16,12,1,1,"mkt data"))</f>
        <v>12.75</v>
      </c>
      <c r="H16" s="173" t="str" cm="1">
        <f t="array" aca="1" ref="H16:I16" ca="1">_xlfn.TEXTSPLIT(C16,"/")</f>
        <v>ETHU6</v>
      </c>
      <c r="I16" s="174" t="str">
        <f ca="1"/>
        <v>ETHV6</v>
      </c>
      <c r="J16" s="151">
        <f ca="1">J4</f>
        <v>35</v>
      </c>
      <c r="K16" s="244">
        <f t="shared" ref="K16:M18" ca="1" si="16">E16</f>
        <v>10.85</v>
      </c>
      <c r="L16" s="294">
        <f t="shared" ca="1" si="16"/>
        <v>11.8</v>
      </c>
      <c r="M16" s="244">
        <f t="shared" ca="1" si="16"/>
        <v>12.75</v>
      </c>
      <c r="N16" s="246">
        <f ca="1">M16-K16</f>
        <v>1.9000000000000004</v>
      </c>
      <c r="O16" s="173" t="str">
        <f t="shared" ref="O16:P20" ca="1" si="17">H16</f>
        <v>ETHU6</v>
      </c>
      <c r="P16" s="103" t="str">
        <f t="shared" ca="1" si="17"/>
        <v>ETHV6</v>
      </c>
      <c r="Q16" s="205">
        <f ca="1">Q4</f>
        <v>0.8</v>
      </c>
      <c r="R16" s="244">
        <f ca="1">$K16*$Q16</f>
        <v>8.68</v>
      </c>
      <c r="S16" s="245">
        <f ca="1">$L16*$Q16</f>
        <v>9.4400000000000013</v>
      </c>
      <c r="T16" s="244">
        <f ca="1">$M16*$Q16</f>
        <v>10.200000000000001</v>
      </c>
      <c r="U16" s="246">
        <f ca="1">T16-R16</f>
        <v>1.5200000000000014</v>
      </c>
      <c r="V16" s="173" t="str">
        <f t="shared" ref="V16:W20" ca="1" si="18">O16</f>
        <v>ETHU6</v>
      </c>
      <c r="W16" s="174" t="str">
        <f t="shared" ca="1" si="18"/>
        <v>ETHV6</v>
      </c>
      <c r="X16" s="181">
        <f ca="1">X4</f>
        <v>1</v>
      </c>
      <c r="Y16" s="244">
        <f ca="1">$K16*$X16</f>
        <v>10.85</v>
      </c>
      <c r="Z16" s="245">
        <f ca="1">$L16*$X16</f>
        <v>11.8</v>
      </c>
      <c r="AA16" s="244">
        <f ca="1">$M16*$X16</f>
        <v>12.75</v>
      </c>
      <c r="AB16" s="267">
        <f ca="1">AA16-Y16</f>
        <v>1.9000000000000004</v>
      </c>
      <c r="AC16" s="173" t="str">
        <f t="shared" ref="AC16:AD20" ca="1" si="19">V16</f>
        <v>ETHU6</v>
      </c>
      <c r="AD16" s="103" t="str">
        <f t="shared" ca="1" si="19"/>
        <v>ETHV6</v>
      </c>
      <c r="AE16" s="226">
        <f ca="1">J16/$AE$21</f>
        <v>9.7222222222222224E-2</v>
      </c>
      <c r="AF16" s="230">
        <f t="shared" ref="AF16:AH18" ca="1" si="20">K16/$F9/$AE16</f>
        <v>4.4281321297490329E-2</v>
      </c>
      <c r="AG16" s="229">
        <f t="shared" ca="1" si="20"/>
        <v>4.8158487678376577E-2</v>
      </c>
      <c r="AH16" s="230">
        <f t="shared" ca="1" si="20"/>
        <v>5.2035654059262824E-2</v>
      </c>
      <c r="AI16" s="234">
        <f ca="1">AH16-AF16</f>
        <v>7.754332761772495E-3</v>
      </c>
      <c r="AJ16" s="300">
        <f ca="1">'BTC FUTS'!AF16-AF16</f>
        <v>-4.4281321297490329E-2</v>
      </c>
      <c r="AK16" s="180"/>
      <c r="AL16" s="301">
        <f ca="1">'BTC FUTS'!AH16-AH16</f>
        <v>-5.2035654059262824E-2</v>
      </c>
    </row>
    <row r="17" spans="1:38" x14ac:dyDescent="0.25">
      <c r="A17" s="408"/>
      <c r="B17" s="224">
        <f>B16+5</f>
        <v>63</v>
      </c>
      <c r="C17" s="2" t="str" cm="1">
        <f t="array" aca="1" ref="C17" ca="1">INDIRECT(ADDRESS($B17,2,1,1,"mkt data"))</f>
        <v>ETHV6/ETHX6</v>
      </c>
      <c r="E17" s="244" cm="1">
        <f t="array" aca="1" ref="E17" ca="1">INDIRECT(ADDRESS($B17,11,1,1,"mkt data"))</f>
        <v>0</v>
      </c>
      <c r="F17" s="245">
        <f ca="1">AVERAGE(E17,G17)</f>
        <v>0</v>
      </c>
      <c r="G17" s="246" cm="1">
        <f t="array" aca="1" ref="G17" ca="1">INDIRECT(ADDRESS($B17,12,1,1,"mkt data"))</f>
        <v>0</v>
      </c>
      <c r="H17" s="173" t="str" cm="1">
        <f t="array" aca="1" ref="H17:I17" ca="1">_xlfn.TEXTSPLIT(C17,"/")</f>
        <v>ETHV6</v>
      </c>
      <c r="I17" s="174" t="str">
        <f ca="1"/>
        <v>ETHX6</v>
      </c>
      <c r="J17" s="151">
        <f ca="1">J5</f>
        <v>28</v>
      </c>
      <c r="K17" s="244">
        <f t="shared" ca="1" si="16"/>
        <v>0</v>
      </c>
      <c r="L17" s="294">
        <f t="shared" ca="1" si="16"/>
        <v>0</v>
      </c>
      <c r="M17" s="244">
        <f t="shared" ca="1" si="16"/>
        <v>0</v>
      </c>
      <c r="N17" s="246">
        <f ca="1">M17-K17</f>
        <v>0</v>
      </c>
      <c r="O17" s="173" t="str">
        <f t="shared" ca="1" si="17"/>
        <v>ETHV6</v>
      </c>
      <c r="P17" s="103" t="str">
        <f t="shared" ca="1" si="17"/>
        <v>ETHX6</v>
      </c>
      <c r="Q17" s="205">
        <f ca="1">Q5</f>
        <v>1</v>
      </c>
      <c r="R17" s="244">
        <f ca="1">$K17*$Q17</f>
        <v>0</v>
      </c>
      <c r="S17" s="245">
        <f ca="1">$L17*$Q17</f>
        <v>0</v>
      </c>
      <c r="T17" s="244">
        <f ca="1">$M17*$Q17</f>
        <v>0</v>
      </c>
      <c r="U17" s="246">
        <f ca="1">T17-R17</f>
        <v>0</v>
      </c>
      <c r="V17" s="173" t="str">
        <f t="shared" ca="1" si="18"/>
        <v>ETHV6</v>
      </c>
      <c r="W17" s="174" t="str">
        <f t="shared" ca="1" si="18"/>
        <v>ETHX6</v>
      </c>
      <c r="X17" s="181">
        <f ca="1">X5</f>
        <v>1.25</v>
      </c>
      <c r="Y17" s="244">
        <f ca="1">$K17*$X17</f>
        <v>0</v>
      </c>
      <c r="Z17" s="245">
        <f ca="1">$L17*$X17</f>
        <v>0</v>
      </c>
      <c r="AA17" s="244">
        <f ca="1">$M17*$X17</f>
        <v>0</v>
      </c>
      <c r="AB17" s="267">
        <f ca="1">AA17-Y17</f>
        <v>0</v>
      </c>
      <c r="AC17" s="173" t="str">
        <f t="shared" ca="1" si="19"/>
        <v>ETHV6</v>
      </c>
      <c r="AD17" s="103" t="str">
        <f t="shared" ca="1" si="19"/>
        <v>ETHX6</v>
      </c>
      <c r="AE17" s="226">
        <f ca="1">J17/$AE$21</f>
        <v>7.7777777777777779E-2</v>
      </c>
      <c r="AF17" s="230">
        <f t="shared" ca="1" si="20"/>
        <v>0</v>
      </c>
      <c r="AG17" s="229">
        <f t="shared" ca="1" si="20"/>
        <v>0</v>
      </c>
      <c r="AH17" s="230">
        <f t="shared" ca="1" si="20"/>
        <v>0</v>
      </c>
      <c r="AI17" s="234">
        <f ca="1">AH17-AF17</f>
        <v>0</v>
      </c>
      <c r="AJ17" s="302">
        <f ca="1">'BTC FUTS'!AF17-AF17</f>
        <v>0</v>
      </c>
      <c r="AL17" s="303">
        <f ca="1">'BTC FUTS'!AH17-AH17</f>
        <v>0</v>
      </c>
    </row>
    <row r="18" spans="1:38" ht="15.75" thickBot="1" x14ac:dyDescent="0.3">
      <c r="A18" s="408"/>
      <c r="B18" s="224">
        <f>B17+4</f>
        <v>67</v>
      </c>
      <c r="C18" s="2" t="str" cm="1">
        <f t="array" aca="1" ref="C18" ca="1">INDIRECT(ADDRESS($B18,2,1,1,"mkt data"))</f>
        <v>ETHX6/ETHZ6</v>
      </c>
      <c r="E18" s="244" cm="1">
        <f t="array" aca="1" ref="E18" ca="1">INDIRECT(ADDRESS($B18,11,1,1,"mkt data"))</f>
        <v>0</v>
      </c>
      <c r="F18" s="245">
        <f ca="1">AVERAGE(E18,G18)</f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ETHX6</v>
      </c>
      <c r="I18" s="174" t="str">
        <f ca="1"/>
        <v>ETHZ6</v>
      </c>
      <c r="J18" s="151">
        <f ca="1">J6</f>
        <v>27</v>
      </c>
      <c r="K18" s="244">
        <f t="shared" ca="1" si="16"/>
        <v>0</v>
      </c>
      <c r="L18" s="294">
        <f t="shared" ca="1" si="16"/>
        <v>0</v>
      </c>
      <c r="M18" s="244">
        <f t="shared" ca="1" si="16"/>
        <v>0</v>
      </c>
      <c r="N18" s="246">
        <f ca="1">M18-K18</f>
        <v>0</v>
      </c>
      <c r="O18" s="173" t="str">
        <f t="shared" ca="1" si="17"/>
        <v>ETHX6</v>
      </c>
      <c r="P18" s="103" t="str">
        <f t="shared" ca="1" si="17"/>
        <v>ETHZ6</v>
      </c>
      <c r="Q18" s="205">
        <f ca="1">Q6</f>
        <v>1</v>
      </c>
      <c r="R18" s="244">
        <f ca="1">$K18*$Q18</f>
        <v>0</v>
      </c>
      <c r="S18" s="245">
        <f ca="1">$L18*$Q18</f>
        <v>0</v>
      </c>
      <c r="T18" s="244">
        <f ca="1">$M18*$Q18</f>
        <v>0</v>
      </c>
      <c r="U18" s="246">
        <f ca="1">T18-R18</f>
        <v>0</v>
      </c>
      <c r="V18" s="173" t="str">
        <f t="shared" ca="1" si="18"/>
        <v>ETHX6</v>
      </c>
      <c r="W18" s="174" t="str">
        <f t="shared" ca="1" si="18"/>
        <v>ETHZ6</v>
      </c>
      <c r="X18" s="181">
        <f ca="1">X6</f>
        <v>1.25</v>
      </c>
      <c r="Y18" s="244">
        <f ca="1">$K18*$X18</f>
        <v>0</v>
      </c>
      <c r="Z18" s="245">
        <f ca="1">$L18*$X18</f>
        <v>0</v>
      </c>
      <c r="AA18" s="244">
        <f ca="1">$M18*$X18</f>
        <v>0</v>
      </c>
      <c r="AB18" s="267">
        <f ca="1">AA18-Y18</f>
        <v>0</v>
      </c>
      <c r="AC18" s="173" t="str">
        <f t="shared" ca="1" si="19"/>
        <v>ETHX6</v>
      </c>
      <c r="AD18" s="103" t="str">
        <f t="shared" ca="1" si="19"/>
        <v>ETHZ6</v>
      </c>
      <c r="AE18" s="226">
        <f t="shared" ref="AE18:AE20" ca="1" si="21">J18/$AE$21</f>
        <v>7.4999999999999997E-2</v>
      </c>
      <c r="AF18" s="230">
        <f t="shared" ca="1" si="20"/>
        <v>0</v>
      </c>
      <c r="AG18" s="229">
        <f t="shared" ca="1" si="20"/>
        <v>0</v>
      </c>
      <c r="AH18" s="230">
        <f t="shared" ca="1" si="20"/>
        <v>0</v>
      </c>
      <c r="AI18" s="234">
        <f ca="1">AH18-AF18</f>
        <v>0</v>
      </c>
      <c r="AJ18" s="304">
        <f ca="1">'BTC FUTS'!AF18-AF18</f>
        <v>0</v>
      </c>
      <c r="AK18" s="196"/>
      <c r="AL18" s="305">
        <f ca="1">'BTC FUTS'!AH18-AH18</f>
        <v>0</v>
      </c>
    </row>
    <row r="19" spans="1:38" x14ac:dyDescent="0.25">
      <c r="A19" s="408"/>
      <c r="B19" s="224">
        <f>B18+3</f>
        <v>70</v>
      </c>
      <c r="C19" s="2" t="str" cm="1">
        <f t="array" aca="1" ref="C19" ca="1">INDIRECT(ADDRESS($B19,2,1,1,"mkt data"))</f>
        <v>ETHZ6/ETHF7</v>
      </c>
      <c r="E19" s="244"/>
      <c r="F19" s="245"/>
      <c r="G19" s="246"/>
      <c r="H19" s="173" t="str" cm="1">
        <f t="array" aca="1" ref="H19:I19" ca="1">_xlfn.TEXTSPLIT(C19,"/")</f>
        <v>ETHZ6</v>
      </c>
      <c r="I19" s="174" t="str">
        <f ca="1"/>
        <v>ETHF7</v>
      </c>
      <c r="J19" s="151">
        <f ca="1">J7</f>
        <v>36</v>
      </c>
      <c r="K19" s="244"/>
      <c r="L19" s="245"/>
      <c r="M19" s="244"/>
      <c r="N19" s="246"/>
      <c r="O19" s="173" t="str">
        <f t="shared" ca="1" si="17"/>
        <v>ETHZ6</v>
      </c>
      <c r="P19" s="103" t="str">
        <f t="shared" ca="1" si="17"/>
        <v>ETHF7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ETHZ6</v>
      </c>
      <c r="W19" s="174" t="str">
        <f t="shared" ca="1" si="18"/>
        <v>ETHF7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ETHZ6</v>
      </c>
      <c r="AD19" s="103" t="str">
        <f t="shared" ca="1" si="19"/>
        <v>ETHF7</v>
      </c>
      <c r="AE19" s="226">
        <f t="shared" ca="1" si="21"/>
        <v>0.1</v>
      </c>
      <c r="AF19" s="230"/>
      <c r="AG19" s="229"/>
      <c r="AH19" s="230"/>
      <c r="AI19" s="234"/>
    </row>
    <row r="20" spans="1:38" ht="15.75" thickBot="1" x14ac:dyDescent="0.3">
      <c r="A20" s="409"/>
      <c r="B20" s="225">
        <f>B19+2</f>
        <v>72</v>
      </c>
      <c r="C20" s="156" t="str" cm="1">
        <f t="array" aca="1" ref="C20" ca="1">INDIRECT(ADDRESS($B20,2,1,1,"mkt data"))</f>
        <v>ETHF7/ETHG7</v>
      </c>
      <c r="D20" s="157"/>
      <c r="E20" s="250"/>
      <c r="F20" s="251"/>
      <c r="G20" s="252"/>
      <c r="H20" s="175" t="str" cm="1">
        <f t="array" aca="1" ref="H20:I20" ca="1">_xlfn.TEXTSPLIT(C20,"/")</f>
        <v>ETHF7</v>
      </c>
      <c r="I20" s="176" t="str">
        <f ca="1"/>
        <v>ETHG7</v>
      </c>
      <c r="J20" s="155">
        <f ca="1">J8</f>
        <v>28</v>
      </c>
      <c r="K20" s="250"/>
      <c r="L20" s="251"/>
      <c r="M20" s="250"/>
      <c r="N20" s="252"/>
      <c r="O20" s="175" t="str">
        <f t="shared" ca="1" si="17"/>
        <v>ETHF7</v>
      </c>
      <c r="P20" s="194" t="str">
        <f t="shared" ca="1" si="17"/>
        <v>ETHG7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ETHF7</v>
      </c>
      <c r="W20" s="212" t="str">
        <f t="shared" ca="1" si="18"/>
        <v>ETHG7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ETHF7</v>
      </c>
      <c r="AD20" s="194" t="str">
        <f t="shared" ca="1" si="19"/>
        <v>ETHG7</v>
      </c>
      <c r="AE20" s="227">
        <f t="shared" ca="1" si="21"/>
        <v>7.7777777777777779E-2</v>
      </c>
      <c r="AF20" s="231"/>
      <c r="AG20" s="232"/>
      <c r="AH20" s="231"/>
      <c r="AI20" s="236"/>
    </row>
    <row r="21" spans="1:38" ht="15.75" thickBot="1" x14ac:dyDescent="0.3">
      <c r="A21" s="407" t="s">
        <v>50</v>
      </c>
      <c r="B21" s="185"/>
      <c r="C21" s="170" t="str">
        <f t="shared" ref="C21:C26" ca="1" si="23">C3</f>
        <v>ETHU6</v>
      </c>
      <c r="D21" s="402">
        <f>'MKT DATA'!AB37</f>
        <v>0</v>
      </c>
      <c r="E21" s="395">
        <f>'MKT DATA'!AA37</f>
        <v>2446.5</v>
      </c>
      <c r="F21" s="288">
        <f t="shared" ref="F21:F24" ca="1" si="24">F9</f>
        <v>2520.25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8"/>
      <c r="B22" s="224"/>
      <c r="C22" s="2" t="str">
        <f t="shared" ca="1" si="23"/>
        <v>ETHV6</v>
      </c>
      <c r="D22" s="402">
        <f>'MKT DATA'!AB38</f>
        <v>0</v>
      </c>
      <c r="E22" s="396">
        <f>'MKT DATA'!AA38</f>
        <v>2458</v>
      </c>
      <c r="F22" s="25">
        <f t="shared" ca="1" si="24"/>
        <v>2532.0500000000002</v>
      </c>
      <c r="G22" s="246">
        <f t="shared" ca="1" si="25"/>
        <v>0</v>
      </c>
      <c r="H22" s="361">
        <f>E22-E21</f>
        <v>11.5</v>
      </c>
      <c r="I22" s="378">
        <f ca="1">L10-H22</f>
        <v>0.3000000000001819</v>
      </c>
      <c r="J22" s="344"/>
      <c r="K22" s="346"/>
      <c r="L22" s="346"/>
      <c r="M22" s="344"/>
      <c r="Q22" s="195" t="s">
        <v>49</v>
      </c>
      <c r="R22" s="269">
        <f ca="1">MAX(R16:R18)-U21</f>
        <v>7.4545599999999999</v>
      </c>
      <c r="S22" s="269"/>
      <c r="T22" s="269">
        <f ca="1">MIN(T16:T18)+U21</f>
        <v>1.2254399999999999</v>
      </c>
      <c r="U22" s="197">
        <f ca="1">MAX(R16:R20)-MIN(T16:T20)</f>
        <v>8.68</v>
      </c>
      <c r="X22" s="195" t="s">
        <v>49</v>
      </c>
      <c r="Y22" s="269">
        <f ca="1">MAX(Y16:Y18)-AB21</f>
        <v>9.3181999999999992</v>
      </c>
      <c r="Z22" s="269"/>
      <c r="AA22" s="269">
        <f ca="1">MIN(AA16:AA18)+AB21</f>
        <v>1.5318000000000001</v>
      </c>
      <c r="AB22" s="197">
        <f ca="1">MAX(Y16:Y20)-MIN(AA16:AA20)</f>
        <v>10.85</v>
      </c>
    </row>
    <row r="23" spans="1:38" ht="15.75" thickBot="1" x14ac:dyDescent="0.3">
      <c r="A23" s="408"/>
      <c r="B23" s="224"/>
      <c r="C23" s="2" t="str">
        <f t="shared" ca="1" si="23"/>
        <v>ETHX6</v>
      </c>
      <c r="D23" s="402">
        <f>'MKT DATA'!AB39</f>
        <v>0</v>
      </c>
      <c r="E23" s="396">
        <f>'MKT DATA'!AA39</f>
        <v>2469</v>
      </c>
      <c r="F23" s="25">
        <f t="shared" ca="1" si="24"/>
        <v>-1</v>
      </c>
      <c r="G23" s="246">
        <f t="shared" ca="1" si="25"/>
        <v>0</v>
      </c>
      <c r="H23" s="362">
        <f t="shared" ref="H23:H26" si="26">E23-E22</f>
        <v>11</v>
      </c>
      <c r="I23" s="379">
        <f t="shared" ref="I23:I24" ca="1" si="27">L11-H23</f>
        <v>-2544.0500000000002</v>
      </c>
      <c r="J23" s="344"/>
      <c r="K23" s="346"/>
      <c r="L23" s="346"/>
      <c r="M23" s="344"/>
      <c r="T23" s="349" t="s">
        <v>72</v>
      </c>
      <c r="U23" s="257">
        <f ca="1">U22-U21</f>
        <v>7.4545599999999999</v>
      </c>
      <c r="V23" s="172" t="s">
        <v>73</v>
      </c>
      <c r="AA23" s="349" t="s">
        <v>72</v>
      </c>
      <c r="AB23" s="257">
        <f ca="1">AB22-AB21</f>
        <v>9.3181999999999992</v>
      </c>
      <c r="AC23" s="172" t="s">
        <v>73</v>
      </c>
    </row>
    <row r="24" spans="1:38" ht="15.75" thickBot="1" x14ac:dyDescent="0.3">
      <c r="A24" s="408"/>
      <c r="B24" s="224"/>
      <c r="C24" s="2" t="str">
        <f t="shared" ca="1" si="23"/>
        <v>ETHZ6</v>
      </c>
      <c r="D24" s="402">
        <f>'MKT DATA'!AB40</f>
        <v>0</v>
      </c>
      <c r="E24" s="396">
        <f>'MKT DATA'!AA40</f>
        <v>2480</v>
      </c>
      <c r="F24" s="25">
        <f t="shared" ca="1" si="24"/>
        <v>2622.25</v>
      </c>
      <c r="G24" s="246">
        <f t="shared" ca="1" si="25"/>
        <v>0</v>
      </c>
      <c r="H24" s="362">
        <f t="shared" si="26"/>
        <v>11</v>
      </c>
      <c r="I24" s="379">
        <f t="shared" ca="1" si="27"/>
        <v>2612.25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372.72800000000001</v>
      </c>
      <c r="V24" s="176" t="s">
        <v>74</v>
      </c>
      <c r="AA24" s="195"/>
      <c r="AB24" s="269">
        <f ca="1">AB23*R24</f>
        <v>465.90999999999997</v>
      </c>
      <c r="AC24" s="176" t="s">
        <v>74</v>
      </c>
    </row>
    <row r="25" spans="1:38" ht="15.75" thickBot="1" x14ac:dyDescent="0.3">
      <c r="A25" s="408"/>
      <c r="B25" s="224"/>
      <c r="C25" s="2" t="str">
        <f t="shared" ca="1" si="23"/>
        <v>ETHF7</v>
      </c>
      <c r="D25" s="402">
        <f>'MKT DATA'!AB41</f>
        <v>0</v>
      </c>
      <c r="E25" s="396">
        <f>'MKT DATA'!AA41</f>
        <v>2492.5</v>
      </c>
      <c r="F25" s="25"/>
      <c r="G25" s="246"/>
      <c r="H25" s="362">
        <f t="shared" si="26"/>
        <v>12.5</v>
      </c>
      <c r="I25" s="379"/>
    </row>
    <row r="26" spans="1:38" ht="15.75" thickBot="1" x14ac:dyDescent="0.3">
      <c r="A26" s="409"/>
      <c r="B26" s="225"/>
      <c r="C26" s="156" t="str">
        <f t="shared" ca="1" si="23"/>
        <v>ETHG7</v>
      </c>
      <c r="D26" s="403">
        <f>'MKT DATA'!AB42</f>
        <v>0</v>
      </c>
      <c r="E26" s="396">
        <f>'MKT DATA'!AA42</f>
        <v>2505</v>
      </c>
      <c r="F26" s="289"/>
      <c r="G26" s="252"/>
      <c r="H26" s="363">
        <f t="shared" si="26"/>
        <v>12.5</v>
      </c>
      <c r="I26" s="380"/>
      <c r="J26" s="290"/>
      <c r="K26" s="68"/>
      <c r="L26" s="68"/>
      <c r="M26" s="68"/>
      <c r="Q26" s="382">
        <f ca="1">L16</f>
        <v>11.8</v>
      </c>
      <c r="R26" s="221">
        <v>1.25</v>
      </c>
      <c r="S26" s="249">
        <f ca="1">+Q26*R26</f>
        <v>14.75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0</v>
      </c>
      <c r="R27" s="222">
        <v>0.8</v>
      </c>
      <c r="S27" s="383">
        <f ca="1">L17</f>
        <v>0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11.8</v>
      </c>
      <c r="S28" s="68">
        <f ca="1">+S26-S27</f>
        <v>14.75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-2446.5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-2458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-2469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-2480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-2492.5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-2505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2518.5</v>
      </c>
      <c r="I43" s="326">
        <f ca="1">E47</f>
        <v>2529.35</v>
      </c>
      <c r="J43" s="326">
        <f ca="1">E48</f>
        <v>-1</v>
      </c>
      <c r="K43" s="247">
        <f ca="1">E49</f>
        <v>2533.5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2522</v>
      </c>
      <c r="I44" s="329">
        <f ca="1">F47</f>
        <v>2534.75</v>
      </c>
      <c r="J44" s="329">
        <f ca="1">F48</f>
        <v>-1</v>
      </c>
      <c r="K44" s="244">
        <f ca="1">F49</f>
        <v>2711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ETHU6</v>
      </c>
      <c r="I45" s="86" t="str">
        <f ca="1">G47</f>
        <v>b/o ETHV6</v>
      </c>
      <c r="J45" s="86" t="str">
        <f ca="1">G48</f>
        <v>b/o ETHX6</v>
      </c>
      <c r="K45" s="86" t="str">
        <f ca="1">G49</f>
        <v>b/o ETHZ6</v>
      </c>
      <c r="L45" s="86" t="str">
        <f ca="1">G50</f>
        <v>b/o ETHF7</v>
      </c>
      <c r="M45" s="331" t="str">
        <f ca="1">G51</f>
        <v>b/o ETHG7</v>
      </c>
      <c r="O45" s="296"/>
      <c r="P45" s="340" t="str">
        <f ca="1">O46</f>
        <v>ETHU6</v>
      </c>
      <c r="Q45" s="340" t="str">
        <f ca="1">O47</f>
        <v>ETHV6</v>
      </c>
      <c r="R45" s="340" t="str">
        <f ca="1">O48</f>
        <v>ETHX6</v>
      </c>
      <c r="S45" s="340" t="str">
        <f ca="1">O49</f>
        <v>ETHZ6</v>
      </c>
      <c r="T45" s="340" t="str">
        <f ca="1">O50</f>
        <v>ETHF7</v>
      </c>
      <c r="U45" s="341" t="str">
        <f ca="1">O51</f>
        <v>ETHG7</v>
      </c>
      <c r="W45" s="296"/>
      <c r="X45" s="340" t="str">
        <f ca="1">W46</f>
        <v>ETHU6</v>
      </c>
      <c r="Y45" s="340" t="str">
        <f ca="1">W47</f>
        <v>ETHV6</v>
      </c>
      <c r="Z45" s="340" t="str">
        <f ca="1">W48</f>
        <v>ETHX6</v>
      </c>
      <c r="AA45" s="340" t="str">
        <f ca="1">W49</f>
        <v>ETHZ6</v>
      </c>
      <c r="AB45" s="340" t="str">
        <f ca="1">W50</f>
        <v>ETHF7</v>
      </c>
      <c r="AC45" s="341" t="str">
        <f ca="1">W51</f>
        <v>ETHG7</v>
      </c>
    </row>
    <row r="46" spans="3:29" x14ac:dyDescent="0.25">
      <c r="E46" s="327">
        <f ca="1">E9</f>
        <v>2518.5</v>
      </c>
      <c r="F46" s="244">
        <f ca="1">G9</f>
        <v>2522</v>
      </c>
      <c r="G46" s="328" t="str">
        <f t="shared" ref="G46:G51" ca="1" si="31">C9</f>
        <v>b/o ETHU6</v>
      </c>
      <c r="H46" s="332"/>
      <c r="I46" s="333">
        <f ca="1">I$44-$F46</f>
        <v>12.75</v>
      </c>
      <c r="J46" s="333">
        <f ca="1">J$44-$F46</f>
        <v>-2523</v>
      </c>
      <c r="K46" s="333">
        <f ca="1">K$44-$F46</f>
        <v>189</v>
      </c>
      <c r="L46" s="333"/>
      <c r="M46" s="334"/>
      <c r="O46" s="342" t="str">
        <f t="shared" ref="O46:O51" ca="1" si="32">C3</f>
        <v>ETHU6</v>
      </c>
      <c r="P46" s="332"/>
      <c r="Q46" s="333">
        <f>'MKT DATA'!$H58</f>
        <v>12.75</v>
      </c>
      <c r="R46" s="333">
        <f>'MKT DATA'!$H59</f>
        <v>0</v>
      </c>
      <c r="S46" s="333">
        <f>'MKT DATA'!$H60</f>
        <v>192.5</v>
      </c>
      <c r="T46" s="333"/>
      <c r="U46" s="334"/>
      <c r="W46" s="342" t="str">
        <f ca="1">O46</f>
        <v>ETHU6</v>
      </c>
      <c r="X46" s="332"/>
      <c r="Y46" s="333">
        <f ca="1">Q46-I46</f>
        <v>0</v>
      </c>
      <c r="Z46" s="333">
        <f t="shared" ref="Z46:AA48" ca="1" si="33">R46-J46</f>
        <v>2523</v>
      </c>
      <c r="AA46" s="333">
        <f t="shared" ca="1" si="33"/>
        <v>3.5</v>
      </c>
      <c r="AB46" s="333"/>
      <c r="AC46" s="334"/>
    </row>
    <row r="47" spans="3:29" x14ac:dyDescent="0.25">
      <c r="E47" s="327">
        <f ca="1">E10</f>
        <v>2529.35</v>
      </c>
      <c r="F47" s="244">
        <f ca="1">G10</f>
        <v>2534.75</v>
      </c>
      <c r="G47" s="328" t="str">
        <f t="shared" ca="1" si="31"/>
        <v>b/o ETHV6</v>
      </c>
      <c r="H47" s="335">
        <f ca="1">$E47-H$43</f>
        <v>10.849999999999909</v>
      </c>
      <c r="I47" s="332"/>
      <c r="J47" s="333">
        <f ca="1">J$44-$F47</f>
        <v>-2535.75</v>
      </c>
      <c r="K47" s="333">
        <f ca="1">K$44-$F47</f>
        <v>176.25</v>
      </c>
      <c r="L47" s="333"/>
      <c r="M47" s="334"/>
      <c r="O47" s="342" t="str">
        <f t="shared" ca="1" si="32"/>
        <v>ETHV6</v>
      </c>
      <c r="P47" s="335">
        <f>'MKT DATA'!G58</f>
        <v>10.85</v>
      </c>
      <c r="Q47" s="332"/>
      <c r="R47" s="333">
        <f>'MKT DATA'!$H63</f>
        <v>0</v>
      </c>
      <c r="S47" s="333">
        <f>'MKT DATA'!$H64</f>
        <v>204</v>
      </c>
      <c r="T47" s="333"/>
      <c r="U47" s="334"/>
      <c r="W47" s="342" t="str">
        <f t="shared" ref="W47:W51" ca="1" si="34">O47</f>
        <v>ETHV6</v>
      </c>
      <c r="X47" s="335">
        <f ca="1">H47-P47</f>
        <v>-9.0594198809412774E-14</v>
      </c>
      <c r="Y47" s="332"/>
      <c r="Z47" s="333">
        <f ca="1">R47-J47</f>
        <v>2535.75</v>
      </c>
      <c r="AA47" s="333">
        <f t="shared" ca="1" si="33"/>
        <v>27.75</v>
      </c>
      <c r="AB47" s="333"/>
      <c r="AC47" s="334"/>
    </row>
    <row r="48" spans="3:29" x14ac:dyDescent="0.25">
      <c r="E48" s="327">
        <f ca="1">E11</f>
        <v>-1</v>
      </c>
      <c r="F48" s="244">
        <f ca="1">G11</f>
        <v>-1</v>
      </c>
      <c r="G48" s="328" t="str">
        <f t="shared" ca="1" si="31"/>
        <v>b/o ETHX6</v>
      </c>
      <c r="H48" s="335">
        <f ca="1">$E48-H$43</f>
        <v>-2519.5</v>
      </c>
      <c r="I48" s="335">
        <f ca="1">$E48-I$43</f>
        <v>-2530.35</v>
      </c>
      <c r="J48" s="332"/>
      <c r="K48" s="333">
        <f ca="1">K$44-$F48</f>
        <v>2712</v>
      </c>
      <c r="L48" s="333"/>
      <c r="M48" s="334"/>
      <c r="O48" s="342" t="str">
        <f t="shared" ca="1" si="32"/>
        <v>ETHX6</v>
      </c>
      <c r="P48" s="335">
        <f>'MKT DATA'!G59</f>
        <v>0</v>
      </c>
      <c r="Q48" s="335">
        <f>'MKT DATA'!$G63</f>
        <v>0</v>
      </c>
      <c r="R48" s="332"/>
      <c r="S48" s="333">
        <f>'MKT DATA'!$H67</f>
        <v>0</v>
      </c>
      <c r="T48" s="333"/>
      <c r="U48" s="334"/>
      <c r="W48" s="342" t="str">
        <f t="shared" ca="1" si="34"/>
        <v>ETHX6</v>
      </c>
      <c r="X48" s="335">
        <f t="shared" ref="X48:Z49" ca="1" si="35">H48-P48</f>
        <v>-2519.5</v>
      </c>
      <c r="Y48" s="335">
        <f t="shared" ca="1" si="35"/>
        <v>-2530.35</v>
      </c>
      <c r="Z48" s="332"/>
      <c r="AA48" s="333">
        <f t="shared" ca="1" si="33"/>
        <v>-2712</v>
      </c>
      <c r="AB48" s="333"/>
      <c r="AC48" s="334"/>
    </row>
    <row r="49" spans="5:29" x14ac:dyDescent="0.25">
      <c r="E49" s="327">
        <f ca="1">E12</f>
        <v>2533.5</v>
      </c>
      <c r="F49" s="244">
        <f ca="1">G12</f>
        <v>2711</v>
      </c>
      <c r="G49" s="328" t="str">
        <f t="shared" ca="1" si="31"/>
        <v>b/o ETHZ6</v>
      </c>
      <c r="H49" s="335">
        <f ca="1">$E49-H$43</f>
        <v>15</v>
      </c>
      <c r="I49" s="335">
        <f ca="1">$E49-I$43</f>
        <v>4.1500000000000909</v>
      </c>
      <c r="J49" s="335">
        <f ca="1">$E49-J$43</f>
        <v>2534.5</v>
      </c>
      <c r="K49" s="332"/>
      <c r="L49" s="333"/>
      <c r="M49" s="334"/>
      <c r="O49" s="342" t="str">
        <f t="shared" ca="1" si="32"/>
        <v>ETHZ6</v>
      </c>
      <c r="P49" s="335">
        <f>'MKT DATA'!G60</f>
        <v>15</v>
      </c>
      <c r="Q49" s="335">
        <f>'MKT DATA'!$G64</f>
        <v>-183.5</v>
      </c>
      <c r="R49" s="335">
        <f>'MKT DATA'!$G67</f>
        <v>0</v>
      </c>
      <c r="S49" s="332"/>
      <c r="T49" s="333"/>
      <c r="U49" s="334"/>
      <c r="W49" s="342" t="str">
        <f t="shared" ca="1" si="34"/>
        <v>ETHZ6</v>
      </c>
      <c r="X49" s="335">
        <f t="shared" ca="1" si="35"/>
        <v>0</v>
      </c>
      <c r="Y49" s="335">
        <f t="shared" ca="1" si="35"/>
        <v>187.65000000000009</v>
      </c>
      <c r="Z49" s="335">
        <f t="shared" ca="1" si="35"/>
        <v>2534.5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ETHF7</v>
      </c>
      <c r="H50" s="335"/>
      <c r="I50" s="335"/>
      <c r="J50" s="335"/>
      <c r="K50" s="335"/>
      <c r="L50" s="332"/>
      <c r="M50" s="334"/>
      <c r="O50" s="342" t="str">
        <f t="shared" ca="1" si="32"/>
        <v>ETHF7</v>
      </c>
      <c r="P50" s="335"/>
      <c r="Q50" s="335"/>
      <c r="R50" s="335"/>
      <c r="S50" s="335"/>
      <c r="T50" s="332"/>
      <c r="U50" s="334"/>
      <c r="W50" s="342" t="str">
        <f t="shared" ca="1" si="34"/>
        <v>ETHF7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ETHG7</v>
      </c>
      <c r="H51" s="338"/>
      <c r="I51" s="338"/>
      <c r="J51" s="338"/>
      <c r="K51" s="338"/>
      <c r="L51" s="338"/>
      <c r="M51" s="339"/>
      <c r="O51" s="343" t="str">
        <f t="shared" ca="1" si="32"/>
        <v>ETHG7</v>
      </c>
      <c r="P51" s="338"/>
      <c r="Q51" s="338"/>
      <c r="R51" s="338"/>
      <c r="S51" s="338"/>
      <c r="T51" s="338"/>
      <c r="U51" s="339"/>
      <c r="W51" s="343" t="str">
        <f t="shared" ca="1" si="34"/>
        <v>ETHG7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0.29110000000000003</v>
      </c>
      <c r="C2" s="9">
        <f>'MKT DATA'!O2</f>
        <v>79.001249999999999</v>
      </c>
      <c r="D2" s="9">
        <f>'MKT DATA'!P2</f>
        <v>79001.25</v>
      </c>
      <c r="E2" s="9">
        <f>'MKT DATA'!Q2</f>
        <v>78922.248749999999</v>
      </c>
      <c r="F2" s="9">
        <f>E2+G2</f>
        <v>-158.66316000001098</v>
      </c>
      <c r="G2" s="9">
        <f>'MKT DATA'!R2</f>
        <v>-79080.91191000001</v>
      </c>
      <c r="H2" s="9">
        <f>'MKT DATA'!S2</f>
        <v>-79001.91</v>
      </c>
      <c r="I2" s="9">
        <f>'MKT DATA'!T2</f>
        <v>79.001910000000009</v>
      </c>
      <c r="J2" s="64">
        <f>'MKT DATA'!U2</f>
        <v>2.5309999999999999E-2</v>
      </c>
      <c r="K2" s="100">
        <f>'MKT DATA'!V16</f>
        <v>1</v>
      </c>
      <c r="L2" s="100">
        <f>'MKT DATA'!W16</f>
        <v>1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0</v>
      </c>
      <c r="C3" s="9">
        <f>'MKT DATA'!O3</f>
        <v>0</v>
      </c>
      <c r="D3" s="9">
        <f>'MKT DATA'!P3</f>
        <v>0</v>
      </c>
      <c r="E3" s="9">
        <f>'MKT DATA'!Q3</f>
        <v>0</v>
      </c>
      <c r="F3" s="9">
        <f t="shared" ref="F3:F9" si="0">E3+G3</f>
        <v>0</v>
      </c>
      <c r="G3" s="9">
        <f>'MKT DATA'!R3</f>
        <v>0</v>
      </c>
      <c r="H3" s="9">
        <f>'MKT DATA'!S3</f>
        <v>0</v>
      </c>
      <c r="I3" s="9">
        <f>'MKT DATA'!T3</f>
        <v>0</v>
      </c>
      <c r="J3" s="64">
        <f>'MKT DATA'!U3</f>
        <v>0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BTCU6</v>
      </c>
      <c r="B4" s="64">
        <f>'MKT DATA'!N4</f>
        <v>5</v>
      </c>
      <c r="C4" s="9">
        <f>'MKT DATA'!O4</f>
        <v>2.504</v>
      </c>
      <c r="D4" s="9">
        <f>'MKT DATA'!P4</f>
        <v>79225</v>
      </c>
      <c r="E4" s="9">
        <f>'MKT DATA'!Q4</f>
        <v>79222.495999999999</v>
      </c>
      <c r="F4" s="9">
        <f t="shared" si="0"/>
        <v>-80.00800000000163</v>
      </c>
      <c r="G4" s="9">
        <f>'MKT DATA'!R4</f>
        <v>-79302.504000000001</v>
      </c>
      <c r="H4" s="9">
        <f>'MKT DATA'!S4</f>
        <v>-79300</v>
      </c>
      <c r="I4" s="9">
        <f>'MKT DATA'!T4</f>
        <v>2.504</v>
      </c>
      <c r="J4" s="64">
        <f>'MKT DATA'!U4</f>
        <v>15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BTCV6</v>
      </c>
      <c r="B5" s="64">
        <f>'MKT DATA'!N5</f>
        <v>5</v>
      </c>
      <c r="C5" s="9">
        <f>'MKT DATA'!O5</f>
        <v>2.504</v>
      </c>
      <c r="D5" s="9">
        <f>'MKT DATA'!P5</f>
        <v>79280</v>
      </c>
      <c r="E5" s="9">
        <f>'MKT DATA'!Q5</f>
        <v>79277.495999999999</v>
      </c>
      <c r="F5" s="9">
        <f t="shared" si="0"/>
        <v>-915.00800000000163</v>
      </c>
      <c r="G5" s="9">
        <f>'MKT DATA'!R5</f>
        <v>-80192.504000000001</v>
      </c>
      <c r="H5" s="9">
        <f>'MKT DATA'!S5</f>
        <v>-80190</v>
      </c>
      <c r="I5" s="9">
        <f>'MKT DATA'!T5</f>
        <v>2.504</v>
      </c>
      <c r="J5" s="64">
        <f>'MKT DATA'!U5</f>
        <v>5</v>
      </c>
      <c r="K5" s="100">
        <f>'MKT DATA'!V33</f>
        <v>1</v>
      </c>
      <c r="L5" s="100">
        <f>'MKT DATA'!W33</f>
        <v>1</v>
      </c>
      <c r="M5" s="100">
        <f>'MKT DATA'!X33</f>
        <v>89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BTCX6</v>
      </c>
      <c r="B6" s="64">
        <f>'MKT DATA'!N6</f>
        <v>85</v>
      </c>
      <c r="C6" s="9">
        <f>'MKT DATA'!O6</f>
        <v>2.504</v>
      </c>
      <c r="D6" s="9">
        <f>'MKT DATA'!P6</f>
        <v>45370</v>
      </c>
      <c r="E6" s="9">
        <f>'MKT DATA'!Q6</f>
        <v>45367.495999999999</v>
      </c>
      <c r="F6" s="9">
        <f t="shared" si="0"/>
        <v>45364.991999999998</v>
      </c>
      <c r="G6" s="9">
        <f>'MKT DATA'!R6</f>
        <v>-2.504</v>
      </c>
      <c r="H6" s="9">
        <f>'MKT DATA'!S6</f>
        <v>0</v>
      </c>
      <c r="I6" s="9">
        <f>'MKT DATA'!T6</f>
        <v>2.504</v>
      </c>
      <c r="J6" s="64">
        <f>'MKT DATA'!U6</f>
        <v>0</v>
      </c>
      <c r="K6" s="100">
        <f>'MKT DATA'!V34</f>
        <v>1</v>
      </c>
      <c r="L6" s="100">
        <f>'MKT DATA'!W34</f>
        <v>1</v>
      </c>
      <c r="M6" s="100">
        <f>'MKT DATA'!X34</f>
        <v>116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BTCZ6</v>
      </c>
      <c r="B7" s="64">
        <f>'MKT DATA'!N7</f>
        <v>15</v>
      </c>
      <c r="C7" s="9">
        <f>'MKT DATA'!O7</f>
        <v>2.504</v>
      </c>
      <c r="D7" s="9">
        <f>'MKT DATA'!P7</f>
        <v>77090</v>
      </c>
      <c r="E7" s="9">
        <f>'MKT DATA'!Q7</f>
        <v>77087.495999999999</v>
      </c>
      <c r="F7" s="9">
        <f t="shared" si="0"/>
        <v>-5500.0080000000016</v>
      </c>
      <c r="G7" s="9">
        <f>'MKT DATA'!R7</f>
        <v>-82587.504000000001</v>
      </c>
      <c r="H7" s="9">
        <f>'MKT DATA'!S7</f>
        <v>-82585</v>
      </c>
      <c r="I7" s="9">
        <f>'MKT DATA'!T7</f>
        <v>2.504</v>
      </c>
      <c r="J7" s="64">
        <f>'MKT DATA'!U7</f>
        <v>15</v>
      </c>
      <c r="K7" s="100">
        <f>'MKT DATA'!V35</f>
        <v>1</v>
      </c>
      <c r="L7" s="100">
        <f>'MKT DATA'!W35</f>
        <v>1</v>
      </c>
      <c r="M7" s="100">
        <f>'MKT DATA'!X35</f>
        <v>152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BTCF7</v>
      </c>
      <c r="B8" s="64">
        <f>'MKT DATA'!N8</f>
        <v>0</v>
      </c>
      <c r="C8" s="9">
        <f>'MKT DATA'!O8</f>
        <v>2.504</v>
      </c>
      <c r="D8" s="9">
        <f>'MKT DATA'!P8</f>
        <v>0</v>
      </c>
      <c r="E8" s="9">
        <f>'MKT DATA'!Q8</f>
        <v>-2.504</v>
      </c>
      <c r="F8" s="9">
        <f t="shared" si="0"/>
        <v>-5.008</v>
      </c>
      <c r="G8" s="9">
        <f>'MKT DATA'!R8</f>
        <v>-2.504</v>
      </c>
      <c r="H8" s="9">
        <f>'MKT DATA'!S8</f>
        <v>0</v>
      </c>
      <c r="I8" s="9">
        <f>'MKT DATA'!T8</f>
        <v>2.504</v>
      </c>
      <c r="J8" s="64">
        <f>'MKT DATA'!U8</f>
        <v>0</v>
      </c>
      <c r="K8" s="100">
        <f>'MKT DATA'!V36</f>
        <v>1</v>
      </c>
      <c r="L8" s="100">
        <f>'MKT DATA'!W36</f>
        <v>1</v>
      </c>
      <c r="M8" s="100">
        <f>'MKT DATA'!X36</f>
        <v>180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BTCG7</v>
      </c>
      <c r="B9" s="64">
        <f>'MKT DATA'!N9</f>
        <v>0</v>
      </c>
      <c r="C9" s="9">
        <f>'MKT DATA'!O9</f>
        <v>2.504</v>
      </c>
      <c r="D9" s="9">
        <f>'MKT DATA'!P9</f>
        <v>0</v>
      </c>
      <c r="E9" s="9">
        <f>'MKT DATA'!Q9</f>
        <v>-2.504</v>
      </c>
      <c r="F9" s="9">
        <f t="shared" si="0"/>
        <v>-5.008</v>
      </c>
      <c r="G9" s="9">
        <f>'MKT DATA'!R9</f>
        <v>-2.504</v>
      </c>
      <c r="H9" s="9">
        <f>'MKT DATA'!S9</f>
        <v>0</v>
      </c>
      <c r="I9" s="9">
        <f>'MKT DATA'!T9</f>
        <v>2.504</v>
      </c>
      <c r="J9" s="64">
        <f>'MKT DATA'!U9</f>
        <v>0</v>
      </c>
      <c r="K9" s="100">
        <f>'MKT DATA'!V37</f>
        <v>1</v>
      </c>
      <c r="L9" s="100">
        <f>'MKT DATA'!W37</f>
        <v>1</v>
      </c>
      <c r="M9" s="100">
        <f>'MKT DATA'!X37</f>
        <v>26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BTCU6</v>
      </c>
      <c r="G13" s="86" t="str">
        <f>C17</f>
        <v>b/o BTCV6</v>
      </c>
      <c r="H13" s="86" t="str">
        <f>C18</f>
        <v>b/o BTCX6</v>
      </c>
      <c r="I13" s="86" t="str">
        <f>C19</f>
        <v>b/o BTCZ6</v>
      </c>
      <c r="J13" s="86" t="str">
        <f>C20</f>
        <v>b/o BTCF7</v>
      </c>
      <c r="K13" s="86" t="str">
        <f>C21</f>
        <v>b/o BTCG7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#REF!</v>
      </c>
      <c r="L15" s="43"/>
    </row>
    <row r="16" spans="1:19" x14ac:dyDescent="0.25">
      <c r="B16" s="43"/>
      <c r="C16" s="2" t="str">
        <f t="shared" si="2"/>
        <v>b/o BTCU6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BTCV6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BTCX6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BTCZ6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BTCF7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BTCG7</v>
      </c>
      <c r="D21" s="140" t="e">
        <f t="shared" ref="D21:K21" si="9">D34-D107</f>
        <v>#REF!</v>
      </c>
      <c r="E21" s="141" t="e">
        <f t="shared" si="9"/>
        <v>#REF!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79001.25</v>
      </c>
      <c r="E25" s="92">
        <f>D3</f>
        <v>0</v>
      </c>
      <c r="F25" s="92">
        <f>D4</f>
        <v>79225</v>
      </c>
      <c r="G25" s="92">
        <f>D5</f>
        <v>79280</v>
      </c>
      <c r="H25" s="92">
        <f>D6</f>
        <v>45370</v>
      </c>
      <c r="I25" s="92">
        <f>D7</f>
        <v>77090</v>
      </c>
      <c r="J25" s="92">
        <f>D8</f>
        <v>0</v>
      </c>
      <c r="K25" s="92">
        <f>D9</f>
        <v>0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BTCU6</v>
      </c>
      <c r="G26" s="86" t="str">
        <f>C30</f>
        <v>b/o BTCV6</v>
      </c>
      <c r="H26" s="86" t="str">
        <f>C31</f>
        <v>b/o BTCX6</v>
      </c>
      <c r="I26" s="86" t="str">
        <f>C32</f>
        <v>b/o BTCZ6</v>
      </c>
      <c r="J26" s="86" t="str">
        <f>C33</f>
        <v>b/o BTCF7</v>
      </c>
      <c r="K26" s="86" t="str">
        <f>C34</f>
        <v>b/o BTCG7</v>
      </c>
      <c r="L26" s="87"/>
    </row>
    <row r="27" spans="1:15" x14ac:dyDescent="0.25">
      <c r="B27" s="88">
        <f t="shared" si="10"/>
        <v>-79001.91</v>
      </c>
      <c r="C27" s="2" t="str">
        <f t="shared" si="11"/>
        <v>b/o SPOT</v>
      </c>
      <c r="D27" s="78">
        <f>D39</f>
        <v>-158.66315999999642</v>
      </c>
      <c r="E27" s="134">
        <f t="shared" ref="E27:K27" si="12">(-E$25/E50-1)/E87</f>
        <v>-360</v>
      </c>
      <c r="F27" s="134" t="e">
        <f t="shared" si="12"/>
        <v>#REF!</v>
      </c>
      <c r="G27" s="134">
        <f t="shared" si="12"/>
        <v>1.0054846403003904E-2</v>
      </c>
      <c r="H27" s="134">
        <f t="shared" si="12"/>
        <v>-1.3230061103883133</v>
      </c>
      <c r="I27" s="134">
        <f t="shared" si="12"/>
        <v>-5.9699598880095441E-2</v>
      </c>
      <c r="J27" s="134">
        <f t="shared" si="12"/>
        <v>-2</v>
      </c>
      <c r="K27" s="135">
        <f t="shared" si="12"/>
        <v>-13.846153846153847</v>
      </c>
      <c r="L27" s="96">
        <f>B87</f>
        <v>0</v>
      </c>
    </row>
    <row r="28" spans="1:15" x14ac:dyDescent="0.25">
      <c r="B28" s="88">
        <f t="shared" si="10"/>
        <v>0</v>
      </c>
      <c r="C28" s="2" t="str">
        <f t="shared" si="11"/>
        <v>b/o ETF</v>
      </c>
      <c r="D28" s="138">
        <f t="shared" ref="D28:D33" si="13">(-$B28/D51-1)/D88</f>
        <v>360</v>
      </c>
      <c r="E28" s="79">
        <f>E40</f>
        <v>0</v>
      </c>
      <c r="F28" s="136" t="e">
        <f t="shared" ref="F28:K28" si="14">(-F$25/F51-1)/F88</f>
        <v>#REF!</v>
      </c>
      <c r="G28" s="136">
        <f t="shared" si="14"/>
        <v>129506.98895288447</v>
      </c>
      <c r="H28" s="136">
        <f t="shared" si="14"/>
        <v>56711.733450371648</v>
      </c>
      <c r="I28" s="136">
        <f t="shared" si="14"/>
        <v>73389.333813698438</v>
      </c>
      <c r="J28" s="136">
        <f t="shared" si="14"/>
        <v>-2.011173184357542</v>
      </c>
      <c r="K28" s="137">
        <f t="shared" si="14"/>
        <v>-14.399999999999999</v>
      </c>
      <c r="L28" s="96">
        <f t="shared" ref="L28:L34" si="15">B88</f>
        <v>1</v>
      </c>
    </row>
    <row r="29" spans="1:15" x14ac:dyDescent="0.25">
      <c r="B29" s="88">
        <f t="shared" si="10"/>
        <v>-79300</v>
      </c>
      <c r="C29" s="2" t="str">
        <f t="shared" si="11"/>
        <v>b/o BTCU6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-80190</v>
      </c>
      <c r="C30" s="2" t="str">
        <f t="shared" si="11"/>
        <v>b/o BTCV6</v>
      </c>
      <c r="D30" s="138">
        <f t="shared" si="13"/>
        <v>-6.5105521309931802E-2</v>
      </c>
      <c r="E30" s="139">
        <f t="shared" si="16"/>
        <v>131001.73841327614</v>
      </c>
      <c r="F30" s="82" t="e">
        <f>(-$B30/F53-1)/F90</f>
        <v>#REF!</v>
      </c>
      <c r="G30" s="79">
        <f>G42</f>
        <v>-915.05133311111422</v>
      </c>
      <c r="H30" s="80">
        <f>(-H$25/H53-1)/H90</f>
        <v>-5.7900582399540115</v>
      </c>
      <c r="I30" s="80">
        <f>(-I$25/I53-1)/I90</f>
        <v>-0.22124994223421371</v>
      </c>
      <c r="J30" s="80">
        <f>(-J$25/J53-1)/J90</f>
        <v>-3.9560439560439562</v>
      </c>
      <c r="K30" s="81">
        <f>(-K$25/K53-1)/K90</f>
        <v>5.7142857142857144</v>
      </c>
      <c r="L30" s="96">
        <f t="shared" si="15"/>
        <v>89</v>
      </c>
    </row>
    <row r="31" spans="1:15" x14ac:dyDescent="0.25">
      <c r="B31" s="88">
        <f t="shared" si="10"/>
        <v>0</v>
      </c>
      <c r="C31" s="2" t="str">
        <f t="shared" si="11"/>
        <v>b/o BTCX6</v>
      </c>
      <c r="D31" s="138">
        <f t="shared" si="13"/>
        <v>3.103448275862069</v>
      </c>
      <c r="E31" s="139">
        <f t="shared" si="16"/>
        <v>3.1304347826086958</v>
      </c>
      <c r="F31" s="82" t="e">
        <f>(-$B31/F54-1)/F91</f>
        <v>#REF!</v>
      </c>
      <c r="G31" s="82">
        <f>(-$B31/G54-1)/G91</f>
        <v>13.333333333333334</v>
      </c>
      <c r="H31" s="79">
        <f>H43</f>
        <v>45364.935520888888</v>
      </c>
      <c r="I31" s="80">
        <f>(-I$25/I54-1)/I91</f>
        <v>152207.03616245539</v>
      </c>
      <c r="J31" s="80">
        <f>(-J$25/J54-1)/J91</f>
        <v>-5.625</v>
      </c>
      <c r="K31" s="81">
        <f>(-K$25/K54-1)/K91</f>
        <v>4</v>
      </c>
      <c r="L31" s="96">
        <f t="shared" si="15"/>
        <v>116</v>
      </c>
    </row>
    <row r="32" spans="1:15" x14ac:dyDescent="0.25">
      <c r="B32" s="88">
        <f t="shared" si="10"/>
        <v>-82585</v>
      </c>
      <c r="C32" s="2" t="str">
        <f t="shared" si="11"/>
        <v>b/o BTCZ6</v>
      </c>
      <c r="D32" s="138">
        <f t="shared" si="13"/>
        <v>-0.1099961451328494</v>
      </c>
      <c r="E32" s="139">
        <f t="shared" si="16"/>
        <v>78625.487289187848</v>
      </c>
      <c r="F32" s="82" t="e">
        <f>(-$B32/F55-1)/F92</f>
        <v>#REF!</v>
      </c>
      <c r="G32" s="82">
        <f>(-$B32/G55-1)/G92</f>
        <v>-0.2385946552400523</v>
      </c>
      <c r="H32" s="82">
        <f>(-$B32/H55-1)/H92</f>
        <v>-8.2045888640076736</v>
      </c>
      <c r="I32" s="79">
        <f>I44</f>
        <v>-5500.0820071111084</v>
      </c>
      <c r="J32" s="80">
        <f>(-J$25/J55-1)/J92</f>
        <v>-12.857142857142858</v>
      </c>
      <c r="K32" s="81">
        <f>(-K$25/K55-1)/K92</f>
        <v>2.8571428571428572</v>
      </c>
      <c r="L32" s="96">
        <f t="shared" si="15"/>
        <v>152</v>
      </c>
      <c r="M32" s="2"/>
    </row>
    <row r="33" spans="1:15" x14ac:dyDescent="0.25">
      <c r="B33" s="88">
        <f t="shared" si="10"/>
        <v>0</v>
      </c>
      <c r="C33" s="2" t="str">
        <f t="shared" si="11"/>
        <v>b/o BTCF7</v>
      </c>
      <c r="D33" s="138">
        <f t="shared" si="13"/>
        <v>2</v>
      </c>
      <c r="E33" s="139">
        <f t="shared" si="16"/>
        <v>2.011173184357542</v>
      </c>
      <c r="F33" s="82" t="e">
        <f>(-$B33/F56-1)/F93</f>
        <v>#REF!</v>
      </c>
      <c r="G33" s="82">
        <f>(-$B33/G56-1)/G93</f>
        <v>3.9560439560439562</v>
      </c>
      <c r="H33" s="82">
        <f>(-$B33/H56-1)/H93</f>
        <v>5.625</v>
      </c>
      <c r="I33" s="82">
        <f>(-$B33/I56-1)/I93</f>
        <v>12.857142857142858</v>
      </c>
      <c r="J33" s="79">
        <f>J45</f>
        <v>-5.0956400000000004</v>
      </c>
      <c r="K33" s="81">
        <f>(-K$25/K56-1)/K93</f>
        <v>2.337662337662338</v>
      </c>
      <c r="L33" s="96">
        <f t="shared" si="15"/>
        <v>180</v>
      </c>
    </row>
    <row r="34" spans="1:15" ht="15.75" thickBot="1" x14ac:dyDescent="0.3">
      <c r="B34" s="88">
        <f t="shared" si="10"/>
        <v>0</v>
      </c>
      <c r="C34" s="2" t="str">
        <f t="shared" si="11"/>
        <v>b/o BTCG7</v>
      </c>
      <c r="D34" s="140">
        <f>(-$B34/D57-1)/D94</f>
        <v>13.846153846153847</v>
      </c>
      <c r="E34" s="141">
        <f t="shared" si="16"/>
        <v>14.399999999999999</v>
      </c>
      <c r="F34" s="83" t="e">
        <f>(-$B34/F57-1)/F94</f>
        <v>#REF!</v>
      </c>
      <c r="G34" s="83">
        <f>(-$B34/G57-1)/G94</f>
        <v>-5.7142857142857144</v>
      </c>
      <c r="H34" s="83">
        <f>(-$B34/H57-1)/H94</f>
        <v>-4</v>
      </c>
      <c r="I34" s="83">
        <f>(-$B34/I57-1)/I94</f>
        <v>-2.8571428571428572</v>
      </c>
      <c r="J34" s="83">
        <f>(-$B34/J57-1)/J94</f>
        <v>-2.337662337662338</v>
      </c>
      <c r="K34" s="84">
        <f>K46</f>
        <v>-5.0206591111111107</v>
      </c>
      <c r="L34" s="96">
        <f t="shared" si="15"/>
        <v>26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89</v>
      </c>
      <c r="H35" s="98">
        <f>L31</f>
        <v>116</v>
      </c>
      <c r="I35" s="98">
        <f>L32</f>
        <v>152</v>
      </c>
      <c r="J35" s="98">
        <f>L33</f>
        <v>180</v>
      </c>
      <c r="K35" s="98">
        <f>L34</f>
        <v>26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BTCU6</v>
      </c>
      <c r="G38" s="41" t="str">
        <f t="shared" si="17"/>
        <v>b/o BTCV6</v>
      </c>
      <c r="H38" s="41" t="str">
        <f t="shared" si="17"/>
        <v>b/o BTCX6</v>
      </c>
      <c r="I38" s="41" t="str">
        <f t="shared" si="17"/>
        <v>b/o BTCZ6</v>
      </c>
      <c r="J38" s="41" t="str">
        <f t="shared" si="17"/>
        <v>b/o BTCF7</v>
      </c>
      <c r="K38" s="41" t="str">
        <f t="shared" si="17"/>
        <v>b/o BTCG7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-158.66315999999642</v>
      </c>
      <c r="E39" s="123">
        <f>E50+E$25</f>
        <v>-79080.91191000001</v>
      </c>
      <c r="F39" s="123">
        <f t="shared" ref="F39:K39" si="20">F50+F$25</f>
        <v>141.58408999998937</v>
      </c>
      <c r="G39" s="123">
        <f t="shared" si="20"/>
        <v>196.58408999998937</v>
      </c>
      <c r="H39" s="123">
        <f t="shared" si="20"/>
        <v>-33713.415910000011</v>
      </c>
      <c r="I39" s="123">
        <f t="shared" si="20"/>
        <v>-1993.4159100000106</v>
      </c>
      <c r="J39" s="123">
        <f t="shared" si="20"/>
        <v>-79083.415910000011</v>
      </c>
      <c r="K39" s="123">
        <f t="shared" si="20"/>
        <v>-79083.415910000011</v>
      </c>
    </row>
    <row r="40" spans="1:15" x14ac:dyDescent="0.25">
      <c r="B40" s="67"/>
      <c r="C40" s="2" t="str">
        <f t="shared" si="18"/>
        <v>b/o ETF</v>
      </c>
      <c r="D40" s="122">
        <f t="shared" si="19"/>
        <v>78922.248749999999</v>
      </c>
      <c r="E40" s="122">
        <f t="shared" ref="E40:E46" si="21">E51+$B28</f>
        <v>0</v>
      </c>
      <c r="F40" s="123">
        <f>F51+F$25</f>
        <v>79222.495756555552</v>
      </c>
      <c r="G40" s="123">
        <f t="shared" ref="G40" si="22">G51+G$25</f>
        <v>79277.495756555552</v>
      </c>
      <c r="H40" s="123">
        <f t="shared" ref="H40" si="23">H51+H$25</f>
        <v>45367.495756555552</v>
      </c>
      <c r="I40" s="123">
        <f t="shared" ref="I40" si="24">I51+I$25</f>
        <v>77087.495756555552</v>
      </c>
      <c r="J40" s="123">
        <f t="shared" ref="J40" si="25">J51+J$25</f>
        <v>-2.5042434444444446</v>
      </c>
      <c r="K40" s="123">
        <f t="shared" ref="K40" si="26">K51+K$25</f>
        <v>-2.5042434444444446</v>
      </c>
    </row>
    <row r="41" spans="1:15" x14ac:dyDescent="0.25">
      <c r="A41" s="132" t="s">
        <v>26</v>
      </c>
      <c r="B41" s="67"/>
      <c r="C41" s="2" t="str">
        <f t="shared" si="18"/>
        <v>b/o BTCU6</v>
      </c>
      <c r="D41" s="122">
        <f t="shared" si="19"/>
        <v>-380.25525000000198</v>
      </c>
      <c r="E41" s="122">
        <f t="shared" si="21"/>
        <v>-79302.504243444448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BTCV6</v>
      </c>
      <c r="D42" s="122">
        <f t="shared" si="19"/>
        <v>-1270.255250000002</v>
      </c>
      <c r="E42" s="122">
        <f t="shared" si="21"/>
        <v>-80192.504243444448</v>
      </c>
      <c r="F42" s="122" t="e">
        <f t="shared" si="27"/>
        <v>#REF!</v>
      </c>
      <c r="G42" s="122">
        <f>G53+$B30</f>
        <v>-915.05133311111422</v>
      </c>
      <c r="H42" s="123">
        <f t="shared" ref="H42" si="33">H53+H$25</f>
        <v>-34825.051333111114</v>
      </c>
      <c r="I42" s="123">
        <f t="shared" ref="I42" si="34">I53+I$25</f>
        <v>-3105.0513331111142</v>
      </c>
      <c r="J42" s="123">
        <f t="shared" ref="J42" si="35">J53+J$25</f>
        <v>-80195.051333111114</v>
      </c>
      <c r="K42" s="123">
        <f t="shared" ref="K42" si="36">K53+K$25</f>
        <v>-80195.051333111114</v>
      </c>
    </row>
    <row r="43" spans="1:15" x14ac:dyDescent="0.25">
      <c r="B43" s="67"/>
      <c r="C43" s="2" t="str">
        <f t="shared" si="18"/>
        <v>b/o BTCX6</v>
      </c>
      <c r="D43" s="122">
        <f t="shared" si="19"/>
        <v>78919.744749999998</v>
      </c>
      <c r="E43" s="122">
        <f t="shared" si="21"/>
        <v>-2.5042434444444446</v>
      </c>
      <c r="F43" s="122" t="e">
        <f t="shared" si="27"/>
        <v>#REF!</v>
      </c>
      <c r="G43" s="122">
        <f>G54+$B31</f>
        <v>79274.948666888886</v>
      </c>
      <c r="H43" s="122">
        <f>H54+$B31</f>
        <v>45364.935520888888</v>
      </c>
      <c r="I43" s="123">
        <f t="shared" ref="I43" si="37">I54+I$25</f>
        <v>77084.935520888888</v>
      </c>
      <c r="J43" s="123">
        <f t="shared" ref="J43" si="38">J54+J$25</f>
        <v>-5.0644791111111109</v>
      </c>
      <c r="K43" s="123">
        <f t="shared" ref="K43" si="39">K54+K$25</f>
        <v>-5.0644791111111109</v>
      </c>
    </row>
    <row r="44" spans="1:15" x14ac:dyDescent="0.25">
      <c r="B44" s="67"/>
      <c r="C44" s="2" t="str">
        <f t="shared" si="18"/>
        <v>b/o BTCZ6</v>
      </c>
      <c r="D44" s="122">
        <f t="shared" si="19"/>
        <v>-3665.255250000002</v>
      </c>
      <c r="E44" s="122">
        <f t="shared" si="21"/>
        <v>-82587.504243444448</v>
      </c>
      <c r="F44" s="122" t="e">
        <f t="shared" si="27"/>
        <v>#REF!</v>
      </c>
      <c r="G44" s="122">
        <f>G55+$B32</f>
        <v>-3310.0513331111142</v>
      </c>
      <c r="H44" s="122">
        <f>H55+$B32</f>
        <v>-37220.064479111112</v>
      </c>
      <c r="I44" s="122">
        <f>I55+$B32</f>
        <v>-5500.0820071111084</v>
      </c>
      <c r="J44" s="123">
        <f t="shared" ref="J44" si="40">J55+J$25</f>
        <v>-82590.082007111108</v>
      </c>
      <c r="K44" s="123">
        <f t="shared" ref="K44" si="41">K55+K$25</f>
        <v>-82590.082007111108</v>
      </c>
    </row>
    <row r="45" spans="1:15" x14ac:dyDescent="0.25">
      <c r="B45" s="67"/>
      <c r="C45" s="2" t="str">
        <f t="shared" si="18"/>
        <v>b/o BTCF7</v>
      </c>
      <c r="D45" s="122">
        <f t="shared" si="19"/>
        <v>78919.744749999998</v>
      </c>
      <c r="E45" s="122">
        <f t="shared" si="21"/>
        <v>-2.5042434444444446</v>
      </c>
      <c r="F45" s="122" t="e">
        <f t="shared" si="27"/>
        <v>#REF!</v>
      </c>
      <c r="G45" s="122">
        <f>G56+$B33</f>
        <v>79274.948666888886</v>
      </c>
      <c r="H45" s="122">
        <f>H56+$B33</f>
        <v>45364.935520888888</v>
      </c>
      <c r="I45" s="122">
        <f>I56+$B33</f>
        <v>77084.917992888892</v>
      </c>
      <c r="J45" s="122">
        <f>J56+$B33</f>
        <v>-5.0956400000000004</v>
      </c>
      <c r="K45" s="123">
        <f t="shared" ref="K45" si="42">K56+K$25</f>
        <v>-5.0956400000000004</v>
      </c>
    </row>
    <row r="46" spans="1:15" x14ac:dyDescent="0.25">
      <c r="B46" s="67"/>
      <c r="C46" s="2" t="str">
        <f t="shared" si="18"/>
        <v>b/o BTCG7</v>
      </c>
      <c r="D46" s="122">
        <f t="shared" si="19"/>
        <v>78919.744749999998</v>
      </c>
      <c r="E46" s="122">
        <f t="shared" si="21"/>
        <v>-2.5042434444444446</v>
      </c>
      <c r="F46" s="122" t="e">
        <f t="shared" si="27"/>
        <v>#REF!</v>
      </c>
      <c r="G46" s="122">
        <f>G57+$B34</f>
        <v>79274.948666888886</v>
      </c>
      <c r="H46" s="122">
        <f>H57+$B34</f>
        <v>45364.935520888888</v>
      </c>
      <c r="I46" s="122">
        <f>I57+$B34</f>
        <v>77084.917992888892</v>
      </c>
      <c r="J46" s="122">
        <f>J57+$B34</f>
        <v>-5.0956400000000004</v>
      </c>
      <c r="K46" s="122">
        <f>K57+$B34</f>
        <v>-5.0206591111111107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BTCU6</v>
      </c>
      <c r="G49" s="41" t="str">
        <f t="shared" si="43"/>
        <v>b/o BTCV6</v>
      </c>
      <c r="H49" s="41" t="str">
        <f t="shared" si="43"/>
        <v>b/o BTCX6</v>
      </c>
      <c r="I49" s="106" t="str">
        <f t="shared" si="43"/>
        <v>b/o BTCZ6</v>
      </c>
      <c r="J49" s="41" t="str">
        <f t="shared" si="43"/>
        <v>b/o BTCF7</v>
      </c>
      <c r="K49" s="41" t="str">
        <f t="shared" si="43"/>
        <v>b/o BTCG7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78843.246840000007</v>
      </c>
      <c r="E50" s="122">
        <f t="shared" ref="E50:K50" si="45">$B27+E62+E74</f>
        <v>-79080.91191000001</v>
      </c>
      <c r="F50" s="122">
        <f t="shared" si="45"/>
        <v>-79083.415910000011</v>
      </c>
      <c r="G50" s="122">
        <f t="shared" si="45"/>
        <v>-79083.415910000011</v>
      </c>
      <c r="H50" s="122">
        <f t="shared" si="45"/>
        <v>-79083.415910000011</v>
      </c>
      <c r="I50" s="122">
        <f t="shared" si="45"/>
        <v>-79083.415910000011</v>
      </c>
      <c r="J50" s="122">
        <f t="shared" si="45"/>
        <v>-79083.415910000011</v>
      </c>
      <c r="K50" s="122">
        <f t="shared" si="45"/>
        <v>-79083.415910000011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78922.248749999999</v>
      </c>
      <c r="E51" s="123">
        <f t="shared" si="46"/>
        <v>0</v>
      </c>
      <c r="F51" s="122">
        <f t="shared" ref="F51:K51" si="47">$B28+F63+F75</f>
        <v>-2.5042434444444446</v>
      </c>
      <c r="G51" s="122">
        <f t="shared" si="47"/>
        <v>-2.5042434444444446</v>
      </c>
      <c r="H51" s="122">
        <f t="shared" si="47"/>
        <v>-2.5042434444444446</v>
      </c>
      <c r="I51" s="122">
        <f t="shared" si="47"/>
        <v>-2.5042434444444446</v>
      </c>
      <c r="J51" s="122">
        <f t="shared" si="47"/>
        <v>-2.5042434444444446</v>
      </c>
      <c r="K51" s="122">
        <f t="shared" si="47"/>
        <v>-2.5042434444444446</v>
      </c>
      <c r="L51" s="3"/>
    </row>
    <row r="52" spans="1:15" x14ac:dyDescent="0.25">
      <c r="B52" s="121"/>
      <c r="C52" s="2" t="str">
        <f t="shared" si="44"/>
        <v>b/o BTCU6</v>
      </c>
      <c r="D52" s="123">
        <f t="shared" si="46"/>
        <v>78919.744749999998</v>
      </c>
      <c r="E52" s="123">
        <f t="shared" si="46"/>
        <v>-2.5042434444444446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BTCV6</v>
      </c>
      <c r="D53" s="123">
        <f t="shared" si="46"/>
        <v>78919.744749999998</v>
      </c>
      <c r="E53" s="123">
        <f t="shared" si="46"/>
        <v>-2.5042434444444446</v>
      </c>
      <c r="F53" s="123" t="e">
        <f t="shared" ref="F53:G53" si="49">F$25+F65+F77</f>
        <v>#REF!</v>
      </c>
      <c r="G53" s="123">
        <f t="shared" si="49"/>
        <v>79274.948666888886</v>
      </c>
      <c r="H53" s="122">
        <f>$B30+H65+H77</f>
        <v>-80195.051333111114</v>
      </c>
      <c r="I53" s="122">
        <f>$B30+I65+I77</f>
        <v>-80195.051333111114</v>
      </c>
      <c r="J53" s="122">
        <f>$B30+J65+J77</f>
        <v>-80195.051333111114</v>
      </c>
      <c r="K53" s="122">
        <f>$B30+K65+K77</f>
        <v>-80195.051333111114</v>
      </c>
      <c r="L53" s="3"/>
    </row>
    <row r="54" spans="1:15" x14ac:dyDescent="0.25">
      <c r="B54" s="121"/>
      <c r="C54" s="2" t="str">
        <f t="shared" si="44"/>
        <v>b/o BTCX6</v>
      </c>
      <c r="D54" s="123">
        <f t="shared" si="46"/>
        <v>78919.744749999998</v>
      </c>
      <c r="E54" s="123">
        <f t="shared" si="46"/>
        <v>-2.5042434444444446</v>
      </c>
      <c r="F54" s="123" t="e">
        <f t="shared" ref="F54:G54" si="50">F$25+F66+F78</f>
        <v>#REF!</v>
      </c>
      <c r="G54" s="123">
        <f t="shared" si="50"/>
        <v>79274.948666888886</v>
      </c>
      <c r="H54" s="123">
        <f>H$25+H66+H78</f>
        <v>45364.935520888888</v>
      </c>
      <c r="I54" s="122">
        <f>$B31+I66+I78</f>
        <v>-5.0644791111111109</v>
      </c>
      <c r="J54" s="122">
        <f>$B31+J66+J78</f>
        <v>-5.0644791111111109</v>
      </c>
      <c r="K54" s="122">
        <f>$B31+K66+K78</f>
        <v>-5.0644791111111109</v>
      </c>
      <c r="L54" s="3"/>
    </row>
    <row r="55" spans="1:15" x14ac:dyDescent="0.25">
      <c r="B55" s="75"/>
      <c r="C55" s="2" t="str">
        <f t="shared" si="44"/>
        <v>b/o BTCZ6</v>
      </c>
      <c r="D55" s="123">
        <f t="shared" si="46"/>
        <v>78919.744749999998</v>
      </c>
      <c r="E55" s="123">
        <f t="shared" si="46"/>
        <v>-2.5042434444444446</v>
      </c>
      <c r="F55" s="123" t="e">
        <f t="shared" ref="F55:G55" si="51">F$25+F67+F79</f>
        <v>#REF!</v>
      </c>
      <c r="G55" s="123">
        <f t="shared" si="51"/>
        <v>79274.948666888886</v>
      </c>
      <c r="H55" s="123">
        <f>H$25+H67+H79</f>
        <v>45364.935520888888</v>
      </c>
      <c r="I55" s="123">
        <f>I$25+I67+I79</f>
        <v>77084.917992888892</v>
      </c>
      <c r="J55" s="122">
        <f>$B32+J67+J79</f>
        <v>-82590.082007111108</v>
      </c>
      <c r="K55" s="122">
        <f>$B32+K67+K79</f>
        <v>-82590.082007111108</v>
      </c>
      <c r="L55" s="3"/>
    </row>
    <row r="56" spans="1:15" x14ac:dyDescent="0.25">
      <c r="B56" s="75"/>
      <c r="C56" s="2" t="str">
        <f t="shared" si="44"/>
        <v>b/o BTCF7</v>
      </c>
      <c r="D56" s="123">
        <f t="shared" si="46"/>
        <v>78919.744749999998</v>
      </c>
      <c r="E56" s="123">
        <f t="shared" si="46"/>
        <v>-2.5042434444444446</v>
      </c>
      <c r="F56" s="123" t="e">
        <f t="shared" ref="F56:G56" si="52">F$25+F68+F80</f>
        <v>#REF!</v>
      </c>
      <c r="G56" s="123">
        <f t="shared" si="52"/>
        <v>79274.948666888886</v>
      </c>
      <c r="H56" s="123">
        <f t="shared" ref="H56" si="53">H$25+H68+H80</f>
        <v>45364.935520888888</v>
      </c>
      <c r="I56" s="123">
        <f t="shared" ref="I56:J56" si="54">I$25+I68+I80</f>
        <v>77084.917992888892</v>
      </c>
      <c r="J56" s="123">
        <f t="shared" si="54"/>
        <v>-5.0956400000000004</v>
      </c>
      <c r="K56" s="122">
        <f>$B33+K68+K80</f>
        <v>-5.0956400000000004</v>
      </c>
      <c r="L56" s="3"/>
    </row>
    <row r="57" spans="1:15" x14ac:dyDescent="0.25">
      <c r="B57" s="75"/>
      <c r="C57" s="2" t="str">
        <f t="shared" si="44"/>
        <v>b/o BTCG7</v>
      </c>
      <c r="D57" s="123">
        <f t="shared" si="46"/>
        <v>78919.744749999998</v>
      </c>
      <c r="E57" s="123">
        <f t="shared" si="46"/>
        <v>-2.5042434444444446</v>
      </c>
      <c r="F57" s="123" t="e">
        <f t="shared" ref="F57:G57" si="55">F$25+F69+F81</f>
        <v>#REF!</v>
      </c>
      <c r="G57" s="123">
        <f t="shared" si="55"/>
        <v>79274.948666888886</v>
      </c>
      <c r="H57" s="123">
        <f t="shared" ref="H57" si="56">H$25+H69+H81</f>
        <v>45364.935520888888</v>
      </c>
      <c r="I57" s="123">
        <f t="shared" ref="I57:K57" si="57">I$25+I69+I81</f>
        <v>77084.917992888892</v>
      </c>
      <c r="J57" s="123">
        <f t="shared" si="57"/>
        <v>-5.0956400000000004</v>
      </c>
      <c r="K57" s="123">
        <f t="shared" si="57"/>
        <v>-5.0206591111111107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-79.001249999999999</v>
      </c>
      <c r="E60" s="130">
        <f>-C3/(1+A63*B88/A88)</f>
        <v>0</v>
      </c>
      <c r="F60" s="128">
        <f>-C4</f>
        <v>-2.504</v>
      </c>
      <c r="G60" s="128">
        <f>-C5</f>
        <v>-2.504</v>
      </c>
      <c r="H60" s="128">
        <f>-C6</f>
        <v>-2.504</v>
      </c>
      <c r="I60" s="128">
        <f>-C7</f>
        <v>-2.504</v>
      </c>
      <c r="J60" s="128">
        <f>-C8</f>
        <v>-2.504</v>
      </c>
      <c r="K60" s="128">
        <f>-C9</f>
        <v>-2.504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BTCU6</v>
      </c>
      <c r="G61" s="41" t="str">
        <f t="shared" si="58"/>
        <v>b/o BTCV6</v>
      </c>
      <c r="H61" s="41" t="str">
        <f t="shared" si="58"/>
        <v>b/o BTCX6</v>
      </c>
      <c r="I61" s="41" t="str">
        <f t="shared" si="58"/>
        <v>b/o BTCZ6</v>
      </c>
      <c r="J61" s="41" t="str">
        <f t="shared" si="58"/>
        <v>b/o BTCF7</v>
      </c>
      <c r="K61" s="41" t="str">
        <f t="shared" si="58"/>
        <v>b/o BTCG7</v>
      </c>
      <c r="M61"/>
      <c r="N61"/>
    </row>
    <row r="62" spans="1:15" x14ac:dyDescent="0.25">
      <c r="A62" s="76" t="s">
        <v>14</v>
      </c>
      <c r="B62" s="128">
        <f>-I2</f>
        <v>-79.001910000000009</v>
      </c>
      <c r="C62" s="2" t="str">
        <f t="shared" ref="C62:C69" si="59">C27</f>
        <v>b/o SPOT</v>
      </c>
      <c r="D62" s="8">
        <f>D$60+$B62</f>
        <v>-158.00316000000001</v>
      </c>
      <c r="E62" s="8">
        <f t="shared" ref="E62:K69" si="60">E$60+$B62</f>
        <v>-79.001910000000009</v>
      </c>
      <c r="F62" s="8">
        <f t="shared" si="60"/>
        <v>-81.505910000000014</v>
      </c>
      <c r="G62" s="8">
        <f t="shared" si="60"/>
        <v>-81.505910000000014</v>
      </c>
      <c r="H62" s="8">
        <f t="shared" si="60"/>
        <v>-81.505910000000014</v>
      </c>
      <c r="I62" s="8">
        <f t="shared" si="60"/>
        <v>-81.505910000000014</v>
      </c>
      <c r="J62" s="8">
        <f t="shared" si="60"/>
        <v>-81.505910000000014</v>
      </c>
      <c r="K62" s="8">
        <f t="shared" si="60"/>
        <v>-81.505910000000014</v>
      </c>
      <c r="L62" s="3"/>
    </row>
    <row r="63" spans="1:15" x14ac:dyDescent="0.25">
      <c r="A63" s="77">
        <v>3.6499999999999998E-2</v>
      </c>
      <c r="B63" s="129">
        <f>-I3/(1+A63*B88/A88)</f>
        <v>0</v>
      </c>
      <c r="C63" s="2" t="str">
        <f t="shared" si="59"/>
        <v>b/o ETF</v>
      </c>
      <c r="D63" s="8">
        <f t="shared" ref="D63:D69" si="61">D$60+$B63</f>
        <v>-79.001249999999999</v>
      </c>
      <c r="E63" s="8">
        <f t="shared" si="60"/>
        <v>0</v>
      </c>
      <c r="F63" s="8">
        <f t="shared" si="60"/>
        <v>-2.504</v>
      </c>
      <c r="G63" s="8">
        <f t="shared" si="60"/>
        <v>-2.504</v>
      </c>
      <c r="H63" s="8">
        <f t="shared" si="60"/>
        <v>-2.504</v>
      </c>
      <c r="I63" s="8">
        <f t="shared" si="60"/>
        <v>-2.504</v>
      </c>
      <c r="J63" s="8">
        <f t="shared" si="60"/>
        <v>-2.504</v>
      </c>
      <c r="K63" s="8">
        <f t="shared" si="60"/>
        <v>-2.504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BTCU6</v>
      </c>
      <c r="D64" s="8">
        <f t="shared" si="61"/>
        <v>-81.505250000000004</v>
      </c>
      <c r="E64" s="8">
        <f t="shared" si="60"/>
        <v>-2.504</v>
      </c>
      <c r="F64" s="8">
        <f t="shared" si="60"/>
        <v>-5.008</v>
      </c>
      <c r="G64" s="8">
        <f t="shared" si="60"/>
        <v>-5.008</v>
      </c>
      <c r="H64" s="8">
        <f t="shared" si="60"/>
        <v>-5.008</v>
      </c>
      <c r="I64" s="8">
        <f t="shared" si="60"/>
        <v>-5.008</v>
      </c>
      <c r="J64" s="8">
        <f t="shared" si="60"/>
        <v>-5.008</v>
      </c>
      <c r="K64" s="8">
        <f t="shared" si="60"/>
        <v>-5.008</v>
      </c>
      <c r="L64" s="3"/>
    </row>
    <row r="65" spans="1:13" x14ac:dyDescent="0.25">
      <c r="B65" s="128">
        <f t="shared" si="62"/>
        <v>-2.504</v>
      </c>
      <c r="C65" s="2" t="str">
        <f t="shared" si="59"/>
        <v>b/o BTCV6</v>
      </c>
      <c r="D65" s="8">
        <f t="shared" si="61"/>
        <v>-81.505250000000004</v>
      </c>
      <c r="E65" s="8">
        <f t="shared" si="60"/>
        <v>-2.504</v>
      </c>
      <c r="F65" s="8">
        <f t="shared" si="60"/>
        <v>-5.008</v>
      </c>
      <c r="G65" s="8">
        <f t="shared" si="60"/>
        <v>-5.008</v>
      </c>
      <c r="H65" s="8">
        <f t="shared" si="60"/>
        <v>-5.008</v>
      </c>
      <c r="I65" s="8">
        <f t="shared" si="60"/>
        <v>-5.008</v>
      </c>
      <c r="J65" s="8">
        <f t="shared" si="60"/>
        <v>-5.008</v>
      </c>
      <c r="K65" s="8">
        <f t="shared" si="60"/>
        <v>-5.008</v>
      </c>
      <c r="L65" s="3"/>
    </row>
    <row r="66" spans="1:13" x14ac:dyDescent="0.25">
      <c r="B66" s="128">
        <f t="shared" si="62"/>
        <v>-2.504</v>
      </c>
      <c r="C66" s="2" t="str">
        <f t="shared" si="59"/>
        <v>b/o BTCX6</v>
      </c>
      <c r="D66" s="8">
        <f t="shared" si="61"/>
        <v>-81.505250000000004</v>
      </c>
      <c r="E66" s="8">
        <f t="shared" si="60"/>
        <v>-2.504</v>
      </c>
      <c r="F66" s="8">
        <f t="shared" si="60"/>
        <v>-5.008</v>
      </c>
      <c r="G66" s="8">
        <f t="shared" si="60"/>
        <v>-5.008</v>
      </c>
      <c r="H66" s="8">
        <f t="shared" si="60"/>
        <v>-5.008</v>
      </c>
      <c r="I66" s="8">
        <f t="shared" si="60"/>
        <v>-5.008</v>
      </c>
      <c r="J66" s="8">
        <f t="shared" si="60"/>
        <v>-5.008</v>
      </c>
      <c r="K66" s="8">
        <f t="shared" si="60"/>
        <v>-5.008</v>
      </c>
      <c r="L66" s="3"/>
    </row>
    <row r="67" spans="1:13" x14ac:dyDescent="0.25">
      <c r="B67" s="128">
        <f t="shared" si="62"/>
        <v>-2.504</v>
      </c>
      <c r="C67" s="2" t="str">
        <f t="shared" si="59"/>
        <v>b/o BTCZ6</v>
      </c>
      <c r="D67" s="8">
        <f t="shared" si="61"/>
        <v>-81.505250000000004</v>
      </c>
      <c r="E67" s="8">
        <f t="shared" si="60"/>
        <v>-2.504</v>
      </c>
      <c r="F67" s="8">
        <f t="shared" si="60"/>
        <v>-5.008</v>
      </c>
      <c r="G67" s="8">
        <f t="shared" si="60"/>
        <v>-5.008</v>
      </c>
      <c r="H67" s="8">
        <f t="shared" si="60"/>
        <v>-5.008</v>
      </c>
      <c r="I67" s="8">
        <f t="shared" si="60"/>
        <v>-5.008</v>
      </c>
      <c r="J67" s="8">
        <f t="shared" si="60"/>
        <v>-5.008</v>
      </c>
      <c r="K67" s="8">
        <f t="shared" si="60"/>
        <v>-5.008</v>
      </c>
      <c r="L67" s="3"/>
    </row>
    <row r="68" spans="1:13" x14ac:dyDescent="0.25">
      <c r="B68" s="128">
        <f t="shared" si="62"/>
        <v>-2.504</v>
      </c>
      <c r="C68" s="2" t="str">
        <f t="shared" si="59"/>
        <v>b/o BTCF7</v>
      </c>
      <c r="D68" s="8">
        <f t="shared" si="61"/>
        <v>-81.505250000000004</v>
      </c>
      <c r="E68" s="8">
        <f t="shared" si="60"/>
        <v>-2.504</v>
      </c>
      <c r="F68" s="8">
        <f t="shared" si="60"/>
        <v>-5.008</v>
      </c>
      <c r="G68" s="8">
        <f t="shared" si="60"/>
        <v>-5.008</v>
      </c>
      <c r="H68" s="8">
        <f t="shared" si="60"/>
        <v>-5.008</v>
      </c>
      <c r="I68" s="8">
        <f t="shared" si="60"/>
        <v>-5.008</v>
      </c>
      <c r="J68" s="8">
        <f t="shared" si="60"/>
        <v>-5.008</v>
      </c>
      <c r="K68" s="8">
        <f t="shared" si="60"/>
        <v>-5.008</v>
      </c>
      <c r="L68" s="3"/>
    </row>
    <row r="69" spans="1:13" x14ac:dyDescent="0.25">
      <c r="B69" s="128">
        <f t="shared" si="62"/>
        <v>-2.504</v>
      </c>
      <c r="C69" s="2" t="str">
        <f t="shared" si="59"/>
        <v>b/o BTCG7</v>
      </c>
      <c r="D69" s="8">
        <f t="shared" si="61"/>
        <v>-81.505250000000004</v>
      </c>
      <c r="E69" s="8">
        <f t="shared" si="60"/>
        <v>-2.504</v>
      </c>
      <c r="F69" s="8">
        <f t="shared" si="60"/>
        <v>-5.008</v>
      </c>
      <c r="G69" s="8">
        <f t="shared" si="60"/>
        <v>-5.008</v>
      </c>
      <c r="H69" s="8">
        <f t="shared" si="60"/>
        <v>-5.008</v>
      </c>
      <c r="I69" s="8">
        <f t="shared" si="60"/>
        <v>-5.008</v>
      </c>
      <c r="J69" s="8">
        <f t="shared" si="60"/>
        <v>-5.008</v>
      </c>
      <c r="K69" s="8">
        <f t="shared" si="60"/>
        <v>-5.008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0.24722222222222223</v>
      </c>
      <c r="H72" s="107">
        <f t="shared" si="63"/>
        <v>0.32222222222222224</v>
      </c>
      <c r="I72" s="107">
        <f t="shared" si="63"/>
        <v>0.42222222222222222</v>
      </c>
      <c r="J72" s="107">
        <f t="shared" si="63"/>
        <v>0.5</v>
      </c>
      <c r="K72" s="107">
        <f t="shared" si="63"/>
        <v>7.2222222222222215E-2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BTCU6</v>
      </c>
      <c r="G73" s="41" t="str">
        <f t="shared" si="64"/>
        <v>b/o BTCV6</v>
      </c>
      <c r="H73" s="41" t="str">
        <f t="shared" si="64"/>
        <v>b/o BTCX6</v>
      </c>
      <c r="I73" s="41" t="str">
        <f t="shared" si="64"/>
        <v>b/o BTCZ6</v>
      </c>
      <c r="J73" s="41" t="str">
        <f t="shared" si="64"/>
        <v>b/o BTCF7</v>
      </c>
      <c r="K73" s="41" t="str">
        <f t="shared" si="64"/>
        <v>b/o BTCG7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0</v>
      </c>
      <c r="F75" s="125">
        <f t="shared" si="67"/>
        <v>-2.4344444444444449E-4</v>
      </c>
      <c r="G75" s="125">
        <f t="shared" si="67"/>
        <v>-2.4344444444444449E-4</v>
      </c>
      <c r="H75" s="125">
        <f t="shared" si="67"/>
        <v>-2.4344444444444449E-4</v>
      </c>
      <c r="I75" s="125">
        <f t="shared" si="67"/>
        <v>-2.4344444444444449E-4</v>
      </c>
      <c r="J75" s="125">
        <f t="shared" si="67"/>
        <v>-2.4344444444444449E-4</v>
      </c>
      <c r="K75" s="125">
        <f t="shared" si="67"/>
        <v>-2.4344444444444449E-4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BTCU6</v>
      </c>
      <c r="D76" s="124">
        <f t="shared" si="66"/>
        <v>0</v>
      </c>
      <c r="E76" s="124">
        <f t="shared" si="69"/>
        <v>-2.4344444444444449E-4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0.24722222222222223</v>
      </c>
      <c r="C77" s="2" t="str">
        <f t="shared" si="65"/>
        <v>b/o BTCV6</v>
      </c>
      <c r="D77" s="126">
        <f t="shared" si="66"/>
        <v>0</v>
      </c>
      <c r="E77" s="126">
        <f t="shared" si="69"/>
        <v>-2.4344444444444449E-4</v>
      </c>
      <c r="F77" s="126" t="e">
        <f t="shared" si="70"/>
        <v>#REF!</v>
      </c>
      <c r="G77" s="126">
        <f>G65*G$82*G$72</f>
        <v>-4.3333111111111121E-2</v>
      </c>
      <c r="H77" s="127">
        <f t="shared" si="67"/>
        <v>-4.3333111111111121E-2</v>
      </c>
      <c r="I77" s="127">
        <f t="shared" si="67"/>
        <v>-4.3333111111111121E-2</v>
      </c>
      <c r="J77" s="127">
        <f t="shared" si="67"/>
        <v>-4.3333111111111121E-2</v>
      </c>
      <c r="K77" s="125">
        <f t="shared" si="67"/>
        <v>-4.3333111111111121E-2</v>
      </c>
      <c r="L77" s="112">
        <v>3.5000000000000003E-2</v>
      </c>
    </row>
    <row r="78" spans="1:13" x14ac:dyDescent="0.25">
      <c r="B78" s="113">
        <f t="shared" si="68"/>
        <v>0.32222222222222224</v>
      </c>
      <c r="C78" s="2" t="str">
        <f t="shared" si="65"/>
        <v>b/o BTCX6</v>
      </c>
      <c r="D78" s="126">
        <f t="shared" si="66"/>
        <v>0</v>
      </c>
      <c r="E78" s="126">
        <f t="shared" si="69"/>
        <v>-2.4344444444444449E-4</v>
      </c>
      <c r="F78" s="126" t="e">
        <f t="shared" si="70"/>
        <v>#REF!</v>
      </c>
      <c r="G78" s="126">
        <f>G66*G$82*G$72</f>
        <v>-4.3333111111111121E-2</v>
      </c>
      <c r="H78" s="126">
        <f>H66*H$82*H$72</f>
        <v>-5.6479111111111119E-2</v>
      </c>
      <c r="I78" s="127">
        <f t="shared" si="67"/>
        <v>-5.6479111111111119E-2</v>
      </c>
      <c r="J78" s="127">
        <f t="shared" si="67"/>
        <v>-5.6479111111111119E-2</v>
      </c>
      <c r="K78" s="125">
        <f t="shared" si="67"/>
        <v>-5.6479111111111119E-2</v>
      </c>
      <c r="L78" s="112">
        <v>3.5000000000000003E-2</v>
      </c>
    </row>
    <row r="79" spans="1:13" x14ac:dyDescent="0.25">
      <c r="B79" s="113">
        <f t="shared" si="68"/>
        <v>0.42222222222222222</v>
      </c>
      <c r="C79" s="2" t="str">
        <f t="shared" si="65"/>
        <v>b/o BTCZ6</v>
      </c>
      <c r="D79" s="126">
        <f t="shared" si="66"/>
        <v>0</v>
      </c>
      <c r="E79" s="126">
        <f t="shared" si="69"/>
        <v>-2.4344444444444449E-4</v>
      </c>
      <c r="F79" s="126" t="e">
        <f t="shared" si="70"/>
        <v>#REF!</v>
      </c>
      <c r="G79" s="126">
        <f>G67*G$82*G$72</f>
        <v>-4.3333111111111121E-2</v>
      </c>
      <c r="H79" s="126">
        <f>H67*H$82*H$72</f>
        <v>-5.6479111111111119E-2</v>
      </c>
      <c r="I79" s="126">
        <f>I67*I$82*I$72</f>
        <v>-7.4007111111111121E-2</v>
      </c>
      <c r="J79" s="127">
        <f t="shared" si="67"/>
        <v>-7.4007111111111121E-2</v>
      </c>
      <c r="K79" s="125">
        <f t="shared" si="67"/>
        <v>-7.4007111111111121E-2</v>
      </c>
      <c r="L79" s="112">
        <v>3.5000000000000003E-2</v>
      </c>
      <c r="M79" s="2"/>
    </row>
    <row r="80" spans="1:13" x14ac:dyDescent="0.25">
      <c r="B80" s="113">
        <f t="shared" si="68"/>
        <v>0.5</v>
      </c>
      <c r="C80" s="2" t="str">
        <f t="shared" si="65"/>
        <v>b/o BTCF7</v>
      </c>
      <c r="D80" s="126">
        <f t="shared" si="66"/>
        <v>0</v>
      </c>
      <c r="E80" s="126">
        <f t="shared" si="69"/>
        <v>-2.4344444444444449E-4</v>
      </c>
      <c r="F80" s="126" t="e">
        <f t="shared" si="70"/>
        <v>#REF!</v>
      </c>
      <c r="G80" s="126">
        <f>G68*G$82*G$72</f>
        <v>-4.3333111111111121E-2</v>
      </c>
      <c r="H80" s="126">
        <f>H68*H$82*H$72</f>
        <v>-5.6479111111111119E-2</v>
      </c>
      <c r="I80" s="126">
        <f>I68*I$82*I$72</f>
        <v>-7.4007111111111121E-2</v>
      </c>
      <c r="J80" s="126">
        <f>J68*J$82*J$72</f>
        <v>-8.764000000000001E-2</v>
      </c>
      <c r="K80" s="125">
        <f t="shared" si="67"/>
        <v>-8.764000000000001E-2</v>
      </c>
      <c r="L80" s="112">
        <v>3.5000000000000003E-2</v>
      </c>
    </row>
    <row r="81" spans="1:13" x14ac:dyDescent="0.25">
      <c r="B81" s="113">
        <f t="shared" si="68"/>
        <v>7.2222222222222215E-2</v>
      </c>
      <c r="C81" s="2" t="str">
        <f t="shared" si="65"/>
        <v>b/o BTCG7</v>
      </c>
      <c r="D81" s="126">
        <f t="shared" si="66"/>
        <v>0</v>
      </c>
      <c r="E81" s="126">
        <f t="shared" si="69"/>
        <v>-2.4344444444444449E-4</v>
      </c>
      <c r="F81" s="126" t="e">
        <f t="shared" si="70"/>
        <v>#REF!</v>
      </c>
      <c r="G81" s="126">
        <f>G69*G$82*G$72</f>
        <v>-4.3333111111111121E-2</v>
      </c>
      <c r="H81" s="126">
        <f>H69*H$82*H$72</f>
        <v>-5.6479111111111119E-2</v>
      </c>
      <c r="I81" s="126">
        <f>I69*I$82*I$72</f>
        <v>-7.4007111111111121E-2</v>
      </c>
      <c r="J81" s="126">
        <f>J69*J$82*J$72</f>
        <v>-8.764000000000001E-2</v>
      </c>
      <c r="K81" s="124">
        <f>K69*K$82*K$72</f>
        <v>-1.2659111111111111E-2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89</v>
      </c>
      <c r="H85" s="116">
        <f>B91</f>
        <v>116</v>
      </c>
      <c r="I85" s="116">
        <f>B92</f>
        <v>152</v>
      </c>
      <c r="J85" s="116">
        <f>B93</f>
        <v>180</v>
      </c>
      <c r="K85" s="97">
        <f>B94</f>
        <v>26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BTCU6</v>
      </c>
      <c r="G86" s="117" t="str">
        <f t="shared" si="71"/>
        <v>b/o BTCV6</v>
      </c>
      <c r="H86" s="117" t="str">
        <f t="shared" si="71"/>
        <v>b/o BTCX6</v>
      </c>
      <c r="I86" s="117" t="str">
        <f t="shared" si="71"/>
        <v>b/o BTCZ6</v>
      </c>
      <c r="J86" s="117" t="str">
        <f t="shared" si="71"/>
        <v>b/o BTCF7</v>
      </c>
      <c r="K86" s="71" t="str">
        <f t="shared" si="71"/>
        <v>b/o BTCG7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0.24722222222222223</v>
      </c>
      <c r="H87" s="119">
        <f t="shared" si="73"/>
        <v>0.32222222222222224</v>
      </c>
      <c r="I87" s="119">
        <f t="shared" si="73"/>
        <v>0.42222222222222222</v>
      </c>
      <c r="J87" s="119">
        <f t="shared" si="73"/>
        <v>0.5</v>
      </c>
      <c r="K87" s="72">
        <f t="shared" si="73"/>
        <v>7.2222222222222215E-2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0.24444444444444444</v>
      </c>
      <c r="H88" s="119">
        <f t="shared" si="73"/>
        <v>0.31944444444444442</v>
      </c>
      <c r="I88" s="119">
        <f t="shared" si="73"/>
        <v>0.41944444444444445</v>
      </c>
      <c r="J88" s="119">
        <f t="shared" si="73"/>
        <v>0.49722222222222223</v>
      </c>
      <c r="K88" s="72">
        <f t="shared" si="73"/>
        <v>6.9444444444444448E-2</v>
      </c>
    </row>
    <row r="89" spans="1:13" x14ac:dyDescent="0.25">
      <c r="B89" s="118" t="e">
        <f t="shared" ref="B89:B94" si="75">M4</f>
        <v>#REF!</v>
      </c>
      <c r="C89" s="2" t="str">
        <f t="shared" si="72"/>
        <v>b/o BTCU6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89</v>
      </c>
      <c r="C90" s="2" t="str">
        <f t="shared" si="72"/>
        <v>b/o BTCV6</v>
      </c>
      <c r="D90" s="119">
        <f t="shared" si="74"/>
        <v>-0.24722222222222223</v>
      </c>
      <c r="E90" s="119">
        <f t="shared" si="73"/>
        <v>-0.24444444444444444</v>
      </c>
      <c r="F90" s="119" t="e">
        <f t="shared" si="73"/>
        <v>#REF!</v>
      </c>
      <c r="G90" s="119">
        <f t="shared" si="73"/>
        <v>0</v>
      </c>
      <c r="H90" s="119">
        <f t="shared" si="73"/>
        <v>7.4999999999999997E-2</v>
      </c>
      <c r="I90" s="119">
        <f t="shared" si="73"/>
        <v>0.17499999999999999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116</v>
      </c>
      <c r="C91" s="2" t="str">
        <f t="shared" si="72"/>
        <v>b/o BTCX6</v>
      </c>
      <c r="D91" s="119">
        <f t="shared" si="74"/>
        <v>-0.32222222222222224</v>
      </c>
      <c r="E91" s="119">
        <f t="shared" si="73"/>
        <v>-0.31944444444444442</v>
      </c>
      <c r="F91" s="119" t="e">
        <f t="shared" si="73"/>
        <v>#REF!</v>
      </c>
      <c r="G91" s="119">
        <f t="shared" si="73"/>
        <v>-7.4999999999999997E-2</v>
      </c>
      <c r="H91" s="119">
        <f t="shared" si="73"/>
        <v>0</v>
      </c>
      <c r="I91" s="119">
        <f t="shared" si="73"/>
        <v>0.1</v>
      </c>
      <c r="J91" s="119">
        <f t="shared" si="73"/>
        <v>0.17777777777777778</v>
      </c>
      <c r="K91" s="72">
        <f t="shared" si="73"/>
        <v>-0.25</v>
      </c>
    </row>
    <row r="92" spans="1:13" x14ac:dyDescent="0.25">
      <c r="B92" s="118">
        <f t="shared" si="75"/>
        <v>152</v>
      </c>
      <c r="C92" s="2" t="str">
        <f t="shared" si="72"/>
        <v>b/o BTCZ6</v>
      </c>
      <c r="D92" s="119">
        <f t="shared" si="74"/>
        <v>-0.42222222222222222</v>
      </c>
      <c r="E92" s="119">
        <f t="shared" si="73"/>
        <v>-0.41944444444444445</v>
      </c>
      <c r="F92" s="119" t="e">
        <f t="shared" si="73"/>
        <v>#REF!</v>
      </c>
      <c r="G92" s="119">
        <f t="shared" si="73"/>
        <v>-0.17499999999999999</v>
      </c>
      <c r="H92" s="119">
        <f t="shared" si="73"/>
        <v>-0.1</v>
      </c>
      <c r="I92" s="119">
        <f t="shared" si="73"/>
        <v>0</v>
      </c>
      <c r="J92" s="119">
        <f t="shared" si="73"/>
        <v>7.7777777777777779E-2</v>
      </c>
      <c r="K92" s="72">
        <f t="shared" si="73"/>
        <v>-0.35</v>
      </c>
      <c r="M92" s="2"/>
    </row>
    <row r="93" spans="1:13" x14ac:dyDescent="0.25">
      <c r="B93" s="118">
        <f t="shared" si="75"/>
        <v>180</v>
      </c>
      <c r="C93" s="2" t="str">
        <f t="shared" si="72"/>
        <v>b/o BTCF7</v>
      </c>
      <c r="D93" s="119">
        <f t="shared" si="74"/>
        <v>-0.5</v>
      </c>
      <c r="E93" s="119">
        <f t="shared" si="73"/>
        <v>-0.49722222222222223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-0.17777777777777778</v>
      </c>
      <c r="I93" s="119">
        <f t="shared" si="73"/>
        <v>-7.7777777777777779E-2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26</v>
      </c>
      <c r="C94" s="2" t="str">
        <f t="shared" si="72"/>
        <v>b/o BTCG7</v>
      </c>
      <c r="D94" s="119">
        <f t="shared" si="74"/>
        <v>-7.2222222222222215E-2</v>
      </c>
      <c r="E94" s="119">
        <f t="shared" si="73"/>
        <v>-6.9444444444444448E-2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</v>
      </c>
      <c r="I94" s="119">
        <f t="shared" si="73"/>
        <v>0.35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89</v>
      </c>
      <c r="H98" s="116">
        <f>L104</f>
        <v>116</v>
      </c>
      <c r="I98" s="116">
        <f>L105</f>
        <v>152</v>
      </c>
      <c r="J98" s="116">
        <f>L106</f>
        <v>180</v>
      </c>
      <c r="K98" s="97">
        <f>L107</f>
        <v>26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BTCU6</v>
      </c>
      <c r="G99" s="117" t="str">
        <f t="shared" si="76"/>
        <v>b/o BTCV6</v>
      </c>
      <c r="H99" s="117" t="str">
        <f t="shared" si="76"/>
        <v>b/o BTCX6</v>
      </c>
      <c r="I99" s="117" t="str">
        <f t="shared" si="76"/>
        <v>b/o BTCZ6</v>
      </c>
      <c r="J99" s="117" t="str">
        <f t="shared" si="76"/>
        <v>b/o BTCF7</v>
      </c>
      <c r="K99" s="71" t="str">
        <f t="shared" si="76"/>
        <v>b/o BTCG7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46264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46265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BTCU6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46353</v>
      </c>
      <c r="C103" s="2" t="str">
        <f t="shared" si="80"/>
        <v>b/o BTCV6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89</v>
      </c>
    </row>
    <row r="104" spans="1:12" x14ac:dyDescent="0.25">
      <c r="A104" s="145" t="e">
        <v>#REF!</v>
      </c>
      <c r="B104" s="142">
        <f t="shared" ca="1" si="78"/>
        <v>46380</v>
      </c>
      <c r="C104" s="2" t="str">
        <f t="shared" si="80"/>
        <v>b/o BTCX6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116</v>
      </c>
    </row>
    <row r="105" spans="1:12" x14ac:dyDescent="0.25">
      <c r="A105" s="145" t="e">
        <v>#REF!</v>
      </c>
      <c r="B105" s="142">
        <f t="shared" ca="1" si="78"/>
        <v>46416</v>
      </c>
      <c r="C105" s="2" t="str">
        <f t="shared" si="80"/>
        <v>b/o BTCZ6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152</v>
      </c>
    </row>
    <row r="106" spans="1:12" x14ac:dyDescent="0.25">
      <c r="A106" s="145" t="e">
        <v>#REF!</v>
      </c>
      <c r="B106" s="142">
        <f t="shared" ca="1" si="78"/>
        <v>46444</v>
      </c>
      <c r="C106" s="2" t="str">
        <f t="shared" si="80"/>
        <v>b/o BTCF7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180</v>
      </c>
    </row>
    <row r="107" spans="1:12" x14ac:dyDescent="0.25">
      <c r="A107" s="145" t="e">
        <v>#REF!</v>
      </c>
      <c r="B107" s="142">
        <f t="shared" ca="1" si="78"/>
        <v>46290</v>
      </c>
      <c r="C107" s="2" t="str">
        <f t="shared" si="80"/>
        <v>b/o BTCG7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26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79004.960000000006</v>
      </c>
      <c r="H1" s="49">
        <f>H11</f>
        <v>78993.06</v>
      </c>
      <c r="I1" s="46"/>
      <c r="J1" s="45" t="str">
        <f>E1</f>
        <v>best</v>
      </c>
      <c r="K1" s="47"/>
      <c r="L1" s="47"/>
      <c r="M1" s="49">
        <f>M9</f>
        <v>78922.248749999999</v>
      </c>
      <c r="N1" s="49">
        <f>N9</f>
        <v>-79080.91191000001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-11.900000000008731</v>
      </c>
      <c r="J4" s="44" t="s">
        <v>5</v>
      </c>
      <c r="L4" s="14"/>
      <c r="M4" s="51"/>
      <c r="N4" s="49">
        <f>N1+M1</f>
        <v>-158.66316000001098</v>
      </c>
      <c r="Q4" s="44" t="s">
        <v>10</v>
      </c>
    </row>
    <row r="5" spans="1:24" x14ac:dyDescent="0.25">
      <c r="E5" s="44" t="s">
        <v>6</v>
      </c>
      <c r="G5" s="9">
        <f>G9-G11</f>
        <v>11.910000000003492</v>
      </c>
      <c r="H5" s="9">
        <f>H9-H11</f>
        <v>11.910000000003492</v>
      </c>
      <c r="J5" s="44" t="s">
        <v>6</v>
      </c>
      <c r="M5" s="9">
        <f>M9-M11</f>
        <v>403.15704999999434</v>
      </c>
      <c r="N5" s="9">
        <f>N9-N11</f>
        <v>386.10644999999204</v>
      </c>
    </row>
    <row r="6" spans="1:24" x14ac:dyDescent="0.25">
      <c r="E6" s="44" t="s">
        <v>7</v>
      </c>
      <c r="G6" s="9">
        <f>G9-G10</f>
        <v>7.1680000000051223</v>
      </c>
      <c r="H6" s="9">
        <f>H9-H10</f>
        <v>7.021999999997206</v>
      </c>
      <c r="J6" s="44" t="s">
        <v>7</v>
      </c>
      <c r="M6" s="9">
        <f>M9-M10</f>
        <v>158.28895199998806</v>
      </c>
      <c r="N6" s="9">
        <f>N9-N10</f>
        <v>150.8684959999955</v>
      </c>
    </row>
    <row r="7" spans="1:24" x14ac:dyDescent="0.25">
      <c r="E7" s="44" t="s">
        <v>8</v>
      </c>
      <c r="G7" s="9">
        <f>G10-G11</f>
        <v>4.7419999999983702</v>
      </c>
      <c r="H7" s="9">
        <f>H10-H11</f>
        <v>4.8880000000062864</v>
      </c>
      <c r="J7" s="44" t="s">
        <v>8</v>
      </c>
      <c r="M7" s="9">
        <f>M10-M11</f>
        <v>244.86809800000628</v>
      </c>
      <c r="N7" s="9">
        <f>N10-N11</f>
        <v>235.23795399999653</v>
      </c>
    </row>
    <row r="9" spans="1:24" x14ac:dyDescent="0.25">
      <c r="E9" s="44" t="s">
        <v>1</v>
      </c>
      <c r="G9" s="9">
        <f>MAX(G$14:G$18)</f>
        <v>79004.960000000006</v>
      </c>
      <c r="H9" s="9">
        <f>MAX(H$14:H$18)</f>
        <v>79004.97</v>
      </c>
      <c r="J9" s="44" t="str">
        <f>E9</f>
        <v>max</v>
      </c>
      <c r="L9" s="9">
        <f>MAX(L$14:L$18)</f>
        <v>79004.960000000006</v>
      </c>
      <c r="M9" s="9">
        <f>MAX(M$14:M$18)</f>
        <v>78922.248749999999</v>
      </c>
      <c r="N9" s="9">
        <f>MAX(N$14:N$18)</f>
        <v>-79080.91191000001</v>
      </c>
      <c r="O9" s="9">
        <f>MAX(O$14:O$18)</f>
        <v>-78993.06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78997.792000000001</v>
      </c>
      <c r="H10" s="9">
        <f>AVERAGE(H$14:H$18)</f>
        <v>78997.948000000004</v>
      </c>
      <c r="J10" s="44" t="str">
        <f t="shared" ref="J10" si="0">E10</f>
        <v>avg</v>
      </c>
      <c r="L10" s="9">
        <f>AVERAGE(L$14:L$18)</f>
        <v>78997.792000000001</v>
      </c>
      <c r="M10" s="9">
        <f>AVERAGE(M$14:M$18)</f>
        <v>78763.959798000011</v>
      </c>
      <c r="N10" s="9">
        <f>AVERAGE(N$14:N$18)</f>
        <v>-79231.780406000005</v>
      </c>
      <c r="O10" s="9">
        <f>AVERAGE(O$14:O$18)</f>
        <v>-78997.948000000004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78993.05</v>
      </c>
      <c r="H11" s="9">
        <f>MIN(H$14:H$18)</f>
        <v>78993.06</v>
      </c>
      <c r="J11" s="44" t="str">
        <f>E11</f>
        <v>min</v>
      </c>
      <c r="L11" s="9">
        <f>MIN(L$14:L$18)</f>
        <v>78993.05</v>
      </c>
      <c r="M11" s="9">
        <f>MIN(M$14:M$18)</f>
        <v>78519.091700000004</v>
      </c>
      <c r="N11" s="9">
        <f>MIN(N$14:N$18)</f>
        <v>-79467.018360000002</v>
      </c>
      <c r="O11" s="9">
        <f>MIN(O$14:O$18)</f>
        <v>-79004.97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0.29110000000000003</v>
      </c>
      <c r="G14" s="9">
        <f>'MKT DATA'!K16</f>
        <v>79001.25</v>
      </c>
      <c r="H14" s="9">
        <f>'MKT DATA'!L16</f>
        <v>79001.91</v>
      </c>
      <c r="I14" s="48">
        <f>'MKT DATA'!M16</f>
        <v>2.5309999999999999E-2</v>
      </c>
      <c r="J14" s="44" t="str">
        <f>E14</f>
        <v>BinanceUS</v>
      </c>
      <c r="K14" s="9">
        <f>'MKT DATA'!O16</f>
        <v>79.001249999999999</v>
      </c>
      <c r="L14" s="9">
        <f>'MKT DATA'!P16</f>
        <v>79001.25</v>
      </c>
      <c r="M14" s="9">
        <f>'MKT DATA'!Q16</f>
        <v>78922.248749999999</v>
      </c>
      <c r="N14" s="9">
        <f>'MKT DATA'!R16</f>
        <v>-79080.91191000001</v>
      </c>
      <c r="O14" s="9">
        <f>'MKT DATA'!S16</f>
        <v>-79001.91</v>
      </c>
      <c r="P14" s="9">
        <f>'MKT DATA'!T16</f>
        <v>79.001910000000009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1.2786399999999999E-3</v>
      </c>
      <c r="G15" s="9">
        <f>'MKT DATA'!K17</f>
        <v>78993.05</v>
      </c>
      <c r="H15" s="9">
        <f>'MKT DATA'!L17</f>
        <v>78993.06</v>
      </c>
      <c r="I15" s="48">
        <f>'MKT DATA'!M17</f>
        <v>6.7000000000000002E-3</v>
      </c>
      <c r="J15" s="44" t="str">
        <f t="shared" ref="J15:J18" si="2">E15</f>
        <v>Coinbase</v>
      </c>
      <c r="K15" s="9">
        <f>'MKT DATA'!O17</f>
        <v>473.95830000000001</v>
      </c>
      <c r="L15" s="9">
        <f>'MKT DATA'!P17</f>
        <v>78993.05</v>
      </c>
      <c r="M15" s="9">
        <f>'MKT DATA'!Q17</f>
        <v>78519.091700000004</v>
      </c>
      <c r="N15" s="9">
        <f>'MKT DATA'!R17</f>
        <v>-79467.018360000002</v>
      </c>
      <c r="O15" s="9">
        <f>'MKT DATA'!S17</f>
        <v>-78993.06</v>
      </c>
      <c r="P15" s="9">
        <f>'MKT DATA'!T17</f>
        <v>473.95835999999997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0.20261132000000001</v>
      </c>
      <c r="G16" s="9">
        <f>'MKT DATA'!K18</f>
        <v>79004.960000000006</v>
      </c>
      <c r="H16" s="9">
        <f>'MKT DATA'!L18</f>
        <v>79004.97</v>
      </c>
      <c r="I16" s="48">
        <f>'MKT DATA'!M18</f>
        <v>0.14060871</v>
      </c>
      <c r="J16" s="44" t="str">
        <f t="shared" si="2"/>
        <v>Gemini</v>
      </c>
      <c r="K16" s="9">
        <f>'MKT DATA'!O18</f>
        <v>316.01984000000004</v>
      </c>
      <c r="L16" s="9">
        <f>'MKT DATA'!P18</f>
        <v>79004.960000000006</v>
      </c>
      <c r="M16" s="9">
        <f>'MKT DATA'!Q18</f>
        <v>78688.940160000013</v>
      </c>
      <c r="N16" s="9">
        <f>'MKT DATA'!R18</f>
        <v>-79320.989880000008</v>
      </c>
      <c r="O16" s="9">
        <f>'MKT DATA'!S18</f>
        <v>-79004.97</v>
      </c>
      <c r="P16" s="9">
        <f>'MKT DATA'!T18</f>
        <v>316.01988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78994</v>
      </c>
      <c r="H17" s="9">
        <f>'MKT DATA'!L19</f>
        <v>78994</v>
      </c>
      <c r="I17" s="48">
        <f>'MKT DATA'!M19</f>
        <v>0</v>
      </c>
      <c r="J17" s="44" t="str">
        <f t="shared" si="2"/>
        <v>IBKR</v>
      </c>
      <c r="K17" s="9">
        <f>'MKT DATA'!O19</f>
        <v>94.792799999999986</v>
      </c>
      <c r="L17" s="9">
        <f>'MKT DATA'!P19</f>
        <v>78994</v>
      </c>
      <c r="M17" s="9">
        <f>'MKT DATA'!Q19</f>
        <v>78899.207200000004</v>
      </c>
      <c r="N17" s="9">
        <f>'MKT DATA'!R19</f>
        <v>-79088.792799999996</v>
      </c>
      <c r="O17" s="9">
        <f>'MKT DATA'!S19</f>
        <v>-78994</v>
      </c>
      <c r="P17" s="9">
        <f>'MKT DATA'!T19</f>
        <v>94.792799999999986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0.11247471000000001</v>
      </c>
      <c r="G18" s="9">
        <f>'MKT DATA'!K20</f>
        <v>78995.7</v>
      </c>
      <c r="H18" s="9">
        <f>'MKT DATA'!L20</f>
        <v>78995.8</v>
      </c>
      <c r="I18" s="48">
        <f>'MKT DATA'!M20</f>
        <v>0.21866002000000001</v>
      </c>
      <c r="J18" s="44" t="str">
        <f t="shared" si="2"/>
        <v>KrakenSpot</v>
      </c>
      <c r="K18" s="9">
        <f>'MKT DATA'!O20</f>
        <v>205.38881999999998</v>
      </c>
      <c r="L18" s="9">
        <f>'MKT DATA'!P20</f>
        <v>78995.7</v>
      </c>
      <c r="M18" s="9">
        <f>'MKT DATA'!Q20</f>
        <v>78790.311180000004</v>
      </c>
      <c r="N18" s="9">
        <f>'MKT DATA'!R20</f>
        <v>-79201.189079999996</v>
      </c>
      <c r="O18" s="9">
        <f>'MKT DATA'!S20</f>
        <v>-78995.8</v>
      </c>
      <c r="P18" s="9">
        <f>'MKT DATA'!T20</f>
        <v>205.38908000000001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0.66000000000349246</v>
      </c>
      <c r="J22" s="44" t="str">
        <f>J14</f>
        <v>BinanceUS</v>
      </c>
      <c r="N22" s="9">
        <f>N14+M14</f>
        <v>-158.66316000001098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9.9999999947613105E-3</v>
      </c>
      <c r="J23" s="44" t="str">
        <f t="shared" ref="J23:J26" si="6">J15</f>
        <v>Coinbase</v>
      </c>
      <c r="N23" s="9">
        <f t="shared" ref="N23:N25" si="7">N15+M15</f>
        <v>-947.92665999999736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9.9999999947613105E-3</v>
      </c>
      <c r="J24" s="44" t="str">
        <f t="shared" si="6"/>
        <v>Gemini</v>
      </c>
      <c r="N24" s="9">
        <f t="shared" si="7"/>
        <v>-632.04971999999543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</v>
      </c>
      <c r="J25" s="44" t="str">
        <f t="shared" si="6"/>
        <v>IBKR</v>
      </c>
      <c r="K25" s="14"/>
      <c r="L25" s="14"/>
      <c r="M25" s="14"/>
      <c r="N25" s="9">
        <f t="shared" si="7"/>
        <v>-189.58559999999125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-410.87789999999222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0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0</v>
      </c>
      <c r="J4" s="44" t="s">
        <v>5</v>
      </c>
      <c r="L4" s="14"/>
      <c r="M4" s="51"/>
      <c r="N4" s="49">
        <f>N1+M1</f>
        <v>0</v>
      </c>
      <c r="Q4" s="44" t="s">
        <v>10</v>
      </c>
    </row>
    <row r="5" spans="1:24" x14ac:dyDescent="0.25">
      <c r="E5" s="44" t="s">
        <v>6</v>
      </c>
      <c r="G5" s="9">
        <f>G9-G11</f>
        <v>0</v>
      </c>
      <c r="H5" s="9">
        <f>H9-H11</f>
        <v>0</v>
      </c>
      <c r="J5" s="44" t="s">
        <v>6</v>
      </c>
      <c r="M5" s="9">
        <f>M9-M11</f>
        <v>0</v>
      </c>
      <c r="N5" s="9">
        <f>N9-N11</f>
        <v>0</v>
      </c>
    </row>
    <row r="6" spans="1:24" x14ac:dyDescent="0.25">
      <c r="E6" s="44" t="s">
        <v>7</v>
      </c>
      <c r="G6" s="9">
        <f>G9-G10</f>
        <v>0</v>
      </c>
      <c r="H6" s="9">
        <f>H9-H10</f>
        <v>0</v>
      </c>
      <c r="J6" s="44" t="s">
        <v>7</v>
      </c>
      <c r="M6" s="9">
        <f>M9-M10</f>
        <v>0</v>
      </c>
      <c r="N6" s="9">
        <f>N9-N10</f>
        <v>0</v>
      </c>
    </row>
    <row r="7" spans="1:24" x14ac:dyDescent="0.25">
      <c r="E7" s="44" t="s">
        <v>8</v>
      </c>
      <c r="G7" s="9">
        <f>G10-G11</f>
        <v>0</v>
      </c>
      <c r="H7" s="9">
        <f>H10-H11</f>
        <v>0</v>
      </c>
      <c r="J7" s="44" t="s">
        <v>8</v>
      </c>
      <c r="M7" s="9">
        <f>M10-M11</f>
        <v>0</v>
      </c>
      <c r="N7" s="9">
        <f>N10-N11</f>
        <v>0</v>
      </c>
    </row>
    <row r="9" spans="1:24" x14ac:dyDescent="0.25">
      <c r="E9" s="44" t="s">
        <v>1</v>
      </c>
      <c r="G9" s="9">
        <f>MAX(G$14:G$23)</f>
        <v>0</v>
      </c>
      <c r="H9" s="9">
        <f>MAX(H$14:H$23)</f>
        <v>0</v>
      </c>
      <c r="J9" s="44" t="str">
        <f>E9</f>
        <v>max</v>
      </c>
      <c r="L9" s="9">
        <f>MAX(L$14:L$23)</f>
        <v>0</v>
      </c>
      <c r="M9" s="9">
        <f>MAX(M$14:M$23)</f>
        <v>0</v>
      </c>
      <c r="N9" s="9">
        <f>MAX(N$14:N$23)</f>
        <v>0</v>
      </c>
      <c r="O9" s="9">
        <f>MAX(O$14:O$23)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0</v>
      </c>
      <c r="H10" s="9">
        <f>AVERAGE(H$14:H$23)</f>
        <v>0</v>
      </c>
      <c r="J10" s="44" t="str">
        <f t="shared" ref="J10" si="0">E10</f>
        <v>avg</v>
      </c>
      <c r="L10" s="9">
        <f>AVERAGE(L$14:L$23)</f>
        <v>0</v>
      </c>
      <c r="M10" s="9">
        <f>AVERAGE(M$14:M$23)</f>
        <v>0</v>
      </c>
      <c r="N10" s="9">
        <f>AVERAGE(N$14:N$23)</f>
        <v>0</v>
      </c>
      <c r="O10" s="9">
        <f>AVERAGE(O$14:O$23)</f>
        <v>0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0</v>
      </c>
      <c r="H11" s="9">
        <f>MIN(H$14:H$23)</f>
        <v>0</v>
      </c>
      <c r="J11" s="44" t="str">
        <f>E11</f>
        <v>min</v>
      </c>
      <c r="L11" s="9">
        <f>MIN(L$14:L$23)</f>
        <v>0</v>
      </c>
      <c r="M11" s="9">
        <f>MIN(M$14:M$23)</f>
        <v>0</v>
      </c>
      <c r="N11" s="9">
        <f>MIN(N$14:N$23)</f>
        <v>0</v>
      </c>
      <c r="O11" s="9">
        <f>MIN(O$14:O$23)</f>
        <v>0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0</v>
      </c>
      <c r="B14" s="9">
        <f>'MKT DATA'!G21</f>
        <v>0</v>
      </c>
      <c r="C14" s="9">
        <f>'MKT DATA'!H21</f>
        <v>0</v>
      </c>
      <c r="D14" s="43">
        <f>'MKT DATA'!I21</f>
        <v>0</v>
      </c>
      <c r="E14" s="44" t="str">
        <f>'MKT DATA'!B21</f>
        <v>ARKB</v>
      </c>
      <c r="F14" s="14">
        <f>'MKT DATA'!J21</f>
        <v>0</v>
      </c>
      <c r="G14" s="9">
        <f>'MKT DATA'!K21</f>
        <v>0</v>
      </c>
      <c r="H14" s="9">
        <f>'MKT DATA'!L21</f>
        <v>0</v>
      </c>
      <c r="I14" s="14">
        <f>'MKT DATA'!M21</f>
        <v>0</v>
      </c>
      <c r="J14" s="44" t="str">
        <f>E14</f>
        <v>ARKB</v>
      </c>
      <c r="K14" s="9">
        <f>'MKT DATA'!O21</f>
        <v>0</v>
      </c>
      <c r="L14" s="9">
        <f>'MKT DATA'!P21</f>
        <v>0</v>
      </c>
      <c r="M14" s="9">
        <f>'MKT DATA'!Q21</f>
        <v>0</v>
      </c>
      <c r="N14" s="9">
        <f>'MKT DATA'!R21</f>
        <v>0</v>
      </c>
      <c r="O14" s="9">
        <f>'MKT DATA'!S21</f>
        <v>0</v>
      </c>
      <c r="P14" s="9">
        <f>'MKT DATA'!T21</f>
        <v>0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0</v>
      </c>
      <c r="B15" s="9">
        <f>'MKT DATA'!G22</f>
        <v>0</v>
      </c>
      <c r="C15" s="9">
        <f>'MKT DATA'!H22</f>
        <v>0</v>
      </c>
      <c r="D15" s="43">
        <f>'MKT DATA'!I22</f>
        <v>0</v>
      </c>
      <c r="E15" s="44" t="str">
        <f>'MKT DATA'!B22</f>
        <v>BITB</v>
      </c>
      <c r="F15" s="14">
        <f>'MKT DATA'!J22</f>
        <v>0</v>
      </c>
      <c r="G15" s="9">
        <f>'MKT DATA'!K22</f>
        <v>0</v>
      </c>
      <c r="H15" s="9">
        <f>'MKT DATA'!L22</f>
        <v>0</v>
      </c>
      <c r="I15" s="14">
        <f>'MKT DATA'!M22</f>
        <v>0</v>
      </c>
      <c r="J15" s="44" t="str">
        <f t="shared" ref="J15:J23" si="2">E15</f>
        <v>BITB</v>
      </c>
      <c r="K15" s="9">
        <f>'MKT DATA'!O22</f>
        <v>0</v>
      </c>
      <c r="L15" s="9">
        <f>'MKT DATA'!P22</f>
        <v>0</v>
      </c>
      <c r="M15" s="9">
        <f>'MKT DATA'!Q22</f>
        <v>0</v>
      </c>
      <c r="N15" s="9">
        <f>'MKT DATA'!R22</f>
        <v>0</v>
      </c>
      <c r="O15" s="9">
        <f>'MKT DATA'!S22</f>
        <v>0</v>
      </c>
      <c r="P15" s="9">
        <f>'MKT DATA'!T22</f>
        <v>0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0</v>
      </c>
      <c r="B16" s="9">
        <f>'MKT DATA'!G23</f>
        <v>0</v>
      </c>
      <c r="C16" s="9">
        <f>'MKT DATA'!H23</f>
        <v>0</v>
      </c>
      <c r="D16" s="43">
        <f>'MKT DATA'!I23</f>
        <v>0</v>
      </c>
      <c r="E16" s="44" t="str">
        <f>'MKT DATA'!B23</f>
        <v>BRRR</v>
      </c>
      <c r="F16" s="14">
        <f>'MKT DATA'!J23</f>
        <v>0</v>
      </c>
      <c r="G16" s="9">
        <f>'MKT DATA'!K23</f>
        <v>0</v>
      </c>
      <c r="H16" s="9">
        <f>'MKT DATA'!L23</f>
        <v>0</v>
      </c>
      <c r="I16" s="14">
        <f>'MKT DATA'!M23</f>
        <v>0</v>
      </c>
      <c r="J16" s="44" t="str">
        <f t="shared" si="2"/>
        <v>BRRR</v>
      </c>
      <c r="K16" s="9">
        <f>'MKT DATA'!O23</f>
        <v>0</v>
      </c>
      <c r="L16" s="9">
        <f>'MKT DATA'!P23</f>
        <v>0</v>
      </c>
      <c r="M16" s="9">
        <f>'MKT DATA'!Q23</f>
        <v>0</v>
      </c>
      <c r="N16" s="9">
        <f>'MKT DATA'!R23</f>
        <v>0</v>
      </c>
      <c r="O16" s="9">
        <f>'MKT DATA'!S23</f>
        <v>0</v>
      </c>
      <c r="P16" s="9">
        <f>'MKT DATA'!T23</f>
        <v>0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0</v>
      </c>
      <c r="B17" s="9">
        <f>'MKT DATA'!G24</f>
        <v>0</v>
      </c>
      <c r="C17" s="9">
        <f>'MKT DATA'!H24</f>
        <v>0</v>
      </c>
      <c r="D17" s="43">
        <f>'MKT DATA'!I24</f>
        <v>0</v>
      </c>
      <c r="E17" s="44" t="str">
        <f>'MKT DATA'!B24</f>
        <v>BTC</v>
      </c>
      <c r="F17" s="14">
        <f>'MKT DATA'!J24</f>
        <v>0</v>
      </c>
      <c r="G17" s="9">
        <f>'MKT DATA'!K24</f>
        <v>0</v>
      </c>
      <c r="H17" s="9">
        <f>'MKT DATA'!L24</f>
        <v>0</v>
      </c>
      <c r="I17" s="14">
        <f>'MKT DATA'!M24</f>
        <v>0</v>
      </c>
      <c r="J17" s="44" t="str">
        <f t="shared" si="2"/>
        <v>BTC</v>
      </c>
      <c r="K17" s="9">
        <f>'MKT DATA'!O24</f>
        <v>0</v>
      </c>
      <c r="L17" s="9">
        <f>'MKT DATA'!P24</f>
        <v>0</v>
      </c>
      <c r="M17" s="9">
        <f>'MKT DATA'!Q24</f>
        <v>0</v>
      </c>
      <c r="N17" s="9">
        <f>'MKT DATA'!R24</f>
        <v>0</v>
      </c>
      <c r="O17" s="9">
        <f>'MKT DATA'!S24</f>
        <v>0</v>
      </c>
      <c r="P17" s="9">
        <f>'MKT DATA'!T24</f>
        <v>0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0</v>
      </c>
      <c r="B18" s="9">
        <f>'MKT DATA'!G25</f>
        <v>0</v>
      </c>
      <c r="C18" s="9">
        <f>'MKT DATA'!H25</f>
        <v>0</v>
      </c>
      <c r="D18" s="43">
        <f>'MKT DATA'!I25</f>
        <v>0</v>
      </c>
      <c r="E18" s="44" t="str">
        <f>'MKT DATA'!B25</f>
        <v>BTCW</v>
      </c>
      <c r="F18" s="14">
        <f>'MKT DATA'!J25</f>
        <v>0</v>
      </c>
      <c r="G18" s="9">
        <f>'MKT DATA'!K25</f>
        <v>0</v>
      </c>
      <c r="H18" s="9">
        <f>'MKT DATA'!L25</f>
        <v>0</v>
      </c>
      <c r="I18" s="14">
        <f>'MKT DATA'!M25</f>
        <v>0</v>
      </c>
      <c r="J18" s="44" t="str">
        <f t="shared" si="2"/>
        <v>BTCW</v>
      </c>
      <c r="K18" s="9">
        <f>'MKT DATA'!O25</f>
        <v>0</v>
      </c>
      <c r="L18" s="9">
        <f>'MKT DATA'!P25</f>
        <v>0</v>
      </c>
      <c r="M18" s="9">
        <f>'MKT DATA'!Q25</f>
        <v>0</v>
      </c>
      <c r="N18" s="9">
        <f>'MKT DATA'!R25</f>
        <v>0</v>
      </c>
      <c r="O18" s="9">
        <f>'MKT DATA'!S25</f>
        <v>0</v>
      </c>
      <c r="P18" s="9">
        <f>'MKT DATA'!T25</f>
        <v>0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0</v>
      </c>
      <c r="B19" s="9">
        <f>'MKT DATA'!G26</f>
        <v>0</v>
      </c>
      <c r="C19" s="9">
        <f>'MKT DATA'!H26</f>
        <v>0</v>
      </c>
      <c r="D19" s="43">
        <f>'MKT DATA'!I26</f>
        <v>0</v>
      </c>
      <c r="E19" s="44" t="str">
        <f>'MKT DATA'!B26</f>
        <v>EZBC</v>
      </c>
      <c r="F19" s="14">
        <f>'MKT DATA'!J26</f>
        <v>0</v>
      </c>
      <c r="G19" s="9">
        <f>'MKT DATA'!K26</f>
        <v>0</v>
      </c>
      <c r="H19" s="9">
        <f>'MKT DATA'!L26</f>
        <v>0</v>
      </c>
      <c r="I19" s="14">
        <f>'MKT DATA'!M26</f>
        <v>0</v>
      </c>
      <c r="J19" s="44" t="str">
        <f t="shared" si="2"/>
        <v>EZBC</v>
      </c>
      <c r="K19" s="9">
        <f>'MKT DATA'!O26</f>
        <v>0</v>
      </c>
      <c r="L19" s="9">
        <f>'MKT DATA'!P26</f>
        <v>0</v>
      </c>
      <c r="M19" s="9">
        <f>'MKT DATA'!Q26</f>
        <v>0</v>
      </c>
      <c r="N19" s="9">
        <f>'MKT DATA'!R26</f>
        <v>0</v>
      </c>
      <c r="O19" s="9">
        <f>'MKT DATA'!S26</f>
        <v>0</v>
      </c>
      <c r="P19" s="9">
        <f>'MKT DATA'!T26</f>
        <v>0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0</v>
      </c>
      <c r="B20" s="9">
        <f>'MKT DATA'!G27</f>
        <v>0</v>
      </c>
      <c r="C20" s="9">
        <f>'MKT DATA'!H27</f>
        <v>0</v>
      </c>
      <c r="D20" s="43">
        <f>'MKT DATA'!I27</f>
        <v>0</v>
      </c>
      <c r="E20" s="44" t="str">
        <f>'MKT DATA'!B27</f>
        <v>FBTC</v>
      </c>
      <c r="F20" s="14">
        <f>'MKT DATA'!J27</f>
        <v>0</v>
      </c>
      <c r="G20" s="9">
        <f>'MKT DATA'!K27</f>
        <v>0</v>
      </c>
      <c r="H20" s="9">
        <f>'MKT DATA'!L27</f>
        <v>0</v>
      </c>
      <c r="I20" s="14">
        <f>'MKT DATA'!M27</f>
        <v>0</v>
      </c>
      <c r="J20" s="44" t="str">
        <f t="shared" si="2"/>
        <v>FBTC</v>
      </c>
      <c r="K20" s="9">
        <f>'MKT DATA'!O27</f>
        <v>0</v>
      </c>
      <c r="L20" s="9">
        <f>'MKT DATA'!P27</f>
        <v>0</v>
      </c>
      <c r="M20" s="9">
        <f>'MKT DATA'!Q27</f>
        <v>0</v>
      </c>
      <c r="N20" s="9">
        <f>'MKT DATA'!R27</f>
        <v>0</v>
      </c>
      <c r="O20" s="9">
        <f>'MKT DATA'!S27</f>
        <v>0</v>
      </c>
      <c r="P20" s="9">
        <f>'MKT DATA'!T27</f>
        <v>0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0</v>
      </c>
      <c r="B21" s="9">
        <f>'MKT DATA'!G28</f>
        <v>0</v>
      </c>
      <c r="C21" s="9">
        <f>'MKT DATA'!H28</f>
        <v>0</v>
      </c>
      <c r="D21" s="43">
        <f>'MKT DATA'!I28</f>
        <v>0</v>
      </c>
      <c r="E21" s="44" t="str">
        <f>'MKT DATA'!B28</f>
        <v>GBTC</v>
      </c>
      <c r="F21" s="14">
        <f>'MKT DATA'!J28</f>
        <v>0</v>
      </c>
      <c r="G21" s="9">
        <f>'MKT DATA'!K28</f>
        <v>0</v>
      </c>
      <c r="H21" s="9">
        <f>'MKT DATA'!L28</f>
        <v>0</v>
      </c>
      <c r="I21" s="14">
        <f>'MKT DATA'!M28</f>
        <v>0</v>
      </c>
      <c r="J21" s="44" t="str">
        <f t="shared" si="2"/>
        <v>GBTC</v>
      </c>
      <c r="K21" s="9">
        <f>'MKT DATA'!O28</f>
        <v>0</v>
      </c>
      <c r="L21" s="9">
        <f>'MKT DATA'!P28</f>
        <v>0</v>
      </c>
      <c r="M21" s="9">
        <f>'MKT DATA'!Q28</f>
        <v>0</v>
      </c>
      <c r="N21" s="9">
        <f>'MKT DATA'!R28</f>
        <v>0</v>
      </c>
      <c r="O21" s="9">
        <f>'MKT DATA'!S28</f>
        <v>0</v>
      </c>
      <c r="P21" s="9">
        <f>'MKT DATA'!T28</f>
        <v>0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0</v>
      </c>
      <c r="B22" s="9">
        <f>'MKT DATA'!G29</f>
        <v>0</v>
      </c>
      <c r="C22" s="9">
        <f>'MKT DATA'!H29</f>
        <v>0</v>
      </c>
      <c r="D22" s="43">
        <f>'MKT DATA'!I29</f>
        <v>0</v>
      </c>
      <c r="E22" s="44" t="str">
        <f>'MKT DATA'!B29</f>
        <v>HODL</v>
      </c>
      <c r="F22" s="14">
        <f>'MKT DATA'!J29</f>
        <v>0</v>
      </c>
      <c r="G22" s="9">
        <f>'MKT DATA'!K29</f>
        <v>0</v>
      </c>
      <c r="H22" s="9">
        <f>'MKT DATA'!L29</f>
        <v>0</v>
      </c>
      <c r="I22" s="14">
        <f>'MKT DATA'!M29</f>
        <v>0</v>
      </c>
      <c r="J22" s="44" t="str">
        <f t="shared" si="2"/>
        <v>HODL</v>
      </c>
      <c r="K22" s="9">
        <f>'MKT DATA'!O29</f>
        <v>0</v>
      </c>
      <c r="L22" s="9">
        <f>'MKT DATA'!P29</f>
        <v>0</v>
      </c>
      <c r="M22" s="9">
        <f>'MKT DATA'!Q29</f>
        <v>0</v>
      </c>
      <c r="N22" s="9">
        <f>'MKT DATA'!R29</f>
        <v>0</v>
      </c>
      <c r="O22" s="9">
        <f>'MKT DATA'!S29</f>
        <v>0</v>
      </c>
      <c r="P22" s="9">
        <f>'MKT DATA'!T29</f>
        <v>0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0</v>
      </c>
      <c r="B23" s="9">
        <f>'MKT DATA'!G30</f>
        <v>0</v>
      </c>
      <c r="C23" s="9">
        <f>'MKT DATA'!H30</f>
        <v>0</v>
      </c>
      <c r="D23" s="43">
        <f>'MKT DATA'!I30</f>
        <v>0</v>
      </c>
      <c r="E23" s="44" t="str">
        <f>'MKT DATA'!B30</f>
        <v>IBIT</v>
      </c>
      <c r="F23" s="14">
        <f>'MKT DATA'!J30</f>
        <v>0</v>
      </c>
      <c r="G23" s="9">
        <f>'MKT DATA'!K30</f>
        <v>0</v>
      </c>
      <c r="H23" s="9">
        <f>'MKT DATA'!L30</f>
        <v>0</v>
      </c>
      <c r="I23" s="14">
        <f>'MKT DATA'!M30</f>
        <v>0</v>
      </c>
      <c r="J23" s="44" t="str">
        <f t="shared" si="2"/>
        <v>IBIT</v>
      </c>
      <c r="K23" s="9">
        <f>'MKT DATA'!O30</f>
        <v>0</v>
      </c>
      <c r="L23" s="9">
        <f>'MKT DATA'!P30</f>
        <v>0</v>
      </c>
      <c r="M23" s="9">
        <f>'MKT DATA'!Q30</f>
        <v>0</v>
      </c>
      <c r="N23" s="9">
        <f>'MKT DATA'!R30</f>
        <v>0</v>
      </c>
      <c r="O23" s="9">
        <f>'MKT DATA'!S30</f>
        <v>0</v>
      </c>
      <c r="P23" s="9">
        <f>'MKT DATA'!T30</f>
        <v>0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0</v>
      </c>
      <c r="J27" s="44" t="str">
        <f t="shared" si="5"/>
        <v>ARKB</v>
      </c>
      <c r="K27" s="14"/>
      <c r="L27" s="14"/>
      <c r="M27" s="14"/>
      <c r="N27" s="9">
        <f>N14+M14</f>
        <v>0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0</v>
      </c>
      <c r="J28" s="44" t="str">
        <f t="shared" si="5"/>
        <v>BITB</v>
      </c>
      <c r="N28" s="9">
        <f t="shared" ref="N28:N35" si="8">N15+M15</f>
        <v>0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0</v>
      </c>
      <c r="J29" s="44" t="str">
        <f t="shared" si="5"/>
        <v>BRRR</v>
      </c>
      <c r="N29" s="9">
        <f t="shared" si="8"/>
        <v>0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0</v>
      </c>
      <c r="J30" s="44" t="str">
        <f t="shared" si="5"/>
        <v>BTC</v>
      </c>
      <c r="N30" s="9">
        <f t="shared" si="8"/>
        <v>0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0</v>
      </c>
      <c r="J31" s="44" t="str">
        <f t="shared" si="5"/>
        <v>BTCW</v>
      </c>
      <c r="N31" s="9">
        <f t="shared" si="8"/>
        <v>0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0</v>
      </c>
      <c r="J32" s="44" t="str">
        <f t="shared" si="5"/>
        <v>EZBC</v>
      </c>
      <c r="N32" s="9">
        <f t="shared" si="8"/>
        <v>0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0</v>
      </c>
      <c r="J33" s="44" t="str">
        <f t="shared" si="5"/>
        <v>FBTC</v>
      </c>
      <c r="N33" s="9">
        <f t="shared" si="8"/>
        <v>0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0</v>
      </c>
      <c r="J34" s="44" t="str">
        <f t="shared" si="5"/>
        <v>GBTC</v>
      </c>
      <c r="N34" s="9">
        <f t="shared" si="8"/>
        <v>0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0</v>
      </c>
      <c r="J35" s="44" t="str">
        <f t="shared" si="5"/>
        <v>HODL</v>
      </c>
      <c r="N35" s="9">
        <f t="shared" si="8"/>
        <v>0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0</v>
      </c>
      <c r="J36" s="44" t="str">
        <f t="shared" si="5"/>
        <v>IBIT</v>
      </c>
      <c r="N36" s="9">
        <f>N23+M23</f>
        <v>0</v>
      </c>
      <c r="Q36" s="44" t="str">
        <f t="shared" si="6"/>
        <v>IBIT</v>
      </c>
    </row>
    <row r="40" spans="5:17" x14ac:dyDescent="0.25">
      <c r="M40" s="9">
        <f>+N9</f>
        <v>0</v>
      </c>
      <c r="N40" s="9">
        <f>+M9</f>
        <v>0</v>
      </c>
    </row>
    <row r="41" spans="5:17" ht="17.25" x14ac:dyDescent="0.4">
      <c r="M41" s="54">
        <f>-O18</f>
        <v>0</v>
      </c>
      <c r="N41" s="54">
        <f>-L18</f>
        <v>0</v>
      </c>
    </row>
    <row r="42" spans="5:17" x14ac:dyDescent="0.25">
      <c r="M42" s="9">
        <f>SUM(M40:M41)</f>
        <v>0</v>
      </c>
      <c r="N42" s="9">
        <f>SUM(N40:N41)</f>
        <v>0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79225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79222.495999999999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79300</v>
      </c>
      <c r="I2" s="57"/>
      <c r="J2" s="59"/>
      <c r="K2" s="58"/>
      <c r="L2" s="58"/>
      <c r="M2" s="58">
        <f>'MKT DATA'!Q4-M1</f>
        <v>0</v>
      </c>
      <c r="N2" s="58">
        <f>'MKT DATA'!R4-N1</f>
        <v>-79302.504000000001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79225</v>
      </c>
      <c r="I4" s="58">
        <f>H4-(G14-H14)</f>
        <v>79300</v>
      </c>
      <c r="J4" s="44" t="s">
        <v>5</v>
      </c>
      <c r="L4" s="14"/>
      <c r="M4" s="51"/>
      <c r="N4" s="49">
        <f>N1+M1</f>
        <v>79222.495999999999</v>
      </c>
      <c r="O4" s="58">
        <f>(N14+M14)-N4</f>
        <v>-79302.504000000001</v>
      </c>
      <c r="Q4" s="44" t="s">
        <v>10</v>
      </c>
    </row>
    <row r="5" spans="1:24" x14ac:dyDescent="0.25">
      <c r="E5" s="44" t="s">
        <v>6</v>
      </c>
      <c r="G5" s="9">
        <f>G9-G11</f>
        <v>79225</v>
      </c>
      <c r="H5" s="9">
        <f>H9-H11</f>
        <v>85705</v>
      </c>
      <c r="J5" s="44" t="s">
        <v>6</v>
      </c>
      <c r="M5" s="9">
        <f>M9-M11</f>
        <v>79222.495999999999</v>
      </c>
      <c r="N5" s="9">
        <f>N9-N11</f>
        <v>85757.584000000003</v>
      </c>
    </row>
    <row r="6" spans="1:24" x14ac:dyDescent="0.25">
      <c r="E6" s="44" t="s">
        <v>7</v>
      </c>
      <c r="G6" s="9">
        <f>G9-G10</f>
        <v>78532.438650306751</v>
      </c>
      <c r="H6" s="9">
        <f>H9-H10</f>
        <v>84938.742331288347</v>
      </c>
      <c r="J6" s="44" t="s">
        <v>7</v>
      </c>
      <c r="M6" s="9">
        <f>M9-M10</f>
        <v>78530.188122699386</v>
      </c>
      <c r="N6" s="9">
        <f>N9-N10</f>
        <v>766.51114110429455</v>
      </c>
    </row>
    <row r="7" spans="1:24" x14ac:dyDescent="0.25">
      <c r="E7" s="44" t="s">
        <v>8</v>
      </c>
      <c r="G7" s="9">
        <f>G10-G11</f>
        <v>692.56134969325149</v>
      </c>
      <c r="H7" s="9">
        <f>H10-H11</f>
        <v>766.25766871165649</v>
      </c>
      <c r="J7" s="44" t="s">
        <v>8</v>
      </c>
      <c r="M7" s="9">
        <f>M10-M11</f>
        <v>692.30787730061343</v>
      </c>
      <c r="N7" s="9">
        <f>N10-N11</f>
        <v>84991.072858895714</v>
      </c>
    </row>
    <row r="9" spans="1:24" x14ac:dyDescent="0.25">
      <c r="E9" s="44" t="s">
        <v>1</v>
      </c>
      <c r="G9" s="9">
        <f>MAX(G$14:G$339)</f>
        <v>79225</v>
      </c>
      <c r="H9" s="9">
        <f>MAX(H$14:H$339)</f>
        <v>85705</v>
      </c>
      <c r="J9" s="44" t="str">
        <f>E9</f>
        <v>max</v>
      </c>
      <c r="L9" s="9">
        <f>MAX(L$14:L$339)</f>
        <v>79225</v>
      </c>
      <c r="M9" s="9">
        <f>MAX(M$14:M$339)</f>
        <v>79222.495999999999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692.56134969325149</v>
      </c>
      <c r="H10" s="9">
        <f>AVERAGE(H$14:H$339)</f>
        <v>766.25766871165649</v>
      </c>
      <c r="J10" s="44" t="str">
        <f t="shared" ref="J10" si="0">E10</f>
        <v>avg</v>
      </c>
      <c r="L10" s="9">
        <f>AVERAGE(L$14:L$339)</f>
        <v>692.56134969325149</v>
      </c>
      <c r="M10" s="9">
        <f>AVERAGE(M$14:M$339)</f>
        <v>692.30787730061343</v>
      </c>
      <c r="N10" s="9">
        <f>AVERAGE(N$14:N$339)</f>
        <v>-766.51114110429455</v>
      </c>
      <c r="O10" s="9">
        <f>AVERAGE(O$14:O$339)</f>
        <v>-766.25766871165649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-85757.584000000003</v>
      </c>
      <c r="O11" s="9">
        <f>MIN(O$14:O$339)</f>
        <v>-85705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BTCU6</v>
      </c>
      <c r="F14" s="14">
        <f>'MKT DATA'!J31</f>
        <v>5</v>
      </c>
      <c r="G14" s="9">
        <f>'MKT DATA'!K31</f>
        <v>79225</v>
      </c>
      <c r="H14" s="9">
        <f>'MKT DATA'!L31</f>
        <v>79300</v>
      </c>
      <c r="I14" s="14">
        <f>'MKT DATA'!M31</f>
        <v>15</v>
      </c>
      <c r="J14" s="44" t="str">
        <f>E14</f>
        <v>BTCU6</v>
      </c>
      <c r="K14" s="9">
        <f>'MKT DATA'!O31</f>
        <v>2.504</v>
      </c>
      <c r="L14" s="9">
        <f>'MKT DATA'!P31</f>
        <v>79225</v>
      </c>
      <c r="M14" s="9">
        <f>'MKT DATA'!Q31</f>
        <v>79222.495999999999</v>
      </c>
      <c r="N14" s="9">
        <f>'MKT DATA'!R31</f>
        <v>-79302.504000000001</v>
      </c>
      <c r="O14" s="9">
        <f>'MKT DATA'!S31</f>
        <v>-79300</v>
      </c>
      <c r="P14" s="9">
        <f>'MKT DATA'!T31</f>
        <v>2.504</v>
      </c>
      <c r="Q14" s="44" t="str">
        <f>J14</f>
        <v>BTCU6</v>
      </c>
      <c r="R14" s="14">
        <f>'MKT DATA'!AB31</f>
        <v>0</v>
      </c>
    </row>
    <row r="15" spans="1:24" x14ac:dyDescent="0.25">
      <c r="E15" s="44" t="str">
        <f>'MKT DATA'!B73</f>
        <v>syn BTCV6/BTCU6</v>
      </c>
      <c r="F15" s="14">
        <f>'MKT DATA'!J73</f>
        <v>0</v>
      </c>
      <c r="G15" s="9">
        <f>'MKT DATA'!K73</f>
        <v>0</v>
      </c>
      <c r="H15" s="9">
        <f>'MKT DATA'!L73</f>
        <v>0</v>
      </c>
      <c r="I15" s="14">
        <f>'MKT DATA'!M73</f>
        <v>0</v>
      </c>
      <c r="J15" s="44" t="str">
        <f t="shared" ref="J15:J16" si="2">E15</f>
        <v>syn BTCV6/BTCU6</v>
      </c>
      <c r="K15" s="9">
        <f>'MKT DATA'!O73</f>
        <v>0</v>
      </c>
      <c r="L15" s="9">
        <f>'MKT DATA'!P73</f>
        <v>0</v>
      </c>
      <c r="M15" s="9">
        <f>'MKT DATA'!Q73</f>
        <v>0</v>
      </c>
      <c r="N15" s="9">
        <f>'MKT DATA'!R73</f>
        <v>0</v>
      </c>
      <c r="O15" s="9">
        <f>'MKT DATA'!S73</f>
        <v>0</v>
      </c>
      <c r="P15" s="9">
        <f>'MKT DATA'!T73</f>
        <v>0</v>
      </c>
      <c r="Q15" s="44" t="str">
        <f t="shared" ref="Q15:Q16" si="3">J15</f>
        <v>syn BTCV6/BTCU6</v>
      </c>
      <c r="R15" s="14">
        <f>'MKT DATA'!AB73</f>
        <v>0</v>
      </c>
    </row>
    <row r="16" spans="1:24" x14ac:dyDescent="0.25">
      <c r="E16" s="44" t="str">
        <f>'MKT DATA'!B74</f>
        <v>syn BTCX6/BTCU6</v>
      </c>
      <c r="F16" s="14">
        <f>'MKT DATA'!J74</f>
        <v>0</v>
      </c>
      <c r="G16" s="9">
        <f>'MKT DATA'!K74</f>
        <v>0</v>
      </c>
      <c r="H16" s="9">
        <f>'MKT DATA'!L74</f>
        <v>0</v>
      </c>
      <c r="I16" s="14">
        <f>'MKT DATA'!M74</f>
        <v>0</v>
      </c>
      <c r="J16" s="44" t="str">
        <f t="shared" si="2"/>
        <v>syn BTCX6/BTCU6</v>
      </c>
      <c r="K16" s="9">
        <f>'MKT DATA'!O74</f>
        <v>0</v>
      </c>
      <c r="L16" s="9">
        <f>'MKT DATA'!P74</f>
        <v>0</v>
      </c>
      <c r="M16" s="9">
        <f>'MKT DATA'!Q74</f>
        <v>0</v>
      </c>
      <c r="N16" s="9">
        <f>'MKT DATA'!R74</f>
        <v>0</v>
      </c>
      <c r="O16" s="9">
        <f>'MKT DATA'!S74</f>
        <v>0</v>
      </c>
      <c r="P16" s="9">
        <f>'MKT DATA'!T74</f>
        <v>0</v>
      </c>
      <c r="Q16" s="44" t="str">
        <f t="shared" si="3"/>
        <v>syn BTCX6/BTCU6</v>
      </c>
      <c r="R16" s="14">
        <f>'MKT DATA'!AB74</f>
        <v>0</v>
      </c>
    </row>
    <row r="17" spans="5:18" x14ac:dyDescent="0.25">
      <c r="E17" s="44" t="str">
        <f>'MKT DATA'!B75</f>
        <v>syn BTCZ6/BTCU6</v>
      </c>
      <c r="F17" s="14">
        <f>'MKT DATA'!J75</f>
        <v>1</v>
      </c>
      <c r="G17" s="9">
        <f>'MKT DATA'!K75</f>
        <v>73730</v>
      </c>
      <c r="H17" s="9">
        <f>'MKT DATA'!L75</f>
        <v>84795</v>
      </c>
      <c r="I17" s="14">
        <f>'MKT DATA'!M75</f>
        <v>3</v>
      </c>
      <c r="J17" s="44" t="str">
        <f t="shared" ref="J17:J80" si="4">E17</f>
        <v>syn BTCZ6/BTCU6</v>
      </c>
      <c r="K17" s="9">
        <f>'MKT DATA'!O75</f>
        <v>27.544</v>
      </c>
      <c r="L17" s="9">
        <f>'MKT DATA'!P75</f>
        <v>73730</v>
      </c>
      <c r="M17" s="9">
        <f>'MKT DATA'!Q75</f>
        <v>73702.456000000006</v>
      </c>
      <c r="N17" s="9">
        <f>'MKT DATA'!R75</f>
        <v>-84822.543999999994</v>
      </c>
      <c r="O17" s="9">
        <f>'MKT DATA'!S75</f>
        <v>-84795</v>
      </c>
      <c r="P17" s="9">
        <f>'MKT DATA'!T75</f>
        <v>27.544</v>
      </c>
      <c r="Q17" s="44" t="str">
        <f t="shared" ref="Q17:Q80" si="5">J17</f>
        <v>syn BTCZ6/BTCU6</v>
      </c>
      <c r="R17" s="14">
        <f>'MKT DATA'!AB75</f>
        <v>0</v>
      </c>
    </row>
    <row r="18" spans="5:18" x14ac:dyDescent="0.25">
      <c r="E18" s="44" t="str">
        <f>'MKT DATA'!B76</f>
        <v>syn BTCF7/BTCU6</v>
      </c>
      <c r="F18" s="14">
        <f>'MKT DATA'!J76</f>
        <v>0</v>
      </c>
      <c r="G18" s="9">
        <f>'MKT DATA'!K76</f>
        <v>0</v>
      </c>
      <c r="H18" s="9">
        <f>'MKT DATA'!L76</f>
        <v>0</v>
      </c>
      <c r="I18" s="14">
        <f>'MKT DATA'!M76</f>
        <v>0</v>
      </c>
      <c r="J18" s="44" t="str">
        <f t="shared" si="4"/>
        <v>syn BTCF7/BTCU6</v>
      </c>
      <c r="K18" s="9">
        <f>'MKT DATA'!O76</f>
        <v>0</v>
      </c>
      <c r="L18" s="9">
        <f>'MKT DATA'!P76</f>
        <v>0</v>
      </c>
      <c r="M18" s="9">
        <f>'MKT DATA'!Q76</f>
        <v>0</v>
      </c>
      <c r="N18" s="9">
        <f>'MKT DATA'!R76</f>
        <v>0</v>
      </c>
      <c r="O18" s="9">
        <f>'MKT DATA'!S76</f>
        <v>0</v>
      </c>
      <c r="P18" s="9">
        <f>'MKT DATA'!T76</f>
        <v>0</v>
      </c>
      <c r="Q18" s="44" t="str">
        <f t="shared" si="5"/>
        <v>syn BTCF7/BTCU6</v>
      </c>
      <c r="R18" s="14">
        <f>'MKT DATA'!AB76</f>
        <v>0</v>
      </c>
    </row>
    <row r="19" spans="5:18" x14ac:dyDescent="0.25">
      <c r="E19" s="44" t="str">
        <f>'MKT DATA'!B77</f>
        <v>syn BTCG7/BTCU6</v>
      </c>
      <c r="F19" s="14">
        <f>'MKT DATA'!J77</f>
        <v>0</v>
      </c>
      <c r="G19" s="9">
        <f>'MKT DATA'!K77</f>
        <v>0</v>
      </c>
      <c r="H19" s="9">
        <f>'MKT DATA'!L77</f>
        <v>0</v>
      </c>
      <c r="I19" s="14">
        <f>'MKT DATA'!M77</f>
        <v>0</v>
      </c>
      <c r="J19" s="44" t="str">
        <f t="shared" si="4"/>
        <v>syn BTCG7/BTCU6</v>
      </c>
      <c r="K19" s="9">
        <f>'MKT DATA'!O77</f>
        <v>0</v>
      </c>
      <c r="L19" s="9">
        <f>'MKT DATA'!P77</f>
        <v>0</v>
      </c>
      <c r="M19" s="9">
        <f>'MKT DATA'!Q77</f>
        <v>0</v>
      </c>
      <c r="N19" s="9">
        <f>'MKT DATA'!R77</f>
        <v>0</v>
      </c>
      <c r="O19" s="9">
        <f>'MKT DATA'!S77</f>
        <v>0</v>
      </c>
      <c r="P19" s="9">
        <f>'MKT DATA'!T77</f>
        <v>0</v>
      </c>
      <c r="Q19" s="44" t="str">
        <f t="shared" si="5"/>
        <v>syn BTCG7/BTCU6</v>
      </c>
      <c r="R19" s="14">
        <f>'MKT DATA'!AB77</f>
        <v>0</v>
      </c>
    </row>
    <row r="20" spans="5:18" x14ac:dyDescent="0.25">
      <c r="E20" s="44" t="str">
        <f>'MKT DATA'!B78</f>
        <v>syn BTCV6/BTCX6/BTCU6</v>
      </c>
      <c r="F20" s="14">
        <f>'MKT DATA'!J78</f>
        <v>0</v>
      </c>
      <c r="G20" s="9">
        <f>'MKT DATA'!K78</f>
        <v>0</v>
      </c>
      <c r="H20" s="9">
        <f>'MKT DATA'!L78</f>
        <v>0</v>
      </c>
      <c r="I20" s="14">
        <f>'MKT DATA'!M78</f>
        <v>0</v>
      </c>
      <c r="J20" s="44" t="str">
        <f t="shared" si="4"/>
        <v>syn BTCV6/BTCX6/BTCU6</v>
      </c>
      <c r="K20" s="9">
        <f>'MKT DATA'!O78</f>
        <v>0</v>
      </c>
      <c r="L20" s="9">
        <f>'MKT DATA'!P78</f>
        <v>0</v>
      </c>
      <c r="M20" s="9">
        <f>'MKT DATA'!Q78</f>
        <v>0</v>
      </c>
      <c r="N20" s="9">
        <f>'MKT DATA'!R78</f>
        <v>0</v>
      </c>
      <c r="O20" s="9">
        <f>'MKT DATA'!S78</f>
        <v>0</v>
      </c>
      <c r="P20" s="9">
        <f>'MKT DATA'!T78</f>
        <v>0</v>
      </c>
      <c r="Q20" s="44" t="str">
        <f t="shared" si="5"/>
        <v>syn BTCV6/BTCX6/BTCU6</v>
      </c>
      <c r="R20" s="14">
        <f>'MKT DATA'!AB78</f>
        <v>0</v>
      </c>
    </row>
    <row r="21" spans="5:18" x14ac:dyDescent="0.25">
      <c r="E21" s="44" t="str">
        <f>'MKT DATA'!B79</f>
        <v>syn BTCV6/BTCZ6/BTCU6</v>
      </c>
      <c r="F21" s="14">
        <f>'MKT DATA'!J79</f>
        <v>1</v>
      </c>
      <c r="G21" s="9">
        <f>'MKT DATA'!K79</f>
        <v>72820</v>
      </c>
      <c r="H21" s="9">
        <f>'MKT DATA'!L79</f>
        <v>85705</v>
      </c>
      <c r="I21" s="14">
        <f>'MKT DATA'!M79</f>
        <v>1</v>
      </c>
      <c r="J21" s="44" t="str">
        <f t="shared" si="4"/>
        <v>syn BTCV6/BTCZ6/BTCU6</v>
      </c>
      <c r="K21" s="9">
        <f>'MKT DATA'!O79</f>
        <v>52.584000000000003</v>
      </c>
      <c r="L21" s="9">
        <f>'MKT DATA'!P79</f>
        <v>72820</v>
      </c>
      <c r="M21" s="9">
        <f>'MKT DATA'!Q79</f>
        <v>72767.415999999997</v>
      </c>
      <c r="N21" s="9">
        <f>'MKT DATA'!R79</f>
        <v>-85757.584000000003</v>
      </c>
      <c r="O21" s="9">
        <f>'MKT DATA'!S79</f>
        <v>-85705</v>
      </c>
      <c r="P21" s="9">
        <f>'MKT DATA'!T79</f>
        <v>52.584000000000003</v>
      </c>
      <c r="Q21" s="44" t="str">
        <f t="shared" si="5"/>
        <v>syn BTCV6/BTCZ6/BTCU6</v>
      </c>
      <c r="R21" s="14">
        <f>'MKT DATA'!AB79</f>
        <v>0</v>
      </c>
    </row>
    <row r="22" spans="5:18" x14ac:dyDescent="0.25">
      <c r="E22" s="44" t="str">
        <f>'MKT DATA'!B80</f>
        <v>syn BTCV6/BTCF7/BTCU6</v>
      </c>
      <c r="F22" s="14">
        <f>'MKT DATA'!J80</f>
        <v>0</v>
      </c>
      <c r="G22" s="9">
        <f>'MKT DATA'!K80</f>
        <v>0</v>
      </c>
      <c r="H22" s="9">
        <f>'MKT DATA'!L80</f>
        <v>0</v>
      </c>
      <c r="I22" s="14">
        <f>'MKT DATA'!M80</f>
        <v>0</v>
      </c>
      <c r="J22" s="44" t="str">
        <f t="shared" si="4"/>
        <v>syn BTCV6/BTCF7/BTCU6</v>
      </c>
      <c r="K22" s="9">
        <f>'MKT DATA'!O80</f>
        <v>0</v>
      </c>
      <c r="L22" s="9">
        <f>'MKT DATA'!P80</f>
        <v>0</v>
      </c>
      <c r="M22" s="9">
        <f>'MKT DATA'!Q80</f>
        <v>0</v>
      </c>
      <c r="N22" s="9">
        <f>'MKT DATA'!R80</f>
        <v>0</v>
      </c>
      <c r="O22" s="9">
        <f>'MKT DATA'!S80</f>
        <v>0</v>
      </c>
      <c r="P22" s="9">
        <f>'MKT DATA'!T80</f>
        <v>0</v>
      </c>
      <c r="Q22" s="44" t="str">
        <f t="shared" si="5"/>
        <v>syn BTCV6/BTCF7/BTCU6</v>
      </c>
      <c r="R22" s="14">
        <f>'MKT DATA'!AB80</f>
        <v>0</v>
      </c>
    </row>
    <row r="23" spans="5:18" x14ac:dyDescent="0.25">
      <c r="E23" s="44" t="str">
        <f>'MKT DATA'!B81</f>
        <v>syn BTCV6/BTCG7/BTCU6</v>
      </c>
      <c r="F23" s="14">
        <f>'MKT DATA'!J81</f>
        <v>0</v>
      </c>
      <c r="G23" s="9">
        <f>'MKT DATA'!K81</f>
        <v>0</v>
      </c>
      <c r="H23" s="9">
        <f>'MKT DATA'!L81</f>
        <v>0</v>
      </c>
      <c r="I23" s="14">
        <f>'MKT DATA'!M81</f>
        <v>0</v>
      </c>
      <c r="J23" s="44" t="str">
        <f t="shared" si="4"/>
        <v>syn BTCV6/BTCG7/BTCU6</v>
      </c>
      <c r="K23" s="9">
        <f>'MKT DATA'!O81</f>
        <v>0</v>
      </c>
      <c r="L23" s="9">
        <f>'MKT DATA'!P81</f>
        <v>0</v>
      </c>
      <c r="M23" s="9">
        <f>'MKT DATA'!Q81</f>
        <v>0</v>
      </c>
      <c r="N23" s="9">
        <f>'MKT DATA'!R81</f>
        <v>0</v>
      </c>
      <c r="O23" s="9">
        <f>'MKT DATA'!S81</f>
        <v>0</v>
      </c>
      <c r="P23" s="9">
        <f>'MKT DATA'!T81</f>
        <v>0</v>
      </c>
      <c r="Q23" s="44" t="str">
        <f t="shared" si="5"/>
        <v>syn BTCV6/BTCG7/BTCU6</v>
      </c>
      <c r="R23" s="14">
        <f>'MKT DATA'!AB81</f>
        <v>0</v>
      </c>
    </row>
    <row r="24" spans="5:18" x14ac:dyDescent="0.25">
      <c r="E24" s="44" t="str">
        <f>'MKT DATA'!B82</f>
        <v>syn BTCX6/BTCV6/BTCU6</v>
      </c>
      <c r="F24" s="14">
        <f>'MKT DATA'!J82</f>
        <v>0</v>
      </c>
      <c r="G24" s="9">
        <f>'MKT DATA'!K82</f>
        <v>0</v>
      </c>
      <c r="H24" s="9">
        <f>'MKT DATA'!L82</f>
        <v>0</v>
      </c>
      <c r="I24" s="14">
        <f>'MKT DATA'!M82</f>
        <v>0</v>
      </c>
      <c r="J24" s="44" t="str">
        <f t="shared" si="4"/>
        <v>syn BTCX6/BTCV6/BTCU6</v>
      </c>
      <c r="K24" s="9">
        <f>'MKT DATA'!O82</f>
        <v>0</v>
      </c>
      <c r="L24" s="9">
        <f>'MKT DATA'!P82</f>
        <v>0</v>
      </c>
      <c r="M24" s="9">
        <f>'MKT DATA'!Q82</f>
        <v>0</v>
      </c>
      <c r="N24" s="9">
        <f>'MKT DATA'!R82</f>
        <v>0</v>
      </c>
      <c r="O24" s="9">
        <f>'MKT DATA'!S82</f>
        <v>0</v>
      </c>
      <c r="P24" s="9">
        <f>'MKT DATA'!T82</f>
        <v>0</v>
      </c>
      <c r="Q24" s="44" t="str">
        <f t="shared" si="5"/>
        <v>syn BTCX6/BTCV6/BTCU6</v>
      </c>
      <c r="R24" s="14">
        <f>'MKT DATA'!AB82</f>
        <v>0</v>
      </c>
    </row>
    <row r="25" spans="5:18" x14ac:dyDescent="0.25">
      <c r="E25" s="44" t="str">
        <f>'MKT DATA'!B83</f>
        <v>syn BTCX6/BTCZ6/BTCU6</v>
      </c>
      <c r="F25" s="14">
        <f>'MKT DATA'!J83</f>
        <v>0</v>
      </c>
      <c r="G25" s="9">
        <f>'MKT DATA'!K83</f>
        <v>0</v>
      </c>
      <c r="H25" s="9">
        <f>'MKT DATA'!L83</f>
        <v>0</v>
      </c>
      <c r="I25" s="14">
        <f>'MKT DATA'!M83</f>
        <v>0</v>
      </c>
      <c r="J25" s="44" t="str">
        <f t="shared" si="4"/>
        <v>syn BTCX6/BTCZ6/BTCU6</v>
      </c>
      <c r="K25" s="9">
        <f>'MKT DATA'!O83</f>
        <v>0</v>
      </c>
      <c r="L25" s="9">
        <f>'MKT DATA'!P83</f>
        <v>0</v>
      </c>
      <c r="M25" s="9">
        <f>'MKT DATA'!Q83</f>
        <v>0</v>
      </c>
      <c r="N25" s="9">
        <f>'MKT DATA'!R83</f>
        <v>0</v>
      </c>
      <c r="O25" s="9">
        <f>'MKT DATA'!S83</f>
        <v>0</v>
      </c>
      <c r="P25" s="9">
        <f>'MKT DATA'!T83</f>
        <v>0</v>
      </c>
      <c r="Q25" s="44" t="str">
        <f t="shared" si="5"/>
        <v>syn BTCX6/BTCZ6/BTCU6</v>
      </c>
      <c r="R25" s="14">
        <f>'MKT DATA'!AB83</f>
        <v>0</v>
      </c>
    </row>
    <row r="26" spans="5:18" x14ac:dyDescent="0.25">
      <c r="E26" s="44" t="str">
        <f>'MKT DATA'!B84</f>
        <v>syn BTCX6/BTCF7/BTCU6</v>
      </c>
      <c r="F26" s="14">
        <f>'MKT DATA'!J84</f>
        <v>0</v>
      </c>
      <c r="G26" s="9">
        <f>'MKT DATA'!K84</f>
        <v>0</v>
      </c>
      <c r="H26" s="9">
        <f>'MKT DATA'!L84</f>
        <v>0</v>
      </c>
      <c r="I26" s="14">
        <f>'MKT DATA'!M84</f>
        <v>0</v>
      </c>
      <c r="J26" s="44" t="str">
        <f t="shared" si="4"/>
        <v>syn BTCX6/BTCF7/BTCU6</v>
      </c>
      <c r="K26" s="9">
        <f>'MKT DATA'!O84</f>
        <v>0</v>
      </c>
      <c r="L26" s="9">
        <f>'MKT DATA'!P84</f>
        <v>0</v>
      </c>
      <c r="M26" s="9">
        <f>'MKT DATA'!Q84</f>
        <v>0</v>
      </c>
      <c r="N26" s="9">
        <f>'MKT DATA'!R84</f>
        <v>0</v>
      </c>
      <c r="O26" s="9">
        <f>'MKT DATA'!S84</f>
        <v>0</v>
      </c>
      <c r="P26" s="9">
        <f>'MKT DATA'!T84</f>
        <v>0</v>
      </c>
      <c r="Q26" s="44" t="str">
        <f t="shared" si="5"/>
        <v>syn BTCX6/BTCF7/BTCU6</v>
      </c>
      <c r="R26" s="14">
        <f>'MKT DATA'!AB84</f>
        <v>0</v>
      </c>
    </row>
    <row r="27" spans="5:18" x14ac:dyDescent="0.25">
      <c r="E27" s="44" t="str">
        <f>'MKT DATA'!B85</f>
        <v>syn BTCX6/BTCG7/BTCU6</v>
      </c>
      <c r="F27" s="14">
        <f>'MKT DATA'!J85</f>
        <v>0</v>
      </c>
      <c r="G27" s="9">
        <f>'MKT DATA'!K85</f>
        <v>0</v>
      </c>
      <c r="H27" s="9">
        <f>'MKT DATA'!L85</f>
        <v>0</v>
      </c>
      <c r="I27" s="14">
        <f>'MKT DATA'!M85</f>
        <v>0</v>
      </c>
      <c r="J27" s="44" t="str">
        <f t="shared" si="4"/>
        <v>syn BTCX6/BTCG7/BTCU6</v>
      </c>
      <c r="K27" s="9">
        <f>'MKT DATA'!O85</f>
        <v>0</v>
      </c>
      <c r="L27" s="9">
        <f>'MKT DATA'!P85</f>
        <v>0</v>
      </c>
      <c r="M27" s="9">
        <f>'MKT DATA'!Q85</f>
        <v>0</v>
      </c>
      <c r="N27" s="9">
        <f>'MKT DATA'!R85</f>
        <v>0</v>
      </c>
      <c r="O27" s="9">
        <f>'MKT DATA'!S85</f>
        <v>0</v>
      </c>
      <c r="P27" s="9">
        <f>'MKT DATA'!T85</f>
        <v>0</v>
      </c>
      <c r="Q27" s="44" t="str">
        <f t="shared" si="5"/>
        <v>syn BTCX6/BTCG7/BTCU6</v>
      </c>
      <c r="R27" s="14">
        <f>'MKT DATA'!AB85</f>
        <v>0</v>
      </c>
    </row>
    <row r="28" spans="5:18" x14ac:dyDescent="0.25">
      <c r="E28" s="44" t="str">
        <f>'MKT DATA'!B86</f>
        <v>syn BTCZ6/BTCV6/BTCU6</v>
      </c>
      <c r="F28" s="14">
        <f>'MKT DATA'!J86</f>
        <v>0</v>
      </c>
      <c r="G28" s="9">
        <f>'MKT DATA'!K86</f>
        <v>0</v>
      </c>
      <c r="H28" s="9">
        <f>'MKT DATA'!L86</f>
        <v>0</v>
      </c>
      <c r="I28" s="14">
        <f>'MKT DATA'!M86</f>
        <v>0</v>
      </c>
      <c r="J28" s="44" t="str">
        <f t="shared" si="4"/>
        <v>syn BTCZ6/BTCV6/BTCU6</v>
      </c>
      <c r="K28" s="9">
        <f>'MKT DATA'!O86</f>
        <v>0</v>
      </c>
      <c r="L28" s="9">
        <f>'MKT DATA'!P86</f>
        <v>0</v>
      </c>
      <c r="M28" s="9">
        <f>'MKT DATA'!Q86</f>
        <v>0</v>
      </c>
      <c r="N28" s="9">
        <f>'MKT DATA'!R86</f>
        <v>0</v>
      </c>
      <c r="O28" s="9">
        <f>'MKT DATA'!S86</f>
        <v>0</v>
      </c>
      <c r="P28" s="9">
        <f>'MKT DATA'!T86</f>
        <v>0</v>
      </c>
      <c r="Q28" s="44" t="str">
        <f t="shared" si="5"/>
        <v>syn BTCZ6/BTCV6/BTCU6</v>
      </c>
      <c r="R28" s="14">
        <f>'MKT DATA'!AB86</f>
        <v>0</v>
      </c>
    </row>
    <row r="29" spans="5:18" x14ac:dyDescent="0.25">
      <c r="E29" s="44" t="str">
        <f>'MKT DATA'!B87</f>
        <v>syn BTCZ6/BTCX6/BTCU6</v>
      </c>
      <c r="F29" s="14">
        <f>'MKT DATA'!J87</f>
        <v>0</v>
      </c>
      <c r="G29" s="9">
        <f>'MKT DATA'!K87</f>
        <v>0</v>
      </c>
      <c r="H29" s="9">
        <f>'MKT DATA'!L87</f>
        <v>0</v>
      </c>
      <c r="I29" s="14">
        <f>'MKT DATA'!M87</f>
        <v>0</v>
      </c>
      <c r="J29" s="44" t="str">
        <f t="shared" si="4"/>
        <v>syn BTCZ6/BTCX6/BTCU6</v>
      </c>
      <c r="K29" s="9">
        <f>'MKT DATA'!O87</f>
        <v>0</v>
      </c>
      <c r="L29" s="9">
        <f>'MKT DATA'!P87</f>
        <v>0</v>
      </c>
      <c r="M29" s="9">
        <f>'MKT DATA'!Q87</f>
        <v>0</v>
      </c>
      <c r="N29" s="9">
        <f>'MKT DATA'!R87</f>
        <v>0</v>
      </c>
      <c r="O29" s="9">
        <f>'MKT DATA'!S87</f>
        <v>0</v>
      </c>
      <c r="P29" s="9">
        <f>'MKT DATA'!T87</f>
        <v>0</v>
      </c>
      <c r="Q29" s="44" t="str">
        <f t="shared" si="5"/>
        <v>syn BTCZ6/BTCX6/BTCU6</v>
      </c>
      <c r="R29" s="14">
        <f>'MKT DATA'!AB87</f>
        <v>0</v>
      </c>
    </row>
    <row r="30" spans="5:18" x14ac:dyDescent="0.25">
      <c r="E30" s="44" t="str">
        <f>'MKT DATA'!B88</f>
        <v>syn BTCZ6/BTCF7/BTCU6</v>
      </c>
      <c r="F30" s="14">
        <f>'MKT DATA'!J88</f>
        <v>0</v>
      </c>
      <c r="G30" s="9">
        <f>'MKT DATA'!K88</f>
        <v>0</v>
      </c>
      <c r="H30" s="9">
        <f>'MKT DATA'!L88</f>
        <v>0</v>
      </c>
      <c r="I30" s="14">
        <f>'MKT DATA'!M88</f>
        <v>0</v>
      </c>
      <c r="J30" s="44" t="str">
        <f t="shared" si="4"/>
        <v>syn BTCZ6/BTCF7/BTCU6</v>
      </c>
      <c r="K30" s="9">
        <f>'MKT DATA'!O88</f>
        <v>0</v>
      </c>
      <c r="L30" s="9">
        <f>'MKT DATA'!P88</f>
        <v>0</v>
      </c>
      <c r="M30" s="9">
        <f>'MKT DATA'!Q88</f>
        <v>0</v>
      </c>
      <c r="N30" s="9">
        <f>'MKT DATA'!R88</f>
        <v>0</v>
      </c>
      <c r="O30" s="9">
        <f>'MKT DATA'!S88</f>
        <v>0</v>
      </c>
      <c r="P30" s="9">
        <f>'MKT DATA'!T88</f>
        <v>0</v>
      </c>
      <c r="Q30" s="44" t="str">
        <f t="shared" si="5"/>
        <v>syn BTCZ6/BTCF7/BTCU6</v>
      </c>
      <c r="R30" s="14">
        <f>'MKT DATA'!AB88</f>
        <v>0</v>
      </c>
    </row>
    <row r="31" spans="5:18" x14ac:dyDescent="0.25">
      <c r="E31" s="44" t="str">
        <f>'MKT DATA'!B89</f>
        <v>syn BTCZ6/BTCG7/BTCU6</v>
      </c>
      <c r="F31" s="14">
        <f>'MKT DATA'!J89</f>
        <v>0</v>
      </c>
      <c r="G31" s="9">
        <f>'MKT DATA'!K89</f>
        <v>0</v>
      </c>
      <c r="H31" s="9">
        <f>'MKT DATA'!L89</f>
        <v>0</v>
      </c>
      <c r="I31" s="14">
        <f>'MKT DATA'!M89</f>
        <v>0</v>
      </c>
      <c r="J31" s="44" t="str">
        <f t="shared" si="4"/>
        <v>syn BTCZ6/BTCG7/BTCU6</v>
      </c>
      <c r="K31" s="9">
        <f>'MKT DATA'!O89</f>
        <v>0</v>
      </c>
      <c r="L31" s="9">
        <f>'MKT DATA'!P89</f>
        <v>0</v>
      </c>
      <c r="M31" s="9">
        <f>'MKT DATA'!Q89</f>
        <v>0</v>
      </c>
      <c r="N31" s="9">
        <f>'MKT DATA'!R89</f>
        <v>0</v>
      </c>
      <c r="O31" s="9">
        <f>'MKT DATA'!S89</f>
        <v>0</v>
      </c>
      <c r="P31" s="9">
        <f>'MKT DATA'!T89</f>
        <v>0</v>
      </c>
      <c r="Q31" s="44" t="str">
        <f t="shared" si="5"/>
        <v>syn BTCZ6/BTCG7/BTCU6</v>
      </c>
      <c r="R31" s="14">
        <f>'MKT DATA'!AB89</f>
        <v>0</v>
      </c>
    </row>
    <row r="32" spans="5:18" x14ac:dyDescent="0.25">
      <c r="E32" s="44" t="str">
        <f>'MKT DATA'!B90</f>
        <v>syn BTCF7/BTCV6/BTCU6</v>
      </c>
      <c r="F32" s="14">
        <f>'MKT DATA'!J90</f>
        <v>0</v>
      </c>
      <c r="G32" s="9">
        <f>'MKT DATA'!K90</f>
        <v>0</v>
      </c>
      <c r="H32" s="9">
        <f>'MKT DATA'!L90</f>
        <v>0</v>
      </c>
      <c r="I32" s="14">
        <f>'MKT DATA'!M90</f>
        <v>0</v>
      </c>
      <c r="J32" s="44" t="str">
        <f t="shared" si="4"/>
        <v>syn BTCF7/BTCV6/BTCU6</v>
      </c>
      <c r="K32" s="9">
        <f>'MKT DATA'!O90</f>
        <v>0</v>
      </c>
      <c r="L32" s="9">
        <f>'MKT DATA'!P90</f>
        <v>0</v>
      </c>
      <c r="M32" s="9">
        <f>'MKT DATA'!Q90</f>
        <v>0</v>
      </c>
      <c r="N32" s="9">
        <f>'MKT DATA'!R90</f>
        <v>0</v>
      </c>
      <c r="O32" s="9">
        <f>'MKT DATA'!S90</f>
        <v>0</v>
      </c>
      <c r="P32" s="9">
        <f>'MKT DATA'!T90</f>
        <v>0</v>
      </c>
      <c r="Q32" s="44" t="str">
        <f t="shared" si="5"/>
        <v>syn BTCF7/BTCV6/BTCU6</v>
      </c>
      <c r="R32" s="14">
        <f>'MKT DATA'!AB90</f>
        <v>0</v>
      </c>
    </row>
    <row r="33" spans="5:18" x14ac:dyDescent="0.25">
      <c r="E33" s="44" t="str">
        <f>'MKT DATA'!B91</f>
        <v>syn BTCF7/BTCX6/BTCU6</v>
      </c>
      <c r="F33" s="14">
        <f>'MKT DATA'!J91</f>
        <v>0</v>
      </c>
      <c r="G33" s="9">
        <f>'MKT DATA'!K91</f>
        <v>0</v>
      </c>
      <c r="H33" s="9">
        <f>'MKT DATA'!L91</f>
        <v>0</v>
      </c>
      <c r="I33" s="14">
        <f>'MKT DATA'!M91</f>
        <v>0</v>
      </c>
      <c r="J33" s="44" t="str">
        <f t="shared" si="4"/>
        <v>syn BTCF7/BTCX6/BTCU6</v>
      </c>
      <c r="K33" s="9">
        <f>'MKT DATA'!O91</f>
        <v>0</v>
      </c>
      <c r="L33" s="9">
        <f>'MKT DATA'!P91</f>
        <v>0</v>
      </c>
      <c r="M33" s="9">
        <f>'MKT DATA'!Q91</f>
        <v>0</v>
      </c>
      <c r="N33" s="9">
        <f>'MKT DATA'!R91</f>
        <v>0</v>
      </c>
      <c r="O33" s="9">
        <f>'MKT DATA'!S91</f>
        <v>0</v>
      </c>
      <c r="P33" s="9">
        <f>'MKT DATA'!T91</f>
        <v>0</v>
      </c>
      <c r="Q33" s="44" t="str">
        <f t="shared" si="5"/>
        <v>syn BTCF7/BTCX6/BTCU6</v>
      </c>
      <c r="R33" s="14">
        <f>'MKT DATA'!AB91</f>
        <v>0</v>
      </c>
    </row>
    <row r="34" spans="5:18" x14ac:dyDescent="0.25">
      <c r="E34" s="44" t="str">
        <f>'MKT DATA'!B92</f>
        <v>syn BTCF7/BTCZ6/BTCU6</v>
      </c>
      <c r="F34" s="14">
        <f>'MKT DATA'!J92</f>
        <v>0</v>
      </c>
      <c r="G34" s="9">
        <f>'MKT DATA'!K92</f>
        <v>0</v>
      </c>
      <c r="H34" s="9">
        <f>'MKT DATA'!L92</f>
        <v>0</v>
      </c>
      <c r="I34" s="14">
        <f>'MKT DATA'!M92</f>
        <v>0</v>
      </c>
      <c r="J34" s="44" t="str">
        <f t="shared" si="4"/>
        <v>syn BTCF7/BTCZ6/BTCU6</v>
      </c>
      <c r="K34" s="9">
        <f>'MKT DATA'!O92</f>
        <v>0</v>
      </c>
      <c r="L34" s="9">
        <f>'MKT DATA'!P92</f>
        <v>0</v>
      </c>
      <c r="M34" s="9">
        <f>'MKT DATA'!Q92</f>
        <v>0</v>
      </c>
      <c r="N34" s="9">
        <f>'MKT DATA'!R92</f>
        <v>0</v>
      </c>
      <c r="O34" s="9">
        <f>'MKT DATA'!S92</f>
        <v>0</v>
      </c>
      <c r="P34" s="9">
        <f>'MKT DATA'!T92</f>
        <v>0</v>
      </c>
      <c r="Q34" s="44" t="str">
        <f t="shared" si="5"/>
        <v>syn BTCF7/BTCZ6/BTCU6</v>
      </c>
      <c r="R34" s="14">
        <f>'MKT DATA'!AB92</f>
        <v>0</v>
      </c>
    </row>
    <row r="35" spans="5:18" x14ac:dyDescent="0.25">
      <c r="E35" s="44" t="str">
        <f>'MKT DATA'!B93</f>
        <v>syn BTCF7/BTCG7/BTCU6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BTCF7/BTCG7/BTCU6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BTCF7/BTCG7/BTCU6</v>
      </c>
      <c r="R35" s="14">
        <f>'MKT DATA'!AB93</f>
        <v>0</v>
      </c>
    </row>
    <row r="36" spans="5:18" x14ac:dyDescent="0.25">
      <c r="E36" s="44" t="str">
        <f>'MKT DATA'!B94</f>
        <v>syn BTCG7/BTCV6/BTCU6</v>
      </c>
      <c r="F36" s="14">
        <f>'MKT DATA'!J94</f>
        <v>0</v>
      </c>
      <c r="G36" s="9">
        <f>'MKT DATA'!K94</f>
        <v>0</v>
      </c>
      <c r="H36" s="9">
        <f>'MKT DATA'!L94</f>
        <v>0</v>
      </c>
      <c r="I36" s="14">
        <f>'MKT DATA'!M94</f>
        <v>0</v>
      </c>
      <c r="J36" s="44" t="str">
        <f t="shared" si="4"/>
        <v>syn BTCG7/BTCV6/BTCU6</v>
      </c>
      <c r="K36" s="9">
        <f>'MKT DATA'!O94</f>
        <v>0</v>
      </c>
      <c r="L36" s="9">
        <f>'MKT DATA'!P94</f>
        <v>0</v>
      </c>
      <c r="M36" s="9">
        <f>'MKT DATA'!Q94</f>
        <v>0</v>
      </c>
      <c r="N36" s="9">
        <f>'MKT DATA'!R94</f>
        <v>0</v>
      </c>
      <c r="O36" s="9">
        <f>'MKT DATA'!S94</f>
        <v>0</v>
      </c>
      <c r="P36" s="9">
        <f>'MKT DATA'!T94</f>
        <v>0</v>
      </c>
      <c r="Q36" s="44" t="str">
        <f t="shared" si="5"/>
        <v>syn BTCG7/BTCV6/BTCU6</v>
      </c>
      <c r="R36" s="14">
        <f>'MKT DATA'!AB94</f>
        <v>0</v>
      </c>
    </row>
    <row r="37" spans="5:18" x14ac:dyDescent="0.25">
      <c r="E37" s="44" t="str">
        <f>'MKT DATA'!B95</f>
        <v>syn BTCG7/BTCX6/BTCU6</v>
      </c>
      <c r="F37" s="14">
        <f>'MKT DATA'!J95</f>
        <v>0</v>
      </c>
      <c r="G37" s="9">
        <f>'MKT DATA'!K95</f>
        <v>0</v>
      </c>
      <c r="H37" s="9">
        <f>'MKT DATA'!L95</f>
        <v>0</v>
      </c>
      <c r="I37" s="14">
        <f>'MKT DATA'!M95</f>
        <v>0</v>
      </c>
      <c r="J37" s="44" t="str">
        <f t="shared" si="4"/>
        <v>syn BTCG7/BTCX6/BTCU6</v>
      </c>
      <c r="K37" s="9">
        <f>'MKT DATA'!O95</f>
        <v>0</v>
      </c>
      <c r="L37" s="9">
        <f>'MKT DATA'!P95</f>
        <v>0</v>
      </c>
      <c r="M37" s="9">
        <f>'MKT DATA'!Q95</f>
        <v>0</v>
      </c>
      <c r="N37" s="9">
        <f>'MKT DATA'!R95</f>
        <v>0</v>
      </c>
      <c r="O37" s="9">
        <f>'MKT DATA'!S95</f>
        <v>0</v>
      </c>
      <c r="P37" s="9">
        <f>'MKT DATA'!T95</f>
        <v>0</v>
      </c>
      <c r="Q37" s="44" t="str">
        <f t="shared" si="5"/>
        <v>syn BTCG7/BTCX6/BTCU6</v>
      </c>
      <c r="R37" s="14">
        <f>'MKT DATA'!AB95</f>
        <v>0</v>
      </c>
    </row>
    <row r="38" spans="5:18" x14ac:dyDescent="0.25">
      <c r="E38" s="44" t="str">
        <f>'MKT DATA'!B96</f>
        <v>syn BTCG7/BTCZ6/BTCU6</v>
      </c>
      <c r="F38" s="14">
        <f>'MKT DATA'!J96</f>
        <v>0</v>
      </c>
      <c r="G38" s="9">
        <f>'MKT DATA'!K96</f>
        <v>0</v>
      </c>
      <c r="H38" s="9">
        <f>'MKT DATA'!L96</f>
        <v>0</v>
      </c>
      <c r="I38" s="14">
        <f>'MKT DATA'!M96</f>
        <v>0</v>
      </c>
      <c r="J38" s="44" t="str">
        <f t="shared" si="4"/>
        <v>syn BTCG7/BTCZ6/BTCU6</v>
      </c>
      <c r="K38" s="9">
        <f>'MKT DATA'!O96</f>
        <v>0</v>
      </c>
      <c r="L38" s="9">
        <f>'MKT DATA'!P96</f>
        <v>0</v>
      </c>
      <c r="M38" s="9">
        <f>'MKT DATA'!Q96</f>
        <v>0</v>
      </c>
      <c r="N38" s="9">
        <f>'MKT DATA'!R96</f>
        <v>0</v>
      </c>
      <c r="O38" s="9">
        <f>'MKT DATA'!S96</f>
        <v>0</v>
      </c>
      <c r="P38" s="9">
        <f>'MKT DATA'!T96</f>
        <v>0</v>
      </c>
      <c r="Q38" s="44" t="str">
        <f t="shared" si="5"/>
        <v>syn BTCG7/BTCZ6/BTCU6</v>
      </c>
      <c r="R38" s="14">
        <f>'MKT DATA'!AB96</f>
        <v>0</v>
      </c>
    </row>
    <row r="39" spans="5:18" x14ac:dyDescent="0.25">
      <c r="E39" s="44" t="str">
        <f>'MKT DATA'!B97</f>
        <v>syn BTCG7/BTCF7/BTCU6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BTCG7/BTCF7/BTCU6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BTCG7/BTCF7/BTCU6</v>
      </c>
      <c r="R39" s="14">
        <f>'MKT DATA'!AB97</f>
        <v>0</v>
      </c>
    </row>
    <row r="40" spans="5:18" x14ac:dyDescent="0.25">
      <c r="E40" s="44" t="str">
        <f>'MKT DATA'!B98</f>
        <v>syn BTCV6/BTCX6/BTCZ6/BTCU6</v>
      </c>
      <c r="F40" s="14">
        <f>'MKT DATA'!J98</f>
        <v>0</v>
      </c>
      <c r="G40" s="9">
        <f>'MKT DATA'!K98</f>
        <v>0</v>
      </c>
      <c r="H40" s="9">
        <f>'MKT DATA'!L98</f>
        <v>0</v>
      </c>
      <c r="I40" s="14">
        <f>'MKT DATA'!M98</f>
        <v>0</v>
      </c>
      <c r="J40" s="44" t="str">
        <f t="shared" si="4"/>
        <v>syn BTCV6/BTCX6/BTCZ6/BTCU6</v>
      </c>
      <c r="K40" s="9">
        <f>'MKT DATA'!O98</f>
        <v>0</v>
      </c>
      <c r="L40" s="9">
        <f>'MKT DATA'!P98</f>
        <v>0</v>
      </c>
      <c r="M40" s="9">
        <f>'MKT DATA'!Q98</f>
        <v>0</v>
      </c>
      <c r="N40" s="9">
        <f>'MKT DATA'!R98</f>
        <v>0</v>
      </c>
      <c r="O40" s="9">
        <f>'MKT DATA'!S98</f>
        <v>0</v>
      </c>
      <c r="P40" s="9">
        <f>'MKT DATA'!T98</f>
        <v>0</v>
      </c>
      <c r="Q40" s="44" t="str">
        <f t="shared" si="5"/>
        <v>syn BTCV6/BTCX6/BTCZ6/BTCU6</v>
      </c>
      <c r="R40" s="14">
        <f>'MKT DATA'!AB98</f>
        <v>0</v>
      </c>
    </row>
    <row r="41" spans="5:18" x14ac:dyDescent="0.25">
      <c r="E41" s="44" t="str">
        <f>'MKT DATA'!B99</f>
        <v>syn BTCV6/BTCX6/BTCF7/BTCU6</v>
      </c>
      <c r="F41" s="14">
        <f>'MKT DATA'!J99</f>
        <v>0</v>
      </c>
      <c r="G41" s="9">
        <f>'MKT DATA'!K99</f>
        <v>0</v>
      </c>
      <c r="H41" s="9">
        <f>'MKT DATA'!L99</f>
        <v>0</v>
      </c>
      <c r="I41" s="14">
        <f>'MKT DATA'!M99</f>
        <v>0</v>
      </c>
      <c r="J41" s="44" t="str">
        <f t="shared" si="4"/>
        <v>syn BTCV6/BTCX6/BTCF7/BTCU6</v>
      </c>
      <c r="K41" s="9">
        <f>'MKT DATA'!O99</f>
        <v>0</v>
      </c>
      <c r="L41" s="9">
        <f>'MKT DATA'!P99</f>
        <v>0</v>
      </c>
      <c r="M41" s="9">
        <f>'MKT DATA'!Q99</f>
        <v>0</v>
      </c>
      <c r="N41" s="9">
        <f>'MKT DATA'!R99</f>
        <v>0</v>
      </c>
      <c r="O41" s="9">
        <f>'MKT DATA'!S99</f>
        <v>0</v>
      </c>
      <c r="P41" s="9">
        <f>'MKT DATA'!T99</f>
        <v>0</v>
      </c>
      <c r="Q41" s="44" t="str">
        <f t="shared" si="5"/>
        <v>syn BTCV6/BTCX6/BTCF7/BTCU6</v>
      </c>
      <c r="R41" s="14">
        <f>'MKT DATA'!AB99</f>
        <v>0</v>
      </c>
    </row>
    <row r="42" spans="5:18" x14ac:dyDescent="0.25">
      <c r="E42" s="44" t="str">
        <f>'MKT DATA'!B100</f>
        <v>syn BTCV6/BTCX6/BTCG7/BTCU6</v>
      </c>
      <c r="F42" s="14">
        <f>'MKT DATA'!J100</f>
        <v>0</v>
      </c>
      <c r="G42" s="9">
        <f>'MKT DATA'!K100</f>
        <v>0</v>
      </c>
      <c r="H42" s="9">
        <f>'MKT DATA'!L100</f>
        <v>0</v>
      </c>
      <c r="I42" s="14">
        <f>'MKT DATA'!M100</f>
        <v>0</v>
      </c>
      <c r="J42" s="44" t="str">
        <f t="shared" si="4"/>
        <v>syn BTCV6/BTCX6/BTCG7/BTCU6</v>
      </c>
      <c r="K42" s="9">
        <f>'MKT DATA'!O100</f>
        <v>0</v>
      </c>
      <c r="L42" s="9">
        <f>'MKT DATA'!P100</f>
        <v>0</v>
      </c>
      <c r="M42" s="9">
        <f>'MKT DATA'!Q100</f>
        <v>0</v>
      </c>
      <c r="N42" s="9">
        <f>'MKT DATA'!R100</f>
        <v>0</v>
      </c>
      <c r="O42" s="9">
        <f>'MKT DATA'!S100</f>
        <v>0</v>
      </c>
      <c r="P42" s="9">
        <f>'MKT DATA'!T100</f>
        <v>0</v>
      </c>
      <c r="Q42" s="44" t="str">
        <f t="shared" si="5"/>
        <v>syn BTCV6/BTCX6/BTCG7/BTCU6</v>
      </c>
      <c r="R42" s="14">
        <f>'MKT DATA'!AB100</f>
        <v>0</v>
      </c>
    </row>
    <row r="43" spans="5:18" x14ac:dyDescent="0.25">
      <c r="E43" s="44" t="str">
        <f>'MKT DATA'!B101</f>
        <v>syn BTCV6/BTCZ6/BTCX6/BTCU6</v>
      </c>
      <c r="F43" s="14">
        <f>'MKT DATA'!J101</f>
        <v>0</v>
      </c>
      <c r="G43" s="9">
        <f>'MKT DATA'!K101</f>
        <v>0</v>
      </c>
      <c r="H43" s="9">
        <f>'MKT DATA'!L101</f>
        <v>0</v>
      </c>
      <c r="I43" s="14">
        <f>'MKT DATA'!M101</f>
        <v>0</v>
      </c>
      <c r="J43" s="44" t="str">
        <f t="shared" si="4"/>
        <v>syn BTCV6/BTCZ6/BTCX6/BTCU6</v>
      </c>
      <c r="K43" s="9">
        <f>'MKT DATA'!O101</f>
        <v>0</v>
      </c>
      <c r="L43" s="9">
        <f>'MKT DATA'!P101</f>
        <v>0</v>
      </c>
      <c r="M43" s="9">
        <f>'MKT DATA'!Q101</f>
        <v>0</v>
      </c>
      <c r="N43" s="9">
        <f>'MKT DATA'!R101</f>
        <v>0</v>
      </c>
      <c r="O43" s="9">
        <f>'MKT DATA'!S101</f>
        <v>0</v>
      </c>
      <c r="P43" s="9">
        <f>'MKT DATA'!T101</f>
        <v>0</v>
      </c>
      <c r="Q43" s="44" t="str">
        <f t="shared" si="5"/>
        <v>syn BTCV6/BTCZ6/BTCX6/BTCU6</v>
      </c>
      <c r="R43" s="14">
        <f>'MKT DATA'!AB101</f>
        <v>0</v>
      </c>
    </row>
    <row r="44" spans="5:18" x14ac:dyDescent="0.25">
      <c r="E44" s="44" t="str">
        <f>'MKT DATA'!B102</f>
        <v>syn BTCV6/BTCZ6/BTCF7/BTCU6</v>
      </c>
      <c r="F44" s="14">
        <f>'MKT DATA'!J102</f>
        <v>0</v>
      </c>
      <c r="G44" s="9">
        <f>'MKT DATA'!K102</f>
        <v>0</v>
      </c>
      <c r="H44" s="9">
        <f>'MKT DATA'!L102</f>
        <v>0</v>
      </c>
      <c r="I44" s="14">
        <f>'MKT DATA'!M102</f>
        <v>0</v>
      </c>
      <c r="J44" s="44" t="str">
        <f t="shared" si="4"/>
        <v>syn BTCV6/BTCZ6/BTCF7/BTCU6</v>
      </c>
      <c r="K44" s="9">
        <f>'MKT DATA'!O102</f>
        <v>0</v>
      </c>
      <c r="L44" s="9">
        <f>'MKT DATA'!P102</f>
        <v>0</v>
      </c>
      <c r="M44" s="9">
        <f>'MKT DATA'!Q102</f>
        <v>0</v>
      </c>
      <c r="N44" s="9">
        <f>'MKT DATA'!R102</f>
        <v>0</v>
      </c>
      <c r="O44" s="9">
        <f>'MKT DATA'!S102</f>
        <v>0</v>
      </c>
      <c r="P44" s="9">
        <f>'MKT DATA'!T102</f>
        <v>0</v>
      </c>
      <c r="Q44" s="44" t="str">
        <f t="shared" si="5"/>
        <v>syn BTCV6/BTCZ6/BTCF7/BTCU6</v>
      </c>
      <c r="R44" s="14">
        <f>'MKT DATA'!AB102</f>
        <v>0</v>
      </c>
    </row>
    <row r="45" spans="5:18" x14ac:dyDescent="0.25">
      <c r="E45" s="44" t="str">
        <f>'MKT DATA'!B103</f>
        <v>syn BTCV6/BTCZ6/BTCG7/BTCU6</v>
      </c>
      <c r="F45" s="14">
        <f>'MKT DATA'!J103</f>
        <v>0</v>
      </c>
      <c r="G45" s="9">
        <f>'MKT DATA'!K103</f>
        <v>0</v>
      </c>
      <c r="H45" s="9">
        <f>'MKT DATA'!L103</f>
        <v>0</v>
      </c>
      <c r="I45" s="14">
        <f>'MKT DATA'!M103</f>
        <v>0</v>
      </c>
      <c r="J45" s="44" t="str">
        <f t="shared" si="4"/>
        <v>syn BTCV6/BTCZ6/BTCG7/BTCU6</v>
      </c>
      <c r="K45" s="9">
        <f>'MKT DATA'!O103</f>
        <v>0</v>
      </c>
      <c r="L45" s="9">
        <f>'MKT DATA'!P103</f>
        <v>0</v>
      </c>
      <c r="M45" s="9">
        <f>'MKT DATA'!Q103</f>
        <v>0</v>
      </c>
      <c r="N45" s="9">
        <f>'MKT DATA'!R103</f>
        <v>0</v>
      </c>
      <c r="O45" s="9">
        <f>'MKT DATA'!S103</f>
        <v>0</v>
      </c>
      <c r="P45" s="9">
        <f>'MKT DATA'!T103</f>
        <v>0</v>
      </c>
      <c r="Q45" s="44" t="str">
        <f t="shared" si="5"/>
        <v>syn BTCV6/BTCZ6/BTCG7/BTCU6</v>
      </c>
      <c r="R45" s="14">
        <f>'MKT DATA'!AB103</f>
        <v>0</v>
      </c>
    </row>
    <row r="46" spans="5:18" x14ac:dyDescent="0.25">
      <c r="E46" s="44" t="str">
        <f>'MKT DATA'!B104</f>
        <v>syn BTCV6/BTCF7/BTCX6/BTCU6</v>
      </c>
      <c r="F46" s="14">
        <f>'MKT DATA'!J104</f>
        <v>0</v>
      </c>
      <c r="G46" s="9">
        <f>'MKT DATA'!K104</f>
        <v>0</v>
      </c>
      <c r="H46" s="9">
        <f>'MKT DATA'!L104</f>
        <v>0</v>
      </c>
      <c r="I46" s="14">
        <f>'MKT DATA'!M104</f>
        <v>0</v>
      </c>
      <c r="J46" s="44" t="str">
        <f t="shared" si="4"/>
        <v>syn BTCV6/BTCF7/BTCX6/BTCU6</v>
      </c>
      <c r="K46" s="9">
        <f>'MKT DATA'!O104</f>
        <v>0</v>
      </c>
      <c r="L46" s="9">
        <f>'MKT DATA'!P104</f>
        <v>0</v>
      </c>
      <c r="M46" s="9">
        <f>'MKT DATA'!Q104</f>
        <v>0</v>
      </c>
      <c r="N46" s="9">
        <f>'MKT DATA'!R104</f>
        <v>0</v>
      </c>
      <c r="O46" s="9">
        <f>'MKT DATA'!S104</f>
        <v>0</v>
      </c>
      <c r="P46" s="9">
        <f>'MKT DATA'!T104</f>
        <v>0</v>
      </c>
      <c r="Q46" s="44" t="str">
        <f t="shared" si="5"/>
        <v>syn BTCV6/BTCF7/BTCX6/BTCU6</v>
      </c>
      <c r="R46" s="14">
        <f>'MKT DATA'!AB104</f>
        <v>0</v>
      </c>
    </row>
    <row r="47" spans="5:18" x14ac:dyDescent="0.25">
      <c r="E47" s="44" t="str">
        <f>'MKT DATA'!B105</f>
        <v>syn BTCV6/BTCF7/BTCZ6/BTCU6</v>
      </c>
      <c r="F47" s="14">
        <f>'MKT DATA'!J105</f>
        <v>0</v>
      </c>
      <c r="G47" s="9">
        <f>'MKT DATA'!K105</f>
        <v>0</v>
      </c>
      <c r="H47" s="9">
        <f>'MKT DATA'!L105</f>
        <v>0</v>
      </c>
      <c r="I47" s="14">
        <f>'MKT DATA'!M105</f>
        <v>0</v>
      </c>
      <c r="J47" s="44" t="str">
        <f t="shared" si="4"/>
        <v>syn BTCV6/BTCF7/BTCZ6/BTCU6</v>
      </c>
      <c r="K47" s="9">
        <f>'MKT DATA'!O105</f>
        <v>0</v>
      </c>
      <c r="L47" s="9">
        <f>'MKT DATA'!P105</f>
        <v>0</v>
      </c>
      <c r="M47" s="9">
        <f>'MKT DATA'!Q105</f>
        <v>0</v>
      </c>
      <c r="N47" s="9">
        <f>'MKT DATA'!R105</f>
        <v>0</v>
      </c>
      <c r="O47" s="9">
        <f>'MKT DATA'!S105</f>
        <v>0</v>
      </c>
      <c r="P47" s="9">
        <f>'MKT DATA'!T105</f>
        <v>0</v>
      </c>
      <c r="Q47" s="44" t="str">
        <f t="shared" si="5"/>
        <v>syn BTCV6/BTCF7/BTCZ6/BTCU6</v>
      </c>
      <c r="R47" s="14">
        <f>'MKT DATA'!AB105</f>
        <v>0</v>
      </c>
    </row>
    <row r="48" spans="5:18" x14ac:dyDescent="0.25">
      <c r="E48" s="44" t="str">
        <f>'MKT DATA'!B106</f>
        <v>syn BTCV6/BTCF7/BTCG7/BTCU6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BTCV6/BTCF7/BTCG7/BTCU6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BTCV6/BTCF7/BTCG7/BTCU6</v>
      </c>
      <c r="R48" s="14">
        <f>'MKT DATA'!AB106</f>
        <v>0</v>
      </c>
    </row>
    <row r="49" spans="5:18" x14ac:dyDescent="0.25">
      <c r="E49" s="44" t="str">
        <f>'MKT DATA'!B107</f>
        <v>syn BTCV6/BTCG7/BTCX6/BTCU6</v>
      </c>
      <c r="F49" s="14">
        <f>'MKT DATA'!J107</f>
        <v>0</v>
      </c>
      <c r="G49" s="9">
        <f>'MKT DATA'!K107</f>
        <v>0</v>
      </c>
      <c r="H49" s="9">
        <f>'MKT DATA'!L107</f>
        <v>0</v>
      </c>
      <c r="I49" s="14">
        <f>'MKT DATA'!M107</f>
        <v>0</v>
      </c>
      <c r="J49" s="44" t="str">
        <f t="shared" si="4"/>
        <v>syn BTCV6/BTCG7/BTCX6/BTCU6</v>
      </c>
      <c r="K49" s="9">
        <f>'MKT DATA'!O107</f>
        <v>0</v>
      </c>
      <c r="L49" s="9">
        <f>'MKT DATA'!P107</f>
        <v>0</v>
      </c>
      <c r="M49" s="9">
        <f>'MKT DATA'!Q107</f>
        <v>0</v>
      </c>
      <c r="N49" s="9">
        <f>'MKT DATA'!R107</f>
        <v>0</v>
      </c>
      <c r="O49" s="9">
        <f>'MKT DATA'!S107</f>
        <v>0</v>
      </c>
      <c r="P49" s="9">
        <f>'MKT DATA'!T107</f>
        <v>0</v>
      </c>
      <c r="Q49" s="44" t="str">
        <f t="shared" si="5"/>
        <v>syn BTCV6/BTCG7/BTCX6/BTCU6</v>
      </c>
      <c r="R49" s="14">
        <f>'MKT DATA'!AB107</f>
        <v>0</v>
      </c>
    </row>
    <row r="50" spans="5:18" x14ac:dyDescent="0.25">
      <c r="E50" s="44" t="str">
        <f>'MKT DATA'!B108</f>
        <v>syn BTCV6/BTCG7/BTCZ6/BTCU6</v>
      </c>
      <c r="F50" s="14">
        <f>'MKT DATA'!J108</f>
        <v>0</v>
      </c>
      <c r="G50" s="9">
        <f>'MKT DATA'!K108</f>
        <v>0</v>
      </c>
      <c r="H50" s="9">
        <f>'MKT DATA'!L108</f>
        <v>0</v>
      </c>
      <c r="I50" s="14">
        <f>'MKT DATA'!M108</f>
        <v>0</v>
      </c>
      <c r="J50" s="44" t="str">
        <f t="shared" si="4"/>
        <v>syn BTCV6/BTCG7/BTCZ6/BTCU6</v>
      </c>
      <c r="K50" s="9">
        <f>'MKT DATA'!O108</f>
        <v>0</v>
      </c>
      <c r="L50" s="9">
        <f>'MKT DATA'!P108</f>
        <v>0</v>
      </c>
      <c r="M50" s="9">
        <f>'MKT DATA'!Q108</f>
        <v>0</v>
      </c>
      <c r="N50" s="9">
        <f>'MKT DATA'!R108</f>
        <v>0</v>
      </c>
      <c r="O50" s="9">
        <f>'MKT DATA'!S108</f>
        <v>0</v>
      </c>
      <c r="P50" s="9">
        <f>'MKT DATA'!T108</f>
        <v>0</v>
      </c>
      <c r="Q50" s="44" t="str">
        <f t="shared" si="5"/>
        <v>syn BTCV6/BTCG7/BTCZ6/BTCU6</v>
      </c>
      <c r="R50" s="14">
        <f>'MKT DATA'!AB108</f>
        <v>0</v>
      </c>
    </row>
    <row r="51" spans="5:18" x14ac:dyDescent="0.25">
      <c r="E51" s="44" t="str">
        <f>'MKT DATA'!B109</f>
        <v>syn BTCV6/BTCG7/BTCF7/BTCU6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BTCV6/BTCG7/BTCF7/BTCU6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BTCV6/BTCG7/BTCF7/BTCU6</v>
      </c>
      <c r="R51" s="14">
        <f>'MKT DATA'!AB109</f>
        <v>0</v>
      </c>
    </row>
    <row r="52" spans="5:18" x14ac:dyDescent="0.25">
      <c r="E52" s="44" t="str">
        <f>'MKT DATA'!B110</f>
        <v>syn BTCX6/BTCV6/BTCZ6/BTCU6</v>
      </c>
      <c r="F52" s="14">
        <f>'MKT DATA'!J110</f>
        <v>0</v>
      </c>
      <c r="G52" s="9">
        <f>'MKT DATA'!K110</f>
        <v>0</v>
      </c>
      <c r="H52" s="9">
        <f>'MKT DATA'!L110</f>
        <v>0</v>
      </c>
      <c r="I52" s="14">
        <f>'MKT DATA'!M110</f>
        <v>0</v>
      </c>
      <c r="J52" s="44" t="str">
        <f t="shared" si="4"/>
        <v>syn BTCX6/BTCV6/BTCZ6/BTCU6</v>
      </c>
      <c r="K52" s="9">
        <f>'MKT DATA'!O110</f>
        <v>0</v>
      </c>
      <c r="L52" s="9">
        <f>'MKT DATA'!P110</f>
        <v>0</v>
      </c>
      <c r="M52" s="9">
        <f>'MKT DATA'!Q110</f>
        <v>0</v>
      </c>
      <c r="N52" s="9">
        <f>'MKT DATA'!R110</f>
        <v>0</v>
      </c>
      <c r="O52" s="9">
        <f>'MKT DATA'!S110</f>
        <v>0</v>
      </c>
      <c r="P52" s="9">
        <f>'MKT DATA'!T110</f>
        <v>0</v>
      </c>
      <c r="Q52" s="44" t="str">
        <f t="shared" si="5"/>
        <v>syn BTCX6/BTCV6/BTCZ6/BTCU6</v>
      </c>
      <c r="R52" s="14">
        <f>'MKT DATA'!AB110</f>
        <v>0</v>
      </c>
    </row>
    <row r="53" spans="5:18" x14ac:dyDescent="0.25">
      <c r="E53" s="44" t="str">
        <f>'MKT DATA'!B111</f>
        <v>syn BTCX6/BTCV6/BTCF7/BTCU6</v>
      </c>
      <c r="F53" s="14">
        <f>'MKT DATA'!J111</f>
        <v>0</v>
      </c>
      <c r="G53" s="9">
        <f>'MKT DATA'!K111</f>
        <v>0</v>
      </c>
      <c r="H53" s="9">
        <f>'MKT DATA'!L111</f>
        <v>0</v>
      </c>
      <c r="I53" s="14">
        <f>'MKT DATA'!M111</f>
        <v>0</v>
      </c>
      <c r="J53" s="44" t="str">
        <f t="shared" si="4"/>
        <v>syn BTCX6/BTCV6/BTCF7/BTCU6</v>
      </c>
      <c r="K53" s="9">
        <f>'MKT DATA'!O111</f>
        <v>0</v>
      </c>
      <c r="L53" s="9">
        <f>'MKT DATA'!P111</f>
        <v>0</v>
      </c>
      <c r="M53" s="9">
        <f>'MKT DATA'!Q111</f>
        <v>0</v>
      </c>
      <c r="N53" s="9">
        <f>'MKT DATA'!R111</f>
        <v>0</v>
      </c>
      <c r="O53" s="9">
        <f>'MKT DATA'!S111</f>
        <v>0</v>
      </c>
      <c r="P53" s="9">
        <f>'MKT DATA'!T111</f>
        <v>0</v>
      </c>
      <c r="Q53" s="44" t="str">
        <f t="shared" si="5"/>
        <v>syn BTCX6/BTCV6/BTCF7/BTCU6</v>
      </c>
      <c r="R53" s="14">
        <f>'MKT DATA'!AB111</f>
        <v>0</v>
      </c>
    </row>
    <row r="54" spans="5:18" x14ac:dyDescent="0.25">
      <c r="E54" s="44" t="str">
        <f>'MKT DATA'!B112</f>
        <v>syn BTCX6/BTCV6/BTCG7/BTCU6</v>
      </c>
      <c r="F54" s="14">
        <f>'MKT DATA'!J112</f>
        <v>0</v>
      </c>
      <c r="G54" s="9">
        <f>'MKT DATA'!K112</f>
        <v>0</v>
      </c>
      <c r="H54" s="9">
        <f>'MKT DATA'!L112</f>
        <v>0</v>
      </c>
      <c r="I54" s="14">
        <f>'MKT DATA'!M112</f>
        <v>0</v>
      </c>
      <c r="J54" s="44" t="str">
        <f t="shared" si="4"/>
        <v>syn BTCX6/BTCV6/BTCG7/BTCU6</v>
      </c>
      <c r="K54" s="9">
        <f>'MKT DATA'!O112</f>
        <v>0</v>
      </c>
      <c r="L54" s="9">
        <f>'MKT DATA'!P112</f>
        <v>0</v>
      </c>
      <c r="M54" s="9">
        <f>'MKT DATA'!Q112</f>
        <v>0</v>
      </c>
      <c r="N54" s="9">
        <f>'MKT DATA'!R112</f>
        <v>0</v>
      </c>
      <c r="O54" s="9">
        <f>'MKT DATA'!S112</f>
        <v>0</v>
      </c>
      <c r="P54" s="9">
        <f>'MKT DATA'!T112</f>
        <v>0</v>
      </c>
      <c r="Q54" s="44" t="str">
        <f t="shared" si="5"/>
        <v>syn BTCX6/BTCV6/BTCG7/BTCU6</v>
      </c>
      <c r="R54" s="14">
        <f>'MKT DATA'!AB112</f>
        <v>0</v>
      </c>
    </row>
    <row r="55" spans="5:18" x14ac:dyDescent="0.25">
      <c r="E55" s="44" t="str">
        <f>'MKT DATA'!B113</f>
        <v>syn BTCX6/BTCZ6/BTCV6/BTCU6</v>
      </c>
      <c r="F55" s="14">
        <f>'MKT DATA'!J113</f>
        <v>0</v>
      </c>
      <c r="G55" s="9">
        <f>'MKT DATA'!K113</f>
        <v>0</v>
      </c>
      <c r="H55" s="9">
        <f>'MKT DATA'!L113</f>
        <v>0</v>
      </c>
      <c r="I55" s="14">
        <f>'MKT DATA'!M113</f>
        <v>0</v>
      </c>
      <c r="J55" s="44" t="str">
        <f t="shared" si="4"/>
        <v>syn BTCX6/BTCZ6/BTCV6/BTCU6</v>
      </c>
      <c r="K55" s="9">
        <f>'MKT DATA'!O113</f>
        <v>0</v>
      </c>
      <c r="L55" s="9">
        <f>'MKT DATA'!P113</f>
        <v>0</v>
      </c>
      <c r="M55" s="9">
        <f>'MKT DATA'!Q113</f>
        <v>0</v>
      </c>
      <c r="N55" s="9">
        <f>'MKT DATA'!R113</f>
        <v>0</v>
      </c>
      <c r="O55" s="9">
        <f>'MKT DATA'!S113</f>
        <v>0</v>
      </c>
      <c r="P55" s="9">
        <f>'MKT DATA'!T113</f>
        <v>0</v>
      </c>
      <c r="Q55" s="44" t="str">
        <f t="shared" si="5"/>
        <v>syn BTCX6/BTCZ6/BTCV6/BTCU6</v>
      </c>
      <c r="R55" s="14">
        <f>'MKT DATA'!AB113</f>
        <v>0</v>
      </c>
    </row>
    <row r="56" spans="5:18" x14ac:dyDescent="0.25">
      <c r="E56" s="44" t="str">
        <f>'MKT DATA'!B114</f>
        <v>syn BTCX6/BTCZ6/BTCF7/BTCU6</v>
      </c>
      <c r="F56" s="14">
        <f>'MKT DATA'!J114</f>
        <v>0</v>
      </c>
      <c r="G56" s="9">
        <f>'MKT DATA'!K114</f>
        <v>0</v>
      </c>
      <c r="H56" s="9">
        <f>'MKT DATA'!L114</f>
        <v>0</v>
      </c>
      <c r="I56" s="14">
        <f>'MKT DATA'!M114</f>
        <v>0</v>
      </c>
      <c r="J56" s="44" t="str">
        <f t="shared" si="4"/>
        <v>syn BTCX6/BTCZ6/BTCF7/BTCU6</v>
      </c>
      <c r="K56" s="9">
        <f>'MKT DATA'!O114</f>
        <v>0</v>
      </c>
      <c r="L56" s="9">
        <f>'MKT DATA'!P114</f>
        <v>0</v>
      </c>
      <c r="M56" s="9">
        <f>'MKT DATA'!Q114</f>
        <v>0</v>
      </c>
      <c r="N56" s="9">
        <f>'MKT DATA'!R114</f>
        <v>0</v>
      </c>
      <c r="O56" s="9">
        <f>'MKT DATA'!S114</f>
        <v>0</v>
      </c>
      <c r="P56" s="9">
        <f>'MKT DATA'!T114</f>
        <v>0</v>
      </c>
      <c r="Q56" s="44" t="str">
        <f t="shared" si="5"/>
        <v>syn BTCX6/BTCZ6/BTCF7/BTCU6</v>
      </c>
      <c r="R56" s="14">
        <f>'MKT DATA'!AB114</f>
        <v>0</v>
      </c>
    </row>
    <row r="57" spans="5:18" x14ac:dyDescent="0.25">
      <c r="E57" s="44" t="str">
        <f>'MKT DATA'!B115</f>
        <v>syn BTCX6/BTCZ6/BTCG7/BTCU6</v>
      </c>
      <c r="F57" s="14">
        <f>'MKT DATA'!J115</f>
        <v>0</v>
      </c>
      <c r="G57" s="9">
        <f>'MKT DATA'!K115</f>
        <v>0</v>
      </c>
      <c r="H57" s="9">
        <f>'MKT DATA'!L115</f>
        <v>0</v>
      </c>
      <c r="I57" s="14">
        <f>'MKT DATA'!M115</f>
        <v>0</v>
      </c>
      <c r="J57" s="44" t="str">
        <f t="shared" si="4"/>
        <v>syn BTCX6/BTCZ6/BTCG7/BTCU6</v>
      </c>
      <c r="K57" s="9">
        <f>'MKT DATA'!O115</f>
        <v>0</v>
      </c>
      <c r="L57" s="9">
        <f>'MKT DATA'!P115</f>
        <v>0</v>
      </c>
      <c r="M57" s="9">
        <f>'MKT DATA'!Q115</f>
        <v>0</v>
      </c>
      <c r="N57" s="9">
        <f>'MKT DATA'!R115</f>
        <v>0</v>
      </c>
      <c r="O57" s="9">
        <f>'MKT DATA'!S115</f>
        <v>0</v>
      </c>
      <c r="P57" s="9">
        <f>'MKT DATA'!T115</f>
        <v>0</v>
      </c>
      <c r="Q57" s="44" t="str">
        <f t="shared" si="5"/>
        <v>syn BTCX6/BTCZ6/BTCG7/BTCU6</v>
      </c>
      <c r="R57" s="14">
        <f>'MKT DATA'!AB115</f>
        <v>0</v>
      </c>
    </row>
    <row r="58" spans="5:18" x14ac:dyDescent="0.25">
      <c r="E58" s="44" t="str">
        <f>'MKT DATA'!B116</f>
        <v>syn BTCX6/BTCF7/BTCV6/BTCU6</v>
      </c>
      <c r="F58" s="14">
        <f>'MKT DATA'!J116</f>
        <v>0</v>
      </c>
      <c r="G58" s="9">
        <f>'MKT DATA'!K116</f>
        <v>0</v>
      </c>
      <c r="H58" s="9">
        <f>'MKT DATA'!L116</f>
        <v>0</v>
      </c>
      <c r="I58" s="14">
        <f>'MKT DATA'!M116</f>
        <v>0</v>
      </c>
      <c r="J58" s="44" t="str">
        <f t="shared" si="4"/>
        <v>syn BTCX6/BTCF7/BTCV6/BTCU6</v>
      </c>
      <c r="K58" s="9">
        <f>'MKT DATA'!O116</f>
        <v>0</v>
      </c>
      <c r="L58" s="9">
        <f>'MKT DATA'!P116</f>
        <v>0</v>
      </c>
      <c r="M58" s="9">
        <f>'MKT DATA'!Q116</f>
        <v>0</v>
      </c>
      <c r="N58" s="9">
        <f>'MKT DATA'!R116</f>
        <v>0</v>
      </c>
      <c r="O58" s="9">
        <f>'MKT DATA'!S116</f>
        <v>0</v>
      </c>
      <c r="P58" s="9">
        <f>'MKT DATA'!T116</f>
        <v>0</v>
      </c>
      <c r="Q58" s="44" t="str">
        <f t="shared" si="5"/>
        <v>syn BTCX6/BTCF7/BTCV6/BTCU6</v>
      </c>
      <c r="R58" s="14">
        <f>'MKT DATA'!AB116</f>
        <v>0</v>
      </c>
    </row>
    <row r="59" spans="5:18" x14ac:dyDescent="0.25">
      <c r="E59" s="44" t="str">
        <f>'MKT DATA'!B117</f>
        <v>syn BTCX6/BTCF7/BTCZ6/BTCU6</v>
      </c>
      <c r="F59" s="14">
        <f>'MKT DATA'!J117</f>
        <v>0</v>
      </c>
      <c r="G59" s="9">
        <f>'MKT DATA'!K117</f>
        <v>0</v>
      </c>
      <c r="H59" s="9">
        <f>'MKT DATA'!L117</f>
        <v>0</v>
      </c>
      <c r="I59" s="14">
        <f>'MKT DATA'!M117</f>
        <v>0</v>
      </c>
      <c r="J59" s="44" t="str">
        <f t="shared" si="4"/>
        <v>syn BTCX6/BTCF7/BTCZ6/BTCU6</v>
      </c>
      <c r="K59" s="9">
        <f>'MKT DATA'!O117</f>
        <v>0</v>
      </c>
      <c r="L59" s="9">
        <f>'MKT DATA'!P117</f>
        <v>0</v>
      </c>
      <c r="M59" s="9">
        <f>'MKT DATA'!Q117</f>
        <v>0</v>
      </c>
      <c r="N59" s="9">
        <f>'MKT DATA'!R117</f>
        <v>0</v>
      </c>
      <c r="O59" s="9">
        <f>'MKT DATA'!S117</f>
        <v>0</v>
      </c>
      <c r="P59" s="9">
        <f>'MKT DATA'!T117</f>
        <v>0</v>
      </c>
      <c r="Q59" s="44" t="str">
        <f t="shared" si="5"/>
        <v>syn BTCX6/BTCF7/BTCZ6/BTCU6</v>
      </c>
      <c r="R59" s="14">
        <f>'MKT DATA'!AB117</f>
        <v>0</v>
      </c>
    </row>
    <row r="60" spans="5:18" x14ac:dyDescent="0.25">
      <c r="E60" s="44" t="str">
        <f>'MKT DATA'!B118</f>
        <v>syn BTCX6/BTCF7/BTCG7/BTCU6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BTCX6/BTCF7/BTCG7/BTCU6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BTCX6/BTCF7/BTCG7/BTCU6</v>
      </c>
      <c r="R60" s="14">
        <f>'MKT DATA'!AB118</f>
        <v>0</v>
      </c>
    </row>
    <row r="61" spans="5:18" x14ac:dyDescent="0.25">
      <c r="E61" s="44" t="str">
        <f>'MKT DATA'!B119</f>
        <v>syn BTCX6/BTCG7/BTCV6/BTCU6</v>
      </c>
      <c r="F61" s="14">
        <f>'MKT DATA'!J119</f>
        <v>0</v>
      </c>
      <c r="G61" s="9">
        <f>'MKT DATA'!K119</f>
        <v>0</v>
      </c>
      <c r="H61" s="9">
        <f>'MKT DATA'!L119</f>
        <v>0</v>
      </c>
      <c r="I61" s="14">
        <f>'MKT DATA'!M119</f>
        <v>0</v>
      </c>
      <c r="J61" s="44" t="str">
        <f t="shared" si="4"/>
        <v>syn BTCX6/BTCG7/BTCV6/BTCU6</v>
      </c>
      <c r="K61" s="9">
        <f>'MKT DATA'!O119</f>
        <v>0</v>
      </c>
      <c r="L61" s="9">
        <f>'MKT DATA'!P119</f>
        <v>0</v>
      </c>
      <c r="M61" s="9">
        <f>'MKT DATA'!Q119</f>
        <v>0</v>
      </c>
      <c r="N61" s="9">
        <f>'MKT DATA'!R119</f>
        <v>0</v>
      </c>
      <c r="O61" s="9">
        <f>'MKT DATA'!S119</f>
        <v>0</v>
      </c>
      <c r="P61" s="9">
        <f>'MKT DATA'!T119</f>
        <v>0</v>
      </c>
      <c r="Q61" s="44" t="str">
        <f t="shared" si="5"/>
        <v>syn BTCX6/BTCG7/BTCV6/BTCU6</v>
      </c>
      <c r="R61" s="14">
        <f>'MKT DATA'!AB119</f>
        <v>0</v>
      </c>
    </row>
    <row r="62" spans="5:18" x14ac:dyDescent="0.25">
      <c r="E62" s="44" t="str">
        <f>'MKT DATA'!B120</f>
        <v>syn BTCX6/BTCG7/BTCZ6/BTCU6</v>
      </c>
      <c r="F62" s="14">
        <f>'MKT DATA'!J120</f>
        <v>0</v>
      </c>
      <c r="G62" s="9">
        <f>'MKT DATA'!K120</f>
        <v>0</v>
      </c>
      <c r="H62" s="9">
        <f>'MKT DATA'!L120</f>
        <v>0</v>
      </c>
      <c r="I62" s="14">
        <f>'MKT DATA'!M120</f>
        <v>0</v>
      </c>
      <c r="J62" s="44" t="str">
        <f t="shared" si="4"/>
        <v>syn BTCX6/BTCG7/BTCZ6/BTCU6</v>
      </c>
      <c r="K62" s="9">
        <f>'MKT DATA'!O120</f>
        <v>0</v>
      </c>
      <c r="L62" s="9">
        <f>'MKT DATA'!P120</f>
        <v>0</v>
      </c>
      <c r="M62" s="9">
        <f>'MKT DATA'!Q120</f>
        <v>0</v>
      </c>
      <c r="N62" s="9">
        <f>'MKT DATA'!R120</f>
        <v>0</v>
      </c>
      <c r="O62" s="9">
        <f>'MKT DATA'!S120</f>
        <v>0</v>
      </c>
      <c r="P62" s="9">
        <f>'MKT DATA'!T120</f>
        <v>0</v>
      </c>
      <c r="Q62" s="44" t="str">
        <f t="shared" si="5"/>
        <v>syn BTCX6/BTCG7/BTCZ6/BTCU6</v>
      </c>
      <c r="R62" s="14">
        <f>'MKT DATA'!AB120</f>
        <v>0</v>
      </c>
    </row>
    <row r="63" spans="5:18" x14ac:dyDescent="0.25">
      <c r="E63" s="44" t="str">
        <f>'MKT DATA'!B121</f>
        <v>syn BTCX6/BTCG7/BTCF7/BTCU6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BTCX6/BTCG7/BTCF7/BTCU6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BTCX6/BTCG7/BTCF7/BTCU6</v>
      </c>
      <c r="R63" s="14">
        <f>'MKT DATA'!AB121</f>
        <v>0</v>
      </c>
    </row>
    <row r="64" spans="5:18" x14ac:dyDescent="0.25">
      <c r="E64" s="44" t="str">
        <f>'MKT DATA'!B122</f>
        <v>syn BTCZ6/BTCV6/BTCX6/BTCU6</v>
      </c>
      <c r="F64" s="14">
        <f>'MKT DATA'!J122</f>
        <v>0</v>
      </c>
      <c r="G64" s="9">
        <f>'MKT DATA'!K122</f>
        <v>0</v>
      </c>
      <c r="H64" s="9">
        <f>'MKT DATA'!L122</f>
        <v>0</v>
      </c>
      <c r="I64" s="14">
        <f>'MKT DATA'!M122</f>
        <v>0</v>
      </c>
      <c r="J64" s="44" t="str">
        <f t="shared" si="4"/>
        <v>syn BTCZ6/BTCV6/BTCX6/BTCU6</v>
      </c>
      <c r="K64" s="9">
        <f>'MKT DATA'!O122</f>
        <v>0</v>
      </c>
      <c r="L64" s="9">
        <f>'MKT DATA'!P122</f>
        <v>0</v>
      </c>
      <c r="M64" s="9">
        <f>'MKT DATA'!Q122</f>
        <v>0</v>
      </c>
      <c r="N64" s="9">
        <f>'MKT DATA'!R122</f>
        <v>0</v>
      </c>
      <c r="O64" s="9">
        <f>'MKT DATA'!S122</f>
        <v>0</v>
      </c>
      <c r="P64" s="9">
        <f>'MKT DATA'!T122</f>
        <v>0</v>
      </c>
      <c r="Q64" s="44" t="str">
        <f t="shared" si="5"/>
        <v>syn BTCZ6/BTCV6/BTCX6/BTCU6</v>
      </c>
      <c r="R64" s="14">
        <f>'MKT DATA'!AB122</f>
        <v>0</v>
      </c>
    </row>
    <row r="65" spans="5:18" x14ac:dyDescent="0.25">
      <c r="E65" s="44" t="str">
        <f>'MKT DATA'!B123</f>
        <v>syn BTCZ6/BTCV6/BTCF7/BTCU6</v>
      </c>
      <c r="F65" s="14">
        <f>'MKT DATA'!J123</f>
        <v>0</v>
      </c>
      <c r="G65" s="9">
        <f>'MKT DATA'!K123</f>
        <v>0</v>
      </c>
      <c r="H65" s="9">
        <f>'MKT DATA'!L123</f>
        <v>0</v>
      </c>
      <c r="I65" s="14">
        <f>'MKT DATA'!M123</f>
        <v>0</v>
      </c>
      <c r="J65" s="44" t="str">
        <f t="shared" si="4"/>
        <v>syn BTCZ6/BTCV6/BTCF7/BTCU6</v>
      </c>
      <c r="K65" s="9">
        <f>'MKT DATA'!O123</f>
        <v>0</v>
      </c>
      <c r="L65" s="9">
        <f>'MKT DATA'!P123</f>
        <v>0</v>
      </c>
      <c r="M65" s="9">
        <f>'MKT DATA'!Q123</f>
        <v>0</v>
      </c>
      <c r="N65" s="9">
        <f>'MKT DATA'!R123</f>
        <v>0</v>
      </c>
      <c r="O65" s="9">
        <f>'MKT DATA'!S123</f>
        <v>0</v>
      </c>
      <c r="P65" s="9">
        <f>'MKT DATA'!T123</f>
        <v>0</v>
      </c>
      <c r="Q65" s="44" t="str">
        <f t="shared" si="5"/>
        <v>syn BTCZ6/BTCV6/BTCF7/BTCU6</v>
      </c>
      <c r="R65" s="14">
        <f>'MKT DATA'!AB123</f>
        <v>0</v>
      </c>
    </row>
    <row r="66" spans="5:18" x14ac:dyDescent="0.25">
      <c r="E66" s="44" t="str">
        <f>'MKT DATA'!B124</f>
        <v>syn BTCZ6/BTCV6/BTCG7/BTCU6</v>
      </c>
      <c r="F66" s="14">
        <f>'MKT DATA'!J124</f>
        <v>0</v>
      </c>
      <c r="G66" s="9">
        <f>'MKT DATA'!K124</f>
        <v>0</v>
      </c>
      <c r="H66" s="9">
        <f>'MKT DATA'!L124</f>
        <v>0</v>
      </c>
      <c r="I66" s="14">
        <f>'MKT DATA'!M124</f>
        <v>0</v>
      </c>
      <c r="J66" s="44" t="str">
        <f t="shared" si="4"/>
        <v>syn BTCZ6/BTCV6/BTCG7/BTCU6</v>
      </c>
      <c r="K66" s="9">
        <f>'MKT DATA'!O124</f>
        <v>0</v>
      </c>
      <c r="L66" s="9">
        <f>'MKT DATA'!P124</f>
        <v>0</v>
      </c>
      <c r="M66" s="9">
        <f>'MKT DATA'!Q124</f>
        <v>0</v>
      </c>
      <c r="N66" s="9">
        <f>'MKT DATA'!R124</f>
        <v>0</v>
      </c>
      <c r="O66" s="9">
        <f>'MKT DATA'!S124</f>
        <v>0</v>
      </c>
      <c r="P66" s="9">
        <f>'MKT DATA'!T124</f>
        <v>0</v>
      </c>
      <c r="Q66" s="44" t="str">
        <f t="shared" si="5"/>
        <v>syn BTCZ6/BTCV6/BTCG7/BTCU6</v>
      </c>
      <c r="R66" s="14">
        <f>'MKT DATA'!AB124</f>
        <v>0</v>
      </c>
    </row>
    <row r="67" spans="5:18" x14ac:dyDescent="0.25">
      <c r="E67" s="44" t="str">
        <f>'MKT DATA'!B125</f>
        <v>syn BTCZ6/BTCX6/BTCV6/BTCU6</v>
      </c>
      <c r="F67" s="14">
        <f>'MKT DATA'!J125</f>
        <v>0</v>
      </c>
      <c r="G67" s="9">
        <f>'MKT DATA'!K125</f>
        <v>0</v>
      </c>
      <c r="H67" s="9">
        <f>'MKT DATA'!L125</f>
        <v>0</v>
      </c>
      <c r="I67" s="14">
        <f>'MKT DATA'!M125</f>
        <v>0</v>
      </c>
      <c r="J67" s="44" t="str">
        <f t="shared" si="4"/>
        <v>syn BTCZ6/BTCX6/BTCV6/BTCU6</v>
      </c>
      <c r="K67" s="9">
        <f>'MKT DATA'!O125</f>
        <v>0</v>
      </c>
      <c r="L67" s="9">
        <f>'MKT DATA'!P125</f>
        <v>0</v>
      </c>
      <c r="M67" s="9">
        <f>'MKT DATA'!Q125</f>
        <v>0</v>
      </c>
      <c r="N67" s="9">
        <f>'MKT DATA'!R125</f>
        <v>0</v>
      </c>
      <c r="O67" s="9">
        <f>'MKT DATA'!S125</f>
        <v>0</v>
      </c>
      <c r="P67" s="9">
        <f>'MKT DATA'!T125</f>
        <v>0</v>
      </c>
      <c r="Q67" s="44" t="str">
        <f t="shared" si="5"/>
        <v>syn BTCZ6/BTCX6/BTCV6/BTCU6</v>
      </c>
      <c r="R67" s="14">
        <f>'MKT DATA'!AB125</f>
        <v>0</v>
      </c>
    </row>
    <row r="68" spans="5:18" x14ac:dyDescent="0.25">
      <c r="E68" s="44" t="str">
        <f>'MKT DATA'!B126</f>
        <v>syn BTCZ6/BTCX6/BTCF7/BTCU6</v>
      </c>
      <c r="F68" s="14">
        <f>'MKT DATA'!J126</f>
        <v>0</v>
      </c>
      <c r="G68" s="9">
        <f>'MKT DATA'!K126</f>
        <v>0</v>
      </c>
      <c r="H68" s="9">
        <f>'MKT DATA'!L126</f>
        <v>0</v>
      </c>
      <c r="I68" s="14">
        <f>'MKT DATA'!M126</f>
        <v>0</v>
      </c>
      <c r="J68" s="44" t="str">
        <f t="shared" si="4"/>
        <v>syn BTCZ6/BTCX6/BTCF7/BTCU6</v>
      </c>
      <c r="K68" s="9">
        <f>'MKT DATA'!O126</f>
        <v>0</v>
      </c>
      <c r="L68" s="9">
        <f>'MKT DATA'!P126</f>
        <v>0</v>
      </c>
      <c r="M68" s="9">
        <f>'MKT DATA'!Q126</f>
        <v>0</v>
      </c>
      <c r="N68" s="9">
        <f>'MKT DATA'!R126</f>
        <v>0</v>
      </c>
      <c r="O68" s="9">
        <f>'MKT DATA'!S126</f>
        <v>0</v>
      </c>
      <c r="P68" s="9">
        <f>'MKT DATA'!T126</f>
        <v>0</v>
      </c>
      <c r="Q68" s="44" t="str">
        <f t="shared" si="5"/>
        <v>syn BTCZ6/BTCX6/BTCF7/BTCU6</v>
      </c>
      <c r="R68" s="14">
        <f>'MKT DATA'!AB126</f>
        <v>0</v>
      </c>
    </row>
    <row r="69" spans="5:18" x14ac:dyDescent="0.25">
      <c r="E69" s="44" t="str">
        <f>'MKT DATA'!B127</f>
        <v>syn BTCZ6/BTCX6/BTCG7/BTCU6</v>
      </c>
      <c r="F69" s="14">
        <f>'MKT DATA'!J127</f>
        <v>0</v>
      </c>
      <c r="G69" s="9">
        <f>'MKT DATA'!K127</f>
        <v>0</v>
      </c>
      <c r="H69" s="9">
        <f>'MKT DATA'!L127</f>
        <v>0</v>
      </c>
      <c r="I69" s="14">
        <f>'MKT DATA'!M127</f>
        <v>0</v>
      </c>
      <c r="J69" s="44" t="str">
        <f t="shared" si="4"/>
        <v>syn BTCZ6/BTCX6/BTCG7/BTCU6</v>
      </c>
      <c r="K69" s="9">
        <f>'MKT DATA'!O127</f>
        <v>0</v>
      </c>
      <c r="L69" s="9">
        <f>'MKT DATA'!P127</f>
        <v>0</v>
      </c>
      <c r="M69" s="9">
        <f>'MKT DATA'!Q127</f>
        <v>0</v>
      </c>
      <c r="N69" s="9">
        <f>'MKT DATA'!R127</f>
        <v>0</v>
      </c>
      <c r="O69" s="9">
        <f>'MKT DATA'!S127</f>
        <v>0</v>
      </c>
      <c r="P69" s="9">
        <f>'MKT DATA'!T127</f>
        <v>0</v>
      </c>
      <c r="Q69" s="44" t="str">
        <f t="shared" si="5"/>
        <v>syn BTCZ6/BTCX6/BTCG7/BTCU6</v>
      </c>
      <c r="R69" s="14">
        <f>'MKT DATA'!AB127</f>
        <v>0</v>
      </c>
    </row>
    <row r="70" spans="5:18" x14ac:dyDescent="0.25">
      <c r="E70" s="44" t="str">
        <f>'MKT DATA'!B128</f>
        <v>syn BTCZ6/BTCF7/BTCV6/BTCU6</v>
      </c>
      <c r="F70" s="14">
        <f>'MKT DATA'!J128</f>
        <v>0</v>
      </c>
      <c r="G70" s="9">
        <f>'MKT DATA'!K128</f>
        <v>0</v>
      </c>
      <c r="H70" s="9">
        <f>'MKT DATA'!L128</f>
        <v>0</v>
      </c>
      <c r="I70" s="14">
        <f>'MKT DATA'!M128</f>
        <v>0</v>
      </c>
      <c r="J70" s="44" t="str">
        <f t="shared" si="4"/>
        <v>syn BTCZ6/BTCF7/BTCV6/BTCU6</v>
      </c>
      <c r="K70" s="9">
        <f>'MKT DATA'!O128</f>
        <v>0</v>
      </c>
      <c r="L70" s="9">
        <f>'MKT DATA'!P128</f>
        <v>0</v>
      </c>
      <c r="M70" s="9">
        <f>'MKT DATA'!Q128</f>
        <v>0</v>
      </c>
      <c r="N70" s="9">
        <f>'MKT DATA'!R128</f>
        <v>0</v>
      </c>
      <c r="O70" s="9">
        <f>'MKT DATA'!S128</f>
        <v>0</v>
      </c>
      <c r="P70" s="9">
        <f>'MKT DATA'!T128</f>
        <v>0</v>
      </c>
      <c r="Q70" s="44" t="str">
        <f t="shared" si="5"/>
        <v>syn BTCZ6/BTCF7/BTCV6/BTCU6</v>
      </c>
      <c r="R70" s="14">
        <f>'MKT DATA'!AB128</f>
        <v>0</v>
      </c>
    </row>
    <row r="71" spans="5:18" x14ac:dyDescent="0.25">
      <c r="E71" s="44" t="str">
        <f>'MKT DATA'!B129</f>
        <v>syn BTCZ6/BTCF7/BTCX6/BTCU6</v>
      </c>
      <c r="F71" s="14">
        <f>'MKT DATA'!J129</f>
        <v>0</v>
      </c>
      <c r="G71" s="9">
        <f>'MKT DATA'!K129</f>
        <v>0</v>
      </c>
      <c r="H71" s="9">
        <f>'MKT DATA'!L129</f>
        <v>0</v>
      </c>
      <c r="I71" s="14">
        <f>'MKT DATA'!M129</f>
        <v>0</v>
      </c>
      <c r="J71" s="44" t="str">
        <f t="shared" si="4"/>
        <v>syn BTCZ6/BTCF7/BTCX6/BTCU6</v>
      </c>
      <c r="K71" s="9">
        <f>'MKT DATA'!O129</f>
        <v>0</v>
      </c>
      <c r="L71" s="9">
        <f>'MKT DATA'!P129</f>
        <v>0</v>
      </c>
      <c r="M71" s="9">
        <f>'MKT DATA'!Q129</f>
        <v>0</v>
      </c>
      <c r="N71" s="9">
        <f>'MKT DATA'!R129</f>
        <v>0</v>
      </c>
      <c r="O71" s="9">
        <f>'MKT DATA'!S129</f>
        <v>0</v>
      </c>
      <c r="P71" s="9">
        <f>'MKT DATA'!T129</f>
        <v>0</v>
      </c>
      <c r="Q71" s="44" t="str">
        <f t="shared" si="5"/>
        <v>syn BTCZ6/BTCF7/BTCX6/BTCU6</v>
      </c>
      <c r="R71" s="14">
        <f>'MKT DATA'!AB129</f>
        <v>0</v>
      </c>
    </row>
    <row r="72" spans="5:18" x14ac:dyDescent="0.25">
      <c r="E72" s="44" t="str">
        <f>'MKT DATA'!B130</f>
        <v>syn BTCZ6/BTCF7/BTCG7/BTCU6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BTCZ6/BTCF7/BTCG7/BTCU6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BTCZ6/BTCF7/BTCG7/BTCU6</v>
      </c>
      <c r="R72" s="14">
        <f>'MKT DATA'!AB130</f>
        <v>0</v>
      </c>
    </row>
    <row r="73" spans="5:18" x14ac:dyDescent="0.25">
      <c r="E73" s="44" t="str">
        <f>'MKT DATA'!B131</f>
        <v>syn BTCZ6/BTCG7/BTCV6/BTCU6</v>
      </c>
      <c r="F73" s="14">
        <f>'MKT DATA'!J131</f>
        <v>0</v>
      </c>
      <c r="G73" s="9">
        <f>'MKT DATA'!K131</f>
        <v>0</v>
      </c>
      <c r="H73" s="9">
        <f>'MKT DATA'!L131</f>
        <v>0</v>
      </c>
      <c r="I73" s="14">
        <f>'MKT DATA'!M131</f>
        <v>0</v>
      </c>
      <c r="J73" s="44" t="str">
        <f t="shared" si="4"/>
        <v>syn BTCZ6/BTCG7/BTCV6/BTCU6</v>
      </c>
      <c r="K73" s="9">
        <f>'MKT DATA'!O131</f>
        <v>0</v>
      </c>
      <c r="L73" s="9">
        <f>'MKT DATA'!P131</f>
        <v>0</v>
      </c>
      <c r="M73" s="9">
        <f>'MKT DATA'!Q131</f>
        <v>0</v>
      </c>
      <c r="N73" s="9">
        <f>'MKT DATA'!R131</f>
        <v>0</v>
      </c>
      <c r="O73" s="9">
        <f>'MKT DATA'!S131</f>
        <v>0</v>
      </c>
      <c r="P73" s="9">
        <f>'MKT DATA'!T131</f>
        <v>0</v>
      </c>
      <c r="Q73" s="44" t="str">
        <f t="shared" si="5"/>
        <v>syn BTCZ6/BTCG7/BTCV6/BTCU6</v>
      </c>
      <c r="R73" s="14">
        <f>'MKT DATA'!AB131</f>
        <v>0</v>
      </c>
    </row>
    <row r="74" spans="5:18" x14ac:dyDescent="0.25">
      <c r="E74" s="44" t="str">
        <f>'MKT DATA'!B132</f>
        <v>syn BTCZ6/BTCG7/BTCX6/BTCU6</v>
      </c>
      <c r="F74" s="14">
        <f>'MKT DATA'!J132</f>
        <v>0</v>
      </c>
      <c r="G74" s="9">
        <f>'MKT DATA'!K132</f>
        <v>0</v>
      </c>
      <c r="H74" s="9">
        <f>'MKT DATA'!L132</f>
        <v>0</v>
      </c>
      <c r="I74" s="14">
        <f>'MKT DATA'!M132</f>
        <v>0</v>
      </c>
      <c r="J74" s="44" t="str">
        <f t="shared" si="4"/>
        <v>syn BTCZ6/BTCG7/BTCX6/BTCU6</v>
      </c>
      <c r="K74" s="9">
        <f>'MKT DATA'!O132</f>
        <v>0</v>
      </c>
      <c r="L74" s="9">
        <f>'MKT DATA'!P132</f>
        <v>0</v>
      </c>
      <c r="M74" s="9">
        <f>'MKT DATA'!Q132</f>
        <v>0</v>
      </c>
      <c r="N74" s="9">
        <f>'MKT DATA'!R132</f>
        <v>0</v>
      </c>
      <c r="O74" s="9">
        <f>'MKT DATA'!S132</f>
        <v>0</v>
      </c>
      <c r="P74" s="9">
        <f>'MKT DATA'!T132</f>
        <v>0</v>
      </c>
      <c r="Q74" s="44" t="str">
        <f t="shared" si="5"/>
        <v>syn BTCZ6/BTCG7/BTCX6/BTCU6</v>
      </c>
      <c r="R74" s="14">
        <f>'MKT DATA'!AB132</f>
        <v>0</v>
      </c>
    </row>
    <row r="75" spans="5:18" x14ac:dyDescent="0.25">
      <c r="E75" s="44" t="str">
        <f>'MKT DATA'!B133</f>
        <v>syn BTCZ6/BTCG7/BTCF7/BTCU6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BTCZ6/BTCG7/BTCF7/BTCU6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BTCZ6/BTCG7/BTCF7/BTCU6</v>
      </c>
      <c r="R75" s="14">
        <f>'MKT DATA'!AB133</f>
        <v>0</v>
      </c>
    </row>
    <row r="76" spans="5:18" x14ac:dyDescent="0.25">
      <c r="E76" s="44" t="str">
        <f>'MKT DATA'!B134</f>
        <v>syn BTCF7/BTCV6/BTCX6/BTCU6</v>
      </c>
      <c r="F76" s="14">
        <f>'MKT DATA'!J134</f>
        <v>0</v>
      </c>
      <c r="G76" s="9">
        <f>'MKT DATA'!K134</f>
        <v>0</v>
      </c>
      <c r="H76" s="9">
        <f>'MKT DATA'!L134</f>
        <v>0</v>
      </c>
      <c r="I76" s="14">
        <f>'MKT DATA'!M134</f>
        <v>0</v>
      </c>
      <c r="J76" s="44" t="str">
        <f t="shared" si="4"/>
        <v>syn BTCF7/BTCV6/BTCX6/BTCU6</v>
      </c>
      <c r="K76" s="9">
        <f>'MKT DATA'!O134</f>
        <v>0</v>
      </c>
      <c r="L76" s="9">
        <f>'MKT DATA'!P134</f>
        <v>0</v>
      </c>
      <c r="M76" s="9">
        <f>'MKT DATA'!Q134</f>
        <v>0</v>
      </c>
      <c r="N76" s="9">
        <f>'MKT DATA'!R134</f>
        <v>0</v>
      </c>
      <c r="O76" s="9">
        <f>'MKT DATA'!S134</f>
        <v>0</v>
      </c>
      <c r="P76" s="9">
        <f>'MKT DATA'!T134</f>
        <v>0</v>
      </c>
      <c r="Q76" s="44" t="str">
        <f t="shared" si="5"/>
        <v>syn BTCF7/BTCV6/BTCX6/BTCU6</v>
      </c>
      <c r="R76" s="14">
        <f>'MKT DATA'!AB134</f>
        <v>0</v>
      </c>
    </row>
    <row r="77" spans="5:18" x14ac:dyDescent="0.25">
      <c r="E77" s="44" t="str">
        <f>'MKT DATA'!B135</f>
        <v>syn BTCF7/BTCV6/BTCZ6/BTCU6</v>
      </c>
      <c r="F77" s="14">
        <f>'MKT DATA'!J135</f>
        <v>0</v>
      </c>
      <c r="G77" s="9">
        <f>'MKT DATA'!K135</f>
        <v>0</v>
      </c>
      <c r="H77" s="9">
        <f>'MKT DATA'!L135</f>
        <v>0</v>
      </c>
      <c r="I77" s="14">
        <f>'MKT DATA'!M135</f>
        <v>0</v>
      </c>
      <c r="J77" s="44" t="str">
        <f t="shared" si="4"/>
        <v>syn BTCF7/BTCV6/BTCZ6/BTCU6</v>
      </c>
      <c r="K77" s="9">
        <f>'MKT DATA'!O135</f>
        <v>0</v>
      </c>
      <c r="L77" s="9">
        <f>'MKT DATA'!P135</f>
        <v>0</v>
      </c>
      <c r="M77" s="9">
        <f>'MKT DATA'!Q135</f>
        <v>0</v>
      </c>
      <c r="N77" s="9">
        <f>'MKT DATA'!R135</f>
        <v>0</v>
      </c>
      <c r="O77" s="9">
        <f>'MKT DATA'!S135</f>
        <v>0</v>
      </c>
      <c r="P77" s="9">
        <f>'MKT DATA'!T135</f>
        <v>0</v>
      </c>
      <c r="Q77" s="44" t="str">
        <f t="shared" si="5"/>
        <v>syn BTCF7/BTCV6/BTCZ6/BTCU6</v>
      </c>
      <c r="R77" s="14">
        <f>'MKT DATA'!AB135</f>
        <v>0</v>
      </c>
    </row>
    <row r="78" spans="5:18" x14ac:dyDescent="0.25">
      <c r="E78" s="44" t="str">
        <f>'MKT DATA'!B136</f>
        <v>syn BTCF7/BTCV6/BTCG7/BTCU6</v>
      </c>
      <c r="F78" s="14">
        <f>'MKT DATA'!J136</f>
        <v>0</v>
      </c>
      <c r="G78" s="9">
        <f>'MKT DATA'!K136</f>
        <v>0</v>
      </c>
      <c r="H78" s="9">
        <f>'MKT DATA'!L136</f>
        <v>0</v>
      </c>
      <c r="I78" s="14">
        <f>'MKT DATA'!M136</f>
        <v>0</v>
      </c>
      <c r="J78" s="44" t="str">
        <f t="shared" si="4"/>
        <v>syn BTCF7/BTCV6/BTCG7/BTCU6</v>
      </c>
      <c r="K78" s="9">
        <f>'MKT DATA'!O136</f>
        <v>0</v>
      </c>
      <c r="L78" s="9">
        <f>'MKT DATA'!P136</f>
        <v>0</v>
      </c>
      <c r="M78" s="9">
        <f>'MKT DATA'!Q136</f>
        <v>0</v>
      </c>
      <c r="N78" s="9">
        <f>'MKT DATA'!R136</f>
        <v>0</v>
      </c>
      <c r="O78" s="9">
        <f>'MKT DATA'!S136</f>
        <v>0</v>
      </c>
      <c r="P78" s="9">
        <f>'MKT DATA'!T136</f>
        <v>0</v>
      </c>
      <c r="Q78" s="44" t="str">
        <f t="shared" si="5"/>
        <v>syn BTCF7/BTCV6/BTCG7/BTCU6</v>
      </c>
      <c r="R78" s="14">
        <f>'MKT DATA'!AB136</f>
        <v>0</v>
      </c>
    </row>
    <row r="79" spans="5:18" x14ac:dyDescent="0.25">
      <c r="E79" s="44" t="str">
        <f>'MKT DATA'!B137</f>
        <v>syn BTCF7/BTCX6/BTCV6/BTCU6</v>
      </c>
      <c r="F79" s="14">
        <f>'MKT DATA'!J137</f>
        <v>0</v>
      </c>
      <c r="G79" s="9">
        <f>'MKT DATA'!K137</f>
        <v>0</v>
      </c>
      <c r="H79" s="9">
        <f>'MKT DATA'!L137</f>
        <v>0</v>
      </c>
      <c r="I79" s="14">
        <f>'MKT DATA'!M137</f>
        <v>0</v>
      </c>
      <c r="J79" s="44" t="str">
        <f t="shared" si="4"/>
        <v>syn BTCF7/BTCX6/BTCV6/BTCU6</v>
      </c>
      <c r="K79" s="9">
        <f>'MKT DATA'!O137</f>
        <v>0</v>
      </c>
      <c r="L79" s="9">
        <f>'MKT DATA'!P137</f>
        <v>0</v>
      </c>
      <c r="M79" s="9">
        <f>'MKT DATA'!Q137</f>
        <v>0</v>
      </c>
      <c r="N79" s="9">
        <f>'MKT DATA'!R137</f>
        <v>0</v>
      </c>
      <c r="O79" s="9">
        <f>'MKT DATA'!S137</f>
        <v>0</v>
      </c>
      <c r="P79" s="9">
        <f>'MKT DATA'!T137</f>
        <v>0</v>
      </c>
      <c r="Q79" s="44" t="str">
        <f t="shared" si="5"/>
        <v>syn BTCF7/BTCX6/BTCV6/BTCU6</v>
      </c>
      <c r="R79" s="14">
        <f>'MKT DATA'!AB137</f>
        <v>0</v>
      </c>
    </row>
    <row r="80" spans="5:18" x14ac:dyDescent="0.25">
      <c r="E80" s="44" t="str">
        <f>'MKT DATA'!B138</f>
        <v>syn BTCF7/BTCX6/BTCZ6/BTCU6</v>
      </c>
      <c r="F80" s="14">
        <f>'MKT DATA'!J138</f>
        <v>0</v>
      </c>
      <c r="G80" s="9">
        <f>'MKT DATA'!K138</f>
        <v>0</v>
      </c>
      <c r="H80" s="9">
        <f>'MKT DATA'!L138</f>
        <v>0</v>
      </c>
      <c r="I80" s="14">
        <f>'MKT DATA'!M138</f>
        <v>0</v>
      </c>
      <c r="J80" s="44" t="str">
        <f t="shared" si="4"/>
        <v>syn BTCF7/BTCX6/BTCZ6/BTCU6</v>
      </c>
      <c r="K80" s="9">
        <f>'MKT DATA'!O138</f>
        <v>0</v>
      </c>
      <c r="L80" s="9">
        <f>'MKT DATA'!P138</f>
        <v>0</v>
      </c>
      <c r="M80" s="9">
        <f>'MKT DATA'!Q138</f>
        <v>0</v>
      </c>
      <c r="N80" s="9">
        <f>'MKT DATA'!R138</f>
        <v>0</v>
      </c>
      <c r="O80" s="9">
        <f>'MKT DATA'!S138</f>
        <v>0</v>
      </c>
      <c r="P80" s="9">
        <f>'MKT DATA'!T138</f>
        <v>0</v>
      </c>
      <c r="Q80" s="44" t="str">
        <f t="shared" si="5"/>
        <v>syn BTCF7/BTCX6/BTCZ6/BTCU6</v>
      </c>
      <c r="R80" s="14">
        <f>'MKT DATA'!AB138</f>
        <v>0</v>
      </c>
    </row>
    <row r="81" spans="5:18" x14ac:dyDescent="0.25">
      <c r="E81" s="44" t="str">
        <f>'MKT DATA'!B139</f>
        <v>syn BTCF7/BTCX6/BTCG7/BTCU6</v>
      </c>
      <c r="F81" s="14">
        <f>'MKT DATA'!J139</f>
        <v>0</v>
      </c>
      <c r="G81" s="9">
        <f>'MKT DATA'!K139</f>
        <v>0</v>
      </c>
      <c r="H81" s="9">
        <f>'MKT DATA'!L139</f>
        <v>0</v>
      </c>
      <c r="I81" s="14">
        <f>'MKT DATA'!M139</f>
        <v>0</v>
      </c>
      <c r="J81" s="44" t="str">
        <f t="shared" ref="J81:J144" si="6">E81</f>
        <v>syn BTCF7/BTCX6/BTCG7/BTCU6</v>
      </c>
      <c r="K81" s="9">
        <f>'MKT DATA'!O139</f>
        <v>0</v>
      </c>
      <c r="L81" s="9">
        <f>'MKT DATA'!P139</f>
        <v>0</v>
      </c>
      <c r="M81" s="9">
        <f>'MKT DATA'!Q139</f>
        <v>0</v>
      </c>
      <c r="N81" s="9">
        <f>'MKT DATA'!R139</f>
        <v>0</v>
      </c>
      <c r="O81" s="9">
        <f>'MKT DATA'!S139</f>
        <v>0</v>
      </c>
      <c r="P81" s="9">
        <f>'MKT DATA'!T139</f>
        <v>0</v>
      </c>
      <c r="Q81" s="44" t="str">
        <f t="shared" ref="Q81:Q144" si="7">J81</f>
        <v>syn BTCF7/BTCX6/BTCG7/BTCU6</v>
      </c>
      <c r="R81" s="14">
        <f>'MKT DATA'!AB139</f>
        <v>0</v>
      </c>
    </row>
    <row r="82" spans="5:18" x14ac:dyDescent="0.25">
      <c r="E82" s="44" t="str">
        <f>'MKT DATA'!B140</f>
        <v>syn BTCF7/BTCZ6/BTCV6/BTCU6</v>
      </c>
      <c r="F82" s="14">
        <f>'MKT DATA'!J140</f>
        <v>0</v>
      </c>
      <c r="G82" s="9">
        <f>'MKT DATA'!K140</f>
        <v>0</v>
      </c>
      <c r="H82" s="9">
        <f>'MKT DATA'!L140</f>
        <v>0</v>
      </c>
      <c r="I82" s="14">
        <f>'MKT DATA'!M140</f>
        <v>0</v>
      </c>
      <c r="J82" s="44" t="str">
        <f t="shared" si="6"/>
        <v>syn BTCF7/BTCZ6/BTCV6/BTCU6</v>
      </c>
      <c r="K82" s="9">
        <f>'MKT DATA'!O140</f>
        <v>0</v>
      </c>
      <c r="L82" s="9">
        <f>'MKT DATA'!P140</f>
        <v>0</v>
      </c>
      <c r="M82" s="9">
        <f>'MKT DATA'!Q140</f>
        <v>0</v>
      </c>
      <c r="N82" s="9">
        <f>'MKT DATA'!R140</f>
        <v>0</v>
      </c>
      <c r="O82" s="9">
        <f>'MKT DATA'!S140</f>
        <v>0</v>
      </c>
      <c r="P82" s="9">
        <f>'MKT DATA'!T140</f>
        <v>0</v>
      </c>
      <c r="Q82" s="44" t="str">
        <f t="shared" si="7"/>
        <v>syn BTCF7/BTCZ6/BTCV6/BTCU6</v>
      </c>
      <c r="R82" s="14">
        <f>'MKT DATA'!AB140</f>
        <v>0</v>
      </c>
    </row>
    <row r="83" spans="5:18" x14ac:dyDescent="0.25">
      <c r="E83" s="44" t="str">
        <f>'MKT DATA'!B141</f>
        <v>syn BTCF7/BTCZ6/BTCX6/BTCU6</v>
      </c>
      <c r="F83" s="14">
        <f>'MKT DATA'!J141</f>
        <v>0</v>
      </c>
      <c r="G83" s="9">
        <f>'MKT DATA'!K141</f>
        <v>0</v>
      </c>
      <c r="H83" s="9">
        <f>'MKT DATA'!L141</f>
        <v>0</v>
      </c>
      <c r="I83" s="14">
        <f>'MKT DATA'!M141</f>
        <v>0</v>
      </c>
      <c r="J83" s="44" t="str">
        <f t="shared" si="6"/>
        <v>syn BTCF7/BTCZ6/BTCX6/BTCU6</v>
      </c>
      <c r="K83" s="9">
        <f>'MKT DATA'!O141</f>
        <v>0</v>
      </c>
      <c r="L83" s="9">
        <f>'MKT DATA'!P141</f>
        <v>0</v>
      </c>
      <c r="M83" s="9">
        <f>'MKT DATA'!Q141</f>
        <v>0</v>
      </c>
      <c r="N83" s="9">
        <f>'MKT DATA'!R141</f>
        <v>0</v>
      </c>
      <c r="O83" s="9">
        <f>'MKT DATA'!S141</f>
        <v>0</v>
      </c>
      <c r="P83" s="9">
        <f>'MKT DATA'!T141</f>
        <v>0</v>
      </c>
      <c r="Q83" s="44" t="str">
        <f t="shared" si="7"/>
        <v>syn BTCF7/BTCZ6/BTCX6/BTCU6</v>
      </c>
      <c r="R83" s="14">
        <f>'MKT DATA'!AB141</f>
        <v>0</v>
      </c>
    </row>
    <row r="84" spans="5:18" x14ac:dyDescent="0.25">
      <c r="E84" s="44" t="str">
        <f>'MKT DATA'!B142</f>
        <v>syn BTCF7/BTCZ6/BTCG7/BTCU6</v>
      </c>
      <c r="F84" s="14">
        <f>'MKT DATA'!J142</f>
        <v>0</v>
      </c>
      <c r="G84" s="9">
        <f>'MKT DATA'!K142</f>
        <v>0</v>
      </c>
      <c r="H84" s="9">
        <f>'MKT DATA'!L142</f>
        <v>0</v>
      </c>
      <c r="I84" s="14">
        <f>'MKT DATA'!M142</f>
        <v>0</v>
      </c>
      <c r="J84" s="44" t="str">
        <f t="shared" si="6"/>
        <v>syn BTCF7/BTCZ6/BTCG7/BTCU6</v>
      </c>
      <c r="K84" s="9">
        <f>'MKT DATA'!O142</f>
        <v>0</v>
      </c>
      <c r="L84" s="9">
        <f>'MKT DATA'!P142</f>
        <v>0</v>
      </c>
      <c r="M84" s="9">
        <f>'MKT DATA'!Q142</f>
        <v>0</v>
      </c>
      <c r="N84" s="9">
        <f>'MKT DATA'!R142</f>
        <v>0</v>
      </c>
      <c r="O84" s="9">
        <f>'MKT DATA'!S142</f>
        <v>0</v>
      </c>
      <c r="P84" s="9">
        <f>'MKT DATA'!T142</f>
        <v>0</v>
      </c>
      <c r="Q84" s="44" t="str">
        <f t="shared" si="7"/>
        <v>syn BTCF7/BTCZ6/BTCG7/BTCU6</v>
      </c>
      <c r="R84" s="14">
        <f>'MKT DATA'!AB142</f>
        <v>0</v>
      </c>
    </row>
    <row r="85" spans="5:18" x14ac:dyDescent="0.25">
      <c r="E85" s="44" t="str">
        <f>'MKT DATA'!B143</f>
        <v>syn BTCF7/BTCG7/BTCV6/BTCU6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BTCF7/BTCG7/BTCV6/BTCU6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BTCF7/BTCG7/BTCV6/BTCU6</v>
      </c>
      <c r="R85" s="14">
        <f>'MKT DATA'!AB143</f>
        <v>0</v>
      </c>
    </row>
    <row r="86" spans="5:18" x14ac:dyDescent="0.25">
      <c r="E86" s="44" t="str">
        <f>'MKT DATA'!B144</f>
        <v>syn BTCF7/BTCG7/BTCX6/BTCU6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BTCF7/BTCG7/BTCX6/BTCU6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BTCF7/BTCG7/BTCX6/BTCU6</v>
      </c>
      <c r="R86" s="14">
        <f>'MKT DATA'!AB144</f>
        <v>0</v>
      </c>
    </row>
    <row r="87" spans="5:18" x14ac:dyDescent="0.25">
      <c r="E87" s="44" t="str">
        <f>'MKT DATA'!B145</f>
        <v>syn BTCF7/BTCG7/BTCZ6/BTCU6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BTCF7/BTCG7/BTCZ6/BTCU6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BTCF7/BTCG7/BTCZ6/BTCU6</v>
      </c>
      <c r="R87" s="14">
        <f>'MKT DATA'!AB145</f>
        <v>0</v>
      </c>
    </row>
    <row r="88" spans="5:18" x14ac:dyDescent="0.25">
      <c r="E88" s="44" t="str">
        <f>'MKT DATA'!B146</f>
        <v>syn BTCG7/BTCV6/BTCX6/BTCU6</v>
      </c>
      <c r="F88" s="14">
        <f>'MKT DATA'!J146</f>
        <v>0</v>
      </c>
      <c r="G88" s="9">
        <f>'MKT DATA'!K146</f>
        <v>0</v>
      </c>
      <c r="H88" s="9">
        <f>'MKT DATA'!L146</f>
        <v>0</v>
      </c>
      <c r="I88" s="14">
        <f>'MKT DATA'!M146</f>
        <v>0</v>
      </c>
      <c r="J88" s="44" t="str">
        <f t="shared" si="6"/>
        <v>syn BTCG7/BTCV6/BTCX6/BTCU6</v>
      </c>
      <c r="K88" s="9">
        <f>'MKT DATA'!O146</f>
        <v>0</v>
      </c>
      <c r="L88" s="9">
        <f>'MKT DATA'!P146</f>
        <v>0</v>
      </c>
      <c r="M88" s="9">
        <f>'MKT DATA'!Q146</f>
        <v>0</v>
      </c>
      <c r="N88" s="9">
        <f>'MKT DATA'!R146</f>
        <v>0</v>
      </c>
      <c r="O88" s="9">
        <f>'MKT DATA'!S146</f>
        <v>0</v>
      </c>
      <c r="P88" s="9">
        <f>'MKT DATA'!T146</f>
        <v>0</v>
      </c>
      <c r="Q88" s="44" t="str">
        <f t="shared" si="7"/>
        <v>syn BTCG7/BTCV6/BTCX6/BTCU6</v>
      </c>
      <c r="R88" s="14">
        <f>'MKT DATA'!AB146</f>
        <v>0</v>
      </c>
    </row>
    <row r="89" spans="5:18" x14ac:dyDescent="0.25">
      <c r="E89" s="44" t="str">
        <f>'MKT DATA'!B147</f>
        <v>syn BTCG7/BTCV6/BTCZ6/BTCU6</v>
      </c>
      <c r="F89" s="14">
        <f>'MKT DATA'!J147</f>
        <v>0</v>
      </c>
      <c r="G89" s="9">
        <f>'MKT DATA'!K147</f>
        <v>0</v>
      </c>
      <c r="H89" s="9">
        <f>'MKT DATA'!L147</f>
        <v>0</v>
      </c>
      <c r="I89" s="14">
        <f>'MKT DATA'!M147</f>
        <v>0</v>
      </c>
      <c r="J89" s="44" t="str">
        <f t="shared" si="6"/>
        <v>syn BTCG7/BTCV6/BTCZ6/BTCU6</v>
      </c>
      <c r="K89" s="9">
        <f>'MKT DATA'!O147</f>
        <v>0</v>
      </c>
      <c r="L89" s="9">
        <f>'MKT DATA'!P147</f>
        <v>0</v>
      </c>
      <c r="M89" s="9">
        <f>'MKT DATA'!Q147</f>
        <v>0</v>
      </c>
      <c r="N89" s="9">
        <f>'MKT DATA'!R147</f>
        <v>0</v>
      </c>
      <c r="O89" s="9">
        <f>'MKT DATA'!S147</f>
        <v>0</v>
      </c>
      <c r="P89" s="9">
        <f>'MKT DATA'!T147</f>
        <v>0</v>
      </c>
      <c r="Q89" s="44" t="str">
        <f t="shared" si="7"/>
        <v>syn BTCG7/BTCV6/BTCZ6/BTCU6</v>
      </c>
      <c r="R89" s="14">
        <f>'MKT DATA'!AB147</f>
        <v>0</v>
      </c>
    </row>
    <row r="90" spans="5:18" x14ac:dyDescent="0.25">
      <c r="E90" s="44" t="str">
        <f>'MKT DATA'!B148</f>
        <v>syn BTCG7/BTCV6/BTCF7/BTCU6</v>
      </c>
      <c r="F90" s="14">
        <f>'MKT DATA'!J148</f>
        <v>0</v>
      </c>
      <c r="G90" s="9">
        <f>'MKT DATA'!K148</f>
        <v>0</v>
      </c>
      <c r="H90" s="9">
        <f>'MKT DATA'!L148</f>
        <v>0</v>
      </c>
      <c r="I90" s="14">
        <f>'MKT DATA'!M148</f>
        <v>0</v>
      </c>
      <c r="J90" s="44" t="str">
        <f t="shared" si="6"/>
        <v>syn BTCG7/BTCV6/BTCF7/BTCU6</v>
      </c>
      <c r="K90" s="9">
        <f>'MKT DATA'!O148</f>
        <v>0</v>
      </c>
      <c r="L90" s="9">
        <f>'MKT DATA'!P148</f>
        <v>0</v>
      </c>
      <c r="M90" s="9">
        <f>'MKT DATA'!Q148</f>
        <v>0</v>
      </c>
      <c r="N90" s="9">
        <f>'MKT DATA'!R148</f>
        <v>0</v>
      </c>
      <c r="O90" s="9">
        <f>'MKT DATA'!S148</f>
        <v>0</v>
      </c>
      <c r="P90" s="9">
        <f>'MKT DATA'!T148</f>
        <v>0</v>
      </c>
      <c r="Q90" s="44" t="str">
        <f t="shared" si="7"/>
        <v>syn BTCG7/BTCV6/BTCF7/BTCU6</v>
      </c>
      <c r="R90" s="14">
        <f>'MKT DATA'!AB148</f>
        <v>0</v>
      </c>
    </row>
    <row r="91" spans="5:18" x14ac:dyDescent="0.25">
      <c r="E91" s="44" t="str">
        <f>'MKT DATA'!B149</f>
        <v>syn BTCG7/BTCX6/BTCV6/BTCU6</v>
      </c>
      <c r="F91" s="14">
        <f>'MKT DATA'!J149</f>
        <v>0</v>
      </c>
      <c r="G91" s="9">
        <f>'MKT DATA'!K149</f>
        <v>0</v>
      </c>
      <c r="H91" s="9">
        <f>'MKT DATA'!L149</f>
        <v>0</v>
      </c>
      <c r="I91" s="14">
        <f>'MKT DATA'!M149</f>
        <v>0</v>
      </c>
      <c r="J91" s="44" t="str">
        <f t="shared" si="6"/>
        <v>syn BTCG7/BTCX6/BTCV6/BTCU6</v>
      </c>
      <c r="K91" s="9">
        <f>'MKT DATA'!O149</f>
        <v>0</v>
      </c>
      <c r="L91" s="9">
        <f>'MKT DATA'!P149</f>
        <v>0</v>
      </c>
      <c r="M91" s="9">
        <f>'MKT DATA'!Q149</f>
        <v>0</v>
      </c>
      <c r="N91" s="9">
        <f>'MKT DATA'!R149</f>
        <v>0</v>
      </c>
      <c r="O91" s="9">
        <f>'MKT DATA'!S149</f>
        <v>0</v>
      </c>
      <c r="P91" s="9">
        <f>'MKT DATA'!T149</f>
        <v>0</v>
      </c>
      <c r="Q91" s="44" t="str">
        <f t="shared" si="7"/>
        <v>syn BTCG7/BTCX6/BTCV6/BTCU6</v>
      </c>
      <c r="R91" s="14">
        <f>'MKT DATA'!AB149</f>
        <v>0</v>
      </c>
    </row>
    <row r="92" spans="5:18" x14ac:dyDescent="0.25">
      <c r="E92" s="44" t="str">
        <f>'MKT DATA'!B150</f>
        <v>syn BTCG7/BTCX6/BTCZ6/BTCU6</v>
      </c>
      <c r="F92" s="14">
        <f>'MKT DATA'!J150</f>
        <v>0</v>
      </c>
      <c r="G92" s="9">
        <f>'MKT DATA'!K150</f>
        <v>0</v>
      </c>
      <c r="H92" s="9">
        <f>'MKT DATA'!L150</f>
        <v>0</v>
      </c>
      <c r="I92" s="14">
        <f>'MKT DATA'!M150</f>
        <v>0</v>
      </c>
      <c r="J92" s="44" t="str">
        <f t="shared" si="6"/>
        <v>syn BTCG7/BTCX6/BTCZ6/BTCU6</v>
      </c>
      <c r="K92" s="9">
        <f>'MKT DATA'!O150</f>
        <v>0</v>
      </c>
      <c r="L92" s="9">
        <f>'MKT DATA'!P150</f>
        <v>0</v>
      </c>
      <c r="M92" s="9">
        <f>'MKT DATA'!Q150</f>
        <v>0</v>
      </c>
      <c r="N92" s="9">
        <f>'MKT DATA'!R150</f>
        <v>0</v>
      </c>
      <c r="O92" s="9">
        <f>'MKT DATA'!S150</f>
        <v>0</v>
      </c>
      <c r="P92" s="9">
        <f>'MKT DATA'!T150</f>
        <v>0</v>
      </c>
      <c r="Q92" s="44" t="str">
        <f t="shared" si="7"/>
        <v>syn BTCG7/BTCX6/BTCZ6/BTCU6</v>
      </c>
      <c r="R92" s="14">
        <f>'MKT DATA'!AB150</f>
        <v>0</v>
      </c>
    </row>
    <row r="93" spans="5:18" x14ac:dyDescent="0.25">
      <c r="E93" s="44" t="str">
        <f>'MKT DATA'!B151</f>
        <v>syn BTCG7/BTCX6/BTCF7/BTCU6</v>
      </c>
      <c r="F93" s="14">
        <f>'MKT DATA'!J151</f>
        <v>0</v>
      </c>
      <c r="G93" s="9">
        <f>'MKT DATA'!K151</f>
        <v>0</v>
      </c>
      <c r="H93" s="9">
        <f>'MKT DATA'!L151</f>
        <v>0</v>
      </c>
      <c r="I93" s="14">
        <f>'MKT DATA'!M151</f>
        <v>0</v>
      </c>
      <c r="J93" s="44" t="str">
        <f t="shared" si="6"/>
        <v>syn BTCG7/BTCX6/BTCF7/BTCU6</v>
      </c>
      <c r="K93" s="9">
        <f>'MKT DATA'!O151</f>
        <v>0</v>
      </c>
      <c r="L93" s="9">
        <f>'MKT DATA'!P151</f>
        <v>0</v>
      </c>
      <c r="M93" s="9">
        <f>'MKT DATA'!Q151</f>
        <v>0</v>
      </c>
      <c r="N93" s="9">
        <f>'MKT DATA'!R151</f>
        <v>0</v>
      </c>
      <c r="O93" s="9">
        <f>'MKT DATA'!S151</f>
        <v>0</v>
      </c>
      <c r="P93" s="9">
        <f>'MKT DATA'!T151</f>
        <v>0</v>
      </c>
      <c r="Q93" s="44" t="str">
        <f t="shared" si="7"/>
        <v>syn BTCG7/BTCX6/BTCF7/BTCU6</v>
      </c>
      <c r="R93" s="14">
        <f>'MKT DATA'!AB151</f>
        <v>0</v>
      </c>
    </row>
    <row r="94" spans="5:18" x14ac:dyDescent="0.25">
      <c r="E94" s="44" t="str">
        <f>'MKT DATA'!B152</f>
        <v>syn BTCG7/BTCZ6/BTCV6/BTCU6</v>
      </c>
      <c r="F94" s="14">
        <f>'MKT DATA'!J152</f>
        <v>0</v>
      </c>
      <c r="G94" s="9">
        <f>'MKT DATA'!K152</f>
        <v>0</v>
      </c>
      <c r="H94" s="9">
        <f>'MKT DATA'!L152</f>
        <v>0</v>
      </c>
      <c r="I94" s="14">
        <f>'MKT DATA'!M152</f>
        <v>0</v>
      </c>
      <c r="J94" s="44" t="str">
        <f t="shared" si="6"/>
        <v>syn BTCG7/BTCZ6/BTCV6/BTCU6</v>
      </c>
      <c r="K94" s="9">
        <f>'MKT DATA'!O152</f>
        <v>0</v>
      </c>
      <c r="L94" s="9">
        <f>'MKT DATA'!P152</f>
        <v>0</v>
      </c>
      <c r="M94" s="9">
        <f>'MKT DATA'!Q152</f>
        <v>0</v>
      </c>
      <c r="N94" s="9">
        <f>'MKT DATA'!R152</f>
        <v>0</v>
      </c>
      <c r="O94" s="9">
        <f>'MKT DATA'!S152</f>
        <v>0</v>
      </c>
      <c r="P94" s="9">
        <f>'MKT DATA'!T152</f>
        <v>0</v>
      </c>
      <c r="Q94" s="44" t="str">
        <f t="shared" si="7"/>
        <v>syn BTCG7/BTCZ6/BTCV6/BTCU6</v>
      </c>
      <c r="R94" s="14">
        <f>'MKT DATA'!AB152</f>
        <v>0</v>
      </c>
    </row>
    <row r="95" spans="5:18" x14ac:dyDescent="0.25">
      <c r="E95" s="44" t="str">
        <f>'MKT DATA'!B153</f>
        <v>syn BTCG7/BTCZ6/BTCX6/BTCU6</v>
      </c>
      <c r="F95" s="14">
        <f>'MKT DATA'!J153</f>
        <v>0</v>
      </c>
      <c r="G95" s="9">
        <f>'MKT DATA'!K153</f>
        <v>0</v>
      </c>
      <c r="H95" s="9">
        <f>'MKT DATA'!L153</f>
        <v>0</v>
      </c>
      <c r="I95" s="14">
        <f>'MKT DATA'!M153</f>
        <v>0</v>
      </c>
      <c r="J95" s="44" t="str">
        <f t="shared" si="6"/>
        <v>syn BTCG7/BTCZ6/BTCX6/BTCU6</v>
      </c>
      <c r="K95" s="9">
        <f>'MKT DATA'!O153</f>
        <v>0</v>
      </c>
      <c r="L95" s="9">
        <f>'MKT DATA'!P153</f>
        <v>0</v>
      </c>
      <c r="M95" s="9">
        <f>'MKT DATA'!Q153</f>
        <v>0</v>
      </c>
      <c r="N95" s="9">
        <f>'MKT DATA'!R153</f>
        <v>0</v>
      </c>
      <c r="O95" s="9">
        <f>'MKT DATA'!S153</f>
        <v>0</v>
      </c>
      <c r="P95" s="9">
        <f>'MKT DATA'!T153</f>
        <v>0</v>
      </c>
      <c r="Q95" s="44" t="str">
        <f t="shared" si="7"/>
        <v>syn BTCG7/BTCZ6/BTCX6/BTCU6</v>
      </c>
      <c r="R95" s="14">
        <f>'MKT DATA'!AB153</f>
        <v>0</v>
      </c>
    </row>
    <row r="96" spans="5:18" x14ac:dyDescent="0.25">
      <c r="E96" s="44" t="str">
        <f>'MKT DATA'!B154</f>
        <v>syn BTCG7/BTCZ6/BTCF7/BTCU6</v>
      </c>
      <c r="F96" s="14">
        <f>'MKT DATA'!J154</f>
        <v>0</v>
      </c>
      <c r="G96" s="9">
        <f>'MKT DATA'!K154</f>
        <v>0</v>
      </c>
      <c r="H96" s="9">
        <f>'MKT DATA'!L154</f>
        <v>0</v>
      </c>
      <c r="I96" s="14">
        <f>'MKT DATA'!M154</f>
        <v>0</v>
      </c>
      <c r="J96" s="44" t="str">
        <f t="shared" si="6"/>
        <v>syn BTCG7/BTCZ6/BTCF7/BTCU6</v>
      </c>
      <c r="K96" s="9">
        <f>'MKT DATA'!O154</f>
        <v>0</v>
      </c>
      <c r="L96" s="9">
        <f>'MKT DATA'!P154</f>
        <v>0</v>
      </c>
      <c r="M96" s="9">
        <f>'MKT DATA'!Q154</f>
        <v>0</v>
      </c>
      <c r="N96" s="9">
        <f>'MKT DATA'!R154</f>
        <v>0</v>
      </c>
      <c r="O96" s="9">
        <f>'MKT DATA'!S154</f>
        <v>0</v>
      </c>
      <c r="P96" s="9">
        <f>'MKT DATA'!T154</f>
        <v>0</v>
      </c>
      <c r="Q96" s="44" t="str">
        <f t="shared" si="7"/>
        <v>syn BTCG7/BTCZ6/BTCF7/BTCU6</v>
      </c>
      <c r="R96" s="14">
        <f>'MKT DATA'!AB154</f>
        <v>0</v>
      </c>
    </row>
    <row r="97" spans="5:18" x14ac:dyDescent="0.25">
      <c r="E97" s="44" t="str">
        <f>'MKT DATA'!B155</f>
        <v>syn BTCG7/BTCF7/BTCV6/BTCU6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BTCG7/BTCF7/BTCV6/BTCU6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BTCG7/BTCF7/BTCV6/BTCU6</v>
      </c>
      <c r="R97" s="14">
        <f>'MKT DATA'!AB155</f>
        <v>0</v>
      </c>
    </row>
    <row r="98" spans="5:18" x14ac:dyDescent="0.25">
      <c r="E98" s="44" t="str">
        <f>'MKT DATA'!B156</f>
        <v>syn BTCG7/BTCF7/BTCX6/BTCU6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BTCG7/BTCF7/BTCX6/BTCU6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BTCG7/BTCF7/BTCX6/BTCU6</v>
      </c>
      <c r="R98" s="14">
        <f>'MKT DATA'!AB156</f>
        <v>0</v>
      </c>
    </row>
    <row r="99" spans="5:18" x14ac:dyDescent="0.25">
      <c r="E99" s="44" t="str">
        <f>'MKT DATA'!B157</f>
        <v>syn BTCG7/BTCF7/BTCZ6/BTCU6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BTCG7/BTCF7/BTCZ6/BTCU6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BTCG7/BTCF7/BTCZ6/BTCU6</v>
      </c>
      <c r="R99" s="14">
        <f>'MKT DATA'!AB157</f>
        <v>0</v>
      </c>
    </row>
    <row r="100" spans="5:18" x14ac:dyDescent="0.25">
      <c r="E100" s="44" t="str">
        <f>'MKT DATA'!B158</f>
        <v>syn BTCV6/BTCX6/BTCZ6/BTCF7/BTCU6</v>
      </c>
      <c r="F100" s="14">
        <f>'MKT DATA'!J158</f>
        <v>0</v>
      </c>
      <c r="G100" s="9">
        <f>'MKT DATA'!K158</f>
        <v>0</v>
      </c>
      <c r="H100" s="9">
        <f>'MKT DATA'!L158</f>
        <v>0</v>
      </c>
      <c r="I100" s="14">
        <f>'MKT DATA'!M158</f>
        <v>0</v>
      </c>
      <c r="J100" s="44" t="str">
        <f t="shared" si="6"/>
        <v>syn BTCV6/BTCX6/BTCZ6/BTCF7/BTCU6</v>
      </c>
      <c r="K100" s="9">
        <f>'MKT DATA'!O158</f>
        <v>0</v>
      </c>
      <c r="L100" s="9">
        <f>'MKT DATA'!P158</f>
        <v>0</v>
      </c>
      <c r="M100" s="9">
        <f>'MKT DATA'!Q158</f>
        <v>0</v>
      </c>
      <c r="N100" s="9">
        <f>'MKT DATA'!R158</f>
        <v>0</v>
      </c>
      <c r="O100" s="9">
        <f>'MKT DATA'!S158</f>
        <v>0</v>
      </c>
      <c r="P100" s="9">
        <f>'MKT DATA'!T158</f>
        <v>0</v>
      </c>
      <c r="Q100" s="44" t="str">
        <f t="shared" si="7"/>
        <v>syn BTCV6/BTCX6/BTCZ6/BTCF7/BTCU6</v>
      </c>
      <c r="R100" s="14">
        <f>'MKT DATA'!AB158</f>
        <v>0</v>
      </c>
    </row>
    <row r="101" spans="5:18" x14ac:dyDescent="0.25">
      <c r="E101" s="44" t="str">
        <f>'MKT DATA'!B159</f>
        <v>syn BTCV6/BTCX6/BTCZ6/BTCG7/BTCU6</v>
      </c>
      <c r="F101" s="14">
        <f>'MKT DATA'!J159</f>
        <v>0</v>
      </c>
      <c r="G101" s="9">
        <f>'MKT DATA'!K159</f>
        <v>0</v>
      </c>
      <c r="H101" s="9">
        <f>'MKT DATA'!L159</f>
        <v>0</v>
      </c>
      <c r="I101" s="14">
        <f>'MKT DATA'!M159</f>
        <v>0</v>
      </c>
      <c r="J101" s="44" t="str">
        <f t="shared" si="6"/>
        <v>syn BTCV6/BTCX6/BTCZ6/BTCG7/BTCU6</v>
      </c>
      <c r="K101" s="9">
        <f>'MKT DATA'!O159</f>
        <v>0</v>
      </c>
      <c r="L101" s="9">
        <f>'MKT DATA'!P159</f>
        <v>0</v>
      </c>
      <c r="M101" s="9">
        <f>'MKT DATA'!Q159</f>
        <v>0</v>
      </c>
      <c r="N101" s="9">
        <f>'MKT DATA'!R159</f>
        <v>0</v>
      </c>
      <c r="O101" s="9">
        <f>'MKT DATA'!S159</f>
        <v>0</v>
      </c>
      <c r="P101" s="9">
        <f>'MKT DATA'!T159</f>
        <v>0</v>
      </c>
      <c r="Q101" s="44" t="str">
        <f t="shared" si="7"/>
        <v>syn BTCV6/BTCX6/BTCZ6/BTCG7/BTCU6</v>
      </c>
      <c r="R101" s="14">
        <f>'MKT DATA'!AB159</f>
        <v>0</v>
      </c>
    </row>
    <row r="102" spans="5:18" x14ac:dyDescent="0.25">
      <c r="E102" s="44" t="str">
        <f>'MKT DATA'!B160</f>
        <v>syn BTCV6/BTCX6/BTCF7/BTCZ6/BTCU6</v>
      </c>
      <c r="F102" s="14">
        <f>'MKT DATA'!J160</f>
        <v>0</v>
      </c>
      <c r="G102" s="9">
        <f>'MKT DATA'!K160</f>
        <v>0</v>
      </c>
      <c r="H102" s="9">
        <f>'MKT DATA'!L160</f>
        <v>0</v>
      </c>
      <c r="I102" s="14">
        <f>'MKT DATA'!M160</f>
        <v>0</v>
      </c>
      <c r="J102" s="44" t="str">
        <f t="shared" si="6"/>
        <v>syn BTCV6/BTCX6/BTCF7/BTCZ6/BTCU6</v>
      </c>
      <c r="K102" s="9">
        <f>'MKT DATA'!O160</f>
        <v>0</v>
      </c>
      <c r="L102" s="9">
        <f>'MKT DATA'!P160</f>
        <v>0</v>
      </c>
      <c r="M102" s="9">
        <f>'MKT DATA'!Q160</f>
        <v>0</v>
      </c>
      <c r="N102" s="9">
        <f>'MKT DATA'!R160</f>
        <v>0</v>
      </c>
      <c r="O102" s="9">
        <f>'MKT DATA'!S160</f>
        <v>0</v>
      </c>
      <c r="P102" s="9">
        <f>'MKT DATA'!T160</f>
        <v>0</v>
      </c>
      <c r="Q102" s="44" t="str">
        <f t="shared" si="7"/>
        <v>syn BTCV6/BTCX6/BTCF7/BTCZ6/BTCU6</v>
      </c>
      <c r="R102" s="14">
        <f>'MKT DATA'!AB160</f>
        <v>0</v>
      </c>
    </row>
    <row r="103" spans="5:18" x14ac:dyDescent="0.25">
      <c r="E103" s="44" t="str">
        <f>'MKT DATA'!B161</f>
        <v>syn BTCV6/BTCX6/BTCF7/BTCG7/BTCU6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BTCV6/BTCX6/BTCF7/BTCG7/BTCU6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BTCV6/BTCX6/BTCF7/BTCG7/BTCU6</v>
      </c>
      <c r="R103" s="14">
        <f>'MKT DATA'!AB161</f>
        <v>0</v>
      </c>
    </row>
    <row r="104" spans="5:18" x14ac:dyDescent="0.25">
      <c r="E104" s="44" t="str">
        <f>'MKT DATA'!B162</f>
        <v>syn BTCV6/BTCX6/BTCG7/BTCZ6/BTCU6</v>
      </c>
      <c r="F104" s="14">
        <f>'MKT DATA'!J162</f>
        <v>0</v>
      </c>
      <c r="G104" s="9">
        <f>'MKT DATA'!K162</f>
        <v>0</v>
      </c>
      <c r="H104" s="9">
        <f>'MKT DATA'!L162</f>
        <v>0</v>
      </c>
      <c r="I104" s="14">
        <f>'MKT DATA'!M162</f>
        <v>0</v>
      </c>
      <c r="J104" s="44" t="str">
        <f t="shared" si="6"/>
        <v>syn BTCV6/BTCX6/BTCG7/BTCZ6/BTCU6</v>
      </c>
      <c r="K104" s="9">
        <f>'MKT DATA'!O162</f>
        <v>0</v>
      </c>
      <c r="L104" s="9">
        <f>'MKT DATA'!P162</f>
        <v>0</v>
      </c>
      <c r="M104" s="9">
        <f>'MKT DATA'!Q162</f>
        <v>0</v>
      </c>
      <c r="N104" s="9">
        <f>'MKT DATA'!R162</f>
        <v>0</v>
      </c>
      <c r="O104" s="9">
        <f>'MKT DATA'!S162</f>
        <v>0</v>
      </c>
      <c r="P104" s="9">
        <f>'MKT DATA'!T162</f>
        <v>0</v>
      </c>
      <c r="Q104" s="44" t="str">
        <f t="shared" si="7"/>
        <v>syn BTCV6/BTCX6/BTCG7/BTCZ6/BTCU6</v>
      </c>
      <c r="R104" s="14">
        <f>'MKT DATA'!AB162</f>
        <v>0</v>
      </c>
    </row>
    <row r="105" spans="5:18" x14ac:dyDescent="0.25">
      <c r="E105" s="44" t="str">
        <f>'MKT DATA'!B163</f>
        <v>syn BTCV6/BTCX6/BTCG7/BTCF7/BTCU6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BTCV6/BTCX6/BTCG7/BTCF7/BTCU6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BTCV6/BTCX6/BTCG7/BTCF7/BTCU6</v>
      </c>
      <c r="R105" s="14">
        <f>'MKT DATA'!AB163</f>
        <v>0</v>
      </c>
    </row>
    <row r="106" spans="5:18" x14ac:dyDescent="0.25">
      <c r="E106" s="44" t="str">
        <f>'MKT DATA'!B164</f>
        <v>syn BTCV6/BTCZ6/BTCX6/BTCF7/BTCU6</v>
      </c>
      <c r="F106" s="14">
        <f>'MKT DATA'!J164</f>
        <v>0</v>
      </c>
      <c r="G106" s="9">
        <f>'MKT DATA'!K164</f>
        <v>0</v>
      </c>
      <c r="H106" s="9">
        <f>'MKT DATA'!L164</f>
        <v>0</v>
      </c>
      <c r="I106" s="14">
        <f>'MKT DATA'!M164</f>
        <v>0</v>
      </c>
      <c r="J106" s="44" t="str">
        <f t="shared" si="6"/>
        <v>syn BTCV6/BTCZ6/BTCX6/BTCF7/BTCU6</v>
      </c>
      <c r="K106" s="9">
        <f>'MKT DATA'!O164</f>
        <v>0</v>
      </c>
      <c r="L106" s="9">
        <f>'MKT DATA'!P164</f>
        <v>0</v>
      </c>
      <c r="M106" s="9">
        <f>'MKT DATA'!Q164</f>
        <v>0</v>
      </c>
      <c r="N106" s="9">
        <f>'MKT DATA'!R164</f>
        <v>0</v>
      </c>
      <c r="O106" s="9">
        <f>'MKT DATA'!S164</f>
        <v>0</v>
      </c>
      <c r="P106" s="9">
        <f>'MKT DATA'!T164</f>
        <v>0</v>
      </c>
      <c r="Q106" s="44" t="str">
        <f t="shared" si="7"/>
        <v>syn BTCV6/BTCZ6/BTCX6/BTCF7/BTCU6</v>
      </c>
      <c r="R106" s="14">
        <f>'MKT DATA'!AB164</f>
        <v>0</v>
      </c>
    </row>
    <row r="107" spans="5:18" x14ac:dyDescent="0.25">
      <c r="E107" s="44" t="str">
        <f>'MKT DATA'!B165</f>
        <v>syn BTCV6/BTCZ6/BTCX6/BTCG7/BTCU6</v>
      </c>
      <c r="F107" s="14">
        <f>'MKT DATA'!J165</f>
        <v>0</v>
      </c>
      <c r="G107" s="9">
        <f>'MKT DATA'!K165</f>
        <v>0</v>
      </c>
      <c r="H107" s="9">
        <f>'MKT DATA'!L165</f>
        <v>0</v>
      </c>
      <c r="I107" s="14">
        <f>'MKT DATA'!M165</f>
        <v>0</v>
      </c>
      <c r="J107" s="44" t="str">
        <f t="shared" si="6"/>
        <v>syn BTCV6/BTCZ6/BTCX6/BTCG7/BTCU6</v>
      </c>
      <c r="K107" s="9">
        <f>'MKT DATA'!O165</f>
        <v>0</v>
      </c>
      <c r="L107" s="9">
        <f>'MKT DATA'!P165</f>
        <v>0</v>
      </c>
      <c r="M107" s="9">
        <f>'MKT DATA'!Q165</f>
        <v>0</v>
      </c>
      <c r="N107" s="9">
        <f>'MKT DATA'!R165</f>
        <v>0</v>
      </c>
      <c r="O107" s="9">
        <f>'MKT DATA'!S165</f>
        <v>0</v>
      </c>
      <c r="P107" s="9">
        <f>'MKT DATA'!T165</f>
        <v>0</v>
      </c>
      <c r="Q107" s="44" t="str">
        <f t="shared" si="7"/>
        <v>syn BTCV6/BTCZ6/BTCX6/BTCG7/BTCU6</v>
      </c>
      <c r="R107" s="14">
        <f>'MKT DATA'!AB165</f>
        <v>0</v>
      </c>
    </row>
    <row r="108" spans="5:18" x14ac:dyDescent="0.25">
      <c r="E108" s="44" t="str">
        <f>'MKT DATA'!B166</f>
        <v>syn BTCV6/BTCZ6/BTCF7/BTCX6/BTCU6</v>
      </c>
      <c r="F108" s="14">
        <f>'MKT DATA'!J166</f>
        <v>0</v>
      </c>
      <c r="G108" s="9">
        <f>'MKT DATA'!K166</f>
        <v>0</v>
      </c>
      <c r="H108" s="9">
        <f>'MKT DATA'!L166</f>
        <v>0</v>
      </c>
      <c r="I108" s="14">
        <f>'MKT DATA'!M166</f>
        <v>0</v>
      </c>
      <c r="J108" s="44" t="str">
        <f t="shared" si="6"/>
        <v>syn BTCV6/BTCZ6/BTCF7/BTCX6/BTCU6</v>
      </c>
      <c r="K108" s="9">
        <f>'MKT DATA'!O166</f>
        <v>0</v>
      </c>
      <c r="L108" s="9">
        <f>'MKT DATA'!P166</f>
        <v>0</v>
      </c>
      <c r="M108" s="9">
        <f>'MKT DATA'!Q166</f>
        <v>0</v>
      </c>
      <c r="N108" s="9">
        <f>'MKT DATA'!R166</f>
        <v>0</v>
      </c>
      <c r="O108" s="9">
        <f>'MKT DATA'!S166</f>
        <v>0</v>
      </c>
      <c r="P108" s="9">
        <f>'MKT DATA'!T166</f>
        <v>0</v>
      </c>
      <c r="Q108" s="44" t="str">
        <f t="shared" si="7"/>
        <v>syn BTCV6/BTCZ6/BTCF7/BTCX6/BTCU6</v>
      </c>
      <c r="R108" s="14">
        <f>'MKT DATA'!AB166</f>
        <v>0</v>
      </c>
    </row>
    <row r="109" spans="5:18" x14ac:dyDescent="0.25">
      <c r="E109" s="44" t="str">
        <f>'MKT DATA'!B167</f>
        <v>syn BTCV6/BTCZ6/BTCF7/BTCG7/BTCU6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BTCV6/BTCZ6/BTCF7/BTCG7/BTCU6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BTCV6/BTCZ6/BTCF7/BTCG7/BTCU6</v>
      </c>
      <c r="R109" s="14">
        <f>'MKT DATA'!AB167</f>
        <v>0</v>
      </c>
    </row>
    <row r="110" spans="5:18" x14ac:dyDescent="0.25">
      <c r="E110" s="44" t="str">
        <f>'MKT DATA'!B168</f>
        <v>syn BTCV6/BTCZ6/BTCG7/BTCX6/BTCU6</v>
      </c>
      <c r="F110" s="14">
        <f>'MKT DATA'!J168</f>
        <v>0</v>
      </c>
      <c r="G110" s="9">
        <f>'MKT DATA'!K168</f>
        <v>0</v>
      </c>
      <c r="H110" s="9">
        <f>'MKT DATA'!L168</f>
        <v>0</v>
      </c>
      <c r="I110" s="14">
        <f>'MKT DATA'!M168</f>
        <v>0</v>
      </c>
      <c r="J110" s="44" t="str">
        <f t="shared" si="6"/>
        <v>syn BTCV6/BTCZ6/BTCG7/BTCX6/BTCU6</v>
      </c>
      <c r="K110" s="9">
        <f>'MKT DATA'!O168</f>
        <v>0</v>
      </c>
      <c r="L110" s="9">
        <f>'MKT DATA'!P168</f>
        <v>0</v>
      </c>
      <c r="M110" s="9">
        <f>'MKT DATA'!Q168</f>
        <v>0</v>
      </c>
      <c r="N110" s="9">
        <f>'MKT DATA'!R168</f>
        <v>0</v>
      </c>
      <c r="O110" s="9">
        <f>'MKT DATA'!S168</f>
        <v>0</v>
      </c>
      <c r="P110" s="9">
        <f>'MKT DATA'!T168</f>
        <v>0</v>
      </c>
      <c r="Q110" s="44" t="str">
        <f t="shared" si="7"/>
        <v>syn BTCV6/BTCZ6/BTCG7/BTCX6/BTCU6</v>
      </c>
      <c r="R110" s="14">
        <f>'MKT DATA'!AB168</f>
        <v>0</v>
      </c>
    </row>
    <row r="111" spans="5:18" x14ac:dyDescent="0.25">
      <c r="E111" s="44" t="str">
        <f>'MKT DATA'!B169</f>
        <v>syn BTCV6/BTCZ6/BTCG7/BTCF7/BTCU6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BTCV6/BTCZ6/BTCG7/BTCF7/BTCU6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BTCV6/BTCZ6/BTCG7/BTCF7/BTCU6</v>
      </c>
      <c r="R111" s="14">
        <f>'MKT DATA'!AB169</f>
        <v>0</v>
      </c>
    </row>
    <row r="112" spans="5:18" x14ac:dyDescent="0.25">
      <c r="E112" s="44" t="str">
        <f>'MKT DATA'!B170</f>
        <v>syn BTCV6/BTCF7/BTCX6/BTCZ6/BTCU6</v>
      </c>
      <c r="F112" s="14">
        <f>'MKT DATA'!J170</f>
        <v>0</v>
      </c>
      <c r="G112" s="9">
        <f>'MKT DATA'!K170</f>
        <v>0</v>
      </c>
      <c r="H112" s="9">
        <f>'MKT DATA'!L170</f>
        <v>0</v>
      </c>
      <c r="I112" s="14">
        <f>'MKT DATA'!M170</f>
        <v>0</v>
      </c>
      <c r="J112" s="44" t="str">
        <f t="shared" si="6"/>
        <v>syn BTCV6/BTCF7/BTCX6/BTCZ6/BTCU6</v>
      </c>
      <c r="K112" s="9">
        <f>'MKT DATA'!O170</f>
        <v>0</v>
      </c>
      <c r="L112" s="9">
        <f>'MKT DATA'!P170</f>
        <v>0</v>
      </c>
      <c r="M112" s="9">
        <f>'MKT DATA'!Q170</f>
        <v>0</v>
      </c>
      <c r="N112" s="9">
        <f>'MKT DATA'!R170</f>
        <v>0</v>
      </c>
      <c r="O112" s="9">
        <f>'MKT DATA'!S170</f>
        <v>0</v>
      </c>
      <c r="P112" s="9">
        <f>'MKT DATA'!T170</f>
        <v>0</v>
      </c>
      <c r="Q112" s="44" t="str">
        <f t="shared" si="7"/>
        <v>syn BTCV6/BTCF7/BTCX6/BTCZ6/BTCU6</v>
      </c>
      <c r="R112" s="14">
        <f>'MKT DATA'!AB170</f>
        <v>0</v>
      </c>
    </row>
    <row r="113" spans="5:18" x14ac:dyDescent="0.25">
      <c r="E113" s="44" t="str">
        <f>'MKT DATA'!B171</f>
        <v>syn BTCV6/BTCF7/BTCX6/BTCG7/BTCU6</v>
      </c>
      <c r="F113" s="14">
        <f>'MKT DATA'!J171</f>
        <v>0</v>
      </c>
      <c r="G113" s="9">
        <f>'MKT DATA'!K171</f>
        <v>0</v>
      </c>
      <c r="H113" s="9">
        <f>'MKT DATA'!L171</f>
        <v>0</v>
      </c>
      <c r="I113" s="14">
        <f>'MKT DATA'!M171</f>
        <v>0</v>
      </c>
      <c r="J113" s="44" t="str">
        <f t="shared" si="6"/>
        <v>syn BTCV6/BTCF7/BTCX6/BTCG7/BTCU6</v>
      </c>
      <c r="K113" s="9">
        <f>'MKT DATA'!O171</f>
        <v>0</v>
      </c>
      <c r="L113" s="9">
        <f>'MKT DATA'!P171</f>
        <v>0</v>
      </c>
      <c r="M113" s="9">
        <f>'MKT DATA'!Q171</f>
        <v>0</v>
      </c>
      <c r="N113" s="9">
        <f>'MKT DATA'!R171</f>
        <v>0</v>
      </c>
      <c r="O113" s="9">
        <f>'MKT DATA'!S171</f>
        <v>0</v>
      </c>
      <c r="P113" s="9">
        <f>'MKT DATA'!T171</f>
        <v>0</v>
      </c>
      <c r="Q113" s="44" t="str">
        <f t="shared" si="7"/>
        <v>syn BTCV6/BTCF7/BTCX6/BTCG7/BTCU6</v>
      </c>
      <c r="R113" s="14">
        <f>'MKT DATA'!AB171</f>
        <v>0</v>
      </c>
    </row>
    <row r="114" spans="5:18" x14ac:dyDescent="0.25">
      <c r="E114" s="44" t="str">
        <f>'MKT DATA'!B172</f>
        <v>syn BTCV6/BTCF7/BTCZ6/BTCX6/BTCU6</v>
      </c>
      <c r="F114" s="14">
        <f>'MKT DATA'!J172</f>
        <v>0</v>
      </c>
      <c r="G114" s="9">
        <f>'MKT DATA'!K172</f>
        <v>0</v>
      </c>
      <c r="H114" s="9">
        <f>'MKT DATA'!L172</f>
        <v>0</v>
      </c>
      <c r="I114" s="14">
        <f>'MKT DATA'!M172</f>
        <v>0</v>
      </c>
      <c r="J114" s="44" t="str">
        <f t="shared" si="6"/>
        <v>syn BTCV6/BTCF7/BTCZ6/BTCX6/BTCU6</v>
      </c>
      <c r="K114" s="9">
        <f>'MKT DATA'!O172</f>
        <v>0</v>
      </c>
      <c r="L114" s="9">
        <f>'MKT DATA'!P172</f>
        <v>0</v>
      </c>
      <c r="M114" s="9">
        <f>'MKT DATA'!Q172</f>
        <v>0</v>
      </c>
      <c r="N114" s="9">
        <f>'MKT DATA'!R172</f>
        <v>0</v>
      </c>
      <c r="O114" s="9">
        <f>'MKT DATA'!S172</f>
        <v>0</v>
      </c>
      <c r="P114" s="9">
        <f>'MKT DATA'!T172</f>
        <v>0</v>
      </c>
      <c r="Q114" s="44" t="str">
        <f t="shared" si="7"/>
        <v>syn BTCV6/BTCF7/BTCZ6/BTCX6/BTCU6</v>
      </c>
      <c r="R114" s="14">
        <f>'MKT DATA'!AB172</f>
        <v>0</v>
      </c>
    </row>
    <row r="115" spans="5:18" x14ac:dyDescent="0.25">
      <c r="E115" s="44" t="str">
        <f>'MKT DATA'!B173</f>
        <v>syn BTCV6/BTCF7/BTCZ6/BTCG7/BTCU6</v>
      </c>
      <c r="F115" s="14">
        <f>'MKT DATA'!J173</f>
        <v>0</v>
      </c>
      <c r="G115" s="9">
        <f>'MKT DATA'!K173</f>
        <v>0</v>
      </c>
      <c r="H115" s="9">
        <f>'MKT DATA'!L173</f>
        <v>0</v>
      </c>
      <c r="I115" s="14">
        <f>'MKT DATA'!M173</f>
        <v>0</v>
      </c>
      <c r="J115" s="44" t="str">
        <f t="shared" si="6"/>
        <v>syn BTCV6/BTCF7/BTCZ6/BTCG7/BTCU6</v>
      </c>
      <c r="K115" s="9">
        <f>'MKT DATA'!O173</f>
        <v>0</v>
      </c>
      <c r="L115" s="9">
        <f>'MKT DATA'!P173</f>
        <v>0</v>
      </c>
      <c r="M115" s="9">
        <f>'MKT DATA'!Q173</f>
        <v>0</v>
      </c>
      <c r="N115" s="9">
        <f>'MKT DATA'!R173</f>
        <v>0</v>
      </c>
      <c r="O115" s="9">
        <f>'MKT DATA'!S173</f>
        <v>0</v>
      </c>
      <c r="P115" s="9">
        <f>'MKT DATA'!T173</f>
        <v>0</v>
      </c>
      <c r="Q115" s="44" t="str">
        <f t="shared" si="7"/>
        <v>syn BTCV6/BTCF7/BTCZ6/BTCG7/BTCU6</v>
      </c>
      <c r="R115" s="14">
        <f>'MKT DATA'!AB173</f>
        <v>0</v>
      </c>
    </row>
    <row r="116" spans="5:18" x14ac:dyDescent="0.25">
      <c r="E116" s="44" t="str">
        <f>'MKT DATA'!B174</f>
        <v>syn BTCV6/BTCF7/BTCG7/BTCX6/BTCU6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BTCV6/BTCF7/BTCG7/BTCX6/BTCU6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BTCV6/BTCF7/BTCG7/BTCX6/BTCU6</v>
      </c>
      <c r="R116" s="14">
        <f>'MKT DATA'!AB174</f>
        <v>0</v>
      </c>
    </row>
    <row r="117" spans="5:18" x14ac:dyDescent="0.25">
      <c r="E117" s="44" t="str">
        <f>'MKT DATA'!B175</f>
        <v>syn BTCV6/BTCF7/BTCG7/BTCZ6/BTCU6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BTCV6/BTCF7/BTCG7/BTCZ6/BTCU6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BTCV6/BTCF7/BTCG7/BTCZ6/BTCU6</v>
      </c>
      <c r="R117" s="14">
        <f>'MKT DATA'!AB175</f>
        <v>0</v>
      </c>
    </row>
    <row r="118" spans="5:18" x14ac:dyDescent="0.25">
      <c r="E118" s="44" t="str">
        <f>'MKT DATA'!B176</f>
        <v>syn BTCV6/BTCG7/BTCX6/BTCZ6/BTCU6</v>
      </c>
      <c r="F118" s="14">
        <f>'MKT DATA'!J176</f>
        <v>0</v>
      </c>
      <c r="G118" s="9">
        <f>'MKT DATA'!K176</f>
        <v>0</v>
      </c>
      <c r="H118" s="9">
        <f>'MKT DATA'!L176</f>
        <v>0</v>
      </c>
      <c r="I118" s="14">
        <f>'MKT DATA'!M176</f>
        <v>0</v>
      </c>
      <c r="J118" s="44" t="str">
        <f t="shared" si="6"/>
        <v>syn BTCV6/BTCG7/BTCX6/BTCZ6/BTCU6</v>
      </c>
      <c r="K118" s="9">
        <f>'MKT DATA'!O176</f>
        <v>0</v>
      </c>
      <c r="L118" s="9">
        <f>'MKT DATA'!P176</f>
        <v>0</v>
      </c>
      <c r="M118" s="9">
        <f>'MKT DATA'!Q176</f>
        <v>0</v>
      </c>
      <c r="N118" s="9">
        <f>'MKT DATA'!R176</f>
        <v>0</v>
      </c>
      <c r="O118" s="9">
        <f>'MKT DATA'!S176</f>
        <v>0</v>
      </c>
      <c r="P118" s="9">
        <f>'MKT DATA'!T176</f>
        <v>0</v>
      </c>
      <c r="Q118" s="44" t="str">
        <f t="shared" si="7"/>
        <v>syn BTCV6/BTCG7/BTCX6/BTCZ6/BTCU6</v>
      </c>
      <c r="R118" s="14">
        <f>'MKT DATA'!AB176</f>
        <v>0</v>
      </c>
    </row>
    <row r="119" spans="5:18" x14ac:dyDescent="0.25">
      <c r="E119" s="44" t="str">
        <f>'MKT DATA'!B177</f>
        <v>syn BTCV6/BTCG7/BTCX6/BTCF7/BTCU6</v>
      </c>
      <c r="F119" s="14">
        <f>'MKT DATA'!J177</f>
        <v>0</v>
      </c>
      <c r="G119" s="9">
        <f>'MKT DATA'!K177</f>
        <v>0</v>
      </c>
      <c r="H119" s="9">
        <f>'MKT DATA'!L177</f>
        <v>0</v>
      </c>
      <c r="I119" s="14">
        <f>'MKT DATA'!M177</f>
        <v>0</v>
      </c>
      <c r="J119" s="44" t="str">
        <f t="shared" si="6"/>
        <v>syn BTCV6/BTCG7/BTCX6/BTCF7/BTCU6</v>
      </c>
      <c r="K119" s="9">
        <f>'MKT DATA'!O177</f>
        <v>0</v>
      </c>
      <c r="L119" s="9">
        <f>'MKT DATA'!P177</f>
        <v>0</v>
      </c>
      <c r="M119" s="9">
        <f>'MKT DATA'!Q177</f>
        <v>0</v>
      </c>
      <c r="N119" s="9">
        <f>'MKT DATA'!R177</f>
        <v>0</v>
      </c>
      <c r="O119" s="9">
        <f>'MKT DATA'!S177</f>
        <v>0</v>
      </c>
      <c r="P119" s="9">
        <f>'MKT DATA'!T177</f>
        <v>0</v>
      </c>
      <c r="Q119" s="44" t="str">
        <f t="shared" si="7"/>
        <v>syn BTCV6/BTCG7/BTCX6/BTCF7/BTCU6</v>
      </c>
      <c r="R119" s="14">
        <f>'MKT DATA'!AB177</f>
        <v>0</v>
      </c>
    </row>
    <row r="120" spans="5:18" x14ac:dyDescent="0.25">
      <c r="E120" s="44" t="str">
        <f>'MKT DATA'!B178</f>
        <v>syn BTCV6/BTCG7/BTCZ6/BTCX6/BTCU6</v>
      </c>
      <c r="F120" s="14">
        <f>'MKT DATA'!J178</f>
        <v>0</v>
      </c>
      <c r="G120" s="9">
        <f>'MKT DATA'!K178</f>
        <v>0</v>
      </c>
      <c r="H120" s="9">
        <f>'MKT DATA'!L178</f>
        <v>0</v>
      </c>
      <c r="I120" s="14">
        <f>'MKT DATA'!M178</f>
        <v>0</v>
      </c>
      <c r="J120" s="44" t="str">
        <f t="shared" si="6"/>
        <v>syn BTCV6/BTCG7/BTCZ6/BTCX6/BTCU6</v>
      </c>
      <c r="K120" s="9">
        <f>'MKT DATA'!O178</f>
        <v>0</v>
      </c>
      <c r="L120" s="9">
        <f>'MKT DATA'!P178</f>
        <v>0</v>
      </c>
      <c r="M120" s="9">
        <f>'MKT DATA'!Q178</f>
        <v>0</v>
      </c>
      <c r="N120" s="9">
        <f>'MKT DATA'!R178</f>
        <v>0</v>
      </c>
      <c r="O120" s="9">
        <f>'MKT DATA'!S178</f>
        <v>0</v>
      </c>
      <c r="P120" s="9">
        <f>'MKT DATA'!T178</f>
        <v>0</v>
      </c>
      <c r="Q120" s="44" t="str">
        <f t="shared" si="7"/>
        <v>syn BTCV6/BTCG7/BTCZ6/BTCX6/BTCU6</v>
      </c>
      <c r="R120" s="14">
        <f>'MKT DATA'!AB178</f>
        <v>0</v>
      </c>
    </row>
    <row r="121" spans="5:18" x14ac:dyDescent="0.25">
      <c r="E121" s="44" t="str">
        <f>'MKT DATA'!B179</f>
        <v>syn BTCV6/BTCG7/BTCZ6/BTCF7/BTCU6</v>
      </c>
      <c r="F121" s="14">
        <f>'MKT DATA'!J179</f>
        <v>0</v>
      </c>
      <c r="G121" s="9">
        <f>'MKT DATA'!K179</f>
        <v>0</v>
      </c>
      <c r="H121" s="9">
        <f>'MKT DATA'!L179</f>
        <v>0</v>
      </c>
      <c r="I121" s="14">
        <f>'MKT DATA'!M179</f>
        <v>0</v>
      </c>
      <c r="J121" s="44" t="str">
        <f t="shared" si="6"/>
        <v>syn BTCV6/BTCG7/BTCZ6/BTCF7/BTCU6</v>
      </c>
      <c r="K121" s="9">
        <f>'MKT DATA'!O179</f>
        <v>0</v>
      </c>
      <c r="L121" s="9">
        <f>'MKT DATA'!P179</f>
        <v>0</v>
      </c>
      <c r="M121" s="9">
        <f>'MKT DATA'!Q179</f>
        <v>0</v>
      </c>
      <c r="N121" s="9">
        <f>'MKT DATA'!R179</f>
        <v>0</v>
      </c>
      <c r="O121" s="9">
        <f>'MKT DATA'!S179</f>
        <v>0</v>
      </c>
      <c r="P121" s="9">
        <f>'MKT DATA'!T179</f>
        <v>0</v>
      </c>
      <c r="Q121" s="44" t="str">
        <f t="shared" si="7"/>
        <v>syn BTCV6/BTCG7/BTCZ6/BTCF7/BTCU6</v>
      </c>
      <c r="R121" s="14">
        <f>'MKT DATA'!AB179</f>
        <v>0</v>
      </c>
    </row>
    <row r="122" spans="5:18" x14ac:dyDescent="0.25">
      <c r="E122" s="44" t="str">
        <f>'MKT DATA'!B180</f>
        <v>syn BTCV6/BTCG7/BTCF7/BTCX6/BTCU6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BTCV6/BTCG7/BTCF7/BTCX6/BTCU6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BTCV6/BTCG7/BTCF7/BTCX6/BTCU6</v>
      </c>
      <c r="R122" s="14">
        <f>'MKT DATA'!AB180</f>
        <v>0</v>
      </c>
    </row>
    <row r="123" spans="5:18" x14ac:dyDescent="0.25">
      <c r="E123" s="44" t="str">
        <f>'MKT DATA'!B181</f>
        <v>syn BTCV6/BTCG7/BTCF7/BTCZ6/BTCU6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BTCV6/BTCG7/BTCF7/BTCZ6/BTCU6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BTCV6/BTCG7/BTCF7/BTCZ6/BTCU6</v>
      </c>
      <c r="R123" s="14">
        <f>'MKT DATA'!AB181</f>
        <v>0</v>
      </c>
    </row>
    <row r="124" spans="5:18" x14ac:dyDescent="0.25">
      <c r="E124" s="44" t="str">
        <f>'MKT DATA'!B182</f>
        <v>syn BTCX6/BTCV6/BTCZ6/BTCF7/BTCU6</v>
      </c>
      <c r="F124" s="14">
        <f>'MKT DATA'!J182</f>
        <v>0</v>
      </c>
      <c r="G124" s="9">
        <f>'MKT DATA'!K182</f>
        <v>0</v>
      </c>
      <c r="H124" s="9">
        <f>'MKT DATA'!L182</f>
        <v>0</v>
      </c>
      <c r="I124" s="14">
        <f>'MKT DATA'!M182</f>
        <v>0</v>
      </c>
      <c r="J124" s="44" t="str">
        <f t="shared" si="6"/>
        <v>syn BTCX6/BTCV6/BTCZ6/BTCF7/BTCU6</v>
      </c>
      <c r="K124" s="9">
        <f>'MKT DATA'!O182</f>
        <v>0</v>
      </c>
      <c r="L124" s="9">
        <f>'MKT DATA'!P182</f>
        <v>0</v>
      </c>
      <c r="M124" s="9">
        <f>'MKT DATA'!Q182</f>
        <v>0</v>
      </c>
      <c r="N124" s="9">
        <f>'MKT DATA'!R182</f>
        <v>0</v>
      </c>
      <c r="O124" s="9">
        <f>'MKT DATA'!S182</f>
        <v>0</v>
      </c>
      <c r="P124" s="9">
        <f>'MKT DATA'!T182</f>
        <v>0</v>
      </c>
      <c r="Q124" s="44" t="str">
        <f t="shared" si="7"/>
        <v>syn BTCX6/BTCV6/BTCZ6/BTCF7/BTCU6</v>
      </c>
      <c r="R124" s="14">
        <f>'MKT DATA'!AB182</f>
        <v>0</v>
      </c>
    </row>
    <row r="125" spans="5:18" x14ac:dyDescent="0.25">
      <c r="E125" s="44" t="str">
        <f>'MKT DATA'!B183</f>
        <v>syn BTCX6/BTCV6/BTCZ6/BTCG7/BTCU6</v>
      </c>
      <c r="F125" s="14">
        <f>'MKT DATA'!J183</f>
        <v>0</v>
      </c>
      <c r="G125" s="9">
        <f>'MKT DATA'!K183</f>
        <v>0</v>
      </c>
      <c r="H125" s="9">
        <f>'MKT DATA'!L183</f>
        <v>0</v>
      </c>
      <c r="I125" s="14">
        <f>'MKT DATA'!M183</f>
        <v>0</v>
      </c>
      <c r="J125" s="44" t="str">
        <f t="shared" si="6"/>
        <v>syn BTCX6/BTCV6/BTCZ6/BTCG7/BTCU6</v>
      </c>
      <c r="K125" s="9">
        <f>'MKT DATA'!O183</f>
        <v>0</v>
      </c>
      <c r="L125" s="9">
        <f>'MKT DATA'!P183</f>
        <v>0</v>
      </c>
      <c r="M125" s="9">
        <f>'MKT DATA'!Q183</f>
        <v>0</v>
      </c>
      <c r="N125" s="9">
        <f>'MKT DATA'!R183</f>
        <v>0</v>
      </c>
      <c r="O125" s="9">
        <f>'MKT DATA'!S183</f>
        <v>0</v>
      </c>
      <c r="P125" s="9">
        <f>'MKT DATA'!T183</f>
        <v>0</v>
      </c>
      <c r="Q125" s="44" t="str">
        <f t="shared" si="7"/>
        <v>syn BTCX6/BTCV6/BTCZ6/BTCG7/BTCU6</v>
      </c>
      <c r="R125" s="14">
        <f>'MKT DATA'!AB183</f>
        <v>0</v>
      </c>
    </row>
    <row r="126" spans="5:18" x14ac:dyDescent="0.25">
      <c r="E126" s="44" t="str">
        <f>'MKT DATA'!B184</f>
        <v>syn BTCX6/BTCV6/BTCF7/BTCZ6/BTCU6</v>
      </c>
      <c r="F126" s="14">
        <f>'MKT DATA'!J184</f>
        <v>0</v>
      </c>
      <c r="G126" s="9">
        <f>'MKT DATA'!K184</f>
        <v>0</v>
      </c>
      <c r="H126" s="9">
        <f>'MKT DATA'!L184</f>
        <v>0</v>
      </c>
      <c r="I126" s="14">
        <f>'MKT DATA'!M184</f>
        <v>0</v>
      </c>
      <c r="J126" s="44" t="str">
        <f t="shared" si="6"/>
        <v>syn BTCX6/BTCV6/BTCF7/BTCZ6/BTCU6</v>
      </c>
      <c r="K126" s="9">
        <f>'MKT DATA'!O184</f>
        <v>0</v>
      </c>
      <c r="L126" s="9">
        <f>'MKT DATA'!P184</f>
        <v>0</v>
      </c>
      <c r="M126" s="9">
        <f>'MKT DATA'!Q184</f>
        <v>0</v>
      </c>
      <c r="N126" s="9">
        <f>'MKT DATA'!R184</f>
        <v>0</v>
      </c>
      <c r="O126" s="9">
        <f>'MKT DATA'!S184</f>
        <v>0</v>
      </c>
      <c r="P126" s="9">
        <f>'MKT DATA'!T184</f>
        <v>0</v>
      </c>
      <c r="Q126" s="44" t="str">
        <f t="shared" si="7"/>
        <v>syn BTCX6/BTCV6/BTCF7/BTCZ6/BTCU6</v>
      </c>
      <c r="R126" s="14">
        <f>'MKT DATA'!AB184</f>
        <v>0</v>
      </c>
    </row>
    <row r="127" spans="5:18" x14ac:dyDescent="0.25">
      <c r="E127" s="44" t="str">
        <f>'MKT DATA'!B185</f>
        <v>syn BTCX6/BTCV6/BTCF7/BTCG7/BTCU6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BTCX6/BTCV6/BTCF7/BTCG7/BTCU6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BTCX6/BTCV6/BTCF7/BTCG7/BTCU6</v>
      </c>
      <c r="R127" s="14">
        <f>'MKT DATA'!AB185</f>
        <v>0</v>
      </c>
    </row>
    <row r="128" spans="5:18" x14ac:dyDescent="0.25">
      <c r="E128" s="44" t="str">
        <f>'MKT DATA'!B186</f>
        <v>syn BTCX6/BTCV6/BTCG7/BTCZ6/BTCU6</v>
      </c>
      <c r="F128" s="14">
        <f>'MKT DATA'!J186</f>
        <v>0</v>
      </c>
      <c r="G128" s="9">
        <f>'MKT DATA'!K186</f>
        <v>0</v>
      </c>
      <c r="H128" s="9">
        <f>'MKT DATA'!L186</f>
        <v>0</v>
      </c>
      <c r="I128" s="14">
        <f>'MKT DATA'!M186</f>
        <v>0</v>
      </c>
      <c r="J128" s="44" t="str">
        <f t="shared" si="6"/>
        <v>syn BTCX6/BTCV6/BTCG7/BTCZ6/BTCU6</v>
      </c>
      <c r="K128" s="9">
        <f>'MKT DATA'!O186</f>
        <v>0</v>
      </c>
      <c r="L128" s="9">
        <f>'MKT DATA'!P186</f>
        <v>0</v>
      </c>
      <c r="M128" s="9">
        <f>'MKT DATA'!Q186</f>
        <v>0</v>
      </c>
      <c r="N128" s="9">
        <f>'MKT DATA'!R186</f>
        <v>0</v>
      </c>
      <c r="O128" s="9">
        <f>'MKT DATA'!S186</f>
        <v>0</v>
      </c>
      <c r="P128" s="9">
        <f>'MKT DATA'!T186</f>
        <v>0</v>
      </c>
      <c r="Q128" s="44" t="str">
        <f t="shared" si="7"/>
        <v>syn BTCX6/BTCV6/BTCG7/BTCZ6/BTCU6</v>
      </c>
      <c r="R128" s="14">
        <f>'MKT DATA'!AB186</f>
        <v>0</v>
      </c>
    </row>
    <row r="129" spans="5:18" x14ac:dyDescent="0.25">
      <c r="E129" s="44" t="str">
        <f>'MKT DATA'!B187</f>
        <v>syn BTCX6/BTCV6/BTCG7/BTCF7/BTCU6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BTCX6/BTCV6/BTCG7/BTCF7/BTCU6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BTCX6/BTCV6/BTCG7/BTCF7/BTCU6</v>
      </c>
      <c r="R129" s="14">
        <f>'MKT DATA'!AB187</f>
        <v>0</v>
      </c>
    </row>
    <row r="130" spans="5:18" x14ac:dyDescent="0.25">
      <c r="E130" s="44" t="str">
        <f>'MKT DATA'!B188</f>
        <v>syn BTCX6/BTCZ6/BTCV6/BTCF7/BTCU6</v>
      </c>
      <c r="F130" s="14">
        <f>'MKT DATA'!J188</f>
        <v>0</v>
      </c>
      <c r="G130" s="9">
        <f>'MKT DATA'!K188</f>
        <v>0</v>
      </c>
      <c r="H130" s="9">
        <f>'MKT DATA'!L188</f>
        <v>0</v>
      </c>
      <c r="I130" s="14">
        <f>'MKT DATA'!M188</f>
        <v>0</v>
      </c>
      <c r="J130" s="44" t="str">
        <f t="shared" si="6"/>
        <v>syn BTCX6/BTCZ6/BTCV6/BTCF7/BTCU6</v>
      </c>
      <c r="K130" s="9">
        <f>'MKT DATA'!O188</f>
        <v>0</v>
      </c>
      <c r="L130" s="9">
        <f>'MKT DATA'!P188</f>
        <v>0</v>
      </c>
      <c r="M130" s="9">
        <f>'MKT DATA'!Q188</f>
        <v>0</v>
      </c>
      <c r="N130" s="9">
        <f>'MKT DATA'!R188</f>
        <v>0</v>
      </c>
      <c r="O130" s="9">
        <f>'MKT DATA'!S188</f>
        <v>0</v>
      </c>
      <c r="P130" s="9">
        <f>'MKT DATA'!T188</f>
        <v>0</v>
      </c>
      <c r="Q130" s="44" t="str">
        <f t="shared" si="7"/>
        <v>syn BTCX6/BTCZ6/BTCV6/BTCF7/BTCU6</v>
      </c>
      <c r="R130" s="14">
        <f>'MKT DATA'!AB188</f>
        <v>0</v>
      </c>
    </row>
    <row r="131" spans="5:18" x14ac:dyDescent="0.25">
      <c r="E131" s="44" t="str">
        <f>'MKT DATA'!B189</f>
        <v>syn BTCX6/BTCZ6/BTCV6/BTCG7/BTCU6</v>
      </c>
      <c r="F131" s="14">
        <f>'MKT DATA'!J189</f>
        <v>0</v>
      </c>
      <c r="G131" s="9">
        <f>'MKT DATA'!K189</f>
        <v>0</v>
      </c>
      <c r="H131" s="9">
        <f>'MKT DATA'!L189</f>
        <v>0</v>
      </c>
      <c r="I131" s="14">
        <f>'MKT DATA'!M189</f>
        <v>0</v>
      </c>
      <c r="J131" s="44" t="str">
        <f t="shared" si="6"/>
        <v>syn BTCX6/BTCZ6/BTCV6/BTCG7/BTCU6</v>
      </c>
      <c r="K131" s="9">
        <f>'MKT DATA'!O189</f>
        <v>0</v>
      </c>
      <c r="L131" s="9">
        <f>'MKT DATA'!P189</f>
        <v>0</v>
      </c>
      <c r="M131" s="9">
        <f>'MKT DATA'!Q189</f>
        <v>0</v>
      </c>
      <c r="N131" s="9">
        <f>'MKT DATA'!R189</f>
        <v>0</v>
      </c>
      <c r="O131" s="9">
        <f>'MKT DATA'!S189</f>
        <v>0</v>
      </c>
      <c r="P131" s="9">
        <f>'MKT DATA'!T189</f>
        <v>0</v>
      </c>
      <c r="Q131" s="44" t="str">
        <f t="shared" si="7"/>
        <v>syn BTCX6/BTCZ6/BTCV6/BTCG7/BTCU6</v>
      </c>
      <c r="R131" s="14">
        <f>'MKT DATA'!AB189</f>
        <v>0</v>
      </c>
    </row>
    <row r="132" spans="5:18" x14ac:dyDescent="0.25">
      <c r="E132" s="44" t="str">
        <f>'MKT DATA'!B190</f>
        <v>syn BTCX6/BTCZ6/BTCF7/BTCV6/BTCU6</v>
      </c>
      <c r="F132" s="14">
        <f>'MKT DATA'!J190</f>
        <v>0</v>
      </c>
      <c r="G132" s="9">
        <f>'MKT DATA'!K190</f>
        <v>0</v>
      </c>
      <c r="H132" s="9">
        <f>'MKT DATA'!L190</f>
        <v>0</v>
      </c>
      <c r="I132" s="14">
        <f>'MKT DATA'!M190</f>
        <v>0</v>
      </c>
      <c r="J132" s="44" t="str">
        <f t="shared" si="6"/>
        <v>syn BTCX6/BTCZ6/BTCF7/BTCV6/BTCU6</v>
      </c>
      <c r="K132" s="9">
        <f>'MKT DATA'!O190</f>
        <v>0</v>
      </c>
      <c r="L132" s="9">
        <f>'MKT DATA'!P190</f>
        <v>0</v>
      </c>
      <c r="M132" s="9">
        <f>'MKT DATA'!Q190</f>
        <v>0</v>
      </c>
      <c r="N132" s="9">
        <f>'MKT DATA'!R190</f>
        <v>0</v>
      </c>
      <c r="O132" s="9">
        <f>'MKT DATA'!S190</f>
        <v>0</v>
      </c>
      <c r="P132" s="9">
        <f>'MKT DATA'!T190</f>
        <v>0</v>
      </c>
      <c r="Q132" s="44" t="str">
        <f t="shared" si="7"/>
        <v>syn BTCX6/BTCZ6/BTCF7/BTCV6/BTCU6</v>
      </c>
      <c r="R132" s="14">
        <f>'MKT DATA'!AB190</f>
        <v>0</v>
      </c>
    </row>
    <row r="133" spans="5:18" x14ac:dyDescent="0.25">
      <c r="E133" s="44" t="str">
        <f>'MKT DATA'!B191</f>
        <v>syn BTCX6/BTCZ6/BTCF7/BTCG7/BTCU6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BTCX6/BTCZ6/BTCF7/BTCG7/BTCU6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BTCX6/BTCZ6/BTCF7/BTCG7/BTCU6</v>
      </c>
      <c r="R133" s="14">
        <f>'MKT DATA'!AB191</f>
        <v>0</v>
      </c>
    </row>
    <row r="134" spans="5:18" x14ac:dyDescent="0.25">
      <c r="E134" s="44" t="str">
        <f>'MKT DATA'!B192</f>
        <v>syn BTCX6/BTCZ6/BTCG7/BTCV6/BTCU6</v>
      </c>
      <c r="F134" s="14">
        <f>'MKT DATA'!J192</f>
        <v>0</v>
      </c>
      <c r="G134" s="9">
        <f>'MKT DATA'!K192</f>
        <v>0</v>
      </c>
      <c r="H134" s="9">
        <f>'MKT DATA'!L192</f>
        <v>0</v>
      </c>
      <c r="I134" s="14">
        <f>'MKT DATA'!M192</f>
        <v>0</v>
      </c>
      <c r="J134" s="44" t="str">
        <f t="shared" si="6"/>
        <v>syn BTCX6/BTCZ6/BTCG7/BTCV6/BTCU6</v>
      </c>
      <c r="K134" s="9">
        <f>'MKT DATA'!O192</f>
        <v>0</v>
      </c>
      <c r="L134" s="9">
        <f>'MKT DATA'!P192</f>
        <v>0</v>
      </c>
      <c r="M134" s="9">
        <f>'MKT DATA'!Q192</f>
        <v>0</v>
      </c>
      <c r="N134" s="9">
        <f>'MKT DATA'!R192</f>
        <v>0</v>
      </c>
      <c r="O134" s="9">
        <f>'MKT DATA'!S192</f>
        <v>0</v>
      </c>
      <c r="P134" s="9">
        <f>'MKT DATA'!T192</f>
        <v>0</v>
      </c>
      <c r="Q134" s="44" t="str">
        <f t="shared" si="7"/>
        <v>syn BTCX6/BTCZ6/BTCG7/BTCV6/BTCU6</v>
      </c>
      <c r="R134" s="14">
        <f>'MKT DATA'!AB192</f>
        <v>0</v>
      </c>
    </row>
    <row r="135" spans="5:18" x14ac:dyDescent="0.25">
      <c r="E135" s="44" t="str">
        <f>'MKT DATA'!B193</f>
        <v>syn BTCX6/BTCZ6/BTCG7/BTCF7/BTCU6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BTCX6/BTCZ6/BTCG7/BTCF7/BTCU6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BTCX6/BTCZ6/BTCG7/BTCF7/BTCU6</v>
      </c>
      <c r="R135" s="14">
        <f>'MKT DATA'!AB193</f>
        <v>0</v>
      </c>
    </row>
    <row r="136" spans="5:18" x14ac:dyDescent="0.25">
      <c r="E136" s="44" t="str">
        <f>'MKT DATA'!B194</f>
        <v>syn BTCX6/BTCF7/BTCV6/BTCZ6/BTCU6</v>
      </c>
      <c r="F136" s="14">
        <f>'MKT DATA'!J194</f>
        <v>0</v>
      </c>
      <c r="G136" s="9">
        <f>'MKT DATA'!K194</f>
        <v>0</v>
      </c>
      <c r="H136" s="9">
        <f>'MKT DATA'!L194</f>
        <v>0</v>
      </c>
      <c r="I136" s="14">
        <f>'MKT DATA'!M194</f>
        <v>0</v>
      </c>
      <c r="J136" s="44" t="str">
        <f t="shared" si="6"/>
        <v>syn BTCX6/BTCF7/BTCV6/BTCZ6/BTCU6</v>
      </c>
      <c r="K136" s="9">
        <f>'MKT DATA'!O194</f>
        <v>0</v>
      </c>
      <c r="L136" s="9">
        <f>'MKT DATA'!P194</f>
        <v>0</v>
      </c>
      <c r="M136" s="9">
        <f>'MKT DATA'!Q194</f>
        <v>0</v>
      </c>
      <c r="N136" s="9">
        <f>'MKT DATA'!R194</f>
        <v>0</v>
      </c>
      <c r="O136" s="9">
        <f>'MKT DATA'!S194</f>
        <v>0</v>
      </c>
      <c r="P136" s="9">
        <f>'MKT DATA'!T194</f>
        <v>0</v>
      </c>
      <c r="Q136" s="44" t="str">
        <f t="shared" si="7"/>
        <v>syn BTCX6/BTCF7/BTCV6/BTCZ6/BTCU6</v>
      </c>
      <c r="R136" s="14">
        <f>'MKT DATA'!AB194</f>
        <v>0</v>
      </c>
    </row>
    <row r="137" spans="5:18" x14ac:dyDescent="0.25">
      <c r="E137" s="44" t="str">
        <f>'MKT DATA'!B195</f>
        <v>syn BTCX6/BTCF7/BTCV6/BTCG7/BTCU6</v>
      </c>
      <c r="F137" s="14">
        <f>'MKT DATA'!J195</f>
        <v>0</v>
      </c>
      <c r="G137" s="9">
        <f>'MKT DATA'!K195</f>
        <v>0</v>
      </c>
      <c r="H137" s="9">
        <f>'MKT DATA'!L195</f>
        <v>0</v>
      </c>
      <c r="I137" s="14">
        <f>'MKT DATA'!M195</f>
        <v>0</v>
      </c>
      <c r="J137" s="44" t="str">
        <f t="shared" si="6"/>
        <v>syn BTCX6/BTCF7/BTCV6/BTCG7/BTCU6</v>
      </c>
      <c r="K137" s="9">
        <f>'MKT DATA'!O195</f>
        <v>0</v>
      </c>
      <c r="L137" s="9">
        <f>'MKT DATA'!P195</f>
        <v>0</v>
      </c>
      <c r="M137" s="9">
        <f>'MKT DATA'!Q195</f>
        <v>0</v>
      </c>
      <c r="N137" s="9">
        <f>'MKT DATA'!R195</f>
        <v>0</v>
      </c>
      <c r="O137" s="9">
        <f>'MKT DATA'!S195</f>
        <v>0</v>
      </c>
      <c r="P137" s="9">
        <f>'MKT DATA'!T195</f>
        <v>0</v>
      </c>
      <c r="Q137" s="44" t="str">
        <f t="shared" si="7"/>
        <v>syn BTCX6/BTCF7/BTCV6/BTCG7/BTCU6</v>
      </c>
      <c r="R137" s="14">
        <f>'MKT DATA'!AB195</f>
        <v>0</v>
      </c>
    </row>
    <row r="138" spans="5:18" x14ac:dyDescent="0.25">
      <c r="E138" s="44" t="str">
        <f>'MKT DATA'!B196</f>
        <v>syn BTCX6/BTCF7/BTCZ6/BTCV6/BTCU6</v>
      </c>
      <c r="F138" s="14">
        <f>'MKT DATA'!J196</f>
        <v>0</v>
      </c>
      <c r="G138" s="9">
        <f>'MKT DATA'!K196</f>
        <v>0</v>
      </c>
      <c r="H138" s="9">
        <f>'MKT DATA'!L196</f>
        <v>0</v>
      </c>
      <c r="I138" s="14">
        <f>'MKT DATA'!M196</f>
        <v>0</v>
      </c>
      <c r="J138" s="44" t="str">
        <f t="shared" si="6"/>
        <v>syn BTCX6/BTCF7/BTCZ6/BTCV6/BTCU6</v>
      </c>
      <c r="K138" s="9">
        <f>'MKT DATA'!O196</f>
        <v>0</v>
      </c>
      <c r="L138" s="9">
        <f>'MKT DATA'!P196</f>
        <v>0</v>
      </c>
      <c r="M138" s="9">
        <f>'MKT DATA'!Q196</f>
        <v>0</v>
      </c>
      <c r="N138" s="9">
        <f>'MKT DATA'!R196</f>
        <v>0</v>
      </c>
      <c r="O138" s="9">
        <f>'MKT DATA'!S196</f>
        <v>0</v>
      </c>
      <c r="P138" s="9">
        <f>'MKT DATA'!T196</f>
        <v>0</v>
      </c>
      <c r="Q138" s="44" t="str">
        <f t="shared" si="7"/>
        <v>syn BTCX6/BTCF7/BTCZ6/BTCV6/BTCU6</v>
      </c>
      <c r="R138" s="14">
        <f>'MKT DATA'!AB196</f>
        <v>0</v>
      </c>
    </row>
    <row r="139" spans="5:18" x14ac:dyDescent="0.25">
      <c r="E139" s="44" t="str">
        <f>'MKT DATA'!B197</f>
        <v>syn BTCX6/BTCF7/BTCZ6/BTCG7/BTCU6</v>
      </c>
      <c r="F139" s="14">
        <f>'MKT DATA'!J197</f>
        <v>0</v>
      </c>
      <c r="G139" s="9">
        <f>'MKT DATA'!K197</f>
        <v>0</v>
      </c>
      <c r="H139" s="9">
        <f>'MKT DATA'!L197</f>
        <v>0</v>
      </c>
      <c r="I139" s="14">
        <f>'MKT DATA'!M197</f>
        <v>0</v>
      </c>
      <c r="J139" s="44" t="str">
        <f t="shared" si="6"/>
        <v>syn BTCX6/BTCF7/BTCZ6/BTCG7/BTCU6</v>
      </c>
      <c r="K139" s="9">
        <f>'MKT DATA'!O197</f>
        <v>0</v>
      </c>
      <c r="L139" s="9">
        <f>'MKT DATA'!P197</f>
        <v>0</v>
      </c>
      <c r="M139" s="9">
        <f>'MKT DATA'!Q197</f>
        <v>0</v>
      </c>
      <c r="N139" s="9">
        <f>'MKT DATA'!R197</f>
        <v>0</v>
      </c>
      <c r="O139" s="9">
        <f>'MKT DATA'!S197</f>
        <v>0</v>
      </c>
      <c r="P139" s="9">
        <f>'MKT DATA'!T197</f>
        <v>0</v>
      </c>
      <c r="Q139" s="44" t="str">
        <f t="shared" si="7"/>
        <v>syn BTCX6/BTCF7/BTCZ6/BTCG7/BTCU6</v>
      </c>
      <c r="R139" s="14">
        <f>'MKT DATA'!AB197</f>
        <v>0</v>
      </c>
    </row>
    <row r="140" spans="5:18" x14ac:dyDescent="0.25">
      <c r="E140" s="44" t="str">
        <f>'MKT DATA'!B198</f>
        <v>syn BTCX6/BTCF7/BTCG7/BTCV6/BTCU6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BTCX6/BTCF7/BTCG7/BTCV6/BTCU6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BTCX6/BTCF7/BTCG7/BTCV6/BTCU6</v>
      </c>
      <c r="R140" s="14">
        <f>'MKT DATA'!AB198</f>
        <v>0</v>
      </c>
    </row>
    <row r="141" spans="5:18" x14ac:dyDescent="0.25">
      <c r="E141" s="44" t="str">
        <f>'MKT DATA'!B199</f>
        <v>syn BTCX6/BTCF7/BTCG7/BTCZ6/BTCU6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BTCX6/BTCF7/BTCG7/BTCZ6/BTCU6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BTCX6/BTCF7/BTCG7/BTCZ6/BTCU6</v>
      </c>
      <c r="R141" s="14">
        <f>'MKT DATA'!AB199</f>
        <v>0</v>
      </c>
    </row>
    <row r="142" spans="5:18" x14ac:dyDescent="0.25">
      <c r="E142" s="44" t="str">
        <f>'MKT DATA'!B200</f>
        <v>syn BTCX6/BTCG7/BTCV6/BTCZ6/BTCU6</v>
      </c>
      <c r="F142" s="14">
        <f>'MKT DATA'!J200</f>
        <v>0</v>
      </c>
      <c r="G142" s="9">
        <f>'MKT DATA'!K200</f>
        <v>0</v>
      </c>
      <c r="H142" s="9">
        <f>'MKT DATA'!L200</f>
        <v>0</v>
      </c>
      <c r="I142" s="14">
        <f>'MKT DATA'!M200</f>
        <v>0</v>
      </c>
      <c r="J142" s="44" t="str">
        <f t="shared" si="6"/>
        <v>syn BTCX6/BTCG7/BTCV6/BTCZ6/BTCU6</v>
      </c>
      <c r="K142" s="9">
        <f>'MKT DATA'!O200</f>
        <v>0</v>
      </c>
      <c r="L142" s="9">
        <f>'MKT DATA'!P200</f>
        <v>0</v>
      </c>
      <c r="M142" s="9">
        <f>'MKT DATA'!Q200</f>
        <v>0</v>
      </c>
      <c r="N142" s="9">
        <f>'MKT DATA'!R200</f>
        <v>0</v>
      </c>
      <c r="O142" s="9">
        <f>'MKT DATA'!S200</f>
        <v>0</v>
      </c>
      <c r="P142" s="9">
        <f>'MKT DATA'!T200</f>
        <v>0</v>
      </c>
      <c r="Q142" s="44" t="str">
        <f t="shared" si="7"/>
        <v>syn BTCX6/BTCG7/BTCV6/BTCZ6/BTCU6</v>
      </c>
      <c r="R142" s="14">
        <f>'MKT DATA'!AB200</f>
        <v>0</v>
      </c>
    </row>
    <row r="143" spans="5:18" x14ac:dyDescent="0.25">
      <c r="E143" s="44" t="str">
        <f>'MKT DATA'!B201</f>
        <v>syn BTCX6/BTCG7/BTCV6/BTCF7/BTCU6</v>
      </c>
      <c r="F143" s="14">
        <f>'MKT DATA'!J201</f>
        <v>0</v>
      </c>
      <c r="G143" s="9">
        <f>'MKT DATA'!K201</f>
        <v>0</v>
      </c>
      <c r="H143" s="9">
        <f>'MKT DATA'!L201</f>
        <v>0</v>
      </c>
      <c r="I143" s="14">
        <f>'MKT DATA'!M201</f>
        <v>0</v>
      </c>
      <c r="J143" s="44" t="str">
        <f t="shared" si="6"/>
        <v>syn BTCX6/BTCG7/BTCV6/BTCF7/BTCU6</v>
      </c>
      <c r="K143" s="9">
        <f>'MKT DATA'!O201</f>
        <v>0</v>
      </c>
      <c r="L143" s="9">
        <f>'MKT DATA'!P201</f>
        <v>0</v>
      </c>
      <c r="M143" s="9">
        <f>'MKT DATA'!Q201</f>
        <v>0</v>
      </c>
      <c r="N143" s="9">
        <f>'MKT DATA'!R201</f>
        <v>0</v>
      </c>
      <c r="O143" s="9">
        <f>'MKT DATA'!S201</f>
        <v>0</v>
      </c>
      <c r="P143" s="9">
        <f>'MKT DATA'!T201</f>
        <v>0</v>
      </c>
      <c r="Q143" s="44" t="str">
        <f t="shared" si="7"/>
        <v>syn BTCX6/BTCG7/BTCV6/BTCF7/BTCU6</v>
      </c>
      <c r="R143" s="14">
        <f>'MKT DATA'!AB201</f>
        <v>0</v>
      </c>
    </row>
    <row r="144" spans="5:18" x14ac:dyDescent="0.25">
      <c r="E144" s="44" t="str">
        <f>'MKT DATA'!B202</f>
        <v>syn BTCX6/BTCG7/BTCZ6/BTCV6/BTCU6</v>
      </c>
      <c r="F144" s="14">
        <f>'MKT DATA'!J202</f>
        <v>0</v>
      </c>
      <c r="G144" s="9">
        <f>'MKT DATA'!K202</f>
        <v>0</v>
      </c>
      <c r="H144" s="9">
        <f>'MKT DATA'!L202</f>
        <v>0</v>
      </c>
      <c r="I144" s="14">
        <f>'MKT DATA'!M202</f>
        <v>0</v>
      </c>
      <c r="J144" s="44" t="str">
        <f t="shared" si="6"/>
        <v>syn BTCX6/BTCG7/BTCZ6/BTCV6/BTCU6</v>
      </c>
      <c r="K144" s="9">
        <f>'MKT DATA'!O202</f>
        <v>0</v>
      </c>
      <c r="L144" s="9">
        <f>'MKT DATA'!P202</f>
        <v>0</v>
      </c>
      <c r="M144" s="9">
        <f>'MKT DATA'!Q202</f>
        <v>0</v>
      </c>
      <c r="N144" s="9">
        <f>'MKT DATA'!R202</f>
        <v>0</v>
      </c>
      <c r="O144" s="9">
        <f>'MKT DATA'!S202</f>
        <v>0</v>
      </c>
      <c r="P144" s="9">
        <f>'MKT DATA'!T202</f>
        <v>0</v>
      </c>
      <c r="Q144" s="44" t="str">
        <f t="shared" si="7"/>
        <v>syn BTCX6/BTCG7/BTCZ6/BTCV6/BTCU6</v>
      </c>
      <c r="R144" s="14">
        <f>'MKT DATA'!AB202</f>
        <v>0</v>
      </c>
    </row>
    <row r="145" spans="5:18" x14ac:dyDescent="0.25">
      <c r="E145" s="44" t="str">
        <f>'MKT DATA'!B203</f>
        <v>syn BTCX6/BTCG7/BTCZ6/BTCF7/BTCU6</v>
      </c>
      <c r="F145" s="14">
        <f>'MKT DATA'!J203</f>
        <v>0</v>
      </c>
      <c r="G145" s="9">
        <f>'MKT DATA'!K203</f>
        <v>0</v>
      </c>
      <c r="H145" s="9">
        <f>'MKT DATA'!L203</f>
        <v>0</v>
      </c>
      <c r="I145" s="14">
        <f>'MKT DATA'!M203</f>
        <v>0</v>
      </c>
      <c r="J145" s="44" t="str">
        <f t="shared" ref="J145:J208" si="8">E145</f>
        <v>syn BTCX6/BTCG7/BTCZ6/BTCF7/BTCU6</v>
      </c>
      <c r="K145" s="9">
        <f>'MKT DATA'!O203</f>
        <v>0</v>
      </c>
      <c r="L145" s="9">
        <f>'MKT DATA'!P203</f>
        <v>0</v>
      </c>
      <c r="M145" s="9">
        <f>'MKT DATA'!Q203</f>
        <v>0</v>
      </c>
      <c r="N145" s="9">
        <f>'MKT DATA'!R203</f>
        <v>0</v>
      </c>
      <c r="O145" s="9">
        <f>'MKT DATA'!S203</f>
        <v>0</v>
      </c>
      <c r="P145" s="9">
        <f>'MKT DATA'!T203</f>
        <v>0</v>
      </c>
      <c r="Q145" s="44" t="str">
        <f t="shared" ref="Q145:Q208" si="9">J145</f>
        <v>syn BTCX6/BTCG7/BTCZ6/BTCF7/BTCU6</v>
      </c>
      <c r="R145" s="14">
        <f>'MKT DATA'!AB203</f>
        <v>0</v>
      </c>
    </row>
    <row r="146" spans="5:18" x14ac:dyDescent="0.25">
      <c r="E146" s="44" t="str">
        <f>'MKT DATA'!B204</f>
        <v>syn BTCX6/BTCG7/BTCF7/BTCV6/BTCU6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BTCX6/BTCG7/BTCF7/BTCV6/BTCU6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BTCX6/BTCG7/BTCF7/BTCV6/BTCU6</v>
      </c>
      <c r="R146" s="14">
        <f>'MKT DATA'!AB204</f>
        <v>0</v>
      </c>
    </row>
    <row r="147" spans="5:18" x14ac:dyDescent="0.25">
      <c r="E147" s="44" t="str">
        <f>'MKT DATA'!B205</f>
        <v>syn BTCX6/BTCG7/BTCF7/BTCZ6/BTCU6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BTCX6/BTCG7/BTCF7/BTCZ6/BTCU6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BTCX6/BTCG7/BTCF7/BTCZ6/BTCU6</v>
      </c>
      <c r="R147" s="14">
        <f>'MKT DATA'!AB205</f>
        <v>0</v>
      </c>
    </row>
    <row r="148" spans="5:18" x14ac:dyDescent="0.25">
      <c r="E148" s="44" t="str">
        <f>'MKT DATA'!B206</f>
        <v>syn BTCZ6/BTCV6/BTCX6/BTCF7/BTCU6</v>
      </c>
      <c r="F148" s="14">
        <f>'MKT DATA'!J206</f>
        <v>0</v>
      </c>
      <c r="G148" s="9">
        <f>'MKT DATA'!K206</f>
        <v>0</v>
      </c>
      <c r="H148" s="9">
        <f>'MKT DATA'!L206</f>
        <v>0</v>
      </c>
      <c r="I148" s="14">
        <f>'MKT DATA'!M206</f>
        <v>0</v>
      </c>
      <c r="J148" s="44" t="str">
        <f t="shared" si="8"/>
        <v>syn BTCZ6/BTCV6/BTCX6/BTCF7/BTCU6</v>
      </c>
      <c r="K148" s="9">
        <f>'MKT DATA'!O206</f>
        <v>0</v>
      </c>
      <c r="L148" s="9">
        <f>'MKT DATA'!P206</f>
        <v>0</v>
      </c>
      <c r="M148" s="9">
        <f>'MKT DATA'!Q206</f>
        <v>0</v>
      </c>
      <c r="N148" s="9">
        <f>'MKT DATA'!R206</f>
        <v>0</v>
      </c>
      <c r="O148" s="9">
        <f>'MKT DATA'!S206</f>
        <v>0</v>
      </c>
      <c r="P148" s="9">
        <f>'MKT DATA'!T206</f>
        <v>0</v>
      </c>
      <c r="Q148" s="44" t="str">
        <f t="shared" si="9"/>
        <v>syn BTCZ6/BTCV6/BTCX6/BTCF7/BTCU6</v>
      </c>
      <c r="R148" s="14">
        <f>'MKT DATA'!AB206</f>
        <v>0</v>
      </c>
    </row>
    <row r="149" spans="5:18" x14ac:dyDescent="0.25">
      <c r="E149" s="44" t="str">
        <f>'MKT DATA'!B207</f>
        <v>syn BTCZ6/BTCV6/BTCX6/BTCG7/BTCU6</v>
      </c>
      <c r="F149" s="14">
        <f>'MKT DATA'!J207</f>
        <v>0</v>
      </c>
      <c r="G149" s="9">
        <f>'MKT DATA'!K207</f>
        <v>0</v>
      </c>
      <c r="H149" s="9">
        <f>'MKT DATA'!L207</f>
        <v>0</v>
      </c>
      <c r="I149" s="14">
        <f>'MKT DATA'!M207</f>
        <v>0</v>
      </c>
      <c r="J149" s="44" t="str">
        <f t="shared" si="8"/>
        <v>syn BTCZ6/BTCV6/BTCX6/BTCG7/BTCU6</v>
      </c>
      <c r="K149" s="9">
        <f>'MKT DATA'!O207</f>
        <v>0</v>
      </c>
      <c r="L149" s="9">
        <f>'MKT DATA'!P207</f>
        <v>0</v>
      </c>
      <c r="M149" s="9">
        <f>'MKT DATA'!Q207</f>
        <v>0</v>
      </c>
      <c r="N149" s="9">
        <f>'MKT DATA'!R207</f>
        <v>0</v>
      </c>
      <c r="O149" s="9">
        <f>'MKT DATA'!S207</f>
        <v>0</v>
      </c>
      <c r="P149" s="9">
        <f>'MKT DATA'!T207</f>
        <v>0</v>
      </c>
      <c r="Q149" s="44" t="str">
        <f t="shared" si="9"/>
        <v>syn BTCZ6/BTCV6/BTCX6/BTCG7/BTCU6</v>
      </c>
      <c r="R149" s="14">
        <f>'MKT DATA'!AB207</f>
        <v>0</v>
      </c>
    </row>
    <row r="150" spans="5:18" x14ac:dyDescent="0.25">
      <c r="E150" s="44" t="str">
        <f>'MKT DATA'!B208</f>
        <v>syn BTCZ6/BTCV6/BTCF7/BTCX6/BTCU6</v>
      </c>
      <c r="F150" s="14">
        <f>'MKT DATA'!J208</f>
        <v>0</v>
      </c>
      <c r="G150" s="9">
        <f>'MKT DATA'!K208</f>
        <v>0</v>
      </c>
      <c r="H150" s="9">
        <f>'MKT DATA'!L208</f>
        <v>0</v>
      </c>
      <c r="I150" s="14">
        <f>'MKT DATA'!M208</f>
        <v>0</v>
      </c>
      <c r="J150" s="44" t="str">
        <f t="shared" si="8"/>
        <v>syn BTCZ6/BTCV6/BTCF7/BTCX6/BTCU6</v>
      </c>
      <c r="K150" s="9">
        <f>'MKT DATA'!O208</f>
        <v>0</v>
      </c>
      <c r="L150" s="9">
        <f>'MKT DATA'!P208</f>
        <v>0</v>
      </c>
      <c r="M150" s="9">
        <f>'MKT DATA'!Q208</f>
        <v>0</v>
      </c>
      <c r="N150" s="9">
        <f>'MKT DATA'!R208</f>
        <v>0</v>
      </c>
      <c r="O150" s="9">
        <f>'MKT DATA'!S208</f>
        <v>0</v>
      </c>
      <c r="P150" s="9">
        <f>'MKT DATA'!T208</f>
        <v>0</v>
      </c>
      <c r="Q150" s="44" t="str">
        <f t="shared" si="9"/>
        <v>syn BTCZ6/BTCV6/BTCF7/BTCX6/BTCU6</v>
      </c>
      <c r="R150" s="14">
        <f>'MKT DATA'!AB208</f>
        <v>0</v>
      </c>
    </row>
    <row r="151" spans="5:18" x14ac:dyDescent="0.25">
      <c r="E151" s="44" t="str">
        <f>'MKT DATA'!B209</f>
        <v>syn BTCZ6/BTCV6/BTCF7/BTCG7/BTCU6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BTCZ6/BTCV6/BTCF7/BTCG7/BTCU6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BTCZ6/BTCV6/BTCF7/BTCG7/BTCU6</v>
      </c>
      <c r="R151" s="14">
        <f>'MKT DATA'!AB209</f>
        <v>0</v>
      </c>
    </row>
    <row r="152" spans="5:18" x14ac:dyDescent="0.25">
      <c r="E152" s="44" t="str">
        <f>'MKT DATA'!B210</f>
        <v>syn BTCZ6/BTCV6/BTCG7/BTCX6/BTCU6</v>
      </c>
      <c r="F152" s="14">
        <f>'MKT DATA'!J210</f>
        <v>0</v>
      </c>
      <c r="G152" s="9">
        <f>'MKT DATA'!K210</f>
        <v>0</v>
      </c>
      <c r="H152" s="9">
        <f>'MKT DATA'!L210</f>
        <v>0</v>
      </c>
      <c r="I152" s="14">
        <f>'MKT DATA'!M210</f>
        <v>0</v>
      </c>
      <c r="J152" s="44" t="str">
        <f t="shared" si="8"/>
        <v>syn BTCZ6/BTCV6/BTCG7/BTCX6/BTCU6</v>
      </c>
      <c r="K152" s="9">
        <f>'MKT DATA'!O210</f>
        <v>0</v>
      </c>
      <c r="L152" s="9">
        <f>'MKT DATA'!P210</f>
        <v>0</v>
      </c>
      <c r="M152" s="9">
        <f>'MKT DATA'!Q210</f>
        <v>0</v>
      </c>
      <c r="N152" s="9">
        <f>'MKT DATA'!R210</f>
        <v>0</v>
      </c>
      <c r="O152" s="9">
        <f>'MKT DATA'!S210</f>
        <v>0</v>
      </c>
      <c r="P152" s="9">
        <f>'MKT DATA'!T210</f>
        <v>0</v>
      </c>
      <c r="Q152" s="44" t="str">
        <f t="shared" si="9"/>
        <v>syn BTCZ6/BTCV6/BTCG7/BTCX6/BTCU6</v>
      </c>
      <c r="R152" s="14">
        <f>'MKT DATA'!AB210</f>
        <v>0</v>
      </c>
    </row>
    <row r="153" spans="5:18" x14ac:dyDescent="0.25">
      <c r="E153" s="44" t="str">
        <f>'MKT DATA'!B211</f>
        <v>syn BTCZ6/BTCV6/BTCG7/BTCF7/BTCU6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BTCZ6/BTCV6/BTCG7/BTCF7/BTCU6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BTCZ6/BTCV6/BTCG7/BTCF7/BTCU6</v>
      </c>
      <c r="R153" s="14">
        <f>'MKT DATA'!AB211</f>
        <v>0</v>
      </c>
    </row>
    <row r="154" spans="5:18" x14ac:dyDescent="0.25">
      <c r="E154" s="44" t="str">
        <f>'MKT DATA'!B212</f>
        <v>syn BTCZ6/BTCX6/BTCV6/BTCF7/BTCU6</v>
      </c>
      <c r="F154" s="14">
        <f>'MKT DATA'!J212</f>
        <v>0</v>
      </c>
      <c r="G154" s="9">
        <f>'MKT DATA'!K212</f>
        <v>0</v>
      </c>
      <c r="H154" s="9">
        <f>'MKT DATA'!L212</f>
        <v>0</v>
      </c>
      <c r="I154" s="14">
        <f>'MKT DATA'!M212</f>
        <v>0</v>
      </c>
      <c r="J154" s="44" t="str">
        <f t="shared" si="8"/>
        <v>syn BTCZ6/BTCX6/BTCV6/BTCF7/BTCU6</v>
      </c>
      <c r="K154" s="9">
        <f>'MKT DATA'!O212</f>
        <v>0</v>
      </c>
      <c r="L154" s="9">
        <f>'MKT DATA'!P212</f>
        <v>0</v>
      </c>
      <c r="M154" s="9">
        <f>'MKT DATA'!Q212</f>
        <v>0</v>
      </c>
      <c r="N154" s="9">
        <f>'MKT DATA'!R212</f>
        <v>0</v>
      </c>
      <c r="O154" s="9">
        <f>'MKT DATA'!S212</f>
        <v>0</v>
      </c>
      <c r="P154" s="9">
        <f>'MKT DATA'!T212</f>
        <v>0</v>
      </c>
      <c r="Q154" s="44" t="str">
        <f t="shared" si="9"/>
        <v>syn BTCZ6/BTCX6/BTCV6/BTCF7/BTCU6</v>
      </c>
      <c r="R154" s="14">
        <f>'MKT DATA'!AB212</f>
        <v>0</v>
      </c>
    </row>
    <row r="155" spans="5:18" x14ac:dyDescent="0.25">
      <c r="E155" s="44" t="str">
        <f>'MKT DATA'!B213</f>
        <v>syn BTCZ6/BTCX6/BTCV6/BTCG7/BTCU6</v>
      </c>
      <c r="F155" s="14">
        <f>'MKT DATA'!J213</f>
        <v>0</v>
      </c>
      <c r="G155" s="9">
        <f>'MKT DATA'!K213</f>
        <v>0</v>
      </c>
      <c r="H155" s="9">
        <f>'MKT DATA'!L213</f>
        <v>0</v>
      </c>
      <c r="I155" s="14">
        <f>'MKT DATA'!M213</f>
        <v>0</v>
      </c>
      <c r="J155" s="44" t="str">
        <f t="shared" si="8"/>
        <v>syn BTCZ6/BTCX6/BTCV6/BTCG7/BTCU6</v>
      </c>
      <c r="K155" s="9">
        <f>'MKT DATA'!O213</f>
        <v>0</v>
      </c>
      <c r="L155" s="9">
        <f>'MKT DATA'!P213</f>
        <v>0</v>
      </c>
      <c r="M155" s="9">
        <f>'MKT DATA'!Q213</f>
        <v>0</v>
      </c>
      <c r="N155" s="9">
        <f>'MKT DATA'!R213</f>
        <v>0</v>
      </c>
      <c r="O155" s="9">
        <f>'MKT DATA'!S213</f>
        <v>0</v>
      </c>
      <c r="P155" s="9">
        <f>'MKT DATA'!T213</f>
        <v>0</v>
      </c>
      <c r="Q155" s="44" t="str">
        <f t="shared" si="9"/>
        <v>syn BTCZ6/BTCX6/BTCV6/BTCG7/BTCU6</v>
      </c>
      <c r="R155" s="14">
        <f>'MKT DATA'!AB213</f>
        <v>0</v>
      </c>
    </row>
    <row r="156" spans="5:18" x14ac:dyDescent="0.25">
      <c r="E156" s="44" t="str">
        <f>'MKT DATA'!B214</f>
        <v>syn BTCZ6/BTCX6/BTCF7/BTCV6/BTCU6</v>
      </c>
      <c r="F156" s="14">
        <f>'MKT DATA'!J214</f>
        <v>0</v>
      </c>
      <c r="G156" s="9">
        <f>'MKT DATA'!K214</f>
        <v>0</v>
      </c>
      <c r="H156" s="9">
        <f>'MKT DATA'!L214</f>
        <v>0</v>
      </c>
      <c r="I156" s="14">
        <f>'MKT DATA'!M214</f>
        <v>0</v>
      </c>
      <c r="J156" s="44" t="str">
        <f t="shared" si="8"/>
        <v>syn BTCZ6/BTCX6/BTCF7/BTCV6/BTCU6</v>
      </c>
      <c r="K156" s="9">
        <f>'MKT DATA'!O214</f>
        <v>0</v>
      </c>
      <c r="L156" s="9">
        <f>'MKT DATA'!P214</f>
        <v>0</v>
      </c>
      <c r="M156" s="9">
        <f>'MKT DATA'!Q214</f>
        <v>0</v>
      </c>
      <c r="N156" s="9">
        <f>'MKT DATA'!R214</f>
        <v>0</v>
      </c>
      <c r="O156" s="9">
        <f>'MKT DATA'!S214</f>
        <v>0</v>
      </c>
      <c r="P156" s="9">
        <f>'MKT DATA'!T214</f>
        <v>0</v>
      </c>
      <c r="Q156" s="44" t="str">
        <f t="shared" si="9"/>
        <v>syn BTCZ6/BTCX6/BTCF7/BTCV6/BTCU6</v>
      </c>
      <c r="R156" s="14">
        <f>'MKT DATA'!AB214</f>
        <v>0</v>
      </c>
    </row>
    <row r="157" spans="5:18" x14ac:dyDescent="0.25">
      <c r="E157" s="44" t="str">
        <f>'MKT DATA'!B215</f>
        <v>syn BTCZ6/BTCX6/BTCF7/BTCG7/BTCU6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BTCZ6/BTCX6/BTCF7/BTCG7/BTCU6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BTCZ6/BTCX6/BTCF7/BTCG7/BTCU6</v>
      </c>
      <c r="R157" s="14">
        <f>'MKT DATA'!AB215</f>
        <v>0</v>
      </c>
    </row>
    <row r="158" spans="5:18" x14ac:dyDescent="0.25">
      <c r="E158" s="44" t="str">
        <f>'MKT DATA'!B216</f>
        <v>syn BTCZ6/BTCX6/BTCG7/BTCV6/BTCU6</v>
      </c>
      <c r="F158" s="14">
        <f>'MKT DATA'!J216</f>
        <v>0</v>
      </c>
      <c r="G158" s="9">
        <f>'MKT DATA'!K216</f>
        <v>0</v>
      </c>
      <c r="H158" s="9">
        <f>'MKT DATA'!L216</f>
        <v>0</v>
      </c>
      <c r="I158" s="14">
        <f>'MKT DATA'!M216</f>
        <v>0</v>
      </c>
      <c r="J158" s="44" t="str">
        <f t="shared" si="8"/>
        <v>syn BTCZ6/BTCX6/BTCG7/BTCV6/BTCU6</v>
      </c>
      <c r="K158" s="9">
        <f>'MKT DATA'!O216</f>
        <v>0</v>
      </c>
      <c r="L158" s="9">
        <f>'MKT DATA'!P216</f>
        <v>0</v>
      </c>
      <c r="M158" s="9">
        <f>'MKT DATA'!Q216</f>
        <v>0</v>
      </c>
      <c r="N158" s="9">
        <f>'MKT DATA'!R216</f>
        <v>0</v>
      </c>
      <c r="O158" s="9">
        <f>'MKT DATA'!S216</f>
        <v>0</v>
      </c>
      <c r="P158" s="9">
        <f>'MKT DATA'!T216</f>
        <v>0</v>
      </c>
      <c r="Q158" s="44" t="str">
        <f t="shared" si="9"/>
        <v>syn BTCZ6/BTCX6/BTCG7/BTCV6/BTCU6</v>
      </c>
      <c r="R158" s="14">
        <f>'MKT DATA'!AB216</f>
        <v>0</v>
      </c>
    </row>
    <row r="159" spans="5:18" x14ac:dyDescent="0.25">
      <c r="E159" s="44" t="str">
        <f>'MKT DATA'!B217</f>
        <v>syn BTCZ6/BTCX6/BTCG7/BTCF7/BTCU6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BTCZ6/BTCX6/BTCG7/BTCF7/BTCU6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BTCZ6/BTCX6/BTCG7/BTCF7/BTCU6</v>
      </c>
      <c r="R159" s="14">
        <f>'MKT DATA'!AB217</f>
        <v>0</v>
      </c>
    </row>
    <row r="160" spans="5:18" x14ac:dyDescent="0.25">
      <c r="E160" s="44" t="str">
        <f>'MKT DATA'!B218</f>
        <v>syn BTCZ6/BTCF7/BTCV6/BTCX6/BTCU6</v>
      </c>
      <c r="F160" s="14">
        <f>'MKT DATA'!J218</f>
        <v>0</v>
      </c>
      <c r="G160" s="9">
        <f>'MKT DATA'!K218</f>
        <v>0</v>
      </c>
      <c r="H160" s="9">
        <f>'MKT DATA'!L218</f>
        <v>0</v>
      </c>
      <c r="I160" s="14">
        <f>'MKT DATA'!M218</f>
        <v>0</v>
      </c>
      <c r="J160" s="44" t="str">
        <f t="shared" si="8"/>
        <v>syn BTCZ6/BTCF7/BTCV6/BTCX6/BTCU6</v>
      </c>
      <c r="K160" s="9">
        <f>'MKT DATA'!O218</f>
        <v>0</v>
      </c>
      <c r="L160" s="9">
        <f>'MKT DATA'!P218</f>
        <v>0</v>
      </c>
      <c r="M160" s="9">
        <f>'MKT DATA'!Q218</f>
        <v>0</v>
      </c>
      <c r="N160" s="9">
        <f>'MKT DATA'!R218</f>
        <v>0</v>
      </c>
      <c r="O160" s="9">
        <f>'MKT DATA'!S218</f>
        <v>0</v>
      </c>
      <c r="P160" s="9">
        <f>'MKT DATA'!T218</f>
        <v>0</v>
      </c>
      <c r="Q160" s="44" t="str">
        <f t="shared" si="9"/>
        <v>syn BTCZ6/BTCF7/BTCV6/BTCX6/BTCU6</v>
      </c>
      <c r="R160" s="14">
        <f>'MKT DATA'!AB218</f>
        <v>0</v>
      </c>
    </row>
    <row r="161" spans="5:18" x14ac:dyDescent="0.25">
      <c r="E161" s="44" t="str">
        <f>'MKT DATA'!B219</f>
        <v>syn BTCZ6/BTCF7/BTCV6/BTCG7/BTCU6</v>
      </c>
      <c r="F161" s="14">
        <f>'MKT DATA'!J219</f>
        <v>0</v>
      </c>
      <c r="G161" s="9">
        <f>'MKT DATA'!K219</f>
        <v>0</v>
      </c>
      <c r="H161" s="9">
        <f>'MKT DATA'!L219</f>
        <v>0</v>
      </c>
      <c r="I161" s="14">
        <f>'MKT DATA'!M219</f>
        <v>0</v>
      </c>
      <c r="J161" s="44" t="str">
        <f t="shared" si="8"/>
        <v>syn BTCZ6/BTCF7/BTCV6/BTCG7/BTCU6</v>
      </c>
      <c r="K161" s="9">
        <f>'MKT DATA'!O219</f>
        <v>0</v>
      </c>
      <c r="L161" s="9">
        <f>'MKT DATA'!P219</f>
        <v>0</v>
      </c>
      <c r="M161" s="9">
        <f>'MKT DATA'!Q219</f>
        <v>0</v>
      </c>
      <c r="N161" s="9">
        <f>'MKT DATA'!R219</f>
        <v>0</v>
      </c>
      <c r="O161" s="9">
        <f>'MKT DATA'!S219</f>
        <v>0</v>
      </c>
      <c r="P161" s="9">
        <f>'MKT DATA'!T219</f>
        <v>0</v>
      </c>
      <c r="Q161" s="44" t="str">
        <f t="shared" si="9"/>
        <v>syn BTCZ6/BTCF7/BTCV6/BTCG7/BTCU6</v>
      </c>
      <c r="R161" s="14">
        <f>'MKT DATA'!AB219</f>
        <v>0</v>
      </c>
    </row>
    <row r="162" spans="5:18" x14ac:dyDescent="0.25">
      <c r="E162" s="44" t="str">
        <f>'MKT DATA'!B220</f>
        <v>syn BTCZ6/BTCF7/BTCX6/BTCV6/BTCU6</v>
      </c>
      <c r="F162" s="14">
        <f>'MKT DATA'!J220</f>
        <v>0</v>
      </c>
      <c r="G162" s="9">
        <f>'MKT DATA'!K220</f>
        <v>0</v>
      </c>
      <c r="H162" s="9">
        <f>'MKT DATA'!L220</f>
        <v>0</v>
      </c>
      <c r="I162" s="14">
        <f>'MKT DATA'!M220</f>
        <v>0</v>
      </c>
      <c r="J162" s="44" t="str">
        <f t="shared" si="8"/>
        <v>syn BTCZ6/BTCF7/BTCX6/BTCV6/BTCU6</v>
      </c>
      <c r="K162" s="9">
        <f>'MKT DATA'!O220</f>
        <v>0</v>
      </c>
      <c r="L162" s="9">
        <f>'MKT DATA'!P220</f>
        <v>0</v>
      </c>
      <c r="M162" s="9">
        <f>'MKT DATA'!Q220</f>
        <v>0</v>
      </c>
      <c r="N162" s="9">
        <f>'MKT DATA'!R220</f>
        <v>0</v>
      </c>
      <c r="O162" s="9">
        <f>'MKT DATA'!S220</f>
        <v>0</v>
      </c>
      <c r="P162" s="9">
        <f>'MKT DATA'!T220</f>
        <v>0</v>
      </c>
      <c r="Q162" s="44" t="str">
        <f t="shared" si="9"/>
        <v>syn BTCZ6/BTCF7/BTCX6/BTCV6/BTCU6</v>
      </c>
      <c r="R162" s="14">
        <f>'MKT DATA'!AB220</f>
        <v>0</v>
      </c>
    </row>
    <row r="163" spans="5:18" x14ac:dyDescent="0.25">
      <c r="E163" s="44" t="str">
        <f>'MKT DATA'!B221</f>
        <v>syn BTCZ6/BTCF7/BTCX6/BTCG7/BTCU6</v>
      </c>
      <c r="F163" s="14">
        <f>'MKT DATA'!J221</f>
        <v>0</v>
      </c>
      <c r="G163" s="9">
        <f>'MKT DATA'!K221</f>
        <v>0</v>
      </c>
      <c r="H163" s="9">
        <f>'MKT DATA'!L221</f>
        <v>0</v>
      </c>
      <c r="I163" s="14">
        <f>'MKT DATA'!M221</f>
        <v>0</v>
      </c>
      <c r="J163" s="44" t="str">
        <f t="shared" si="8"/>
        <v>syn BTCZ6/BTCF7/BTCX6/BTCG7/BTCU6</v>
      </c>
      <c r="K163" s="9">
        <f>'MKT DATA'!O221</f>
        <v>0</v>
      </c>
      <c r="L163" s="9">
        <f>'MKT DATA'!P221</f>
        <v>0</v>
      </c>
      <c r="M163" s="9">
        <f>'MKT DATA'!Q221</f>
        <v>0</v>
      </c>
      <c r="N163" s="9">
        <f>'MKT DATA'!R221</f>
        <v>0</v>
      </c>
      <c r="O163" s="9">
        <f>'MKT DATA'!S221</f>
        <v>0</v>
      </c>
      <c r="P163" s="9">
        <f>'MKT DATA'!T221</f>
        <v>0</v>
      </c>
      <c r="Q163" s="44" t="str">
        <f t="shared" si="9"/>
        <v>syn BTCZ6/BTCF7/BTCX6/BTCG7/BTCU6</v>
      </c>
      <c r="R163" s="14">
        <f>'MKT DATA'!AB221</f>
        <v>0</v>
      </c>
    </row>
    <row r="164" spans="5:18" x14ac:dyDescent="0.25">
      <c r="E164" s="44" t="str">
        <f>'MKT DATA'!B222</f>
        <v>syn BTCZ6/BTCF7/BTCG7/BTCV6/BTCU6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BTCZ6/BTCF7/BTCG7/BTCV6/BTCU6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BTCZ6/BTCF7/BTCG7/BTCV6/BTCU6</v>
      </c>
      <c r="R164" s="14">
        <f>'MKT DATA'!AB222</f>
        <v>0</v>
      </c>
    </row>
    <row r="165" spans="5:18" x14ac:dyDescent="0.25">
      <c r="E165" s="44" t="str">
        <f>'MKT DATA'!B223</f>
        <v>syn BTCZ6/BTCF7/BTCG7/BTCX6/BTCU6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BTCZ6/BTCF7/BTCG7/BTCX6/BTCU6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BTCZ6/BTCF7/BTCG7/BTCX6/BTCU6</v>
      </c>
      <c r="R165" s="14">
        <f>'MKT DATA'!AB223</f>
        <v>0</v>
      </c>
    </row>
    <row r="166" spans="5:18" x14ac:dyDescent="0.25">
      <c r="E166" s="44" t="str">
        <f>'MKT DATA'!B224</f>
        <v>syn BTCZ6/BTCG7/BTCV6/BTCX6/BTCU6</v>
      </c>
      <c r="F166" s="14">
        <f>'MKT DATA'!J224</f>
        <v>0</v>
      </c>
      <c r="G166" s="9">
        <f>'MKT DATA'!K224</f>
        <v>0</v>
      </c>
      <c r="H166" s="9">
        <f>'MKT DATA'!L224</f>
        <v>0</v>
      </c>
      <c r="I166" s="14">
        <f>'MKT DATA'!M224</f>
        <v>0</v>
      </c>
      <c r="J166" s="44" t="str">
        <f t="shared" si="8"/>
        <v>syn BTCZ6/BTCG7/BTCV6/BTCX6/BTCU6</v>
      </c>
      <c r="K166" s="9">
        <f>'MKT DATA'!O224</f>
        <v>0</v>
      </c>
      <c r="L166" s="9">
        <f>'MKT DATA'!P224</f>
        <v>0</v>
      </c>
      <c r="M166" s="9">
        <f>'MKT DATA'!Q224</f>
        <v>0</v>
      </c>
      <c r="N166" s="9">
        <f>'MKT DATA'!R224</f>
        <v>0</v>
      </c>
      <c r="O166" s="9">
        <f>'MKT DATA'!S224</f>
        <v>0</v>
      </c>
      <c r="P166" s="9">
        <f>'MKT DATA'!T224</f>
        <v>0</v>
      </c>
      <c r="Q166" s="44" t="str">
        <f t="shared" si="9"/>
        <v>syn BTCZ6/BTCG7/BTCV6/BTCX6/BTCU6</v>
      </c>
      <c r="R166" s="14">
        <f>'MKT DATA'!AB224</f>
        <v>0</v>
      </c>
    </row>
    <row r="167" spans="5:18" x14ac:dyDescent="0.25">
      <c r="E167" s="44" t="str">
        <f>'MKT DATA'!B225</f>
        <v>syn BTCZ6/BTCG7/BTCV6/BTCF7/BTCU6</v>
      </c>
      <c r="F167" s="14">
        <f>'MKT DATA'!J225</f>
        <v>0</v>
      </c>
      <c r="G167" s="9">
        <f>'MKT DATA'!K225</f>
        <v>0</v>
      </c>
      <c r="H167" s="9">
        <f>'MKT DATA'!L225</f>
        <v>0</v>
      </c>
      <c r="I167" s="14">
        <f>'MKT DATA'!M225</f>
        <v>0</v>
      </c>
      <c r="J167" s="44" t="str">
        <f t="shared" si="8"/>
        <v>syn BTCZ6/BTCG7/BTCV6/BTCF7/BTCU6</v>
      </c>
      <c r="K167" s="9">
        <f>'MKT DATA'!O225</f>
        <v>0</v>
      </c>
      <c r="L167" s="9">
        <f>'MKT DATA'!P225</f>
        <v>0</v>
      </c>
      <c r="M167" s="9">
        <f>'MKT DATA'!Q225</f>
        <v>0</v>
      </c>
      <c r="N167" s="9">
        <f>'MKT DATA'!R225</f>
        <v>0</v>
      </c>
      <c r="O167" s="9">
        <f>'MKT DATA'!S225</f>
        <v>0</v>
      </c>
      <c r="P167" s="9">
        <f>'MKT DATA'!T225</f>
        <v>0</v>
      </c>
      <c r="Q167" s="44" t="str">
        <f t="shared" si="9"/>
        <v>syn BTCZ6/BTCG7/BTCV6/BTCF7/BTCU6</v>
      </c>
      <c r="R167" s="14">
        <f>'MKT DATA'!AB225</f>
        <v>0</v>
      </c>
    </row>
    <row r="168" spans="5:18" x14ac:dyDescent="0.25">
      <c r="E168" s="44" t="str">
        <f>'MKT DATA'!B226</f>
        <v>syn BTCZ6/BTCG7/BTCX6/BTCV6/BTCU6</v>
      </c>
      <c r="F168" s="14">
        <f>'MKT DATA'!J226</f>
        <v>0</v>
      </c>
      <c r="G168" s="9">
        <f>'MKT DATA'!K226</f>
        <v>0</v>
      </c>
      <c r="H168" s="9">
        <f>'MKT DATA'!L226</f>
        <v>0</v>
      </c>
      <c r="I168" s="14">
        <f>'MKT DATA'!M226</f>
        <v>0</v>
      </c>
      <c r="J168" s="44" t="str">
        <f t="shared" si="8"/>
        <v>syn BTCZ6/BTCG7/BTCX6/BTCV6/BTCU6</v>
      </c>
      <c r="K168" s="9">
        <f>'MKT DATA'!O226</f>
        <v>0</v>
      </c>
      <c r="L168" s="9">
        <f>'MKT DATA'!P226</f>
        <v>0</v>
      </c>
      <c r="M168" s="9">
        <f>'MKT DATA'!Q226</f>
        <v>0</v>
      </c>
      <c r="N168" s="9">
        <f>'MKT DATA'!R226</f>
        <v>0</v>
      </c>
      <c r="O168" s="9">
        <f>'MKT DATA'!S226</f>
        <v>0</v>
      </c>
      <c r="P168" s="9">
        <f>'MKT DATA'!T226</f>
        <v>0</v>
      </c>
      <c r="Q168" s="44" t="str">
        <f t="shared" si="9"/>
        <v>syn BTCZ6/BTCG7/BTCX6/BTCV6/BTCU6</v>
      </c>
      <c r="R168" s="14">
        <f>'MKT DATA'!AB226</f>
        <v>0</v>
      </c>
    </row>
    <row r="169" spans="5:18" x14ac:dyDescent="0.25">
      <c r="E169" s="44" t="str">
        <f>'MKT DATA'!B227</f>
        <v>syn BTCZ6/BTCG7/BTCX6/BTCF7/BTCU6</v>
      </c>
      <c r="F169" s="14">
        <f>'MKT DATA'!J227</f>
        <v>0</v>
      </c>
      <c r="G169" s="9">
        <f>'MKT DATA'!K227</f>
        <v>0</v>
      </c>
      <c r="H169" s="9">
        <f>'MKT DATA'!L227</f>
        <v>0</v>
      </c>
      <c r="I169" s="14">
        <f>'MKT DATA'!M227</f>
        <v>0</v>
      </c>
      <c r="J169" s="44" t="str">
        <f t="shared" si="8"/>
        <v>syn BTCZ6/BTCG7/BTCX6/BTCF7/BTCU6</v>
      </c>
      <c r="K169" s="9">
        <f>'MKT DATA'!O227</f>
        <v>0</v>
      </c>
      <c r="L169" s="9">
        <f>'MKT DATA'!P227</f>
        <v>0</v>
      </c>
      <c r="M169" s="9">
        <f>'MKT DATA'!Q227</f>
        <v>0</v>
      </c>
      <c r="N169" s="9">
        <f>'MKT DATA'!R227</f>
        <v>0</v>
      </c>
      <c r="O169" s="9">
        <f>'MKT DATA'!S227</f>
        <v>0</v>
      </c>
      <c r="P169" s="9">
        <f>'MKT DATA'!T227</f>
        <v>0</v>
      </c>
      <c r="Q169" s="44" t="str">
        <f t="shared" si="9"/>
        <v>syn BTCZ6/BTCG7/BTCX6/BTCF7/BTCU6</v>
      </c>
      <c r="R169" s="14">
        <f>'MKT DATA'!AB227</f>
        <v>0</v>
      </c>
    </row>
    <row r="170" spans="5:18" x14ac:dyDescent="0.25">
      <c r="E170" s="44" t="str">
        <f>'MKT DATA'!B228</f>
        <v>syn BTCZ6/BTCG7/BTCF7/BTCV6/BTCU6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BTCZ6/BTCG7/BTCF7/BTCV6/BTCU6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BTCZ6/BTCG7/BTCF7/BTCV6/BTCU6</v>
      </c>
      <c r="R170" s="14">
        <f>'MKT DATA'!AB228</f>
        <v>0</v>
      </c>
    </row>
    <row r="171" spans="5:18" x14ac:dyDescent="0.25">
      <c r="E171" s="44" t="str">
        <f>'MKT DATA'!B229</f>
        <v>syn BTCZ6/BTCG7/BTCF7/BTCX6/BTCU6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BTCZ6/BTCG7/BTCF7/BTCX6/BTCU6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BTCZ6/BTCG7/BTCF7/BTCX6/BTCU6</v>
      </c>
      <c r="R171" s="14">
        <f>'MKT DATA'!AB229</f>
        <v>0</v>
      </c>
    </row>
    <row r="172" spans="5:18" x14ac:dyDescent="0.25">
      <c r="E172" s="44" t="str">
        <f>'MKT DATA'!B230</f>
        <v>syn BTCF7/BTCV6/BTCX6/BTCZ6/BTCU6</v>
      </c>
      <c r="F172" s="14">
        <f>'MKT DATA'!J230</f>
        <v>0</v>
      </c>
      <c r="G172" s="9">
        <f>'MKT DATA'!K230</f>
        <v>0</v>
      </c>
      <c r="H172" s="9">
        <f>'MKT DATA'!L230</f>
        <v>0</v>
      </c>
      <c r="I172" s="14">
        <f>'MKT DATA'!M230</f>
        <v>0</v>
      </c>
      <c r="J172" s="44" t="str">
        <f t="shared" si="8"/>
        <v>syn BTCF7/BTCV6/BTCX6/BTCZ6/BTCU6</v>
      </c>
      <c r="K172" s="9">
        <f>'MKT DATA'!O230</f>
        <v>0</v>
      </c>
      <c r="L172" s="9">
        <f>'MKT DATA'!P230</f>
        <v>0</v>
      </c>
      <c r="M172" s="9">
        <f>'MKT DATA'!Q230</f>
        <v>0</v>
      </c>
      <c r="N172" s="9">
        <f>'MKT DATA'!R230</f>
        <v>0</v>
      </c>
      <c r="O172" s="9">
        <f>'MKT DATA'!S230</f>
        <v>0</v>
      </c>
      <c r="P172" s="9">
        <f>'MKT DATA'!T230</f>
        <v>0</v>
      </c>
      <c r="Q172" s="44" t="str">
        <f t="shared" si="9"/>
        <v>syn BTCF7/BTCV6/BTCX6/BTCZ6/BTCU6</v>
      </c>
      <c r="R172" s="14">
        <f>'MKT DATA'!AB230</f>
        <v>0</v>
      </c>
    </row>
    <row r="173" spans="5:18" x14ac:dyDescent="0.25">
      <c r="E173" s="44" t="str">
        <f>'MKT DATA'!B231</f>
        <v>syn BTCF7/BTCV6/BTCX6/BTCG7/BTCU6</v>
      </c>
      <c r="F173" s="14">
        <f>'MKT DATA'!J231</f>
        <v>0</v>
      </c>
      <c r="G173" s="9">
        <f>'MKT DATA'!K231</f>
        <v>0</v>
      </c>
      <c r="H173" s="9">
        <f>'MKT DATA'!L231</f>
        <v>0</v>
      </c>
      <c r="I173" s="14">
        <f>'MKT DATA'!M231</f>
        <v>0</v>
      </c>
      <c r="J173" s="44" t="str">
        <f t="shared" si="8"/>
        <v>syn BTCF7/BTCV6/BTCX6/BTCG7/BTCU6</v>
      </c>
      <c r="K173" s="9">
        <f>'MKT DATA'!O231</f>
        <v>0</v>
      </c>
      <c r="L173" s="9">
        <f>'MKT DATA'!P231</f>
        <v>0</v>
      </c>
      <c r="M173" s="9">
        <f>'MKT DATA'!Q231</f>
        <v>0</v>
      </c>
      <c r="N173" s="9">
        <f>'MKT DATA'!R231</f>
        <v>0</v>
      </c>
      <c r="O173" s="9">
        <f>'MKT DATA'!S231</f>
        <v>0</v>
      </c>
      <c r="P173" s="9">
        <f>'MKT DATA'!T231</f>
        <v>0</v>
      </c>
      <c r="Q173" s="44" t="str">
        <f t="shared" si="9"/>
        <v>syn BTCF7/BTCV6/BTCX6/BTCG7/BTCU6</v>
      </c>
      <c r="R173" s="14">
        <f>'MKT DATA'!AB231</f>
        <v>0</v>
      </c>
    </row>
    <row r="174" spans="5:18" x14ac:dyDescent="0.25">
      <c r="E174" s="44" t="str">
        <f>'MKT DATA'!B232</f>
        <v>syn BTCF7/BTCV6/BTCZ6/BTCX6/BTCU6</v>
      </c>
      <c r="F174" s="14">
        <f>'MKT DATA'!J232</f>
        <v>0</v>
      </c>
      <c r="G174" s="9">
        <f>'MKT DATA'!K232</f>
        <v>0</v>
      </c>
      <c r="H174" s="9">
        <f>'MKT DATA'!L232</f>
        <v>0</v>
      </c>
      <c r="I174" s="14">
        <f>'MKT DATA'!M232</f>
        <v>0</v>
      </c>
      <c r="J174" s="44" t="str">
        <f t="shared" si="8"/>
        <v>syn BTCF7/BTCV6/BTCZ6/BTCX6/BTCU6</v>
      </c>
      <c r="K174" s="9">
        <f>'MKT DATA'!O232</f>
        <v>0</v>
      </c>
      <c r="L174" s="9">
        <f>'MKT DATA'!P232</f>
        <v>0</v>
      </c>
      <c r="M174" s="9">
        <f>'MKT DATA'!Q232</f>
        <v>0</v>
      </c>
      <c r="N174" s="9">
        <f>'MKT DATA'!R232</f>
        <v>0</v>
      </c>
      <c r="O174" s="9">
        <f>'MKT DATA'!S232</f>
        <v>0</v>
      </c>
      <c r="P174" s="9">
        <f>'MKT DATA'!T232</f>
        <v>0</v>
      </c>
      <c r="Q174" s="44" t="str">
        <f t="shared" si="9"/>
        <v>syn BTCF7/BTCV6/BTCZ6/BTCX6/BTCU6</v>
      </c>
      <c r="R174" s="14">
        <f>'MKT DATA'!AB232</f>
        <v>0</v>
      </c>
    </row>
    <row r="175" spans="5:18" x14ac:dyDescent="0.25">
      <c r="E175" s="44" t="str">
        <f>'MKT DATA'!B233</f>
        <v>syn BTCF7/BTCV6/BTCZ6/BTCG7/BTCU6</v>
      </c>
      <c r="F175" s="14">
        <f>'MKT DATA'!J233</f>
        <v>0</v>
      </c>
      <c r="G175" s="9">
        <f>'MKT DATA'!K233</f>
        <v>0</v>
      </c>
      <c r="H175" s="9">
        <f>'MKT DATA'!L233</f>
        <v>0</v>
      </c>
      <c r="I175" s="14">
        <f>'MKT DATA'!M233</f>
        <v>0</v>
      </c>
      <c r="J175" s="44" t="str">
        <f t="shared" si="8"/>
        <v>syn BTCF7/BTCV6/BTCZ6/BTCG7/BTCU6</v>
      </c>
      <c r="K175" s="9">
        <f>'MKT DATA'!O233</f>
        <v>0</v>
      </c>
      <c r="L175" s="9">
        <f>'MKT DATA'!P233</f>
        <v>0</v>
      </c>
      <c r="M175" s="9">
        <f>'MKT DATA'!Q233</f>
        <v>0</v>
      </c>
      <c r="N175" s="9">
        <f>'MKT DATA'!R233</f>
        <v>0</v>
      </c>
      <c r="O175" s="9">
        <f>'MKT DATA'!S233</f>
        <v>0</v>
      </c>
      <c r="P175" s="9">
        <f>'MKT DATA'!T233</f>
        <v>0</v>
      </c>
      <c r="Q175" s="44" t="str">
        <f t="shared" si="9"/>
        <v>syn BTCF7/BTCV6/BTCZ6/BTCG7/BTCU6</v>
      </c>
      <c r="R175" s="14">
        <f>'MKT DATA'!AB233</f>
        <v>0</v>
      </c>
    </row>
    <row r="176" spans="5:18" x14ac:dyDescent="0.25">
      <c r="E176" s="44" t="str">
        <f>'MKT DATA'!B234</f>
        <v>syn BTCF7/BTCV6/BTCG7/BTCX6/BTCU6</v>
      </c>
      <c r="F176" s="14">
        <f>'MKT DATA'!J234</f>
        <v>0</v>
      </c>
      <c r="G176" s="9">
        <f>'MKT DATA'!K234</f>
        <v>0</v>
      </c>
      <c r="H176" s="9">
        <f>'MKT DATA'!L234</f>
        <v>0</v>
      </c>
      <c r="I176" s="14">
        <f>'MKT DATA'!M234</f>
        <v>0</v>
      </c>
      <c r="J176" s="44" t="str">
        <f t="shared" si="8"/>
        <v>syn BTCF7/BTCV6/BTCG7/BTCX6/BTCU6</v>
      </c>
      <c r="K176" s="9">
        <f>'MKT DATA'!O234</f>
        <v>0</v>
      </c>
      <c r="L176" s="9">
        <f>'MKT DATA'!P234</f>
        <v>0</v>
      </c>
      <c r="M176" s="9">
        <f>'MKT DATA'!Q234</f>
        <v>0</v>
      </c>
      <c r="N176" s="9">
        <f>'MKT DATA'!R234</f>
        <v>0</v>
      </c>
      <c r="O176" s="9">
        <f>'MKT DATA'!S234</f>
        <v>0</v>
      </c>
      <c r="P176" s="9">
        <f>'MKT DATA'!T234</f>
        <v>0</v>
      </c>
      <c r="Q176" s="44" t="str">
        <f t="shared" si="9"/>
        <v>syn BTCF7/BTCV6/BTCG7/BTCX6/BTCU6</v>
      </c>
      <c r="R176" s="14">
        <f>'MKT DATA'!AB234</f>
        <v>0</v>
      </c>
    </row>
    <row r="177" spans="5:18" x14ac:dyDescent="0.25">
      <c r="E177" s="44" t="str">
        <f>'MKT DATA'!B235</f>
        <v>syn BTCF7/BTCV6/BTCG7/BTCZ6/BTCU6</v>
      </c>
      <c r="F177" s="14">
        <f>'MKT DATA'!J235</f>
        <v>0</v>
      </c>
      <c r="G177" s="9">
        <f>'MKT DATA'!K235</f>
        <v>0</v>
      </c>
      <c r="H177" s="9">
        <f>'MKT DATA'!L235</f>
        <v>0</v>
      </c>
      <c r="I177" s="14">
        <f>'MKT DATA'!M235</f>
        <v>0</v>
      </c>
      <c r="J177" s="44" t="str">
        <f t="shared" si="8"/>
        <v>syn BTCF7/BTCV6/BTCG7/BTCZ6/BTCU6</v>
      </c>
      <c r="K177" s="9">
        <f>'MKT DATA'!O235</f>
        <v>0</v>
      </c>
      <c r="L177" s="9">
        <f>'MKT DATA'!P235</f>
        <v>0</v>
      </c>
      <c r="M177" s="9">
        <f>'MKT DATA'!Q235</f>
        <v>0</v>
      </c>
      <c r="N177" s="9">
        <f>'MKT DATA'!R235</f>
        <v>0</v>
      </c>
      <c r="O177" s="9">
        <f>'MKT DATA'!S235</f>
        <v>0</v>
      </c>
      <c r="P177" s="9">
        <f>'MKT DATA'!T235</f>
        <v>0</v>
      </c>
      <c r="Q177" s="44" t="str">
        <f t="shared" si="9"/>
        <v>syn BTCF7/BTCV6/BTCG7/BTCZ6/BTCU6</v>
      </c>
      <c r="R177" s="14">
        <f>'MKT DATA'!AB235</f>
        <v>0</v>
      </c>
    </row>
    <row r="178" spans="5:18" x14ac:dyDescent="0.25">
      <c r="E178" s="44" t="str">
        <f>'MKT DATA'!B236</f>
        <v>syn BTCF7/BTCX6/BTCV6/BTCZ6/BTCU6</v>
      </c>
      <c r="F178" s="14">
        <f>'MKT DATA'!J236</f>
        <v>0</v>
      </c>
      <c r="G178" s="9">
        <f>'MKT DATA'!K236</f>
        <v>0</v>
      </c>
      <c r="H178" s="9">
        <f>'MKT DATA'!L236</f>
        <v>0</v>
      </c>
      <c r="I178" s="14">
        <f>'MKT DATA'!M236</f>
        <v>0</v>
      </c>
      <c r="J178" s="44" t="str">
        <f t="shared" si="8"/>
        <v>syn BTCF7/BTCX6/BTCV6/BTCZ6/BTCU6</v>
      </c>
      <c r="K178" s="9">
        <f>'MKT DATA'!O236</f>
        <v>0</v>
      </c>
      <c r="L178" s="9">
        <f>'MKT DATA'!P236</f>
        <v>0</v>
      </c>
      <c r="M178" s="9">
        <f>'MKT DATA'!Q236</f>
        <v>0</v>
      </c>
      <c r="N178" s="9">
        <f>'MKT DATA'!R236</f>
        <v>0</v>
      </c>
      <c r="O178" s="9">
        <f>'MKT DATA'!S236</f>
        <v>0</v>
      </c>
      <c r="P178" s="9">
        <f>'MKT DATA'!T236</f>
        <v>0</v>
      </c>
      <c r="Q178" s="44" t="str">
        <f t="shared" si="9"/>
        <v>syn BTCF7/BTCX6/BTCV6/BTCZ6/BTCU6</v>
      </c>
      <c r="R178" s="14">
        <f>'MKT DATA'!AB236</f>
        <v>0</v>
      </c>
    </row>
    <row r="179" spans="5:18" x14ac:dyDescent="0.25">
      <c r="E179" s="44" t="str">
        <f>'MKT DATA'!B237</f>
        <v>syn BTCF7/BTCX6/BTCV6/BTCG7/BTCU6</v>
      </c>
      <c r="F179" s="14">
        <f>'MKT DATA'!J237</f>
        <v>0</v>
      </c>
      <c r="G179" s="9">
        <f>'MKT DATA'!K237</f>
        <v>0</v>
      </c>
      <c r="H179" s="9">
        <f>'MKT DATA'!L237</f>
        <v>0</v>
      </c>
      <c r="I179" s="14">
        <f>'MKT DATA'!M237</f>
        <v>0</v>
      </c>
      <c r="J179" s="44" t="str">
        <f t="shared" si="8"/>
        <v>syn BTCF7/BTCX6/BTCV6/BTCG7/BTCU6</v>
      </c>
      <c r="K179" s="9">
        <f>'MKT DATA'!O237</f>
        <v>0</v>
      </c>
      <c r="L179" s="9">
        <f>'MKT DATA'!P237</f>
        <v>0</v>
      </c>
      <c r="M179" s="9">
        <f>'MKT DATA'!Q237</f>
        <v>0</v>
      </c>
      <c r="N179" s="9">
        <f>'MKT DATA'!R237</f>
        <v>0</v>
      </c>
      <c r="O179" s="9">
        <f>'MKT DATA'!S237</f>
        <v>0</v>
      </c>
      <c r="P179" s="9">
        <f>'MKT DATA'!T237</f>
        <v>0</v>
      </c>
      <c r="Q179" s="44" t="str">
        <f t="shared" si="9"/>
        <v>syn BTCF7/BTCX6/BTCV6/BTCG7/BTCU6</v>
      </c>
      <c r="R179" s="14">
        <f>'MKT DATA'!AB237</f>
        <v>0</v>
      </c>
    </row>
    <row r="180" spans="5:18" x14ac:dyDescent="0.25">
      <c r="E180" s="44" t="str">
        <f>'MKT DATA'!B238</f>
        <v>syn BTCF7/BTCX6/BTCZ6/BTCV6/BTCU6</v>
      </c>
      <c r="F180" s="14">
        <f>'MKT DATA'!J238</f>
        <v>0</v>
      </c>
      <c r="G180" s="9">
        <f>'MKT DATA'!K238</f>
        <v>0</v>
      </c>
      <c r="H180" s="9">
        <f>'MKT DATA'!L238</f>
        <v>0</v>
      </c>
      <c r="I180" s="14">
        <f>'MKT DATA'!M238</f>
        <v>0</v>
      </c>
      <c r="J180" s="44" t="str">
        <f t="shared" si="8"/>
        <v>syn BTCF7/BTCX6/BTCZ6/BTCV6/BTCU6</v>
      </c>
      <c r="K180" s="9">
        <f>'MKT DATA'!O238</f>
        <v>0</v>
      </c>
      <c r="L180" s="9">
        <f>'MKT DATA'!P238</f>
        <v>0</v>
      </c>
      <c r="M180" s="9">
        <f>'MKT DATA'!Q238</f>
        <v>0</v>
      </c>
      <c r="N180" s="9">
        <f>'MKT DATA'!R238</f>
        <v>0</v>
      </c>
      <c r="O180" s="9">
        <f>'MKT DATA'!S238</f>
        <v>0</v>
      </c>
      <c r="P180" s="9">
        <f>'MKT DATA'!T238</f>
        <v>0</v>
      </c>
      <c r="Q180" s="44" t="str">
        <f t="shared" si="9"/>
        <v>syn BTCF7/BTCX6/BTCZ6/BTCV6/BTCU6</v>
      </c>
      <c r="R180" s="14">
        <f>'MKT DATA'!AB238</f>
        <v>0</v>
      </c>
    </row>
    <row r="181" spans="5:18" x14ac:dyDescent="0.25">
      <c r="E181" s="44" t="str">
        <f>'MKT DATA'!B239</f>
        <v>syn BTCF7/BTCX6/BTCZ6/BTCG7/BTCU6</v>
      </c>
      <c r="F181" s="14">
        <f>'MKT DATA'!J239</f>
        <v>0</v>
      </c>
      <c r="G181" s="9">
        <f>'MKT DATA'!K239</f>
        <v>0</v>
      </c>
      <c r="H181" s="9">
        <f>'MKT DATA'!L239</f>
        <v>0</v>
      </c>
      <c r="I181" s="14">
        <f>'MKT DATA'!M239</f>
        <v>0</v>
      </c>
      <c r="J181" s="44" t="str">
        <f t="shared" si="8"/>
        <v>syn BTCF7/BTCX6/BTCZ6/BTCG7/BTCU6</v>
      </c>
      <c r="K181" s="9">
        <f>'MKT DATA'!O239</f>
        <v>0</v>
      </c>
      <c r="L181" s="9">
        <f>'MKT DATA'!P239</f>
        <v>0</v>
      </c>
      <c r="M181" s="9">
        <f>'MKT DATA'!Q239</f>
        <v>0</v>
      </c>
      <c r="N181" s="9">
        <f>'MKT DATA'!R239</f>
        <v>0</v>
      </c>
      <c r="O181" s="9">
        <f>'MKT DATA'!S239</f>
        <v>0</v>
      </c>
      <c r="P181" s="9">
        <f>'MKT DATA'!T239</f>
        <v>0</v>
      </c>
      <c r="Q181" s="44" t="str">
        <f t="shared" si="9"/>
        <v>syn BTCF7/BTCX6/BTCZ6/BTCG7/BTCU6</v>
      </c>
      <c r="R181" s="14">
        <f>'MKT DATA'!AB239</f>
        <v>0</v>
      </c>
    </row>
    <row r="182" spans="5:18" x14ac:dyDescent="0.25">
      <c r="E182" s="44" t="str">
        <f>'MKT DATA'!B240</f>
        <v>syn BTCF7/BTCX6/BTCG7/BTCV6/BTCU6</v>
      </c>
      <c r="F182" s="14">
        <f>'MKT DATA'!J240</f>
        <v>0</v>
      </c>
      <c r="G182" s="9">
        <f>'MKT DATA'!K240</f>
        <v>0</v>
      </c>
      <c r="H182" s="9">
        <f>'MKT DATA'!L240</f>
        <v>0</v>
      </c>
      <c r="I182" s="14">
        <f>'MKT DATA'!M240</f>
        <v>0</v>
      </c>
      <c r="J182" s="44" t="str">
        <f t="shared" si="8"/>
        <v>syn BTCF7/BTCX6/BTCG7/BTCV6/BTCU6</v>
      </c>
      <c r="K182" s="9">
        <f>'MKT DATA'!O240</f>
        <v>0</v>
      </c>
      <c r="L182" s="9">
        <f>'MKT DATA'!P240</f>
        <v>0</v>
      </c>
      <c r="M182" s="9">
        <f>'MKT DATA'!Q240</f>
        <v>0</v>
      </c>
      <c r="N182" s="9">
        <f>'MKT DATA'!R240</f>
        <v>0</v>
      </c>
      <c r="O182" s="9">
        <f>'MKT DATA'!S240</f>
        <v>0</v>
      </c>
      <c r="P182" s="9">
        <f>'MKT DATA'!T240</f>
        <v>0</v>
      </c>
      <c r="Q182" s="44" t="str">
        <f t="shared" si="9"/>
        <v>syn BTCF7/BTCX6/BTCG7/BTCV6/BTCU6</v>
      </c>
      <c r="R182" s="14">
        <f>'MKT DATA'!AB240</f>
        <v>0</v>
      </c>
    </row>
    <row r="183" spans="5:18" x14ac:dyDescent="0.25">
      <c r="E183" s="44" t="str">
        <f>'MKT DATA'!B241</f>
        <v>syn BTCF7/BTCX6/BTCG7/BTCZ6/BTCU6</v>
      </c>
      <c r="F183" s="14">
        <f>'MKT DATA'!J241</f>
        <v>0</v>
      </c>
      <c r="G183" s="9">
        <f>'MKT DATA'!K241</f>
        <v>0</v>
      </c>
      <c r="H183" s="9">
        <f>'MKT DATA'!L241</f>
        <v>0</v>
      </c>
      <c r="I183" s="14">
        <f>'MKT DATA'!M241</f>
        <v>0</v>
      </c>
      <c r="J183" s="44" t="str">
        <f t="shared" si="8"/>
        <v>syn BTCF7/BTCX6/BTCG7/BTCZ6/BTCU6</v>
      </c>
      <c r="K183" s="9">
        <f>'MKT DATA'!O241</f>
        <v>0</v>
      </c>
      <c r="L183" s="9">
        <f>'MKT DATA'!P241</f>
        <v>0</v>
      </c>
      <c r="M183" s="9">
        <f>'MKT DATA'!Q241</f>
        <v>0</v>
      </c>
      <c r="N183" s="9">
        <f>'MKT DATA'!R241</f>
        <v>0</v>
      </c>
      <c r="O183" s="9">
        <f>'MKT DATA'!S241</f>
        <v>0</v>
      </c>
      <c r="P183" s="9">
        <f>'MKT DATA'!T241</f>
        <v>0</v>
      </c>
      <c r="Q183" s="44" t="str">
        <f t="shared" si="9"/>
        <v>syn BTCF7/BTCX6/BTCG7/BTCZ6/BTCU6</v>
      </c>
      <c r="R183" s="14">
        <f>'MKT DATA'!AB241</f>
        <v>0</v>
      </c>
    </row>
    <row r="184" spans="5:18" x14ac:dyDescent="0.25">
      <c r="E184" s="44" t="str">
        <f>'MKT DATA'!B242</f>
        <v>syn BTCF7/BTCZ6/BTCV6/BTCX6/BTCU6</v>
      </c>
      <c r="F184" s="14">
        <f>'MKT DATA'!J242</f>
        <v>0</v>
      </c>
      <c r="G184" s="9">
        <f>'MKT DATA'!K242</f>
        <v>0</v>
      </c>
      <c r="H184" s="9">
        <f>'MKT DATA'!L242</f>
        <v>0</v>
      </c>
      <c r="I184" s="14">
        <f>'MKT DATA'!M242</f>
        <v>0</v>
      </c>
      <c r="J184" s="44" t="str">
        <f t="shared" si="8"/>
        <v>syn BTCF7/BTCZ6/BTCV6/BTCX6/BTCU6</v>
      </c>
      <c r="K184" s="9">
        <f>'MKT DATA'!O242</f>
        <v>0</v>
      </c>
      <c r="L184" s="9">
        <f>'MKT DATA'!P242</f>
        <v>0</v>
      </c>
      <c r="M184" s="9">
        <f>'MKT DATA'!Q242</f>
        <v>0</v>
      </c>
      <c r="N184" s="9">
        <f>'MKT DATA'!R242</f>
        <v>0</v>
      </c>
      <c r="O184" s="9">
        <f>'MKT DATA'!S242</f>
        <v>0</v>
      </c>
      <c r="P184" s="9">
        <f>'MKT DATA'!T242</f>
        <v>0</v>
      </c>
      <c r="Q184" s="44" t="str">
        <f t="shared" si="9"/>
        <v>syn BTCF7/BTCZ6/BTCV6/BTCX6/BTCU6</v>
      </c>
      <c r="R184" s="14">
        <f>'MKT DATA'!AB242</f>
        <v>0</v>
      </c>
    </row>
    <row r="185" spans="5:18" x14ac:dyDescent="0.25">
      <c r="E185" s="44" t="str">
        <f>'MKT DATA'!B243</f>
        <v>syn BTCF7/BTCZ6/BTCV6/BTCG7/BTCU6</v>
      </c>
      <c r="F185" s="14">
        <f>'MKT DATA'!J243</f>
        <v>0</v>
      </c>
      <c r="G185" s="9">
        <f>'MKT DATA'!K243</f>
        <v>0</v>
      </c>
      <c r="H185" s="9">
        <f>'MKT DATA'!L243</f>
        <v>0</v>
      </c>
      <c r="I185" s="14">
        <f>'MKT DATA'!M243</f>
        <v>0</v>
      </c>
      <c r="J185" s="44" t="str">
        <f t="shared" si="8"/>
        <v>syn BTCF7/BTCZ6/BTCV6/BTCG7/BTCU6</v>
      </c>
      <c r="K185" s="9">
        <f>'MKT DATA'!O243</f>
        <v>0</v>
      </c>
      <c r="L185" s="9">
        <f>'MKT DATA'!P243</f>
        <v>0</v>
      </c>
      <c r="M185" s="9">
        <f>'MKT DATA'!Q243</f>
        <v>0</v>
      </c>
      <c r="N185" s="9">
        <f>'MKT DATA'!R243</f>
        <v>0</v>
      </c>
      <c r="O185" s="9">
        <f>'MKT DATA'!S243</f>
        <v>0</v>
      </c>
      <c r="P185" s="9">
        <f>'MKT DATA'!T243</f>
        <v>0</v>
      </c>
      <c r="Q185" s="44" t="str">
        <f t="shared" si="9"/>
        <v>syn BTCF7/BTCZ6/BTCV6/BTCG7/BTCU6</v>
      </c>
      <c r="R185" s="14">
        <f>'MKT DATA'!AB243</f>
        <v>0</v>
      </c>
    </row>
    <row r="186" spans="5:18" x14ac:dyDescent="0.25">
      <c r="E186" s="44" t="str">
        <f>'MKT DATA'!B244</f>
        <v>syn BTCF7/BTCZ6/BTCX6/BTCV6/BTCU6</v>
      </c>
      <c r="F186" s="14">
        <f>'MKT DATA'!J244</f>
        <v>0</v>
      </c>
      <c r="G186" s="9">
        <f>'MKT DATA'!K244</f>
        <v>0</v>
      </c>
      <c r="H186" s="9">
        <f>'MKT DATA'!L244</f>
        <v>0</v>
      </c>
      <c r="I186" s="14">
        <f>'MKT DATA'!M244</f>
        <v>0</v>
      </c>
      <c r="J186" s="44" t="str">
        <f t="shared" si="8"/>
        <v>syn BTCF7/BTCZ6/BTCX6/BTCV6/BTCU6</v>
      </c>
      <c r="K186" s="9">
        <f>'MKT DATA'!O244</f>
        <v>0</v>
      </c>
      <c r="L186" s="9">
        <f>'MKT DATA'!P244</f>
        <v>0</v>
      </c>
      <c r="M186" s="9">
        <f>'MKT DATA'!Q244</f>
        <v>0</v>
      </c>
      <c r="N186" s="9">
        <f>'MKT DATA'!R244</f>
        <v>0</v>
      </c>
      <c r="O186" s="9">
        <f>'MKT DATA'!S244</f>
        <v>0</v>
      </c>
      <c r="P186" s="9">
        <f>'MKT DATA'!T244</f>
        <v>0</v>
      </c>
      <c r="Q186" s="44" t="str">
        <f t="shared" si="9"/>
        <v>syn BTCF7/BTCZ6/BTCX6/BTCV6/BTCU6</v>
      </c>
      <c r="R186" s="14">
        <f>'MKT DATA'!AB244</f>
        <v>0</v>
      </c>
    </row>
    <row r="187" spans="5:18" x14ac:dyDescent="0.25">
      <c r="E187" s="44" t="str">
        <f>'MKT DATA'!B245</f>
        <v>syn BTCF7/BTCZ6/BTCX6/BTCG7/BTCU6</v>
      </c>
      <c r="F187" s="14">
        <f>'MKT DATA'!J245</f>
        <v>0</v>
      </c>
      <c r="G187" s="9">
        <f>'MKT DATA'!K245</f>
        <v>0</v>
      </c>
      <c r="H187" s="9">
        <f>'MKT DATA'!L245</f>
        <v>0</v>
      </c>
      <c r="I187" s="14">
        <f>'MKT DATA'!M245</f>
        <v>0</v>
      </c>
      <c r="J187" s="44" t="str">
        <f t="shared" si="8"/>
        <v>syn BTCF7/BTCZ6/BTCX6/BTCG7/BTCU6</v>
      </c>
      <c r="K187" s="9">
        <f>'MKT DATA'!O245</f>
        <v>0</v>
      </c>
      <c r="L187" s="9">
        <f>'MKT DATA'!P245</f>
        <v>0</v>
      </c>
      <c r="M187" s="9">
        <f>'MKT DATA'!Q245</f>
        <v>0</v>
      </c>
      <c r="N187" s="9">
        <f>'MKT DATA'!R245</f>
        <v>0</v>
      </c>
      <c r="O187" s="9">
        <f>'MKT DATA'!S245</f>
        <v>0</v>
      </c>
      <c r="P187" s="9">
        <f>'MKT DATA'!T245</f>
        <v>0</v>
      </c>
      <c r="Q187" s="44" t="str">
        <f t="shared" si="9"/>
        <v>syn BTCF7/BTCZ6/BTCX6/BTCG7/BTCU6</v>
      </c>
      <c r="R187" s="14">
        <f>'MKT DATA'!AB245</f>
        <v>0</v>
      </c>
    </row>
    <row r="188" spans="5:18" x14ac:dyDescent="0.25">
      <c r="E188" s="44" t="str">
        <f>'MKT DATA'!B246</f>
        <v>syn BTCF7/BTCZ6/BTCG7/BTCV6/BTCU6</v>
      </c>
      <c r="F188" s="14">
        <f>'MKT DATA'!J246</f>
        <v>0</v>
      </c>
      <c r="G188" s="9">
        <f>'MKT DATA'!K246</f>
        <v>0</v>
      </c>
      <c r="H188" s="9">
        <f>'MKT DATA'!L246</f>
        <v>0</v>
      </c>
      <c r="I188" s="14">
        <f>'MKT DATA'!M246</f>
        <v>0</v>
      </c>
      <c r="J188" s="44" t="str">
        <f t="shared" si="8"/>
        <v>syn BTCF7/BTCZ6/BTCG7/BTCV6/BTCU6</v>
      </c>
      <c r="K188" s="9">
        <f>'MKT DATA'!O246</f>
        <v>0</v>
      </c>
      <c r="L188" s="9">
        <f>'MKT DATA'!P246</f>
        <v>0</v>
      </c>
      <c r="M188" s="9">
        <f>'MKT DATA'!Q246</f>
        <v>0</v>
      </c>
      <c r="N188" s="9">
        <f>'MKT DATA'!R246</f>
        <v>0</v>
      </c>
      <c r="O188" s="9">
        <f>'MKT DATA'!S246</f>
        <v>0</v>
      </c>
      <c r="P188" s="9">
        <f>'MKT DATA'!T246</f>
        <v>0</v>
      </c>
      <c r="Q188" s="44" t="str">
        <f t="shared" si="9"/>
        <v>syn BTCF7/BTCZ6/BTCG7/BTCV6/BTCU6</v>
      </c>
      <c r="R188" s="14">
        <f>'MKT DATA'!AB246</f>
        <v>0</v>
      </c>
    </row>
    <row r="189" spans="5:18" x14ac:dyDescent="0.25">
      <c r="E189" s="44" t="str">
        <f>'MKT DATA'!B247</f>
        <v>syn BTCF7/BTCZ6/BTCG7/BTCX6/BTCU6</v>
      </c>
      <c r="F189" s="14">
        <f>'MKT DATA'!J247</f>
        <v>0</v>
      </c>
      <c r="G189" s="9">
        <f>'MKT DATA'!K247</f>
        <v>0</v>
      </c>
      <c r="H189" s="9">
        <f>'MKT DATA'!L247</f>
        <v>0</v>
      </c>
      <c r="I189" s="14">
        <f>'MKT DATA'!M247</f>
        <v>0</v>
      </c>
      <c r="J189" s="44" t="str">
        <f t="shared" si="8"/>
        <v>syn BTCF7/BTCZ6/BTCG7/BTCX6/BTCU6</v>
      </c>
      <c r="K189" s="9">
        <f>'MKT DATA'!O247</f>
        <v>0</v>
      </c>
      <c r="L189" s="9">
        <f>'MKT DATA'!P247</f>
        <v>0</v>
      </c>
      <c r="M189" s="9">
        <f>'MKT DATA'!Q247</f>
        <v>0</v>
      </c>
      <c r="N189" s="9">
        <f>'MKT DATA'!R247</f>
        <v>0</v>
      </c>
      <c r="O189" s="9">
        <f>'MKT DATA'!S247</f>
        <v>0</v>
      </c>
      <c r="P189" s="9">
        <f>'MKT DATA'!T247</f>
        <v>0</v>
      </c>
      <c r="Q189" s="44" t="str">
        <f t="shared" si="9"/>
        <v>syn BTCF7/BTCZ6/BTCG7/BTCX6/BTCU6</v>
      </c>
      <c r="R189" s="14">
        <f>'MKT DATA'!AB247</f>
        <v>0</v>
      </c>
    </row>
    <row r="190" spans="5:18" x14ac:dyDescent="0.25">
      <c r="E190" s="44" t="str">
        <f>'MKT DATA'!B248</f>
        <v>syn BTCF7/BTCG7/BTCV6/BTCX6/BTCU6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BTCF7/BTCG7/BTCV6/BTCX6/BTCU6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BTCF7/BTCG7/BTCV6/BTCX6/BTCU6</v>
      </c>
      <c r="R190" s="14">
        <f>'MKT DATA'!AB248</f>
        <v>0</v>
      </c>
    </row>
    <row r="191" spans="5:18" x14ac:dyDescent="0.25">
      <c r="E191" s="44" t="str">
        <f>'MKT DATA'!B249</f>
        <v>syn BTCF7/BTCG7/BTCV6/BTCZ6/BTCU6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BTCF7/BTCG7/BTCV6/BTCZ6/BTCU6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BTCF7/BTCG7/BTCV6/BTCZ6/BTCU6</v>
      </c>
      <c r="R191" s="14">
        <f>'MKT DATA'!AB249</f>
        <v>0</v>
      </c>
    </row>
    <row r="192" spans="5:18" x14ac:dyDescent="0.25">
      <c r="E192" s="44" t="str">
        <f>'MKT DATA'!B250</f>
        <v>syn BTCF7/BTCG7/BTCX6/BTCV6/BTCU6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BTCF7/BTCG7/BTCX6/BTCV6/BTCU6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BTCF7/BTCG7/BTCX6/BTCV6/BTCU6</v>
      </c>
      <c r="R192" s="14">
        <f>'MKT DATA'!AB250</f>
        <v>0</v>
      </c>
    </row>
    <row r="193" spans="5:18" x14ac:dyDescent="0.25">
      <c r="E193" s="44" t="str">
        <f>'MKT DATA'!B251</f>
        <v>syn BTCF7/BTCG7/BTCX6/BTCZ6/BTCU6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BTCF7/BTCG7/BTCX6/BTCZ6/BTCU6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BTCF7/BTCG7/BTCX6/BTCZ6/BTCU6</v>
      </c>
      <c r="R193" s="14">
        <f>'MKT DATA'!AB251</f>
        <v>0</v>
      </c>
    </row>
    <row r="194" spans="5:18" x14ac:dyDescent="0.25">
      <c r="E194" s="44" t="str">
        <f>'MKT DATA'!B252</f>
        <v>syn BTCF7/BTCG7/BTCZ6/BTCV6/BTCU6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BTCF7/BTCG7/BTCZ6/BTCV6/BTCU6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BTCF7/BTCG7/BTCZ6/BTCV6/BTCU6</v>
      </c>
      <c r="R194" s="14">
        <f>'MKT DATA'!AB252</f>
        <v>0</v>
      </c>
    </row>
    <row r="195" spans="5:18" x14ac:dyDescent="0.25">
      <c r="E195" s="44" t="str">
        <f>'MKT DATA'!B253</f>
        <v>syn BTCF7/BTCG7/BTCZ6/BTCX6/BTCU6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BTCF7/BTCG7/BTCZ6/BTCX6/BTCU6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BTCF7/BTCG7/BTCZ6/BTCX6/BTCU6</v>
      </c>
      <c r="R195" s="14">
        <f>'MKT DATA'!AB253</f>
        <v>0</v>
      </c>
    </row>
    <row r="196" spans="5:18" x14ac:dyDescent="0.25">
      <c r="E196" s="44" t="str">
        <f>'MKT DATA'!B254</f>
        <v>syn BTCG7/BTCV6/BTCX6/BTCZ6/BTCU6</v>
      </c>
      <c r="F196" s="14">
        <f>'MKT DATA'!J254</f>
        <v>0</v>
      </c>
      <c r="G196" s="9">
        <f>'MKT DATA'!K254</f>
        <v>0</v>
      </c>
      <c r="H196" s="9">
        <f>'MKT DATA'!L254</f>
        <v>0</v>
      </c>
      <c r="I196" s="14">
        <f>'MKT DATA'!M254</f>
        <v>0</v>
      </c>
      <c r="J196" s="44" t="str">
        <f t="shared" si="8"/>
        <v>syn BTCG7/BTCV6/BTCX6/BTCZ6/BTCU6</v>
      </c>
      <c r="K196" s="9">
        <f>'MKT DATA'!O254</f>
        <v>0</v>
      </c>
      <c r="L196" s="9">
        <f>'MKT DATA'!P254</f>
        <v>0</v>
      </c>
      <c r="M196" s="9">
        <f>'MKT DATA'!Q254</f>
        <v>0</v>
      </c>
      <c r="N196" s="9">
        <f>'MKT DATA'!R254</f>
        <v>0</v>
      </c>
      <c r="O196" s="9">
        <f>'MKT DATA'!S254</f>
        <v>0</v>
      </c>
      <c r="P196" s="9">
        <f>'MKT DATA'!T254</f>
        <v>0</v>
      </c>
      <c r="Q196" s="44" t="str">
        <f t="shared" si="9"/>
        <v>syn BTCG7/BTCV6/BTCX6/BTCZ6/BTCU6</v>
      </c>
      <c r="R196" s="14">
        <f>'MKT DATA'!AB254</f>
        <v>0</v>
      </c>
    </row>
    <row r="197" spans="5:18" x14ac:dyDescent="0.25">
      <c r="E197" s="44" t="str">
        <f>'MKT DATA'!B255</f>
        <v>syn BTCG7/BTCV6/BTCX6/BTCF7/BTCU6</v>
      </c>
      <c r="F197" s="14">
        <f>'MKT DATA'!J255</f>
        <v>0</v>
      </c>
      <c r="G197" s="9">
        <f>'MKT DATA'!K255</f>
        <v>0</v>
      </c>
      <c r="H197" s="9">
        <f>'MKT DATA'!L255</f>
        <v>0</v>
      </c>
      <c r="I197" s="14">
        <f>'MKT DATA'!M255</f>
        <v>0</v>
      </c>
      <c r="J197" s="44" t="str">
        <f t="shared" si="8"/>
        <v>syn BTCG7/BTCV6/BTCX6/BTCF7/BTCU6</v>
      </c>
      <c r="K197" s="9">
        <f>'MKT DATA'!O255</f>
        <v>0</v>
      </c>
      <c r="L197" s="9">
        <f>'MKT DATA'!P255</f>
        <v>0</v>
      </c>
      <c r="M197" s="9">
        <f>'MKT DATA'!Q255</f>
        <v>0</v>
      </c>
      <c r="N197" s="9">
        <f>'MKT DATA'!R255</f>
        <v>0</v>
      </c>
      <c r="O197" s="9">
        <f>'MKT DATA'!S255</f>
        <v>0</v>
      </c>
      <c r="P197" s="9">
        <f>'MKT DATA'!T255</f>
        <v>0</v>
      </c>
      <c r="Q197" s="44" t="str">
        <f t="shared" si="9"/>
        <v>syn BTCG7/BTCV6/BTCX6/BTCF7/BTCU6</v>
      </c>
      <c r="R197" s="14">
        <f>'MKT DATA'!AB255</f>
        <v>0</v>
      </c>
    </row>
    <row r="198" spans="5:18" x14ac:dyDescent="0.25">
      <c r="E198" s="44" t="str">
        <f>'MKT DATA'!B256</f>
        <v>syn BTCG7/BTCV6/BTCZ6/BTCX6/BTCU6</v>
      </c>
      <c r="F198" s="14">
        <f>'MKT DATA'!J256</f>
        <v>0</v>
      </c>
      <c r="G198" s="9">
        <f>'MKT DATA'!K256</f>
        <v>0</v>
      </c>
      <c r="H198" s="9">
        <f>'MKT DATA'!L256</f>
        <v>0</v>
      </c>
      <c r="I198" s="14">
        <f>'MKT DATA'!M256</f>
        <v>0</v>
      </c>
      <c r="J198" s="44" t="str">
        <f t="shared" si="8"/>
        <v>syn BTCG7/BTCV6/BTCZ6/BTCX6/BTCU6</v>
      </c>
      <c r="K198" s="9">
        <f>'MKT DATA'!O256</f>
        <v>0</v>
      </c>
      <c r="L198" s="9">
        <f>'MKT DATA'!P256</f>
        <v>0</v>
      </c>
      <c r="M198" s="9">
        <f>'MKT DATA'!Q256</f>
        <v>0</v>
      </c>
      <c r="N198" s="9">
        <f>'MKT DATA'!R256</f>
        <v>0</v>
      </c>
      <c r="O198" s="9">
        <f>'MKT DATA'!S256</f>
        <v>0</v>
      </c>
      <c r="P198" s="9">
        <f>'MKT DATA'!T256</f>
        <v>0</v>
      </c>
      <c r="Q198" s="44" t="str">
        <f t="shared" si="9"/>
        <v>syn BTCG7/BTCV6/BTCZ6/BTCX6/BTCU6</v>
      </c>
      <c r="R198" s="14">
        <f>'MKT DATA'!AB256</f>
        <v>0</v>
      </c>
    </row>
    <row r="199" spans="5:18" x14ac:dyDescent="0.25">
      <c r="E199" s="44" t="str">
        <f>'MKT DATA'!B257</f>
        <v>syn BTCG7/BTCV6/BTCZ6/BTCF7/BTCU6</v>
      </c>
      <c r="F199" s="14">
        <f>'MKT DATA'!J257</f>
        <v>0</v>
      </c>
      <c r="G199" s="9">
        <f>'MKT DATA'!K257</f>
        <v>0</v>
      </c>
      <c r="H199" s="9">
        <f>'MKT DATA'!L257</f>
        <v>0</v>
      </c>
      <c r="I199" s="14">
        <f>'MKT DATA'!M257</f>
        <v>0</v>
      </c>
      <c r="J199" s="44" t="str">
        <f t="shared" si="8"/>
        <v>syn BTCG7/BTCV6/BTCZ6/BTCF7/BTCU6</v>
      </c>
      <c r="K199" s="9">
        <f>'MKT DATA'!O257</f>
        <v>0</v>
      </c>
      <c r="L199" s="9">
        <f>'MKT DATA'!P257</f>
        <v>0</v>
      </c>
      <c r="M199" s="9">
        <f>'MKT DATA'!Q257</f>
        <v>0</v>
      </c>
      <c r="N199" s="9">
        <f>'MKT DATA'!R257</f>
        <v>0</v>
      </c>
      <c r="O199" s="9">
        <f>'MKT DATA'!S257</f>
        <v>0</v>
      </c>
      <c r="P199" s="9">
        <f>'MKT DATA'!T257</f>
        <v>0</v>
      </c>
      <c r="Q199" s="44" t="str">
        <f t="shared" si="9"/>
        <v>syn BTCG7/BTCV6/BTCZ6/BTCF7/BTCU6</v>
      </c>
      <c r="R199" s="14">
        <f>'MKT DATA'!AB257</f>
        <v>0</v>
      </c>
    </row>
    <row r="200" spans="5:18" x14ac:dyDescent="0.25">
      <c r="E200" s="44" t="str">
        <f>'MKT DATA'!B258</f>
        <v>syn BTCG7/BTCV6/BTCF7/BTCX6/BTCU6</v>
      </c>
      <c r="F200" s="14">
        <f>'MKT DATA'!J258</f>
        <v>0</v>
      </c>
      <c r="G200" s="9">
        <f>'MKT DATA'!K258</f>
        <v>0</v>
      </c>
      <c r="H200" s="9">
        <f>'MKT DATA'!L258</f>
        <v>0</v>
      </c>
      <c r="I200" s="14">
        <f>'MKT DATA'!M258</f>
        <v>0</v>
      </c>
      <c r="J200" s="44" t="str">
        <f t="shared" si="8"/>
        <v>syn BTCG7/BTCV6/BTCF7/BTCX6/BTCU6</v>
      </c>
      <c r="K200" s="9">
        <f>'MKT DATA'!O258</f>
        <v>0</v>
      </c>
      <c r="L200" s="9">
        <f>'MKT DATA'!P258</f>
        <v>0</v>
      </c>
      <c r="M200" s="9">
        <f>'MKT DATA'!Q258</f>
        <v>0</v>
      </c>
      <c r="N200" s="9">
        <f>'MKT DATA'!R258</f>
        <v>0</v>
      </c>
      <c r="O200" s="9">
        <f>'MKT DATA'!S258</f>
        <v>0</v>
      </c>
      <c r="P200" s="9">
        <f>'MKT DATA'!T258</f>
        <v>0</v>
      </c>
      <c r="Q200" s="44" t="str">
        <f t="shared" si="9"/>
        <v>syn BTCG7/BTCV6/BTCF7/BTCX6/BTCU6</v>
      </c>
      <c r="R200" s="14">
        <f>'MKT DATA'!AB258</f>
        <v>0</v>
      </c>
    </row>
    <row r="201" spans="5:18" x14ac:dyDescent="0.25">
      <c r="E201" s="44" t="str">
        <f>'MKT DATA'!B259</f>
        <v>syn BTCG7/BTCV6/BTCF7/BTCZ6/BTCU6</v>
      </c>
      <c r="F201" s="14">
        <f>'MKT DATA'!J259</f>
        <v>0</v>
      </c>
      <c r="G201" s="9">
        <f>'MKT DATA'!K259</f>
        <v>0</v>
      </c>
      <c r="H201" s="9">
        <f>'MKT DATA'!L259</f>
        <v>0</v>
      </c>
      <c r="I201" s="14">
        <f>'MKT DATA'!M259</f>
        <v>0</v>
      </c>
      <c r="J201" s="44" t="str">
        <f t="shared" si="8"/>
        <v>syn BTCG7/BTCV6/BTCF7/BTCZ6/BTCU6</v>
      </c>
      <c r="K201" s="9">
        <f>'MKT DATA'!O259</f>
        <v>0</v>
      </c>
      <c r="L201" s="9">
        <f>'MKT DATA'!P259</f>
        <v>0</v>
      </c>
      <c r="M201" s="9">
        <f>'MKT DATA'!Q259</f>
        <v>0</v>
      </c>
      <c r="N201" s="9">
        <f>'MKT DATA'!R259</f>
        <v>0</v>
      </c>
      <c r="O201" s="9">
        <f>'MKT DATA'!S259</f>
        <v>0</v>
      </c>
      <c r="P201" s="9">
        <f>'MKT DATA'!T259</f>
        <v>0</v>
      </c>
      <c r="Q201" s="44" t="str">
        <f t="shared" si="9"/>
        <v>syn BTCG7/BTCV6/BTCF7/BTCZ6/BTCU6</v>
      </c>
      <c r="R201" s="14">
        <f>'MKT DATA'!AB259</f>
        <v>0</v>
      </c>
    </row>
    <row r="202" spans="5:18" x14ac:dyDescent="0.25">
      <c r="E202" s="44" t="str">
        <f>'MKT DATA'!B260</f>
        <v>syn BTCG7/BTCX6/BTCV6/BTCZ6/BTCU6</v>
      </c>
      <c r="F202" s="14">
        <f>'MKT DATA'!J260</f>
        <v>0</v>
      </c>
      <c r="G202" s="9">
        <f>'MKT DATA'!K260</f>
        <v>0</v>
      </c>
      <c r="H202" s="9">
        <f>'MKT DATA'!L260</f>
        <v>0</v>
      </c>
      <c r="I202" s="14">
        <f>'MKT DATA'!M260</f>
        <v>0</v>
      </c>
      <c r="J202" s="44" t="str">
        <f t="shared" si="8"/>
        <v>syn BTCG7/BTCX6/BTCV6/BTCZ6/BTCU6</v>
      </c>
      <c r="K202" s="9">
        <f>'MKT DATA'!O260</f>
        <v>0</v>
      </c>
      <c r="L202" s="9">
        <f>'MKT DATA'!P260</f>
        <v>0</v>
      </c>
      <c r="M202" s="9">
        <f>'MKT DATA'!Q260</f>
        <v>0</v>
      </c>
      <c r="N202" s="9">
        <f>'MKT DATA'!R260</f>
        <v>0</v>
      </c>
      <c r="O202" s="9">
        <f>'MKT DATA'!S260</f>
        <v>0</v>
      </c>
      <c r="P202" s="9">
        <f>'MKT DATA'!T260</f>
        <v>0</v>
      </c>
      <c r="Q202" s="44" t="str">
        <f t="shared" si="9"/>
        <v>syn BTCG7/BTCX6/BTCV6/BTCZ6/BTCU6</v>
      </c>
      <c r="R202" s="14">
        <f>'MKT DATA'!AB260</f>
        <v>0</v>
      </c>
    </row>
    <row r="203" spans="5:18" x14ac:dyDescent="0.25">
      <c r="E203" s="44" t="str">
        <f>'MKT DATA'!B261</f>
        <v>syn BTCG7/BTCX6/BTCV6/BTCF7/BTCU6</v>
      </c>
      <c r="F203" s="14">
        <f>'MKT DATA'!J261</f>
        <v>0</v>
      </c>
      <c r="G203" s="9">
        <f>'MKT DATA'!K261</f>
        <v>0</v>
      </c>
      <c r="H203" s="9">
        <f>'MKT DATA'!L261</f>
        <v>0</v>
      </c>
      <c r="I203" s="14">
        <f>'MKT DATA'!M261</f>
        <v>0</v>
      </c>
      <c r="J203" s="44" t="str">
        <f t="shared" si="8"/>
        <v>syn BTCG7/BTCX6/BTCV6/BTCF7/BTCU6</v>
      </c>
      <c r="K203" s="9">
        <f>'MKT DATA'!O261</f>
        <v>0</v>
      </c>
      <c r="L203" s="9">
        <f>'MKT DATA'!P261</f>
        <v>0</v>
      </c>
      <c r="M203" s="9">
        <f>'MKT DATA'!Q261</f>
        <v>0</v>
      </c>
      <c r="N203" s="9">
        <f>'MKT DATA'!R261</f>
        <v>0</v>
      </c>
      <c r="O203" s="9">
        <f>'MKT DATA'!S261</f>
        <v>0</v>
      </c>
      <c r="P203" s="9">
        <f>'MKT DATA'!T261</f>
        <v>0</v>
      </c>
      <c r="Q203" s="44" t="str">
        <f t="shared" si="9"/>
        <v>syn BTCG7/BTCX6/BTCV6/BTCF7/BTCU6</v>
      </c>
      <c r="R203" s="14">
        <f>'MKT DATA'!AB261</f>
        <v>0</v>
      </c>
    </row>
    <row r="204" spans="5:18" x14ac:dyDescent="0.25">
      <c r="E204" s="44" t="str">
        <f>'MKT DATA'!B262</f>
        <v>syn BTCG7/BTCX6/BTCZ6/BTCV6/BTCU6</v>
      </c>
      <c r="F204" s="14">
        <f>'MKT DATA'!J262</f>
        <v>0</v>
      </c>
      <c r="G204" s="9">
        <f>'MKT DATA'!K262</f>
        <v>0</v>
      </c>
      <c r="H204" s="9">
        <f>'MKT DATA'!L262</f>
        <v>0</v>
      </c>
      <c r="I204" s="14">
        <f>'MKT DATA'!M262</f>
        <v>0</v>
      </c>
      <c r="J204" s="44" t="str">
        <f t="shared" si="8"/>
        <v>syn BTCG7/BTCX6/BTCZ6/BTCV6/BTCU6</v>
      </c>
      <c r="K204" s="9">
        <f>'MKT DATA'!O262</f>
        <v>0</v>
      </c>
      <c r="L204" s="9">
        <f>'MKT DATA'!P262</f>
        <v>0</v>
      </c>
      <c r="M204" s="9">
        <f>'MKT DATA'!Q262</f>
        <v>0</v>
      </c>
      <c r="N204" s="9">
        <f>'MKT DATA'!R262</f>
        <v>0</v>
      </c>
      <c r="O204" s="9">
        <f>'MKT DATA'!S262</f>
        <v>0</v>
      </c>
      <c r="P204" s="9">
        <f>'MKT DATA'!T262</f>
        <v>0</v>
      </c>
      <c r="Q204" s="44" t="str">
        <f t="shared" si="9"/>
        <v>syn BTCG7/BTCX6/BTCZ6/BTCV6/BTCU6</v>
      </c>
      <c r="R204" s="14">
        <f>'MKT DATA'!AB262</f>
        <v>0</v>
      </c>
    </row>
    <row r="205" spans="5:18" x14ac:dyDescent="0.25">
      <c r="E205" s="44" t="str">
        <f>'MKT DATA'!B263</f>
        <v>syn BTCG7/BTCX6/BTCZ6/BTCF7/BTCU6</v>
      </c>
      <c r="F205" s="14">
        <f>'MKT DATA'!J263</f>
        <v>0</v>
      </c>
      <c r="G205" s="9">
        <f>'MKT DATA'!K263</f>
        <v>0</v>
      </c>
      <c r="H205" s="9">
        <f>'MKT DATA'!L263</f>
        <v>0</v>
      </c>
      <c r="I205" s="14">
        <f>'MKT DATA'!M263</f>
        <v>0</v>
      </c>
      <c r="J205" s="44" t="str">
        <f t="shared" si="8"/>
        <v>syn BTCG7/BTCX6/BTCZ6/BTCF7/BTCU6</v>
      </c>
      <c r="K205" s="9">
        <f>'MKT DATA'!O263</f>
        <v>0</v>
      </c>
      <c r="L205" s="9">
        <f>'MKT DATA'!P263</f>
        <v>0</v>
      </c>
      <c r="M205" s="9">
        <f>'MKT DATA'!Q263</f>
        <v>0</v>
      </c>
      <c r="N205" s="9">
        <f>'MKT DATA'!R263</f>
        <v>0</v>
      </c>
      <c r="O205" s="9">
        <f>'MKT DATA'!S263</f>
        <v>0</v>
      </c>
      <c r="P205" s="9">
        <f>'MKT DATA'!T263</f>
        <v>0</v>
      </c>
      <c r="Q205" s="44" t="str">
        <f t="shared" si="9"/>
        <v>syn BTCG7/BTCX6/BTCZ6/BTCF7/BTCU6</v>
      </c>
      <c r="R205" s="14">
        <f>'MKT DATA'!AB263</f>
        <v>0</v>
      </c>
    </row>
    <row r="206" spans="5:18" x14ac:dyDescent="0.25">
      <c r="E206" s="44" t="str">
        <f>'MKT DATA'!B264</f>
        <v>syn BTCG7/BTCX6/BTCF7/BTCV6/BTCU6</v>
      </c>
      <c r="F206" s="14">
        <f>'MKT DATA'!J264</f>
        <v>0</v>
      </c>
      <c r="G206" s="9">
        <f>'MKT DATA'!K264</f>
        <v>0</v>
      </c>
      <c r="H206" s="9">
        <f>'MKT DATA'!L264</f>
        <v>0</v>
      </c>
      <c r="I206" s="14">
        <f>'MKT DATA'!M264</f>
        <v>0</v>
      </c>
      <c r="J206" s="44" t="str">
        <f t="shared" si="8"/>
        <v>syn BTCG7/BTCX6/BTCF7/BTCV6/BTCU6</v>
      </c>
      <c r="K206" s="9">
        <f>'MKT DATA'!O264</f>
        <v>0</v>
      </c>
      <c r="L206" s="9">
        <f>'MKT DATA'!P264</f>
        <v>0</v>
      </c>
      <c r="M206" s="9">
        <f>'MKT DATA'!Q264</f>
        <v>0</v>
      </c>
      <c r="N206" s="9">
        <f>'MKT DATA'!R264</f>
        <v>0</v>
      </c>
      <c r="O206" s="9">
        <f>'MKT DATA'!S264</f>
        <v>0</v>
      </c>
      <c r="P206" s="9">
        <f>'MKT DATA'!T264</f>
        <v>0</v>
      </c>
      <c r="Q206" s="44" t="str">
        <f t="shared" si="9"/>
        <v>syn BTCG7/BTCX6/BTCF7/BTCV6/BTCU6</v>
      </c>
      <c r="R206" s="14">
        <f>'MKT DATA'!AB264</f>
        <v>0</v>
      </c>
    </row>
    <row r="207" spans="5:18" x14ac:dyDescent="0.25">
      <c r="E207" s="44" t="str">
        <f>'MKT DATA'!B265</f>
        <v>syn BTCG7/BTCX6/BTCF7/BTCZ6/BTCU6</v>
      </c>
      <c r="F207" s="14">
        <f>'MKT DATA'!J265</f>
        <v>0</v>
      </c>
      <c r="G207" s="9">
        <f>'MKT DATA'!K265</f>
        <v>0</v>
      </c>
      <c r="H207" s="9">
        <f>'MKT DATA'!L265</f>
        <v>0</v>
      </c>
      <c r="I207" s="14">
        <f>'MKT DATA'!M265</f>
        <v>0</v>
      </c>
      <c r="J207" s="44" t="str">
        <f t="shared" si="8"/>
        <v>syn BTCG7/BTCX6/BTCF7/BTCZ6/BTCU6</v>
      </c>
      <c r="K207" s="9">
        <f>'MKT DATA'!O265</f>
        <v>0</v>
      </c>
      <c r="L207" s="9">
        <f>'MKT DATA'!P265</f>
        <v>0</v>
      </c>
      <c r="M207" s="9">
        <f>'MKT DATA'!Q265</f>
        <v>0</v>
      </c>
      <c r="N207" s="9">
        <f>'MKT DATA'!R265</f>
        <v>0</v>
      </c>
      <c r="O207" s="9">
        <f>'MKT DATA'!S265</f>
        <v>0</v>
      </c>
      <c r="P207" s="9">
        <f>'MKT DATA'!T265</f>
        <v>0</v>
      </c>
      <c r="Q207" s="44" t="str">
        <f t="shared" si="9"/>
        <v>syn BTCG7/BTCX6/BTCF7/BTCZ6/BTCU6</v>
      </c>
      <c r="R207" s="14">
        <f>'MKT DATA'!AB265</f>
        <v>0</v>
      </c>
    </row>
    <row r="208" spans="5:18" x14ac:dyDescent="0.25">
      <c r="E208" s="44" t="str">
        <f>'MKT DATA'!B266</f>
        <v>syn BTCG7/BTCZ6/BTCV6/BTCX6/BTCU6</v>
      </c>
      <c r="F208" s="14">
        <f>'MKT DATA'!J266</f>
        <v>0</v>
      </c>
      <c r="G208" s="9">
        <f>'MKT DATA'!K266</f>
        <v>0</v>
      </c>
      <c r="H208" s="9">
        <f>'MKT DATA'!L266</f>
        <v>0</v>
      </c>
      <c r="I208" s="14">
        <f>'MKT DATA'!M266</f>
        <v>0</v>
      </c>
      <c r="J208" s="44" t="str">
        <f t="shared" si="8"/>
        <v>syn BTCG7/BTCZ6/BTCV6/BTCX6/BTCU6</v>
      </c>
      <c r="K208" s="9">
        <f>'MKT DATA'!O266</f>
        <v>0</v>
      </c>
      <c r="L208" s="9">
        <f>'MKT DATA'!P266</f>
        <v>0</v>
      </c>
      <c r="M208" s="9">
        <f>'MKT DATA'!Q266</f>
        <v>0</v>
      </c>
      <c r="N208" s="9">
        <f>'MKT DATA'!R266</f>
        <v>0</v>
      </c>
      <c r="O208" s="9">
        <f>'MKT DATA'!S266</f>
        <v>0</v>
      </c>
      <c r="P208" s="9">
        <f>'MKT DATA'!T266</f>
        <v>0</v>
      </c>
      <c r="Q208" s="44" t="str">
        <f t="shared" si="9"/>
        <v>syn BTCG7/BTCZ6/BTCV6/BTCX6/BTCU6</v>
      </c>
      <c r="R208" s="14">
        <f>'MKT DATA'!AB266</f>
        <v>0</v>
      </c>
    </row>
    <row r="209" spans="5:18" x14ac:dyDescent="0.25">
      <c r="E209" s="44" t="str">
        <f>'MKT DATA'!B267</f>
        <v>syn BTCG7/BTCZ6/BTCV6/BTCF7/BTCU6</v>
      </c>
      <c r="F209" s="14">
        <f>'MKT DATA'!J267</f>
        <v>0</v>
      </c>
      <c r="G209" s="9">
        <f>'MKT DATA'!K267</f>
        <v>0</v>
      </c>
      <c r="H209" s="9">
        <f>'MKT DATA'!L267</f>
        <v>0</v>
      </c>
      <c r="I209" s="14">
        <f>'MKT DATA'!M267</f>
        <v>0</v>
      </c>
      <c r="J209" s="44" t="str">
        <f t="shared" ref="J209:J272" si="10">E209</f>
        <v>syn BTCG7/BTCZ6/BTCV6/BTCF7/BTCU6</v>
      </c>
      <c r="K209" s="9">
        <f>'MKT DATA'!O267</f>
        <v>0</v>
      </c>
      <c r="L209" s="9">
        <f>'MKT DATA'!P267</f>
        <v>0</v>
      </c>
      <c r="M209" s="9">
        <f>'MKT DATA'!Q267</f>
        <v>0</v>
      </c>
      <c r="N209" s="9">
        <f>'MKT DATA'!R267</f>
        <v>0</v>
      </c>
      <c r="O209" s="9">
        <f>'MKT DATA'!S267</f>
        <v>0</v>
      </c>
      <c r="P209" s="9">
        <f>'MKT DATA'!T267</f>
        <v>0</v>
      </c>
      <c r="Q209" s="44" t="str">
        <f t="shared" ref="Q209:Q272" si="11">J209</f>
        <v>syn BTCG7/BTCZ6/BTCV6/BTCF7/BTCU6</v>
      </c>
      <c r="R209" s="14">
        <f>'MKT DATA'!AB267</f>
        <v>0</v>
      </c>
    </row>
    <row r="210" spans="5:18" x14ac:dyDescent="0.25">
      <c r="E210" s="44" t="str">
        <f>'MKT DATA'!B268</f>
        <v>syn BTCG7/BTCZ6/BTCX6/BTCV6/BTCU6</v>
      </c>
      <c r="F210" s="14">
        <f>'MKT DATA'!J268</f>
        <v>0</v>
      </c>
      <c r="G210" s="9">
        <f>'MKT DATA'!K268</f>
        <v>0</v>
      </c>
      <c r="H210" s="9">
        <f>'MKT DATA'!L268</f>
        <v>0</v>
      </c>
      <c r="I210" s="14">
        <f>'MKT DATA'!M268</f>
        <v>0</v>
      </c>
      <c r="J210" s="44" t="str">
        <f t="shared" si="10"/>
        <v>syn BTCG7/BTCZ6/BTCX6/BTCV6/BTCU6</v>
      </c>
      <c r="K210" s="9">
        <f>'MKT DATA'!O268</f>
        <v>0</v>
      </c>
      <c r="L210" s="9">
        <f>'MKT DATA'!P268</f>
        <v>0</v>
      </c>
      <c r="M210" s="9">
        <f>'MKT DATA'!Q268</f>
        <v>0</v>
      </c>
      <c r="N210" s="9">
        <f>'MKT DATA'!R268</f>
        <v>0</v>
      </c>
      <c r="O210" s="9">
        <f>'MKT DATA'!S268</f>
        <v>0</v>
      </c>
      <c r="P210" s="9">
        <f>'MKT DATA'!T268</f>
        <v>0</v>
      </c>
      <c r="Q210" s="44" t="str">
        <f t="shared" si="11"/>
        <v>syn BTCG7/BTCZ6/BTCX6/BTCV6/BTCU6</v>
      </c>
      <c r="R210" s="14">
        <f>'MKT DATA'!AB268</f>
        <v>0</v>
      </c>
    </row>
    <row r="211" spans="5:18" x14ac:dyDescent="0.25">
      <c r="E211" s="44" t="str">
        <f>'MKT DATA'!B269</f>
        <v>syn BTCG7/BTCZ6/BTCX6/BTCF7/BTCU6</v>
      </c>
      <c r="F211" s="14">
        <f>'MKT DATA'!J269</f>
        <v>0</v>
      </c>
      <c r="G211" s="9">
        <f>'MKT DATA'!K269</f>
        <v>0</v>
      </c>
      <c r="H211" s="9">
        <f>'MKT DATA'!L269</f>
        <v>0</v>
      </c>
      <c r="I211" s="14">
        <f>'MKT DATA'!M269</f>
        <v>0</v>
      </c>
      <c r="J211" s="44" t="str">
        <f t="shared" si="10"/>
        <v>syn BTCG7/BTCZ6/BTCX6/BTCF7/BTCU6</v>
      </c>
      <c r="K211" s="9">
        <f>'MKT DATA'!O269</f>
        <v>0</v>
      </c>
      <c r="L211" s="9">
        <f>'MKT DATA'!P269</f>
        <v>0</v>
      </c>
      <c r="M211" s="9">
        <f>'MKT DATA'!Q269</f>
        <v>0</v>
      </c>
      <c r="N211" s="9">
        <f>'MKT DATA'!R269</f>
        <v>0</v>
      </c>
      <c r="O211" s="9">
        <f>'MKT DATA'!S269</f>
        <v>0</v>
      </c>
      <c r="P211" s="9">
        <f>'MKT DATA'!T269</f>
        <v>0</v>
      </c>
      <c r="Q211" s="44" t="str">
        <f t="shared" si="11"/>
        <v>syn BTCG7/BTCZ6/BTCX6/BTCF7/BTCU6</v>
      </c>
      <c r="R211" s="14">
        <f>'MKT DATA'!AB269</f>
        <v>0</v>
      </c>
    </row>
    <row r="212" spans="5:18" x14ac:dyDescent="0.25">
      <c r="E212" s="44" t="str">
        <f>'MKT DATA'!B270</f>
        <v>syn BTCG7/BTCZ6/BTCF7/BTCV6/BTCU6</v>
      </c>
      <c r="F212" s="14">
        <f>'MKT DATA'!J270</f>
        <v>0</v>
      </c>
      <c r="G212" s="9">
        <f>'MKT DATA'!K270</f>
        <v>0</v>
      </c>
      <c r="H212" s="9">
        <f>'MKT DATA'!L270</f>
        <v>0</v>
      </c>
      <c r="I212" s="14">
        <f>'MKT DATA'!M270</f>
        <v>0</v>
      </c>
      <c r="J212" s="44" t="str">
        <f t="shared" si="10"/>
        <v>syn BTCG7/BTCZ6/BTCF7/BTCV6/BTCU6</v>
      </c>
      <c r="K212" s="9">
        <f>'MKT DATA'!O270</f>
        <v>0</v>
      </c>
      <c r="L212" s="9">
        <f>'MKT DATA'!P270</f>
        <v>0</v>
      </c>
      <c r="M212" s="9">
        <f>'MKT DATA'!Q270</f>
        <v>0</v>
      </c>
      <c r="N212" s="9">
        <f>'MKT DATA'!R270</f>
        <v>0</v>
      </c>
      <c r="O212" s="9">
        <f>'MKT DATA'!S270</f>
        <v>0</v>
      </c>
      <c r="P212" s="9">
        <f>'MKT DATA'!T270</f>
        <v>0</v>
      </c>
      <c r="Q212" s="44" t="str">
        <f t="shared" si="11"/>
        <v>syn BTCG7/BTCZ6/BTCF7/BTCV6/BTCU6</v>
      </c>
      <c r="R212" s="14">
        <f>'MKT DATA'!AB270</f>
        <v>0</v>
      </c>
    </row>
    <row r="213" spans="5:18" x14ac:dyDescent="0.25">
      <c r="E213" s="44" t="str">
        <f>'MKT DATA'!B271</f>
        <v>syn BTCG7/BTCZ6/BTCF7/BTCX6/BTCU6</v>
      </c>
      <c r="F213" s="14">
        <f>'MKT DATA'!J271</f>
        <v>0</v>
      </c>
      <c r="G213" s="9">
        <f>'MKT DATA'!K271</f>
        <v>0</v>
      </c>
      <c r="H213" s="9">
        <f>'MKT DATA'!L271</f>
        <v>0</v>
      </c>
      <c r="I213" s="14">
        <f>'MKT DATA'!M271</f>
        <v>0</v>
      </c>
      <c r="J213" s="44" t="str">
        <f t="shared" si="10"/>
        <v>syn BTCG7/BTCZ6/BTCF7/BTCX6/BTCU6</v>
      </c>
      <c r="K213" s="9">
        <f>'MKT DATA'!O271</f>
        <v>0</v>
      </c>
      <c r="L213" s="9">
        <f>'MKT DATA'!P271</f>
        <v>0</v>
      </c>
      <c r="M213" s="9">
        <f>'MKT DATA'!Q271</f>
        <v>0</v>
      </c>
      <c r="N213" s="9">
        <f>'MKT DATA'!R271</f>
        <v>0</v>
      </c>
      <c r="O213" s="9">
        <f>'MKT DATA'!S271</f>
        <v>0</v>
      </c>
      <c r="P213" s="9">
        <f>'MKT DATA'!T271</f>
        <v>0</v>
      </c>
      <c r="Q213" s="44" t="str">
        <f t="shared" si="11"/>
        <v>syn BTCG7/BTCZ6/BTCF7/BTCX6/BTCU6</v>
      </c>
      <c r="R213" s="14">
        <f>'MKT DATA'!AB271</f>
        <v>0</v>
      </c>
    </row>
    <row r="214" spans="5:18" x14ac:dyDescent="0.25">
      <c r="E214" s="44" t="str">
        <f>'MKT DATA'!B272</f>
        <v>syn BTCG7/BTCF7/BTCV6/BTCX6/BTCU6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BTCG7/BTCF7/BTCV6/BTCX6/BTCU6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BTCG7/BTCF7/BTCV6/BTCX6/BTCU6</v>
      </c>
      <c r="R214" s="14">
        <f>'MKT DATA'!AB272</f>
        <v>0</v>
      </c>
    </row>
    <row r="215" spans="5:18" x14ac:dyDescent="0.25">
      <c r="E215" s="44" t="str">
        <f>'MKT DATA'!B273</f>
        <v>syn BTCG7/BTCF7/BTCV6/BTCZ6/BTCU6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BTCG7/BTCF7/BTCV6/BTCZ6/BTCU6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BTCG7/BTCF7/BTCV6/BTCZ6/BTCU6</v>
      </c>
      <c r="R215" s="14">
        <f>'MKT DATA'!AB273</f>
        <v>0</v>
      </c>
    </row>
    <row r="216" spans="5:18" x14ac:dyDescent="0.25">
      <c r="E216" s="44" t="str">
        <f>'MKT DATA'!B274</f>
        <v>syn BTCG7/BTCF7/BTCX6/BTCV6/BTCU6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BTCG7/BTCF7/BTCX6/BTCV6/BTCU6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BTCG7/BTCF7/BTCX6/BTCV6/BTCU6</v>
      </c>
      <c r="R216" s="14">
        <f>'MKT DATA'!AB274</f>
        <v>0</v>
      </c>
    </row>
    <row r="217" spans="5:18" x14ac:dyDescent="0.25">
      <c r="E217" s="44" t="str">
        <f>'MKT DATA'!B275</f>
        <v>syn BTCG7/BTCF7/BTCX6/BTCZ6/BTCU6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BTCG7/BTCF7/BTCX6/BTCZ6/BTCU6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BTCG7/BTCF7/BTCX6/BTCZ6/BTCU6</v>
      </c>
      <c r="R217" s="14">
        <f>'MKT DATA'!AB275</f>
        <v>0</v>
      </c>
    </row>
    <row r="218" spans="5:18" x14ac:dyDescent="0.25">
      <c r="E218" s="44" t="str">
        <f>'MKT DATA'!B276</f>
        <v>syn BTCG7/BTCF7/BTCZ6/BTCV6/BTCU6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BTCG7/BTCF7/BTCZ6/BTCV6/BTCU6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BTCG7/BTCF7/BTCZ6/BTCV6/BTCU6</v>
      </c>
      <c r="R218" s="14">
        <f>'MKT DATA'!AB276</f>
        <v>0</v>
      </c>
    </row>
    <row r="219" spans="5:18" x14ac:dyDescent="0.25">
      <c r="E219" s="44" t="str">
        <f>'MKT DATA'!B277</f>
        <v>syn BTCG7/BTCF7/BTCZ6/BTCX6/BTCU6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BTCG7/BTCF7/BTCZ6/BTCX6/BTCU6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BTCG7/BTCF7/BTCZ6/BTCX6/BTCU6</v>
      </c>
      <c r="R219" s="14">
        <f>'MKT DATA'!AB277</f>
        <v>0</v>
      </c>
    </row>
    <row r="220" spans="5:18" x14ac:dyDescent="0.25">
      <c r="E220" s="44" t="str">
        <f>'MKT DATA'!B278</f>
        <v>syn BTCV6/BTCX6/BTCZ6/BTCF7/BTCG7/BTCU6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BTCV6/BTCX6/BTCZ6/BTCF7/BTCG7/BTCU6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BTCV6/BTCX6/BTCZ6/BTCF7/BTCG7/BTCU6</v>
      </c>
      <c r="R220" s="14">
        <f>'MKT DATA'!AB278</f>
        <v>0</v>
      </c>
    </row>
    <row r="221" spans="5:18" x14ac:dyDescent="0.25">
      <c r="E221" s="44" t="str">
        <f>'MKT DATA'!B279</f>
        <v>syn BTCV6/BTCX6/BTCZ6/BTCG7/BTCF7/BTCU6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BTCV6/BTCX6/BTCZ6/BTCG7/BTCF7/BTCU6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BTCV6/BTCX6/BTCZ6/BTCG7/BTCF7/BTCU6</v>
      </c>
      <c r="R221" s="14">
        <f>'MKT DATA'!AB279</f>
        <v>0</v>
      </c>
    </row>
    <row r="222" spans="5:18" x14ac:dyDescent="0.25">
      <c r="E222" s="44" t="str">
        <f>'MKT DATA'!B280</f>
        <v>syn BTCV6/BTCX6/BTCF7/BTCZ6/BTCG7/BTCU6</v>
      </c>
      <c r="F222" s="14">
        <f>'MKT DATA'!J280</f>
        <v>0</v>
      </c>
      <c r="G222" s="9">
        <f>'MKT DATA'!K280</f>
        <v>0</v>
      </c>
      <c r="H222" s="9">
        <f>'MKT DATA'!L280</f>
        <v>0</v>
      </c>
      <c r="I222" s="14">
        <f>'MKT DATA'!M280</f>
        <v>0</v>
      </c>
      <c r="J222" s="44" t="str">
        <f t="shared" si="10"/>
        <v>syn BTCV6/BTCX6/BTCF7/BTCZ6/BTCG7/BTCU6</v>
      </c>
      <c r="K222" s="9">
        <f>'MKT DATA'!O280</f>
        <v>0</v>
      </c>
      <c r="L222" s="9">
        <f>'MKT DATA'!P280</f>
        <v>0</v>
      </c>
      <c r="M222" s="9">
        <f>'MKT DATA'!Q280</f>
        <v>0</v>
      </c>
      <c r="N222" s="9">
        <f>'MKT DATA'!R280</f>
        <v>0</v>
      </c>
      <c r="O222" s="9">
        <f>'MKT DATA'!S280</f>
        <v>0</v>
      </c>
      <c r="P222" s="9">
        <f>'MKT DATA'!T280</f>
        <v>0</v>
      </c>
      <c r="Q222" s="44" t="str">
        <f t="shared" si="11"/>
        <v>syn BTCV6/BTCX6/BTCF7/BTCZ6/BTCG7/BTCU6</v>
      </c>
      <c r="R222" s="14">
        <f>'MKT DATA'!AB280</f>
        <v>0</v>
      </c>
    </row>
    <row r="223" spans="5:18" x14ac:dyDescent="0.25">
      <c r="E223" s="44" t="str">
        <f>'MKT DATA'!B281</f>
        <v>syn BTCV6/BTCX6/BTCF7/BTCG7/BTCZ6/BTCU6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BTCV6/BTCX6/BTCF7/BTCG7/BTCZ6/BTCU6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BTCV6/BTCX6/BTCF7/BTCG7/BTCZ6/BTCU6</v>
      </c>
      <c r="R223" s="14">
        <f>'MKT DATA'!AB281</f>
        <v>0</v>
      </c>
    </row>
    <row r="224" spans="5:18" x14ac:dyDescent="0.25">
      <c r="E224" s="44" t="str">
        <f>'MKT DATA'!B282</f>
        <v>syn BTCV6/BTCX6/BTCG7/BTCZ6/BTCF7/BTCU6</v>
      </c>
      <c r="F224" s="14">
        <f>'MKT DATA'!J282</f>
        <v>0</v>
      </c>
      <c r="G224" s="9">
        <f>'MKT DATA'!K282</f>
        <v>0</v>
      </c>
      <c r="H224" s="9">
        <f>'MKT DATA'!L282</f>
        <v>0</v>
      </c>
      <c r="I224" s="14">
        <f>'MKT DATA'!M282</f>
        <v>0</v>
      </c>
      <c r="J224" s="44" t="str">
        <f t="shared" si="10"/>
        <v>syn BTCV6/BTCX6/BTCG7/BTCZ6/BTCF7/BTCU6</v>
      </c>
      <c r="K224" s="9">
        <f>'MKT DATA'!O282</f>
        <v>0</v>
      </c>
      <c r="L224" s="9">
        <f>'MKT DATA'!P282</f>
        <v>0</v>
      </c>
      <c r="M224" s="9">
        <f>'MKT DATA'!Q282</f>
        <v>0</v>
      </c>
      <c r="N224" s="9">
        <f>'MKT DATA'!R282</f>
        <v>0</v>
      </c>
      <c r="O224" s="9">
        <f>'MKT DATA'!S282</f>
        <v>0</v>
      </c>
      <c r="P224" s="9">
        <f>'MKT DATA'!T282</f>
        <v>0</v>
      </c>
      <c r="Q224" s="44" t="str">
        <f t="shared" si="11"/>
        <v>syn BTCV6/BTCX6/BTCG7/BTCZ6/BTCF7/BTCU6</v>
      </c>
      <c r="R224" s="14">
        <f>'MKT DATA'!AB282</f>
        <v>0</v>
      </c>
    </row>
    <row r="225" spans="5:18" x14ac:dyDescent="0.25">
      <c r="E225" s="44" t="str">
        <f>'MKT DATA'!B283</f>
        <v>syn BTCV6/BTCX6/BTCG7/BTCF7/BTCZ6/BTCU6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BTCV6/BTCX6/BTCG7/BTCF7/BTCZ6/BTCU6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BTCV6/BTCX6/BTCG7/BTCF7/BTCZ6/BTCU6</v>
      </c>
      <c r="R225" s="14">
        <f>'MKT DATA'!AB283</f>
        <v>0</v>
      </c>
    </row>
    <row r="226" spans="5:18" x14ac:dyDescent="0.25">
      <c r="E226" s="44" t="str">
        <f>'MKT DATA'!B284</f>
        <v>syn BTCV6/BTCZ6/BTCX6/BTCF7/BTCG7/BTCU6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BTCV6/BTCZ6/BTCX6/BTCF7/BTCG7/BTCU6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BTCV6/BTCZ6/BTCX6/BTCF7/BTCG7/BTCU6</v>
      </c>
      <c r="R226" s="14">
        <f>'MKT DATA'!AB284</f>
        <v>0</v>
      </c>
    </row>
    <row r="227" spans="5:18" x14ac:dyDescent="0.25">
      <c r="E227" s="44" t="str">
        <f>'MKT DATA'!B285</f>
        <v>syn BTCV6/BTCZ6/BTCX6/BTCG7/BTCF7/BTCU6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BTCV6/BTCZ6/BTCX6/BTCG7/BTCF7/BTCU6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BTCV6/BTCZ6/BTCX6/BTCG7/BTCF7/BTCU6</v>
      </c>
      <c r="R227" s="14">
        <f>'MKT DATA'!AB285</f>
        <v>0</v>
      </c>
    </row>
    <row r="228" spans="5:18" x14ac:dyDescent="0.25">
      <c r="E228" s="44" t="str">
        <f>'MKT DATA'!B286</f>
        <v>syn BTCV6/BTCZ6/BTCF7/BTCX6/BTCG7/BTCU6</v>
      </c>
      <c r="F228" s="14">
        <f>'MKT DATA'!J286</f>
        <v>0</v>
      </c>
      <c r="G228" s="9">
        <f>'MKT DATA'!K286</f>
        <v>0</v>
      </c>
      <c r="H228" s="9">
        <f>'MKT DATA'!L286</f>
        <v>0</v>
      </c>
      <c r="I228" s="14">
        <f>'MKT DATA'!M286</f>
        <v>0</v>
      </c>
      <c r="J228" s="44" t="str">
        <f t="shared" si="10"/>
        <v>syn BTCV6/BTCZ6/BTCF7/BTCX6/BTCG7/BTCU6</v>
      </c>
      <c r="K228" s="9">
        <f>'MKT DATA'!O286</f>
        <v>0</v>
      </c>
      <c r="L228" s="9">
        <f>'MKT DATA'!P286</f>
        <v>0</v>
      </c>
      <c r="M228" s="9">
        <f>'MKT DATA'!Q286</f>
        <v>0</v>
      </c>
      <c r="N228" s="9">
        <f>'MKT DATA'!R286</f>
        <v>0</v>
      </c>
      <c r="O228" s="9">
        <f>'MKT DATA'!S286</f>
        <v>0</v>
      </c>
      <c r="P228" s="9">
        <f>'MKT DATA'!T286</f>
        <v>0</v>
      </c>
      <c r="Q228" s="44" t="str">
        <f t="shared" si="11"/>
        <v>syn BTCV6/BTCZ6/BTCF7/BTCX6/BTCG7/BTCU6</v>
      </c>
      <c r="R228" s="14">
        <f>'MKT DATA'!AB286</f>
        <v>0</v>
      </c>
    </row>
    <row r="229" spans="5:18" x14ac:dyDescent="0.25">
      <c r="E229" s="44" t="str">
        <f>'MKT DATA'!B287</f>
        <v>syn BTCV6/BTCZ6/BTCF7/BTCG7/BTCX6/BTCU6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BTCV6/BTCZ6/BTCF7/BTCG7/BTCX6/BTCU6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BTCV6/BTCZ6/BTCF7/BTCG7/BTCX6/BTCU6</v>
      </c>
      <c r="R229" s="14">
        <f>'MKT DATA'!AB287</f>
        <v>0</v>
      </c>
    </row>
    <row r="230" spans="5:18" x14ac:dyDescent="0.25">
      <c r="E230" s="44" t="str">
        <f>'MKT DATA'!B288</f>
        <v>syn BTCV6/BTCZ6/BTCG7/BTCX6/BTCF7/BTCU6</v>
      </c>
      <c r="F230" s="14">
        <f>'MKT DATA'!J288</f>
        <v>0</v>
      </c>
      <c r="G230" s="9">
        <f>'MKT DATA'!K288</f>
        <v>0</v>
      </c>
      <c r="H230" s="9">
        <f>'MKT DATA'!L288</f>
        <v>0</v>
      </c>
      <c r="I230" s="14">
        <f>'MKT DATA'!M288</f>
        <v>0</v>
      </c>
      <c r="J230" s="44" t="str">
        <f t="shared" si="10"/>
        <v>syn BTCV6/BTCZ6/BTCG7/BTCX6/BTCF7/BTCU6</v>
      </c>
      <c r="K230" s="9">
        <f>'MKT DATA'!O288</f>
        <v>0</v>
      </c>
      <c r="L230" s="9">
        <f>'MKT DATA'!P288</f>
        <v>0</v>
      </c>
      <c r="M230" s="9">
        <f>'MKT DATA'!Q288</f>
        <v>0</v>
      </c>
      <c r="N230" s="9">
        <f>'MKT DATA'!R288</f>
        <v>0</v>
      </c>
      <c r="O230" s="9">
        <f>'MKT DATA'!S288</f>
        <v>0</v>
      </c>
      <c r="P230" s="9">
        <f>'MKT DATA'!T288</f>
        <v>0</v>
      </c>
      <c r="Q230" s="44" t="str">
        <f t="shared" si="11"/>
        <v>syn BTCV6/BTCZ6/BTCG7/BTCX6/BTCF7/BTCU6</v>
      </c>
      <c r="R230" s="14">
        <f>'MKT DATA'!AB288</f>
        <v>0</v>
      </c>
    </row>
    <row r="231" spans="5:18" x14ac:dyDescent="0.25">
      <c r="E231" s="44" t="str">
        <f>'MKT DATA'!B289</f>
        <v>syn BTCV6/BTCZ6/BTCG7/BTCF7/BTCX6/BTCU6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BTCV6/BTCZ6/BTCG7/BTCF7/BTCX6/BTCU6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BTCV6/BTCZ6/BTCG7/BTCF7/BTCX6/BTCU6</v>
      </c>
      <c r="R231" s="14">
        <f>'MKT DATA'!AB289</f>
        <v>0</v>
      </c>
    </row>
    <row r="232" spans="5:18" x14ac:dyDescent="0.25">
      <c r="E232" s="44" t="str">
        <f>'MKT DATA'!B290</f>
        <v>syn BTCV6/BTCF7/BTCX6/BTCZ6/BTCG7/BTCU6</v>
      </c>
      <c r="F232" s="14">
        <f>'MKT DATA'!J290</f>
        <v>0</v>
      </c>
      <c r="G232" s="9">
        <f>'MKT DATA'!K290</f>
        <v>0</v>
      </c>
      <c r="H232" s="9">
        <f>'MKT DATA'!L290</f>
        <v>0</v>
      </c>
      <c r="I232" s="14">
        <f>'MKT DATA'!M290</f>
        <v>0</v>
      </c>
      <c r="J232" s="44" t="str">
        <f t="shared" si="10"/>
        <v>syn BTCV6/BTCF7/BTCX6/BTCZ6/BTCG7/BTCU6</v>
      </c>
      <c r="K232" s="9">
        <f>'MKT DATA'!O290</f>
        <v>0</v>
      </c>
      <c r="L232" s="9">
        <f>'MKT DATA'!P290</f>
        <v>0</v>
      </c>
      <c r="M232" s="9">
        <f>'MKT DATA'!Q290</f>
        <v>0</v>
      </c>
      <c r="N232" s="9">
        <f>'MKT DATA'!R290</f>
        <v>0</v>
      </c>
      <c r="O232" s="9">
        <f>'MKT DATA'!S290</f>
        <v>0</v>
      </c>
      <c r="P232" s="9">
        <f>'MKT DATA'!T290</f>
        <v>0</v>
      </c>
      <c r="Q232" s="44" t="str">
        <f t="shared" si="11"/>
        <v>syn BTCV6/BTCF7/BTCX6/BTCZ6/BTCG7/BTCU6</v>
      </c>
      <c r="R232" s="14">
        <f>'MKT DATA'!AB290</f>
        <v>0</v>
      </c>
    </row>
    <row r="233" spans="5:18" x14ac:dyDescent="0.25">
      <c r="E233" s="44" t="str">
        <f>'MKT DATA'!B291</f>
        <v>syn BTCV6/BTCF7/BTCX6/BTCG7/BTCZ6/BTCU6</v>
      </c>
      <c r="F233" s="14">
        <f>'MKT DATA'!J291</f>
        <v>0</v>
      </c>
      <c r="G233" s="9">
        <f>'MKT DATA'!K291</f>
        <v>0</v>
      </c>
      <c r="H233" s="9">
        <f>'MKT DATA'!L291</f>
        <v>0</v>
      </c>
      <c r="I233" s="14">
        <f>'MKT DATA'!M291</f>
        <v>0</v>
      </c>
      <c r="J233" s="44" t="str">
        <f t="shared" si="10"/>
        <v>syn BTCV6/BTCF7/BTCX6/BTCG7/BTCZ6/BTCU6</v>
      </c>
      <c r="K233" s="9">
        <f>'MKT DATA'!O291</f>
        <v>0</v>
      </c>
      <c r="L233" s="9">
        <f>'MKT DATA'!P291</f>
        <v>0</v>
      </c>
      <c r="M233" s="9">
        <f>'MKT DATA'!Q291</f>
        <v>0</v>
      </c>
      <c r="N233" s="9">
        <f>'MKT DATA'!R291</f>
        <v>0</v>
      </c>
      <c r="O233" s="9">
        <f>'MKT DATA'!S291</f>
        <v>0</v>
      </c>
      <c r="P233" s="9">
        <f>'MKT DATA'!T291</f>
        <v>0</v>
      </c>
      <c r="Q233" s="44" t="str">
        <f t="shared" si="11"/>
        <v>syn BTCV6/BTCF7/BTCX6/BTCG7/BTCZ6/BTCU6</v>
      </c>
      <c r="R233" s="14">
        <f>'MKT DATA'!AB291</f>
        <v>0</v>
      </c>
    </row>
    <row r="234" spans="5:18" x14ac:dyDescent="0.25">
      <c r="E234" s="44" t="str">
        <f>'MKT DATA'!B292</f>
        <v>syn BTCV6/BTCF7/BTCZ6/BTCX6/BTCG7/BTCU6</v>
      </c>
      <c r="F234" s="14">
        <f>'MKT DATA'!J292</f>
        <v>0</v>
      </c>
      <c r="G234" s="9">
        <f>'MKT DATA'!K292</f>
        <v>0</v>
      </c>
      <c r="H234" s="9">
        <f>'MKT DATA'!L292</f>
        <v>0</v>
      </c>
      <c r="I234" s="14">
        <f>'MKT DATA'!M292</f>
        <v>0</v>
      </c>
      <c r="J234" s="44" t="str">
        <f t="shared" si="10"/>
        <v>syn BTCV6/BTCF7/BTCZ6/BTCX6/BTCG7/BTCU6</v>
      </c>
      <c r="K234" s="9">
        <f>'MKT DATA'!O292</f>
        <v>0</v>
      </c>
      <c r="L234" s="9">
        <f>'MKT DATA'!P292</f>
        <v>0</v>
      </c>
      <c r="M234" s="9">
        <f>'MKT DATA'!Q292</f>
        <v>0</v>
      </c>
      <c r="N234" s="9">
        <f>'MKT DATA'!R292</f>
        <v>0</v>
      </c>
      <c r="O234" s="9">
        <f>'MKT DATA'!S292</f>
        <v>0</v>
      </c>
      <c r="P234" s="9">
        <f>'MKT DATA'!T292</f>
        <v>0</v>
      </c>
      <c r="Q234" s="44" t="str">
        <f t="shared" si="11"/>
        <v>syn BTCV6/BTCF7/BTCZ6/BTCX6/BTCG7/BTCU6</v>
      </c>
      <c r="R234" s="14">
        <f>'MKT DATA'!AB292</f>
        <v>0</v>
      </c>
    </row>
    <row r="235" spans="5:18" x14ac:dyDescent="0.25">
      <c r="E235" s="44" t="str">
        <f>'MKT DATA'!B293</f>
        <v>syn BTCV6/BTCF7/BTCZ6/BTCG7/BTCX6/BTCU6</v>
      </c>
      <c r="F235" s="14">
        <f>'MKT DATA'!J293</f>
        <v>0</v>
      </c>
      <c r="G235" s="9">
        <f>'MKT DATA'!K293</f>
        <v>0</v>
      </c>
      <c r="H235" s="9">
        <f>'MKT DATA'!L293</f>
        <v>0</v>
      </c>
      <c r="I235" s="14">
        <f>'MKT DATA'!M293</f>
        <v>0</v>
      </c>
      <c r="J235" s="44" t="str">
        <f t="shared" si="10"/>
        <v>syn BTCV6/BTCF7/BTCZ6/BTCG7/BTCX6/BTCU6</v>
      </c>
      <c r="K235" s="9">
        <f>'MKT DATA'!O293</f>
        <v>0</v>
      </c>
      <c r="L235" s="9">
        <f>'MKT DATA'!P293</f>
        <v>0</v>
      </c>
      <c r="M235" s="9">
        <f>'MKT DATA'!Q293</f>
        <v>0</v>
      </c>
      <c r="N235" s="9">
        <f>'MKT DATA'!R293</f>
        <v>0</v>
      </c>
      <c r="O235" s="9">
        <f>'MKT DATA'!S293</f>
        <v>0</v>
      </c>
      <c r="P235" s="9">
        <f>'MKT DATA'!T293</f>
        <v>0</v>
      </c>
      <c r="Q235" s="44" t="str">
        <f t="shared" si="11"/>
        <v>syn BTCV6/BTCF7/BTCZ6/BTCG7/BTCX6/BTCU6</v>
      </c>
      <c r="R235" s="14">
        <f>'MKT DATA'!AB293</f>
        <v>0</v>
      </c>
    </row>
    <row r="236" spans="5:18" x14ac:dyDescent="0.25">
      <c r="E236" s="44" t="str">
        <f>'MKT DATA'!B294</f>
        <v>syn BTCV6/BTCF7/BTCG7/BTCX6/BTCZ6/BTCU6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BTCV6/BTCF7/BTCG7/BTCX6/BTCZ6/BTCU6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BTCV6/BTCF7/BTCG7/BTCX6/BTCZ6/BTCU6</v>
      </c>
      <c r="R236" s="14">
        <f>'MKT DATA'!AB294</f>
        <v>0</v>
      </c>
    </row>
    <row r="237" spans="5:18" x14ac:dyDescent="0.25">
      <c r="E237" s="44" t="str">
        <f>'MKT DATA'!B295</f>
        <v>syn BTCV6/BTCF7/BTCG7/BTCZ6/BTCX6/BTCU6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BTCV6/BTCF7/BTCG7/BTCZ6/BTCX6/BTCU6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BTCV6/BTCF7/BTCG7/BTCZ6/BTCX6/BTCU6</v>
      </c>
      <c r="R237" s="14">
        <f>'MKT DATA'!AB295</f>
        <v>0</v>
      </c>
    </row>
    <row r="238" spans="5:18" x14ac:dyDescent="0.25">
      <c r="E238" s="44" t="str">
        <f>'MKT DATA'!B296</f>
        <v>syn BTCV6/BTCG7/BTCX6/BTCZ6/BTCF7/BTCU6</v>
      </c>
      <c r="F238" s="14">
        <f>'MKT DATA'!J296</f>
        <v>0</v>
      </c>
      <c r="G238" s="9">
        <f>'MKT DATA'!K296</f>
        <v>0</v>
      </c>
      <c r="H238" s="9">
        <f>'MKT DATA'!L296</f>
        <v>0</v>
      </c>
      <c r="I238" s="14">
        <f>'MKT DATA'!M296</f>
        <v>0</v>
      </c>
      <c r="J238" s="44" t="str">
        <f t="shared" si="10"/>
        <v>syn BTCV6/BTCG7/BTCX6/BTCZ6/BTCF7/BTCU6</v>
      </c>
      <c r="K238" s="9">
        <f>'MKT DATA'!O296</f>
        <v>0</v>
      </c>
      <c r="L238" s="9">
        <f>'MKT DATA'!P296</f>
        <v>0</v>
      </c>
      <c r="M238" s="9">
        <f>'MKT DATA'!Q296</f>
        <v>0</v>
      </c>
      <c r="N238" s="9">
        <f>'MKT DATA'!R296</f>
        <v>0</v>
      </c>
      <c r="O238" s="9">
        <f>'MKT DATA'!S296</f>
        <v>0</v>
      </c>
      <c r="P238" s="9">
        <f>'MKT DATA'!T296</f>
        <v>0</v>
      </c>
      <c r="Q238" s="44" t="str">
        <f t="shared" si="11"/>
        <v>syn BTCV6/BTCG7/BTCX6/BTCZ6/BTCF7/BTCU6</v>
      </c>
      <c r="R238" s="14">
        <f>'MKT DATA'!AB296</f>
        <v>0</v>
      </c>
    </row>
    <row r="239" spans="5:18" x14ac:dyDescent="0.25">
      <c r="E239" s="44" t="str">
        <f>'MKT DATA'!B297</f>
        <v>syn BTCV6/BTCG7/BTCX6/BTCF7/BTCZ6/BTCU6</v>
      </c>
      <c r="F239" s="14">
        <f>'MKT DATA'!J297</f>
        <v>0</v>
      </c>
      <c r="G239" s="9">
        <f>'MKT DATA'!K297</f>
        <v>0</v>
      </c>
      <c r="H239" s="9">
        <f>'MKT DATA'!L297</f>
        <v>0</v>
      </c>
      <c r="I239" s="14">
        <f>'MKT DATA'!M297</f>
        <v>0</v>
      </c>
      <c r="J239" s="44" t="str">
        <f t="shared" si="10"/>
        <v>syn BTCV6/BTCG7/BTCX6/BTCF7/BTCZ6/BTCU6</v>
      </c>
      <c r="K239" s="9">
        <f>'MKT DATA'!O297</f>
        <v>0</v>
      </c>
      <c r="L239" s="9">
        <f>'MKT DATA'!P297</f>
        <v>0</v>
      </c>
      <c r="M239" s="9">
        <f>'MKT DATA'!Q297</f>
        <v>0</v>
      </c>
      <c r="N239" s="9">
        <f>'MKT DATA'!R297</f>
        <v>0</v>
      </c>
      <c r="O239" s="9">
        <f>'MKT DATA'!S297</f>
        <v>0</v>
      </c>
      <c r="P239" s="9">
        <f>'MKT DATA'!T297</f>
        <v>0</v>
      </c>
      <c r="Q239" s="44" t="str">
        <f t="shared" si="11"/>
        <v>syn BTCV6/BTCG7/BTCX6/BTCF7/BTCZ6/BTCU6</v>
      </c>
      <c r="R239" s="14">
        <f>'MKT DATA'!AB297</f>
        <v>0</v>
      </c>
    </row>
    <row r="240" spans="5:18" x14ac:dyDescent="0.25">
      <c r="E240" s="44" t="str">
        <f>'MKT DATA'!B298</f>
        <v>syn BTCV6/BTCG7/BTCZ6/BTCX6/BTCF7/BTCU6</v>
      </c>
      <c r="F240" s="14">
        <f>'MKT DATA'!J298</f>
        <v>0</v>
      </c>
      <c r="G240" s="9">
        <f>'MKT DATA'!K298</f>
        <v>0</v>
      </c>
      <c r="H240" s="9">
        <f>'MKT DATA'!L298</f>
        <v>0</v>
      </c>
      <c r="I240" s="14">
        <f>'MKT DATA'!M298</f>
        <v>0</v>
      </c>
      <c r="J240" s="44" t="str">
        <f t="shared" si="10"/>
        <v>syn BTCV6/BTCG7/BTCZ6/BTCX6/BTCF7/BTCU6</v>
      </c>
      <c r="K240" s="9">
        <f>'MKT DATA'!O298</f>
        <v>0</v>
      </c>
      <c r="L240" s="9">
        <f>'MKT DATA'!P298</f>
        <v>0</v>
      </c>
      <c r="M240" s="9">
        <f>'MKT DATA'!Q298</f>
        <v>0</v>
      </c>
      <c r="N240" s="9">
        <f>'MKT DATA'!R298</f>
        <v>0</v>
      </c>
      <c r="O240" s="9">
        <f>'MKT DATA'!S298</f>
        <v>0</v>
      </c>
      <c r="P240" s="9">
        <f>'MKT DATA'!T298</f>
        <v>0</v>
      </c>
      <c r="Q240" s="44" t="str">
        <f t="shared" si="11"/>
        <v>syn BTCV6/BTCG7/BTCZ6/BTCX6/BTCF7/BTCU6</v>
      </c>
      <c r="R240" s="14">
        <f>'MKT DATA'!AB298</f>
        <v>0</v>
      </c>
    </row>
    <row r="241" spans="5:18" x14ac:dyDescent="0.25">
      <c r="E241" s="44" t="str">
        <f>'MKT DATA'!B299</f>
        <v>syn BTCV6/BTCG7/BTCZ6/BTCF7/BTCX6/BTCU6</v>
      </c>
      <c r="F241" s="14">
        <f>'MKT DATA'!J299</f>
        <v>0</v>
      </c>
      <c r="G241" s="9">
        <f>'MKT DATA'!K299</f>
        <v>0</v>
      </c>
      <c r="H241" s="9">
        <f>'MKT DATA'!L299</f>
        <v>0</v>
      </c>
      <c r="I241" s="14">
        <f>'MKT DATA'!M299</f>
        <v>0</v>
      </c>
      <c r="J241" s="44" t="str">
        <f t="shared" si="10"/>
        <v>syn BTCV6/BTCG7/BTCZ6/BTCF7/BTCX6/BTCU6</v>
      </c>
      <c r="K241" s="9">
        <f>'MKT DATA'!O299</f>
        <v>0</v>
      </c>
      <c r="L241" s="9">
        <f>'MKT DATA'!P299</f>
        <v>0</v>
      </c>
      <c r="M241" s="9">
        <f>'MKT DATA'!Q299</f>
        <v>0</v>
      </c>
      <c r="N241" s="9">
        <f>'MKT DATA'!R299</f>
        <v>0</v>
      </c>
      <c r="O241" s="9">
        <f>'MKT DATA'!S299</f>
        <v>0</v>
      </c>
      <c r="P241" s="9">
        <f>'MKT DATA'!T299</f>
        <v>0</v>
      </c>
      <c r="Q241" s="44" t="str">
        <f t="shared" si="11"/>
        <v>syn BTCV6/BTCG7/BTCZ6/BTCF7/BTCX6/BTCU6</v>
      </c>
      <c r="R241" s="14">
        <f>'MKT DATA'!AB299</f>
        <v>0</v>
      </c>
    </row>
    <row r="242" spans="5:18" x14ac:dyDescent="0.25">
      <c r="E242" s="44" t="str">
        <f>'MKT DATA'!B300</f>
        <v>syn BTCV6/BTCG7/BTCF7/BTCX6/BTCZ6/BTCU6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BTCV6/BTCG7/BTCF7/BTCX6/BTCZ6/BTCU6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BTCV6/BTCG7/BTCF7/BTCX6/BTCZ6/BTCU6</v>
      </c>
      <c r="R242" s="14">
        <f>'MKT DATA'!AB300</f>
        <v>0</v>
      </c>
    </row>
    <row r="243" spans="5:18" x14ac:dyDescent="0.25">
      <c r="E243" s="44" t="str">
        <f>'MKT DATA'!B301</f>
        <v>syn BTCV6/BTCG7/BTCF7/BTCZ6/BTCX6/BTCU6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BTCV6/BTCG7/BTCF7/BTCZ6/BTCX6/BTCU6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BTCV6/BTCG7/BTCF7/BTCZ6/BTCX6/BTCU6</v>
      </c>
      <c r="R243" s="14">
        <f>'MKT DATA'!AB301</f>
        <v>0</v>
      </c>
    </row>
    <row r="244" spans="5:18" x14ac:dyDescent="0.25">
      <c r="E244" s="44" t="str">
        <f>'MKT DATA'!B302</f>
        <v>syn BTCX6/BTCV6/BTCZ6/BTCF7/BTCG7/BTCU6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BTCX6/BTCV6/BTCZ6/BTCF7/BTCG7/BTCU6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BTCX6/BTCV6/BTCZ6/BTCF7/BTCG7/BTCU6</v>
      </c>
      <c r="R244" s="14">
        <f>'MKT DATA'!AB302</f>
        <v>0</v>
      </c>
    </row>
    <row r="245" spans="5:18" x14ac:dyDescent="0.25">
      <c r="E245" s="44" t="str">
        <f>'MKT DATA'!B303</f>
        <v>syn BTCX6/BTCV6/BTCZ6/BTCG7/BTCF7/BTCU6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BTCX6/BTCV6/BTCZ6/BTCG7/BTCF7/BTCU6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BTCX6/BTCV6/BTCZ6/BTCG7/BTCF7/BTCU6</v>
      </c>
      <c r="R245" s="14">
        <f>'MKT DATA'!AB303</f>
        <v>0</v>
      </c>
    </row>
    <row r="246" spans="5:18" x14ac:dyDescent="0.25">
      <c r="E246" s="44" t="str">
        <f>'MKT DATA'!B304</f>
        <v>syn BTCX6/BTCV6/BTCF7/BTCZ6/BTCG7/BTCU6</v>
      </c>
      <c r="F246" s="14">
        <f>'MKT DATA'!J304</f>
        <v>0</v>
      </c>
      <c r="G246" s="9">
        <f>'MKT DATA'!K304</f>
        <v>0</v>
      </c>
      <c r="H246" s="9">
        <f>'MKT DATA'!L304</f>
        <v>0</v>
      </c>
      <c r="I246" s="14">
        <f>'MKT DATA'!M304</f>
        <v>0</v>
      </c>
      <c r="J246" s="44" t="str">
        <f t="shared" si="10"/>
        <v>syn BTCX6/BTCV6/BTCF7/BTCZ6/BTCG7/BTCU6</v>
      </c>
      <c r="K246" s="9">
        <f>'MKT DATA'!O304</f>
        <v>0</v>
      </c>
      <c r="L246" s="9">
        <f>'MKT DATA'!P304</f>
        <v>0</v>
      </c>
      <c r="M246" s="9">
        <f>'MKT DATA'!Q304</f>
        <v>0</v>
      </c>
      <c r="N246" s="9">
        <f>'MKT DATA'!R304</f>
        <v>0</v>
      </c>
      <c r="O246" s="9">
        <f>'MKT DATA'!S304</f>
        <v>0</v>
      </c>
      <c r="P246" s="9">
        <f>'MKT DATA'!T304</f>
        <v>0</v>
      </c>
      <c r="Q246" s="44" t="str">
        <f t="shared" si="11"/>
        <v>syn BTCX6/BTCV6/BTCF7/BTCZ6/BTCG7/BTCU6</v>
      </c>
      <c r="R246" s="14">
        <f>'MKT DATA'!AB304</f>
        <v>0</v>
      </c>
    </row>
    <row r="247" spans="5:18" x14ac:dyDescent="0.25">
      <c r="E247" s="44" t="str">
        <f>'MKT DATA'!B305</f>
        <v>syn BTCX6/BTCV6/BTCF7/BTCG7/BTCZ6/BTCU6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BTCX6/BTCV6/BTCF7/BTCG7/BTCZ6/BTCU6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BTCX6/BTCV6/BTCF7/BTCG7/BTCZ6/BTCU6</v>
      </c>
      <c r="R247" s="14">
        <f>'MKT DATA'!AB305</f>
        <v>0</v>
      </c>
    </row>
    <row r="248" spans="5:18" x14ac:dyDescent="0.25">
      <c r="E248" s="44" t="str">
        <f>'MKT DATA'!B306</f>
        <v>syn BTCX6/BTCV6/BTCG7/BTCZ6/BTCF7/BTCU6</v>
      </c>
      <c r="F248" s="14">
        <f>'MKT DATA'!J306</f>
        <v>0</v>
      </c>
      <c r="G248" s="9">
        <f>'MKT DATA'!K306</f>
        <v>0</v>
      </c>
      <c r="H248" s="9">
        <f>'MKT DATA'!L306</f>
        <v>0</v>
      </c>
      <c r="I248" s="14">
        <f>'MKT DATA'!M306</f>
        <v>0</v>
      </c>
      <c r="J248" s="44" t="str">
        <f t="shared" si="10"/>
        <v>syn BTCX6/BTCV6/BTCG7/BTCZ6/BTCF7/BTCU6</v>
      </c>
      <c r="K248" s="9">
        <f>'MKT DATA'!O306</f>
        <v>0</v>
      </c>
      <c r="L248" s="9">
        <f>'MKT DATA'!P306</f>
        <v>0</v>
      </c>
      <c r="M248" s="9">
        <f>'MKT DATA'!Q306</f>
        <v>0</v>
      </c>
      <c r="N248" s="9">
        <f>'MKT DATA'!R306</f>
        <v>0</v>
      </c>
      <c r="O248" s="9">
        <f>'MKT DATA'!S306</f>
        <v>0</v>
      </c>
      <c r="P248" s="9">
        <f>'MKT DATA'!T306</f>
        <v>0</v>
      </c>
      <c r="Q248" s="44" t="str">
        <f t="shared" si="11"/>
        <v>syn BTCX6/BTCV6/BTCG7/BTCZ6/BTCF7/BTCU6</v>
      </c>
      <c r="R248" s="14">
        <f>'MKT DATA'!AB306</f>
        <v>0</v>
      </c>
    </row>
    <row r="249" spans="5:18" x14ac:dyDescent="0.25">
      <c r="E249" s="44" t="str">
        <f>'MKT DATA'!B307</f>
        <v>syn BTCX6/BTCV6/BTCG7/BTCF7/BTCZ6/BTCU6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BTCX6/BTCV6/BTCG7/BTCF7/BTCZ6/BTCU6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BTCX6/BTCV6/BTCG7/BTCF7/BTCZ6/BTCU6</v>
      </c>
      <c r="R249" s="14">
        <f>'MKT DATA'!AB307</f>
        <v>0</v>
      </c>
    </row>
    <row r="250" spans="5:18" x14ac:dyDescent="0.25">
      <c r="E250" s="44" t="str">
        <f>'MKT DATA'!B308</f>
        <v>syn BTCX6/BTCZ6/BTCV6/BTCF7/BTCG7/BTCU6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BTCX6/BTCZ6/BTCV6/BTCF7/BTCG7/BTCU6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BTCX6/BTCZ6/BTCV6/BTCF7/BTCG7/BTCU6</v>
      </c>
      <c r="R250" s="14">
        <f>'MKT DATA'!AB308</f>
        <v>0</v>
      </c>
    </row>
    <row r="251" spans="5:18" x14ac:dyDescent="0.25">
      <c r="E251" s="44" t="str">
        <f>'MKT DATA'!B309</f>
        <v>syn BTCX6/BTCZ6/BTCV6/BTCG7/BTCF7/BTCU6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BTCX6/BTCZ6/BTCV6/BTCG7/BTCF7/BTCU6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BTCX6/BTCZ6/BTCV6/BTCG7/BTCF7/BTCU6</v>
      </c>
      <c r="R251" s="14">
        <f>'MKT DATA'!AB309</f>
        <v>0</v>
      </c>
    </row>
    <row r="252" spans="5:18" x14ac:dyDescent="0.25">
      <c r="E252" s="44" t="str">
        <f>'MKT DATA'!B310</f>
        <v>syn BTCX6/BTCZ6/BTCF7/BTCV6/BTCG7/BTCU6</v>
      </c>
      <c r="F252" s="14">
        <f>'MKT DATA'!J310</f>
        <v>0</v>
      </c>
      <c r="G252" s="9">
        <f>'MKT DATA'!K310</f>
        <v>0</v>
      </c>
      <c r="H252" s="9">
        <f>'MKT DATA'!L310</f>
        <v>0</v>
      </c>
      <c r="I252" s="14">
        <f>'MKT DATA'!M310</f>
        <v>0</v>
      </c>
      <c r="J252" s="44" t="str">
        <f t="shared" si="10"/>
        <v>syn BTCX6/BTCZ6/BTCF7/BTCV6/BTCG7/BTCU6</v>
      </c>
      <c r="K252" s="9">
        <f>'MKT DATA'!O310</f>
        <v>0</v>
      </c>
      <c r="L252" s="9">
        <f>'MKT DATA'!P310</f>
        <v>0</v>
      </c>
      <c r="M252" s="9">
        <f>'MKT DATA'!Q310</f>
        <v>0</v>
      </c>
      <c r="N252" s="9">
        <f>'MKT DATA'!R310</f>
        <v>0</v>
      </c>
      <c r="O252" s="9">
        <f>'MKT DATA'!S310</f>
        <v>0</v>
      </c>
      <c r="P252" s="9">
        <f>'MKT DATA'!T310</f>
        <v>0</v>
      </c>
      <c r="Q252" s="44" t="str">
        <f t="shared" si="11"/>
        <v>syn BTCX6/BTCZ6/BTCF7/BTCV6/BTCG7/BTCU6</v>
      </c>
      <c r="R252" s="14">
        <f>'MKT DATA'!AB310</f>
        <v>0</v>
      </c>
    </row>
    <row r="253" spans="5:18" x14ac:dyDescent="0.25">
      <c r="E253" s="44" t="str">
        <f>'MKT DATA'!B311</f>
        <v>syn BTCX6/BTCZ6/BTCF7/BTCG7/BTCV6/BTCU6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BTCX6/BTCZ6/BTCF7/BTCG7/BTCV6/BTCU6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BTCX6/BTCZ6/BTCF7/BTCG7/BTCV6/BTCU6</v>
      </c>
      <c r="R253" s="14">
        <f>'MKT DATA'!AB311</f>
        <v>0</v>
      </c>
    </row>
    <row r="254" spans="5:18" x14ac:dyDescent="0.25">
      <c r="E254" s="44" t="str">
        <f>'MKT DATA'!B312</f>
        <v>syn BTCX6/BTCZ6/BTCG7/BTCV6/BTCF7/BTCU6</v>
      </c>
      <c r="F254" s="14">
        <f>'MKT DATA'!J312</f>
        <v>0</v>
      </c>
      <c r="G254" s="9">
        <f>'MKT DATA'!K312</f>
        <v>0</v>
      </c>
      <c r="H254" s="9">
        <f>'MKT DATA'!L312</f>
        <v>0</v>
      </c>
      <c r="I254" s="14">
        <f>'MKT DATA'!M312</f>
        <v>0</v>
      </c>
      <c r="J254" s="44" t="str">
        <f t="shared" si="10"/>
        <v>syn BTCX6/BTCZ6/BTCG7/BTCV6/BTCF7/BTCU6</v>
      </c>
      <c r="K254" s="9">
        <f>'MKT DATA'!O312</f>
        <v>0</v>
      </c>
      <c r="L254" s="9">
        <f>'MKT DATA'!P312</f>
        <v>0</v>
      </c>
      <c r="M254" s="9">
        <f>'MKT DATA'!Q312</f>
        <v>0</v>
      </c>
      <c r="N254" s="9">
        <f>'MKT DATA'!R312</f>
        <v>0</v>
      </c>
      <c r="O254" s="9">
        <f>'MKT DATA'!S312</f>
        <v>0</v>
      </c>
      <c r="P254" s="9">
        <f>'MKT DATA'!T312</f>
        <v>0</v>
      </c>
      <c r="Q254" s="44" t="str">
        <f t="shared" si="11"/>
        <v>syn BTCX6/BTCZ6/BTCG7/BTCV6/BTCF7/BTCU6</v>
      </c>
      <c r="R254" s="14">
        <f>'MKT DATA'!AB312</f>
        <v>0</v>
      </c>
    </row>
    <row r="255" spans="5:18" x14ac:dyDescent="0.25">
      <c r="E255" s="44" t="str">
        <f>'MKT DATA'!B313</f>
        <v>syn BTCX6/BTCZ6/BTCG7/BTCF7/BTCV6/BTCU6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BTCX6/BTCZ6/BTCG7/BTCF7/BTCV6/BTCU6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BTCX6/BTCZ6/BTCG7/BTCF7/BTCV6/BTCU6</v>
      </c>
      <c r="R255" s="14">
        <f>'MKT DATA'!AB313</f>
        <v>0</v>
      </c>
    </row>
    <row r="256" spans="5:18" x14ac:dyDescent="0.25">
      <c r="E256" s="44" t="str">
        <f>'MKT DATA'!B314</f>
        <v>syn BTCX6/BTCF7/BTCV6/BTCZ6/BTCG7/BTCU6</v>
      </c>
      <c r="F256" s="14">
        <f>'MKT DATA'!J314</f>
        <v>0</v>
      </c>
      <c r="G256" s="9">
        <f>'MKT DATA'!K314</f>
        <v>0</v>
      </c>
      <c r="H256" s="9">
        <f>'MKT DATA'!L314</f>
        <v>0</v>
      </c>
      <c r="I256" s="14">
        <f>'MKT DATA'!M314</f>
        <v>0</v>
      </c>
      <c r="J256" s="44" t="str">
        <f t="shared" si="10"/>
        <v>syn BTCX6/BTCF7/BTCV6/BTCZ6/BTCG7/BTCU6</v>
      </c>
      <c r="K256" s="9">
        <f>'MKT DATA'!O314</f>
        <v>0</v>
      </c>
      <c r="L256" s="9">
        <f>'MKT DATA'!P314</f>
        <v>0</v>
      </c>
      <c r="M256" s="9">
        <f>'MKT DATA'!Q314</f>
        <v>0</v>
      </c>
      <c r="N256" s="9">
        <f>'MKT DATA'!R314</f>
        <v>0</v>
      </c>
      <c r="O256" s="9">
        <f>'MKT DATA'!S314</f>
        <v>0</v>
      </c>
      <c r="P256" s="9">
        <f>'MKT DATA'!T314</f>
        <v>0</v>
      </c>
      <c r="Q256" s="44" t="str">
        <f t="shared" si="11"/>
        <v>syn BTCX6/BTCF7/BTCV6/BTCZ6/BTCG7/BTCU6</v>
      </c>
      <c r="R256" s="14">
        <f>'MKT DATA'!AB314</f>
        <v>0</v>
      </c>
    </row>
    <row r="257" spans="5:18" x14ac:dyDescent="0.25">
      <c r="E257" s="44" t="str">
        <f>'MKT DATA'!B315</f>
        <v>syn BTCX6/BTCF7/BTCV6/BTCG7/BTCZ6/BTCU6</v>
      </c>
      <c r="F257" s="14">
        <f>'MKT DATA'!J315</f>
        <v>0</v>
      </c>
      <c r="G257" s="9">
        <f>'MKT DATA'!K315</f>
        <v>0</v>
      </c>
      <c r="H257" s="9">
        <f>'MKT DATA'!L315</f>
        <v>0</v>
      </c>
      <c r="I257" s="14">
        <f>'MKT DATA'!M315</f>
        <v>0</v>
      </c>
      <c r="J257" s="44" t="str">
        <f t="shared" si="10"/>
        <v>syn BTCX6/BTCF7/BTCV6/BTCG7/BTCZ6/BTCU6</v>
      </c>
      <c r="K257" s="9">
        <f>'MKT DATA'!O315</f>
        <v>0</v>
      </c>
      <c r="L257" s="9">
        <f>'MKT DATA'!P315</f>
        <v>0</v>
      </c>
      <c r="M257" s="9">
        <f>'MKT DATA'!Q315</f>
        <v>0</v>
      </c>
      <c r="N257" s="9">
        <f>'MKT DATA'!R315</f>
        <v>0</v>
      </c>
      <c r="O257" s="9">
        <f>'MKT DATA'!S315</f>
        <v>0</v>
      </c>
      <c r="P257" s="9">
        <f>'MKT DATA'!T315</f>
        <v>0</v>
      </c>
      <c r="Q257" s="44" t="str">
        <f t="shared" si="11"/>
        <v>syn BTCX6/BTCF7/BTCV6/BTCG7/BTCZ6/BTCU6</v>
      </c>
      <c r="R257" s="14">
        <f>'MKT DATA'!AB315</f>
        <v>0</v>
      </c>
    </row>
    <row r="258" spans="5:18" x14ac:dyDescent="0.25">
      <c r="E258" s="44" t="str">
        <f>'MKT DATA'!B316</f>
        <v>syn BTCX6/BTCF7/BTCZ6/BTCV6/BTCG7/BTCU6</v>
      </c>
      <c r="F258" s="14">
        <f>'MKT DATA'!J316</f>
        <v>0</v>
      </c>
      <c r="G258" s="9">
        <f>'MKT DATA'!K316</f>
        <v>0</v>
      </c>
      <c r="H258" s="9">
        <f>'MKT DATA'!L316</f>
        <v>0</v>
      </c>
      <c r="I258" s="14">
        <f>'MKT DATA'!M316</f>
        <v>0</v>
      </c>
      <c r="J258" s="44" t="str">
        <f t="shared" si="10"/>
        <v>syn BTCX6/BTCF7/BTCZ6/BTCV6/BTCG7/BTCU6</v>
      </c>
      <c r="K258" s="9">
        <f>'MKT DATA'!O316</f>
        <v>0</v>
      </c>
      <c r="L258" s="9">
        <f>'MKT DATA'!P316</f>
        <v>0</v>
      </c>
      <c r="M258" s="9">
        <f>'MKT DATA'!Q316</f>
        <v>0</v>
      </c>
      <c r="N258" s="9">
        <f>'MKT DATA'!R316</f>
        <v>0</v>
      </c>
      <c r="O258" s="9">
        <f>'MKT DATA'!S316</f>
        <v>0</v>
      </c>
      <c r="P258" s="9">
        <f>'MKT DATA'!T316</f>
        <v>0</v>
      </c>
      <c r="Q258" s="44" t="str">
        <f t="shared" si="11"/>
        <v>syn BTCX6/BTCF7/BTCZ6/BTCV6/BTCG7/BTCU6</v>
      </c>
      <c r="R258" s="14">
        <f>'MKT DATA'!AB316</f>
        <v>0</v>
      </c>
    </row>
    <row r="259" spans="5:18" x14ac:dyDescent="0.25">
      <c r="E259" s="44" t="str">
        <f>'MKT DATA'!B317</f>
        <v>syn BTCX6/BTCF7/BTCZ6/BTCG7/BTCV6/BTCU6</v>
      </c>
      <c r="F259" s="14">
        <f>'MKT DATA'!J317</f>
        <v>0</v>
      </c>
      <c r="G259" s="9">
        <f>'MKT DATA'!K317</f>
        <v>0</v>
      </c>
      <c r="H259" s="9">
        <f>'MKT DATA'!L317</f>
        <v>0</v>
      </c>
      <c r="I259" s="14">
        <f>'MKT DATA'!M317</f>
        <v>0</v>
      </c>
      <c r="J259" s="44" t="str">
        <f t="shared" si="10"/>
        <v>syn BTCX6/BTCF7/BTCZ6/BTCG7/BTCV6/BTCU6</v>
      </c>
      <c r="K259" s="9">
        <f>'MKT DATA'!O317</f>
        <v>0</v>
      </c>
      <c r="L259" s="9">
        <f>'MKT DATA'!P317</f>
        <v>0</v>
      </c>
      <c r="M259" s="9">
        <f>'MKT DATA'!Q317</f>
        <v>0</v>
      </c>
      <c r="N259" s="9">
        <f>'MKT DATA'!R317</f>
        <v>0</v>
      </c>
      <c r="O259" s="9">
        <f>'MKT DATA'!S317</f>
        <v>0</v>
      </c>
      <c r="P259" s="9">
        <f>'MKT DATA'!T317</f>
        <v>0</v>
      </c>
      <c r="Q259" s="44" t="str">
        <f t="shared" si="11"/>
        <v>syn BTCX6/BTCF7/BTCZ6/BTCG7/BTCV6/BTCU6</v>
      </c>
      <c r="R259" s="14">
        <f>'MKT DATA'!AB317</f>
        <v>0</v>
      </c>
    </row>
    <row r="260" spans="5:18" x14ac:dyDescent="0.25">
      <c r="E260" s="44" t="str">
        <f>'MKT DATA'!B318</f>
        <v>syn BTCX6/BTCF7/BTCG7/BTCV6/BTCZ6/BTCU6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BTCX6/BTCF7/BTCG7/BTCV6/BTCZ6/BTCU6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BTCX6/BTCF7/BTCG7/BTCV6/BTCZ6/BTCU6</v>
      </c>
      <c r="R260" s="14">
        <f>'MKT DATA'!AB318</f>
        <v>0</v>
      </c>
    </row>
    <row r="261" spans="5:18" x14ac:dyDescent="0.25">
      <c r="E261" s="44" t="str">
        <f>'MKT DATA'!B319</f>
        <v>syn BTCX6/BTCF7/BTCG7/BTCZ6/BTCV6/BTCU6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BTCX6/BTCF7/BTCG7/BTCZ6/BTCV6/BTCU6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BTCX6/BTCF7/BTCG7/BTCZ6/BTCV6/BTCU6</v>
      </c>
      <c r="R261" s="14">
        <f>'MKT DATA'!AB319</f>
        <v>0</v>
      </c>
    </row>
    <row r="262" spans="5:18" x14ac:dyDescent="0.25">
      <c r="E262" s="44" t="str">
        <f>'MKT DATA'!B320</f>
        <v>syn BTCX6/BTCG7/BTCV6/BTCZ6/BTCF7/BTCU6</v>
      </c>
      <c r="F262" s="14">
        <f>'MKT DATA'!J320</f>
        <v>0</v>
      </c>
      <c r="G262" s="9">
        <f>'MKT DATA'!K320</f>
        <v>0</v>
      </c>
      <c r="H262" s="9">
        <f>'MKT DATA'!L320</f>
        <v>0</v>
      </c>
      <c r="I262" s="14">
        <f>'MKT DATA'!M320</f>
        <v>0</v>
      </c>
      <c r="J262" s="44" t="str">
        <f t="shared" si="10"/>
        <v>syn BTCX6/BTCG7/BTCV6/BTCZ6/BTCF7/BTCU6</v>
      </c>
      <c r="K262" s="9">
        <f>'MKT DATA'!O320</f>
        <v>0</v>
      </c>
      <c r="L262" s="9">
        <f>'MKT DATA'!P320</f>
        <v>0</v>
      </c>
      <c r="M262" s="9">
        <f>'MKT DATA'!Q320</f>
        <v>0</v>
      </c>
      <c r="N262" s="9">
        <f>'MKT DATA'!R320</f>
        <v>0</v>
      </c>
      <c r="O262" s="9">
        <f>'MKT DATA'!S320</f>
        <v>0</v>
      </c>
      <c r="P262" s="9">
        <f>'MKT DATA'!T320</f>
        <v>0</v>
      </c>
      <c r="Q262" s="44" t="str">
        <f t="shared" si="11"/>
        <v>syn BTCX6/BTCG7/BTCV6/BTCZ6/BTCF7/BTCU6</v>
      </c>
      <c r="R262" s="14">
        <f>'MKT DATA'!AB320</f>
        <v>0</v>
      </c>
    </row>
    <row r="263" spans="5:18" x14ac:dyDescent="0.25">
      <c r="E263" s="44" t="str">
        <f>'MKT DATA'!B321</f>
        <v>syn BTCX6/BTCG7/BTCV6/BTCF7/BTCZ6/BTCU6</v>
      </c>
      <c r="F263" s="14">
        <f>'MKT DATA'!J321</f>
        <v>0</v>
      </c>
      <c r="G263" s="9">
        <f>'MKT DATA'!K321</f>
        <v>0</v>
      </c>
      <c r="H263" s="9">
        <f>'MKT DATA'!L321</f>
        <v>0</v>
      </c>
      <c r="I263" s="14">
        <f>'MKT DATA'!M321</f>
        <v>0</v>
      </c>
      <c r="J263" s="44" t="str">
        <f t="shared" si="10"/>
        <v>syn BTCX6/BTCG7/BTCV6/BTCF7/BTCZ6/BTCU6</v>
      </c>
      <c r="K263" s="9">
        <f>'MKT DATA'!O321</f>
        <v>0</v>
      </c>
      <c r="L263" s="9">
        <f>'MKT DATA'!P321</f>
        <v>0</v>
      </c>
      <c r="M263" s="9">
        <f>'MKT DATA'!Q321</f>
        <v>0</v>
      </c>
      <c r="N263" s="9">
        <f>'MKT DATA'!R321</f>
        <v>0</v>
      </c>
      <c r="O263" s="9">
        <f>'MKT DATA'!S321</f>
        <v>0</v>
      </c>
      <c r="P263" s="9">
        <f>'MKT DATA'!T321</f>
        <v>0</v>
      </c>
      <c r="Q263" s="44" t="str">
        <f t="shared" si="11"/>
        <v>syn BTCX6/BTCG7/BTCV6/BTCF7/BTCZ6/BTCU6</v>
      </c>
      <c r="R263" s="14">
        <f>'MKT DATA'!AB321</f>
        <v>0</v>
      </c>
    </row>
    <row r="264" spans="5:18" x14ac:dyDescent="0.25">
      <c r="E264" s="44" t="str">
        <f>'MKT DATA'!B322</f>
        <v>syn BTCX6/BTCG7/BTCZ6/BTCV6/BTCF7/BTCU6</v>
      </c>
      <c r="F264" s="14">
        <f>'MKT DATA'!J322</f>
        <v>0</v>
      </c>
      <c r="G264" s="9">
        <f>'MKT DATA'!K322</f>
        <v>0</v>
      </c>
      <c r="H264" s="9">
        <f>'MKT DATA'!L322</f>
        <v>0</v>
      </c>
      <c r="I264" s="14">
        <f>'MKT DATA'!M322</f>
        <v>0</v>
      </c>
      <c r="J264" s="44" t="str">
        <f t="shared" si="10"/>
        <v>syn BTCX6/BTCG7/BTCZ6/BTCV6/BTCF7/BTCU6</v>
      </c>
      <c r="K264" s="9">
        <f>'MKT DATA'!O322</f>
        <v>0</v>
      </c>
      <c r="L264" s="9">
        <f>'MKT DATA'!P322</f>
        <v>0</v>
      </c>
      <c r="M264" s="9">
        <f>'MKT DATA'!Q322</f>
        <v>0</v>
      </c>
      <c r="N264" s="9">
        <f>'MKT DATA'!R322</f>
        <v>0</v>
      </c>
      <c r="O264" s="9">
        <f>'MKT DATA'!S322</f>
        <v>0</v>
      </c>
      <c r="P264" s="9">
        <f>'MKT DATA'!T322</f>
        <v>0</v>
      </c>
      <c r="Q264" s="44" t="str">
        <f t="shared" si="11"/>
        <v>syn BTCX6/BTCG7/BTCZ6/BTCV6/BTCF7/BTCU6</v>
      </c>
      <c r="R264" s="14">
        <f>'MKT DATA'!AB322</f>
        <v>0</v>
      </c>
    </row>
    <row r="265" spans="5:18" x14ac:dyDescent="0.25">
      <c r="E265" s="44" t="str">
        <f>'MKT DATA'!B323</f>
        <v>syn BTCX6/BTCG7/BTCZ6/BTCF7/BTCV6/BTCU6</v>
      </c>
      <c r="F265" s="14">
        <f>'MKT DATA'!J323</f>
        <v>0</v>
      </c>
      <c r="G265" s="9">
        <f>'MKT DATA'!K323</f>
        <v>0</v>
      </c>
      <c r="H265" s="9">
        <f>'MKT DATA'!L323</f>
        <v>0</v>
      </c>
      <c r="I265" s="14">
        <f>'MKT DATA'!M323</f>
        <v>0</v>
      </c>
      <c r="J265" s="44" t="str">
        <f t="shared" si="10"/>
        <v>syn BTCX6/BTCG7/BTCZ6/BTCF7/BTCV6/BTCU6</v>
      </c>
      <c r="K265" s="9">
        <f>'MKT DATA'!O323</f>
        <v>0</v>
      </c>
      <c r="L265" s="9">
        <f>'MKT DATA'!P323</f>
        <v>0</v>
      </c>
      <c r="M265" s="9">
        <f>'MKT DATA'!Q323</f>
        <v>0</v>
      </c>
      <c r="N265" s="9">
        <f>'MKT DATA'!R323</f>
        <v>0</v>
      </c>
      <c r="O265" s="9">
        <f>'MKT DATA'!S323</f>
        <v>0</v>
      </c>
      <c r="P265" s="9">
        <f>'MKT DATA'!T323</f>
        <v>0</v>
      </c>
      <c r="Q265" s="44" t="str">
        <f t="shared" si="11"/>
        <v>syn BTCX6/BTCG7/BTCZ6/BTCF7/BTCV6/BTCU6</v>
      </c>
      <c r="R265" s="14">
        <f>'MKT DATA'!AB323</f>
        <v>0</v>
      </c>
    </row>
    <row r="266" spans="5:18" x14ac:dyDescent="0.25">
      <c r="E266" s="44" t="str">
        <f>'MKT DATA'!B324</f>
        <v>syn BTCX6/BTCG7/BTCF7/BTCV6/BTCZ6/BTCU6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BTCX6/BTCG7/BTCF7/BTCV6/BTCZ6/BTCU6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BTCX6/BTCG7/BTCF7/BTCV6/BTCZ6/BTCU6</v>
      </c>
      <c r="R266" s="14">
        <f>'MKT DATA'!AB324</f>
        <v>0</v>
      </c>
    </row>
    <row r="267" spans="5:18" x14ac:dyDescent="0.25">
      <c r="E267" s="44" t="str">
        <f>'MKT DATA'!B325</f>
        <v>syn BTCX6/BTCG7/BTCF7/BTCZ6/BTCV6/BTCU6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BTCX6/BTCG7/BTCF7/BTCZ6/BTCV6/BTCU6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BTCX6/BTCG7/BTCF7/BTCZ6/BTCV6/BTCU6</v>
      </c>
      <c r="R267" s="14">
        <f>'MKT DATA'!AB325</f>
        <v>0</v>
      </c>
    </row>
    <row r="268" spans="5:18" x14ac:dyDescent="0.25">
      <c r="E268" s="44" t="str">
        <f>'MKT DATA'!B326</f>
        <v>syn BTCZ6/BTCV6/BTCX6/BTCF7/BTCG7/BTCU6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BTCZ6/BTCV6/BTCX6/BTCF7/BTCG7/BTCU6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BTCZ6/BTCV6/BTCX6/BTCF7/BTCG7/BTCU6</v>
      </c>
      <c r="R268" s="14">
        <f>'MKT DATA'!AB326</f>
        <v>0</v>
      </c>
    </row>
    <row r="269" spans="5:18" x14ac:dyDescent="0.25">
      <c r="E269" s="44" t="str">
        <f>'MKT DATA'!B327</f>
        <v>syn BTCZ6/BTCV6/BTCX6/BTCG7/BTCF7/BTCU6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BTCZ6/BTCV6/BTCX6/BTCG7/BTCF7/BTCU6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BTCZ6/BTCV6/BTCX6/BTCG7/BTCF7/BTCU6</v>
      </c>
      <c r="R269" s="14">
        <f>'MKT DATA'!AB327</f>
        <v>0</v>
      </c>
    </row>
    <row r="270" spans="5:18" x14ac:dyDescent="0.25">
      <c r="E270" s="44" t="str">
        <f>'MKT DATA'!B328</f>
        <v>syn BTCZ6/BTCV6/BTCF7/BTCX6/BTCG7/BTCU6</v>
      </c>
      <c r="F270" s="14">
        <f>'MKT DATA'!J328</f>
        <v>0</v>
      </c>
      <c r="G270" s="9">
        <f>'MKT DATA'!K328</f>
        <v>0</v>
      </c>
      <c r="H270" s="9">
        <f>'MKT DATA'!L328</f>
        <v>0</v>
      </c>
      <c r="I270" s="14">
        <f>'MKT DATA'!M328</f>
        <v>0</v>
      </c>
      <c r="J270" s="44" t="str">
        <f t="shared" si="10"/>
        <v>syn BTCZ6/BTCV6/BTCF7/BTCX6/BTCG7/BTCU6</v>
      </c>
      <c r="K270" s="9">
        <f>'MKT DATA'!O328</f>
        <v>0</v>
      </c>
      <c r="L270" s="9">
        <f>'MKT DATA'!P328</f>
        <v>0</v>
      </c>
      <c r="M270" s="9">
        <f>'MKT DATA'!Q328</f>
        <v>0</v>
      </c>
      <c r="N270" s="9">
        <f>'MKT DATA'!R328</f>
        <v>0</v>
      </c>
      <c r="O270" s="9">
        <f>'MKT DATA'!S328</f>
        <v>0</v>
      </c>
      <c r="P270" s="9">
        <f>'MKT DATA'!T328</f>
        <v>0</v>
      </c>
      <c r="Q270" s="44" t="str">
        <f t="shared" si="11"/>
        <v>syn BTCZ6/BTCV6/BTCF7/BTCX6/BTCG7/BTCU6</v>
      </c>
      <c r="R270" s="14">
        <f>'MKT DATA'!AB328</f>
        <v>0</v>
      </c>
    </row>
    <row r="271" spans="5:18" x14ac:dyDescent="0.25">
      <c r="E271" s="44" t="str">
        <f>'MKT DATA'!B329</f>
        <v>syn BTCZ6/BTCV6/BTCF7/BTCG7/BTCX6/BTCU6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BTCZ6/BTCV6/BTCF7/BTCG7/BTCX6/BTCU6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BTCZ6/BTCV6/BTCF7/BTCG7/BTCX6/BTCU6</v>
      </c>
      <c r="R271" s="14">
        <f>'MKT DATA'!AB329</f>
        <v>0</v>
      </c>
    </row>
    <row r="272" spans="5:18" x14ac:dyDescent="0.25">
      <c r="E272" s="44" t="str">
        <f>'MKT DATA'!B330</f>
        <v>syn BTCZ6/BTCV6/BTCG7/BTCX6/BTCF7/BTCU6</v>
      </c>
      <c r="F272" s="14">
        <f>'MKT DATA'!J330</f>
        <v>0</v>
      </c>
      <c r="G272" s="9">
        <f>'MKT DATA'!K330</f>
        <v>0</v>
      </c>
      <c r="H272" s="9">
        <f>'MKT DATA'!L330</f>
        <v>0</v>
      </c>
      <c r="I272" s="14">
        <f>'MKT DATA'!M330</f>
        <v>0</v>
      </c>
      <c r="J272" s="44" t="str">
        <f t="shared" si="10"/>
        <v>syn BTCZ6/BTCV6/BTCG7/BTCX6/BTCF7/BTCU6</v>
      </c>
      <c r="K272" s="9">
        <f>'MKT DATA'!O330</f>
        <v>0</v>
      </c>
      <c r="L272" s="9">
        <f>'MKT DATA'!P330</f>
        <v>0</v>
      </c>
      <c r="M272" s="9">
        <f>'MKT DATA'!Q330</f>
        <v>0</v>
      </c>
      <c r="N272" s="9">
        <f>'MKT DATA'!R330</f>
        <v>0</v>
      </c>
      <c r="O272" s="9">
        <f>'MKT DATA'!S330</f>
        <v>0</v>
      </c>
      <c r="P272" s="9">
        <f>'MKT DATA'!T330</f>
        <v>0</v>
      </c>
      <c r="Q272" s="44" t="str">
        <f t="shared" si="11"/>
        <v>syn BTCZ6/BTCV6/BTCG7/BTCX6/BTCF7/BTCU6</v>
      </c>
      <c r="R272" s="14">
        <f>'MKT DATA'!AB330</f>
        <v>0</v>
      </c>
    </row>
    <row r="273" spans="5:18" x14ac:dyDescent="0.25">
      <c r="E273" s="44" t="str">
        <f>'MKT DATA'!B331</f>
        <v>syn BTCZ6/BTCV6/BTCG7/BTCF7/BTCX6/BTCU6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BTCZ6/BTCV6/BTCG7/BTCF7/BTCX6/BTCU6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BTCZ6/BTCV6/BTCG7/BTCF7/BTCX6/BTCU6</v>
      </c>
      <c r="R273" s="14">
        <f>'MKT DATA'!AB331</f>
        <v>0</v>
      </c>
    </row>
    <row r="274" spans="5:18" x14ac:dyDescent="0.25">
      <c r="E274" s="44" t="str">
        <f>'MKT DATA'!B332</f>
        <v>syn BTCZ6/BTCX6/BTCV6/BTCF7/BTCG7/BTCU6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BTCZ6/BTCX6/BTCV6/BTCF7/BTCG7/BTCU6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BTCZ6/BTCX6/BTCV6/BTCF7/BTCG7/BTCU6</v>
      </c>
      <c r="R274" s="14">
        <f>'MKT DATA'!AB332</f>
        <v>0</v>
      </c>
    </row>
    <row r="275" spans="5:18" x14ac:dyDescent="0.25">
      <c r="E275" s="44" t="str">
        <f>'MKT DATA'!B333</f>
        <v>syn BTCZ6/BTCX6/BTCV6/BTCG7/BTCF7/BTCU6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BTCZ6/BTCX6/BTCV6/BTCG7/BTCF7/BTCU6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BTCZ6/BTCX6/BTCV6/BTCG7/BTCF7/BTCU6</v>
      </c>
      <c r="R275" s="14">
        <f>'MKT DATA'!AB333</f>
        <v>0</v>
      </c>
    </row>
    <row r="276" spans="5:18" x14ac:dyDescent="0.25">
      <c r="E276" s="44" t="str">
        <f>'MKT DATA'!B334</f>
        <v>syn BTCZ6/BTCX6/BTCF7/BTCV6/BTCG7/BTCU6</v>
      </c>
      <c r="F276" s="14">
        <f>'MKT DATA'!J334</f>
        <v>0</v>
      </c>
      <c r="G276" s="9">
        <f>'MKT DATA'!K334</f>
        <v>0</v>
      </c>
      <c r="H276" s="9">
        <f>'MKT DATA'!L334</f>
        <v>0</v>
      </c>
      <c r="I276" s="14">
        <f>'MKT DATA'!M334</f>
        <v>0</v>
      </c>
      <c r="J276" s="44" t="str">
        <f t="shared" si="12"/>
        <v>syn BTCZ6/BTCX6/BTCF7/BTCV6/BTCG7/BTCU6</v>
      </c>
      <c r="K276" s="9">
        <f>'MKT DATA'!O334</f>
        <v>0</v>
      </c>
      <c r="L276" s="9">
        <f>'MKT DATA'!P334</f>
        <v>0</v>
      </c>
      <c r="M276" s="9">
        <f>'MKT DATA'!Q334</f>
        <v>0</v>
      </c>
      <c r="N276" s="9">
        <f>'MKT DATA'!R334</f>
        <v>0</v>
      </c>
      <c r="O276" s="9">
        <f>'MKT DATA'!S334</f>
        <v>0</v>
      </c>
      <c r="P276" s="9">
        <f>'MKT DATA'!T334</f>
        <v>0</v>
      </c>
      <c r="Q276" s="44" t="str">
        <f t="shared" si="13"/>
        <v>syn BTCZ6/BTCX6/BTCF7/BTCV6/BTCG7/BTCU6</v>
      </c>
      <c r="R276" s="14">
        <f>'MKT DATA'!AB334</f>
        <v>0</v>
      </c>
    </row>
    <row r="277" spans="5:18" x14ac:dyDescent="0.25">
      <c r="E277" s="44" t="str">
        <f>'MKT DATA'!B335</f>
        <v>syn BTCZ6/BTCX6/BTCF7/BTCG7/BTCV6/BTCU6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BTCZ6/BTCX6/BTCF7/BTCG7/BTCV6/BTCU6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BTCZ6/BTCX6/BTCF7/BTCG7/BTCV6/BTCU6</v>
      </c>
      <c r="R277" s="14">
        <f>'MKT DATA'!AB335</f>
        <v>0</v>
      </c>
    </row>
    <row r="278" spans="5:18" x14ac:dyDescent="0.25">
      <c r="E278" s="44" t="str">
        <f>'MKT DATA'!B336</f>
        <v>syn BTCZ6/BTCX6/BTCG7/BTCV6/BTCF7/BTCU6</v>
      </c>
      <c r="F278" s="14">
        <f>'MKT DATA'!J336</f>
        <v>0</v>
      </c>
      <c r="G278" s="9">
        <f>'MKT DATA'!K336</f>
        <v>0</v>
      </c>
      <c r="H278" s="9">
        <f>'MKT DATA'!L336</f>
        <v>0</v>
      </c>
      <c r="I278" s="14">
        <f>'MKT DATA'!M336</f>
        <v>0</v>
      </c>
      <c r="J278" s="44" t="str">
        <f t="shared" si="12"/>
        <v>syn BTCZ6/BTCX6/BTCG7/BTCV6/BTCF7/BTCU6</v>
      </c>
      <c r="K278" s="9">
        <f>'MKT DATA'!O336</f>
        <v>0</v>
      </c>
      <c r="L278" s="9">
        <f>'MKT DATA'!P336</f>
        <v>0</v>
      </c>
      <c r="M278" s="9">
        <f>'MKT DATA'!Q336</f>
        <v>0</v>
      </c>
      <c r="N278" s="9">
        <f>'MKT DATA'!R336</f>
        <v>0</v>
      </c>
      <c r="O278" s="9">
        <f>'MKT DATA'!S336</f>
        <v>0</v>
      </c>
      <c r="P278" s="9">
        <f>'MKT DATA'!T336</f>
        <v>0</v>
      </c>
      <c r="Q278" s="44" t="str">
        <f t="shared" si="13"/>
        <v>syn BTCZ6/BTCX6/BTCG7/BTCV6/BTCF7/BTCU6</v>
      </c>
      <c r="R278" s="14">
        <f>'MKT DATA'!AB336</f>
        <v>0</v>
      </c>
    </row>
    <row r="279" spans="5:18" x14ac:dyDescent="0.25">
      <c r="E279" s="44" t="str">
        <f>'MKT DATA'!B337</f>
        <v>syn BTCZ6/BTCX6/BTCG7/BTCF7/BTCV6/BTCU6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BTCZ6/BTCX6/BTCG7/BTCF7/BTCV6/BTCU6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BTCZ6/BTCX6/BTCG7/BTCF7/BTCV6/BTCU6</v>
      </c>
      <c r="R279" s="14">
        <f>'MKT DATA'!AB337</f>
        <v>0</v>
      </c>
    </row>
    <row r="280" spans="5:18" x14ac:dyDescent="0.25">
      <c r="E280" s="44" t="str">
        <f>'MKT DATA'!B338</f>
        <v>syn BTCZ6/BTCF7/BTCV6/BTCX6/BTCG7/BTCU6</v>
      </c>
      <c r="F280" s="14">
        <f>'MKT DATA'!J338</f>
        <v>0</v>
      </c>
      <c r="G280" s="9">
        <f>'MKT DATA'!K338</f>
        <v>0</v>
      </c>
      <c r="H280" s="9">
        <f>'MKT DATA'!L338</f>
        <v>0</v>
      </c>
      <c r="I280" s="14">
        <f>'MKT DATA'!M338</f>
        <v>0</v>
      </c>
      <c r="J280" s="44" t="str">
        <f t="shared" si="12"/>
        <v>syn BTCZ6/BTCF7/BTCV6/BTCX6/BTCG7/BTCU6</v>
      </c>
      <c r="K280" s="9">
        <f>'MKT DATA'!O338</f>
        <v>0</v>
      </c>
      <c r="L280" s="9">
        <f>'MKT DATA'!P338</f>
        <v>0</v>
      </c>
      <c r="M280" s="9">
        <f>'MKT DATA'!Q338</f>
        <v>0</v>
      </c>
      <c r="N280" s="9">
        <f>'MKT DATA'!R338</f>
        <v>0</v>
      </c>
      <c r="O280" s="9">
        <f>'MKT DATA'!S338</f>
        <v>0</v>
      </c>
      <c r="P280" s="9">
        <f>'MKT DATA'!T338</f>
        <v>0</v>
      </c>
      <c r="Q280" s="44" t="str">
        <f t="shared" si="13"/>
        <v>syn BTCZ6/BTCF7/BTCV6/BTCX6/BTCG7/BTCU6</v>
      </c>
      <c r="R280" s="14">
        <f>'MKT DATA'!AB338</f>
        <v>0</v>
      </c>
    </row>
    <row r="281" spans="5:18" x14ac:dyDescent="0.25">
      <c r="E281" s="44" t="str">
        <f>'MKT DATA'!B339</f>
        <v>syn BTCZ6/BTCF7/BTCV6/BTCG7/BTCX6/BTCU6</v>
      </c>
      <c r="F281" s="14">
        <f>'MKT DATA'!J339</f>
        <v>0</v>
      </c>
      <c r="G281" s="9">
        <f>'MKT DATA'!K339</f>
        <v>0</v>
      </c>
      <c r="H281" s="9">
        <f>'MKT DATA'!L339</f>
        <v>0</v>
      </c>
      <c r="I281" s="14">
        <f>'MKT DATA'!M339</f>
        <v>0</v>
      </c>
      <c r="J281" s="44" t="str">
        <f t="shared" si="12"/>
        <v>syn BTCZ6/BTCF7/BTCV6/BTCG7/BTCX6/BTCU6</v>
      </c>
      <c r="K281" s="9">
        <f>'MKT DATA'!O339</f>
        <v>0</v>
      </c>
      <c r="L281" s="9">
        <f>'MKT DATA'!P339</f>
        <v>0</v>
      </c>
      <c r="M281" s="9">
        <f>'MKT DATA'!Q339</f>
        <v>0</v>
      </c>
      <c r="N281" s="9">
        <f>'MKT DATA'!R339</f>
        <v>0</v>
      </c>
      <c r="O281" s="9">
        <f>'MKT DATA'!S339</f>
        <v>0</v>
      </c>
      <c r="P281" s="9">
        <f>'MKT DATA'!T339</f>
        <v>0</v>
      </c>
      <c r="Q281" s="44" t="str">
        <f t="shared" si="13"/>
        <v>syn BTCZ6/BTCF7/BTCV6/BTCG7/BTCX6/BTCU6</v>
      </c>
      <c r="R281" s="14">
        <f>'MKT DATA'!AB339</f>
        <v>0</v>
      </c>
    </row>
    <row r="282" spans="5:18" x14ac:dyDescent="0.25">
      <c r="E282" s="44" t="str">
        <f>'MKT DATA'!B340</f>
        <v>syn BTCZ6/BTCF7/BTCX6/BTCV6/BTCG7/BTCU6</v>
      </c>
      <c r="F282" s="14">
        <f>'MKT DATA'!J340</f>
        <v>0</v>
      </c>
      <c r="G282" s="9">
        <f>'MKT DATA'!K340</f>
        <v>0</v>
      </c>
      <c r="H282" s="9">
        <f>'MKT DATA'!L340</f>
        <v>0</v>
      </c>
      <c r="I282" s="14">
        <f>'MKT DATA'!M340</f>
        <v>0</v>
      </c>
      <c r="J282" s="44" t="str">
        <f t="shared" si="12"/>
        <v>syn BTCZ6/BTCF7/BTCX6/BTCV6/BTCG7/BTCU6</v>
      </c>
      <c r="K282" s="9">
        <f>'MKT DATA'!O340</f>
        <v>0</v>
      </c>
      <c r="L282" s="9">
        <f>'MKT DATA'!P340</f>
        <v>0</v>
      </c>
      <c r="M282" s="9">
        <f>'MKT DATA'!Q340</f>
        <v>0</v>
      </c>
      <c r="N282" s="9">
        <f>'MKT DATA'!R340</f>
        <v>0</v>
      </c>
      <c r="O282" s="9">
        <f>'MKT DATA'!S340</f>
        <v>0</v>
      </c>
      <c r="P282" s="9">
        <f>'MKT DATA'!T340</f>
        <v>0</v>
      </c>
      <c r="Q282" s="44" t="str">
        <f t="shared" si="13"/>
        <v>syn BTCZ6/BTCF7/BTCX6/BTCV6/BTCG7/BTCU6</v>
      </c>
      <c r="R282" s="14">
        <f>'MKT DATA'!AB340</f>
        <v>0</v>
      </c>
    </row>
    <row r="283" spans="5:18" x14ac:dyDescent="0.25">
      <c r="E283" s="44" t="str">
        <f>'MKT DATA'!B341</f>
        <v>syn BTCZ6/BTCF7/BTCX6/BTCG7/BTCV6/BTCU6</v>
      </c>
      <c r="F283" s="14">
        <f>'MKT DATA'!J341</f>
        <v>0</v>
      </c>
      <c r="G283" s="9">
        <f>'MKT DATA'!K341</f>
        <v>0</v>
      </c>
      <c r="H283" s="9">
        <f>'MKT DATA'!L341</f>
        <v>0</v>
      </c>
      <c r="I283" s="14">
        <f>'MKT DATA'!M341</f>
        <v>0</v>
      </c>
      <c r="J283" s="44" t="str">
        <f t="shared" si="12"/>
        <v>syn BTCZ6/BTCF7/BTCX6/BTCG7/BTCV6/BTCU6</v>
      </c>
      <c r="K283" s="9">
        <f>'MKT DATA'!O341</f>
        <v>0</v>
      </c>
      <c r="L283" s="9">
        <f>'MKT DATA'!P341</f>
        <v>0</v>
      </c>
      <c r="M283" s="9">
        <f>'MKT DATA'!Q341</f>
        <v>0</v>
      </c>
      <c r="N283" s="9">
        <f>'MKT DATA'!R341</f>
        <v>0</v>
      </c>
      <c r="O283" s="9">
        <f>'MKT DATA'!S341</f>
        <v>0</v>
      </c>
      <c r="P283" s="9">
        <f>'MKT DATA'!T341</f>
        <v>0</v>
      </c>
      <c r="Q283" s="44" t="str">
        <f t="shared" si="13"/>
        <v>syn BTCZ6/BTCF7/BTCX6/BTCG7/BTCV6/BTCU6</v>
      </c>
      <c r="R283" s="14">
        <f>'MKT DATA'!AB341</f>
        <v>0</v>
      </c>
    </row>
    <row r="284" spans="5:18" x14ac:dyDescent="0.25">
      <c r="E284" s="44" t="str">
        <f>'MKT DATA'!B342</f>
        <v>syn BTCZ6/BTCF7/BTCG7/BTCV6/BTCX6/BTCU6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BTCZ6/BTCF7/BTCG7/BTCV6/BTCX6/BTCU6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BTCZ6/BTCF7/BTCG7/BTCV6/BTCX6/BTCU6</v>
      </c>
      <c r="R284" s="14">
        <f>'MKT DATA'!AB342</f>
        <v>0</v>
      </c>
    </row>
    <row r="285" spans="5:18" x14ac:dyDescent="0.25">
      <c r="E285" s="44" t="str">
        <f>'MKT DATA'!B343</f>
        <v>syn BTCZ6/BTCF7/BTCG7/BTCX6/BTCV6/BTCU6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BTCZ6/BTCF7/BTCG7/BTCX6/BTCV6/BTCU6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BTCZ6/BTCF7/BTCG7/BTCX6/BTCV6/BTCU6</v>
      </c>
      <c r="R285" s="14">
        <f>'MKT DATA'!AB343</f>
        <v>0</v>
      </c>
    </row>
    <row r="286" spans="5:18" x14ac:dyDescent="0.25">
      <c r="E286" s="44" t="str">
        <f>'MKT DATA'!B344</f>
        <v>syn BTCZ6/BTCG7/BTCV6/BTCX6/BTCF7/BTCU6</v>
      </c>
      <c r="F286" s="14">
        <f>'MKT DATA'!J344</f>
        <v>0</v>
      </c>
      <c r="G286" s="9">
        <f>'MKT DATA'!K344</f>
        <v>0</v>
      </c>
      <c r="H286" s="9">
        <f>'MKT DATA'!L344</f>
        <v>0</v>
      </c>
      <c r="I286" s="14">
        <f>'MKT DATA'!M344</f>
        <v>0</v>
      </c>
      <c r="J286" s="44" t="str">
        <f t="shared" si="12"/>
        <v>syn BTCZ6/BTCG7/BTCV6/BTCX6/BTCF7/BTCU6</v>
      </c>
      <c r="K286" s="9">
        <f>'MKT DATA'!O344</f>
        <v>0</v>
      </c>
      <c r="L286" s="9">
        <f>'MKT DATA'!P344</f>
        <v>0</v>
      </c>
      <c r="M286" s="9">
        <f>'MKT DATA'!Q344</f>
        <v>0</v>
      </c>
      <c r="N286" s="9">
        <f>'MKT DATA'!R344</f>
        <v>0</v>
      </c>
      <c r="O286" s="9">
        <f>'MKT DATA'!S344</f>
        <v>0</v>
      </c>
      <c r="P286" s="9">
        <f>'MKT DATA'!T344</f>
        <v>0</v>
      </c>
      <c r="Q286" s="44" t="str">
        <f t="shared" si="13"/>
        <v>syn BTCZ6/BTCG7/BTCV6/BTCX6/BTCF7/BTCU6</v>
      </c>
      <c r="R286" s="14">
        <f>'MKT DATA'!AB344</f>
        <v>0</v>
      </c>
    </row>
    <row r="287" spans="5:18" x14ac:dyDescent="0.25">
      <c r="E287" s="44" t="str">
        <f>'MKT DATA'!B345</f>
        <v>syn BTCZ6/BTCG7/BTCV6/BTCF7/BTCX6/BTCU6</v>
      </c>
      <c r="F287" s="14">
        <f>'MKT DATA'!J345</f>
        <v>0</v>
      </c>
      <c r="G287" s="9">
        <f>'MKT DATA'!K345</f>
        <v>0</v>
      </c>
      <c r="H287" s="9">
        <f>'MKT DATA'!L345</f>
        <v>0</v>
      </c>
      <c r="I287" s="14">
        <f>'MKT DATA'!M345</f>
        <v>0</v>
      </c>
      <c r="J287" s="44" t="str">
        <f t="shared" si="12"/>
        <v>syn BTCZ6/BTCG7/BTCV6/BTCF7/BTCX6/BTCU6</v>
      </c>
      <c r="K287" s="9">
        <f>'MKT DATA'!O345</f>
        <v>0</v>
      </c>
      <c r="L287" s="9">
        <f>'MKT DATA'!P345</f>
        <v>0</v>
      </c>
      <c r="M287" s="9">
        <f>'MKT DATA'!Q345</f>
        <v>0</v>
      </c>
      <c r="N287" s="9">
        <f>'MKT DATA'!R345</f>
        <v>0</v>
      </c>
      <c r="O287" s="9">
        <f>'MKT DATA'!S345</f>
        <v>0</v>
      </c>
      <c r="P287" s="9">
        <f>'MKT DATA'!T345</f>
        <v>0</v>
      </c>
      <c r="Q287" s="44" t="str">
        <f t="shared" si="13"/>
        <v>syn BTCZ6/BTCG7/BTCV6/BTCF7/BTCX6/BTCU6</v>
      </c>
      <c r="R287" s="14">
        <f>'MKT DATA'!AB345</f>
        <v>0</v>
      </c>
    </row>
    <row r="288" spans="5:18" x14ac:dyDescent="0.25">
      <c r="E288" s="44" t="str">
        <f>'MKT DATA'!B346</f>
        <v>syn BTCZ6/BTCG7/BTCX6/BTCV6/BTCF7/BTCU6</v>
      </c>
      <c r="F288" s="14">
        <f>'MKT DATA'!J346</f>
        <v>0</v>
      </c>
      <c r="G288" s="9">
        <f>'MKT DATA'!K346</f>
        <v>0</v>
      </c>
      <c r="H288" s="9">
        <f>'MKT DATA'!L346</f>
        <v>0</v>
      </c>
      <c r="I288" s="14">
        <f>'MKT DATA'!M346</f>
        <v>0</v>
      </c>
      <c r="J288" s="44" t="str">
        <f t="shared" si="12"/>
        <v>syn BTCZ6/BTCG7/BTCX6/BTCV6/BTCF7/BTCU6</v>
      </c>
      <c r="K288" s="9">
        <f>'MKT DATA'!O346</f>
        <v>0</v>
      </c>
      <c r="L288" s="9">
        <f>'MKT DATA'!P346</f>
        <v>0</v>
      </c>
      <c r="M288" s="9">
        <f>'MKT DATA'!Q346</f>
        <v>0</v>
      </c>
      <c r="N288" s="9">
        <f>'MKT DATA'!R346</f>
        <v>0</v>
      </c>
      <c r="O288" s="9">
        <f>'MKT DATA'!S346</f>
        <v>0</v>
      </c>
      <c r="P288" s="9">
        <f>'MKT DATA'!T346</f>
        <v>0</v>
      </c>
      <c r="Q288" s="44" t="str">
        <f t="shared" si="13"/>
        <v>syn BTCZ6/BTCG7/BTCX6/BTCV6/BTCF7/BTCU6</v>
      </c>
      <c r="R288" s="14">
        <f>'MKT DATA'!AB346</f>
        <v>0</v>
      </c>
    </row>
    <row r="289" spans="5:18" x14ac:dyDescent="0.25">
      <c r="E289" s="44" t="str">
        <f>'MKT DATA'!B347</f>
        <v>syn BTCZ6/BTCG7/BTCX6/BTCF7/BTCV6/BTCU6</v>
      </c>
      <c r="F289" s="14">
        <f>'MKT DATA'!J347</f>
        <v>0</v>
      </c>
      <c r="G289" s="9">
        <f>'MKT DATA'!K347</f>
        <v>0</v>
      </c>
      <c r="H289" s="9">
        <f>'MKT DATA'!L347</f>
        <v>0</v>
      </c>
      <c r="I289" s="14">
        <f>'MKT DATA'!M347</f>
        <v>0</v>
      </c>
      <c r="J289" s="44" t="str">
        <f t="shared" si="12"/>
        <v>syn BTCZ6/BTCG7/BTCX6/BTCF7/BTCV6/BTCU6</v>
      </c>
      <c r="K289" s="9">
        <f>'MKT DATA'!O347</f>
        <v>0</v>
      </c>
      <c r="L289" s="9">
        <f>'MKT DATA'!P347</f>
        <v>0</v>
      </c>
      <c r="M289" s="9">
        <f>'MKT DATA'!Q347</f>
        <v>0</v>
      </c>
      <c r="N289" s="9">
        <f>'MKT DATA'!R347</f>
        <v>0</v>
      </c>
      <c r="O289" s="9">
        <f>'MKT DATA'!S347</f>
        <v>0</v>
      </c>
      <c r="P289" s="9">
        <f>'MKT DATA'!T347</f>
        <v>0</v>
      </c>
      <c r="Q289" s="44" t="str">
        <f t="shared" si="13"/>
        <v>syn BTCZ6/BTCG7/BTCX6/BTCF7/BTCV6/BTCU6</v>
      </c>
      <c r="R289" s="14">
        <f>'MKT DATA'!AB347</f>
        <v>0</v>
      </c>
    </row>
    <row r="290" spans="5:18" x14ac:dyDescent="0.25">
      <c r="E290" s="44" t="str">
        <f>'MKT DATA'!B348</f>
        <v>syn BTCZ6/BTCG7/BTCF7/BTCV6/BTCX6/BTCU6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BTCZ6/BTCG7/BTCF7/BTCV6/BTCX6/BTCU6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BTCZ6/BTCG7/BTCF7/BTCV6/BTCX6/BTCU6</v>
      </c>
      <c r="R290" s="14">
        <f>'MKT DATA'!AB348</f>
        <v>0</v>
      </c>
    </row>
    <row r="291" spans="5:18" x14ac:dyDescent="0.25">
      <c r="E291" s="44" t="str">
        <f>'MKT DATA'!B349</f>
        <v>syn BTCZ6/BTCG7/BTCF7/BTCX6/BTCV6/BTCU6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BTCZ6/BTCG7/BTCF7/BTCX6/BTCV6/BTCU6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BTCZ6/BTCG7/BTCF7/BTCX6/BTCV6/BTCU6</v>
      </c>
      <c r="R291" s="14">
        <f>'MKT DATA'!AB349</f>
        <v>0</v>
      </c>
    </row>
    <row r="292" spans="5:18" x14ac:dyDescent="0.25">
      <c r="E292" s="44" t="str">
        <f>'MKT DATA'!B350</f>
        <v>syn BTCF7/BTCV6/BTCX6/BTCZ6/BTCG7/BTCU6</v>
      </c>
      <c r="F292" s="14">
        <f>'MKT DATA'!J350</f>
        <v>0</v>
      </c>
      <c r="G292" s="9">
        <f>'MKT DATA'!K350</f>
        <v>0</v>
      </c>
      <c r="H292" s="9">
        <f>'MKT DATA'!L350</f>
        <v>0</v>
      </c>
      <c r="I292" s="14">
        <f>'MKT DATA'!M350</f>
        <v>0</v>
      </c>
      <c r="J292" s="44" t="str">
        <f t="shared" si="12"/>
        <v>syn BTCF7/BTCV6/BTCX6/BTCZ6/BTCG7/BTCU6</v>
      </c>
      <c r="K292" s="9">
        <f>'MKT DATA'!O350</f>
        <v>0</v>
      </c>
      <c r="L292" s="9">
        <f>'MKT DATA'!P350</f>
        <v>0</v>
      </c>
      <c r="M292" s="9">
        <f>'MKT DATA'!Q350</f>
        <v>0</v>
      </c>
      <c r="N292" s="9">
        <f>'MKT DATA'!R350</f>
        <v>0</v>
      </c>
      <c r="O292" s="9">
        <f>'MKT DATA'!S350</f>
        <v>0</v>
      </c>
      <c r="P292" s="9">
        <f>'MKT DATA'!T350</f>
        <v>0</v>
      </c>
      <c r="Q292" s="44" t="str">
        <f t="shared" si="13"/>
        <v>syn BTCF7/BTCV6/BTCX6/BTCZ6/BTCG7/BTCU6</v>
      </c>
      <c r="R292" s="14">
        <f>'MKT DATA'!AB350</f>
        <v>0</v>
      </c>
    </row>
    <row r="293" spans="5:18" x14ac:dyDescent="0.25">
      <c r="E293" s="44" t="str">
        <f>'MKT DATA'!B351</f>
        <v>syn BTCF7/BTCV6/BTCX6/BTCG7/BTCZ6/BTCU6</v>
      </c>
      <c r="F293" s="14">
        <f>'MKT DATA'!J351</f>
        <v>0</v>
      </c>
      <c r="G293" s="9">
        <f>'MKT DATA'!K351</f>
        <v>0</v>
      </c>
      <c r="H293" s="9">
        <f>'MKT DATA'!L351</f>
        <v>0</v>
      </c>
      <c r="I293" s="14">
        <f>'MKT DATA'!M351</f>
        <v>0</v>
      </c>
      <c r="J293" s="44" t="str">
        <f t="shared" si="12"/>
        <v>syn BTCF7/BTCV6/BTCX6/BTCG7/BTCZ6/BTCU6</v>
      </c>
      <c r="K293" s="9">
        <f>'MKT DATA'!O351</f>
        <v>0</v>
      </c>
      <c r="L293" s="9">
        <f>'MKT DATA'!P351</f>
        <v>0</v>
      </c>
      <c r="M293" s="9">
        <f>'MKT DATA'!Q351</f>
        <v>0</v>
      </c>
      <c r="N293" s="9">
        <f>'MKT DATA'!R351</f>
        <v>0</v>
      </c>
      <c r="O293" s="9">
        <f>'MKT DATA'!S351</f>
        <v>0</v>
      </c>
      <c r="P293" s="9">
        <f>'MKT DATA'!T351</f>
        <v>0</v>
      </c>
      <c r="Q293" s="44" t="str">
        <f t="shared" si="13"/>
        <v>syn BTCF7/BTCV6/BTCX6/BTCG7/BTCZ6/BTCU6</v>
      </c>
      <c r="R293" s="14">
        <f>'MKT DATA'!AB351</f>
        <v>0</v>
      </c>
    </row>
    <row r="294" spans="5:18" x14ac:dyDescent="0.25">
      <c r="E294" s="44" t="str">
        <f>'MKT DATA'!B352</f>
        <v>syn BTCF7/BTCV6/BTCZ6/BTCX6/BTCG7/BTCU6</v>
      </c>
      <c r="F294" s="14">
        <f>'MKT DATA'!J352</f>
        <v>0</v>
      </c>
      <c r="G294" s="9">
        <f>'MKT DATA'!K352</f>
        <v>0</v>
      </c>
      <c r="H294" s="9">
        <f>'MKT DATA'!L352</f>
        <v>0</v>
      </c>
      <c r="I294" s="14">
        <f>'MKT DATA'!M352</f>
        <v>0</v>
      </c>
      <c r="J294" s="44" t="str">
        <f t="shared" si="12"/>
        <v>syn BTCF7/BTCV6/BTCZ6/BTCX6/BTCG7/BTCU6</v>
      </c>
      <c r="K294" s="9">
        <f>'MKT DATA'!O352</f>
        <v>0</v>
      </c>
      <c r="L294" s="9">
        <f>'MKT DATA'!P352</f>
        <v>0</v>
      </c>
      <c r="M294" s="9">
        <f>'MKT DATA'!Q352</f>
        <v>0</v>
      </c>
      <c r="N294" s="9">
        <f>'MKT DATA'!R352</f>
        <v>0</v>
      </c>
      <c r="O294" s="9">
        <f>'MKT DATA'!S352</f>
        <v>0</v>
      </c>
      <c r="P294" s="9">
        <f>'MKT DATA'!T352</f>
        <v>0</v>
      </c>
      <c r="Q294" s="44" t="str">
        <f t="shared" si="13"/>
        <v>syn BTCF7/BTCV6/BTCZ6/BTCX6/BTCG7/BTCU6</v>
      </c>
      <c r="R294" s="14">
        <f>'MKT DATA'!AB352</f>
        <v>0</v>
      </c>
    </row>
    <row r="295" spans="5:18" x14ac:dyDescent="0.25">
      <c r="E295" s="44" t="str">
        <f>'MKT DATA'!B353</f>
        <v>syn BTCF7/BTCV6/BTCZ6/BTCG7/BTCX6/BTCU6</v>
      </c>
      <c r="F295" s="14">
        <f>'MKT DATA'!J353</f>
        <v>0</v>
      </c>
      <c r="G295" s="9">
        <f>'MKT DATA'!K353</f>
        <v>0</v>
      </c>
      <c r="H295" s="9">
        <f>'MKT DATA'!L353</f>
        <v>0</v>
      </c>
      <c r="I295" s="14">
        <f>'MKT DATA'!M353</f>
        <v>0</v>
      </c>
      <c r="J295" s="44" t="str">
        <f t="shared" si="12"/>
        <v>syn BTCF7/BTCV6/BTCZ6/BTCG7/BTCX6/BTCU6</v>
      </c>
      <c r="K295" s="9">
        <f>'MKT DATA'!O353</f>
        <v>0</v>
      </c>
      <c r="L295" s="9">
        <f>'MKT DATA'!P353</f>
        <v>0</v>
      </c>
      <c r="M295" s="9">
        <f>'MKT DATA'!Q353</f>
        <v>0</v>
      </c>
      <c r="N295" s="9">
        <f>'MKT DATA'!R353</f>
        <v>0</v>
      </c>
      <c r="O295" s="9">
        <f>'MKT DATA'!S353</f>
        <v>0</v>
      </c>
      <c r="P295" s="9">
        <f>'MKT DATA'!T353</f>
        <v>0</v>
      </c>
      <c r="Q295" s="44" t="str">
        <f t="shared" si="13"/>
        <v>syn BTCF7/BTCV6/BTCZ6/BTCG7/BTCX6/BTCU6</v>
      </c>
      <c r="R295" s="14">
        <f>'MKT DATA'!AB353</f>
        <v>0</v>
      </c>
    </row>
    <row r="296" spans="5:18" x14ac:dyDescent="0.25">
      <c r="E296" s="44" t="str">
        <f>'MKT DATA'!B354</f>
        <v>syn BTCF7/BTCV6/BTCG7/BTCX6/BTCZ6/BTCU6</v>
      </c>
      <c r="F296" s="14">
        <f>'MKT DATA'!J354</f>
        <v>0</v>
      </c>
      <c r="G296" s="9">
        <f>'MKT DATA'!K354</f>
        <v>0</v>
      </c>
      <c r="H296" s="9">
        <f>'MKT DATA'!L354</f>
        <v>0</v>
      </c>
      <c r="I296" s="14">
        <f>'MKT DATA'!M354</f>
        <v>0</v>
      </c>
      <c r="J296" s="44" t="str">
        <f t="shared" si="12"/>
        <v>syn BTCF7/BTCV6/BTCG7/BTCX6/BTCZ6/BTCU6</v>
      </c>
      <c r="K296" s="9">
        <f>'MKT DATA'!O354</f>
        <v>0</v>
      </c>
      <c r="L296" s="9">
        <f>'MKT DATA'!P354</f>
        <v>0</v>
      </c>
      <c r="M296" s="9">
        <f>'MKT DATA'!Q354</f>
        <v>0</v>
      </c>
      <c r="N296" s="9">
        <f>'MKT DATA'!R354</f>
        <v>0</v>
      </c>
      <c r="O296" s="9">
        <f>'MKT DATA'!S354</f>
        <v>0</v>
      </c>
      <c r="P296" s="9">
        <f>'MKT DATA'!T354</f>
        <v>0</v>
      </c>
      <c r="Q296" s="44" t="str">
        <f t="shared" si="13"/>
        <v>syn BTCF7/BTCV6/BTCG7/BTCX6/BTCZ6/BTCU6</v>
      </c>
      <c r="R296" s="14">
        <f>'MKT DATA'!AB354</f>
        <v>0</v>
      </c>
    </row>
    <row r="297" spans="5:18" x14ac:dyDescent="0.25">
      <c r="E297" s="44" t="str">
        <f>'MKT DATA'!B355</f>
        <v>syn BTCF7/BTCV6/BTCG7/BTCZ6/BTCX6/BTCU6</v>
      </c>
      <c r="F297" s="14">
        <f>'MKT DATA'!J355</f>
        <v>0</v>
      </c>
      <c r="G297" s="9">
        <f>'MKT DATA'!K355</f>
        <v>0</v>
      </c>
      <c r="H297" s="9">
        <f>'MKT DATA'!L355</f>
        <v>0</v>
      </c>
      <c r="I297" s="14">
        <f>'MKT DATA'!M355</f>
        <v>0</v>
      </c>
      <c r="J297" s="44" t="str">
        <f t="shared" si="12"/>
        <v>syn BTCF7/BTCV6/BTCG7/BTCZ6/BTCX6/BTCU6</v>
      </c>
      <c r="K297" s="9">
        <f>'MKT DATA'!O355</f>
        <v>0</v>
      </c>
      <c r="L297" s="9">
        <f>'MKT DATA'!P355</f>
        <v>0</v>
      </c>
      <c r="M297" s="9">
        <f>'MKT DATA'!Q355</f>
        <v>0</v>
      </c>
      <c r="N297" s="9">
        <f>'MKT DATA'!R355</f>
        <v>0</v>
      </c>
      <c r="O297" s="9">
        <f>'MKT DATA'!S355</f>
        <v>0</v>
      </c>
      <c r="P297" s="9">
        <f>'MKT DATA'!T355</f>
        <v>0</v>
      </c>
      <c r="Q297" s="44" t="str">
        <f t="shared" si="13"/>
        <v>syn BTCF7/BTCV6/BTCG7/BTCZ6/BTCX6/BTCU6</v>
      </c>
      <c r="R297" s="14">
        <f>'MKT DATA'!AB355</f>
        <v>0</v>
      </c>
    </row>
    <row r="298" spans="5:18" x14ac:dyDescent="0.25">
      <c r="E298" s="44" t="str">
        <f>'MKT DATA'!B356</f>
        <v>syn BTCF7/BTCX6/BTCV6/BTCZ6/BTCG7/BTCU6</v>
      </c>
      <c r="F298" s="14">
        <f>'MKT DATA'!J356</f>
        <v>0</v>
      </c>
      <c r="G298" s="9">
        <f>'MKT DATA'!K356</f>
        <v>0</v>
      </c>
      <c r="H298" s="9">
        <f>'MKT DATA'!L356</f>
        <v>0</v>
      </c>
      <c r="I298" s="14">
        <f>'MKT DATA'!M356</f>
        <v>0</v>
      </c>
      <c r="J298" s="44" t="str">
        <f t="shared" si="12"/>
        <v>syn BTCF7/BTCX6/BTCV6/BTCZ6/BTCG7/BTCU6</v>
      </c>
      <c r="K298" s="9">
        <f>'MKT DATA'!O356</f>
        <v>0</v>
      </c>
      <c r="L298" s="9">
        <f>'MKT DATA'!P356</f>
        <v>0</v>
      </c>
      <c r="M298" s="9">
        <f>'MKT DATA'!Q356</f>
        <v>0</v>
      </c>
      <c r="N298" s="9">
        <f>'MKT DATA'!R356</f>
        <v>0</v>
      </c>
      <c r="O298" s="9">
        <f>'MKT DATA'!S356</f>
        <v>0</v>
      </c>
      <c r="P298" s="9">
        <f>'MKT DATA'!T356</f>
        <v>0</v>
      </c>
      <c r="Q298" s="44" t="str">
        <f t="shared" si="13"/>
        <v>syn BTCF7/BTCX6/BTCV6/BTCZ6/BTCG7/BTCU6</v>
      </c>
      <c r="R298" s="14">
        <f>'MKT DATA'!AB356</f>
        <v>0</v>
      </c>
    </row>
    <row r="299" spans="5:18" x14ac:dyDescent="0.25">
      <c r="E299" s="44" t="str">
        <f>'MKT DATA'!B357</f>
        <v>syn BTCF7/BTCX6/BTCV6/BTCG7/BTCZ6/BTCU6</v>
      </c>
      <c r="F299" s="14">
        <f>'MKT DATA'!J357</f>
        <v>0</v>
      </c>
      <c r="G299" s="9">
        <f>'MKT DATA'!K357</f>
        <v>0</v>
      </c>
      <c r="H299" s="9">
        <f>'MKT DATA'!L357</f>
        <v>0</v>
      </c>
      <c r="I299" s="14">
        <f>'MKT DATA'!M357</f>
        <v>0</v>
      </c>
      <c r="J299" s="44" t="str">
        <f t="shared" si="12"/>
        <v>syn BTCF7/BTCX6/BTCV6/BTCG7/BTCZ6/BTCU6</v>
      </c>
      <c r="K299" s="9">
        <f>'MKT DATA'!O357</f>
        <v>0</v>
      </c>
      <c r="L299" s="9">
        <f>'MKT DATA'!P357</f>
        <v>0</v>
      </c>
      <c r="M299" s="9">
        <f>'MKT DATA'!Q357</f>
        <v>0</v>
      </c>
      <c r="N299" s="9">
        <f>'MKT DATA'!R357</f>
        <v>0</v>
      </c>
      <c r="O299" s="9">
        <f>'MKT DATA'!S357</f>
        <v>0</v>
      </c>
      <c r="P299" s="9">
        <f>'MKT DATA'!T357</f>
        <v>0</v>
      </c>
      <c r="Q299" s="44" t="str">
        <f t="shared" si="13"/>
        <v>syn BTCF7/BTCX6/BTCV6/BTCG7/BTCZ6/BTCU6</v>
      </c>
      <c r="R299" s="14">
        <f>'MKT DATA'!AB357</f>
        <v>0</v>
      </c>
    </row>
    <row r="300" spans="5:18" x14ac:dyDescent="0.25">
      <c r="E300" s="44" t="str">
        <f>'MKT DATA'!B358</f>
        <v>syn BTCF7/BTCX6/BTCZ6/BTCV6/BTCG7/BTCU6</v>
      </c>
      <c r="F300" s="14">
        <f>'MKT DATA'!J358</f>
        <v>0</v>
      </c>
      <c r="G300" s="9">
        <f>'MKT DATA'!K358</f>
        <v>0</v>
      </c>
      <c r="H300" s="9">
        <f>'MKT DATA'!L358</f>
        <v>0</v>
      </c>
      <c r="I300" s="14">
        <f>'MKT DATA'!M358</f>
        <v>0</v>
      </c>
      <c r="J300" s="44" t="str">
        <f t="shared" si="12"/>
        <v>syn BTCF7/BTCX6/BTCZ6/BTCV6/BTCG7/BTCU6</v>
      </c>
      <c r="K300" s="9">
        <f>'MKT DATA'!O358</f>
        <v>0</v>
      </c>
      <c r="L300" s="9">
        <f>'MKT DATA'!P358</f>
        <v>0</v>
      </c>
      <c r="M300" s="9">
        <f>'MKT DATA'!Q358</f>
        <v>0</v>
      </c>
      <c r="N300" s="9">
        <f>'MKT DATA'!R358</f>
        <v>0</v>
      </c>
      <c r="O300" s="9">
        <f>'MKT DATA'!S358</f>
        <v>0</v>
      </c>
      <c r="P300" s="9">
        <f>'MKT DATA'!T358</f>
        <v>0</v>
      </c>
      <c r="Q300" s="44" t="str">
        <f t="shared" si="13"/>
        <v>syn BTCF7/BTCX6/BTCZ6/BTCV6/BTCG7/BTCU6</v>
      </c>
      <c r="R300" s="14">
        <f>'MKT DATA'!AB358</f>
        <v>0</v>
      </c>
    </row>
    <row r="301" spans="5:18" x14ac:dyDescent="0.25">
      <c r="E301" s="44" t="str">
        <f>'MKT DATA'!B359</f>
        <v>syn BTCF7/BTCX6/BTCZ6/BTCG7/BTCV6/BTCU6</v>
      </c>
      <c r="F301" s="14">
        <f>'MKT DATA'!J359</f>
        <v>0</v>
      </c>
      <c r="G301" s="9">
        <f>'MKT DATA'!K359</f>
        <v>0</v>
      </c>
      <c r="H301" s="9">
        <f>'MKT DATA'!L359</f>
        <v>0</v>
      </c>
      <c r="I301" s="14">
        <f>'MKT DATA'!M359</f>
        <v>0</v>
      </c>
      <c r="J301" s="44" t="str">
        <f t="shared" si="12"/>
        <v>syn BTCF7/BTCX6/BTCZ6/BTCG7/BTCV6/BTCU6</v>
      </c>
      <c r="K301" s="9">
        <f>'MKT DATA'!O359</f>
        <v>0</v>
      </c>
      <c r="L301" s="9">
        <f>'MKT DATA'!P359</f>
        <v>0</v>
      </c>
      <c r="M301" s="9">
        <f>'MKT DATA'!Q359</f>
        <v>0</v>
      </c>
      <c r="N301" s="9">
        <f>'MKT DATA'!R359</f>
        <v>0</v>
      </c>
      <c r="O301" s="9">
        <f>'MKT DATA'!S359</f>
        <v>0</v>
      </c>
      <c r="P301" s="9">
        <f>'MKT DATA'!T359</f>
        <v>0</v>
      </c>
      <c r="Q301" s="44" t="str">
        <f t="shared" si="13"/>
        <v>syn BTCF7/BTCX6/BTCZ6/BTCG7/BTCV6/BTCU6</v>
      </c>
      <c r="R301" s="14">
        <f>'MKT DATA'!AB359</f>
        <v>0</v>
      </c>
    </row>
    <row r="302" spans="5:18" x14ac:dyDescent="0.25">
      <c r="E302" s="44" t="str">
        <f>'MKT DATA'!B360</f>
        <v>syn BTCF7/BTCX6/BTCG7/BTCV6/BTCZ6/BTCU6</v>
      </c>
      <c r="F302" s="14">
        <f>'MKT DATA'!J360</f>
        <v>0</v>
      </c>
      <c r="G302" s="9">
        <f>'MKT DATA'!K360</f>
        <v>0</v>
      </c>
      <c r="H302" s="9">
        <f>'MKT DATA'!L360</f>
        <v>0</v>
      </c>
      <c r="I302" s="14">
        <f>'MKT DATA'!M360</f>
        <v>0</v>
      </c>
      <c r="J302" s="44" t="str">
        <f t="shared" si="12"/>
        <v>syn BTCF7/BTCX6/BTCG7/BTCV6/BTCZ6/BTCU6</v>
      </c>
      <c r="K302" s="9">
        <f>'MKT DATA'!O360</f>
        <v>0</v>
      </c>
      <c r="L302" s="9">
        <f>'MKT DATA'!P360</f>
        <v>0</v>
      </c>
      <c r="M302" s="9">
        <f>'MKT DATA'!Q360</f>
        <v>0</v>
      </c>
      <c r="N302" s="9">
        <f>'MKT DATA'!R360</f>
        <v>0</v>
      </c>
      <c r="O302" s="9">
        <f>'MKT DATA'!S360</f>
        <v>0</v>
      </c>
      <c r="P302" s="9">
        <f>'MKT DATA'!T360</f>
        <v>0</v>
      </c>
      <c r="Q302" s="44" t="str">
        <f t="shared" si="13"/>
        <v>syn BTCF7/BTCX6/BTCG7/BTCV6/BTCZ6/BTCU6</v>
      </c>
      <c r="R302" s="14">
        <f>'MKT DATA'!AB360</f>
        <v>0</v>
      </c>
    </row>
    <row r="303" spans="5:18" x14ac:dyDescent="0.25">
      <c r="E303" s="44" t="str">
        <f>'MKT DATA'!B361</f>
        <v>syn BTCF7/BTCX6/BTCG7/BTCZ6/BTCV6/BTCU6</v>
      </c>
      <c r="F303" s="14">
        <f>'MKT DATA'!J361</f>
        <v>0</v>
      </c>
      <c r="G303" s="9">
        <f>'MKT DATA'!K361</f>
        <v>0</v>
      </c>
      <c r="H303" s="9">
        <f>'MKT DATA'!L361</f>
        <v>0</v>
      </c>
      <c r="I303" s="14">
        <f>'MKT DATA'!M361</f>
        <v>0</v>
      </c>
      <c r="J303" s="44" t="str">
        <f t="shared" si="12"/>
        <v>syn BTCF7/BTCX6/BTCG7/BTCZ6/BTCV6/BTCU6</v>
      </c>
      <c r="K303" s="9">
        <f>'MKT DATA'!O361</f>
        <v>0</v>
      </c>
      <c r="L303" s="9">
        <f>'MKT DATA'!P361</f>
        <v>0</v>
      </c>
      <c r="M303" s="9">
        <f>'MKT DATA'!Q361</f>
        <v>0</v>
      </c>
      <c r="N303" s="9">
        <f>'MKT DATA'!R361</f>
        <v>0</v>
      </c>
      <c r="O303" s="9">
        <f>'MKT DATA'!S361</f>
        <v>0</v>
      </c>
      <c r="P303" s="9">
        <f>'MKT DATA'!T361</f>
        <v>0</v>
      </c>
      <c r="Q303" s="44" t="str">
        <f t="shared" si="13"/>
        <v>syn BTCF7/BTCX6/BTCG7/BTCZ6/BTCV6/BTCU6</v>
      </c>
      <c r="R303" s="14">
        <f>'MKT DATA'!AB361</f>
        <v>0</v>
      </c>
    </row>
    <row r="304" spans="5:18" x14ac:dyDescent="0.25">
      <c r="E304" s="44" t="str">
        <f>'MKT DATA'!B362</f>
        <v>syn BTCF7/BTCZ6/BTCV6/BTCX6/BTCG7/BTCU6</v>
      </c>
      <c r="F304" s="14">
        <f>'MKT DATA'!J362</f>
        <v>0</v>
      </c>
      <c r="G304" s="9">
        <f>'MKT DATA'!K362</f>
        <v>0</v>
      </c>
      <c r="H304" s="9">
        <f>'MKT DATA'!L362</f>
        <v>0</v>
      </c>
      <c r="I304" s="14">
        <f>'MKT DATA'!M362</f>
        <v>0</v>
      </c>
      <c r="J304" s="44" t="str">
        <f t="shared" si="12"/>
        <v>syn BTCF7/BTCZ6/BTCV6/BTCX6/BTCG7/BTCU6</v>
      </c>
      <c r="K304" s="9">
        <f>'MKT DATA'!O362</f>
        <v>0</v>
      </c>
      <c r="L304" s="9">
        <f>'MKT DATA'!P362</f>
        <v>0</v>
      </c>
      <c r="M304" s="9">
        <f>'MKT DATA'!Q362</f>
        <v>0</v>
      </c>
      <c r="N304" s="9">
        <f>'MKT DATA'!R362</f>
        <v>0</v>
      </c>
      <c r="O304" s="9">
        <f>'MKT DATA'!S362</f>
        <v>0</v>
      </c>
      <c r="P304" s="9">
        <f>'MKT DATA'!T362</f>
        <v>0</v>
      </c>
      <c r="Q304" s="44" t="str">
        <f t="shared" si="13"/>
        <v>syn BTCF7/BTCZ6/BTCV6/BTCX6/BTCG7/BTCU6</v>
      </c>
      <c r="R304" s="14">
        <f>'MKT DATA'!AB362</f>
        <v>0</v>
      </c>
    </row>
    <row r="305" spans="5:18" x14ac:dyDescent="0.25">
      <c r="E305" s="44" t="str">
        <f>'MKT DATA'!B363</f>
        <v>syn BTCF7/BTCZ6/BTCV6/BTCG7/BTCX6/BTCU6</v>
      </c>
      <c r="F305" s="14">
        <f>'MKT DATA'!J363</f>
        <v>0</v>
      </c>
      <c r="G305" s="9">
        <f>'MKT DATA'!K363</f>
        <v>0</v>
      </c>
      <c r="H305" s="9">
        <f>'MKT DATA'!L363</f>
        <v>0</v>
      </c>
      <c r="I305" s="14">
        <f>'MKT DATA'!M363</f>
        <v>0</v>
      </c>
      <c r="J305" s="44" t="str">
        <f t="shared" si="12"/>
        <v>syn BTCF7/BTCZ6/BTCV6/BTCG7/BTCX6/BTCU6</v>
      </c>
      <c r="K305" s="9">
        <f>'MKT DATA'!O363</f>
        <v>0</v>
      </c>
      <c r="L305" s="9">
        <f>'MKT DATA'!P363</f>
        <v>0</v>
      </c>
      <c r="M305" s="9">
        <f>'MKT DATA'!Q363</f>
        <v>0</v>
      </c>
      <c r="N305" s="9">
        <f>'MKT DATA'!R363</f>
        <v>0</v>
      </c>
      <c r="O305" s="9">
        <f>'MKT DATA'!S363</f>
        <v>0</v>
      </c>
      <c r="P305" s="9">
        <f>'MKT DATA'!T363</f>
        <v>0</v>
      </c>
      <c r="Q305" s="44" t="str">
        <f t="shared" si="13"/>
        <v>syn BTCF7/BTCZ6/BTCV6/BTCG7/BTCX6/BTCU6</v>
      </c>
      <c r="R305" s="14">
        <f>'MKT DATA'!AB363</f>
        <v>0</v>
      </c>
    </row>
    <row r="306" spans="5:18" x14ac:dyDescent="0.25">
      <c r="E306" s="44" t="str">
        <f>'MKT DATA'!B364</f>
        <v>syn BTCF7/BTCZ6/BTCX6/BTCV6/BTCG7/BTCU6</v>
      </c>
      <c r="F306" s="14">
        <f>'MKT DATA'!J364</f>
        <v>0</v>
      </c>
      <c r="G306" s="9">
        <f>'MKT DATA'!K364</f>
        <v>0</v>
      </c>
      <c r="H306" s="9">
        <f>'MKT DATA'!L364</f>
        <v>0</v>
      </c>
      <c r="I306" s="14">
        <f>'MKT DATA'!M364</f>
        <v>0</v>
      </c>
      <c r="J306" s="44" t="str">
        <f t="shared" si="12"/>
        <v>syn BTCF7/BTCZ6/BTCX6/BTCV6/BTCG7/BTCU6</v>
      </c>
      <c r="K306" s="9">
        <f>'MKT DATA'!O364</f>
        <v>0</v>
      </c>
      <c r="L306" s="9">
        <f>'MKT DATA'!P364</f>
        <v>0</v>
      </c>
      <c r="M306" s="9">
        <f>'MKT DATA'!Q364</f>
        <v>0</v>
      </c>
      <c r="N306" s="9">
        <f>'MKT DATA'!R364</f>
        <v>0</v>
      </c>
      <c r="O306" s="9">
        <f>'MKT DATA'!S364</f>
        <v>0</v>
      </c>
      <c r="P306" s="9">
        <f>'MKT DATA'!T364</f>
        <v>0</v>
      </c>
      <c r="Q306" s="44" t="str">
        <f t="shared" si="13"/>
        <v>syn BTCF7/BTCZ6/BTCX6/BTCV6/BTCG7/BTCU6</v>
      </c>
      <c r="R306" s="14">
        <f>'MKT DATA'!AB364</f>
        <v>0</v>
      </c>
    </row>
    <row r="307" spans="5:18" x14ac:dyDescent="0.25">
      <c r="E307" s="44" t="str">
        <f>'MKT DATA'!B365</f>
        <v>syn BTCF7/BTCZ6/BTCX6/BTCG7/BTCV6/BTCU6</v>
      </c>
      <c r="F307" s="14">
        <f>'MKT DATA'!J365</f>
        <v>0</v>
      </c>
      <c r="G307" s="9">
        <f>'MKT DATA'!K365</f>
        <v>0</v>
      </c>
      <c r="H307" s="9">
        <f>'MKT DATA'!L365</f>
        <v>0</v>
      </c>
      <c r="I307" s="14">
        <f>'MKT DATA'!M365</f>
        <v>0</v>
      </c>
      <c r="J307" s="44" t="str">
        <f t="shared" si="12"/>
        <v>syn BTCF7/BTCZ6/BTCX6/BTCG7/BTCV6/BTCU6</v>
      </c>
      <c r="K307" s="9">
        <f>'MKT DATA'!O365</f>
        <v>0</v>
      </c>
      <c r="L307" s="9">
        <f>'MKT DATA'!P365</f>
        <v>0</v>
      </c>
      <c r="M307" s="9">
        <f>'MKT DATA'!Q365</f>
        <v>0</v>
      </c>
      <c r="N307" s="9">
        <f>'MKT DATA'!R365</f>
        <v>0</v>
      </c>
      <c r="O307" s="9">
        <f>'MKT DATA'!S365</f>
        <v>0</v>
      </c>
      <c r="P307" s="9">
        <f>'MKT DATA'!T365</f>
        <v>0</v>
      </c>
      <c r="Q307" s="44" t="str">
        <f t="shared" si="13"/>
        <v>syn BTCF7/BTCZ6/BTCX6/BTCG7/BTCV6/BTCU6</v>
      </c>
      <c r="R307" s="14">
        <f>'MKT DATA'!AB365</f>
        <v>0</v>
      </c>
    </row>
    <row r="308" spans="5:18" x14ac:dyDescent="0.25">
      <c r="E308" s="44" t="str">
        <f>'MKT DATA'!B366</f>
        <v>syn BTCF7/BTCZ6/BTCG7/BTCV6/BTCX6/BTCU6</v>
      </c>
      <c r="F308" s="14">
        <f>'MKT DATA'!J366</f>
        <v>0</v>
      </c>
      <c r="G308" s="9">
        <f>'MKT DATA'!K366</f>
        <v>0</v>
      </c>
      <c r="H308" s="9">
        <f>'MKT DATA'!L366</f>
        <v>0</v>
      </c>
      <c r="I308" s="14">
        <f>'MKT DATA'!M366</f>
        <v>0</v>
      </c>
      <c r="J308" s="44" t="str">
        <f t="shared" si="12"/>
        <v>syn BTCF7/BTCZ6/BTCG7/BTCV6/BTCX6/BTCU6</v>
      </c>
      <c r="K308" s="9">
        <f>'MKT DATA'!O366</f>
        <v>0</v>
      </c>
      <c r="L308" s="9">
        <f>'MKT DATA'!P366</f>
        <v>0</v>
      </c>
      <c r="M308" s="9">
        <f>'MKT DATA'!Q366</f>
        <v>0</v>
      </c>
      <c r="N308" s="9">
        <f>'MKT DATA'!R366</f>
        <v>0</v>
      </c>
      <c r="O308" s="9">
        <f>'MKT DATA'!S366</f>
        <v>0</v>
      </c>
      <c r="P308" s="9">
        <f>'MKT DATA'!T366</f>
        <v>0</v>
      </c>
      <c r="Q308" s="44" t="str">
        <f t="shared" si="13"/>
        <v>syn BTCF7/BTCZ6/BTCG7/BTCV6/BTCX6/BTCU6</v>
      </c>
      <c r="R308" s="14">
        <f>'MKT DATA'!AB366</f>
        <v>0</v>
      </c>
    </row>
    <row r="309" spans="5:18" x14ac:dyDescent="0.25">
      <c r="E309" s="44" t="str">
        <f>'MKT DATA'!B367</f>
        <v>syn BTCF7/BTCZ6/BTCG7/BTCX6/BTCV6/BTCU6</v>
      </c>
      <c r="F309" s="14">
        <f>'MKT DATA'!J367</f>
        <v>0</v>
      </c>
      <c r="G309" s="9">
        <f>'MKT DATA'!K367</f>
        <v>0</v>
      </c>
      <c r="H309" s="9">
        <f>'MKT DATA'!L367</f>
        <v>0</v>
      </c>
      <c r="I309" s="14">
        <f>'MKT DATA'!M367</f>
        <v>0</v>
      </c>
      <c r="J309" s="44" t="str">
        <f t="shared" si="12"/>
        <v>syn BTCF7/BTCZ6/BTCG7/BTCX6/BTCV6/BTCU6</v>
      </c>
      <c r="K309" s="9">
        <f>'MKT DATA'!O367</f>
        <v>0</v>
      </c>
      <c r="L309" s="9">
        <f>'MKT DATA'!P367</f>
        <v>0</v>
      </c>
      <c r="M309" s="9">
        <f>'MKT DATA'!Q367</f>
        <v>0</v>
      </c>
      <c r="N309" s="9">
        <f>'MKT DATA'!R367</f>
        <v>0</v>
      </c>
      <c r="O309" s="9">
        <f>'MKT DATA'!S367</f>
        <v>0</v>
      </c>
      <c r="P309" s="9">
        <f>'MKT DATA'!T367</f>
        <v>0</v>
      </c>
      <c r="Q309" s="44" t="str">
        <f t="shared" si="13"/>
        <v>syn BTCF7/BTCZ6/BTCG7/BTCX6/BTCV6/BTCU6</v>
      </c>
      <c r="R309" s="14">
        <f>'MKT DATA'!AB367</f>
        <v>0</v>
      </c>
    </row>
    <row r="310" spans="5:18" x14ac:dyDescent="0.25">
      <c r="E310" s="44" t="str">
        <f>'MKT DATA'!B368</f>
        <v>syn BTCF7/BTCG7/BTCV6/BTCX6/BTCZ6/BTCU6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BTCF7/BTCG7/BTCV6/BTCX6/BTCZ6/BTCU6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BTCF7/BTCG7/BTCV6/BTCX6/BTCZ6/BTCU6</v>
      </c>
      <c r="R310" s="14">
        <f>'MKT DATA'!AB368</f>
        <v>0</v>
      </c>
    </row>
    <row r="311" spans="5:18" x14ac:dyDescent="0.25">
      <c r="E311" s="44" t="str">
        <f>'MKT DATA'!B369</f>
        <v>syn BTCF7/BTCG7/BTCV6/BTCZ6/BTCX6/BTCU6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BTCF7/BTCG7/BTCV6/BTCZ6/BTCX6/BTCU6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BTCF7/BTCG7/BTCV6/BTCZ6/BTCX6/BTCU6</v>
      </c>
      <c r="R311" s="14">
        <f>'MKT DATA'!AB369</f>
        <v>0</v>
      </c>
    </row>
    <row r="312" spans="5:18" x14ac:dyDescent="0.25">
      <c r="E312" s="44" t="str">
        <f>'MKT DATA'!B370</f>
        <v>syn BTCF7/BTCG7/BTCX6/BTCV6/BTCZ6/BTCU6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BTCF7/BTCG7/BTCX6/BTCV6/BTCZ6/BTCU6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BTCF7/BTCG7/BTCX6/BTCV6/BTCZ6/BTCU6</v>
      </c>
      <c r="R312" s="14">
        <f>'MKT DATA'!AB370</f>
        <v>0</v>
      </c>
    </row>
    <row r="313" spans="5:18" x14ac:dyDescent="0.25">
      <c r="E313" s="44" t="str">
        <f>'MKT DATA'!B371</f>
        <v>syn BTCF7/BTCG7/BTCX6/BTCZ6/BTCV6/BTCU6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BTCF7/BTCG7/BTCX6/BTCZ6/BTCV6/BTCU6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BTCF7/BTCG7/BTCX6/BTCZ6/BTCV6/BTCU6</v>
      </c>
      <c r="R313" s="14">
        <f>'MKT DATA'!AB371</f>
        <v>0</v>
      </c>
    </row>
    <row r="314" spans="5:18" x14ac:dyDescent="0.25">
      <c r="E314" s="44" t="str">
        <f>'MKT DATA'!B372</f>
        <v>syn BTCF7/BTCG7/BTCZ6/BTCV6/BTCX6/BTCU6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BTCF7/BTCG7/BTCZ6/BTCV6/BTCX6/BTCU6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BTCF7/BTCG7/BTCZ6/BTCV6/BTCX6/BTCU6</v>
      </c>
      <c r="R314" s="14">
        <f>'MKT DATA'!AB372</f>
        <v>0</v>
      </c>
    </row>
    <row r="315" spans="5:18" x14ac:dyDescent="0.25">
      <c r="E315" s="44" t="str">
        <f>'MKT DATA'!B373</f>
        <v>syn BTCF7/BTCG7/BTCZ6/BTCX6/BTCV6/BTCU6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BTCF7/BTCG7/BTCZ6/BTCX6/BTCV6/BTCU6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BTCF7/BTCG7/BTCZ6/BTCX6/BTCV6/BTCU6</v>
      </c>
      <c r="R315" s="14">
        <f>'MKT DATA'!AB373</f>
        <v>0</v>
      </c>
    </row>
    <row r="316" spans="5:18" x14ac:dyDescent="0.25">
      <c r="E316" s="44" t="str">
        <f>'MKT DATA'!B374</f>
        <v>syn BTCG7/BTCV6/BTCX6/BTCZ6/BTCF7/BTCU6</v>
      </c>
      <c r="F316" s="14">
        <f>'MKT DATA'!J374</f>
        <v>0</v>
      </c>
      <c r="G316" s="9">
        <f>'MKT DATA'!K374</f>
        <v>0</v>
      </c>
      <c r="H316" s="9">
        <f>'MKT DATA'!L374</f>
        <v>0</v>
      </c>
      <c r="I316" s="14">
        <f>'MKT DATA'!M374</f>
        <v>0</v>
      </c>
      <c r="J316" s="44" t="str">
        <f t="shared" si="12"/>
        <v>syn BTCG7/BTCV6/BTCX6/BTCZ6/BTCF7/BTCU6</v>
      </c>
      <c r="K316" s="9">
        <f>'MKT DATA'!O374</f>
        <v>0</v>
      </c>
      <c r="L316" s="9">
        <f>'MKT DATA'!P374</f>
        <v>0</v>
      </c>
      <c r="M316" s="9">
        <f>'MKT DATA'!Q374</f>
        <v>0</v>
      </c>
      <c r="N316" s="9">
        <f>'MKT DATA'!R374</f>
        <v>0</v>
      </c>
      <c r="O316" s="9">
        <f>'MKT DATA'!S374</f>
        <v>0</v>
      </c>
      <c r="P316" s="9">
        <f>'MKT DATA'!T374</f>
        <v>0</v>
      </c>
      <c r="Q316" s="44" t="str">
        <f t="shared" si="13"/>
        <v>syn BTCG7/BTCV6/BTCX6/BTCZ6/BTCF7/BTCU6</v>
      </c>
      <c r="R316" s="14">
        <f>'MKT DATA'!AB374</f>
        <v>0</v>
      </c>
    </row>
    <row r="317" spans="5:18" x14ac:dyDescent="0.25">
      <c r="E317" s="44" t="str">
        <f>'MKT DATA'!B375</f>
        <v>syn BTCG7/BTCV6/BTCX6/BTCF7/BTCZ6/BTCU6</v>
      </c>
      <c r="F317" s="14">
        <f>'MKT DATA'!J375</f>
        <v>0</v>
      </c>
      <c r="G317" s="9">
        <f>'MKT DATA'!K375</f>
        <v>0</v>
      </c>
      <c r="H317" s="9">
        <f>'MKT DATA'!L375</f>
        <v>0</v>
      </c>
      <c r="I317" s="14">
        <f>'MKT DATA'!M375</f>
        <v>0</v>
      </c>
      <c r="J317" s="44" t="str">
        <f t="shared" si="12"/>
        <v>syn BTCG7/BTCV6/BTCX6/BTCF7/BTCZ6/BTCU6</v>
      </c>
      <c r="K317" s="9">
        <f>'MKT DATA'!O375</f>
        <v>0</v>
      </c>
      <c r="L317" s="9">
        <f>'MKT DATA'!P375</f>
        <v>0</v>
      </c>
      <c r="M317" s="9">
        <f>'MKT DATA'!Q375</f>
        <v>0</v>
      </c>
      <c r="N317" s="9">
        <f>'MKT DATA'!R375</f>
        <v>0</v>
      </c>
      <c r="O317" s="9">
        <f>'MKT DATA'!S375</f>
        <v>0</v>
      </c>
      <c r="P317" s="9">
        <f>'MKT DATA'!T375</f>
        <v>0</v>
      </c>
      <c r="Q317" s="44" t="str">
        <f t="shared" si="13"/>
        <v>syn BTCG7/BTCV6/BTCX6/BTCF7/BTCZ6/BTCU6</v>
      </c>
      <c r="R317" s="14">
        <f>'MKT DATA'!AB375</f>
        <v>0</v>
      </c>
    </row>
    <row r="318" spans="5:18" x14ac:dyDescent="0.25">
      <c r="E318" s="44" t="str">
        <f>'MKT DATA'!B376</f>
        <v>syn BTCG7/BTCV6/BTCZ6/BTCX6/BTCF7/BTCU6</v>
      </c>
      <c r="F318" s="14">
        <f>'MKT DATA'!J376</f>
        <v>0</v>
      </c>
      <c r="G318" s="9">
        <f>'MKT DATA'!K376</f>
        <v>0</v>
      </c>
      <c r="H318" s="9">
        <f>'MKT DATA'!L376</f>
        <v>0</v>
      </c>
      <c r="I318" s="14">
        <f>'MKT DATA'!M376</f>
        <v>0</v>
      </c>
      <c r="J318" s="44" t="str">
        <f t="shared" si="12"/>
        <v>syn BTCG7/BTCV6/BTCZ6/BTCX6/BTCF7/BTCU6</v>
      </c>
      <c r="K318" s="9">
        <f>'MKT DATA'!O376</f>
        <v>0</v>
      </c>
      <c r="L318" s="9">
        <f>'MKT DATA'!P376</f>
        <v>0</v>
      </c>
      <c r="M318" s="9">
        <f>'MKT DATA'!Q376</f>
        <v>0</v>
      </c>
      <c r="N318" s="9">
        <f>'MKT DATA'!R376</f>
        <v>0</v>
      </c>
      <c r="O318" s="9">
        <f>'MKT DATA'!S376</f>
        <v>0</v>
      </c>
      <c r="P318" s="9">
        <f>'MKT DATA'!T376</f>
        <v>0</v>
      </c>
      <c r="Q318" s="44" t="str">
        <f t="shared" si="13"/>
        <v>syn BTCG7/BTCV6/BTCZ6/BTCX6/BTCF7/BTCU6</v>
      </c>
      <c r="R318" s="14">
        <f>'MKT DATA'!AB376</f>
        <v>0</v>
      </c>
    </row>
    <row r="319" spans="5:18" x14ac:dyDescent="0.25">
      <c r="E319" s="44" t="str">
        <f>'MKT DATA'!B377</f>
        <v>syn BTCG7/BTCV6/BTCZ6/BTCF7/BTCX6/BTCU6</v>
      </c>
      <c r="F319" s="14">
        <f>'MKT DATA'!J377</f>
        <v>0</v>
      </c>
      <c r="G319" s="9">
        <f>'MKT DATA'!K377</f>
        <v>0</v>
      </c>
      <c r="H319" s="9">
        <f>'MKT DATA'!L377</f>
        <v>0</v>
      </c>
      <c r="I319" s="14">
        <f>'MKT DATA'!M377</f>
        <v>0</v>
      </c>
      <c r="J319" s="44" t="str">
        <f t="shared" si="12"/>
        <v>syn BTCG7/BTCV6/BTCZ6/BTCF7/BTCX6/BTCU6</v>
      </c>
      <c r="K319" s="9">
        <f>'MKT DATA'!O377</f>
        <v>0</v>
      </c>
      <c r="L319" s="9">
        <f>'MKT DATA'!P377</f>
        <v>0</v>
      </c>
      <c r="M319" s="9">
        <f>'MKT DATA'!Q377</f>
        <v>0</v>
      </c>
      <c r="N319" s="9">
        <f>'MKT DATA'!R377</f>
        <v>0</v>
      </c>
      <c r="O319" s="9">
        <f>'MKT DATA'!S377</f>
        <v>0</v>
      </c>
      <c r="P319" s="9">
        <f>'MKT DATA'!T377</f>
        <v>0</v>
      </c>
      <c r="Q319" s="44" t="str">
        <f t="shared" si="13"/>
        <v>syn BTCG7/BTCV6/BTCZ6/BTCF7/BTCX6/BTCU6</v>
      </c>
      <c r="R319" s="14">
        <f>'MKT DATA'!AB377</f>
        <v>0</v>
      </c>
    </row>
    <row r="320" spans="5:18" x14ac:dyDescent="0.25">
      <c r="E320" s="44" t="str">
        <f>'MKT DATA'!B378</f>
        <v>syn BTCG7/BTCV6/BTCF7/BTCX6/BTCZ6/BTCU6</v>
      </c>
      <c r="F320" s="14">
        <f>'MKT DATA'!J378</f>
        <v>0</v>
      </c>
      <c r="G320" s="9">
        <f>'MKT DATA'!K378</f>
        <v>0</v>
      </c>
      <c r="H320" s="9">
        <f>'MKT DATA'!L378</f>
        <v>0</v>
      </c>
      <c r="I320" s="14">
        <f>'MKT DATA'!M378</f>
        <v>0</v>
      </c>
      <c r="J320" s="44" t="str">
        <f t="shared" si="12"/>
        <v>syn BTCG7/BTCV6/BTCF7/BTCX6/BTCZ6/BTCU6</v>
      </c>
      <c r="K320" s="9">
        <f>'MKT DATA'!O378</f>
        <v>0</v>
      </c>
      <c r="L320" s="9">
        <f>'MKT DATA'!P378</f>
        <v>0</v>
      </c>
      <c r="M320" s="9">
        <f>'MKT DATA'!Q378</f>
        <v>0</v>
      </c>
      <c r="N320" s="9">
        <f>'MKT DATA'!R378</f>
        <v>0</v>
      </c>
      <c r="O320" s="9">
        <f>'MKT DATA'!S378</f>
        <v>0</v>
      </c>
      <c r="P320" s="9">
        <f>'MKT DATA'!T378</f>
        <v>0</v>
      </c>
      <c r="Q320" s="44" t="str">
        <f t="shared" si="13"/>
        <v>syn BTCG7/BTCV6/BTCF7/BTCX6/BTCZ6/BTCU6</v>
      </c>
      <c r="R320" s="14">
        <f>'MKT DATA'!AB378</f>
        <v>0</v>
      </c>
    </row>
    <row r="321" spans="5:18" x14ac:dyDescent="0.25">
      <c r="E321" s="44" t="str">
        <f>'MKT DATA'!B379</f>
        <v>syn BTCG7/BTCV6/BTCF7/BTCZ6/BTCX6/BTCU6</v>
      </c>
      <c r="F321" s="14">
        <f>'MKT DATA'!J379</f>
        <v>0</v>
      </c>
      <c r="G321" s="9">
        <f>'MKT DATA'!K379</f>
        <v>0</v>
      </c>
      <c r="H321" s="9">
        <f>'MKT DATA'!L379</f>
        <v>0</v>
      </c>
      <c r="I321" s="14">
        <f>'MKT DATA'!M379</f>
        <v>0</v>
      </c>
      <c r="J321" s="44" t="str">
        <f t="shared" si="12"/>
        <v>syn BTCG7/BTCV6/BTCF7/BTCZ6/BTCX6/BTCU6</v>
      </c>
      <c r="K321" s="9">
        <f>'MKT DATA'!O379</f>
        <v>0</v>
      </c>
      <c r="L321" s="9">
        <f>'MKT DATA'!P379</f>
        <v>0</v>
      </c>
      <c r="M321" s="9">
        <f>'MKT DATA'!Q379</f>
        <v>0</v>
      </c>
      <c r="N321" s="9">
        <f>'MKT DATA'!R379</f>
        <v>0</v>
      </c>
      <c r="O321" s="9">
        <f>'MKT DATA'!S379</f>
        <v>0</v>
      </c>
      <c r="P321" s="9">
        <f>'MKT DATA'!T379</f>
        <v>0</v>
      </c>
      <c r="Q321" s="44" t="str">
        <f t="shared" si="13"/>
        <v>syn BTCG7/BTCV6/BTCF7/BTCZ6/BTCX6/BTCU6</v>
      </c>
      <c r="R321" s="14">
        <f>'MKT DATA'!AB379</f>
        <v>0</v>
      </c>
    </row>
    <row r="322" spans="5:18" x14ac:dyDescent="0.25">
      <c r="E322" s="44" t="str">
        <f>'MKT DATA'!B380</f>
        <v>syn BTCG7/BTCX6/BTCV6/BTCZ6/BTCF7/BTCU6</v>
      </c>
      <c r="F322" s="14">
        <f>'MKT DATA'!J380</f>
        <v>0</v>
      </c>
      <c r="G322" s="9">
        <f>'MKT DATA'!K380</f>
        <v>0</v>
      </c>
      <c r="H322" s="9">
        <f>'MKT DATA'!L380</f>
        <v>0</v>
      </c>
      <c r="I322" s="14">
        <f>'MKT DATA'!M380</f>
        <v>0</v>
      </c>
      <c r="J322" s="44" t="str">
        <f t="shared" si="12"/>
        <v>syn BTCG7/BTCX6/BTCV6/BTCZ6/BTCF7/BTCU6</v>
      </c>
      <c r="K322" s="9">
        <f>'MKT DATA'!O380</f>
        <v>0</v>
      </c>
      <c r="L322" s="9">
        <f>'MKT DATA'!P380</f>
        <v>0</v>
      </c>
      <c r="M322" s="9">
        <f>'MKT DATA'!Q380</f>
        <v>0</v>
      </c>
      <c r="N322" s="9">
        <f>'MKT DATA'!R380</f>
        <v>0</v>
      </c>
      <c r="O322" s="9">
        <f>'MKT DATA'!S380</f>
        <v>0</v>
      </c>
      <c r="P322" s="9">
        <f>'MKT DATA'!T380</f>
        <v>0</v>
      </c>
      <c r="Q322" s="44" t="str">
        <f t="shared" si="13"/>
        <v>syn BTCG7/BTCX6/BTCV6/BTCZ6/BTCF7/BTCU6</v>
      </c>
      <c r="R322" s="14">
        <f>'MKT DATA'!AB380</f>
        <v>0</v>
      </c>
    </row>
    <row r="323" spans="5:18" x14ac:dyDescent="0.25">
      <c r="E323" s="44" t="str">
        <f>'MKT DATA'!B381</f>
        <v>syn BTCG7/BTCX6/BTCV6/BTCF7/BTCZ6/BTCU6</v>
      </c>
      <c r="F323" s="14">
        <f>'MKT DATA'!J381</f>
        <v>0</v>
      </c>
      <c r="G323" s="9">
        <f>'MKT DATA'!K381</f>
        <v>0</v>
      </c>
      <c r="H323" s="9">
        <f>'MKT DATA'!L381</f>
        <v>0</v>
      </c>
      <c r="I323" s="14">
        <f>'MKT DATA'!M381</f>
        <v>0</v>
      </c>
      <c r="J323" s="44" t="str">
        <f t="shared" si="12"/>
        <v>syn BTCG7/BTCX6/BTCV6/BTCF7/BTCZ6/BTCU6</v>
      </c>
      <c r="K323" s="9">
        <f>'MKT DATA'!O381</f>
        <v>0</v>
      </c>
      <c r="L323" s="9">
        <f>'MKT DATA'!P381</f>
        <v>0</v>
      </c>
      <c r="M323" s="9">
        <f>'MKT DATA'!Q381</f>
        <v>0</v>
      </c>
      <c r="N323" s="9">
        <f>'MKT DATA'!R381</f>
        <v>0</v>
      </c>
      <c r="O323" s="9">
        <f>'MKT DATA'!S381</f>
        <v>0</v>
      </c>
      <c r="P323" s="9">
        <f>'MKT DATA'!T381</f>
        <v>0</v>
      </c>
      <c r="Q323" s="44" t="str">
        <f t="shared" si="13"/>
        <v>syn BTCG7/BTCX6/BTCV6/BTCF7/BTCZ6/BTCU6</v>
      </c>
      <c r="R323" s="14">
        <f>'MKT DATA'!AB381</f>
        <v>0</v>
      </c>
    </row>
    <row r="324" spans="5:18" x14ac:dyDescent="0.25">
      <c r="E324" s="44" t="str">
        <f>'MKT DATA'!B382</f>
        <v>syn BTCG7/BTCX6/BTCZ6/BTCV6/BTCF7/BTCU6</v>
      </c>
      <c r="F324" s="14">
        <f>'MKT DATA'!J382</f>
        <v>0</v>
      </c>
      <c r="G324" s="9">
        <f>'MKT DATA'!K382</f>
        <v>0</v>
      </c>
      <c r="H324" s="9">
        <f>'MKT DATA'!L382</f>
        <v>0</v>
      </c>
      <c r="I324" s="14">
        <f>'MKT DATA'!M382</f>
        <v>0</v>
      </c>
      <c r="J324" s="44" t="str">
        <f t="shared" si="12"/>
        <v>syn BTCG7/BTCX6/BTCZ6/BTCV6/BTCF7/BTCU6</v>
      </c>
      <c r="K324" s="9">
        <f>'MKT DATA'!O382</f>
        <v>0</v>
      </c>
      <c r="L324" s="9">
        <f>'MKT DATA'!P382</f>
        <v>0</v>
      </c>
      <c r="M324" s="9">
        <f>'MKT DATA'!Q382</f>
        <v>0</v>
      </c>
      <c r="N324" s="9">
        <f>'MKT DATA'!R382</f>
        <v>0</v>
      </c>
      <c r="O324" s="9">
        <f>'MKT DATA'!S382</f>
        <v>0</v>
      </c>
      <c r="P324" s="9">
        <f>'MKT DATA'!T382</f>
        <v>0</v>
      </c>
      <c r="Q324" s="44" t="str">
        <f t="shared" si="13"/>
        <v>syn BTCG7/BTCX6/BTCZ6/BTCV6/BTCF7/BTCU6</v>
      </c>
      <c r="R324" s="14">
        <f>'MKT DATA'!AB382</f>
        <v>0</v>
      </c>
    </row>
    <row r="325" spans="5:18" x14ac:dyDescent="0.25">
      <c r="E325" s="44" t="str">
        <f>'MKT DATA'!B383</f>
        <v>syn BTCG7/BTCX6/BTCZ6/BTCF7/BTCV6/BTCU6</v>
      </c>
      <c r="F325" s="14">
        <f>'MKT DATA'!J383</f>
        <v>0</v>
      </c>
      <c r="G325" s="9">
        <f>'MKT DATA'!K383</f>
        <v>0</v>
      </c>
      <c r="H325" s="9">
        <f>'MKT DATA'!L383</f>
        <v>0</v>
      </c>
      <c r="I325" s="14">
        <f>'MKT DATA'!M383</f>
        <v>0</v>
      </c>
      <c r="J325" s="44" t="str">
        <f t="shared" si="12"/>
        <v>syn BTCG7/BTCX6/BTCZ6/BTCF7/BTCV6/BTCU6</v>
      </c>
      <c r="K325" s="9">
        <f>'MKT DATA'!O383</f>
        <v>0</v>
      </c>
      <c r="L325" s="9">
        <f>'MKT DATA'!P383</f>
        <v>0</v>
      </c>
      <c r="M325" s="9">
        <f>'MKT DATA'!Q383</f>
        <v>0</v>
      </c>
      <c r="N325" s="9">
        <f>'MKT DATA'!R383</f>
        <v>0</v>
      </c>
      <c r="O325" s="9">
        <f>'MKT DATA'!S383</f>
        <v>0</v>
      </c>
      <c r="P325" s="9">
        <f>'MKT DATA'!T383</f>
        <v>0</v>
      </c>
      <c r="Q325" s="44" t="str">
        <f t="shared" si="13"/>
        <v>syn BTCG7/BTCX6/BTCZ6/BTCF7/BTCV6/BTCU6</v>
      </c>
      <c r="R325" s="14">
        <f>'MKT DATA'!AB383</f>
        <v>0</v>
      </c>
    </row>
    <row r="326" spans="5:18" x14ac:dyDescent="0.25">
      <c r="E326" s="44" t="str">
        <f>'MKT DATA'!B384</f>
        <v>syn BTCG7/BTCX6/BTCF7/BTCV6/BTCZ6/BTCU6</v>
      </c>
      <c r="F326" s="14">
        <f>'MKT DATA'!J384</f>
        <v>0</v>
      </c>
      <c r="G326" s="9">
        <f>'MKT DATA'!K384</f>
        <v>0</v>
      </c>
      <c r="H326" s="9">
        <f>'MKT DATA'!L384</f>
        <v>0</v>
      </c>
      <c r="I326" s="14">
        <f>'MKT DATA'!M384</f>
        <v>0</v>
      </c>
      <c r="J326" s="44" t="str">
        <f t="shared" si="12"/>
        <v>syn BTCG7/BTCX6/BTCF7/BTCV6/BTCZ6/BTCU6</v>
      </c>
      <c r="K326" s="9">
        <f>'MKT DATA'!O384</f>
        <v>0</v>
      </c>
      <c r="L326" s="9">
        <f>'MKT DATA'!P384</f>
        <v>0</v>
      </c>
      <c r="M326" s="9">
        <f>'MKT DATA'!Q384</f>
        <v>0</v>
      </c>
      <c r="N326" s="9">
        <f>'MKT DATA'!R384</f>
        <v>0</v>
      </c>
      <c r="O326" s="9">
        <f>'MKT DATA'!S384</f>
        <v>0</v>
      </c>
      <c r="P326" s="9">
        <f>'MKT DATA'!T384</f>
        <v>0</v>
      </c>
      <c r="Q326" s="44" t="str">
        <f t="shared" si="13"/>
        <v>syn BTCG7/BTCX6/BTCF7/BTCV6/BTCZ6/BTCU6</v>
      </c>
      <c r="R326" s="14">
        <f>'MKT DATA'!AB384</f>
        <v>0</v>
      </c>
    </row>
    <row r="327" spans="5:18" x14ac:dyDescent="0.25">
      <c r="E327" s="44" t="str">
        <f>'MKT DATA'!B385</f>
        <v>syn BTCG7/BTCX6/BTCF7/BTCZ6/BTCV6/BTCU6</v>
      </c>
      <c r="F327" s="14">
        <f>'MKT DATA'!J385</f>
        <v>0</v>
      </c>
      <c r="G327" s="9">
        <f>'MKT DATA'!K385</f>
        <v>0</v>
      </c>
      <c r="H327" s="9">
        <f>'MKT DATA'!L385</f>
        <v>0</v>
      </c>
      <c r="I327" s="14">
        <f>'MKT DATA'!M385</f>
        <v>0</v>
      </c>
      <c r="J327" s="44" t="str">
        <f t="shared" si="12"/>
        <v>syn BTCG7/BTCX6/BTCF7/BTCZ6/BTCV6/BTCU6</v>
      </c>
      <c r="K327" s="9">
        <f>'MKT DATA'!O385</f>
        <v>0</v>
      </c>
      <c r="L327" s="9">
        <f>'MKT DATA'!P385</f>
        <v>0</v>
      </c>
      <c r="M327" s="9">
        <f>'MKT DATA'!Q385</f>
        <v>0</v>
      </c>
      <c r="N327" s="9">
        <f>'MKT DATA'!R385</f>
        <v>0</v>
      </c>
      <c r="O327" s="9">
        <f>'MKT DATA'!S385</f>
        <v>0</v>
      </c>
      <c r="P327" s="9">
        <f>'MKT DATA'!T385</f>
        <v>0</v>
      </c>
      <c r="Q327" s="44" t="str">
        <f t="shared" si="13"/>
        <v>syn BTCG7/BTCX6/BTCF7/BTCZ6/BTCV6/BTCU6</v>
      </c>
      <c r="R327" s="14">
        <f>'MKT DATA'!AB385</f>
        <v>0</v>
      </c>
    </row>
    <row r="328" spans="5:18" x14ac:dyDescent="0.25">
      <c r="E328" s="44" t="str">
        <f>'MKT DATA'!B386</f>
        <v>syn BTCG7/BTCZ6/BTCV6/BTCX6/BTCF7/BTCU6</v>
      </c>
      <c r="F328" s="14">
        <f>'MKT DATA'!J386</f>
        <v>0</v>
      </c>
      <c r="G328" s="9">
        <f>'MKT DATA'!K386</f>
        <v>0</v>
      </c>
      <c r="H328" s="9">
        <f>'MKT DATA'!L386</f>
        <v>0</v>
      </c>
      <c r="I328" s="14">
        <f>'MKT DATA'!M386</f>
        <v>0</v>
      </c>
      <c r="J328" s="44" t="str">
        <f t="shared" si="12"/>
        <v>syn BTCG7/BTCZ6/BTCV6/BTCX6/BTCF7/BTCU6</v>
      </c>
      <c r="K328" s="9">
        <f>'MKT DATA'!O386</f>
        <v>0</v>
      </c>
      <c r="L328" s="9">
        <f>'MKT DATA'!P386</f>
        <v>0</v>
      </c>
      <c r="M328" s="9">
        <f>'MKT DATA'!Q386</f>
        <v>0</v>
      </c>
      <c r="N328" s="9">
        <f>'MKT DATA'!R386</f>
        <v>0</v>
      </c>
      <c r="O328" s="9">
        <f>'MKT DATA'!S386</f>
        <v>0</v>
      </c>
      <c r="P328" s="9">
        <f>'MKT DATA'!T386</f>
        <v>0</v>
      </c>
      <c r="Q328" s="44" t="str">
        <f t="shared" si="13"/>
        <v>syn BTCG7/BTCZ6/BTCV6/BTCX6/BTCF7/BTCU6</v>
      </c>
      <c r="R328" s="14">
        <f>'MKT DATA'!AB386</f>
        <v>0</v>
      </c>
    </row>
    <row r="329" spans="5:18" x14ac:dyDescent="0.25">
      <c r="E329" s="44" t="str">
        <f>'MKT DATA'!B387</f>
        <v>syn BTCG7/BTCZ6/BTCV6/BTCF7/BTCX6/BTCU6</v>
      </c>
      <c r="F329" s="14">
        <f>'MKT DATA'!J387</f>
        <v>0</v>
      </c>
      <c r="G329" s="9">
        <f>'MKT DATA'!K387</f>
        <v>0</v>
      </c>
      <c r="H329" s="9">
        <f>'MKT DATA'!L387</f>
        <v>0</v>
      </c>
      <c r="I329" s="14">
        <f>'MKT DATA'!M387</f>
        <v>0</v>
      </c>
      <c r="J329" s="44" t="str">
        <f t="shared" si="12"/>
        <v>syn BTCG7/BTCZ6/BTCV6/BTCF7/BTCX6/BTCU6</v>
      </c>
      <c r="K329" s="9">
        <f>'MKT DATA'!O387</f>
        <v>0</v>
      </c>
      <c r="L329" s="9">
        <f>'MKT DATA'!P387</f>
        <v>0</v>
      </c>
      <c r="M329" s="9">
        <f>'MKT DATA'!Q387</f>
        <v>0</v>
      </c>
      <c r="N329" s="9">
        <f>'MKT DATA'!R387</f>
        <v>0</v>
      </c>
      <c r="O329" s="9">
        <f>'MKT DATA'!S387</f>
        <v>0</v>
      </c>
      <c r="P329" s="9">
        <f>'MKT DATA'!T387</f>
        <v>0</v>
      </c>
      <c r="Q329" s="44" t="str">
        <f t="shared" si="13"/>
        <v>syn BTCG7/BTCZ6/BTCV6/BTCF7/BTCX6/BTCU6</v>
      </c>
      <c r="R329" s="14">
        <f>'MKT DATA'!AB387</f>
        <v>0</v>
      </c>
    </row>
    <row r="330" spans="5:18" x14ac:dyDescent="0.25">
      <c r="E330" s="44" t="str">
        <f>'MKT DATA'!B388</f>
        <v>syn BTCG7/BTCZ6/BTCX6/BTCV6/BTCF7/BTCU6</v>
      </c>
      <c r="F330" s="14">
        <f>'MKT DATA'!J388</f>
        <v>0</v>
      </c>
      <c r="G330" s="9">
        <f>'MKT DATA'!K388</f>
        <v>0</v>
      </c>
      <c r="H330" s="9">
        <f>'MKT DATA'!L388</f>
        <v>0</v>
      </c>
      <c r="I330" s="14">
        <f>'MKT DATA'!M388</f>
        <v>0</v>
      </c>
      <c r="J330" s="44" t="str">
        <f t="shared" si="12"/>
        <v>syn BTCG7/BTCZ6/BTCX6/BTCV6/BTCF7/BTCU6</v>
      </c>
      <c r="K330" s="9">
        <f>'MKT DATA'!O388</f>
        <v>0</v>
      </c>
      <c r="L330" s="9">
        <f>'MKT DATA'!P388</f>
        <v>0</v>
      </c>
      <c r="M330" s="9">
        <f>'MKT DATA'!Q388</f>
        <v>0</v>
      </c>
      <c r="N330" s="9">
        <f>'MKT DATA'!R388</f>
        <v>0</v>
      </c>
      <c r="O330" s="9">
        <f>'MKT DATA'!S388</f>
        <v>0</v>
      </c>
      <c r="P330" s="9">
        <f>'MKT DATA'!T388</f>
        <v>0</v>
      </c>
      <c r="Q330" s="44" t="str">
        <f t="shared" si="13"/>
        <v>syn BTCG7/BTCZ6/BTCX6/BTCV6/BTCF7/BTCU6</v>
      </c>
      <c r="R330" s="14">
        <f>'MKT DATA'!AB388</f>
        <v>0</v>
      </c>
    </row>
    <row r="331" spans="5:18" x14ac:dyDescent="0.25">
      <c r="E331" s="44" t="str">
        <f>'MKT DATA'!B389</f>
        <v>syn BTCG7/BTCZ6/BTCX6/BTCF7/BTCV6/BTCU6</v>
      </c>
      <c r="F331" s="14">
        <f>'MKT DATA'!J389</f>
        <v>0</v>
      </c>
      <c r="G331" s="9">
        <f>'MKT DATA'!K389</f>
        <v>0</v>
      </c>
      <c r="H331" s="9">
        <f>'MKT DATA'!L389</f>
        <v>0</v>
      </c>
      <c r="I331" s="14">
        <f>'MKT DATA'!M389</f>
        <v>0</v>
      </c>
      <c r="J331" s="44" t="str">
        <f t="shared" si="12"/>
        <v>syn BTCG7/BTCZ6/BTCX6/BTCF7/BTCV6/BTCU6</v>
      </c>
      <c r="K331" s="9">
        <f>'MKT DATA'!O389</f>
        <v>0</v>
      </c>
      <c r="L331" s="9">
        <f>'MKT DATA'!P389</f>
        <v>0</v>
      </c>
      <c r="M331" s="9">
        <f>'MKT DATA'!Q389</f>
        <v>0</v>
      </c>
      <c r="N331" s="9">
        <f>'MKT DATA'!R389</f>
        <v>0</v>
      </c>
      <c r="O331" s="9">
        <f>'MKT DATA'!S389</f>
        <v>0</v>
      </c>
      <c r="P331" s="9">
        <f>'MKT DATA'!T389</f>
        <v>0</v>
      </c>
      <c r="Q331" s="44" t="str">
        <f t="shared" si="13"/>
        <v>syn BTCG7/BTCZ6/BTCX6/BTCF7/BTCV6/BTCU6</v>
      </c>
      <c r="R331" s="14">
        <f>'MKT DATA'!AB389</f>
        <v>0</v>
      </c>
    </row>
    <row r="332" spans="5:18" x14ac:dyDescent="0.25">
      <c r="E332" s="44" t="str">
        <f>'MKT DATA'!B390</f>
        <v>syn BTCG7/BTCZ6/BTCF7/BTCV6/BTCX6/BTCU6</v>
      </c>
      <c r="F332" s="14">
        <f>'MKT DATA'!J390</f>
        <v>0</v>
      </c>
      <c r="G332" s="9">
        <f>'MKT DATA'!K390</f>
        <v>0</v>
      </c>
      <c r="H332" s="9">
        <f>'MKT DATA'!L390</f>
        <v>0</v>
      </c>
      <c r="I332" s="14">
        <f>'MKT DATA'!M390</f>
        <v>0</v>
      </c>
      <c r="J332" s="44" t="str">
        <f t="shared" si="12"/>
        <v>syn BTCG7/BTCZ6/BTCF7/BTCV6/BTCX6/BTCU6</v>
      </c>
      <c r="K332" s="9">
        <f>'MKT DATA'!O390</f>
        <v>0</v>
      </c>
      <c r="L332" s="9">
        <f>'MKT DATA'!P390</f>
        <v>0</v>
      </c>
      <c r="M332" s="9">
        <f>'MKT DATA'!Q390</f>
        <v>0</v>
      </c>
      <c r="N332" s="9">
        <f>'MKT DATA'!R390</f>
        <v>0</v>
      </c>
      <c r="O332" s="9">
        <f>'MKT DATA'!S390</f>
        <v>0</v>
      </c>
      <c r="P332" s="9">
        <f>'MKT DATA'!T390</f>
        <v>0</v>
      </c>
      <c r="Q332" s="44" t="str">
        <f t="shared" si="13"/>
        <v>syn BTCG7/BTCZ6/BTCF7/BTCV6/BTCX6/BTCU6</v>
      </c>
      <c r="R332" s="14">
        <f>'MKT DATA'!AB390</f>
        <v>0</v>
      </c>
    </row>
    <row r="333" spans="5:18" x14ac:dyDescent="0.25">
      <c r="E333" s="44" t="str">
        <f>'MKT DATA'!B391</f>
        <v>syn BTCG7/BTCZ6/BTCF7/BTCX6/BTCV6/BTCU6</v>
      </c>
      <c r="F333" s="14">
        <f>'MKT DATA'!J391</f>
        <v>0</v>
      </c>
      <c r="G333" s="9">
        <f>'MKT DATA'!K391</f>
        <v>0</v>
      </c>
      <c r="H333" s="9">
        <f>'MKT DATA'!L391</f>
        <v>0</v>
      </c>
      <c r="I333" s="14">
        <f>'MKT DATA'!M391</f>
        <v>0</v>
      </c>
      <c r="J333" s="44" t="str">
        <f t="shared" si="12"/>
        <v>syn BTCG7/BTCZ6/BTCF7/BTCX6/BTCV6/BTCU6</v>
      </c>
      <c r="K333" s="9">
        <f>'MKT DATA'!O391</f>
        <v>0</v>
      </c>
      <c r="L333" s="9">
        <f>'MKT DATA'!P391</f>
        <v>0</v>
      </c>
      <c r="M333" s="9">
        <f>'MKT DATA'!Q391</f>
        <v>0</v>
      </c>
      <c r="N333" s="9">
        <f>'MKT DATA'!R391</f>
        <v>0</v>
      </c>
      <c r="O333" s="9">
        <f>'MKT DATA'!S391</f>
        <v>0</v>
      </c>
      <c r="P333" s="9">
        <f>'MKT DATA'!T391</f>
        <v>0</v>
      </c>
      <c r="Q333" s="44" t="str">
        <f t="shared" si="13"/>
        <v>syn BTCG7/BTCZ6/BTCF7/BTCX6/BTCV6/BTCU6</v>
      </c>
      <c r="R333" s="14">
        <f>'MKT DATA'!AB391</f>
        <v>0</v>
      </c>
    </row>
    <row r="334" spans="5:18" x14ac:dyDescent="0.25">
      <c r="E334" s="44" t="str">
        <f>'MKT DATA'!B392</f>
        <v>syn BTCG7/BTCF7/BTCV6/BTCX6/BTCZ6/BTCU6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BTCG7/BTCF7/BTCV6/BTCX6/BTCZ6/BTCU6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BTCG7/BTCF7/BTCV6/BTCX6/BTCZ6/BTCU6</v>
      </c>
      <c r="R334" s="14">
        <f>'MKT DATA'!AB392</f>
        <v>0</v>
      </c>
    </row>
    <row r="335" spans="5:18" x14ac:dyDescent="0.25">
      <c r="E335" s="44" t="str">
        <f>'MKT DATA'!B393</f>
        <v>syn BTCG7/BTCF7/BTCV6/BTCZ6/BTCX6/BTCU6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BTCG7/BTCF7/BTCV6/BTCZ6/BTCX6/BTCU6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BTCG7/BTCF7/BTCV6/BTCZ6/BTCX6/BTCU6</v>
      </c>
      <c r="R335" s="14">
        <f>'MKT DATA'!AB393</f>
        <v>0</v>
      </c>
    </row>
    <row r="336" spans="5:18" x14ac:dyDescent="0.25">
      <c r="E336" s="44" t="str">
        <f>'MKT DATA'!B394</f>
        <v>syn BTCG7/BTCF7/BTCX6/BTCV6/BTCZ6/BTCU6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BTCG7/BTCF7/BTCX6/BTCV6/BTCZ6/BTCU6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BTCG7/BTCF7/BTCX6/BTCV6/BTCZ6/BTCU6</v>
      </c>
      <c r="R336" s="14">
        <f>'MKT DATA'!AB394</f>
        <v>0</v>
      </c>
    </row>
    <row r="337" spans="5:18" x14ac:dyDescent="0.25">
      <c r="E337" s="44" t="str">
        <f>'MKT DATA'!B395</f>
        <v>syn BTCG7/BTCF7/BTCX6/BTCZ6/BTCV6/BTCU6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BTCG7/BTCF7/BTCX6/BTCZ6/BTCV6/BTCU6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BTCG7/BTCF7/BTCX6/BTCZ6/BTCV6/BTCU6</v>
      </c>
      <c r="R337" s="14">
        <f>'MKT DATA'!AB395</f>
        <v>0</v>
      </c>
    </row>
    <row r="338" spans="5:18" x14ac:dyDescent="0.25">
      <c r="E338" s="44" t="str">
        <f>'MKT DATA'!B396</f>
        <v>syn BTCG7/BTCF7/BTCZ6/BTCV6/BTCX6/BTCU6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BTCG7/BTCF7/BTCZ6/BTCV6/BTCX6/BTCU6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BTCG7/BTCF7/BTCZ6/BTCV6/BTCX6/BTCU6</v>
      </c>
      <c r="R338" s="14">
        <f>'MKT DATA'!AB396</f>
        <v>0</v>
      </c>
    </row>
    <row r="339" spans="5:18" x14ac:dyDescent="0.25">
      <c r="E339" s="44" t="str">
        <f>'MKT DATA'!B397</f>
        <v>syn BTCG7/BTCF7/BTCZ6/BTCX6/BTCV6/BTCU6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BTCG7/BTCF7/BTCZ6/BTCX6/BTCV6/BTCU6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BTCG7/BTCF7/BTCZ6/BTCX6/BTCV6/BTCU6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79280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79277.495999999999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80190</v>
      </c>
      <c r="I2" s="57"/>
      <c r="J2" s="59"/>
      <c r="K2" s="58"/>
      <c r="L2" s="58"/>
      <c r="M2" s="58">
        <f>'MKT DATA'!Q5-M1</f>
        <v>0</v>
      </c>
      <c r="N2" s="58">
        <f>'MKT DATA'!R5-N1</f>
        <v>-80192.504000000001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79280</v>
      </c>
      <c r="I4" s="58">
        <f>H4-(G14-H14)</f>
        <v>80190</v>
      </c>
      <c r="J4" s="44" t="s">
        <v>5</v>
      </c>
      <c r="L4" s="14"/>
      <c r="M4" s="51"/>
      <c r="N4" s="49">
        <f>N1+M1</f>
        <v>79277.495999999999</v>
      </c>
      <c r="O4" s="58">
        <f>(N14+M14)-N4</f>
        <v>-80192.504000000001</v>
      </c>
    </row>
    <row r="5" spans="1:24" x14ac:dyDescent="0.25">
      <c r="E5" s="44" t="s">
        <v>6</v>
      </c>
      <c r="G5" s="9">
        <f>G9-G11</f>
        <v>79280</v>
      </c>
      <c r="H5" s="9">
        <f>H9-H11</f>
        <v>85760</v>
      </c>
      <c r="J5" s="44" t="s">
        <v>6</v>
      </c>
      <c r="M5" s="9">
        <f>M9-M11</f>
        <v>79277.495999999999</v>
      </c>
      <c r="N5" s="9">
        <f>N9-N11</f>
        <v>85812.584000000003</v>
      </c>
    </row>
    <row r="6" spans="1:24" x14ac:dyDescent="0.25">
      <c r="E6" s="44" t="s">
        <v>7</v>
      </c>
      <c r="G6" s="9">
        <f>G9-G10</f>
        <v>78584.371165644174</v>
      </c>
      <c r="H6" s="9">
        <f>H9-H10</f>
        <v>84988.113496932521</v>
      </c>
      <c r="J6" s="44" t="s">
        <v>7</v>
      </c>
      <c r="M6" s="9">
        <f>M9-M10</f>
        <v>78582.120638036809</v>
      </c>
      <c r="N6" s="9">
        <f>N9-N10</f>
        <v>772.13997546012274</v>
      </c>
    </row>
    <row r="7" spans="1:24" x14ac:dyDescent="0.25">
      <c r="E7" s="44" t="s">
        <v>8</v>
      </c>
      <c r="G7" s="9">
        <f>G10-G11</f>
        <v>695.62883435582819</v>
      </c>
      <c r="H7" s="9">
        <f>H10-H11</f>
        <v>771.88650306748468</v>
      </c>
      <c r="J7" s="44" t="s">
        <v>8</v>
      </c>
      <c r="M7" s="9">
        <f>M10-M11</f>
        <v>695.37536196319013</v>
      </c>
      <c r="N7" s="9">
        <f>N10-N11</f>
        <v>85040.444024539873</v>
      </c>
    </row>
    <row r="9" spans="1:24" x14ac:dyDescent="0.25">
      <c r="E9" s="44" t="s">
        <v>1</v>
      </c>
      <c r="G9" s="9">
        <f>MAX(G$14:G$339)</f>
        <v>79280</v>
      </c>
      <c r="H9" s="9">
        <f>MAX(H$14:H$339)</f>
        <v>85760</v>
      </c>
      <c r="J9" s="44" t="str">
        <f>E9</f>
        <v>max</v>
      </c>
      <c r="L9" s="9">
        <f>MAX(L$14:L$339)</f>
        <v>79280</v>
      </c>
      <c r="M9" s="9">
        <f>MAX(M$14:M$339)</f>
        <v>79277.495999999999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695.62883435582819</v>
      </c>
      <c r="H10" s="9">
        <f>AVERAGE(H$14:H$339)</f>
        <v>771.88650306748468</v>
      </c>
      <c r="J10" s="44" t="str">
        <f t="shared" ref="J10" si="0">E10</f>
        <v>avg</v>
      </c>
      <c r="L10" s="9">
        <f>AVERAGE(L$14:L$339)</f>
        <v>695.62883435582819</v>
      </c>
      <c r="M10" s="9">
        <f>AVERAGE(M$14:M$339)</f>
        <v>695.37536196319013</v>
      </c>
      <c r="N10" s="9">
        <f>AVERAGE(N$14:N$339)</f>
        <v>-772.13997546012274</v>
      </c>
      <c r="O10" s="9">
        <f>AVERAGE(O$14:O$339)</f>
        <v>-771.88650306748468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-85812.584000000003</v>
      </c>
      <c r="O11" s="9">
        <f>MIN(O$14:O$339)</f>
        <v>-85760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BTCV6</v>
      </c>
      <c r="F14" s="14">
        <f>'MKT DATA'!J32</f>
        <v>5</v>
      </c>
      <c r="G14" s="9">
        <f>'MKT DATA'!K32</f>
        <v>79280</v>
      </c>
      <c r="H14" s="9">
        <f>'MKT DATA'!L32</f>
        <v>80190</v>
      </c>
      <c r="I14" s="14">
        <f>'MKT DATA'!M32</f>
        <v>5</v>
      </c>
      <c r="J14" s="44" t="str">
        <f>E14</f>
        <v>BTCV6</v>
      </c>
      <c r="K14" s="9">
        <f>'MKT DATA'!O32</f>
        <v>2.504</v>
      </c>
      <c r="L14" s="9">
        <f>'MKT DATA'!P32</f>
        <v>79280</v>
      </c>
      <c r="M14" s="9">
        <f>'MKT DATA'!Q32</f>
        <v>79277.495999999999</v>
      </c>
      <c r="N14" s="9">
        <f>'MKT DATA'!R32</f>
        <v>-80192.504000000001</v>
      </c>
      <c r="O14" s="9">
        <f>'MKT DATA'!S32</f>
        <v>-80190</v>
      </c>
      <c r="P14" s="9">
        <f>'MKT DATA'!T32</f>
        <v>2.504</v>
      </c>
      <c r="Q14" s="44" t="str">
        <f>J14</f>
        <v>BTCV6</v>
      </c>
      <c r="R14" s="14">
        <f>'MKT DATA'!AB32</f>
        <v>0</v>
      </c>
    </row>
    <row r="15" spans="1:24" x14ac:dyDescent="0.25">
      <c r="E15" s="44" t="str">
        <f>'MKT DATA'!B398</f>
        <v>syn BTCU6/BTCV6</v>
      </c>
      <c r="F15" s="14">
        <f>'MKT DATA'!J398</f>
        <v>0</v>
      </c>
      <c r="G15" s="9">
        <f>'MKT DATA'!K398</f>
        <v>0</v>
      </c>
      <c r="H15" s="9">
        <f>'MKT DATA'!L398</f>
        <v>0</v>
      </c>
      <c r="I15" s="14">
        <f>'MKT DATA'!M398</f>
        <v>0</v>
      </c>
      <c r="J15" s="44" t="str">
        <f t="shared" ref="J15:J73" si="2">E15</f>
        <v>syn BTCU6/BTCV6</v>
      </c>
      <c r="K15" s="9">
        <f>'MKT DATA'!O398</f>
        <v>0</v>
      </c>
      <c r="L15" s="9">
        <f>'MKT DATA'!P398</f>
        <v>0</v>
      </c>
      <c r="M15" s="9">
        <f>'MKT DATA'!Q398</f>
        <v>0</v>
      </c>
      <c r="N15" s="9">
        <f>'MKT DATA'!R398</f>
        <v>0</v>
      </c>
      <c r="O15" s="9">
        <f>'MKT DATA'!S398</f>
        <v>0</v>
      </c>
      <c r="P15" s="9">
        <f>'MKT DATA'!T398</f>
        <v>0</v>
      </c>
      <c r="Q15" s="44" t="str">
        <f t="shared" ref="Q15:Q73" si="3">J15</f>
        <v>syn BTCU6/BTCV6</v>
      </c>
      <c r="R15" s="14">
        <f>'MKT DATA'!AB398</f>
        <v>0</v>
      </c>
    </row>
    <row r="16" spans="1:24" x14ac:dyDescent="0.25">
      <c r="E16" s="44" t="str">
        <f>'MKT DATA'!B399</f>
        <v>syn BTCX6/BTCV6</v>
      </c>
      <c r="F16" s="14">
        <f>'MKT DATA'!J399</f>
        <v>0</v>
      </c>
      <c r="G16" s="9">
        <f>'MKT DATA'!K399</f>
        <v>0</v>
      </c>
      <c r="H16" s="9">
        <f>'MKT DATA'!L399</f>
        <v>0</v>
      </c>
      <c r="I16" s="14">
        <f>'MKT DATA'!M399</f>
        <v>0</v>
      </c>
      <c r="J16" s="44" t="str">
        <f t="shared" si="2"/>
        <v>syn BTCX6/BTCV6</v>
      </c>
      <c r="K16" s="9">
        <f>'MKT DATA'!O399</f>
        <v>0</v>
      </c>
      <c r="L16" s="9">
        <f>'MKT DATA'!P399</f>
        <v>0</v>
      </c>
      <c r="M16" s="9">
        <f>'MKT DATA'!Q399</f>
        <v>0</v>
      </c>
      <c r="N16" s="9">
        <f>'MKT DATA'!R399</f>
        <v>0</v>
      </c>
      <c r="O16" s="9">
        <f>'MKT DATA'!S399</f>
        <v>0</v>
      </c>
      <c r="P16" s="9">
        <f>'MKT DATA'!T399</f>
        <v>0</v>
      </c>
      <c r="Q16" s="44" t="str">
        <f t="shared" si="3"/>
        <v>syn BTCX6/BTCV6</v>
      </c>
      <c r="R16" s="14">
        <f>'MKT DATA'!AB399</f>
        <v>0</v>
      </c>
    </row>
    <row r="17" spans="5:18" x14ac:dyDescent="0.25">
      <c r="E17" s="44" t="str">
        <f>'MKT DATA'!B400</f>
        <v>syn BTCZ6/BTCV6</v>
      </c>
      <c r="F17" s="14">
        <f>'MKT DATA'!J400</f>
        <v>1</v>
      </c>
      <c r="G17" s="9">
        <f>'MKT DATA'!K400</f>
        <v>73785</v>
      </c>
      <c r="H17" s="9">
        <f>'MKT DATA'!L400</f>
        <v>85685</v>
      </c>
      <c r="I17" s="14">
        <f>'MKT DATA'!M400</f>
        <v>1</v>
      </c>
      <c r="J17" s="44" t="str">
        <f t="shared" si="2"/>
        <v>syn BTCZ6/BTCV6</v>
      </c>
      <c r="K17" s="9">
        <f>'MKT DATA'!O400</f>
        <v>27.544</v>
      </c>
      <c r="L17" s="9">
        <f>'MKT DATA'!P400</f>
        <v>73785</v>
      </c>
      <c r="M17" s="9">
        <f>'MKT DATA'!Q400</f>
        <v>73757.456000000006</v>
      </c>
      <c r="N17" s="9">
        <f>'MKT DATA'!R400</f>
        <v>-85712.543999999994</v>
      </c>
      <c r="O17" s="9">
        <f>'MKT DATA'!S400</f>
        <v>-85685</v>
      </c>
      <c r="P17" s="9">
        <f>'MKT DATA'!T400</f>
        <v>27.544</v>
      </c>
      <c r="Q17" s="44" t="str">
        <f t="shared" si="3"/>
        <v>syn BTCZ6/BTCV6</v>
      </c>
      <c r="R17" s="14">
        <f>'MKT DATA'!AB400</f>
        <v>0</v>
      </c>
    </row>
    <row r="18" spans="5:18" x14ac:dyDescent="0.25">
      <c r="E18" s="44" t="str">
        <f>'MKT DATA'!B401</f>
        <v>syn BTCF7/BTCV6</v>
      </c>
      <c r="F18" s="14">
        <f>'MKT DATA'!J401</f>
        <v>0</v>
      </c>
      <c r="G18" s="9">
        <f>'MKT DATA'!K401</f>
        <v>0</v>
      </c>
      <c r="H18" s="9">
        <f>'MKT DATA'!L401</f>
        <v>0</v>
      </c>
      <c r="I18" s="14">
        <f>'MKT DATA'!M401</f>
        <v>0</v>
      </c>
      <c r="J18" s="44" t="str">
        <f t="shared" si="2"/>
        <v>syn BTCF7/BTCV6</v>
      </c>
      <c r="K18" s="9">
        <f>'MKT DATA'!O401</f>
        <v>0</v>
      </c>
      <c r="L18" s="9">
        <f>'MKT DATA'!P401</f>
        <v>0</v>
      </c>
      <c r="M18" s="9">
        <f>'MKT DATA'!Q401</f>
        <v>0</v>
      </c>
      <c r="N18" s="9">
        <f>'MKT DATA'!R401</f>
        <v>0</v>
      </c>
      <c r="O18" s="9">
        <f>'MKT DATA'!S401</f>
        <v>0</v>
      </c>
      <c r="P18" s="9">
        <f>'MKT DATA'!T401</f>
        <v>0</v>
      </c>
      <c r="Q18" s="44" t="str">
        <f t="shared" si="3"/>
        <v>syn BTCF7/BTCV6</v>
      </c>
      <c r="R18" s="14">
        <f>'MKT DATA'!AB401</f>
        <v>0</v>
      </c>
    </row>
    <row r="19" spans="5:18" x14ac:dyDescent="0.25">
      <c r="E19" s="44" t="str">
        <f>'MKT DATA'!B402</f>
        <v>syn BTCG7/BTCV6</v>
      </c>
      <c r="F19" s="14">
        <f>'MKT DATA'!J402</f>
        <v>0</v>
      </c>
      <c r="G19" s="9">
        <f>'MKT DATA'!K402</f>
        <v>0</v>
      </c>
      <c r="H19" s="9">
        <f>'MKT DATA'!L402</f>
        <v>0</v>
      </c>
      <c r="I19" s="14">
        <f>'MKT DATA'!M402</f>
        <v>0</v>
      </c>
      <c r="J19" s="44" t="str">
        <f t="shared" si="2"/>
        <v>syn BTCG7/BTCV6</v>
      </c>
      <c r="K19" s="9">
        <f>'MKT DATA'!O402</f>
        <v>0</v>
      </c>
      <c r="L19" s="9">
        <f>'MKT DATA'!P402</f>
        <v>0</v>
      </c>
      <c r="M19" s="9">
        <f>'MKT DATA'!Q402</f>
        <v>0</v>
      </c>
      <c r="N19" s="9">
        <f>'MKT DATA'!R402</f>
        <v>0</v>
      </c>
      <c r="O19" s="9">
        <f>'MKT DATA'!S402</f>
        <v>0</v>
      </c>
      <c r="P19" s="9">
        <f>'MKT DATA'!T402</f>
        <v>0</v>
      </c>
      <c r="Q19" s="44" t="str">
        <f t="shared" si="3"/>
        <v>syn BTCG7/BTCV6</v>
      </c>
      <c r="R19" s="14">
        <f>'MKT DATA'!AB402</f>
        <v>0</v>
      </c>
    </row>
    <row r="20" spans="5:18" x14ac:dyDescent="0.25">
      <c r="E20" s="44" t="str">
        <f>'MKT DATA'!B403</f>
        <v>syn BTCU6/BTCX6/BTCV6</v>
      </c>
      <c r="F20" s="14">
        <f>'MKT DATA'!J403</f>
        <v>0</v>
      </c>
      <c r="G20" s="9">
        <f>'MKT DATA'!K403</f>
        <v>0</v>
      </c>
      <c r="H20" s="9">
        <f>'MKT DATA'!L403</f>
        <v>0</v>
      </c>
      <c r="I20" s="14">
        <f>'MKT DATA'!M403</f>
        <v>0</v>
      </c>
      <c r="J20" s="44" t="str">
        <f t="shared" si="2"/>
        <v>syn BTCU6/BTCX6/BTCV6</v>
      </c>
      <c r="K20" s="9">
        <f>'MKT DATA'!O403</f>
        <v>0</v>
      </c>
      <c r="L20" s="9">
        <f>'MKT DATA'!P403</f>
        <v>0</v>
      </c>
      <c r="M20" s="9">
        <f>'MKT DATA'!Q403</f>
        <v>0</v>
      </c>
      <c r="N20" s="9">
        <f>'MKT DATA'!R403</f>
        <v>0</v>
      </c>
      <c r="O20" s="9">
        <f>'MKT DATA'!S403</f>
        <v>0</v>
      </c>
      <c r="P20" s="9">
        <f>'MKT DATA'!T403</f>
        <v>0</v>
      </c>
      <c r="Q20" s="44" t="str">
        <f t="shared" si="3"/>
        <v>syn BTCU6/BTCX6/BTCV6</v>
      </c>
      <c r="R20" s="14">
        <f>'MKT DATA'!AB403</f>
        <v>0</v>
      </c>
    </row>
    <row r="21" spans="5:18" x14ac:dyDescent="0.25">
      <c r="E21" s="44" t="str">
        <f>'MKT DATA'!B404</f>
        <v>syn BTCU6/BTCZ6/BTCV6</v>
      </c>
      <c r="F21" s="14">
        <f>'MKT DATA'!J404</f>
        <v>1</v>
      </c>
      <c r="G21" s="9">
        <f>'MKT DATA'!K404</f>
        <v>73710</v>
      </c>
      <c r="H21" s="9">
        <f>'MKT DATA'!L404</f>
        <v>85760</v>
      </c>
      <c r="I21" s="14">
        <f>'MKT DATA'!M404</f>
        <v>1</v>
      </c>
      <c r="J21" s="44" t="str">
        <f t="shared" si="2"/>
        <v>syn BTCU6/BTCZ6/BTCV6</v>
      </c>
      <c r="K21" s="9">
        <f>'MKT DATA'!O404</f>
        <v>52.584000000000003</v>
      </c>
      <c r="L21" s="9">
        <f>'MKT DATA'!P404</f>
        <v>73710</v>
      </c>
      <c r="M21" s="9">
        <f>'MKT DATA'!Q404</f>
        <v>73657.415999999997</v>
      </c>
      <c r="N21" s="9">
        <f>'MKT DATA'!R404</f>
        <v>-85812.584000000003</v>
      </c>
      <c r="O21" s="9">
        <f>'MKT DATA'!S404</f>
        <v>-85760</v>
      </c>
      <c r="P21" s="9">
        <f>'MKT DATA'!T404</f>
        <v>52.584000000000003</v>
      </c>
      <c r="Q21" s="44" t="str">
        <f t="shared" si="3"/>
        <v>syn BTCU6/BTCZ6/BTCV6</v>
      </c>
      <c r="R21" s="14">
        <f>'MKT DATA'!AB404</f>
        <v>0</v>
      </c>
    </row>
    <row r="22" spans="5:18" x14ac:dyDescent="0.25">
      <c r="E22" s="44" t="str">
        <f>'MKT DATA'!B405</f>
        <v>syn BTCU6/BTCF7/BTCV6</v>
      </c>
      <c r="F22" s="14">
        <f>'MKT DATA'!J405</f>
        <v>0</v>
      </c>
      <c r="G22" s="9">
        <f>'MKT DATA'!K405</f>
        <v>0</v>
      </c>
      <c r="H22" s="9">
        <f>'MKT DATA'!L405</f>
        <v>0</v>
      </c>
      <c r="I22" s="14">
        <f>'MKT DATA'!M405</f>
        <v>0</v>
      </c>
      <c r="J22" s="44" t="str">
        <f t="shared" si="2"/>
        <v>syn BTCU6/BTCF7/BTCV6</v>
      </c>
      <c r="K22" s="9">
        <f>'MKT DATA'!O405</f>
        <v>0</v>
      </c>
      <c r="L22" s="9">
        <f>'MKT DATA'!P405</f>
        <v>0</v>
      </c>
      <c r="M22" s="9">
        <f>'MKT DATA'!Q405</f>
        <v>0</v>
      </c>
      <c r="N22" s="9">
        <f>'MKT DATA'!R405</f>
        <v>0</v>
      </c>
      <c r="O22" s="9">
        <f>'MKT DATA'!S405</f>
        <v>0</v>
      </c>
      <c r="P22" s="9">
        <f>'MKT DATA'!T405</f>
        <v>0</v>
      </c>
      <c r="Q22" s="44" t="str">
        <f t="shared" si="3"/>
        <v>syn BTCU6/BTCF7/BTCV6</v>
      </c>
      <c r="R22" s="14">
        <f>'MKT DATA'!AB405</f>
        <v>0</v>
      </c>
    </row>
    <row r="23" spans="5:18" x14ac:dyDescent="0.25">
      <c r="E23" s="44" t="str">
        <f>'MKT DATA'!B406</f>
        <v>syn BTCU6/BTCG7/BTCV6</v>
      </c>
      <c r="F23" s="14">
        <f>'MKT DATA'!J406</f>
        <v>0</v>
      </c>
      <c r="G23" s="9">
        <f>'MKT DATA'!K406</f>
        <v>0</v>
      </c>
      <c r="H23" s="9">
        <f>'MKT DATA'!L406</f>
        <v>0</v>
      </c>
      <c r="I23" s="14">
        <f>'MKT DATA'!M406</f>
        <v>0</v>
      </c>
      <c r="J23" s="44" t="str">
        <f t="shared" si="2"/>
        <v>syn BTCU6/BTCG7/BTCV6</v>
      </c>
      <c r="K23" s="9">
        <f>'MKT DATA'!O406</f>
        <v>0</v>
      </c>
      <c r="L23" s="9">
        <f>'MKT DATA'!P406</f>
        <v>0</v>
      </c>
      <c r="M23" s="9">
        <f>'MKT DATA'!Q406</f>
        <v>0</v>
      </c>
      <c r="N23" s="9">
        <f>'MKT DATA'!R406</f>
        <v>0</v>
      </c>
      <c r="O23" s="9">
        <f>'MKT DATA'!S406</f>
        <v>0</v>
      </c>
      <c r="P23" s="9">
        <f>'MKT DATA'!T406</f>
        <v>0</v>
      </c>
      <c r="Q23" s="44" t="str">
        <f t="shared" si="3"/>
        <v>syn BTCU6/BTCG7/BTCV6</v>
      </c>
      <c r="R23" s="14">
        <f>'MKT DATA'!AB406</f>
        <v>0</v>
      </c>
    </row>
    <row r="24" spans="5:18" x14ac:dyDescent="0.25">
      <c r="E24" s="44" t="str">
        <f>'MKT DATA'!B407</f>
        <v>syn BTCX6/BTCU6/BTCV6</v>
      </c>
      <c r="F24" s="14">
        <f>'MKT DATA'!J407</f>
        <v>0</v>
      </c>
      <c r="G24" s="9">
        <f>'MKT DATA'!K407</f>
        <v>0</v>
      </c>
      <c r="H24" s="9">
        <f>'MKT DATA'!L407</f>
        <v>0</v>
      </c>
      <c r="I24" s="14">
        <f>'MKT DATA'!M407</f>
        <v>0</v>
      </c>
      <c r="J24" s="44" t="str">
        <f t="shared" si="2"/>
        <v>syn BTCX6/BTCU6/BTCV6</v>
      </c>
      <c r="K24" s="9">
        <f>'MKT DATA'!O407</f>
        <v>0</v>
      </c>
      <c r="L24" s="9">
        <f>'MKT DATA'!P407</f>
        <v>0</v>
      </c>
      <c r="M24" s="9">
        <f>'MKT DATA'!Q407</f>
        <v>0</v>
      </c>
      <c r="N24" s="9">
        <f>'MKT DATA'!R407</f>
        <v>0</v>
      </c>
      <c r="O24" s="9">
        <f>'MKT DATA'!S407</f>
        <v>0</v>
      </c>
      <c r="P24" s="9">
        <f>'MKT DATA'!T407</f>
        <v>0</v>
      </c>
      <c r="Q24" s="44" t="str">
        <f t="shared" si="3"/>
        <v>syn BTCX6/BTCU6/BTCV6</v>
      </c>
      <c r="R24" s="14">
        <f>'MKT DATA'!AB407</f>
        <v>0</v>
      </c>
    </row>
    <row r="25" spans="5:18" x14ac:dyDescent="0.25">
      <c r="E25" s="44" t="str">
        <f>'MKT DATA'!B408</f>
        <v>syn BTCX6/BTCZ6/BTCV6</v>
      </c>
      <c r="F25" s="14">
        <f>'MKT DATA'!J408</f>
        <v>0</v>
      </c>
      <c r="G25" s="9">
        <f>'MKT DATA'!K408</f>
        <v>0</v>
      </c>
      <c r="H25" s="9">
        <f>'MKT DATA'!L408</f>
        <v>0</v>
      </c>
      <c r="I25" s="14">
        <f>'MKT DATA'!M408</f>
        <v>0</v>
      </c>
      <c r="J25" s="44" t="str">
        <f t="shared" si="2"/>
        <v>syn BTCX6/BTCZ6/BTCV6</v>
      </c>
      <c r="K25" s="9">
        <f>'MKT DATA'!O408</f>
        <v>0</v>
      </c>
      <c r="L25" s="9">
        <f>'MKT DATA'!P408</f>
        <v>0</v>
      </c>
      <c r="M25" s="9">
        <f>'MKT DATA'!Q408</f>
        <v>0</v>
      </c>
      <c r="N25" s="9">
        <f>'MKT DATA'!R408</f>
        <v>0</v>
      </c>
      <c r="O25" s="9">
        <f>'MKT DATA'!S408</f>
        <v>0</v>
      </c>
      <c r="P25" s="9">
        <f>'MKT DATA'!T408</f>
        <v>0</v>
      </c>
      <c r="Q25" s="44" t="str">
        <f t="shared" si="3"/>
        <v>syn BTCX6/BTCZ6/BTCV6</v>
      </c>
      <c r="R25" s="14">
        <f>'MKT DATA'!AB408</f>
        <v>0</v>
      </c>
    </row>
    <row r="26" spans="5:18" x14ac:dyDescent="0.25">
      <c r="E26" s="44" t="str">
        <f>'MKT DATA'!B409</f>
        <v>syn BTCX6/BTCF7/BTCV6</v>
      </c>
      <c r="F26" s="14">
        <f>'MKT DATA'!J409</f>
        <v>0</v>
      </c>
      <c r="G26" s="9">
        <f>'MKT DATA'!K409</f>
        <v>0</v>
      </c>
      <c r="H26" s="9">
        <f>'MKT DATA'!L409</f>
        <v>0</v>
      </c>
      <c r="I26" s="14">
        <f>'MKT DATA'!M409</f>
        <v>0</v>
      </c>
      <c r="J26" s="44" t="str">
        <f t="shared" si="2"/>
        <v>syn BTCX6/BTCF7/BTCV6</v>
      </c>
      <c r="K26" s="9">
        <f>'MKT DATA'!O409</f>
        <v>0</v>
      </c>
      <c r="L26" s="9">
        <f>'MKT DATA'!P409</f>
        <v>0</v>
      </c>
      <c r="M26" s="9">
        <f>'MKT DATA'!Q409</f>
        <v>0</v>
      </c>
      <c r="N26" s="9">
        <f>'MKT DATA'!R409</f>
        <v>0</v>
      </c>
      <c r="O26" s="9">
        <f>'MKT DATA'!S409</f>
        <v>0</v>
      </c>
      <c r="P26" s="9">
        <f>'MKT DATA'!T409</f>
        <v>0</v>
      </c>
      <c r="Q26" s="44" t="str">
        <f t="shared" si="3"/>
        <v>syn BTCX6/BTCF7/BTCV6</v>
      </c>
      <c r="R26" s="14">
        <f>'MKT DATA'!AB409</f>
        <v>0</v>
      </c>
    </row>
    <row r="27" spans="5:18" x14ac:dyDescent="0.25">
      <c r="E27" s="44" t="str">
        <f>'MKT DATA'!B410</f>
        <v>syn BTCX6/BTCG7/BTCV6</v>
      </c>
      <c r="F27" s="14">
        <f>'MKT DATA'!J410</f>
        <v>0</v>
      </c>
      <c r="G27" s="9">
        <f>'MKT DATA'!K410</f>
        <v>0</v>
      </c>
      <c r="H27" s="9">
        <f>'MKT DATA'!L410</f>
        <v>0</v>
      </c>
      <c r="I27" s="14">
        <f>'MKT DATA'!M410</f>
        <v>0</v>
      </c>
      <c r="J27" s="44" t="str">
        <f t="shared" si="2"/>
        <v>syn BTCX6/BTCG7/BTCV6</v>
      </c>
      <c r="K27" s="9">
        <f>'MKT DATA'!O410</f>
        <v>0</v>
      </c>
      <c r="L27" s="9">
        <f>'MKT DATA'!P410</f>
        <v>0</v>
      </c>
      <c r="M27" s="9">
        <f>'MKT DATA'!Q410</f>
        <v>0</v>
      </c>
      <c r="N27" s="9">
        <f>'MKT DATA'!R410</f>
        <v>0</v>
      </c>
      <c r="O27" s="9">
        <f>'MKT DATA'!S410</f>
        <v>0</v>
      </c>
      <c r="P27" s="9">
        <f>'MKT DATA'!T410</f>
        <v>0</v>
      </c>
      <c r="Q27" s="44" t="str">
        <f t="shared" si="3"/>
        <v>syn BTCX6/BTCG7/BTCV6</v>
      </c>
      <c r="R27" s="14">
        <f>'MKT DATA'!AB410</f>
        <v>0</v>
      </c>
    </row>
    <row r="28" spans="5:18" x14ac:dyDescent="0.25">
      <c r="E28" s="44" t="str">
        <f>'MKT DATA'!B411</f>
        <v>syn BTCZ6/BTCU6/BTCV6</v>
      </c>
      <c r="F28" s="14">
        <f>'MKT DATA'!J411</f>
        <v>0</v>
      </c>
      <c r="G28" s="9">
        <f>'MKT DATA'!K411</f>
        <v>0</v>
      </c>
      <c r="H28" s="9">
        <f>'MKT DATA'!L411</f>
        <v>0</v>
      </c>
      <c r="I28" s="14">
        <f>'MKT DATA'!M411</f>
        <v>0</v>
      </c>
      <c r="J28" s="44" t="str">
        <f t="shared" si="2"/>
        <v>syn BTCZ6/BTCU6/BTCV6</v>
      </c>
      <c r="K28" s="9">
        <f>'MKT DATA'!O411</f>
        <v>0</v>
      </c>
      <c r="L28" s="9">
        <f>'MKT DATA'!P411</f>
        <v>0</v>
      </c>
      <c r="M28" s="9">
        <f>'MKT DATA'!Q411</f>
        <v>0</v>
      </c>
      <c r="N28" s="9">
        <f>'MKT DATA'!R411</f>
        <v>0</v>
      </c>
      <c r="O28" s="9">
        <f>'MKT DATA'!S411</f>
        <v>0</v>
      </c>
      <c r="P28" s="9">
        <f>'MKT DATA'!T411</f>
        <v>0</v>
      </c>
      <c r="Q28" s="44" t="str">
        <f t="shared" si="3"/>
        <v>syn BTCZ6/BTCU6/BTCV6</v>
      </c>
      <c r="R28" s="14">
        <f>'MKT DATA'!AB411</f>
        <v>0</v>
      </c>
    </row>
    <row r="29" spans="5:18" x14ac:dyDescent="0.25">
      <c r="E29" s="44" t="str">
        <f>'MKT DATA'!B412</f>
        <v>syn BTCZ6/BTCX6/BTCV6</v>
      </c>
      <c r="F29" s="14">
        <f>'MKT DATA'!J412</f>
        <v>0</v>
      </c>
      <c r="G29" s="9">
        <f>'MKT DATA'!K412</f>
        <v>0</v>
      </c>
      <c r="H29" s="9">
        <f>'MKT DATA'!L412</f>
        <v>0</v>
      </c>
      <c r="I29" s="14">
        <f>'MKT DATA'!M412</f>
        <v>0</v>
      </c>
      <c r="J29" s="44" t="str">
        <f t="shared" si="2"/>
        <v>syn BTCZ6/BTCX6/BTCV6</v>
      </c>
      <c r="K29" s="9">
        <f>'MKT DATA'!O412</f>
        <v>0</v>
      </c>
      <c r="L29" s="9">
        <f>'MKT DATA'!P412</f>
        <v>0</v>
      </c>
      <c r="M29" s="9">
        <f>'MKT DATA'!Q412</f>
        <v>0</v>
      </c>
      <c r="N29" s="9">
        <f>'MKT DATA'!R412</f>
        <v>0</v>
      </c>
      <c r="O29" s="9">
        <f>'MKT DATA'!S412</f>
        <v>0</v>
      </c>
      <c r="P29" s="9">
        <f>'MKT DATA'!T412</f>
        <v>0</v>
      </c>
      <c r="Q29" s="44" t="str">
        <f t="shared" si="3"/>
        <v>syn BTCZ6/BTCX6/BTCV6</v>
      </c>
      <c r="R29" s="14">
        <f>'MKT DATA'!AB412</f>
        <v>0</v>
      </c>
    </row>
    <row r="30" spans="5:18" x14ac:dyDescent="0.25">
      <c r="E30" s="44" t="str">
        <f>'MKT DATA'!B413</f>
        <v>syn BTCZ6/BTCF7/BTCV6</v>
      </c>
      <c r="F30" s="14">
        <f>'MKT DATA'!J413</f>
        <v>0</v>
      </c>
      <c r="G30" s="9">
        <f>'MKT DATA'!K413</f>
        <v>0</v>
      </c>
      <c r="H30" s="9">
        <f>'MKT DATA'!L413</f>
        <v>0</v>
      </c>
      <c r="I30" s="14">
        <f>'MKT DATA'!M413</f>
        <v>0</v>
      </c>
      <c r="J30" s="44" t="str">
        <f t="shared" si="2"/>
        <v>syn BTCZ6/BTCF7/BTCV6</v>
      </c>
      <c r="K30" s="9">
        <f>'MKT DATA'!O413</f>
        <v>0</v>
      </c>
      <c r="L30" s="9">
        <f>'MKT DATA'!P413</f>
        <v>0</v>
      </c>
      <c r="M30" s="9">
        <f>'MKT DATA'!Q413</f>
        <v>0</v>
      </c>
      <c r="N30" s="9">
        <f>'MKT DATA'!R413</f>
        <v>0</v>
      </c>
      <c r="O30" s="9">
        <f>'MKT DATA'!S413</f>
        <v>0</v>
      </c>
      <c r="P30" s="9">
        <f>'MKT DATA'!T413</f>
        <v>0</v>
      </c>
      <c r="Q30" s="44" t="str">
        <f t="shared" si="3"/>
        <v>syn BTCZ6/BTCF7/BTCV6</v>
      </c>
      <c r="R30" s="14">
        <f>'MKT DATA'!AB413</f>
        <v>0</v>
      </c>
    </row>
    <row r="31" spans="5:18" x14ac:dyDescent="0.25">
      <c r="E31" s="44" t="str">
        <f>'MKT DATA'!B414</f>
        <v>syn BTCZ6/BTCG7/BTCV6</v>
      </c>
      <c r="F31" s="14">
        <f>'MKT DATA'!J414</f>
        <v>0</v>
      </c>
      <c r="G31" s="9">
        <f>'MKT DATA'!K414</f>
        <v>0</v>
      </c>
      <c r="H31" s="9">
        <f>'MKT DATA'!L414</f>
        <v>0</v>
      </c>
      <c r="I31" s="14">
        <f>'MKT DATA'!M414</f>
        <v>0</v>
      </c>
      <c r="J31" s="44" t="str">
        <f t="shared" si="2"/>
        <v>syn BTCZ6/BTCG7/BTCV6</v>
      </c>
      <c r="K31" s="9">
        <f>'MKT DATA'!O414</f>
        <v>0</v>
      </c>
      <c r="L31" s="9">
        <f>'MKT DATA'!P414</f>
        <v>0</v>
      </c>
      <c r="M31" s="9">
        <f>'MKT DATA'!Q414</f>
        <v>0</v>
      </c>
      <c r="N31" s="9">
        <f>'MKT DATA'!R414</f>
        <v>0</v>
      </c>
      <c r="O31" s="9">
        <f>'MKT DATA'!S414</f>
        <v>0</v>
      </c>
      <c r="P31" s="9">
        <f>'MKT DATA'!T414</f>
        <v>0</v>
      </c>
      <c r="Q31" s="44" t="str">
        <f t="shared" si="3"/>
        <v>syn BTCZ6/BTCG7/BTCV6</v>
      </c>
      <c r="R31" s="14">
        <f>'MKT DATA'!AB414</f>
        <v>0</v>
      </c>
    </row>
    <row r="32" spans="5:18" x14ac:dyDescent="0.25">
      <c r="E32" s="44" t="str">
        <f>'MKT DATA'!B415</f>
        <v>syn BTCF7/BTCU6/BTCV6</v>
      </c>
      <c r="F32" s="14">
        <f>'MKT DATA'!J415</f>
        <v>0</v>
      </c>
      <c r="G32" s="9">
        <f>'MKT DATA'!K415</f>
        <v>0</v>
      </c>
      <c r="H32" s="9">
        <f>'MKT DATA'!L415</f>
        <v>0</v>
      </c>
      <c r="I32" s="14">
        <f>'MKT DATA'!M415</f>
        <v>0</v>
      </c>
      <c r="J32" s="44" t="str">
        <f t="shared" si="2"/>
        <v>syn BTCF7/BTCU6/BTCV6</v>
      </c>
      <c r="K32" s="9">
        <f>'MKT DATA'!O415</f>
        <v>0</v>
      </c>
      <c r="L32" s="9">
        <f>'MKT DATA'!P415</f>
        <v>0</v>
      </c>
      <c r="M32" s="9">
        <f>'MKT DATA'!Q415</f>
        <v>0</v>
      </c>
      <c r="N32" s="9">
        <f>'MKT DATA'!R415</f>
        <v>0</v>
      </c>
      <c r="O32" s="9">
        <f>'MKT DATA'!S415</f>
        <v>0</v>
      </c>
      <c r="P32" s="9">
        <f>'MKT DATA'!T415</f>
        <v>0</v>
      </c>
      <c r="Q32" s="44" t="str">
        <f t="shared" si="3"/>
        <v>syn BTCF7/BTCU6/BTCV6</v>
      </c>
      <c r="R32" s="14">
        <f>'MKT DATA'!AB415</f>
        <v>0</v>
      </c>
    </row>
    <row r="33" spans="5:18" x14ac:dyDescent="0.25">
      <c r="E33" s="44" t="str">
        <f>'MKT DATA'!B416</f>
        <v>syn BTCF7/BTCX6/BTCV6</v>
      </c>
      <c r="F33" s="14">
        <f>'MKT DATA'!J416</f>
        <v>0</v>
      </c>
      <c r="G33" s="9">
        <f>'MKT DATA'!K416</f>
        <v>0</v>
      </c>
      <c r="H33" s="9">
        <f>'MKT DATA'!L416</f>
        <v>0</v>
      </c>
      <c r="I33" s="14">
        <f>'MKT DATA'!M416</f>
        <v>0</v>
      </c>
      <c r="J33" s="44" t="str">
        <f t="shared" si="2"/>
        <v>syn BTCF7/BTCX6/BTCV6</v>
      </c>
      <c r="K33" s="9">
        <f>'MKT DATA'!O416</f>
        <v>0</v>
      </c>
      <c r="L33" s="9">
        <f>'MKT DATA'!P416</f>
        <v>0</v>
      </c>
      <c r="M33" s="9">
        <f>'MKT DATA'!Q416</f>
        <v>0</v>
      </c>
      <c r="N33" s="9">
        <f>'MKT DATA'!R416</f>
        <v>0</v>
      </c>
      <c r="O33" s="9">
        <f>'MKT DATA'!S416</f>
        <v>0</v>
      </c>
      <c r="P33" s="9">
        <f>'MKT DATA'!T416</f>
        <v>0</v>
      </c>
      <c r="Q33" s="44" t="str">
        <f t="shared" si="3"/>
        <v>syn BTCF7/BTCX6/BTCV6</v>
      </c>
      <c r="R33" s="14">
        <f>'MKT DATA'!AB416</f>
        <v>0</v>
      </c>
    </row>
    <row r="34" spans="5:18" x14ac:dyDescent="0.25">
      <c r="E34" s="44" t="str">
        <f>'MKT DATA'!B417</f>
        <v>syn BTCF7/BTCZ6/BTCV6</v>
      </c>
      <c r="F34" s="14">
        <f>'MKT DATA'!J417</f>
        <v>0</v>
      </c>
      <c r="G34" s="9">
        <f>'MKT DATA'!K417</f>
        <v>0</v>
      </c>
      <c r="H34" s="9">
        <f>'MKT DATA'!L417</f>
        <v>0</v>
      </c>
      <c r="I34" s="14">
        <f>'MKT DATA'!M417</f>
        <v>0</v>
      </c>
      <c r="J34" s="44" t="str">
        <f t="shared" si="2"/>
        <v>syn BTCF7/BTCZ6/BTCV6</v>
      </c>
      <c r="K34" s="9">
        <f>'MKT DATA'!O417</f>
        <v>0</v>
      </c>
      <c r="L34" s="9">
        <f>'MKT DATA'!P417</f>
        <v>0</v>
      </c>
      <c r="M34" s="9">
        <f>'MKT DATA'!Q417</f>
        <v>0</v>
      </c>
      <c r="N34" s="9">
        <f>'MKT DATA'!R417</f>
        <v>0</v>
      </c>
      <c r="O34" s="9">
        <f>'MKT DATA'!S417</f>
        <v>0</v>
      </c>
      <c r="P34" s="9">
        <f>'MKT DATA'!T417</f>
        <v>0</v>
      </c>
      <c r="Q34" s="44" t="str">
        <f t="shared" si="3"/>
        <v>syn BTCF7/BTCZ6/BTCV6</v>
      </c>
      <c r="R34" s="14">
        <f>'MKT DATA'!AB417</f>
        <v>0</v>
      </c>
    </row>
    <row r="35" spans="5:18" x14ac:dyDescent="0.25">
      <c r="E35" s="44" t="str">
        <f>'MKT DATA'!B418</f>
        <v>syn BTCF7/BTCG7/BTCV6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BTCF7/BTCG7/BTCV6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BTCF7/BTCG7/BTCV6</v>
      </c>
      <c r="R35" s="14">
        <f>'MKT DATA'!AB418</f>
        <v>0</v>
      </c>
    </row>
    <row r="36" spans="5:18" x14ac:dyDescent="0.25">
      <c r="E36" s="44" t="str">
        <f>'MKT DATA'!B419</f>
        <v>syn BTCG7/BTCU6/BTCV6</v>
      </c>
      <c r="F36" s="14">
        <f>'MKT DATA'!J419</f>
        <v>0</v>
      </c>
      <c r="G36" s="9">
        <f>'MKT DATA'!K419</f>
        <v>0</v>
      </c>
      <c r="H36" s="9">
        <f>'MKT DATA'!L419</f>
        <v>0</v>
      </c>
      <c r="I36" s="14">
        <f>'MKT DATA'!M419</f>
        <v>0</v>
      </c>
      <c r="J36" s="44" t="str">
        <f t="shared" si="2"/>
        <v>syn BTCG7/BTCU6/BTCV6</v>
      </c>
      <c r="K36" s="9">
        <f>'MKT DATA'!O419</f>
        <v>0</v>
      </c>
      <c r="L36" s="9">
        <f>'MKT DATA'!P419</f>
        <v>0</v>
      </c>
      <c r="M36" s="9">
        <f>'MKT DATA'!Q419</f>
        <v>0</v>
      </c>
      <c r="N36" s="9">
        <f>'MKT DATA'!R419</f>
        <v>0</v>
      </c>
      <c r="O36" s="9">
        <f>'MKT DATA'!S419</f>
        <v>0</v>
      </c>
      <c r="P36" s="9">
        <f>'MKT DATA'!T419</f>
        <v>0</v>
      </c>
      <c r="Q36" s="44" t="str">
        <f t="shared" si="3"/>
        <v>syn BTCG7/BTCU6/BTCV6</v>
      </c>
      <c r="R36" s="14">
        <f>'MKT DATA'!AB419</f>
        <v>0</v>
      </c>
    </row>
    <row r="37" spans="5:18" x14ac:dyDescent="0.25">
      <c r="E37" s="44" t="str">
        <f>'MKT DATA'!B420</f>
        <v>syn BTCG7/BTCX6/BTCV6</v>
      </c>
      <c r="F37" s="14">
        <f>'MKT DATA'!J420</f>
        <v>0</v>
      </c>
      <c r="G37" s="9">
        <f>'MKT DATA'!K420</f>
        <v>0</v>
      </c>
      <c r="H37" s="9">
        <f>'MKT DATA'!L420</f>
        <v>0</v>
      </c>
      <c r="I37" s="14">
        <f>'MKT DATA'!M420</f>
        <v>0</v>
      </c>
      <c r="J37" s="44" t="str">
        <f t="shared" si="2"/>
        <v>syn BTCG7/BTCX6/BTCV6</v>
      </c>
      <c r="K37" s="9">
        <f>'MKT DATA'!O420</f>
        <v>0</v>
      </c>
      <c r="L37" s="9">
        <f>'MKT DATA'!P420</f>
        <v>0</v>
      </c>
      <c r="M37" s="9">
        <f>'MKT DATA'!Q420</f>
        <v>0</v>
      </c>
      <c r="N37" s="9">
        <f>'MKT DATA'!R420</f>
        <v>0</v>
      </c>
      <c r="O37" s="9">
        <f>'MKT DATA'!S420</f>
        <v>0</v>
      </c>
      <c r="P37" s="9">
        <f>'MKT DATA'!T420</f>
        <v>0</v>
      </c>
      <c r="Q37" s="44" t="str">
        <f t="shared" si="3"/>
        <v>syn BTCG7/BTCX6/BTCV6</v>
      </c>
      <c r="R37" s="14">
        <f>'MKT DATA'!AB420</f>
        <v>0</v>
      </c>
    </row>
    <row r="38" spans="5:18" x14ac:dyDescent="0.25">
      <c r="E38" s="44" t="str">
        <f>'MKT DATA'!B421</f>
        <v>syn BTCG7/BTCZ6/BTCV6</v>
      </c>
      <c r="F38" s="14">
        <f>'MKT DATA'!J421</f>
        <v>0</v>
      </c>
      <c r="G38" s="9">
        <f>'MKT DATA'!K421</f>
        <v>0</v>
      </c>
      <c r="H38" s="9">
        <f>'MKT DATA'!L421</f>
        <v>0</v>
      </c>
      <c r="I38" s="14">
        <f>'MKT DATA'!M421</f>
        <v>0</v>
      </c>
      <c r="J38" s="44" t="str">
        <f t="shared" si="2"/>
        <v>syn BTCG7/BTCZ6/BTCV6</v>
      </c>
      <c r="K38" s="9">
        <f>'MKT DATA'!O421</f>
        <v>0</v>
      </c>
      <c r="L38" s="9">
        <f>'MKT DATA'!P421</f>
        <v>0</v>
      </c>
      <c r="M38" s="9">
        <f>'MKT DATA'!Q421</f>
        <v>0</v>
      </c>
      <c r="N38" s="9">
        <f>'MKT DATA'!R421</f>
        <v>0</v>
      </c>
      <c r="O38" s="9">
        <f>'MKT DATA'!S421</f>
        <v>0</v>
      </c>
      <c r="P38" s="9">
        <f>'MKT DATA'!T421</f>
        <v>0</v>
      </c>
      <c r="Q38" s="44" t="str">
        <f t="shared" si="3"/>
        <v>syn BTCG7/BTCZ6/BTCV6</v>
      </c>
      <c r="R38" s="14">
        <f>'MKT DATA'!AB421</f>
        <v>0</v>
      </c>
    </row>
    <row r="39" spans="5:18" x14ac:dyDescent="0.25">
      <c r="E39" s="44" t="str">
        <f>'MKT DATA'!B422</f>
        <v>syn BTCG7/BTCF7/BTCV6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BTCG7/BTCF7/BTCV6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BTCG7/BTCF7/BTCV6</v>
      </c>
      <c r="R39" s="14">
        <f>'MKT DATA'!AB422</f>
        <v>0</v>
      </c>
    </row>
    <row r="40" spans="5:18" x14ac:dyDescent="0.25">
      <c r="E40" s="44" t="str">
        <f>'MKT DATA'!B423</f>
        <v>syn BTCU6/BTCX6/BTCZ6/BTCV6</v>
      </c>
      <c r="F40" s="14">
        <f>'MKT DATA'!J423</f>
        <v>0</v>
      </c>
      <c r="G40" s="9">
        <f>'MKT DATA'!K423</f>
        <v>0</v>
      </c>
      <c r="H40" s="9">
        <f>'MKT DATA'!L423</f>
        <v>0</v>
      </c>
      <c r="I40" s="14">
        <f>'MKT DATA'!M423</f>
        <v>0</v>
      </c>
      <c r="J40" s="44" t="str">
        <f t="shared" si="2"/>
        <v>syn BTCU6/BTCX6/BTCZ6/BTCV6</v>
      </c>
      <c r="K40" s="9">
        <f>'MKT DATA'!O423</f>
        <v>0</v>
      </c>
      <c r="L40" s="9">
        <f>'MKT DATA'!P423</f>
        <v>0</v>
      </c>
      <c r="M40" s="9">
        <f>'MKT DATA'!Q423</f>
        <v>0</v>
      </c>
      <c r="N40" s="9">
        <f>'MKT DATA'!R423</f>
        <v>0</v>
      </c>
      <c r="O40" s="9">
        <f>'MKT DATA'!S423</f>
        <v>0</v>
      </c>
      <c r="P40" s="9">
        <f>'MKT DATA'!T423</f>
        <v>0</v>
      </c>
      <c r="Q40" s="44" t="str">
        <f t="shared" si="3"/>
        <v>syn BTCU6/BTCX6/BTCZ6/BTCV6</v>
      </c>
      <c r="R40" s="14">
        <f>'MKT DATA'!AB423</f>
        <v>0</v>
      </c>
    </row>
    <row r="41" spans="5:18" x14ac:dyDescent="0.25">
      <c r="E41" s="44" t="str">
        <f>'MKT DATA'!B424</f>
        <v>syn BTCU6/BTCX6/BTCF7/BTCV6</v>
      </c>
      <c r="F41" s="14">
        <f>'MKT DATA'!J424</f>
        <v>0</v>
      </c>
      <c r="G41" s="9">
        <f>'MKT DATA'!K424</f>
        <v>0</v>
      </c>
      <c r="H41" s="9">
        <f>'MKT DATA'!L424</f>
        <v>0</v>
      </c>
      <c r="I41" s="14">
        <f>'MKT DATA'!M424</f>
        <v>0</v>
      </c>
      <c r="J41" s="44" t="str">
        <f t="shared" si="2"/>
        <v>syn BTCU6/BTCX6/BTCF7/BTCV6</v>
      </c>
      <c r="K41" s="9">
        <f>'MKT DATA'!O424</f>
        <v>0</v>
      </c>
      <c r="L41" s="9">
        <f>'MKT DATA'!P424</f>
        <v>0</v>
      </c>
      <c r="M41" s="9">
        <f>'MKT DATA'!Q424</f>
        <v>0</v>
      </c>
      <c r="N41" s="9">
        <f>'MKT DATA'!R424</f>
        <v>0</v>
      </c>
      <c r="O41" s="9">
        <f>'MKT DATA'!S424</f>
        <v>0</v>
      </c>
      <c r="P41" s="9">
        <f>'MKT DATA'!T424</f>
        <v>0</v>
      </c>
      <c r="Q41" s="44" t="str">
        <f t="shared" si="3"/>
        <v>syn BTCU6/BTCX6/BTCF7/BTCV6</v>
      </c>
      <c r="R41" s="14">
        <f>'MKT DATA'!AB424</f>
        <v>0</v>
      </c>
    </row>
    <row r="42" spans="5:18" x14ac:dyDescent="0.25">
      <c r="E42" s="44" t="str">
        <f>'MKT DATA'!B425</f>
        <v>syn BTCU6/BTCX6/BTCG7/BTCV6</v>
      </c>
      <c r="F42" s="14">
        <f>'MKT DATA'!J425</f>
        <v>0</v>
      </c>
      <c r="G42" s="9">
        <f>'MKT DATA'!K425</f>
        <v>0</v>
      </c>
      <c r="H42" s="9">
        <f>'MKT DATA'!L425</f>
        <v>0</v>
      </c>
      <c r="I42" s="14">
        <f>'MKT DATA'!M425</f>
        <v>0</v>
      </c>
      <c r="J42" s="44" t="str">
        <f t="shared" si="2"/>
        <v>syn BTCU6/BTCX6/BTCG7/BTCV6</v>
      </c>
      <c r="K42" s="9">
        <f>'MKT DATA'!O425</f>
        <v>0</v>
      </c>
      <c r="L42" s="9">
        <f>'MKT DATA'!P425</f>
        <v>0</v>
      </c>
      <c r="M42" s="9">
        <f>'MKT DATA'!Q425</f>
        <v>0</v>
      </c>
      <c r="N42" s="9">
        <f>'MKT DATA'!R425</f>
        <v>0</v>
      </c>
      <c r="O42" s="9">
        <f>'MKT DATA'!S425</f>
        <v>0</v>
      </c>
      <c r="P42" s="9">
        <f>'MKT DATA'!T425</f>
        <v>0</v>
      </c>
      <c r="Q42" s="44" t="str">
        <f t="shared" si="3"/>
        <v>syn BTCU6/BTCX6/BTCG7/BTCV6</v>
      </c>
      <c r="R42" s="14">
        <f>'MKT DATA'!AB425</f>
        <v>0</v>
      </c>
    </row>
    <row r="43" spans="5:18" x14ac:dyDescent="0.25">
      <c r="E43" s="44" t="str">
        <f>'MKT DATA'!B426</f>
        <v>syn BTCU6/BTCZ6/BTCX6/BTCV6</v>
      </c>
      <c r="F43" s="14">
        <f>'MKT DATA'!J426</f>
        <v>0</v>
      </c>
      <c r="G43" s="9">
        <f>'MKT DATA'!K426</f>
        <v>0</v>
      </c>
      <c r="H43" s="9">
        <f>'MKT DATA'!L426</f>
        <v>0</v>
      </c>
      <c r="I43" s="14">
        <f>'MKT DATA'!M426</f>
        <v>0</v>
      </c>
      <c r="J43" s="44" t="str">
        <f t="shared" si="2"/>
        <v>syn BTCU6/BTCZ6/BTCX6/BTCV6</v>
      </c>
      <c r="K43" s="9">
        <f>'MKT DATA'!O426</f>
        <v>0</v>
      </c>
      <c r="L43" s="9">
        <f>'MKT DATA'!P426</f>
        <v>0</v>
      </c>
      <c r="M43" s="9">
        <f>'MKT DATA'!Q426</f>
        <v>0</v>
      </c>
      <c r="N43" s="9">
        <f>'MKT DATA'!R426</f>
        <v>0</v>
      </c>
      <c r="O43" s="9">
        <f>'MKT DATA'!S426</f>
        <v>0</v>
      </c>
      <c r="P43" s="9">
        <f>'MKT DATA'!T426</f>
        <v>0</v>
      </c>
      <c r="Q43" s="44" t="str">
        <f t="shared" si="3"/>
        <v>syn BTCU6/BTCZ6/BTCX6/BTCV6</v>
      </c>
      <c r="R43" s="14">
        <f>'MKT DATA'!AB426</f>
        <v>0</v>
      </c>
    </row>
    <row r="44" spans="5:18" x14ac:dyDescent="0.25">
      <c r="E44" s="44" t="str">
        <f>'MKT DATA'!B427</f>
        <v>syn BTCU6/BTCZ6/BTCF7/BTCV6</v>
      </c>
      <c r="F44" s="14">
        <f>'MKT DATA'!J427</f>
        <v>0</v>
      </c>
      <c r="G44" s="9">
        <f>'MKT DATA'!K427</f>
        <v>0</v>
      </c>
      <c r="H44" s="9">
        <f>'MKT DATA'!L427</f>
        <v>0</v>
      </c>
      <c r="I44" s="14">
        <f>'MKT DATA'!M427</f>
        <v>0</v>
      </c>
      <c r="J44" s="44" t="str">
        <f t="shared" si="2"/>
        <v>syn BTCU6/BTCZ6/BTCF7/BTCV6</v>
      </c>
      <c r="K44" s="9">
        <f>'MKT DATA'!O427</f>
        <v>0</v>
      </c>
      <c r="L44" s="9">
        <f>'MKT DATA'!P427</f>
        <v>0</v>
      </c>
      <c r="M44" s="9">
        <f>'MKT DATA'!Q427</f>
        <v>0</v>
      </c>
      <c r="N44" s="9">
        <f>'MKT DATA'!R427</f>
        <v>0</v>
      </c>
      <c r="O44" s="9">
        <f>'MKT DATA'!S427</f>
        <v>0</v>
      </c>
      <c r="P44" s="9">
        <f>'MKT DATA'!T427</f>
        <v>0</v>
      </c>
      <c r="Q44" s="44" t="str">
        <f t="shared" si="3"/>
        <v>syn BTCU6/BTCZ6/BTCF7/BTCV6</v>
      </c>
      <c r="R44" s="14">
        <f>'MKT DATA'!AB427</f>
        <v>0</v>
      </c>
    </row>
    <row r="45" spans="5:18" x14ac:dyDescent="0.25">
      <c r="E45" s="44" t="str">
        <f>'MKT DATA'!B428</f>
        <v>syn BTCU6/BTCZ6/BTCG7/BTCV6</v>
      </c>
      <c r="F45" s="14">
        <f>'MKT DATA'!J428</f>
        <v>0</v>
      </c>
      <c r="G45" s="9">
        <f>'MKT DATA'!K428</f>
        <v>0</v>
      </c>
      <c r="H45" s="9">
        <f>'MKT DATA'!L428</f>
        <v>0</v>
      </c>
      <c r="I45" s="14">
        <f>'MKT DATA'!M428</f>
        <v>0</v>
      </c>
      <c r="J45" s="44" t="str">
        <f t="shared" si="2"/>
        <v>syn BTCU6/BTCZ6/BTCG7/BTCV6</v>
      </c>
      <c r="K45" s="9">
        <f>'MKT DATA'!O428</f>
        <v>0</v>
      </c>
      <c r="L45" s="9">
        <f>'MKT DATA'!P428</f>
        <v>0</v>
      </c>
      <c r="M45" s="9">
        <f>'MKT DATA'!Q428</f>
        <v>0</v>
      </c>
      <c r="N45" s="9">
        <f>'MKT DATA'!R428</f>
        <v>0</v>
      </c>
      <c r="O45" s="9">
        <f>'MKT DATA'!S428</f>
        <v>0</v>
      </c>
      <c r="P45" s="9">
        <f>'MKT DATA'!T428</f>
        <v>0</v>
      </c>
      <c r="Q45" s="44" t="str">
        <f t="shared" si="3"/>
        <v>syn BTCU6/BTCZ6/BTCG7/BTCV6</v>
      </c>
      <c r="R45" s="14">
        <f>'MKT DATA'!AB428</f>
        <v>0</v>
      </c>
    </row>
    <row r="46" spans="5:18" x14ac:dyDescent="0.25">
      <c r="E46" s="44" t="str">
        <f>'MKT DATA'!B429</f>
        <v>syn BTCU6/BTCF7/BTCX6/BTCV6</v>
      </c>
      <c r="F46" s="14">
        <f>'MKT DATA'!J429</f>
        <v>0</v>
      </c>
      <c r="G46" s="9">
        <f>'MKT DATA'!K429</f>
        <v>0</v>
      </c>
      <c r="H46" s="9">
        <f>'MKT DATA'!L429</f>
        <v>0</v>
      </c>
      <c r="I46" s="14">
        <f>'MKT DATA'!M429</f>
        <v>0</v>
      </c>
      <c r="J46" s="44" t="str">
        <f t="shared" si="2"/>
        <v>syn BTCU6/BTCF7/BTCX6/BTCV6</v>
      </c>
      <c r="K46" s="9">
        <f>'MKT DATA'!O429</f>
        <v>0</v>
      </c>
      <c r="L46" s="9">
        <f>'MKT DATA'!P429</f>
        <v>0</v>
      </c>
      <c r="M46" s="9">
        <f>'MKT DATA'!Q429</f>
        <v>0</v>
      </c>
      <c r="N46" s="9">
        <f>'MKT DATA'!R429</f>
        <v>0</v>
      </c>
      <c r="O46" s="9">
        <f>'MKT DATA'!S429</f>
        <v>0</v>
      </c>
      <c r="P46" s="9">
        <f>'MKT DATA'!T429</f>
        <v>0</v>
      </c>
      <c r="Q46" s="44" t="str">
        <f t="shared" si="3"/>
        <v>syn BTCU6/BTCF7/BTCX6/BTCV6</v>
      </c>
      <c r="R46" s="14">
        <f>'MKT DATA'!AB429</f>
        <v>0</v>
      </c>
    </row>
    <row r="47" spans="5:18" x14ac:dyDescent="0.25">
      <c r="E47" s="44" t="str">
        <f>'MKT DATA'!B430</f>
        <v>syn BTCU6/BTCF7/BTCZ6/BTCV6</v>
      </c>
      <c r="F47" s="14">
        <f>'MKT DATA'!J430</f>
        <v>0</v>
      </c>
      <c r="G47" s="9">
        <f>'MKT DATA'!K430</f>
        <v>0</v>
      </c>
      <c r="H47" s="9">
        <f>'MKT DATA'!L430</f>
        <v>0</v>
      </c>
      <c r="I47" s="14">
        <f>'MKT DATA'!M430</f>
        <v>0</v>
      </c>
      <c r="J47" s="44" t="str">
        <f t="shared" si="2"/>
        <v>syn BTCU6/BTCF7/BTCZ6/BTCV6</v>
      </c>
      <c r="K47" s="9">
        <f>'MKT DATA'!O430</f>
        <v>0</v>
      </c>
      <c r="L47" s="9">
        <f>'MKT DATA'!P430</f>
        <v>0</v>
      </c>
      <c r="M47" s="9">
        <f>'MKT DATA'!Q430</f>
        <v>0</v>
      </c>
      <c r="N47" s="9">
        <f>'MKT DATA'!R430</f>
        <v>0</v>
      </c>
      <c r="O47" s="9">
        <f>'MKT DATA'!S430</f>
        <v>0</v>
      </c>
      <c r="P47" s="9">
        <f>'MKT DATA'!T430</f>
        <v>0</v>
      </c>
      <c r="Q47" s="44" t="str">
        <f t="shared" si="3"/>
        <v>syn BTCU6/BTCF7/BTCZ6/BTCV6</v>
      </c>
      <c r="R47" s="14">
        <f>'MKT DATA'!AB430</f>
        <v>0</v>
      </c>
    </row>
    <row r="48" spans="5:18" x14ac:dyDescent="0.25">
      <c r="E48" s="44" t="str">
        <f>'MKT DATA'!B431</f>
        <v>syn BTCU6/BTCF7/BTCG7/BTCV6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BTCU6/BTCF7/BTCG7/BTCV6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BTCU6/BTCF7/BTCG7/BTCV6</v>
      </c>
      <c r="R48" s="14">
        <f>'MKT DATA'!AB431</f>
        <v>0</v>
      </c>
    </row>
    <row r="49" spans="5:18" x14ac:dyDescent="0.25">
      <c r="E49" s="44" t="str">
        <f>'MKT DATA'!B432</f>
        <v>syn BTCU6/BTCG7/BTCX6/BTCV6</v>
      </c>
      <c r="F49" s="14">
        <f>'MKT DATA'!J432</f>
        <v>0</v>
      </c>
      <c r="G49" s="9">
        <f>'MKT DATA'!K432</f>
        <v>0</v>
      </c>
      <c r="H49" s="9">
        <f>'MKT DATA'!L432</f>
        <v>0</v>
      </c>
      <c r="I49" s="14">
        <f>'MKT DATA'!M432</f>
        <v>0</v>
      </c>
      <c r="J49" s="44" t="str">
        <f t="shared" si="2"/>
        <v>syn BTCU6/BTCG7/BTCX6/BTCV6</v>
      </c>
      <c r="K49" s="9">
        <f>'MKT DATA'!O432</f>
        <v>0</v>
      </c>
      <c r="L49" s="9">
        <f>'MKT DATA'!P432</f>
        <v>0</v>
      </c>
      <c r="M49" s="9">
        <f>'MKT DATA'!Q432</f>
        <v>0</v>
      </c>
      <c r="N49" s="9">
        <f>'MKT DATA'!R432</f>
        <v>0</v>
      </c>
      <c r="O49" s="9">
        <f>'MKT DATA'!S432</f>
        <v>0</v>
      </c>
      <c r="P49" s="9">
        <f>'MKT DATA'!T432</f>
        <v>0</v>
      </c>
      <c r="Q49" s="44" t="str">
        <f t="shared" si="3"/>
        <v>syn BTCU6/BTCG7/BTCX6/BTCV6</v>
      </c>
      <c r="R49" s="14">
        <f>'MKT DATA'!AB432</f>
        <v>0</v>
      </c>
    </row>
    <row r="50" spans="5:18" x14ac:dyDescent="0.25">
      <c r="E50" s="44" t="str">
        <f>'MKT DATA'!B433</f>
        <v>syn BTCU6/BTCG7/BTCZ6/BTCV6</v>
      </c>
      <c r="F50" s="14">
        <f>'MKT DATA'!J433</f>
        <v>0</v>
      </c>
      <c r="G50" s="9">
        <f>'MKT DATA'!K433</f>
        <v>0</v>
      </c>
      <c r="H50" s="9">
        <f>'MKT DATA'!L433</f>
        <v>0</v>
      </c>
      <c r="I50" s="14">
        <f>'MKT DATA'!M433</f>
        <v>0</v>
      </c>
      <c r="J50" s="44" t="str">
        <f t="shared" si="2"/>
        <v>syn BTCU6/BTCG7/BTCZ6/BTCV6</v>
      </c>
      <c r="K50" s="9">
        <f>'MKT DATA'!O433</f>
        <v>0</v>
      </c>
      <c r="L50" s="9">
        <f>'MKT DATA'!P433</f>
        <v>0</v>
      </c>
      <c r="M50" s="9">
        <f>'MKT DATA'!Q433</f>
        <v>0</v>
      </c>
      <c r="N50" s="9">
        <f>'MKT DATA'!R433</f>
        <v>0</v>
      </c>
      <c r="O50" s="9">
        <f>'MKT DATA'!S433</f>
        <v>0</v>
      </c>
      <c r="P50" s="9">
        <f>'MKT DATA'!T433</f>
        <v>0</v>
      </c>
      <c r="Q50" s="44" t="str">
        <f t="shared" si="3"/>
        <v>syn BTCU6/BTCG7/BTCZ6/BTCV6</v>
      </c>
      <c r="R50" s="14">
        <f>'MKT DATA'!AB433</f>
        <v>0</v>
      </c>
    </row>
    <row r="51" spans="5:18" x14ac:dyDescent="0.25">
      <c r="E51" s="44" t="str">
        <f>'MKT DATA'!B434</f>
        <v>syn BTCU6/BTCG7/BTCF7/BTCV6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BTCU6/BTCG7/BTCF7/BTCV6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BTCU6/BTCG7/BTCF7/BTCV6</v>
      </c>
      <c r="R51" s="14">
        <f>'MKT DATA'!AB434</f>
        <v>0</v>
      </c>
    </row>
    <row r="52" spans="5:18" x14ac:dyDescent="0.25">
      <c r="E52" s="44" t="str">
        <f>'MKT DATA'!B435</f>
        <v>syn BTCX6/BTCU6/BTCZ6/BTCV6</v>
      </c>
      <c r="F52" s="14">
        <f>'MKT DATA'!J435</f>
        <v>0</v>
      </c>
      <c r="G52" s="9">
        <f>'MKT DATA'!K435</f>
        <v>0</v>
      </c>
      <c r="H52" s="9">
        <f>'MKT DATA'!L435</f>
        <v>0</v>
      </c>
      <c r="I52" s="14">
        <f>'MKT DATA'!M435</f>
        <v>0</v>
      </c>
      <c r="J52" s="44" t="str">
        <f t="shared" si="2"/>
        <v>syn BTCX6/BTCU6/BTCZ6/BTCV6</v>
      </c>
      <c r="K52" s="9">
        <f>'MKT DATA'!O435</f>
        <v>0</v>
      </c>
      <c r="L52" s="9">
        <f>'MKT DATA'!P435</f>
        <v>0</v>
      </c>
      <c r="M52" s="9">
        <f>'MKT DATA'!Q435</f>
        <v>0</v>
      </c>
      <c r="N52" s="9">
        <f>'MKT DATA'!R435</f>
        <v>0</v>
      </c>
      <c r="O52" s="9">
        <f>'MKT DATA'!S435</f>
        <v>0</v>
      </c>
      <c r="P52" s="9">
        <f>'MKT DATA'!T435</f>
        <v>0</v>
      </c>
      <c r="Q52" s="44" t="str">
        <f t="shared" si="3"/>
        <v>syn BTCX6/BTCU6/BTCZ6/BTCV6</v>
      </c>
      <c r="R52" s="14">
        <f>'MKT DATA'!AB435</f>
        <v>0</v>
      </c>
    </row>
    <row r="53" spans="5:18" x14ac:dyDescent="0.25">
      <c r="E53" s="44" t="str">
        <f>'MKT DATA'!B436</f>
        <v>syn BTCX6/BTCU6/BTCF7/BTCV6</v>
      </c>
      <c r="F53" s="14">
        <f>'MKT DATA'!J436</f>
        <v>0</v>
      </c>
      <c r="G53" s="9">
        <f>'MKT DATA'!K436</f>
        <v>0</v>
      </c>
      <c r="H53" s="9">
        <f>'MKT DATA'!L436</f>
        <v>0</v>
      </c>
      <c r="I53" s="14">
        <f>'MKT DATA'!M436</f>
        <v>0</v>
      </c>
      <c r="J53" s="44" t="str">
        <f t="shared" si="2"/>
        <v>syn BTCX6/BTCU6/BTCF7/BTCV6</v>
      </c>
      <c r="K53" s="9">
        <f>'MKT DATA'!O436</f>
        <v>0</v>
      </c>
      <c r="L53" s="9">
        <f>'MKT DATA'!P436</f>
        <v>0</v>
      </c>
      <c r="M53" s="9">
        <f>'MKT DATA'!Q436</f>
        <v>0</v>
      </c>
      <c r="N53" s="9">
        <f>'MKT DATA'!R436</f>
        <v>0</v>
      </c>
      <c r="O53" s="9">
        <f>'MKT DATA'!S436</f>
        <v>0</v>
      </c>
      <c r="P53" s="9">
        <f>'MKT DATA'!T436</f>
        <v>0</v>
      </c>
      <c r="Q53" s="44" t="str">
        <f t="shared" si="3"/>
        <v>syn BTCX6/BTCU6/BTCF7/BTCV6</v>
      </c>
      <c r="R53" s="14">
        <f>'MKT DATA'!AB436</f>
        <v>0</v>
      </c>
    </row>
    <row r="54" spans="5:18" x14ac:dyDescent="0.25">
      <c r="E54" s="44" t="str">
        <f>'MKT DATA'!B437</f>
        <v>syn BTCX6/BTCU6/BTCG7/BTCV6</v>
      </c>
      <c r="F54" s="14">
        <f>'MKT DATA'!J437</f>
        <v>0</v>
      </c>
      <c r="G54" s="9">
        <f>'MKT DATA'!K437</f>
        <v>0</v>
      </c>
      <c r="H54" s="9">
        <f>'MKT DATA'!L437</f>
        <v>0</v>
      </c>
      <c r="I54" s="14">
        <f>'MKT DATA'!M437</f>
        <v>0</v>
      </c>
      <c r="J54" s="44" t="str">
        <f t="shared" si="2"/>
        <v>syn BTCX6/BTCU6/BTCG7/BTCV6</v>
      </c>
      <c r="K54" s="9">
        <f>'MKT DATA'!O437</f>
        <v>0</v>
      </c>
      <c r="L54" s="9">
        <f>'MKT DATA'!P437</f>
        <v>0</v>
      </c>
      <c r="M54" s="9">
        <f>'MKT DATA'!Q437</f>
        <v>0</v>
      </c>
      <c r="N54" s="9">
        <f>'MKT DATA'!R437</f>
        <v>0</v>
      </c>
      <c r="O54" s="9">
        <f>'MKT DATA'!S437</f>
        <v>0</v>
      </c>
      <c r="P54" s="9">
        <f>'MKT DATA'!T437</f>
        <v>0</v>
      </c>
      <c r="Q54" s="44" t="str">
        <f t="shared" si="3"/>
        <v>syn BTCX6/BTCU6/BTCG7/BTCV6</v>
      </c>
      <c r="R54" s="14">
        <f>'MKT DATA'!AB437</f>
        <v>0</v>
      </c>
    </row>
    <row r="55" spans="5:18" x14ac:dyDescent="0.25">
      <c r="E55" s="44" t="str">
        <f>'MKT DATA'!B438</f>
        <v>syn BTCX6/BTCZ6/BTCU6/BTCV6</v>
      </c>
      <c r="F55" s="14">
        <f>'MKT DATA'!J438</f>
        <v>0</v>
      </c>
      <c r="G55" s="9">
        <f>'MKT DATA'!K438</f>
        <v>0</v>
      </c>
      <c r="H55" s="9">
        <f>'MKT DATA'!L438</f>
        <v>0</v>
      </c>
      <c r="I55" s="14">
        <f>'MKT DATA'!M438</f>
        <v>0</v>
      </c>
      <c r="J55" s="44" t="str">
        <f t="shared" si="2"/>
        <v>syn BTCX6/BTCZ6/BTCU6/BTCV6</v>
      </c>
      <c r="K55" s="9">
        <f>'MKT DATA'!O438</f>
        <v>0</v>
      </c>
      <c r="L55" s="9">
        <f>'MKT DATA'!P438</f>
        <v>0</v>
      </c>
      <c r="M55" s="9">
        <f>'MKT DATA'!Q438</f>
        <v>0</v>
      </c>
      <c r="N55" s="9">
        <f>'MKT DATA'!R438</f>
        <v>0</v>
      </c>
      <c r="O55" s="9">
        <f>'MKT DATA'!S438</f>
        <v>0</v>
      </c>
      <c r="P55" s="9">
        <f>'MKT DATA'!T438</f>
        <v>0</v>
      </c>
      <c r="Q55" s="44" t="str">
        <f t="shared" si="3"/>
        <v>syn BTCX6/BTCZ6/BTCU6/BTCV6</v>
      </c>
      <c r="R55" s="14">
        <f>'MKT DATA'!AB438</f>
        <v>0</v>
      </c>
    </row>
    <row r="56" spans="5:18" x14ac:dyDescent="0.25">
      <c r="E56" s="44" t="str">
        <f>'MKT DATA'!B439</f>
        <v>syn BTCX6/BTCZ6/BTCF7/BTCV6</v>
      </c>
      <c r="F56" s="14">
        <f>'MKT DATA'!J439</f>
        <v>0</v>
      </c>
      <c r="G56" s="9">
        <f>'MKT DATA'!K439</f>
        <v>0</v>
      </c>
      <c r="H56" s="9">
        <f>'MKT DATA'!L439</f>
        <v>0</v>
      </c>
      <c r="I56" s="14">
        <f>'MKT DATA'!M439</f>
        <v>0</v>
      </c>
      <c r="J56" s="44" t="str">
        <f t="shared" si="2"/>
        <v>syn BTCX6/BTCZ6/BTCF7/BTCV6</v>
      </c>
      <c r="K56" s="9">
        <f>'MKT DATA'!O439</f>
        <v>0</v>
      </c>
      <c r="L56" s="9">
        <f>'MKT DATA'!P439</f>
        <v>0</v>
      </c>
      <c r="M56" s="9">
        <f>'MKT DATA'!Q439</f>
        <v>0</v>
      </c>
      <c r="N56" s="9">
        <f>'MKT DATA'!R439</f>
        <v>0</v>
      </c>
      <c r="O56" s="9">
        <f>'MKT DATA'!S439</f>
        <v>0</v>
      </c>
      <c r="P56" s="9">
        <f>'MKT DATA'!T439</f>
        <v>0</v>
      </c>
      <c r="Q56" s="44" t="str">
        <f t="shared" si="3"/>
        <v>syn BTCX6/BTCZ6/BTCF7/BTCV6</v>
      </c>
      <c r="R56" s="14">
        <f>'MKT DATA'!AB439</f>
        <v>0</v>
      </c>
    </row>
    <row r="57" spans="5:18" x14ac:dyDescent="0.25">
      <c r="E57" s="44" t="str">
        <f>'MKT DATA'!B440</f>
        <v>syn BTCX6/BTCZ6/BTCG7/BTCV6</v>
      </c>
      <c r="F57" s="14">
        <f>'MKT DATA'!J440</f>
        <v>0</v>
      </c>
      <c r="G57" s="9">
        <f>'MKT DATA'!K440</f>
        <v>0</v>
      </c>
      <c r="H57" s="9">
        <f>'MKT DATA'!L440</f>
        <v>0</v>
      </c>
      <c r="I57" s="14">
        <f>'MKT DATA'!M440</f>
        <v>0</v>
      </c>
      <c r="J57" s="44" t="str">
        <f t="shared" si="2"/>
        <v>syn BTCX6/BTCZ6/BTCG7/BTCV6</v>
      </c>
      <c r="K57" s="9">
        <f>'MKT DATA'!O440</f>
        <v>0</v>
      </c>
      <c r="L57" s="9">
        <f>'MKT DATA'!P440</f>
        <v>0</v>
      </c>
      <c r="M57" s="9">
        <f>'MKT DATA'!Q440</f>
        <v>0</v>
      </c>
      <c r="N57" s="9">
        <f>'MKT DATA'!R440</f>
        <v>0</v>
      </c>
      <c r="O57" s="9">
        <f>'MKT DATA'!S440</f>
        <v>0</v>
      </c>
      <c r="P57" s="9">
        <f>'MKT DATA'!T440</f>
        <v>0</v>
      </c>
      <c r="Q57" s="44" t="str">
        <f t="shared" si="3"/>
        <v>syn BTCX6/BTCZ6/BTCG7/BTCV6</v>
      </c>
      <c r="R57" s="14">
        <f>'MKT DATA'!AB440</f>
        <v>0</v>
      </c>
    </row>
    <row r="58" spans="5:18" x14ac:dyDescent="0.25">
      <c r="E58" s="44" t="str">
        <f>'MKT DATA'!B441</f>
        <v>syn BTCX6/BTCF7/BTCU6/BTCV6</v>
      </c>
      <c r="F58" s="14">
        <f>'MKT DATA'!J441</f>
        <v>0</v>
      </c>
      <c r="G58" s="9">
        <f>'MKT DATA'!K441</f>
        <v>0</v>
      </c>
      <c r="H58" s="9">
        <f>'MKT DATA'!L441</f>
        <v>0</v>
      </c>
      <c r="I58" s="14">
        <f>'MKT DATA'!M441</f>
        <v>0</v>
      </c>
      <c r="J58" s="44" t="str">
        <f t="shared" si="2"/>
        <v>syn BTCX6/BTCF7/BTCU6/BTCV6</v>
      </c>
      <c r="K58" s="9">
        <f>'MKT DATA'!O441</f>
        <v>0</v>
      </c>
      <c r="L58" s="9">
        <f>'MKT DATA'!P441</f>
        <v>0</v>
      </c>
      <c r="M58" s="9">
        <f>'MKT DATA'!Q441</f>
        <v>0</v>
      </c>
      <c r="N58" s="9">
        <f>'MKT DATA'!R441</f>
        <v>0</v>
      </c>
      <c r="O58" s="9">
        <f>'MKT DATA'!S441</f>
        <v>0</v>
      </c>
      <c r="P58" s="9">
        <f>'MKT DATA'!T441</f>
        <v>0</v>
      </c>
      <c r="Q58" s="44" t="str">
        <f t="shared" si="3"/>
        <v>syn BTCX6/BTCF7/BTCU6/BTCV6</v>
      </c>
      <c r="R58" s="14">
        <f>'MKT DATA'!AB441</f>
        <v>0</v>
      </c>
    </row>
    <row r="59" spans="5:18" x14ac:dyDescent="0.25">
      <c r="E59" s="44" t="str">
        <f>'MKT DATA'!B442</f>
        <v>syn BTCX6/BTCF7/BTCZ6/BTCV6</v>
      </c>
      <c r="F59" s="14">
        <f>'MKT DATA'!J442</f>
        <v>0</v>
      </c>
      <c r="G59" s="9">
        <f>'MKT DATA'!K442</f>
        <v>0</v>
      </c>
      <c r="H59" s="9">
        <f>'MKT DATA'!L442</f>
        <v>0</v>
      </c>
      <c r="I59" s="14">
        <f>'MKT DATA'!M442</f>
        <v>0</v>
      </c>
      <c r="J59" s="44" t="str">
        <f t="shared" si="2"/>
        <v>syn BTCX6/BTCF7/BTCZ6/BTCV6</v>
      </c>
      <c r="K59" s="9">
        <f>'MKT DATA'!O442</f>
        <v>0</v>
      </c>
      <c r="L59" s="9">
        <f>'MKT DATA'!P442</f>
        <v>0</v>
      </c>
      <c r="M59" s="9">
        <f>'MKT DATA'!Q442</f>
        <v>0</v>
      </c>
      <c r="N59" s="9">
        <f>'MKT DATA'!R442</f>
        <v>0</v>
      </c>
      <c r="O59" s="9">
        <f>'MKT DATA'!S442</f>
        <v>0</v>
      </c>
      <c r="P59" s="9">
        <f>'MKT DATA'!T442</f>
        <v>0</v>
      </c>
      <c r="Q59" s="44" t="str">
        <f t="shared" si="3"/>
        <v>syn BTCX6/BTCF7/BTCZ6/BTCV6</v>
      </c>
      <c r="R59" s="14">
        <f>'MKT DATA'!AB442</f>
        <v>0</v>
      </c>
    </row>
    <row r="60" spans="5:18" x14ac:dyDescent="0.25">
      <c r="E60" s="44" t="str">
        <f>'MKT DATA'!B443</f>
        <v>syn BTCX6/BTCF7/BTCG7/BTCV6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BTCX6/BTCF7/BTCG7/BTCV6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BTCX6/BTCF7/BTCG7/BTCV6</v>
      </c>
      <c r="R60" s="14">
        <f>'MKT DATA'!AB443</f>
        <v>0</v>
      </c>
    </row>
    <row r="61" spans="5:18" x14ac:dyDescent="0.25">
      <c r="E61" s="44" t="str">
        <f>'MKT DATA'!B444</f>
        <v>syn BTCX6/BTCG7/BTCU6/BTCV6</v>
      </c>
      <c r="F61" s="14">
        <f>'MKT DATA'!J444</f>
        <v>0</v>
      </c>
      <c r="G61" s="9">
        <f>'MKT DATA'!K444</f>
        <v>0</v>
      </c>
      <c r="H61" s="9">
        <f>'MKT DATA'!L444</f>
        <v>0</v>
      </c>
      <c r="I61" s="14">
        <f>'MKT DATA'!M444</f>
        <v>0</v>
      </c>
      <c r="J61" s="44" t="str">
        <f t="shared" si="2"/>
        <v>syn BTCX6/BTCG7/BTCU6/BTCV6</v>
      </c>
      <c r="K61" s="9">
        <f>'MKT DATA'!O444</f>
        <v>0</v>
      </c>
      <c r="L61" s="9">
        <f>'MKT DATA'!P444</f>
        <v>0</v>
      </c>
      <c r="M61" s="9">
        <f>'MKT DATA'!Q444</f>
        <v>0</v>
      </c>
      <c r="N61" s="9">
        <f>'MKT DATA'!R444</f>
        <v>0</v>
      </c>
      <c r="O61" s="9">
        <f>'MKT DATA'!S444</f>
        <v>0</v>
      </c>
      <c r="P61" s="9">
        <f>'MKT DATA'!T444</f>
        <v>0</v>
      </c>
      <c r="Q61" s="44" t="str">
        <f t="shared" si="3"/>
        <v>syn BTCX6/BTCG7/BTCU6/BTCV6</v>
      </c>
      <c r="R61" s="14">
        <f>'MKT DATA'!AB444</f>
        <v>0</v>
      </c>
    </row>
    <row r="62" spans="5:18" x14ac:dyDescent="0.25">
      <c r="E62" s="44" t="str">
        <f>'MKT DATA'!B445</f>
        <v>syn BTCX6/BTCG7/BTCZ6/BTCV6</v>
      </c>
      <c r="F62" s="14">
        <f>'MKT DATA'!J445</f>
        <v>0</v>
      </c>
      <c r="G62" s="9">
        <f>'MKT DATA'!K445</f>
        <v>0</v>
      </c>
      <c r="H62" s="9">
        <f>'MKT DATA'!L445</f>
        <v>0</v>
      </c>
      <c r="I62" s="14">
        <f>'MKT DATA'!M445</f>
        <v>0</v>
      </c>
      <c r="J62" s="44" t="str">
        <f t="shared" si="2"/>
        <v>syn BTCX6/BTCG7/BTCZ6/BTCV6</v>
      </c>
      <c r="K62" s="9">
        <f>'MKT DATA'!O445</f>
        <v>0</v>
      </c>
      <c r="L62" s="9">
        <f>'MKT DATA'!P445</f>
        <v>0</v>
      </c>
      <c r="M62" s="9">
        <f>'MKT DATA'!Q445</f>
        <v>0</v>
      </c>
      <c r="N62" s="9">
        <f>'MKT DATA'!R445</f>
        <v>0</v>
      </c>
      <c r="O62" s="9">
        <f>'MKT DATA'!S445</f>
        <v>0</v>
      </c>
      <c r="P62" s="9">
        <f>'MKT DATA'!T445</f>
        <v>0</v>
      </c>
      <c r="Q62" s="44" t="str">
        <f t="shared" si="3"/>
        <v>syn BTCX6/BTCG7/BTCZ6/BTCV6</v>
      </c>
      <c r="R62" s="14">
        <f>'MKT DATA'!AB445</f>
        <v>0</v>
      </c>
    </row>
    <row r="63" spans="5:18" x14ac:dyDescent="0.25">
      <c r="E63" s="44" t="str">
        <f>'MKT DATA'!B446</f>
        <v>syn BTCX6/BTCG7/BTCF7/BTCV6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BTCX6/BTCG7/BTCF7/BTCV6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BTCX6/BTCG7/BTCF7/BTCV6</v>
      </c>
      <c r="R63" s="14">
        <f>'MKT DATA'!AB446</f>
        <v>0</v>
      </c>
    </row>
    <row r="64" spans="5:18" x14ac:dyDescent="0.25">
      <c r="E64" s="44" t="str">
        <f>'MKT DATA'!B447</f>
        <v>syn BTCZ6/BTCU6/BTCX6/BTCV6</v>
      </c>
      <c r="F64" s="14">
        <f>'MKT DATA'!J447</f>
        <v>0</v>
      </c>
      <c r="G64" s="9">
        <f>'MKT DATA'!K447</f>
        <v>0</v>
      </c>
      <c r="H64" s="9">
        <f>'MKT DATA'!L447</f>
        <v>0</v>
      </c>
      <c r="I64" s="14">
        <f>'MKT DATA'!M447</f>
        <v>0</v>
      </c>
      <c r="J64" s="44" t="str">
        <f t="shared" si="2"/>
        <v>syn BTCZ6/BTCU6/BTCX6/BTCV6</v>
      </c>
      <c r="K64" s="9">
        <f>'MKT DATA'!O447</f>
        <v>0</v>
      </c>
      <c r="L64" s="9">
        <f>'MKT DATA'!P447</f>
        <v>0</v>
      </c>
      <c r="M64" s="9">
        <f>'MKT DATA'!Q447</f>
        <v>0</v>
      </c>
      <c r="N64" s="9">
        <f>'MKT DATA'!R447</f>
        <v>0</v>
      </c>
      <c r="O64" s="9">
        <f>'MKT DATA'!S447</f>
        <v>0</v>
      </c>
      <c r="P64" s="9">
        <f>'MKT DATA'!T447</f>
        <v>0</v>
      </c>
      <c r="Q64" s="44" t="str">
        <f t="shared" si="3"/>
        <v>syn BTCZ6/BTCU6/BTCX6/BTCV6</v>
      </c>
      <c r="R64" s="14">
        <f>'MKT DATA'!AB447</f>
        <v>0</v>
      </c>
    </row>
    <row r="65" spans="5:18" x14ac:dyDescent="0.25">
      <c r="E65" s="44" t="str">
        <f>'MKT DATA'!B448</f>
        <v>syn BTCZ6/BTCU6/BTCF7/BTCV6</v>
      </c>
      <c r="F65" s="14">
        <f>'MKT DATA'!J448</f>
        <v>0</v>
      </c>
      <c r="G65" s="9">
        <f>'MKT DATA'!K448</f>
        <v>0</v>
      </c>
      <c r="H65" s="9">
        <f>'MKT DATA'!L448</f>
        <v>0</v>
      </c>
      <c r="I65" s="14">
        <f>'MKT DATA'!M448</f>
        <v>0</v>
      </c>
      <c r="J65" s="44" t="str">
        <f t="shared" si="2"/>
        <v>syn BTCZ6/BTCU6/BTCF7/BTCV6</v>
      </c>
      <c r="K65" s="9">
        <f>'MKT DATA'!O448</f>
        <v>0</v>
      </c>
      <c r="L65" s="9">
        <f>'MKT DATA'!P448</f>
        <v>0</v>
      </c>
      <c r="M65" s="9">
        <f>'MKT DATA'!Q448</f>
        <v>0</v>
      </c>
      <c r="N65" s="9">
        <f>'MKT DATA'!R448</f>
        <v>0</v>
      </c>
      <c r="O65" s="9">
        <f>'MKT DATA'!S448</f>
        <v>0</v>
      </c>
      <c r="P65" s="9">
        <f>'MKT DATA'!T448</f>
        <v>0</v>
      </c>
      <c r="Q65" s="44" t="str">
        <f t="shared" si="3"/>
        <v>syn BTCZ6/BTCU6/BTCF7/BTCV6</v>
      </c>
      <c r="R65" s="14">
        <f>'MKT DATA'!AB448</f>
        <v>0</v>
      </c>
    </row>
    <row r="66" spans="5:18" x14ac:dyDescent="0.25">
      <c r="E66" s="44" t="str">
        <f>'MKT DATA'!B449</f>
        <v>syn BTCZ6/BTCU6/BTCG7/BTCV6</v>
      </c>
      <c r="F66" s="14">
        <f>'MKT DATA'!J449</f>
        <v>0</v>
      </c>
      <c r="G66" s="9">
        <f>'MKT DATA'!K449</f>
        <v>0</v>
      </c>
      <c r="H66" s="9">
        <f>'MKT DATA'!L449</f>
        <v>0</v>
      </c>
      <c r="I66" s="14">
        <f>'MKT DATA'!M449</f>
        <v>0</v>
      </c>
      <c r="J66" s="44" t="str">
        <f t="shared" si="2"/>
        <v>syn BTCZ6/BTCU6/BTCG7/BTCV6</v>
      </c>
      <c r="K66" s="9">
        <f>'MKT DATA'!O449</f>
        <v>0</v>
      </c>
      <c r="L66" s="9">
        <f>'MKT DATA'!P449</f>
        <v>0</v>
      </c>
      <c r="M66" s="9">
        <f>'MKT DATA'!Q449</f>
        <v>0</v>
      </c>
      <c r="N66" s="9">
        <f>'MKT DATA'!R449</f>
        <v>0</v>
      </c>
      <c r="O66" s="9">
        <f>'MKT DATA'!S449</f>
        <v>0</v>
      </c>
      <c r="P66" s="9">
        <f>'MKT DATA'!T449</f>
        <v>0</v>
      </c>
      <c r="Q66" s="44" t="str">
        <f t="shared" si="3"/>
        <v>syn BTCZ6/BTCU6/BTCG7/BTCV6</v>
      </c>
      <c r="R66" s="14">
        <f>'MKT DATA'!AB449</f>
        <v>0</v>
      </c>
    </row>
    <row r="67" spans="5:18" x14ac:dyDescent="0.25">
      <c r="E67" s="44" t="str">
        <f>'MKT DATA'!B450</f>
        <v>syn BTCZ6/BTCX6/BTCU6/BTCV6</v>
      </c>
      <c r="F67" s="14">
        <f>'MKT DATA'!J450</f>
        <v>0</v>
      </c>
      <c r="G67" s="9">
        <f>'MKT DATA'!K450</f>
        <v>0</v>
      </c>
      <c r="H67" s="9">
        <f>'MKT DATA'!L450</f>
        <v>0</v>
      </c>
      <c r="I67" s="14">
        <f>'MKT DATA'!M450</f>
        <v>0</v>
      </c>
      <c r="J67" s="44" t="str">
        <f t="shared" si="2"/>
        <v>syn BTCZ6/BTCX6/BTCU6/BTCV6</v>
      </c>
      <c r="K67" s="9">
        <f>'MKT DATA'!O450</f>
        <v>0</v>
      </c>
      <c r="L67" s="9">
        <f>'MKT DATA'!P450</f>
        <v>0</v>
      </c>
      <c r="M67" s="9">
        <f>'MKT DATA'!Q450</f>
        <v>0</v>
      </c>
      <c r="N67" s="9">
        <f>'MKT DATA'!R450</f>
        <v>0</v>
      </c>
      <c r="O67" s="9">
        <f>'MKT DATA'!S450</f>
        <v>0</v>
      </c>
      <c r="P67" s="9">
        <f>'MKT DATA'!T450</f>
        <v>0</v>
      </c>
      <c r="Q67" s="44" t="str">
        <f t="shared" si="3"/>
        <v>syn BTCZ6/BTCX6/BTCU6/BTCV6</v>
      </c>
      <c r="R67" s="14">
        <f>'MKT DATA'!AB450</f>
        <v>0</v>
      </c>
    </row>
    <row r="68" spans="5:18" x14ac:dyDescent="0.25">
      <c r="E68" s="44" t="str">
        <f>'MKT DATA'!B451</f>
        <v>syn BTCZ6/BTCX6/BTCF7/BTCV6</v>
      </c>
      <c r="F68" s="14">
        <f>'MKT DATA'!J451</f>
        <v>0</v>
      </c>
      <c r="G68" s="9">
        <f>'MKT DATA'!K451</f>
        <v>0</v>
      </c>
      <c r="H68" s="9">
        <f>'MKT DATA'!L451</f>
        <v>0</v>
      </c>
      <c r="I68" s="14">
        <f>'MKT DATA'!M451</f>
        <v>0</v>
      </c>
      <c r="J68" s="44" t="str">
        <f t="shared" si="2"/>
        <v>syn BTCZ6/BTCX6/BTCF7/BTCV6</v>
      </c>
      <c r="K68" s="9">
        <f>'MKT DATA'!O451</f>
        <v>0</v>
      </c>
      <c r="L68" s="9">
        <f>'MKT DATA'!P451</f>
        <v>0</v>
      </c>
      <c r="M68" s="9">
        <f>'MKT DATA'!Q451</f>
        <v>0</v>
      </c>
      <c r="N68" s="9">
        <f>'MKT DATA'!R451</f>
        <v>0</v>
      </c>
      <c r="O68" s="9">
        <f>'MKT DATA'!S451</f>
        <v>0</v>
      </c>
      <c r="P68" s="9">
        <f>'MKT DATA'!T451</f>
        <v>0</v>
      </c>
      <c r="Q68" s="44" t="str">
        <f t="shared" si="3"/>
        <v>syn BTCZ6/BTCX6/BTCF7/BTCV6</v>
      </c>
      <c r="R68" s="14">
        <f>'MKT DATA'!AB451</f>
        <v>0</v>
      </c>
    </row>
    <row r="69" spans="5:18" x14ac:dyDescent="0.25">
      <c r="E69" s="44" t="str">
        <f>'MKT DATA'!B452</f>
        <v>syn BTCZ6/BTCX6/BTCG7/BTCV6</v>
      </c>
      <c r="F69" s="14">
        <f>'MKT DATA'!J452</f>
        <v>0</v>
      </c>
      <c r="G69" s="9">
        <f>'MKT DATA'!K452</f>
        <v>0</v>
      </c>
      <c r="H69" s="9">
        <f>'MKT DATA'!L452</f>
        <v>0</v>
      </c>
      <c r="I69" s="14">
        <f>'MKT DATA'!M452</f>
        <v>0</v>
      </c>
      <c r="J69" s="44" t="str">
        <f t="shared" si="2"/>
        <v>syn BTCZ6/BTCX6/BTCG7/BTCV6</v>
      </c>
      <c r="K69" s="9">
        <f>'MKT DATA'!O452</f>
        <v>0</v>
      </c>
      <c r="L69" s="9">
        <f>'MKT DATA'!P452</f>
        <v>0</v>
      </c>
      <c r="M69" s="9">
        <f>'MKT DATA'!Q452</f>
        <v>0</v>
      </c>
      <c r="N69" s="9">
        <f>'MKT DATA'!R452</f>
        <v>0</v>
      </c>
      <c r="O69" s="9">
        <f>'MKT DATA'!S452</f>
        <v>0</v>
      </c>
      <c r="P69" s="9">
        <f>'MKT DATA'!T452</f>
        <v>0</v>
      </c>
      <c r="Q69" s="44" t="str">
        <f t="shared" si="3"/>
        <v>syn BTCZ6/BTCX6/BTCG7/BTCV6</v>
      </c>
      <c r="R69" s="14">
        <f>'MKT DATA'!AB452</f>
        <v>0</v>
      </c>
    </row>
    <row r="70" spans="5:18" x14ac:dyDescent="0.25">
      <c r="E70" s="44" t="str">
        <f>'MKT DATA'!B453</f>
        <v>syn BTCZ6/BTCF7/BTCU6/BTCV6</v>
      </c>
      <c r="F70" s="14">
        <f>'MKT DATA'!J453</f>
        <v>0</v>
      </c>
      <c r="G70" s="9">
        <f>'MKT DATA'!K453</f>
        <v>0</v>
      </c>
      <c r="H70" s="9">
        <f>'MKT DATA'!L453</f>
        <v>0</v>
      </c>
      <c r="I70" s="14">
        <f>'MKT DATA'!M453</f>
        <v>0</v>
      </c>
      <c r="J70" s="44" t="str">
        <f t="shared" si="2"/>
        <v>syn BTCZ6/BTCF7/BTCU6/BTCV6</v>
      </c>
      <c r="K70" s="9">
        <f>'MKT DATA'!O453</f>
        <v>0</v>
      </c>
      <c r="L70" s="9">
        <f>'MKT DATA'!P453</f>
        <v>0</v>
      </c>
      <c r="M70" s="9">
        <f>'MKT DATA'!Q453</f>
        <v>0</v>
      </c>
      <c r="N70" s="9">
        <f>'MKT DATA'!R453</f>
        <v>0</v>
      </c>
      <c r="O70" s="9">
        <f>'MKT DATA'!S453</f>
        <v>0</v>
      </c>
      <c r="P70" s="9">
        <f>'MKT DATA'!T453</f>
        <v>0</v>
      </c>
      <c r="Q70" s="44" t="str">
        <f t="shared" si="3"/>
        <v>syn BTCZ6/BTCF7/BTCU6/BTCV6</v>
      </c>
      <c r="R70" s="14">
        <f>'MKT DATA'!AB453</f>
        <v>0</v>
      </c>
    </row>
    <row r="71" spans="5:18" x14ac:dyDescent="0.25">
      <c r="E71" s="44" t="str">
        <f>'MKT DATA'!B454</f>
        <v>syn BTCZ6/BTCF7/BTCX6/BTCV6</v>
      </c>
      <c r="F71" s="14">
        <f>'MKT DATA'!J454</f>
        <v>0</v>
      </c>
      <c r="G71" s="9">
        <f>'MKT DATA'!K454</f>
        <v>0</v>
      </c>
      <c r="H71" s="9">
        <f>'MKT DATA'!L454</f>
        <v>0</v>
      </c>
      <c r="I71" s="14">
        <f>'MKT DATA'!M454</f>
        <v>0</v>
      </c>
      <c r="J71" s="44" t="str">
        <f t="shared" si="2"/>
        <v>syn BTCZ6/BTCF7/BTCX6/BTCV6</v>
      </c>
      <c r="K71" s="9">
        <f>'MKT DATA'!O454</f>
        <v>0</v>
      </c>
      <c r="L71" s="9">
        <f>'MKT DATA'!P454</f>
        <v>0</v>
      </c>
      <c r="M71" s="9">
        <f>'MKT DATA'!Q454</f>
        <v>0</v>
      </c>
      <c r="N71" s="9">
        <f>'MKT DATA'!R454</f>
        <v>0</v>
      </c>
      <c r="O71" s="9">
        <f>'MKT DATA'!S454</f>
        <v>0</v>
      </c>
      <c r="P71" s="9">
        <f>'MKT DATA'!T454</f>
        <v>0</v>
      </c>
      <c r="Q71" s="44" t="str">
        <f t="shared" si="3"/>
        <v>syn BTCZ6/BTCF7/BTCX6/BTCV6</v>
      </c>
      <c r="R71" s="14">
        <f>'MKT DATA'!AB454</f>
        <v>0</v>
      </c>
    </row>
    <row r="72" spans="5:18" x14ac:dyDescent="0.25">
      <c r="E72" s="44" t="str">
        <f>'MKT DATA'!B455</f>
        <v>syn BTCZ6/BTCF7/BTCG7/BTCV6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BTCZ6/BTCF7/BTCG7/BTCV6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BTCZ6/BTCF7/BTCG7/BTCV6</v>
      </c>
      <c r="R72" s="14">
        <f>'MKT DATA'!AB455</f>
        <v>0</v>
      </c>
    </row>
    <row r="73" spans="5:18" x14ac:dyDescent="0.25">
      <c r="E73" s="44" t="str">
        <f>'MKT DATA'!B456</f>
        <v>syn BTCZ6/BTCG7/BTCU6/BTCV6</v>
      </c>
      <c r="F73" s="14">
        <f>'MKT DATA'!J456</f>
        <v>0</v>
      </c>
      <c r="G73" s="9">
        <f>'MKT DATA'!K456</f>
        <v>0</v>
      </c>
      <c r="H73" s="9">
        <f>'MKT DATA'!L456</f>
        <v>0</v>
      </c>
      <c r="I73" s="14">
        <f>'MKT DATA'!M456</f>
        <v>0</v>
      </c>
      <c r="J73" s="44" t="str">
        <f t="shared" si="2"/>
        <v>syn BTCZ6/BTCG7/BTCU6/BTCV6</v>
      </c>
      <c r="K73" s="9">
        <f>'MKT DATA'!O456</f>
        <v>0</v>
      </c>
      <c r="L73" s="9">
        <f>'MKT DATA'!P456</f>
        <v>0</v>
      </c>
      <c r="M73" s="9">
        <f>'MKT DATA'!Q456</f>
        <v>0</v>
      </c>
      <c r="N73" s="9">
        <f>'MKT DATA'!R456</f>
        <v>0</v>
      </c>
      <c r="O73" s="9">
        <f>'MKT DATA'!S456</f>
        <v>0</v>
      </c>
      <c r="P73" s="9">
        <f>'MKT DATA'!T456</f>
        <v>0</v>
      </c>
      <c r="Q73" s="44" t="str">
        <f t="shared" si="3"/>
        <v>syn BTCZ6/BTCG7/BTCU6/BTCV6</v>
      </c>
      <c r="R73" s="14">
        <f>'MKT DATA'!AB456</f>
        <v>0</v>
      </c>
    </row>
    <row r="74" spans="5:18" x14ac:dyDescent="0.25">
      <c r="E74" s="44" t="str">
        <f>'MKT DATA'!B457</f>
        <v>syn BTCZ6/BTCG7/BTCX6/BTCV6</v>
      </c>
      <c r="F74" s="14">
        <f>'MKT DATA'!J457</f>
        <v>0</v>
      </c>
      <c r="G74" s="9">
        <f>'MKT DATA'!K457</f>
        <v>0</v>
      </c>
      <c r="H74" s="9">
        <f>'MKT DATA'!L457</f>
        <v>0</v>
      </c>
      <c r="I74" s="14">
        <f>'MKT DATA'!M457</f>
        <v>0</v>
      </c>
      <c r="J74" s="44" t="str">
        <f t="shared" ref="J74:J137" si="4">E74</f>
        <v>syn BTCZ6/BTCG7/BTCX6/BTCV6</v>
      </c>
      <c r="K74" s="9">
        <f>'MKT DATA'!O457</f>
        <v>0</v>
      </c>
      <c r="L74" s="9">
        <f>'MKT DATA'!P457</f>
        <v>0</v>
      </c>
      <c r="M74" s="9">
        <f>'MKT DATA'!Q457</f>
        <v>0</v>
      </c>
      <c r="N74" s="9">
        <f>'MKT DATA'!R457</f>
        <v>0</v>
      </c>
      <c r="O74" s="9">
        <f>'MKT DATA'!S457</f>
        <v>0</v>
      </c>
      <c r="P74" s="9">
        <f>'MKT DATA'!T457</f>
        <v>0</v>
      </c>
      <c r="Q74" s="44" t="str">
        <f t="shared" ref="Q74:Q137" si="5">J74</f>
        <v>syn BTCZ6/BTCG7/BTCX6/BTCV6</v>
      </c>
      <c r="R74" s="14">
        <f>'MKT DATA'!AB457</f>
        <v>0</v>
      </c>
    </row>
    <row r="75" spans="5:18" x14ac:dyDescent="0.25">
      <c r="E75" s="44" t="str">
        <f>'MKT DATA'!B458</f>
        <v>syn BTCZ6/BTCG7/BTCF7/BTCV6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BTCZ6/BTCG7/BTCF7/BTCV6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BTCZ6/BTCG7/BTCF7/BTCV6</v>
      </c>
      <c r="R75" s="14">
        <f>'MKT DATA'!AB458</f>
        <v>0</v>
      </c>
    </row>
    <row r="76" spans="5:18" x14ac:dyDescent="0.25">
      <c r="E76" s="44" t="str">
        <f>'MKT DATA'!B459</f>
        <v>syn BTCF7/BTCU6/BTCX6/BTCV6</v>
      </c>
      <c r="F76" s="14">
        <f>'MKT DATA'!J459</f>
        <v>0</v>
      </c>
      <c r="G76" s="9">
        <f>'MKT DATA'!K459</f>
        <v>0</v>
      </c>
      <c r="H76" s="9">
        <f>'MKT DATA'!L459</f>
        <v>0</v>
      </c>
      <c r="I76" s="14">
        <f>'MKT DATA'!M459</f>
        <v>0</v>
      </c>
      <c r="J76" s="44" t="str">
        <f t="shared" si="4"/>
        <v>syn BTCF7/BTCU6/BTCX6/BTCV6</v>
      </c>
      <c r="K76" s="9">
        <f>'MKT DATA'!O459</f>
        <v>0</v>
      </c>
      <c r="L76" s="9">
        <f>'MKT DATA'!P459</f>
        <v>0</v>
      </c>
      <c r="M76" s="9">
        <f>'MKT DATA'!Q459</f>
        <v>0</v>
      </c>
      <c r="N76" s="9">
        <f>'MKT DATA'!R459</f>
        <v>0</v>
      </c>
      <c r="O76" s="9">
        <f>'MKT DATA'!S459</f>
        <v>0</v>
      </c>
      <c r="P76" s="9">
        <f>'MKT DATA'!T459</f>
        <v>0</v>
      </c>
      <c r="Q76" s="44" t="str">
        <f t="shared" si="5"/>
        <v>syn BTCF7/BTCU6/BTCX6/BTCV6</v>
      </c>
      <c r="R76" s="14">
        <f>'MKT DATA'!AB459</f>
        <v>0</v>
      </c>
    </row>
    <row r="77" spans="5:18" x14ac:dyDescent="0.25">
      <c r="E77" s="44" t="str">
        <f>'MKT DATA'!B460</f>
        <v>syn BTCF7/BTCU6/BTCZ6/BTCV6</v>
      </c>
      <c r="F77" s="14">
        <f>'MKT DATA'!J460</f>
        <v>0</v>
      </c>
      <c r="G77" s="9">
        <f>'MKT DATA'!K460</f>
        <v>0</v>
      </c>
      <c r="H77" s="9">
        <f>'MKT DATA'!L460</f>
        <v>0</v>
      </c>
      <c r="I77" s="14">
        <f>'MKT DATA'!M460</f>
        <v>0</v>
      </c>
      <c r="J77" s="44" t="str">
        <f t="shared" si="4"/>
        <v>syn BTCF7/BTCU6/BTCZ6/BTCV6</v>
      </c>
      <c r="K77" s="9">
        <f>'MKT DATA'!O460</f>
        <v>0</v>
      </c>
      <c r="L77" s="9">
        <f>'MKT DATA'!P460</f>
        <v>0</v>
      </c>
      <c r="M77" s="9">
        <f>'MKT DATA'!Q460</f>
        <v>0</v>
      </c>
      <c r="N77" s="9">
        <f>'MKT DATA'!R460</f>
        <v>0</v>
      </c>
      <c r="O77" s="9">
        <f>'MKT DATA'!S460</f>
        <v>0</v>
      </c>
      <c r="P77" s="9">
        <f>'MKT DATA'!T460</f>
        <v>0</v>
      </c>
      <c r="Q77" s="44" t="str">
        <f t="shared" si="5"/>
        <v>syn BTCF7/BTCU6/BTCZ6/BTCV6</v>
      </c>
      <c r="R77" s="14">
        <f>'MKT DATA'!AB460</f>
        <v>0</v>
      </c>
    </row>
    <row r="78" spans="5:18" x14ac:dyDescent="0.25">
      <c r="E78" s="44" t="str">
        <f>'MKT DATA'!B461</f>
        <v>syn BTCF7/BTCU6/BTCG7/BTCV6</v>
      </c>
      <c r="F78" s="14">
        <f>'MKT DATA'!J461</f>
        <v>0</v>
      </c>
      <c r="G78" s="9">
        <f>'MKT DATA'!K461</f>
        <v>0</v>
      </c>
      <c r="H78" s="9">
        <f>'MKT DATA'!L461</f>
        <v>0</v>
      </c>
      <c r="I78" s="14">
        <f>'MKT DATA'!M461</f>
        <v>0</v>
      </c>
      <c r="J78" s="44" t="str">
        <f t="shared" si="4"/>
        <v>syn BTCF7/BTCU6/BTCG7/BTCV6</v>
      </c>
      <c r="K78" s="9">
        <f>'MKT DATA'!O461</f>
        <v>0</v>
      </c>
      <c r="L78" s="9">
        <f>'MKT DATA'!P461</f>
        <v>0</v>
      </c>
      <c r="M78" s="9">
        <f>'MKT DATA'!Q461</f>
        <v>0</v>
      </c>
      <c r="N78" s="9">
        <f>'MKT DATA'!R461</f>
        <v>0</v>
      </c>
      <c r="O78" s="9">
        <f>'MKT DATA'!S461</f>
        <v>0</v>
      </c>
      <c r="P78" s="9">
        <f>'MKT DATA'!T461</f>
        <v>0</v>
      </c>
      <c r="Q78" s="44" t="str">
        <f t="shared" si="5"/>
        <v>syn BTCF7/BTCU6/BTCG7/BTCV6</v>
      </c>
      <c r="R78" s="14">
        <f>'MKT DATA'!AB461</f>
        <v>0</v>
      </c>
    </row>
    <row r="79" spans="5:18" x14ac:dyDescent="0.25">
      <c r="E79" s="44" t="str">
        <f>'MKT DATA'!B462</f>
        <v>syn BTCF7/BTCX6/BTCU6/BTCV6</v>
      </c>
      <c r="F79" s="14">
        <f>'MKT DATA'!J462</f>
        <v>0</v>
      </c>
      <c r="G79" s="9">
        <f>'MKT DATA'!K462</f>
        <v>0</v>
      </c>
      <c r="H79" s="9">
        <f>'MKT DATA'!L462</f>
        <v>0</v>
      </c>
      <c r="I79" s="14">
        <f>'MKT DATA'!M462</f>
        <v>0</v>
      </c>
      <c r="J79" s="44" t="str">
        <f t="shared" si="4"/>
        <v>syn BTCF7/BTCX6/BTCU6/BTCV6</v>
      </c>
      <c r="K79" s="9">
        <f>'MKT DATA'!O462</f>
        <v>0</v>
      </c>
      <c r="L79" s="9">
        <f>'MKT DATA'!P462</f>
        <v>0</v>
      </c>
      <c r="M79" s="9">
        <f>'MKT DATA'!Q462</f>
        <v>0</v>
      </c>
      <c r="N79" s="9">
        <f>'MKT DATA'!R462</f>
        <v>0</v>
      </c>
      <c r="O79" s="9">
        <f>'MKT DATA'!S462</f>
        <v>0</v>
      </c>
      <c r="P79" s="9">
        <f>'MKT DATA'!T462</f>
        <v>0</v>
      </c>
      <c r="Q79" s="44" t="str">
        <f t="shared" si="5"/>
        <v>syn BTCF7/BTCX6/BTCU6/BTCV6</v>
      </c>
      <c r="R79" s="14">
        <f>'MKT DATA'!AB462</f>
        <v>0</v>
      </c>
    </row>
    <row r="80" spans="5:18" x14ac:dyDescent="0.25">
      <c r="E80" s="44" t="str">
        <f>'MKT DATA'!B463</f>
        <v>syn BTCF7/BTCX6/BTCZ6/BTCV6</v>
      </c>
      <c r="F80" s="14">
        <f>'MKT DATA'!J463</f>
        <v>0</v>
      </c>
      <c r="G80" s="9">
        <f>'MKT DATA'!K463</f>
        <v>0</v>
      </c>
      <c r="H80" s="9">
        <f>'MKT DATA'!L463</f>
        <v>0</v>
      </c>
      <c r="I80" s="14">
        <f>'MKT DATA'!M463</f>
        <v>0</v>
      </c>
      <c r="J80" s="44" t="str">
        <f t="shared" si="4"/>
        <v>syn BTCF7/BTCX6/BTCZ6/BTCV6</v>
      </c>
      <c r="K80" s="9">
        <f>'MKT DATA'!O463</f>
        <v>0</v>
      </c>
      <c r="L80" s="9">
        <f>'MKT DATA'!P463</f>
        <v>0</v>
      </c>
      <c r="M80" s="9">
        <f>'MKT DATA'!Q463</f>
        <v>0</v>
      </c>
      <c r="N80" s="9">
        <f>'MKT DATA'!R463</f>
        <v>0</v>
      </c>
      <c r="O80" s="9">
        <f>'MKT DATA'!S463</f>
        <v>0</v>
      </c>
      <c r="P80" s="9">
        <f>'MKT DATA'!T463</f>
        <v>0</v>
      </c>
      <c r="Q80" s="44" t="str">
        <f t="shared" si="5"/>
        <v>syn BTCF7/BTCX6/BTCZ6/BTCV6</v>
      </c>
      <c r="R80" s="14">
        <f>'MKT DATA'!AB463</f>
        <v>0</v>
      </c>
    </row>
    <row r="81" spans="5:18" x14ac:dyDescent="0.25">
      <c r="E81" s="44" t="str">
        <f>'MKT DATA'!B464</f>
        <v>syn BTCF7/BTCX6/BTCG7/BTCV6</v>
      </c>
      <c r="F81" s="14">
        <f>'MKT DATA'!J464</f>
        <v>0</v>
      </c>
      <c r="G81" s="9">
        <f>'MKT DATA'!K464</f>
        <v>0</v>
      </c>
      <c r="H81" s="9">
        <f>'MKT DATA'!L464</f>
        <v>0</v>
      </c>
      <c r="I81" s="14">
        <f>'MKT DATA'!M464</f>
        <v>0</v>
      </c>
      <c r="J81" s="44" t="str">
        <f t="shared" si="4"/>
        <v>syn BTCF7/BTCX6/BTCG7/BTCV6</v>
      </c>
      <c r="K81" s="9">
        <f>'MKT DATA'!O464</f>
        <v>0</v>
      </c>
      <c r="L81" s="9">
        <f>'MKT DATA'!P464</f>
        <v>0</v>
      </c>
      <c r="M81" s="9">
        <f>'MKT DATA'!Q464</f>
        <v>0</v>
      </c>
      <c r="N81" s="9">
        <f>'MKT DATA'!R464</f>
        <v>0</v>
      </c>
      <c r="O81" s="9">
        <f>'MKT DATA'!S464</f>
        <v>0</v>
      </c>
      <c r="P81" s="9">
        <f>'MKT DATA'!T464</f>
        <v>0</v>
      </c>
      <c r="Q81" s="44" t="str">
        <f t="shared" si="5"/>
        <v>syn BTCF7/BTCX6/BTCG7/BTCV6</v>
      </c>
      <c r="R81" s="14">
        <f>'MKT DATA'!AB464</f>
        <v>0</v>
      </c>
    </row>
    <row r="82" spans="5:18" x14ac:dyDescent="0.25">
      <c r="E82" s="44" t="str">
        <f>'MKT DATA'!B465</f>
        <v>syn BTCF7/BTCZ6/BTCU6/BTCV6</v>
      </c>
      <c r="F82" s="14">
        <f>'MKT DATA'!J465</f>
        <v>0</v>
      </c>
      <c r="G82" s="9">
        <f>'MKT DATA'!K465</f>
        <v>0</v>
      </c>
      <c r="H82" s="9">
        <f>'MKT DATA'!L465</f>
        <v>0</v>
      </c>
      <c r="I82" s="14">
        <f>'MKT DATA'!M465</f>
        <v>0</v>
      </c>
      <c r="J82" s="44" t="str">
        <f t="shared" si="4"/>
        <v>syn BTCF7/BTCZ6/BTCU6/BTCV6</v>
      </c>
      <c r="K82" s="9">
        <f>'MKT DATA'!O465</f>
        <v>0</v>
      </c>
      <c r="L82" s="9">
        <f>'MKT DATA'!P465</f>
        <v>0</v>
      </c>
      <c r="M82" s="9">
        <f>'MKT DATA'!Q465</f>
        <v>0</v>
      </c>
      <c r="N82" s="9">
        <f>'MKT DATA'!R465</f>
        <v>0</v>
      </c>
      <c r="O82" s="9">
        <f>'MKT DATA'!S465</f>
        <v>0</v>
      </c>
      <c r="P82" s="9">
        <f>'MKT DATA'!T465</f>
        <v>0</v>
      </c>
      <c r="Q82" s="44" t="str">
        <f t="shared" si="5"/>
        <v>syn BTCF7/BTCZ6/BTCU6/BTCV6</v>
      </c>
      <c r="R82" s="14">
        <f>'MKT DATA'!AB465</f>
        <v>0</v>
      </c>
    </row>
    <row r="83" spans="5:18" x14ac:dyDescent="0.25">
      <c r="E83" s="44" t="str">
        <f>'MKT DATA'!B466</f>
        <v>syn BTCF7/BTCZ6/BTCX6/BTCV6</v>
      </c>
      <c r="F83" s="14">
        <f>'MKT DATA'!J466</f>
        <v>0</v>
      </c>
      <c r="G83" s="9">
        <f>'MKT DATA'!K466</f>
        <v>0</v>
      </c>
      <c r="H83" s="9">
        <f>'MKT DATA'!L466</f>
        <v>0</v>
      </c>
      <c r="I83" s="14">
        <f>'MKT DATA'!M466</f>
        <v>0</v>
      </c>
      <c r="J83" s="44" t="str">
        <f t="shared" si="4"/>
        <v>syn BTCF7/BTCZ6/BTCX6/BTCV6</v>
      </c>
      <c r="K83" s="9">
        <f>'MKT DATA'!O466</f>
        <v>0</v>
      </c>
      <c r="L83" s="9">
        <f>'MKT DATA'!P466</f>
        <v>0</v>
      </c>
      <c r="M83" s="9">
        <f>'MKT DATA'!Q466</f>
        <v>0</v>
      </c>
      <c r="N83" s="9">
        <f>'MKT DATA'!R466</f>
        <v>0</v>
      </c>
      <c r="O83" s="9">
        <f>'MKT DATA'!S466</f>
        <v>0</v>
      </c>
      <c r="P83" s="9">
        <f>'MKT DATA'!T466</f>
        <v>0</v>
      </c>
      <c r="Q83" s="44" t="str">
        <f t="shared" si="5"/>
        <v>syn BTCF7/BTCZ6/BTCX6/BTCV6</v>
      </c>
      <c r="R83" s="14">
        <f>'MKT DATA'!AB466</f>
        <v>0</v>
      </c>
    </row>
    <row r="84" spans="5:18" x14ac:dyDescent="0.25">
      <c r="E84" s="44" t="str">
        <f>'MKT DATA'!B467</f>
        <v>syn BTCF7/BTCZ6/BTCG7/BTCV6</v>
      </c>
      <c r="F84" s="14">
        <f>'MKT DATA'!J467</f>
        <v>0</v>
      </c>
      <c r="G84" s="9">
        <f>'MKT DATA'!K467</f>
        <v>0</v>
      </c>
      <c r="H84" s="9">
        <f>'MKT DATA'!L467</f>
        <v>0</v>
      </c>
      <c r="I84" s="14">
        <f>'MKT DATA'!M467</f>
        <v>0</v>
      </c>
      <c r="J84" s="44" t="str">
        <f t="shared" si="4"/>
        <v>syn BTCF7/BTCZ6/BTCG7/BTCV6</v>
      </c>
      <c r="K84" s="9">
        <f>'MKT DATA'!O467</f>
        <v>0</v>
      </c>
      <c r="L84" s="9">
        <f>'MKT DATA'!P467</f>
        <v>0</v>
      </c>
      <c r="M84" s="9">
        <f>'MKT DATA'!Q467</f>
        <v>0</v>
      </c>
      <c r="N84" s="9">
        <f>'MKT DATA'!R467</f>
        <v>0</v>
      </c>
      <c r="O84" s="9">
        <f>'MKT DATA'!S467</f>
        <v>0</v>
      </c>
      <c r="P84" s="9">
        <f>'MKT DATA'!T467</f>
        <v>0</v>
      </c>
      <c r="Q84" s="44" t="str">
        <f t="shared" si="5"/>
        <v>syn BTCF7/BTCZ6/BTCG7/BTCV6</v>
      </c>
      <c r="R84" s="14">
        <f>'MKT DATA'!AB467</f>
        <v>0</v>
      </c>
    </row>
    <row r="85" spans="5:18" x14ac:dyDescent="0.25">
      <c r="E85" s="44" t="str">
        <f>'MKT DATA'!B468</f>
        <v>syn BTCF7/BTCG7/BTCU6/BTCV6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BTCF7/BTCG7/BTCU6/BTCV6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BTCF7/BTCG7/BTCU6/BTCV6</v>
      </c>
      <c r="R85" s="14">
        <f>'MKT DATA'!AB468</f>
        <v>0</v>
      </c>
    </row>
    <row r="86" spans="5:18" x14ac:dyDescent="0.25">
      <c r="E86" s="44" t="str">
        <f>'MKT DATA'!B469</f>
        <v>syn BTCF7/BTCG7/BTCX6/BTCV6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BTCF7/BTCG7/BTCX6/BTCV6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BTCF7/BTCG7/BTCX6/BTCV6</v>
      </c>
      <c r="R86" s="14">
        <f>'MKT DATA'!AB469</f>
        <v>0</v>
      </c>
    </row>
    <row r="87" spans="5:18" x14ac:dyDescent="0.25">
      <c r="E87" s="44" t="str">
        <f>'MKT DATA'!B470</f>
        <v>syn BTCF7/BTCG7/BTCZ6/BTCV6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BTCF7/BTCG7/BTCZ6/BTCV6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BTCF7/BTCG7/BTCZ6/BTCV6</v>
      </c>
      <c r="R87" s="14">
        <f>'MKT DATA'!AB470</f>
        <v>0</v>
      </c>
    </row>
    <row r="88" spans="5:18" x14ac:dyDescent="0.25">
      <c r="E88" s="44" t="str">
        <f>'MKT DATA'!B471</f>
        <v>syn BTCG7/BTCU6/BTCX6/BTCV6</v>
      </c>
      <c r="F88" s="14">
        <f>'MKT DATA'!J471</f>
        <v>0</v>
      </c>
      <c r="G88" s="9">
        <f>'MKT DATA'!K471</f>
        <v>0</v>
      </c>
      <c r="H88" s="9">
        <f>'MKT DATA'!L471</f>
        <v>0</v>
      </c>
      <c r="I88" s="14">
        <f>'MKT DATA'!M471</f>
        <v>0</v>
      </c>
      <c r="J88" s="44" t="str">
        <f t="shared" si="4"/>
        <v>syn BTCG7/BTCU6/BTCX6/BTCV6</v>
      </c>
      <c r="K88" s="9">
        <f>'MKT DATA'!O471</f>
        <v>0</v>
      </c>
      <c r="L88" s="9">
        <f>'MKT DATA'!P471</f>
        <v>0</v>
      </c>
      <c r="M88" s="9">
        <f>'MKT DATA'!Q471</f>
        <v>0</v>
      </c>
      <c r="N88" s="9">
        <f>'MKT DATA'!R471</f>
        <v>0</v>
      </c>
      <c r="O88" s="9">
        <f>'MKT DATA'!S471</f>
        <v>0</v>
      </c>
      <c r="P88" s="9">
        <f>'MKT DATA'!T471</f>
        <v>0</v>
      </c>
      <c r="Q88" s="44" t="str">
        <f t="shared" si="5"/>
        <v>syn BTCG7/BTCU6/BTCX6/BTCV6</v>
      </c>
      <c r="R88" s="14">
        <f>'MKT DATA'!AB471</f>
        <v>0</v>
      </c>
    </row>
    <row r="89" spans="5:18" x14ac:dyDescent="0.25">
      <c r="E89" s="44" t="str">
        <f>'MKT DATA'!B472</f>
        <v>syn BTCG7/BTCU6/BTCZ6/BTCV6</v>
      </c>
      <c r="F89" s="14">
        <f>'MKT DATA'!J472</f>
        <v>0</v>
      </c>
      <c r="G89" s="9">
        <f>'MKT DATA'!K472</f>
        <v>0</v>
      </c>
      <c r="H89" s="9">
        <f>'MKT DATA'!L472</f>
        <v>0</v>
      </c>
      <c r="I89" s="14">
        <f>'MKT DATA'!M472</f>
        <v>0</v>
      </c>
      <c r="J89" s="44" t="str">
        <f t="shared" si="4"/>
        <v>syn BTCG7/BTCU6/BTCZ6/BTCV6</v>
      </c>
      <c r="K89" s="9">
        <f>'MKT DATA'!O472</f>
        <v>0</v>
      </c>
      <c r="L89" s="9">
        <f>'MKT DATA'!P472</f>
        <v>0</v>
      </c>
      <c r="M89" s="9">
        <f>'MKT DATA'!Q472</f>
        <v>0</v>
      </c>
      <c r="N89" s="9">
        <f>'MKT DATA'!R472</f>
        <v>0</v>
      </c>
      <c r="O89" s="9">
        <f>'MKT DATA'!S472</f>
        <v>0</v>
      </c>
      <c r="P89" s="9">
        <f>'MKT DATA'!T472</f>
        <v>0</v>
      </c>
      <c r="Q89" s="44" t="str">
        <f t="shared" si="5"/>
        <v>syn BTCG7/BTCU6/BTCZ6/BTCV6</v>
      </c>
      <c r="R89" s="14">
        <f>'MKT DATA'!AB472</f>
        <v>0</v>
      </c>
    </row>
    <row r="90" spans="5:18" x14ac:dyDescent="0.25">
      <c r="E90" s="44" t="str">
        <f>'MKT DATA'!B473</f>
        <v>syn BTCG7/BTCU6/BTCF7/BTCV6</v>
      </c>
      <c r="F90" s="14">
        <f>'MKT DATA'!J473</f>
        <v>0</v>
      </c>
      <c r="G90" s="9">
        <f>'MKT DATA'!K473</f>
        <v>0</v>
      </c>
      <c r="H90" s="9">
        <f>'MKT DATA'!L473</f>
        <v>0</v>
      </c>
      <c r="I90" s="14">
        <f>'MKT DATA'!M473</f>
        <v>0</v>
      </c>
      <c r="J90" s="44" t="str">
        <f t="shared" si="4"/>
        <v>syn BTCG7/BTCU6/BTCF7/BTCV6</v>
      </c>
      <c r="K90" s="9">
        <f>'MKT DATA'!O473</f>
        <v>0</v>
      </c>
      <c r="L90" s="9">
        <f>'MKT DATA'!P473</f>
        <v>0</v>
      </c>
      <c r="M90" s="9">
        <f>'MKT DATA'!Q473</f>
        <v>0</v>
      </c>
      <c r="N90" s="9">
        <f>'MKT DATA'!R473</f>
        <v>0</v>
      </c>
      <c r="O90" s="9">
        <f>'MKT DATA'!S473</f>
        <v>0</v>
      </c>
      <c r="P90" s="9">
        <f>'MKT DATA'!T473</f>
        <v>0</v>
      </c>
      <c r="Q90" s="44" t="str">
        <f t="shared" si="5"/>
        <v>syn BTCG7/BTCU6/BTCF7/BTCV6</v>
      </c>
      <c r="R90" s="14">
        <f>'MKT DATA'!AB473</f>
        <v>0</v>
      </c>
    </row>
    <row r="91" spans="5:18" x14ac:dyDescent="0.25">
      <c r="E91" s="44" t="str">
        <f>'MKT DATA'!B474</f>
        <v>syn BTCG7/BTCX6/BTCU6/BTCV6</v>
      </c>
      <c r="F91" s="14">
        <f>'MKT DATA'!J474</f>
        <v>0</v>
      </c>
      <c r="G91" s="9">
        <f>'MKT DATA'!K474</f>
        <v>0</v>
      </c>
      <c r="H91" s="9">
        <f>'MKT DATA'!L474</f>
        <v>0</v>
      </c>
      <c r="I91" s="14">
        <f>'MKT DATA'!M474</f>
        <v>0</v>
      </c>
      <c r="J91" s="44" t="str">
        <f t="shared" si="4"/>
        <v>syn BTCG7/BTCX6/BTCU6/BTCV6</v>
      </c>
      <c r="K91" s="9">
        <f>'MKT DATA'!O474</f>
        <v>0</v>
      </c>
      <c r="L91" s="9">
        <f>'MKT DATA'!P474</f>
        <v>0</v>
      </c>
      <c r="M91" s="9">
        <f>'MKT DATA'!Q474</f>
        <v>0</v>
      </c>
      <c r="N91" s="9">
        <f>'MKT DATA'!R474</f>
        <v>0</v>
      </c>
      <c r="O91" s="9">
        <f>'MKT DATA'!S474</f>
        <v>0</v>
      </c>
      <c r="P91" s="9">
        <f>'MKT DATA'!T474</f>
        <v>0</v>
      </c>
      <c r="Q91" s="44" t="str">
        <f t="shared" si="5"/>
        <v>syn BTCG7/BTCX6/BTCU6/BTCV6</v>
      </c>
      <c r="R91" s="14">
        <f>'MKT DATA'!AB474</f>
        <v>0</v>
      </c>
    </row>
    <row r="92" spans="5:18" x14ac:dyDescent="0.25">
      <c r="E92" s="44" t="str">
        <f>'MKT DATA'!B475</f>
        <v>syn BTCG7/BTCX6/BTCZ6/BTCV6</v>
      </c>
      <c r="F92" s="14">
        <f>'MKT DATA'!J475</f>
        <v>0</v>
      </c>
      <c r="G92" s="9">
        <f>'MKT DATA'!K475</f>
        <v>0</v>
      </c>
      <c r="H92" s="9">
        <f>'MKT DATA'!L475</f>
        <v>0</v>
      </c>
      <c r="I92" s="14">
        <f>'MKT DATA'!M475</f>
        <v>0</v>
      </c>
      <c r="J92" s="44" t="str">
        <f t="shared" si="4"/>
        <v>syn BTCG7/BTCX6/BTCZ6/BTCV6</v>
      </c>
      <c r="K92" s="9">
        <f>'MKT DATA'!O475</f>
        <v>0</v>
      </c>
      <c r="L92" s="9">
        <f>'MKT DATA'!P475</f>
        <v>0</v>
      </c>
      <c r="M92" s="9">
        <f>'MKT DATA'!Q475</f>
        <v>0</v>
      </c>
      <c r="N92" s="9">
        <f>'MKT DATA'!R475</f>
        <v>0</v>
      </c>
      <c r="O92" s="9">
        <f>'MKT DATA'!S475</f>
        <v>0</v>
      </c>
      <c r="P92" s="9">
        <f>'MKT DATA'!T475</f>
        <v>0</v>
      </c>
      <c r="Q92" s="44" t="str">
        <f t="shared" si="5"/>
        <v>syn BTCG7/BTCX6/BTCZ6/BTCV6</v>
      </c>
      <c r="R92" s="14">
        <f>'MKT DATA'!AB475</f>
        <v>0</v>
      </c>
    </row>
    <row r="93" spans="5:18" x14ac:dyDescent="0.25">
      <c r="E93" s="44" t="str">
        <f>'MKT DATA'!B476</f>
        <v>syn BTCG7/BTCX6/BTCF7/BTCV6</v>
      </c>
      <c r="F93" s="14">
        <f>'MKT DATA'!J476</f>
        <v>0</v>
      </c>
      <c r="G93" s="9">
        <f>'MKT DATA'!K476</f>
        <v>0</v>
      </c>
      <c r="H93" s="9">
        <f>'MKT DATA'!L476</f>
        <v>0</v>
      </c>
      <c r="I93" s="14">
        <f>'MKT DATA'!M476</f>
        <v>0</v>
      </c>
      <c r="J93" s="44" t="str">
        <f t="shared" si="4"/>
        <v>syn BTCG7/BTCX6/BTCF7/BTCV6</v>
      </c>
      <c r="K93" s="9">
        <f>'MKT DATA'!O476</f>
        <v>0</v>
      </c>
      <c r="L93" s="9">
        <f>'MKT DATA'!P476</f>
        <v>0</v>
      </c>
      <c r="M93" s="9">
        <f>'MKT DATA'!Q476</f>
        <v>0</v>
      </c>
      <c r="N93" s="9">
        <f>'MKT DATA'!R476</f>
        <v>0</v>
      </c>
      <c r="O93" s="9">
        <f>'MKT DATA'!S476</f>
        <v>0</v>
      </c>
      <c r="P93" s="9">
        <f>'MKT DATA'!T476</f>
        <v>0</v>
      </c>
      <c r="Q93" s="44" t="str">
        <f t="shared" si="5"/>
        <v>syn BTCG7/BTCX6/BTCF7/BTCV6</v>
      </c>
      <c r="R93" s="14">
        <f>'MKT DATA'!AB476</f>
        <v>0</v>
      </c>
    </row>
    <row r="94" spans="5:18" x14ac:dyDescent="0.25">
      <c r="E94" s="44" t="str">
        <f>'MKT DATA'!B477</f>
        <v>syn BTCG7/BTCZ6/BTCU6/BTCV6</v>
      </c>
      <c r="F94" s="14">
        <f>'MKT DATA'!J477</f>
        <v>0</v>
      </c>
      <c r="G94" s="9">
        <f>'MKT DATA'!K477</f>
        <v>0</v>
      </c>
      <c r="H94" s="9">
        <f>'MKT DATA'!L477</f>
        <v>0</v>
      </c>
      <c r="I94" s="14">
        <f>'MKT DATA'!M477</f>
        <v>0</v>
      </c>
      <c r="J94" s="44" t="str">
        <f t="shared" si="4"/>
        <v>syn BTCG7/BTCZ6/BTCU6/BTCV6</v>
      </c>
      <c r="K94" s="9">
        <f>'MKT DATA'!O477</f>
        <v>0</v>
      </c>
      <c r="L94" s="9">
        <f>'MKT DATA'!P477</f>
        <v>0</v>
      </c>
      <c r="M94" s="9">
        <f>'MKT DATA'!Q477</f>
        <v>0</v>
      </c>
      <c r="N94" s="9">
        <f>'MKT DATA'!R477</f>
        <v>0</v>
      </c>
      <c r="O94" s="9">
        <f>'MKT DATA'!S477</f>
        <v>0</v>
      </c>
      <c r="P94" s="9">
        <f>'MKT DATA'!T477</f>
        <v>0</v>
      </c>
      <c r="Q94" s="44" t="str">
        <f t="shared" si="5"/>
        <v>syn BTCG7/BTCZ6/BTCU6/BTCV6</v>
      </c>
      <c r="R94" s="14">
        <f>'MKT DATA'!AB477</f>
        <v>0</v>
      </c>
    </row>
    <row r="95" spans="5:18" x14ac:dyDescent="0.25">
      <c r="E95" s="44" t="str">
        <f>'MKT DATA'!B478</f>
        <v>syn BTCG7/BTCZ6/BTCX6/BTCV6</v>
      </c>
      <c r="F95" s="14">
        <f>'MKT DATA'!J478</f>
        <v>0</v>
      </c>
      <c r="G95" s="9">
        <f>'MKT DATA'!K478</f>
        <v>0</v>
      </c>
      <c r="H95" s="9">
        <f>'MKT DATA'!L478</f>
        <v>0</v>
      </c>
      <c r="I95" s="14">
        <f>'MKT DATA'!M478</f>
        <v>0</v>
      </c>
      <c r="J95" s="44" t="str">
        <f t="shared" si="4"/>
        <v>syn BTCG7/BTCZ6/BTCX6/BTCV6</v>
      </c>
      <c r="K95" s="9">
        <f>'MKT DATA'!O478</f>
        <v>0</v>
      </c>
      <c r="L95" s="9">
        <f>'MKT DATA'!P478</f>
        <v>0</v>
      </c>
      <c r="M95" s="9">
        <f>'MKT DATA'!Q478</f>
        <v>0</v>
      </c>
      <c r="N95" s="9">
        <f>'MKT DATA'!R478</f>
        <v>0</v>
      </c>
      <c r="O95" s="9">
        <f>'MKT DATA'!S478</f>
        <v>0</v>
      </c>
      <c r="P95" s="9">
        <f>'MKT DATA'!T478</f>
        <v>0</v>
      </c>
      <c r="Q95" s="44" t="str">
        <f t="shared" si="5"/>
        <v>syn BTCG7/BTCZ6/BTCX6/BTCV6</v>
      </c>
      <c r="R95" s="14">
        <f>'MKT DATA'!AB478</f>
        <v>0</v>
      </c>
    </row>
    <row r="96" spans="5:18" x14ac:dyDescent="0.25">
      <c r="E96" s="44" t="str">
        <f>'MKT DATA'!B479</f>
        <v>syn BTCG7/BTCZ6/BTCF7/BTCV6</v>
      </c>
      <c r="F96" s="14">
        <f>'MKT DATA'!J479</f>
        <v>0</v>
      </c>
      <c r="G96" s="9">
        <f>'MKT DATA'!K479</f>
        <v>0</v>
      </c>
      <c r="H96" s="9">
        <f>'MKT DATA'!L479</f>
        <v>0</v>
      </c>
      <c r="I96" s="14">
        <f>'MKT DATA'!M479</f>
        <v>0</v>
      </c>
      <c r="J96" s="44" t="str">
        <f t="shared" si="4"/>
        <v>syn BTCG7/BTCZ6/BTCF7/BTCV6</v>
      </c>
      <c r="K96" s="9">
        <f>'MKT DATA'!O479</f>
        <v>0</v>
      </c>
      <c r="L96" s="9">
        <f>'MKT DATA'!P479</f>
        <v>0</v>
      </c>
      <c r="M96" s="9">
        <f>'MKT DATA'!Q479</f>
        <v>0</v>
      </c>
      <c r="N96" s="9">
        <f>'MKT DATA'!R479</f>
        <v>0</v>
      </c>
      <c r="O96" s="9">
        <f>'MKT DATA'!S479</f>
        <v>0</v>
      </c>
      <c r="P96" s="9">
        <f>'MKT DATA'!T479</f>
        <v>0</v>
      </c>
      <c r="Q96" s="44" t="str">
        <f t="shared" si="5"/>
        <v>syn BTCG7/BTCZ6/BTCF7/BTCV6</v>
      </c>
      <c r="R96" s="14">
        <f>'MKT DATA'!AB479</f>
        <v>0</v>
      </c>
    </row>
    <row r="97" spans="5:18" x14ac:dyDescent="0.25">
      <c r="E97" s="44" t="str">
        <f>'MKT DATA'!B480</f>
        <v>syn BTCG7/BTCF7/BTCU6/BTCV6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BTCG7/BTCF7/BTCU6/BTCV6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BTCG7/BTCF7/BTCU6/BTCV6</v>
      </c>
      <c r="R97" s="14">
        <f>'MKT DATA'!AB480</f>
        <v>0</v>
      </c>
    </row>
    <row r="98" spans="5:18" x14ac:dyDescent="0.25">
      <c r="E98" s="44" t="str">
        <f>'MKT DATA'!B481</f>
        <v>syn BTCG7/BTCF7/BTCX6/BTCV6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BTCG7/BTCF7/BTCX6/BTCV6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BTCG7/BTCF7/BTCX6/BTCV6</v>
      </c>
      <c r="R98" s="14">
        <f>'MKT DATA'!AB481</f>
        <v>0</v>
      </c>
    </row>
    <row r="99" spans="5:18" x14ac:dyDescent="0.25">
      <c r="E99" s="44" t="str">
        <f>'MKT DATA'!B482</f>
        <v>syn BTCG7/BTCF7/BTCZ6/BTCV6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BTCG7/BTCF7/BTCZ6/BTCV6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BTCG7/BTCF7/BTCZ6/BTCV6</v>
      </c>
      <c r="R99" s="14">
        <f>'MKT DATA'!AB482</f>
        <v>0</v>
      </c>
    </row>
    <row r="100" spans="5:18" x14ac:dyDescent="0.25">
      <c r="E100" s="44" t="str">
        <f>'MKT DATA'!B483</f>
        <v>syn BTCU6/BTCX6/BTCZ6/BTCF7/BTCV6</v>
      </c>
      <c r="F100" s="14">
        <f>'MKT DATA'!J483</f>
        <v>0</v>
      </c>
      <c r="G100" s="9">
        <f>'MKT DATA'!K483</f>
        <v>0</v>
      </c>
      <c r="H100" s="9">
        <f>'MKT DATA'!L483</f>
        <v>0</v>
      </c>
      <c r="I100" s="14">
        <f>'MKT DATA'!M483</f>
        <v>0</v>
      </c>
      <c r="J100" s="44" t="str">
        <f t="shared" si="4"/>
        <v>syn BTCU6/BTCX6/BTCZ6/BTCF7/BTCV6</v>
      </c>
      <c r="K100" s="9">
        <f>'MKT DATA'!O483</f>
        <v>0</v>
      </c>
      <c r="L100" s="9">
        <f>'MKT DATA'!P483</f>
        <v>0</v>
      </c>
      <c r="M100" s="9">
        <f>'MKT DATA'!Q483</f>
        <v>0</v>
      </c>
      <c r="N100" s="9">
        <f>'MKT DATA'!R483</f>
        <v>0</v>
      </c>
      <c r="O100" s="9">
        <f>'MKT DATA'!S483</f>
        <v>0</v>
      </c>
      <c r="P100" s="9">
        <f>'MKT DATA'!T483</f>
        <v>0</v>
      </c>
      <c r="Q100" s="44" t="str">
        <f t="shared" si="5"/>
        <v>syn BTCU6/BTCX6/BTCZ6/BTCF7/BTCV6</v>
      </c>
      <c r="R100" s="14">
        <f>'MKT DATA'!AB483</f>
        <v>0</v>
      </c>
    </row>
    <row r="101" spans="5:18" x14ac:dyDescent="0.25">
      <c r="E101" s="44" t="str">
        <f>'MKT DATA'!B484</f>
        <v>syn BTCU6/BTCX6/BTCZ6/BTCG7/BTCV6</v>
      </c>
      <c r="F101" s="14">
        <f>'MKT DATA'!J484</f>
        <v>0</v>
      </c>
      <c r="G101" s="9">
        <f>'MKT DATA'!K484</f>
        <v>0</v>
      </c>
      <c r="H101" s="9">
        <f>'MKT DATA'!L484</f>
        <v>0</v>
      </c>
      <c r="I101" s="14">
        <f>'MKT DATA'!M484</f>
        <v>0</v>
      </c>
      <c r="J101" s="44" t="str">
        <f t="shared" si="4"/>
        <v>syn BTCU6/BTCX6/BTCZ6/BTCG7/BTCV6</v>
      </c>
      <c r="K101" s="9">
        <f>'MKT DATA'!O484</f>
        <v>0</v>
      </c>
      <c r="L101" s="9">
        <f>'MKT DATA'!P484</f>
        <v>0</v>
      </c>
      <c r="M101" s="9">
        <f>'MKT DATA'!Q484</f>
        <v>0</v>
      </c>
      <c r="N101" s="9">
        <f>'MKT DATA'!R484</f>
        <v>0</v>
      </c>
      <c r="O101" s="9">
        <f>'MKT DATA'!S484</f>
        <v>0</v>
      </c>
      <c r="P101" s="9">
        <f>'MKT DATA'!T484</f>
        <v>0</v>
      </c>
      <c r="Q101" s="44" t="str">
        <f t="shared" si="5"/>
        <v>syn BTCU6/BTCX6/BTCZ6/BTCG7/BTCV6</v>
      </c>
      <c r="R101" s="14">
        <f>'MKT DATA'!AB484</f>
        <v>0</v>
      </c>
    </row>
    <row r="102" spans="5:18" x14ac:dyDescent="0.25">
      <c r="E102" s="44" t="str">
        <f>'MKT DATA'!B485</f>
        <v>syn BTCU6/BTCX6/BTCF7/BTCZ6/BTCV6</v>
      </c>
      <c r="F102" s="14">
        <f>'MKT DATA'!J485</f>
        <v>0</v>
      </c>
      <c r="G102" s="9">
        <f>'MKT DATA'!K485</f>
        <v>0</v>
      </c>
      <c r="H102" s="9">
        <f>'MKT DATA'!L485</f>
        <v>0</v>
      </c>
      <c r="I102" s="14">
        <f>'MKT DATA'!M485</f>
        <v>0</v>
      </c>
      <c r="J102" s="44" t="str">
        <f t="shared" si="4"/>
        <v>syn BTCU6/BTCX6/BTCF7/BTCZ6/BTCV6</v>
      </c>
      <c r="K102" s="9">
        <f>'MKT DATA'!O485</f>
        <v>0</v>
      </c>
      <c r="L102" s="9">
        <f>'MKT DATA'!P485</f>
        <v>0</v>
      </c>
      <c r="M102" s="9">
        <f>'MKT DATA'!Q485</f>
        <v>0</v>
      </c>
      <c r="N102" s="9">
        <f>'MKT DATA'!R485</f>
        <v>0</v>
      </c>
      <c r="O102" s="9">
        <f>'MKT DATA'!S485</f>
        <v>0</v>
      </c>
      <c r="P102" s="9">
        <f>'MKT DATA'!T485</f>
        <v>0</v>
      </c>
      <c r="Q102" s="44" t="str">
        <f t="shared" si="5"/>
        <v>syn BTCU6/BTCX6/BTCF7/BTCZ6/BTCV6</v>
      </c>
      <c r="R102" s="14">
        <f>'MKT DATA'!AB485</f>
        <v>0</v>
      </c>
    </row>
    <row r="103" spans="5:18" x14ac:dyDescent="0.25">
      <c r="E103" s="44" t="str">
        <f>'MKT DATA'!B486</f>
        <v>syn BTCU6/BTCX6/BTCF7/BTCG7/BTCV6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BTCU6/BTCX6/BTCF7/BTCG7/BTCV6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BTCU6/BTCX6/BTCF7/BTCG7/BTCV6</v>
      </c>
      <c r="R103" s="14">
        <f>'MKT DATA'!AB486</f>
        <v>0</v>
      </c>
    </row>
    <row r="104" spans="5:18" x14ac:dyDescent="0.25">
      <c r="E104" s="44" t="str">
        <f>'MKT DATA'!B487</f>
        <v>syn BTCU6/BTCX6/BTCG7/BTCZ6/BTCV6</v>
      </c>
      <c r="F104" s="14">
        <f>'MKT DATA'!J487</f>
        <v>0</v>
      </c>
      <c r="G104" s="9">
        <f>'MKT DATA'!K487</f>
        <v>0</v>
      </c>
      <c r="H104" s="9">
        <f>'MKT DATA'!L487</f>
        <v>0</v>
      </c>
      <c r="I104" s="14">
        <f>'MKT DATA'!M487</f>
        <v>0</v>
      </c>
      <c r="J104" s="44" t="str">
        <f t="shared" si="4"/>
        <v>syn BTCU6/BTCX6/BTCG7/BTCZ6/BTCV6</v>
      </c>
      <c r="K104" s="9">
        <f>'MKT DATA'!O487</f>
        <v>0</v>
      </c>
      <c r="L104" s="9">
        <f>'MKT DATA'!P487</f>
        <v>0</v>
      </c>
      <c r="M104" s="9">
        <f>'MKT DATA'!Q487</f>
        <v>0</v>
      </c>
      <c r="N104" s="9">
        <f>'MKT DATA'!R487</f>
        <v>0</v>
      </c>
      <c r="O104" s="9">
        <f>'MKT DATA'!S487</f>
        <v>0</v>
      </c>
      <c r="P104" s="9">
        <f>'MKT DATA'!T487</f>
        <v>0</v>
      </c>
      <c r="Q104" s="44" t="str">
        <f t="shared" si="5"/>
        <v>syn BTCU6/BTCX6/BTCG7/BTCZ6/BTCV6</v>
      </c>
      <c r="R104" s="14">
        <f>'MKT DATA'!AB487</f>
        <v>0</v>
      </c>
    </row>
    <row r="105" spans="5:18" x14ac:dyDescent="0.25">
      <c r="E105" s="44" t="str">
        <f>'MKT DATA'!B488</f>
        <v>syn BTCU6/BTCX6/BTCG7/BTCF7/BTCV6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BTCU6/BTCX6/BTCG7/BTCF7/BTCV6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BTCU6/BTCX6/BTCG7/BTCF7/BTCV6</v>
      </c>
      <c r="R105" s="14">
        <f>'MKT DATA'!AB488</f>
        <v>0</v>
      </c>
    </row>
    <row r="106" spans="5:18" x14ac:dyDescent="0.25">
      <c r="E106" s="44" t="str">
        <f>'MKT DATA'!B489</f>
        <v>syn BTCU6/BTCZ6/BTCX6/BTCF7/BTCV6</v>
      </c>
      <c r="F106" s="14">
        <f>'MKT DATA'!J489</f>
        <v>0</v>
      </c>
      <c r="G106" s="9">
        <f>'MKT DATA'!K489</f>
        <v>0</v>
      </c>
      <c r="H106" s="9">
        <f>'MKT DATA'!L489</f>
        <v>0</v>
      </c>
      <c r="I106" s="14">
        <f>'MKT DATA'!M489</f>
        <v>0</v>
      </c>
      <c r="J106" s="44" t="str">
        <f t="shared" si="4"/>
        <v>syn BTCU6/BTCZ6/BTCX6/BTCF7/BTCV6</v>
      </c>
      <c r="K106" s="9">
        <f>'MKT DATA'!O489</f>
        <v>0</v>
      </c>
      <c r="L106" s="9">
        <f>'MKT DATA'!P489</f>
        <v>0</v>
      </c>
      <c r="M106" s="9">
        <f>'MKT DATA'!Q489</f>
        <v>0</v>
      </c>
      <c r="N106" s="9">
        <f>'MKT DATA'!R489</f>
        <v>0</v>
      </c>
      <c r="O106" s="9">
        <f>'MKT DATA'!S489</f>
        <v>0</v>
      </c>
      <c r="P106" s="9">
        <f>'MKT DATA'!T489</f>
        <v>0</v>
      </c>
      <c r="Q106" s="44" t="str">
        <f t="shared" si="5"/>
        <v>syn BTCU6/BTCZ6/BTCX6/BTCF7/BTCV6</v>
      </c>
      <c r="R106" s="14">
        <f>'MKT DATA'!AB489</f>
        <v>0</v>
      </c>
    </row>
    <row r="107" spans="5:18" x14ac:dyDescent="0.25">
      <c r="E107" s="44" t="str">
        <f>'MKT DATA'!B490</f>
        <v>syn BTCU6/BTCZ6/BTCX6/BTCG7/BTCV6</v>
      </c>
      <c r="F107" s="14">
        <f>'MKT DATA'!J490</f>
        <v>0</v>
      </c>
      <c r="G107" s="9">
        <f>'MKT DATA'!K490</f>
        <v>0</v>
      </c>
      <c r="H107" s="9">
        <f>'MKT DATA'!L490</f>
        <v>0</v>
      </c>
      <c r="I107" s="14">
        <f>'MKT DATA'!M490</f>
        <v>0</v>
      </c>
      <c r="J107" s="44" t="str">
        <f t="shared" si="4"/>
        <v>syn BTCU6/BTCZ6/BTCX6/BTCG7/BTCV6</v>
      </c>
      <c r="K107" s="9">
        <f>'MKT DATA'!O490</f>
        <v>0</v>
      </c>
      <c r="L107" s="9">
        <f>'MKT DATA'!P490</f>
        <v>0</v>
      </c>
      <c r="M107" s="9">
        <f>'MKT DATA'!Q490</f>
        <v>0</v>
      </c>
      <c r="N107" s="9">
        <f>'MKT DATA'!R490</f>
        <v>0</v>
      </c>
      <c r="O107" s="9">
        <f>'MKT DATA'!S490</f>
        <v>0</v>
      </c>
      <c r="P107" s="9">
        <f>'MKT DATA'!T490</f>
        <v>0</v>
      </c>
      <c r="Q107" s="44" t="str">
        <f t="shared" si="5"/>
        <v>syn BTCU6/BTCZ6/BTCX6/BTCG7/BTCV6</v>
      </c>
      <c r="R107" s="14">
        <f>'MKT DATA'!AB490</f>
        <v>0</v>
      </c>
    </row>
    <row r="108" spans="5:18" x14ac:dyDescent="0.25">
      <c r="E108" s="44" t="str">
        <f>'MKT DATA'!B491</f>
        <v>syn BTCU6/BTCZ6/BTCF7/BTCX6/BTCV6</v>
      </c>
      <c r="F108" s="14">
        <f>'MKT DATA'!J491</f>
        <v>0</v>
      </c>
      <c r="G108" s="9">
        <f>'MKT DATA'!K491</f>
        <v>0</v>
      </c>
      <c r="H108" s="9">
        <f>'MKT DATA'!L491</f>
        <v>0</v>
      </c>
      <c r="I108" s="14">
        <f>'MKT DATA'!M491</f>
        <v>0</v>
      </c>
      <c r="J108" s="44" t="str">
        <f t="shared" si="4"/>
        <v>syn BTCU6/BTCZ6/BTCF7/BTCX6/BTCV6</v>
      </c>
      <c r="K108" s="9">
        <f>'MKT DATA'!O491</f>
        <v>0</v>
      </c>
      <c r="L108" s="9">
        <f>'MKT DATA'!P491</f>
        <v>0</v>
      </c>
      <c r="M108" s="9">
        <f>'MKT DATA'!Q491</f>
        <v>0</v>
      </c>
      <c r="N108" s="9">
        <f>'MKT DATA'!R491</f>
        <v>0</v>
      </c>
      <c r="O108" s="9">
        <f>'MKT DATA'!S491</f>
        <v>0</v>
      </c>
      <c r="P108" s="9">
        <f>'MKT DATA'!T491</f>
        <v>0</v>
      </c>
      <c r="Q108" s="44" t="str">
        <f t="shared" si="5"/>
        <v>syn BTCU6/BTCZ6/BTCF7/BTCX6/BTCV6</v>
      </c>
      <c r="R108" s="14">
        <f>'MKT DATA'!AB491</f>
        <v>0</v>
      </c>
    </row>
    <row r="109" spans="5:18" x14ac:dyDescent="0.25">
      <c r="E109" s="44" t="str">
        <f>'MKT DATA'!B492</f>
        <v>syn BTCU6/BTCZ6/BTCF7/BTCG7/BTCV6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BTCU6/BTCZ6/BTCF7/BTCG7/BTCV6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BTCU6/BTCZ6/BTCF7/BTCG7/BTCV6</v>
      </c>
      <c r="R109" s="14">
        <f>'MKT DATA'!AB492</f>
        <v>0</v>
      </c>
    </row>
    <row r="110" spans="5:18" x14ac:dyDescent="0.25">
      <c r="E110" s="44" t="str">
        <f>'MKT DATA'!B493</f>
        <v>syn BTCU6/BTCZ6/BTCG7/BTCX6/BTCV6</v>
      </c>
      <c r="F110" s="14">
        <f>'MKT DATA'!J493</f>
        <v>0</v>
      </c>
      <c r="G110" s="9">
        <f>'MKT DATA'!K493</f>
        <v>0</v>
      </c>
      <c r="H110" s="9">
        <f>'MKT DATA'!L493</f>
        <v>0</v>
      </c>
      <c r="I110" s="14">
        <f>'MKT DATA'!M493</f>
        <v>0</v>
      </c>
      <c r="J110" s="44" t="str">
        <f t="shared" si="4"/>
        <v>syn BTCU6/BTCZ6/BTCG7/BTCX6/BTCV6</v>
      </c>
      <c r="K110" s="9">
        <f>'MKT DATA'!O493</f>
        <v>0</v>
      </c>
      <c r="L110" s="9">
        <f>'MKT DATA'!P493</f>
        <v>0</v>
      </c>
      <c r="M110" s="9">
        <f>'MKT DATA'!Q493</f>
        <v>0</v>
      </c>
      <c r="N110" s="9">
        <f>'MKT DATA'!R493</f>
        <v>0</v>
      </c>
      <c r="O110" s="9">
        <f>'MKT DATA'!S493</f>
        <v>0</v>
      </c>
      <c r="P110" s="9">
        <f>'MKT DATA'!T493</f>
        <v>0</v>
      </c>
      <c r="Q110" s="44" t="str">
        <f t="shared" si="5"/>
        <v>syn BTCU6/BTCZ6/BTCG7/BTCX6/BTCV6</v>
      </c>
      <c r="R110" s="14">
        <f>'MKT DATA'!AB493</f>
        <v>0</v>
      </c>
    </row>
    <row r="111" spans="5:18" x14ac:dyDescent="0.25">
      <c r="E111" s="44" t="str">
        <f>'MKT DATA'!B494</f>
        <v>syn BTCU6/BTCZ6/BTCG7/BTCF7/BTCV6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BTCU6/BTCZ6/BTCG7/BTCF7/BTCV6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BTCU6/BTCZ6/BTCG7/BTCF7/BTCV6</v>
      </c>
      <c r="R111" s="14">
        <f>'MKT DATA'!AB494</f>
        <v>0</v>
      </c>
    </row>
    <row r="112" spans="5:18" x14ac:dyDescent="0.25">
      <c r="E112" s="44" t="str">
        <f>'MKT DATA'!B495</f>
        <v>syn BTCU6/BTCF7/BTCX6/BTCZ6/BTCV6</v>
      </c>
      <c r="F112" s="14">
        <f>'MKT DATA'!J495</f>
        <v>0</v>
      </c>
      <c r="G112" s="9">
        <f>'MKT DATA'!K495</f>
        <v>0</v>
      </c>
      <c r="H112" s="9">
        <f>'MKT DATA'!L495</f>
        <v>0</v>
      </c>
      <c r="I112" s="14">
        <f>'MKT DATA'!M495</f>
        <v>0</v>
      </c>
      <c r="J112" s="44" t="str">
        <f t="shared" si="4"/>
        <v>syn BTCU6/BTCF7/BTCX6/BTCZ6/BTCV6</v>
      </c>
      <c r="K112" s="9">
        <f>'MKT DATA'!O495</f>
        <v>0</v>
      </c>
      <c r="L112" s="9">
        <f>'MKT DATA'!P495</f>
        <v>0</v>
      </c>
      <c r="M112" s="9">
        <f>'MKT DATA'!Q495</f>
        <v>0</v>
      </c>
      <c r="N112" s="9">
        <f>'MKT DATA'!R495</f>
        <v>0</v>
      </c>
      <c r="O112" s="9">
        <f>'MKT DATA'!S495</f>
        <v>0</v>
      </c>
      <c r="P112" s="9">
        <f>'MKT DATA'!T495</f>
        <v>0</v>
      </c>
      <c r="Q112" s="44" t="str">
        <f t="shared" si="5"/>
        <v>syn BTCU6/BTCF7/BTCX6/BTCZ6/BTCV6</v>
      </c>
      <c r="R112" s="14">
        <f>'MKT DATA'!AB495</f>
        <v>0</v>
      </c>
    </row>
    <row r="113" spans="5:18" x14ac:dyDescent="0.25">
      <c r="E113" s="44" t="str">
        <f>'MKT DATA'!B496</f>
        <v>syn BTCU6/BTCF7/BTCX6/BTCG7/BTCV6</v>
      </c>
      <c r="F113" s="14">
        <f>'MKT DATA'!J496</f>
        <v>0</v>
      </c>
      <c r="G113" s="9">
        <f>'MKT DATA'!K496</f>
        <v>0</v>
      </c>
      <c r="H113" s="9">
        <f>'MKT DATA'!L496</f>
        <v>0</v>
      </c>
      <c r="I113" s="14">
        <f>'MKT DATA'!M496</f>
        <v>0</v>
      </c>
      <c r="J113" s="44" t="str">
        <f t="shared" si="4"/>
        <v>syn BTCU6/BTCF7/BTCX6/BTCG7/BTCV6</v>
      </c>
      <c r="K113" s="9">
        <f>'MKT DATA'!O496</f>
        <v>0</v>
      </c>
      <c r="L113" s="9">
        <f>'MKT DATA'!P496</f>
        <v>0</v>
      </c>
      <c r="M113" s="9">
        <f>'MKT DATA'!Q496</f>
        <v>0</v>
      </c>
      <c r="N113" s="9">
        <f>'MKT DATA'!R496</f>
        <v>0</v>
      </c>
      <c r="O113" s="9">
        <f>'MKT DATA'!S496</f>
        <v>0</v>
      </c>
      <c r="P113" s="9">
        <f>'MKT DATA'!T496</f>
        <v>0</v>
      </c>
      <c r="Q113" s="44" t="str">
        <f t="shared" si="5"/>
        <v>syn BTCU6/BTCF7/BTCX6/BTCG7/BTCV6</v>
      </c>
      <c r="R113" s="14">
        <f>'MKT DATA'!AB496</f>
        <v>0</v>
      </c>
    </row>
    <row r="114" spans="5:18" x14ac:dyDescent="0.25">
      <c r="E114" s="44" t="str">
        <f>'MKT DATA'!B497</f>
        <v>syn BTCU6/BTCF7/BTCZ6/BTCX6/BTCV6</v>
      </c>
      <c r="F114" s="14">
        <f>'MKT DATA'!J497</f>
        <v>0</v>
      </c>
      <c r="G114" s="9">
        <f>'MKT DATA'!K497</f>
        <v>0</v>
      </c>
      <c r="H114" s="9">
        <f>'MKT DATA'!L497</f>
        <v>0</v>
      </c>
      <c r="I114" s="14">
        <f>'MKT DATA'!M497</f>
        <v>0</v>
      </c>
      <c r="J114" s="44" t="str">
        <f t="shared" si="4"/>
        <v>syn BTCU6/BTCF7/BTCZ6/BTCX6/BTCV6</v>
      </c>
      <c r="K114" s="9">
        <f>'MKT DATA'!O497</f>
        <v>0</v>
      </c>
      <c r="L114" s="9">
        <f>'MKT DATA'!P497</f>
        <v>0</v>
      </c>
      <c r="M114" s="9">
        <f>'MKT DATA'!Q497</f>
        <v>0</v>
      </c>
      <c r="N114" s="9">
        <f>'MKT DATA'!R497</f>
        <v>0</v>
      </c>
      <c r="O114" s="9">
        <f>'MKT DATA'!S497</f>
        <v>0</v>
      </c>
      <c r="P114" s="9">
        <f>'MKT DATA'!T497</f>
        <v>0</v>
      </c>
      <c r="Q114" s="44" t="str">
        <f t="shared" si="5"/>
        <v>syn BTCU6/BTCF7/BTCZ6/BTCX6/BTCV6</v>
      </c>
      <c r="R114" s="14">
        <f>'MKT DATA'!AB497</f>
        <v>0</v>
      </c>
    </row>
    <row r="115" spans="5:18" x14ac:dyDescent="0.25">
      <c r="E115" s="44" t="str">
        <f>'MKT DATA'!B498</f>
        <v>syn BTCU6/BTCF7/BTCZ6/BTCG7/BTCV6</v>
      </c>
      <c r="F115" s="14">
        <f>'MKT DATA'!J498</f>
        <v>0</v>
      </c>
      <c r="G115" s="9">
        <f>'MKT DATA'!K498</f>
        <v>0</v>
      </c>
      <c r="H115" s="9">
        <f>'MKT DATA'!L498</f>
        <v>0</v>
      </c>
      <c r="I115" s="14">
        <f>'MKT DATA'!M498</f>
        <v>0</v>
      </c>
      <c r="J115" s="44" t="str">
        <f t="shared" si="4"/>
        <v>syn BTCU6/BTCF7/BTCZ6/BTCG7/BTCV6</v>
      </c>
      <c r="K115" s="9">
        <f>'MKT DATA'!O498</f>
        <v>0</v>
      </c>
      <c r="L115" s="9">
        <f>'MKT DATA'!P498</f>
        <v>0</v>
      </c>
      <c r="M115" s="9">
        <f>'MKT DATA'!Q498</f>
        <v>0</v>
      </c>
      <c r="N115" s="9">
        <f>'MKT DATA'!R498</f>
        <v>0</v>
      </c>
      <c r="O115" s="9">
        <f>'MKT DATA'!S498</f>
        <v>0</v>
      </c>
      <c r="P115" s="9">
        <f>'MKT DATA'!T498</f>
        <v>0</v>
      </c>
      <c r="Q115" s="44" t="str">
        <f t="shared" si="5"/>
        <v>syn BTCU6/BTCF7/BTCZ6/BTCG7/BTCV6</v>
      </c>
      <c r="R115" s="14">
        <f>'MKT DATA'!AB498</f>
        <v>0</v>
      </c>
    </row>
    <row r="116" spans="5:18" x14ac:dyDescent="0.25">
      <c r="E116" s="44" t="str">
        <f>'MKT DATA'!B499</f>
        <v>syn BTCU6/BTCF7/BTCG7/BTCX6/BTCV6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BTCU6/BTCF7/BTCG7/BTCX6/BTCV6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BTCU6/BTCF7/BTCG7/BTCX6/BTCV6</v>
      </c>
      <c r="R116" s="14">
        <f>'MKT DATA'!AB499</f>
        <v>0</v>
      </c>
    </row>
    <row r="117" spans="5:18" x14ac:dyDescent="0.25">
      <c r="E117" s="44" t="str">
        <f>'MKT DATA'!B500</f>
        <v>syn BTCU6/BTCF7/BTCG7/BTCZ6/BTCV6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BTCU6/BTCF7/BTCG7/BTCZ6/BTCV6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BTCU6/BTCF7/BTCG7/BTCZ6/BTCV6</v>
      </c>
      <c r="R117" s="14">
        <f>'MKT DATA'!AB500</f>
        <v>0</v>
      </c>
    </row>
    <row r="118" spans="5:18" x14ac:dyDescent="0.25">
      <c r="E118" s="44" t="str">
        <f>'MKT DATA'!B501</f>
        <v>syn BTCU6/BTCG7/BTCX6/BTCZ6/BTCV6</v>
      </c>
      <c r="F118" s="14">
        <f>'MKT DATA'!J501</f>
        <v>0</v>
      </c>
      <c r="G118" s="9">
        <f>'MKT DATA'!K501</f>
        <v>0</v>
      </c>
      <c r="H118" s="9">
        <f>'MKT DATA'!L501</f>
        <v>0</v>
      </c>
      <c r="I118" s="14">
        <f>'MKT DATA'!M501</f>
        <v>0</v>
      </c>
      <c r="J118" s="44" t="str">
        <f t="shared" si="4"/>
        <v>syn BTCU6/BTCG7/BTCX6/BTCZ6/BTCV6</v>
      </c>
      <c r="K118" s="9">
        <f>'MKT DATA'!O501</f>
        <v>0</v>
      </c>
      <c r="L118" s="9">
        <f>'MKT DATA'!P501</f>
        <v>0</v>
      </c>
      <c r="M118" s="9">
        <f>'MKT DATA'!Q501</f>
        <v>0</v>
      </c>
      <c r="N118" s="9">
        <f>'MKT DATA'!R501</f>
        <v>0</v>
      </c>
      <c r="O118" s="9">
        <f>'MKT DATA'!S501</f>
        <v>0</v>
      </c>
      <c r="P118" s="9">
        <f>'MKT DATA'!T501</f>
        <v>0</v>
      </c>
      <c r="Q118" s="44" t="str">
        <f t="shared" si="5"/>
        <v>syn BTCU6/BTCG7/BTCX6/BTCZ6/BTCV6</v>
      </c>
      <c r="R118" s="14">
        <f>'MKT DATA'!AB501</f>
        <v>0</v>
      </c>
    </row>
    <row r="119" spans="5:18" x14ac:dyDescent="0.25">
      <c r="E119" s="44" t="str">
        <f>'MKT DATA'!B502</f>
        <v>syn BTCU6/BTCG7/BTCX6/BTCF7/BTCV6</v>
      </c>
      <c r="F119" s="14">
        <f>'MKT DATA'!J502</f>
        <v>0</v>
      </c>
      <c r="G119" s="9">
        <f>'MKT DATA'!K502</f>
        <v>0</v>
      </c>
      <c r="H119" s="9">
        <f>'MKT DATA'!L502</f>
        <v>0</v>
      </c>
      <c r="I119" s="14">
        <f>'MKT DATA'!M502</f>
        <v>0</v>
      </c>
      <c r="J119" s="44" t="str">
        <f t="shared" si="4"/>
        <v>syn BTCU6/BTCG7/BTCX6/BTCF7/BTCV6</v>
      </c>
      <c r="K119" s="9">
        <f>'MKT DATA'!O502</f>
        <v>0</v>
      </c>
      <c r="L119" s="9">
        <f>'MKT DATA'!P502</f>
        <v>0</v>
      </c>
      <c r="M119" s="9">
        <f>'MKT DATA'!Q502</f>
        <v>0</v>
      </c>
      <c r="N119" s="9">
        <f>'MKT DATA'!R502</f>
        <v>0</v>
      </c>
      <c r="O119" s="9">
        <f>'MKT DATA'!S502</f>
        <v>0</v>
      </c>
      <c r="P119" s="9">
        <f>'MKT DATA'!T502</f>
        <v>0</v>
      </c>
      <c r="Q119" s="44" t="str">
        <f t="shared" si="5"/>
        <v>syn BTCU6/BTCG7/BTCX6/BTCF7/BTCV6</v>
      </c>
      <c r="R119" s="14">
        <f>'MKT DATA'!AB502</f>
        <v>0</v>
      </c>
    </row>
    <row r="120" spans="5:18" x14ac:dyDescent="0.25">
      <c r="E120" s="44" t="str">
        <f>'MKT DATA'!B503</f>
        <v>syn BTCU6/BTCG7/BTCZ6/BTCX6/BTCV6</v>
      </c>
      <c r="F120" s="14">
        <f>'MKT DATA'!J503</f>
        <v>0</v>
      </c>
      <c r="G120" s="9">
        <f>'MKT DATA'!K503</f>
        <v>0</v>
      </c>
      <c r="H120" s="9">
        <f>'MKT DATA'!L503</f>
        <v>0</v>
      </c>
      <c r="I120" s="14">
        <f>'MKT DATA'!M503</f>
        <v>0</v>
      </c>
      <c r="J120" s="44" t="str">
        <f t="shared" si="4"/>
        <v>syn BTCU6/BTCG7/BTCZ6/BTCX6/BTCV6</v>
      </c>
      <c r="K120" s="9">
        <f>'MKT DATA'!O503</f>
        <v>0</v>
      </c>
      <c r="L120" s="9">
        <f>'MKT DATA'!P503</f>
        <v>0</v>
      </c>
      <c r="M120" s="9">
        <f>'MKT DATA'!Q503</f>
        <v>0</v>
      </c>
      <c r="N120" s="9">
        <f>'MKT DATA'!R503</f>
        <v>0</v>
      </c>
      <c r="O120" s="9">
        <f>'MKT DATA'!S503</f>
        <v>0</v>
      </c>
      <c r="P120" s="9">
        <f>'MKT DATA'!T503</f>
        <v>0</v>
      </c>
      <c r="Q120" s="44" t="str">
        <f t="shared" si="5"/>
        <v>syn BTCU6/BTCG7/BTCZ6/BTCX6/BTCV6</v>
      </c>
      <c r="R120" s="14">
        <f>'MKT DATA'!AB503</f>
        <v>0</v>
      </c>
    </row>
    <row r="121" spans="5:18" x14ac:dyDescent="0.25">
      <c r="E121" s="44" t="str">
        <f>'MKT DATA'!B504</f>
        <v>syn BTCU6/BTCG7/BTCZ6/BTCF7/BTCV6</v>
      </c>
      <c r="F121" s="14">
        <f>'MKT DATA'!J504</f>
        <v>0</v>
      </c>
      <c r="G121" s="9">
        <f>'MKT DATA'!K504</f>
        <v>0</v>
      </c>
      <c r="H121" s="9">
        <f>'MKT DATA'!L504</f>
        <v>0</v>
      </c>
      <c r="I121" s="14">
        <f>'MKT DATA'!M504</f>
        <v>0</v>
      </c>
      <c r="J121" s="44" t="str">
        <f t="shared" si="4"/>
        <v>syn BTCU6/BTCG7/BTCZ6/BTCF7/BTCV6</v>
      </c>
      <c r="K121" s="9">
        <f>'MKT DATA'!O504</f>
        <v>0</v>
      </c>
      <c r="L121" s="9">
        <f>'MKT DATA'!P504</f>
        <v>0</v>
      </c>
      <c r="M121" s="9">
        <f>'MKT DATA'!Q504</f>
        <v>0</v>
      </c>
      <c r="N121" s="9">
        <f>'MKT DATA'!R504</f>
        <v>0</v>
      </c>
      <c r="O121" s="9">
        <f>'MKT DATA'!S504</f>
        <v>0</v>
      </c>
      <c r="P121" s="9">
        <f>'MKT DATA'!T504</f>
        <v>0</v>
      </c>
      <c r="Q121" s="44" t="str">
        <f t="shared" si="5"/>
        <v>syn BTCU6/BTCG7/BTCZ6/BTCF7/BTCV6</v>
      </c>
      <c r="R121" s="14">
        <f>'MKT DATA'!AB504</f>
        <v>0</v>
      </c>
    </row>
    <row r="122" spans="5:18" x14ac:dyDescent="0.25">
      <c r="E122" s="44" t="str">
        <f>'MKT DATA'!B505</f>
        <v>syn BTCU6/BTCG7/BTCF7/BTCX6/BTCV6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BTCU6/BTCG7/BTCF7/BTCX6/BTCV6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BTCU6/BTCG7/BTCF7/BTCX6/BTCV6</v>
      </c>
      <c r="R122" s="14">
        <f>'MKT DATA'!AB505</f>
        <v>0</v>
      </c>
    </row>
    <row r="123" spans="5:18" x14ac:dyDescent="0.25">
      <c r="E123" s="44" t="str">
        <f>'MKT DATA'!B506</f>
        <v>syn BTCU6/BTCG7/BTCF7/BTCZ6/BTCV6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BTCU6/BTCG7/BTCF7/BTCZ6/BTCV6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BTCU6/BTCG7/BTCF7/BTCZ6/BTCV6</v>
      </c>
      <c r="R123" s="14">
        <f>'MKT DATA'!AB506</f>
        <v>0</v>
      </c>
    </row>
    <row r="124" spans="5:18" x14ac:dyDescent="0.25">
      <c r="E124" s="44" t="str">
        <f>'MKT DATA'!B507</f>
        <v>syn BTCX6/BTCU6/BTCZ6/BTCF7/BTCV6</v>
      </c>
      <c r="F124" s="14">
        <f>'MKT DATA'!J507</f>
        <v>0</v>
      </c>
      <c r="G124" s="9">
        <f>'MKT DATA'!K507</f>
        <v>0</v>
      </c>
      <c r="H124" s="9">
        <f>'MKT DATA'!L507</f>
        <v>0</v>
      </c>
      <c r="I124" s="14">
        <f>'MKT DATA'!M507</f>
        <v>0</v>
      </c>
      <c r="J124" s="44" t="str">
        <f t="shared" si="4"/>
        <v>syn BTCX6/BTCU6/BTCZ6/BTCF7/BTCV6</v>
      </c>
      <c r="K124" s="9">
        <f>'MKT DATA'!O507</f>
        <v>0</v>
      </c>
      <c r="L124" s="9">
        <f>'MKT DATA'!P507</f>
        <v>0</v>
      </c>
      <c r="M124" s="9">
        <f>'MKT DATA'!Q507</f>
        <v>0</v>
      </c>
      <c r="N124" s="9">
        <f>'MKT DATA'!R507</f>
        <v>0</v>
      </c>
      <c r="O124" s="9">
        <f>'MKT DATA'!S507</f>
        <v>0</v>
      </c>
      <c r="P124" s="9">
        <f>'MKT DATA'!T507</f>
        <v>0</v>
      </c>
      <c r="Q124" s="44" t="str">
        <f t="shared" si="5"/>
        <v>syn BTCX6/BTCU6/BTCZ6/BTCF7/BTCV6</v>
      </c>
      <c r="R124" s="14">
        <f>'MKT DATA'!AB507</f>
        <v>0</v>
      </c>
    </row>
    <row r="125" spans="5:18" x14ac:dyDescent="0.25">
      <c r="E125" s="44" t="str">
        <f>'MKT DATA'!B508</f>
        <v>syn BTCX6/BTCU6/BTCZ6/BTCG7/BTCV6</v>
      </c>
      <c r="F125" s="14">
        <f>'MKT DATA'!J508</f>
        <v>0</v>
      </c>
      <c r="G125" s="9">
        <f>'MKT DATA'!K508</f>
        <v>0</v>
      </c>
      <c r="H125" s="9">
        <f>'MKT DATA'!L508</f>
        <v>0</v>
      </c>
      <c r="I125" s="14">
        <f>'MKT DATA'!M508</f>
        <v>0</v>
      </c>
      <c r="J125" s="44" t="str">
        <f t="shared" si="4"/>
        <v>syn BTCX6/BTCU6/BTCZ6/BTCG7/BTCV6</v>
      </c>
      <c r="K125" s="9">
        <f>'MKT DATA'!O508</f>
        <v>0</v>
      </c>
      <c r="L125" s="9">
        <f>'MKT DATA'!P508</f>
        <v>0</v>
      </c>
      <c r="M125" s="9">
        <f>'MKT DATA'!Q508</f>
        <v>0</v>
      </c>
      <c r="N125" s="9">
        <f>'MKT DATA'!R508</f>
        <v>0</v>
      </c>
      <c r="O125" s="9">
        <f>'MKT DATA'!S508</f>
        <v>0</v>
      </c>
      <c r="P125" s="9">
        <f>'MKT DATA'!T508</f>
        <v>0</v>
      </c>
      <c r="Q125" s="44" t="str">
        <f t="shared" si="5"/>
        <v>syn BTCX6/BTCU6/BTCZ6/BTCG7/BTCV6</v>
      </c>
      <c r="R125" s="14">
        <f>'MKT DATA'!AB508</f>
        <v>0</v>
      </c>
    </row>
    <row r="126" spans="5:18" x14ac:dyDescent="0.25">
      <c r="E126" s="44" t="str">
        <f>'MKT DATA'!B509</f>
        <v>syn BTCX6/BTCU6/BTCF7/BTCZ6/BTCV6</v>
      </c>
      <c r="F126" s="14">
        <f>'MKT DATA'!J509</f>
        <v>0</v>
      </c>
      <c r="G126" s="9">
        <f>'MKT DATA'!K509</f>
        <v>0</v>
      </c>
      <c r="H126" s="9">
        <f>'MKT DATA'!L509</f>
        <v>0</v>
      </c>
      <c r="I126" s="14">
        <f>'MKT DATA'!M509</f>
        <v>0</v>
      </c>
      <c r="J126" s="44" t="str">
        <f t="shared" si="4"/>
        <v>syn BTCX6/BTCU6/BTCF7/BTCZ6/BTCV6</v>
      </c>
      <c r="K126" s="9">
        <f>'MKT DATA'!O509</f>
        <v>0</v>
      </c>
      <c r="L126" s="9">
        <f>'MKT DATA'!P509</f>
        <v>0</v>
      </c>
      <c r="M126" s="9">
        <f>'MKT DATA'!Q509</f>
        <v>0</v>
      </c>
      <c r="N126" s="9">
        <f>'MKT DATA'!R509</f>
        <v>0</v>
      </c>
      <c r="O126" s="9">
        <f>'MKT DATA'!S509</f>
        <v>0</v>
      </c>
      <c r="P126" s="9">
        <f>'MKT DATA'!T509</f>
        <v>0</v>
      </c>
      <c r="Q126" s="44" t="str">
        <f t="shared" si="5"/>
        <v>syn BTCX6/BTCU6/BTCF7/BTCZ6/BTCV6</v>
      </c>
      <c r="R126" s="14">
        <f>'MKT DATA'!AB509</f>
        <v>0</v>
      </c>
    </row>
    <row r="127" spans="5:18" x14ac:dyDescent="0.25">
      <c r="E127" s="44" t="str">
        <f>'MKT DATA'!B510</f>
        <v>syn BTCX6/BTCU6/BTCF7/BTCG7/BTCV6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BTCX6/BTCU6/BTCF7/BTCG7/BTCV6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BTCX6/BTCU6/BTCF7/BTCG7/BTCV6</v>
      </c>
      <c r="R127" s="14">
        <f>'MKT DATA'!AB510</f>
        <v>0</v>
      </c>
    </row>
    <row r="128" spans="5:18" x14ac:dyDescent="0.25">
      <c r="E128" s="44" t="str">
        <f>'MKT DATA'!B511</f>
        <v>syn BTCX6/BTCU6/BTCG7/BTCZ6/BTCV6</v>
      </c>
      <c r="F128" s="14">
        <f>'MKT DATA'!J511</f>
        <v>0</v>
      </c>
      <c r="G128" s="9">
        <f>'MKT DATA'!K511</f>
        <v>0</v>
      </c>
      <c r="H128" s="9">
        <f>'MKT DATA'!L511</f>
        <v>0</v>
      </c>
      <c r="I128" s="14">
        <f>'MKT DATA'!M511</f>
        <v>0</v>
      </c>
      <c r="J128" s="44" t="str">
        <f t="shared" si="4"/>
        <v>syn BTCX6/BTCU6/BTCG7/BTCZ6/BTCV6</v>
      </c>
      <c r="K128" s="9">
        <f>'MKT DATA'!O511</f>
        <v>0</v>
      </c>
      <c r="L128" s="9">
        <f>'MKT DATA'!P511</f>
        <v>0</v>
      </c>
      <c r="M128" s="9">
        <f>'MKT DATA'!Q511</f>
        <v>0</v>
      </c>
      <c r="N128" s="9">
        <f>'MKT DATA'!R511</f>
        <v>0</v>
      </c>
      <c r="O128" s="9">
        <f>'MKT DATA'!S511</f>
        <v>0</v>
      </c>
      <c r="P128" s="9">
        <f>'MKT DATA'!T511</f>
        <v>0</v>
      </c>
      <c r="Q128" s="44" t="str">
        <f t="shared" si="5"/>
        <v>syn BTCX6/BTCU6/BTCG7/BTCZ6/BTCV6</v>
      </c>
      <c r="R128" s="14">
        <f>'MKT DATA'!AB511</f>
        <v>0</v>
      </c>
    </row>
    <row r="129" spans="5:18" x14ac:dyDescent="0.25">
      <c r="E129" s="44" t="str">
        <f>'MKT DATA'!B512</f>
        <v>syn BTCX6/BTCU6/BTCG7/BTCF7/BTCV6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BTCX6/BTCU6/BTCG7/BTCF7/BTCV6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BTCX6/BTCU6/BTCG7/BTCF7/BTCV6</v>
      </c>
      <c r="R129" s="14">
        <f>'MKT DATA'!AB512</f>
        <v>0</v>
      </c>
    </row>
    <row r="130" spans="5:18" x14ac:dyDescent="0.25">
      <c r="E130" s="44" t="str">
        <f>'MKT DATA'!B513</f>
        <v>syn BTCX6/BTCZ6/BTCU6/BTCF7/BTCV6</v>
      </c>
      <c r="F130" s="14">
        <f>'MKT DATA'!J513</f>
        <v>0</v>
      </c>
      <c r="G130" s="9">
        <f>'MKT DATA'!K513</f>
        <v>0</v>
      </c>
      <c r="H130" s="9">
        <f>'MKT DATA'!L513</f>
        <v>0</v>
      </c>
      <c r="I130" s="14">
        <f>'MKT DATA'!M513</f>
        <v>0</v>
      </c>
      <c r="J130" s="44" t="str">
        <f t="shared" si="4"/>
        <v>syn BTCX6/BTCZ6/BTCU6/BTCF7/BTCV6</v>
      </c>
      <c r="K130" s="9">
        <f>'MKT DATA'!O513</f>
        <v>0</v>
      </c>
      <c r="L130" s="9">
        <f>'MKT DATA'!P513</f>
        <v>0</v>
      </c>
      <c r="M130" s="9">
        <f>'MKT DATA'!Q513</f>
        <v>0</v>
      </c>
      <c r="N130" s="9">
        <f>'MKT DATA'!R513</f>
        <v>0</v>
      </c>
      <c r="O130" s="9">
        <f>'MKT DATA'!S513</f>
        <v>0</v>
      </c>
      <c r="P130" s="9">
        <f>'MKT DATA'!T513</f>
        <v>0</v>
      </c>
      <c r="Q130" s="44" t="str">
        <f t="shared" si="5"/>
        <v>syn BTCX6/BTCZ6/BTCU6/BTCF7/BTCV6</v>
      </c>
      <c r="R130" s="14">
        <f>'MKT DATA'!AB513</f>
        <v>0</v>
      </c>
    </row>
    <row r="131" spans="5:18" x14ac:dyDescent="0.25">
      <c r="E131" s="44" t="str">
        <f>'MKT DATA'!B514</f>
        <v>syn BTCX6/BTCZ6/BTCU6/BTCG7/BTCV6</v>
      </c>
      <c r="F131" s="14">
        <f>'MKT DATA'!J514</f>
        <v>0</v>
      </c>
      <c r="G131" s="9">
        <f>'MKT DATA'!K514</f>
        <v>0</v>
      </c>
      <c r="H131" s="9">
        <f>'MKT DATA'!L514</f>
        <v>0</v>
      </c>
      <c r="I131" s="14">
        <f>'MKT DATA'!M514</f>
        <v>0</v>
      </c>
      <c r="J131" s="44" t="str">
        <f t="shared" si="4"/>
        <v>syn BTCX6/BTCZ6/BTCU6/BTCG7/BTCV6</v>
      </c>
      <c r="K131" s="9">
        <f>'MKT DATA'!O514</f>
        <v>0</v>
      </c>
      <c r="L131" s="9">
        <f>'MKT DATA'!P514</f>
        <v>0</v>
      </c>
      <c r="M131" s="9">
        <f>'MKT DATA'!Q514</f>
        <v>0</v>
      </c>
      <c r="N131" s="9">
        <f>'MKT DATA'!R514</f>
        <v>0</v>
      </c>
      <c r="O131" s="9">
        <f>'MKT DATA'!S514</f>
        <v>0</v>
      </c>
      <c r="P131" s="9">
        <f>'MKT DATA'!T514</f>
        <v>0</v>
      </c>
      <c r="Q131" s="44" t="str">
        <f t="shared" si="5"/>
        <v>syn BTCX6/BTCZ6/BTCU6/BTCG7/BTCV6</v>
      </c>
      <c r="R131" s="14">
        <f>'MKT DATA'!AB514</f>
        <v>0</v>
      </c>
    </row>
    <row r="132" spans="5:18" x14ac:dyDescent="0.25">
      <c r="E132" s="44" t="str">
        <f>'MKT DATA'!B515</f>
        <v>syn BTCX6/BTCZ6/BTCF7/BTCU6/BTCV6</v>
      </c>
      <c r="F132" s="14">
        <f>'MKT DATA'!J515</f>
        <v>0</v>
      </c>
      <c r="G132" s="9">
        <f>'MKT DATA'!K515</f>
        <v>0</v>
      </c>
      <c r="H132" s="9">
        <f>'MKT DATA'!L515</f>
        <v>0</v>
      </c>
      <c r="I132" s="14">
        <f>'MKT DATA'!M515</f>
        <v>0</v>
      </c>
      <c r="J132" s="44" t="str">
        <f t="shared" si="4"/>
        <v>syn BTCX6/BTCZ6/BTCF7/BTCU6/BTCV6</v>
      </c>
      <c r="K132" s="9">
        <f>'MKT DATA'!O515</f>
        <v>0</v>
      </c>
      <c r="L132" s="9">
        <f>'MKT DATA'!P515</f>
        <v>0</v>
      </c>
      <c r="M132" s="9">
        <f>'MKT DATA'!Q515</f>
        <v>0</v>
      </c>
      <c r="N132" s="9">
        <f>'MKT DATA'!R515</f>
        <v>0</v>
      </c>
      <c r="O132" s="9">
        <f>'MKT DATA'!S515</f>
        <v>0</v>
      </c>
      <c r="P132" s="9">
        <f>'MKT DATA'!T515</f>
        <v>0</v>
      </c>
      <c r="Q132" s="44" t="str">
        <f t="shared" si="5"/>
        <v>syn BTCX6/BTCZ6/BTCF7/BTCU6/BTCV6</v>
      </c>
      <c r="R132" s="14">
        <f>'MKT DATA'!AB515</f>
        <v>0</v>
      </c>
    </row>
    <row r="133" spans="5:18" x14ac:dyDescent="0.25">
      <c r="E133" s="44" t="str">
        <f>'MKT DATA'!B516</f>
        <v>syn BTCX6/BTCZ6/BTCF7/BTCG7/BTCV6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BTCX6/BTCZ6/BTCF7/BTCG7/BTCV6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BTCX6/BTCZ6/BTCF7/BTCG7/BTCV6</v>
      </c>
      <c r="R133" s="14">
        <f>'MKT DATA'!AB516</f>
        <v>0</v>
      </c>
    </row>
    <row r="134" spans="5:18" x14ac:dyDescent="0.25">
      <c r="E134" s="44" t="str">
        <f>'MKT DATA'!B517</f>
        <v>syn BTCX6/BTCZ6/BTCG7/BTCU6/BTCV6</v>
      </c>
      <c r="F134" s="14">
        <f>'MKT DATA'!J517</f>
        <v>0</v>
      </c>
      <c r="G134" s="9">
        <f>'MKT DATA'!K517</f>
        <v>0</v>
      </c>
      <c r="H134" s="9">
        <f>'MKT DATA'!L517</f>
        <v>0</v>
      </c>
      <c r="I134" s="14">
        <f>'MKT DATA'!M517</f>
        <v>0</v>
      </c>
      <c r="J134" s="44" t="str">
        <f t="shared" si="4"/>
        <v>syn BTCX6/BTCZ6/BTCG7/BTCU6/BTCV6</v>
      </c>
      <c r="K134" s="9">
        <f>'MKT DATA'!O517</f>
        <v>0</v>
      </c>
      <c r="L134" s="9">
        <f>'MKT DATA'!P517</f>
        <v>0</v>
      </c>
      <c r="M134" s="9">
        <f>'MKT DATA'!Q517</f>
        <v>0</v>
      </c>
      <c r="N134" s="9">
        <f>'MKT DATA'!R517</f>
        <v>0</v>
      </c>
      <c r="O134" s="9">
        <f>'MKT DATA'!S517</f>
        <v>0</v>
      </c>
      <c r="P134" s="9">
        <f>'MKT DATA'!T517</f>
        <v>0</v>
      </c>
      <c r="Q134" s="44" t="str">
        <f t="shared" si="5"/>
        <v>syn BTCX6/BTCZ6/BTCG7/BTCU6/BTCV6</v>
      </c>
      <c r="R134" s="14">
        <f>'MKT DATA'!AB517</f>
        <v>0</v>
      </c>
    </row>
    <row r="135" spans="5:18" x14ac:dyDescent="0.25">
      <c r="E135" s="44" t="str">
        <f>'MKT DATA'!B518</f>
        <v>syn BTCX6/BTCZ6/BTCG7/BTCF7/BTCV6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BTCX6/BTCZ6/BTCG7/BTCF7/BTCV6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BTCX6/BTCZ6/BTCG7/BTCF7/BTCV6</v>
      </c>
      <c r="R135" s="14">
        <f>'MKT DATA'!AB518</f>
        <v>0</v>
      </c>
    </row>
    <row r="136" spans="5:18" x14ac:dyDescent="0.25">
      <c r="E136" s="44" t="str">
        <f>'MKT DATA'!B519</f>
        <v>syn BTCX6/BTCF7/BTCU6/BTCZ6/BTCV6</v>
      </c>
      <c r="F136" s="14">
        <f>'MKT DATA'!J519</f>
        <v>0</v>
      </c>
      <c r="G136" s="9">
        <f>'MKT DATA'!K519</f>
        <v>0</v>
      </c>
      <c r="H136" s="9">
        <f>'MKT DATA'!L519</f>
        <v>0</v>
      </c>
      <c r="I136" s="14">
        <f>'MKT DATA'!M519</f>
        <v>0</v>
      </c>
      <c r="J136" s="44" t="str">
        <f t="shared" si="4"/>
        <v>syn BTCX6/BTCF7/BTCU6/BTCZ6/BTCV6</v>
      </c>
      <c r="K136" s="9">
        <f>'MKT DATA'!O519</f>
        <v>0</v>
      </c>
      <c r="L136" s="9">
        <f>'MKT DATA'!P519</f>
        <v>0</v>
      </c>
      <c r="M136" s="9">
        <f>'MKT DATA'!Q519</f>
        <v>0</v>
      </c>
      <c r="N136" s="9">
        <f>'MKT DATA'!R519</f>
        <v>0</v>
      </c>
      <c r="O136" s="9">
        <f>'MKT DATA'!S519</f>
        <v>0</v>
      </c>
      <c r="P136" s="9">
        <f>'MKT DATA'!T519</f>
        <v>0</v>
      </c>
      <c r="Q136" s="44" t="str">
        <f t="shared" si="5"/>
        <v>syn BTCX6/BTCF7/BTCU6/BTCZ6/BTCV6</v>
      </c>
      <c r="R136" s="14">
        <f>'MKT DATA'!AB519</f>
        <v>0</v>
      </c>
    </row>
    <row r="137" spans="5:18" x14ac:dyDescent="0.25">
      <c r="E137" s="44" t="str">
        <f>'MKT DATA'!B520</f>
        <v>syn BTCX6/BTCF7/BTCU6/BTCG7/BTCV6</v>
      </c>
      <c r="F137" s="14">
        <f>'MKT DATA'!J520</f>
        <v>0</v>
      </c>
      <c r="G137" s="9">
        <f>'MKT DATA'!K520</f>
        <v>0</v>
      </c>
      <c r="H137" s="9">
        <f>'MKT DATA'!L520</f>
        <v>0</v>
      </c>
      <c r="I137" s="14">
        <f>'MKT DATA'!M520</f>
        <v>0</v>
      </c>
      <c r="J137" s="44" t="str">
        <f t="shared" si="4"/>
        <v>syn BTCX6/BTCF7/BTCU6/BTCG7/BTCV6</v>
      </c>
      <c r="K137" s="9">
        <f>'MKT DATA'!O520</f>
        <v>0</v>
      </c>
      <c r="L137" s="9">
        <f>'MKT DATA'!P520</f>
        <v>0</v>
      </c>
      <c r="M137" s="9">
        <f>'MKT DATA'!Q520</f>
        <v>0</v>
      </c>
      <c r="N137" s="9">
        <f>'MKT DATA'!R520</f>
        <v>0</v>
      </c>
      <c r="O137" s="9">
        <f>'MKT DATA'!S520</f>
        <v>0</v>
      </c>
      <c r="P137" s="9">
        <f>'MKT DATA'!T520</f>
        <v>0</v>
      </c>
      <c r="Q137" s="44" t="str">
        <f t="shared" si="5"/>
        <v>syn BTCX6/BTCF7/BTCU6/BTCG7/BTCV6</v>
      </c>
      <c r="R137" s="14">
        <f>'MKT DATA'!AB520</f>
        <v>0</v>
      </c>
    </row>
    <row r="138" spans="5:18" x14ac:dyDescent="0.25">
      <c r="E138" s="44" t="str">
        <f>'MKT DATA'!B521</f>
        <v>syn BTCX6/BTCF7/BTCZ6/BTCU6/BTCV6</v>
      </c>
      <c r="F138" s="14">
        <f>'MKT DATA'!J521</f>
        <v>0</v>
      </c>
      <c r="G138" s="9">
        <f>'MKT DATA'!K521</f>
        <v>0</v>
      </c>
      <c r="H138" s="9">
        <f>'MKT DATA'!L521</f>
        <v>0</v>
      </c>
      <c r="I138" s="14">
        <f>'MKT DATA'!M521</f>
        <v>0</v>
      </c>
      <c r="J138" s="44" t="str">
        <f t="shared" ref="J138:J201" si="6">E138</f>
        <v>syn BTCX6/BTCF7/BTCZ6/BTCU6/BTCV6</v>
      </c>
      <c r="K138" s="9">
        <f>'MKT DATA'!O521</f>
        <v>0</v>
      </c>
      <c r="L138" s="9">
        <f>'MKT DATA'!P521</f>
        <v>0</v>
      </c>
      <c r="M138" s="9">
        <f>'MKT DATA'!Q521</f>
        <v>0</v>
      </c>
      <c r="N138" s="9">
        <f>'MKT DATA'!R521</f>
        <v>0</v>
      </c>
      <c r="O138" s="9">
        <f>'MKT DATA'!S521</f>
        <v>0</v>
      </c>
      <c r="P138" s="9">
        <f>'MKT DATA'!T521</f>
        <v>0</v>
      </c>
      <c r="Q138" s="44" t="str">
        <f t="shared" ref="Q138:Q201" si="7">J138</f>
        <v>syn BTCX6/BTCF7/BTCZ6/BTCU6/BTCV6</v>
      </c>
      <c r="R138" s="14">
        <f>'MKT DATA'!AB521</f>
        <v>0</v>
      </c>
    </row>
    <row r="139" spans="5:18" x14ac:dyDescent="0.25">
      <c r="E139" s="44" t="str">
        <f>'MKT DATA'!B522</f>
        <v>syn BTCX6/BTCF7/BTCZ6/BTCG7/BTCV6</v>
      </c>
      <c r="F139" s="14">
        <f>'MKT DATA'!J522</f>
        <v>0</v>
      </c>
      <c r="G139" s="9">
        <f>'MKT DATA'!K522</f>
        <v>0</v>
      </c>
      <c r="H139" s="9">
        <f>'MKT DATA'!L522</f>
        <v>0</v>
      </c>
      <c r="I139" s="14">
        <f>'MKT DATA'!M522</f>
        <v>0</v>
      </c>
      <c r="J139" s="44" t="str">
        <f t="shared" si="6"/>
        <v>syn BTCX6/BTCF7/BTCZ6/BTCG7/BTCV6</v>
      </c>
      <c r="K139" s="9">
        <f>'MKT DATA'!O522</f>
        <v>0</v>
      </c>
      <c r="L139" s="9">
        <f>'MKT DATA'!P522</f>
        <v>0</v>
      </c>
      <c r="M139" s="9">
        <f>'MKT DATA'!Q522</f>
        <v>0</v>
      </c>
      <c r="N139" s="9">
        <f>'MKT DATA'!R522</f>
        <v>0</v>
      </c>
      <c r="O139" s="9">
        <f>'MKT DATA'!S522</f>
        <v>0</v>
      </c>
      <c r="P139" s="9">
        <f>'MKT DATA'!T522</f>
        <v>0</v>
      </c>
      <c r="Q139" s="44" t="str">
        <f t="shared" si="7"/>
        <v>syn BTCX6/BTCF7/BTCZ6/BTCG7/BTCV6</v>
      </c>
      <c r="R139" s="14">
        <f>'MKT DATA'!AB522</f>
        <v>0</v>
      </c>
    </row>
    <row r="140" spans="5:18" x14ac:dyDescent="0.25">
      <c r="E140" s="44" t="str">
        <f>'MKT DATA'!B523</f>
        <v>syn BTCX6/BTCF7/BTCG7/BTCU6/BTCV6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BTCX6/BTCF7/BTCG7/BTCU6/BTCV6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BTCX6/BTCF7/BTCG7/BTCU6/BTCV6</v>
      </c>
      <c r="R140" s="14">
        <f>'MKT DATA'!AB523</f>
        <v>0</v>
      </c>
    </row>
    <row r="141" spans="5:18" x14ac:dyDescent="0.25">
      <c r="E141" s="44" t="str">
        <f>'MKT DATA'!B524</f>
        <v>syn BTCX6/BTCF7/BTCG7/BTCZ6/BTCV6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BTCX6/BTCF7/BTCG7/BTCZ6/BTCV6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BTCX6/BTCF7/BTCG7/BTCZ6/BTCV6</v>
      </c>
      <c r="R141" s="14">
        <f>'MKT DATA'!AB524</f>
        <v>0</v>
      </c>
    </row>
    <row r="142" spans="5:18" x14ac:dyDescent="0.25">
      <c r="E142" s="44" t="str">
        <f>'MKT DATA'!B525</f>
        <v>syn BTCX6/BTCG7/BTCU6/BTCZ6/BTCV6</v>
      </c>
      <c r="F142" s="14">
        <f>'MKT DATA'!J525</f>
        <v>0</v>
      </c>
      <c r="G142" s="9">
        <f>'MKT DATA'!K525</f>
        <v>0</v>
      </c>
      <c r="H142" s="9">
        <f>'MKT DATA'!L525</f>
        <v>0</v>
      </c>
      <c r="I142" s="14">
        <f>'MKT DATA'!M525</f>
        <v>0</v>
      </c>
      <c r="J142" s="44" t="str">
        <f t="shared" si="6"/>
        <v>syn BTCX6/BTCG7/BTCU6/BTCZ6/BTCV6</v>
      </c>
      <c r="K142" s="9">
        <f>'MKT DATA'!O525</f>
        <v>0</v>
      </c>
      <c r="L142" s="9">
        <f>'MKT DATA'!P525</f>
        <v>0</v>
      </c>
      <c r="M142" s="9">
        <f>'MKT DATA'!Q525</f>
        <v>0</v>
      </c>
      <c r="N142" s="9">
        <f>'MKT DATA'!R525</f>
        <v>0</v>
      </c>
      <c r="O142" s="9">
        <f>'MKT DATA'!S525</f>
        <v>0</v>
      </c>
      <c r="P142" s="9">
        <f>'MKT DATA'!T525</f>
        <v>0</v>
      </c>
      <c r="Q142" s="44" t="str">
        <f t="shared" si="7"/>
        <v>syn BTCX6/BTCG7/BTCU6/BTCZ6/BTCV6</v>
      </c>
      <c r="R142" s="14">
        <f>'MKT DATA'!AB525</f>
        <v>0</v>
      </c>
    </row>
    <row r="143" spans="5:18" x14ac:dyDescent="0.25">
      <c r="E143" s="44" t="str">
        <f>'MKT DATA'!B526</f>
        <v>syn BTCX6/BTCG7/BTCU6/BTCF7/BTCV6</v>
      </c>
      <c r="F143" s="14">
        <f>'MKT DATA'!J526</f>
        <v>0</v>
      </c>
      <c r="G143" s="9">
        <f>'MKT DATA'!K526</f>
        <v>0</v>
      </c>
      <c r="H143" s="9">
        <f>'MKT DATA'!L526</f>
        <v>0</v>
      </c>
      <c r="I143" s="14">
        <f>'MKT DATA'!M526</f>
        <v>0</v>
      </c>
      <c r="J143" s="44" t="str">
        <f t="shared" si="6"/>
        <v>syn BTCX6/BTCG7/BTCU6/BTCF7/BTCV6</v>
      </c>
      <c r="K143" s="9">
        <f>'MKT DATA'!O526</f>
        <v>0</v>
      </c>
      <c r="L143" s="9">
        <f>'MKT DATA'!P526</f>
        <v>0</v>
      </c>
      <c r="M143" s="9">
        <f>'MKT DATA'!Q526</f>
        <v>0</v>
      </c>
      <c r="N143" s="9">
        <f>'MKT DATA'!R526</f>
        <v>0</v>
      </c>
      <c r="O143" s="9">
        <f>'MKT DATA'!S526</f>
        <v>0</v>
      </c>
      <c r="P143" s="9">
        <f>'MKT DATA'!T526</f>
        <v>0</v>
      </c>
      <c r="Q143" s="44" t="str">
        <f t="shared" si="7"/>
        <v>syn BTCX6/BTCG7/BTCU6/BTCF7/BTCV6</v>
      </c>
      <c r="R143" s="14">
        <f>'MKT DATA'!AB526</f>
        <v>0</v>
      </c>
    </row>
    <row r="144" spans="5:18" x14ac:dyDescent="0.25">
      <c r="E144" s="44" t="str">
        <f>'MKT DATA'!B527</f>
        <v>syn BTCX6/BTCG7/BTCZ6/BTCU6/BTCV6</v>
      </c>
      <c r="F144" s="14">
        <f>'MKT DATA'!J527</f>
        <v>0</v>
      </c>
      <c r="G144" s="9">
        <f>'MKT DATA'!K527</f>
        <v>0</v>
      </c>
      <c r="H144" s="9">
        <f>'MKT DATA'!L527</f>
        <v>0</v>
      </c>
      <c r="I144" s="14">
        <f>'MKT DATA'!M527</f>
        <v>0</v>
      </c>
      <c r="J144" s="44" t="str">
        <f t="shared" si="6"/>
        <v>syn BTCX6/BTCG7/BTCZ6/BTCU6/BTCV6</v>
      </c>
      <c r="K144" s="9">
        <f>'MKT DATA'!O527</f>
        <v>0</v>
      </c>
      <c r="L144" s="9">
        <f>'MKT DATA'!P527</f>
        <v>0</v>
      </c>
      <c r="M144" s="9">
        <f>'MKT DATA'!Q527</f>
        <v>0</v>
      </c>
      <c r="N144" s="9">
        <f>'MKT DATA'!R527</f>
        <v>0</v>
      </c>
      <c r="O144" s="9">
        <f>'MKT DATA'!S527</f>
        <v>0</v>
      </c>
      <c r="P144" s="9">
        <f>'MKT DATA'!T527</f>
        <v>0</v>
      </c>
      <c r="Q144" s="44" t="str">
        <f t="shared" si="7"/>
        <v>syn BTCX6/BTCG7/BTCZ6/BTCU6/BTCV6</v>
      </c>
      <c r="R144" s="14">
        <f>'MKT DATA'!AB527</f>
        <v>0</v>
      </c>
    </row>
    <row r="145" spans="5:18" x14ac:dyDescent="0.25">
      <c r="E145" s="44" t="str">
        <f>'MKT DATA'!B528</f>
        <v>syn BTCX6/BTCG7/BTCZ6/BTCF7/BTCV6</v>
      </c>
      <c r="F145" s="14">
        <f>'MKT DATA'!J528</f>
        <v>0</v>
      </c>
      <c r="G145" s="9">
        <f>'MKT DATA'!K528</f>
        <v>0</v>
      </c>
      <c r="H145" s="9">
        <f>'MKT DATA'!L528</f>
        <v>0</v>
      </c>
      <c r="I145" s="14">
        <f>'MKT DATA'!M528</f>
        <v>0</v>
      </c>
      <c r="J145" s="44" t="str">
        <f t="shared" si="6"/>
        <v>syn BTCX6/BTCG7/BTCZ6/BTCF7/BTCV6</v>
      </c>
      <c r="K145" s="9">
        <f>'MKT DATA'!O528</f>
        <v>0</v>
      </c>
      <c r="L145" s="9">
        <f>'MKT DATA'!P528</f>
        <v>0</v>
      </c>
      <c r="M145" s="9">
        <f>'MKT DATA'!Q528</f>
        <v>0</v>
      </c>
      <c r="N145" s="9">
        <f>'MKT DATA'!R528</f>
        <v>0</v>
      </c>
      <c r="O145" s="9">
        <f>'MKT DATA'!S528</f>
        <v>0</v>
      </c>
      <c r="P145" s="9">
        <f>'MKT DATA'!T528</f>
        <v>0</v>
      </c>
      <c r="Q145" s="44" t="str">
        <f t="shared" si="7"/>
        <v>syn BTCX6/BTCG7/BTCZ6/BTCF7/BTCV6</v>
      </c>
      <c r="R145" s="14">
        <f>'MKT DATA'!AB528</f>
        <v>0</v>
      </c>
    </row>
    <row r="146" spans="5:18" x14ac:dyDescent="0.25">
      <c r="E146" s="44" t="str">
        <f>'MKT DATA'!B529</f>
        <v>syn BTCX6/BTCG7/BTCF7/BTCU6/BTCV6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BTCX6/BTCG7/BTCF7/BTCU6/BTCV6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BTCX6/BTCG7/BTCF7/BTCU6/BTCV6</v>
      </c>
      <c r="R146" s="14">
        <f>'MKT DATA'!AB529</f>
        <v>0</v>
      </c>
    </row>
    <row r="147" spans="5:18" x14ac:dyDescent="0.25">
      <c r="E147" s="44" t="str">
        <f>'MKT DATA'!B530</f>
        <v>syn BTCX6/BTCG7/BTCF7/BTCZ6/BTCV6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BTCX6/BTCG7/BTCF7/BTCZ6/BTCV6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BTCX6/BTCG7/BTCF7/BTCZ6/BTCV6</v>
      </c>
      <c r="R147" s="14">
        <f>'MKT DATA'!AB530</f>
        <v>0</v>
      </c>
    </row>
    <row r="148" spans="5:18" x14ac:dyDescent="0.25">
      <c r="E148" s="44" t="str">
        <f>'MKT DATA'!B531</f>
        <v>syn BTCZ6/BTCU6/BTCX6/BTCF7/BTCV6</v>
      </c>
      <c r="F148" s="14">
        <f>'MKT DATA'!J531</f>
        <v>0</v>
      </c>
      <c r="G148" s="9">
        <f>'MKT DATA'!K531</f>
        <v>0</v>
      </c>
      <c r="H148" s="9">
        <f>'MKT DATA'!L531</f>
        <v>0</v>
      </c>
      <c r="I148" s="14">
        <f>'MKT DATA'!M531</f>
        <v>0</v>
      </c>
      <c r="J148" s="44" t="str">
        <f t="shared" si="6"/>
        <v>syn BTCZ6/BTCU6/BTCX6/BTCF7/BTCV6</v>
      </c>
      <c r="K148" s="9">
        <f>'MKT DATA'!O531</f>
        <v>0</v>
      </c>
      <c r="L148" s="9">
        <f>'MKT DATA'!P531</f>
        <v>0</v>
      </c>
      <c r="M148" s="9">
        <f>'MKT DATA'!Q531</f>
        <v>0</v>
      </c>
      <c r="N148" s="9">
        <f>'MKT DATA'!R531</f>
        <v>0</v>
      </c>
      <c r="O148" s="9">
        <f>'MKT DATA'!S531</f>
        <v>0</v>
      </c>
      <c r="P148" s="9">
        <f>'MKT DATA'!T531</f>
        <v>0</v>
      </c>
      <c r="Q148" s="44" t="str">
        <f t="shared" si="7"/>
        <v>syn BTCZ6/BTCU6/BTCX6/BTCF7/BTCV6</v>
      </c>
      <c r="R148" s="14">
        <f>'MKT DATA'!AB531</f>
        <v>0</v>
      </c>
    </row>
    <row r="149" spans="5:18" x14ac:dyDescent="0.25">
      <c r="E149" s="44" t="str">
        <f>'MKT DATA'!B532</f>
        <v>syn BTCZ6/BTCU6/BTCX6/BTCG7/BTCV6</v>
      </c>
      <c r="F149" s="14">
        <f>'MKT DATA'!J532</f>
        <v>0</v>
      </c>
      <c r="G149" s="9">
        <f>'MKT DATA'!K532</f>
        <v>0</v>
      </c>
      <c r="H149" s="9">
        <f>'MKT DATA'!L532</f>
        <v>0</v>
      </c>
      <c r="I149" s="14">
        <f>'MKT DATA'!M532</f>
        <v>0</v>
      </c>
      <c r="J149" s="44" t="str">
        <f t="shared" si="6"/>
        <v>syn BTCZ6/BTCU6/BTCX6/BTCG7/BTCV6</v>
      </c>
      <c r="K149" s="9">
        <f>'MKT DATA'!O532</f>
        <v>0</v>
      </c>
      <c r="L149" s="9">
        <f>'MKT DATA'!P532</f>
        <v>0</v>
      </c>
      <c r="M149" s="9">
        <f>'MKT DATA'!Q532</f>
        <v>0</v>
      </c>
      <c r="N149" s="9">
        <f>'MKT DATA'!R532</f>
        <v>0</v>
      </c>
      <c r="O149" s="9">
        <f>'MKT DATA'!S532</f>
        <v>0</v>
      </c>
      <c r="P149" s="9">
        <f>'MKT DATA'!T532</f>
        <v>0</v>
      </c>
      <c r="Q149" s="44" t="str">
        <f t="shared" si="7"/>
        <v>syn BTCZ6/BTCU6/BTCX6/BTCG7/BTCV6</v>
      </c>
      <c r="R149" s="14">
        <f>'MKT DATA'!AB532</f>
        <v>0</v>
      </c>
    </row>
    <row r="150" spans="5:18" x14ac:dyDescent="0.25">
      <c r="E150" s="44" t="str">
        <f>'MKT DATA'!B533</f>
        <v>syn BTCZ6/BTCU6/BTCF7/BTCX6/BTCV6</v>
      </c>
      <c r="F150" s="14">
        <f>'MKT DATA'!J533</f>
        <v>0</v>
      </c>
      <c r="G150" s="9">
        <f>'MKT DATA'!K533</f>
        <v>0</v>
      </c>
      <c r="H150" s="9">
        <f>'MKT DATA'!L533</f>
        <v>0</v>
      </c>
      <c r="I150" s="14">
        <f>'MKT DATA'!M533</f>
        <v>0</v>
      </c>
      <c r="J150" s="44" t="str">
        <f t="shared" si="6"/>
        <v>syn BTCZ6/BTCU6/BTCF7/BTCX6/BTCV6</v>
      </c>
      <c r="K150" s="9">
        <f>'MKT DATA'!O533</f>
        <v>0</v>
      </c>
      <c r="L150" s="9">
        <f>'MKT DATA'!P533</f>
        <v>0</v>
      </c>
      <c r="M150" s="9">
        <f>'MKT DATA'!Q533</f>
        <v>0</v>
      </c>
      <c r="N150" s="9">
        <f>'MKT DATA'!R533</f>
        <v>0</v>
      </c>
      <c r="O150" s="9">
        <f>'MKT DATA'!S533</f>
        <v>0</v>
      </c>
      <c r="P150" s="9">
        <f>'MKT DATA'!T533</f>
        <v>0</v>
      </c>
      <c r="Q150" s="44" t="str">
        <f t="shared" si="7"/>
        <v>syn BTCZ6/BTCU6/BTCF7/BTCX6/BTCV6</v>
      </c>
      <c r="R150" s="14">
        <f>'MKT DATA'!AB533</f>
        <v>0</v>
      </c>
    </row>
    <row r="151" spans="5:18" x14ac:dyDescent="0.25">
      <c r="E151" s="44" t="str">
        <f>'MKT DATA'!B534</f>
        <v>syn BTCZ6/BTCU6/BTCF7/BTCG7/BTCV6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BTCZ6/BTCU6/BTCF7/BTCG7/BTCV6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BTCZ6/BTCU6/BTCF7/BTCG7/BTCV6</v>
      </c>
      <c r="R151" s="14">
        <f>'MKT DATA'!AB534</f>
        <v>0</v>
      </c>
    </row>
    <row r="152" spans="5:18" x14ac:dyDescent="0.25">
      <c r="E152" s="44" t="str">
        <f>'MKT DATA'!B535</f>
        <v>syn BTCZ6/BTCU6/BTCG7/BTCX6/BTCV6</v>
      </c>
      <c r="F152" s="14">
        <f>'MKT DATA'!J535</f>
        <v>0</v>
      </c>
      <c r="G152" s="9">
        <f>'MKT DATA'!K535</f>
        <v>0</v>
      </c>
      <c r="H152" s="9">
        <f>'MKT DATA'!L535</f>
        <v>0</v>
      </c>
      <c r="I152" s="14">
        <f>'MKT DATA'!M535</f>
        <v>0</v>
      </c>
      <c r="J152" s="44" t="str">
        <f t="shared" si="6"/>
        <v>syn BTCZ6/BTCU6/BTCG7/BTCX6/BTCV6</v>
      </c>
      <c r="K152" s="9">
        <f>'MKT DATA'!O535</f>
        <v>0</v>
      </c>
      <c r="L152" s="9">
        <f>'MKT DATA'!P535</f>
        <v>0</v>
      </c>
      <c r="M152" s="9">
        <f>'MKT DATA'!Q535</f>
        <v>0</v>
      </c>
      <c r="N152" s="9">
        <f>'MKT DATA'!R535</f>
        <v>0</v>
      </c>
      <c r="O152" s="9">
        <f>'MKT DATA'!S535</f>
        <v>0</v>
      </c>
      <c r="P152" s="9">
        <f>'MKT DATA'!T535</f>
        <v>0</v>
      </c>
      <c r="Q152" s="44" t="str">
        <f t="shared" si="7"/>
        <v>syn BTCZ6/BTCU6/BTCG7/BTCX6/BTCV6</v>
      </c>
      <c r="R152" s="14">
        <f>'MKT DATA'!AB535</f>
        <v>0</v>
      </c>
    </row>
    <row r="153" spans="5:18" x14ac:dyDescent="0.25">
      <c r="E153" s="44" t="str">
        <f>'MKT DATA'!B536</f>
        <v>syn BTCZ6/BTCU6/BTCG7/BTCF7/BTCV6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BTCZ6/BTCU6/BTCG7/BTCF7/BTCV6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BTCZ6/BTCU6/BTCG7/BTCF7/BTCV6</v>
      </c>
      <c r="R153" s="14">
        <f>'MKT DATA'!AB536</f>
        <v>0</v>
      </c>
    </row>
    <row r="154" spans="5:18" x14ac:dyDescent="0.25">
      <c r="E154" s="44" t="str">
        <f>'MKT DATA'!B537</f>
        <v>syn BTCZ6/BTCX6/BTCU6/BTCF7/BTCV6</v>
      </c>
      <c r="F154" s="14">
        <f>'MKT DATA'!J537</f>
        <v>0</v>
      </c>
      <c r="G154" s="9">
        <f>'MKT DATA'!K537</f>
        <v>0</v>
      </c>
      <c r="H154" s="9">
        <f>'MKT DATA'!L537</f>
        <v>0</v>
      </c>
      <c r="I154" s="14">
        <f>'MKT DATA'!M537</f>
        <v>0</v>
      </c>
      <c r="J154" s="44" t="str">
        <f t="shared" si="6"/>
        <v>syn BTCZ6/BTCX6/BTCU6/BTCF7/BTCV6</v>
      </c>
      <c r="K154" s="9">
        <f>'MKT DATA'!O537</f>
        <v>0</v>
      </c>
      <c r="L154" s="9">
        <f>'MKT DATA'!P537</f>
        <v>0</v>
      </c>
      <c r="M154" s="9">
        <f>'MKT DATA'!Q537</f>
        <v>0</v>
      </c>
      <c r="N154" s="9">
        <f>'MKT DATA'!R537</f>
        <v>0</v>
      </c>
      <c r="O154" s="9">
        <f>'MKT DATA'!S537</f>
        <v>0</v>
      </c>
      <c r="P154" s="9">
        <f>'MKT DATA'!T537</f>
        <v>0</v>
      </c>
      <c r="Q154" s="44" t="str">
        <f t="shared" si="7"/>
        <v>syn BTCZ6/BTCX6/BTCU6/BTCF7/BTCV6</v>
      </c>
      <c r="R154" s="14">
        <f>'MKT DATA'!AB537</f>
        <v>0</v>
      </c>
    </row>
    <row r="155" spans="5:18" x14ac:dyDescent="0.25">
      <c r="E155" s="44" t="str">
        <f>'MKT DATA'!B538</f>
        <v>syn BTCZ6/BTCX6/BTCU6/BTCG7/BTCV6</v>
      </c>
      <c r="F155" s="14">
        <f>'MKT DATA'!J538</f>
        <v>0</v>
      </c>
      <c r="G155" s="9">
        <f>'MKT DATA'!K538</f>
        <v>0</v>
      </c>
      <c r="H155" s="9">
        <f>'MKT DATA'!L538</f>
        <v>0</v>
      </c>
      <c r="I155" s="14">
        <f>'MKT DATA'!M538</f>
        <v>0</v>
      </c>
      <c r="J155" s="44" t="str">
        <f t="shared" si="6"/>
        <v>syn BTCZ6/BTCX6/BTCU6/BTCG7/BTCV6</v>
      </c>
      <c r="K155" s="9">
        <f>'MKT DATA'!O538</f>
        <v>0</v>
      </c>
      <c r="L155" s="9">
        <f>'MKT DATA'!P538</f>
        <v>0</v>
      </c>
      <c r="M155" s="9">
        <f>'MKT DATA'!Q538</f>
        <v>0</v>
      </c>
      <c r="N155" s="9">
        <f>'MKT DATA'!R538</f>
        <v>0</v>
      </c>
      <c r="O155" s="9">
        <f>'MKT DATA'!S538</f>
        <v>0</v>
      </c>
      <c r="P155" s="9">
        <f>'MKT DATA'!T538</f>
        <v>0</v>
      </c>
      <c r="Q155" s="44" t="str">
        <f t="shared" si="7"/>
        <v>syn BTCZ6/BTCX6/BTCU6/BTCG7/BTCV6</v>
      </c>
      <c r="R155" s="14">
        <f>'MKT DATA'!AB538</f>
        <v>0</v>
      </c>
    </row>
    <row r="156" spans="5:18" x14ac:dyDescent="0.25">
      <c r="E156" s="44" t="str">
        <f>'MKT DATA'!B539</f>
        <v>syn BTCZ6/BTCX6/BTCF7/BTCU6/BTCV6</v>
      </c>
      <c r="F156" s="14">
        <f>'MKT DATA'!J539</f>
        <v>0</v>
      </c>
      <c r="G156" s="9">
        <f>'MKT DATA'!K539</f>
        <v>0</v>
      </c>
      <c r="H156" s="9">
        <f>'MKT DATA'!L539</f>
        <v>0</v>
      </c>
      <c r="I156" s="14">
        <f>'MKT DATA'!M539</f>
        <v>0</v>
      </c>
      <c r="J156" s="44" t="str">
        <f t="shared" si="6"/>
        <v>syn BTCZ6/BTCX6/BTCF7/BTCU6/BTCV6</v>
      </c>
      <c r="K156" s="9">
        <f>'MKT DATA'!O539</f>
        <v>0</v>
      </c>
      <c r="L156" s="9">
        <f>'MKT DATA'!P539</f>
        <v>0</v>
      </c>
      <c r="M156" s="9">
        <f>'MKT DATA'!Q539</f>
        <v>0</v>
      </c>
      <c r="N156" s="9">
        <f>'MKT DATA'!R539</f>
        <v>0</v>
      </c>
      <c r="O156" s="9">
        <f>'MKT DATA'!S539</f>
        <v>0</v>
      </c>
      <c r="P156" s="9">
        <f>'MKT DATA'!T539</f>
        <v>0</v>
      </c>
      <c r="Q156" s="44" t="str">
        <f t="shared" si="7"/>
        <v>syn BTCZ6/BTCX6/BTCF7/BTCU6/BTCV6</v>
      </c>
      <c r="R156" s="14">
        <f>'MKT DATA'!AB539</f>
        <v>0</v>
      </c>
    </row>
    <row r="157" spans="5:18" x14ac:dyDescent="0.25">
      <c r="E157" s="44" t="str">
        <f>'MKT DATA'!B540</f>
        <v>syn BTCZ6/BTCX6/BTCF7/BTCG7/BTCV6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BTCZ6/BTCX6/BTCF7/BTCG7/BTCV6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BTCZ6/BTCX6/BTCF7/BTCG7/BTCV6</v>
      </c>
      <c r="R157" s="14">
        <f>'MKT DATA'!AB540</f>
        <v>0</v>
      </c>
    </row>
    <row r="158" spans="5:18" x14ac:dyDescent="0.25">
      <c r="E158" s="44" t="str">
        <f>'MKT DATA'!B541</f>
        <v>syn BTCZ6/BTCX6/BTCG7/BTCU6/BTCV6</v>
      </c>
      <c r="F158" s="14">
        <f>'MKT DATA'!J541</f>
        <v>0</v>
      </c>
      <c r="G158" s="9">
        <f>'MKT DATA'!K541</f>
        <v>0</v>
      </c>
      <c r="H158" s="9">
        <f>'MKT DATA'!L541</f>
        <v>0</v>
      </c>
      <c r="I158" s="14">
        <f>'MKT DATA'!M541</f>
        <v>0</v>
      </c>
      <c r="J158" s="44" t="str">
        <f t="shared" si="6"/>
        <v>syn BTCZ6/BTCX6/BTCG7/BTCU6/BTCV6</v>
      </c>
      <c r="K158" s="9">
        <f>'MKT DATA'!O541</f>
        <v>0</v>
      </c>
      <c r="L158" s="9">
        <f>'MKT DATA'!P541</f>
        <v>0</v>
      </c>
      <c r="M158" s="9">
        <f>'MKT DATA'!Q541</f>
        <v>0</v>
      </c>
      <c r="N158" s="9">
        <f>'MKT DATA'!R541</f>
        <v>0</v>
      </c>
      <c r="O158" s="9">
        <f>'MKT DATA'!S541</f>
        <v>0</v>
      </c>
      <c r="P158" s="9">
        <f>'MKT DATA'!T541</f>
        <v>0</v>
      </c>
      <c r="Q158" s="44" t="str">
        <f t="shared" si="7"/>
        <v>syn BTCZ6/BTCX6/BTCG7/BTCU6/BTCV6</v>
      </c>
      <c r="R158" s="14">
        <f>'MKT DATA'!AB541</f>
        <v>0</v>
      </c>
    </row>
    <row r="159" spans="5:18" x14ac:dyDescent="0.25">
      <c r="E159" s="44" t="str">
        <f>'MKT DATA'!B542</f>
        <v>syn BTCZ6/BTCX6/BTCG7/BTCF7/BTCV6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BTCZ6/BTCX6/BTCG7/BTCF7/BTCV6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BTCZ6/BTCX6/BTCG7/BTCF7/BTCV6</v>
      </c>
      <c r="R159" s="14">
        <f>'MKT DATA'!AB542</f>
        <v>0</v>
      </c>
    </row>
    <row r="160" spans="5:18" x14ac:dyDescent="0.25">
      <c r="E160" s="44" t="str">
        <f>'MKT DATA'!B543</f>
        <v>syn BTCZ6/BTCF7/BTCU6/BTCX6/BTCV6</v>
      </c>
      <c r="F160" s="14">
        <f>'MKT DATA'!J543</f>
        <v>0</v>
      </c>
      <c r="G160" s="9">
        <f>'MKT DATA'!K543</f>
        <v>0</v>
      </c>
      <c r="H160" s="9">
        <f>'MKT DATA'!L543</f>
        <v>0</v>
      </c>
      <c r="I160" s="14">
        <f>'MKT DATA'!M543</f>
        <v>0</v>
      </c>
      <c r="J160" s="44" t="str">
        <f t="shared" si="6"/>
        <v>syn BTCZ6/BTCF7/BTCU6/BTCX6/BTCV6</v>
      </c>
      <c r="K160" s="9">
        <f>'MKT DATA'!O543</f>
        <v>0</v>
      </c>
      <c r="L160" s="9">
        <f>'MKT DATA'!P543</f>
        <v>0</v>
      </c>
      <c r="M160" s="9">
        <f>'MKT DATA'!Q543</f>
        <v>0</v>
      </c>
      <c r="N160" s="9">
        <f>'MKT DATA'!R543</f>
        <v>0</v>
      </c>
      <c r="O160" s="9">
        <f>'MKT DATA'!S543</f>
        <v>0</v>
      </c>
      <c r="P160" s="9">
        <f>'MKT DATA'!T543</f>
        <v>0</v>
      </c>
      <c r="Q160" s="44" t="str">
        <f t="shared" si="7"/>
        <v>syn BTCZ6/BTCF7/BTCU6/BTCX6/BTCV6</v>
      </c>
      <c r="R160" s="14">
        <f>'MKT DATA'!AB543</f>
        <v>0</v>
      </c>
    </row>
    <row r="161" spans="5:18" x14ac:dyDescent="0.25">
      <c r="E161" s="44" t="str">
        <f>'MKT DATA'!B544</f>
        <v>syn BTCZ6/BTCF7/BTCU6/BTCG7/BTCV6</v>
      </c>
      <c r="F161" s="14">
        <f>'MKT DATA'!J544</f>
        <v>0</v>
      </c>
      <c r="G161" s="9">
        <f>'MKT DATA'!K544</f>
        <v>0</v>
      </c>
      <c r="H161" s="9">
        <f>'MKT DATA'!L544</f>
        <v>0</v>
      </c>
      <c r="I161" s="14">
        <f>'MKT DATA'!M544</f>
        <v>0</v>
      </c>
      <c r="J161" s="44" t="str">
        <f t="shared" si="6"/>
        <v>syn BTCZ6/BTCF7/BTCU6/BTCG7/BTCV6</v>
      </c>
      <c r="K161" s="9">
        <f>'MKT DATA'!O544</f>
        <v>0</v>
      </c>
      <c r="L161" s="9">
        <f>'MKT DATA'!P544</f>
        <v>0</v>
      </c>
      <c r="M161" s="9">
        <f>'MKT DATA'!Q544</f>
        <v>0</v>
      </c>
      <c r="N161" s="9">
        <f>'MKT DATA'!R544</f>
        <v>0</v>
      </c>
      <c r="O161" s="9">
        <f>'MKT DATA'!S544</f>
        <v>0</v>
      </c>
      <c r="P161" s="9">
        <f>'MKT DATA'!T544</f>
        <v>0</v>
      </c>
      <c r="Q161" s="44" t="str">
        <f t="shared" si="7"/>
        <v>syn BTCZ6/BTCF7/BTCU6/BTCG7/BTCV6</v>
      </c>
      <c r="R161" s="14">
        <f>'MKT DATA'!AB544</f>
        <v>0</v>
      </c>
    </row>
    <row r="162" spans="5:18" x14ac:dyDescent="0.25">
      <c r="E162" s="44" t="str">
        <f>'MKT DATA'!B545</f>
        <v>syn BTCZ6/BTCF7/BTCX6/BTCU6/BTCV6</v>
      </c>
      <c r="F162" s="14">
        <f>'MKT DATA'!J545</f>
        <v>0</v>
      </c>
      <c r="G162" s="9">
        <f>'MKT DATA'!K545</f>
        <v>0</v>
      </c>
      <c r="H162" s="9">
        <f>'MKT DATA'!L545</f>
        <v>0</v>
      </c>
      <c r="I162" s="14">
        <f>'MKT DATA'!M545</f>
        <v>0</v>
      </c>
      <c r="J162" s="44" t="str">
        <f t="shared" si="6"/>
        <v>syn BTCZ6/BTCF7/BTCX6/BTCU6/BTCV6</v>
      </c>
      <c r="K162" s="9">
        <f>'MKT DATA'!O545</f>
        <v>0</v>
      </c>
      <c r="L162" s="9">
        <f>'MKT DATA'!P545</f>
        <v>0</v>
      </c>
      <c r="M162" s="9">
        <f>'MKT DATA'!Q545</f>
        <v>0</v>
      </c>
      <c r="N162" s="9">
        <f>'MKT DATA'!R545</f>
        <v>0</v>
      </c>
      <c r="O162" s="9">
        <f>'MKT DATA'!S545</f>
        <v>0</v>
      </c>
      <c r="P162" s="9">
        <f>'MKT DATA'!T545</f>
        <v>0</v>
      </c>
      <c r="Q162" s="44" t="str">
        <f t="shared" si="7"/>
        <v>syn BTCZ6/BTCF7/BTCX6/BTCU6/BTCV6</v>
      </c>
      <c r="R162" s="14">
        <f>'MKT DATA'!AB545</f>
        <v>0</v>
      </c>
    </row>
    <row r="163" spans="5:18" x14ac:dyDescent="0.25">
      <c r="E163" s="44" t="str">
        <f>'MKT DATA'!B546</f>
        <v>syn BTCZ6/BTCF7/BTCX6/BTCG7/BTCV6</v>
      </c>
      <c r="F163" s="14">
        <f>'MKT DATA'!J546</f>
        <v>0</v>
      </c>
      <c r="G163" s="9">
        <f>'MKT DATA'!K546</f>
        <v>0</v>
      </c>
      <c r="H163" s="9">
        <f>'MKT DATA'!L546</f>
        <v>0</v>
      </c>
      <c r="I163" s="14">
        <f>'MKT DATA'!M546</f>
        <v>0</v>
      </c>
      <c r="J163" s="44" t="str">
        <f t="shared" si="6"/>
        <v>syn BTCZ6/BTCF7/BTCX6/BTCG7/BTCV6</v>
      </c>
      <c r="K163" s="9">
        <f>'MKT DATA'!O546</f>
        <v>0</v>
      </c>
      <c r="L163" s="9">
        <f>'MKT DATA'!P546</f>
        <v>0</v>
      </c>
      <c r="M163" s="9">
        <f>'MKT DATA'!Q546</f>
        <v>0</v>
      </c>
      <c r="N163" s="9">
        <f>'MKT DATA'!R546</f>
        <v>0</v>
      </c>
      <c r="O163" s="9">
        <f>'MKT DATA'!S546</f>
        <v>0</v>
      </c>
      <c r="P163" s="9">
        <f>'MKT DATA'!T546</f>
        <v>0</v>
      </c>
      <c r="Q163" s="44" t="str">
        <f t="shared" si="7"/>
        <v>syn BTCZ6/BTCF7/BTCX6/BTCG7/BTCV6</v>
      </c>
      <c r="R163" s="14">
        <f>'MKT DATA'!AB546</f>
        <v>0</v>
      </c>
    </row>
    <row r="164" spans="5:18" x14ac:dyDescent="0.25">
      <c r="E164" s="44" t="str">
        <f>'MKT DATA'!B547</f>
        <v>syn BTCZ6/BTCF7/BTCG7/BTCU6/BTCV6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BTCZ6/BTCF7/BTCG7/BTCU6/BTCV6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BTCZ6/BTCF7/BTCG7/BTCU6/BTCV6</v>
      </c>
      <c r="R164" s="14">
        <f>'MKT DATA'!AB547</f>
        <v>0</v>
      </c>
    </row>
    <row r="165" spans="5:18" x14ac:dyDescent="0.25">
      <c r="E165" s="44" t="str">
        <f>'MKT DATA'!B548</f>
        <v>syn BTCZ6/BTCF7/BTCG7/BTCX6/BTCV6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BTCZ6/BTCF7/BTCG7/BTCX6/BTCV6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BTCZ6/BTCF7/BTCG7/BTCX6/BTCV6</v>
      </c>
      <c r="R165" s="14">
        <f>'MKT DATA'!AB548</f>
        <v>0</v>
      </c>
    </row>
    <row r="166" spans="5:18" x14ac:dyDescent="0.25">
      <c r="E166" s="44" t="str">
        <f>'MKT DATA'!B549</f>
        <v>syn BTCZ6/BTCG7/BTCU6/BTCX6/BTCV6</v>
      </c>
      <c r="F166" s="14">
        <f>'MKT DATA'!J549</f>
        <v>0</v>
      </c>
      <c r="G166" s="9">
        <f>'MKT DATA'!K549</f>
        <v>0</v>
      </c>
      <c r="H166" s="9">
        <f>'MKT DATA'!L549</f>
        <v>0</v>
      </c>
      <c r="I166" s="14">
        <f>'MKT DATA'!M549</f>
        <v>0</v>
      </c>
      <c r="J166" s="44" t="str">
        <f t="shared" si="6"/>
        <v>syn BTCZ6/BTCG7/BTCU6/BTCX6/BTCV6</v>
      </c>
      <c r="K166" s="9">
        <f>'MKT DATA'!O549</f>
        <v>0</v>
      </c>
      <c r="L166" s="9">
        <f>'MKT DATA'!P549</f>
        <v>0</v>
      </c>
      <c r="M166" s="9">
        <f>'MKT DATA'!Q549</f>
        <v>0</v>
      </c>
      <c r="N166" s="9">
        <f>'MKT DATA'!R549</f>
        <v>0</v>
      </c>
      <c r="O166" s="9">
        <f>'MKT DATA'!S549</f>
        <v>0</v>
      </c>
      <c r="P166" s="9">
        <f>'MKT DATA'!T549</f>
        <v>0</v>
      </c>
      <c r="Q166" s="44" t="str">
        <f t="shared" si="7"/>
        <v>syn BTCZ6/BTCG7/BTCU6/BTCX6/BTCV6</v>
      </c>
      <c r="R166" s="14">
        <f>'MKT DATA'!AB549</f>
        <v>0</v>
      </c>
    </row>
    <row r="167" spans="5:18" x14ac:dyDescent="0.25">
      <c r="E167" s="44" t="str">
        <f>'MKT DATA'!B550</f>
        <v>syn BTCZ6/BTCG7/BTCU6/BTCF7/BTCV6</v>
      </c>
      <c r="F167" s="14">
        <f>'MKT DATA'!J550</f>
        <v>0</v>
      </c>
      <c r="G167" s="9">
        <f>'MKT DATA'!K550</f>
        <v>0</v>
      </c>
      <c r="H167" s="9">
        <f>'MKT DATA'!L550</f>
        <v>0</v>
      </c>
      <c r="I167" s="14">
        <f>'MKT DATA'!M550</f>
        <v>0</v>
      </c>
      <c r="J167" s="44" t="str">
        <f t="shared" si="6"/>
        <v>syn BTCZ6/BTCG7/BTCU6/BTCF7/BTCV6</v>
      </c>
      <c r="K167" s="9">
        <f>'MKT DATA'!O550</f>
        <v>0</v>
      </c>
      <c r="L167" s="9">
        <f>'MKT DATA'!P550</f>
        <v>0</v>
      </c>
      <c r="M167" s="9">
        <f>'MKT DATA'!Q550</f>
        <v>0</v>
      </c>
      <c r="N167" s="9">
        <f>'MKT DATA'!R550</f>
        <v>0</v>
      </c>
      <c r="O167" s="9">
        <f>'MKT DATA'!S550</f>
        <v>0</v>
      </c>
      <c r="P167" s="9">
        <f>'MKT DATA'!T550</f>
        <v>0</v>
      </c>
      <c r="Q167" s="44" t="str">
        <f t="shared" si="7"/>
        <v>syn BTCZ6/BTCG7/BTCU6/BTCF7/BTCV6</v>
      </c>
      <c r="R167" s="14">
        <f>'MKT DATA'!AB550</f>
        <v>0</v>
      </c>
    </row>
    <row r="168" spans="5:18" x14ac:dyDescent="0.25">
      <c r="E168" s="44" t="str">
        <f>'MKT DATA'!B551</f>
        <v>syn BTCZ6/BTCG7/BTCX6/BTCU6/BTCV6</v>
      </c>
      <c r="F168" s="14">
        <f>'MKT DATA'!J551</f>
        <v>0</v>
      </c>
      <c r="G168" s="9">
        <f>'MKT DATA'!K551</f>
        <v>0</v>
      </c>
      <c r="H168" s="9">
        <f>'MKT DATA'!L551</f>
        <v>0</v>
      </c>
      <c r="I168" s="14">
        <f>'MKT DATA'!M551</f>
        <v>0</v>
      </c>
      <c r="J168" s="44" t="str">
        <f t="shared" si="6"/>
        <v>syn BTCZ6/BTCG7/BTCX6/BTCU6/BTCV6</v>
      </c>
      <c r="K168" s="9">
        <f>'MKT DATA'!O551</f>
        <v>0</v>
      </c>
      <c r="L168" s="9">
        <f>'MKT DATA'!P551</f>
        <v>0</v>
      </c>
      <c r="M168" s="9">
        <f>'MKT DATA'!Q551</f>
        <v>0</v>
      </c>
      <c r="N168" s="9">
        <f>'MKT DATA'!R551</f>
        <v>0</v>
      </c>
      <c r="O168" s="9">
        <f>'MKT DATA'!S551</f>
        <v>0</v>
      </c>
      <c r="P168" s="9">
        <f>'MKT DATA'!T551</f>
        <v>0</v>
      </c>
      <c r="Q168" s="44" t="str">
        <f t="shared" si="7"/>
        <v>syn BTCZ6/BTCG7/BTCX6/BTCU6/BTCV6</v>
      </c>
      <c r="R168" s="14">
        <f>'MKT DATA'!AB551</f>
        <v>0</v>
      </c>
    </row>
    <row r="169" spans="5:18" x14ac:dyDescent="0.25">
      <c r="E169" s="44" t="str">
        <f>'MKT DATA'!B552</f>
        <v>syn BTCZ6/BTCG7/BTCX6/BTCF7/BTCV6</v>
      </c>
      <c r="F169" s="14">
        <f>'MKT DATA'!J552</f>
        <v>0</v>
      </c>
      <c r="G169" s="9">
        <f>'MKT DATA'!K552</f>
        <v>0</v>
      </c>
      <c r="H169" s="9">
        <f>'MKT DATA'!L552</f>
        <v>0</v>
      </c>
      <c r="I169" s="14">
        <f>'MKT DATA'!M552</f>
        <v>0</v>
      </c>
      <c r="J169" s="44" t="str">
        <f t="shared" si="6"/>
        <v>syn BTCZ6/BTCG7/BTCX6/BTCF7/BTCV6</v>
      </c>
      <c r="K169" s="9">
        <f>'MKT DATA'!O552</f>
        <v>0</v>
      </c>
      <c r="L169" s="9">
        <f>'MKT DATA'!P552</f>
        <v>0</v>
      </c>
      <c r="M169" s="9">
        <f>'MKT DATA'!Q552</f>
        <v>0</v>
      </c>
      <c r="N169" s="9">
        <f>'MKT DATA'!R552</f>
        <v>0</v>
      </c>
      <c r="O169" s="9">
        <f>'MKT DATA'!S552</f>
        <v>0</v>
      </c>
      <c r="P169" s="9">
        <f>'MKT DATA'!T552</f>
        <v>0</v>
      </c>
      <c r="Q169" s="44" t="str">
        <f t="shared" si="7"/>
        <v>syn BTCZ6/BTCG7/BTCX6/BTCF7/BTCV6</v>
      </c>
      <c r="R169" s="14">
        <f>'MKT DATA'!AB552</f>
        <v>0</v>
      </c>
    </row>
    <row r="170" spans="5:18" x14ac:dyDescent="0.25">
      <c r="E170" s="44" t="str">
        <f>'MKT DATA'!B553</f>
        <v>syn BTCZ6/BTCG7/BTCF7/BTCU6/BTCV6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BTCZ6/BTCG7/BTCF7/BTCU6/BTCV6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BTCZ6/BTCG7/BTCF7/BTCU6/BTCV6</v>
      </c>
      <c r="R170" s="14">
        <f>'MKT DATA'!AB553</f>
        <v>0</v>
      </c>
    </row>
    <row r="171" spans="5:18" x14ac:dyDescent="0.25">
      <c r="E171" s="44" t="str">
        <f>'MKT DATA'!B554</f>
        <v>syn BTCZ6/BTCG7/BTCF7/BTCX6/BTCV6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BTCZ6/BTCG7/BTCF7/BTCX6/BTCV6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BTCZ6/BTCG7/BTCF7/BTCX6/BTCV6</v>
      </c>
      <c r="R171" s="14">
        <f>'MKT DATA'!AB554</f>
        <v>0</v>
      </c>
    </row>
    <row r="172" spans="5:18" x14ac:dyDescent="0.25">
      <c r="E172" s="44" t="str">
        <f>'MKT DATA'!B555</f>
        <v>syn BTCF7/BTCU6/BTCX6/BTCZ6/BTCV6</v>
      </c>
      <c r="F172" s="14">
        <f>'MKT DATA'!J555</f>
        <v>0</v>
      </c>
      <c r="G172" s="9">
        <f>'MKT DATA'!K555</f>
        <v>0</v>
      </c>
      <c r="H172" s="9">
        <f>'MKT DATA'!L555</f>
        <v>0</v>
      </c>
      <c r="I172" s="14">
        <f>'MKT DATA'!M555</f>
        <v>0</v>
      </c>
      <c r="J172" s="44" t="str">
        <f t="shared" si="6"/>
        <v>syn BTCF7/BTCU6/BTCX6/BTCZ6/BTCV6</v>
      </c>
      <c r="K172" s="9">
        <f>'MKT DATA'!O555</f>
        <v>0</v>
      </c>
      <c r="L172" s="9">
        <f>'MKT DATA'!P555</f>
        <v>0</v>
      </c>
      <c r="M172" s="9">
        <f>'MKT DATA'!Q555</f>
        <v>0</v>
      </c>
      <c r="N172" s="9">
        <f>'MKT DATA'!R555</f>
        <v>0</v>
      </c>
      <c r="O172" s="9">
        <f>'MKT DATA'!S555</f>
        <v>0</v>
      </c>
      <c r="P172" s="9">
        <f>'MKT DATA'!T555</f>
        <v>0</v>
      </c>
      <c r="Q172" s="44" t="str">
        <f t="shared" si="7"/>
        <v>syn BTCF7/BTCU6/BTCX6/BTCZ6/BTCV6</v>
      </c>
      <c r="R172" s="14">
        <f>'MKT DATA'!AB555</f>
        <v>0</v>
      </c>
    </row>
    <row r="173" spans="5:18" x14ac:dyDescent="0.25">
      <c r="E173" s="44" t="str">
        <f>'MKT DATA'!B556</f>
        <v>syn BTCF7/BTCU6/BTCX6/BTCG7/BTCV6</v>
      </c>
      <c r="F173" s="14">
        <f>'MKT DATA'!J556</f>
        <v>0</v>
      </c>
      <c r="G173" s="9">
        <f>'MKT DATA'!K556</f>
        <v>0</v>
      </c>
      <c r="H173" s="9">
        <f>'MKT DATA'!L556</f>
        <v>0</v>
      </c>
      <c r="I173" s="14">
        <f>'MKT DATA'!M556</f>
        <v>0</v>
      </c>
      <c r="J173" s="44" t="str">
        <f t="shared" si="6"/>
        <v>syn BTCF7/BTCU6/BTCX6/BTCG7/BTCV6</v>
      </c>
      <c r="K173" s="9">
        <f>'MKT DATA'!O556</f>
        <v>0</v>
      </c>
      <c r="L173" s="9">
        <f>'MKT DATA'!P556</f>
        <v>0</v>
      </c>
      <c r="M173" s="9">
        <f>'MKT DATA'!Q556</f>
        <v>0</v>
      </c>
      <c r="N173" s="9">
        <f>'MKT DATA'!R556</f>
        <v>0</v>
      </c>
      <c r="O173" s="9">
        <f>'MKT DATA'!S556</f>
        <v>0</v>
      </c>
      <c r="P173" s="9">
        <f>'MKT DATA'!T556</f>
        <v>0</v>
      </c>
      <c r="Q173" s="44" t="str">
        <f t="shared" si="7"/>
        <v>syn BTCF7/BTCU6/BTCX6/BTCG7/BTCV6</v>
      </c>
      <c r="R173" s="14">
        <f>'MKT DATA'!AB556</f>
        <v>0</v>
      </c>
    </row>
    <row r="174" spans="5:18" x14ac:dyDescent="0.25">
      <c r="E174" s="44" t="str">
        <f>'MKT DATA'!B557</f>
        <v>syn BTCF7/BTCU6/BTCZ6/BTCX6/BTCV6</v>
      </c>
      <c r="F174" s="14">
        <f>'MKT DATA'!J557</f>
        <v>0</v>
      </c>
      <c r="G174" s="9">
        <f>'MKT DATA'!K557</f>
        <v>0</v>
      </c>
      <c r="H174" s="9">
        <f>'MKT DATA'!L557</f>
        <v>0</v>
      </c>
      <c r="I174" s="14">
        <f>'MKT DATA'!M557</f>
        <v>0</v>
      </c>
      <c r="J174" s="44" t="str">
        <f t="shared" si="6"/>
        <v>syn BTCF7/BTCU6/BTCZ6/BTCX6/BTCV6</v>
      </c>
      <c r="K174" s="9">
        <f>'MKT DATA'!O557</f>
        <v>0</v>
      </c>
      <c r="L174" s="9">
        <f>'MKT DATA'!P557</f>
        <v>0</v>
      </c>
      <c r="M174" s="9">
        <f>'MKT DATA'!Q557</f>
        <v>0</v>
      </c>
      <c r="N174" s="9">
        <f>'MKT DATA'!R557</f>
        <v>0</v>
      </c>
      <c r="O174" s="9">
        <f>'MKT DATA'!S557</f>
        <v>0</v>
      </c>
      <c r="P174" s="9">
        <f>'MKT DATA'!T557</f>
        <v>0</v>
      </c>
      <c r="Q174" s="44" t="str">
        <f t="shared" si="7"/>
        <v>syn BTCF7/BTCU6/BTCZ6/BTCX6/BTCV6</v>
      </c>
      <c r="R174" s="14">
        <f>'MKT DATA'!AB557</f>
        <v>0</v>
      </c>
    </row>
    <row r="175" spans="5:18" x14ac:dyDescent="0.25">
      <c r="E175" s="44" t="str">
        <f>'MKT DATA'!B558</f>
        <v>syn BTCF7/BTCU6/BTCZ6/BTCG7/BTCV6</v>
      </c>
      <c r="F175" s="14">
        <f>'MKT DATA'!J558</f>
        <v>0</v>
      </c>
      <c r="G175" s="9">
        <f>'MKT DATA'!K558</f>
        <v>0</v>
      </c>
      <c r="H175" s="9">
        <f>'MKT DATA'!L558</f>
        <v>0</v>
      </c>
      <c r="I175" s="14">
        <f>'MKT DATA'!M558</f>
        <v>0</v>
      </c>
      <c r="J175" s="44" t="str">
        <f t="shared" si="6"/>
        <v>syn BTCF7/BTCU6/BTCZ6/BTCG7/BTCV6</v>
      </c>
      <c r="K175" s="9">
        <f>'MKT DATA'!O558</f>
        <v>0</v>
      </c>
      <c r="L175" s="9">
        <f>'MKT DATA'!P558</f>
        <v>0</v>
      </c>
      <c r="M175" s="9">
        <f>'MKT DATA'!Q558</f>
        <v>0</v>
      </c>
      <c r="N175" s="9">
        <f>'MKT DATA'!R558</f>
        <v>0</v>
      </c>
      <c r="O175" s="9">
        <f>'MKT DATA'!S558</f>
        <v>0</v>
      </c>
      <c r="P175" s="9">
        <f>'MKT DATA'!T558</f>
        <v>0</v>
      </c>
      <c r="Q175" s="44" t="str">
        <f t="shared" si="7"/>
        <v>syn BTCF7/BTCU6/BTCZ6/BTCG7/BTCV6</v>
      </c>
      <c r="R175" s="14">
        <f>'MKT DATA'!AB558</f>
        <v>0</v>
      </c>
    </row>
    <row r="176" spans="5:18" x14ac:dyDescent="0.25">
      <c r="E176" s="44" t="str">
        <f>'MKT DATA'!B559</f>
        <v>syn BTCF7/BTCU6/BTCG7/BTCX6/BTCV6</v>
      </c>
      <c r="F176" s="14">
        <f>'MKT DATA'!J559</f>
        <v>0</v>
      </c>
      <c r="G176" s="9">
        <f>'MKT DATA'!K559</f>
        <v>0</v>
      </c>
      <c r="H176" s="9">
        <f>'MKT DATA'!L559</f>
        <v>0</v>
      </c>
      <c r="I176" s="14">
        <f>'MKT DATA'!M559</f>
        <v>0</v>
      </c>
      <c r="J176" s="44" t="str">
        <f t="shared" si="6"/>
        <v>syn BTCF7/BTCU6/BTCG7/BTCX6/BTCV6</v>
      </c>
      <c r="K176" s="9">
        <f>'MKT DATA'!O559</f>
        <v>0</v>
      </c>
      <c r="L176" s="9">
        <f>'MKT DATA'!P559</f>
        <v>0</v>
      </c>
      <c r="M176" s="9">
        <f>'MKT DATA'!Q559</f>
        <v>0</v>
      </c>
      <c r="N176" s="9">
        <f>'MKT DATA'!R559</f>
        <v>0</v>
      </c>
      <c r="O176" s="9">
        <f>'MKT DATA'!S559</f>
        <v>0</v>
      </c>
      <c r="P176" s="9">
        <f>'MKT DATA'!T559</f>
        <v>0</v>
      </c>
      <c r="Q176" s="44" t="str">
        <f t="shared" si="7"/>
        <v>syn BTCF7/BTCU6/BTCG7/BTCX6/BTCV6</v>
      </c>
      <c r="R176" s="14">
        <f>'MKT DATA'!AB559</f>
        <v>0</v>
      </c>
    </row>
    <row r="177" spans="5:18" x14ac:dyDescent="0.25">
      <c r="E177" s="44" t="str">
        <f>'MKT DATA'!B560</f>
        <v>syn BTCF7/BTCU6/BTCG7/BTCZ6/BTCV6</v>
      </c>
      <c r="F177" s="14">
        <f>'MKT DATA'!J560</f>
        <v>0</v>
      </c>
      <c r="G177" s="9">
        <f>'MKT DATA'!K560</f>
        <v>0</v>
      </c>
      <c r="H177" s="9">
        <f>'MKT DATA'!L560</f>
        <v>0</v>
      </c>
      <c r="I177" s="14">
        <f>'MKT DATA'!M560</f>
        <v>0</v>
      </c>
      <c r="J177" s="44" t="str">
        <f t="shared" si="6"/>
        <v>syn BTCF7/BTCU6/BTCG7/BTCZ6/BTCV6</v>
      </c>
      <c r="K177" s="9">
        <f>'MKT DATA'!O560</f>
        <v>0</v>
      </c>
      <c r="L177" s="9">
        <f>'MKT DATA'!P560</f>
        <v>0</v>
      </c>
      <c r="M177" s="9">
        <f>'MKT DATA'!Q560</f>
        <v>0</v>
      </c>
      <c r="N177" s="9">
        <f>'MKT DATA'!R560</f>
        <v>0</v>
      </c>
      <c r="O177" s="9">
        <f>'MKT DATA'!S560</f>
        <v>0</v>
      </c>
      <c r="P177" s="9">
        <f>'MKT DATA'!T560</f>
        <v>0</v>
      </c>
      <c r="Q177" s="44" t="str">
        <f t="shared" si="7"/>
        <v>syn BTCF7/BTCU6/BTCG7/BTCZ6/BTCV6</v>
      </c>
      <c r="R177" s="14">
        <f>'MKT DATA'!AB560</f>
        <v>0</v>
      </c>
    </row>
    <row r="178" spans="5:18" x14ac:dyDescent="0.25">
      <c r="E178" s="44" t="str">
        <f>'MKT DATA'!B561</f>
        <v>syn BTCF7/BTCX6/BTCU6/BTCZ6/BTCV6</v>
      </c>
      <c r="F178" s="14">
        <f>'MKT DATA'!J561</f>
        <v>0</v>
      </c>
      <c r="G178" s="9">
        <f>'MKT DATA'!K561</f>
        <v>0</v>
      </c>
      <c r="H178" s="9">
        <f>'MKT DATA'!L561</f>
        <v>0</v>
      </c>
      <c r="I178" s="14">
        <f>'MKT DATA'!M561</f>
        <v>0</v>
      </c>
      <c r="J178" s="44" t="str">
        <f t="shared" si="6"/>
        <v>syn BTCF7/BTCX6/BTCU6/BTCZ6/BTCV6</v>
      </c>
      <c r="K178" s="9">
        <f>'MKT DATA'!O561</f>
        <v>0</v>
      </c>
      <c r="L178" s="9">
        <f>'MKT DATA'!P561</f>
        <v>0</v>
      </c>
      <c r="M178" s="9">
        <f>'MKT DATA'!Q561</f>
        <v>0</v>
      </c>
      <c r="N178" s="9">
        <f>'MKT DATA'!R561</f>
        <v>0</v>
      </c>
      <c r="O178" s="9">
        <f>'MKT DATA'!S561</f>
        <v>0</v>
      </c>
      <c r="P178" s="9">
        <f>'MKT DATA'!T561</f>
        <v>0</v>
      </c>
      <c r="Q178" s="44" t="str">
        <f t="shared" si="7"/>
        <v>syn BTCF7/BTCX6/BTCU6/BTCZ6/BTCV6</v>
      </c>
      <c r="R178" s="14">
        <f>'MKT DATA'!AB561</f>
        <v>0</v>
      </c>
    </row>
    <row r="179" spans="5:18" x14ac:dyDescent="0.25">
      <c r="E179" s="44" t="str">
        <f>'MKT DATA'!B562</f>
        <v>syn BTCF7/BTCX6/BTCU6/BTCG7/BTCV6</v>
      </c>
      <c r="F179" s="14">
        <f>'MKT DATA'!J562</f>
        <v>0</v>
      </c>
      <c r="G179" s="9">
        <f>'MKT DATA'!K562</f>
        <v>0</v>
      </c>
      <c r="H179" s="9">
        <f>'MKT DATA'!L562</f>
        <v>0</v>
      </c>
      <c r="I179" s="14">
        <f>'MKT DATA'!M562</f>
        <v>0</v>
      </c>
      <c r="J179" s="44" t="str">
        <f t="shared" si="6"/>
        <v>syn BTCF7/BTCX6/BTCU6/BTCG7/BTCV6</v>
      </c>
      <c r="K179" s="9">
        <f>'MKT DATA'!O562</f>
        <v>0</v>
      </c>
      <c r="L179" s="9">
        <f>'MKT DATA'!P562</f>
        <v>0</v>
      </c>
      <c r="M179" s="9">
        <f>'MKT DATA'!Q562</f>
        <v>0</v>
      </c>
      <c r="N179" s="9">
        <f>'MKT DATA'!R562</f>
        <v>0</v>
      </c>
      <c r="O179" s="9">
        <f>'MKT DATA'!S562</f>
        <v>0</v>
      </c>
      <c r="P179" s="9">
        <f>'MKT DATA'!T562</f>
        <v>0</v>
      </c>
      <c r="Q179" s="44" t="str">
        <f t="shared" si="7"/>
        <v>syn BTCF7/BTCX6/BTCU6/BTCG7/BTCV6</v>
      </c>
      <c r="R179" s="14">
        <f>'MKT DATA'!AB562</f>
        <v>0</v>
      </c>
    </row>
    <row r="180" spans="5:18" x14ac:dyDescent="0.25">
      <c r="E180" s="44" t="str">
        <f>'MKT DATA'!B563</f>
        <v>syn BTCF7/BTCX6/BTCZ6/BTCU6/BTCV6</v>
      </c>
      <c r="F180" s="14">
        <f>'MKT DATA'!J563</f>
        <v>0</v>
      </c>
      <c r="G180" s="9">
        <f>'MKT DATA'!K563</f>
        <v>0</v>
      </c>
      <c r="H180" s="9">
        <f>'MKT DATA'!L563</f>
        <v>0</v>
      </c>
      <c r="I180" s="14">
        <f>'MKT DATA'!M563</f>
        <v>0</v>
      </c>
      <c r="J180" s="44" t="str">
        <f t="shared" si="6"/>
        <v>syn BTCF7/BTCX6/BTCZ6/BTCU6/BTCV6</v>
      </c>
      <c r="K180" s="9">
        <f>'MKT DATA'!O563</f>
        <v>0</v>
      </c>
      <c r="L180" s="9">
        <f>'MKT DATA'!P563</f>
        <v>0</v>
      </c>
      <c r="M180" s="9">
        <f>'MKT DATA'!Q563</f>
        <v>0</v>
      </c>
      <c r="N180" s="9">
        <f>'MKT DATA'!R563</f>
        <v>0</v>
      </c>
      <c r="O180" s="9">
        <f>'MKT DATA'!S563</f>
        <v>0</v>
      </c>
      <c r="P180" s="9">
        <f>'MKT DATA'!T563</f>
        <v>0</v>
      </c>
      <c r="Q180" s="44" t="str">
        <f t="shared" si="7"/>
        <v>syn BTCF7/BTCX6/BTCZ6/BTCU6/BTCV6</v>
      </c>
      <c r="R180" s="14">
        <f>'MKT DATA'!AB563</f>
        <v>0</v>
      </c>
    </row>
    <row r="181" spans="5:18" x14ac:dyDescent="0.25">
      <c r="E181" s="44" t="str">
        <f>'MKT DATA'!B564</f>
        <v>syn BTCF7/BTCX6/BTCZ6/BTCG7/BTCV6</v>
      </c>
      <c r="F181" s="14">
        <f>'MKT DATA'!J564</f>
        <v>0</v>
      </c>
      <c r="G181" s="9">
        <f>'MKT DATA'!K564</f>
        <v>0</v>
      </c>
      <c r="H181" s="9">
        <f>'MKT DATA'!L564</f>
        <v>0</v>
      </c>
      <c r="I181" s="14">
        <f>'MKT DATA'!M564</f>
        <v>0</v>
      </c>
      <c r="J181" s="44" t="str">
        <f t="shared" si="6"/>
        <v>syn BTCF7/BTCX6/BTCZ6/BTCG7/BTCV6</v>
      </c>
      <c r="K181" s="9">
        <f>'MKT DATA'!O564</f>
        <v>0</v>
      </c>
      <c r="L181" s="9">
        <f>'MKT DATA'!P564</f>
        <v>0</v>
      </c>
      <c r="M181" s="9">
        <f>'MKT DATA'!Q564</f>
        <v>0</v>
      </c>
      <c r="N181" s="9">
        <f>'MKT DATA'!R564</f>
        <v>0</v>
      </c>
      <c r="O181" s="9">
        <f>'MKT DATA'!S564</f>
        <v>0</v>
      </c>
      <c r="P181" s="9">
        <f>'MKT DATA'!T564</f>
        <v>0</v>
      </c>
      <c r="Q181" s="44" t="str">
        <f t="shared" si="7"/>
        <v>syn BTCF7/BTCX6/BTCZ6/BTCG7/BTCV6</v>
      </c>
      <c r="R181" s="14">
        <f>'MKT DATA'!AB564</f>
        <v>0</v>
      </c>
    </row>
    <row r="182" spans="5:18" x14ac:dyDescent="0.25">
      <c r="E182" s="44" t="str">
        <f>'MKT DATA'!B565</f>
        <v>syn BTCF7/BTCX6/BTCG7/BTCU6/BTCV6</v>
      </c>
      <c r="F182" s="14">
        <f>'MKT DATA'!J565</f>
        <v>0</v>
      </c>
      <c r="G182" s="9">
        <f>'MKT DATA'!K565</f>
        <v>0</v>
      </c>
      <c r="H182" s="9">
        <f>'MKT DATA'!L565</f>
        <v>0</v>
      </c>
      <c r="I182" s="14">
        <f>'MKT DATA'!M565</f>
        <v>0</v>
      </c>
      <c r="J182" s="44" t="str">
        <f t="shared" si="6"/>
        <v>syn BTCF7/BTCX6/BTCG7/BTCU6/BTCV6</v>
      </c>
      <c r="K182" s="9">
        <f>'MKT DATA'!O565</f>
        <v>0</v>
      </c>
      <c r="L182" s="9">
        <f>'MKT DATA'!P565</f>
        <v>0</v>
      </c>
      <c r="M182" s="9">
        <f>'MKT DATA'!Q565</f>
        <v>0</v>
      </c>
      <c r="N182" s="9">
        <f>'MKT DATA'!R565</f>
        <v>0</v>
      </c>
      <c r="O182" s="9">
        <f>'MKT DATA'!S565</f>
        <v>0</v>
      </c>
      <c r="P182" s="9">
        <f>'MKT DATA'!T565</f>
        <v>0</v>
      </c>
      <c r="Q182" s="44" t="str">
        <f t="shared" si="7"/>
        <v>syn BTCF7/BTCX6/BTCG7/BTCU6/BTCV6</v>
      </c>
      <c r="R182" s="14">
        <f>'MKT DATA'!AB565</f>
        <v>0</v>
      </c>
    </row>
    <row r="183" spans="5:18" x14ac:dyDescent="0.25">
      <c r="E183" s="44" t="str">
        <f>'MKT DATA'!B566</f>
        <v>syn BTCF7/BTCX6/BTCG7/BTCZ6/BTCV6</v>
      </c>
      <c r="F183" s="14">
        <f>'MKT DATA'!J566</f>
        <v>0</v>
      </c>
      <c r="G183" s="9">
        <f>'MKT DATA'!K566</f>
        <v>0</v>
      </c>
      <c r="H183" s="9">
        <f>'MKT DATA'!L566</f>
        <v>0</v>
      </c>
      <c r="I183" s="14">
        <f>'MKT DATA'!M566</f>
        <v>0</v>
      </c>
      <c r="J183" s="44" t="str">
        <f t="shared" si="6"/>
        <v>syn BTCF7/BTCX6/BTCG7/BTCZ6/BTCV6</v>
      </c>
      <c r="K183" s="9">
        <f>'MKT DATA'!O566</f>
        <v>0</v>
      </c>
      <c r="L183" s="9">
        <f>'MKT DATA'!P566</f>
        <v>0</v>
      </c>
      <c r="M183" s="9">
        <f>'MKT DATA'!Q566</f>
        <v>0</v>
      </c>
      <c r="N183" s="9">
        <f>'MKT DATA'!R566</f>
        <v>0</v>
      </c>
      <c r="O183" s="9">
        <f>'MKT DATA'!S566</f>
        <v>0</v>
      </c>
      <c r="P183" s="9">
        <f>'MKT DATA'!T566</f>
        <v>0</v>
      </c>
      <c r="Q183" s="44" t="str">
        <f t="shared" si="7"/>
        <v>syn BTCF7/BTCX6/BTCG7/BTCZ6/BTCV6</v>
      </c>
      <c r="R183" s="14">
        <f>'MKT DATA'!AB566</f>
        <v>0</v>
      </c>
    </row>
    <row r="184" spans="5:18" x14ac:dyDescent="0.25">
      <c r="E184" s="44" t="str">
        <f>'MKT DATA'!B567</f>
        <v>syn BTCF7/BTCZ6/BTCU6/BTCX6/BTCV6</v>
      </c>
      <c r="F184" s="14">
        <f>'MKT DATA'!J567</f>
        <v>0</v>
      </c>
      <c r="G184" s="9">
        <f>'MKT DATA'!K567</f>
        <v>0</v>
      </c>
      <c r="H184" s="9">
        <f>'MKT DATA'!L567</f>
        <v>0</v>
      </c>
      <c r="I184" s="14">
        <f>'MKT DATA'!M567</f>
        <v>0</v>
      </c>
      <c r="J184" s="44" t="str">
        <f t="shared" si="6"/>
        <v>syn BTCF7/BTCZ6/BTCU6/BTCX6/BTCV6</v>
      </c>
      <c r="K184" s="9">
        <f>'MKT DATA'!O567</f>
        <v>0</v>
      </c>
      <c r="L184" s="9">
        <f>'MKT DATA'!P567</f>
        <v>0</v>
      </c>
      <c r="M184" s="9">
        <f>'MKT DATA'!Q567</f>
        <v>0</v>
      </c>
      <c r="N184" s="9">
        <f>'MKT DATA'!R567</f>
        <v>0</v>
      </c>
      <c r="O184" s="9">
        <f>'MKT DATA'!S567</f>
        <v>0</v>
      </c>
      <c r="P184" s="9">
        <f>'MKT DATA'!T567</f>
        <v>0</v>
      </c>
      <c r="Q184" s="44" t="str">
        <f t="shared" si="7"/>
        <v>syn BTCF7/BTCZ6/BTCU6/BTCX6/BTCV6</v>
      </c>
      <c r="R184" s="14">
        <f>'MKT DATA'!AB567</f>
        <v>0</v>
      </c>
    </row>
    <row r="185" spans="5:18" x14ac:dyDescent="0.25">
      <c r="E185" s="44" t="str">
        <f>'MKT DATA'!B568</f>
        <v>syn BTCF7/BTCZ6/BTCU6/BTCG7/BTCV6</v>
      </c>
      <c r="F185" s="14">
        <f>'MKT DATA'!J568</f>
        <v>0</v>
      </c>
      <c r="G185" s="9">
        <f>'MKT DATA'!K568</f>
        <v>0</v>
      </c>
      <c r="H185" s="9">
        <f>'MKT DATA'!L568</f>
        <v>0</v>
      </c>
      <c r="I185" s="14">
        <f>'MKT DATA'!M568</f>
        <v>0</v>
      </c>
      <c r="J185" s="44" t="str">
        <f t="shared" si="6"/>
        <v>syn BTCF7/BTCZ6/BTCU6/BTCG7/BTCV6</v>
      </c>
      <c r="K185" s="9">
        <f>'MKT DATA'!O568</f>
        <v>0</v>
      </c>
      <c r="L185" s="9">
        <f>'MKT DATA'!P568</f>
        <v>0</v>
      </c>
      <c r="M185" s="9">
        <f>'MKT DATA'!Q568</f>
        <v>0</v>
      </c>
      <c r="N185" s="9">
        <f>'MKT DATA'!R568</f>
        <v>0</v>
      </c>
      <c r="O185" s="9">
        <f>'MKT DATA'!S568</f>
        <v>0</v>
      </c>
      <c r="P185" s="9">
        <f>'MKT DATA'!T568</f>
        <v>0</v>
      </c>
      <c r="Q185" s="44" t="str">
        <f t="shared" si="7"/>
        <v>syn BTCF7/BTCZ6/BTCU6/BTCG7/BTCV6</v>
      </c>
      <c r="R185" s="14">
        <f>'MKT DATA'!AB568</f>
        <v>0</v>
      </c>
    </row>
    <row r="186" spans="5:18" x14ac:dyDescent="0.25">
      <c r="E186" s="44" t="str">
        <f>'MKT DATA'!B569</f>
        <v>syn BTCF7/BTCZ6/BTCX6/BTCU6/BTCV6</v>
      </c>
      <c r="F186" s="14">
        <f>'MKT DATA'!J569</f>
        <v>0</v>
      </c>
      <c r="G186" s="9">
        <f>'MKT DATA'!K569</f>
        <v>0</v>
      </c>
      <c r="H186" s="9">
        <f>'MKT DATA'!L569</f>
        <v>0</v>
      </c>
      <c r="I186" s="14">
        <f>'MKT DATA'!M569</f>
        <v>0</v>
      </c>
      <c r="J186" s="44" t="str">
        <f t="shared" si="6"/>
        <v>syn BTCF7/BTCZ6/BTCX6/BTCU6/BTCV6</v>
      </c>
      <c r="K186" s="9">
        <f>'MKT DATA'!O569</f>
        <v>0</v>
      </c>
      <c r="L186" s="9">
        <f>'MKT DATA'!P569</f>
        <v>0</v>
      </c>
      <c r="M186" s="9">
        <f>'MKT DATA'!Q569</f>
        <v>0</v>
      </c>
      <c r="N186" s="9">
        <f>'MKT DATA'!R569</f>
        <v>0</v>
      </c>
      <c r="O186" s="9">
        <f>'MKT DATA'!S569</f>
        <v>0</v>
      </c>
      <c r="P186" s="9">
        <f>'MKT DATA'!T569</f>
        <v>0</v>
      </c>
      <c r="Q186" s="44" t="str">
        <f t="shared" si="7"/>
        <v>syn BTCF7/BTCZ6/BTCX6/BTCU6/BTCV6</v>
      </c>
      <c r="R186" s="14">
        <f>'MKT DATA'!AB569</f>
        <v>0</v>
      </c>
    </row>
    <row r="187" spans="5:18" x14ac:dyDescent="0.25">
      <c r="E187" s="44" t="str">
        <f>'MKT DATA'!B570</f>
        <v>syn BTCF7/BTCZ6/BTCX6/BTCG7/BTCV6</v>
      </c>
      <c r="F187" s="14">
        <f>'MKT DATA'!J570</f>
        <v>0</v>
      </c>
      <c r="G187" s="9">
        <f>'MKT DATA'!K570</f>
        <v>0</v>
      </c>
      <c r="H187" s="9">
        <f>'MKT DATA'!L570</f>
        <v>0</v>
      </c>
      <c r="I187" s="14">
        <f>'MKT DATA'!M570</f>
        <v>0</v>
      </c>
      <c r="J187" s="44" t="str">
        <f t="shared" si="6"/>
        <v>syn BTCF7/BTCZ6/BTCX6/BTCG7/BTCV6</v>
      </c>
      <c r="K187" s="9">
        <f>'MKT DATA'!O570</f>
        <v>0</v>
      </c>
      <c r="L187" s="9">
        <f>'MKT DATA'!P570</f>
        <v>0</v>
      </c>
      <c r="M187" s="9">
        <f>'MKT DATA'!Q570</f>
        <v>0</v>
      </c>
      <c r="N187" s="9">
        <f>'MKT DATA'!R570</f>
        <v>0</v>
      </c>
      <c r="O187" s="9">
        <f>'MKT DATA'!S570</f>
        <v>0</v>
      </c>
      <c r="P187" s="9">
        <f>'MKT DATA'!T570</f>
        <v>0</v>
      </c>
      <c r="Q187" s="44" t="str">
        <f t="shared" si="7"/>
        <v>syn BTCF7/BTCZ6/BTCX6/BTCG7/BTCV6</v>
      </c>
      <c r="R187" s="14">
        <f>'MKT DATA'!AB570</f>
        <v>0</v>
      </c>
    </row>
    <row r="188" spans="5:18" x14ac:dyDescent="0.25">
      <c r="E188" s="44" t="str">
        <f>'MKT DATA'!B571</f>
        <v>syn BTCF7/BTCZ6/BTCG7/BTCU6/BTCV6</v>
      </c>
      <c r="F188" s="14">
        <f>'MKT DATA'!J571</f>
        <v>0</v>
      </c>
      <c r="G188" s="9">
        <f>'MKT DATA'!K571</f>
        <v>0</v>
      </c>
      <c r="H188" s="9">
        <f>'MKT DATA'!L571</f>
        <v>0</v>
      </c>
      <c r="I188" s="14">
        <f>'MKT DATA'!M571</f>
        <v>0</v>
      </c>
      <c r="J188" s="44" t="str">
        <f t="shared" si="6"/>
        <v>syn BTCF7/BTCZ6/BTCG7/BTCU6/BTCV6</v>
      </c>
      <c r="K188" s="9">
        <f>'MKT DATA'!O571</f>
        <v>0</v>
      </c>
      <c r="L188" s="9">
        <f>'MKT DATA'!P571</f>
        <v>0</v>
      </c>
      <c r="M188" s="9">
        <f>'MKT DATA'!Q571</f>
        <v>0</v>
      </c>
      <c r="N188" s="9">
        <f>'MKT DATA'!R571</f>
        <v>0</v>
      </c>
      <c r="O188" s="9">
        <f>'MKT DATA'!S571</f>
        <v>0</v>
      </c>
      <c r="P188" s="9">
        <f>'MKT DATA'!T571</f>
        <v>0</v>
      </c>
      <c r="Q188" s="44" t="str">
        <f t="shared" si="7"/>
        <v>syn BTCF7/BTCZ6/BTCG7/BTCU6/BTCV6</v>
      </c>
      <c r="R188" s="14">
        <f>'MKT DATA'!AB571</f>
        <v>0</v>
      </c>
    </row>
    <row r="189" spans="5:18" x14ac:dyDescent="0.25">
      <c r="E189" s="44" t="str">
        <f>'MKT DATA'!B572</f>
        <v>syn BTCF7/BTCZ6/BTCG7/BTCX6/BTCV6</v>
      </c>
      <c r="F189" s="14">
        <f>'MKT DATA'!J572</f>
        <v>0</v>
      </c>
      <c r="G189" s="9">
        <f>'MKT DATA'!K572</f>
        <v>0</v>
      </c>
      <c r="H189" s="9">
        <f>'MKT DATA'!L572</f>
        <v>0</v>
      </c>
      <c r="I189" s="14">
        <f>'MKT DATA'!M572</f>
        <v>0</v>
      </c>
      <c r="J189" s="44" t="str">
        <f t="shared" si="6"/>
        <v>syn BTCF7/BTCZ6/BTCG7/BTCX6/BTCV6</v>
      </c>
      <c r="K189" s="9">
        <f>'MKT DATA'!O572</f>
        <v>0</v>
      </c>
      <c r="L189" s="9">
        <f>'MKT DATA'!P572</f>
        <v>0</v>
      </c>
      <c r="M189" s="9">
        <f>'MKT DATA'!Q572</f>
        <v>0</v>
      </c>
      <c r="N189" s="9">
        <f>'MKT DATA'!R572</f>
        <v>0</v>
      </c>
      <c r="O189" s="9">
        <f>'MKT DATA'!S572</f>
        <v>0</v>
      </c>
      <c r="P189" s="9">
        <f>'MKT DATA'!T572</f>
        <v>0</v>
      </c>
      <c r="Q189" s="44" t="str">
        <f t="shared" si="7"/>
        <v>syn BTCF7/BTCZ6/BTCG7/BTCX6/BTCV6</v>
      </c>
      <c r="R189" s="14">
        <f>'MKT DATA'!AB572</f>
        <v>0</v>
      </c>
    </row>
    <row r="190" spans="5:18" x14ac:dyDescent="0.25">
      <c r="E190" s="44" t="str">
        <f>'MKT DATA'!B573</f>
        <v>syn BTCF7/BTCG7/BTCU6/BTCX6/BTCV6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BTCF7/BTCG7/BTCU6/BTCX6/BTCV6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BTCF7/BTCG7/BTCU6/BTCX6/BTCV6</v>
      </c>
      <c r="R190" s="14">
        <f>'MKT DATA'!AB573</f>
        <v>0</v>
      </c>
    </row>
    <row r="191" spans="5:18" x14ac:dyDescent="0.25">
      <c r="E191" s="44" t="str">
        <f>'MKT DATA'!B574</f>
        <v>syn BTCF7/BTCG7/BTCU6/BTCZ6/BTCV6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BTCF7/BTCG7/BTCU6/BTCZ6/BTCV6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BTCF7/BTCG7/BTCU6/BTCZ6/BTCV6</v>
      </c>
      <c r="R191" s="14">
        <f>'MKT DATA'!AB574</f>
        <v>0</v>
      </c>
    </row>
    <row r="192" spans="5:18" x14ac:dyDescent="0.25">
      <c r="E192" s="44" t="str">
        <f>'MKT DATA'!B575</f>
        <v>syn BTCF7/BTCG7/BTCX6/BTCU6/BTCV6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BTCF7/BTCG7/BTCX6/BTCU6/BTCV6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BTCF7/BTCG7/BTCX6/BTCU6/BTCV6</v>
      </c>
      <c r="R192" s="14">
        <f>'MKT DATA'!AB575</f>
        <v>0</v>
      </c>
    </row>
    <row r="193" spans="5:18" x14ac:dyDescent="0.25">
      <c r="E193" s="44" t="str">
        <f>'MKT DATA'!B576</f>
        <v>syn BTCF7/BTCG7/BTCX6/BTCZ6/BTCV6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BTCF7/BTCG7/BTCX6/BTCZ6/BTCV6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BTCF7/BTCG7/BTCX6/BTCZ6/BTCV6</v>
      </c>
      <c r="R193" s="14">
        <f>'MKT DATA'!AB576</f>
        <v>0</v>
      </c>
    </row>
    <row r="194" spans="5:18" x14ac:dyDescent="0.25">
      <c r="E194" s="44" t="str">
        <f>'MKT DATA'!B577</f>
        <v>syn BTCF7/BTCG7/BTCZ6/BTCU6/BTCV6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BTCF7/BTCG7/BTCZ6/BTCU6/BTCV6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BTCF7/BTCG7/BTCZ6/BTCU6/BTCV6</v>
      </c>
      <c r="R194" s="14">
        <f>'MKT DATA'!AB577</f>
        <v>0</v>
      </c>
    </row>
    <row r="195" spans="5:18" x14ac:dyDescent="0.25">
      <c r="E195" s="44" t="str">
        <f>'MKT DATA'!B578</f>
        <v>syn BTCF7/BTCG7/BTCZ6/BTCX6/BTCV6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BTCF7/BTCG7/BTCZ6/BTCX6/BTCV6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BTCF7/BTCG7/BTCZ6/BTCX6/BTCV6</v>
      </c>
      <c r="R195" s="14">
        <f>'MKT DATA'!AB578</f>
        <v>0</v>
      </c>
    </row>
    <row r="196" spans="5:18" x14ac:dyDescent="0.25">
      <c r="E196" s="44" t="str">
        <f>'MKT DATA'!B579</f>
        <v>syn BTCG7/BTCU6/BTCX6/BTCZ6/BTCV6</v>
      </c>
      <c r="F196" s="14">
        <f>'MKT DATA'!J579</f>
        <v>0</v>
      </c>
      <c r="G196" s="9">
        <f>'MKT DATA'!K579</f>
        <v>0</v>
      </c>
      <c r="H196" s="9">
        <f>'MKT DATA'!L579</f>
        <v>0</v>
      </c>
      <c r="I196" s="14">
        <f>'MKT DATA'!M579</f>
        <v>0</v>
      </c>
      <c r="J196" s="44" t="str">
        <f t="shared" si="6"/>
        <v>syn BTCG7/BTCU6/BTCX6/BTCZ6/BTCV6</v>
      </c>
      <c r="K196" s="9">
        <f>'MKT DATA'!O579</f>
        <v>0</v>
      </c>
      <c r="L196" s="9">
        <f>'MKT DATA'!P579</f>
        <v>0</v>
      </c>
      <c r="M196" s="9">
        <f>'MKT DATA'!Q579</f>
        <v>0</v>
      </c>
      <c r="N196" s="9">
        <f>'MKT DATA'!R579</f>
        <v>0</v>
      </c>
      <c r="O196" s="9">
        <f>'MKT DATA'!S579</f>
        <v>0</v>
      </c>
      <c r="P196" s="9">
        <f>'MKT DATA'!T579</f>
        <v>0</v>
      </c>
      <c r="Q196" s="44" t="str">
        <f t="shared" si="7"/>
        <v>syn BTCG7/BTCU6/BTCX6/BTCZ6/BTCV6</v>
      </c>
      <c r="R196" s="14">
        <f>'MKT DATA'!AB579</f>
        <v>0</v>
      </c>
    </row>
    <row r="197" spans="5:18" x14ac:dyDescent="0.25">
      <c r="E197" s="44" t="str">
        <f>'MKT DATA'!B580</f>
        <v>syn BTCG7/BTCU6/BTCX6/BTCF7/BTCV6</v>
      </c>
      <c r="F197" s="14">
        <f>'MKT DATA'!J580</f>
        <v>0</v>
      </c>
      <c r="G197" s="9">
        <f>'MKT DATA'!K580</f>
        <v>0</v>
      </c>
      <c r="H197" s="9">
        <f>'MKT DATA'!L580</f>
        <v>0</v>
      </c>
      <c r="I197" s="14">
        <f>'MKT DATA'!M580</f>
        <v>0</v>
      </c>
      <c r="J197" s="44" t="str">
        <f t="shared" si="6"/>
        <v>syn BTCG7/BTCU6/BTCX6/BTCF7/BTCV6</v>
      </c>
      <c r="K197" s="9">
        <f>'MKT DATA'!O580</f>
        <v>0</v>
      </c>
      <c r="L197" s="9">
        <f>'MKT DATA'!P580</f>
        <v>0</v>
      </c>
      <c r="M197" s="9">
        <f>'MKT DATA'!Q580</f>
        <v>0</v>
      </c>
      <c r="N197" s="9">
        <f>'MKT DATA'!R580</f>
        <v>0</v>
      </c>
      <c r="O197" s="9">
        <f>'MKT DATA'!S580</f>
        <v>0</v>
      </c>
      <c r="P197" s="9">
        <f>'MKT DATA'!T580</f>
        <v>0</v>
      </c>
      <c r="Q197" s="44" t="str">
        <f t="shared" si="7"/>
        <v>syn BTCG7/BTCU6/BTCX6/BTCF7/BTCV6</v>
      </c>
      <c r="R197" s="14">
        <f>'MKT DATA'!AB580</f>
        <v>0</v>
      </c>
    </row>
    <row r="198" spans="5:18" x14ac:dyDescent="0.25">
      <c r="E198" s="44" t="str">
        <f>'MKT DATA'!B581</f>
        <v>syn BTCG7/BTCU6/BTCZ6/BTCX6/BTCV6</v>
      </c>
      <c r="F198" s="14">
        <f>'MKT DATA'!J581</f>
        <v>0</v>
      </c>
      <c r="G198" s="9">
        <f>'MKT DATA'!K581</f>
        <v>0</v>
      </c>
      <c r="H198" s="9">
        <f>'MKT DATA'!L581</f>
        <v>0</v>
      </c>
      <c r="I198" s="14">
        <f>'MKT DATA'!M581</f>
        <v>0</v>
      </c>
      <c r="J198" s="44" t="str">
        <f t="shared" si="6"/>
        <v>syn BTCG7/BTCU6/BTCZ6/BTCX6/BTCV6</v>
      </c>
      <c r="K198" s="9">
        <f>'MKT DATA'!O581</f>
        <v>0</v>
      </c>
      <c r="L198" s="9">
        <f>'MKT DATA'!P581</f>
        <v>0</v>
      </c>
      <c r="M198" s="9">
        <f>'MKT DATA'!Q581</f>
        <v>0</v>
      </c>
      <c r="N198" s="9">
        <f>'MKT DATA'!R581</f>
        <v>0</v>
      </c>
      <c r="O198" s="9">
        <f>'MKT DATA'!S581</f>
        <v>0</v>
      </c>
      <c r="P198" s="9">
        <f>'MKT DATA'!T581</f>
        <v>0</v>
      </c>
      <c r="Q198" s="44" t="str">
        <f t="shared" si="7"/>
        <v>syn BTCG7/BTCU6/BTCZ6/BTCX6/BTCV6</v>
      </c>
      <c r="R198" s="14">
        <f>'MKT DATA'!AB581</f>
        <v>0</v>
      </c>
    </row>
    <row r="199" spans="5:18" x14ac:dyDescent="0.25">
      <c r="E199" s="44" t="str">
        <f>'MKT DATA'!B582</f>
        <v>syn BTCG7/BTCU6/BTCZ6/BTCF7/BTCV6</v>
      </c>
      <c r="F199" s="14">
        <f>'MKT DATA'!J582</f>
        <v>0</v>
      </c>
      <c r="G199" s="9">
        <f>'MKT DATA'!K582</f>
        <v>0</v>
      </c>
      <c r="H199" s="9">
        <f>'MKT DATA'!L582</f>
        <v>0</v>
      </c>
      <c r="I199" s="14">
        <f>'MKT DATA'!M582</f>
        <v>0</v>
      </c>
      <c r="J199" s="44" t="str">
        <f t="shared" si="6"/>
        <v>syn BTCG7/BTCU6/BTCZ6/BTCF7/BTCV6</v>
      </c>
      <c r="K199" s="9">
        <f>'MKT DATA'!O582</f>
        <v>0</v>
      </c>
      <c r="L199" s="9">
        <f>'MKT DATA'!P582</f>
        <v>0</v>
      </c>
      <c r="M199" s="9">
        <f>'MKT DATA'!Q582</f>
        <v>0</v>
      </c>
      <c r="N199" s="9">
        <f>'MKT DATA'!R582</f>
        <v>0</v>
      </c>
      <c r="O199" s="9">
        <f>'MKT DATA'!S582</f>
        <v>0</v>
      </c>
      <c r="P199" s="9">
        <f>'MKT DATA'!T582</f>
        <v>0</v>
      </c>
      <c r="Q199" s="44" t="str">
        <f t="shared" si="7"/>
        <v>syn BTCG7/BTCU6/BTCZ6/BTCF7/BTCV6</v>
      </c>
      <c r="R199" s="14">
        <f>'MKT DATA'!AB582</f>
        <v>0</v>
      </c>
    </row>
    <row r="200" spans="5:18" x14ac:dyDescent="0.25">
      <c r="E200" s="44" t="str">
        <f>'MKT DATA'!B583</f>
        <v>syn BTCG7/BTCU6/BTCF7/BTCX6/BTCV6</v>
      </c>
      <c r="F200" s="14">
        <f>'MKT DATA'!J583</f>
        <v>0</v>
      </c>
      <c r="G200" s="9">
        <f>'MKT DATA'!K583</f>
        <v>0</v>
      </c>
      <c r="H200" s="9">
        <f>'MKT DATA'!L583</f>
        <v>0</v>
      </c>
      <c r="I200" s="14">
        <f>'MKT DATA'!M583</f>
        <v>0</v>
      </c>
      <c r="J200" s="44" t="str">
        <f t="shared" si="6"/>
        <v>syn BTCG7/BTCU6/BTCF7/BTCX6/BTCV6</v>
      </c>
      <c r="K200" s="9">
        <f>'MKT DATA'!O583</f>
        <v>0</v>
      </c>
      <c r="L200" s="9">
        <f>'MKT DATA'!P583</f>
        <v>0</v>
      </c>
      <c r="M200" s="9">
        <f>'MKT DATA'!Q583</f>
        <v>0</v>
      </c>
      <c r="N200" s="9">
        <f>'MKT DATA'!R583</f>
        <v>0</v>
      </c>
      <c r="O200" s="9">
        <f>'MKT DATA'!S583</f>
        <v>0</v>
      </c>
      <c r="P200" s="9">
        <f>'MKT DATA'!T583</f>
        <v>0</v>
      </c>
      <c r="Q200" s="44" t="str">
        <f t="shared" si="7"/>
        <v>syn BTCG7/BTCU6/BTCF7/BTCX6/BTCV6</v>
      </c>
      <c r="R200" s="14">
        <f>'MKT DATA'!AB583</f>
        <v>0</v>
      </c>
    </row>
    <row r="201" spans="5:18" x14ac:dyDescent="0.25">
      <c r="E201" s="44" t="str">
        <f>'MKT DATA'!B584</f>
        <v>syn BTCG7/BTCU6/BTCF7/BTCZ6/BTCV6</v>
      </c>
      <c r="F201" s="14">
        <f>'MKT DATA'!J584</f>
        <v>0</v>
      </c>
      <c r="G201" s="9">
        <f>'MKT DATA'!K584</f>
        <v>0</v>
      </c>
      <c r="H201" s="9">
        <f>'MKT DATA'!L584</f>
        <v>0</v>
      </c>
      <c r="I201" s="14">
        <f>'MKT DATA'!M584</f>
        <v>0</v>
      </c>
      <c r="J201" s="44" t="str">
        <f t="shared" si="6"/>
        <v>syn BTCG7/BTCU6/BTCF7/BTCZ6/BTCV6</v>
      </c>
      <c r="K201" s="9">
        <f>'MKT DATA'!O584</f>
        <v>0</v>
      </c>
      <c r="L201" s="9">
        <f>'MKT DATA'!P584</f>
        <v>0</v>
      </c>
      <c r="M201" s="9">
        <f>'MKT DATA'!Q584</f>
        <v>0</v>
      </c>
      <c r="N201" s="9">
        <f>'MKT DATA'!R584</f>
        <v>0</v>
      </c>
      <c r="O201" s="9">
        <f>'MKT DATA'!S584</f>
        <v>0</v>
      </c>
      <c r="P201" s="9">
        <f>'MKT DATA'!T584</f>
        <v>0</v>
      </c>
      <c r="Q201" s="44" t="str">
        <f t="shared" si="7"/>
        <v>syn BTCG7/BTCU6/BTCF7/BTCZ6/BTCV6</v>
      </c>
      <c r="R201" s="14">
        <f>'MKT DATA'!AB584</f>
        <v>0</v>
      </c>
    </row>
    <row r="202" spans="5:18" x14ac:dyDescent="0.25">
      <c r="E202" s="44" t="str">
        <f>'MKT DATA'!B585</f>
        <v>syn BTCG7/BTCX6/BTCU6/BTCZ6/BTCV6</v>
      </c>
      <c r="F202" s="14">
        <f>'MKT DATA'!J585</f>
        <v>0</v>
      </c>
      <c r="G202" s="9">
        <f>'MKT DATA'!K585</f>
        <v>0</v>
      </c>
      <c r="H202" s="9">
        <f>'MKT DATA'!L585</f>
        <v>0</v>
      </c>
      <c r="I202" s="14">
        <f>'MKT DATA'!M585</f>
        <v>0</v>
      </c>
      <c r="J202" s="44" t="str">
        <f t="shared" ref="J202:J265" si="8">E202</f>
        <v>syn BTCG7/BTCX6/BTCU6/BTCZ6/BTCV6</v>
      </c>
      <c r="K202" s="9">
        <f>'MKT DATA'!O585</f>
        <v>0</v>
      </c>
      <c r="L202" s="9">
        <f>'MKT DATA'!P585</f>
        <v>0</v>
      </c>
      <c r="M202" s="9">
        <f>'MKT DATA'!Q585</f>
        <v>0</v>
      </c>
      <c r="N202" s="9">
        <f>'MKT DATA'!R585</f>
        <v>0</v>
      </c>
      <c r="O202" s="9">
        <f>'MKT DATA'!S585</f>
        <v>0</v>
      </c>
      <c r="P202" s="9">
        <f>'MKT DATA'!T585</f>
        <v>0</v>
      </c>
      <c r="Q202" s="44" t="str">
        <f t="shared" ref="Q202:Q265" si="9">J202</f>
        <v>syn BTCG7/BTCX6/BTCU6/BTCZ6/BTCV6</v>
      </c>
      <c r="R202" s="14">
        <f>'MKT DATA'!AB585</f>
        <v>0</v>
      </c>
    </row>
    <row r="203" spans="5:18" x14ac:dyDescent="0.25">
      <c r="E203" s="44" t="str">
        <f>'MKT DATA'!B586</f>
        <v>syn BTCG7/BTCX6/BTCU6/BTCF7/BTCV6</v>
      </c>
      <c r="F203" s="14">
        <f>'MKT DATA'!J586</f>
        <v>0</v>
      </c>
      <c r="G203" s="9">
        <f>'MKT DATA'!K586</f>
        <v>0</v>
      </c>
      <c r="H203" s="9">
        <f>'MKT DATA'!L586</f>
        <v>0</v>
      </c>
      <c r="I203" s="14">
        <f>'MKT DATA'!M586</f>
        <v>0</v>
      </c>
      <c r="J203" s="44" t="str">
        <f t="shared" si="8"/>
        <v>syn BTCG7/BTCX6/BTCU6/BTCF7/BTCV6</v>
      </c>
      <c r="K203" s="9">
        <f>'MKT DATA'!O586</f>
        <v>0</v>
      </c>
      <c r="L203" s="9">
        <f>'MKT DATA'!P586</f>
        <v>0</v>
      </c>
      <c r="M203" s="9">
        <f>'MKT DATA'!Q586</f>
        <v>0</v>
      </c>
      <c r="N203" s="9">
        <f>'MKT DATA'!R586</f>
        <v>0</v>
      </c>
      <c r="O203" s="9">
        <f>'MKT DATA'!S586</f>
        <v>0</v>
      </c>
      <c r="P203" s="9">
        <f>'MKT DATA'!T586</f>
        <v>0</v>
      </c>
      <c r="Q203" s="44" t="str">
        <f t="shared" si="9"/>
        <v>syn BTCG7/BTCX6/BTCU6/BTCF7/BTCV6</v>
      </c>
      <c r="R203" s="14">
        <f>'MKT DATA'!AB586</f>
        <v>0</v>
      </c>
    </row>
    <row r="204" spans="5:18" x14ac:dyDescent="0.25">
      <c r="E204" s="44" t="str">
        <f>'MKT DATA'!B587</f>
        <v>syn BTCG7/BTCX6/BTCZ6/BTCU6/BTCV6</v>
      </c>
      <c r="F204" s="14">
        <f>'MKT DATA'!J587</f>
        <v>0</v>
      </c>
      <c r="G204" s="9">
        <f>'MKT DATA'!K587</f>
        <v>0</v>
      </c>
      <c r="H204" s="9">
        <f>'MKT DATA'!L587</f>
        <v>0</v>
      </c>
      <c r="I204" s="14">
        <f>'MKT DATA'!M587</f>
        <v>0</v>
      </c>
      <c r="J204" s="44" t="str">
        <f t="shared" si="8"/>
        <v>syn BTCG7/BTCX6/BTCZ6/BTCU6/BTCV6</v>
      </c>
      <c r="K204" s="9">
        <f>'MKT DATA'!O587</f>
        <v>0</v>
      </c>
      <c r="L204" s="9">
        <f>'MKT DATA'!P587</f>
        <v>0</v>
      </c>
      <c r="M204" s="9">
        <f>'MKT DATA'!Q587</f>
        <v>0</v>
      </c>
      <c r="N204" s="9">
        <f>'MKT DATA'!R587</f>
        <v>0</v>
      </c>
      <c r="O204" s="9">
        <f>'MKT DATA'!S587</f>
        <v>0</v>
      </c>
      <c r="P204" s="9">
        <f>'MKT DATA'!T587</f>
        <v>0</v>
      </c>
      <c r="Q204" s="44" t="str">
        <f t="shared" si="9"/>
        <v>syn BTCG7/BTCX6/BTCZ6/BTCU6/BTCV6</v>
      </c>
      <c r="R204" s="14">
        <f>'MKT DATA'!AB587</f>
        <v>0</v>
      </c>
    </row>
    <row r="205" spans="5:18" x14ac:dyDescent="0.25">
      <c r="E205" s="44" t="str">
        <f>'MKT DATA'!B588</f>
        <v>syn BTCG7/BTCX6/BTCZ6/BTCF7/BTCV6</v>
      </c>
      <c r="F205" s="14">
        <f>'MKT DATA'!J588</f>
        <v>0</v>
      </c>
      <c r="G205" s="9">
        <f>'MKT DATA'!K588</f>
        <v>0</v>
      </c>
      <c r="H205" s="9">
        <f>'MKT DATA'!L588</f>
        <v>0</v>
      </c>
      <c r="I205" s="14">
        <f>'MKT DATA'!M588</f>
        <v>0</v>
      </c>
      <c r="J205" s="44" t="str">
        <f t="shared" si="8"/>
        <v>syn BTCG7/BTCX6/BTCZ6/BTCF7/BTCV6</v>
      </c>
      <c r="K205" s="9">
        <f>'MKT DATA'!O588</f>
        <v>0</v>
      </c>
      <c r="L205" s="9">
        <f>'MKT DATA'!P588</f>
        <v>0</v>
      </c>
      <c r="M205" s="9">
        <f>'MKT DATA'!Q588</f>
        <v>0</v>
      </c>
      <c r="N205" s="9">
        <f>'MKT DATA'!R588</f>
        <v>0</v>
      </c>
      <c r="O205" s="9">
        <f>'MKT DATA'!S588</f>
        <v>0</v>
      </c>
      <c r="P205" s="9">
        <f>'MKT DATA'!T588</f>
        <v>0</v>
      </c>
      <c r="Q205" s="44" t="str">
        <f t="shared" si="9"/>
        <v>syn BTCG7/BTCX6/BTCZ6/BTCF7/BTCV6</v>
      </c>
      <c r="R205" s="14">
        <f>'MKT DATA'!AB588</f>
        <v>0</v>
      </c>
    </row>
    <row r="206" spans="5:18" x14ac:dyDescent="0.25">
      <c r="E206" s="44" t="str">
        <f>'MKT DATA'!B589</f>
        <v>syn BTCG7/BTCX6/BTCF7/BTCU6/BTCV6</v>
      </c>
      <c r="F206" s="14">
        <f>'MKT DATA'!J589</f>
        <v>0</v>
      </c>
      <c r="G206" s="9">
        <f>'MKT DATA'!K589</f>
        <v>0</v>
      </c>
      <c r="H206" s="9">
        <f>'MKT DATA'!L589</f>
        <v>0</v>
      </c>
      <c r="I206" s="14">
        <f>'MKT DATA'!M589</f>
        <v>0</v>
      </c>
      <c r="J206" s="44" t="str">
        <f t="shared" si="8"/>
        <v>syn BTCG7/BTCX6/BTCF7/BTCU6/BTCV6</v>
      </c>
      <c r="K206" s="9">
        <f>'MKT DATA'!O589</f>
        <v>0</v>
      </c>
      <c r="L206" s="9">
        <f>'MKT DATA'!P589</f>
        <v>0</v>
      </c>
      <c r="M206" s="9">
        <f>'MKT DATA'!Q589</f>
        <v>0</v>
      </c>
      <c r="N206" s="9">
        <f>'MKT DATA'!R589</f>
        <v>0</v>
      </c>
      <c r="O206" s="9">
        <f>'MKT DATA'!S589</f>
        <v>0</v>
      </c>
      <c r="P206" s="9">
        <f>'MKT DATA'!T589</f>
        <v>0</v>
      </c>
      <c r="Q206" s="44" t="str">
        <f t="shared" si="9"/>
        <v>syn BTCG7/BTCX6/BTCF7/BTCU6/BTCV6</v>
      </c>
      <c r="R206" s="14">
        <f>'MKT DATA'!AB589</f>
        <v>0</v>
      </c>
    </row>
    <row r="207" spans="5:18" x14ac:dyDescent="0.25">
      <c r="E207" s="44" t="str">
        <f>'MKT DATA'!B590</f>
        <v>syn BTCG7/BTCX6/BTCF7/BTCZ6/BTCV6</v>
      </c>
      <c r="F207" s="14">
        <f>'MKT DATA'!J590</f>
        <v>0</v>
      </c>
      <c r="G207" s="9">
        <f>'MKT DATA'!K590</f>
        <v>0</v>
      </c>
      <c r="H207" s="9">
        <f>'MKT DATA'!L590</f>
        <v>0</v>
      </c>
      <c r="I207" s="14">
        <f>'MKT DATA'!M590</f>
        <v>0</v>
      </c>
      <c r="J207" s="44" t="str">
        <f t="shared" si="8"/>
        <v>syn BTCG7/BTCX6/BTCF7/BTCZ6/BTCV6</v>
      </c>
      <c r="K207" s="9">
        <f>'MKT DATA'!O590</f>
        <v>0</v>
      </c>
      <c r="L207" s="9">
        <f>'MKT DATA'!P590</f>
        <v>0</v>
      </c>
      <c r="M207" s="9">
        <f>'MKT DATA'!Q590</f>
        <v>0</v>
      </c>
      <c r="N207" s="9">
        <f>'MKT DATA'!R590</f>
        <v>0</v>
      </c>
      <c r="O207" s="9">
        <f>'MKT DATA'!S590</f>
        <v>0</v>
      </c>
      <c r="P207" s="9">
        <f>'MKT DATA'!T590</f>
        <v>0</v>
      </c>
      <c r="Q207" s="44" t="str">
        <f t="shared" si="9"/>
        <v>syn BTCG7/BTCX6/BTCF7/BTCZ6/BTCV6</v>
      </c>
      <c r="R207" s="14">
        <f>'MKT DATA'!AB590</f>
        <v>0</v>
      </c>
    </row>
    <row r="208" spans="5:18" x14ac:dyDescent="0.25">
      <c r="E208" s="44" t="str">
        <f>'MKT DATA'!B591</f>
        <v>syn BTCG7/BTCZ6/BTCU6/BTCX6/BTCV6</v>
      </c>
      <c r="F208" s="14">
        <f>'MKT DATA'!J591</f>
        <v>0</v>
      </c>
      <c r="G208" s="9">
        <f>'MKT DATA'!K591</f>
        <v>0</v>
      </c>
      <c r="H208" s="9">
        <f>'MKT DATA'!L591</f>
        <v>0</v>
      </c>
      <c r="I208" s="14">
        <f>'MKT DATA'!M591</f>
        <v>0</v>
      </c>
      <c r="J208" s="44" t="str">
        <f t="shared" si="8"/>
        <v>syn BTCG7/BTCZ6/BTCU6/BTCX6/BTCV6</v>
      </c>
      <c r="K208" s="9">
        <f>'MKT DATA'!O591</f>
        <v>0</v>
      </c>
      <c r="L208" s="9">
        <f>'MKT DATA'!P591</f>
        <v>0</v>
      </c>
      <c r="M208" s="9">
        <f>'MKT DATA'!Q591</f>
        <v>0</v>
      </c>
      <c r="N208" s="9">
        <f>'MKT DATA'!R591</f>
        <v>0</v>
      </c>
      <c r="O208" s="9">
        <f>'MKT DATA'!S591</f>
        <v>0</v>
      </c>
      <c r="P208" s="9">
        <f>'MKT DATA'!T591</f>
        <v>0</v>
      </c>
      <c r="Q208" s="44" t="str">
        <f t="shared" si="9"/>
        <v>syn BTCG7/BTCZ6/BTCU6/BTCX6/BTCV6</v>
      </c>
      <c r="R208" s="14">
        <f>'MKT DATA'!AB591</f>
        <v>0</v>
      </c>
    </row>
    <row r="209" spans="5:18" x14ac:dyDescent="0.25">
      <c r="E209" s="44" t="str">
        <f>'MKT DATA'!B592</f>
        <v>syn BTCG7/BTCZ6/BTCU6/BTCF7/BTCV6</v>
      </c>
      <c r="F209" s="14">
        <f>'MKT DATA'!J592</f>
        <v>0</v>
      </c>
      <c r="G209" s="9">
        <f>'MKT DATA'!K592</f>
        <v>0</v>
      </c>
      <c r="H209" s="9">
        <f>'MKT DATA'!L592</f>
        <v>0</v>
      </c>
      <c r="I209" s="14">
        <f>'MKT DATA'!M592</f>
        <v>0</v>
      </c>
      <c r="J209" s="44" t="str">
        <f t="shared" si="8"/>
        <v>syn BTCG7/BTCZ6/BTCU6/BTCF7/BTCV6</v>
      </c>
      <c r="K209" s="9">
        <f>'MKT DATA'!O592</f>
        <v>0</v>
      </c>
      <c r="L209" s="9">
        <f>'MKT DATA'!P592</f>
        <v>0</v>
      </c>
      <c r="M209" s="9">
        <f>'MKT DATA'!Q592</f>
        <v>0</v>
      </c>
      <c r="N209" s="9">
        <f>'MKT DATA'!R592</f>
        <v>0</v>
      </c>
      <c r="O209" s="9">
        <f>'MKT DATA'!S592</f>
        <v>0</v>
      </c>
      <c r="P209" s="9">
        <f>'MKT DATA'!T592</f>
        <v>0</v>
      </c>
      <c r="Q209" s="44" t="str">
        <f t="shared" si="9"/>
        <v>syn BTCG7/BTCZ6/BTCU6/BTCF7/BTCV6</v>
      </c>
      <c r="R209" s="14">
        <f>'MKT DATA'!AB592</f>
        <v>0</v>
      </c>
    </row>
    <row r="210" spans="5:18" x14ac:dyDescent="0.25">
      <c r="E210" s="44" t="str">
        <f>'MKT DATA'!B593</f>
        <v>syn BTCG7/BTCZ6/BTCX6/BTCU6/BTCV6</v>
      </c>
      <c r="F210" s="14">
        <f>'MKT DATA'!J593</f>
        <v>0</v>
      </c>
      <c r="G210" s="9">
        <f>'MKT DATA'!K593</f>
        <v>0</v>
      </c>
      <c r="H210" s="9">
        <f>'MKT DATA'!L593</f>
        <v>0</v>
      </c>
      <c r="I210" s="14">
        <f>'MKT DATA'!M593</f>
        <v>0</v>
      </c>
      <c r="J210" s="44" t="str">
        <f t="shared" si="8"/>
        <v>syn BTCG7/BTCZ6/BTCX6/BTCU6/BTCV6</v>
      </c>
      <c r="K210" s="9">
        <f>'MKT DATA'!O593</f>
        <v>0</v>
      </c>
      <c r="L210" s="9">
        <f>'MKT DATA'!P593</f>
        <v>0</v>
      </c>
      <c r="M210" s="9">
        <f>'MKT DATA'!Q593</f>
        <v>0</v>
      </c>
      <c r="N210" s="9">
        <f>'MKT DATA'!R593</f>
        <v>0</v>
      </c>
      <c r="O210" s="9">
        <f>'MKT DATA'!S593</f>
        <v>0</v>
      </c>
      <c r="P210" s="9">
        <f>'MKT DATA'!T593</f>
        <v>0</v>
      </c>
      <c r="Q210" s="44" t="str">
        <f t="shared" si="9"/>
        <v>syn BTCG7/BTCZ6/BTCX6/BTCU6/BTCV6</v>
      </c>
      <c r="R210" s="14">
        <f>'MKT DATA'!AB593</f>
        <v>0</v>
      </c>
    </row>
    <row r="211" spans="5:18" x14ac:dyDescent="0.25">
      <c r="E211" s="44" t="str">
        <f>'MKT DATA'!B594</f>
        <v>syn BTCG7/BTCZ6/BTCX6/BTCF7/BTCV6</v>
      </c>
      <c r="F211" s="14">
        <f>'MKT DATA'!J594</f>
        <v>0</v>
      </c>
      <c r="G211" s="9">
        <f>'MKT DATA'!K594</f>
        <v>0</v>
      </c>
      <c r="H211" s="9">
        <f>'MKT DATA'!L594</f>
        <v>0</v>
      </c>
      <c r="I211" s="14">
        <f>'MKT DATA'!M594</f>
        <v>0</v>
      </c>
      <c r="J211" s="44" t="str">
        <f t="shared" si="8"/>
        <v>syn BTCG7/BTCZ6/BTCX6/BTCF7/BTCV6</v>
      </c>
      <c r="K211" s="9">
        <f>'MKT DATA'!O594</f>
        <v>0</v>
      </c>
      <c r="L211" s="9">
        <f>'MKT DATA'!P594</f>
        <v>0</v>
      </c>
      <c r="M211" s="9">
        <f>'MKT DATA'!Q594</f>
        <v>0</v>
      </c>
      <c r="N211" s="9">
        <f>'MKT DATA'!R594</f>
        <v>0</v>
      </c>
      <c r="O211" s="9">
        <f>'MKT DATA'!S594</f>
        <v>0</v>
      </c>
      <c r="P211" s="9">
        <f>'MKT DATA'!T594</f>
        <v>0</v>
      </c>
      <c r="Q211" s="44" t="str">
        <f t="shared" si="9"/>
        <v>syn BTCG7/BTCZ6/BTCX6/BTCF7/BTCV6</v>
      </c>
      <c r="R211" s="14">
        <f>'MKT DATA'!AB594</f>
        <v>0</v>
      </c>
    </row>
    <row r="212" spans="5:18" x14ac:dyDescent="0.25">
      <c r="E212" s="44" t="str">
        <f>'MKT DATA'!B595</f>
        <v>syn BTCG7/BTCZ6/BTCF7/BTCU6/BTCV6</v>
      </c>
      <c r="F212" s="14">
        <f>'MKT DATA'!J595</f>
        <v>0</v>
      </c>
      <c r="G212" s="9">
        <f>'MKT DATA'!K595</f>
        <v>0</v>
      </c>
      <c r="H212" s="9">
        <f>'MKT DATA'!L595</f>
        <v>0</v>
      </c>
      <c r="I212" s="14">
        <f>'MKT DATA'!M595</f>
        <v>0</v>
      </c>
      <c r="J212" s="44" t="str">
        <f t="shared" si="8"/>
        <v>syn BTCG7/BTCZ6/BTCF7/BTCU6/BTCV6</v>
      </c>
      <c r="K212" s="9">
        <f>'MKT DATA'!O595</f>
        <v>0</v>
      </c>
      <c r="L212" s="9">
        <f>'MKT DATA'!P595</f>
        <v>0</v>
      </c>
      <c r="M212" s="9">
        <f>'MKT DATA'!Q595</f>
        <v>0</v>
      </c>
      <c r="N212" s="9">
        <f>'MKT DATA'!R595</f>
        <v>0</v>
      </c>
      <c r="O212" s="9">
        <f>'MKT DATA'!S595</f>
        <v>0</v>
      </c>
      <c r="P212" s="9">
        <f>'MKT DATA'!T595</f>
        <v>0</v>
      </c>
      <c r="Q212" s="44" t="str">
        <f t="shared" si="9"/>
        <v>syn BTCG7/BTCZ6/BTCF7/BTCU6/BTCV6</v>
      </c>
      <c r="R212" s="14">
        <f>'MKT DATA'!AB595</f>
        <v>0</v>
      </c>
    </row>
    <row r="213" spans="5:18" x14ac:dyDescent="0.25">
      <c r="E213" s="44" t="str">
        <f>'MKT DATA'!B596</f>
        <v>syn BTCG7/BTCZ6/BTCF7/BTCX6/BTCV6</v>
      </c>
      <c r="F213" s="14">
        <f>'MKT DATA'!J596</f>
        <v>0</v>
      </c>
      <c r="G213" s="9">
        <f>'MKT DATA'!K596</f>
        <v>0</v>
      </c>
      <c r="H213" s="9">
        <f>'MKT DATA'!L596</f>
        <v>0</v>
      </c>
      <c r="I213" s="14">
        <f>'MKT DATA'!M596</f>
        <v>0</v>
      </c>
      <c r="J213" s="44" t="str">
        <f t="shared" si="8"/>
        <v>syn BTCG7/BTCZ6/BTCF7/BTCX6/BTCV6</v>
      </c>
      <c r="K213" s="9">
        <f>'MKT DATA'!O596</f>
        <v>0</v>
      </c>
      <c r="L213" s="9">
        <f>'MKT DATA'!P596</f>
        <v>0</v>
      </c>
      <c r="M213" s="9">
        <f>'MKT DATA'!Q596</f>
        <v>0</v>
      </c>
      <c r="N213" s="9">
        <f>'MKT DATA'!R596</f>
        <v>0</v>
      </c>
      <c r="O213" s="9">
        <f>'MKT DATA'!S596</f>
        <v>0</v>
      </c>
      <c r="P213" s="9">
        <f>'MKT DATA'!T596</f>
        <v>0</v>
      </c>
      <c r="Q213" s="44" t="str">
        <f t="shared" si="9"/>
        <v>syn BTCG7/BTCZ6/BTCF7/BTCX6/BTCV6</v>
      </c>
      <c r="R213" s="14">
        <f>'MKT DATA'!AB596</f>
        <v>0</v>
      </c>
    </row>
    <row r="214" spans="5:18" x14ac:dyDescent="0.25">
      <c r="E214" s="44" t="str">
        <f>'MKT DATA'!B597</f>
        <v>syn BTCG7/BTCF7/BTCU6/BTCX6/BTCV6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BTCG7/BTCF7/BTCU6/BTCX6/BTCV6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BTCG7/BTCF7/BTCU6/BTCX6/BTCV6</v>
      </c>
      <c r="R214" s="14">
        <f>'MKT DATA'!AB597</f>
        <v>0</v>
      </c>
    </row>
    <row r="215" spans="5:18" x14ac:dyDescent="0.25">
      <c r="E215" s="44" t="str">
        <f>'MKT DATA'!B598</f>
        <v>syn BTCG7/BTCF7/BTCU6/BTCZ6/BTCV6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BTCG7/BTCF7/BTCU6/BTCZ6/BTCV6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BTCG7/BTCF7/BTCU6/BTCZ6/BTCV6</v>
      </c>
      <c r="R215" s="14">
        <f>'MKT DATA'!AB598</f>
        <v>0</v>
      </c>
    </row>
    <row r="216" spans="5:18" x14ac:dyDescent="0.25">
      <c r="E216" s="44" t="str">
        <f>'MKT DATA'!B599</f>
        <v>syn BTCG7/BTCF7/BTCX6/BTCU6/BTCV6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BTCG7/BTCF7/BTCX6/BTCU6/BTCV6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BTCG7/BTCF7/BTCX6/BTCU6/BTCV6</v>
      </c>
      <c r="R216" s="14">
        <f>'MKT DATA'!AB599</f>
        <v>0</v>
      </c>
    </row>
    <row r="217" spans="5:18" x14ac:dyDescent="0.25">
      <c r="E217" s="44" t="str">
        <f>'MKT DATA'!B600</f>
        <v>syn BTCG7/BTCF7/BTCX6/BTCZ6/BTCV6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BTCG7/BTCF7/BTCX6/BTCZ6/BTCV6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BTCG7/BTCF7/BTCX6/BTCZ6/BTCV6</v>
      </c>
      <c r="R217" s="14">
        <f>'MKT DATA'!AB600</f>
        <v>0</v>
      </c>
    </row>
    <row r="218" spans="5:18" x14ac:dyDescent="0.25">
      <c r="E218" s="44" t="str">
        <f>'MKT DATA'!B601</f>
        <v>syn BTCG7/BTCF7/BTCZ6/BTCU6/BTCV6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BTCG7/BTCF7/BTCZ6/BTCU6/BTCV6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BTCG7/BTCF7/BTCZ6/BTCU6/BTCV6</v>
      </c>
      <c r="R218" s="14">
        <f>'MKT DATA'!AB601</f>
        <v>0</v>
      </c>
    </row>
    <row r="219" spans="5:18" x14ac:dyDescent="0.25">
      <c r="E219" s="44" t="str">
        <f>'MKT DATA'!B602</f>
        <v>syn BTCG7/BTCF7/BTCZ6/BTCX6/BTCV6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BTCG7/BTCF7/BTCZ6/BTCX6/BTCV6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BTCG7/BTCF7/BTCZ6/BTCX6/BTCV6</v>
      </c>
      <c r="R219" s="14">
        <f>'MKT DATA'!AB602</f>
        <v>0</v>
      </c>
    </row>
    <row r="220" spans="5:18" x14ac:dyDescent="0.25">
      <c r="E220" s="44" t="str">
        <f>'MKT DATA'!B603</f>
        <v>syn BTCU6/BTCX6/BTCZ6/BTCF7/BTCG7/BTCV6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BTCU6/BTCX6/BTCZ6/BTCF7/BTCG7/BTCV6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BTCU6/BTCX6/BTCZ6/BTCF7/BTCG7/BTCV6</v>
      </c>
      <c r="R220" s="14">
        <f>'MKT DATA'!AB603</f>
        <v>0</v>
      </c>
    </row>
    <row r="221" spans="5:18" x14ac:dyDescent="0.25">
      <c r="E221" s="44" t="str">
        <f>'MKT DATA'!B604</f>
        <v>syn BTCU6/BTCX6/BTCZ6/BTCG7/BTCF7/BTCV6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BTCU6/BTCX6/BTCZ6/BTCG7/BTCF7/BTCV6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BTCU6/BTCX6/BTCZ6/BTCG7/BTCF7/BTCV6</v>
      </c>
      <c r="R221" s="14">
        <f>'MKT DATA'!AB604</f>
        <v>0</v>
      </c>
    </row>
    <row r="222" spans="5:18" x14ac:dyDescent="0.25">
      <c r="E222" s="44" t="str">
        <f>'MKT DATA'!B605</f>
        <v>syn BTCU6/BTCX6/BTCF7/BTCZ6/BTCG7/BTCV6</v>
      </c>
      <c r="F222" s="14">
        <f>'MKT DATA'!J605</f>
        <v>0</v>
      </c>
      <c r="G222" s="9">
        <f>'MKT DATA'!K605</f>
        <v>0</v>
      </c>
      <c r="H222" s="9">
        <f>'MKT DATA'!L605</f>
        <v>0</v>
      </c>
      <c r="I222" s="14">
        <f>'MKT DATA'!M605</f>
        <v>0</v>
      </c>
      <c r="J222" s="44" t="str">
        <f t="shared" si="8"/>
        <v>syn BTCU6/BTCX6/BTCF7/BTCZ6/BTCG7/BTCV6</v>
      </c>
      <c r="K222" s="9">
        <f>'MKT DATA'!O605</f>
        <v>0</v>
      </c>
      <c r="L222" s="9">
        <f>'MKT DATA'!P605</f>
        <v>0</v>
      </c>
      <c r="M222" s="9">
        <f>'MKT DATA'!Q605</f>
        <v>0</v>
      </c>
      <c r="N222" s="9">
        <f>'MKT DATA'!R605</f>
        <v>0</v>
      </c>
      <c r="O222" s="9">
        <f>'MKT DATA'!S605</f>
        <v>0</v>
      </c>
      <c r="P222" s="9">
        <f>'MKT DATA'!T605</f>
        <v>0</v>
      </c>
      <c r="Q222" s="44" t="str">
        <f t="shared" si="9"/>
        <v>syn BTCU6/BTCX6/BTCF7/BTCZ6/BTCG7/BTCV6</v>
      </c>
      <c r="R222" s="14">
        <f>'MKT DATA'!AB605</f>
        <v>0</v>
      </c>
    </row>
    <row r="223" spans="5:18" x14ac:dyDescent="0.25">
      <c r="E223" s="44" t="str">
        <f>'MKT DATA'!B606</f>
        <v>syn BTCU6/BTCX6/BTCF7/BTCG7/BTCZ6/BTCV6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BTCU6/BTCX6/BTCF7/BTCG7/BTCZ6/BTCV6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BTCU6/BTCX6/BTCF7/BTCG7/BTCZ6/BTCV6</v>
      </c>
      <c r="R223" s="14">
        <f>'MKT DATA'!AB606</f>
        <v>0</v>
      </c>
    </row>
    <row r="224" spans="5:18" x14ac:dyDescent="0.25">
      <c r="E224" s="44" t="str">
        <f>'MKT DATA'!B607</f>
        <v>syn BTCU6/BTCX6/BTCG7/BTCZ6/BTCF7/BTCV6</v>
      </c>
      <c r="F224" s="14">
        <f>'MKT DATA'!J607</f>
        <v>0</v>
      </c>
      <c r="G224" s="9">
        <f>'MKT DATA'!K607</f>
        <v>0</v>
      </c>
      <c r="H224" s="9">
        <f>'MKT DATA'!L607</f>
        <v>0</v>
      </c>
      <c r="I224" s="14">
        <f>'MKT DATA'!M607</f>
        <v>0</v>
      </c>
      <c r="J224" s="44" t="str">
        <f t="shared" si="8"/>
        <v>syn BTCU6/BTCX6/BTCG7/BTCZ6/BTCF7/BTCV6</v>
      </c>
      <c r="K224" s="9">
        <f>'MKT DATA'!O607</f>
        <v>0</v>
      </c>
      <c r="L224" s="9">
        <f>'MKT DATA'!P607</f>
        <v>0</v>
      </c>
      <c r="M224" s="9">
        <f>'MKT DATA'!Q607</f>
        <v>0</v>
      </c>
      <c r="N224" s="9">
        <f>'MKT DATA'!R607</f>
        <v>0</v>
      </c>
      <c r="O224" s="9">
        <f>'MKT DATA'!S607</f>
        <v>0</v>
      </c>
      <c r="P224" s="9">
        <f>'MKT DATA'!T607</f>
        <v>0</v>
      </c>
      <c r="Q224" s="44" t="str">
        <f t="shared" si="9"/>
        <v>syn BTCU6/BTCX6/BTCG7/BTCZ6/BTCF7/BTCV6</v>
      </c>
      <c r="R224" s="14">
        <f>'MKT DATA'!AB607</f>
        <v>0</v>
      </c>
    </row>
    <row r="225" spans="5:18" x14ac:dyDescent="0.25">
      <c r="E225" s="44" t="str">
        <f>'MKT DATA'!B608</f>
        <v>syn BTCU6/BTCX6/BTCG7/BTCF7/BTCZ6/BTCV6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BTCU6/BTCX6/BTCG7/BTCF7/BTCZ6/BTCV6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BTCU6/BTCX6/BTCG7/BTCF7/BTCZ6/BTCV6</v>
      </c>
      <c r="R225" s="14">
        <f>'MKT DATA'!AB608</f>
        <v>0</v>
      </c>
    </row>
    <row r="226" spans="5:18" x14ac:dyDescent="0.25">
      <c r="E226" s="44" t="str">
        <f>'MKT DATA'!B609</f>
        <v>syn BTCU6/BTCZ6/BTCX6/BTCF7/BTCG7/BTCV6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BTCU6/BTCZ6/BTCX6/BTCF7/BTCG7/BTCV6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BTCU6/BTCZ6/BTCX6/BTCF7/BTCG7/BTCV6</v>
      </c>
      <c r="R226" s="14">
        <f>'MKT DATA'!AB609</f>
        <v>0</v>
      </c>
    </row>
    <row r="227" spans="5:18" x14ac:dyDescent="0.25">
      <c r="E227" s="44" t="str">
        <f>'MKT DATA'!B610</f>
        <v>syn BTCU6/BTCZ6/BTCX6/BTCG7/BTCF7/BTCV6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BTCU6/BTCZ6/BTCX6/BTCG7/BTCF7/BTCV6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BTCU6/BTCZ6/BTCX6/BTCG7/BTCF7/BTCV6</v>
      </c>
      <c r="R227" s="14">
        <f>'MKT DATA'!AB610</f>
        <v>0</v>
      </c>
    </row>
    <row r="228" spans="5:18" x14ac:dyDescent="0.25">
      <c r="E228" s="44" t="str">
        <f>'MKT DATA'!B611</f>
        <v>syn BTCU6/BTCZ6/BTCF7/BTCX6/BTCG7/BTCV6</v>
      </c>
      <c r="F228" s="14">
        <f>'MKT DATA'!J611</f>
        <v>0</v>
      </c>
      <c r="G228" s="9">
        <f>'MKT DATA'!K611</f>
        <v>0</v>
      </c>
      <c r="H228" s="9">
        <f>'MKT DATA'!L611</f>
        <v>0</v>
      </c>
      <c r="I228" s="14">
        <f>'MKT DATA'!M611</f>
        <v>0</v>
      </c>
      <c r="J228" s="44" t="str">
        <f t="shared" si="8"/>
        <v>syn BTCU6/BTCZ6/BTCF7/BTCX6/BTCG7/BTCV6</v>
      </c>
      <c r="K228" s="9">
        <f>'MKT DATA'!O611</f>
        <v>0</v>
      </c>
      <c r="L228" s="9">
        <f>'MKT DATA'!P611</f>
        <v>0</v>
      </c>
      <c r="M228" s="9">
        <f>'MKT DATA'!Q611</f>
        <v>0</v>
      </c>
      <c r="N228" s="9">
        <f>'MKT DATA'!R611</f>
        <v>0</v>
      </c>
      <c r="O228" s="9">
        <f>'MKT DATA'!S611</f>
        <v>0</v>
      </c>
      <c r="P228" s="9">
        <f>'MKT DATA'!T611</f>
        <v>0</v>
      </c>
      <c r="Q228" s="44" t="str">
        <f t="shared" si="9"/>
        <v>syn BTCU6/BTCZ6/BTCF7/BTCX6/BTCG7/BTCV6</v>
      </c>
      <c r="R228" s="14">
        <f>'MKT DATA'!AB611</f>
        <v>0</v>
      </c>
    </row>
    <row r="229" spans="5:18" x14ac:dyDescent="0.25">
      <c r="E229" s="44" t="str">
        <f>'MKT DATA'!B612</f>
        <v>syn BTCU6/BTCZ6/BTCF7/BTCG7/BTCX6/BTCV6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BTCU6/BTCZ6/BTCF7/BTCG7/BTCX6/BTCV6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BTCU6/BTCZ6/BTCF7/BTCG7/BTCX6/BTCV6</v>
      </c>
      <c r="R229" s="14">
        <f>'MKT DATA'!AB612</f>
        <v>0</v>
      </c>
    </row>
    <row r="230" spans="5:18" x14ac:dyDescent="0.25">
      <c r="E230" s="44" t="str">
        <f>'MKT DATA'!B613</f>
        <v>syn BTCU6/BTCZ6/BTCG7/BTCX6/BTCF7/BTCV6</v>
      </c>
      <c r="F230" s="14">
        <f>'MKT DATA'!J613</f>
        <v>0</v>
      </c>
      <c r="G230" s="9">
        <f>'MKT DATA'!K613</f>
        <v>0</v>
      </c>
      <c r="H230" s="9">
        <f>'MKT DATA'!L613</f>
        <v>0</v>
      </c>
      <c r="I230" s="14">
        <f>'MKT DATA'!M613</f>
        <v>0</v>
      </c>
      <c r="J230" s="44" t="str">
        <f t="shared" si="8"/>
        <v>syn BTCU6/BTCZ6/BTCG7/BTCX6/BTCF7/BTCV6</v>
      </c>
      <c r="K230" s="9">
        <f>'MKT DATA'!O613</f>
        <v>0</v>
      </c>
      <c r="L230" s="9">
        <f>'MKT DATA'!P613</f>
        <v>0</v>
      </c>
      <c r="M230" s="9">
        <f>'MKT DATA'!Q613</f>
        <v>0</v>
      </c>
      <c r="N230" s="9">
        <f>'MKT DATA'!R613</f>
        <v>0</v>
      </c>
      <c r="O230" s="9">
        <f>'MKT DATA'!S613</f>
        <v>0</v>
      </c>
      <c r="P230" s="9">
        <f>'MKT DATA'!T613</f>
        <v>0</v>
      </c>
      <c r="Q230" s="44" t="str">
        <f t="shared" si="9"/>
        <v>syn BTCU6/BTCZ6/BTCG7/BTCX6/BTCF7/BTCV6</v>
      </c>
      <c r="R230" s="14">
        <f>'MKT DATA'!AB613</f>
        <v>0</v>
      </c>
    </row>
    <row r="231" spans="5:18" x14ac:dyDescent="0.25">
      <c r="E231" s="44" t="str">
        <f>'MKT DATA'!B614</f>
        <v>syn BTCU6/BTCZ6/BTCG7/BTCF7/BTCX6/BTCV6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BTCU6/BTCZ6/BTCG7/BTCF7/BTCX6/BTCV6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BTCU6/BTCZ6/BTCG7/BTCF7/BTCX6/BTCV6</v>
      </c>
      <c r="R231" s="14">
        <f>'MKT DATA'!AB614</f>
        <v>0</v>
      </c>
    </row>
    <row r="232" spans="5:18" x14ac:dyDescent="0.25">
      <c r="E232" s="44" t="str">
        <f>'MKT DATA'!B615</f>
        <v>syn BTCU6/BTCF7/BTCX6/BTCZ6/BTCG7/BTCV6</v>
      </c>
      <c r="F232" s="14">
        <f>'MKT DATA'!J615</f>
        <v>0</v>
      </c>
      <c r="G232" s="9">
        <f>'MKT DATA'!K615</f>
        <v>0</v>
      </c>
      <c r="H232" s="9">
        <f>'MKT DATA'!L615</f>
        <v>0</v>
      </c>
      <c r="I232" s="14">
        <f>'MKT DATA'!M615</f>
        <v>0</v>
      </c>
      <c r="J232" s="44" t="str">
        <f t="shared" si="8"/>
        <v>syn BTCU6/BTCF7/BTCX6/BTCZ6/BTCG7/BTCV6</v>
      </c>
      <c r="K232" s="9">
        <f>'MKT DATA'!O615</f>
        <v>0</v>
      </c>
      <c r="L232" s="9">
        <f>'MKT DATA'!P615</f>
        <v>0</v>
      </c>
      <c r="M232" s="9">
        <f>'MKT DATA'!Q615</f>
        <v>0</v>
      </c>
      <c r="N232" s="9">
        <f>'MKT DATA'!R615</f>
        <v>0</v>
      </c>
      <c r="O232" s="9">
        <f>'MKT DATA'!S615</f>
        <v>0</v>
      </c>
      <c r="P232" s="9">
        <f>'MKT DATA'!T615</f>
        <v>0</v>
      </c>
      <c r="Q232" s="44" t="str">
        <f t="shared" si="9"/>
        <v>syn BTCU6/BTCF7/BTCX6/BTCZ6/BTCG7/BTCV6</v>
      </c>
      <c r="R232" s="14">
        <f>'MKT DATA'!AB615</f>
        <v>0</v>
      </c>
    </row>
    <row r="233" spans="5:18" x14ac:dyDescent="0.25">
      <c r="E233" s="44" t="str">
        <f>'MKT DATA'!B616</f>
        <v>syn BTCU6/BTCF7/BTCX6/BTCG7/BTCZ6/BTCV6</v>
      </c>
      <c r="F233" s="14">
        <f>'MKT DATA'!J616</f>
        <v>0</v>
      </c>
      <c r="G233" s="9">
        <f>'MKT DATA'!K616</f>
        <v>0</v>
      </c>
      <c r="H233" s="9">
        <f>'MKT DATA'!L616</f>
        <v>0</v>
      </c>
      <c r="I233" s="14">
        <f>'MKT DATA'!M616</f>
        <v>0</v>
      </c>
      <c r="J233" s="44" t="str">
        <f t="shared" si="8"/>
        <v>syn BTCU6/BTCF7/BTCX6/BTCG7/BTCZ6/BTCV6</v>
      </c>
      <c r="K233" s="9">
        <f>'MKT DATA'!O616</f>
        <v>0</v>
      </c>
      <c r="L233" s="9">
        <f>'MKT DATA'!P616</f>
        <v>0</v>
      </c>
      <c r="M233" s="9">
        <f>'MKT DATA'!Q616</f>
        <v>0</v>
      </c>
      <c r="N233" s="9">
        <f>'MKT DATA'!R616</f>
        <v>0</v>
      </c>
      <c r="O233" s="9">
        <f>'MKT DATA'!S616</f>
        <v>0</v>
      </c>
      <c r="P233" s="9">
        <f>'MKT DATA'!T616</f>
        <v>0</v>
      </c>
      <c r="Q233" s="44" t="str">
        <f t="shared" si="9"/>
        <v>syn BTCU6/BTCF7/BTCX6/BTCG7/BTCZ6/BTCV6</v>
      </c>
      <c r="R233" s="14">
        <f>'MKT DATA'!AB616</f>
        <v>0</v>
      </c>
    </row>
    <row r="234" spans="5:18" x14ac:dyDescent="0.25">
      <c r="E234" s="44" t="str">
        <f>'MKT DATA'!B617</f>
        <v>syn BTCU6/BTCF7/BTCZ6/BTCX6/BTCG7/BTCV6</v>
      </c>
      <c r="F234" s="14">
        <f>'MKT DATA'!J617</f>
        <v>0</v>
      </c>
      <c r="G234" s="9">
        <f>'MKT DATA'!K617</f>
        <v>0</v>
      </c>
      <c r="H234" s="9">
        <f>'MKT DATA'!L617</f>
        <v>0</v>
      </c>
      <c r="I234" s="14">
        <f>'MKT DATA'!M617</f>
        <v>0</v>
      </c>
      <c r="J234" s="44" t="str">
        <f t="shared" si="8"/>
        <v>syn BTCU6/BTCF7/BTCZ6/BTCX6/BTCG7/BTCV6</v>
      </c>
      <c r="K234" s="9">
        <f>'MKT DATA'!O617</f>
        <v>0</v>
      </c>
      <c r="L234" s="9">
        <f>'MKT DATA'!P617</f>
        <v>0</v>
      </c>
      <c r="M234" s="9">
        <f>'MKT DATA'!Q617</f>
        <v>0</v>
      </c>
      <c r="N234" s="9">
        <f>'MKT DATA'!R617</f>
        <v>0</v>
      </c>
      <c r="O234" s="9">
        <f>'MKT DATA'!S617</f>
        <v>0</v>
      </c>
      <c r="P234" s="9">
        <f>'MKT DATA'!T617</f>
        <v>0</v>
      </c>
      <c r="Q234" s="44" t="str">
        <f t="shared" si="9"/>
        <v>syn BTCU6/BTCF7/BTCZ6/BTCX6/BTCG7/BTCV6</v>
      </c>
      <c r="R234" s="14">
        <f>'MKT DATA'!AB617</f>
        <v>0</v>
      </c>
    </row>
    <row r="235" spans="5:18" x14ac:dyDescent="0.25">
      <c r="E235" s="44" t="str">
        <f>'MKT DATA'!B618</f>
        <v>syn BTCU6/BTCF7/BTCZ6/BTCG7/BTCX6/BTCV6</v>
      </c>
      <c r="F235" s="14">
        <f>'MKT DATA'!J618</f>
        <v>0</v>
      </c>
      <c r="G235" s="9">
        <f>'MKT DATA'!K618</f>
        <v>0</v>
      </c>
      <c r="H235" s="9">
        <f>'MKT DATA'!L618</f>
        <v>0</v>
      </c>
      <c r="I235" s="14">
        <f>'MKT DATA'!M618</f>
        <v>0</v>
      </c>
      <c r="J235" s="44" t="str">
        <f t="shared" si="8"/>
        <v>syn BTCU6/BTCF7/BTCZ6/BTCG7/BTCX6/BTCV6</v>
      </c>
      <c r="K235" s="9">
        <f>'MKT DATA'!O618</f>
        <v>0</v>
      </c>
      <c r="L235" s="9">
        <f>'MKT DATA'!P618</f>
        <v>0</v>
      </c>
      <c r="M235" s="9">
        <f>'MKT DATA'!Q618</f>
        <v>0</v>
      </c>
      <c r="N235" s="9">
        <f>'MKT DATA'!R618</f>
        <v>0</v>
      </c>
      <c r="O235" s="9">
        <f>'MKT DATA'!S618</f>
        <v>0</v>
      </c>
      <c r="P235" s="9">
        <f>'MKT DATA'!T618</f>
        <v>0</v>
      </c>
      <c r="Q235" s="44" t="str">
        <f t="shared" si="9"/>
        <v>syn BTCU6/BTCF7/BTCZ6/BTCG7/BTCX6/BTCV6</v>
      </c>
      <c r="R235" s="14">
        <f>'MKT DATA'!AB618</f>
        <v>0</v>
      </c>
    </row>
    <row r="236" spans="5:18" x14ac:dyDescent="0.25">
      <c r="E236" s="44" t="str">
        <f>'MKT DATA'!B619</f>
        <v>syn BTCU6/BTCF7/BTCG7/BTCX6/BTCZ6/BTCV6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BTCU6/BTCF7/BTCG7/BTCX6/BTCZ6/BTCV6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BTCU6/BTCF7/BTCG7/BTCX6/BTCZ6/BTCV6</v>
      </c>
      <c r="R236" s="14">
        <f>'MKT DATA'!AB619</f>
        <v>0</v>
      </c>
    </row>
    <row r="237" spans="5:18" x14ac:dyDescent="0.25">
      <c r="E237" s="44" t="str">
        <f>'MKT DATA'!B620</f>
        <v>syn BTCU6/BTCF7/BTCG7/BTCZ6/BTCX6/BTCV6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BTCU6/BTCF7/BTCG7/BTCZ6/BTCX6/BTCV6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BTCU6/BTCF7/BTCG7/BTCZ6/BTCX6/BTCV6</v>
      </c>
      <c r="R237" s="14">
        <f>'MKT DATA'!AB620</f>
        <v>0</v>
      </c>
    </row>
    <row r="238" spans="5:18" x14ac:dyDescent="0.25">
      <c r="E238" s="44" t="str">
        <f>'MKT DATA'!B621</f>
        <v>syn BTCU6/BTCG7/BTCX6/BTCZ6/BTCF7/BTCV6</v>
      </c>
      <c r="F238" s="14">
        <f>'MKT DATA'!J621</f>
        <v>0</v>
      </c>
      <c r="G238" s="9">
        <f>'MKT DATA'!K621</f>
        <v>0</v>
      </c>
      <c r="H238" s="9">
        <f>'MKT DATA'!L621</f>
        <v>0</v>
      </c>
      <c r="I238" s="14">
        <f>'MKT DATA'!M621</f>
        <v>0</v>
      </c>
      <c r="J238" s="44" t="str">
        <f t="shared" si="8"/>
        <v>syn BTCU6/BTCG7/BTCX6/BTCZ6/BTCF7/BTCV6</v>
      </c>
      <c r="K238" s="9">
        <f>'MKT DATA'!O621</f>
        <v>0</v>
      </c>
      <c r="L238" s="9">
        <f>'MKT DATA'!P621</f>
        <v>0</v>
      </c>
      <c r="M238" s="9">
        <f>'MKT DATA'!Q621</f>
        <v>0</v>
      </c>
      <c r="N238" s="9">
        <f>'MKT DATA'!R621</f>
        <v>0</v>
      </c>
      <c r="O238" s="9">
        <f>'MKT DATA'!S621</f>
        <v>0</v>
      </c>
      <c r="P238" s="9">
        <f>'MKT DATA'!T621</f>
        <v>0</v>
      </c>
      <c r="Q238" s="44" t="str">
        <f t="shared" si="9"/>
        <v>syn BTCU6/BTCG7/BTCX6/BTCZ6/BTCF7/BTCV6</v>
      </c>
      <c r="R238" s="14">
        <f>'MKT DATA'!AB621</f>
        <v>0</v>
      </c>
    </row>
    <row r="239" spans="5:18" x14ac:dyDescent="0.25">
      <c r="E239" s="44" t="str">
        <f>'MKT DATA'!B622</f>
        <v>syn BTCU6/BTCG7/BTCX6/BTCF7/BTCZ6/BTCV6</v>
      </c>
      <c r="F239" s="14">
        <f>'MKT DATA'!J622</f>
        <v>0</v>
      </c>
      <c r="G239" s="9">
        <f>'MKT DATA'!K622</f>
        <v>0</v>
      </c>
      <c r="H239" s="9">
        <f>'MKT DATA'!L622</f>
        <v>0</v>
      </c>
      <c r="I239" s="14">
        <f>'MKT DATA'!M622</f>
        <v>0</v>
      </c>
      <c r="J239" s="44" t="str">
        <f t="shared" si="8"/>
        <v>syn BTCU6/BTCG7/BTCX6/BTCF7/BTCZ6/BTCV6</v>
      </c>
      <c r="K239" s="9">
        <f>'MKT DATA'!O622</f>
        <v>0</v>
      </c>
      <c r="L239" s="9">
        <f>'MKT DATA'!P622</f>
        <v>0</v>
      </c>
      <c r="M239" s="9">
        <f>'MKT DATA'!Q622</f>
        <v>0</v>
      </c>
      <c r="N239" s="9">
        <f>'MKT DATA'!R622</f>
        <v>0</v>
      </c>
      <c r="O239" s="9">
        <f>'MKT DATA'!S622</f>
        <v>0</v>
      </c>
      <c r="P239" s="9">
        <f>'MKT DATA'!T622</f>
        <v>0</v>
      </c>
      <c r="Q239" s="44" t="str">
        <f t="shared" si="9"/>
        <v>syn BTCU6/BTCG7/BTCX6/BTCF7/BTCZ6/BTCV6</v>
      </c>
      <c r="R239" s="14">
        <f>'MKT DATA'!AB622</f>
        <v>0</v>
      </c>
    </row>
    <row r="240" spans="5:18" x14ac:dyDescent="0.25">
      <c r="E240" s="44" t="str">
        <f>'MKT DATA'!B623</f>
        <v>syn BTCU6/BTCG7/BTCZ6/BTCX6/BTCF7/BTCV6</v>
      </c>
      <c r="F240" s="14">
        <f>'MKT DATA'!J623</f>
        <v>0</v>
      </c>
      <c r="G240" s="9">
        <f>'MKT DATA'!K623</f>
        <v>0</v>
      </c>
      <c r="H240" s="9">
        <f>'MKT DATA'!L623</f>
        <v>0</v>
      </c>
      <c r="I240" s="14">
        <f>'MKT DATA'!M623</f>
        <v>0</v>
      </c>
      <c r="J240" s="44" t="str">
        <f t="shared" si="8"/>
        <v>syn BTCU6/BTCG7/BTCZ6/BTCX6/BTCF7/BTCV6</v>
      </c>
      <c r="K240" s="9">
        <f>'MKT DATA'!O623</f>
        <v>0</v>
      </c>
      <c r="L240" s="9">
        <f>'MKT DATA'!P623</f>
        <v>0</v>
      </c>
      <c r="M240" s="9">
        <f>'MKT DATA'!Q623</f>
        <v>0</v>
      </c>
      <c r="N240" s="9">
        <f>'MKT DATA'!R623</f>
        <v>0</v>
      </c>
      <c r="O240" s="9">
        <f>'MKT DATA'!S623</f>
        <v>0</v>
      </c>
      <c r="P240" s="9">
        <f>'MKT DATA'!T623</f>
        <v>0</v>
      </c>
      <c r="Q240" s="44" t="str">
        <f t="shared" si="9"/>
        <v>syn BTCU6/BTCG7/BTCZ6/BTCX6/BTCF7/BTCV6</v>
      </c>
      <c r="R240" s="14">
        <f>'MKT DATA'!AB623</f>
        <v>0</v>
      </c>
    </row>
    <row r="241" spans="5:18" x14ac:dyDescent="0.25">
      <c r="E241" s="44" t="str">
        <f>'MKT DATA'!B624</f>
        <v>syn BTCU6/BTCG7/BTCZ6/BTCF7/BTCX6/BTCV6</v>
      </c>
      <c r="F241" s="14">
        <f>'MKT DATA'!J624</f>
        <v>0</v>
      </c>
      <c r="G241" s="9">
        <f>'MKT DATA'!K624</f>
        <v>0</v>
      </c>
      <c r="H241" s="9">
        <f>'MKT DATA'!L624</f>
        <v>0</v>
      </c>
      <c r="I241" s="14">
        <f>'MKT DATA'!M624</f>
        <v>0</v>
      </c>
      <c r="J241" s="44" t="str">
        <f t="shared" si="8"/>
        <v>syn BTCU6/BTCG7/BTCZ6/BTCF7/BTCX6/BTCV6</v>
      </c>
      <c r="K241" s="9">
        <f>'MKT DATA'!O624</f>
        <v>0</v>
      </c>
      <c r="L241" s="9">
        <f>'MKT DATA'!P624</f>
        <v>0</v>
      </c>
      <c r="M241" s="9">
        <f>'MKT DATA'!Q624</f>
        <v>0</v>
      </c>
      <c r="N241" s="9">
        <f>'MKT DATA'!R624</f>
        <v>0</v>
      </c>
      <c r="O241" s="9">
        <f>'MKT DATA'!S624</f>
        <v>0</v>
      </c>
      <c r="P241" s="9">
        <f>'MKT DATA'!T624</f>
        <v>0</v>
      </c>
      <c r="Q241" s="44" t="str">
        <f t="shared" si="9"/>
        <v>syn BTCU6/BTCG7/BTCZ6/BTCF7/BTCX6/BTCV6</v>
      </c>
      <c r="R241" s="14">
        <f>'MKT DATA'!AB624</f>
        <v>0</v>
      </c>
    </row>
    <row r="242" spans="5:18" x14ac:dyDescent="0.25">
      <c r="E242" s="44" t="str">
        <f>'MKT DATA'!B625</f>
        <v>syn BTCU6/BTCG7/BTCF7/BTCX6/BTCZ6/BTCV6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BTCU6/BTCG7/BTCF7/BTCX6/BTCZ6/BTCV6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BTCU6/BTCG7/BTCF7/BTCX6/BTCZ6/BTCV6</v>
      </c>
      <c r="R242" s="14">
        <f>'MKT DATA'!AB625</f>
        <v>0</v>
      </c>
    </row>
    <row r="243" spans="5:18" x14ac:dyDescent="0.25">
      <c r="E243" s="44" t="str">
        <f>'MKT DATA'!B626</f>
        <v>syn BTCU6/BTCG7/BTCF7/BTCZ6/BTCX6/BTCV6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BTCU6/BTCG7/BTCF7/BTCZ6/BTCX6/BTCV6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BTCU6/BTCG7/BTCF7/BTCZ6/BTCX6/BTCV6</v>
      </c>
      <c r="R243" s="14">
        <f>'MKT DATA'!AB626</f>
        <v>0</v>
      </c>
    </row>
    <row r="244" spans="5:18" x14ac:dyDescent="0.25">
      <c r="E244" s="44" t="str">
        <f>'MKT DATA'!B627</f>
        <v>syn BTCX6/BTCU6/BTCZ6/BTCF7/BTCG7/BTCV6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BTCX6/BTCU6/BTCZ6/BTCF7/BTCG7/BTCV6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BTCX6/BTCU6/BTCZ6/BTCF7/BTCG7/BTCV6</v>
      </c>
      <c r="R244" s="14">
        <f>'MKT DATA'!AB627</f>
        <v>0</v>
      </c>
    </row>
    <row r="245" spans="5:18" x14ac:dyDescent="0.25">
      <c r="E245" s="44" t="str">
        <f>'MKT DATA'!B628</f>
        <v>syn BTCX6/BTCU6/BTCZ6/BTCG7/BTCF7/BTCV6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BTCX6/BTCU6/BTCZ6/BTCG7/BTCF7/BTCV6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BTCX6/BTCU6/BTCZ6/BTCG7/BTCF7/BTCV6</v>
      </c>
      <c r="R245" s="14">
        <f>'MKT DATA'!AB628</f>
        <v>0</v>
      </c>
    </row>
    <row r="246" spans="5:18" x14ac:dyDescent="0.25">
      <c r="E246" s="44" t="str">
        <f>'MKT DATA'!B629</f>
        <v>syn BTCX6/BTCU6/BTCF7/BTCZ6/BTCG7/BTCV6</v>
      </c>
      <c r="F246" s="14">
        <f>'MKT DATA'!J629</f>
        <v>0</v>
      </c>
      <c r="G246" s="9">
        <f>'MKT DATA'!K629</f>
        <v>0</v>
      </c>
      <c r="H246" s="9">
        <f>'MKT DATA'!L629</f>
        <v>0</v>
      </c>
      <c r="I246" s="14">
        <f>'MKT DATA'!M629</f>
        <v>0</v>
      </c>
      <c r="J246" s="44" t="str">
        <f t="shared" si="8"/>
        <v>syn BTCX6/BTCU6/BTCF7/BTCZ6/BTCG7/BTCV6</v>
      </c>
      <c r="K246" s="9">
        <f>'MKT DATA'!O629</f>
        <v>0</v>
      </c>
      <c r="L246" s="9">
        <f>'MKT DATA'!P629</f>
        <v>0</v>
      </c>
      <c r="M246" s="9">
        <f>'MKT DATA'!Q629</f>
        <v>0</v>
      </c>
      <c r="N246" s="9">
        <f>'MKT DATA'!R629</f>
        <v>0</v>
      </c>
      <c r="O246" s="9">
        <f>'MKT DATA'!S629</f>
        <v>0</v>
      </c>
      <c r="P246" s="9">
        <f>'MKT DATA'!T629</f>
        <v>0</v>
      </c>
      <c r="Q246" s="44" t="str">
        <f t="shared" si="9"/>
        <v>syn BTCX6/BTCU6/BTCF7/BTCZ6/BTCG7/BTCV6</v>
      </c>
      <c r="R246" s="14">
        <f>'MKT DATA'!AB629</f>
        <v>0</v>
      </c>
    </row>
    <row r="247" spans="5:18" x14ac:dyDescent="0.25">
      <c r="E247" s="44" t="str">
        <f>'MKT DATA'!B630</f>
        <v>syn BTCX6/BTCU6/BTCF7/BTCG7/BTCZ6/BTCV6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BTCX6/BTCU6/BTCF7/BTCG7/BTCZ6/BTCV6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BTCX6/BTCU6/BTCF7/BTCG7/BTCZ6/BTCV6</v>
      </c>
      <c r="R247" s="14">
        <f>'MKT DATA'!AB630</f>
        <v>0</v>
      </c>
    </row>
    <row r="248" spans="5:18" x14ac:dyDescent="0.25">
      <c r="E248" s="44" t="str">
        <f>'MKT DATA'!B631</f>
        <v>syn BTCX6/BTCU6/BTCG7/BTCZ6/BTCF7/BTCV6</v>
      </c>
      <c r="F248" s="14">
        <f>'MKT DATA'!J631</f>
        <v>0</v>
      </c>
      <c r="G248" s="9">
        <f>'MKT DATA'!K631</f>
        <v>0</v>
      </c>
      <c r="H248" s="9">
        <f>'MKT DATA'!L631</f>
        <v>0</v>
      </c>
      <c r="I248" s="14">
        <f>'MKT DATA'!M631</f>
        <v>0</v>
      </c>
      <c r="J248" s="44" t="str">
        <f t="shared" si="8"/>
        <v>syn BTCX6/BTCU6/BTCG7/BTCZ6/BTCF7/BTCV6</v>
      </c>
      <c r="K248" s="9">
        <f>'MKT DATA'!O631</f>
        <v>0</v>
      </c>
      <c r="L248" s="9">
        <f>'MKT DATA'!P631</f>
        <v>0</v>
      </c>
      <c r="M248" s="9">
        <f>'MKT DATA'!Q631</f>
        <v>0</v>
      </c>
      <c r="N248" s="9">
        <f>'MKT DATA'!R631</f>
        <v>0</v>
      </c>
      <c r="O248" s="9">
        <f>'MKT DATA'!S631</f>
        <v>0</v>
      </c>
      <c r="P248" s="9">
        <f>'MKT DATA'!T631</f>
        <v>0</v>
      </c>
      <c r="Q248" s="44" t="str">
        <f t="shared" si="9"/>
        <v>syn BTCX6/BTCU6/BTCG7/BTCZ6/BTCF7/BTCV6</v>
      </c>
      <c r="R248" s="14">
        <f>'MKT DATA'!AB631</f>
        <v>0</v>
      </c>
    </row>
    <row r="249" spans="5:18" x14ac:dyDescent="0.25">
      <c r="E249" s="44" t="str">
        <f>'MKT DATA'!B632</f>
        <v>syn BTCX6/BTCU6/BTCG7/BTCF7/BTCZ6/BTCV6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BTCX6/BTCU6/BTCG7/BTCF7/BTCZ6/BTCV6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BTCX6/BTCU6/BTCG7/BTCF7/BTCZ6/BTCV6</v>
      </c>
      <c r="R249" s="14">
        <f>'MKT DATA'!AB632</f>
        <v>0</v>
      </c>
    </row>
    <row r="250" spans="5:18" x14ac:dyDescent="0.25">
      <c r="E250" s="44" t="str">
        <f>'MKT DATA'!B633</f>
        <v>syn BTCX6/BTCZ6/BTCU6/BTCF7/BTCG7/BTCV6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BTCX6/BTCZ6/BTCU6/BTCF7/BTCG7/BTCV6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BTCX6/BTCZ6/BTCU6/BTCF7/BTCG7/BTCV6</v>
      </c>
      <c r="R250" s="14">
        <f>'MKT DATA'!AB633</f>
        <v>0</v>
      </c>
    </row>
    <row r="251" spans="5:18" x14ac:dyDescent="0.25">
      <c r="E251" s="44" t="str">
        <f>'MKT DATA'!B634</f>
        <v>syn BTCX6/BTCZ6/BTCU6/BTCG7/BTCF7/BTCV6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BTCX6/BTCZ6/BTCU6/BTCG7/BTCF7/BTCV6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BTCX6/BTCZ6/BTCU6/BTCG7/BTCF7/BTCV6</v>
      </c>
      <c r="R251" s="14">
        <f>'MKT DATA'!AB634</f>
        <v>0</v>
      </c>
    </row>
    <row r="252" spans="5:18" x14ac:dyDescent="0.25">
      <c r="E252" s="44" t="str">
        <f>'MKT DATA'!B635</f>
        <v>syn BTCX6/BTCZ6/BTCF7/BTCU6/BTCG7/BTCV6</v>
      </c>
      <c r="F252" s="14">
        <f>'MKT DATA'!J635</f>
        <v>0</v>
      </c>
      <c r="G252" s="9">
        <f>'MKT DATA'!K635</f>
        <v>0</v>
      </c>
      <c r="H252" s="9">
        <f>'MKT DATA'!L635</f>
        <v>0</v>
      </c>
      <c r="I252" s="14">
        <f>'MKT DATA'!M635</f>
        <v>0</v>
      </c>
      <c r="J252" s="44" t="str">
        <f t="shared" si="8"/>
        <v>syn BTCX6/BTCZ6/BTCF7/BTCU6/BTCG7/BTCV6</v>
      </c>
      <c r="K252" s="9">
        <f>'MKT DATA'!O635</f>
        <v>0</v>
      </c>
      <c r="L252" s="9">
        <f>'MKT DATA'!P635</f>
        <v>0</v>
      </c>
      <c r="M252" s="9">
        <f>'MKT DATA'!Q635</f>
        <v>0</v>
      </c>
      <c r="N252" s="9">
        <f>'MKT DATA'!R635</f>
        <v>0</v>
      </c>
      <c r="O252" s="9">
        <f>'MKT DATA'!S635</f>
        <v>0</v>
      </c>
      <c r="P252" s="9">
        <f>'MKT DATA'!T635</f>
        <v>0</v>
      </c>
      <c r="Q252" s="44" t="str">
        <f t="shared" si="9"/>
        <v>syn BTCX6/BTCZ6/BTCF7/BTCU6/BTCG7/BTCV6</v>
      </c>
      <c r="R252" s="14">
        <f>'MKT DATA'!AB635</f>
        <v>0</v>
      </c>
    </row>
    <row r="253" spans="5:18" x14ac:dyDescent="0.25">
      <c r="E253" s="44" t="str">
        <f>'MKT DATA'!B636</f>
        <v>syn BTCX6/BTCZ6/BTCF7/BTCG7/BTCU6/BTCV6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BTCX6/BTCZ6/BTCF7/BTCG7/BTCU6/BTCV6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BTCX6/BTCZ6/BTCF7/BTCG7/BTCU6/BTCV6</v>
      </c>
      <c r="R253" s="14">
        <f>'MKT DATA'!AB636</f>
        <v>0</v>
      </c>
    </row>
    <row r="254" spans="5:18" x14ac:dyDescent="0.25">
      <c r="E254" s="44" t="str">
        <f>'MKT DATA'!B637</f>
        <v>syn BTCX6/BTCZ6/BTCG7/BTCU6/BTCF7/BTCV6</v>
      </c>
      <c r="F254" s="14">
        <f>'MKT DATA'!J637</f>
        <v>0</v>
      </c>
      <c r="G254" s="9">
        <f>'MKT DATA'!K637</f>
        <v>0</v>
      </c>
      <c r="H254" s="9">
        <f>'MKT DATA'!L637</f>
        <v>0</v>
      </c>
      <c r="I254" s="14">
        <f>'MKT DATA'!M637</f>
        <v>0</v>
      </c>
      <c r="J254" s="44" t="str">
        <f t="shared" si="8"/>
        <v>syn BTCX6/BTCZ6/BTCG7/BTCU6/BTCF7/BTCV6</v>
      </c>
      <c r="K254" s="9">
        <f>'MKT DATA'!O637</f>
        <v>0</v>
      </c>
      <c r="L254" s="9">
        <f>'MKT DATA'!P637</f>
        <v>0</v>
      </c>
      <c r="M254" s="9">
        <f>'MKT DATA'!Q637</f>
        <v>0</v>
      </c>
      <c r="N254" s="9">
        <f>'MKT DATA'!R637</f>
        <v>0</v>
      </c>
      <c r="O254" s="9">
        <f>'MKT DATA'!S637</f>
        <v>0</v>
      </c>
      <c r="P254" s="9">
        <f>'MKT DATA'!T637</f>
        <v>0</v>
      </c>
      <c r="Q254" s="44" t="str">
        <f t="shared" si="9"/>
        <v>syn BTCX6/BTCZ6/BTCG7/BTCU6/BTCF7/BTCV6</v>
      </c>
      <c r="R254" s="14">
        <f>'MKT DATA'!AB637</f>
        <v>0</v>
      </c>
    </row>
    <row r="255" spans="5:18" x14ac:dyDescent="0.25">
      <c r="E255" s="44" t="str">
        <f>'MKT DATA'!B638</f>
        <v>syn BTCX6/BTCZ6/BTCG7/BTCF7/BTCU6/BTCV6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BTCX6/BTCZ6/BTCG7/BTCF7/BTCU6/BTCV6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BTCX6/BTCZ6/BTCG7/BTCF7/BTCU6/BTCV6</v>
      </c>
      <c r="R255" s="14">
        <f>'MKT DATA'!AB638</f>
        <v>0</v>
      </c>
    </row>
    <row r="256" spans="5:18" x14ac:dyDescent="0.25">
      <c r="E256" s="44" t="str">
        <f>'MKT DATA'!B639</f>
        <v>syn BTCX6/BTCF7/BTCU6/BTCZ6/BTCG7/BTCV6</v>
      </c>
      <c r="F256" s="14">
        <f>'MKT DATA'!J639</f>
        <v>0</v>
      </c>
      <c r="G256" s="9">
        <f>'MKT DATA'!K639</f>
        <v>0</v>
      </c>
      <c r="H256" s="9">
        <f>'MKT DATA'!L639</f>
        <v>0</v>
      </c>
      <c r="I256" s="14">
        <f>'MKT DATA'!M639</f>
        <v>0</v>
      </c>
      <c r="J256" s="44" t="str">
        <f t="shared" si="8"/>
        <v>syn BTCX6/BTCF7/BTCU6/BTCZ6/BTCG7/BTCV6</v>
      </c>
      <c r="K256" s="9">
        <f>'MKT DATA'!O639</f>
        <v>0</v>
      </c>
      <c r="L256" s="9">
        <f>'MKT DATA'!P639</f>
        <v>0</v>
      </c>
      <c r="M256" s="9">
        <f>'MKT DATA'!Q639</f>
        <v>0</v>
      </c>
      <c r="N256" s="9">
        <f>'MKT DATA'!R639</f>
        <v>0</v>
      </c>
      <c r="O256" s="9">
        <f>'MKT DATA'!S639</f>
        <v>0</v>
      </c>
      <c r="P256" s="9">
        <f>'MKT DATA'!T639</f>
        <v>0</v>
      </c>
      <c r="Q256" s="44" t="str">
        <f t="shared" si="9"/>
        <v>syn BTCX6/BTCF7/BTCU6/BTCZ6/BTCG7/BTCV6</v>
      </c>
      <c r="R256" s="14">
        <f>'MKT DATA'!AB639</f>
        <v>0</v>
      </c>
    </row>
    <row r="257" spans="5:18" x14ac:dyDescent="0.25">
      <c r="E257" s="44" t="str">
        <f>'MKT DATA'!B640</f>
        <v>syn BTCX6/BTCF7/BTCU6/BTCG7/BTCZ6/BTCV6</v>
      </c>
      <c r="F257" s="14">
        <f>'MKT DATA'!J640</f>
        <v>0</v>
      </c>
      <c r="G257" s="9">
        <f>'MKT DATA'!K640</f>
        <v>0</v>
      </c>
      <c r="H257" s="9">
        <f>'MKT DATA'!L640</f>
        <v>0</v>
      </c>
      <c r="I257" s="14">
        <f>'MKT DATA'!M640</f>
        <v>0</v>
      </c>
      <c r="J257" s="44" t="str">
        <f t="shared" si="8"/>
        <v>syn BTCX6/BTCF7/BTCU6/BTCG7/BTCZ6/BTCV6</v>
      </c>
      <c r="K257" s="9">
        <f>'MKT DATA'!O640</f>
        <v>0</v>
      </c>
      <c r="L257" s="9">
        <f>'MKT DATA'!P640</f>
        <v>0</v>
      </c>
      <c r="M257" s="9">
        <f>'MKT DATA'!Q640</f>
        <v>0</v>
      </c>
      <c r="N257" s="9">
        <f>'MKT DATA'!R640</f>
        <v>0</v>
      </c>
      <c r="O257" s="9">
        <f>'MKT DATA'!S640</f>
        <v>0</v>
      </c>
      <c r="P257" s="9">
        <f>'MKT DATA'!T640</f>
        <v>0</v>
      </c>
      <c r="Q257" s="44" t="str">
        <f t="shared" si="9"/>
        <v>syn BTCX6/BTCF7/BTCU6/BTCG7/BTCZ6/BTCV6</v>
      </c>
      <c r="R257" s="14">
        <f>'MKT DATA'!AB640</f>
        <v>0</v>
      </c>
    </row>
    <row r="258" spans="5:18" x14ac:dyDescent="0.25">
      <c r="E258" s="44" t="str">
        <f>'MKT DATA'!B641</f>
        <v>syn BTCX6/BTCF7/BTCZ6/BTCU6/BTCG7/BTCV6</v>
      </c>
      <c r="F258" s="14">
        <f>'MKT DATA'!J641</f>
        <v>0</v>
      </c>
      <c r="G258" s="9">
        <f>'MKT DATA'!K641</f>
        <v>0</v>
      </c>
      <c r="H258" s="9">
        <f>'MKT DATA'!L641</f>
        <v>0</v>
      </c>
      <c r="I258" s="14">
        <f>'MKT DATA'!M641</f>
        <v>0</v>
      </c>
      <c r="J258" s="44" t="str">
        <f t="shared" si="8"/>
        <v>syn BTCX6/BTCF7/BTCZ6/BTCU6/BTCG7/BTCV6</v>
      </c>
      <c r="K258" s="9">
        <f>'MKT DATA'!O641</f>
        <v>0</v>
      </c>
      <c r="L258" s="9">
        <f>'MKT DATA'!P641</f>
        <v>0</v>
      </c>
      <c r="M258" s="9">
        <f>'MKT DATA'!Q641</f>
        <v>0</v>
      </c>
      <c r="N258" s="9">
        <f>'MKT DATA'!R641</f>
        <v>0</v>
      </c>
      <c r="O258" s="9">
        <f>'MKT DATA'!S641</f>
        <v>0</v>
      </c>
      <c r="P258" s="9">
        <f>'MKT DATA'!T641</f>
        <v>0</v>
      </c>
      <c r="Q258" s="44" t="str">
        <f t="shared" si="9"/>
        <v>syn BTCX6/BTCF7/BTCZ6/BTCU6/BTCG7/BTCV6</v>
      </c>
      <c r="R258" s="14">
        <f>'MKT DATA'!AB641</f>
        <v>0</v>
      </c>
    </row>
    <row r="259" spans="5:18" x14ac:dyDescent="0.25">
      <c r="E259" s="44" t="str">
        <f>'MKT DATA'!B642</f>
        <v>syn BTCX6/BTCF7/BTCZ6/BTCG7/BTCU6/BTCV6</v>
      </c>
      <c r="F259" s="14">
        <f>'MKT DATA'!J642</f>
        <v>0</v>
      </c>
      <c r="G259" s="9">
        <f>'MKT DATA'!K642</f>
        <v>0</v>
      </c>
      <c r="H259" s="9">
        <f>'MKT DATA'!L642</f>
        <v>0</v>
      </c>
      <c r="I259" s="14">
        <f>'MKT DATA'!M642</f>
        <v>0</v>
      </c>
      <c r="J259" s="44" t="str">
        <f t="shared" si="8"/>
        <v>syn BTCX6/BTCF7/BTCZ6/BTCG7/BTCU6/BTCV6</v>
      </c>
      <c r="K259" s="9">
        <f>'MKT DATA'!O642</f>
        <v>0</v>
      </c>
      <c r="L259" s="9">
        <f>'MKT DATA'!P642</f>
        <v>0</v>
      </c>
      <c r="M259" s="9">
        <f>'MKT DATA'!Q642</f>
        <v>0</v>
      </c>
      <c r="N259" s="9">
        <f>'MKT DATA'!R642</f>
        <v>0</v>
      </c>
      <c r="O259" s="9">
        <f>'MKT DATA'!S642</f>
        <v>0</v>
      </c>
      <c r="P259" s="9">
        <f>'MKT DATA'!T642</f>
        <v>0</v>
      </c>
      <c r="Q259" s="44" t="str">
        <f t="shared" si="9"/>
        <v>syn BTCX6/BTCF7/BTCZ6/BTCG7/BTCU6/BTCV6</v>
      </c>
      <c r="R259" s="14">
        <f>'MKT DATA'!AB642</f>
        <v>0</v>
      </c>
    </row>
    <row r="260" spans="5:18" x14ac:dyDescent="0.25">
      <c r="E260" s="44" t="str">
        <f>'MKT DATA'!B643</f>
        <v>syn BTCX6/BTCF7/BTCG7/BTCU6/BTCZ6/BTCV6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BTCX6/BTCF7/BTCG7/BTCU6/BTCZ6/BTCV6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BTCX6/BTCF7/BTCG7/BTCU6/BTCZ6/BTCV6</v>
      </c>
      <c r="R260" s="14">
        <f>'MKT DATA'!AB643</f>
        <v>0</v>
      </c>
    </row>
    <row r="261" spans="5:18" x14ac:dyDescent="0.25">
      <c r="E261" s="44" t="str">
        <f>'MKT DATA'!B644</f>
        <v>syn BTCX6/BTCF7/BTCG7/BTCZ6/BTCU6/BTCV6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BTCX6/BTCF7/BTCG7/BTCZ6/BTCU6/BTCV6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BTCX6/BTCF7/BTCG7/BTCZ6/BTCU6/BTCV6</v>
      </c>
      <c r="R261" s="14">
        <f>'MKT DATA'!AB644</f>
        <v>0</v>
      </c>
    </row>
    <row r="262" spans="5:18" x14ac:dyDescent="0.25">
      <c r="E262" s="44" t="str">
        <f>'MKT DATA'!B645</f>
        <v>syn BTCX6/BTCG7/BTCU6/BTCZ6/BTCF7/BTCV6</v>
      </c>
      <c r="F262" s="14">
        <f>'MKT DATA'!J645</f>
        <v>0</v>
      </c>
      <c r="G262" s="9">
        <f>'MKT DATA'!K645</f>
        <v>0</v>
      </c>
      <c r="H262" s="9">
        <f>'MKT DATA'!L645</f>
        <v>0</v>
      </c>
      <c r="I262" s="14">
        <f>'MKT DATA'!M645</f>
        <v>0</v>
      </c>
      <c r="J262" s="44" t="str">
        <f t="shared" si="8"/>
        <v>syn BTCX6/BTCG7/BTCU6/BTCZ6/BTCF7/BTCV6</v>
      </c>
      <c r="K262" s="9">
        <f>'MKT DATA'!O645</f>
        <v>0</v>
      </c>
      <c r="L262" s="9">
        <f>'MKT DATA'!P645</f>
        <v>0</v>
      </c>
      <c r="M262" s="9">
        <f>'MKT DATA'!Q645</f>
        <v>0</v>
      </c>
      <c r="N262" s="9">
        <f>'MKT DATA'!R645</f>
        <v>0</v>
      </c>
      <c r="O262" s="9">
        <f>'MKT DATA'!S645</f>
        <v>0</v>
      </c>
      <c r="P262" s="9">
        <f>'MKT DATA'!T645</f>
        <v>0</v>
      </c>
      <c r="Q262" s="44" t="str">
        <f t="shared" si="9"/>
        <v>syn BTCX6/BTCG7/BTCU6/BTCZ6/BTCF7/BTCV6</v>
      </c>
      <c r="R262" s="14">
        <f>'MKT DATA'!AB645</f>
        <v>0</v>
      </c>
    </row>
    <row r="263" spans="5:18" x14ac:dyDescent="0.25">
      <c r="E263" s="44" t="str">
        <f>'MKT DATA'!B646</f>
        <v>syn BTCX6/BTCG7/BTCU6/BTCF7/BTCZ6/BTCV6</v>
      </c>
      <c r="F263" s="14">
        <f>'MKT DATA'!J646</f>
        <v>0</v>
      </c>
      <c r="G263" s="9">
        <f>'MKT DATA'!K646</f>
        <v>0</v>
      </c>
      <c r="H263" s="9">
        <f>'MKT DATA'!L646</f>
        <v>0</v>
      </c>
      <c r="I263" s="14">
        <f>'MKT DATA'!M646</f>
        <v>0</v>
      </c>
      <c r="J263" s="44" t="str">
        <f t="shared" si="8"/>
        <v>syn BTCX6/BTCG7/BTCU6/BTCF7/BTCZ6/BTCV6</v>
      </c>
      <c r="K263" s="9">
        <f>'MKT DATA'!O646</f>
        <v>0</v>
      </c>
      <c r="L263" s="9">
        <f>'MKT DATA'!P646</f>
        <v>0</v>
      </c>
      <c r="M263" s="9">
        <f>'MKT DATA'!Q646</f>
        <v>0</v>
      </c>
      <c r="N263" s="9">
        <f>'MKT DATA'!R646</f>
        <v>0</v>
      </c>
      <c r="O263" s="9">
        <f>'MKT DATA'!S646</f>
        <v>0</v>
      </c>
      <c r="P263" s="9">
        <f>'MKT DATA'!T646</f>
        <v>0</v>
      </c>
      <c r="Q263" s="44" t="str">
        <f t="shared" si="9"/>
        <v>syn BTCX6/BTCG7/BTCU6/BTCF7/BTCZ6/BTCV6</v>
      </c>
      <c r="R263" s="14">
        <f>'MKT DATA'!AB646</f>
        <v>0</v>
      </c>
    </row>
    <row r="264" spans="5:18" x14ac:dyDescent="0.25">
      <c r="E264" s="44" t="str">
        <f>'MKT DATA'!B647</f>
        <v>syn BTCX6/BTCG7/BTCZ6/BTCU6/BTCF7/BTCV6</v>
      </c>
      <c r="F264" s="14">
        <f>'MKT DATA'!J647</f>
        <v>0</v>
      </c>
      <c r="G264" s="9">
        <f>'MKT DATA'!K647</f>
        <v>0</v>
      </c>
      <c r="H264" s="9">
        <f>'MKT DATA'!L647</f>
        <v>0</v>
      </c>
      <c r="I264" s="14">
        <f>'MKT DATA'!M647</f>
        <v>0</v>
      </c>
      <c r="J264" s="44" t="str">
        <f t="shared" si="8"/>
        <v>syn BTCX6/BTCG7/BTCZ6/BTCU6/BTCF7/BTCV6</v>
      </c>
      <c r="K264" s="9">
        <f>'MKT DATA'!O647</f>
        <v>0</v>
      </c>
      <c r="L264" s="9">
        <f>'MKT DATA'!P647</f>
        <v>0</v>
      </c>
      <c r="M264" s="9">
        <f>'MKT DATA'!Q647</f>
        <v>0</v>
      </c>
      <c r="N264" s="9">
        <f>'MKT DATA'!R647</f>
        <v>0</v>
      </c>
      <c r="O264" s="9">
        <f>'MKT DATA'!S647</f>
        <v>0</v>
      </c>
      <c r="P264" s="9">
        <f>'MKT DATA'!T647</f>
        <v>0</v>
      </c>
      <c r="Q264" s="44" t="str">
        <f t="shared" si="9"/>
        <v>syn BTCX6/BTCG7/BTCZ6/BTCU6/BTCF7/BTCV6</v>
      </c>
      <c r="R264" s="14">
        <f>'MKT DATA'!AB647</f>
        <v>0</v>
      </c>
    </row>
    <row r="265" spans="5:18" x14ac:dyDescent="0.25">
      <c r="E265" s="44" t="str">
        <f>'MKT DATA'!B648</f>
        <v>syn BTCX6/BTCG7/BTCZ6/BTCF7/BTCU6/BTCV6</v>
      </c>
      <c r="F265" s="14">
        <f>'MKT DATA'!J648</f>
        <v>0</v>
      </c>
      <c r="G265" s="9">
        <f>'MKT DATA'!K648</f>
        <v>0</v>
      </c>
      <c r="H265" s="9">
        <f>'MKT DATA'!L648</f>
        <v>0</v>
      </c>
      <c r="I265" s="14">
        <f>'MKT DATA'!M648</f>
        <v>0</v>
      </c>
      <c r="J265" s="44" t="str">
        <f t="shared" si="8"/>
        <v>syn BTCX6/BTCG7/BTCZ6/BTCF7/BTCU6/BTCV6</v>
      </c>
      <c r="K265" s="9">
        <f>'MKT DATA'!O648</f>
        <v>0</v>
      </c>
      <c r="L265" s="9">
        <f>'MKT DATA'!P648</f>
        <v>0</v>
      </c>
      <c r="M265" s="9">
        <f>'MKT DATA'!Q648</f>
        <v>0</v>
      </c>
      <c r="N265" s="9">
        <f>'MKT DATA'!R648</f>
        <v>0</v>
      </c>
      <c r="O265" s="9">
        <f>'MKT DATA'!S648</f>
        <v>0</v>
      </c>
      <c r="P265" s="9">
        <f>'MKT DATA'!T648</f>
        <v>0</v>
      </c>
      <c r="Q265" s="44" t="str">
        <f t="shared" si="9"/>
        <v>syn BTCX6/BTCG7/BTCZ6/BTCF7/BTCU6/BTCV6</v>
      </c>
      <c r="R265" s="14">
        <f>'MKT DATA'!AB648</f>
        <v>0</v>
      </c>
    </row>
    <row r="266" spans="5:18" x14ac:dyDescent="0.25">
      <c r="E266" s="44" t="str">
        <f>'MKT DATA'!B649</f>
        <v>syn BTCX6/BTCG7/BTCF7/BTCU6/BTCZ6/BTCV6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BTCX6/BTCG7/BTCF7/BTCU6/BTCZ6/BTCV6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BTCX6/BTCG7/BTCF7/BTCU6/BTCZ6/BTCV6</v>
      </c>
      <c r="R266" s="14">
        <f>'MKT DATA'!AB649</f>
        <v>0</v>
      </c>
    </row>
    <row r="267" spans="5:18" x14ac:dyDescent="0.25">
      <c r="E267" s="44" t="str">
        <f>'MKT DATA'!B650</f>
        <v>syn BTCX6/BTCG7/BTCF7/BTCZ6/BTCU6/BTCV6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BTCX6/BTCG7/BTCF7/BTCZ6/BTCU6/BTCV6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BTCX6/BTCG7/BTCF7/BTCZ6/BTCU6/BTCV6</v>
      </c>
      <c r="R267" s="14">
        <f>'MKT DATA'!AB650</f>
        <v>0</v>
      </c>
    </row>
    <row r="268" spans="5:18" x14ac:dyDescent="0.25">
      <c r="E268" s="44" t="str">
        <f>'MKT DATA'!B651</f>
        <v>syn BTCZ6/BTCU6/BTCX6/BTCF7/BTCG7/BTCV6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BTCZ6/BTCU6/BTCX6/BTCF7/BTCG7/BTCV6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BTCZ6/BTCU6/BTCX6/BTCF7/BTCG7/BTCV6</v>
      </c>
      <c r="R268" s="14">
        <f>'MKT DATA'!AB651</f>
        <v>0</v>
      </c>
    </row>
    <row r="269" spans="5:18" x14ac:dyDescent="0.25">
      <c r="E269" s="44" t="str">
        <f>'MKT DATA'!B652</f>
        <v>syn BTCZ6/BTCU6/BTCX6/BTCG7/BTCF7/BTCV6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BTCZ6/BTCU6/BTCX6/BTCG7/BTCF7/BTCV6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BTCZ6/BTCU6/BTCX6/BTCG7/BTCF7/BTCV6</v>
      </c>
      <c r="R269" s="14">
        <f>'MKT DATA'!AB652</f>
        <v>0</v>
      </c>
    </row>
    <row r="270" spans="5:18" x14ac:dyDescent="0.25">
      <c r="E270" s="44" t="str">
        <f>'MKT DATA'!B653</f>
        <v>syn BTCZ6/BTCU6/BTCF7/BTCX6/BTCG7/BTCV6</v>
      </c>
      <c r="F270" s="14">
        <f>'MKT DATA'!J653</f>
        <v>0</v>
      </c>
      <c r="G270" s="9">
        <f>'MKT DATA'!K653</f>
        <v>0</v>
      </c>
      <c r="H270" s="9">
        <f>'MKT DATA'!L653</f>
        <v>0</v>
      </c>
      <c r="I270" s="14">
        <f>'MKT DATA'!M653</f>
        <v>0</v>
      </c>
      <c r="J270" s="44" t="str">
        <f t="shared" si="10"/>
        <v>syn BTCZ6/BTCU6/BTCF7/BTCX6/BTCG7/BTCV6</v>
      </c>
      <c r="K270" s="9">
        <f>'MKT DATA'!O653</f>
        <v>0</v>
      </c>
      <c r="L270" s="9">
        <f>'MKT DATA'!P653</f>
        <v>0</v>
      </c>
      <c r="M270" s="9">
        <f>'MKT DATA'!Q653</f>
        <v>0</v>
      </c>
      <c r="N270" s="9">
        <f>'MKT DATA'!R653</f>
        <v>0</v>
      </c>
      <c r="O270" s="9">
        <f>'MKT DATA'!S653</f>
        <v>0</v>
      </c>
      <c r="P270" s="9">
        <f>'MKT DATA'!T653</f>
        <v>0</v>
      </c>
      <c r="Q270" s="44" t="str">
        <f t="shared" si="11"/>
        <v>syn BTCZ6/BTCU6/BTCF7/BTCX6/BTCG7/BTCV6</v>
      </c>
      <c r="R270" s="14">
        <f>'MKT DATA'!AB653</f>
        <v>0</v>
      </c>
    </row>
    <row r="271" spans="5:18" x14ac:dyDescent="0.25">
      <c r="E271" s="44" t="str">
        <f>'MKT DATA'!B654</f>
        <v>syn BTCZ6/BTCU6/BTCF7/BTCG7/BTCX6/BTCV6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BTCZ6/BTCU6/BTCF7/BTCG7/BTCX6/BTCV6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BTCZ6/BTCU6/BTCF7/BTCG7/BTCX6/BTCV6</v>
      </c>
      <c r="R271" s="14">
        <f>'MKT DATA'!AB654</f>
        <v>0</v>
      </c>
    </row>
    <row r="272" spans="5:18" x14ac:dyDescent="0.25">
      <c r="E272" s="44" t="str">
        <f>'MKT DATA'!B655</f>
        <v>syn BTCZ6/BTCU6/BTCG7/BTCX6/BTCF7/BTCV6</v>
      </c>
      <c r="F272" s="14">
        <f>'MKT DATA'!J655</f>
        <v>0</v>
      </c>
      <c r="G272" s="9">
        <f>'MKT DATA'!K655</f>
        <v>0</v>
      </c>
      <c r="H272" s="9">
        <f>'MKT DATA'!L655</f>
        <v>0</v>
      </c>
      <c r="I272" s="14">
        <f>'MKT DATA'!M655</f>
        <v>0</v>
      </c>
      <c r="J272" s="44" t="str">
        <f t="shared" si="10"/>
        <v>syn BTCZ6/BTCU6/BTCG7/BTCX6/BTCF7/BTCV6</v>
      </c>
      <c r="K272" s="9">
        <f>'MKT DATA'!O655</f>
        <v>0</v>
      </c>
      <c r="L272" s="9">
        <f>'MKT DATA'!P655</f>
        <v>0</v>
      </c>
      <c r="M272" s="9">
        <f>'MKT DATA'!Q655</f>
        <v>0</v>
      </c>
      <c r="N272" s="9">
        <f>'MKT DATA'!R655</f>
        <v>0</v>
      </c>
      <c r="O272" s="9">
        <f>'MKT DATA'!S655</f>
        <v>0</v>
      </c>
      <c r="P272" s="9">
        <f>'MKT DATA'!T655</f>
        <v>0</v>
      </c>
      <c r="Q272" s="44" t="str">
        <f t="shared" si="11"/>
        <v>syn BTCZ6/BTCU6/BTCG7/BTCX6/BTCF7/BTCV6</v>
      </c>
      <c r="R272" s="14">
        <f>'MKT DATA'!AB655</f>
        <v>0</v>
      </c>
    </row>
    <row r="273" spans="5:18" x14ac:dyDescent="0.25">
      <c r="E273" s="44" t="str">
        <f>'MKT DATA'!B656</f>
        <v>syn BTCZ6/BTCU6/BTCG7/BTCF7/BTCX6/BTCV6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BTCZ6/BTCU6/BTCG7/BTCF7/BTCX6/BTCV6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BTCZ6/BTCU6/BTCG7/BTCF7/BTCX6/BTCV6</v>
      </c>
      <c r="R273" s="14">
        <f>'MKT DATA'!AB656</f>
        <v>0</v>
      </c>
    </row>
    <row r="274" spans="5:18" x14ac:dyDescent="0.25">
      <c r="E274" s="44" t="str">
        <f>'MKT DATA'!B657</f>
        <v>syn BTCZ6/BTCX6/BTCU6/BTCF7/BTCG7/BTCV6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BTCZ6/BTCX6/BTCU6/BTCF7/BTCG7/BTCV6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BTCZ6/BTCX6/BTCU6/BTCF7/BTCG7/BTCV6</v>
      </c>
      <c r="R274" s="14">
        <f>'MKT DATA'!AB657</f>
        <v>0</v>
      </c>
    </row>
    <row r="275" spans="5:18" x14ac:dyDescent="0.25">
      <c r="E275" s="44" t="str">
        <f>'MKT DATA'!B658</f>
        <v>syn BTCZ6/BTCX6/BTCU6/BTCG7/BTCF7/BTCV6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BTCZ6/BTCX6/BTCU6/BTCG7/BTCF7/BTCV6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BTCZ6/BTCX6/BTCU6/BTCG7/BTCF7/BTCV6</v>
      </c>
      <c r="R275" s="14">
        <f>'MKT DATA'!AB658</f>
        <v>0</v>
      </c>
    </row>
    <row r="276" spans="5:18" x14ac:dyDescent="0.25">
      <c r="E276" s="44" t="str">
        <f>'MKT DATA'!B659</f>
        <v>syn BTCZ6/BTCX6/BTCF7/BTCU6/BTCG7/BTCV6</v>
      </c>
      <c r="F276" s="14">
        <f>'MKT DATA'!J659</f>
        <v>0</v>
      </c>
      <c r="G276" s="9">
        <f>'MKT DATA'!K659</f>
        <v>0</v>
      </c>
      <c r="H276" s="9">
        <f>'MKT DATA'!L659</f>
        <v>0</v>
      </c>
      <c r="I276" s="14">
        <f>'MKT DATA'!M659</f>
        <v>0</v>
      </c>
      <c r="J276" s="44" t="str">
        <f t="shared" si="10"/>
        <v>syn BTCZ6/BTCX6/BTCF7/BTCU6/BTCG7/BTCV6</v>
      </c>
      <c r="K276" s="9">
        <f>'MKT DATA'!O659</f>
        <v>0</v>
      </c>
      <c r="L276" s="9">
        <f>'MKT DATA'!P659</f>
        <v>0</v>
      </c>
      <c r="M276" s="9">
        <f>'MKT DATA'!Q659</f>
        <v>0</v>
      </c>
      <c r="N276" s="9">
        <f>'MKT DATA'!R659</f>
        <v>0</v>
      </c>
      <c r="O276" s="9">
        <f>'MKT DATA'!S659</f>
        <v>0</v>
      </c>
      <c r="P276" s="9">
        <f>'MKT DATA'!T659</f>
        <v>0</v>
      </c>
      <c r="Q276" s="44" t="str">
        <f t="shared" si="11"/>
        <v>syn BTCZ6/BTCX6/BTCF7/BTCU6/BTCG7/BTCV6</v>
      </c>
      <c r="R276" s="14">
        <f>'MKT DATA'!AB659</f>
        <v>0</v>
      </c>
    </row>
    <row r="277" spans="5:18" x14ac:dyDescent="0.25">
      <c r="E277" s="44" t="str">
        <f>'MKT DATA'!B660</f>
        <v>syn BTCZ6/BTCX6/BTCF7/BTCG7/BTCU6/BTCV6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BTCZ6/BTCX6/BTCF7/BTCG7/BTCU6/BTCV6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BTCZ6/BTCX6/BTCF7/BTCG7/BTCU6/BTCV6</v>
      </c>
      <c r="R277" s="14">
        <f>'MKT DATA'!AB660</f>
        <v>0</v>
      </c>
    </row>
    <row r="278" spans="5:18" x14ac:dyDescent="0.25">
      <c r="E278" s="44" t="str">
        <f>'MKT DATA'!B661</f>
        <v>syn BTCZ6/BTCX6/BTCG7/BTCU6/BTCF7/BTCV6</v>
      </c>
      <c r="F278" s="14">
        <f>'MKT DATA'!J661</f>
        <v>0</v>
      </c>
      <c r="G278" s="9">
        <f>'MKT DATA'!K661</f>
        <v>0</v>
      </c>
      <c r="H278" s="9">
        <f>'MKT DATA'!L661</f>
        <v>0</v>
      </c>
      <c r="I278" s="14">
        <f>'MKT DATA'!M661</f>
        <v>0</v>
      </c>
      <c r="J278" s="44" t="str">
        <f t="shared" si="10"/>
        <v>syn BTCZ6/BTCX6/BTCG7/BTCU6/BTCF7/BTCV6</v>
      </c>
      <c r="K278" s="9">
        <f>'MKT DATA'!O661</f>
        <v>0</v>
      </c>
      <c r="L278" s="9">
        <f>'MKT DATA'!P661</f>
        <v>0</v>
      </c>
      <c r="M278" s="9">
        <f>'MKT DATA'!Q661</f>
        <v>0</v>
      </c>
      <c r="N278" s="9">
        <f>'MKT DATA'!R661</f>
        <v>0</v>
      </c>
      <c r="O278" s="9">
        <f>'MKT DATA'!S661</f>
        <v>0</v>
      </c>
      <c r="P278" s="9">
        <f>'MKT DATA'!T661</f>
        <v>0</v>
      </c>
      <c r="Q278" s="44" t="str">
        <f t="shared" si="11"/>
        <v>syn BTCZ6/BTCX6/BTCG7/BTCU6/BTCF7/BTCV6</v>
      </c>
      <c r="R278" s="14">
        <f>'MKT DATA'!AB661</f>
        <v>0</v>
      </c>
    </row>
    <row r="279" spans="5:18" x14ac:dyDescent="0.25">
      <c r="E279" s="44" t="str">
        <f>'MKT DATA'!B662</f>
        <v>syn BTCZ6/BTCX6/BTCG7/BTCF7/BTCU6/BTCV6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BTCZ6/BTCX6/BTCG7/BTCF7/BTCU6/BTCV6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BTCZ6/BTCX6/BTCG7/BTCF7/BTCU6/BTCV6</v>
      </c>
      <c r="R279" s="14">
        <f>'MKT DATA'!AB662</f>
        <v>0</v>
      </c>
    </row>
    <row r="280" spans="5:18" x14ac:dyDescent="0.25">
      <c r="E280" s="44" t="str">
        <f>'MKT DATA'!B663</f>
        <v>syn BTCZ6/BTCF7/BTCU6/BTCX6/BTCG7/BTCV6</v>
      </c>
      <c r="F280" s="14">
        <f>'MKT DATA'!J663</f>
        <v>0</v>
      </c>
      <c r="G280" s="9">
        <f>'MKT DATA'!K663</f>
        <v>0</v>
      </c>
      <c r="H280" s="9">
        <f>'MKT DATA'!L663</f>
        <v>0</v>
      </c>
      <c r="I280" s="14">
        <f>'MKT DATA'!M663</f>
        <v>0</v>
      </c>
      <c r="J280" s="44" t="str">
        <f t="shared" si="10"/>
        <v>syn BTCZ6/BTCF7/BTCU6/BTCX6/BTCG7/BTCV6</v>
      </c>
      <c r="K280" s="9">
        <f>'MKT DATA'!O663</f>
        <v>0</v>
      </c>
      <c r="L280" s="9">
        <f>'MKT DATA'!P663</f>
        <v>0</v>
      </c>
      <c r="M280" s="9">
        <f>'MKT DATA'!Q663</f>
        <v>0</v>
      </c>
      <c r="N280" s="9">
        <f>'MKT DATA'!R663</f>
        <v>0</v>
      </c>
      <c r="O280" s="9">
        <f>'MKT DATA'!S663</f>
        <v>0</v>
      </c>
      <c r="P280" s="9">
        <f>'MKT DATA'!T663</f>
        <v>0</v>
      </c>
      <c r="Q280" s="44" t="str">
        <f t="shared" si="11"/>
        <v>syn BTCZ6/BTCF7/BTCU6/BTCX6/BTCG7/BTCV6</v>
      </c>
      <c r="R280" s="14">
        <f>'MKT DATA'!AB663</f>
        <v>0</v>
      </c>
    </row>
    <row r="281" spans="5:18" x14ac:dyDescent="0.25">
      <c r="E281" s="44" t="str">
        <f>'MKT DATA'!B664</f>
        <v>syn BTCZ6/BTCF7/BTCU6/BTCG7/BTCX6/BTCV6</v>
      </c>
      <c r="F281" s="14">
        <f>'MKT DATA'!J664</f>
        <v>0</v>
      </c>
      <c r="G281" s="9">
        <f>'MKT DATA'!K664</f>
        <v>0</v>
      </c>
      <c r="H281" s="9">
        <f>'MKT DATA'!L664</f>
        <v>0</v>
      </c>
      <c r="I281" s="14">
        <f>'MKT DATA'!M664</f>
        <v>0</v>
      </c>
      <c r="J281" s="44" t="str">
        <f t="shared" si="10"/>
        <v>syn BTCZ6/BTCF7/BTCU6/BTCG7/BTCX6/BTCV6</v>
      </c>
      <c r="K281" s="9">
        <f>'MKT DATA'!O664</f>
        <v>0</v>
      </c>
      <c r="L281" s="9">
        <f>'MKT DATA'!P664</f>
        <v>0</v>
      </c>
      <c r="M281" s="9">
        <f>'MKT DATA'!Q664</f>
        <v>0</v>
      </c>
      <c r="N281" s="9">
        <f>'MKT DATA'!R664</f>
        <v>0</v>
      </c>
      <c r="O281" s="9">
        <f>'MKT DATA'!S664</f>
        <v>0</v>
      </c>
      <c r="P281" s="9">
        <f>'MKT DATA'!T664</f>
        <v>0</v>
      </c>
      <c r="Q281" s="44" t="str">
        <f t="shared" si="11"/>
        <v>syn BTCZ6/BTCF7/BTCU6/BTCG7/BTCX6/BTCV6</v>
      </c>
      <c r="R281" s="14">
        <f>'MKT DATA'!AB664</f>
        <v>0</v>
      </c>
    </row>
    <row r="282" spans="5:18" x14ac:dyDescent="0.25">
      <c r="E282" s="44" t="str">
        <f>'MKT DATA'!B665</f>
        <v>syn BTCZ6/BTCF7/BTCX6/BTCU6/BTCG7/BTCV6</v>
      </c>
      <c r="F282" s="14">
        <f>'MKT DATA'!J665</f>
        <v>0</v>
      </c>
      <c r="G282" s="9">
        <f>'MKT DATA'!K665</f>
        <v>0</v>
      </c>
      <c r="H282" s="9">
        <f>'MKT DATA'!L665</f>
        <v>0</v>
      </c>
      <c r="I282" s="14">
        <f>'MKT DATA'!M665</f>
        <v>0</v>
      </c>
      <c r="J282" s="44" t="str">
        <f t="shared" si="10"/>
        <v>syn BTCZ6/BTCF7/BTCX6/BTCU6/BTCG7/BTCV6</v>
      </c>
      <c r="K282" s="9">
        <f>'MKT DATA'!O665</f>
        <v>0</v>
      </c>
      <c r="L282" s="9">
        <f>'MKT DATA'!P665</f>
        <v>0</v>
      </c>
      <c r="M282" s="9">
        <f>'MKT DATA'!Q665</f>
        <v>0</v>
      </c>
      <c r="N282" s="9">
        <f>'MKT DATA'!R665</f>
        <v>0</v>
      </c>
      <c r="O282" s="9">
        <f>'MKT DATA'!S665</f>
        <v>0</v>
      </c>
      <c r="P282" s="9">
        <f>'MKT DATA'!T665</f>
        <v>0</v>
      </c>
      <c r="Q282" s="44" t="str">
        <f t="shared" si="11"/>
        <v>syn BTCZ6/BTCF7/BTCX6/BTCU6/BTCG7/BTCV6</v>
      </c>
      <c r="R282" s="14">
        <f>'MKT DATA'!AB665</f>
        <v>0</v>
      </c>
    </row>
    <row r="283" spans="5:18" x14ac:dyDescent="0.25">
      <c r="E283" s="44" t="str">
        <f>'MKT DATA'!B666</f>
        <v>syn BTCZ6/BTCF7/BTCX6/BTCG7/BTCU6/BTCV6</v>
      </c>
      <c r="F283" s="14">
        <f>'MKT DATA'!J666</f>
        <v>0</v>
      </c>
      <c r="G283" s="9">
        <f>'MKT DATA'!K666</f>
        <v>0</v>
      </c>
      <c r="H283" s="9">
        <f>'MKT DATA'!L666</f>
        <v>0</v>
      </c>
      <c r="I283" s="14">
        <f>'MKT DATA'!M666</f>
        <v>0</v>
      </c>
      <c r="J283" s="44" t="str">
        <f t="shared" si="10"/>
        <v>syn BTCZ6/BTCF7/BTCX6/BTCG7/BTCU6/BTCV6</v>
      </c>
      <c r="K283" s="9">
        <f>'MKT DATA'!O666</f>
        <v>0</v>
      </c>
      <c r="L283" s="9">
        <f>'MKT DATA'!P666</f>
        <v>0</v>
      </c>
      <c r="M283" s="9">
        <f>'MKT DATA'!Q666</f>
        <v>0</v>
      </c>
      <c r="N283" s="9">
        <f>'MKT DATA'!R666</f>
        <v>0</v>
      </c>
      <c r="O283" s="9">
        <f>'MKT DATA'!S666</f>
        <v>0</v>
      </c>
      <c r="P283" s="9">
        <f>'MKT DATA'!T666</f>
        <v>0</v>
      </c>
      <c r="Q283" s="44" t="str">
        <f t="shared" si="11"/>
        <v>syn BTCZ6/BTCF7/BTCX6/BTCG7/BTCU6/BTCV6</v>
      </c>
      <c r="R283" s="14">
        <f>'MKT DATA'!AB666</f>
        <v>0</v>
      </c>
    </row>
    <row r="284" spans="5:18" x14ac:dyDescent="0.25">
      <c r="E284" s="44" t="str">
        <f>'MKT DATA'!B667</f>
        <v>syn BTCZ6/BTCF7/BTCG7/BTCU6/BTCX6/BTCV6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BTCZ6/BTCF7/BTCG7/BTCU6/BTCX6/BTCV6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BTCZ6/BTCF7/BTCG7/BTCU6/BTCX6/BTCV6</v>
      </c>
      <c r="R284" s="14">
        <f>'MKT DATA'!AB667</f>
        <v>0</v>
      </c>
    </row>
    <row r="285" spans="5:18" x14ac:dyDescent="0.25">
      <c r="E285" s="44" t="str">
        <f>'MKT DATA'!B668</f>
        <v>syn BTCZ6/BTCF7/BTCG7/BTCX6/BTCU6/BTCV6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BTCZ6/BTCF7/BTCG7/BTCX6/BTCU6/BTCV6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BTCZ6/BTCF7/BTCG7/BTCX6/BTCU6/BTCV6</v>
      </c>
      <c r="R285" s="14">
        <f>'MKT DATA'!AB668</f>
        <v>0</v>
      </c>
    </row>
    <row r="286" spans="5:18" x14ac:dyDescent="0.25">
      <c r="E286" s="44" t="str">
        <f>'MKT DATA'!B669</f>
        <v>syn BTCZ6/BTCG7/BTCU6/BTCX6/BTCF7/BTCV6</v>
      </c>
      <c r="F286" s="14">
        <f>'MKT DATA'!J669</f>
        <v>0</v>
      </c>
      <c r="G286" s="9">
        <f>'MKT DATA'!K669</f>
        <v>0</v>
      </c>
      <c r="H286" s="9">
        <f>'MKT DATA'!L669</f>
        <v>0</v>
      </c>
      <c r="I286" s="14">
        <f>'MKT DATA'!M669</f>
        <v>0</v>
      </c>
      <c r="J286" s="44" t="str">
        <f t="shared" si="10"/>
        <v>syn BTCZ6/BTCG7/BTCU6/BTCX6/BTCF7/BTCV6</v>
      </c>
      <c r="K286" s="9">
        <f>'MKT DATA'!O669</f>
        <v>0</v>
      </c>
      <c r="L286" s="9">
        <f>'MKT DATA'!P669</f>
        <v>0</v>
      </c>
      <c r="M286" s="9">
        <f>'MKT DATA'!Q669</f>
        <v>0</v>
      </c>
      <c r="N286" s="9">
        <f>'MKT DATA'!R669</f>
        <v>0</v>
      </c>
      <c r="O286" s="9">
        <f>'MKT DATA'!S669</f>
        <v>0</v>
      </c>
      <c r="P286" s="9">
        <f>'MKT DATA'!T669</f>
        <v>0</v>
      </c>
      <c r="Q286" s="44" t="str">
        <f t="shared" si="11"/>
        <v>syn BTCZ6/BTCG7/BTCU6/BTCX6/BTCF7/BTCV6</v>
      </c>
      <c r="R286" s="14">
        <f>'MKT DATA'!AB669</f>
        <v>0</v>
      </c>
    </row>
    <row r="287" spans="5:18" x14ac:dyDescent="0.25">
      <c r="E287" s="44" t="str">
        <f>'MKT DATA'!B670</f>
        <v>syn BTCZ6/BTCG7/BTCU6/BTCF7/BTCX6/BTCV6</v>
      </c>
      <c r="F287" s="14">
        <f>'MKT DATA'!J670</f>
        <v>0</v>
      </c>
      <c r="G287" s="9">
        <f>'MKT DATA'!K670</f>
        <v>0</v>
      </c>
      <c r="H287" s="9">
        <f>'MKT DATA'!L670</f>
        <v>0</v>
      </c>
      <c r="I287" s="14">
        <f>'MKT DATA'!M670</f>
        <v>0</v>
      </c>
      <c r="J287" s="44" t="str">
        <f t="shared" si="10"/>
        <v>syn BTCZ6/BTCG7/BTCU6/BTCF7/BTCX6/BTCV6</v>
      </c>
      <c r="K287" s="9">
        <f>'MKT DATA'!O670</f>
        <v>0</v>
      </c>
      <c r="L287" s="9">
        <f>'MKT DATA'!P670</f>
        <v>0</v>
      </c>
      <c r="M287" s="9">
        <f>'MKT DATA'!Q670</f>
        <v>0</v>
      </c>
      <c r="N287" s="9">
        <f>'MKT DATA'!R670</f>
        <v>0</v>
      </c>
      <c r="O287" s="9">
        <f>'MKT DATA'!S670</f>
        <v>0</v>
      </c>
      <c r="P287" s="9">
        <f>'MKT DATA'!T670</f>
        <v>0</v>
      </c>
      <c r="Q287" s="44" t="str">
        <f t="shared" si="11"/>
        <v>syn BTCZ6/BTCG7/BTCU6/BTCF7/BTCX6/BTCV6</v>
      </c>
      <c r="R287" s="14">
        <f>'MKT DATA'!AB670</f>
        <v>0</v>
      </c>
    </row>
    <row r="288" spans="5:18" x14ac:dyDescent="0.25">
      <c r="E288" s="44" t="str">
        <f>'MKT DATA'!B671</f>
        <v>syn BTCZ6/BTCG7/BTCX6/BTCU6/BTCF7/BTCV6</v>
      </c>
      <c r="F288" s="14">
        <f>'MKT DATA'!J671</f>
        <v>0</v>
      </c>
      <c r="G288" s="9">
        <f>'MKT DATA'!K671</f>
        <v>0</v>
      </c>
      <c r="H288" s="9">
        <f>'MKT DATA'!L671</f>
        <v>0</v>
      </c>
      <c r="I288" s="14">
        <f>'MKT DATA'!M671</f>
        <v>0</v>
      </c>
      <c r="J288" s="44" t="str">
        <f t="shared" si="10"/>
        <v>syn BTCZ6/BTCG7/BTCX6/BTCU6/BTCF7/BTCV6</v>
      </c>
      <c r="K288" s="9">
        <f>'MKT DATA'!O671</f>
        <v>0</v>
      </c>
      <c r="L288" s="9">
        <f>'MKT DATA'!P671</f>
        <v>0</v>
      </c>
      <c r="M288" s="9">
        <f>'MKT DATA'!Q671</f>
        <v>0</v>
      </c>
      <c r="N288" s="9">
        <f>'MKT DATA'!R671</f>
        <v>0</v>
      </c>
      <c r="O288" s="9">
        <f>'MKT DATA'!S671</f>
        <v>0</v>
      </c>
      <c r="P288" s="9">
        <f>'MKT DATA'!T671</f>
        <v>0</v>
      </c>
      <c r="Q288" s="44" t="str">
        <f t="shared" si="11"/>
        <v>syn BTCZ6/BTCG7/BTCX6/BTCU6/BTCF7/BTCV6</v>
      </c>
      <c r="R288" s="14">
        <f>'MKT DATA'!AB671</f>
        <v>0</v>
      </c>
    </row>
    <row r="289" spans="5:18" x14ac:dyDescent="0.25">
      <c r="E289" s="44" t="str">
        <f>'MKT DATA'!B672</f>
        <v>syn BTCZ6/BTCG7/BTCX6/BTCF7/BTCU6/BTCV6</v>
      </c>
      <c r="F289" s="14">
        <f>'MKT DATA'!J672</f>
        <v>0</v>
      </c>
      <c r="G289" s="9">
        <f>'MKT DATA'!K672</f>
        <v>0</v>
      </c>
      <c r="H289" s="9">
        <f>'MKT DATA'!L672</f>
        <v>0</v>
      </c>
      <c r="I289" s="14">
        <f>'MKT DATA'!M672</f>
        <v>0</v>
      </c>
      <c r="J289" s="44" t="str">
        <f t="shared" si="10"/>
        <v>syn BTCZ6/BTCG7/BTCX6/BTCF7/BTCU6/BTCV6</v>
      </c>
      <c r="K289" s="9">
        <f>'MKT DATA'!O672</f>
        <v>0</v>
      </c>
      <c r="L289" s="9">
        <f>'MKT DATA'!P672</f>
        <v>0</v>
      </c>
      <c r="M289" s="9">
        <f>'MKT DATA'!Q672</f>
        <v>0</v>
      </c>
      <c r="N289" s="9">
        <f>'MKT DATA'!R672</f>
        <v>0</v>
      </c>
      <c r="O289" s="9">
        <f>'MKT DATA'!S672</f>
        <v>0</v>
      </c>
      <c r="P289" s="9">
        <f>'MKT DATA'!T672</f>
        <v>0</v>
      </c>
      <c r="Q289" s="44" t="str">
        <f t="shared" si="11"/>
        <v>syn BTCZ6/BTCG7/BTCX6/BTCF7/BTCU6/BTCV6</v>
      </c>
      <c r="R289" s="14">
        <f>'MKT DATA'!AB672</f>
        <v>0</v>
      </c>
    </row>
    <row r="290" spans="5:18" x14ac:dyDescent="0.25">
      <c r="E290" s="44" t="str">
        <f>'MKT DATA'!B673</f>
        <v>syn BTCZ6/BTCG7/BTCF7/BTCU6/BTCX6/BTCV6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BTCZ6/BTCG7/BTCF7/BTCU6/BTCX6/BTCV6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BTCZ6/BTCG7/BTCF7/BTCU6/BTCX6/BTCV6</v>
      </c>
      <c r="R290" s="14">
        <f>'MKT DATA'!AB673</f>
        <v>0</v>
      </c>
    </row>
    <row r="291" spans="5:18" x14ac:dyDescent="0.25">
      <c r="E291" s="44" t="str">
        <f>'MKT DATA'!B674</f>
        <v>syn BTCZ6/BTCG7/BTCF7/BTCX6/BTCU6/BTCV6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BTCZ6/BTCG7/BTCF7/BTCX6/BTCU6/BTCV6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BTCZ6/BTCG7/BTCF7/BTCX6/BTCU6/BTCV6</v>
      </c>
      <c r="R291" s="14">
        <f>'MKT DATA'!AB674</f>
        <v>0</v>
      </c>
    </row>
    <row r="292" spans="5:18" x14ac:dyDescent="0.25">
      <c r="E292" s="44" t="str">
        <f>'MKT DATA'!B675</f>
        <v>syn BTCF7/BTCU6/BTCX6/BTCZ6/BTCG7/BTCV6</v>
      </c>
      <c r="F292" s="14">
        <f>'MKT DATA'!J675</f>
        <v>0</v>
      </c>
      <c r="G292" s="9">
        <f>'MKT DATA'!K675</f>
        <v>0</v>
      </c>
      <c r="H292" s="9">
        <f>'MKT DATA'!L675</f>
        <v>0</v>
      </c>
      <c r="I292" s="14">
        <f>'MKT DATA'!M675</f>
        <v>0</v>
      </c>
      <c r="J292" s="44" t="str">
        <f t="shared" si="10"/>
        <v>syn BTCF7/BTCU6/BTCX6/BTCZ6/BTCG7/BTCV6</v>
      </c>
      <c r="K292" s="9">
        <f>'MKT DATA'!O675</f>
        <v>0</v>
      </c>
      <c r="L292" s="9">
        <f>'MKT DATA'!P675</f>
        <v>0</v>
      </c>
      <c r="M292" s="9">
        <f>'MKT DATA'!Q675</f>
        <v>0</v>
      </c>
      <c r="N292" s="9">
        <f>'MKT DATA'!R675</f>
        <v>0</v>
      </c>
      <c r="O292" s="9">
        <f>'MKT DATA'!S675</f>
        <v>0</v>
      </c>
      <c r="P292" s="9">
        <f>'MKT DATA'!T675</f>
        <v>0</v>
      </c>
      <c r="Q292" s="44" t="str">
        <f t="shared" si="11"/>
        <v>syn BTCF7/BTCU6/BTCX6/BTCZ6/BTCG7/BTCV6</v>
      </c>
      <c r="R292" s="14">
        <f>'MKT DATA'!AB675</f>
        <v>0</v>
      </c>
    </row>
    <row r="293" spans="5:18" x14ac:dyDescent="0.25">
      <c r="E293" s="44" t="str">
        <f>'MKT DATA'!B676</f>
        <v>syn BTCF7/BTCU6/BTCX6/BTCG7/BTCZ6/BTCV6</v>
      </c>
      <c r="F293" s="14">
        <f>'MKT DATA'!J676</f>
        <v>0</v>
      </c>
      <c r="G293" s="9">
        <f>'MKT DATA'!K676</f>
        <v>0</v>
      </c>
      <c r="H293" s="9">
        <f>'MKT DATA'!L676</f>
        <v>0</v>
      </c>
      <c r="I293" s="14">
        <f>'MKT DATA'!M676</f>
        <v>0</v>
      </c>
      <c r="J293" s="44" t="str">
        <f t="shared" si="10"/>
        <v>syn BTCF7/BTCU6/BTCX6/BTCG7/BTCZ6/BTCV6</v>
      </c>
      <c r="K293" s="9">
        <f>'MKT DATA'!O676</f>
        <v>0</v>
      </c>
      <c r="L293" s="9">
        <f>'MKT DATA'!P676</f>
        <v>0</v>
      </c>
      <c r="M293" s="9">
        <f>'MKT DATA'!Q676</f>
        <v>0</v>
      </c>
      <c r="N293" s="9">
        <f>'MKT DATA'!R676</f>
        <v>0</v>
      </c>
      <c r="O293" s="9">
        <f>'MKT DATA'!S676</f>
        <v>0</v>
      </c>
      <c r="P293" s="9">
        <f>'MKT DATA'!T676</f>
        <v>0</v>
      </c>
      <c r="Q293" s="44" t="str">
        <f t="shared" si="11"/>
        <v>syn BTCF7/BTCU6/BTCX6/BTCG7/BTCZ6/BTCV6</v>
      </c>
      <c r="R293" s="14">
        <f>'MKT DATA'!AB676</f>
        <v>0</v>
      </c>
    </row>
    <row r="294" spans="5:18" x14ac:dyDescent="0.25">
      <c r="E294" s="44" t="str">
        <f>'MKT DATA'!B677</f>
        <v>syn BTCF7/BTCU6/BTCZ6/BTCX6/BTCG7/BTCV6</v>
      </c>
      <c r="F294" s="14">
        <f>'MKT DATA'!J677</f>
        <v>0</v>
      </c>
      <c r="G294" s="9">
        <f>'MKT DATA'!K677</f>
        <v>0</v>
      </c>
      <c r="H294" s="9">
        <f>'MKT DATA'!L677</f>
        <v>0</v>
      </c>
      <c r="I294" s="14">
        <f>'MKT DATA'!M677</f>
        <v>0</v>
      </c>
      <c r="J294" s="44" t="str">
        <f t="shared" si="10"/>
        <v>syn BTCF7/BTCU6/BTCZ6/BTCX6/BTCG7/BTCV6</v>
      </c>
      <c r="K294" s="9">
        <f>'MKT DATA'!O677</f>
        <v>0</v>
      </c>
      <c r="L294" s="9">
        <f>'MKT DATA'!P677</f>
        <v>0</v>
      </c>
      <c r="M294" s="9">
        <f>'MKT DATA'!Q677</f>
        <v>0</v>
      </c>
      <c r="N294" s="9">
        <f>'MKT DATA'!R677</f>
        <v>0</v>
      </c>
      <c r="O294" s="9">
        <f>'MKT DATA'!S677</f>
        <v>0</v>
      </c>
      <c r="P294" s="9">
        <f>'MKT DATA'!T677</f>
        <v>0</v>
      </c>
      <c r="Q294" s="44" t="str">
        <f t="shared" si="11"/>
        <v>syn BTCF7/BTCU6/BTCZ6/BTCX6/BTCG7/BTCV6</v>
      </c>
      <c r="R294" s="14">
        <f>'MKT DATA'!AB677</f>
        <v>0</v>
      </c>
    </row>
    <row r="295" spans="5:18" x14ac:dyDescent="0.25">
      <c r="E295" s="44" t="str">
        <f>'MKT DATA'!B678</f>
        <v>syn BTCF7/BTCU6/BTCZ6/BTCG7/BTCX6/BTCV6</v>
      </c>
      <c r="F295" s="14">
        <f>'MKT DATA'!J678</f>
        <v>0</v>
      </c>
      <c r="G295" s="9">
        <f>'MKT DATA'!K678</f>
        <v>0</v>
      </c>
      <c r="H295" s="9">
        <f>'MKT DATA'!L678</f>
        <v>0</v>
      </c>
      <c r="I295" s="14">
        <f>'MKT DATA'!M678</f>
        <v>0</v>
      </c>
      <c r="J295" s="44" t="str">
        <f t="shared" si="10"/>
        <v>syn BTCF7/BTCU6/BTCZ6/BTCG7/BTCX6/BTCV6</v>
      </c>
      <c r="K295" s="9">
        <f>'MKT DATA'!O678</f>
        <v>0</v>
      </c>
      <c r="L295" s="9">
        <f>'MKT DATA'!P678</f>
        <v>0</v>
      </c>
      <c r="M295" s="9">
        <f>'MKT DATA'!Q678</f>
        <v>0</v>
      </c>
      <c r="N295" s="9">
        <f>'MKT DATA'!R678</f>
        <v>0</v>
      </c>
      <c r="O295" s="9">
        <f>'MKT DATA'!S678</f>
        <v>0</v>
      </c>
      <c r="P295" s="9">
        <f>'MKT DATA'!T678</f>
        <v>0</v>
      </c>
      <c r="Q295" s="44" t="str">
        <f t="shared" si="11"/>
        <v>syn BTCF7/BTCU6/BTCZ6/BTCG7/BTCX6/BTCV6</v>
      </c>
      <c r="R295" s="14">
        <f>'MKT DATA'!AB678</f>
        <v>0</v>
      </c>
    </row>
    <row r="296" spans="5:18" x14ac:dyDescent="0.25">
      <c r="E296" s="44" t="str">
        <f>'MKT DATA'!B679</f>
        <v>syn BTCF7/BTCU6/BTCG7/BTCX6/BTCZ6/BTCV6</v>
      </c>
      <c r="F296" s="14">
        <f>'MKT DATA'!J679</f>
        <v>0</v>
      </c>
      <c r="G296" s="9">
        <f>'MKT DATA'!K679</f>
        <v>0</v>
      </c>
      <c r="H296" s="9">
        <f>'MKT DATA'!L679</f>
        <v>0</v>
      </c>
      <c r="I296" s="14">
        <f>'MKT DATA'!M679</f>
        <v>0</v>
      </c>
      <c r="J296" s="44" t="str">
        <f t="shared" si="10"/>
        <v>syn BTCF7/BTCU6/BTCG7/BTCX6/BTCZ6/BTCV6</v>
      </c>
      <c r="K296" s="9">
        <f>'MKT DATA'!O679</f>
        <v>0</v>
      </c>
      <c r="L296" s="9">
        <f>'MKT DATA'!P679</f>
        <v>0</v>
      </c>
      <c r="M296" s="9">
        <f>'MKT DATA'!Q679</f>
        <v>0</v>
      </c>
      <c r="N296" s="9">
        <f>'MKT DATA'!R679</f>
        <v>0</v>
      </c>
      <c r="O296" s="9">
        <f>'MKT DATA'!S679</f>
        <v>0</v>
      </c>
      <c r="P296" s="9">
        <f>'MKT DATA'!T679</f>
        <v>0</v>
      </c>
      <c r="Q296" s="44" t="str">
        <f t="shared" si="11"/>
        <v>syn BTCF7/BTCU6/BTCG7/BTCX6/BTCZ6/BTCV6</v>
      </c>
      <c r="R296" s="14">
        <f>'MKT DATA'!AB679</f>
        <v>0</v>
      </c>
    </row>
    <row r="297" spans="5:18" x14ac:dyDescent="0.25">
      <c r="E297" s="44" t="str">
        <f>'MKT DATA'!B680</f>
        <v>syn BTCF7/BTCU6/BTCG7/BTCZ6/BTCX6/BTCV6</v>
      </c>
      <c r="F297" s="14">
        <f>'MKT DATA'!J680</f>
        <v>0</v>
      </c>
      <c r="G297" s="9">
        <f>'MKT DATA'!K680</f>
        <v>0</v>
      </c>
      <c r="H297" s="9">
        <f>'MKT DATA'!L680</f>
        <v>0</v>
      </c>
      <c r="I297" s="14">
        <f>'MKT DATA'!M680</f>
        <v>0</v>
      </c>
      <c r="J297" s="44" t="str">
        <f t="shared" si="10"/>
        <v>syn BTCF7/BTCU6/BTCG7/BTCZ6/BTCX6/BTCV6</v>
      </c>
      <c r="K297" s="9">
        <f>'MKT DATA'!O680</f>
        <v>0</v>
      </c>
      <c r="L297" s="9">
        <f>'MKT DATA'!P680</f>
        <v>0</v>
      </c>
      <c r="M297" s="9">
        <f>'MKT DATA'!Q680</f>
        <v>0</v>
      </c>
      <c r="N297" s="9">
        <f>'MKT DATA'!R680</f>
        <v>0</v>
      </c>
      <c r="O297" s="9">
        <f>'MKT DATA'!S680</f>
        <v>0</v>
      </c>
      <c r="P297" s="9">
        <f>'MKT DATA'!T680</f>
        <v>0</v>
      </c>
      <c r="Q297" s="44" t="str">
        <f t="shared" si="11"/>
        <v>syn BTCF7/BTCU6/BTCG7/BTCZ6/BTCX6/BTCV6</v>
      </c>
      <c r="R297" s="14">
        <f>'MKT DATA'!AB680</f>
        <v>0</v>
      </c>
    </row>
    <row r="298" spans="5:18" x14ac:dyDescent="0.25">
      <c r="E298" s="44" t="str">
        <f>'MKT DATA'!B681</f>
        <v>syn BTCF7/BTCX6/BTCU6/BTCZ6/BTCG7/BTCV6</v>
      </c>
      <c r="F298" s="14">
        <f>'MKT DATA'!J681</f>
        <v>0</v>
      </c>
      <c r="G298" s="9">
        <f>'MKT DATA'!K681</f>
        <v>0</v>
      </c>
      <c r="H298" s="9">
        <f>'MKT DATA'!L681</f>
        <v>0</v>
      </c>
      <c r="I298" s="14">
        <f>'MKT DATA'!M681</f>
        <v>0</v>
      </c>
      <c r="J298" s="44" t="str">
        <f t="shared" si="10"/>
        <v>syn BTCF7/BTCX6/BTCU6/BTCZ6/BTCG7/BTCV6</v>
      </c>
      <c r="K298" s="9">
        <f>'MKT DATA'!O681</f>
        <v>0</v>
      </c>
      <c r="L298" s="9">
        <f>'MKT DATA'!P681</f>
        <v>0</v>
      </c>
      <c r="M298" s="9">
        <f>'MKT DATA'!Q681</f>
        <v>0</v>
      </c>
      <c r="N298" s="9">
        <f>'MKT DATA'!R681</f>
        <v>0</v>
      </c>
      <c r="O298" s="9">
        <f>'MKT DATA'!S681</f>
        <v>0</v>
      </c>
      <c r="P298" s="9">
        <f>'MKT DATA'!T681</f>
        <v>0</v>
      </c>
      <c r="Q298" s="44" t="str">
        <f t="shared" si="11"/>
        <v>syn BTCF7/BTCX6/BTCU6/BTCZ6/BTCG7/BTCV6</v>
      </c>
      <c r="R298" s="14">
        <f>'MKT DATA'!AB681</f>
        <v>0</v>
      </c>
    </row>
    <row r="299" spans="5:18" x14ac:dyDescent="0.25">
      <c r="E299" s="44" t="str">
        <f>'MKT DATA'!B682</f>
        <v>syn BTCF7/BTCX6/BTCU6/BTCG7/BTCZ6/BTCV6</v>
      </c>
      <c r="F299" s="14">
        <f>'MKT DATA'!J682</f>
        <v>0</v>
      </c>
      <c r="G299" s="9">
        <f>'MKT DATA'!K682</f>
        <v>0</v>
      </c>
      <c r="H299" s="9">
        <f>'MKT DATA'!L682</f>
        <v>0</v>
      </c>
      <c r="I299" s="14">
        <f>'MKT DATA'!M682</f>
        <v>0</v>
      </c>
      <c r="J299" s="44" t="str">
        <f t="shared" si="10"/>
        <v>syn BTCF7/BTCX6/BTCU6/BTCG7/BTCZ6/BTCV6</v>
      </c>
      <c r="K299" s="9">
        <f>'MKT DATA'!O682</f>
        <v>0</v>
      </c>
      <c r="L299" s="9">
        <f>'MKT DATA'!P682</f>
        <v>0</v>
      </c>
      <c r="M299" s="9">
        <f>'MKT DATA'!Q682</f>
        <v>0</v>
      </c>
      <c r="N299" s="9">
        <f>'MKT DATA'!R682</f>
        <v>0</v>
      </c>
      <c r="O299" s="9">
        <f>'MKT DATA'!S682</f>
        <v>0</v>
      </c>
      <c r="P299" s="9">
        <f>'MKT DATA'!T682</f>
        <v>0</v>
      </c>
      <c r="Q299" s="44" t="str">
        <f t="shared" si="11"/>
        <v>syn BTCF7/BTCX6/BTCU6/BTCG7/BTCZ6/BTCV6</v>
      </c>
      <c r="R299" s="14">
        <f>'MKT DATA'!AB682</f>
        <v>0</v>
      </c>
    </row>
    <row r="300" spans="5:18" x14ac:dyDescent="0.25">
      <c r="E300" s="44" t="str">
        <f>'MKT DATA'!B683</f>
        <v>syn BTCF7/BTCX6/BTCZ6/BTCU6/BTCG7/BTCV6</v>
      </c>
      <c r="F300" s="14">
        <f>'MKT DATA'!J683</f>
        <v>0</v>
      </c>
      <c r="G300" s="9">
        <f>'MKT DATA'!K683</f>
        <v>0</v>
      </c>
      <c r="H300" s="9">
        <f>'MKT DATA'!L683</f>
        <v>0</v>
      </c>
      <c r="I300" s="14">
        <f>'MKT DATA'!M683</f>
        <v>0</v>
      </c>
      <c r="J300" s="44" t="str">
        <f t="shared" si="10"/>
        <v>syn BTCF7/BTCX6/BTCZ6/BTCU6/BTCG7/BTCV6</v>
      </c>
      <c r="K300" s="9">
        <f>'MKT DATA'!O683</f>
        <v>0</v>
      </c>
      <c r="L300" s="9">
        <f>'MKT DATA'!P683</f>
        <v>0</v>
      </c>
      <c r="M300" s="9">
        <f>'MKT DATA'!Q683</f>
        <v>0</v>
      </c>
      <c r="N300" s="9">
        <f>'MKT DATA'!R683</f>
        <v>0</v>
      </c>
      <c r="O300" s="9">
        <f>'MKT DATA'!S683</f>
        <v>0</v>
      </c>
      <c r="P300" s="9">
        <f>'MKT DATA'!T683</f>
        <v>0</v>
      </c>
      <c r="Q300" s="44" t="str">
        <f t="shared" si="11"/>
        <v>syn BTCF7/BTCX6/BTCZ6/BTCU6/BTCG7/BTCV6</v>
      </c>
      <c r="R300" s="14">
        <f>'MKT DATA'!AB683</f>
        <v>0</v>
      </c>
    </row>
    <row r="301" spans="5:18" x14ac:dyDescent="0.25">
      <c r="E301" s="44" t="str">
        <f>'MKT DATA'!B684</f>
        <v>syn BTCF7/BTCX6/BTCZ6/BTCG7/BTCU6/BTCV6</v>
      </c>
      <c r="F301" s="14">
        <f>'MKT DATA'!J684</f>
        <v>0</v>
      </c>
      <c r="G301" s="9">
        <f>'MKT DATA'!K684</f>
        <v>0</v>
      </c>
      <c r="H301" s="9">
        <f>'MKT DATA'!L684</f>
        <v>0</v>
      </c>
      <c r="I301" s="14">
        <f>'MKT DATA'!M684</f>
        <v>0</v>
      </c>
      <c r="J301" s="44" t="str">
        <f t="shared" si="10"/>
        <v>syn BTCF7/BTCX6/BTCZ6/BTCG7/BTCU6/BTCV6</v>
      </c>
      <c r="K301" s="9">
        <f>'MKT DATA'!O684</f>
        <v>0</v>
      </c>
      <c r="L301" s="9">
        <f>'MKT DATA'!P684</f>
        <v>0</v>
      </c>
      <c r="M301" s="9">
        <f>'MKT DATA'!Q684</f>
        <v>0</v>
      </c>
      <c r="N301" s="9">
        <f>'MKT DATA'!R684</f>
        <v>0</v>
      </c>
      <c r="O301" s="9">
        <f>'MKT DATA'!S684</f>
        <v>0</v>
      </c>
      <c r="P301" s="9">
        <f>'MKT DATA'!T684</f>
        <v>0</v>
      </c>
      <c r="Q301" s="44" t="str">
        <f t="shared" si="11"/>
        <v>syn BTCF7/BTCX6/BTCZ6/BTCG7/BTCU6/BTCV6</v>
      </c>
      <c r="R301" s="14">
        <f>'MKT DATA'!AB684</f>
        <v>0</v>
      </c>
    </row>
    <row r="302" spans="5:18" x14ac:dyDescent="0.25">
      <c r="E302" s="44" t="str">
        <f>'MKT DATA'!B685</f>
        <v>syn BTCF7/BTCX6/BTCG7/BTCU6/BTCZ6/BTCV6</v>
      </c>
      <c r="F302" s="14">
        <f>'MKT DATA'!J685</f>
        <v>0</v>
      </c>
      <c r="G302" s="9">
        <f>'MKT DATA'!K685</f>
        <v>0</v>
      </c>
      <c r="H302" s="9">
        <f>'MKT DATA'!L685</f>
        <v>0</v>
      </c>
      <c r="I302" s="14">
        <f>'MKT DATA'!M685</f>
        <v>0</v>
      </c>
      <c r="J302" s="44" t="str">
        <f t="shared" si="10"/>
        <v>syn BTCF7/BTCX6/BTCG7/BTCU6/BTCZ6/BTCV6</v>
      </c>
      <c r="K302" s="9">
        <f>'MKT DATA'!O685</f>
        <v>0</v>
      </c>
      <c r="L302" s="9">
        <f>'MKT DATA'!P685</f>
        <v>0</v>
      </c>
      <c r="M302" s="9">
        <f>'MKT DATA'!Q685</f>
        <v>0</v>
      </c>
      <c r="N302" s="9">
        <f>'MKT DATA'!R685</f>
        <v>0</v>
      </c>
      <c r="O302" s="9">
        <f>'MKT DATA'!S685</f>
        <v>0</v>
      </c>
      <c r="P302" s="9">
        <f>'MKT DATA'!T685</f>
        <v>0</v>
      </c>
      <c r="Q302" s="44" t="str">
        <f t="shared" si="11"/>
        <v>syn BTCF7/BTCX6/BTCG7/BTCU6/BTCZ6/BTCV6</v>
      </c>
      <c r="R302" s="14">
        <f>'MKT DATA'!AB685</f>
        <v>0</v>
      </c>
    </row>
    <row r="303" spans="5:18" x14ac:dyDescent="0.25">
      <c r="E303" s="44" t="str">
        <f>'MKT DATA'!B686</f>
        <v>syn BTCF7/BTCX6/BTCG7/BTCZ6/BTCU6/BTCV6</v>
      </c>
      <c r="F303" s="14">
        <f>'MKT DATA'!J686</f>
        <v>0</v>
      </c>
      <c r="G303" s="9">
        <f>'MKT DATA'!K686</f>
        <v>0</v>
      </c>
      <c r="H303" s="9">
        <f>'MKT DATA'!L686</f>
        <v>0</v>
      </c>
      <c r="I303" s="14">
        <f>'MKT DATA'!M686</f>
        <v>0</v>
      </c>
      <c r="J303" s="44" t="str">
        <f t="shared" si="10"/>
        <v>syn BTCF7/BTCX6/BTCG7/BTCZ6/BTCU6/BTCV6</v>
      </c>
      <c r="K303" s="9">
        <f>'MKT DATA'!O686</f>
        <v>0</v>
      </c>
      <c r="L303" s="9">
        <f>'MKT DATA'!P686</f>
        <v>0</v>
      </c>
      <c r="M303" s="9">
        <f>'MKT DATA'!Q686</f>
        <v>0</v>
      </c>
      <c r="N303" s="9">
        <f>'MKT DATA'!R686</f>
        <v>0</v>
      </c>
      <c r="O303" s="9">
        <f>'MKT DATA'!S686</f>
        <v>0</v>
      </c>
      <c r="P303" s="9">
        <f>'MKT DATA'!T686</f>
        <v>0</v>
      </c>
      <c r="Q303" s="44" t="str">
        <f t="shared" si="11"/>
        <v>syn BTCF7/BTCX6/BTCG7/BTCZ6/BTCU6/BTCV6</v>
      </c>
      <c r="R303" s="14">
        <f>'MKT DATA'!AB686</f>
        <v>0</v>
      </c>
    </row>
    <row r="304" spans="5:18" x14ac:dyDescent="0.25">
      <c r="E304" s="44" t="str">
        <f>'MKT DATA'!B687</f>
        <v>syn BTCF7/BTCZ6/BTCU6/BTCX6/BTCG7/BTCV6</v>
      </c>
      <c r="F304" s="14">
        <f>'MKT DATA'!J687</f>
        <v>0</v>
      </c>
      <c r="G304" s="9">
        <f>'MKT DATA'!K687</f>
        <v>0</v>
      </c>
      <c r="H304" s="9">
        <f>'MKT DATA'!L687</f>
        <v>0</v>
      </c>
      <c r="I304" s="14">
        <f>'MKT DATA'!M687</f>
        <v>0</v>
      </c>
      <c r="J304" s="44" t="str">
        <f t="shared" si="10"/>
        <v>syn BTCF7/BTCZ6/BTCU6/BTCX6/BTCG7/BTCV6</v>
      </c>
      <c r="K304" s="9">
        <f>'MKT DATA'!O687</f>
        <v>0</v>
      </c>
      <c r="L304" s="9">
        <f>'MKT DATA'!P687</f>
        <v>0</v>
      </c>
      <c r="M304" s="9">
        <f>'MKT DATA'!Q687</f>
        <v>0</v>
      </c>
      <c r="N304" s="9">
        <f>'MKT DATA'!R687</f>
        <v>0</v>
      </c>
      <c r="O304" s="9">
        <f>'MKT DATA'!S687</f>
        <v>0</v>
      </c>
      <c r="P304" s="9">
        <f>'MKT DATA'!T687</f>
        <v>0</v>
      </c>
      <c r="Q304" s="44" t="str">
        <f t="shared" si="11"/>
        <v>syn BTCF7/BTCZ6/BTCU6/BTCX6/BTCG7/BTCV6</v>
      </c>
      <c r="R304" s="14">
        <f>'MKT DATA'!AB687</f>
        <v>0</v>
      </c>
    </row>
    <row r="305" spans="5:18" x14ac:dyDescent="0.25">
      <c r="E305" s="44" t="str">
        <f>'MKT DATA'!B688</f>
        <v>syn BTCF7/BTCZ6/BTCU6/BTCG7/BTCX6/BTCV6</v>
      </c>
      <c r="F305" s="14">
        <f>'MKT DATA'!J688</f>
        <v>0</v>
      </c>
      <c r="G305" s="9">
        <f>'MKT DATA'!K688</f>
        <v>0</v>
      </c>
      <c r="H305" s="9">
        <f>'MKT DATA'!L688</f>
        <v>0</v>
      </c>
      <c r="I305" s="14">
        <f>'MKT DATA'!M688</f>
        <v>0</v>
      </c>
      <c r="J305" s="44" t="str">
        <f t="shared" si="10"/>
        <v>syn BTCF7/BTCZ6/BTCU6/BTCG7/BTCX6/BTCV6</v>
      </c>
      <c r="K305" s="9">
        <f>'MKT DATA'!O688</f>
        <v>0</v>
      </c>
      <c r="L305" s="9">
        <f>'MKT DATA'!P688</f>
        <v>0</v>
      </c>
      <c r="M305" s="9">
        <f>'MKT DATA'!Q688</f>
        <v>0</v>
      </c>
      <c r="N305" s="9">
        <f>'MKT DATA'!R688</f>
        <v>0</v>
      </c>
      <c r="O305" s="9">
        <f>'MKT DATA'!S688</f>
        <v>0</v>
      </c>
      <c r="P305" s="9">
        <f>'MKT DATA'!T688</f>
        <v>0</v>
      </c>
      <c r="Q305" s="44" t="str">
        <f t="shared" si="11"/>
        <v>syn BTCF7/BTCZ6/BTCU6/BTCG7/BTCX6/BTCV6</v>
      </c>
      <c r="R305" s="14">
        <f>'MKT DATA'!AB688</f>
        <v>0</v>
      </c>
    </row>
    <row r="306" spans="5:18" x14ac:dyDescent="0.25">
      <c r="E306" s="44" t="str">
        <f>'MKT DATA'!B689</f>
        <v>syn BTCF7/BTCZ6/BTCX6/BTCU6/BTCG7/BTCV6</v>
      </c>
      <c r="F306" s="14">
        <f>'MKT DATA'!J689</f>
        <v>0</v>
      </c>
      <c r="G306" s="9">
        <f>'MKT DATA'!K689</f>
        <v>0</v>
      </c>
      <c r="H306" s="9">
        <f>'MKT DATA'!L689</f>
        <v>0</v>
      </c>
      <c r="I306" s="14">
        <f>'MKT DATA'!M689</f>
        <v>0</v>
      </c>
      <c r="J306" s="44" t="str">
        <f t="shared" si="10"/>
        <v>syn BTCF7/BTCZ6/BTCX6/BTCU6/BTCG7/BTCV6</v>
      </c>
      <c r="K306" s="9">
        <f>'MKT DATA'!O689</f>
        <v>0</v>
      </c>
      <c r="L306" s="9">
        <f>'MKT DATA'!P689</f>
        <v>0</v>
      </c>
      <c r="M306" s="9">
        <f>'MKT DATA'!Q689</f>
        <v>0</v>
      </c>
      <c r="N306" s="9">
        <f>'MKT DATA'!R689</f>
        <v>0</v>
      </c>
      <c r="O306" s="9">
        <f>'MKT DATA'!S689</f>
        <v>0</v>
      </c>
      <c r="P306" s="9">
        <f>'MKT DATA'!T689</f>
        <v>0</v>
      </c>
      <c r="Q306" s="44" t="str">
        <f t="shared" si="11"/>
        <v>syn BTCF7/BTCZ6/BTCX6/BTCU6/BTCG7/BTCV6</v>
      </c>
      <c r="R306" s="14">
        <f>'MKT DATA'!AB689</f>
        <v>0</v>
      </c>
    </row>
    <row r="307" spans="5:18" x14ac:dyDescent="0.25">
      <c r="E307" s="44" t="str">
        <f>'MKT DATA'!B690</f>
        <v>syn BTCF7/BTCZ6/BTCX6/BTCG7/BTCU6/BTCV6</v>
      </c>
      <c r="F307" s="14">
        <f>'MKT DATA'!J690</f>
        <v>0</v>
      </c>
      <c r="G307" s="9">
        <f>'MKT DATA'!K690</f>
        <v>0</v>
      </c>
      <c r="H307" s="9">
        <f>'MKT DATA'!L690</f>
        <v>0</v>
      </c>
      <c r="I307" s="14">
        <f>'MKT DATA'!M690</f>
        <v>0</v>
      </c>
      <c r="J307" s="44" t="str">
        <f t="shared" si="10"/>
        <v>syn BTCF7/BTCZ6/BTCX6/BTCG7/BTCU6/BTCV6</v>
      </c>
      <c r="K307" s="9">
        <f>'MKT DATA'!O690</f>
        <v>0</v>
      </c>
      <c r="L307" s="9">
        <f>'MKT DATA'!P690</f>
        <v>0</v>
      </c>
      <c r="M307" s="9">
        <f>'MKT DATA'!Q690</f>
        <v>0</v>
      </c>
      <c r="N307" s="9">
        <f>'MKT DATA'!R690</f>
        <v>0</v>
      </c>
      <c r="O307" s="9">
        <f>'MKT DATA'!S690</f>
        <v>0</v>
      </c>
      <c r="P307" s="9">
        <f>'MKT DATA'!T690</f>
        <v>0</v>
      </c>
      <c r="Q307" s="44" t="str">
        <f t="shared" si="11"/>
        <v>syn BTCF7/BTCZ6/BTCX6/BTCG7/BTCU6/BTCV6</v>
      </c>
      <c r="R307" s="14">
        <f>'MKT DATA'!AB690</f>
        <v>0</v>
      </c>
    </row>
    <row r="308" spans="5:18" x14ac:dyDescent="0.25">
      <c r="E308" s="44" t="str">
        <f>'MKT DATA'!B691</f>
        <v>syn BTCF7/BTCZ6/BTCG7/BTCU6/BTCX6/BTCV6</v>
      </c>
      <c r="F308" s="14">
        <f>'MKT DATA'!J691</f>
        <v>0</v>
      </c>
      <c r="G308" s="9">
        <f>'MKT DATA'!K691</f>
        <v>0</v>
      </c>
      <c r="H308" s="9">
        <f>'MKT DATA'!L691</f>
        <v>0</v>
      </c>
      <c r="I308" s="14">
        <f>'MKT DATA'!M691</f>
        <v>0</v>
      </c>
      <c r="J308" s="44" t="str">
        <f t="shared" si="10"/>
        <v>syn BTCF7/BTCZ6/BTCG7/BTCU6/BTCX6/BTCV6</v>
      </c>
      <c r="K308" s="9">
        <f>'MKT DATA'!O691</f>
        <v>0</v>
      </c>
      <c r="L308" s="9">
        <f>'MKT DATA'!P691</f>
        <v>0</v>
      </c>
      <c r="M308" s="9">
        <f>'MKT DATA'!Q691</f>
        <v>0</v>
      </c>
      <c r="N308" s="9">
        <f>'MKT DATA'!R691</f>
        <v>0</v>
      </c>
      <c r="O308" s="9">
        <f>'MKT DATA'!S691</f>
        <v>0</v>
      </c>
      <c r="P308" s="9">
        <f>'MKT DATA'!T691</f>
        <v>0</v>
      </c>
      <c r="Q308" s="44" t="str">
        <f t="shared" si="11"/>
        <v>syn BTCF7/BTCZ6/BTCG7/BTCU6/BTCX6/BTCV6</v>
      </c>
      <c r="R308" s="14">
        <f>'MKT DATA'!AB691</f>
        <v>0</v>
      </c>
    </row>
    <row r="309" spans="5:18" x14ac:dyDescent="0.25">
      <c r="E309" s="44" t="str">
        <f>'MKT DATA'!B692</f>
        <v>syn BTCF7/BTCZ6/BTCG7/BTCX6/BTCU6/BTCV6</v>
      </c>
      <c r="F309" s="14">
        <f>'MKT DATA'!J692</f>
        <v>0</v>
      </c>
      <c r="G309" s="9">
        <f>'MKT DATA'!K692</f>
        <v>0</v>
      </c>
      <c r="H309" s="9">
        <f>'MKT DATA'!L692</f>
        <v>0</v>
      </c>
      <c r="I309" s="14">
        <f>'MKT DATA'!M692</f>
        <v>0</v>
      </c>
      <c r="J309" s="44" t="str">
        <f t="shared" si="10"/>
        <v>syn BTCF7/BTCZ6/BTCG7/BTCX6/BTCU6/BTCV6</v>
      </c>
      <c r="K309" s="9">
        <f>'MKT DATA'!O692</f>
        <v>0</v>
      </c>
      <c r="L309" s="9">
        <f>'MKT DATA'!P692</f>
        <v>0</v>
      </c>
      <c r="M309" s="9">
        <f>'MKT DATA'!Q692</f>
        <v>0</v>
      </c>
      <c r="N309" s="9">
        <f>'MKT DATA'!R692</f>
        <v>0</v>
      </c>
      <c r="O309" s="9">
        <f>'MKT DATA'!S692</f>
        <v>0</v>
      </c>
      <c r="P309" s="9">
        <f>'MKT DATA'!T692</f>
        <v>0</v>
      </c>
      <c r="Q309" s="44" t="str">
        <f t="shared" si="11"/>
        <v>syn BTCF7/BTCZ6/BTCG7/BTCX6/BTCU6/BTCV6</v>
      </c>
      <c r="R309" s="14">
        <f>'MKT DATA'!AB692</f>
        <v>0</v>
      </c>
    </row>
    <row r="310" spans="5:18" x14ac:dyDescent="0.25">
      <c r="E310" s="44" t="str">
        <f>'MKT DATA'!B693</f>
        <v>syn BTCF7/BTCG7/BTCU6/BTCX6/BTCZ6/BTCV6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BTCF7/BTCG7/BTCU6/BTCX6/BTCZ6/BTCV6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BTCF7/BTCG7/BTCU6/BTCX6/BTCZ6/BTCV6</v>
      </c>
      <c r="R310" s="14">
        <f>'MKT DATA'!AB693</f>
        <v>0</v>
      </c>
    </row>
    <row r="311" spans="5:18" x14ac:dyDescent="0.25">
      <c r="E311" s="44" t="str">
        <f>'MKT DATA'!B694</f>
        <v>syn BTCF7/BTCG7/BTCU6/BTCZ6/BTCX6/BTCV6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BTCF7/BTCG7/BTCU6/BTCZ6/BTCX6/BTCV6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BTCF7/BTCG7/BTCU6/BTCZ6/BTCX6/BTCV6</v>
      </c>
      <c r="R311" s="14">
        <f>'MKT DATA'!AB694</f>
        <v>0</v>
      </c>
    </row>
    <row r="312" spans="5:18" x14ac:dyDescent="0.25">
      <c r="E312" s="44" t="str">
        <f>'MKT DATA'!B695</f>
        <v>syn BTCF7/BTCG7/BTCX6/BTCU6/BTCZ6/BTCV6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BTCF7/BTCG7/BTCX6/BTCU6/BTCZ6/BTCV6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BTCF7/BTCG7/BTCX6/BTCU6/BTCZ6/BTCV6</v>
      </c>
      <c r="R312" s="14">
        <f>'MKT DATA'!AB695</f>
        <v>0</v>
      </c>
    </row>
    <row r="313" spans="5:18" x14ac:dyDescent="0.25">
      <c r="E313" s="44" t="str">
        <f>'MKT DATA'!B696</f>
        <v>syn BTCF7/BTCG7/BTCX6/BTCZ6/BTCU6/BTCV6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BTCF7/BTCG7/BTCX6/BTCZ6/BTCU6/BTCV6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BTCF7/BTCG7/BTCX6/BTCZ6/BTCU6/BTCV6</v>
      </c>
      <c r="R313" s="14">
        <f>'MKT DATA'!AB696</f>
        <v>0</v>
      </c>
    </row>
    <row r="314" spans="5:18" x14ac:dyDescent="0.25">
      <c r="E314" s="44" t="str">
        <f>'MKT DATA'!B697</f>
        <v>syn BTCF7/BTCG7/BTCZ6/BTCU6/BTCX6/BTCV6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BTCF7/BTCG7/BTCZ6/BTCU6/BTCX6/BTCV6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BTCF7/BTCG7/BTCZ6/BTCU6/BTCX6/BTCV6</v>
      </c>
      <c r="R314" s="14">
        <f>'MKT DATA'!AB697</f>
        <v>0</v>
      </c>
    </row>
    <row r="315" spans="5:18" x14ac:dyDescent="0.25">
      <c r="E315" s="44" t="str">
        <f>'MKT DATA'!B698</f>
        <v>syn BTCF7/BTCG7/BTCZ6/BTCX6/BTCU6/BTCV6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BTCF7/BTCG7/BTCZ6/BTCX6/BTCU6/BTCV6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BTCF7/BTCG7/BTCZ6/BTCX6/BTCU6/BTCV6</v>
      </c>
      <c r="R315" s="14">
        <f>'MKT DATA'!AB698</f>
        <v>0</v>
      </c>
    </row>
    <row r="316" spans="5:18" x14ac:dyDescent="0.25">
      <c r="E316" s="44" t="str">
        <f>'MKT DATA'!B699</f>
        <v>syn BTCG7/BTCU6/BTCX6/BTCZ6/BTCF7/BTCV6</v>
      </c>
      <c r="F316" s="14">
        <f>'MKT DATA'!J699</f>
        <v>0</v>
      </c>
      <c r="G316" s="9">
        <f>'MKT DATA'!K699</f>
        <v>0</v>
      </c>
      <c r="H316" s="9">
        <f>'MKT DATA'!L699</f>
        <v>0</v>
      </c>
      <c r="I316" s="14">
        <f>'MKT DATA'!M699</f>
        <v>0</v>
      </c>
      <c r="J316" s="44" t="str">
        <f t="shared" si="10"/>
        <v>syn BTCG7/BTCU6/BTCX6/BTCZ6/BTCF7/BTCV6</v>
      </c>
      <c r="K316" s="9">
        <f>'MKT DATA'!O699</f>
        <v>0</v>
      </c>
      <c r="L316" s="9">
        <f>'MKT DATA'!P699</f>
        <v>0</v>
      </c>
      <c r="M316" s="9">
        <f>'MKT DATA'!Q699</f>
        <v>0</v>
      </c>
      <c r="N316" s="9">
        <f>'MKT DATA'!R699</f>
        <v>0</v>
      </c>
      <c r="O316" s="9">
        <f>'MKT DATA'!S699</f>
        <v>0</v>
      </c>
      <c r="P316" s="9">
        <f>'MKT DATA'!T699</f>
        <v>0</v>
      </c>
      <c r="Q316" s="44" t="str">
        <f t="shared" si="11"/>
        <v>syn BTCG7/BTCU6/BTCX6/BTCZ6/BTCF7/BTCV6</v>
      </c>
      <c r="R316" s="14">
        <f>'MKT DATA'!AB699</f>
        <v>0</v>
      </c>
    </row>
    <row r="317" spans="5:18" x14ac:dyDescent="0.25">
      <c r="E317" s="44" t="str">
        <f>'MKT DATA'!B700</f>
        <v>syn BTCG7/BTCU6/BTCX6/BTCF7/BTCZ6/BTCV6</v>
      </c>
      <c r="F317" s="14">
        <f>'MKT DATA'!J700</f>
        <v>0</v>
      </c>
      <c r="G317" s="9">
        <f>'MKT DATA'!K700</f>
        <v>0</v>
      </c>
      <c r="H317" s="9">
        <f>'MKT DATA'!L700</f>
        <v>0</v>
      </c>
      <c r="I317" s="14">
        <f>'MKT DATA'!M700</f>
        <v>0</v>
      </c>
      <c r="J317" s="44" t="str">
        <f t="shared" si="10"/>
        <v>syn BTCG7/BTCU6/BTCX6/BTCF7/BTCZ6/BTCV6</v>
      </c>
      <c r="K317" s="9">
        <f>'MKT DATA'!O700</f>
        <v>0</v>
      </c>
      <c r="L317" s="9">
        <f>'MKT DATA'!P700</f>
        <v>0</v>
      </c>
      <c r="M317" s="9">
        <f>'MKT DATA'!Q700</f>
        <v>0</v>
      </c>
      <c r="N317" s="9">
        <f>'MKT DATA'!R700</f>
        <v>0</v>
      </c>
      <c r="O317" s="9">
        <f>'MKT DATA'!S700</f>
        <v>0</v>
      </c>
      <c r="P317" s="9">
        <f>'MKT DATA'!T700</f>
        <v>0</v>
      </c>
      <c r="Q317" s="44" t="str">
        <f t="shared" si="11"/>
        <v>syn BTCG7/BTCU6/BTCX6/BTCF7/BTCZ6/BTCV6</v>
      </c>
      <c r="R317" s="14">
        <f>'MKT DATA'!AB700</f>
        <v>0</v>
      </c>
    </row>
    <row r="318" spans="5:18" x14ac:dyDescent="0.25">
      <c r="E318" s="44" t="str">
        <f>'MKT DATA'!B701</f>
        <v>syn BTCG7/BTCU6/BTCZ6/BTCX6/BTCF7/BTCV6</v>
      </c>
      <c r="F318" s="14">
        <f>'MKT DATA'!J701</f>
        <v>0</v>
      </c>
      <c r="G318" s="9">
        <f>'MKT DATA'!K701</f>
        <v>0</v>
      </c>
      <c r="H318" s="9">
        <f>'MKT DATA'!L701</f>
        <v>0</v>
      </c>
      <c r="I318" s="14">
        <f>'MKT DATA'!M701</f>
        <v>0</v>
      </c>
      <c r="J318" s="44" t="str">
        <f t="shared" si="10"/>
        <v>syn BTCG7/BTCU6/BTCZ6/BTCX6/BTCF7/BTCV6</v>
      </c>
      <c r="K318" s="9">
        <f>'MKT DATA'!O701</f>
        <v>0</v>
      </c>
      <c r="L318" s="9">
        <f>'MKT DATA'!P701</f>
        <v>0</v>
      </c>
      <c r="M318" s="9">
        <f>'MKT DATA'!Q701</f>
        <v>0</v>
      </c>
      <c r="N318" s="9">
        <f>'MKT DATA'!R701</f>
        <v>0</v>
      </c>
      <c r="O318" s="9">
        <f>'MKT DATA'!S701</f>
        <v>0</v>
      </c>
      <c r="P318" s="9">
        <f>'MKT DATA'!T701</f>
        <v>0</v>
      </c>
      <c r="Q318" s="44" t="str">
        <f t="shared" si="11"/>
        <v>syn BTCG7/BTCU6/BTCZ6/BTCX6/BTCF7/BTCV6</v>
      </c>
      <c r="R318" s="14">
        <f>'MKT DATA'!AB701</f>
        <v>0</v>
      </c>
    </row>
    <row r="319" spans="5:18" x14ac:dyDescent="0.25">
      <c r="E319" s="44" t="str">
        <f>'MKT DATA'!B702</f>
        <v>syn BTCG7/BTCU6/BTCZ6/BTCF7/BTCX6/BTCV6</v>
      </c>
      <c r="F319" s="14">
        <f>'MKT DATA'!J702</f>
        <v>0</v>
      </c>
      <c r="G319" s="9">
        <f>'MKT DATA'!K702</f>
        <v>0</v>
      </c>
      <c r="H319" s="9">
        <f>'MKT DATA'!L702</f>
        <v>0</v>
      </c>
      <c r="I319" s="14">
        <f>'MKT DATA'!M702</f>
        <v>0</v>
      </c>
      <c r="J319" s="44" t="str">
        <f t="shared" si="10"/>
        <v>syn BTCG7/BTCU6/BTCZ6/BTCF7/BTCX6/BTCV6</v>
      </c>
      <c r="K319" s="9">
        <f>'MKT DATA'!O702</f>
        <v>0</v>
      </c>
      <c r="L319" s="9">
        <f>'MKT DATA'!P702</f>
        <v>0</v>
      </c>
      <c r="M319" s="9">
        <f>'MKT DATA'!Q702</f>
        <v>0</v>
      </c>
      <c r="N319" s="9">
        <f>'MKT DATA'!R702</f>
        <v>0</v>
      </c>
      <c r="O319" s="9">
        <f>'MKT DATA'!S702</f>
        <v>0</v>
      </c>
      <c r="P319" s="9">
        <f>'MKT DATA'!T702</f>
        <v>0</v>
      </c>
      <c r="Q319" s="44" t="str">
        <f t="shared" si="11"/>
        <v>syn BTCG7/BTCU6/BTCZ6/BTCF7/BTCX6/BTCV6</v>
      </c>
      <c r="R319" s="14">
        <f>'MKT DATA'!AB702</f>
        <v>0</v>
      </c>
    </row>
    <row r="320" spans="5:18" x14ac:dyDescent="0.25">
      <c r="E320" s="44" t="str">
        <f>'MKT DATA'!B703</f>
        <v>syn BTCG7/BTCU6/BTCF7/BTCX6/BTCZ6/BTCV6</v>
      </c>
      <c r="F320" s="14">
        <f>'MKT DATA'!J703</f>
        <v>0</v>
      </c>
      <c r="G320" s="9">
        <f>'MKT DATA'!K703</f>
        <v>0</v>
      </c>
      <c r="H320" s="9">
        <f>'MKT DATA'!L703</f>
        <v>0</v>
      </c>
      <c r="I320" s="14">
        <f>'MKT DATA'!M703</f>
        <v>0</v>
      </c>
      <c r="J320" s="44" t="str">
        <f t="shared" si="10"/>
        <v>syn BTCG7/BTCU6/BTCF7/BTCX6/BTCZ6/BTCV6</v>
      </c>
      <c r="K320" s="9">
        <f>'MKT DATA'!O703</f>
        <v>0</v>
      </c>
      <c r="L320" s="9">
        <f>'MKT DATA'!P703</f>
        <v>0</v>
      </c>
      <c r="M320" s="9">
        <f>'MKT DATA'!Q703</f>
        <v>0</v>
      </c>
      <c r="N320" s="9">
        <f>'MKT DATA'!R703</f>
        <v>0</v>
      </c>
      <c r="O320" s="9">
        <f>'MKT DATA'!S703</f>
        <v>0</v>
      </c>
      <c r="P320" s="9">
        <f>'MKT DATA'!T703</f>
        <v>0</v>
      </c>
      <c r="Q320" s="44" t="str">
        <f t="shared" si="11"/>
        <v>syn BTCG7/BTCU6/BTCF7/BTCX6/BTCZ6/BTCV6</v>
      </c>
      <c r="R320" s="14">
        <f>'MKT DATA'!AB703</f>
        <v>0</v>
      </c>
    </row>
    <row r="321" spans="5:18" x14ac:dyDescent="0.25">
      <c r="E321" s="44" t="str">
        <f>'MKT DATA'!B704</f>
        <v>syn BTCG7/BTCU6/BTCF7/BTCZ6/BTCX6/BTCV6</v>
      </c>
      <c r="F321" s="14">
        <f>'MKT DATA'!J704</f>
        <v>0</v>
      </c>
      <c r="G321" s="9">
        <f>'MKT DATA'!K704</f>
        <v>0</v>
      </c>
      <c r="H321" s="9">
        <f>'MKT DATA'!L704</f>
        <v>0</v>
      </c>
      <c r="I321" s="14">
        <f>'MKT DATA'!M704</f>
        <v>0</v>
      </c>
      <c r="J321" s="44" t="str">
        <f t="shared" si="10"/>
        <v>syn BTCG7/BTCU6/BTCF7/BTCZ6/BTCX6/BTCV6</v>
      </c>
      <c r="K321" s="9">
        <f>'MKT DATA'!O704</f>
        <v>0</v>
      </c>
      <c r="L321" s="9">
        <f>'MKT DATA'!P704</f>
        <v>0</v>
      </c>
      <c r="M321" s="9">
        <f>'MKT DATA'!Q704</f>
        <v>0</v>
      </c>
      <c r="N321" s="9">
        <f>'MKT DATA'!R704</f>
        <v>0</v>
      </c>
      <c r="O321" s="9">
        <f>'MKT DATA'!S704</f>
        <v>0</v>
      </c>
      <c r="P321" s="9">
        <f>'MKT DATA'!T704</f>
        <v>0</v>
      </c>
      <c r="Q321" s="44" t="str">
        <f t="shared" si="11"/>
        <v>syn BTCG7/BTCU6/BTCF7/BTCZ6/BTCX6/BTCV6</v>
      </c>
      <c r="R321" s="14">
        <f>'MKT DATA'!AB704</f>
        <v>0</v>
      </c>
    </row>
    <row r="322" spans="5:18" x14ac:dyDescent="0.25">
      <c r="E322" s="44" t="str">
        <f>'MKT DATA'!B705</f>
        <v>syn BTCG7/BTCX6/BTCU6/BTCZ6/BTCF7/BTCV6</v>
      </c>
      <c r="F322" s="14">
        <f>'MKT DATA'!J705</f>
        <v>0</v>
      </c>
      <c r="G322" s="9">
        <f>'MKT DATA'!K705</f>
        <v>0</v>
      </c>
      <c r="H322" s="9">
        <f>'MKT DATA'!L705</f>
        <v>0</v>
      </c>
      <c r="I322" s="14">
        <f>'MKT DATA'!M705</f>
        <v>0</v>
      </c>
      <c r="J322" s="44" t="str">
        <f t="shared" si="10"/>
        <v>syn BTCG7/BTCX6/BTCU6/BTCZ6/BTCF7/BTCV6</v>
      </c>
      <c r="K322" s="9">
        <f>'MKT DATA'!O705</f>
        <v>0</v>
      </c>
      <c r="L322" s="9">
        <f>'MKT DATA'!P705</f>
        <v>0</v>
      </c>
      <c r="M322" s="9">
        <f>'MKT DATA'!Q705</f>
        <v>0</v>
      </c>
      <c r="N322" s="9">
        <f>'MKT DATA'!R705</f>
        <v>0</v>
      </c>
      <c r="O322" s="9">
        <f>'MKT DATA'!S705</f>
        <v>0</v>
      </c>
      <c r="P322" s="9">
        <f>'MKT DATA'!T705</f>
        <v>0</v>
      </c>
      <c r="Q322" s="44" t="str">
        <f t="shared" si="11"/>
        <v>syn BTCG7/BTCX6/BTCU6/BTCZ6/BTCF7/BTCV6</v>
      </c>
      <c r="R322" s="14">
        <f>'MKT DATA'!AB705</f>
        <v>0</v>
      </c>
    </row>
    <row r="323" spans="5:18" x14ac:dyDescent="0.25">
      <c r="E323" s="44" t="str">
        <f>'MKT DATA'!B706</f>
        <v>syn BTCG7/BTCX6/BTCU6/BTCF7/BTCZ6/BTCV6</v>
      </c>
      <c r="F323" s="14">
        <f>'MKT DATA'!J706</f>
        <v>0</v>
      </c>
      <c r="G323" s="9">
        <f>'MKT DATA'!K706</f>
        <v>0</v>
      </c>
      <c r="H323" s="9">
        <f>'MKT DATA'!L706</f>
        <v>0</v>
      </c>
      <c r="I323" s="14">
        <f>'MKT DATA'!M706</f>
        <v>0</v>
      </c>
      <c r="J323" s="44" t="str">
        <f t="shared" si="10"/>
        <v>syn BTCG7/BTCX6/BTCU6/BTCF7/BTCZ6/BTCV6</v>
      </c>
      <c r="K323" s="9">
        <f>'MKT DATA'!O706</f>
        <v>0</v>
      </c>
      <c r="L323" s="9">
        <f>'MKT DATA'!P706</f>
        <v>0</v>
      </c>
      <c r="M323" s="9">
        <f>'MKT DATA'!Q706</f>
        <v>0</v>
      </c>
      <c r="N323" s="9">
        <f>'MKT DATA'!R706</f>
        <v>0</v>
      </c>
      <c r="O323" s="9">
        <f>'MKT DATA'!S706</f>
        <v>0</v>
      </c>
      <c r="P323" s="9">
        <f>'MKT DATA'!T706</f>
        <v>0</v>
      </c>
      <c r="Q323" s="44" t="str">
        <f t="shared" si="11"/>
        <v>syn BTCG7/BTCX6/BTCU6/BTCF7/BTCZ6/BTCV6</v>
      </c>
      <c r="R323" s="14">
        <f>'MKT DATA'!AB706</f>
        <v>0</v>
      </c>
    </row>
    <row r="324" spans="5:18" x14ac:dyDescent="0.25">
      <c r="E324" s="44" t="str">
        <f>'MKT DATA'!B707</f>
        <v>syn BTCG7/BTCX6/BTCZ6/BTCU6/BTCF7/BTCV6</v>
      </c>
      <c r="F324" s="14">
        <f>'MKT DATA'!J707</f>
        <v>0</v>
      </c>
      <c r="G324" s="9">
        <f>'MKT DATA'!K707</f>
        <v>0</v>
      </c>
      <c r="H324" s="9">
        <f>'MKT DATA'!L707</f>
        <v>0</v>
      </c>
      <c r="I324" s="14">
        <f>'MKT DATA'!M707</f>
        <v>0</v>
      </c>
      <c r="J324" s="44" t="str">
        <f t="shared" si="10"/>
        <v>syn BTCG7/BTCX6/BTCZ6/BTCU6/BTCF7/BTCV6</v>
      </c>
      <c r="K324" s="9">
        <f>'MKT DATA'!O707</f>
        <v>0</v>
      </c>
      <c r="L324" s="9">
        <f>'MKT DATA'!P707</f>
        <v>0</v>
      </c>
      <c r="M324" s="9">
        <f>'MKT DATA'!Q707</f>
        <v>0</v>
      </c>
      <c r="N324" s="9">
        <f>'MKT DATA'!R707</f>
        <v>0</v>
      </c>
      <c r="O324" s="9">
        <f>'MKT DATA'!S707</f>
        <v>0</v>
      </c>
      <c r="P324" s="9">
        <f>'MKT DATA'!T707</f>
        <v>0</v>
      </c>
      <c r="Q324" s="44" t="str">
        <f t="shared" si="11"/>
        <v>syn BTCG7/BTCX6/BTCZ6/BTCU6/BTCF7/BTCV6</v>
      </c>
      <c r="R324" s="14">
        <f>'MKT DATA'!AB707</f>
        <v>0</v>
      </c>
    </row>
    <row r="325" spans="5:18" x14ac:dyDescent="0.25">
      <c r="E325" s="44" t="str">
        <f>'MKT DATA'!B708</f>
        <v>syn BTCG7/BTCX6/BTCZ6/BTCF7/BTCU6/BTCV6</v>
      </c>
      <c r="F325" s="14">
        <f>'MKT DATA'!J708</f>
        <v>0</v>
      </c>
      <c r="G325" s="9">
        <f>'MKT DATA'!K708</f>
        <v>0</v>
      </c>
      <c r="H325" s="9">
        <f>'MKT DATA'!L708</f>
        <v>0</v>
      </c>
      <c r="I325" s="14">
        <f>'MKT DATA'!M708</f>
        <v>0</v>
      </c>
      <c r="J325" s="44" t="str">
        <f t="shared" si="10"/>
        <v>syn BTCG7/BTCX6/BTCZ6/BTCF7/BTCU6/BTCV6</v>
      </c>
      <c r="K325" s="9">
        <f>'MKT DATA'!O708</f>
        <v>0</v>
      </c>
      <c r="L325" s="9">
        <f>'MKT DATA'!P708</f>
        <v>0</v>
      </c>
      <c r="M325" s="9">
        <f>'MKT DATA'!Q708</f>
        <v>0</v>
      </c>
      <c r="N325" s="9">
        <f>'MKT DATA'!R708</f>
        <v>0</v>
      </c>
      <c r="O325" s="9">
        <f>'MKT DATA'!S708</f>
        <v>0</v>
      </c>
      <c r="P325" s="9">
        <f>'MKT DATA'!T708</f>
        <v>0</v>
      </c>
      <c r="Q325" s="44" t="str">
        <f t="shared" si="11"/>
        <v>syn BTCG7/BTCX6/BTCZ6/BTCF7/BTCU6/BTCV6</v>
      </c>
      <c r="R325" s="14">
        <f>'MKT DATA'!AB708</f>
        <v>0</v>
      </c>
    </row>
    <row r="326" spans="5:18" x14ac:dyDescent="0.25">
      <c r="E326" s="44" t="str">
        <f>'MKT DATA'!B709</f>
        <v>syn BTCG7/BTCX6/BTCF7/BTCU6/BTCZ6/BTCV6</v>
      </c>
      <c r="F326" s="14">
        <f>'MKT DATA'!J709</f>
        <v>0</v>
      </c>
      <c r="G326" s="9">
        <f>'MKT DATA'!K709</f>
        <v>0</v>
      </c>
      <c r="H326" s="9">
        <f>'MKT DATA'!L709</f>
        <v>0</v>
      </c>
      <c r="I326" s="14">
        <f>'MKT DATA'!M709</f>
        <v>0</v>
      </c>
      <c r="J326" s="44" t="str">
        <f t="shared" si="10"/>
        <v>syn BTCG7/BTCX6/BTCF7/BTCU6/BTCZ6/BTCV6</v>
      </c>
      <c r="K326" s="9">
        <f>'MKT DATA'!O709</f>
        <v>0</v>
      </c>
      <c r="L326" s="9">
        <f>'MKT DATA'!P709</f>
        <v>0</v>
      </c>
      <c r="M326" s="9">
        <f>'MKT DATA'!Q709</f>
        <v>0</v>
      </c>
      <c r="N326" s="9">
        <f>'MKT DATA'!R709</f>
        <v>0</v>
      </c>
      <c r="O326" s="9">
        <f>'MKT DATA'!S709</f>
        <v>0</v>
      </c>
      <c r="P326" s="9">
        <f>'MKT DATA'!T709</f>
        <v>0</v>
      </c>
      <c r="Q326" s="44" t="str">
        <f t="shared" si="11"/>
        <v>syn BTCG7/BTCX6/BTCF7/BTCU6/BTCZ6/BTCV6</v>
      </c>
      <c r="R326" s="14">
        <f>'MKT DATA'!AB709</f>
        <v>0</v>
      </c>
    </row>
    <row r="327" spans="5:18" x14ac:dyDescent="0.25">
      <c r="E327" s="44" t="str">
        <f>'MKT DATA'!B710</f>
        <v>syn BTCG7/BTCX6/BTCF7/BTCZ6/BTCU6/BTCV6</v>
      </c>
      <c r="F327" s="14">
        <f>'MKT DATA'!J710</f>
        <v>0</v>
      </c>
      <c r="G327" s="9">
        <f>'MKT DATA'!K710</f>
        <v>0</v>
      </c>
      <c r="H327" s="9">
        <f>'MKT DATA'!L710</f>
        <v>0</v>
      </c>
      <c r="I327" s="14">
        <f>'MKT DATA'!M710</f>
        <v>0</v>
      </c>
      <c r="J327" s="44" t="str">
        <f t="shared" si="10"/>
        <v>syn BTCG7/BTCX6/BTCF7/BTCZ6/BTCU6/BTCV6</v>
      </c>
      <c r="K327" s="9">
        <f>'MKT DATA'!O710</f>
        <v>0</v>
      </c>
      <c r="L327" s="9">
        <f>'MKT DATA'!P710</f>
        <v>0</v>
      </c>
      <c r="M327" s="9">
        <f>'MKT DATA'!Q710</f>
        <v>0</v>
      </c>
      <c r="N327" s="9">
        <f>'MKT DATA'!R710</f>
        <v>0</v>
      </c>
      <c r="O327" s="9">
        <f>'MKT DATA'!S710</f>
        <v>0</v>
      </c>
      <c r="P327" s="9">
        <f>'MKT DATA'!T710</f>
        <v>0</v>
      </c>
      <c r="Q327" s="44" t="str">
        <f t="shared" si="11"/>
        <v>syn BTCG7/BTCX6/BTCF7/BTCZ6/BTCU6/BTCV6</v>
      </c>
      <c r="R327" s="14">
        <f>'MKT DATA'!AB710</f>
        <v>0</v>
      </c>
    </row>
    <row r="328" spans="5:18" x14ac:dyDescent="0.25">
      <c r="E328" s="44" t="str">
        <f>'MKT DATA'!B711</f>
        <v>syn BTCG7/BTCZ6/BTCU6/BTCX6/BTCF7/BTCV6</v>
      </c>
      <c r="F328" s="14">
        <f>'MKT DATA'!J711</f>
        <v>0</v>
      </c>
      <c r="G328" s="9">
        <f>'MKT DATA'!K711</f>
        <v>0</v>
      </c>
      <c r="H328" s="9">
        <f>'MKT DATA'!L711</f>
        <v>0</v>
      </c>
      <c r="I328" s="14">
        <f>'MKT DATA'!M711</f>
        <v>0</v>
      </c>
      <c r="J328" s="44" t="str">
        <f t="shared" si="10"/>
        <v>syn BTCG7/BTCZ6/BTCU6/BTCX6/BTCF7/BTCV6</v>
      </c>
      <c r="K328" s="9">
        <f>'MKT DATA'!O711</f>
        <v>0</v>
      </c>
      <c r="L328" s="9">
        <f>'MKT DATA'!P711</f>
        <v>0</v>
      </c>
      <c r="M328" s="9">
        <f>'MKT DATA'!Q711</f>
        <v>0</v>
      </c>
      <c r="N328" s="9">
        <f>'MKT DATA'!R711</f>
        <v>0</v>
      </c>
      <c r="O328" s="9">
        <f>'MKT DATA'!S711</f>
        <v>0</v>
      </c>
      <c r="P328" s="9">
        <f>'MKT DATA'!T711</f>
        <v>0</v>
      </c>
      <c r="Q328" s="44" t="str">
        <f t="shared" si="11"/>
        <v>syn BTCG7/BTCZ6/BTCU6/BTCX6/BTCF7/BTCV6</v>
      </c>
      <c r="R328" s="14">
        <f>'MKT DATA'!AB711</f>
        <v>0</v>
      </c>
    </row>
    <row r="329" spans="5:18" x14ac:dyDescent="0.25">
      <c r="E329" s="44" t="str">
        <f>'MKT DATA'!B712</f>
        <v>syn BTCG7/BTCZ6/BTCU6/BTCF7/BTCX6/BTCV6</v>
      </c>
      <c r="F329" s="14">
        <f>'MKT DATA'!J712</f>
        <v>0</v>
      </c>
      <c r="G329" s="9">
        <f>'MKT DATA'!K712</f>
        <v>0</v>
      </c>
      <c r="H329" s="9">
        <f>'MKT DATA'!L712</f>
        <v>0</v>
      </c>
      <c r="I329" s="14">
        <f>'MKT DATA'!M712</f>
        <v>0</v>
      </c>
      <c r="J329" s="44" t="str">
        <f t="shared" si="10"/>
        <v>syn BTCG7/BTCZ6/BTCU6/BTCF7/BTCX6/BTCV6</v>
      </c>
      <c r="K329" s="9">
        <f>'MKT DATA'!O712</f>
        <v>0</v>
      </c>
      <c r="L329" s="9">
        <f>'MKT DATA'!P712</f>
        <v>0</v>
      </c>
      <c r="M329" s="9">
        <f>'MKT DATA'!Q712</f>
        <v>0</v>
      </c>
      <c r="N329" s="9">
        <f>'MKT DATA'!R712</f>
        <v>0</v>
      </c>
      <c r="O329" s="9">
        <f>'MKT DATA'!S712</f>
        <v>0</v>
      </c>
      <c r="P329" s="9">
        <f>'MKT DATA'!T712</f>
        <v>0</v>
      </c>
      <c r="Q329" s="44" t="str">
        <f t="shared" si="11"/>
        <v>syn BTCG7/BTCZ6/BTCU6/BTCF7/BTCX6/BTCV6</v>
      </c>
      <c r="R329" s="14">
        <f>'MKT DATA'!AB712</f>
        <v>0</v>
      </c>
    </row>
    <row r="330" spans="5:18" x14ac:dyDescent="0.25">
      <c r="E330" s="44" t="str">
        <f>'MKT DATA'!B713</f>
        <v>syn BTCG7/BTCZ6/BTCX6/BTCU6/BTCF7/BTCV6</v>
      </c>
      <c r="F330" s="14">
        <f>'MKT DATA'!J713</f>
        <v>0</v>
      </c>
      <c r="G330" s="9">
        <f>'MKT DATA'!K713</f>
        <v>0</v>
      </c>
      <c r="H330" s="9">
        <f>'MKT DATA'!L713</f>
        <v>0</v>
      </c>
      <c r="I330" s="14">
        <f>'MKT DATA'!M713</f>
        <v>0</v>
      </c>
      <c r="J330" s="44" t="str">
        <f t="shared" ref="J330:J333" si="12">E330</f>
        <v>syn BTCG7/BTCZ6/BTCX6/BTCU6/BTCF7/BTCV6</v>
      </c>
      <c r="K330" s="9">
        <f>'MKT DATA'!O713</f>
        <v>0</v>
      </c>
      <c r="L330" s="9">
        <f>'MKT DATA'!P713</f>
        <v>0</v>
      </c>
      <c r="M330" s="9">
        <f>'MKT DATA'!Q713</f>
        <v>0</v>
      </c>
      <c r="N330" s="9">
        <f>'MKT DATA'!R713</f>
        <v>0</v>
      </c>
      <c r="O330" s="9">
        <f>'MKT DATA'!S713</f>
        <v>0</v>
      </c>
      <c r="P330" s="9">
        <f>'MKT DATA'!T713</f>
        <v>0</v>
      </c>
      <c r="Q330" s="44" t="str">
        <f t="shared" ref="Q330:Q333" si="13">J330</f>
        <v>syn BTCG7/BTCZ6/BTCX6/BTCU6/BTCF7/BTCV6</v>
      </c>
      <c r="R330" s="14">
        <f>'MKT DATA'!AB713</f>
        <v>0</v>
      </c>
    </row>
    <row r="331" spans="5:18" x14ac:dyDescent="0.25">
      <c r="E331" s="44" t="str">
        <f>'MKT DATA'!B714</f>
        <v>syn BTCG7/BTCZ6/BTCX6/BTCF7/BTCU6/BTCV6</v>
      </c>
      <c r="F331" s="14">
        <f>'MKT DATA'!J714</f>
        <v>0</v>
      </c>
      <c r="G331" s="9">
        <f>'MKT DATA'!K714</f>
        <v>0</v>
      </c>
      <c r="H331" s="9">
        <f>'MKT DATA'!L714</f>
        <v>0</v>
      </c>
      <c r="I331" s="14">
        <f>'MKT DATA'!M714</f>
        <v>0</v>
      </c>
      <c r="J331" s="44" t="str">
        <f t="shared" si="12"/>
        <v>syn BTCG7/BTCZ6/BTCX6/BTCF7/BTCU6/BTCV6</v>
      </c>
      <c r="K331" s="9">
        <f>'MKT DATA'!O714</f>
        <v>0</v>
      </c>
      <c r="L331" s="9">
        <f>'MKT DATA'!P714</f>
        <v>0</v>
      </c>
      <c r="M331" s="9">
        <f>'MKT DATA'!Q714</f>
        <v>0</v>
      </c>
      <c r="N331" s="9">
        <f>'MKT DATA'!R714</f>
        <v>0</v>
      </c>
      <c r="O331" s="9">
        <f>'MKT DATA'!S714</f>
        <v>0</v>
      </c>
      <c r="P331" s="9">
        <f>'MKT DATA'!T714</f>
        <v>0</v>
      </c>
      <c r="Q331" s="44" t="str">
        <f t="shared" si="13"/>
        <v>syn BTCG7/BTCZ6/BTCX6/BTCF7/BTCU6/BTCV6</v>
      </c>
      <c r="R331" s="14">
        <f>'MKT DATA'!AB714</f>
        <v>0</v>
      </c>
    </row>
    <row r="332" spans="5:18" x14ac:dyDescent="0.25">
      <c r="E332" s="44" t="str">
        <f>'MKT DATA'!B715</f>
        <v>syn BTCG7/BTCZ6/BTCF7/BTCU6/BTCX6/BTCV6</v>
      </c>
      <c r="F332" s="14">
        <f>'MKT DATA'!J715</f>
        <v>0</v>
      </c>
      <c r="G332" s="9">
        <f>'MKT DATA'!K715</f>
        <v>0</v>
      </c>
      <c r="H332" s="9">
        <f>'MKT DATA'!L715</f>
        <v>0</v>
      </c>
      <c r="I332" s="14">
        <f>'MKT DATA'!M715</f>
        <v>0</v>
      </c>
      <c r="J332" s="44" t="str">
        <f t="shared" si="12"/>
        <v>syn BTCG7/BTCZ6/BTCF7/BTCU6/BTCX6/BTCV6</v>
      </c>
      <c r="K332" s="9">
        <f>'MKT DATA'!O715</f>
        <v>0</v>
      </c>
      <c r="L332" s="9">
        <f>'MKT DATA'!P715</f>
        <v>0</v>
      </c>
      <c r="M332" s="9">
        <f>'MKT DATA'!Q715</f>
        <v>0</v>
      </c>
      <c r="N332" s="9">
        <f>'MKT DATA'!R715</f>
        <v>0</v>
      </c>
      <c r="O332" s="9">
        <f>'MKT DATA'!S715</f>
        <v>0</v>
      </c>
      <c r="P332" s="9">
        <f>'MKT DATA'!T715</f>
        <v>0</v>
      </c>
      <c r="Q332" s="44" t="str">
        <f t="shared" si="13"/>
        <v>syn BTCG7/BTCZ6/BTCF7/BTCU6/BTCX6/BTCV6</v>
      </c>
      <c r="R332" s="14">
        <f>'MKT DATA'!AB715</f>
        <v>0</v>
      </c>
    </row>
    <row r="333" spans="5:18" x14ac:dyDescent="0.25">
      <c r="E333" s="44" t="str">
        <f>'MKT DATA'!B716</f>
        <v>syn BTCG7/BTCZ6/BTCF7/BTCX6/BTCU6/BTCV6</v>
      </c>
      <c r="F333" s="14">
        <f>'MKT DATA'!J716</f>
        <v>0</v>
      </c>
      <c r="G333" s="9">
        <f>'MKT DATA'!K716</f>
        <v>0</v>
      </c>
      <c r="H333" s="9">
        <f>'MKT DATA'!L716</f>
        <v>0</v>
      </c>
      <c r="I333" s="14">
        <f>'MKT DATA'!M716</f>
        <v>0</v>
      </c>
      <c r="J333" s="44" t="str">
        <f t="shared" si="12"/>
        <v>syn BTCG7/BTCZ6/BTCF7/BTCX6/BTCU6/BTCV6</v>
      </c>
      <c r="K333" s="9">
        <f>'MKT DATA'!O716</f>
        <v>0</v>
      </c>
      <c r="L333" s="9">
        <f>'MKT DATA'!P716</f>
        <v>0</v>
      </c>
      <c r="M333" s="9">
        <f>'MKT DATA'!Q716</f>
        <v>0</v>
      </c>
      <c r="N333" s="9">
        <f>'MKT DATA'!R716</f>
        <v>0</v>
      </c>
      <c r="O333" s="9">
        <f>'MKT DATA'!S716</f>
        <v>0</v>
      </c>
      <c r="P333" s="9">
        <f>'MKT DATA'!T716</f>
        <v>0</v>
      </c>
      <c r="Q333" s="44" t="str">
        <f t="shared" si="13"/>
        <v>syn BTCG7/BTCZ6/BTCF7/BTCX6/BTCU6/BTCV6</v>
      </c>
      <c r="R333" s="14">
        <f>'MKT DATA'!AB716</f>
        <v>0</v>
      </c>
    </row>
    <row r="334" spans="5:18" x14ac:dyDescent="0.25">
      <c r="E334" s="44" t="str">
        <f>'MKT DATA'!B717</f>
        <v>syn BTCG7/BTCF7/BTCU6/BTCX6/BTCZ6/BTCV6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BTCG7/BTCF7/BTCU6/BTCX6/BTCZ6/BTCV6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BTCG7/BTCF7/BTCU6/BTCX6/BTCZ6/BTCV6</v>
      </c>
      <c r="R334" s="14">
        <f>'MKT DATA'!AB717</f>
        <v>0</v>
      </c>
    </row>
    <row r="335" spans="5:18" x14ac:dyDescent="0.25">
      <c r="E335" s="44" t="str">
        <f>'MKT DATA'!B718</f>
        <v>syn BTCG7/BTCF7/BTCU6/BTCZ6/BTCX6/BTCV6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BTCG7/BTCF7/BTCU6/BTCZ6/BTCX6/BTCV6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BTCG7/BTCF7/BTCU6/BTCZ6/BTCX6/BTCV6</v>
      </c>
      <c r="R335" s="14">
        <f>'MKT DATA'!AB718</f>
        <v>0</v>
      </c>
    </row>
    <row r="336" spans="5:18" x14ac:dyDescent="0.25">
      <c r="E336" s="44" t="str">
        <f>'MKT DATA'!B719</f>
        <v>syn BTCG7/BTCF7/BTCX6/BTCU6/BTCZ6/BTCV6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BTCG7/BTCF7/BTCX6/BTCU6/BTCZ6/BTCV6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BTCG7/BTCF7/BTCX6/BTCU6/BTCZ6/BTCV6</v>
      </c>
      <c r="R336" s="14">
        <f>'MKT DATA'!AB719</f>
        <v>0</v>
      </c>
    </row>
    <row r="337" spans="5:18" x14ac:dyDescent="0.25">
      <c r="E337" s="44" t="str">
        <f>'MKT DATA'!B720</f>
        <v>syn BTCG7/BTCF7/BTCX6/BTCZ6/BTCU6/BTCV6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BTCG7/BTCF7/BTCX6/BTCZ6/BTCU6/BTCV6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BTCG7/BTCF7/BTCX6/BTCZ6/BTCU6/BTCV6</v>
      </c>
      <c r="R337" s="14">
        <f>'MKT DATA'!AB720</f>
        <v>0</v>
      </c>
    </row>
    <row r="338" spans="5:18" x14ac:dyDescent="0.25">
      <c r="E338" s="44" t="str">
        <f>'MKT DATA'!B721</f>
        <v>syn BTCG7/BTCF7/BTCZ6/BTCU6/BTCX6/BTCV6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BTCG7/BTCF7/BTCZ6/BTCU6/BTCX6/BTCV6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BTCG7/BTCF7/BTCZ6/BTCU6/BTCX6/BTCV6</v>
      </c>
      <c r="R338" s="14">
        <f>'MKT DATA'!AB721</f>
        <v>0</v>
      </c>
    </row>
    <row r="339" spans="5:18" x14ac:dyDescent="0.25">
      <c r="E339" s="44" t="str">
        <f>'MKT DATA'!B722</f>
        <v>syn BTCG7/BTCF7/BTCZ6/BTCX6/BTCU6/BTCV6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BTCG7/BTCF7/BTCZ6/BTCX6/BTCU6/BTCV6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BTCG7/BTCF7/BTCZ6/BTCX6/BTCU6/BTCV6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45370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45367.495999999999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0</v>
      </c>
      <c r="I2" s="57"/>
      <c r="J2" s="59"/>
      <c r="K2" s="58"/>
      <c r="L2" s="58"/>
      <c r="M2" s="58">
        <f>'MKT DATA'!Q6-M1</f>
        <v>0</v>
      </c>
      <c r="N2" s="58">
        <f>'MKT DATA'!R6-N1</f>
        <v>-2.504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45370</v>
      </c>
      <c r="I4" s="58">
        <f>H4-(G14-H14)</f>
        <v>0</v>
      </c>
      <c r="J4" s="44" t="s">
        <v>5</v>
      </c>
      <c r="L4" s="14"/>
      <c r="M4" s="51"/>
      <c r="N4" s="49">
        <f>N1+M1</f>
        <v>45367.495999999999</v>
      </c>
      <c r="O4" s="58">
        <f>(N14+M14)-N4</f>
        <v>-2.5040000000008149</v>
      </c>
    </row>
    <row r="5" spans="1:24" x14ac:dyDescent="0.25">
      <c r="E5" s="44" t="s">
        <v>6</v>
      </c>
      <c r="G5" s="9">
        <f>G9-G11</f>
        <v>45370</v>
      </c>
      <c r="H5" s="9">
        <f>H9-H11</f>
        <v>0</v>
      </c>
      <c r="J5" s="44" t="s">
        <v>6</v>
      </c>
      <c r="M5" s="9">
        <f>M9-M11</f>
        <v>45367.495999999999</v>
      </c>
      <c r="N5" s="9">
        <f>N9-N11</f>
        <v>2.504</v>
      </c>
    </row>
    <row r="6" spans="1:24" x14ac:dyDescent="0.25">
      <c r="E6" s="44" t="s">
        <v>7</v>
      </c>
      <c r="G6" s="9">
        <f>G9-G10</f>
        <v>45230.828220858893</v>
      </c>
      <c r="H6" s="9">
        <f>H9-H10</f>
        <v>0</v>
      </c>
      <c r="J6" s="44" t="s">
        <v>7</v>
      </c>
      <c r="M6" s="9">
        <f>M9-M10</f>
        <v>45228.331901840487</v>
      </c>
      <c r="N6" s="9">
        <f>N9-N10</f>
        <v>7.6809815950920242E-3</v>
      </c>
    </row>
    <row r="7" spans="1:24" x14ac:dyDescent="0.25">
      <c r="E7" s="44" t="s">
        <v>8</v>
      </c>
      <c r="G7" s="9">
        <f>G10-G11</f>
        <v>139.17177914110428</v>
      </c>
      <c r="H7" s="9">
        <f>H10-H11</f>
        <v>0</v>
      </c>
      <c r="J7" s="44" t="s">
        <v>8</v>
      </c>
      <c r="M7" s="9">
        <f>M10-M11</f>
        <v>139.16409815950919</v>
      </c>
      <c r="N7" s="9">
        <f>N10-N11</f>
        <v>2.496319018404908</v>
      </c>
    </row>
    <row r="9" spans="1:24" x14ac:dyDescent="0.25">
      <c r="E9" s="44" t="s">
        <v>1</v>
      </c>
      <c r="G9" s="9">
        <f>MAX(G$14:G$339)</f>
        <v>45370</v>
      </c>
      <c r="H9" s="9">
        <f>MAX(H$14:H$339)</f>
        <v>0</v>
      </c>
      <c r="J9" s="44" t="str">
        <f>E9</f>
        <v>max</v>
      </c>
      <c r="L9" s="9">
        <f>MAX(L$14:L$339)</f>
        <v>45370</v>
      </c>
      <c r="M9" s="9">
        <f>MAX(M$14:M$339)</f>
        <v>45367.495999999999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139.17177914110428</v>
      </c>
      <c r="H10" s="9">
        <f>AVERAGE(H$14:H$339)</f>
        <v>0</v>
      </c>
      <c r="J10" s="44" t="str">
        <f t="shared" ref="J10" si="0">E10</f>
        <v>avg</v>
      </c>
      <c r="L10" s="9">
        <f>AVERAGE(L$14:L$339)</f>
        <v>139.17177914110428</v>
      </c>
      <c r="M10" s="9">
        <f>AVERAGE(M$14:M$339)</f>
        <v>139.16409815950919</v>
      </c>
      <c r="N10" s="9">
        <f>AVERAGE(N$14:N$339)</f>
        <v>-7.6809815950920242E-3</v>
      </c>
      <c r="O10" s="9">
        <f>AVERAGE(O$14:O$339)</f>
        <v>0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-2.504</v>
      </c>
      <c r="O11" s="9">
        <f>MIN(O$14:O$339)</f>
        <v>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BTCX6</v>
      </c>
      <c r="F14" s="14">
        <f>'MKT DATA'!J33</f>
        <v>85</v>
      </c>
      <c r="G14" s="9">
        <f>'MKT DATA'!K33</f>
        <v>45370</v>
      </c>
      <c r="H14" s="9">
        <f>'MKT DATA'!L33</f>
        <v>0</v>
      </c>
      <c r="I14" s="14">
        <f>'MKT DATA'!M33</f>
        <v>0</v>
      </c>
      <c r="J14" s="44" t="str">
        <f>E14</f>
        <v>BTCX6</v>
      </c>
      <c r="K14" s="9">
        <f>'MKT DATA'!O33</f>
        <v>2.504</v>
      </c>
      <c r="L14" s="9">
        <f>'MKT DATA'!P33</f>
        <v>45370</v>
      </c>
      <c r="M14" s="9">
        <f>'MKT DATA'!Q33</f>
        <v>45367.495999999999</v>
      </c>
      <c r="N14" s="9">
        <f>'MKT DATA'!R33</f>
        <v>-2.504</v>
      </c>
      <c r="O14" s="9">
        <f>'MKT DATA'!S33</f>
        <v>0</v>
      </c>
      <c r="P14" s="9">
        <f>'MKT DATA'!T33</f>
        <v>2.504</v>
      </c>
      <c r="Q14" s="44" t="str">
        <f>J14</f>
        <v>BTCX6</v>
      </c>
      <c r="R14" s="14">
        <f>'MKT DATA'!AB33</f>
        <v>0</v>
      </c>
    </row>
    <row r="15" spans="1:24" x14ac:dyDescent="0.25">
      <c r="E15" s="44" t="str">
        <f>'MKT DATA'!B723</f>
        <v>syn BTCU6/BTCX6</v>
      </c>
      <c r="F15" s="14">
        <f>'MKT DATA'!J723</f>
        <v>0</v>
      </c>
      <c r="G15" s="9">
        <f>'MKT DATA'!K723</f>
        <v>0</v>
      </c>
      <c r="H15" s="9">
        <f>'MKT DATA'!L723</f>
        <v>0</v>
      </c>
      <c r="I15" s="14">
        <f>'MKT DATA'!M723</f>
        <v>0</v>
      </c>
      <c r="J15" s="44" t="str">
        <f t="shared" ref="J15:J73" si="2">E15</f>
        <v>syn BTCU6/BTCX6</v>
      </c>
      <c r="K15" s="9">
        <f>'MKT DATA'!O723</f>
        <v>0</v>
      </c>
      <c r="L15" s="9">
        <f>'MKT DATA'!P723</f>
        <v>0</v>
      </c>
      <c r="M15" s="9">
        <f>'MKT DATA'!Q723</f>
        <v>0</v>
      </c>
      <c r="N15" s="9">
        <f>'MKT DATA'!R723</f>
        <v>0</v>
      </c>
      <c r="O15" s="9">
        <f>'MKT DATA'!S723</f>
        <v>0</v>
      </c>
      <c r="P15" s="9">
        <f>'MKT DATA'!T723</f>
        <v>0</v>
      </c>
      <c r="Q15" s="44" t="str">
        <f t="shared" ref="Q15:Q73" si="3">J15</f>
        <v>syn BTCU6/BTCX6</v>
      </c>
      <c r="R15" s="14">
        <f>'MKT DATA'!AB723</f>
        <v>0</v>
      </c>
    </row>
    <row r="16" spans="1:24" x14ac:dyDescent="0.25">
      <c r="E16" s="44" t="str">
        <f>'MKT DATA'!B724</f>
        <v>syn BTCV6/BTCX6</v>
      </c>
      <c r="F16" s="14">
        <f>'MKT DATA'!J724</f>
        <v>0</v>
      </c>
      <c r="G16" s="9">
        <f>'MKT DATA'!K724</f>
        <v>0</v>
      </c>
      <c r="H16" s="9">
        <f>'MKT DATA'!L724</f>
        <v>0</v>
      </c>
      <c r="I16" s="14">
        <f>'MKT DATA'!M724</f>
        <v>0</v>
      </c>
      <c r="J16" s="44" t="str">
        <f t="shared" si="2"/>
        <v>syn BTCV6/BTCX6</v>
      </c>
      <c r="K16" s="9">
        <f>'MKT DATA'!O724</f>
        <v>0</v>
      </c>
      <c r="L16" s="9">
        <f>'MKT DATA'!P724</f>
        <v>0</v>
      </c>
      <c r="M16" s="9">
        <f>'MKT DATA'!Q724</f>
        <v>0</v>
      </c>
      <c r="N16" s="9">
        <f>'MKT DATA'!R724</f>
        <v>0</v>
      </c>
      <c r="O16" s="9">
        <f>'MKT DATA'!S724</f>
        <v>0</v>
      </c>
      <c r="P16" s="9">
        <f>'MKT DATA'!T724</f>
        <v>0</v>
      </c>
      <c r="Q16" s="44" t="str">
        <f t="shared" si="3"/>
        <v>syn BTCV6/BTCX6</v>
      </c>
      <c r="R16" s="14">
        <f>'MKT DATA'!AB724</f>
        <v>0</v>
      </c>
    </row>
    <row r="17" spans="5:18" x14ac:dyDescent="0.25">
      <c r="E17" s="44" t="str">
        <f>'MKT DATA'!B725</f>
        <v>syn BTCZ6/BTCX6</v>
      </c>
      <c r="F17" s="14">
        <f>'MKT DATA'!J725</f>
        <v>0</v>
      </c>
      <c r="G17" s="9">
        <f>'MKT DATA'!K725</f>
        <v>0</v>
      </c>
      <c r="H17" s="9">
        <f>'MKT DATA'!L725</f>
        <v>0</v>
      </c>
      <c r="I17" s="14">
        <f>'MKT DATA'!M725</f>
        <v>0</v>
      </c>
      <c r="J17" s="44" t="str">
        <f t="shared" si="2"/>
        <v>syn BTCZ6/BTCX6</v>
      </c>
      <c r="K17" s="9">
        <f>'MKT DATA'!O725</f>
        <v>0</v>
      </c>
      <c r="L17" s="9">
        <f>'MKT DATA'!P725</f>
        <v>0</v>
      </c>
      <c r="M17" s="9">
        <f>'MKT DATA'!Q725</f>
        <v>0</v>
      </c>
      <c r="N17" s="9">
        <f>'MKT DATA'!R725</f>
        <v>0</v>
      </c>
      <c r="O17" s="9">
        <f>'MKT DATA'!S725</f>
        <v>0</v>
      </c>
      <c r="P17" s="9">
        <f>'MKT DATA'!T725</f>
        <v>0</v>
      </c>
      <c r="Q17" s="44" t="str">
        <f t="shared" si="3"/>
        <v>syn BTCZ6/BTCX6</v>
      </c>
      <c r="R17" s="14">
        <f>'MKT DATA'!AB725</f>
        <v>0</v>
      </c>
    </row>
    <row r="18" spans="5:18" x14ac:dyDescent="0.25">
      <c r="E18" s="44" t="str">
        <f>'MKT DATA'!B726</f>
        <v>syn BTCF7/BTCX6</v>
      </c>
      <c r="F18" s="14">
        <f>'MKT DATA'!J726</f>
        <v>0</v>
      </c>
      <c r="G18" s="9">
        <f>'MKT DATA'!K726</f>
        <v>0</v>
      </c>
      <c r="H18" s="9">
        <f>'MKT DATA'!L726</f>
        <v>0</v>
      </c>
      <c r="I18" s="14">
        <f>'MKT DATA'!M726</f>
        <v>0</v>
      </c>
      <c r="J18" s="44" t="str">
        <f t="shared" si="2"/>
        <v>syn BTCF7/BTCX6</v>
      </c>
      <c r="K18" s="9">
        <f>'MKT DATA'!O726</f>
        <v>0</v>
      </c>
      <c r="L18" s="9">
        <f>'MKT DATA'!P726</f>
        <v>0</v>
      </c>
      <c r="M18" s="9">
        <f>'MKT DATA'!Q726</f>
        <v>0</v>
      </c>
      <c r="N18" s="9">
        <f>'MKT DATA'!R726</f>
        <v>0</v>
      </c>
      <c r="O18" s="9">
        <f>'MKT DATA'!S726</f>
        <v>0</v>
      </c>
      <c r="P18" s="9">
        <f>'MKT DATA'!T726</f>
        <v>0</v>
      </c>
      <c r="Q18" s="44" t="str">
        <f t="shared" si="3"/>
        <v>syn BTCF7/BTCX6</v>
      </c>
      <c r="R18" s="14">
        <f>'MKT DATA'!AB726</f>
        <v>0</v>
      </c>
    </row>
    <row r="19" spans="5:18" x14ac:dyDescent="0.25">
      <c r="E19" s="44" t="str">
        <f>'MKT DATA'!B727</f>
        <v>syn BTCG7/BTCX6</v>
      </c>
      <c r="F19" s="14">
        <f>'MKT DATA'!J727</f>
        <v>0</v>
      </c>
      <c r="G19" s="9">
        <f>'MKT DATA'!K727</f>
        <v>0</v>
      </c>
      <c r="H19" s="9">
        <f>'MKT DATA'!L727</f>
        <v>0</v>
      </c>
      <c r="I19" s="14">
        <f>'MKT DATA'!M727</f>
        <v>0</v>
      </c>
      <c r="J19" s="44" t="str">
        <f t="shared" si="2"/>
        <v>syn BTCG7/BTCX6</v>
      </c>
      <c r="K19" s="9">
        <f>'MKT DATA'!O727</f>
        <v>0</v>
      </c>
      <c r="L19" s="9">
        <f>'MKT DATA'!P727</f>
        <v>0</v>
      </c>
      <c r="M19" s="9">
        <f>'MKT DATA'!Q727</f>
        <v>0</v>
      </c>
      <c r="N19" s="9">
        <f>'MKT DATA'!R727</f>
        <v>0</v>
      </c>
      <c r="O19" s="9">
        <f>'MKT DATA'!S727</f>
        <v>0</v>
      </c>
      <c r="P19" s="9">
        <f>'MKT DATA'!T727</f>
        <v>0</v>
      </c>
      <c r="Q19" s="44" t="str">
        <f t="shared" si="3"/>
        <v>syn BTCG7/BTCX6</v>
      </c>
      <c r="R19" s="14">
        <f>'MKT DATA'!AB727</f>
        <v>0</v>
      </c>
    </row>
    <row r="20" spans="5:18" x14ac:dyDescent="0.25">
      <c r="E20" s="44" t="str">
        <f>'MKT DATA'!B728</f>
        <v>syn BTCU6/BTCV6/BTCX6</v>
      </c>
      <c r="F20" s="14">
        <f>'MKT DATA'!J728</f>
        <v>0</v>
      </c>
      <c r="G20" s="9">
        <f>'MKT DATA'!K728</f>
        <v>0</v>
      </c>
      <c r="H20" s="9">
        <f>'MKT DATA'!L728</f>
        <v>0</v>
      </c>
      <c r="I20" s="14">
        <f>'MKT DATA'!M728</f>
        <v>0</v>
      </c>
      <c r="J20" s="44" t="str">
        <f t="shared" si="2"/>
        <v>syn BTCU6/BTCV6/BTCX6</v>
      </c>
      <c r="K20" s="9">
        <f>'MKT DATA'!O728</f>
        <v>0</v>
      </c>
      <c r="L20" s="9">
        <f>'MKT DATA'!P728</f>
        <v>0</v>
      </c>
      <c r="M20" s="9">
        <f>'MKT DATA'!Q728</f>
        <v>0</v>
      </c>
      <c r="N20" s="9">
        <f>'MKT DATA'!R728</f>
        <v>0</v>
      </c>
      <c r="O20" s="9">
        <f>'MKT DATA'!S728</f>
        <v>0</v>
      </c>
      <c r="P20" s="9">
        <f>'MKT DATA'!T728</f>
        <v>0</v>
      </c>
      <c r="Q20" s="44" t="str">
        <f t="shared" si="3"/>
        <v>syn BTCU6/BTCV6/BTCX6</v>
      </c>
      <c r="R20" s="14">
        <f>'MKT DATA'!AB728</f>
        <v>0</v>
      </c>
    </row>
    <row r="21" spans="5:18" x14ac:dyDescent="0.25">
      <c r="E21" s="44" t="str">
        <f>'MKT DATA'!B729</f>
        <v>syn BTCU6/BTCZ6/BTCX6</v>
      </c>
      <c r="F21" s="14">
        <f>'MKT DATA'!J729</f>
        <v>0</v>
      </c>
      <c r="G21" s="9">
        <f>'MKT DATA'!K729</f>
        <v>0</v>
      </c>
      <c r="H21" s="9">
        <f>'MKT DATA'!L729</f>
        <v>0</v>
      </c>
      <c r="I21" s="14">
        <f>'MKT DATA'!M729</f>
        <v>0</v>
      </c>
      <c r="J21" s="44" t="str">
        <f t="shared" si="2"/>
        <v>syn BTCU6/BTCZ6/BTCX6</v>
      </c>
      <c r="K21" s="9">
        <f>'MKT DATA'!O729</f>
        <v>0</v>
      </c>
      <c r="L21" s="9">
        <f>'MKT DATA'!P729</f>
        <v>0</v>
      </c>
      <c r="M21" s="9">
        <f>'MKT DATA'!Q729</f>
        <v>0</v>
      </c>
      <c r="N21" s="9">
        <f>'MKT DATA'!R729</f>
        <v>0</v>
      </c>
      <c r="O21" s="9">
        <f>'MKT DATA'!S729</f>
        <v>0</v>
      </c>
      <c r="P21" s="9">
        <f>'MKT DATA'!T729</f>
        <v>0</v>
      </c>
      <c r="Q21" s="44" t="str">
        <f t="shared" si="3"/>
        <v>syn BTCU6/BTCZ6/BTCX6</v>
      </c>
      <c r="R21" s="14">
        <f>'MKT DATA'!AB729</f>
        <v>0</v>
      </c>
    </row>
    <row r="22" spans="5:18" x14ac:dyDescent="0.25">
      <c r="E22" s="44" t="str">
        <f>'MKT DATA'!B730</f>
        <v>syn BTCU6/BTCF7/BTCX6</v>
      </c>
      <c r="F22" s="14">
        <f>'MKT DATA'!J730</f>
        <v>0</v>
      </c>
      <c r="G22" s="9">
        <f>'MKT DATA'!K730</f>
        <v>0</v>
      </c>
      <c r="H22" s="9">
        <f>'MKT DATA'!L730</f>
        <v>0</v>
      </c>
      <c r="I22" s="14">
        <f>'MKT DATA'!M730</f>
        <v>0</v>
      </c>
      <c r="J22" s="44" t="str">
        <f t="shared" si="2"/>
        <v>syn BTCU6/BTCF7/BTCX6</v>
      </c>
      <c r="K22" s="9">
        <f>'MKT DATA'!O730</f>
        <v>0</v>
      </c>
      <c r="L22" s="9">
        <f>'MKT DATA'!P730</f>
        <v>0</v>
      </c>
      <c r="M22" s="9">
        <f>'MKT DATA'!Q730</f>
        <v>0</v>
      </c>
      <c r="N22" s="9">
        <f>'MKT DATA'!R730</f>
        <v>0</v>
      </c>
      <c r="O22" s="9">
        <f>'MKT DATA'!S730</f>
        <v>0</v>
      </c>
      <c r="P22" s="9">
        <f>'MKT DATA'!T730</f>
        <v>0</v>
      </c>
      <c r="Q22" s="44" t="str">
        <f t="shared" si="3"/>
        <v>syn BTCU6/BTCF7/BTCX6</v>
      </c>
      <c r="R22" s="14">
        <f>'MKT DATA'!AB730</f>
        <v>0</v>
      </c>
    </row>
    <row r="23" spans="5:18" x14ac:dyDescent="0.25">
      <c r="E23" s="44" t="str">
        <f>'MKT DATA'!B731</f>
        <v>syn BTCU6/BTCG7/BTCX6</v>
      </c>
      <c r="F23" s="14">
        <f>'MKT DATA'!J731</f>
        <v>0</v>
      </c>
      <c r="G23" s="9">
        <f>'MKT DATA'!K731</f>
        <v>0</v>
      </c>
      <c r="H23" s="9">
        <f>'MKT DATA'!L731</f>
        <v>0</v>
      </c>
      <c r="I23" s="14">
        <f>'MKT DATA'!M731</f>
        <v>0</v>
      </c>
      <c r="J23" s="44" t="str">
        <f t="shared" si="2"/>
        <v>syn BTCU6/BTCG7/BTCX6</v>
      </c>
      <c r="K23" s="9">
        <f>'MKT DATA'!O731</f>
        <v>0</v>
      </c>
      <c r="L23" s="9">
        <f>'MKT DATA'!P731</f>
        <v>0</v>
      </c>
      <c r="M23" s="9">
        <f>'MKT DATA'!Q731</f>
        <v>0</v>
      </c>
      <c r="N23" s="9">
        <f>'MKT DATA'!R731</f>
        <v>0</v>
      </c>
      <c r="O23" s="9">
        <f>'MKT DATA'!S731</f>
        <v>0</v>
      </c>
      <c r="P23" s="9">
        <f>'MKT DATA'!T731</f>
        <v>0</v>
      </c>
      <c r="Q23" s="44" t="str">
        <f t="shared" si="3"/>
        <v>syn BTCU6/BTCG7/BTCX6</v>
      </c>
      <c r="R23" s="14">
        <f>'MKT DATA'!AB731</f>
        <v>0</v>
      </c>
    </row>
    <row r="24" spans="5:18" x14ac:dyDescent="0.25">
      <c r="E24" s="44" t="str">
        <f>'MKT DATA'!B732</f>
        <v>syn BTCV6/BTCU6/BTCX6</v>
      </c>
      <c r="F24" s="14">
        <f>'MKT DATA'!J732</f>
        <v>0</v>
      </c>
      <c r="G24" s="9">
        <f>'MKT DATA'!K732</f>
        <v>0</v>
      </c>
      <c r="H24" s="9">
        <f>'MKT DATA'!L732</f>
        <v>0</v>
      </c>
      <c r="I24" s="14">
        <f>'MKT DATA'!M732</f>
        <v>0</v>
      </c>
      <c r="J24" s="44" t="str">
        <f t="shared" si="2"/>
        <v>syn BTCV6/BTCU6/BTCX6</v>
      </c>
      <c r="K24" s="9">
        <f>'MKT DATA'!O732</f>
        <v>0</v>
      </c>
      <c r="L24" s="9">
        <f>'MKT DATA'!P732</f>
        <v>0</v>
      </c>
      <c r="M24" s="9">
        <f>'MKT DATA'!Q732</f>
        <v>0</v>
      </c>
      <c r="N24" s="9">
        <f>'MKT DATA'!R732</f>
        <v>0</v>
      </c>
      <c r="O24" s="9">
        <f>'MKT DATA'!S732</f>
        <v>0</v>
      </c>
      <c r="P24" s="9">
        <f>'MKT DATA'!T732</f>
        <v>0</v>
      </c>
      <c r="Q24" s="44" t="str">
        <f t="shared" si="3"/>
        <v>syn BTCV6/BTCU6/BTCX6</v>
      </c>
      <c r="R24" s="14">
        <f>'MKT DATA'!AB732</f>
        <v>0</v>
      </c>
    </row>
    <row r="25" spans="5:18" x14ac:dyDescent="0.25">
      <c r="E25" s="44" t="str">
        <f>'MKT DATA'!B733</f>
        <v>syn BTCV6/BTCZ6/BTCX6</v>
      </c>
      <c r="F25" s="14">
        <f>'MKT DATA'!J733</f>
        <v>0</v>
      </c>
      <c r="G25" s="9">
        <f>'MKT DATA'!K733</f>
        <v>0</v>
      </c>
      <c r="H25" s="9">
        <f>'MKT DATA'!L733</f>
        <v>0</v>
      </c>
      <c r="I25" s="14">
        <f>'MKT DATA'!M733</f>
        <v>0</v>
      </c>
      <c r="J25" s="44" t="str">
        <f t="shared" si="2"/>
        <v>syn BTCV6/BTCZ6/BTCX6</v>
      </c>
      <c r="K25" s="9">
        <f>'MKT DATA'!O733</f>
        <v>0</v>
      </c>
      <c r="L25" s="9">
        <f>'MKT DATA'!P733</f>
        <v>0</v>
      </c>
      <c r="M25" s="9">
        <f>'MKT DATA'!Q733</f>
        <v>0</v>
      </c>
      <c r="N25" s="9">
        <f>'MKT DATA'!R733</f>
        <v>0</v>
      </c>
      <c r="O25" s="9">
        <f>'MKT DATA'!S733</f>
        <v>0</v>
      </c>
      <c r="P25" s="9">
        <f>'MKT DATA'!T733</f>
        <v>0</v>
      </c>
      <c r="Q25" s="44" t="str">
        <f t="shared" si="3"/>
        <v>syn BTCV6/BTCZ6/BTCX6</v>
      </c>
      <c r="R25" s="14">
        <f>'MKT DATA'!AB733</f>
        <v>0</v>
      </c>
    </row>
    <row r="26" spans="5:18" x14ac:dyDescent="0.25">
      <c r="E26" s="44" t="str">
        <f>'MKT DATA'!B734</f>
        <v>syn BTCV6/BTCF7/BTCX6</v>
      </c>
      <c r="F26" s="14">
        <f>'MKT DATA'!J734</f>
        <v>0</v>
      </c>
      <c r="G26" s="9">
        <f>'MKT DATA'!K734</f>
        <v>0</v>
      </c>
      <c r="H26" s="9">
        <f>'MKT DATA'!L734</f>
        <v>0</v>
      </c>
      <c r="I26" s="14">
        <f>'MKT DATA'!M734</f>
        <v>0</v>
      </c>
      <c r="J26" s="44" t="str">
        <f t="shared" si="2"/>
        <v>syn BTCV6/BTCF7/BTCX6</v>
      </c>
      <c r="K26" s="9">
        <f>'MKT DATA'!O734</f>
        <v>0</v>
      </c>
      <c r="L26" s="9">
        <f>'MKT DATA'!P734</f>
        <v>0</v>
      </c>
      <c r="M26" s="9">
        <f>'MKT DATA'!Q734</f>
        <v>0</v>
      </c>
      <c r="N26" s="9">
        <f>'MKT DATA'!R734</f>
        <v>0</v>
      </c>
      <c r="O26" s="9">
        <f>'MKT DATA'!S734</f>
        <v>0</v>
      </c>
      <c r="P26" s="9">
        <f>'MKT DATA'!T734</f>
        <v>0</v>
      </c>
      <c r="Q26" s="44" t="str">
        <f t="shared" si="3"/>
        <v>syn BTCV6/BTCF7/BTCX6</v>
      </c>
      <c r="R26" s="14">
        <f>'MKT DATA'!AB734</f>
        <v>0</v>
      </c>
    </row>
    <row r="27" spans="5:18" x14ac:dyDescent="0.25">
      <c r="E27" s="44" t="str">
        <f>'MKT DATA'!B735</f>
        <v>syn BTCV6/BTCG7/BTCX6</v>
      </c>
      <c r="F27" s="14">
        <f>'MKT DATA'!J735</f>
        <v>0</v>
      </c>
      <c r="G27" s="9">
        <f>'MKT DATA'!K735</f>
        <v>0</v>
      </c>
      <c r="H27" s="9">
        <f>'MKT DATA'!L735</f>
        <v>0</v>
      </c>
      <c r="I27" s="14">
        <f>'MKT DATA'!M735</f>
        <v>0</v>
      </c>
      <c r="J27" s="44" t="str">
        <f t="shared" si="2"/>
        <v>syn BTCV6/BTCG7/BTCX6</v>
      </c>
      <c r="K27" s="9">
        <f>'MKT DATA'!O735</f>
        <v>0</v>
      </c>
      <c r="L27" s="9">
        <f>'MKT DATA'!P735</f>
        <v>0</v>
      </c>
      <c r="M27" s="9">
        <f>'MKT DATA'!Q735</f>
        <v>0</v>
      </c>
      <c r="N27" s="9">
        <f>'MKT DATA'!R735</f>
        <v>0</v>
      </c>
      <c r="O27" s="9">
        <f>'MKT DATA'!S735</f>
        <v>0</v>
      </c>
      <c r="P27" s="9">
        <f>'MKT DATA'!T735</f>
        <v>0</v>
      </c>
      <c r="Q27" s="44" t="str">
        <f t="shared" si="3"/>
        <v>syn BTCV6/BTCG7/BTCX6</v>
      </c>
      <c r="R27" s="14">
        <f>'MKT DATA'!AB735</f>
        <v>0</v>
      </c>
    </row>
    <row r="28" spans="5:18" x14ac:dyDescent="0.25">
      <c r="E28" s="44" t="str">
        <f>'MKT DATA'!B736</f>
        <v>syn BTCZ6/BTCU6/BTCX6</v>
      </c>
      <c r="F28" s="14">
        <f>'MKT DATA'!J736</f>
        <v>0</v>
      </c>
      <c r="G28" s="9">
        <f>'MKT DATA'!K736</f>
        <v>0</v>
      </c>
      <c r="H28" s="9">
        <f>'MKT DATA'!L736</f>
        <v>0</v>
      </c>
      <c r="I28" s="14">
        <f>'MKT DATA'!M736</f>
        <v>0</v>
      </c>
      <c r="J28" s="44" t="str">
        <f t="shared" si="2"/>
        <v>syn BTCZ6/BTCU6/BTCX6</v>
      </c>
      <c r="K28" s="9">
        <f>'MKT DATA'!O736</f>
        <v>0</v>
      </c>
      <c r="L28" s="9">
        <f>'MKT DATA'!P736</f>
        <v>0</v>
      </c>
      <c r="M28" s="9">
        <f>'MKT DATA'!Q736</f>
        <v>0</v>
      </c>
      <c r="N28" s="9">
        <f>'MKT DATA'!R736</f>
        <v>0</v>
      </c>
      <c r="O28" s="9">
        <f>'MKT DATA'!S736</f>
        <v>0</v>
      </c>
      <c r="P28" s="9">
        <f>'MKT DATA'!T736</f>
        <v>0</v>
      </c>
      <c r="Q28" s="44" t="str">
        <f t="shared" si="3"/>
        <v>syn BTCZ6/BTCU6/BTCX6</v>
      </c>
      <c r="R28" s="14">
        <f>'MKT DATA'!AB736</f>
        <v>0</v>
      </c>
    </row>
    <row r="29" spans="5:18" x14ac:dyDescent="0.25">
      <c r="E29" s="44" t="str">
        <f>'MKT DATA'!B737</f>
        <v>syn BTCZ6/BTCV6/BTCX6</v>
      </c>
      <c r="F29" s="14">
        <f>'MKT DATA'!J737</f>
        <v>0</v>
      </c>
      <c r="G29" s="9">
        <f>'MKT DATA'!K737</f>
        <v>0</v>
      </c>
      <c r="H29" s="9">
        <f>'MKT DATA'!L737</f>
        <v>0</v>
      </c>
      <c r="I29" s="14">
        <f>'MKT DATA'!M737</f>
        <v>0</v>
      </c>
      <c r="J29" s="44" t="str">
        <f t="shared" si="2"/>
        <v>syn BTCZ6/BTCV6/BTCX6</v>
      </c>
      <c r="K29" s="9">
        <f>'MKT DATA'!O737</f>
        <v>0</v>
      </c>
      <c r="L29" s="9">
        <f>'MKT DATA'!P737</f>
        <v>0</v>
      </c>
      <c r="M29" s="9">
        <f>'MKT DATA'!Q737</f>
        <v>0</v>
      </c>
      <c r="N29" s="9">
        <f>'MKT DATA'!R737</f>
        <v>0</v>
      </c>
      <c r="O29" s="9">
        <f>'MKT DATA'!S737</f>
        <v>0</v>
      </c>
      <c r="P29" s="9">
        <f>'MKT DATA'!T737</f>
        <v>0</v>
      </c>
      <c r="Q29" s="44" t="str">
        <f t="shared" si="3"/>
        <v>syn BTCZ6/BTCV6/BTCX6</v>
      </c>
      <c r="R29" s="14">
        <f>'MKT DATA'!AB737</f>
        <v>0</v>
      </c>
    </row>
    <row r="30" spans="5:18" x14ac:dyDescent="0.25">
      <c r="E30" s="44" t="str">
        <f>'MKT DATA'!B738</f>
        <v>syn BTCZ6/BTCF7/BTCX6</v>
      </c>
      <c r="F30" s="14">
        <f>'MKT DATA'!J738</f>
        <v>0</v>
      </c>
      <c r="G30" s="9">
        <f>'MKT DATA'!K738</f>
        <v>0</v>
      </c>
      <c r="H30" s="9">
        <f>'MKT DATA'!L738</f>
        <v>0</v>
      </c>
      <c r="I30" s="14">
        <f>'MKT DATA'!M738</f>
        <v>0</v>
      </c>
      <c r="J30" s="44" t="str">
        <f t="shared" si="2"/>
        <v>syn BTCZ6/BTCF7/BTCX6</v>
      </c>
      <c r="K30" s="9">
        <f>'MKT DATA'!O738</f>
        <v>0</v>
      </c>
      <c r="L30" s="9">
        <f>'MKT DATA'!P738</f>
        <v>0</v>
      </c>
      <c r="M30" s="9">
        <f>'MKT DATA'!Q738</f>
        <v>0</v>
      </c>
      <c r="N30" s="9">
        <f>'MKT DATA'!R738</f>
        <v>0</v>
      </c>
      <c r="O30" s="9">
        <f>'MKT DATA'!S738</f>
        <v>0</v>
      </c>
      <c r="P30" s="9">
        <f>'MKT DATA'!T738</f>
        <v>0</v>
      </c>
      <c r="Q30" s="44" t="str">
        <f t="shared" si="3"/>
        <v>syn BTCZ6/BTCF7/BTCX6</v>
      </c>
      <c r="R30" s="14">
        <f>'MKT DATA'!AB738</f>
        <v>0</v>
      </c>
    </row>
    <row r="31" spans="5:18" x14ac:dyDescent="0.25">
      <c r="E31" s="44" t="str">
        <f>'MKT DATA'!B739</f>
        <v>syn BTCZ6/BTCG7/BTCX6</v>
      </c>
      <c r="F31" s="14">
        <f>'MKT DATA'!J739</f>
        <v>0</v>
      </c>
      <c r="G31" s="9">
        <f>'MKT DATA'!K739</f>
        <v>0</v>
      </c>
      <c r="H31" s="9">
        <f>'MKT DATA'!L739</f>
        <v>0</v>
      </c>
      <c r="I31" s="14">
        <f>'MKT DATA'!M739</f>
        <v>0</v>
      </c>
      <c r="J31" s="44" t="str">
        <f t="shared" si="2"/>
        <v>syn BTCZ6/BTCG7/BTCX6</v>
      </c>
      <c r="K31" s="9">
        <f>'MKT DATA'!O739</f>
        <v>0</v>
      </c>
      <c r="L31" s="9">
        <f>'MKT DATA'!P739</f>
        <v>0</v>
      </c>
      <c r="M31" s="9">
        <f>'MKT DATA'!Q739</f>
        <v>0</v>
      </c>
      <c r="N31" s="9">
        <f>'MKT DATA'!R739</f>
        <v>0</v>
      </c>
      <c r="O31" s="9">
        <f>'MKT DATA'!S739</f>
        <v>0</v>
      </c>
      <c r="P31" s="9">
        <f>'MKT DATA'!T739</f>
        <v>0</v>
      </c>
      <c r="Q31" s="44" t="str">
        <f t="shared" si="3"/>
        <v>syn BTCZ6/BTCG7/BTCX6</v>
      </c>
      <c r="R31" s="14">
        <f>'MKT DATA'!AB739</f>
        <v>0</v>
      </c>
    </row>
    <row r="32" spans="5:18" x14ac:dyDescent="0.25">
      <c r="E32" s="44" t="str">
        <f>'MKT DATA'!B740</f>
        <v>syn BTCF7/BTCU6/BTCX6</v>
      </c>
      <c r="F32" s="14">
        <f>'MKT DATA'!J740</f>
        <v>0</v>
      </c>
      <c r="G32" s="9">
        <f>'MKT DATA'!K740</f>
        <v>0</v>
      </c>
      <c r="H32" s="9">
        <f>'MKT DATA'!L740</f>
        <v>0</v>
      </c>
      <c r="I32" s="14">
        <f>'MKT DATA'!M740</f>
        <v>0</v>
      </c>
      <c r="J32" s="44" t="str">
        <f t="shared" si="2"/>
        <v>syn BTCF7/BTCU6/BTCX6</v>
      </c>
      <c r="K32" s="9">
        <f>'MKT DATA'!O740</f>
        <v>0</v>
      </c>
      <c r="L32" s="9">
        <f>'MKT DATA'!P740</f>
        <v>0</v>
      </c>
      <c r="M32" s="9">
        <f>'MKT DATA'!Q740</f>
        <v>0</v>
      </c>
      <c r="N32" s="9">
        <f>'MKT DATA'!R740</f>
        <v>0</v>
      </c>
      <c r="O32" s="9">
        <f>'MKT DATA'!S740</f>
        <v>0</v>
      </c>
      <c r="P32" s="9">
        <f>'MKT DATA'!T740</f>
        <v>0</v>
      </c>
      <c r="Q32" s="44" t="str">
        <f t="shared" si="3"/>
        <v>syn BTCF7/BTCU6/BTCX6</v>
      </c>
      <c r="R32" s="14">
        <f>'MKT DATA'!AB740</f>
        <v>0</v>
      </c>
    </row>
    <row r="33" spans="5:18" x14ac:dyDescent="0.25">
      <c r="E33" s="44" t="str">
        <f>'MKT DATA'!B741</f>
        <v>syn BTCF7/BTCV6/BTCX6</v>
      </c>
      <c r="F33" s="14">
        <f>'MKT DATA'!J741</f>
        <v>0</v>
      </c>
      <c r="G33" s="9">
        <f>'MKT DATA'!K741</f>
        <v>0</v>
      </c>
      <c r="H33" s="9">
        <f>'MKT DATA'!L741</f>
        <v>0</v>
      </c>
      <c r="I33" s="14">
        <f>'MKT DATA'!M741</f>
        <v>0</v>
      </c>
      <c r="J33" s="44" t="str">
        <f t="shared" si="2"/>
        <v>syn BTCF7/BTCV6/BTCX6</v>
      </c>
      <c r="K33" s="9">
        <f>'MKT DATA'!O741</f>
        <v>0</v>
      </c>
      <c r="L33" s="9">
        <f>'MKT DATA'!P741</f>
        <v>0</v>
      </c>
      <c r="M33" s="9">
        <f>'MKT DATA'!Q741</f>
        <v>0</v>
      </c>
      <c r="N33" s="9">
        <f>'MKT DATA'!R741</f>
        <v>0</v>
      </c>
      <c r="O33" s="9">
        <f>'MKT DATA'!S741</f>
        <v>0</v>
      </c>
      <c r="P33" s="9">
        <f>'MKT DATA'!T741</f>
        <v>0</v>
      </c>
      <c r="Q33" s="44" t="str">
        <f t="shared" si="3"/>
        <v>syn BTCF7/BTCV6/BTCX6</v>
      </c>
      <c r="R33" s="14">
        <f>'MKT DATA'!AB741</f>
        <v>0</v>
      </c>
    </row>
    <row r="34" spans="5:18" x14ac:dyDescent="0.25">
      <c r="E34" s="44" t="str">
        <f>'MKT DATA'!B742</f>
        <v>syn BTCF7/BTCZ6/BTCX6</v>
      </c>
      <c r="F34" s="14">
        <f>'MKT DATA'!J742</f>
        <v>0</v>
      </c>
      <c r="G34" s="9">
        <f>'MKT DATA'!K742</f>
        <v>0</v>
      </c>
      <c r="H34" s="9">
        <f>'MKT DATA'!L742</f>
        <v>0</v>
      </c>
      <c r="I34" s="14">
        <f>'MKT DATA'!M742</f>
        <v>0</v>
      </c>
      <c r="J34" s="44" t="str">
        <f t="shared" si="2"/>
        <v>syn BTCF7/BTCZ6/BTCX6</v>
      </c>
      <c r="K34" s="9">
        <f>'MKT DATA'!O742</f>
        <v>0</v>
      </c>
      <c r="L34" s="9">
        <f>'MKT DATA'!P742</f>
        <v>0</v>
      </c>
      <c r="M34" s="9">
        <f>'MKT DATA'!Q742</f>
        <v>0</v>
      </c>
      <c r="N34" s="9">
        <f>'MKT DATA'!R742</f>
        <v>0</v>
      </c>
      <c r="O34" s="9">
        <f>'MKT DATA'!S742</f>
        <v>0</v>
      </c>
      <c r="P34" s="9">
        <f>'MKT DATA'!T742</f>
        <v>0</v>
      </c>
      <c r="Q34" s="44" t="str">
        <f t="shared" si="3"/>
        <v>syn BTCF7/BTCZ6/BTCX6</v>
      </c>
      <c r="R34" s="14">
        <f>'MKT DATA'!AB742</f>
        <v>0</v>
      </c>
    </row>
    <row r="35" spans="5:18" x14ac:dyDescent="0.25">
      <c r="E35" s="44" t="str">
        <f>'MKT DATA'!B743</f>
        <v>syn BTCF7/BTCG7/BTCX6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BTCF7/BTCG7/BTCX6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BTCF7/BTCG7/BTCX6</v>
      </c>
      <c r="R35" s="14">
        <f>'MKT DATA'!AB743</f>
        <v>0</v>
      </c>
    </row>
    <row r="36" spans="5:18" x14ac:dyDescent="0.25">
      <c r="E36" s="44" t="str">
        <f>'MKT DATA'!B744</f>
        <v>syn BTCG7/BTCU6/BTCX6</v>
      </c>
      <c r="F36" s="14">
        <f>'MKT DATA'!J744</f>
        <v>0</v>
      </c>
      <c r="G36" s="9">
        <f>'MKT DATA'!K744</f>
        <v>0</v>
      </c>
      <c r="H36" s="9">
        <f>'MKT DATA'!L744</f>
        <v>0</v>
      </c>
      <c r="I36" s="14">
        <f>'MKT DATA'!M744</f>
        <v>0</v>
      </c>
      <c r="J36" s="44" t="str">
        <f t="shared" si="2"/>
        <v>syn BTCG7/BTCU6/BTCX6</v>
      </c>
      <c r="K36" s="9">
        <f>'MKT DATA'!O744</f>
        <v>0</v>
      </c>
      <c r="L36" s="9">
        <f>'MKT DATA'!P744</f>
        <v>0</v>
      </c>
      <c r="M36" s="9">
        <f>'MKT DATA'!Q744</f>
        <v>0</v>
      </c>
      <c r="N36" s="9">
        <f>'MKT DATA'!R744</f>
        <v>0</v>
      </c>
      <c r="O36" s="9">
        <f>'MKT DATA'!S744</f>
        <v>0</v>
      </c>
      <c r="P36" s="9">
        <f>'MKT DATA'!T744</f>
        <v>0</v>
      </c>
      <c r="Q36" s="44" t="str">
        <f t="shared" si="3"/>
        <v>syn BTCG7/BTCU6/BTCX6</v>
      </c>
      <c r="R36" s="14">
        <f>'MKT DATA'!AB744</f>
        <v>0</v>
      </c>
    </row>
    <row r="37" spans="5:18" x14ac:dyDescent="0.25">
      <c r="E37" s="44" t="str">
        <f>'MKT DATA'!B745</f>
        <v>syn BTCG7/BTCV6/BTCX6</v>
      </c>
      <c r="F37" s="14">
        <f>'MKT DATA'!J745</f>
        <v>0</v>
      </c>
      <c r="G37" s="9">
        <f>'MKT DATA'!K745</f>
        <v>0</v>
      </c>
      <c r="H37" s="9">
        <f>'MKT DATA'!L745</f>
        <v>0</v>
      </c>
      <c r="I37" s="14">
        <f>'MKT DATA'!M745</f>
        <v>0</v>
      </c>
      <c r="J37" s="44" t="str">
        <f t="shared" si="2"/>
        <v>syn BTCG7/BTCV6/BTCX6</v>
      </c>
      <c r="K37" s="9">
        <f>'MKT DATA'!O745</f>
        <v>0</v>
      </c>
      <c r="L37" s="9">
        <f>'MKT DATA'!P745</f>
        <v>0</v>
      </c>
      <c r="M37" s="9">
        <f>'MKT DATA'!Q745</f>
        <v>0</v>
      </c>
      <c r="N37" s="9">
        <f>'MKT DATA'!R745</f>
        <v>0</v>
      </c>
      <c r="O37" s="9">
        <f>'MKT DATA'!S745</f>
        <v>0</v>
      </c>
      <c r="P37" s="9">
        <f>'MKT DATA'!T745</f>
        <v>0</v>
      </c>
      <c r="Q37" s="44" t="str">
        <f t="shared" si="3"/>
        <v>syn BTCG7/BTCV6/BTCX6</v>
      </c>
      <c r="R37" s="14">
        <f>'MKT DATA'!AB745</f>
        <v>0</v>
      </c>
    </row>
    <row r="38" spans="5:18" x14ac:dyDescent="0.25">
      <c r="E38" s="44" t="str">
        <f>'MKT DATA'!B746</f>
        <v>syn BTCG7/BTCZ6/BTCX6</v>
      </c>
      <c r="F38" s="14">
        <f>'MKT DATA'!J746</f>
        <v>0</v>
      </c>
      <c r="G38" s="9">
        <f>'MKT DATA'!K746</f>
        <v>0</v>
      </c>
      <c r="H38" s="9">
        <f>'MKT DATA'!L746</f>
        <v>0</v>
      </c>
      <c r="I38" s="14">
        <f>'MKT DATA'!M746</f>
        <v>0</v>
      </c>
      <c r="J38" s="44" t="str">
        <f t="shared" si="2"/>
        <v>syn BTCG7/BTCZ6/BTCX6</v>
      </c>
      <c r="K38" s="9">
        <f>'MKT DATA'!O746</f>
        <v>0</v>
      </c>
      <c r="L38" s="9">
        <f>'MKT DATA'!P746</f>
        <v>0</v>
      </c>
      <c r="M38" s="9">
        <f>'MKT DATA'!Q746</f>
        <v>0</v>
      </c>
      <c r="N38" s="9">
        <f>'MKT DATA'!R746</f>
        <v>0</v>
      </c>
      <c r="O38" s="9">
        <f>'MKT DATA'!S746</f>
        <v>0</v>
      </c>
      <c r="P38" s="9">
        <f>'MKT DATA'!T746</f>
        <v>0</v>
      </c>
      <c r="Q38" s="44" t="str">
        <f t="shared" si="3"/>
        <v>syn BTCG7/BTCZ6/BTCX6</v>
      </c>
      <c r="R38" s="14">
        <f>'MKT DATA'!AB746</f>
        <v>0</v>
      </c>
    </row>
    <row r="39" spans="5:18" x14ac:dyDescent="0.25">
      <c r="E39" s="44" t="str">
        <f>'MKT DATA'!B747</f>
        <v>syn BTCG7/BTCF7/BTCX6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BTCG7/BTCF7/BTCX6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BTCG7/BTCF7/BTCX6</v>
      </c>
      <c r="R39" s="14">
        <f>'MKT DATA'!AB747</f>
        <v>0</v>
      </c>
    </row>
    <row r="40" spans="5:18" x14ac:dyDescent="0.25">
      <c r="E40" s="44" t="str">
        <f>'MKT DATA'!B748</f>
        <v>syn BTCU6/BTCV6/BTCZ6/BTCX6</v>
      </c>
      <c r="F40" s="14">
        <f>'MKT DATA'!J748</f>
        <v>0</v>
      </c>
      <c r="G40" s="9">
        <f>'MKT DATA'!K748</f>
        <v>0</v>
      </c>
      <c r="H40" s="9">
        <f>'MKT DATA'!L748</f>
        <v>0</v>
      </c>
      <c r="I40" s="14">
        <f>'MKT DATA'!M748</f>
        <v>0</v>
      </c>
      <c r="J40" s="44" t="str">
        <f t="shared" si="2"/>
        <v>syn BTCU6/BTCV6/BTCZ6/BTCX6</v>
      </c>
      <c r="K40" s="9">
        <f>'MKT DATA'!O748</f>
        <v>0</v>
      </c>
      <c r="L40" s="9">
        <f>'MKT DATA'!P748</f>
        <v>0</v>
      </c>
      <c r="M40" s="9">
        <f>'MKT DATA'!Q748</f>
        <v>0</v>
      </c>
      <c r="N40" s="9">
        <f>'MKT DATA'!R748</f>
        <v>0</v>
      </c>
      <c r="O40" s="9">
        <f>'MKT DATA'!S748</f>
        <v>0</v>
      </c>
      <c r="P40" s="9">
        <f>'MKT DATA'!T748</f>
        <v>0</v>
      </c>
      <c r="Q40" s="44" t="str">
        <f t="shared" si="3"/>
        <v>syn BTCU6/BTCV6/BTCZ6/BTCX6</v>
      </c>
      <c r="R40" s="14">
        <f>'MKT DATA'!AB748</f>
        <v>0</v>
      </c>
    </row>
    <row r="41" spans="5:18" x14ac:dyDescent="0.25">
      <c r="E41" s="44" t="str">
        <f>'MKT DATA'!B749</f>
        <v>syn BTCU6/BTCV6/BTCF7/BTCX6</v>
      </c>
      <c r="F41" s="14">
        <f>'MKT DATA'!J749</f>
        <v>0</v>
      </c>
      <c r="G41" s="9">
        <f>'MKT DATA'!K749</f>
        <v>0</v>
      </c>
      <c r="H41" s="9">
        <f>'MKT DATA'!L749</f>
        <v>0</v>
      </c>
      <c r="I41" s="14">
        <f>'MKT DATA'!M749</f>
        <v>0</v>
      </c>
      <c r="J41" s="44" t="str">
        <f t="shared" si="2"/>
        <v>syn BTCU6/BTCV6/BTCF7/BTCX6</v>
      </c>
      <c r="K41" s="9">
        <f>'MKT DATA'!O749</f>
        <v>0</v>
      </c>
      <c r="L41" s="9">
        <f>'MKT DATA'!P749</f>
        <v>0</v>
      </c>
      <c r="M41" s="9">
        <f>'MKT DATA'!Q749</f>
        <v>0</v>
      </c>
      <c r="N41" s="9">
        <f>'MKT DATA'!R749</f>
        <v>0</v>
      </c>
      <c r="O41" s="9">
        <f>'MKT DATA'!S749</f>
        <v>0</v>
      </c>
      <c r="P41" s="9">
        <f>'MKT DATA'!T749</f>
        <v>0</v>
      </c>
      <c r="Q41" s="44" t="str">
        <f t="shared" si="3"/>
        <v>syn BTCU6/BTCV6/BTCF7/BTCX6</v>
      </c>
      <c r="R41" s="14">
        <f>'MKT DATA'!AB749</f>
        <v>0</v>
      </c>
    </row>
    <row r="42" spans="5:18" x14ac:dyDescent="0.25">
      <c r="E42" s="44" t="str">
        <f>'MKT DATA'!B750</f>
        <v>syn BTCU6/BTCV6/BTCG7/BTCX6</v>
      </c>
      <c r="F42" s="14">
        <f>'MKT DATA'!J750</f>
        <v>0</v>
      </c>
      <c r="G42" s="9">
        <f>'MKT DATA'!K750</f>
        <v>0</v>
      </c>
      <c r="H42" s="9">
        <f>'MKT DATA'!L750</f>
        <v>0</v>
      </c>
      <c r="I42" s="14">
        <f>'MKT DATA'!M750</f>
        <v>0</v>
      </c>
      <c r="J42" s="44" t="str">
        <f t="shared" si="2"/>
        <v>syn BTCU6/BTCV6/BTCG7/BTCX6</v>
      </c>
      <c r="K42" s="9">
        <f>'MKT DATA'!O750</f>
        <v>0</v>
      </c>
      <c r="L42" s="9">
        <f>'MKT DATA'!P750</f>
        <v>0</v>
      </c>
      <c r="M42" s="9">
        <f>'MKT DATA'!Q750</f>
        <v>0</v>
      </c>
      <c r="N42" s="9">
        <f>'MKT DATA'!R750</f>
        <v>0</v>
      </c>
      <c r="O42" s="9">
        <f>'MKT DATA'!S750</f>
        <v>0</v>
      </c>
      <c r="P42" s="9">
        <f>'MKT DATA'!T750</f>
        <v>0</v>
      </c>
      <c r="Q42" s="44" t="str">
        <f t="shared" si="3"/>
        <v>syn BTCU6/BTCV6/BTCG7/BTCX6</v>
      </c>
      <c r="R42" s="14">
        <f>'MKT DATA'!AB750</f>
        <v>0</v>
      </c>
    </row>
    <row r="43" spans="5:18" x14ac:dyDescent="0.25">
      <c r="E43" s="44" t="str">
        <f>'MKT DATA'!B751</f>
        <v>syn BTCU6/BTCZ6/BTCV6/BTCX6</v>
      </c>
      <c r="F43" s="14">
        <f>'MKT DATA'!J751</f>
        <v>0</v>
      </c>
      <c r="G43" s="9">
        <f>'MKT DATA'!K751</f>
        <v>0</v>
      </c>
      <c r="H43" s="9">
        <f>'MKT DATA'!L751</f>
        <v>0</v>
      </c>
      <c r="I43" s="14">
        <f>'MKT DATA'!M751</f>
        <v>0</v>
      </c>
      <c r="J43" s="44" t="str">
        <f t="shared" si="2"/>
        <v>syn BTCU6/BTCZ6/BTCV6/BTCX6</v>
      </c>
      <c r="K43" s="9">
        <f>'MKT DATA'!O751</f>
        <v>0</v>
      </c>
      <c r="L43" s="9">
        <f>'MKT DATA'!P751</f>
        <v>0</v>
      </c>
      <c r="M43" s="9">
        <f>'MKT DATA'!Q751</f>
        <v>0</v>
      </c>
      <c r="N43" s="9">
        <f>'MKT DATA'!R751</f>
        <v>0</v>
      </c>
      <c r="O43" s="9">
        <f>'MKT DATA'!S751</f>
        <v>0</v>
      </c>
      <c r="P43" s="9">
        <f>'MKT DATA'!T751</f>
        <v>0</v>
      </c>
      <c r="Q43" s="44" t="str">
        <f t="shared" si="3"/>
        <v>syn BTCU6/BTCZ6/BTCV6/BTCX6</v>
      </c>
      <c r="R43" s="14">
        <f>'MKT DATA'!AB751</f>
        <v>0</v>
      </c>
    </row>
    <row r="44" spans="5:18" x14ac:dyDescent="0.25">
      <c r="E44" s="44" t="str">
        <f>'MKT DATA'!B752</f>
        <v>syn BTCU6/BTCZ6/BTCF7/BTCX6</v>
      </c>
      <c r="F44" s="14">
        <f>'MKT DATA'!J752</f>
        <v>0</v>
      </c>
      <c r="G44" s="9">
        <f>'MKT DATA'!K752</f>
        <v>0</v>
      </c>
      <c r="H44" s="9">
        <f>'MKT DATA'!L752</f>
        <v>0</v>
      </c>
      <c r="I44" s="14">
        <f>'MKT DATA'!M752</f>
        <v>0</v>
      </c>
      <c r="J44" s="44" t="str">
        <f t="shared" si="2"/>
        <v>syn BTCU6/BTCZ6/BTCF7/BTCX6</v>
      </c>
      <c r="K44" s="9">
        <f>'MKT DATA'!O752</f>
        <v>0</v>
      </c>
      <c r="L44" s="9">
        <f>'MKT DATA'!P752</f>
        <v>0</v>
      </c>
      <c r="M44" s="9">
        <f>'MKT DATA'!Q752</f>
        <v>0</v>
      </c>
      <c r="N44" s="9">
        <f>'MKT DATA'!R752</f>
        <v>0</v>
      </c>
      <c r="O44" s="9">
        <f>'MKT DATA'!S752</f>
        <v>0</v>
      </c>
      <c r="P44" s="9">
        <f>'MKT DATA'!T752</f>
        <v>0</v>
      </c>
      <c r="Q44" s="44" t="str">
        <f t="shared" si="3"/>
        <v>syn BTCU6/BTCZ6/BTCF7/BTCX6</v>
      </c>
      <c r="R44" s="14">
        <f>'MKT DATA'!AB752</f>
        <v>0</v>
      </c>
    </row>
    <row r="45" spans="5:18" x14ac:dyDescent="0.25">
      <c r="E45" s="44" t="str">
        <f>'MKT DATA'!B753</f>
        <v>syn BTCU6/BTCZ6/BTCG7/BTCX6</v>
      </c>
      <c r="F45" s="14">
        <f>'MKT DATA'!J753</f>
        <v>0</v>
      </c>
      <c r="G45" s="9">
        <f>'MKT DATA'!K753</f>
        <v>0</v>
      </c>
      <c r="H45" s="9">
        <f>'MKT DATA'!L753</f>
        <v>0</v>
      </c>
      <c r="I45" s="14">
        <f>'MKT DATA'!M753</f>
        <v>0</v>
      </c>
      <c r="J45" s="44" t="str">
        <f t="shared" si="2"/>
        <v>syn BTCU6/BTCZ6/BTCG7/BTCX6</v>
      </c>
      <c r="K45" s="9">
        <f>'MKT DATA'!O753</f>
        <v>0</v>
      </c>
      <c r="L45" s="9">
        <f>'MKT DATA'!P753</f>
        <v>0</v>
      </c>
      <c r="M45" s="9">
        <f>'MKT DATA'!Q753</f>
        <v>0</v>
      </c>
      <c r="N45" s="9">
        <f>'MKT DATA'!R753</f>
        <v>0</v>
      </c>
      <c r="O45" s="9">
        <f>'MKT DATA'!S753</f>
        <v>0</v>
      </c>
      <c r="P45" s="9">
        <f>'MKT DATA'!T753</f>
        <v>0</v>
      </c>
      <c r="Q45" s="44" t="str">
        <f t="shared" si="3"/>
        <v>syn BTCU6/BTCZ6/BTCG7/BTCX6</v>
      </c>
      <c r="R45" s="14">
        <f>'MKT DATA'!AB753</f>
        <v>0</v>
      </c>
    </row>
    <row r="46" spans="5:18" x14ac:dyDescent="0.25">
      <c r="E46" s="44" t="str">
        <f>'MKT DATA'!B754</f>
        <v>syn BTCU6/BTCF7/BTCV6/BTCX6</v>
      </c>
      <c r="F46" s="14">
        <f>'MKT DATA'!J754</f>
        <v>0</v>
      </c>
      <c r="G46" s="9">
        <f>'MKT DATA'!K754</f>
        <v>0</v>
      </c>
      <c r="H46" s="9">
        <f>'MKT DATA'!L754</f>
        <v>0</v>
      </c>
      <c r="I46" s="14">
        <f>'MKT DATA'!M754</f>
        <v>0</v>
      </c>
      <c r="J46" s="44" t="str">
        <f t="shared" si="2"/>
        <v>syn BTCU6/BTCF7/BTCV6/BTCX6</v>
      </c>
      <c r="K46" s="9">
        <f>'MKT DATA'!O754</f>
        <v>0</v>
      </c>
      <c r="L46" s="9">
        <f>'MKT DATA'!P754</f>
        <v>0</v>
      </c>
      <c r="M46" s="9">
        <f>'MKT DATA'!Q754</f>
        <v>0</v>
      </c>
      <c r="N46" s="9">
        <f>'MKT DATA'!R754</f>
        <v>0</v>
      </c>
      <c r="O46" s="9">
        <f>'MKT DATA'!S754</f>
        <v>0</v>
      </c>
      <c r="P46" s="9">
        <f>'MKT DATA'!T754</f>
        <v>0</v>
      </c>
      <c r="Q46" s="44" t="str">
        <f t="shared" si="3"/>
        <v>syn BTCU6/BTCF7/BTCV6/BTCX6</v>
      </c>
      <c r="R46" s="14">
        <f>'MKT DATA'!AB754</f>
        <v>0</v>
      </c>
    </row>
    <row r="47" spans="5:18" x14ac:dyDescent="0.25">
      <c r="E47" s="44" t="str">
        <f>'MKT DATA'!B755</f>
        <v>syn BTCU6/BTCF7/BTCZ6/BTCX6</v>
      </c>
      <c r="F47" s="14">
        <f>'MKT DATA'!J755</f>
        <v>0</v>
      </c>
      <c r="G47" s="9">
        <f>'MKT DATA'!K755</f>
        <v>0</v>
      </c>
      <c r="H47" s="9">
        <f>'MKT DATA'!L755</f>
        <v>0</v>
      </c>
      <c r="I47" s="14">
        <f>'MKT DATA'!M755</f>
        <v>0</v>
      </c>
      <c r="J47" s="44" t="str">
        <f t="shared" si="2"/>
        <v>syn BTCU6/BTCF7/BTCZ6/BTCX6</v>
      </c>
      <c r="K47" s="9">
        <f>'MKT DATA'!O755</f>
        <v>0</v>
      </c>
      <c r="L47" s="9">
        <f>'MKT DATA'!P755</f>
        <v>0</v>
      </c>
      <c r="M47" s="9">
        <f>'MKT DATA'!Q755</f>
        <v>0</v>
      </c>
      <c r="N47" s="9">
        <f>'MKT DATA'!R755</f>
        <v>0</v>
      </c>
      <c r="O47" s="9">
        <f>'MKT DATA'!S755</f>
        <v>0</v>
      </c>
      <c r="P47" s="9">
        <f>'MKT DATA'!T755</f>
        <v>0</v>
      </c>
      <c r="Q47" s="44" t="str">
        <f t="shared" si="3"/>
        <v>syn BTCU6/BTCF7/BTCZ6/BTCX6</v>
      </c>
      <c r="R47" s="14">
        <f>'MKT DATA'!AB755</f>
        <v>0</v>
      </c>
    </row>
    <row r="48" spans="5:18" x14ac:dyDescent="0.25">
      <c r="E48" s="44" t="str">
        <f>'MKT DATA'!B756</f>
        <v>syn BTCU6/BTCF7/BTCG7/BTCX6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BTCU6/BTCF7/BTCG7/BTCX6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BTCU6/BTCF7/BTCG7/BTCX6</v>
      </c>
      <c r="R48" s="14">
        <f>'MKT DATA'!AB756</f>
        <v>0</v>
      </c>
    </row>
    <row r="49" spans="5:18" x14ac:dyDescent="0.25">
      <c r="E49" s="44" t="str">
        <f>'MKT DATA'!B757</f>
        <v>syn BTCU6/BTCG7/BTCV6/BTCX6</v>
      </c>
      <c r="F49" s="14">
        <f>'MKT DATA'!J757</f>
        <v>0</v>
      </c>
      <c r="G49" s="9">
        <f>'MKT DATA'!K757</f>
        <v>0</v>
      </c>
      <c r="H49" s="9">
        <f>'MKT DATA'!L757</f>
        <v>0</v>
      </c>
      <c r="I49" s="14">
        <f>'MKT DATA'!M757</f>
        <v>0</v>
      </c>
      <c r="J49" s="44" t="str">
        <f t="shared" si="2"/>
        <v>syn BTCU6/BTCG7/BTCV6/BTCX6</v>
      </c>
      <c r="K49" s="9">
        <f>'MKT DATA'!O757</f>
        <v>0</v>
      </c>
      <c r="L49" s="9">
        <f>'MKT DATA'!P757</f>
        <v>0</v>
      </c>
      <c r="M49" s="9">
        <f>'MKT DATA'!Q757</f>
        <v>0</v>
      </c>
      <c r="N49" s="9">
        <f>'MKT DATA'!R757</f>
        <v>0</v>
      </c>
      <c r="O49" s="9">
        <f>'MKT DATA'!S757</f>
        <v>0</v>
      </c>
      <c r="P49" s="9">
        <f>'MKT DATA'!T757</f>
        <v>0</v>
      </c>
      <c r="Q49" s="44" t="str">
        <f t="shared" si="3"/>
        <v>syn BTCU6/BTCG7/BTCV6/BTCX6</v>
      </c>
      <c r="R49" s="14">
        <f>'MKT DATA'!AB757</f>
        <v>0</v>
      </c>
    </row>
    <row r="50" spans="5:18" x14ac:dyDescent="0.25">
      <c r="E50" s="44" t="str">
        <f>'MKT DATA'!B758</f>
        <v>syn BTCU6/BTCG7/BTCZ6/BTCX6</v>
      </c>
      <c r="F50" s="14">
        <f>'MKT DATA'!J758</f>
        <v>0</v>
      </c>
      <c r="G50" s="9">
        <f>'MKT DATA'!K758</f>
        <v>0</v>
      </c>
      <c r="H50" s="9">
        <f>'MKT DATA'!L758</f>
        <v>0</v>
      </c>
      <c r="I50" s="14">
        <f>'MKT DATA'!M758</f>
        <v>0</v>
      </c>
      <c r="J50" s="44" t="str">
        <f t="shared" si="2"/>
        <v>syn BTCU6/BTCG7/BTCZ6/BTCX6</v>
      </c>
      <c r="K50" s="9">
        <f>'MKT DATA'!O758</f>
        <v>0</v>
      </c>
      <c r="L50" s="9">
        <f>'MKT DATA'!P758</f>
        <v>0</v>
      </c>
      <c r="M50" s="9">
        <f>'MKT DATA'!Q758</f>
        <v>0</v>
      </c>
      <c r="N50" s="9">
        <f>'MKT DATA'!R758</f>
        <v>0</v>
      </c>
      <c r="O50" s="9">
        <f>'MKT DATA'!S758</f>
        <v>0</v>
      </c>
      <c r="P50" s="9">
        <f>'MKT DATA'!T758</f>
        <v>0</v>
      </c>
      <c r="Q50" s="44" t="str">
        <f t="shared" si="3"/>
        <v>syn BTCU6/BTCG7/BTCZ6/BTCX6</v>
      </c>
      <c r="R50" s="14">
        <f>'MKT DATA'!AB758</f>
        <v>0</v>
      </c>
    </row>
    <row r="51" spans="5:18" x14ac:dyDescent="0.25">
      <c r="E51" s="44" t="str">
        <f>'MKT DATA'!B759</f>
        <v>syn BTCU6/BTCG7/BTCF7/BTCX6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BTCU6/BTCG7/BTCF7/BTCX6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BTCU6/BTCG7/BTCF7/BTCX6</v>
      </c>
      <c r="R51" s="14">
        <f>'MKT DATA'!AB759</f>
        <v>0</v>
      </c>
    </row>
    <row r="52" spans="5:18" x14ac:dyDescent="0.25">
      <c r="E52" s="44" t="str">
        <f>'MKT DATA'!B760</f>
        <v>syn BTCV6/BTCU6/BTCZ6/BTCX6</v>
      </c>
      <c r="F52" s="14">
        <f>'MKT DATA'!J760</f>
        <v>0</v>
      </c>
      <c r="G52" s="9">
        <f>'MKT DATA'!K760</f>
        <v>0</v>
      </c>
      <c r="H52" s="9">
        <f>'MKT DATA'!L760</f>
        <v>0</v>
      </c>
      <c r="I52" s="14">
        <f>'MKT DATA'!M760</f>
        <v>0</v>
      </c>
      <c r="J52" s="44" t="str">
        <f t="shared" si="2"/>
        <v>syn BTCV6/BTCU6/BTCZ6/BTCX6</v>
      </c>
      <c r="K52" s="9">
        <f>'MKT DATA'!O760</f>
        <v>0</v>
      </c>
      <c r="L52" s="9">
        <f>'MKT DATA'!P760</f>
        <v>0</v>
      </c>
      <c r="M52" s="9">
        <f>'MKT DATA'!Q760</f>
        <v>0</v>
      </c>
      <c r="N52" s="9">
        <f>'MKT DATA'!R760</f>
        <v>0</v>
      </c>
      <c r="O52" s="9">
        <f>'MKT DATA'!S760</f>
        <v>0</v>
      </c>
      <c r="P52" s="9">
        <f>'MKT DATA'!T760</f>
        <v>0</v>
      </c>
      <c r="Q52" s="44" t="str">
        <f t="shared" si="3"/>
        <v>syn BTCV6/BTCU6/BTCZ6/BTCX6</v>
      </c>
      <c r="R52" s="14">
        <f>'MKT DATA'!AB760</f>
        <v>0</v>
      </c>
    </row>
    <row r="53" spans="5:18" x14ac:dyDescent="0.25">
      <c r="E53" s="44" t="str">
        <f>'MKT DATA'!B761</f>
        <v>syn BTCV6/BTCU6/BTCF7/BTCX6</v>
      </c>
      <c r="F53" s="14">
        <f>'MKT DATA'!J761</f>
        <v>0</v>
      </c>
      <c r="G53" s="9">
        <f>'MKT DATA'!K761</f>
        <v>0</v>
      </c>
      <c r="H53" s="9">
        <f>'MKT DATA'!L761</f>
        <v>0</v>
      </c>
      <c r="I53" s="14">
        <f>'MKT DATA'!M761</f>
        <v>0</v>
      </c>
      <c r="J53" s="44" t="str">
        <f t="shared" si="2"/>
        <v>syn BTCV6/BTCU6/BTCF7/BTCX6</v>
      </c>
      <c r="K53" s="9">
        <f>'MKT DATA'!O761</f>
        <v>0</v>
      </c>
      <c r="L53" s="9">
        <f>'MKT DATA'!P761</f>
        <v>0</v>
      </c>
      <c r="M53" s="9">
        <f>'MKT DATA'!Q761</f>
        <v>0</v>
      </c>
      <c r="N53" s="9">
        <f>'MKT DATA'!R761</f>
        <v>0</v>
      </c>
      <c r="O53" s="9">
        <f>'MKT DATA'!S761</f>
        <v>0</v>
      </c>
      <c r="P53" s="9">
        <f>'MKT DATA'!T761</f>
        <v>0</v>
      </c>
      <c r="Q53" s="44" t="str">
        <f t="shared" si="3"/>
        <v>syn BTCV6/BTCU6/BTCF7/BTCX6</v>
      </c>
      <c r="R53" s="14">
        <f>'MKT DATA'!AB761</f>
        <v>0</v>
      </c>
    </row>
    <row r="54" spans="5:18" x14ac:dyDescent="0.25">
      <c r="E54" s="44" t="str">
        <f>'MKT DATA'!B762</f>
        <v>syn BTCV6/BTCU6/BTCG7/BTCX6</v>
      </c>
      <c r="F54" s="14">
        <f>'MKT DATA'!J762</f>
        <v>0</v>
      </c>
      <c r="G54" s="9">
        <f>'MKT DATA'!K762</f>
        <v>0</v>
      </c>
      <c r="H54" s="9">
        <f>'MKT DATA'!L762</f>
        <v>0</v>
      </c>
      <c r="I54" s="14">
        <f>'MKT DATA'!M762</f>
        <v>0</v>
      </c>
      <c r="J54" s="44" t="str">
        <f t="shared" si="2"/>
        <v>syn BTCV6/BTCU6/BTCG7/BTCX6</v>
      </c>
      <c r="K54" s="9">
        <f>'MKT DATA'!O762</f>
        <v>0</v>
      </c>
      <c r="L54" s="9">
        <f>'MKT DATA'!P762</f>
        <v>0</v>
      </c>
      <c r="M54" s="9">
        <f>'MKT DATA'!Q762</f>
        <v>0</v>
      </c>
      <c r="N54" s="9">
        <f>'MKT DATA'!R762</f>
        <v>0</v>
      </c>
      <c r="O54" s="9">
        <f>'MKT DATA'!S762</f>
        <v>0</v>
      </c>
      <c r="P54" s="9">
        <f>'MKT DATA'!T762</f>
        <v>0</v>
      </c>
      <c r="Q54" s="44" t="str">
        <f t="shared" si="3"/>
        <v>syn BTCV6/BTCU6/BTCG7/BTCX6</v>
      </c>
      <c r="R54" s="14">
        <f>'MKT DATA'!AB762</f>
        <v>0</v>
      </c>
    </row>
    <row r="55" spans="5:18" x14ac:dyDescent="0.25">
      <c r="E55" s="44" t="str">
        <f>'MKT DATA'!B763</f>
        <v>syn BTCV6/BTCZ6/BTCU6/BTCX6</v>
      </c>
      <c r="F55" s="14">
        <f>'MKT DATA'!J763</f>
        <v>0</v>
      </c>
      <c r="G55" s="9">
        <f>'MKT DATA'!K763</f>
        <v>0</v>
      </c>
      <c r="H55" s="9">
        <f>'MKT DATA'!L763</f>
        <v>0</v>
      </c>
      <c r="I55" s="14">
        <f>'MKT DATA'!M763</f>
        <v>0</v>
      </c>
      <c r="J55" s="44" t="str">
        <f t="shared" si="2"/>
        <v>syn BTCV6/BTCZ6/BTCU6/BTCX6</v>
      </c>
      <c r="K55" s="9">
        <f>'MKT DATA'!O763</f>
        <v>0</v>
      </c>
      <c r="L55" s="9">
        <f>'MKT DATA'!P763</f>
        <v>0</v>
      </c>
      <c r="M55" s="9">
        <f>'MKT DATA'!Q763</f>
        <v>0</v>
      </c>
      <c r="N55" s="9">
        <f>'MKT DATA'!R763</f>
        <v>0</v>
      </c>
      <c r="O55" s="9">
        <f>'MKT DATA'!S763</f>
        <v>0</v>
      </c>
      <c r="P55" s="9">
        <f>'MKT DATA'!T763</f>
        <v>0</v>
      </c>
      <c r="Q55" s="44" t="str">
        <f t="shared" si="3"/>
        <v>syn BTCV6/BTCZ6/BTCU6/BTCX6</v>
      </c>
      <c r="R55" s="14">
        <f>'MKT DATA'!AB763</f>
        <v>0</v>
      </c>
    </row>
    <row r="56" spans="5:18" x14ac:dyDescent="0.25">
      <c r="E56" s="44" t="str">
        <f>'MKT DATA'!B764</f>
        <v>syn BTCV6/BTCZ6/BTCF7/BTCX6</v>
      </c>
      <c r="F56" s="14">
        <f>'MKT DATA'!J764</f>
        <v>0</v>
      </c>
      <c r="G56" s="9">
        <f>'MKT DATA'!K764</f>
        <v>0</v>
      </c>
      <c r="H56" s="9">
        <f>'MKT DATA'!L764</f>
        <v>0</v>
      </c>
      <c r="I56" s="14">
        <f>'MKT DATA'!M764</f>
        <v>0</v>
      </c>
      <c r="J56" s="44" t="str">
        <f t="shared" si="2"/>
        <v>syn BTCV6/BTCZ6/BTCF7/BTCX6</v>
      </c>
      <c r="K56" s="9">
        <f>'MKT DATA'!O764</f>
        <v>0</v>
      </c>
      <c r="L56" s="9">
        <f>'MKT DATA'!P764</f>
        <v>0</v>
      </c>
      <c r="M56" s="9">
        <f>'MKT DATA'!Q764</f>
        <v>0</v>
      </c>
      <c r="N56" s="9">
        <f>'MKT DATA'!R764</f>
        <v>0</v>
      </c>
      <c r="O56" s="9">
        <f>'MKT DATA'!S764</f>
        <v>0</v>
      </c>
      <c r="P56" s="9">
        <f>'MKT DATA'!T764</f>
        <v>0</v>
      </c>
      <c r="Q56" s="44" t="str">
        <f t="shared" si="3"/>
        <v>syn BTCV6/BTCZ6/BTCF7/BTCX6</v>
      </c>
      <c r="R56" s="14">
        <f>'MKT DATA'!AB764</f>
        <v>0</v>
      </c>
    </row>
    <row r="57" spans="5:18" x14ac:dyDescent="0.25">
      <c r="E57" s="44" t="str">
        <f>'MKT DATA'!B765</f>
        <v>syn BTCV6/BTCZ6/BTCG7/BTCX6</v>
      </c>
      <c r="F57" s="14">
        <f>'MKT DATA'!J765</f>
        <v>0</v>
      </c>
      <c r="G57" s="9">
        <f>'MKT DATA'!K765</f>
        <v>0</v>
      </c>
      <c r="H57" s="9">
        <f>'MKT DATA'!L765</f>
        <v>0</v>
      </c>
      <c r="I57" s="14">
        <f>'MKT DATA'!M765</f>
        <v>0</v>
      </c>
      <c r="J57" s="44" t="str">
        <f t="shared" si="2"/>
        <v>syn BTCV6/BTCZ6/BTCG7/BTCX6</v>
      </c>
      <c r="K57" s="9">
        <f>'MKT DATA'!O765</f>
        <v>0</v>
      </c>
      <c r="L57" s="9">
        <f>'MKT DATA'!P765</f>
        <v>0</v>
      </c>
      <c r="M57" s="9">
        <f>'MKT DATA'!Q765</f>
        <v>0</v>
      </c>
      <c r="N57" s="9">
        <f>'MKT DATA'!R765</f>
        <v>0</v>
      </c>
      <c r="O57" s="9">
        <f>'MKT DATA'!S765</f>
        <v>0</v>
      </c>
      <c r="P57" s="9">
        <f>'MKT DATA'!T765</f>
        <v>0</v>
      </c>
      <c r="Q57" s="44" t="str">
        <f t="shared" si="3"/>
        <v>syn BTCV6/BTCZ6/BTCG7/BTCX6</v>
      </c>
      <c r="R57" s="14">
        <f>'MKT DATA'!AB765</f>
        <v>0</v>
      </c>
    </row>
    <row r="58" spans="5:18" x14ac:dyDescent="0.25">
      <c r="E58" s="44" t="str">
        <f>'MKT DATA'!B766</f>
        <v>syn BTCV6/BTCF7/BTCU6/BTCX6</v>
      </c>
      <c r="F58" s="14">
        <f>'MKT DATA'!J766</f>
        <v>0</v>
      </c>
      <c r="G58" s="9">
        <f>'MKT DATA'!K766</f>
        <v>0</v>
      </c>
      <c r="H58" s="9">
        <f>'MKT DATA'!L766</f>
        <v>0</v>
      </c>
      <c r="I58" s="14">
        <f>'MKT DATA'!M766</f>
        <v>0</v>
      </c>
      <c r="J58" s="44" t="str">
        <f t="shared" si="2"/>
        <v>syn BTCV6/BTCF7/BTCU6/BTCX6</v>
      </c>
      <c r="K58" s="9">
        <f>'MKT DATA'!O766</f>
        <v>0</v>
      </c>
      <c r="L58" s="9">
        <f>'MKT DATA'!P766</f>
        <v>0</v>
      </c>
      <c r="M58" s="9">
        <f>'MKT DATA'!Q766</f>
        <v>0</v>
      </c>
      <c r="N58" s="9">
        <f>'MKT DATA'!R766</f>
        <v>0</v>
      </c>
      <c r="O58" s="9">
        <f>'MKT DATA'!S766</f>
        <v>0</v>
      </c>
      <c r="P58" s="9">
        <f>'MKT DATA'!T766</f>
        <v>0</v>
      </c>
      <c r="Q58" s="44" t="str">
        <f t="shared" si="3"/>
        <v>syn BTCV6/BTCF7/BTCU6/BTCX6</v>
      </c>
      <c r="R58" s="14">
        <f>'MKT DATA'!AB766</f>
        <v>0</v>
      </c>
    </row>
    <row r="59" spans="5:18" x14ac:dyDescent="0.25">
      <c r="E59" s="44" t="str">
        <f>'MKT DATA'!B767</f>
        <v>syn BTCV6/BTCF7/BTCZ6/BTCX6</v>
      </c>
      <c r="F59" s="14">
        <f>'MKT DATA'!J767</f>
        <v>0</v>
      </c>
      <c r="G59" s="9">
        <f>'MKT DATA'!K767</f>
        <v>0</v>
      </c>
      <c r="H59" s="9">
        <f>'MKT DATA'!L767</f>
        <v>0</v>
      </c>
      <c r="I59" s="14">
        <f>'MKT DATA'!M767</f>
        <v>0</v>
      </c>
      <c r="J59" s="44" t="str">
        <f t="shared" si="2"/>
        <v>syn BTCV6/BTCF7/BTCZ6/BTCX6</v>
      </c>
      <c r="K59" s="9">
        <f>'MKT DATA'!O767</f>
        <v>0</v>
      </c>
      <c r="L59" s="9">
        <f>'MKT DATA'!P767</f>
        <v>0</v>
      </c>
      <c r="M59" s="9">
        <f>'MKT DATA'!Q767</f>
        <v>0</v>
      </c>
      <c r="N59" s="9">
        <f>'MKT DATA'!R767</f>
        <v>0</v>
      </c>
      <c r="O59" s="9">
        <f>'MKT DATA'!S767</f>
        <v>0</v>
      </c>
      <c r="P59" s="9">
        <f>'MKT DATA'!T767</f>
        <v>0</v>
      </c>
      <c r="Q59" s="44" t="str">
        <f t="shared" si="3"/>
        <v>syn BTCV6/BTCF7/BTCZ6/BTCX6</v>
      </c>
      <c r="R59" s="14">
        <f>'MKT DATA'!AB767</f>
        <v>0</v>
      </c>
    </row>
    <row r="60" spans="5:18" x14ac:dyDescent="0.25">
      <c r="E60" s="44" t="str">
        <f>'MKT DATA'!B768</f>
        <v>syn BTCV6/BTCF7/BTCG7/BTCX6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BTCV6/BTCF7/BTCG7/BTCX6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BTCV6/BTCF7/BTCG7/BTCX6</v>
      </c>
      <c r="R60" s="14">
        <f>'MKT DATA'!AB768</f>
        <v>0</v>
      </c>
    </row>
    <row r="61" spans="5:18" x14ac:dyDescent="0.25">
      <c r="E61" s="44" t="str">
        <f>'MKT DATA'!B769</f>
        <v>syn BTCV6/BTCG7/BTCU6/BTCX6</v>
      </c>
      <c r="F61" s="14">
        <f>'MKT DATA'!J769</f>
        <v>0</v>
      </c>
      <c r="G61" s="9">
        <f>'MKT DATA'!K769</f>
        <v>0</v>
      </c>
      <c r="H61" s="9">
        <f>'MKT DATA'!L769</f>
        <v>0</v>
      </c>
      <c r="I61" s="14">
        <f>'MKT DATA'!M769</f>
        <v>0</v>
      </c>
      <c r="J61" s="44" t="str">
        <f t="shared" si="2"/>
        <v>syn BTCV6/BTCG7/BTCU6/BTCX6</v>
      </c>
      <c r="K61" s="9">
        <f>'MKT DATA'!O769</f>
        <v>0</v>
      </c>
      <c r="L61" s="9">
        <f>'MKT DATA'!P769</f>
        <v>0</v>
      </c>
      <c r="M61" s="9">
        <f>'MKT DATA'!Q769</f>
        <v>0</v>
      </c>
      <c r="N61" s="9">
        <f>'MKT DATA'!R769</f>
        <v>0</v>
      </c>
      <c r="O61" s="9">
        <f>'MKT DATA'!S769</f>
        <v>0</v>
      </c>
      <c r="P61" s="9">
        <f>'MKT DATA'!T769</f>
        <v>0</v>
      </c>
      <c r="Q61" s="44" t="str">
        <f t="shared" si="3"/>
        <v>syn BTCV6/BTCG7/BTCU6/BTCX6</v>
      </c>
      <c r="R61" s="14">
        <f>'MKT DATA'!AB769</f>
        <v>0</v>
      </c>
    </row>
    <row r="62" spans="5:18" x14ac:dyDescent="0.25">
      <c r="E62" s="44" t="str">
        <f>'MKT DATA'!B770</f>
        <v>syn BTCV6/BTCG7/BTCZ6/BTCX6</v>
      </c>
      <c r="F62" s="14">
        <f>'MKT DATA'!J770</f>
        <v>0</v>
      </c>
      <c r="G62" s="9">
        <f>'MKT DATA'!K770</f>
        <v>0</v>
      </c>
      <c r="H62" s="9">
        <f>'MKT DATA'!L770</f>
        <v>0</v>
      </c>
      <c r="I62" s="14">
        <f>'MKT DATA'!M770</f>
        <v>0</v>
      </c>
      <c r="J62" s="44" t="str">
        <f t="shared" si="2"/>
        <v>syn BTCV6/BTCG7/BTCZ6/BTCX6</v>
      </c>
      <c r="K62" s="9">
        <f>'MKT DATA'!O770</f>
        <v>0</v>
      </c>
      <c r="L62" s="9">
        <f>'MKT DATA'!P770</f>
        <v>0</v>
      </c>
      <c r="M62" s="9">
        <f>'MKT DATA'!Q770</f>
        <v>0</v>
      </c>
      <c r="N62" s="9">
        <f>'MKT DATA'!R770</f>
        <v>0</v>
      </c>
      <c r="O62" s="9">
        <f>'MKT DATA'!S770</f>
        <v>0</v>
      </c>
      <c r="P62" s="9">
        <f>'MKT DATA'!T770</f>
        <v>0</v>
      </c>
      <c r="Q62" s="44" t="str">
        <f t="shared" si="3"/>
        <v>syn BTCV6/BTCG7/BTCZ6/BTCX6</v>
      </c>
      <c r="R62" s="14">
        <f>'MKT DATA'!AB770</f>
        <v>0</v>
      </c>
    </row>
    <row r="63" spans="5:18" x14ac:dyDescent="0.25">
      <c r="E63" s="44" t="str">
        <f>'MKT DATA'!B771</f>
        <v>syn BTCV6/BTCG7/BTCF7/BTCX6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BTCV6/BTCG7/BTCF7/BTCX6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BTCV6/BTCG7/BTCF7/BTCX6</v>
      </c>
      <c r="R63" s="14">
        <f>'MKT DATA'!AB771</f>
        <v>0</v>
      </c>
    </row>
    <row r="64" spans="5:18" x14ac:dyDescent="0.25">
      <c r="E64" s="44" t="str">
        <f>'MKT DATA'!B772</f>
        <v>syn BTCZ6/BTCU6/BTCV6/BTCX6</v>
      </c>
      <c r="F64" s="14">
        <f>'MKT DATA'!J772</f>
        <v>0</v>
      </c>
      <c r="G64" s="9">
        <f>'MKT DATA'!K772</f>
        <v>0</v>
      </c>
      <c r="H64" s="9">
        <f>'MKT DATA'!L772</f>
        <v>0</v>
      </c>
      <c r="I64" s="14">
        <f>'MKT DATA'!M772</f>
        <v>0</v>
      </c>
      <c r="J64" s="44" t="str">
        <f t="shared" si="2"/>
        <v>syn BTCZ6/BTCU6/BTCV6/BTCX6</v>
      </c>
      <c r="K64" s="9">
        <f>'MKT DATA'!O772</f>
        <v>0</v>
      </c>
      <c r="L64" s="9">
        <f>'MKT DATA'!P772</f>
        <v>0</v>
      </c>
      <c r="M64" s="9">
        <f>'MKT DATA'!Q772</f>
        <v>0</v>
      </c>
      <c r="N64" s="9">
        <f>'MKT DATA'!R772</f>
        <v>0</v>
      </c>
      <c r="O64" s="9">
        <f>'MKT DATA'!S772</f>
        <v>0</v>
      </c>
      <c r="P64" s="9">
        <f>'MKT DATA'!T772</f>
        <v>0</v>
      </c>
      <c r="Q64" s="44" t="str">
        <f t="shared" si="3"/>
        <v>syn BTCZ6/BTCU6/BTCV6/BTCX6</v>
      </c>
      <c r="R64" s="14">
        <f>'MKT DATA'!AB772</f>
        <v>0</v>
      </c>
    </row>
    <row r="65" spans="5:18" x14ac:dyDescent="0.25">
      <c r="E65" s="44" t="str">
        <f>'MKT DATA'!B773</f>
        <v>syn BTCZ6/BTCU6/BTCF7/BTCX6</v>
      </c>
      <c r="F65" s="14">
        <f>'MKT DATA'!J773</f>
        <v>0</v>
      </c>
      <c r="G65" s="9">
        <f>'MKT DATA'!K773</f>
        <v>0</v>
      </c>
      <c r="H65" s="9">
        <f>'MKT DATA'!L773</f>
        <v>0</v>
      </c>
      <c r="I65" s="14">
        <f>'MKT DATA'!M773</f>
        <v>0</v>
      </c>
      <c r="J65" s="44" t="str">
        <f t="shared" si="2"/>
        <v>syn BTCZ6/BTCU6/BTCF7/BTCX6</v>
      </c>
      <c r="K65" s="9">
        <f>'MKT DATA'!O773</f>
        <v>0</v>
      </c>
      <c r="L65" s="9">
        <f>'MKT DATA'!P773</f>
        <v>0</v>
      </c>
      <c r="M65" s="9">
        <f>'MKT DATA'!Q773</f>
        <v>0</v>
      </c>
      <c r="N65" s="9">
        <f>'MKT DATA'!R773</f>
        <v>0</v>
      </c>
      <c r="O65" s="9">
        <f>'MKT DATA'!S773</f>
        <v>0</v>
      </c>
      <c r="P65" s="9">
        <f>'MKT DATA'!T773</f>
        <v>0</v>
      </c>
      <c r="Q65" s="44" t="str">
        <f t="shared" si="3"/>
        <v>syn BTCZ6/BTCU6/BTCF7/BTCX6</v>
      </c>
      <c r="R65" s="14">
        <f>'MKT DATA'!AB773</f>
        <v>0</v>
      </c>
    </row>
    <row r="66" spans="5:18" x14ac:dyDescent="0.25">
      <c r="E66" s="44" t="str">
        <f>'MKT DATA'!B774</f>
        <v>syn BTCZ6/BTCU6/BTCG7/BTCX6</v>
      </c>
      <c r="F66" s="14">
        <f>'MKT DATA'!J774</f>
        <v>0</v>
      </c>
      <c r="G66" s="9">
        <f>'MKT DATA'!K774</f>
        <v>0</v>
      </c>
      <c r="H66" s="9">
        <f>'MKT DATA'!L774</f>
        <v>0</v>
      </c>
      <c r="I66" s="14">
        <f>'MKT DATA'!M774</f>
        <v>0</v>
      </c>
      <c r="J66" s="44" t="str">
        <f t="shared" si="2"/>
        <v>syn BTCZ6/BTCU6/BTCG7/BTCX6</v>
      </c>
      <c r="K66" s="9">
        <f>'MKT DATA'!O774</f>
        <v>0</v>
      </c>
      <c r="L66" s="9">
        <f>'MKT DATA'!P774</f>
        <v>0</v>
      </c>
      <c r="M66" s="9">
        <f>'MKT DATA'!Q774</f>
        <v>0</v>
      </c>
      <c r="N66" s="9">
        <f>'MKT DATA'!R774</f>
        <v>0</v>
      </c>
      <c r="O66" s="9">
        <f>'MKT DATA'!S774</f>
        <v>0</v>
      </c>
      <c r="P66" s="9">
        <f>'MKT DATA'!T774</f>
        <v>0</v>
      </c>
      <c r="Q66" s="44" t="str">
        <f t="shared" si="3"/>
        <v>syn BTCZ6/BTCU6/BTCG7/BTCX6</v>
      </c>
      <c r="R66" s="14">
        <f>'MKT DATA'!AB774</f>
        <v>0</v>
      </c>
    </row>
    <row r="67" spans="5:18" x14ac:dyDescent="0.25">
      <c r="E67" s="44" t="str">
        <f>'MKT DATA'!B775</f>
        <v>syn BTCZ6/BTCV6/BTCU6/BTCX6</v>
      </c>
      <c r="F67" s="14">
        <f>'MKT DATA'!J775</f>
        <v>0</v>
      </c>
      <c r="G67" s="9">
        <f>'MKT DATA'!K775</f>
        <v>0</v>
      </c>
      <c r="H67" s="9">
        <f>'MKT DATA'!L775</f>
        <v>0</v>
      </c>
      <c r="I67" s="14">
        <f>'MKT DATA'!M775</f>
        <v>0</v>
      </c>
      <c r="J67" s="44" t="str">
        <f t="shared" si="2"/>
        <v>syn BTCZ6/BTCV6/BTCU6/BTCX6</v>
      </c>
      <c r="K67" s="9">
        <f>'MKT DATA'!O775</f>
        <v>0</v>
      </c>
      <c r="L67" s="9">
        <f>'MKT DATA'!P775</f>
        <v>0</v>
      </c>
      <c r="M67" s="9">
        <f>'MKT DATA'!Q775</f>
        <v>0</v>
      </c>
      <c r="N67" s="9">
        <f>'MKT DATA'!R775</f>
        <v>0</v>
      </c>
      <c r="O67" s="9">
        <f>'MKT DATA'!S775</f>
        <v>0</v>
      </c>
      <c r="P67" s="9">
        <f>'MKT DATA'!T775</f>
        <v>0</v>
      </c>
      <c r="Q67" s="44" t="str">
        <f t="shared" si="3"/>
        <v>syn BTCZ6/BTCV6/BTCU6/BTCX6</v>
      </c>
      <c r="R67" s="14">
        <f>'MKT DATA'!AB775</f>
        <v>0</v>
      </c>
    </row>
    <row r="68" spans="5:18" x14ac:dyDescent="0.25">
      <c r="E68" s="44" t="str">
        <f>'MKT DATA'!B776</f>
        <v>syn BTCZ6/BTCV6/BTCF7/BTCX6</v>
      </c>
      <c r="F68" s="14">
        <f>'MKT DATA'!J776</f>
        <v>0</v>
      </c>
      <c r="G68" s="9">
        <f>'MKT DATA'!K776</f>
        <v>0</v>
      </c>
      <c r="H68" s="9">
        <f>'MKT DATA'!L776</f>
        <v>0</v>
      </c>
      <c r="I68" s="14">
        <f>'MKT DATA'!M776</f>
        <v>0</v>
      </c>
      <c r="J68" s="44" t="str">
        <f t="shared" si="2"/>
        <v>syn BTCZ6/BTCV6/BTCF7/BTCX6</v>
      </c>
      <c r="K68" s="9">
        <f>'MKT DATA'!O776</f>
        <v>0</v>
      </c>
      <c r="L68" s="9">
        <f>'MKT DATA'!P776</f>
        <v>0</v>
      </c>
      <c r="M68" s="9">
        <f>'MKT DATA'!Q776</f>
        <v>0</v>
      </c>
      <c r="N68" s="9">
        <f>'MKT DATA'!R776</f>
        <v>0</v>
      </c>
      <c r="O68" s="9">
        <f>'MKT DATA'!S776</f>
        <v>0</v>
      </c>
      <c r="P68" s="9">
        <f>'MKT DATA'!T776</f>
        <v>0</v>
      </c>
      <c r="Q68" s="44" t="str">
        <f t="shared" si="3"/>
        <v>syn BTCZ6/BTCV6/BTCF7/BTCX6</v>
      </c>
      <c r="R68" s="14">
        <f>'MKT DATA'!AB776</f>
        <v>0</v>
      </c>
    </row>
    <row r="69" spans="5:18" x14ac:dyDescent="0.25">
      <c r="E69" s="44" t="str">
        <f>'MKT DATA'!B777</f>
        <v>syn BTCZ6/BTCV6/BTCG7/BTCX6</v>
      </c>
      <c r="F69" s="14">
        <f>'MKT DATA'!J777</f>
        <v>0</v>
      </c>
      <c r="G69" s="9">
        <f>'MKT DATA'!K777</f>
        <v>0</v>
      </c>
      <c r="H69" s="9">
        <f>'MKT DATA'!L777</f>
        <v>0</v>
      </c>
      <c r="I69" s="14">
        <f>'MKT DATA'!M777</f>
        <v>0</v>
      </c>
      <c r="J69" s="44" t="str">
        <f t="shared" si="2"/>
        <v>syn BTCZ6/BTCV6/BTCG7/BTCX6</v>
      </c>
      <c r="K69" s="9">
        <f>'MKT DATA'!O777</f>
        <v>0</v>
      </c>
      <c r="L69" s="9">
        <f>'MKT DATA'!P777</f>
        <v>0</v>
      </c>
      <c r="M69" s="9">
        <f>'MKT DATA'!Q777</f>
        <v>0</v>
      </c>
      <c r="N69" s="9">
        <f>'MKT DATA'!R777</f>
        <v>0</v>
      </c>
      <c r="O69" s="9">
        <f>'MKT DATA'!S777</f>
        <v>0</v>
      </c>
      <c r="P69" s="9">
        <f>'MKT DATA'!T777</f>
        <v>0</v>
      </c>
      <c r="Q69" s="44" t="str">
        <f t="shared" si="3"/>
        <v>syn BTCZ6/BTCV6/BTCG7/BTCX6</v>
      </c>
      <c r="R69" s="14">
        <f>'MKT DATA'!AB777</f>
        <v>0</v>
      </c>
    </row>
    <row r="70" spans="5:18" x14ac:dyDescent="0.25">
      <c r="E70" s="44" t="str">
        <f>'MKT DATA'!B778</f>
        <v>syn BTCZ6/BTCF7/BTCU6/BTCX6</v>
      </c>
      <c r="F70" s="14">
        <f>'MKT DATA'!J778</f>
        <v>0</v>
      </c>
      <c r="G70" s="9">
        <f>'MKT DATA'!K778</f>
        <v>0</v>
      </c>
      <c r="H70" s="9">
        <f>'MKT DATA'!L778</f>
        <v>0</v>
      </c>
      <c r="I70" s="14">
        <f>'MKT DATA'!M778</f>
        <v>0</v>
      </c>
      <c r="J70" s="44" t="str">
        <f t="shared" si="2"/>
        <v>syn BTCZ6/BTCF7/BTCU6/BTCX6</v>
      </c>
      <c r="K70" s="9">
        <f>'MKT DATA'!O778</f>
        <v>0</v>
      </c>
      <c r="L70" s="9">
        <f>'MKT DATA'!P778</f>
        <v>0</v>
      </c>
      <c r="M70" s="9">
        <f>'MKT DATA'!Q778</f>
        <v>0</v>
      </c>
      <c r="N70" s="9">
        <f>'MKT DATA'!R778</f>
        <v>0</v>
      </c>
      <c r="O70" s="9">
        <f>'MKT DATA'!S778</f>
        <v>0</v>
      </c>
      <c r="P70" s="9">
        <f>'MKT DATA'!T778</f>
        <v>0</v>
      </c>
      <c r="Q70" s="44" t="str">
        <f t="shared" si="3"/>
        <v>syn BTCZ6/BTCF7/BTCU6/BTCX6</v>
      </c>
      <c r="R70" s="14">
        <f>'MKT DATA'!AB778</f>
        <v>0</v>
      </c>
    </row>
    <row r="71" spans="5:18" x14ac:dyDescent="0.25">
      <c r="E71" s="44" t="str">
        <f>'MKT DATA'!B779</f>
        <v>syn BTCZ6/BTCF7/BTCV6/BTCX6</v>
      </c>
      <c r="F71" s="14">
        <f>'MKT DATA'!J779</f>
        <v>0</v>
      </c>
      <c r="G71" s="9">
        <f>'MKT DATA'!K779</f>
        <v>0</v>
      </c>
      <c r="H71" s="9">
        <f>'MKT DATA'!L779</f>
        <v>0</v>
      </c>
      <c r="I71" s="14">
        <f>'MKT DATA'!M779</f>
        <v>0</v>
      </c>
      <c r="J71" s="44" t="str">
        <f t="shared" si="2"/>
        <v>syn BTCZ6/BTCF7/BTCV6/BTCX6</v>
      </c>
      <c r="K71" s="9">
        <f>'MKT DATA'!O779</f>
        <v>0</v>
      </c>
      <c r="L71" s="9">
        <f>'MKT DATA'!P779</f>
        <v>0</v>
      </c>
      <c r="M71" s="9">
        <f>'MKT DATA'!Q779</f>
        <v>0</v>
      </c>
      <c r="N71" s="9">
        <f>'MKT DATA'!R779</f>
        <v>0</v>
      </c>
      <c r="O71" s="9">
        <f>'MKT DATA'!S779</f>
        <v>0</v>
      </c>
      <c r="P71" s="9">
        <f>'MKT DATA'!T779</f>
        <v>0</v>
      </c>
      <c r="Q71" s="44" t="str">
        <f t="shared" si="3"/>
        <v>syn BTCZ6/BTCF7/BTCV6/BTCX6</v>
      </c>
      <c r="R71" s="14">
        <f>'MKT DATA'!AB779</f>
        <v>0</v>
      </c>
    </row>
    <row r="72" spans="5:18" x14ac:dyDescent="0.25">
      <c r="E72" s="44" t="str">
        <f>'MKT DATA'!B780</f>
        <v>syn BTCZ6/BTCF7/BTCG7/BTCX6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BTCZ6/BTCF7/BTCG7/BTCX6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BTCZ6/BTCF7/BTCG7/BTCX6</v>
      </c>
      <c r="R72" s="14">
        <f>'MKT DATA'!AB780</f>
        <v>0</v>
      </c>
    </row>
    <row r="73" spans="5:18" x14ac:dyDescent="0.25">
      <c r="E73" s="44" t="str">
        <f>'MKT DATA'!B781</f>
        <v>syn BTCZ6/BTCG7/BTCU6/BTCX6</v>
      </c>
      <c r="F73" s="14">
        <f>'MKT DATA'!J781</f>
        <v>0</v>
      </c>
      <c r="G73" s="9">
        <f>'MKT DATA'!K781</f>
        <v>0</v>
      </c>
      <c r="H73" s="9">
        <f>'MKT DATA'!L781</f>
        <v>0</v>
      </c>
      <c r="I73" s="14">
        <f>'MKT DATA'!M781</f>
        <v>0</v>
      </c>
      <c r="J73" s="44" t="str">
        <f t="shared" si="2"/>
        <v>syn BTCZ6/BTCG7/BTCU6/BTCX6</v>
      </c>
      <c r="K73" s="9">
        <f>'MKT DATA'!O781</f>
        <v>0</v>
      </c>
      <c r="L73" s="9">
        <f>'MKT DATA'!P781</f>
        <v>0</v>
      </c>
      <c r="M73" s="9">
        <f>'MKT DATA'!Q781</f>
        <v>0</v>
      </c>
      <c r="N73" s="9">
        <f>'MKT DATA'!R781</f>
        <v>0</v>
      </c>
      <c r="O73" s="9">
        <f>'MKT DATA'!S781</f>
        <v>0</v>
      </c>
      <c r="P73" s="9">
        <f>'MKT DATA'!T781</f>
        <v>0</v>
      </c>
      <c r="Q73" s="44" t="str">
        <f t="shared" si="3"/>
        <v>syn BTCZ6/BTCG7/BTCU6/BTCX6</v>
      </c>
      <c r="R73" s="14">
        <f>'MKT DATA'!AB781</f>
        <v>0</v>
      </c>
    </row>
    <row r="74" spans="5:18" x14ac:dyDescent="0.25">
      <c r="E74" s="44" t="str">
        <f>'MKT DATA'!B782</f>
        <v>syn BTCZ6/BTCG7/BTCV6/BTCX6</v>
      </c>
      <c r="F74" s="14">
        <f>'MKT DATA'!J782</f>
        <v>0</v>
      </c>
      <c r="G74" s="9">
        <f>'MKT DATA'!K782</f>
        <v>0</v>
      </c>
      <c r="H74" s="9">
        <f>'MKT DATA'!L782</f>
        <v>0</v>
      </c>
      <c r="I74" s="14">
        <f>'MKT DATA'!M782</f>
        <v>0</v>
      </c>
      <c r="J74" s="44" t="str">
        <f t="shared" ref="J74:J137" si="4">E74</f>
        <v>syn BTCZ6/BTCG7/BTCV6/BTCX6</v>
      </c>
      <c r="K74" s="9">
        <f>'MKT DATA'!O782</f>
        <v>0</v>
      </c>
      <c r="L74" s="9">
        <f>'MKT DATA'!P782</f>
        <v>0</v>
      </c>
      <c r="M74" s="9">
        <f>'MKT DATA'!Q782</f>
        <v>0</v>
      </c>
      <c r="N74" s="9">
        <f>'MKT DATA'!R782</f>
        <v>0</v>
      </c>
      <c r="O74" s="9">
        <f>'MKT DATA'!S782</f>
        <v>0</v>
      </c>
      <c r="P74" s="9">
        <f>'MKT DATA'!T782</f>
        <v>0</v>
      </c>
      <c r="Q74" s="44" t="str">
        <f t="shared" ref="Q74:Q137" si="5">J74</f>
        <v>syn BTCZ6/BTCG7/BTCV6/BTCX6</v>
      </c>
      <c r="R74" s="14">
        <f>'MKT DATA'!AB782</f>
        <v>0</v>
      </c>
    </row>
    <row r="75" spans="5:18" x14ac:dyDescent="0.25">
      <c r="E75" s="44" t="str">
        <f>'MKT DATA'!B783</f>
        <v>syn BTCZ6/BTCG7/BTCF7/BTCX6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BTCZ6/BTCG7/BTCF7/BTCX6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BTCZ6/BTCG7/BTCF7/BTCX6</v>
      </c>
      <c r="R75" s="14">
        <f>'MKT DATA'!AB783</f>
        <v>0</v>
      </c>
    </row>
    <row r="76" spans="5:18" x14ac:dyDescent="0.25">
      <c r="E76" s="44" t="str">
        <f>'MKT DATA'!B784</f>
        <v>syn BTCF7/BTCU6/BTCV6/BTCX6</v>
      </c>
      <c r="F76" s="14">
        <f>'MKT DATA'!J784</f>
        <v>0</v>
      </c>
      <c r="G76" s="9">
        <f>'MKT DATA'!K784</f>
        <v>0</v>
      </c>
      <c r="H76" s="9">
        <f>'MKT DATA'!L784</f>
        <v>0</v>
      </c>
      <c r="I76" s="14">
        <f>'MKT DATA'!M784</f>
        <v>0</v>
      </c>
      <c r="J76" s="44" t="str">
        <f t="shared" si="4"/>
        <v>syn BTCF7/BTCU6/BTCV6/BTCX6</v>
      </c>
      <c r="K76" s="9">
        <f>'MKT DATA'!O784</f>
        <v>0</v>
      </c>
      <c r="L76" s="9">
        <f>'MKT DATA'!P784</f>
        <v>0</v>
      </c>
      <c r="M76" s="9">
        <f>'MKT DATA'!Q784</f>
        <v>0</v>
      </c>
      <c r="N76" s="9">
        <f>'MKT DATA'!R784</f>
        <v>0</v>
      </c>
      <c r="O76" s="9">
        <f>'MKT DATA'!S784</f>
        <v>0</v>
      </c>
      <c r="P76" s="9">
        <f>'MKT DATA'!T784</f>
        <v>0</v>
      </c>
      <c r="Q76" s="44" t="str">
        <f t="shared" si="5"/>
        <v>syn BTCF7/BTCU6/BTCV6/BTCX6</v>
      </c>
      <c r="R76" s="14">
        <f>'MKT DATA'!AB784</f>
        <v>0</v>
      </c>
    </row>
    <row r="77" spans="5:18" x14ac:dyDescent="0.25">
      <c r="E77" s="44" t="str">
        <f>'MKT DATA'!B785</f>
        <v>syn BTCF7/BTCU6/BTCZ6/BTCX6</v>
      </c>
      <c r="F77" s="14">
        <f>'MKT DATA'!J785</f>
        <v>0</v>
      </c>
      <c r="G77" s="9">
        <f>'MKT DATA'!K785</f>
        <v>0</v>
      </c>
      <c r="H77" s="9">
        <f>'MKT DATA'!L785</f>
        <v>0</v>
      </c>
      <c r="I77" s="14">
        <f>'MKT DATA'!M785</f>
        <v>0</v>
      </c>
      <c r="J77" s="44" t="str">
        <f t="shared" si="4"/>
        <v>syn BTCF7/BTCU6/BTCZ6/BTCX6</v>
      </c>
      <c r="K77" s="9">
        <f>'MKT DATA'!O785</f>
        <v>0</v>
      </c>
      <c r="L77" s="9">
        <f>'MKT DATA'!P785</f>
        <v>0</v>
      </c>
      <c r="M77" s="9">
        <f>'MKT DATA'!Q785</f>
        <v>0</v>
      </c>
      <c r="N77" s="9">
        <f>'MKT DATA'!R785</f>
        <v>0</v>
      </c>
      <c r="O77" s="9">
        <f>'MKT DATA'!S785</f>
        <v>0</v>
      </c>
      <c r="P77" s="9">
        <f>'MKT DATA'!T785</f>
        <v>0</v>
      </c>
      <c r="Q77" s="44" t="str">
        <f t="shared" si="5"/>
        <v>syn BTCF7/BTCU6/BTCZ6/BTCX6</v>
      </c>
      <c r="R77" s="14">
        <f>'MKT DATA'!AB785</f>
        <v>0</v>
      </c>
    </row>
    <row r="78" spans="5:18" x14ac:dyDescent="0.25">
      <c r="E78" s="44" t="str">
        <f>'MKT DATA'!B786</f>
        <v>syn BTCF7/BTCU6/BTCG7/BTCX6</v>
      </c>
      <c r="F78" s="14">
        <f>'MKT DATA'!J786</f>
        <v>0</v>
      </c>
      <c r="G78" s="9">
        <f>'MKT DATA'!K786</f>
        <v>0</v>
      </c>
      <c r="H78" s="9">
        <f>'MKT DATA'!L786</f>
        <v>0</v>
      </c>
      <c r="I78" s="14">
        <f>'MKT DATA'!M786</f>
        <v>0</v>
      </c>
      <c r="J78" s="44" t="str">
        <f t="shared" si="4"/>
        <v>syn BTCF7/BTCU6/BTCG7/BTCX6</v>
      </c>
      <c r="K78" s="9">
        <f>'MKT DATA'!O786</f>
        <v>0</v>
      </c>
      <c r="L78" s="9">
        <f>'MKT DATA'!P786</f>
        <v>0</v>
      </c>
      <c r="M78" s="9">
        <f>'MKT DATA'!Q786</f>
        <v>0</v>
      </c>
      <c r="N78" s="9">
        <f>'MKT DATA'!R786</f>
        <v>0</v>
      </c>
      <c r="O78" s="9">
        <f>'MKT DATA'!S786</f>
        <v>0</v>
      </c>
      <c r="P78" s="9">
        <f>'MKT DATA'!T786</f>
        <v>0</v>
      </c>
      <c r="Q78" s="44" t="str">
        <f t="shared" si="5"/>
        <v>syn BTCF7/BTCU6/BTCG7/BTCX6</v>
      </c>
      <c r="R78" s="14">
        <f>'MKT DATA'!AB786</f>
        <v>0</v>
      </c>
    </row>
    <row r="79" spans="5:18" x14ac:dyDescent="0.25">
      <c r="E79" s="44" t="str">
        <f>'MKT DATA'!B787</f>
        <v>syn BTCF7/BTCV6/BTCU6/BTCX6</v>
      </c>
      <c r="F79" s="14">
        <f>'MKT DATA'!J787</f>
        <v>0</v>
      </c>
      <c r="G79" s="9">
        <f>'MKT DATA'!K787</f>
        <v>0</v>
      </c>
      <c r="H79" s="9">
        <f>'MKT DATA'!L787</f>
        <v>0</v>
      </c>
      <c r="I79" s="14">
        <f>'MKT DATA'!M787</f>
        <v>0</v>
      </c>
      <c r="J79" s="44" t="str">
        <f t="shared" si="4"/>
        <v>syn BTCF7/BTCV6/BTCU6/BTCX6</v>
      </c>
      <c r="K79" s="9">
        <f>'MKT DATA'!O787</f>
        <v>0</v>
      </c>
      <c r="L79" s="9">
        <f>'MKT DATA'!P787</f>
        <v>0</v>
      </c>
      <c r="M79" s="9">
        <f>'MKT DATA'!Q787</f>
        <v>0</v>
      </c>
      <c r="N79" s="9">
        <f>'MKT DATA'!R787</f>
        <v>0</v>
      </c>
      <c r="O79" s="9">
        <f>'MKT DATA'!S787</f>
        <v>0</v>
      </c>
      <c r="P79" s="9">
        <f>'MKT DATA'!T787</f>
        <v>0</v>
      </c>
      <c r="Q79" s="44" t="str">
        <f t="shared" si="5"/>
        <v>syn BTCF7/BTCV6/BTCU6/BTCX6</v>
      </c>
      <c r="R79" s="14">
        <f>'MKT DATA'!AB787</f>
        <v>0</v>
      </c>
    </row>
    <row r="80" spans="5:18" x14ac:dyDescent="0.25">
      <c r="E80" s="44" t="str">
        <f>'MKT DATA'!B788</f>
        <v>syn BTCF7/BTCV6/BTCZ6/BTCX6</v>
      </c>
      <c r="F80" s="14">
        <f>'MKT DATA'!J788</f>
        <v>0</v>
      </c>
      <c r="G80" s="9">
        <f>'MKT DATA'!K788</f>
        <v>0</v>
      </c>
      <c r="H80" s="9">
        <f>'MKT DATA'!L788</f>
        <v>0</v>
      </c>
      <c r="I80" s="14">
        <f>'MKT DATA'!M788</f>
        <v>0</v>
      </c>
      <c r="J80" s="44" t="str">
        <f t="shared" si="4"/>
        <v>syn BTCF7/BTCV6/BTCZ6/BTCX6</v>
      </c>
      <c r="K80" s="9">
        <f>'MKT DATA'!O788</f>
        <v>0</v>
      </c>
      <c r="L80" s="9">
        <f>'MKT DATA'!P788</f>
        <v>0</v>
      </c>
      <c r="M80" s="9">
        <f>'MKT DATA'!Q788</f>
        <v>0</v>
      </c>
      <c r="N80" s="9">
        <f>'MKT DATA'!R788</f>
        <v>0</v>
      </c>
      <c r="O80" s="9">
        <f>'MKT DATA'!S788</f>
        <v>0</v>
      </c>
      <c r="P80" s="9">
        <f>'MKT DATA'!T788</f>
        <v>0</v>
      </c>
      <c r="Q80" s="44" t="str">
        <f t="shared" si="5"/>
        <v>syn BTCF7/BTCV6/BTCZ6/BTCX6</v>
      </c>
      <c r="R80" s="14">
        <f>'MKT DATA'!AB788</f>
        <v>0</v>
      </c>
    </row>
    <row r="81" spans="5:18" x14ac:dyDescent="0.25">
      <c r="E81" s="44" t="str">
        <f>'MKT DATA'!B789</f>
        <v>syn BTCF7/BTCV6/BTCG7/BTCX6</v>
      </c>
      <c r="F81" s="14">
        <f>'MKT DATA'!J789</f>
        <v>0</v>
      </c>
      <c r="G81" s="9">
        <f>'MKT DATA'!K789</f>
        <v>0</v>
      </c>
      <c r="H81" s="9">
        <f>'MKT DATA'!L789</f>
        <v>0</v>
      </c>
      <c r="I81" s="14">
        <f>'MKT DATA'!M789</f>
        <v>0</v>
      </c>
      <c r="J81" s="44" t="str">
        <f t="shared" si="4"/>
        <v>syn BTCF7/BTCV6/BTCG7/BTCX6</v>
      </c>
      <c r="K81" s="9">
        <f>'MKT DATA'!O789</f>
        <v>0</v>
      </c>
      <c r="L81" s="9">
        <f>'MKT DATA'!P789</f>
        <v>0</v>
      </c>
      <c r="M81" s="9">
        <f>'MKT DATA'!Q789</f>
        <v>0</v>
      </c>
      <c r="N81" s="9">
        <f>'MKT DATA'!R789</f>
        <v>0</v>
      </c>
      <c r="O81" s="9">
        <f>'MKT DATA'!S789</f>
        <v>0</v>
      </c>
      <c r="P81" s="9">
        <f>'MKT DATA'!T789</f>
        <v>0</v>
      </c>
      <c r="Q81" s="44" t="str">
        <f t="shared" si="5"/>
        <v>syn BTCF7/BTCV6/BTCG7/BTCX6</v>
      </c>
      <c r="R81" s="14">
        <f>'MKT DATA'!AB789</f>
        <v>0</v>
      </c>
    </row>
    <row r="82" spans="5:18" x14ac:dyDescent="0.25">
      <c r="E82" s="44" t="str">
        <f>'MKT DATA'!B790</f>
        <v>syn BTCF7/BTCZ6/BTCU6/BTCX6</v>
      </c>
      <c r="F82" s="14">
        <f>'MKT DATA'!J790</f>
        <v>0</v>
      </c>
      <c r="G82" s="9">
        <f>'MKT DATA'!K790</f>
        <v>0</v>
      </c>
      <c r="H82" s="9">
        <f>'MKT DATA'!L790</f>
        <v>0</v>
      </c>
      <c r="I82" s="14">
        <f>'MKT DATA'!M790</f>
        <v>0</v>
      </c>
      <c r="J82" s="44" t="str">
        <f t="shared" si="4"/>
        <v>syn BTCF7/BTCZ6/BTCU6/BTCX6</v>
      </c>
      <c r="K82" s="9">
        <f>'MKT DATA'!O790</f>
        <v>0</v>
      </c>
      <c r="L82" s="9">
        <f>'MKT DATA'!P790</f>
        <v>0</v>
      </c>
      <c r="M82" s="9">
        <f>'MKT DATA'!Q790</f>
        <v>0</v>
      </c>
      <c r="N82" s="9">
        <f>'MKT DATA'!R790</f>
        <v>0</v>
      </c>
      <c r="O82" s="9">
        <f>'MKT DATA'!S790</f>
        <v>0</v>
      </c>
      <c r="P82" s="9">
        <f>'MKT DATA'!T790</f>
        <v>0</v>
      </c>
      <c r="Q82" s="44" t="str">
        <f t="shared" si="5"/>
        <v>syn BTCF7/BTCZ6/BTCU6/BTCX6</v>
      </c>
      <c r="R82" s="14">
        <f>'MKT DATA'!AB790</f>
        <v>0</v>
      </c>
    </row>
    <row r="83" spans="5:18" x14ac:dyDescent="0.25">
      <c r="E83" s="44" t="str">
        <f>'MKT DATA'!B791</f>
        <v>syn BTCF7/BTCZ6/BTCV6/BTCX6</v>
      </c>
      <c r="F83" s="14">
        <f>'MKT DATA'!J791</f>
        <v>0</v>
      </c>
      <c r="G83" s="9">
        <f>'MKT DATA'!K791</f>
        <v>0</v>
      </c>
      <c r="H83" s="9">
        <f>'MKT DATA'!L791</f>
        <v>0</v>
      </c>
      <c r="I83" s="14">
        <f>'MKT DATA'!M791</f>
        <v>0</v>
      </c>
      <c r="J83" s="44" t="str">
        <f t="shared" si="4"/>
        <v>syn BTCF7/BTCZ6/BTCV6/BTCX6</v>
      </c>
      <c r="K83" s="9">
        <f>'MKT DATA'!O791</f>
        <v>0</v>
      </c>
      <c r="L83" s="9">
        <f>'MKT DATA'!P791</f>
        <v>0</v>
      </c>
      <c r="M83" s="9">
        <f>'MKT DATA'!Q791</f>
        <v>0</v>
      </c>
      <c r="N83" s="9">
        <f>'MKT DATA'!R791</f>
        <v>0</v>
      </c>
      <c r="O83" s="9">
        <f>'MKT DATA'!S791</f>
        <v>0</v>
      </c>
      <c r="P83" s="9">
        <f>'MKT DATA'!T791</f>
        <v>0</v>
      </c>
      <c r="Q83" s="44" t="str">
        <f t="shared" si="5"/>
        <v>syn BTCF7/BTCZ6/BTCV6/BTCX6</v>
      </c>
      <c r="R83" s="14">
        <f>'MKT DATA'!AB791</f>
        <v>0</v>
      </c>
    </row>
    <row r="84" spans="5:18" x14ac:dyDescent="0.25">
      <c r="E84" s="44" t="str">
        <f>'MKT DATA'!B792</f>
        <v>syn BTCF7/BTCZ6/BTCG7/BTCX6</v>
      </c>
      <c r="F84" s="14">
        <f>'MKT DATA'!J792</f>
        <v>0</v>
      </c>
      <c r="G84" s="9">
        <f>'MKT DATA'!K792</f>
        <v>0</v>
      </c>
      <c r="H84" s="9">
        <f>'MKT DATA'!L792</f>
        <v>0</v>
      </c>
      <c r="I84" s="14">
        <f>'MKT DATA'!M792</f>
        <v>0</v>
      </c>
      <c r="J84" s="44" t="str">
        <f t="shared" si="4"/>
        <v>syn BTCF7/BTCZ6/BTCG7/BTCX6</v>
      </c>
      <c r="K84" s="9">
        <f>'MKT DATA'!O792</f>
        <v>0</v>
      </c>
      <c r="L84" s="9">
        <f>'MKT DATA'!P792</f>
        <v>0</v>
      </c>
      <c r="M84" s="9">
        <f>'MKT DATA'!Q792</f>
        <v>0</v>
      </c>
      <c r="N84" s="9">
        <f>'MKT DATA'!R792</f>
        <v>0</v>
      </c>
      <c r="O84" s="9">
        <f>'MKT DATA'!S792</f>
        <v>0</v>
      </c>
      <c r="P84" s="9">
        <f>'MKT DATA'!T792</f>
        <v>0</v>
      </c>
      <c r="Q84" s="44" t="str">
        <f t="shared" si="5"/>
        <v>syn BTCF7/BTCZ6/BTCG7/BTCX6</v>
      </c>
      <c r="R84" s="14">
        <f>'MKT DATA'!AB792</f>
        <v>0</v>
      </c>
    </row>
    <row r="85" spans="5:18" x14ac:dyDescent="0.25">
      <c r="E85" s="44" t="str">
        <f>'MKT DATA'!B793</f>
        <v>syn BTCF7/BTCG7/BTCU6/BTCX6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BTCF7/BTCG7/BTCU6/BTCX6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BTCF7/BTCG7/BTCU6/BTCX6</v>
      </c>
      <c r="R85" s="14">
        <f>'MKT DATA'!AB793</f>
        <v>0</v>
      </c>
    </row>
    <row r="86" spans="5:18" x14ac:dyDescent="0.25">
      <c r="E86" s="44" t="str">
        <f>'MKT DATA'!B794</f>
        <v>syn BTCF7/BTCG7/BTCV6/BTCX6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BTCF7/BTCG7/BTCV6/BTCX6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BTCF7/BTCG7/BTCV6/BTCX6</v>
      </c>
      <c r="R86" s="14">
        <f>'MKT DATA'!AB794</f>
        <v>0</v>
      </c>
    </row>
    <row r="87" spans="5:18" x14ac:dyDescent="0.25">
      <c r="E87" s="44" t="str">
        <f>'MKT DATA'!B795</f>
        <v>syn BTCF7/BTCG7/BTCZ6/BTCX6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BTCF7/BTCG7/BTCZ6/BTCX6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BTCF7/BTCG7/BTCZ6/BTCX6</v>
      </c>
      <c r="R87" s="14">
        <f>'MKT DATA'!AB795</f>
        <v>0</v>
      </c>
    </row>
    <row r="88" spans="5:18" x14ac:dyDescent="0.25">
      <c r="E88" s="44" t="str">
        <f>'MKT DATA'!B796</f>
        <v>syn BTCG7/BTCU6/BTCV6/BTCX6</v>
      </c>
      <c r="F88" s="14">
        <f>'MKT DATA'!J796</f>
        <v>0</v>
      </c>
      <c r="G88" s="9">
        <f>'MKT DATA'!K796</f>
        <v>0</v>
      </c>
      <c r="H88" s="9">
        <f>'MKT DATA'!L796</f>
        <v>0</v>
      </c>
      <c r="I88" s="14">
        <f>'MKT DATA'!M796</f>
        <v>0</v>
      </c>
      <c r="J88" s="44" t="str">
        <f t="shared" si="4"/>
        <v>syn BTCG7/BTCU6/BTCV6/BTCX6</v>
      </c>
      <c r="K88" s="9">
        <f>'MKT DATA'!O796</f>
        <v>0</v>
      </c>
      <c r="L88" s="9">
        <f>'MKT DATA'!P796</f>
        <v>0</v>
      </c>
      <c r="M88" s="9">
        <f>'MKT DATA'!Q796</f>
        <v>0</v>
      </c>
      <c r="N88" s="9">
        <f>'MKT DATA'!R796</f>
        <v>0</v>
      </c>
      <c r="O88" s="9">
        <f>'MKT DATA'!S796</f>
        <v>0</v>
      </c>
      <c r="P88" s="9">
        <f>'MKT DATA'!T796</f>
        <v>0</v>
      </c>
      <c r="Q88" s="44" t="str">
        <f t="shared" si="5"/>
        <v>syn BTCG7/BTCU6/BTCV6/BTCX6</v>
      </c>
      <c r="R88" s="14">
        <f>'MKT DATA'!AB796</f>
        <v>0</v>
      </c>
    </row>
    <row r="89" spans="5:18" x14ac:dyDescent="0.25">
      <c r="E89" s="44" t="str">
        <f>'MKT DATA'!B797</f>
        <v>syn BTCG7/BTCU6/BTCZ6/BTCX6</v>
      </c>
      <c r="F89" s="14">
        <f>'MKT DATA'!J797</f>
        <v>0</v>
      </c>
      <c r="G89" s="9">
        <f>'MKT DATA'!K797</f>
        <v>0</v>
      </c>
      <c r="H89" s="9">
        <f>'MKT DATA'!L797</f>
        <v>0</v>
      </c>
      <c r="I89" s="14">
        <f>'MKT DATA'!M797</f>
        <v>0</v>
      </c>
      <c r="J89" s="44" t="str">
        <f t="shared" si="4"/>
        <v>syn BTCG7/BTCU6/BTCZ6/BTCX6</v>
      </c>
      <c r="K89" s="9">
        <f>'MKT DATA'!O797</f>
        <v>0</v>
      </c>
      <c r="L89" s="9">
        <f>'MKT DATA'!P797</f>
        <v>0</v>
      </c>
      <c r="M89" s="9">
        <f>'MKT DATA'!Q797</f>
        <v>0</v>
      </c>
      <c r="N89" s="9">
        <f>'MKT DATA'!R797</f>
        <v>0</v>
      </c>
      <c r="O89" s="9">
        <f>'MKT DATA'!S797</f>
        <v>0</v>
      </c>
      <c r="P89" s="9">
        <f>'MKT DATA'!T797</f>
        <v>0</v>
      </c>
      <c r="Q89" s="44" t="str">
        <f t="shared" si="5"/>
        <v>syn BTCG7/BTCU6/BTCZ6/BTCX6</v>
      </c>
      <c r="R89" s="14">
        <f>'MKT DATA'!AB797</f>
        <v>0</v>
      </c>
    </row>
    <row r="90" spans="5:18" x14ac:dyDescent="0.25">
      <c r="E90" s="44" t="str">
        <f>'MKT DATA'!B798</f>
        <v>syn BTCG7/BTCU6/BTCF7/BTCX6</v>
      </c>
      <c r="F90" s="14">
        <f>'MKT DATA'!J798</f>
        <v>0</v>
      </c>
      <c r="G90" s="9">
        <f>'MKT DATA'!K798</f>
        <v>0</v>
      </c>
      <c r="H90" s="9">
        <f>'MKT DATA'!L798</f>
        <v>0</v>
      </c>
      <c r="I90" s="14">
        <f>'MKT DATA'!M798</f>
        <v>0</v>
      </c>
      <c r="J90" s="44" t="str">
        <f t="shared" si="4"/>
        <v>syn BTCG7/BTCU6/BTCF7/BTCX6</v>
      </c>
      <c r="K90" s="9">
        <f>'MKT DATA'!O798</f>
        <v>0</v>
      </c>
      <c r="L90" s="9">
        <f>'MKT DATA'!P798</f>
        <v>0</v>
      </c>
      <c r="M90" s="9">
        <f>'MKT DATA'!Q798</f>
        <v>0</v>
      </c>
      <c r="N90" s="9">
        <f>'MKT DATA'!R798</f>
        <v>0</v>
      </c>
      <c r="O90" s="9">
        <f>'MKT DATA'!S798</f>
        <v>0</v>
      </c>
      <c r="P90" s="9">
        <f>'MKT DATA'!T798</f>
        <v>0</v>
      </c>
      <c r="Q90" s="44" t="str">
        <f t="shared" si="5"/>
        <v>syn BTCG7/BTCU6/BTCF7/BTCX6</v>
      </c>
      <c r="R90" s="14">
        <f>'MKT DATA'!AB798</f>
        <v>0</v>
      </c>
    </row>
    <row r="91" spans="5:18" x14ac:dyDescent="0.25">
      <c r="E91" s="44" t="str">
        <f>'MKT DATA'!B799</f>
        <v>syn BTCG7/BTCV6/BTCU6/BTCX6</v>
      </c>
      <c r="F91" s="14">
        <f>'MKT DATA'!J799</f>
        <v>0</v>
      </c>
      <c r="G91" s="9">
        <f>'MKT DATA'!K799</f>
        <v>0</v>
      </c>
      <c r="H91" s="9">
        <f>'MKT DATA'!L799</f>
        <v>0</v>
      </c>
      <c r="I91" s="14">
        <f>'MKT DATA'!M799</f>
        <v>0</v>
      </c>
      <c r="J91" s="44" t="str">
        <f t="shared" si="4"/>
        <v>syn BTCG7/BTCV6/BTCU6/BTCX6</v>
      </c>
      <c r="K91" s="9">
        <f>'MKT DATA'!O799</f>
        <v>0</v>
      </c>
      <c r="L91" s="9">
        <f>'MKT DATA'!P799</f>
        <v>0</v>
      </c>
      <c r="M91" s="9">
        <f>'MKT DATA'!Q799</f>
        <v>0</v>
      </c>
      <c r="N91" s="9">
        <f>'MKT DATA'!R799</f>
        <v>0</v>
      </c>
      <c r="O91" s="9">
        <f>'MKT DATA'!S799</f>
        <v>0</v>
      </c>
      <c r="P91" s="9">
        <f>'MKT DATA'!T799</f>
        <v>0</v>
      </c>
      <c r="Q91" s="44" t="str">
        <f t="shared" si="5"/>
        <v>syn BTCG7/BTCV6/BTCU6/BTCX6</v>
      </c>
      <c r="R91" s="14">
        <f>'MKT DATA'!AB799</f>
        <v>0</v>
      </c>
    </row>
    <row r="92" spans="5:18" x14ac:dyDescent="0.25">
      <c r="E92" s="44" t="str">
        <f>'MKT DATA'!B800</f>
        <v>syn BTCG7/BTCV6/BTCZ6/BTCX6</v>
      </c>
      <c r="F92" s="14">
        <f>'MKT DATA'!J800</f>
        <v>0</v>
      </c>
      <c r="G92" s="9">
        <f>'MKT DATA'!K800</f>
        <v>0</v>
      </c>
      <c r="H92" s="9">
        <f>'MKT DATA'!L800</f>
        <v>0</v>
      </c>
      <c r="I92" s="14">
        <f>'MKT DATA'!M800</f>
        <v>0</v>
      </c>
      <c r="J92" s="44" t="str">
        <f t="shared" si="4"/>
        <v>syn BTCG7/BTCV6/BTCZ6/BTCX6</v>
      </c>
      <c r="K92" s="9">
        <f>'MKT DATA'!O800</f>
        <v>0</v>
      </c>
      <c r="L92" s="9">
        <f>'MKT DATA'!P800</f>
        <v>0</v>
      </c>
      <c r="M92" s="9">
        <f>'MKT DATA'!Q800</f>
        <v>0</v>
      </c>
      <c r="N92" s="9">
        <f>'MKT DATA'!R800</f>
        <v>0</v>
      </c>
      <c r="O92" s="9">
        <f>'MKT DATA'!S800</f>
        <v>0</v>
      </c>
      <c r="P92" s="9">
        <f>'MKT DATA'!T800</f>
        <v>0</v>
      </c>
      <c r="Q92" s="44" t="str">
        <f t="shared" si="5"/>
        <v>syn BTCG7/BTCV6/BTCZ6/BTCX6</v>
      </c>
      <c r="R92" s="14">
        <f>'MKT DATA'!AB800</f>
        <v>0</v>
      </c>
    </row>
    <row r="93" spans="5:18" x14ac:dyDescent="0.25">
      <c r="E93" s="44" t="str">
        <f>'MKT DATA'!B801</f>
        <v>syn BTCG7/BTCV6/BTCF7/BTCX6</v>
      </c>
      <c r="F93" s="14">
        <f>'MKT DATA'!J801</f>
        <v>0</v>
      </c>
      <c r="G93" s="9">
        <f>'MKT DATA'!K801</f>
        <v>0</v>
      </c>
      <c r="H93" s="9">
        <f>'MKT DATA'!L801</f>
        <v>0</v>
      </c>
      <c r="I93" s="14">
        <f>'MKT DATA'!M801</f>
        <v>0</v>
      </c>
      <c r="J93" s="44" t="str">
        <f t="shared" si="4"/>
        <v>syn BTCG7/BTCV6/BTCF7/BTCX6</v>
      </c>
      <c r="K93" s="9">
        <f>'MKT DATA'!O801</f>
        <v>0</v>
      </c>
      <c r="L93" s="9">
        <f>'MKT DATA'!P801</f>
        <v>0</v>
      </c>
      <c r="M93" s="9">
        <f>'MKT DATA'!Q801</f>
        <v>0</v>
      </c>
      <c r="N93" s="9">
        <f>'MKT DATA'!R801</f>
        <v>0</v>
      </c>
      <c r="O93" s="9">
        <f>'MKT DATA'!S801</f>
        <v>0</v>
      </c>
      <c r="P93" s="9">
        <f>'MKT DATA'!T801</f>
        <v>0</v>
      </c>
      <c r="Q93" s="44" t="str">
        <f t="shared" si="5"/>
        <v>syn BTCG7/BTCV6/BTCF7/BTCX6</v>
      </c>
      <c r="R93" s="14">
        <f>'MKT DATA'!AB801</f>
        <v>0</v>
      </c>
    </row>
    <row r="94" spans="5:18" x14ac:dyDescent="0.25">
      <c r="E94" s="44" t="str">
        <f>'MKT DATA'!B802</f>
        <v>syn BTCG7/BTCZ6/BTCU6/BTCX6</v>
      </c>
      <c r="F94" s="14">
        <f>'MKT DATA'!J802</f>
        <v>0</v>
      </c>
      <c r="G94" s="9">
        <f>'MKT DATA'!K802</f>
        <v>0</v>
      </c>
      <c r="H94" s="9">
        <f>'MKT DATA'!L802</f>
        <v>0</v>
      </c>
      <c r="I94" s="14">
        <f>'MKT DATA'!M802</f>
        <v>0</v>
      </c>
      <c r="J94" s="44" t="str">
        <f t="shared" si="4"/>
        <v>syn BTCG7/BTCZ6/BTCU6/BTCX6</v>
      </c>
      <c r="K94" s="9">
        <f>'MKT DATA'!O802</f>
        <v>0</v>
      </c>
      <c r="L94" s="9">
        <f>'MKT DATA'!P802</f>
        <v>0</v>
      </c>
      <c r="M94" s="9">
        <f>'MKT DATA'!Q802</f>
        <v>0</v>
      </c>
      <c r="N94" s="9">
        <f>'MKT DATA'!R802</f>
        <v>0</v>
      </c>
      <c r="O94" s="9">
        <f>'MKT DATA'!S802</f>
        <v>0</v>
      </c>
      <c r="P94" s="9">
        <f>'MKT DATA'!T802</f>
        <v>0</v>
      </c>
      <c r="Q94" s="44" t="str">
        <f t="shared" si="5"/>
        <v>syn BTCG7/BTCZ6/BTCU6/BTCX6</v>
      </c>
      <c r="R94" s="14">
        <f>'MKT DATA'!AB802</f>
        <v>0</v>
      </c>
    </row>
    <row r="95" spans="5:18" x14ac:dyDescent="0.25">
      <c r="E95" s="44" t="str">
        <f>'MKT DATA'!B803</f>
        <v>syn BTCG7/BTCZ6/BTCV6/BTCX6</v>
      </c>
      <c r="F95" s="14">
        <f>'MKT DATA'!J803</f>
        <v>0</v>
      </c>
      <c r="G95" s="9">
        <f>'MKT DATA'!K803</f>
        <v>0</v>
      </c>
      <c r="H95" s="9">
        <f>'MKT DATA'!L803</f>
        <v>0</v>
      </c>
      <c r="I95" s="14">
        <f>'MKT DATA'!M803</f>
        <v>0</v>
      </c>
      <c r="J95" s="44" t="str">
        <f t="shared" si="4"/>
        <v>syn BTCG7/BTCZ6/BTCV6/BTCX6</v>
      </c>
      <c r="K95" s="9">
        <f>'MKT DATA'!O803</f>
        <v>0</v>
      </c>
      <c r="L95" s="9">
        <f>'MKT DATA'!P803</f>
        <v>0</v>
      </c>
      <c r="M95" s="9">
        <f>'MKT DATA'!Q803</f>
        <v>0</v>
      </c>
      <c r="N95" s="9">
        <f>'MKT DATA'!R803</f>
        <v>0</v>
      </c>
      <c r="O95" s="9">
        <f>'MKT DATA'!S803</f>
        <v>0</v>
      </c>
      <c r="P95" s="9">
        <f>'MKT DATA'!T803</f>
        <v>0</v>
      </c>
      <c r="Q95" s="44" t="str">
        <f t="shared" si="5"/>
        <v>syn BTCG7/BTCZ6/BTCV6/BTCX6</v>
      </c>
      <c r="R95" s="14">
        <f>'MKT DATA'!AB803</f>
        <v>0</v>
      </c>
    </row>
    <row r="96" spans="5:18" x14ac:dyDescent="0.25">
      <c r="E96" s="44" t="str">
        <f>'MKT DATA'!B804</f>
        <v>syn BTCG7/BTCZ6/BTCF7/BTCX6</v>
      </c>
      <c r="F96" s="14">
        <f>'MKT DATA'!J804</f>
        <v>0</v>
      </c>
      <c r="G96" s="9">
        <f>'MKT DATA'!K804</f>
        <v>0</v>
      </c>
      <c r="H96" s="9">
        <f>'MKT DATA'!L804</f>
        <v>0</v>
      </c>
      <c r="I96" s="14">
        <f>'MKT DATA'!M804</f>
        <v>0</v>
      </c>
      <c r="J96" s="44" t="str">
        <f t="shared" si="4"/>
        <v>syn BTCG7/BTCZ6/BTCF7/BTCX6</v>
      </c>
      <c r="K96" s="9">
        <f>'MKT DATA'!O804</f>
        <v>0</v>
      </c>
      <c r="L96" s="9">
        <f>'MKT DATA'!P804</f>
        <v>0</v>
      </c>
      <c r="M96" s="9">
        <f>'MKT DATA'!Q804</f>
        <v>0</v>
      </c>
      <c r="N96" s="9">
        <f>'MKT DATA'!R804</f>
        <v>0</v>
      </c>
      <c r="O96" s="9">
        <f>'MKT DATA'!S804</f>
        <v>0</v>
      </c>
      <c r="P96" s="9">
        <f>'MKT DATA'!T804</f>
        <v>0</v>
      </c>
      <c r="Q96" s="44" t="str">
        <f t="shared" si="5"/>
        <v>syn BTCG7/BTCZ6/BTCF7/BTCX6</v>
      </c>
      <c r="R96" s="14">
        <f>'MKT DATA'!AB804</f>
        <v>0</v>
      </c>
    </row>
    <row r="97" spans="5:18" x14ac:dyDescent="0.25">
      <c r="E97" s="44" t="str">
        <f>'MKT DATA'!B805</f>
        <v>syn BTCG7/BTCF7/BTCU6/BTCX6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BTCG7/BTCF7/BTCU6/BTCX6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BTCG7/BTCF7/BTCU6/BTCX6</v>
      </c>
      <c r="R97" s="14">
        <f>'MKT DATA'!AB805</f>
        <v>0</v>
      </c>
    </row>
    <row r="98" spans="5:18" x14ac:dyDescent="0.25">
      <c r="E98" s="44" t="str">
        <f>'MKT DATA'!B806</f>
        <v>syn BTCG7/BTCF7/BTCV6/BTCX6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BTCG7/BTCF7/BTCV6/BTCX6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BTCG7/BTCF7/BTCV6/BTCX6</v>
      </c>
      <c r="R98" s="14">
        <f>'MKT DATA'!AB806</f>
        <v>0</v>
      </c>
    </row>
    <row r="99" spans="5:18" x14ac:dyDescent="0.25">
      <c r="E99" s="44" t="str">
        <f>'MKT DATA'!B807</f>
        <v>syn BTCG7/BTCF7/BTCZ6/BTCX6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BTCG7/BTCF7/BTCZ6/BTCX6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BTCG7/BTCF7/BTCZ6/BTCX6</v>
      </c>
      <c r="R99" s="14">
        <f>'MKT DATA'!AB807</f>
        <v>0</v>
      </c>
    </row>
    <row r="100" spans="5:18" x14ac:dyDescent="0.25">
      <c r="E100" s="44" t="str">
        <f>'MKT DATA'!B808</f>
        <v>syn BTCU6/BTCV6/BTCZ6/BTCF7/BTCX6</v>
      </c>
      <c r="F100" s="14">
        <f>'MKT DATA'!J808</f>
        <v>0</v>
      </c>
      <c r="G100" s="9">
        <f>'MKT DATA'!K808</f>
        <v>0</v>
      </c>
      <c r="H100" s="9">
        <f>'MKT DATA'!L808</f>
        <v>0</v>
      </c>
      <c r="I100" s="14">
        <f>'MKT DATA'!M808</f>
        <v>0</v>
      </c>
      <c r="J100" s="44" t="str">
        <f t="shared" si="4"/>
        <v>syn BTCU6/BTCV6/BTCZ6/BTCF7/BTCX6</v>
      </c>
      <c r="K100" s="9">
        <f>'MKT DATA'!O808</f>
        <v>0</v>
      </c>
      <c r="L100" s="9">
        <f>'MKT DATA'!P808</f>
        <v>0</v>
      </c>
      <c r="M100" s="9">
        <f>'MKT DATA'!Q808</f>
        <v>0</v>
      </c>
      <c r="N100" s="9">
        <f>'MKT DATA'!R808</f>
        <v>0</v>
      </c>
      <c r="O100" s="9">
        <f>'MKT DATA'!S808</f>
        <v>0</v>
      </c>
      <c r="P100" s="9">
        <f>'MKT DATA'!T808</f>
        <v>0</v>
      </c>
      <c r="Q100" s="44" t="str">
        <f t="shared" si="5"/>
        <v>syn BTCU6/BTCV6/BTCZ6/BTCF7/BTCX6</v>
      </c>
      <c r="R100" s="14">
        <f>'MKT DATA'!AB808</f>
        <v>0</v>
      </c>
    </row>
    <row r="101" spans="5:18" x14ac:dyDescent="0.25">
      <c r="E101" s="44" t="str">
        <f>'MKT DATA'!B809</f>
        <v>syn BTCU6/BTCV6/BTCZ6/BTCG7/BTCX6</v>
      </c>
      <c r="F101" s="14">
        <f>'MKT DATA'!J809</f>
        <v>0</v>
      </c>
      <c r="G101" s="9">
        <f>'MKT DATA'!K809</f>
        <v>0</v>
      </c>
      <c r="H101" s="9">
        <f>'MKT DATA'!L809</f>
        <v>0</v>
      </c>
      <c r="I101" s="14">
        <f>'MKT DATA'!M809</f>
        <v>0</v>
      </c>
      <c r="J101" s="44" t="str">
        <f t="shared" si="4"/>
        <v>syn BTCU6/BTCV6/BTCZ6/BTCG7/BTCX6</v>
      </c>
      <c r="K101" s="9">
        <f>'MKT DATA'!O809</f>
        <v>0</v>
      </c>
      <c r="L101" s="9">
        <f>'MKT DATA'!P809</f>
        <v>0</v>
      </c>
      <c r="M101" s="9">
        <f>'MKT DATA'!Q809</f>
        <v>0</v>
      </c>
      <c r="N101" s="9">
        <f>'MKT DATA'!R809</f>
        <v>0</v>
      </c>
      <c r="O101" s="9">
        <f>'MKT DATA'!S809</f>
        <v>0</v>
      </c>
      <c r="P101" s="9">
        <f>'MKT DATA'!T809</f>
        <v>0</v>
      </c>
      <c r="Q101" s="44" t="str">
        <f t="shared" si="5"/>
        <v>syn BTCU6/BTCV6/BTCZ6/BTCG7/BTCX6</v>
      </c>
      <c r="R101" s="14">
        <f>'MKT DATA'!AB809</f>
        <v>0</v>
      </c>
    </row>
    <row r="102" spans="5:18" x14ac:dyDescent="0.25">
      <c r="E102" s="44" t="str">
        <f>'MKT DATA'!B810</f>
        <v>syn BTCU6/BTCV6/BTCF7/BTCZ6/BTCX6</v>
      </c>
      <c r="F102" s="14">
        <f>'MKT DATA'!J810</f>
        <v>0</v>
      </c>
      <c r="G102" s="9">
        <f>'MKT DATA'!K810</f>
        <v>0</v>
      </c>
      <c r="H102" s="9">
        <f>'MKT DATA'!L810</f>
        <v>0</v>
      </c>
      <c r="I102" s="14">
        <f>'MKT DATA'!M810</f>
        <v>0</v>
      </c>
      <c r="J102" s="44" t="str">
        <f t="shared" si="4"/>
        <v>syn BTCU6/BTCV6/BTCF7/BTCZ6/BTCX6</v>
      </c>
      <c r="K102" s="9">
        <f>'MKT DATA'!O810</f>
        <v>0</v>
      </c>
      <c r="L102" s="9">
        <f>'MKT DATA'!P810</f>
        <v>0</v>
      </c>
      <c r="M102" s="9">
        <f>'MKT DATA'!Q810</f>
        <v>0</v>
      </c>
      <c r="N102" s="9">
        <f>'MKT DATA'!R810</f>
        <v>0</v>
      </c>
      <c r="O102" s="9">
        <f>'MKT DATA'!S810</f>
        <v>0</v>
      </c>
      <c r="P102" s="9">
        <f>'MKT DATA'!T810</f>
        <v>0</v>
      </c>
      <c r="Q102" s="44" t="str">
        <f t="shared" si="5"/>
        <v>syn BTCU6/BTCV6/BTCF7/BTCZ6/BTCX6</v>
      </c>
      <c r="R102" s="14">
        <f>'MKT DATA'!AB810</f>
        <v>0</v>
      </c>
    </row>
    <row r="103" spans="5:18" x14ac:dyDescent="0.25">
      <c r="E103" s="44" t="str">
        <f>'MKT DATA'!B811</f>
        <v>syn BTCU6/BTCV6/BTCF7/BTCG7/BTCX6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BTCU6/BTCV6/BTCF7/BTCG7/BTCX6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BTCU6/BTCV6/BTCF7/BTCG7/BTCX6</v>
      </c>
      <c r="R103" s="14">
        <f>'MKT DATA'!AB811</f>
        <v>0</v>
      </c>
    </row>
    <row r="104" spans="5:18" x14ac:dyDescent="0.25">
      <c r="E104" s="44" t="str">
        <f>'MKT DATA'!B812</f>
        <v>syn BTCU6/BTCV6/BTCG7/BTCZ6/BTCX6</v>
      </c>
      <c r="F104" s="14">
        <f>'MKT DATA'!J812</f>
        <v>0</v>
      </c>
      <c r="G104" s="9">
        <f>'MKT DATA'!K812</f>
        <v>0</v>
      </c>
      <c r="H104" s="9">
        <f>'MKT DATA'!L812</f>
        <v>0</v>
      </c>
      <c r="I104" s="14">
        <f>'MKT DATA'!M812</f>
        <v>0</v>
      </c>
      <c r="J104" s="44" t="str">
        <f t="shared" si="4"/>
        <v>syn BTCU6/BTCV6/BTCG7/BTCZ6/BTCX6</v>
      </c>
      <c r="K104" s="9">
        <f>'MKT DATA'!O812</f>
        <v>0</v>
      </c>
      <c r="L104" s="9">
        <f>'MKT DATA'!P812</f>
        <v>0</v>
      </c>
      <c r="M104" s="9">
        <f>'MKT DATA'!Q812</f>
        <v>0</v>
      </c>
      <c r="N104" s="9">
        <f>'MKT DATA'!R812</f>
        <v>0</v>
      </c>
      <c r="O104" s="9">
        <f>'MKT DATA'!S812</f>
        <v>0</v>
      </c>
      <c r="P104" s="9">
        <f>'MKT DATA'!T812</f>
        <v>0</v>
      </c>
      <c r="Q104" s="44" t="str">
        <f t="shared" si="5"/>
        <v>syn BTCU6/BTCV6/BTCG7/BTCZ6/BTCX6</v>
      </c>
      <c r="R104" s="14">
        <f>'MKT DATA'!AB812</f>
        <v>0</v>
      </c>
    </row>
    <row r="105" spans="5:18" x14ac:dyDescent="0.25">
      <c r="E105" s="44" t="str">
        <f>'MKT DATA'!B813</f>
        <v>syn BTCU6/BTCV6/BTCG7/BTCF7/BTCX6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BTCU6/BTCV6/BTCG7/BTCF7/BTCX6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BTCU6/BTCV6/BTCG7/BTCF7/BTCX6</v>
      </c>
      <c r="R105" s="14">
        <f>'MKT DATA'!AB813</f>
        <v>0</v>
      </c>
    </row>
    <row r="106" spans="5:18" x14ac:dyDescent="0.25">
      <c r="E106" s="44" t="str">
        <f>'MKT DATA'!B814</f>
        <v>syn BTCU6/BTCZ6/BTCV6/BTCF7/BTCX6</v>
      </c>
      <c r="F106" s="14">
        <f>'MKT DATA'!J814</f>
        <v>0</v>
      </c>
      <c r="G106" s="9">
        <f>'MKT DATA'!K814</f>
        <v>0</v>
      </c>
      <c r="H106" s="9">
        <f>'MKT DATA'!L814</f>
        <v>0</v>
      </c>
      <c r="I106" s="14">
        <f>'MKT DATA'!M814</f>
        <v>0</v>
      </c>
      <c r="J106" s="44" t="str">
        <f t="shared" si="4"/>
        <v>syn BTCU6/BTCZ6/BTCV6/BTCF7/BTCX6</v>
      </c>
      <c r="K106" s="9">
        <f>'MKT DATA'!O814</f>
        <v>0</v>
      </c>
      <c r="L106" s="9">
        <f>'MKT DATA'!P814</f>
        <v>0</v>
      </c>
      <c r="M106" s="9">
        <f>'MKT DATA'!Q814</f>
        <v>0</v>
      </c>
      <c r="N106" s="9">
        <f>'MKT DATA'!R814</f>
        <v>0</v>
      </c>
      <c r="O106" s="9">
        <f>'MKT DATA'!S814</f>
        <v>0</v>
      </c>
      <c r="P106" s="9">
        <f>'MKT DATA'!T814</f>
        <v>0</v>
      </c>
      <c r="Q106" s="44" t="str">
        <f t="shared" si="5"/>
        <v>syn BTCU6/BTCZ6/BTCV6/BTCF7/BTCX6</v>
      </c>
      <c r="R106" s="14">
        <f>'MKT DATA'!AB814</f>
        <v>0</v>
      </c>
    </row>
    <row r="107" spans="5:18" x14ac:dyDescent="0.25">
      <c r="E107" s="44" t="str">
        <f>'MKT DATA'!B815</f>
        <v>syn BTCU6/BTCZ6/BTCV6/BTCG7/BTCX6</v>
      </c>
      <c r="F107" s="14">
        <f>'MKT DATA'!J815</f>
        <v>0</v>
      </c>
      <c r="G107" s="9">
        <f>'MKT DATA'!K815</f>
        <v>0</v>
      </c>
      <c r="H107" s="9">
        <f>'MKT DATA'!L815</f>
        <v>0</v>
      </c>
      <c r="I107" s="14">
        <f>'MKT DATA'!M815</f>
        <v>0</v>
      </c>
      <c r="J107" s="44" t="str">
        <f t="shared" si="4"/>
        <v>syn BTCU6/BTCZ6/BTCV6/BTCG7/BTCX6</v>
      </c>
      <c r="K107" s="9">
        <f>'MKT DATA'!O815</f>
        <v>0</v>
      </c>
      <c r="L107" s="9">
        <f>'MKT DATA'!P815</f>
        <v>0</v>
      </c>
      <c r="M107" s="9">
        <f>'MKT DATA'!Q815</f>
        <v>0</v>
      </c>
      <c r="N107" s="9">
        <f>'MKT DATA'!R815</f>
        <v>0</v>
      </c>
      <c r="O107" s="9">
        <f>'MKT DATA'!S815</f>
        <v>0</v>
      </c>
      <c r="P107" s="9">
        <f>'MKT DATA'!T815</f>
        <v>0</v>
      </c>
      <c r="Q107" s="44" t="str">
        <f t="shared" si="5"/>
        <v>syn BTCU6/BTCZ6/BTCV6/BTCG7/BTCX6</v>
      </c>
      <c r="R107" s="14">
        <f>'MKT DATA'!AB815</f>
        <v>0</v>
      </c>
    </row>
    <row r="108" spans="5:18" x14ac:dyDescent="0.25">
      <c r="E108" s="44" t="str">
        <f>'MKT DATA'!B816</f>
        <v>syn BTCU6/BTCZ6/BTCF7/BTCV6/BTCX6</v>
      </c>
      <c r="F108" s="14">
        <f>'MKT DATA'!J816</f>
        <v>0</v>
      </c>
      <c r="G108" s="9">
        <f>'MKT DATA'!K816</f>
        <v>0</v>
      </c>
      <c r="H108" s="9">
        <f>'MKT DATA'!L816</f>
        <v>0</v>
      </c>
      <c r="I108" s="14">
        <f>'MKT DATA'!M816</f>
        <v>0</v>
      </c>
      <c r="J108" s="44" t="str">
        <f t="shared" si="4"/>
        <v>syn BTCU6/BTCZ6/BTCF7/BTCV6/BTCX6</v>
      </c>
      <c r="K108" s="9">
        <f>'MKT DATA'!O816</f>
        <v>0</v>
      </c>
      <c r="L108" s="9">
        <f>'MKT DATA'!P816</f>
        <v>0</v>
      </c>
      <c r="M108" s="9">
        <f>'MKT DATA'!Q816</f>
        <v>0</v>
      </c>
      <c r="N108" s="9">
        <f>'MKT DATA'!R816</f>
        <v>0</v>
      </c>
      <c r="O108" s="9">
        <f>'MKT DATA'!S816</f>
        <v>0</v>
      </c>
      <c r="P108" s="9">
        <f>'MKT DATA'!T816</f>
        <v>0</v>
      </c>
      <c r="Q108" s="44" t="str">
        <f t="shared" si="5"/>
        <v>syn BTCU6/BTCZ6/BTCF7/BTCV6/BTCX6</v>
      </c>
      <c r="R108" s="14">
        <f>'MKT DATA'!AB816</f>
        <v>0</v>
      </c>
    </row>
    <row r="109" spans="5:18" x14ac:dyDescent="0.25">
      <c r="E109" s="44" t="str">
        <f>'MKT DATA'!B817</f>
        <v>syn BTCU6/BTCZ6/BTCF7/BTCG7/BTCX6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BTCU6/BTCZ6/BTCF7/BTCG7/BTCX6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BTCU6/BTCZ6/BTCF7/BTCG7/BTCX6</v>
      </c>
      <c r="R109" s="14">
        <f>'MKT DATA'!AB817</f>
        <v>0</v>
      </c>
    </row>
    <row r="110" spans="5:18" x14ac:dyDescent="0.25">
      <c r="E110" s="44" t="str">
        <f>'MKT DATA'!B818</f>
        <v>syn BTCU6/BTCZ6/BTCG7/BTCV6/BTCX6</v>
      </c>
      <c r="F110" s="14">
        <f>'MKT DATA'!J818</f>
        <v>0</v>
      </c>
      <c r="G110" s="9">
        <f>'MKT DATA'!K818</f>
        <v>0</v>
      </c>
      <c r="H110" s="9">
        <f>'MKT DATA'!L818</f>
        <v>0</v>
      </c>
      <c r="I110" s="14">
        <f>'MKT DATA'!M818</f>
        <v>0</v>
      </c>
      <c r="J110" s="44" t="str">
        <f t="shared" si="4"/>
        <v>syn BTCU6/BTCZ6/BTCG7/BTCV6/BTCX6</v>
      </c>
      <c r="K110" s="9">
        <f>'MKT DATA'!O818</f>
        <v>0</v>
      </c>
      <c r="L110" s="9">
        <f>'MKT DATA'!P818</f>
        <v>0</v>
      </c>
      <c r="M110" s="9">
        <f>'MKT DATA'!Q818</f>
        <v>0</v>
      </c>
      <c r="N110" s="9">
        <f>'MKT DATA'!R818</f>
        <v>0</v>
      </c>
      <c r="O110" s="9">
        <f>'MKT DATA'!S818</f>
        <v>0</v>
      </c>
      <c r="P110" s="9">
        <f>'MKT DATA'!T818</f>
        <v>0</v>
      </c>
      <c r="Q110" s="44" t="str">
        <f t="shared" si="5"/>
        <v>syn BTCU6/BTCZ6/BTCG7/BTCV6/BTCX6</v>
      </c>
      <c r="R110" s="14">
        <f>'MKT DATA'!AB818</f>
        <v>0</v>
      </c>
    </row>
    <row r="111" spans="5:18" x14ac:dyDescent="0.25">
      <c r="E111" s="44" t="str">
        <f>'MKT DATA'!B819</f>
        <v>syn BTCU6/BTCZ6/BTCG7/BTCF7/BTCX6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BTCU6/BTCZ6/BTCG7/BTCF7/BTCX6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BTCU6/BTCZ6/BTCG7/BTCF7/BTCX6</v>
      </c>
      <c r="R111" s="14">
        <f>'MKT DATA'!AB819</f>
        <v>0</v>
      </c>
    </row>
    <row r="112" spans="5:18" x14ac:dyDescent="0.25">
      <c r="E112" s="44" t="str">
        <f>'MKT DATA'!B820</f>
        <v>syn BTCU6/BTCF7/BTCV6/BTCZ6/BTCX6</v>
      </c>
      <c r="F112" s="14">
        <f>'MKT DATA'!J820</f>
        <v>0</v>
      </c>
      <c r="G112" s="9">
        <f>'MKT DATA'!K820</f>
        <v>0</v>
      </c>
      <c r="H112" s="9">
        <f>'MKT DATA'!L820</f>
        <v>0</v>
      </c>
      <c r="I112" s="14">
        <f>'MKT DATA'!M820</f>
        <v>0</v>
      </c>
      <c r="J112" s="44" t="str">
        <f t="shared" si="4"/>
        <v>syn BTCU6/BTCF7/BTCV6/BTCZ6/BTCX6</v>
      </c>
      <c r="K112" s="9">
        <f>'MKT DATA'!O820</f>
        <v>0</v>
      </c>
      <c r="L112" s="9">
        <f>'MKT DATA'!P820</f>
        <v>0</v>
      </c>
      <c r="M112" s="9">
        <f>'MKT DATA'!Q820</f>
        <v>0</v>
      </c>
      <c r="N112" s="9">
        <f>'MKT DATA'!R820</f>
        <v>0</v>
      </c>
      <c r="O112" s="9">
        <f>'MKT DATA'!S820</f>
        <v>0</v>
      </c>
      <c r="P112" s="9">
        <f>'MKT DATA'!T820</f>
        <v>0</v>
      </c>
      <c r="Q112" s="44" t="str">
        <f t="shared" si="5"/>
        <v>syn BTCU6/BTCF7/BTCV6/BTCZ6/BTCX6</v>
      </c>
      <c r="R112" s="14">
        <f>'MKT DATA'!AB820</f>
        <v>0</v>
      </c>
    </row>
    <row r="113" spans="5:18" x14ac:dyDescent="0.25">
      <c r="E113" s="44" t="str">
        <f>'MKT DATA'!B821</f>
        <v>syn BTCU6/BTCF7/BTCV6/BTCG7/BTCX6</v>
      </c>
      <c r="F113" s="14">
        <f>'MKT DATA'!J821</f>
        <v>0</v>
      </c>
      <c r="G113" s="9">
        <f>'MKT DATA'!K821</f>
        <v>0</v>
      </c>
      <c r="H113" s="9">
        <f>'MKT DATA'!L821</f>
        <v>0</v>
      </c>
      <c r="I113" s="14">
        <f>'MKT DATA'!M821</f>
        <v>0</v>
      </c>
      <c r="J113" s="44" t="str">
        <f t="shared" si="4"/>
        <v>syn BTCU6/BTCF7/BTCV6/BTCG7/BTCX6</v>
      </c>
      <c r="K113" s="9">
        <f>'MKT DATA'!O821</f>
        <v>0</v>
      </c>
      <c r="L113" s="9">
        <f>'MKT DATA'!P821</f>
        <v>0</v>
      </c>
      <c r="M113" s="9">
        <f>'MKT DATA'!Q821</f>
        <v>0</v>
      </c>
      <c r="N113" s="9">
        <f>'MKT DATA'!R821</f>
        <v>0</v>
      </c>
      <c r="O113" s="9">
        <f>'MKT DATA'!S821</f>
        <v>0</v>
      </c>
      <c r="P113" s="9">
        <f>'MKT DATA'!T821</f>
        <v>0</v>
      </c>
      <c r="Q113" s="44" t="str">
        <f t="shared" si="5"/>
        <v>syn BTCU6/BTCF7/BTCV6/BTCG7/BTCX6</v>
      </c>
      <c r="R113" s="14">
        <f>'MKT DATA'!AB821</f>
        <v>0</v>
      </c>
    </row>
    <row r="114" spans="5:18" x14ac:dyDescent="0.25">
      <c r="E114" s="44" t="str">
        <f>'MKT DATA'!B822</f>
        <v>syn BTCU6/BTCF7/BTCZ6/BTCV6/BTCX6</v>
      </c>
      <c r="F114" s="14">
        <f>'MKT DATA'!J822</f>
        <v>0</v>
      </c>
      <c r="G114" s="9">
        <f>'MKT DATA'!K822</f>
        <v>0</v>
      </c>
      <c r="H114" s="9">
        <f>'MKT DATA'!L822</f>
        <v>0</v>
      </c>
      <c r="I114" s="14">
        <f>'MKT DATA'!M822</f>
        <v>0</v>
      </c>
      <c r="J114" s="44" t="str">
        <f t="shared" si="4"/>
        <v>syn BTCU6/BTCF7/BTCZ6/BTCV6/BTCX6</v>
      </c>
      <c r="K114" s="9">
        <f>'MKT DATA'!O822</f>
        <v>0</v>
      </c>
      <c r="L114" s="9">
        <f>'MKT DATA'!P822</f>
        <v>0</v>
      </c>
      <c r="M114" s="9">
        <f>'MKT DATA'!Q822</f>
        <v>0</v>
      </c>
      <c r="N114" s="9">
        <f>'MKT DATA'!R822</f>
        <v>0</v>
      </c>
      <c r="O114" s="9">
        <f>'MKT DATA'!S822</f>
        <v>0</v>
      </c>
      <c r="P114" s="9">
        <f>'MKT DATA'!T822</f>
        <v>0</v>
      </c>
      <c r="Q114" s="44" t="str">
        <f t="shared" si="5"/>
        <v>syn BTCU6/BTCF7/BTCZ6/BTCV6/BTCX6</v>
      </c>
      <c r="R114" s="14">
        <f>'MKT DATA'!AB822</f>
        <v>0</v>
      </c>
    </row>
    <row r="115" spans="5:18" x14ac:dyDescent="0.25">
      <c r="E115" s="44" t="str">
        <f>'MKT DATA'!B823</f>
        <v>syn BTCU6/BTCF7/BTCZ6/BTCG7/BTCX6</v>
      </c>
      <c r="F115" s="14">
        <f>'MKT DATA'!J823</f>
        <v>0</v>
      </c>
      <c r="G115" s="9">
        <f>'MKT DATA'!K823</f>
        <v>0</v>
      </c>
      <c r="H115" s="9">
        <f>'MKT DATA'!L823</f>
        <v>0</v>
      </c>
      <c r="I115" s="14">
        <f>'MKT DATA'!M823</f>
        <v>0</v>
      </c>
      <c r="J115" s="44" t="str">
        <f t="shared" si="4"/>
        <v>syn BTCU6/BTCF7/BTCZ6/BTCG7/BTCX6</v>
      </c>
      <c r="K115" s="9">
        <f>'MKT DATA'!O823</f>
        <v>0</v>
      </c>
      <c r="L115" s="9">
        <f>'MKT DATA'!P823</f>
        <v>0</v>
      </c>
      <c r="M115" s="9">
        <f>'MKT DATA'!Q823</f>
        <v>0</v>
      </c>
      <c r="N115" s="9">
        <f>'MKT DATA'!R823</f>
        <v>0</v>
      </c>
      <c r="O115" s="9">
        <f>'MKT DATA'!S823</f>
        <v>0</v>
      </c>
      <c r="P115" s="9">
        <f>'MKT DATA'!T823</f>
        <v>0</v>
      </c>
      <c r="Q115" s="44" t="str">
        <f t="shared" si="5"/>
        <v>syn BTCU6/BTCF7/BTCZ6/BTCG7/BTCX6</v>
      </c>
      <c r="R115" s="14">
        <f>'MKT DATA'!AB823</f>
        <v>0</v>
      </c>
    </row>
    <row r="116" spans="5:18" x14ac:dyDescent="0.25">
      <c r="E116" s="44" t="str">
        <f>'MKT DATA'!B824</f>
        <v>syn BTCU6/BTCF7/BTCG7/BTCV6/BTCX6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BTCU6/BTCF7/BTCG7/BTCV6/BTCX6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BTCU6/BTCF7/BTCG7/BTCV6/BTCX6</v>
      </c>
      <c r="R116" s="14">
        <f>'MKT DATA'!AB824</f>
        <v>0</v>
      </c>
    </row>
    <row r="117" spans="5:18" x14ac:dyDescent="0.25">
      <c r="E117" s="44" t="str">
        <f>'MKT DATA'!B825</f>
        <v>syn BTCU6/BTCF7/BTCG7/BTCZ6/BTCX6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BTCU6/BTCF7/BTCG7/BTCZ6/BTCX6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BTCU6/BTCF7/BTCG7/BTCZ6/BTCX6</v>
      </c>
      <c r="R117" s="14">
        <f>'MKT DATA'!AB825</f>
        <v>0</v>
      </c>
    </row>
    <row r="118" spans="5:18" x14ac:dyDescent="0.25">
      <c r="E118" s="44" t="str">
        <f>'MKT DATA'!B826</f>
        <v>syn BTCU6/BTCG7/BTCV6/BTCZ6/BTCX6</v>
      </c>
      <c r="F118" s="14">
        <f>'MKT DATA'!J826</f>
        <v>0</v>
      </c>
      <c r="G118" s="9">
        <f>'MKT DATA'!K826</f>
        <v>0</v>
      </c>
      <c r="H118" s="9">
        <f>'MKT DATA'!L826</f>
        <v>0</v>
      </c>
      <c r="I118" s="14">
        <f>'MKT DATA'!M826</f>
        <v>0</v>
      </c>
      <c r="J118" s="44" t="str">
        <f t="shared" si="4"/>
        <v>syn BTCU6/BTCG7/BTCV6/BTCZ6/BTCX6</v>
      </c>
      <c r="K118" s="9">
        <f>'MKT DATA'!O826</f>
        <v>0</v>
      </c>
      <c r="L118" s="9">
        <f>'MKT DATA'!P826</f>
        <v>0</v>
      </c>
      <c r="M118" s="9">
        <f>'MKT DATA'!Q826</f>
        <v>0</v>
      </c>
      <c r="N118" s="9">
        <f>'MKT DATA'!R826</f>
        <v>0</v>
      </c>
      <c r="O118" s="9">
        <f>'MKT DATA'!S826</f>
        <v>0</v>
      </c>
      <c r="P118" s="9">
        <f>'MKT DATA'!T826</f>
        <v>0</v>
      </c>
      <c r="Q118" s="44" t="str">
        <f t="shared" si="5"/>
        <v>syn BTCU6/BTCG7/BTCV6/BTCZ6/BTCX6</v>
      </c>
      <c r="R118" s="14">
        <f>'MKT DATA'!AB826</f>
        <v>0</v>
      </c>
    </row>
    <row r="119" spans="5:18" x14ac:dyDescent="0.25">
      <c r="E119" s="44" t="str">
        <f>'MKT DATA'!B827</f>
        <v>syn BTCU6/BTCG7/BTCV6/BTCF7/BTCX6</v>
      </c>
      <c r="F119" s="14">
        <f>'MKT DATA'!J827</f>
        <v>0</v>
      </c>
      <c r="G119" s="9">
        <f>'MKT DATA'!K827</f>
        <v>0</v>
      </c>
      <c r="H119" s="9">
        <f>'MKT DATA'!L827</f>
        <v>0</v>
      </c>
      <c r="I119" s="14">
        <f>'MKT DATA'!M827</f>
        <v>0</v>
      </c>
      <c r="J119" s="44" t="str">
        <f t="shared" si="4"/>
        <v>syn BTCU6/BTCG7/BTCV6/BTCF7/BTCX6</v>
      </c>
      <c r="K119" s="9">
        <f>'MKT DATA'!O827</f>
        <v>0</v>
      </c>
      <c r="L119" s="9">
        <f>'MKT DATA'!P827</f>
        <v>0</v>
      </c>
      <c r="M119" s="9">
        <f>'MKT DATA'!Q827</f>
        <v>0</v>
      </c>
      <c r="N119" s="9">
        <f>'MKT DATA'!R827</f>
        <v>0</v>
      </c>
      <c r="O119" s="9">
        <f>'MKT DATA'!S827</f>
        <v>0</v>
      </c>
      <c r="P119" s="9">
        <f>'MKT DATA'!T827</f>
        <v>0</v>
      </c>
      <c r="Q119" s="44" t="str">
        <f t="shared" si="5"/>
        <v>syn BTCU6/BTCG7/BTCV6/BTCF7/BTCX6</v>
      </c>
      <c r="R119" s="14">
        <f>'MKT DATA'!AB827</f>
        <v>0</v>
      </c>
    </row>
    <row r="120" spans="5:18" x14ac:dyDescent="0.25">
      <c r="E120" s="44" t="str">
        <f>'MKT DATA'!B828</f>
        <v>syn BTCU6/BTCG7/BTCZ6/BTCV6/BTCX6</v>
      </c>
      <c r="F120" s="14">
        <f>'MKT DATA'!J828</f>
        <v>0</v>
      </c>
      <c r="G120" s="9">
        <f>'MKT DATA'!K828</f>
        <v>0</v>
      </c>
      <c r="H120" s="9">
        <f>'MKT DATA'!L828</f>
        <v>0</v>
      </c>
      <c r="I120" s="14">
        <f>'MKT DATA'!M828</f>
        <v>0</v>
      </c>
      <c r="J120" s="44" t="str">
        <f t="shared" si="4"/>
        <v>syn BTCU6/BTCG7/BTCZ6/BTCV6/BTCX6</v>
      </c>
      <c r="K120" s="9">
        <f>'MKT DATA'!O828</f>
        <v>0</v>
      </c>
      <c r="L120" s="9">
        <f>'MKT DATA'!P828</f>
        <v>0</v>
      </c>
      <c r="M120" s="9">
        <f>'MKT DATA'!Q828</f>
        <v>0</v>
      </c>
      <c r="N120" s="9">
        <f>'MKT DATA'!R828</f>
        <v>0</v>
      </c>
      <c r="O120" s="9">
        <f>'MKT DATA'!S828</f>
        <v>0</v>
      </c>
      <c r="P120" s="9">
        <f>'MKT DATA'!T828</f>
        <v>0</v>
      </c>
      <c r="Q120" s="44" t="str">
        <f t="shared" si="5"/>
        <v>syn BTCU6/BTCG7/BTCZ6/BTCV6/BTCX6</v>
      </c>
      <c r="R120" s="14">
        <f>'MKT DATA'!AB828</f>
        <v>0</v>
      </c>
    </row>
    <row r="121" spans="5:18" x14ac:dyDescent="0.25">
      <c r="E121" s="44" t="str">
        <f>'MKT DATA'!B829</f>
        <v>syn BTCU6/BTCG7/BTCZ6/BTCF7/BTCX6</v>
      </c>
      <c r="F121" s="14">
        <f>'MKT DATA'!J829</f>
        <v>0</v>
      </c>
      <c r="G121" s="9">
        <f>'MKT DATA'!K829</f>
        <v>0</v>
      </c>
      <c r="H121" s="9">
        <f>'MKT DATA'!L829</f>
        <v>0</v>
      </c>
      <c r="I121" s="14">
        <f>'MKT DATA'!M829</f>
        <v>0</v>
      </c>
      <c r="J121" s="44" t="str">
        <f t="shared" si="4"/>
        <v>syn BTCU6/BTCG7/BTCZ6/BTCF7/BTCX6</v>
      </c>
      <c r="K121" s="9">
        <f>'MKT DATA'!O829</f>
        <v>0</v>
      </c>
      <c r="L121" s="9">
        <f>'MKT DATA'!P829</f>
        <v>0</v>
      </c>
      <c r="M121" s="9">
        <f>'MKT DATA'!Q829</f>
        <v>0</v>
      </c>
      <c r="N121" s="9">
        <f>'MKT DATA'!R829</f>
        <v>0</v>
      </c>
      <c r="O121" s="9">
        <f>'MKT DATA'!S829</f>
        <v>0</v>
      </c>
      <c r="P121" s="9">
        <f>'MKT DATA'!T829</f>
        <v>0</v>
      </c>
      <c r="Q121" s="44" t="str">
        <f t="shared" si="5"/>
        <v>syn BTCU6/BTCG7/BTCZ6/BTCF7/BTCX6</v>
      </c>
      <c r="R121" s="14">
        <f>'MKT DATA'!AB829</f>
        <v>0</v>
      </c>
    </row>
    <row r="122" spans="5:18" x14ac:dyDescent="0.25">
      <c r="E122" s="44" t="str">
        <f>'MKT DATA'!B830</f>
        <v>syn BTCU6/BTCG7/BTCF7/BTCV6/BTCX6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BTCU6/BTCG7/BTCF7/BTCV6/BTCX6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BTCU6/BTCG7/BTCF7/BTCV6/BTCX6</v>
      </c>
      <c r="R122" s="14">
        <f>'MKT DATA'!AB830</f>
        <v>0</v>
      </c>
    </row>
    <row r="123" spans="5:18" x14ac:dyDescent="0.25">
      <c r="E123" s="44" t="str">
        <f>'MKT DATA'!B831</f>
        <v>syn BTCU6/BTCG7/BTCF7/BTCZ6/BTCX6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BTCU6/BTCG7/BTCF7/BTCZ6/BTCX6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BTCU6/BTCG7/BTCF7/BTCZ6/BTCX6</v>
      </c>
      <c r="R123" s="14">
        <f>'MKT DATA'!AB831</f>
        <v>0</v>
      </c>
    </row>
    <row r="124" spans="5:18" x14ac:dyDescent="0.25">
      <c r="E124" s="44" t="str">
        <f>'MKT DATA'!B832</f>
        <v>syn BTCV6/BTCU6/BTCZ6/BTCF7/BTCX6</v>
      </c>
      <c r="F124" s="14">
        <f>'MKT DATA'!J832</f>
        <v>0</v>
      </c>
      <c r="G124" s="9">
        <f>'MKT DATA'!K832</f>
        <v>0</v>
      </c>
      <c r="H124" s="9">
        <f>'MKT DATA'!L832</f>
        <v>0</v>
      </c>
      <c r="I124" s="14">
        <f>'MKT DATA'!M832</f>
        <v>0</v>
      </c>
      <c r="J124" s="44" t="str">
        <f t="shared" si="4"/>
        <v>syn BTCV6/BTCU6/BTCZ6/BTCF7/BTCX6</v>
      </c>
      <c r="K124" s="9">
        <f>'MKT DATA'!O832</f>
        <v>0</v>
      </c>
      <c r="L124" s="9">
        <f>'MKT DATA'!P832</f>
        <v>0</v>
      </c>
      <c r="M124" s="9">
        <f>'MKT DATA'!Q832</f>
        <v>0</v>
      </c>
      <c r="N124" s="9">
        <f>'MKT DATA'!R832</f>
        <v>0</v>
      </c>
      <c r="O124" s="9">
        <f>'MKT DATA'!S832</f>
        <v>0</v>
      </c>
      <c r="P124" s="9">
        <f>'MKT DATA'!T832</f>
        <v>0</v>
      </c>
      <c r="Q124" s="44" t="str">
        <f t="shared" si="5"/>
        <v>syn BTCV6/BTCU6/BTCZ6/BTCF7/BTCX6</v>
      </c>
      <c r="R124" s="14">
        <f>'MKT DATA'!AB832</f>
        <v>0</v>
      </c>
    </row>
    <row r="125" spans="5:18" x14ac:dyDescent="0.25">
      <c r="E125" s="44" t="str">
        <f>'MKT DATA'!B833</f>
        <v>syn BTCV6/BTCU6/BTCZ6/BTCG7/BTCX6</v>
      </c>
      <c r="F125" s="14">
        <f>'MKT DATA'!J833</f>
        <v>0</v>
      </c>
      <c r="G125" s="9">
        <f>'MKT DATA'!K833</f>
        <v>0</v>
      </c>
      <c r="H125" s="9">
        <f>'MKT DATA'!L833</f>
        <v>0</v>
      </c>
      <c r="I125" s="14">
        <f>'MKT DATA'!M833</f>
        <v>0</v>
      </c>
      <c r="J125" s="44" t="str">
        <f t="shared" si="4"/>
        <v>syn BTCV6/BTCU6/BTCZ6/BTCG7/BTCX6</v>
      </c>
      <c r="K125" s="9">
        <f>'MKT DATA'!O833</f>
        <v>0</v>
      </c>
      <c r="L125" s="9">
        <f>'MKT DATA'!P833</f>
        <v>0</v>
      </c>
      <c r="M125" s="9">
        <f>'MKT DATA'!Q833</f>
        <v>0</v>
      </c>
      <c r="N125" s="9">
        <f>'MKT DATA'!R833</f>
        <v>0</v>
      </c>
      <c r="O125" s="9">
        <f>'MKT DATA'!S833</f>
        <v>0</v>
      </c>
      <c r="P125" s="9">
        <f>'MKT DATA'!T833</f>
        <v>0</v>
      </c>
      <c r="Q125" s="44" t="str">
        <f t="shared" si="5"/>
        <v>syn BTCV6/BTCU6/BTCZ6/BTCG7/BTCX6</v>
      </c>
      <c r="R125" s="14">
        <f>'MKT DATA'!AB833</f>
        <v>0</v>
      </c>
    </row>
    <row r="126" spans="5:18" x14ac:dyDescent="0.25">
      <c r="E126" s="44" t="str">
        <f>'MKT DATA'!B834</f>
        <v>syn BTCV6/BTCU6/BTCF7/BTCZ6/BTCX6</v>
      </c>
      <c r="F126" s="14">
        <f>'MKT DATA'!J834</f>
        <v>0</v>
      </c>
      <c r="G126" s="9">
        <f>'MKT DATA'!K834</f>
        <v>0</v>
      </c>
      <c r="H126" s="9">
        <f>'MKT DATA'!L834</f>
        <v>0</v>
      </c>
      <c r="I126" s="14">
        <f>'MKT DATA'!M834</f>
        <v>0</v>
      </c>
      <c r="J126" s="44" t="str">
        <f t="shared" si="4"/>
        <v>syn BTCV6/BTCU6/BTCF7/BTCZ6/BTCX6</v>
      </c>
      <c r="K126" s="9">
        <f>'MKT DATA'!O834</f>
        <v>0</v>
      </c>
      <c r="L126" s="9">
        <f>'MKT DATA'!P834</f>
        <v>0</v>
      </c>
      <c r="M126" s="9">
        <f>'MKT DATA'!Q834</f>
        <v>0</v>
      </c>
      <c r="N126" s="9">
        <f>'MKT DATA'!R834</f>
        <v>0</v>
      </c>
      <c r="O126" s="9">
        <f>'MKT DATA'!S834</f>
        <v>0</v>
      </c>
      <c r="P126" s="9">
        <f>'MKT DATA'!T834</f>
        <v>0</v>
      </c>
      <c r="Q126" s="44" t="str">
        <f t="shared" si="5"/>
        <v>syn BTCV6/BTCU6/BTCF7/BTCZ6/BTCX6</v>
      </c>
      <c r="R126" s="14">
        <f>'MKT DATA'!AB834</f>
        <v>0</v>
      </c>
    </row>
    <row r="127" spans="5:18" x14ac:dyDescent="0.25">
      <c r="E127" s="44" t="str">
        <f>'MKT DATA'!B835</f>
        <v>syn BTCV6/BTCU6/BTCF7/BTCG7/BTCX6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BTCV6/BTCU6/BTCF7/BTCG7/BTCX6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BTCV6/BTCU6/BTCF7/BTCG7/BTCX6</v>
      </c>
      <c r="R127" s="14">
        <f>'MKT DATA'!AB835</f>
        <v>0</v>
      </c>
    </row>
    <row r="128" spans="5:18" x14ac:dyDescent="0.25">
      <c r="E128" s="44" t="str">
        <f>'MKT DATA'!B836</f>
        <v>syn BTCV6/BTCU6/BTCG7/BTCZ6/BTCX6</v>
      </c>
      <c r="F128" s="14">
        <f>'MKT DATA'!J836</f>
        <v>0</v>
      </c>
      <c r="G128" s="9">
        <f>'MKT DATA'!K836</f>
        <v>0</v>
      </c>
      <c r="H128" s="9">
        <f>'MKT DATA'!L836</f>
        <v>0</v>
      </c>
      <c r="I128" s="14">
        <f>'MKT DATA'!M836</f>
        <v>0</v>
      </c>
      <c r="J128" s="44" t="str">
        <f t="shared" si="4"/>
        <v>syn BTCV6/BTCU6/BTCG7/BTCZ6/BTCX6</v>
      </c>
      <c r="K128" s="9">
        <f>'MKT DATA'!O836</f>
        <v>0</v>
      </c>
      <c r="L128" s="9">
        <f>'MKT DATA'!P836</f>
        <v>0</v>
      </c>
      <c r="M128" s="9">
        <f>'MKT DATA'!Q836</f>
        <v>0</v>
      </c>
      <c r="N128" s="9">
        <f>'MKT DATA'!R836</f>
        <v>0</v>
      </c>
      <c r="O128" s="9">
        <f>'MKT DATA'!S836</f>
        <v>0</v>
      </c>
      <c r="P128" s="9">
        <f>'MKT DATA'!T836</f>
        <v>0</v>
      </c>
      <c r="Q128" s="44" t="str">
        <f t="shared" si="5"/>
        <v>syn BTCV6/BTCU6/BTCG7/BTCZ6/BTCX6</v>
      </c>
      <c r="R128" s="14">
        <f>'MKT DATA'!AB836</f>
        <v>0</v>
      </c>
    </row>
    <row r="129" spans="5:18" x14ac:dyDescent="0.25">
      <c r="E129" s="44" t="str">
        <f>'MKT DATA'!B837</f>
        <v>syn BTCV6/BTCU6/BTCG7/BTCF7/BTCX6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BTCV6/BTCU6/BTCG7/BTCF7/BTCX6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BTCV6/BTCU6/BTCG7/BTCF7/BTCX6</v>
      </c>
      <c r="R129" s="14">
        <f>'MKT DATA'!AB837</f>
        <v>0</v>
      </c>
    </row>
    <row r="130" spans="5:18" x14ac:dyDescent="0.25">
      <c r="E130" s="44" t="str">
        <f>'MKT DATA'!B838</f>
        <v>syn BTCV6/BTCZ6/BTCU6/BTCF7/BTCX6</v>
      </c>
      <c r="F130" s="14">
        <f>'MKT DATA'!J838</f>
        <v>0</v>
      </c>
      <c r="G130" s="9">
        <f>'MKT DATA'!K838</f>
        <v>0</v>
      </c>
      <c r="H130" s="9">
        <f>'MKT DATA'!L838</f>
        <v>0</v>
      </c>
      <c r="I130" s="14">
        <f>'MKT DATA'!M838</f>
        <v>0</v>
      </c>
      <c r="J130" s="44" t="str">
        <f t="shared" si="4"/>
        <v>syn BTCV6/BTCZ6/BTCU6/BTCF7/BTCX6</v>
      </c>
      <c r="K130" s="9">
        <f>'MKT DATA'!O838</f>
        <v>0</v>
      </c>
      <c r="L130" s="9">
        <f>'MKT DATA'!P838</f>
        <v>0</v>
      </c>
      <c r="M130" s="9">
        <f>'MKT DATA'!Q838</f>
        <v>0</v>
      </c>
      <c r="N130" s="9">
        <f>'MKT DATA'!R838</f>
        <v>0</v>
      </c>
      <c r="O130" s="9">
        <f>'MKT DATA'!S838</f>
        <v>0</v>
      </c>
      <c r="P130" s="9">
        <f>'MKT DATA'!T838</f>
        <v>0</v>
      </c>
      <c r="Q130" s="44" t="str">
        <f t="shared" si="5"/>
        <v>syn BTCV6/BTCZ6/BTCU6/BTCF7/BTCX6</v>
      </c>
      <c r="R130" s="14">
        <f>'MKT DATA'!AB838</f>
        <v>0</v>
      </c>
    </row>
    <row r="131" spans="5:18" x14ac:dyDescent="0.25">
      <c r="E131" s="44" t="str">
        <f>'MKT DATA'!B839</f>
        <v>syn BTCV6/BTCZ6/BTCU6/BTCG7/BTCX6</v>
      </c>
      <c r="F131" s="14">
        <f>'MKT DATA'!J839</f>
        <v>0</v>
      </c>
      <c r="G131" s="9">
        <f>'MKT DATA'!K839</f>
        <v>0</v>
      </c>
      <c r="H131" s="9">
        <f>'MKT DATA'!L839</f>
        <v>0</v>
      </c>
      <c r="I131" s="14">
        <f>'MKT DATA'!M839</f>
        <v>0</v>
      </c>
      <c r="J131" s="44" t="str">
        <f t="shared" si="4"/>
        <v>syn BTCV6/BTCZ6/BTCU6/BTCG7/BTCX6</v>
      </c>
      <c r="K131" s="9">
        <f>'MKT DATA'!O839</f>
        <v>0</v>
      </c>
      <c r="L131" s="9">
        <f>'MKT DATA'!P839</f>
        <v>0</v>
      </c>
      <c r="M131" s="9">
        <f>'MKT DATA'!Q839</f>
        <v>0</v>
      </c>
      <c r="N131" s="9">
        <f>'MKT DATA'!R839</f>
        <v>0</v>
      </c>
      <c r="O131" s="9">
        <f>'MKT DATA'!S839</f>
        <v>0</v>
      </c>
      <c r="P131" s="9">
        <f>'MKT DATA'!T839</f>
        <v>0</v>
      </c>
      <c r="Q131" s="44" t="str">
        <f t="shared" si="5"/>
        <v>syn BTCV6/BTCZ6/BTCU6/BTCG7/BTCX6</v>
      </c>
      <c r="R131" s="14">
        <f>'MKT DATA'!AB839</f>
        <v>0</v>
      </c>
    </row>
    <row r="132" spans="5:18" x14ac:dyDescent="0.25">
      <c r="E132" s="44" t="str">
        <f>'MKT DATA'!B840</f>
        <v>syn BTCV6/BTCZ6/BTCF7/BTCU6/BTCX6</v>
      </c>
      <c r="F132" s="14">
        <f>'MKT DATA'!J840</f>
        <v>0</v>
      </c>
      <c r="G132" s="9">
        <f>'MKT DATA'!K840</f>
        <v>0</v>
      </c>
      <c r="H132" s="9">
        <f>'MKT DATA'!L840</f>
        <v>0</v>
      </c>
      <c r="I132" s="14">
        <f>'MKT DATA'!M840</f>
        <v>0</v>
      </c>
      <c r="J132" s="44" t="str">
        <f t="shared" si="4"/>
        <v>syn BTCV6/BTCZ6/BTCF7/BTCU6/BTCX6</v>
      </c>
      <c r="K132" s="9">
        <f>'MKT DATA'!O840</f>
        <v>0</v>
      </c>
      <c r="L132" s="9">
        <f>'MKT DATA'!P840</f>
        <v>0</v>
      </c>
      <c r="M132" s="9">
        <f>'MKT DATA'!Q840</f>
        <v>0</v>
      </c>
      <c r="N132" s="9">
        <f>'MKT DATA'!R840</f>
        <v>0</v>
      </c>
      <c r="O132" s="9">
        <f>'MKT DATA'!S840</f>
        <v>0</v>
      </c>
      <c r="P132" s="9">
        <f>'MKT DATA'!T840</f>
        <v>0</v>
      </c>
      <c r="Q132" s="44" t="str">
        <f t="shared" si="5"/>
        <v>syn BTCV6/BTCZ6/BTCF7/BTCU6/BTCX6</v>
      </c>
      <c r="R132" s="14">
        <f>'MKT DATA'!AB840</f>
        <v>0</v>
      </c>
    </row>
    <row r="133" spans="5:18" x14ac:dyDescent="0.25">
      <c r="E133" s="44" t="str">
        <f>'MKT DATA'!B841</f>
        <v>syn BTCV6/BTCZ6/BTCF7/BTCG7/BTCX6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BTCV6/BTCZ6/BTCF7/BTCG7/BTCX6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BTCV6/BTCZ6/BTCF7/BTCG7/BTCX6</v>
      </c>
      <c r="R133" s="14">
        <f>'MKT DATA'!AB841</f>
        <v>0</v>
      </c>
    </row>
    <row r="134" spans="5:18" x14ac:dyDescent="0.25">
      <c r="E134" s="44" t="str">
        <f>'MKT DATA'!B842</f>
        <v>syn BTCV6/BTCZ6/BTCG7/BTCU6/BTCX6</v>
      </c>
      <c r="F134" s="14">
        <f>'MKT DATA'!J842</f>
        <v>0</v>
      </c>
      <c r="G134" s="9">
        <f>'MKT DATA'!K842</f>
        <v>0</v>
      </c>
      <c r="H134" s="9">
        <f>'MKT DATA'!L842</f>
        <v>0</v>
      </c>
      <c r="I134" s="14">
        <f>'MKT DATA'!M842</f>
        <v>0</v>
      </c>
      <c r="J134" s="44" t="str">
        <f t="shared" si="4"/>
        <v>syn BTCV6/BTCZ6/BTCG7/BTCU6/BTCX6</v>
      </c>
      <c r="K134" s="9">
        <f>'MKT DATA'!O842</f>
        <v>0</v>
      </c>
      <c r="L134" s="9">
        <f>'MKT DATA'!P842</f>
        <v>0</v>
      </c>
      <c r="M134" s="9">
        <f>'MKT DATA'!Q842</f>
        <v>0</v>
      </c>
      <c r="N134" s="9">
        <f>'MKT DATA'!R842</f>
        <v>0</v>
      </c>
      <c r="O134" s="9">
        <f>'MKT DATA'!S842</f>
        <v>0</v>
      </c>
      <c r="P134" s="9">
        <f>'MKT DATA'!T842</f>
        <v>0</v>
      </c>
      <c r="Q134" s="44" t="str">
        <f t="shared" si="5"/>
        <v>syn BTCV6/BTCZ6/BTCG7/BTCU6/BTCX6</v>
      </c>
      <c r="R134" s="14">
        <f>'MKT DATA'!AB842</f>
        <v>0</v>
      </c>
    </row>
    <row r="135" spans="5:18" x14ac:dyDescent="0.25">
      <c r="E135" s="44" t="str">
        <f>'MKT DATA'!B843</f>
        <v>syn BTCV6/BTCZ6/BTCG7/BTCF7/BTCX6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BTCV6/BTCZ6/BTCG7/BTCF7/BTCX6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BTCV6/BTCZ6/BTCG7/BTCF7/BTCX6</v>
      </c>
      <c r="R135" s="14">
        <f>'MKT DATA'!AB843</f>
        <v>0</v>
      </c>
    </row>
    <row r="136" spans="5:18" x14ac:dyDescent="0.25">
      <c r="E136" s="44" t="str">
        <f>'MKT DATA'!B844</f>
        <v>syn BTCV6/BTCF7/BTCU6/BTCZ6/BTCX6</v>
      </c>
      <c r="F136" s="14">
        <f>'MKT DATA'!J844</f>
        <v>0</v>
      </c>
      <c r="G136" s="9">
        <f>'MKT DATA'!K844</f>
        <v>0</v>
      </c>
      <c r="H136" s="9">
        <f>'MKT DATA'!L844</f>
        <v>0</v>
      </c>
      <c r="I136" s="14">
        <f>'MKT DATA'!M844</f>
        <v>0</v>
      </c>
      <c r="J136" s="44" t="str">
        <f t="shared" si="4"/>
        <v>syn BTCV6/BTCF7/BTCU6/BTCZ6/BTCX6</v>
      </c>
      <c r="K136" s="9">
        <f>'MKT DATA'!O844</f>
        <v>0</v>
      </c>
      <c r="L136" s="9">
        <f>'MKT DATA'!P844</f>
        <v>0</v>
      </c>
      <c r="M136" s="9">
        <f>'MKT DATA'!Q844</f>
        <v>0</v>
      </c>
      <c r="N136" s="9">
        <f>'MKT DATA'!R844</f>
        <v>0</v>
      </c>
      <c r="O136" s="9">
        <f>'MKT DATA'!S844</f>
        <v>0</v>
      </c>
      <c r="P136" s="9">
        <f>'MKT DATA'!T844</f>
        <v>0</v>
      </c>
      <c r="Q136" s="44" t="str">
        <f t="shared" si="5"/>
        <v>syn BTCV6/BTCF7/BTCU6/BTCZ6/BTCX6</v>
      </c>
      <c r="R136" s="14">
        <f>'MKT DATA'!AB844</f>
        <v>0</v>
      </c>
    </row>
    <row r="137" spans="5:18" x14ac:dyDescent="0.25">
      <c r="E137" s="44" t="str">
        <f>'MKT DATA'!B845</f>
        <v>syn BTCV6/BTCF7/BTCU6/BTCG7/BTCX6</v>
      </c>
      <c r="F137" s="14">
        <f>'MKT DATA'!J845</f>
        <v>0</v>
      </c>
      <c r="G137" s="9">
        <f>'MKT DATA'!K845</f>
        <v>0</v>
      </c>
      <c r="H137" s="9">
        <f>'MKT DATA'!L845</f>
        <v>0</v>
      </c>
      <c r="I137" s="14">
        <f>'MKT DATA'!M845</f>
        <v>0</v>
      </c>
      <c r="J137" s="44" t="str">
        <f t="shared" si="4"/>
        <v>syn BTCV6/BTCF7/BTCU6/BTCG7/BTCX6</v>
      </c>
      <c r="K137" s="9">
        <f>'MKT DATA'!O845</f>
        <v>0</v>
      </c>
      <c r="L137" s="9">
        <f>'MKT DATA'!P845</f>
        <v>0</v>
      </c>
      <c r="M137" s="9">
        <f>'MKT DATA'!Q845</f>
        <v>0</v>
      </c>
      <c r="N137" s="9">
        <f>'MKT DATA'!R845</f>
        <v>0</v>
      </c>
      <c r="O137" s="9">
        <f>'MKT DATA'!S845</f>
        <v>0</v>
      </c>
      <c r="P137" s="9">
        <f>'MKT DATA'!T845</f>
        <v>0</v>
      </c>
      <c r="Q137" s="44" t="str">
        <f t="shared" si="5"/>
        <v>syn BTCV6/BTCF7/BTCU6/BTCG7/BTCX6</v>
      </c>
      <c r="R137" s="14">
        <f>'MKT DATA'!AB845</f>
        <v>0</v>
      </c>
    </row>
    <row r="138" spans="5:18" x14ac:dyDescent="0.25">
      <c r="E138" s="44" t="str">
        <f>'MKT DATA'!B846</f>
        <v>syn BTCV6/BTCF7/BTCZ6/BTCU6/BTCX6</v>
      </c>
      <c r="F138" s="14">
        <f>'MKT DATA'!J846</f>
        <v>0</v>
      </c>
      <c r="G138" s="9">
        <f>'MKT DATA'!K846</f>
        <v>0</v>
      </c>
      <c r="H138" s="9">
        <f>'MKT DATA'!L846</f>
        <v>0</v>
      </c>
      <c r="I138" s="14">
        <f>'MKT DATA'!M846</f>
        <v>0</v>
      </c>
      <c r="J138" s="44" t="str">
        <f t="shared" ref="J138:J201" si="6">E138</f>
        <v>syn BTCV6/BTCF7/BTCZ6/BTCU6/BTCX6</v>
      </c>
      <c r="K138" s="9">
        <f>'MKT DATA'!O846</f>
        <v>0</v>
      </c>
      <c r="L138" s="9">
        <f>'MKT DATA'!P846</f>
        <v>0</v>
      </c>
      <c r="M138" s="9">
        <f>'MKT DATA'!Q846</f>
        <v>0</v>
      </c>
      <c r="N138" s="9">
        <f>'MKT DATA'!R846</f>
        <v>0</v>
      </c>
      <c r="O138" s="9">
        <f>'MKT DATA'!S846</f>
        <v>0</v>
      </c>
      <c r="P138" s="9">
        <f>'MKT DATA'!T846</f>
        <v>0</v>
      </c>
      <c r="Q138" s="44" t="str">
        <f t="shared" ref="Q138:Q201" si="7">J138</f>
        <v>syn BTCV6/BTCF7/BTCZ6/BTCU6/BTCX6</v>
      </c>
      <c r="R138" s="14">
        <f>'MKT DATA'!AB846</f>
        <v>0</v>
      </c>
    </row>
    <row r="139" spans="5:18" x14ac:dyDescent="0.25">
      <c r="E139" s="44" t="str">
        <f>'MKT DATA'!B847</f>
        <v>syn BTCV6/BTCF7/BTCZ6/BTCG7/BTCX6</v>
      </c>
      <c r="F139" s="14">
        <f>'MKT DATA'!J847</f>
        <v>0</v>
      </c>
      <c r="G139" s="9">
        <f>'MKT DATA'!K847</f>
        <v>0</v>
      </c>
      <c r="H139" s="9">
        <f>'MKT DATA'!L847</f>
        <v>0</v>
      </c>
      <c r="I139" s="14">
        <f>'MKT DATA'!M847</f>
        <v>0</v>
      </c>
      <c r="J139" s="44" t="str">
        <f t="shared" si="6"/>
        <v>syn BTCV6/BTCF7/BTCZ6/BTCG7/BTCX6</v>
      </c>
      <c r="K139" s="9">
        <f>'MKT DATA'!O847</f>
        <v>0</v>
      </c>
      <c r="L139" s="9">
        <f>'MKT DATA'!P847</f>
        <v>0</v>
      </c>
      <c r="M139" s="9">
        <f>'MKT DATA'!Q847</f>
        <v>0</v>
      </c>
      <c r="N139" s="9">
        <f>'MKT DATA'!R847</f>
        <v>0</v>
      </c>
      <c r="O139" s="9">
        <f>'MKT DATA'!S847</f>
        <v>0</v>
      </c>
      <c r="P139" s="9">
        <f>'MKT DATA'!T847</f>
        <v>0</v>
      </c>
      <c r="Q139" s="44" t="str">
        <f t="shared" si="7"/>
        <v>syn BTCV6/BTCF7/BTCZ6/BTCG7/BTCX6</v>
      </c>
      <c r="R139" s="14">
        <f>'MKT DATA'!AB847</f>
        <v>0</v>
      </c>
    </row>
    <row r="140" spans="5:18" x14ac:dyDescent="0.25">
      <c r="E140" s="44" t="str">
        <f>'MKT DATA'!B848</f>
        <v>syn BTCV6/BTCF7/BTCG7/BTCU6/BTCX6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BTCV6/BTCF7/BTCG7/BTCU6/BTCX6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BTCV6/BTCF7/BTCG7/BTCU6/BTCX6</v>
      </c>
      <c r="R140" s="14">
        <f>'MKT DATA'!AB848</f>
        <v>0</v>
      </c>
    </row>
    <row r="141" spans="5:18" x14ac:dyDescent="0.25">
      <c r="E141" s="44" t="str">
        <f>'MKT DATA'!B849</f>
        <v>syn BTCV6/BTCF7/BTCG7/BTCZ6/BTCX6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BTCV6/BTCF7/BTCG7/BTCZ6/BTCX6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BTCV6/BTCF7/BTCG7/BTCZ6/BTCX6</v>
      </c>
      <c r="R141" s="14">
        <f>'MKT DATA'!AB849</f>
        <v>0</v>
      </c>
    </row>
    <row r="142" spans="5:18" x14ac:dyDescent="0.25">
      <c r="E142" s="44" t="str">
        <f>'MKT DATA'!B850</f>
        <v>syn BTCV6/BTCG7/BTCU6/BTCZ6/BTCX6</v>
      </c>
      <c r="F142" s="14">
        <f>'MKT DATA'!J850</f>
        <v>0</v>
      </c>
      <c r="G142" s="9">
        <f>'MKT DATA'!K850</f>
        <v>0</v>
      </c>
      <c r="H142" s="9">
        <f>'MKT DATA'!L850</f>
        <v>0</v>
      </c>
      <c r="I142" s="14">
        <f>'MKT DATA'!M850</f>
        <v>0</v>
      </c>
      <c r="J142" s="44" t="str">
        <f t="shared" si="6"/>
        <v>syn BTCV6/BTCG7/BTCU6/BTCZ6/BTCX6</v>
      </c>
      <c r="K142" s="9">
        <f>'MKT DATA'!O850</f>
        <v>0</v>
      </c>
      <c r="L142" s="9">
        <f>'MKT DATA'!P850</f>
        <v>0</v>
      </c>
      <c r="M142" s="9">
        <f>'MKT DATA'!Q850</f>
        <v>0</v>
      </c>
      <c r="N142" s="9">
        <f>'MKT DATA'!R850</f>
        <v>0</v>
      </c>
      <c r="O142" s="9">
        <f>'MKT DATA'!S850</f>
        <v>0</v>
      </c>
      <c r="P142" s="9">
        <f>'MKT DATA'!T850</f>
        <v>0</v>
      </c>
      <c r="Q142" s="44" t="str">
        <f t="shared" si="7"/>
        <v>syn BTCV6/BTCG7/BTCU6/BTCZ6/BTCX6</v>
      </c>
      <c r="R142" s="14">
        <f>'MKT DATA'!AB850</f>
        <v>0</v>
      </c>
    </row>
    <row r="143" spans="5:18" x14ac:dyDescent="0.25">
      <c r="E143" s="44" t="str">
        <f>'MKT DATA'!B851</f>
        <v>syn BTCV6/BTCG7/BTCU6/BTCF7/BTCX6</v>
      </c>
      <c r="F143" s="14">
        <f>'MKT DATA'!J851</f>
        <v>0</v>
      </c>
      <c r="G143" s="9">
        <f>'MKT DATA'!K851</f>
        <v>0</v>
      </c>
      <c r="H143" s="9">
        <f>'MKT DATA'!L851</f>
        <v>0</v>
      </c>
      <c r="I143" s="14">
        <f>'MKT DATA'!M851</f>
        <v>0</v>
      </c>
      <c r="J143" s="44" t="str">
        <f t="shared" si="6"/>
        <v>syn BTCV6/BTCG7/BTCU6/BTCF7/BTCX6</v>
      </c>
      <c r="K143" s="9">
        <f>'MKT DATA'!O851</f>
        <v>0</v>
      </c>
      <c r="L143" s="9">
        <f>'MKT DATA'!P851</f>
        <v>0</v>
      </c>
      <c r="M143" s="9">
        <f>'MKT DATA'!Q851</f>
        <v>0</v>
      </c>
      <c r="N143" s="9">
        <f>'MKT DATA'!R851</f>
        <v>0</v>
      </c>
      <c r="O143" s="9">
        <f>'MKT DATA'!S851</f>
        <v>0</v>
      </c>
      <c r="P143" s="9">
        <f>'MKT DATA'!T851</f>
        <v>0</v>
      </c>
      <c r="Q143" s="44" t="str">
        <f t="shared" si="7"/>
        <v>syn BTCV6/BTCG7/BTCU6/BTCF7/BTCX6</v>
      </c>
      <c r="R143" s="14">
        <f>'MKT DATA'!AB851</f>
        <v>0</v>
      </c>
    </row>
    <row r="144" spans="5:18" x14ac:dyDescent="0.25">
      <c r="E144" s="44" t="str">
        <f>'MKT DATA'!B852</f>
        <v>syn BTCV6/BTCG7/BTCZ6/BTCU6/BTCX6</v>
      </c>
      <c r="F144" s="14">
        <f>'MKT DATA'!J852</f>
        <v>0</v>
      </c>
      <c r="G144" s="9">
        <f>'MKT DATA'!K852</f>
        <v>0</v>
      </c>
      <c r="H144" s="9">
        <f>'MKT DATA'!L852</f>
        <v>0</v>
      </c>
      <c r="I144" s="14">
        <f>'MKT DATA'!M852</f>
        <v>0</v>
      </c>
      <c r="J144" s="44" t="str">
        <f t="shared" si="6"/>
        <v>syn BTCV6/BTCG7/BTCZ6/BTCU6/BTCX6</v>
      </c>
      <c r="K144" s="9">
        <f>'MKT DATA'!O852</f>
        <v>0</v>
      </c>
      <c r="L144" s="9">
        <f>'MKT DATA'!P852</f>
        <v>0</v>
      </c>
      <c r="M144" s="9">
        <f>'MKT DATA'!Q852</f>
        <v>0</v>
      </c>
      <c r="N144" s="9">
        <f>'MKT DATA'!R852</f>
        <v>0</v>
      </c>
      <c r="O144" s="9">
        <f>'MKT DATA'!S852</f>
        <v>0</v>
      </c>
      <c r="P144" s="9">
        <f>'MKT DATA'!T852</f>
        <v>0</v>
      </c>
      <c r="Q144" s="44" t="str">
        <f t="shared" si="7"/>
        <v>syn BTCV6/BTCG7/BTCZ6/BTCU6/BTCX6</v>
      </c>
      <c r="R144" s="14">
        <f>'MKT DATA'!AB852</f>
        <v>0</v>
      </c>
    </row>
    <row r="145" spans="5:18" x14ac:dyDescent="0.25">
      <c r="E145" s="44" t="str">
        <f>'MKT DATA'!B853</f>
        <v>syn BTCV6/BTCG7/BTCZ6/BTCF7/BTCX6</v>
      </c>
      <c r="F145" s="14">
        <f>'MKT DATA'!J853</f>
        <v>0</v>
      </c>
      <c r="G145" s="9">
        <f>'MKT DATA'!K853</f>
        <v>0</v>
      </c>
      <c r="H145" s="9">
        <f>'MKT DATA'!L853</f>
        <v>0</v>
      </c>
      <c r="I145" s="14">
        <f>'MKT DATA'!M853</f>
        <v>0</v>
      </c>
      <c r="J145" s="44" t="str">
        <f t="shared" si="6"/>
        <v>syn BTCV6/BTCG7/BTCZ6/BTCF7/BTCX6</v>
      </c>
      <c r="K145" s="9">
        <f>'MKT DATA'!O853</f>
        <v>0</v>
      </c>
      <c r="L145" s="9">
        <f>'MKT DATA'!P853</f>
        <v>0</v>
      </c>
      <c r="M145" s="9">
        <f>'MKT DATA'!Q853</f>
        <v>0</v>
      </c>
      <c r="N145" s="9">
        <f>'MKT DATA'!R853</f>
        <v>0</v>
      </c>
      <c r="O145" s="9">
        <f>'MKT DATA'!S853</f>
        <v>0</v>
      </c>
      <c r="P145" s="9">
        <f>'MKT DATA'!T853</f>
        <v>0</v>
      </c>
      <c r="Q145" s="44" t="str">
        <f t="shared" si="7"/>
        <v>syn BTCV6/BTCG7/BTCZ6/BTCF7/BTCX6</v>
      </c>
      <c r="R145" s="14">
        <f>'MKT DATA'!AB853</f>
        <v>0</v>
      </c>
    </row>
    <row r="146" spans="5:18" x14ac:dyDescent="0.25">
      <c r="E146" s="44" t="str">
        <f>'MKT DATA'!B854</f>
        <v>syn BTCV6/BTCG7/BTCF7/BTCU6/BTCX6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BTCV6/BTCG7/BTCF7/BTCU6/BTCX6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BTCV6/BTCG7/BTCF7/BTCU6/BTCX6</v>
      </c>
      <c r="R146" s="14">
        <f>'MKT DATA'!AB854</f>
        <v>0</v>
      </c>
    </row>
    <row r="147" spans="5:18" x14ac:dyDescent="0.25">
      <c r="E147" s="44" t="str">
        <f>'MKT DATA'!B855</f>
        <v>syn BTCV6/BTCG7/BTCF7/BTCZ6/BTCX6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BTCV6/BTCG7/BTCF7/BTCZ6/BTCX6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BTCV6/BTCG7/BTCF7/BTCZ6/BTCX6</v>
      </c>
      <c r="R147" s="14">
        <f>'MKT DATA'!AB855</f>
        <v>0</v>
      </c>
    </row>
    <row r="148" spans="5:18" x14ac:dyDescent="0.25">
      <c r="E148" s="44" t="str">
        <f>'MKT DATA'!B856</f>
        <v>syn BTCZ6/BTCU6/BTCV6/BTCF7/BTCX6</v>
      </c>
      <c r="F148" s="14">
        <f>'MKT DATA'!J856</f>
        <v>0</v>
      </c>
      <c r="G148" s="9">
        <f>'MKT DATA'!K856</f>
        <v>0</v>
      </c>
      <c r="H148" s="9">
        <f>'MKT DATA'!L856</f>
        <v>0</v>
      </c>
      <c r="I148" s="14">
        <f>'MKT DATA'!M856</f>
        <v>0</v>
      </c>
      <c r="J148" s="44" t="str">
        <f t="shared" si="6"/>
        <v>syn BTCZ6/BTCU6/BTCV6/BTCF7/BTCX6</v>
      </c>
      <c r="K148" s="9">
        <f>'MKT DATA'!O856</f>
        <v>0</v>
      </c>
      <c r="L148" s="9">
        <f>'MKT DATA'!P856</f>
        <v>0</v>
      </c>
      <c r="M148" s="9">
        <f>'MKT DATA'!Q856</f>
        <v>0</v>
      </c>
      <c r="N148" s="9">
        <f>'MKT DATA'!R856</f>
        <v>0</v>
      </c>
      <c r="O148" s="9">
        <f>'MKT DATA'!S856</f>
        <v>0</v>
      </c>
      <c r="P148" s="9">
        <f>'MKT DATA'!T856</f>
        <v>0</v>
      </c>
      <c r="Q148" s="44" t="str">
        <f t="shared" si="7"/>
        <v>syn BTCZ6/BTCU6/BTCV6/BTCF7/BTCX6</v>
      </c>
      <c r="R148" s="14">
        <f>'MKT DATA'!AB856</f>
        <v>0</v>
      </c>
    </row>
    <row r="149" spans="5:18" x14ac:dyDescent="0.25">
      <c r="E149" s="44" t="str">
        <f>'MKT DATA'!B857</f>
        <v>syn BTCZ6/BTCU6/BTCV6/BTCG7/BTCX6</v>
      </c>
      <c r="F149" s="14">
        <f>'MKT DATA'!J857</f>
        <v>0</v>
      </c>
      <c r="G149" s="9">
        <f>'MKT DATA'!K857</f>
        <v>0</v>
      </c>
      <c r="H149" s="9">
        <f>'MKT DATA'!L857</f>
        <v>0</v>
      </c>
      <c r="I149" s="14">
        <f>'MKT DATA'!M857</f>
        <v>0</v>
      </c>
      <c r="J149" s="44" t="str">
        <f t="shared" si="6"/>
        <v>syn BTCZ6/BTCU6/BTCV6/BTCG7/BTCX6</v>
      </c>
      <c r="K149" s="9">
        <f>'MKT DATA'!O857</f>
        <v>0</v>
      </c>
      <c r="L149" s="9">
        <f>'MKT DATA'!P857</f>
        <v>0</v>
      </c>
      <c r="M149" s="9">
        <f>'MKT DATA'!Q857</f>
        <v>0</v>
      </c>
      <c r="N149" s="9">
        <f>'MKT DATA'!R857</f>
        <v>0</v>
      </c>
      <c r="O149" s="9">
        <f>'MKT DATA'!S857</f>
        <v>0</v>
      </c>
      <c r="P149" s="9">
        <f>'MKT DATA'!T857</f>
        <v>0</v>
      </c>
      <c r="Q149" s="44" t="str">
        <f t="shared" si="7"/>
        <v>syn BTCZ6/BTCU6/BTCV6/BTCG7/BTCX6</v>
      </c>
      <c r="R149" s="14">
        <f>'MKT DATA'!AB857</f>
        <v>0</v>
      </c>
    </row>
    <row r="150" spans="5:18" x14ac:dyDescent="0.25">
      <c r="E150" s="44" t="str">
        <f>'MKT DATA'!B858</f>
        <v>syn BTCZ6/BTCU6/BTCF7/BTCV6/BTCX6</v>
      </c>
      <c r="F150" s="14">
        <f>'MKT DATA'!J858</f>
        <v>0</v>
      </c>
      <c r="G150" s="9">
        <f>'MKT DATA'!K858</f>
        <v>0</v>
      </c>
      <c r="H150" s="9">
        <f>'MKT DATA'!L858</f>
        <v>0</v>
      </c>
      <c r="I150" s="14">
        <f>'MKT DATA'!M858</f>
        <v>0</v>
      </c>
      <c r="J150" s="44" t="str">
        <f t="shared" si="6"/>
        <v>syn BTCZ6/BTCU6/BTCF7/BTCV6/BTCX6</v>
      </c>
      <c r="K150" s="9">
        <f>'MKT DATA'!O858</f>
        <v>0</v>
      </c>
      <c r="L150" s="9">
        <f>'MKT DATA'!P858</f>
        <v>0</v>
      </c>
      <c r="M150" s="9">
        <f>'MKT DATA'!Q858</f>
        <v>0</v>
      </c>
      <c r="N150" s="9">
        <f>'MKT DATA'!R858</f>
        <v>0</v>
      </c>
      <c r="O150" s="9">
        <f>'MKT DATA'!S858</f>
        <v>0</v>
      </c>
      <c r="P150" s="9">
        <f>'MKT DATA'!T858</f>
        <v>0</v>
      </c>
      <c r="Q150" s="44" t="str">
        <f t="shared" si="7"/>
        <v>syn BTCZ6/BTCU6/BTCF7/BTCV6/BTCX6</v>
      </c>
      <c r="R150" s="14">
        <f>'MKT DATA'!AB858</f>
        <v>0</v>
      </c>
    </row>
    <row r="151" spans="5:18" x14ac:dyDescent="0.25">
      <c r="E151" s="44" t="str">
        <f>'MKT DATA'!B859</f>
        <v>syn BTCZ6/BTCU6/BTCF7/BTCG7/BTCX6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BTCZ6/BTCU6/BTCF7/BTCG7/BTCX6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BTCZ6/BTCU6/BTCF7/BTCG7/BTCX6</v>
      </c>
      <c r="R151" s="14">
        <f>'MKT DATA'!AB859</f>
        <v>0</v>
      </c>
    </row>
    <row r="152" spans="5:18" x14ac:dyDescent="0.25">
      <c r="E152" s="44" t="str">
        <f>'MKT DATA'!B860</f>
        <v>syn BTCZ6/BTCU6/BTCG7/BTCV6/BTCX6</v>
      </c>
      <c r="F152" s="14">
        <f>'MKT DATA'!J860</f>
        <v>0</v>
      </c>
      <c r="G152" s="9">
        <f>'MKT DATA'!K860</f>
        <v>0</v>
      </c>
      <c r="H152" s="9">
        <f>'MKT DATA'!L860</f>
        <v>0</v>
      </c>
      <c r="I152" s="14">
        <f>'MKT DATA'!M860</f>
        <v>0</v>
      </c>
      <c r="J152" s="44" t="str">
        <f t="shared" si="6"/>
        <v>syn BTCZ6/BTCU6/BTCG7/BTCV6/BTCX6</v>
      </c>
      <c r="K152" s="9">
        <f>'MKT DATA'!O860</f>
        <v>0</v>
      </c>
      <c r="L152" s="9">
        <f>'MKT DATA'!P860</f>
        <v>0</v>
      </c>
      <c r="M152" s="9">
        <f>'MKT DATA'!Q860</f>
        <v>0</v>
      </c>
      <c r="N152" s="9">
        <f>'MKT DATA'!R860</f>
        <v>0</v>
      </c>
      <c r="O152" s="9">
        <f>'MKT DATA'!S860</f>
        <v>0</v>
      </c>
      <c r="P152" s="9">
        <f>'MKT DATA'!T860</f>
        <v>0</v>
      </c>
      <c r="Q152" s="44" t="str">
        <f t="shared" si="7"/>
        <v>syn BTCZ6/BTCU6/BTCG7/BTCV6/BTCX6</v>
      </c>
      <c r="R152" s="14">
        <f>'MKT DATA'!AB860</f>
        <v>0</v>
      </c>
    </row>
    <row r="153" spans="5:18" x14ac:dyDescent="0.25">
      <c r="E153" s="44" t="str">
        <f>'MKT DATA'!B861</f>
        <v>syn BTCZ6/BTCU6/BTCG7/BTCF7/BTCX6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BTCZ6/BTCU6/BTCG7/BTCF7/BTCX6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BTCZ6/BTCU6/BTCG7/BTCF7/BTCX6</v>
      </c>
      <c r="R153" s="14">
        <f>'MKT DATA'!AB861</f>
        <v>0</v>
      </c>
    </row>
    <row r="154" spans="5:18" x14ac:dyDescent="0.25">
      <c r="E154" s="44" t="str">
        <f>'MKT DATA'!B862</f>
        <v>syn BTCZ6/BTCV6/BTCU6/BTCF7/BTCX6</v>
      </c>
      <c r="F154" s="14">
        <f>'MKT DATA'!J862</f>
        <v>0</v>
      </c>
      <c r="G154" s="9">
        <f>'MKT DATA'!K862</f>
        <v>0</v>
      </c>
      <c r="H154" s="9">
        <f>'MKT DATA'!L862</f>
        <v>0</v>
      </c>
      <c r="I154" s="14">
        <f>'MKT DATA'!M862</f>
        <v>0</v>
      </c>
      <c r="J154" s="44" t="str">
        <f t="shared" si="6"/>
        <v>syn BTCZ6/BTCV6/BTCU6/BTCF7/BTCX6</v>
      </c>
      <c r="K154" s="9">
        <f>'MKT DATA'!O862</f>
        <v>0</v>
      </c>
      <c r="L154" s="9">
        <f>'MKT DATA'!P862</f>
        <v>0</v>
      </c>
      <c r="M154" s="9">
        <f>'MKT DATA'!Q862</f>
        <v>0</v>
      </c>
      <c r="N154" s="9">
        <f>'MKT DATA'!R862</f>
        <v>0</v>
      </c>
      <c r="O154" s="9">
        <f>'MKT DATA'!S862</f>
        <v>0</v>
      </c>
      <c r="P154" s="9">
        <f>'MKT DATA'!T862</f>
        <v>0</v>
      </c>
      <c r="Q154" s="44" t="str">
        <f t="shared" si="7"/>
        <v>syn BTCZ6/BTCV6/BTCU6/BTCF7/BTCX6</v>
      </c>
      <c r="R154" s="14">
        <f>'MKT DATA'!AB862</f>
        <v>0</v>
      </c>
    </row>
    <row r="155" spans="5:18" x14ac:dyDescent="0.25">
      <c r="E155" s="44" t="str">
        <f>'MKT DATA'!B863</f>
        <v>syn BTCZ6/BTCV6/BTCU6/BTCG7/BTCX6</v>
      </c>
      <c r="F155" s="14">
        <f>'MKT DATA'!J863</f>
        <v>0</v>
      </c>
      <c r="G155" s="9">
        <f>'MKT DATA'!K863</f>
        <v>0</v>
      </c>
      <c r="H155" s="9">
        <f>'MKT DATA'!L863</f>
        <v>0</v>
      </c>
      <c r="I155" s="14">
        <f>'MKT DATA'!M863</f>
        <v>0</v>
      </c>
      <c r="J155" s="44" t="str">
        <f t="shared" si="6"/>
        <v>syn BTCZ6/BTCV6/BTCU6/BTCG7/BTCX6</v>
      </c>
      <c r="K155" s="9">
        <f>'MKT DATA'!O863</f>
        <v>0</v>
      </c>
      <c r="L155" s="9">
        <f>'MKT DATA'!P863</f>
        <v>0</v>
      </c>
      <c r="M155" s="9">
        <f>'MKT DATA'!Q863</f>
        <v>0</v>
      </c>
      <c r="N155" s="9">
        <f>'MKT DATA'!R863</f>
        <v>0</v>
      </c>
      <c r="O155" s="9">
        <f>'MKT DATA'!S863</f>
        <v>0</v>
      </c>
      <c r="P155" s="9">
        <f>'MKT DATA'!T863</f>
        <v>0</v>
      </c>
      <c r="Q155" s="44" t="str">
        <f t="shared" si="7"/>
        <v>syn BTCZ6/BTCV6/BTCU6/BTCG7/BTCX6</v>
      </c>
      <c r="R155" s="14">
        <f>'MKT DATA'!AB863</f>
        <v>0</v>
      </c>
    </row>
    <row r="156" spans="5:18" x14ac:dyDescent="0.25">
      <c r="E156" s="44" t="str">
        <f>'MKT DATA'!B864</f>
        <v>syn BTCZ6/BTCV6/BTCF7/BTCU6/BTCX6</v>
      </c>
      <c r="F156" s="14">
        <f>'MKT DATA'!J864</f>
        <v>0</v>
      </c>
      <c r="G156" s="9">
        <f>'MKT DATA'!K864</f>
        <v>0</v>
      </c>
      <c r="H156" s="9">
        <f>'MKT DATA'!L864</f>
        <v>0</v>
      </c>
      <c r="I156" s="14">
        <f>'MKT DATA'!M864</f>
        <v>0</v>
      </c>
      <c r="J156" s="44" t="str">
        <f t="shared" si="6"/>
        <v>syn BTCZ6/BTCV6/BTCF7/BTCU6/BTCX6</v>
      </c>
      <c r="K156" s="9">
        <f>'MKT DATA'!O864</f>
        <v>0</v>
      </c>
      <c r="L156" s="9">
        <f>'MKT DATA'!P864</f>
        <v>0</v>
      </c>
      <c r="M156" s="9">
        <f>'MKT DATA'!Q864</f>
        <v>0</v>
      </c>
      <c r="N156" s="9">
        <f>'MKT DATA'!R864</f>
        <v>0</v>
      </c>
      <c r="O156" s="9">
        <f>'MKT DATA'!S864</f>
        <v>0</v>
      </c>
      <c r="P156" s="9">
        <f>'MKT DATA'!T864</f>
        <v>0</v>
      </c>
      <c r="Q156" s="44" t="str">
        <f t="shared" si="7"/>
        <v>syn BTCZ6/BTCV6/BTCF7/BTCU6/BTCX6</v>
      </c>
      <c r="R156" s="14">
        <f>'MKT DATA'!AB864</f>
        <v>0</v>
      </c>
    </row>
    <row r="157" spans="5:18" x14ac:dyDescent="0.25">
      <c r="E157" s="44" t="str">
        <f>'MKT DATA'!B865</f>
        <v>syn BTCZ6/BTCV6/BTCF7/BTCG7/BTCX6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BTCZ6/BTCV6/BTCF7/BTCG7/BTCX6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BTCZ6/BTCV6/BTCF7/BTCG7/BTCX6</v>
      </c>
      <c r="R157" s="14">
        <f>'MKT DATA'!AB865</f>
        <v>0</v>
      </c>
    </row>
    <row r="158" spans="5:18" x14ac:dyDescent="0.25">
      <c r="E158" s="44" t="str">
        <f>'MKT DATA'!B866</f>
        <v>syn BTCZ6/BTCV6/BTCG7/BTCU6/BTCX6</v>
      </c>
      <c r="F158" s="14">
        <f>'MKT DATA'!J866</f>
        <v>0</v>
      </c>
      <c r="G158" s="9">
        <f>'MKT DATA'!K866</f>
        <v>0</v>
      </c>
      <c r="H158" s="9">
        <f>'MKT DATA'!L866</f>
        <v>0</v>
      </c>
      <c r="I158" s="14">
        <f>'MKT DATA'!M866</f>
        <v>0</v>
      </c>
      <c r="J158" s="44" t="str">
        <f t="shared" si="6"/>
        <v>syn BTCZ6/BTCV6/BTCG7/BTCU6/BTCX6</v>
      </c>
      <c r="K158" s="9">
        <f>'MKT DATA'!O866</f>
        <v>0</v>
      </c>
      <c r="L158" s="9">
        <f>'MKT DATA'!P866</f>
        <v>0</v>
      </c>
      <c r="M158" s="9">
        <f>'MKT DATA'!Q866</f>
        <v>0</v>
      </c>
      <c r="N158" s="9">
        <f>'MKT DATA'!R866</f>
        <v>0</v>
      </c>
      <c r="O158" s="9">
        <f>'MKT DATA'!S866</f>
        <v>0</v>
      </c>
      <c r="P158" s="9">
        <f>'MKT DATA'!T866</f>
        <v>0</v>
      </c>
      <c r="Q158" s="44" t="str">
        <f t="shared" si="7"/>
        <v>syn BTCZ6/BTCV6/BTCG7/BTCU6/BTCX6</v>
      </c>
      <c r="R158" s="14">
        <f>'MKT DATA'!AB866</f>
        <v>0</v>
      </c>
    </row>
    <row r="159" spans="5:18" x14ac:dyDescent="0.25">
      <c r="E159" s="44" t="str">
        <f>'MKT DATA'!B867</f>
        <v>syn BTCZ6/BTCV6/BTCG7/BTCF7/BTCX6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BTCZ6/BTCV6/BTCG7/BTCF7/BTCX6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BTCZ6/BTCV6/BTCG7/BTCF7/BTCX6</v>
      </c>
      <c r="R159" s="14">
        <f>'MKT DATA'!AB867</f>
        <v>0</v>
      </c>
    </row>
    <row r="160" spans="5:18" x14ac:dyDescent="0.25">
      <c r="E160" s="44" t="str">
        <f>'MKT DATA'!B868</f>
        <v>syn BTCZ6/BTCF7/BTCU6/BTCV6/BTCX6</v>
      </c>
      <c r="F160" s="14">
        <f>'MKT DATA'!J868</f>
        <v>0</v>
      </c>
      <c r="G160" s="9">
        <f>'MKT DATA'!K868</f>
        <v>0</v>
      </c>
      <c r="H160" s="9">
        <f>'MKT DATA'!L868</f>
        <v>0</v>
      </c>
      <c r="I160" s="14">
        <f>'MKT DATA'!M868</f>
        <v>0</v>
      </c>
      <c r="J160" s="44" t="str">
        <f t="shared" si="6"/>
        <v>syn BTCZ6/BTCF7/BTCU6/BTCV6/BTCX6</v>
      </c>
      <c r="K160" s="9">
        <f>'MKT DATA'!O868</f>
        <v>0</v>
      </c>
      <c r="L160" s="9">
        <f>'MKT DATA'!P868</f>
        <v>0</v>
      </c>
      <c r="M160" s="9">
        <f>'MKT DATA'!Q868</f>
        <v>0</v>
      </c>
      <c r="N160" s="9">
        <f>'MKT DATA'!R868</f>
        <v>0</v>
      </c>
      <c r="O160" s="9">
        <f>'MKT DATA'!S868</f>
        <v>0</v>
      </c>
      <c r="P160" s="9">
        <f>'MKT DATA'!T868</f>
        <v>0</v>
      </c>
      <c r="Q160" s="44" t="str">
        <f t="shared" si="7"/>
        <v>syn BTCZ6/BTCF7/BTCU6/BTCV6/BTCX6</v>
      </c>
      <c r="R160" s="14">
        <f>'MKT DATA'!AB868</f>
        <v>0</v>
      </c>
    </row>
    <row r="161" spans="5:18" x14ac:dyDescent="0.25">
      <c r="E161" s="44" t="str">
        <f>'MKT DATA'!B869</f>
        <v>syn BTCZ6/BTCF7/BTCU6/BTCG7/BTCX6</v>
      </c>
      <c r="F161" s="14">
        <f>'MKT DATA'!J869</f>
        <v>0</v>
      </c>
      <c r="G161" s="9">
        <f>'MKT DATA'!K869</f>
        <v>0</v>
      </c>
      <c r="H161" s="9">
        <f>'MKT DATA'!L869</f>
        <v>0</v>
      </c>
      <c r="I161" s="14">
        <f>'MKT DATA'!M869</f>
        <v>0</v>
      </c>
      <c r="J161" s="44" t="str">
        <f t="shared" si="6"/>
        <v>syn BTCZ6/BTCF7/BTCU6/BTCG7/BTCX6</v>
      </c>
      <c r="K161" s="9">
        <f>'MKT DATA'!O869</f>
        <v>0</v>
      </c>
      <c r="L161" s="9">
        <f>'MKT DATA'!P869</f>
        <v>0</v>
      </c>
      <c r="M161" s="9">
        <f>'MKT DATA'!Q869</f>
        <v>0</v>
      </c>
      <c r="N161" s="9">
        <f>'MKT DATA'!R869</f>
        <v>0</v>
      </c>
      <c r="O161" s="9">
        <f>'MKT DATA'!S869</f>
        <v>0</v>
      </c>
      <c r="P161" s="9">
        <f>'MKT DATA'!T869</f>
        <v>0</v>
      </c>
      <c r="Q161" s="44" t="str">
        <f t="shared" si="7"/>
        <v>syn BTCZ6/BTCF7/BTCU6/BTCG7/BTCX6</v>
      </c>
      <c r="R161" s="14">
        <f>'MKT DATA'!AB869</f>
        <v>0</v>
      </c>
    </row>
    <row r="162" spans="5:18" x14ac:dyDescent="0.25">
      <c r="E162" s="44" t="str">
        <f>'MKT DATA'!B870</f>
        <v>syn BTCZ6/BTCF7/BTCV6/BTCU6/BTCX6</v>
      </c>
      <c r="F162" s="14">
        <f>'MKT DATA'!J870</f>
        <v>0</v>
      </c>
      <c r="G162" s="9">
        <f>'MKT DATA'!K870</f>
        <v>0</v>
      </c>
      <c r="H162" s="9">
        <f>'MKT DATA'!L870</f>
        <v>0</v>
      </c>
      <c r="I162" s="14">
        <f>'MKT DATA'!M870</f>
        <v>0</v>
      </c>
      <c r="J162" s="44" t="str">
        <f t="shared" si="6"/>
        <v>syn BTCZ6/BTCF7/BTCV6/BTCU6/BTCX6</v>
      </c>
      <c r="K162" s="9">
        <f>'MKT DATA'!O870</f>
        <v>0</v>
      </c>
      <c r="L162" s="9">
        <f>'MKT DATA'!P870</f>
        <v>0</v>
      </c>
      <c r="M162" s="9">
        <f>'MKT DATA'!Q870</f>
        <v>0</v>
      </c>
      <c r="N162" s="9">
        <f>'MKT DATA'!R870</f>
        <v>0</v>
      </c>
      <c r="O162" s="9">
        <f>'MKT DATA'!S870</f>
        <v>0</v>
      </c>
      <c r="P162" s="9">
        <f>'MKT DATA'!T870</f>
        <v>0</v>
      </c>
      <c r="Q162" s="44" t="str">
        <f t="shared" si="7"/>
        <v>syn BTCZ6/BTCF7/BTCV6/BTCU6/BTCX6</v>
      </c>
      <c r="R162" s="14">
        <f>'MKT DATA'!AB870</f>
        <v>0</v>
      </c>
    </row>
    <row r="163" spans="5:18" x14ac:dyDescent="0.25">
      <c r="E163" s="44" t="str">
        <f>'MKT DATA'!B871</f>
        <v>syn BTCZ6/BTCF7/BTCV6/BTCG7/BTCX6</v>
      </c>
      <c r="F163" s="14">
        <f>'MKT DATA'!J871</f>
        <v>0</v>
      </c>
      <c r="G163" s="9">
        <f>'MKT DATA'!K871</f>
        <v>0</v>
      </c>
      <c r="H163" s="9">
        <f>'MKT DATA'!L871</f>
        <v>0</v>
      </c>
      <c r="I163" s="14">
        <f>'MKT DATA'!M871</f>
        <v>0</v>
      </c>
      <c r="J163" s="44" t="str">
        <f t="shared" si="6"/>
        <v>syn BTCZ6/BTCF7/BTCV6/BTCG7/BTCX6</v>
      </c>
      <c r="K163" s="9">
        <f>'MKT DATA'!O871</f>
        <v>0</v>
      </c>
      <c r="L163" s="9">
        <f>'MKT DATA'!P871</f>
        <v>0</v>
      </c>
      <c r="M163" s="9">
        <f>'MKT DATA'!Q871</f>
        <v>0</v>
      </c>
      <c r="N163" s="9">
        <f>'MKT DATA'!R871</f>
        <v>0</v>
      </c>
      <c r="O163" s="9">
        <f>'MKT DATA'!S871</f>
        <v>0</v>
      </c>
      <c r="P163" s="9">
        <f>'MKT DATA'!T871</f>
        <v>0</v>
      </c>
      <c r="Q163" s="44" t="str">
        <f t="shared" si="7"/>
        <v>syn BTCZ6/BTCF7/BTCV6/BTCG7/BTCX6</v>
      </c>
      <c r="R163" s="14">
        <f>'MKT DATA'!AB871</f>
        <v>0</v>
      </c>
    </row>
    <row r="164" spans="5:18" x14ac:dyDescent="0.25">
      <c r="E164" s="44" t="str">
        <f>'MKT DATA'!B872</f>
        <v>syn BTCZ6/BTCF7/BTCG7/BTCU6/BTCX6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BTCZ6/BTCF7/BTCG7/BTCU6/BTCX6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BTCZ6/BTCF7/BTCG7/BTCU6/BTCX6</v>
      </c>
      <c r="R164" s="14">
        <f>'MKT DATA'!AB872</f>
        <v>0</v>
      </c>
    </row>
    <row r="165" spans="5:18" x14ac:dyDescent="0.25">
      <c r="E165" s="44" t="str">
        <f>'MKT DATA'!B873</f>
        <v>syn BTCZ6/BTCF7/BTCG7/BTCV6/BTCX6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BTCZ6/BTCF7/BTCG7/BTCV6/BTCX6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BTCZ6/BTCF7/BTCG7/BTCV6/BTCX6</v>
      </c>
      <c r="R165" s="14">
        <f>'MKT DATA'!AB873</f>
        <v>0</v>
      </c>
    </row>
    <row r="166" spans="5:18" x14ac:dyDescent="0.25">
      <c r="E166" s="44" t="str">
        <f>'MKT DATA'!B874</f>
        <v>syn BTCZ6/BTCG7/BTCU6/BTCV6/BTCX6</v>
      </c>
      <c r="F166" s="14">
        <f>'MKT DATA'!J874</f>
        <v>0</v>
      </c>
      <c r="G166" s="9">
        <f>'MKT DATA'!K874</f>
        <v>0</v>
      </c>
      <c r="H166" s="9">
        <f>'MKT DATA'!L874</f>
        <v>0</v>
      </c>
      <c r="I166" s="14">
        <f>'MKT DATA'!M874</f>
        <v>0</v>
      </c>
      <c r="J166" s="44" t="str">
        <f t="shared" si="6"/>
        <v>syn BTCZ6/BTCG7/BTCU6/BTCV6/BTCX6</v>
      </c>
      <c r="K166" s="9">
        <f>'MKT DATA'!O874</f>
        <v>0</v>
      </c>
      <c r="L166" s="9">
        <f>'MKT DATA'!P874</f>
        <v>0</v>
      </c>
      <c r="M166" s="9">
        <f>'MKT DATA'!Q874</f>
        <v>0</v>
      </c>
      <c r="N166" s="9">
        <f>'MKT DATA'!R874</f>
        <v>0</v>
      </c>
      <c r="O166" s="9">
        <f>'MKT DATA'!S874</f>
        <v>0</v>
      </c>
      <c r="P166" s="9">
        <f>'MKT DATA'!T874</f>
        <v>0</v>
      </c>
      <c r="Q166" s="44" t="str">
        <f t="shared" si="7"/>
        <v>syn BTCZ6/BTCG7/BTCU6/BTCV6/BTCX6</v>
      </c>
      <c r="R166" s="14">
        <f>'MKT DATA'!AB874</f>
        <v>0</v>
      </c>
    </row>
    <row r="167" spans="5:18" x14ac:dyDescent="0.25">
      <c r="E167" s="44" t="str">
        <f>'MKT DATA'!B875</f>
        <v>syn BTCZ6/BTCG7/BTCU6/BTCF7/BTCX6</v>
      </c>
      <c r="F167" s="14">
        <f>'MKT DATA'!J875</f>
        <v>0</v>
      </c>
      <c r="G167" s="9">
        <f>'MKT DATA'!K875</f>
        <v>0</v>
      </c>
      <c r="H167" s="9">
        <f>'MKT DATA'!L875</f>
        <v>0</v>
      </c>
      <c r="I167" s="14">
        <f>'MKT DATA'!M875</f>
        <v>0</v>
      </c>
      <c r="J167" s="44" t="str">
        <f t="shared" si="6"/>
        <v>syn BTCZ6/BTCG7/BTCU6/BTCF7/BTCX6</v>
      </c>
      <c r="K167" s="9">
        <f>'MKT DATA'!O875</f>
        <v>0</v>
      </c>
      <c r="L167" s="9">
        <f>'MKT DATA'!P875</f>
        <v>0</v>
      </c>
      <c r="M167" s="9">
        <f>'MKT DATA'!Q875</f>
        <v>0</v>
      </c>
      <c r="N167" s="9">
        <f>'MKT DATA'!R875</f>
        <v>0</v>
      </c>
      <c r="O167" s="9">
        <f>'MKT DATA'!S875</f>
        <v>0</v>
      </c>
      <c r="P167" s="9">
        <f>'MKT DATA'!T875</f>
        <v>0</v>
      </c>
      <c r="Q167" s="44" t="str">
        <f t="shared" si="7"/>
        <v>syn BTCZ6/BTCG7/BTCU6/BTCF7/BTCX6</v>
      </c>
      <c r="R167" s="14">
        <f>'MKT DATA'!AB875</f>
        <v>0</v>
      </c>
    </row>
    <row r="168" spans="5:18" x14ac:dyDescent="0.25">
      <c r="E168" s="44" t="str">
        <f>'MKT DATA'!B876</f>
        <v>syn BTCZ6/BTCG7/BTCV6/BTCU6/BTCX6</v>
      </c>
      <c r="F168" s="14">
        <f>'MKT DATA'!J876</f>
        <v>0</v>
      </c>
      <c r="G168" s="9">
        <f>'MKT DATA'!K876</f>
        <v>0</v>
      </c>
      <c r="H168" s="9">
        <f>'MKT DATA'!L876</f>
        <v>0</v>
      </c>
      <c r="I168" s="14">
        <f>'MKT DATA'!M876</f>
        <v>0</v>
      </c>
      <c r="J168" s="44" t="str">
        <f t="shared" si="6"/>
        <v>syn BTCZ6/BTCG7/BTCV6/BTCU6/BTCX6</v>
      </c>
      <c r="K168" s="9">
        <f>'MKT DATA'!O876</f>
        <v>0</v>
      </c>
      <c r="L168" s="9">
        <f>'MKT DATA'!P876</f>
        <v>0</v>
      </c>
      <c r="M168" s="9">
        <f>'MKT DATA'!Q876</f>
        <v>0</v>
      </c>
      <c r="N168" s="9">
        <f>'MKT DATA'!R876</f>
        <v>0</v>
      </c>
      <c r="O168" s="9">
        <f>'MKT DATA'!S876</f>
        <v>0</v>
      </c>
      <c r="P168" s="9">
        <f>'MKT DATA'!T876</f>
        <v>0</v>
      </c>
      <c r="Q168" s="44" t="str">
        <f t="shared" si="7"/>
        <v>syn BTCZ6/BTCG7/BTCV6/BTCU6/BTCX6</v>
      </c>
      <c r="R168" s="14">
        <f>'MKT DATA'!AB876</f>
        <v>0</v>
      </c>
    </row>
    <row r="169" spans="5:18" x14ac:dyDescent="0.25">
      <c r="E169" s="44" t="str">
        <f>'MKT DATA'!B877</f>
        <v>syn BTCZ6/BTCG7/BTCV6/BTCF7/BTCX6</v>
      </c>
      <c r="F169" s="14">
        <f>'MKT DATA'!J877</f>
        <v>0</v>
      </c>
      <c r="G169" s="9">
        <f>'MKT DATA'!K877</f>
        <v>0</v>
      </c>
      <c r="H169" s="9">
        <f>'MKT DATA'!L877</f>
        <v>0</v>
      </c>
      <c r="I169" s="14">
        <f>'MKT DATA'!M877</f>
        <v>0</v>
      </c>
      <c r="J169" s="44" t="str">
        <f t="shared" si="6"/>
        <v>syn BTCZ6/BTCG7/BTCV6/BTCF7/BTCX6</v>
      </c>
      <c r="K169" s="9">
        <f>'MKT DATA'!O877</f>
        <v>0</v>
      </c>
      <c r="L169" s="9">
        <f>'MKT DATA'!P877</f>
        <v>0</v>
      </c>
      <c r="M169" s="9">
        <f>'MKT DATA'!Q877</f>
        <v>0</v>
      </c>
      <c r="N169" s="9">
        <f>'MKT DATA'!R877</f>
        <v>0</v>
      </c>
      <c r="O169" s="9">
        <f>'MKT DATA'!S877</f>
        <v>0</v>
      </c>
      <c r="P169" s="9">
        <f>'MKT DATA'!T877</f>
        <v>0</v>
      </c>
      <c r="Q169" s="44" t="str">
        <f t="shared" si="7"/>
        <v>syn BTCZ6/BTCG7/BTCV6/BTCF7/BTCX6</v>
      </c>
      <c r="R169" s="14">
        <f>'MKT DATA'!AB877</f>
        <v>0</v>
      </c>
    </row>
    <row r="170" spans="5:18" x14ac:dyDescent="0.25">
      <c r="E170" s="44" t="str">
        <f>'MKT DATA'!B878</f>
        <v>syn BTCZ6/BTCG7/BTCF7/BTCU6/BTCX6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BTCZ6/BTCG7/BTCF7/BTCU6/BTCX6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BTCZ6/BTCG7/BTCF7/BTCU6/BTCX6</v>
      </c>
      <c r="R170" s="14">
        <f>'MKT DATA'!AB878</f>
        <v>0</v>
      </c>
    </row>
    <row r="171" spans="5:18" x14ac:dyDescent="0.25">
      <c r="E171" s="44" t="str">
        <f>'MKT DATA'!B879</f>
        <v>syn BTCZ6/BTCG7/BTCF7/BTCV6/BTCX6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BTCZ6/BTCG7/BTCF7/BTCV6/BTCX6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BTCZ6/BTCG7/BTCF7/BTCV6/BTCX6</v>
      </c>
      <c r="R171" s="14">
        <f>'MKT DATA'!AB879</f>
        <v>0</v>
      </c>
    </row>
    <row r="172" spans="5:18" x14ac:dyDescent="0.25">
      <c r="E172" s="44" t="str">
        <f>'MKT DATA'!B880</f>
        <v>syn BTCF7/BTCU6/BTCV6/BTCZ6/BTCX6</v>
      </c>
      <c r="F172" s="14">
        <f>'MKT DATA'!J880</f>
        <v>0</v>
      </c>
      <c r="G172" s="9">
        <f>'MKT DATA'!K880</f>
        <v>0</v>
      </c>
      <c r="H172" s="9">
        <f>'MKT DATA'!L880</f>
        <v>0</v>
      </c>
      <c r="I172" s="14">
        <f>'MKT DATA'!M880</f>
        <v>0</v>
      </c>
      <c r="J172" s="44" t="str">
        <f t="shared" si="6"/>
        <v>syn BTCF7/BTCU6/BTCV6/BTCZ6/BTCX6</v>
      </c>
      <c r="K172" s="9">
        <f>'MKT DATA'!O880</f>
        <v>0</v>
      </c>
      <c r="L172" s="9">
        <f>'MKT DATA'!P880</f>
        <v>0</v>
      </c>
      <c r="M172" s="9">
        <f>'MKT DATA'!Q880</f>
        <v>0</v>
      </c>
      <c r="N172" s="9">
        <f>'MKT DATA'!R880</f>
        <v>0</v>
      </c>
      <c r="O172" s="9">
        <f>'MKT DATA'!S880</f>
        <v>0</v>
      </c>
      <c r="P172" s="9">
        <f>'MKT DATA'!T880</f>
        <v>0</v>
      </c>
      <c r="Q172" s="44" t="str">
        <f t="shared" si="7"/>
        <v>syn BTCF7/BTCU6/BTCV6/BTCZ6/BTCX6</v>
      </c>
      <c r="R172" s="14">
        <f>'MKT DATA'!AB880</f>
        <v>0</v>
      </c>
    </row>
    <row r="173" spans="5:18" x14ac:dyDescent="0.25">
      <c r="E173" s="44" t="str">
        <f>'MKT DATA'!B881</f>
        <v>syn BTCF7/BTCU6/BTCV6/BTCG7/BTCX6</v>
      </c>
      <c r="F173" s="14">
        <f>'MKT DATA'!J881</f>
        <v>0</v>
      </c>
      <c r="G173" s="9">
        <f>'MKT DATA'!K881</f>
        <v>0</v>
      </c>
      <c r="H173" s="9">
        <f>'MKT DATA'!L881</f>
        <v>0</v>
      </c>
      <c r="I173" s="14">
        <f>'MKT DATA'!M881</f>
        <v>0</v>
      </c>
      <c r="J173" s="44" t="str">
        <f t="shared" si="6"/>
        <v>syn BTCF7/BTCU6/BTCV6/BTCG7/BTCX6</v>
      </c>
      <c r="K173" s="9">
        <f>'MKT DATA'!O881</f>
        <v>0</v>
      </c>
      <c r="L173" s="9">
        <f>'MKT DATA'!P881</f>
        <v>0</v>
      </c>
      <c r="M173" s="9">
        <f>'MKT DATA'!Q881</f>
        <v>0</v>
      </c>
      <c r="N173" s="9">
        <f>'MKT DATA'!R881</f>
        <v>0</v>
      </c>
      <c r="O173" s="9">
        <f>'MKT DATA'!S881</f>
        <v>0</v>
      </c>
      <c r="P173" s="9">
        <f>'MKT DATA'!T881</f>
        <v>0</v>
      </c>
      <c r="Q173" s="44" t="str">
        <f t="shared" si="7"/>
        <v>syn BTCF7/BTCU6/BTCV6/BTCG7/BTCX6</v>
      </c>
      <c r="R173" s="14">
        <f>'MKT DATA'!AB881</f>
        <v>0</v>
      </c>
    </row>
    <row r="174" spans="5:18" x14ac:dyDescent="0.25">
      <c r="E174" s="44" t="str">
        <f>'MKT DATA'!B882</f>
        <v>syn BTCF7/BTCU6/BTCZ6/BTCV6/BTCX6</v>
      </c>
      <c r="F174" s="14">
        <f>'MKT DATA'!J882</f>
        <v>0</v>
      </c>
      <c r="G174" s="9">
        <f>'MKT DATA'!K882</f>
        <v>0</v>
      </c>
      <c r="H174" s="9">
        <f>'MKT DATA'!L882</f>
        <v>0</v>
      </c>
      <c r="I174" s="14">
        <f>'MKT DATA'!M882</f>
        <v>0</v>
      </c>
      <c r="J174" s="44" t="str">
        <f t="shared" si="6"/>
        <v>syn BTCF7/BTCU6/BTCZ6/BTCV6/BTCX6</v>
      </c>
      <c r="K174" s="9">
        <f>'MKT DATA'!O882</f>
        <v>0</v>
      </c>
      <c r="L174" s="9">
        <f>'MKT DATA'!P882</f>
        <v>0</v>
      </c>
      <c r="M174" s="9">
        <f>'MKT DATA'!Q882</f>
        <v>0</v>
      </c>
      <c r="N174" s="9">
        <f>'MKT DATA'!R882</f>
        <v>0</v>
      </c>
      <c r="O174" s="9">
        <f>'MKT DATA'!S882</f>
        <v>0</v>
      </c>
      <c r="P174" s="9">
        <f>'MKT DATA'!T882</f>
        <v>0</v>
      </c>
      <c r="Q174" s="44" t="str">
        <f t="shared" si="7"/>
        <v>syn BTCF7/BTCU6/BTCZ6/BTCV6/BTCX6</v>
      </c>
      <c r="R174" s="14">
        <f>'MKT DATA'!AB882</f>
        <v>0</v>
      </c>
    </row>
    <row r="175" spans="5:18" x14ac:dyDescent="0.25">
      <c r="E175" s="44" t="str">
        <f>'MKT DATA'!B883</f>
        <v>syn BTCF7/BTCU6/BTCZ6/BTCG7/BTCX6</v>
      </c>
      <c r="F175" s="14">
        <f>'MKT DATA'!J883</f>
        <v>0</v>
      </c>
      <c r="G175" s="9">
        <f>'MKT DATA'!K883</f>
        <v>0</v>
      </c>
      <c r="H175" s="9">
        <f>'MKT DATA'!L883</f>
        <v>0</v>
      </c>
      <c r="I175" s="14">
        <f>'MKT DATA'!M883</f>
        <v>0</v>
      </c>
      <c r="J175" s="44" t="str">
        <f t="shared" si="6"/>
        <v>syn BTCF7/BTCU6/BTCZ6/BTCG7/BTCX6</v>
      </c>
      <c r="K175" s="9">
        <f>'MKT DATA'!O883</f>
        <v>0</v>
      </c>
      <c r="L175" s="9">
        <f>'MKT DATA'!P883</f>
        <v>0</v>
      </c>
      <c r="M175" s="9">
        <f>'MKT DATA'!Q883</f>
        <v>0</v>
      </c>
      <c r="N175" s="9">
        <f>'MKT DATA'!R883</f>
        <v>0</v>
      </c>
      <c r="O175" s="9">
        <f>'MKT DATA'!S883</f>
        <v>0</v>
      </c>
      <c r="P175" s="9">
        <f>'MKT DATA'!T883</f>
        <v>0</v>
      </c>
      <c r="Q175" s="44" t="str">
        <f t="shared" si="7"/>
        <v>syn BTCF7/BTCU6/BTCZ6/BTCG7/BTCX6</v>
      </c>
      <c r="R175" s="14">
        <f>'MKT DATA'!AB883</f>
        <v>0</v>
      </c>
    </row>
    <row r="176" spans="5:18" x14ac:dyDescent="0.25">
      <c r="E176" s="44" t="str">
        <f>'MKT DATA'!B884</f>
        <v>syn BTCF7/BTCU6/BTCG7/BTCV6/BTCX6</v>
      </c>
      <c r="F176" s="14">
        <f>'MKT DATA'!J884</f>
        <v>0</v>
      </c>
      <c r="G176" s="9">
        <f>'MKT DATA'!K884</f>
        <v>0</v>
      </c>
      <c r="H176" s="9">
        <f>'MKT DATA'!L884</f>
        <v>0</v>
      </c>
      <c r="I176" s="14">
        <f>'MKT DATA'!M884</f>
        <v>0</v>
      </c>
      <c r="J176" s="44" t="str">
        <f t="shared" si="6"/>
        <v>syn BTCF7/BTCU6/BTCG7/BTCV6/BTCX6</v>
      </c>
      <c r="K176" s="9">
        <f>'MKT DATA'!O884</f>
        <v>0</v>
      </c>
      <c r="L176" s="9">
        <f>'MKT DATA'!P884</f>
        <v>0</v>
      </c>
      <c r="M176" s="9">
        <f>'MKT DATA'!Q884</f>
        <v>0</v>
      </c>
      <c r="N176" s="9">
        <f>'MKT DATA'!R884</f>
        <v>0</v>
      </c>
      <c r="O176" s="9">
        <f>'MKT DATA'!S884</f>
        <v>0</v>
      </c>
      <c r="P176" s="9">
        <f>'MKT DATA'!T884</f>
        <v>0</v>
      </c>
      <c r="Q176" s="44" t="str">
        <f t="shared" si="7"/>
        <v>syn BTCF7/BTCU6/BTCG7/BTCV6/BTCX6</v>
      </c>
      <c r="R176" s="14">
        <f>'MKT DATA'!AB884</f>
        <v>0</v>
      </c>
    </row>
    <row r="177" spans="5:18" x14ac:dyDescent="0.25">
      <c r="E177" s="44" t="str">
        <f>'MKT DATA'!B885</f>
        <v>syn BTCF7/BTCU6/BTCG7/BTCZ6/BTCX6</v>
      </c>
      <c r="F177" s="14">
        <f>'MKT DATA'!J885</f>
        <v>0</v>
      </c>
      <c r="G177" s="9">
        <f>'MKT DATA'!K885</f>
        <v>0</v>
      </c>
      <c r="H177" s="9">
        <f>'MKT DATA'!L885</f>
        <v>0</v>
      </c>
      <c r="I177" s="14">
        <f>'MKT DATA'!M885</f>
        <v>0</v>
      </c>
      <c r="J177" s="44" t="str">
        <f t="shared" si="6"/>
        <v>syn BTCF7/BTCU6/BTCG7/BTCZ6/BTCX6</v>
      </c>
      <c r="K177" s="9">
        <f>'MKT DATA'!O885</f>
        <v>0</v>
      </c>
      <c r="L177" s="9">
        <f>'MKT DATA'!P885</f>
        <v>0</v>
      </c>
      <c r="M177" s="9">
        <f>'MKT DATA'!Q885</f>
        <v>0</v>
      </c>
      <c r="N177" s="9">
        <f>'MKT DATA'!R885</f>
        <v>0</v>
      </c>
      <c r="O177" s="9">
        <f>'MKT DATA'!S885</f>
        <v>0</v>
      </c>
      <c r="P177" s="9">
        <f>'MKT DATA'!T885</f>
        <v>0</v>
      </c>
      <c r="Q177" s="44" t="str">
        <f t="shared" si="7"/>
        <v>syn BTCF7/BTCU6/BTCG7/BTCZ6/BTCX6</v>
      </c>
      <c r="R177" s="14">
        <f>'MKT DATA'!AB885</f>
        <v>0</v>
      </c>
    </row>
    <row r="178" spans="5:18" x14ac:dyDescent="0.25">
      <c r="E178" s="44" t="str">
        <f>'MKT DATA'!B886</f>
        <v>syn BTCF7/BTCV6/BTCU6/BTCZ6/BTCX6</v>
      </c>
      <c r="F178" s="14">
        <f>'MKT DATA'!J886</f>
        <v>0</v>
      </c>
      <c r="G178" s="9">
        <f>'MKT DATA'!K886</f>
        <v>0</v>
      </c>
      <c r="H178" s="9">
        <f>'MKT DATA'!L886</f>
        <v>0</v>
      </c>
      <c r="I178" s="14">
        <f>'MKT DATA'!M886</f>
        <v>0</v>
      </c>
      <c r="J178" s="44" t="str">
        <f t="shared" si="6"/>
        <v>syn BTCF7/BTCV6/BTCU6/BTCZ6/BTCX6</v>
      </c>
      <c r="K178" s="9">
        <f>'MKT DATA'!O886</f>
        <v>0</v>
      </c>
      <c r="L178" s="9">
        <f>'MKT DATA'!P886</f>
        <v>0</v>
      </c>
      <c r="M178" s="9">
        <f>'MKT DATA'!Q886</f>
        <v>0</v>
      </c>
      <c r="N178" s="9">
        <f>'MKT DATA'!R886</f>
        <v>0</v>
      </c>
      <c r="O178" s="9">
        <f>'MKT DATA'!S886</f>
        <v>0</v>
      </c>
      <c r="P178" s="9">
        <f>'MKT DATA'!T886</f>
        <v>0</v>
      </c>
      <c r="Q178" s="44" t="str">
        <f t="shared" si="7"/>
        <v>syn BTCF7/BTCV6/BTCU6/BTCZ6/BTCX6</v>
      </c>
      <c r="R178" s="14">
        <f>'MKT DATA'!AB886</f>
        <v>0</v>
      </c>
    </row>
    <row r="179" spans="5:18" x14ac:dyDescent="0.25">
      <c r="E179" s="44" t="str">
        <f>'MKT DATA'!B887</f>
        <v>syn BTCF7/BTCV6/BTCU6/BTCG7/BTCX6</v>
      </c>
      <c r="F179" s="14">
        <f>'MKT DATA'!J887</f>
        <v>0</v>
      </c>
      <c r="G179" s="9">
        <f>'MKT DATA'!K887</f>
        <v>0</v>
      </c>
      <c r="H179" s="9">
        <f>'MKT DATA'!L887</f>
        <v>0</v>
      </c>
      <c r="I179" s="14">
        <f>'MKT DATA'!M887</f>
        <v>0</v>
      </c>
      <c r="J179" s="44" t="str">
        <f t="shared" si="6"/>
        <v>syn BTCF7/BTCV6/BTCU6/BTCG7/BTCX6</v>
      </c>
      <c r="K179" s="9">
        <f>'MKT DATA'!O887</f>
        <v>0</v>
      </c>
      <c r="L179" s="9">
        <f>'MKT DATA'!P887</f>
        <v>0</v>
      </c>
      <c r="M179" s="9">
        <f>'MKT DATA'!Q887</f>
        <v>0</v>
      </c>
      <c r="N179" s="9">
        <f>'MKT DATA'!R887</f>
        <v>0</v>
      </c>
      <c r="O179" s="9">
        <f>'MKT DATA'!S887</f>
        <v>0</v>
      </c>
      <c r="P179" s="9">
        <f>'MKT DATA'!T887</f>
        <v>0</v>
      </c>
      <c r="Q179" s="44" t="str">
        <f t="shared" si="7"/>
        <v>syn BTCF7/BTCV6/BTCU6/BTCG7/BTCX6</v>
      </c>
      <c r="R179" s="14">
        <f>'MKT DATA'!AB887</f>
        <v>0</v>
      </c>
    </row>
    <row r="180" spans="5:18" x14ac:dyDescent="0.25">
      <c r="E180" s="44" t="str">
        <f>'MKT DATA'!B888</f>
        <v>syn BTCF7/BTCV6/BTCZ6/BTCU6/BTCX6</v>
      </c>
      <c r="F180" s="14">
        <f>'MKT DATA'!J888</f>
        <v>0</v>
      </c>
      <c r="G180" s="9">
        <f>'MKT DATA'!K888</f>
        <v>0</v>
      </c>
      <c r="H180" s="9">
        <f>'MKT DATA'!L888</f>
        <v>0</v>
      </c>
      <c r="I180" s="14">
        <f>'MKT DATA'!M888</f>
        <v>0</v>
      </c>
      <c r="J180" s="44" t="str">
        <f t="shared" si="6"/>
        <v>syn BTCF7/BTCV6/BTCZ6/BTCU6/BTCX6</v>
      </c>
      <c r="K180" s="9">
        <f>'MKT DATA'!O888</f>
        <v>0</v>
      </c>
      <c r="L180" s="9">
        <f>'MKT DATA'!P888</f>
        <v>0</v>
      </c>
      <c r="M180" s="9">
        <f>'MKT DATA'!Q888</f>
        <v>0</v>
      </c>
      <c r="N180" s="9">
        <f>'MKT DATA'!R888</f>
        <v>0</v>
      </c>
      <c r="O180" s="9">
        <f>'MKT DATA'!S888</f>
        <v>0</v>
      </c>
      <c r="P180" s="9">
        <f>'MKT DATA'!T888</f>
        <v>0</v>
      </c>
      <c r="Q180" s="44" t="str">
        <f t="shared" si="7"/>
        <v>syn BTCF7/BTCV6/BTCZ6/BTCU6/BTCX6</v>
      </c>
      <c r="R180" s="14">
        <f>'MKT DATA'!AB888</f>
        <v>0</v>
      </c>
    </row>
    <row r="181" spans="5:18" x14ac:dyDescent="0.25">
      <c r="E181" s="44" t="str">
        <f>'MKT DATA'!B889</f>
        <v>syn BTCF7/BTCV6/BTCZ6/BTCG7/BTCX6</v>
      </c>
      <c r="F181" s="14">
        <f>'MKT DATA'!J889</f>
        <v>0</v>
      </c>
      <c r="G181" s="9">
        <f>'MKT DATA'!K889</f>
        <v>0</v>
      </c>
      <c r="H181" s="9">
        <f>'MKT DATA'!L889</f>
        <v>0</v>
      </c>
      <c r="I181" s="14">
        <f>'MKT DATA'!M889</f>
        <v>0</v>
      </c>
      <c r="J181" s="44" t="str">
        <f t="shared" si="6"/>
        <v>syn BTCF7/BTCV6/BTCZ6/BTCG7/BTCX6</v>
      </c>
      <c r="K181" s="9">
        <f>'MKT DATA'!O889</f>
        <v>0</v>
      </c>
      <c r="L181" s="9">
        <f>'MKT DATA'!P889</f>
        <v>0</v>
      </c>
      <c r="M181" s="9">
        <f>'MKT DATA'!Q889</f>
        <v>0</v>
      </c>
      <c r="N181" s="9">
        <f>'MKT DATA'!R889</f>
        <v>0</v>
      </c>
      <c r="O181" s="9">
        <f>'MKT DATA'!S889</f>
        <v>0</v>
      </c>
      <c r="P181" s="9">
        <f>'MKT DATA'!T889</f>
        <v>0</v>
      </c>
      <c r="Q181" s="44" t="str">
        <f t="shared" si="7"/>
        <v>syn BTCF7/BTCV6/BTCZ6/BTCG7/BTCX6</v>
      </c>
      <c r="R181" s="14">
        <f>'MKT DATA'!AB889</f>
        <v>0</v>
      </c>
    </row>
    <row r="182" spans="5:18" x14ac:dyDescent="0.25">
      <c r="E182" s="44" t="str">
        <f>'MKT DATA'!B890</f>
        <v>syn BTCF7/BTCV6/BTCG7/BTCU6/BTCX6</v>
      </c>
      <c r="F182" s="14">
        <f>'MKT DATA'!J890</f>
        <v>0</v>
      </c>
      <c r="G182" s="9">
        <f>'MKT DATA'!K890</f>
        <v>0</v>
      </c>
      <c r="H182" s="9">
        <f>'MKT DATA'!L890</f>
        <v>0</v>
      </c>
      <c r="I182" s="14">
        <f>'MKT DATA'!M890</f>
        <v>0</v>
      </c>
      <c r="J182" s="44" t="str">
        <f t="shared" si="6"/>
        <v>syn BTCF7/BTCV6/BTCG7/BTCU6/BTCX6</v>
      </c>
      <c r="K182" s="9">
        <f>'MKT DATA'!O890</f>
        <v>0</v>
      </c>
      <c r="L182" s="9">
        <f>'MKT DATA'!P890</f>
        <v>0</v>
      </c>
      <c r="M182" s="9">
        <f>'MKT DATA'!Q890</f>
        <v>0</v>
      </c>
      <c r="N182" s="9">
        <f>'MKT DATA'!R890</f>
        <v>0</v>
      </c>
      <c r="O182" s="9">
        <f>'MKT DATA'!S890</f>
        <v>0</v>
      </c>
      <c r="P182" s="9">
        <f>'MKT DATA'!T890</f>
        <v>0</v>
      </c>
      <c r="Q182" s="44" t="str">
        <f t="shared" si="7"/>
        <v>syn BTCF7/BTCV6/BTCG7/BTCU6/BTCX6</v>
      </c>
      <c r="R182" s="14">
        <f>'MKT DATA'!AB890</f>
        <v>0</v>
      </c>
    </row>
    <row r="183" spans="5:18" x14ac:dyDescent="0.25">
      <c r="E183" s="44" t="str">
        <f>'MKT DATA'!B891</f>
        <v>syn BTCF7/BTCV6/BTCG7/BTCZ6/BTCX6</v>
      </c>
      <c r="F183" s="14">
        <f>'MKT DATA'!J891</f>
        <v>0</v>
      </c>
      <c r="G183" s="9">
        <f>'MKT DATA'!K891</f>
        <v>0</v>
      </c>
      <c r="H183" s="9">
        <f>'MKT DATA'!L891</f>
        <v>0</v>
      </c>
      <c r="I183" s="14">
        <f>'MKT DATA'!M891</f>
        <v>0</v>
      </c>
      <c r="J183" s="44" t="str">
        <f t="shared" si="6"/>
        <v>syn BTCF7/BTCV6/BTCG7/BTCZ6/BTCX6</v>
      </c>
      <c r="K183" s="9">
        <f>'MKT DATA'!O891</f>
        <v>0</v>
      </c>
      <c r="L183" s="9">
        <f>'MKT DATA'!P891</f>
        <v>0</v>
      </c>
      <c r="M183" s="9">
        <f>'MKT DATA'!Q891</f>
        <v>0</v>
      </c>
      <c r="N183" s="9">
        <f>'MKT DATA'!R891</f>
        <v>0</v>
      </c>
      <c r="O183" s="9">
        <f>'MKT DATA'!S891</f>
        <v>0</v>
      </c>
      <c r="P183" s="9">
        <f>'MKT DATA'!T891</f>
        <v>0</v>
      </c>
      <c r="Q183" s="44" t="str">
        <f t="shared" si="7"/>
        <v>syn BTCF7/BTCV6/BTCG7/BTCZ6/BTCX6</v>
      </c>
      <c r="R183" s="14">
        <f>'MKT DATA'!AB891</f>
        <v>0</v>
      </c>
    </row>
    <row r="184" spans="5:18" x14ac:dyDescent="0.25">
      <c r="E184" s="44" t="str">
        <f>'MKT DATA'!B892</f>
        <v>syn BTCF7/BTCZ6/BTCU6/BTCV6/BTCX6</v>
      </c>
      <c r="F184" s="14">
        <f>'MKT DATA'!J892</f>
        <v>0</v>
      </c>
      <c r="G184" s="9">
        <f>'MKT DATA'!K892</f>
        <v>0</v>
      </c>
      <c r="H184" s="9">
        <f>'MKT DATA'!L892</f>
        <v>0</v>
      </c>
      <c r="I184" s="14">
        <f>'MKT DATA'!M892</f>
        <v>0</v>
      </c>
      <c r="J184" s="44" t="str">
        <f t="shared" si="6"/>
        <v>syn BTCF7/BTCZ6/BTCU6/BTCV6/BTCX6</v>
      </c>
      <c r="K184" s="9">
        <f>'MKT DATA'!O892</f>
        <v>0</v>
      </c>
      <c r="L184" s="9">
        <f>'MKT DATA'!P892</f>
        <v>0</v>
      </c>
      <c r="M184" s="9">
        <f>'MKT DATA'!Q892</f>
        <v>0</v>
      </c>
      <c r="N184" s="9">
        <f>'MKT DATA'!R892</f>
        <v>0</v>
      </c>
      <c r="O184" s="9">
        <f>'MKT DATA'!S892</f>
        <v>0</v>
      </c>
      <c r="P184" s="9">
        <f>'MKT DATA'!T892</f>
        <v>0</v>
      </c>
      <c r="Q184" s="44" t="str">
        <f t="shared" si="7"/>
        <v>syn BTCF7/BTCZ6/BTCU6/BTCV6/BTCX6</v>
      </c>
      <c r="R184" s="14">
        <f>'MKT DATA'!AB892</f>
        <v>0</v>
      </c>
    </row>
    <row r="185" spans="5:18" x14ac:dyDescent="0.25">
      <c r="E185" s="44" t="str">
        <f>'MKT DATA'!B893</f>
        <v>syn BTCF7/BTCZ6/BTCU6/BTCG7/BTCX6</v>
      </c>
      <c r="F185" s="14">
        <f>'MKT DATA'!J893</f>
        <v>0</v>
      </c>
      <c r="G185" s="9">
        <f>'MKT DATA'!K893</f>
        <v>0</v>
      </c>
      <c r="H185" s="9">
        <f>'MKT DATA'!L893</f>
        <v>0</v>
      </c>
      <c r="I185" s="14">
        <f>'MKT DATA'!M893</f>
        <v>0</v>
      </c>
      <c r="J185" s="44" t="str">
        <f t="shared" si="6"/>
        <v>syn BTCF7/BTCZ6/BTCU6/BTCG7/BTCX6</v>
      </c>
      <c r="K185" s="9">
        <f>'MKT DATA'!O893</f>
        <v>0</v>
      </c>
      <c r="L185" s="9">
        <f>'MKT DATA'!P893</f>
        <v>0</v>
      </c>
      <c r="M185" s="9">
        <f>'MKT DATA'!Q893</f>
        <v>0</v>
      </c>
      <c r="N185" s="9">
        <f>'MKT DATA'!R893</f>
        <v>0</v>
      </c>
      <c r="O185" s="9">
        <f>'MKT DATA'!S893</f>
        <v>0</v>
      </c>
      <c r="P185" s="9">
        <f>'MKT DATA'!T893</f>
        <v>0</v>
      </c>
      <c r="Q185" s="44" t="str">
        <f t="shared" si="7"/>
        <v>syn BTCF7/BTCZ6/BTCU6/BTCG7/BTCX6</v>
      </c>
      <c r="R185" s="14">
        <f>'MKT DATA'!AB893</f>
        <v>0</v>
      </c>
    </row>
    <row r="186" spans="5:18" x14ac:dyDescent="0.25">
      <c r="E186" s="44" t="str">
        <f>'MKT DATA'!B894</f>
        <v>syn BTCF7/BTCZ6/BTCV6/BTCU6/BTCX6</v>
      </c>
      <c r="F186" s="14">
        <f>'MKT DATA'!J894</f>
        <v>0</v>
      </c>
      <c r="G186" s="9">
        <f>'MKT DATA'!K894</f>
        <v>0</v>
      </c>
      <c r="H186" s="9">
        <f>'MKT DATA'!L894</f>
        <v>0</v>
      </c>
      <c r="I186" s="14">
        <f>'MKT DATA'!M894</f>
        <v>0</v>
      </c>
      <c r="J186" s="44" t="str">
        <f t="shared" si="6"/>
        <v>syn BTCF7/BTCZ6/BTCV6/BTCU6/BTCX6</v>
      </c>
      <c r="K186" s="9">
        <f>'MKT DATA'!O894</f>
        <v>0</v>
      </c>
      <c r="L186" s="9">
        <f>'MKT DATA'!P894</f>
        <v>0</v>
      </c>
      <c r="M186" s="9">
        <f>'MKT DATA'!Q894</f>
        <v>0</v>
      </c>
      <c r="N186" s="9">
        <f>'MKT DATA'!R894</f>
        <v>0</v>
      </c>
      <c r="O186" s="9">
        <f>'MKT DATA'!S894</f>
        <v>0</v>
      </c>
      <c r="P186" s="9">
        <f>'MKT DATA'!T894</f>
        <v>0</v>
      </c>
      <c r="Q186" s="44" t="str">
        <f t="shared" si="7"/>
        <v>syn BTCF7/BTCZ6/BTCV6/BTCU6/BTCX6</v>
      </c>
      <c r="R186" s="14">
        <f>'MKT DATA'!AB894</f>
        <v>0</v>
      </c>
    </row>
    <row r="187" spans="5:18" x14ac:dyDescent="0.25">
      <c r="E187" s="44" t="str">
        <f>'MKT DATA'!B895</f>
        <v>syn BTCF7/BTCZ6/BTCV6/BTCG7/BTCX6</v>
      </c>
      <c r="F187" s="14">
        <f>'MKT DATA'!J895</f>
        <v>0</v>
      </c>
      <c r="G187" s="9">
        <f>'MKT DATA'!K895</f>
        <v>0</v>
      </c>
      <c r="H187" s="9">
        <f>'MKT DATA'!L895</f>
        <v>0</v>
      </c>
      <c r="I187" s="14">
        <f>'MKT DATA'!M895</f>
        <v>0</v>
      </c>
      <c r="J187" s="44" t="str">
        <f t="shared" si="6"/>
        <v>syn BTCF7/BTCZ6/BTCV6/BTCG7/BTCX6</v>
      </c>
      <c r="K187" s="9">
        <f>'MKT DATA'!O895</f>
        <v>0</v>
      </c>
      <c r="L187" s="9">
        <f>'MKT DATA'!P895</f>
        <v>0</v>
      </c>
      <c r="M187" s="9">
        <f>'MKT DATA'!Q895</f>
        <v>0</v>
      </c>
      <c r="N187" s="9">
        <f>'MKT DATA'!R895</f>
        <v>0</v>
      </c>
      <c r="O187" s="9">
        <f>'MKT DATA'!S895</f>
        <v>0</v>
      </c>
      <c r="P187" s="9">
        <f>'MKT DATA'!T895</f>
        <v>0</v>
      </c>
      <c r="Q187" s="44" t="str">
        <f t="shared" si="7"/>
        <v>syn BTCF7/BTCZ6/BTCV6/BTCG7/BTCX6</v>
      </c>
      <c r="R187" s="14">
        <f>'MKT DATA'!AB895</f>
        <v>0</v>
      </c>
    </row>
    <row r="188" spans="5:18" x14ac:dyDescent="0.25">
      <c r="E188" s="44" t="str">
        <f>'MKT DATA'!B896</f>
        <v>syn BTCF7/BTCZ6/BTCG7/BTCU6/BTCX6</v>
      </c>
      <c r="F188" s="14">
        <f>'MKT DATA'!J896</f>
        <v>0</v>
      </c>
      <c r="G188" s="9">
        <f>'MKT DATA'!K896</f>
        <v>0</v>
      </c>
      <c r="H188" s="9">
        <f>'MKT DATA'!L896</f>
        <v>0</v>
      </c>
      <c r="I188" s="14">
        <f>'MKT DATA'!M896</f>
        <v>0</v>
      </c>
      <c r="J188" s="44" t="str">
        <f t="shared" si="6"/>
        <v>syn BTCF7/BTCZ6/BTCG7/BTCU6/BTCX6</v>
      </c>
      <c r="K188" s="9">
        <f>'MKT DATA'!O896</f>
        <v>0</v>
      </c>
      <c r="L188" s="9">
        <f>'MKT DATA'!P896</f>
        <v>0</v>
      </c>
      <c r="M188" s="9">
        <f>'MKT DATA'!Q896</f>
        <v>0</v>
      </c>
      <c r="N188" s="9">
        <f>'MKT DATA'!R896</f>
        <v>0</v>
      </c>
      <c r="O188" s="9">
        <f>'MKT DATA'!S896</f>
        <v>0</v>
      </c>
      <c r="P188" s="9">
        <f>'MKT DATA'!T896</f>
        <v>0</v>
      </c>
      <c r="Q188" s="44" t="str">
        <f t="shared" si="7"/>
        <v>syn BTCF7/BTCZ6/BTCG7/BTCU6/BTCX6</v>
      </c>
      <c r="R188" s="14">
        <f>'MKT DATA'!AB896</f>
        <v>0</v>
      </c>
    </row>
    <row r="189" spans="5:18" x14ac:dyDescent="0.25">
      <c r="E189" s="44" t="str">
        <f>'MKT DATA'!B897</f>
        <v>syn BTCF7/BTCZ6/BTCG7/BTCV6/BTCX6</v>
      </c>
      <c r="F189" s="14">
        <f>'MKT DATA'!J897</f>
        <v>0</v>
      </c>
      <c r="G189" s="9">
        <f>'MKT DATA'!K897</f>
        <v>0</v>
      </c>
      <c r="H189" s="9">
        <f>'MKT DATA'!L897</f>
        <v>0</v>
      </c>
      <c r="I189" s="14">
        <f>'MKT DATA'!M897</f>
        <v>0</v>
      </c>
      <c r="J189" s="44" t="str">
        <f t="shared" si="6"/>
        <v>syn BTCF7/BTCZ6/BTCG7/BTCV6/BTCX6</v>
      </c>
      <c r="K189" s="9">
        <f>'MKT DATA'!O897</f>
        <v>0</v>
      </c>
      <c r="L189" s="9">
        <f>'MKT DATA'!P897</f>
        <v>0</v>
      </c>
      <c r="M189" s="9">
        <f>'MKT DATA'!Q897</f>
        <v>0</v>
      </c>
      <c r="N189" s="9">
        <f>'MKT DATA'!R897</f>
        <v>0</v>
      </c>
      <c r="O189" s="9">
        <f>'MKT DATA'!S897</f>
        <v>0</v>
      </c>
      <c r="P189" s="9">
        <f>'MKT DATA'!T897</f>
        <v>0</v>
      </c>
      <c r="Q189" s="44" t="str">
        <f t="shared" si="7"/>
        <v>syn BTCF7/BTCZ6/BTCG7/BTCV6/BTCX6</v>
      </c>
      <c r="R189" s="14">
        <f>'MKT DATA'!AB897</f>
        <v>0</v>
      </c>
    </row>
    <row r="190" spans="5:18" x14ac:dyDescent="0.25">
      <c r="E190" s="44" t="str">
        <f>'MKT DATA'!B898</f>
        <v>syn BTCF7/BTCG7/BTCU6/BTCV6/BTCX6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BTCF7/BTCG7/BTCU6/BTCV6/BTCX6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BTCF7/BTCG7/BTCU6/BTCV6/BTCX6</v>
      </c>
      <c r="R190" s="14">
        <f>'MKT DATA'!AB898</f>
        <v>0</v>
      </c>
    </row>
    <row r="191" spans="5:18" x14ac:dyDescent="0.25">
      <c r="E191" s="44" t="str">
        <f>'MKT DATA'!B899</f>
        <v>syn BTCF7/BTCG7/BTCU6/BTCZ6/BTCX6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BTCF7/BTCG7/BTCU6/BTCZ6/BTCX6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BTCF7/BTCG7/BTCU6/BTCZ6/BTCX6</v>
      </c>
      <c r="R191" s="14">
        <f>'MKT DATA'!AB899</f>
        <v>0</v>
      </c>
    </row>
    <row r="192" spans="5:18" x14ac:dyDescent="0.25">
      <c r="E192" s="44" t="str">
        <f>'MKT DATA'!B900</f>
        <v>syn BTCF7/BTCG7/BTCV6/BTCU6/BTCX6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BTCF7/BTCG7/BTCV6/BTCU6/BTCX6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BTCF7/BTCG7/BTCV6/BTCU6/BTCX6</v>
      </c>
      <c r="R192" s="14">
        <f>'MKT DATA'!AB900</f>
        <v>0</v>
      </c>
    </row>
    <row r="193" spans="5:18" x14ac:dyDescent="0.25">
      <c r="E193" s="44" t="str">
        <f>'MKT DATA'!B901</f>
        <v>syn BTCF7/BTCG7/BTCV6/BTCZ6/BTCX6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BTCF7/BTCG7/BTCV6/BTCZ6/BTCX6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BTCF7/BTCG7/BTCV6/BTCZ6/BTCX6</v>
      </c>
      <c r="R193" s="14">
        <f>'MKT DATA'!AB901</f>
        <v>0</v>
      </c>
    </row>
    <row r="194" spans="5:18" x14ac:dyDescent="0.25">
      <c r="E194" s="44" t="str">
        <f>'MKT DATA'!B902</f>
        <v>syn BTCF7/BTCG7/BTCZ6/BTCU6/BTCX6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BTCF7/BTCG7/BTCZ6/BTCU6/BTCX6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BTCF7/BTCG7/BTCZ6/BTCU6/BTCX6</v>
      </c>
      <c r="R194" s="14">
        <f>'MKT DATA'!AB902</f>
        <v>0</v>
      </c>
    </row>
    <row r="195" spans="5:18" x14ac:dyDescent="0.25">
      <c r="E195" s="44" t="str">
        <f>'MKT DATA'!B903</f>
        <v>syn BTCF7/BTCG7/BTCZ6/BTCV6/BTCX6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BTCF7/BTCG7/BTCZ6/BTCV6/BTCX6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BTCF7/BTCG7/BTCZ6/BTCV6/BTCX6</v>
      </c>
      <c r="R195" s="14">
        <f>'MKT DATA'!AB903</f>
        <v>0</v>
      </c>
    </row>
    <row r="196" spans="5:18" x14ac:dyDescent="0.25">
      <c r="E196" s="44" t="str">
        <f>'MKT DATA'!B904</f>
        <v>syn BTCG7/BTCU6/BTCV6/BTCZ6/BTCX6</v>
      </c>
      <c r="F196" s="14">
        <f>'MKT DATA'!J904</f>
        <v>0</v>
      </c>
      <c r="G196" s="9">
        <f>'MKT DATA'!K904</f>
        <v>0</v>
      </c>
      <c r="H196" s="9">
        <f>'MKT DATA'!L904</f>
        <v>0</v>
      </c>
      <c r="I196" s="14">
        <f>'MKT DATA'!M904</f>
        <v>0</v>
      </c>
      <c r="J196" s="44" t="str">
        <f t="shared" si="6"/>
        <v>syn BTCG7/BTCU6/BTCV6/BTCZ6/BTCX6</v>
      </c>
      <c r="K196" s="9">
        <f>'MKT DATA'!O904</f>
        <v>0</v>
      </c>
      <c r="L196" s="9">
        <f>'MKT DATA'!P904</f>
        <v>0</v>
      </c>
      <c r="M196" s="9">
        <f>'MKT DATA'!Q904</f>
        <v>0</v>
      </c>
      <c r="N196" s="9">
        <f>'MKT DATA'!R904</f>
        <v>0</v>
      </c>
      <c r="O196" s="9">
        <f>'MKT DATA'!S904</f>
        <v>0</v>
      </c>
      <c r="P196" s="9">
        <f>'MKT DATA'!T904</f>
        <v>0</v>
      </c>
      <c r="Q196" s="44" t="str">
        <f t="shared" si="7"/>
        <v>syn BTCG7/BTCU6/BTCV6/BTCZ6/BTCX6</v>
      </c>
      <c r="R196" s="14">
        <f>'MKT DATA'!AB904</f>
        <v>0</v>
      </c>
    </row>
    <row r="197" spans="5:18" x14ac:dyDescent="0.25">
      <c r="E197" s="44" t="str">
        <f>'MKT DATA'!B905</f>
        <v>syn BTCG7/BTCU6/BTCV6/BTCF7/BTCX6</v>
      </c>
      <c r="F197" s="14">
        <f>'MKT DATA'!J905</f>
        <v>0</v>
      </c>
      <c r="G197" s="9">
        <f>'MKT DATA'!K905</f>
        <v>0</v>
      </c>
      <c r="H197" s="9">
        <f>'MKT DATA'!L905</f>
        <v>0</v>
      </c>
      <c r="I197" s="14">
        <f>'MKT DATA'!M905</f>
        <v>0</v>
      </c>
      <c r="J197" s="44" t="str">
        <f t="shared" si="6"/>
        <v>syn BTCG7/BTCU6/BTCV6/BTCF7/BTCX6</v>
      </c>
      <c r="K197" s="9">
        <f>'MKT DATA'!O905</f>
        <v>0</v>
      </c>
      <c r="L197" s="9">
        <f>'MKT DATA'!P905</f>
        <v>0</v>
      </c>
      <c r="M197" s="9">
        <f>'MKT DATA'!Q905</f>
        <v>0</v>
      </c>
      <c r="N197" s="9">
        <f>'MKT DATA'!R905</f>
        <v>0</v>
      </c>
      <c r="O197" s="9">
        <f>'MKT DATA'!S905</f>
        <v>0</v>
      </c>
      <c r="P197" s="9">
        <f>'MKT DATA'!T905</f>
        <v>0</v>
      </c>
      <c r="Q197" s="44" t="str">
        <f t="shared" si="7"/>
        <v>syn BTCG7/BTCU6/BTCV6/BTCF7/BTCX6</v>
      </c>
      <c r="R197" s="14">
        <f>'MKT DATA'!AB905</f>
        <v>0</v>
      </c>
    </row>
    <row r="198" spans="5:18" x14ac:dyDescent="0.25">
      <c r="E198" s="44" t="str">
        <f>'MKT DATA'!B906</f>
        <v>syn BTCG7/BTCU6/BTCZ6/BTCV6/BTCX6</v>
      </c>
      <c r="F198" s="14">
        <f>'MKT DATA'!J906</f>
        <v>0</v>
      </c>
      <c r="G198" s="9">
        <f>'MKT DATA'!K906</f>
        <v>0</v>
      </c>
      <c r="H198" s="9">
        <f>'MKT DATA'!L906</f>
        <v>0</v>
      </c>
      <c r="I198" s="14">
        <f>'MKT DATA'!M906</f>
        <v>0</v>
      </c>
      <c r="J198" s="44" t="str">
        <f t="shared" si="6"/>
        <v>syn BTCG7/BTCU6/BTCZ6/BTCV6/BTCX6</v>
      </c>
      <c r="K198" s="9">
        <f>'MKT DATA'!O906</f>
        <v>0</v>
      </c>
      <c r="L198" s="9">
        <f>'MKT DATA'!P906</f>
        <v>0</v>
      </c>
      <c r="M198" s="9">
        <f>'MKT DATA'!Q906</f>
        <v>0</v>
      </c>
      <c r="N198" s="9">
        <f>'MKT DATA'!R906</f>
        <v>0</v>
      </c>
      <c r="O198" s="9">
        <f>'MKT DATA'!S906</f>
        <v>0</v>
      </c>
      <c r="P198" s="9">
        <f>'MKT DATA'!T906</f>
        <v>0</v>
      </c>
      <c r="Q198" s="44" t="str">
        <f t="shared" si="7"/>
        <v>syn BTCG7/BTCU6/BTCZ6/BTCV6/BTCX6</v>
      </c>
      <c r="R198" s="14">
        <f>'MKT DATA'!AB906</f>
        <v>0</v>
      </c>
    </row>
    <row r="199" spans="5:18" x14ac:dyDescent="0.25">
      <c r="E199" s="44" t="str">
        <f>'MKT DATA'!B907</f>
        <v>syn BTCG7/BTCU6/BTCZ6/BTCF7/BTCX6</v>
      </c>
      <c r="F199" s="14">
        <f>'MKT DATA'!J907</f>
        <v>0</v>
      </c>
      <c r="G199" s="9">
        <f>'MKT DATA'!K907</f>
        <v>0</v>
      </c>
      <c r="H199" s="9">
        <f>'MKT DATA'!L907</f>
        <v>0</v>
      </c>
      <c r="I199" s="14">
        <f>'MKT DATA'!M907</f>
        <v>0</v>
      </c>
      <c r="J199" s="44" t="str">
        <f t="shared" si="6"/>
        <v>syn BTCG7/BTCU6/BTCZ6/BTCF7/BTCX6</v>
      </c>
      <c r="K199" s="9">
        <f>'MKT DATA'!O907</f>
        <v>0</v>
      </c>
      <c r="L199" s="9">
        <f>'MKT DATA'!P907</f>
        <v>0</v>
      </c>
      <c r="M199" s="9">
        <f>'MKT DATA'!Q907</f>
        <v>0</v>
      </c>
      <c r="N199" s="9">
        <f>'MKT DATA'!R907</f>
        <v>0</v>
      </c>
      <c r="O199" s="9">
        <f>'MKT DATA'!S907</f>
        <v>0</v>
      </c>
      <c r="P199" s="9">
        <f>'MKT DATA'!T907</f>
        <v>0</v>
      </c>
      <c r="Q199" s="44" t="str">
        <f t="shared" si="7"/>
        <v>syn BTCG7/BTCU6/BTCZ6/BTCF7/BTCX6</v>
      </c>
      <c r="R199" s="14">
        <f>'MKT DATA'!AB907</f>
        <v>0</v>
      </c>
    </row>
    <row r="200" spans="5:18" x14ac:dyDescent="0.25">
      <c r="E200" s="44" t="str">
        <f>'MKT DATA'!B908</f>
        <v>syn BTCG7/BTCU6/BTCF7/BTCV6/BTCX6</v>
      </c>
      <c r="F200" s="14">
        <f>'MKT DATA'!J908</f>
        <v>0</v>
      </c>
      <c r="G200" s="9">
        <f>'MKT DATA'!K908</f>
        <v>0</v>
      </c>
      <c r="H200" s="9">
        <f>'MKT DATA'!L908</f>
        <v>0</v>
      </c>
      <c r="I200" s="14">
        <f>'MKT DATA'!M908</f>
        <v>0</v>
      </c>
      <c r="J200" s="44" t="str">
        <f t="shared" si="6"/>
        <v>syn BTCG7/BTCU6/BTCF7/BTCV6/BTCX6</v>
      </c>
      <c r="K200" s="9">
        <f>'MKT DATA'!O908</f>
        <v>0</v>
      </c>
      <c r="L200" s="9">
        <f>'MKT DATA'!P908</f>
        <v>0</v>
      </c>
      <c r="M200" s="9">
        <f>'MKT DATA'!Q908</f>
        <v>0</v>
      </c>
      <c r="N200" s="9">
        <f>'MKT DATA'!R908</f>
        <v>0</v>
      </c>
      <c r="O200" s="9">
        <f>'MKT DATA'!S908</f>
        <v>0</v>
      </c>
      <c r="P200" s="9">
        <f>'MKT DATA'!T908</f>
        <v>0</v>
      </c>
      <c r="Q200" s="44" t="str">
        <f t="shared" si="7"/>
        <v>syn BTCG7/BTCU6/BTCF7/BTCV6/BTCX6</v>
      </c>
      <c r="R200" s="14">
        <f>'MKT DATA'!AB908</f>
        <v>0</v>
      </c>
    </row>
    <row r="201" spans="5:18" x14ac:dyDescent="0.25">
      <c r="E201" s="44" t="str">
        <f>'MKT DATA'!B909</f>
        <v>syn BTCG7/BTCU6/BTCF7/BTCZ6/BTCX6</v>
      </c>
      <c r="F201" s="14">
        <f>'MKT DATA'!J909</f>
        <v>0</v>
      </c>
      <c r="G201" s="9">
        <f>'MKT DATA'!K909</f>
        <v>0</v>
      </c>
      <c r="H201" s="9">
        <f>'MKT DATA'!L909</f>
        <v>0</v>
      </c>
      <c r="I201" s="14">
        <f>'MKT DATA'!M909</f>
        <v>0</v>
      </c>
      <c r="J201" s="44" t="str">
        <f t="shared" si="6"/>
        <v>syn BTCG7/BTCU6/BTCF7/BTCZ6/BTCX6</v>
      </c>
      <c r="K201" s="9">
        <f>'MKT DATA'!O909</f>
        <v>0</v>
      </c>
      <c r="L201" s="9">
        <f>'MKT DATA'!P909</f>
        <v>0</v>
      </c>
      <c r="M201" s="9">
        <f>'MKT DATA'!Q909</f>
        <v>0</v>
      </c>
      <c r="N201" s="9">
        <f>'MKT DATA'!R909</f>
        <v>0</v>
      </c>
      <c r="O201" s="9">
        <f>'MKT DATA'!S909</f>
        <v>0</v>
      </c>
      <c r="P201" s="9">
        <f>'MKT DATA'!T909</f>
        <v>0</v>
      </c>
      <c r="Q201" s="44" t="str">
        <f t="shared" si="7"/>
        <v>syn BTCG7/BTCU6/BTCF7/BTCZ6/BTCX6</v>
      </c>
      <c r="R201" s="14">
        <f>'MKT DATA'!AB909</f>
        <v>0</v>
      </c>
    </row>
    <row r="202" spans="5:18" x14ac:dyDescent="0.25">
      <c r="E202" s="44" t="str">
        <f>'MKT DATA'!B910</f>
        <v>syn BTCG7/BTCV6/BTCU6/BTCZ6/BTCX6</v>
      </c>
      <c r="F202" s="14">
        <f>'MKT DATA'!J910</f>
        <v>0</v>
      </c>
      <c r="G202" s="9">
        <f>'MKT DATA'!K910</f>
        <v>0</v>
      </c>
      <c r="H202" s="9">
        <f>'MKT DATA'!L910</f>
        <v>0</v>
      </c>
      <c r="I202" s="14">
        <f>'MKT DATA'!M910</f>
        <v>0</v>
      </c>
      <c r="J202" s="44" t="str">
        <f t="shared" ref="J202:J265" si="8">E202</f>
        <v>syn BTCG7/BTCV6/BTCU6/BTCZ6/BTCX6</v>
      </c>
      <c r="K202" s="9">
        <f>'MKT DATA'!O910</f>
        <v>0</v>
      </c>
      <c r="L202" s="9">
        <f>'MKT DATA'!P910</f>
        <v>0</v>
      </c>
      <c r="M202" s="9">
        <f>'MKT DATA'!Q910</f>
        <v>0</v>
      </c>
      <c r="N202" s="9">
        <f>'MKT DATA'!R910</f>
        <v>0</v>
      </c>
      <c r="O202" s="9">
        <f>'MKT DATA'!S910</f>
        <v>0</v>
      </c>
      <c r="P202" s="9">
        <f>'MKT DATA'!T910</f>
        <v>0</v>
      </c>
      <c r="Q202" s="44" t="str">
        <f t="shared" ref="Q202:Q265" si="9">J202</f>
        <v>syn BTCG7/BTCV6/BTCU6/BTCZ6/BTCX6</v>
      </c>
      <c r="R202" s="14">
        <f>'MKT DATA'!AB910</f>
        <v>0</v>
      </c>
    </row>
    <row r="203" spans="5:18" x14ac:dyDescent="0.25">
      <c r="E203" s="44" t="str">
        <f>'MKT DATA'!B911</f>
        <v>syn BTCG7/BTCV6/BTCU6/BTCF7/BTCX6</v>
      </c>
      <c r="F203" s="14">
        <f>'MKT DATA'!J911</f>
        <v>0</v>
      </c>
      <c r="G203" s="9">
        <f>'MKT DATA'!K911</f>
        <v>0</v>
      </c>
      <c r="H203" s="9">
        <f>'MKT DATA'!L911</f>
        <v>0</v>
      </c>
      <c r="I203" s="14">
        <f>'MKT DATA'!M911</f>
        <v>0</v>
      </c>
      <c r="J203" s="44" t="str">
        <f t="shared" si="8"/>
        <v>syn BTCG7/BTCV6/BTCU6/BTCF7/BTCX6</v>
      </c>
      <c r="K203" s="9">
        <f>'MKT DATA'!O911</f>
        <v>0</v>
      </c>
      <c r="L203" s="9">
        <f>'MKT DATA'!P911</f>
        <v>0</v>
      </c>
      <c r="M203" s="9">
        <f>'MKT DATA'!Q911</f>
        <v>0</v>
      </c>
      <c r="N203" s="9">
        <f>'MKT DATA'!R911</f>
        <v>0</v>
      </c>
      <c r="O203" s="9">
        <f>'MKT DATA'!S911</f>
        <v>0</v>
      </c>
      <c r="P203" s="9">
        <f>'MKT DATA'!T911</f>
        <v>0</v>
      </c>
      <c r="Q203" s="44" t="str">
        <f t="shared" si="9"/>
        <v>syn BTCG7/BTCV6/BTCU6/BTCF7/BTCX6</v>
      </c>
      <c r="R203" s="14">
        <f>'MKT DATA'!AB911</f>
        <v>0</v>
      </c>
    </row>
    <row r="204" spans="5:18" x14ac:dyDescent="0.25">
      <c r="E204" s="44" t="str">
        <f>'MKT DATA'!B912</f>
        <v>syn BTCG7/BTCV6/BTCZ6/BTCU6/BTCX6</v>
      </c>
      <c r="F204" s="14">
        <f>'MKT DATA'!J912</f>
        <v>0</v>
      </c>
      <c r="G204" s="9">
        <f>'MKT DATA'!K912</f>
        <v>0</v>
      </c>
      <c r="H204" s="9">
        <f>'MKT DATA'!L912</f>
        <v>0</v>
      </c>
      <c r="I204" s="14">
        <f>'MKT DATA'!M912</f>
        <v>0</v>
      </c>
      <c r="J204" s="44" t="str">
        <f t="shared" si="8"/>
        <v>syn BTCG7/BTCV6/BTCZ6/BTCU6/BTCX6</v>
      </c>
      <c r="K204" s="9">
        <f>'MKT DATA'!O912</f>
        <v>0</v>
      </c>
      <c r="L204" s="9">
        <f>'MKT DATA'!P912</f>
        <v>0</v>
      </c>
      <c r="M204" s="9">
        <f>'MKT DATA'!Q912</f>
        <v>0</v>
      </c>
      <c r="N204" s="9">
        <f>'MKT DATA'!R912</f>
        <v>0</v>
      </c>
      <c r="O204" s="9">
        <f>'MKT DATA'!S912</f>
        <v>0</v>
      </c>
      <c r="P204" s="9">
        <f>'MKT DATA'!T912</f>
        <v>0</v>
      </c>
      <c r="Q204" s="44" t="str">
        <f t="shared" si="9"/>
        <v>syn BTCG7/BTCV6/BTCZ6/BTCU6/BTCX6</v>
      </c>
      <c r="R204" s="14">
        <f>'MKT DATA'!AB912</f>
        <v>0</v>
      </c>
    </row>
    <row r="205" spans="5:18" x14ac:dyDescent="0.25">
      <c r="E205" s="44" t="str">
        <f>'MKT DATA'!B913</f>
        <v>syn BTCG7/BTCV6/BTCZ6/BTCF7/BTCX6</v>
      </c>
      <c r="F205" s="14">
        <f>'MKT DATA'!J913</f>
        <v>0</v>
      </c>
      <c r="G205" s="9">
        <f>'MKT DATA'!K913</f>
        <v>0</v>
      </c>
      <c r="H205" s="9">
        <f>'MKT DATA'!L913</f>
        <v>0</v>
      </c>
      <c r="I205" s="14">
        <f>'MKT DATA'!M913</f>
        <v>0</v>
      </c>
      <c r="J205" s="44" t="str">
        <f t="shared" si="8"/>
        <v>syn BTCG7/BTCV6/BTCZ6/BTCF7/BTCX6</v>
      </c>
      <c r="K205" s="9">
        <f>'MKT DATA'!O913</f>
        <v>0</v>
      </c>
      <c r="L205" s="9">
        <f>'MKT DATA'!P913</f>
        <v>0</v>
      </c>
      <c r="M205" s="9">
        <f>'MKT DATA'!Q913</f>
        <v>0</v>
      </c>
      <c r="N205" s="9">
        <f>'MKT DATA'!R913</f>
        <v>0</v>
      </c>
      <c r="O205" s="9">
        <f>'MKT DATA'!S913</f>
        <v>0</v>
      </c>
      <c r="P205" s="9">
        <f>'MKT DATA'!T913</f>
        <v>0</v>
      </c>
      <c r="Q205" s="44" t="str">
        <f t="shared" si="9"/>
        <v>syn BTCG7/BTCV6/BTCZ6/BTCF7/BTCX6</v>
      </c>
      <c r="R205" s="14">
        <f>'MKT DATA'!AB913</f>
        <v>0</v>
      </c>
    </row>
    <row r="206" spans="5:18" x14ac:dyDescent="0.25">
      <c r="E206" s="44" t="str">
        <f>'MKT DATA'!B914</f>
        <v>syn BTCG7/BTCV6/BTCF7/BTCU6/BTCX6</v>
      </c>
      <c r="F206" s="14">
        <f>'MKT DATA'!J914</f>
        <v>0</v>
      </c>
      <c r="G206" s="9">
        <f>'MKT DATA'!K914</f>
        <v>0</v>
      </c>
      <c r="H206" s="9">
        <f>'MKT DATA'!L914</f>
        <v>0</v>
      </c>
      <c r="I206" s="14">
        <f>'MKT DATA'!M914</f>
        <v>0</v>
      </c>
      <c r="J206" s="44" t="str">
        <f t="shared" si="8"/>
        <v>syn BTCG7/BTCV6/BTCF7/BTCU6/BTCX6</v>
      </c>
      <c r="K206" s="9">
        <f>'MKT DATA'!O914</f>
        <v>0</v>
      </c>
      <c r="L206" s="9">
        <f>'MKT DATA'!P914</f>
        <v>0</v>
      </c>
      <c r="M206" s="9">
        <f>'MKT DATA'!Q914</f>
        <v>0</v>
      </c>
      <c r="N206" s="9">
        <f>'MKT DATA'!R914</f>
        <v>0</v>
      </c>
      <c r="O206" s="9">
        <f>'MKT DATA'!S914</f>
        <v>0</v>
      </c>
      <c r="P206" s="9">
        <f>'MKT DATA'!T914</f>
        <v>0</v>
      </c>
      <c r="Q206" s="44" t="str">
        <f t="shared" si="9"/>
        <v>syn BTCG7/BTCV6/BTCF7/BTCU6/BTCX6</v>
      </c>
      <c r="R206" s="14">
        <f>'MKT DATA'!AB914</f>
        <v>0</v>
      </c>
    </row>
    <row r="207" spans="5:18" x14ac:dyDescent="0.25">
      <c r="E207" s="44" t="str">
        <f>'MKT DATA'!B915</f>
        <v>syn BTCG7/BTCV6/BTCF7/BTCZ6/BTCX6</v>
      </c>
      <c r="F207" s="14">
        <f>'MKT DATA'!J915</f>
        <v>0</v>
      </c>
      <c r="G207" s="9">
        <f>'MKT DATA'!K915</f>
        <v>0</v>
      </c>
      <c r="H207" s="9">
        <f>'MKT DATA'!L915</f>
        <v>0</v>
      </c>
      <c r="I207" s="14">
        <f>'MKT DATA'!M915</f>
        <v>0</v>
      </c>
      <c r="J207" s="44" t="str">
        <f t="shared" si="8"/>
        <v>syn BTCG7/BTCV6/BTCF7/BTCZ6/BTCX6</v>
      </c>
      <c r="K207" s="9">
        <f>'MKT DATA'!O915</f>
        <v>0</v>
      </c>
      <c r="L207" s="9">
        <f>'MKT DATA'!P915</f>
        <v>0</v>
      </c>
      <c r="M207" s="9">
        <f>'MKT DATA'!Q915</f>
        <v>0</v>
      </c>
      <c r="N207" s="9">
        <f>'MKT DATA'!R915</f>
        <v>0</v>
      </c>
      <c r="O207" s="9">
        <f>'MKT DATA'!S915</f>
        <v>0</v>
      </c>
      <c r="P207" s="9">
        <f>'MKT DATA'!T915</f>
        <v>0</v>
      </c>
      <c r="Q207" s="44" t="str">
        <f t="shared" si="9"/>
        <v>syn BTCG7/BTCV6/BTCF7/BTCZ6/BTCX6</v>
      </c>
      <c r="R207" s="14">
        <f>'MKT DATA'!AB915</f>
        <v>0</v>
      </c>
    </row>
    <row r="208" spans="5:18" x14ac:dyDescent="0.25">
      <c r="E208" s="44" t="str">
        <f>'MKT DATA'!B916</f>
        <v>syn BTCG7/BTCZ6/BTCU6/BTCV6/BTCX6</v>
      </c>
      <c r="F208" s="14">
        <f>'MKT DATA'!J916</f>
        <v>0</v>
      </c>
      <c r="G208" s="9">
        <f>'MKT DATA'!K916</f>
        <v>0</v>
      </c>
      <c r="H208" s="9">
        <f>'MKT DATA'!L916</f>
        <v>0</v>
      </c>
      <c r="I208" s="14">
        <f>'MKT DATA'!M916</f>
        <v>0</v>
      </c>
      <c r="J208" s="44" t="str">
        <f t="shared" si="8"/>
        <v>syn BTCG7/BTCZ6/BTCU6/BTCV6/BTCX6</v>
      </c>
      <c r="K208" s="9">
        <f>'MKT DATA'!O916</f>
        <v>0</v>
      </c>
      <c r="L208" s="9">
        <f>'MKT DATA'!P916</f>
        <v>0</v>
      </c>
      <c r="M208" s="9">
        <f>'MKT DATA'!Q916</f>
        <v>0</v>
      </c>
      <c r="N208" s="9">
        <f>'MKT DATA'!R916</f>
        <v>0</v>
      </c>
      <c r="O208" s="9">
        <f>'MKT DATA'!S916</f>
        <v>0</v>
      </c>
      <c r="P208" s="9">
        <f>'MKT DATA'!T916</f>
        <v>0</v>
      </c>
      <c r="Q208" s="44" t="str">
        <f t="shared" si="9"/>
        <v>syn BTCG7/BTCZ6/BTCU6/BTCV6/BTCX6</v>
      </c>
      <c r="R208" s="14">
        <f>'MKT DATA'!AB916</f>
        <v>0</v>
      </c>
    </row>
    <row r="209" spans="5:18" x14ac:dyDescent="0.25">
      <c r="E209" s="44" t="str">
        <f>'MKT DATA'!B917</f>
        <v>syn BTCG7/BTCZ6/BTCU6/BTCF7/BTCX6</v>
      </c>
      <c r="F209" s="14">
        <f>'MKT DATA'!J917</f>
        <v>0</v>
      </c>
      <c r="G209" s="9">
        <f>'MKT DATA'!K917</f>
        <v>0</v>
      </c>
      <c r="H209" s="9">
        <f>'MKT DATA'!L917</f>
        <v>0</v>
      </c>
      <c r="I209" s="14">
        <f>'MKT DATA'!M917</f>
        <v>0</v>
      </c>
      <c r="J209" s="44" t="str">
        <f t="shared" si="8"/>
        <v>syn BTCG7/BTCZ6/BTCU6/BTCF7/BTCX6</v>
      </c>
      <c r="K209" s="9">
        <f>'MKT DATA'!O917</f>
        <v>0</v>
      </c>
      <c r="L209" s="9">
        <f>'MKT DATA'!P917</f>
        <v>0</v>
      </c>
      <c r="M209" s="9">
        <f>'MKT DATA'!Q917</f>
        <v>0</v>
      </c>
      <c r="N209" s="9">
        <f>'MKT DATA'!R917</f>
        <v>0</v>
      </c>
      <c r="O209" s="9">
        <f>'MKT DATA'!S917</f>
        <v>0</v>
      </c>
      <c r="P209" s="9">
        <f>'MKT DATA'!T917</f>
        <v>0</v>
      </c>
      <c r="Q209" s="44" t="str">
        <f t="shared" si="9"/>
        <v>syn BTCG7/BTCZ6/BTCU6/BTCF7/BTCX6</v>
      </c>
      <c r="R209" s="14">
        <f>'MKT DATA'!AB917</f>
        <v>0</v>
      </c>
    </row>
    <row r="210" spans="5:18" x14ac:dyDescent="0.25">
      <c r="E210" s="44" t="str">
        <f>'MKT DATA'!B918</f>
        <v>syn BTCG7/BTCZ6/BTCV6/BTCU6/BTCX6</v>
      </c>
      <c r="F210" s="14">
        <f>'MKT DATA'!J918</f>
        <v>0</v>
      </c>
      <c r="G210" s="9">
        <f>'MKT DATA'!K918</f>
        <v>0</v>
      </c>
      <c r="H210" s="9">
        <f>'MKT DATA'!L918</f>
        <v>0</v>
      </c>
      <c r="I210" s="14">
        <f>'MKT DATA'!M918</f>
        <v>0</v>
      </c>
      <c r="J210" s="44" t="str">
        <f t="shared" si="8"/>
        <v>syn BTCG7/BTCZ6/BTCV6/BTCU6/BTCX6</v>
      </c>
      <c r="K210" s="9">
        <f>'MKT DATA'!O918</f>
        <v>0</v>
      </c>
      <c r="L210" s="9">
        <f>'MKT DATA'!P918</f>
        <v>0</v>
      </c>
      <c r="M210" s="9">
        <f>'MKT DATA'!Q918</f>
        <v>0</v>
      </c>
      <c r="N210" s="9">
        <f>'MKT DATA'!R918</f>
        <v>0</v>
      </c>
      <c r="O210" s="9">
        <f>'MKT DATA'!S918</f>
        <v>0</v>
      </c>
      <c r="P210" s="9">
        <f>'MKT DATA'!T918</f>
        <v>0</v>
      </c>
      <c r="Q210" s="44" t="str">
        <f t="shared" si="9"/>
        <v>syn BTCG7/BTCZ6/BTCV6/BTCU6/BTCX6</v>
      </c>
      <c r="R210" s="14">
        <f>'MKT DATA'!AB918</f>
        <v>0</v>
      </c>
    </row>
    <row r="211" spans="5:18" x14ac:dyDescent="0.25">
      <c r="E211" s="44" t="str">
        <f>'MKT DATA'!B919</f>
        <v>syn BTCG7/BTCZ6/BTCV6/BTCF7/BTCX6</v>
      </c>
      <c r="F211" s="14">
        <f>'MKT DATA'!J919</f>
        <v>0</v>
      </c>
      <c r="G211" s="9">
        <f>'MKT DATA'!K919</f>
        <v>0</v>
      </c>
      <c r="H211" s="9">
        <f>'MKT DATA'!L919</f>
        <v>0</v>
      </c>
      <c r="I211" s="14">
        <f>'MKT DATA'!M919</f>
        <v>0</v>
      </c>
      <c r="J211" s="44" t="str">
        <f t="shared" si="8"/>
        <v>syn BTCG7/BTCZ6/BTCV6/BTCF7/BTCX6</v>
      </c>
      <c r="K211" s="9">
        <f>'MKT DATA'!O919</f>
        <v>0</v>
      </c>
      <c r="L211" s="9">
        <f>'MKT DATA'!P919</f>
        <v>0</v>
      </c>
      <c r="M211" s="9">
        <f>'MKT DATA'!Q919</f>
        <v>0</v>
      </c>
      <c r="N211" s="9">
        <f>'MKT DATA'!R919</f>
        <v>0</v>
      </c>
      <c r="O211" s="9">
        <f>'MKT DATA'!S919</f>
        <v>0</v>
      </c>
      <c r="P211" s="9">
        <f>'MKT DATA'!T919</f>
        <v>0</v>
      </c>
      <c r="Q211" s="44" t="str">
        <f t="shared" si="9"/>
        <v>syn BTCG7/BTCZ6/BTCV6/BTCF7/BTCX6</v>
      </c>
      <c r="R211" s="14">
        <f>'MKT DATA'!AB919</f>
        <v>0</v>
      </c>
    </row>
    <row r="212" spans="5:18" x14ac:dyDescent="0.25">
      <c r="E212" s="44" t="str">
        <f>'MKT DATA'!B920</f>
        <v>syn BTCG7/BTCZ6/BTCF7/BTCU6/BTCX6</v>
      </c>
      <c r="F212" s="14">
        <f>'MKT DATA'!J920</f>
        <v>0</v>
      </c>
      <c r="G212" s="9">
        <f>'MKT DATA'!K920</f>
        <v>0</v>
      </c>
      <c r="H212" s="9">
        <f>'MKT DATA'!L920</f>
        <v>0</v>
      </c>
      <c r="I212" s="14">
        <f>'MKT DATA'!M920</f>
        <v>0</v>
      </c>
      <c r="J212" s="44" t="str">
        <f t="shared" si="8"/>
        <v>syn BTCG7/BTCZ6/BTCF7/BTCU6/BTCX6</v>
      </c>
      <c r="K212" s="9">
        <f>'MKT DATA'!O920</f>
        <v>0</v>
      </c>
      <c r="L212" s="9">
        <f>'MKT DATA'!P920</f>
        <v>0</v>
      </c>
      <c r="M212" s="9">
        <f>'MKT DATA'!Q920</f>
        <v>0</v>
      </c>
      <c r="N212" s="9">
        <f>'MKT DATA'!R920</f>
        <v>0</v>
      </c>
      <c r="O212" s="9">
        <f>'MKT DATA'!S920</f>
        <v>0</v>
      </c>
      <c r="P212" s="9">
        <f>'MKT DATA'!T920</f>
        <v>0</v>
      </c>
      <c r="Q212" s="44" t="str">
        <f t="shared" si="9"/>
        <v>syn BTCG7/BTCZ6/BTCF7/BTCU6/BTCX6</v>
      </c>
      <c r="R212" s="14">
        <f>'MKT DATA'!AB920</f>
        <v>0</v>
      </c>
    </row>
    <row r="213" spans="5:18" x14ac:dyDescent="0.25">
      <c r="E213" s="44" t="str">
        <f>'MKT DATA'!B921</f>
        <v>syn BTCG7/BTCZ6/BTCF7/BTCV6/BTCX6</v>
      </c>
      <c r="F213" s="14">
        <f>'MKT DATA'!J921</f>
        <v>0</v>
      </c>
      <c r="G213" s="9">
        <f>'MKT DATA'!K921</f>
        <v>0</v>
      </c>
      <c r="H213" s="9">
        <f>'MKT DATA'!L921</f>
        <v>0</v>
      </c>
      <c r="I213" s="14">
        <f>'MKT DATA'!M921</f>
        <v>0</v>
      </c>
      <c r="J213" s="44" t="str">
        <f t="shared" si="8"/>
        <v>syn BTCG7/BTCZ6/BTCF7/BTCV6/BTCX6</v>
      </c>
      <c r="K213" s="9">
        <f>'MKT DATA'!O921</f>
        <v>0</v>
      </c>
      <c r="L213" s="9">
        <f>'MKT DATA'!P921</f>
        <v>0</v>
      </c>
      <c r="M213" s="9">
        <f>'MKT DATA'!Q921</f>
        <v>0</v>
      </c>
      <c r="N213" s="9">
        <f>'MKT DATA'!R921</f>
        <v>0</v>
      </c>
      <c r="O213" s="9">
        <f>'MKT DATA'!S921</f>
        <v>0</v>
      </c>
      <c r="P213" s="9">
        <f>'MKT DATA'!T921</f>
        <v>0</v>
      </c>
      <c r="Q213" s="44" t="str">
        <f t="shared" si="9"/>
        <v>syn BTCG7/BTCZ6/BTCF7/BTCV6/BTCX6</v>
      </c>
      <c r="R213" s="14">
        <f>'MKT DATA'!AB921</f>
        <v>0</v>
      </c>
    </row>
    <row r="214" spans="5:18" x14ac:dyDescent="0.25">
      <c r="E214" s="44" t="str">
        <f>'MKT DATA'!B922</f>
        <v>syn BTCG7/BTCF7/BTCU6/BTCV6/BTCX6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BTCG7/BTCF7/BTCU6/BTCV6/BTCX6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BTCG7/BTCF7/BTCU6/BTCV6/BTCX6</v>
      </c>
      <c r="R214" s="14">
        <f>'MKT DATA'!AB922</f>
        <v>0</v>
      </c>
    </row>
    <row r="215" spans="5:18" x14ac:dyDescent="0.25">
      <c r="E215" s="44" t="str">
        <f>'MKT DATA'!B923</f>
        <v>syn BTCG7/BTCF7/BTCU6/BTCZ6/BTCX6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BTCG7/BTCF7/BTCU6/BTCZ6/BTCX6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BTCG7/BTCF7/BTCU6/BTCZ6/BTCX6</v>
      </c>
      <c r="R215" s="14">
        <f>'MKT DATA'!AB923</f>
        <v>0</v>
      </c>
    </row>
    <row r="216" spans="5:18" x14ac:dyDescent="0.25">
      <c r="E216" s="44" t="str">
        <f>'MKT DATA'!B924</f>
        <v>syn BTCG7/BTCF7/BTCV6/BTCU6/BTCX6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BTCG7/BTCF7/BTCV6/BTCU6/BTCX6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BTCG7/BTCF7/BTCV6/BTCU6/BTCX6</v>
      </c>
      <c r="R216" s="14">
        <f>'MKT DATA'!AB924</f>
        <v>0</v>
      </c>
    </row>
    <row r="217" spans="5:18" x14ac:dyDescent="0.25">
      <c r="E217" s="44" t="str">
        <f>'MKT DATA'!B925</f>
        <v>syn BTCG7/BTCF7/BTCV6/BTCZ6/BTCX6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BTCG7/BTCF7/BTCV6/BTCZ6/BTCX6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BTCG7/BTCF7/BTCV6/BTCZ6/BTCX6</v>
      </c>
      <c r="R217" s="14">
        <f>'MKT DATA'!AB925</f>
        <v>0</v>
      </c>
    </row>
    <row r="218" spans="5:18" x14ac:dyDescent="0.25">
      <c r="E218" s="44" t="str">
        <f>'MKT DATA'!B926</f>
        <v>syn BTCG7/BTCF7/BTCZ6/BTCU6/BTCX6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BTCG7/BTCF7/BTCZ6/BTCU6/BTCX6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BTCG7/BTCF7/BTCZ6/BTCU6/BTCX6</v>
      </c>
      <c r="R218" s="14">
        <f>'MKT DATA'!AB926</f>
        <v>0</v>
      </c>
    </row>
    <row r="219" spans="5:18" x14ac:dyDescent="0.25">
      <c r="E219" s="44" t="str">
        <f>'MKT DATA'!B927</f>
        <v>syn BTCG7/BTCF7/BTCZ6/BTCV6/BTCX6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BTCG7/BTCF7/BTCZ6/BTCV6/BTCX6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BTCG7/BTCF7/BTCZ6/BTCV6/BTCX6</v>
      </c>
      <c r="R219" s="14">
        <f>'MKT DATA'!AB927</f>
        <v>0</v>
      </c>
    </row>
    <row r="220" spans="5:18" x14ac:dyDescent="0.25">
      <c r="E220" s="44" t="str">
        <f>'MKT DATA'!B928</f>
        <v>syn BTCU6/BTCV6/BTCZ6/BTCF7/BTCG7/BTCX6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BTCU6/BTCV6/BTCZ6/BTCF7/BTCG7/BTCX6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BTCU6/BTCV6/BTCZ6/BTCF7/BTCG7/BTCX6</v>
      </c>
      <c r="R220" s="14">
        <f>'MKT DATA'!AB928</f>
        <v>0</v>
      </c>
    </row>
    <row r="221" spans="5:18" x14ac:dyDescent="0.25">
      <c r="E221" s="44" t="str">
        <f>'MKT DATA'!B929</f>
        <v>syn BTCU6/BTCV6/BTCZ6/BTCG7/BTCF7/BTCX6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BTCU6/BTCV6/BTCZ6/BTCG7/BTCF7/BTCX6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BTCU6/BTCV6/BTCZ6/BTCG7/BTCF7/BTCX6</v>
      </c>
      <c r="R221" s="14">
        <f>'MKT DATA'!AB929</f>
        <v>0</v>
      </c>
    </row>
    <row r="222" spans="5:18" x14ac:dyDescent="0.25">
      <c r="E222" s="44" t="str">
        <f>'MKT DATA'!B930</f>
        <v>syn BTCU6/BTCV6/BTCF7/BTCZ6/BTCG7/BTCX6</v>
      </c>
      <c r="F222" s="14">
        <f>'MKT DATA'!J930</f>
        <v>0</v>
      </c>
      <c r="G222" s="9">
        <f>'MKT DATA'!K930</f>
        <v>0</v>
      </c>
      <c r="H222" s="9">
        <f>'MKT DATA'!L930</f>
        <v>0</v>
      </c>
      <c r="I222" s="14">
        <f>'MKT DATA'!M930</f>
        <v>0</v>
      </c>
      <c r="J222" s="44" t="str">
        <f t="shared" si="8"/>
        <v>syn BTCU6/BTCV6/BTCF7/BTCZ6/BTCG7/BTCX6</v>
      </c>
      <c r="K222" s="9">
        <f>'MKT DATA'!O930</f>
        <v>0</v>
      </c>
      <c r="L222" s="9">
        <f>'MKT DATA'!P930</f>
        <v>0</v>
      </c>
      <c r="M222" s="9">
        <f>'MKT DATA'!Q930</f>
        <v>0</v>
      </c>
      <c r="N222" s="9">
        <f>'MKT DATA'!R930</f>
        <v>0</v>
      </c>
      <c r="O222" s="9">
        <f>'MKT DATA'!S930</f>
        <v>0</v>
      </c>
      <c r="P222" s="9">
        <f>'MKT DATA'!T930</f>
        <v>0</v>
      </c>
      <c r="Q222" s="44" t="str">
        <f t="shared" si="9"/>
        <v>syn BTCU6/BTCV6/BTCF7/BTCZ6/BTCG7/BTCX6</v>
      </c>
      <c r="R222" s="14">
        <f>'MKT DATA'!AB930</f>
        <v>0</v>
      </c>
    </row>
    <row r="223" spans="5:18" x14ac:dyDescent="0.25">
      <c r="E223" s="44" t="str">
        <f>'MKT DATA'!B931</f>
        <v>syn BTCU6/BTCV6/BTCF7/BTCG7/BTCZ6/BTCX6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BTCU6/BTCV6/BTCF7/BTCG7/BTCZ6/BTCX6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BTCU6/BTCV6/BTCF7/BTCG7/BTCZ6/BTCX6</v>
      </c>
      <c r="R223" s="14">
        <f>'MKT DATA'!AB931</f>
        <v>0</v>
      </c>
    </row>
    <row r="224" spans="5:18" x14ac:dyDescent="0.25">
      <c r="E224" s="44" t="str">
        <f>'MKT DATA'!B932</f>
        <v>syn BTCU6/BTCV6/BTCG7/BTCZ6/BTCF7/BTCX6</v>
      </c>
      <c r="F224" s="14">
        <f>'MKT DATA'!J932</f>
        <v>0</v>
      </c>
      <c r="G224" s="9">
        <f>'MKT DATA'!K932</f>
        <v>0</v>
      </c>
      <c r="H224" s="9">
        <f>'MKT DATA'!L932</f>
        <v>0</v>
      </c>
      <c r="I224" s="14">
        <f>'MKT DATA'!M932</f>
        <v>0</v>
      </c>
      <c r="J224" s="44" t="str">
        <f t="shared" si="8"/>
        <v>syn BTCU6/BTCV6/BTCG7/BTCZ6/BTCF7/BTCX6</v>
      </c>
      <c r="K224" s="9">
        <f>'MKT DATA'!O932</f>
        <v>0</v>
      </c>
      <c r="L224" s="9">
        <f>'MKT DATA'!P932</f>
        <v>0</v>
      </c>
      <c r="M224" s="9">
        <f>'MKT DATA'!Q932</f>
        <v>0</v>
      </c>
      <c r="N224" s="9">
        <f>'MKT DATA'!R932</f>
        <v>0</v>
      </c>
      <c r="O224" s="9">
        <f>'MKT DATA'!S932</f>
        <v>0</v>
      </c>
      <c r="P224" s="9">
        <f>'MKT DATA'!T932</f>
        <v>0</v>
      </c>
      <c r="Q224" s="44" t="str">
        <f t="shared" si="9"/>
        <v>syn BTCU6/BTCV6/BTCG7/BTCZ6/BTCF7/BTCX6</v>
      </c>
      <c r="R224" s="14">
        <f>'MKT DATA'!AB932</f>
        <v>0</v>
      </c>
    </row>
    <row r="225" spans="5:18" x14ac:dyDescent="0.25">
      <c r="E225" s="44" t="str">
        <f>'MKT DATA'!B933</f>
        <v>syn BTCU6/BTCV6/BTCG7/BTCF7/BTCZ6/BTCX6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BTCU6/BTCV6/BTCG7/BTCF7/BTCZ6/BTCX6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BTCU6/BTCV6/BTCG7/BTCF7/BTCZ6/BTCX6</v>
      </c>
      <c r="R225" s="14">
        <f>'MKT DATA'!AB933</f>
        <v>0</v>
      </c>
    </row>
    <row r="226" spans="5:18" x14ac:dyDescent="0.25">
      <c r="E226" s="44" t="str">
        <f>'MKT DATA'!B934</f>
        <v>syn BTCU6/BTCZ6/BTCV6/BTCF7/BTCG7/BTCX6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BTCU6/BTCZ6/BTCV6/BTCF7/BTCG7/BTCX6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BTCU6/BTCZ6/BTCV6/BTCF7/BTCG7/BTCX6</v>
      </c>
      <c r="R226" s="14">
        <f>'MKT DATA'!AB934</f>
        <v>0</v>
      </c>
    </row>
    <row r="227" spans="5:18" x14ac:dyDescent="0.25">
      <c r="E227" s="44" t="str">
        <f>'MKT DATA'!B935</f>
        <v>syn BTCU6/BTCZ6/BTCV6/BTCG7/BTCF7/BTCX6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BTCU6/BTCZ6/BTCV6/BTCG7/BTCF7/BTCX6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BTCU6/BTCZ6/BTCV6/BTCG7/BTCF7/BTCX6</v>
      </c>
      <c r="R227" s="14">
        <f>'MKT DATA'!AB935</f>
        <v>0</v>
      </c>
    </row>
    <row r="228" spans="5:18" x14ac:dyDescent="0.25">
      <c r="E228" s="44" t="str">
        <f>'MKT DATA'!B936</f>
        <v>syn BTCU6/BTCZ6/BTCF7/BTCV6/BTCG7/BTCX6</v>
      </c>
      <c r="F228" s="14">
        <f>'MKT DATA'!J936</f>
        <v>0</v>
      </c>
      <c r="G228" s="9">
        <f>'MKT DATA'!K936</f>
        <v>0</v>
      </c>
      <c r="H228" s="9">
        <f>'MKT DATA'!L936</f>
        <v>0</v>
      </c>
      <c r="I228" s="14">
        <f>'MKT DATA'!M936</f>
        <v>0</v>
      </c>
      <c r="J228" s="44" t="str">
        <f t="shared" si="8"/>
        <v>syn BTCU6/BTCZ6/BTCF7/BTCV6/BTCG7/BTCX6</v>
      </c>
      <c r="K228" s="9">
        <f>'MKT DATA'!O936</f>
        <v>0</v>
      </c>
      <c r="L228" s="9">
        <f>'MKT DATA'!P936</f>
        <v>0</v>
      </c>
      <c r="M228" s="9">
        <f>'MKT DATA'!Q936</f>
        <v>0</v>
      </c>
      <c r="N228" s="9">
        <f>'MKT DATA'!R936</f>
        <v>0</v>
      </c>
      <c r="O228" s="9">
        <f>'MKT DATA'!S936</f>
        <v>0</v>
      </c>
      <c r="P228" s="9">
        <f>'MKT DATA'!T936</f>
        <v>0</v>
      </c>
      <c r="Q228" s="44" t="str">
        <f t="shared" si="9"/>
        <v>syn BTCU6/BTCZ6/BTCF7/BTCV6/BTCG7/BTCX6</v>
      </c>
      <c r="R228" s="14">
        <f>'MKT DATA'!AB936</f>
        <v>0</v>
      </c>
    </row>
    <row r="229" spans="5:18" x14ac:dyDescent="0.25">
      <c r="E229" s="44" t="str">
        <f>'MKT DATA'!B937</f>
        <v>syn BTCU6/BTCZ6/BTCF7/BTCG7/BTCV6/BTCX6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BTCU6/BTCZ6/BTCF7/BTCG7/BTCV6/BTCX6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BTCU6/BTCZ6/BTCF7/BTCG7/BTCV6/BTCX6</v>
      </c>
      <c r="R229" s="14">
        <f>'MKT DATA'!AB937</f>
        <v>0</v>
      </c>
    </row>
    <row r="230" spans="5:18" x14ac:dyDescent="0.25">
      <c r="E230" s="44" t="str">
        <f>'MKT DATA'!B938</f>
        <v>syn BTCU6/BTCZ6/BTCG7/BTCV6/BTCF7/BTCX6</v>
      </c>
      <c r="F230" s="14">
        <f>'MKT DATA'!J938</f>
        <v>0</v>
      </c>
      <c r="G230" s="9">
        <f>'MKT DATA'!K938</f>
        <v>0</v>
      </c>
      <c r="H230" s="9">
        <f>'MKT DATA'!L938</f>
        <v>0</v>
      </c>
      <c r="I230" s="14">
        <f>'MKT DATA'!M938</f>
        <v>0</v>
      </c>
      <c r="J230" s="44" t="str">
        <f t="shared" si="8"/>
        <v>syn BTCU6/BTCZ6/BTCG7/BTCV6/BTCF7/BTCX6</v>
      </c>
      <c r="K230" s="9">
        <f>'MKT DATA'!O938</f>
        <v>0</v>
      </c>
      <c r="L230" s="9">
        <f>'MKT DATA'!P938</f>
        <v>0</v>
      </c>
      <c r="M230" s="9">
        <f>'MKT DATA'!Q938</f>
        <v>0</v>
      </c>
      <c r="N230" s="9">
        <f>'MKT DATA'!R938</f>
        <v>0</v>
      </c>
      <c r="O230" s="9">
        <f>'MKT DATA'!S938</f>
        <v>0</v>
      </c>
      <c r="P230" s="9">
        <f>'MKT DATA'!T938</f>
        <v>0</v>
      </c>
      <c r="Q230" s="44" t="str">
        <f t="shared" si="9"/>
        <v>syn BTCU6/BTCZ6/BTCG7/BTCV6/BTCF7/BTCX6</v>
      </c>
      <c r="R230" s="14">
        <f>'MKT DATA'!AB938</f>
        <v>0</v>
      </c>
    </row>
    <row r="231" spans="5:18" x14ac:dyDescent="0.25">
      <c r="E231" s="44" t="str">
        <f>'MKT DATA'!B939</f>
        <v>syn BTCU6/BTCZ6/BTCG7/BTCF7/BTCV6/BTCX6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BTCU6/BTCZ6/BTCG7/BTCF7/BTCV6/BTCX6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BTCU6/BTCZ6/BTCG7/BTCF7/BTCV6/BTCX6</v>
      </c>
      <c r="R231" s="14">
        <f>'MKT DATA'!AB939</f>
        <v>0</v>
      </c>
    </row>
    <row r="232" spans="5:18" x14ac:dyDescent="0.25">
      <c r="E232" s="44" t="str">
        <f>'MKT DATA'!B940</f>
        <v>syn BTCU6/BTCF7/BTCV6/BTCZ6/BTCG7/BTCX6</v>
      </c>
      <c r="F232" s="14">
        <f>'MKT DATA'!J940</f>
        <v>0</v>
      </c>
      <c r="G232" s="9">
        <f>'MKT DATA'!K940</f>
        <v>0</v>
      </c>
      <c r="H232" s="9">
        <f>'MKT DATA'!L940</f>
        <v>0</v>
      </c>
      <c r="I232" s="14">
        <f>'MKT DATA'!M940</f>
        <v>0</v>
      </c>
      <c r="J232" s="44" t="str">
        <f t="shared" si="8"/>
        <v>syn BTCU6/BTCF7/BTCV6/BTCZ6/BTCG7/BTCX6</v>
      </c>
      <c r="K232" s="9">
        <f>'MKT DATA'!O940</f>
        <v>0</v>
      </c>
      <c r="L232" s="9">
        <f>'MKT DATA'!P940</f>
        <v>0</v>
      </c>
      <c r="M232" s="9">
        <f>'MKT DATA'!Q940</f>
        <v>0</v>
      </c>
      <c r="N232" s="9">
        <f>'MKT DATA'!R940</f>
        <v>0</v>
      </c>
      <c r="O232" s="9">
        <f>'MKT DATA'!S940</f>
        <v>0</v>
      </c>
      <c r="P232" s="9">
        <f>'MKT DATA'!T940</f>
        <v>0</v>
      </c>
      <c r="Q232" s="44" t="str">
        <f t="shared" si="9"/>
        <v>syn BTCU6/BTCF7/BTCV6/BTCZ6/BTCG7/BTCX6</v>
      </c>
      <c r="R232" s="14">
        <f>'MKT DATA'!AB940</f>
        <v>0</v>
      </c>
    </row>
    <row r="233" spans="5:18" x14ac:dyDescent="0.25">
      <c r="E233" s="44" t="str">
        <f>'MKT DATA'!B941</f>
        <v>syn BTCU6/BTCF7/BTCV6/BTCG7/BTCZ6/BTCX6</v>
      </c>
      <c r="F233" s="14">
        <f>'MKT DATA'!J941</f>
        <v>0</v>
      </c>
      <c r="G233" s="9">
        <f>'MKT DATA'!K941</f>
        <v>0</v>
      </c>
      <c r="H233" s="9">
        <f>'MKT DATA'!L941</f>
        <v>0</v>
      </c>
      <c r="I233" s="14">
        <f>'MKT DATA'!M941</f>
        <v>0</v>
      </c>
      <c r="J233" s="44" t="str">
        <f t="shared" si="8"/>
        <v>syn BTCU6/BTCF7/BTCV6/BTCG7/BTCZ6/BTCX6</v>
      </c>
      <c r="K233" s="9">
        <f>'MKT DATA'!O941</f>
        <v>0</v>
      </c>
      <c r="L233" s="9">
        <f>'MKT DATA'!P941</f>
        <v>0</v>
      </c>
      <c r="M233" s="9">
        <f>'MKT DATA'!Q941</f>
        <v>0</v>
      </c>
      <c r="N233" s="9">
        <f>'MKT DATA'!R941</f>
        <v>0</v>
      </c>
      <c r="O233" s="9">
        <f>'MKT DATA'!S941</f>
        <v>0</v>
      </c>
      <c r="P233" s="9">
        <f>'MKT DATA'!T941</f>
        <v>0</v>
      </c>
      <c r="Q233" s="44" t="str">
        <f t="shared" si="9"/>
        <v>syn BTCU6/BTCF7/BTCV6/BTCG7/BTCZ6/BTCX6</v>
      </c>
      <c r="R233" s="14">
        <f>'MKT DATA'!AB941</f>
        <v>0</v>
      </c>
    </row>
    <row r="234" spans="5:18" x14ac:dyDescent="0.25">
      <c r="E234" s="44" t="str">
        <f>'MKT DATA'!B942</f>
        <v>syn BTCU6/BTCF7/BTCZ6/BTCV6/BTCG7/BTCX6</v>
      </c>
      <c r="F234" s="14">
        <f>'MKT DATA'!J942</f>
        <v>0</v>
      </c>
      <c r="G234" s="9">
        <f>'MKT DATA'!K942</f>
        <v>0</v>
      </c>
      <c r="H234" s="9">
        <f>'MKT DATA'!L942</f>
        <v>0</v>
      </c>
      <c r="I234" s="14">
        <f>'MKT DATA'!M942</f>
        <v>0</v>
      </c>
      <c r="J234" s="44" t="str">
        <f t="shared" si="8"/>
        <v>syn BTCU6/BTCF7/BTCZ6/BTCV6/BTCG7/BTCX6</v>
      </c>
      <c r="K234" s="9">
        <f>'MKT DATA'!O942</f>
        <v>0</v>
      </c>
      <c r="L234" s="9">
        <f>'MKT DATA'!P942</f>
        <v>0</v>
      </c>
      <c r="M234" s="9">
        <f>'MKT DATA'!Q942</f>
        <v>0</v>
      </c>
      <c r="N234" s="9">
        <f>'MKT DATA'!R942</f>
        <v>0</v>
      </c>
      <c r="O234" s="9">
        <f>'MKT DATA'!S942</f>
        <v>0</v>
      </c>
      <c r="P234" s="9">
        <f>'MKT DATA'!T942</f>
        <v>0</v>
      </c>
      <c r="Q234" s="44" t="str">
        <f t="shared" si="9"/>
        <v>syn BTCU6/BTCF7/BTCZ6/BTCV6/BTCG7/BTCX6</v>
      </c>
      <c r="R234" s="14">
        <f>'MKT DATA'!AB942</f>
        <v>0</v>
      </c>
    </row>
    <row r="235" spans="5:18" x14ac:dyDescent="0.25">
      <c r="E235" s="44" t="str">
        <f>'MKT DATA'!B943</f>
        <v>syn BTCU6/BTCF7/BTCZ6/BTCG7/BTCV6/BTCX6</v>
      </c>
      <c r="F235" s="14">
        <f>'MKT DATA'!J943</f>
        <v>0</v>
      </c>
      <c r="G235" s="9">
        <f>'MKT DATA'!K943</f>
        <v>0</v>
      </c>
      <c r="H235" s="9">
        <f>'MKT DATA'!L943</f>
        <v>0</v>
      </c>
      <c r="I235" s="14">
        <f>'MKT DATA'!M943</f>
        <v>0</v>
      </c>
      <c r="J235" s="44" t="str">
        <f t="shared" si="8"/>
        <v>syn BTCU6/BTCF7/BTCZ6/BTCG7/BTCV6/BTCX6</v>
      </c>
      <c r="K235" s="9">
        <f>'MKT DATA'!O943</f>
        <v>0</v>
      </c>
      <c r="L235" s="9">
        <f>'MKT DATA'!P943</f>
        <v>0</v>
      </c>
      <c r="M235" s="9">
        <f>'MKT DATA'!Q943</f>
        <v>0</v>
      </c>
      <c r="N235" s="9">
        <f>'MKT DATA'!R943</f>
        <v>0</v>
      </c>
      <c r="O235" s="9">
        <f>'MKT DATA'!S943</f>
        <v>0</v>
      </c>
      <c r="P235" s="9">
        <f>'MKT DATA'!T943</f>
        <v>0</v>
      </c>
      <c r="Q235" s="44" t="str">
        <f t="shared" si="9"/>
        <v>syn BTCU6/BTCF7/BTCZ6/BTCG7/BTCV6/BTCX6</v>
      </c>
      <c r="R235" s="14">
        <f>'MKT DATA'!AB943</f>
        <v>0</v>
      </c>
    </row>
    <row r="236" spans="5:18" x14ac:dyDescent="0.25">
      <c r="E236" s="44" t="str">
        <f>'MKT DATA'!B944</f>
        <v>syn BTCU6/BTCF7/BTCG7/BTCV6/BTCZ6/BTCX6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BTCU6/BTCF7/BTCG7/BTCV6/BTCZ6/BTCX6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BTCU6/BTCF7/BTCG7/BTCV6/BTCZ6/BTCX6</v>
      </c>
      <c r="R236" s="14">
        <f>'MKT DATA'!AB944</f>
        <v>0</v>
      </c>
    </row>
    <row r="237" spans="5:18" x14ac:dyDescent="0.25">
      <c r="E237" s="44" t="str">
        <f>'MKT DATA'!B945</f>
        <v>syn BTCU6/BTCF7/BTCG7/BTCZ6/BTCV6/BTCX6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BTCU6/BTCF7/BTCG7/BTCZ6/BTCV6/BTCX6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BTCU6/BTCF7/BTCG7/BTCZ6/BTCV6/BTCX6</v>
      </c>
      <c r="R237" s="14">
        <f>'MKT DATA'!AB945</f>
        <v>0</v>
      </c>
    </row>
    <row r="238" spans="5:18" x14ac:dyDescent="0.25">
      <c r="E238" s="44" t="str">
        <f>'MKT DATA'!B946</f>
        <v>syn BTCU6/BTCG7/BTCV6/BTCZ6/BTCF7/BTCX6</v>
      </c>
      <c r="F238" s="14">
        <f>'MKT DATA'!J946</f>
        <v>0</v>
      </c>
      <c r="G238" s="9">
        <f>'MKT DATA'!K946</f>
        <v>0</v>
      </c>
      <c r="H238" s="9">
        <f>'MKT DATA'!L946</f>
        <v>0</v>
      </c>
      <c r="I238" s="14">
        <f>'MKT DATA'!M946</f>
        <v>0</v>
      </c>
      <c r="J238" s="44" t="str">
        <f t="shared" si="8"/>
        <v>syn BTCU6/BTCG7/BTCV6/BTCZ6/BTCF7/BTCX6</v>
      </c>
      <c r="K238" s="9">
        <f>'MKT DATA'!O946</f>
        <v>0</v>
      </c>
      <c r="L238" s="9">
        <f>'MKT DATA'!P946</f>
        <v>0</v>
      </c>
      <c r="M238" s="9">
        <f>'MKT DATA'!Q946</f>
        <v>0</v>
      </c>
      <c r="N238" s="9">
        <f>'MKT DATA'!R946</f>
        <v>0</v>
      </c>
      <c r="O238" s="9">
        <f>'MKT DATA'!S946</f>
        <v>0</v>
      </c>
      <c r="P238" s="9">
        <f>'MKT DATA'!T946</f>
        <v>0</v>
      </c>
      <c r="Q238" s="44" t="str">
        <f t="shared" si="9"/>
        <v>syn BTCU6/BTCG7/BTCV6/BTCZ6/BTCF7/BTCX6</v>
      </c>
      <c r="R238" s="14">
        <f>'MKT DATA'!AB946</f>
        <v>0</v>
      </c>
    </row>
    <row r="239" spans="5:18" x14ac:dyDescent="0.25">
      <c r="E239" s="44" t="str">
        <f>'MKT DATA'!B947</f>
        <v>syn BTCU6/BTCG7/BTCV6/BTCF7/BTCZ6/BTCX6</v>
      </c>
      <c r="F239" s="14">
        <f>'MKT DATA'!J947</f>
        <v>0</v>
      </c>
      <c r="G239" s="9">
        <f>'MKT DATA'!K947</f>
        <v>0</v>
      </c>
      <c r="H239" s="9">
        <f>'MKT DATA'!L947</f>
        <v>0</v>
      </c>
      <c r="I239" s="14">
        <f>'MKT DATA'!M947</f>
        <v>0</v>
      </c>
      <c r="J239" s="44" t="str">
        <f t="shared" si="8"/>
        <v>syn BTCU6/BTCG7/BTCV6/BTCF7/BTCZ6/BTCX6</v>
      </c>
      <c r="K239" s="9">
        <f>'MKT DATA'!O947</f>
        <v>0</v>
      </c>
      <c r="L239" s="9">
        <f>'MKT DATA'!P947</f>
        <v>0</v>
      </c>
      <c r="M239" s="9">
        <f>'MKT DATA'!Q947</f>
        <v>0</v>
      </c>
      <c r="N239" s="9">
        <f>'MKT DATA'!R947</f>
        <v>0</v>
      </c>
      <c r="O239" s="9">
        <f>'MKT DATA'!S947</f>
        <v>0</v>
      </c>
      <c r="P239" s="9">
        <f>'MKT DATA'!T947</f>
        <v>0</v>
      </c>
      <c r="Q239" s="44" t="str">
        <f t="shared" si="9"/>
        <v>syn BTCU6/BTCG7/BTCV6/BTCF7/BTCZ6/BTCX6</v>
      </c>
      <c r="R239" s="14">
        <f>'MKT DATA'!AB947</f>
        <v>0</v>
      </c>
    </row>
    <row r="240" spans="5:18" x14ac:dyDescent="0.25">
      <c r="E240" s="44" t="str">
        <f>'MKT DATA'!B948</f>
        <v>syn BTCU6/BTCG7/BTCZ6/BTCV6/BTCF7/BTCX6</v>
      </c>
      <c r="F240" s="14">
        <f>'MKT DATA'!J948</f>
        <v>0</v>
      </c>
      <c r="G240" s="9">
        <f>'MKT DATA'!K948</f>
        <v>0</v>
      </c>
      <c r="H240" s="9">
        <f>'MKT DATA'!L948</f>
        <v>0</v>
      </c>
      <c r="I240" s="14">
        <f>'MKT DATA'!M948</f>
        <v>0</v>
      </c>
      <c r="J240" s="44" t="str">
        <f t="shared" si="8"/>
        <v>syn BTCU6/BTCG7/BTCZ6/BTCV6/BTCF7/BTCX6</v>
      </c>
      <c r="K240" s="9">
        <f>'MKT DATA'!O948</f>
        <v>0</v>
      </c>
      <c r="L240" s="9">
        <f>'MKT DATA'!P948</f>
        <v>0</v>
      </c>
      <c r="M240" s="9">
        <f>'MKT DATA'!Q948</f>
        <v>0</v>
      </c>
      <c r="N240" s="9">
        <f>'MKT DATA'!R948</f>
        <v>0</v>
      </c>
      <c r="O240" s="9">
        <f>'MKT DATA'!S948</f>
        <v>0</v>
      </c>
      <c r="P240" s="9">
        <f>'MKT DATA'!T948</f>
        <v>0</v>
      </c>
      <c r="Q240" s="44" t="str">
        <f t="shared" si="9"/>
        <v>syn BTCU6/BTCG7/BTCZ6/BTCV6/BTCF7/BTCX6</v>
      </c>
      <c r="R240" s="14">
        <f>'MKT DATA'!AB948</f>
        <v>0</v>
      </c>
    </row>
    <row r="241" spans="5:18" x14ac:dyDescent="0.25">
      <c r="E241" s="44" t="str">
        <f>'MKT DATA'!B949</f>
        <v>syn BTCU6/BTCG7/BTCZ6/BTCF7/BTCV6/BTCX6</v>
      </c>
      <c r="F241" s="14">
        <f>'MKT DATA'!J949</f>
        <v>0</v>
      </c>
      <c r="G241" s="9">
        <f>'MKT DATA'!K949</f>
        <v>0</v>
      </c>
      <c r="H241" s="9">
        <f>'MKT DATA'!L949</f>
        <v>0</v>
      </c>
      <c r="I241" s="14">
        <f>'MKT DATA'!M949</f>
        <v>0</v>
      </c>
      <c r="J241" s="44" t="str">
        <f t="shared" si="8"/>
        <v>syn BTCU6/BTCG7/BTCZ6/BTCF7/BTCV6/BTCX6</v>
      </c>
      <c r="K241" s="9">
        <f>'MKT DATA'!O949</f>
        <v>0</v>
      </c>
      <c r="L241" s="9">
        <f>'MKT DATA'!P949</f>
        <v>0</v>
      </c>
      <c r="M241" s="9">
        <f>'MKT DATA'!Q949</f>
        <v>0</v>
      </c>
      <c r="N241" s="9">
        <f>'MKT DATA'!R949</f>
        <v>0</v>
      </c>
      <c r="O241" s="9">
        <f>'MKT DATA'!S949</f>
        <v>0</v>
      </c>
      <c r="P241" s="9">
        <f>'MKT DATA'!T949</f>
        <v>0</v>
      </c>
      <c r="Q241" s="44" t="str">
        <f t="shared" si="9"/>
        <v>syn BTCU6/BTCG7/BTCZ6/BTCF7/BTCV6/BTCX6</v>
      </c>
      <c r="R241" s="14">
        <f>'MKT DATA'!AB949</f>
        <v>0</v>
      </c>
    </row>
    <row r="242" spans="5:18" x14ac:dyDescent="0.25">
      <c r="E242" s="44" t="str">
        <f>'MKT DATA'!B950</f>
        <v>syn BTCU6/BTCG7/BTCF7/BTCV6/BTCZ6/BTCX6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BTCU6/BTCG7/BTCF7/BTCV6/BTCZ6/BTCX6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BTCU6/BTCG7/BTCF7/BTCV6/BTCZ6/BTCX6</v>
      </c>
      <c r="R242" s="14">
        <f>'MKT DATA'!AB950</f>
        <v>0</v>
      </c>
    </row>
    <row r="243" spans="5:18" x14ac:dyDescent="0.25">
      <c r="E243" s="44" t="str">
        <f>'MKT DATA'!B951</f>
        <v>syn BTCU6/BTCG7/BTCF7/BTCZ6/BTCV6/BTCX6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BTCU6/BTCG7/BTCF7/BTCZ6/BTCV6/BTCX6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BTCU6/BTCG7/BTCF7/BTCZ6/BTCV6/BTCX6</v>
      </c>
      <c r="R243" s="14">
        <f>'MKT DATA'!AB951</f>
        <v>0</v>
      </c>
    </row>
    <row r="244" spans="5:18" x14ac:dyDescent="0.25">
      <c r="E244" s="44" t="str">
        <f>'MKT DATA'!B952</f>
        <v>syn BTCV6/BTCU6/BTCZ6/BTCF7/BTCG7/BTCX6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BTCV6/BTCU6/BTCZ6/BTCF7/BTCG7/BTCX6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BTCV6/BTCU6/BTCZ6/BTCF7/BTCG7/BTCX6</v>
      </c>
      <c r="R244" s="14">
        <f>'MKT DATA'!AB952</f>
        <v>0</v>
      </c>
    </row>
    <row r="245" spans="5:18" x14ac:dyDescent="0.25">
      <c r="E245" s="44" t="str">
        <f>'MKT DATA'!B953</f>
        <v>syn BTCV6/BTCU6/BTCZ6/BTCG7/BTCF7/BTCX6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BTCV6/BTCU6/BTCZ6/BTCG7/BTCF7/BTCX6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BTCV6/BTCU6/BTCZ6/BTCG7/BTCF7/BTCX6</v>
      </c>
      <c r="R245" s="14">
        <f>'MKT DATA'!AB953</f>
        <v>0</v>
      </c>
    </row>
    <row r="246" spans="5:18" x14ac:dyDescent="0.25">
      <c r="E246" s="44" t="str">
        <f>'MKT DATA'!B954</f>
        <v>syn BTCV6/BTCU6/BTCF7/BTCZ6/BTCG7/BTCX6</v>
      </c>
      <c r="F246" s="14">
        <f>'MKT DATA'!J954</f>
        <v>0</v>
      </c>
      <c r="G246" s="9">
        <f>'MKT DATA'!K954</f>
        <v>0</v>
      </c>
      <c r="H246" s="9">
        <f>'MKT DATA'!L954</f>
        <v>0</v>
      </c>
      <c r="I246" s="14">
        <f>'MKT DATA'!M954</f>
        <v>0</v>
      </c>
      <c r="J246" s="44" t="str">
        <f t="shared" si="8"/>
        <v>syn BTCV6/BTCU6/BTCF7/BTCZ6/BTCG7/BTCX6</v>
      </c>
      <c r="K246" s="9">
        <f>'MKT DATA'!O954</f>
        <v>0</v>
      </c>
      <c r="L246" s="9">
        <f>'MKT DATA'!P954</f>
        <v>0</v>
      </c>
      <c r="M246" s="9">
        <f>'MKT DATA'!Q954</f>
        <v>0</v>
      </c>
      <c r="N246" s="9">
        <f>'MKT DATA'!R954</f>
        <v>0</v>
      </c>
      <c r="O246" s="9">
        <f>'MKT DATA'!S954</f>
        <v>0</v>
      </c>
      <c r="P246" s="9">
        <f>'MKT DATA'!T954</f>
        <v>0</v>
      </c>
      <c r="Q246" s="44" t="str">
        <f t="shared" si="9"/>
        <v>syn BTCV6/BTCU6/BTCF7/BTCZ6/BTCG7/BTCX6</v>
      </c>
      <c r="R246" s="14">
        <f>'MKT DATA'!AB954</f>
        <v>0</v>
      </c>
    </row>
    <row r="247" spans="5:18" x14ac:dyDescent="0.25">
      <c r="E247" s="44" t="str">
        <f>'MKT DATA'!B955</f>
        <v>syn BTCV6/BTCU6/BTCF7/BTCG7/BTCZ6/BTCX6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BTCV6/BTCU6/BTCF7/BTCG7/BTCZ6/BTCX6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BTCV6/BTCU6/BTCF7/BTCG7/BTCZ6/BTCX6</v>
      </c>
      <c r="R247" s="14">
        <f>'MKT DATA'!AB955</f>
        <v>0</v>
      </c>
    </row>
    <row r="248" spans="5:18" x14ac:dyDescent="0.25">
      <c r="E248" s="44" t="str">
        <f>'MKT DATA'!B956</f>
        <v>syn BTCV6/BTCU6/BTCG7/BTCZ6/BTCF7/BTCX6</v>
      </c>
      <c r="F248" s="14">
        <f>'MKT DATA'!J956</f>
        <v>0</v>
      </c>
      <c r="G248" s="9">
        <f>'MKT DATA'!K956</f>
        <v>0</v>
      </c>
      <c r="H248" s="9">
        <f>'MKT DATA'!L956</f>
        <v>0</v>
      </c>
      <c r="I248" s="14">
        <f>'MKT DATA'!M956</f>
        <v>0</v>
      </c>
      <c r="J248" s="44" t="str">
        <f t="shared" si="8"/>
        <v>syn BTCV6/BTCU6/BTCG7/BTCZ6/BTCF7/BTCX6</v>
      </c>
      <c r="K248" s="9">
        <f>'MKT DATA'!O956</f>
        <v>0</v>
      </c>
      <c r="L248" s="9">
        <f>'MKT DATA'!P956</f>
        <v>0</v>
      </c>
      <c r="M248" s="9">
        <f>'MKT DATA'!Q956</f>
        <v>0</v>
      </c>
      <c r="N248" s="9">
        <f>'MKT DATA'!R956</f>
        <v>0</v>
      </c>
      <c r="O248" s="9">
        <f>'MKT DATA'!S956</f>
        <v>0</v>
      </c>
      <c r="P248" s="9">
        <f>'MKT DATA'!T956</f>
        <v>0</v>
      </c>
      <c r="Q248" s="44" t="str">
        <f t="shared" si="9"/>
        <v>syn BTCV6/BTCU6/BTCG7/BTCZ6/BTCF7/BTCX6</v>
      </c>
      <c r="R248" s="14">
        <f>'MKT DATA'!AB956</f>
        <v>0</v>
      </c>
    </row>
    <row r="249" spans="5:18" x14ac:dyDescent="0.25">
      <c r="E249" s="44" t="str">
        <f>'MKT DATA'!B957</f>
        <v>syn BTCV6/BTCU6/BTCG7/BTCF7/BTCZ6/BTCX6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BTCV6/BTCU6/BTCG7/BTCF7/BTCZ6/BTCX6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BTCV6/BTCU6/BTCG7/BTCF7/BTCZ6/BTCX6</v>
      </c>
      <c r="R249" s="14">
        <f>'MKT DATA'!AB957</f>
        <v>0</v>
      </c>
    </row>
    <row r="250" spans="5:18" x14ac:dyDescent="0.25">
      <c r="E250" s="44" t="str">
        <f>'MKT DATA'!B958</f>
        <v>syn BTCV6/BTCZ6/BTCU6/BTCF7/BTCG7/BTCX6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BTCV6/BTCZ6/BTCU6/BTCF7/BTCG7/BTCX6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BTCV6/BTCZ6/BTCU6/BTCF7/BTCG7/BTCX6</v>
      </c>
      <c r="R250" s="14">
        <f>'MKT DATA'!AB958</f>
        <v>0</v>
      </c>
    </row>
    <row r="251" spans="5:18" x14ac:dyDescent="0.25">
      <c r="E251" s="44" t="str">
        <f>'MKT DATA'!B959</f>
        <v>syn BTCV6/BTCZ6/BTCU6/BTCG7/BTCF7/BTCX6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BTCV6/BTCZ6/BTCU6/BTCG7/BTCF7/BTCX6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BTCV6/BTCZ6/BTCU6/BTCG7/BTCF7/BTCX6</v>
      </c>
      <c r="R251" s="14">
        <f>'MKT DATA'!AB959</f>
        <v>0</v>
      </c>
    </row>
    <row r="252" spans="5:18" x14ac:dyDescent="0.25">
      <c r="E252" s="44" t="str">
        <f>'MKT DATA'!B960</f>
        <v>syn BTCV6/BTCZ6/BTCF7/BTCU6/BTCG7/BTCX6</v>
      </c>
      <c r="F252" s="14">
        <f>'MKT DATA'!J960</f>
        <v>0</v>
      </c>
      <c r="G252" s="9">
        <f>'MKT DATA'!K960</f>
        <v>0</v>
      </c>
      <c r="H252" s="9">
        <f>'MKT DATA'!L960</f>
        <v>0</v>
      </c>
      <c r="I252" s="14">
        <f>'MKT DATA'!M960</f>
        <v>0</v>
      </c>
      <c r="J252" s="44" t="str">
        <f t="shared" si="8"/>
        <v>syn BTCV6/BTCZ6/BTCF7/BTCU6/BTCG7/BTCX6</v>
      </c>
      <c r="K252" s="9">
        <f>'MKT DATA'!O960</f>
        <v>0</v>
      </c>
      <c r="L252" s="9">
        <f>'MKT DATA'!P960</f>
        <v>0</v>
      </c>
      <c r="M252" s="9">
        <f>'MKT DATA'!Q960</f>
        <v>0</v>
      </c>
      <c r="N252" s="9">
        <f>'MKT DATA'!R960</f>
        <v>0</v>
      </c>
      <c r="O252" s="9">
        <f>'MKT DATA'!S960</f>
        <v>0</v>
      </c>
      <c r="P252" s="9">
        <f>'MKT DATA'!T960</f>
        <v>0</v>
      </c>
      <c r="Q252" s="44" t="str">
        <f t="shared" si="9"/>
        <v>syn BTCV6/BTCZ6/BTCF7/BTCU6/BTCG7/BTCX6</v>
      </c>
      <c r="R252" s="14">
        <f>'MKT DATA'!AB960</f>
        <v>0</v>
      </c>
    </row>
    <row r="253" spans="5:18" x14ac:dyDescent="0.25">
      <c r="E253" s="44" t="str">
        <f>'MKT DATA'!B961</f>
        <v>syn BTCV6/BTCZ6/BTCF7/BTCG7/BTCU6/BTCX6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BTCV6/BTCZ6/BTCF7/BTCG7/BTCU6/BTCX6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BTCV6/BTCZ6/BTCF7/BTCG7/BTCU6/BTCX6</v>
      </c>
      <c r="R253" s="14">
        <f>'MKT DATA'!AB961</f>
        <v>0</v>
      </c>
    </row>
    <row r="254" spans="5:18" x14ac:dyDescent="0.25">
      <c r="E254" s="44" t="str">
        <f>'MKT DATA'!B962</f>
        <v>syn BTCV6/BTCZ6/BTCG7/BTCU6/BTCF7/BTCX6</v>
      </c>
      <c r="F254" s="14">
        <f>'MKT DATA'!J962</f>
        <v>0</v>
      </c>
      <c r="G254" s="9">
        <f>'MKT DATA'!K962</f>
        <v>0</v>
      </c>
      <c r="H254" s="9">
        <f>'MKT DATA'!L962</f>
        <v>0</v>
      </c>
      <c r="I254" s="14">
        <f>'MKT DATA'!M962</f>
        <v>0</v>
      </c>
      <c r="J254" s="44" t="str">
        <f t="shared" si="8"/>
        <v>syn BTCV6/BTCZ6/BTCG7/BTCU6/BTCF7/BTCX6</v>
      </c>
      <c r="K254" s="9">
        <f>'MKT DATA'!O962</f>
        <v>0</v>
      </c>
      <c r="L254" s="9">
        <f>'MKT DATA'!P962</f>
        <v>0</v>
      </c>
      <c r="M254" s="9">
        <f>'MKT DATA'!Q962</f>
        <v>0</v>
      </c>
      <c r="N254" s="9">
        <f>'MKT DATA'!R962</f>
        <v>0</v>
      </c>
      <c r="O254" s="9">
        <f>'MKT DATA'!S962</f>
        <v>0</v>
      </c>
      <c r="P254" s="9">
        <f>'MKT DATA'!T962</f>
        <v>0</v>
      </c>
      <c r="Q254" s="44" t="str">
        <f t="shared" si="9"/>
        <v>syn BTCV6/BTCZ6/BTCG7/BTCU6/BTCF7/BTCX6</v>
      </c>
      <c r="R254" s="14">
        <f>'MKT DATA'!AB962</f>
        <v>0</v>
      </c>
    </row>
    <row r="255" spans="5:18" x14ac:dyDescent="0.25">
      <c r="E255" s="44" t="str">
        <f>'MKT DATA'!B963</f>
        <v>syn BTCV6/BTCZ6/BTCG7/BTCF7/BTCU6/BTCX6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BTCV6/BTCZ6/BTCG7/BTCF7/BTCU6/BTCX6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BTCV6/BTCZ6/BTCG7/BTCF7/BTCU6/BTCX6</v>
      </c>
      <c r="R255" s="14">
        <f>'MKT DATA'!AB963</f>
        <v>0</v>
      </c>
    </row>
    <row r="256" spans="5:18" x14ac:dyDescent="0.25">
      <c r="E256" s="44" t="str">
        <f>'MKT DATA'!B964</f>
        <v>syn BTCV6/BTCF7/BTCU6/BTCZ6/BTCG7/BTCX6</v>
      </c>
      <c r="F256" s="14">
        <f>'MKT DATA'!J964</f>
        <v>0</v>
      </c>
      <c r="G256" s="9">
        <f>'MKT DATA'!K964</f>
        <v>0</v>
      </c>
      <c r="H256" s="9">
        <f>'MKT DATA'!L964</f>
        <v>0</v>
      </c>
      <c r="I256" s="14">
        <f>'MKT DATA'!M964</f>
        <v>0</v>
      </c>
      <c r="J256" s="44" t="str">
        <f t="shared" si="8"/>
        <v>syn BTCV6/BTCF7/BTCU6/BTCZ6/BTCG7/BTCX6</v>
      </c>
      <c r="K256" s="9">
        <f>'MKT DATA'!O964</f>
        <v>0</v>
      </c>
      <c r="L256" s="9">
        <f>'MKT DATA'!P964</f>
        <v>0</v>
      </c>
      <c r="M256" s="9">
        <f>'MKT DATA'!Q964</f>
        <v>0</v>
      </c>
      <c r="N256" s="9">
        <f>'MKT DATA'!R964</f>
        <v>0</v>
      </c>
      <c r="O256" s="9">
        <f>'MKT DATA'!S964</f>
        <v>0</v>
      </c>
      <c r="P256" s="9">
        <f>'MKT DATA'!T964</f>
        <v>0</v>
      </c>
      <c r="Q256" s="44" t="str">
        <f t="shared" si="9"/>
        <v>syn BTCV6/BTCF7/BTCU6/BTCZ6/BTCG7/BTCX6</v>
      </c>
      <c r="R256" s="14">
        <f>'MKT DATA'!AB964</f>
        <v>0</v>
      </c>
    </row>
    <row r="257" spans="5:18" x14ac:dyDescent="0.25">
      <c r="E257" s="44" t="str">
        <f>'MKT DATA'!B965</f>
        <v>syn BTCV6/BTCF7/BTCU6/BTCG7/BTCZ6/BTCX6</v>
      </c>
      <c r="F257" s="14">
        <f>'MKT DATA'!J965</f>
        <v>0</v>
      </c>
      <c r="G257" s="9">
        <f>'MKT DATA'!K965</f>
        <v>0</v>
      </c>
      <c r="H257" s="9">
        <f>'MKT DATA'!L965</f>
        <v>0</v>
      </c>
      <c r="I257" s="14">
        <f>'MKT DATA'!M965</f>
        <v>0</v>
      </c>
      <c r="J257" s="44" t="str">
        <f t="shared" si="8"/>
        <v>syn BTCV6/BTCF7/BTCU6/BTCG7/BTCZ6/BTCX6</v>
      </c>
      <c r="K257" s="9">
        <f>'MKT DATA'!O965</f>
        <v>0</v>
      </c>
      <c r="L257" s="9">
        <f>'MKT DATA'!P965</f>
        <v>0</v>
      </c>
      <c r="M257" s="9">
        <f>'MKT DATA'!Q965</f>
        <v>0</v>
      </c>
      <c r="N257" s="9">
        <f>'MKT DATA'!R965</f>
        <v>0</v>
      </c>
      <c r="O257" s="9">
        <f>'MKT DATA'!S965</f>
        <v>0</v>
      </c>
      <c r="P257" s="9">
        <f>'MKT DATA'!T965</f>
        <v>0</v>
      </c>
      <c r="Q257" s="44" t="str">
        <f t="shared" si="9"/>
        <v>syn BTCV6/BTCF7/BTCU6/BTCG7/BTCZ6/BTCX6</v>
      </c>
      <c r="R257" s="14">
        <f>'MKT DATA'!AB965</f>
        <v>0</v>
      </c>
    </row>
    <row r="258" spans="5:18" x14ac:dyDescent="0.25">
      <c r="E258" s="44" t="str">
        <f>'MKT DATA'!B966</f>
        <v>syn BTCV6/BTCF7/BTCZ6/BTCU6/BTCG7/BTCX6</v>
      </c>
      <c r="F258" s="14">
        <f>'MKT DATA'!J966</f>
        <v>0</v>
      </c>
      <c r="G258" s="9">
        <f>'MKT DATA'!K966</f>
        <v>0</v>
      </c>
      <c r="H258" s="9">
        <f>'MKT DATA'!L966</f>
        <v>0</v>
      </c>
      <c r="I258" s="14">
        <f>'MKT DATA'!M966</f>
        <v>0</v>
      </c>
      <c r="J258" s="44" t="str">
        <f t="shared" si="8"/>
        <v>syn BTCV6/BTCF7/BTCZ6/BTCU6/BTCG7/BTCX6</v>
      </c>
      <c r="K258" s="9">
        <f>'MKT DATA'!O966</f>
        <v>0</v>
      </c>
      <c r="L258" s="9">
        <f>'MKT DATA'!P966</f>
        <v>0</v>
      </c>
      <c r="M258" s="9">
        <f>'MKT DATA'!Q966</f>
        <v>0</v>
      </c>
      <c r="N258" s="9">
        <f>'MKT DATA'!R966</f>
        <v>0</v>
      </c>
      <c r="O258" s="9">
        <f>'MKT DATA'!S966</f>
        <v>0</v>
      </c>
      <c r="P258" s="9">
        <f>'MKT DATA'!T966</f>
        <v>0</v>
      </c>
      <c r="Q258" s="44" t="str">
        <f t="shared" si="9"/>
        <v>syn BTCV6/BTCF7/BTCZ6/BTCU6/BTCG7/BTCX6</v>
      </c>
      <c r="R258" s="14">
        <f>'MKT DATA'!AB966</f>
        <v>0</v>
      </c>
    </row>
    <row r="259" spans="5:18" x14ac:dyDescent="0.25">
      <c r="E259" s="44" t="str">
        <f>'MKT DATA'!B967</f>
        <v>syn BTCV6/BTCF7/BTCZ6/BTCG7/BTCU6/BTCX6</v>
      </c>
      <c r="F259" s="14">
        <f>'MKT DATA'!J967</f>
        <v>0</v>
      </c>
      <c r="G259" s="9">
        <f>'MKT DATA'!K967</f>
        <v>0</v>
      </c>
      <c r="H259" s="9">
        <f>'MKT DATA'!L967</f>
        <v>0</v>
      </c>
      <c r="I259" s="14">
        <f>'MKT DATA'!M967</f>
        <v>0</v>
      </c>
      <c r="J259" s="44" t="str">
        <f t="shared" si="8"/>
        <v>syn BTCV6/BTCF7/BTCZ6/BTCG7/BTCU6/BTCX6</v>
      </c>
      <c r="K259" s="9">
        <f>'MKT DATA'!O967</f>
        <v>0</v>
      </c>
      <c r="L259" s="9">
        <f>'MKT DATA'!P967</f>
        <v>0</v>
      </c>
      <c r="M259" s="9">
        <f>'MKT DATA'!Q967</f>
        <v>0</v>
      </c>
      <c r="N259" s="9">
        <f>'MKT DATA'!R967</f>
        <v>0</v>
      </c>
      <c r="O259" s="9">
        <f>'MKT DATA'!S967</f>
        <v>0</v>
      </c>
      <c r="P259" s="9">
        <f>'MKT DATA'!T967</f>
        <v>0</v>
      </c>
      <c r="Q259" s="44" t="str">
        <f t="shared" si="9"/>
        <v>syn BTCV6/BTCF7/BTCZ6/BTCG7/BTCU6/BTCX6</v>
      </c>
      <c r="R259" s="14">
        <f>'MKT DATA'!AB967</f>
        <v>0</v>
      </c>
    </row>
    <row r="260" spans="5:18" x14ac:dyDescent="0.25">
      <c r="E260" s="44" t="str">
        <f>'MKT DATA'!B968</f>
        <v>syn BTCV6/BTCF7/BTCG7/BTCU6/BTCZ6/BTCX6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BTCV6/BTCF7/BTCG7/BTCU6/BTCZ6/BTCX6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BTCV6/BTCF7/BTCG7/BTCU6/BTCZ6/BTCX6</v>
      </c>
      <c r="R260" s="14">
        <f>'MKT DATA'!AB968</f>
        <v>0</v>
      </c>
    </row>
    <row r="261" spans="5:18" x14ac:dyDescent="0.25">
      <c r="E261" s="44" t="str">
        <f>'MKT DATA'!B969</f>
        <v>syn BTCV6/BTCF7/BTCG7/BTCZ6/BTCU6/BTCX6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BTCV6/BTCF7/BTCG7/BTCZ6/BTCU6/BTCX6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BTCV6/BTCF7/BTCG7/BTCZ6/BTCU6/BTCX6</v>
      </c>
      <c r="R261" s="14">
        <f>'MKT DATA'!AB969</f>
        <v>0</v>
      </c>
    </row>
    <row r="262" spans="5:18" x14ac:dyDescent="0.25">
      <c r="E262" s="44" t="str">
        <f>'MKT DATA'!B970</f>
        <v>syn BTCV6/BTCG7/BTCU6/BTCZ6/BTCF7/BTCX6</v>
      </c>
      <c r="F262" s="14">
        <f>'MKT DATA'!J970</f>
        <v>0</v>
      </c>
      <c r="G262" s="9">
        <f>'MKT DATA'!K970</f>
        <v>0</v>
      </c>
      <c r="H262" s="9">
        <f>'MKT DATA'!L970</f>
        <v>0</v>
      </c>
      <c r="I262" s="14">
        <f>'MKT DATA'!M970</f>
        <v>0</v>
      </c>
      <c r="J262" s="44" t="str">
        <f t="shared" si="8"/>
        <v>syn BTCV6/BTCG7/BTCU6/BTCZ6/BTCF7/BTCX6</v>
      </c>
      <c r="K262" s="9">
        <f>'MKT DATA'!O970</f>
        <v>0</v>
      </c>
      <c r="L262" s="9">
        <f>'MKT DATA'!P970</f>
        <v>0</v>
      </c>
      <c r="M262" s="9">
        <f>'MKT DATA'!Q970</f>
        <v>0</v>
      </c>
      <c r="N262" s="9">
        <f>'MKT DATA'!R970</f>
        <v>0</v>
      </c>
      <c r="O262" s="9">
        <f>'MKT DATA'!S970</f>
        <v>0</v>
      </c>
      <c r="P262" s="9">
        <f>'MKT DATA'!T970</f>
        <v>0</v>
      </c>
      <c r="Q262" s="44" t="str">
        <f t="shared" si="9"/>
        <v>syn BTCV6/BTCG7/BTCU6/BTCZ6/BTCF7/BTCX6</v>
      </c>
      <c r="R262" s="14">
        <f>'MKT DATA'!AB970</f>
        <v>0</v>
      </c>
    </row>
    <row r="263" spans="5:18" x14ac:dyDescent="0.25">
      <c r="E263" s="44" t="str">
        <f>'MKT DATA'!B971</f>
        <v>syn BTCV6/BTCG7/BTCU6/BTCF7/BTCZ6/BTCX6</v>
      </c>
      <c r="F263" s="14">
        <f>'MKT DATA'!J971</f>
        <v>0</v>
      </c>
      <c r="G263" s="9">
        <f>'MKT DATA'!K971</f>
        <v>0</v>
      </c>
      <c r="H263" s="9">
        <f>'MKT DATA'!L971</f>
        <v>0</v>
      </c>
      <c r="I263" s="14">
        <f>'MKT DATA'!M971</f>
        <v>0</v>
      </c>
      <c r="J263" s="44" t="str">
        <f t="shared" si="8"/>
        <v>syn BTCV6/BTCG7/BTCU6/BTCF7/BTCZ6/BTCX6</v>
      </c>
      <c r="K263" s="9">
        <f>'MKT DATA'!O971</f>
        <v>0</v>
      </c>
      <c r="L263" s="9">
        <f>'MKT DATA'!P971</f>
        <v>0</v>
      </c>
      <c r="M263" s="9">
        <f>'MKT DATA'!Q971</f>
        <v>0</v>
      </c>
      <c r="N263" s="9">
        <f>'MKT DATA'!R971</f>
        <v>0</v>
      </c>
      <c r="O263" s="9">
        <f>'MKT DATA'!S971</f>
        <v>0</v>
      </c>
      <c r="P263" s="9">
        <f>'MKT DATA'!T971</f>
        <v>0</v>
      </c>
      <c r="Q263" s="44" t="str">
        <f t="shared" si="9"/>
        <v>syn BTCV6/BTCG7/BTCU6/BTCF7/BTCZ6/BTCX6</v>
      </c>
      <c r="R263" s="14">
        <f>'MKT DATA'!AB971</f>
        <v>0</v>
      </c>
    </row>
    <row r="264" spans="5:18" x14ac:dyDescent="0.25">
      <c r="E264" s="44" t="str">
        <f>'MKT DATA'!B972</f>
        <v>syn BTCV6/BTCG7/BTCZ6/BTCU6/BTCF7/BTCX6</v>
      </c>
      <c r="F264" s="14">
        <f>'MKT DATA'!J972</f>
        <v>0</v>
      </c>
      <c r="G264" s="9">
        <f>'MKT DATA'!K972</f>
        <v>0</v>
      </c>
      <c r="H264" s="9">
        <f>'MKT DATA'!L972</f>
        <v>0</v>
      </c>
      <c r="I264" s="14">
        <f>'MKT DATA'!M972</f>
        <v>0</v>
      </c>
      <c r="J264" s="44" t="str">
        <f t="shared" si="8"/>
        <v>syn BTCV6/BTCG7/BTCZ6/BTCU6/BTCF7/BTCX6</v>
      </c>
      <c r="K264" s="9">
        <f>'MKT DATA'!O972</f>
        <v>0</v>
      </c>
      <c r="L264" s="9">
        <f>'MKT DATA'!P972</f>
        <v>0</v>
      </c>
      <c r="M264" s="9">
        <f>'MKT DATA'!Q972</f>
        <v>0</v>
      </c>
      <c r="N264" s="9">
        <f>'MKT DATA'!R972</f>
        <v>0</v>
      </c>
      <c r="O264" s="9">
        <f>'MKT DATA'!S972</f>
        <v>0</v>
      </c>
      <c r="P264" s="9">
        <f>'MKT DATA'!T972</f>
        <v>0</v>
      </c>
      <c r="Q264" s="44" t="str">
        <f t="shared" si="9"/>
        <v>syn BTCV6/BTCG7/BTCZ6/BTCU6/BTCF7/BTCX6</v>
      </c>
      <c r="R264" s="14">
        <f>'MKT DATA'!AB972</f>
        <v>0</v>
      </c>
    </row>
    <row r="265" spans="5:18" x14ac:dyDescent="0.25">
      <c r="E265" s="44" t="str">
        <f>'MKT DATA'!B973</f>
        <v>syn BTCV6/BTCG7/BTCZ6/BTCF7/BTCU6/BTCX6</v>
      </c>
      <c r="F265" s="14">
        <f>'MKT DATA'!J973</f>
        <v>0</v>
      </c>
      <c r="G265" s="9">
        <f>'MKT DATA'!K973</f>
        <v>0</v>
      </c>
      <c r="H265" s="9">
        <f>'MKT DATA'!L973</f>
        <v>0</v>
      </c>
      <c r="I265" s="14">
        <f>'MKT DATA'!M973</f>
        <v>0</v>
      </c>
      <c r="J265" s="44" t="str">
        <f t="shared" si="8"/>
        <v>syn BTCV6/BTCG7/BTCZ6/BTCF7/BTCU6/BTCX6</v>
      </c>
      <c r="K265" s="9">
        <f>'MKT DATA'!O973</f>
        <v>0</v>
      </c>
      <c r="L265" s="9">
        <f>'MKT DATA'!P973</f>
        <v>0</v>
      </c>
      <c r="M265" s="9">
        <f>'MKT DATA'!Q973</f>
        <v>0</v>
      </c>
      <c r="N265" s="9">
        <f>'MKT DATA'!R973</f>
        <v>0</v>
      </c>
      <c r="O265" s="9">
        <f>'MKT DATA'!S973</f>
        <v>0</v>
      </c>
      <c r="P265" s="9">
        <f>'MKT DATA'!T973</f>
        <v>0</v>
      </c>
      <c r="Q265" s="44" t="str">
        <f t="shared" si="9"/>
        <v>syn BTCV6/BTCG7/BTCZ6/BTCF7/BTCU6/BTCX6</v>
      </c>
      <c r="R265" s="14">
        <f>'MKT DATA'!AB973</f>
        <v>0</v>
      </c>
    </row>
    <row r="266" spans="5:18" x14ac:dyDescent="0.25">
      <c r="E266" s="44" t="str">
        <f>'MKT DATA'!B974</f>
        <v>syn BTCV6/BTCG7/BTCF7/BTCU6/BTCZ6/BTCX6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BTCV6/BTCG7/BTCF7/BTCU6/BTCZ6/BTCX6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BTCV6/BTCG7/BTCF7/BTCU6/BTCZ6/BTCX6</v>
      </c>
      <c r="R266" s="14">
        <f>'MKT DATA'!AB974</f>
        <v>0</v>
      </c>
    </row>
    <row r="267" spans="5:18" x14ac:dyDescent="0.25">
      <c r="E267" s="44" t="str">
        <f>'MKT DATA'!B975</f>
        <v>syn BTCV6/BTCG7/BTCF7/BTCZ6/BTCU6/BTCX6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BTCV6/BTCG7/BTCF7/BTCZ6/BTCU6/BTCX6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BTCV6/BTCG7/BTCF7/BTCZ6/BTCU6/BTCX6</v>
      </c>
      <c r="R267" s="14">
        <f>'MKT DATA'!AB975</f>
        <v>0</v>
      </c>
    </row>
    <row r="268" spans="5:18" x14ac:dyDescent="0.25">
      <c r="E268" s="44" t="str">
        <f>'MKT DATA'!B976</f>
        <v>syn BTCZ6/BTCU6/BTCV6/BTCF7/BTCG7/BTCX6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BTCZ6/BTCU6/BTCV6/BTCF7/BTCG7/BTCX6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BTCZ6/BTCU6/BTCV6/BTCF7/BTCG7/BTCX6</v>
      </c>
      <c r="R268" s="14">
        <f>'MKT DATA'!AB976</f>
        <v>0</v>
      </c>
    </row>
    <row r="269" spans="5:18" x14ac:dyDescent="0.25">
      <c r="E269" s="44" t="str">
        <f>'MKT DATA'!B977</f>
        <v>syn BTCZ6/BTCU6/BTCV6/BTCG7/BTCF7/BTCX6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BTCZ6/BTCU6/BTCV6/BTCG7/BTCF7/BTCX6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BTCZ6/BTCU6/BTCV6/BTCG7/BTCF7/BTCX6</v>
      </c>
      <c r="R269" s="14">
        <f>'MKT DATA'!AB977</f>
        <v>0</v>
      </c>
    </row>
    <row r="270" spans="5:18" x14ac:dyDescent="0.25">
      <c r="E270" s="44" t="str">
        <f>'MKT DATA'!B978</f>
        <v>syn BTCZ6/BTCU6/BTCF7/BTCV6/BTCG7/BTCX6</v>
      </c>
      <c r="F270" s="14">
        <f>'MKT DATA'!J978</f>
        <v>0</v>
      </c>
      <c r="G270" s="9">
        <f>'MKT DATA'!K978</f>
        <v>0</v>
      </c>
      <c r="H270" s="9">
        <f>'MKT DATA'!L978</f>
        <v>0</v>
      </c>
      <c r="I270" s="14">
        <f>'MKT DATA'!M978</f>
        <v>0</v>
      </c>
      <c r="J270" s="44" t="str">
        <f t="shared" si="10"/>
        <v>syn BTCZ6/BTCU6/BTCF7/BTCV6/BTCG7/BTCX6</v>
      </c>
      <c r="K270" s="9">
        <f>'MKT DATA'!O978</f>
        <v>0</v>
      </c>
      <c r="L270" s="9">
        <f>'MKT DATA'!P978</f>
        <v>0</v>
      </c>
      <c r="M270" s="9">
        <f>'MKT DATA'!Q978</f>
        <v>0</v>
      </c>
      <c r="N270" s="9">
        <f>'MKT DATA'!R978</f>
        <v>0</v>
      </c>
      <c r="O270" s="9">
        <f>'MKT DATA'!S978</f>
        <v>0</v>
      </c>
      <c r="P270" s="9">
        <f>'MKT DATA'!T978</f>
        <v>0</v>
      </c>
      <c r="Q270" s="44" t="str">
        <f t="shared" si="11"/>
        <v>syn BTCZ6/BTCU6/BTCF7/BTCV6/BTCG7/BTCX6</v>
      </c>
      <c r="R270" s="14">
        <f>'MKT DATA'!AB978</f>
        <v>0</v>
      </c>
    </row>
    <row r="271" spans="5:18" x14ac:dyDescent="0.25">
      <c r="E271" s="44" t="str">
        <f>'MKT DATA'!B979</f>
        <v>syn BTCZ6/BTCU6/BTCF7/BTCG7/BTCV6/BTCX6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BTCZ6/BTCU6/BTCF7/BTCG7/BTCV6/BTCX6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BTCZ6/BTCU6/BTCF7/BTCG7/BTCV6/BTCX6</v>
      </c>
      <c r="R271" s="14">
        <f>'MKT DATA'!AB979</f>
        <v>0</v>
      </c>
    </row>
    <row r="272" spans="5:18" x14ac:dyDescent="0.25">
      <c r="E272" s="44" t="str">
        <f>'MKT DATA'!B980</f>
        <v>syn BTCZ6/BTCU6/BTCG7/BTCV6/BTCF7/BTCX6</v>
      </c>
      <c r="F272" s="14">
        <f>'MKT DATA'!J980</f>
        <v>0</v>
      </c>
      <c r="G272" s="9">
        <f>'MKT DATA'!K980</f>
        <v>0</v>
      </c>
      <c r="H272" s="9">
        <f>'MKT DATA'!L980</f>
        <v>0</v>
      </c>
      <c r="I272" s="14">
        <f>'MKT DATA'!M980</f>
        <v>0</v>
      </c>
      <c r="J272" s="44" t="str">
        <f t="shared" si="10"/>
        <v>syn BTCZ6/BTCU6/BTCG7/BTCV6/BTCF7/BTCX6</v>
      </c>
      <c r="K272" s="9">
        <f>'MKT DATA'!O980</f>
        <v>0</v>
      </c>
      <c r="L272" s="9">
        <f>'MKT DATA'!P980</f>
        <v>0</v>
      </c>
      <c r="M272" s="9">
        <f>'MKT DATA'!Q980</f>
        <v>0</v>
      </c>
      <c r="N272" s="9">
        <f>'MKT DATA'!R980</f>
        <v>0</v>
      </c>
      <c r="O272" s="9">
        <f>'MKT DATA'!S980</f>
        <v>0</v>
      </c>
      <c r="P272" s="9">
        <f>'MKT DATA'!T980</f>
        <v>0</v>
      </c>
      <c r="Q272" s="44" t="str">
        <f t="shared" si="11"/>
        <v>syn BTCZ6/BTCU6/BTCG7/BTCV6/BTCF7/BTCX6</v>
      </c>
      <c r="R272" s="14">
        <f>'MKT DATA'!AB980</f>
        <v>0</v>
      </c>
    </row>
    <row r="273" spans="5:18" x14ac:dyDescent="0.25">
      <c r="E273" s="44" t="str">
        <f>'MKT DATA'!B981</f>
        <v>syn BTCZ6/BTCU6/BTCG7/BTCF7/BTCV6/BTCX6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BTCZ6/BTCU6/BTCG7/BTCF7/BTCV6/BTCX6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BTCZ6/BTCU6/BTCG7/BTCF7/BTCV6/BTCX6</v>
      </c>
      <c r="R273" s="14">
        <f>'MKT DATA'!AB981</f>
        <v>0</v>
      </c>
    </row>
    <row r="274" spans="5:18" x14ac:dyDescent="0.25">
      <c r="E274" s="44" t="str">
        <f>'MKT DATA'!B982</f>
        <v>syn BTCZ6/BTCV6/BTCU6/BTCF7/BTCG7/BTCX6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BTCZ6/BTCV6/BTCU6/BTCF7/BTCG7/BTCX6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BTCZ6/BTCV6/BTCU6/BTCF7/BTCG7/BTCX6</v>
      </c>
      <c r="R274" s="14">
        <f>'MKT DATA'!AB982</f>
        <v>0</v>
      </c>
    </row>
    <row r="275" spans="5:18" x14ac:dyDescent="0.25">
      <c r="E275" s="44" t="str">
        <f>'MKT DATA'!B983</f>
        <v>syn BTCZ6/BTCV6/BTCU6/BTCG7/BTCF7/BTCX6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BTCZ6/BTCV6/BTCU6/BTCG7/BTCF7/BTCX6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BTCZ6/BTCV6/BTCU6/BTCG7/BTCF7/BTCX6</v>
      </c>
      <c r="R275" s="14">
        <f>'MKT DATA'!AB983</f>
        <v>0</v>
      </c>
    </row>
    <row r="276" spans="5:18" x14ac:dyDescent="0.25">
      <c r="E276" s="44" t="str">
        <f>'MKT DATA'!B984</f>
        <v>syn BTCZ6/BTCV6/BTCF7/BTCU6/BTCG7/BTCX6</v>
      </c>
      <c r="F276" s="14">
        <f>'MKT DATA'!J984</f>
        <v>0</v>
      </c>
      <c r="G276" s="9">
        <f>'MKT DATA'!K984</f>
        <v>0</v>
      </c>
      <c r="H276" s="9">
        <f>'MKT DATA'!L984</f>
        <v>0</v>
      </c>
      <c r="I276" s="14">
        <f>'MKT DATA'!M984</f>
        <v>0</v>
      </c>
      <c r="J276" s="44" t="str">
        <f t="shared" si="10"/>
        <v>syn BTCZ6/BTCV6/BTCF7/BTCU6/BTCG7/BTCX6</v>
      </c>
      <c r="K276" s="9">
        <f>'MKT DATA'!O984</f>
        <v>0</v>
      </c>
      <c r="L276" s="9">
        <f>'MKT DATA'!P984</f>
        <v>0</v>
      </c>
      <c r="M276" s="9">
        <f>'MKT DATA'!Q984</f>
        <v>0</v>
      </c>
      <c r="N276" s="9">
        <f>'MKT DATA'!R984</f>
        <v>0</v>
      </c>
      <c r="O276" s="9">
        <f>'MKT DATA'!S984</f>
        <v>0</v>
      </c>
      <c r="P276" s="9">
        <f>'MKT DATA'!T984</f>
        <v>0</v>
      </c>
      <c r="Q276" s="44" t="str">
        <f t="shared" si="11"/>
        <v>syn BTCZ6/BTCV6/BTCF7/BTCU6/BTCG7/BTCX6</v>
      </c>
      <c r="R276" s="14">
        <f>'MKT DATA'!AB984</f>
        <v>0</v>
      </c>
    </row>
    <row r="277" spans="5:18" x14ac:dyDescent="0.25">
      <c r="E277" s="44" t="str">
        <f>'MKT DATA'!B985</f>
        <v>syn BTCZ6/BTCV6/BTCF7/BTCG7/BTCU6/BTCX6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BTCZ6/BTCV6/BTCF7/BTCG7/BTCU6/BTCX6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BTCZ6/BTCV6/BTCF7/BTCG7/BTCU6/BTCX6</v>
      </c>
      <c r="R277" s="14">
        <f>'MKT DATA'!AB985</f>
        <v>0</v>
      </c>
    </row>
    <row r="278" spans="5:18" x14ac:dyDescent="0.25">
      <c r="E278" s="44" t="str">
        <f>'MKT DATA'!B986</f>
        <v>syn BTCZ6/BTCV6/BTCG7/BTCU6/BTCF7/BTCX6</v>
      </c>
      <c r="F278" s="14">
        <f>'MKT DATA'!J986</f>
        <v>0</v>
      </c>
      <c r="G278" s="9">
        <f>'MKT DATA'!K986</f>
        <v>0</v>
      </c>
      <c r="H278" s="9">
        <f>'MKT DATA'!L986</f>
        <v>0</v>
      </c>
      <c r="I278" s="14">
        <f>'MKT DATA'!M986</f>
        <v>0</v>
      </c>
      <c r="J278" s="44" t="str">
        <f t="shared" si="10"/>
        <v>syn BTCZ6/BTCV6/BTCG7/BTCU6/BTCF7/BTCX6</v>
      </c>
      <c r="K278" s="9">
        <f>'MKT DATA'!O986</f>
        <v>0</v>
      </c>
      <c r="L278" s="9">
        <f>'MKT DATA'!P986</f>
        <v>0</v>
      </c>
      <c r="M278" s="9">
        <f>'MKT DATA'!Q986</f>
        <v>0</v>
      </c>
      <c r="N278" s="9">
        <f>'MKT DATA'!R986</f>
        <v>0</v>
      </c>
      <c r="O278" s="9">
        <f>'MKT DATA'!S986</f>
        <v>0</v>
      </c>
      <c r="P278" s="9">
        <f>'MKT DATA'!T986</f>
        <v>0</v>
      </c>
      <c r="Q278" s="44" t="str">
        <f t="shared" si="11"/>
        <v>syn BTCZ6/BTCV6/BTCG7/BTCU6/BTCF7/BTCX6</v>
      </c>
      <c r="R278" s="14">
        <f>'MKT DATA'!AB986</f>
        <v>0</v>
      </c>
    </row>
    <row r="279" spans="5:18" x14ac:dyDescent="0.25">
      <c r="E279" s="44" t="str">
        <f>'MKT DATA'!B987</f>
        <v>syn BTCZ6/BTCV6/BTCG7/BTCF7/BTCU6/BTCX6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BTCZ6/BTCV6/BTCG7/BTCF7/BTCU6/BTCX6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BTCZ6/BTCV6/BTCG7/BTCF7/BTCU6/BTCX6</v>
      </c>
      <c r="R279" s="14">
        <f>'MKT DATA'!AB987</f>
        <v>0</v>
      </c>
    </row>
    <row r="280" spans="5:18" x14ac:dyDescent="0.25">
      <c r="E280" s="44" t="str">
        <f>'MKT DATA'!B988</f>
        <v>syn BTCZ6/BTCF7/BTCU6/BTCV6/BTCG7/BTCX6</v>
      </c>
      <c r="F280" s="14">
        <f>'MKT DATA'!J988</f>
        <v>0</v>
      </c>
      <c r="G280" s="9">
        <f>'MKT DATA'!K988</f>
        <v>0</v>
      </c>
      <c r="H280" s="9">
        <f>'MKT DATA'!L988</f>
        <v>0</v>
      </c>
      <c r="I280" s="14">
        <f>'MKT DATA'!M988</f>
        <v>0</v>
      </c>
      <c r="J280" s="44" t="str">
        <f t="shared" si="10"/>
        <v>syn BTCZ6/BTCF7/BTCU6/BTCV6/BTCG7/BTCX6</v>
      </c>
      <c r="K280" s="9">
        <f>'MKT DATA'!O988</f>
        <v>0</v>
      </c>
      <c r="L280" s="9">
        <f>'MKT DATA'!P988</f>
        <v>0</v>
      </c>
      <c r="M280" s="9">
        <f>'MKT DATA'!Q988</f>
        <v>0</v>
      </c>
      <c r="N280" s="9">
        <f>'MKT DATA'!R988</f>
        <v>0</v>
      </c>
      <c r="O280" s="9">
        <f>'MKT DATA'!S988</f>
        <v>0</v>
      </c>
      <c r="P280" s="9">
        <f>'MKT DATA'!T988</f>
        <v>0</v>
      </c>
      <c r="Q280" s="44" t="str">
        <f t="shared" si="11"/>
        <v>syn BTCZ6/BTCF7/BTCU6/BTCV6/BTCG7/BTCX6</v>
      </c>
      <c r="R280" s="14">
        <f>'MKT DATA'!AB988</f>
        <v>0</v>
      </c>
    </row>
    <row r="281" spans="5:18" x14ac:dyDescent="0.25">
      <c r="E281" s="44" t="str">
        <f>'MKT DATA'!B989</f>
        <v>syn BTCZ6/BTCF7/BTCU6/BTCG7/BTCV6/BTCX6</v>
      </c>
      <c r="F281" s="14">
        <f>'MKT DATA'!J989</f>
        <v>0</v>
      </c>
      <c r="G281" s="9">
        <f>'MKT DATA'!K989</f>
        <v>0</v>
      </c>
      <c r="H281" s="9">
        <f>'MKT DATA'!L989</f>
        <v>0</v>
      </c>
      <c r="I281" s="14">
        <f>'MKT DATA'!M989</f>
        <v>0</v>
      </c>
      <c r="J281" s="44" t="str">
        <f t="shared" si="10"/>
        <v>syn BTCZ6/BTCF7/BTCU6/BTCG7/BTCV6/BTCX6</v>
      </c>
      <c r="K281" s="9">
        <f>'MKT DATA'!O989</f>
        <v>0</v>
      </c>
      <c r="L281" s="9">
        <f>'MKT DATA'!P989</f>
        <v>0</v>
      </c>
      <c r="M281" s="9">
        <f>'MKT DATA'!Q989</f>
        <v>0</v>
      </c>
      <c r="N281" s="9">
        <f>'MKT DATA'!R989</f>
        <v>0</v>
      </c>
      <c r="O281" s="9">
        <f>'MKT DATA'!S989</f>
        <v>0</v>
      </c>
      <c r="P281" s="9">
        <f>'MKT DATA'!T989</f>
        <v>0</v>
      </c>
      <c r="Q281" s="44" t="str">
        <f t="shared" si="11"/>
        <v>syn BTCZ6/BTCF7/BTCU6/BTCG7/BTCV6/BTCX6</v>
      </c>
      <c r="R281" s="14">
        <f>'MKT DATA'!AB989</f>
        <v>0</v>
      </c>
    </row>
    <row r="282" spans="5:18" x14ac:dyDescent="0.25">
      <c r="E282" s="44" t="str">
        <f>'MKT DATA'!B990</f>
        <v>syn BTCZ6/BTCF7/BTCV6/BTCU6/BTCG7/BTCX6</v>
      </c>
      <c r="F282" s="14">
        <f>'MKT DATA'!J990</f>
        <v>0</v>
      </c>
      <c r="G282" s="9">
        <f>'MKT DATA'!K990</f>
        <v>0</v>
      </c>
      <c r="H282" s="9">
        <f>'MKT DATA'!L990</f>
        <v>0</v>
      </c>
      <c r="I282" s="14">
        <f>'MKT DATA'!M990</f>
        <v>0</v>
      </c>
      <c r="J282" s="44" t="str">
        <f t="shared" si="10"/>
        <v>syn BTCZ6/BTCF7/BTCV6/BTCU6/BTCG7/BTCX6</v>
      </c>
      <c r="K282" s="9">
        <f>'MKT DATA'!O990</f>
        <v>0</v>
      </c>
      <c r="L282" s="9">
        <f>'MKT DATA'!P990</f>
        <v>0</v>
      </c>
      <c r="M282" s="9">
        <f>'MKT DATA'!Q990</f>
        <v>0</v>
      </c>
      <c r="N282" s="9">
        <f>'MKT DATA'!R990</f>
        <v>0</v>
      </c>
      <c r="O282" s="9">
        <f>'MKT DATA'!S990</f>
        <v>0</v>
      </c>
      <c r="P282" s="9">
        <f>'MKT DATA'!T990</f>
        <v>0</v>
      </c>
      <c r="Q282" s="44" t="str">
        <f t="shared" si="11"/>
        <v>syn BTCZ6/BTCF7/BTCV6/BTCU6/BTCG7/BTCX6</v>
      </c>
      <c r="R282" s="14">
        <f>'MKT DATA'!AB990</f>
        <v>0</v>
      </c>
    </row>
    <row r="283" spans="5:18" x14ac:dyDescent="0.25">
      <c r="E283" s="44" t="str">
        <f>'MKT DATA'!B991</f>
        <v>syn BTCZ6/BTCF7/BTCV6/BTCG7/BTCU6/BTCX6</v>
      </c>
      <c r="F283" s="14">
        <f>'MKT DATA'!J991</f>
        <v>0</v>
      </c>
      <c r="G283" s="9">
        <f>'MKT DATA'!K991</f>
        <v>0</v>
      </c>
      <c r="H283" s="9">
        <f>'MKT DATA'!L991</f>
        <v>0</v>
      </c>
      <c r="I283" s="14">
        <f>'MKT DATA'!M991</f>
        <v>0</v>
      </c>
      <c r="J283" s="44" t="str">
        <f t="shared" si="10"/>
        <v>syn BTCZ6/BTCF7/BTCV6/BTCG7/BTCU6/BTCX6</v>
      </c>
      <c r="K283" s="9">
        <f>'MKT DATA'!O991</f>
        <v>0</v>
      </c>
      <c r="L283" s="9">
        <f>'MKT DATA'!P991</f>
        <v>0</v>
      </c>
      <c r="M283" s="9">
        <f>'MKT DATA'!Q991</f>
        <v>0</v>
      </c>
      <c r="N283" s="9">
        <f>'MKT DATA'!R991</f>
        <v>0</v>
      </c>
      <c r="O283" s="9">
        <f>'MKT DATA'!S991</f>
        <v>0</v>
      </c>
      <c r="P283" s="9">
        <f>'MKT DATA'!T991</f>
        <v>0</v>
      </c>
      <c r="Q283" s="44" t="str">
        <f t="shared" si="11"/>
        <v>syn BTCZ6/BTCF7/BTCV6/BTCG7/BTCU6/BTCX6</v>
      </c>
      <c r="R283" s="14">
        <f>'MKT DATA'!AB991</f>
        <v>0</v>
      </c>
    </row>
    <row r="284" spans="5:18" x14ac:dyDescent="0.25">
      <c r="E284" s="44" t="str">
        <f>'MKT DATA'!B992</f>
        <v>syn BTCZ6/BTCF7/BTCG7/BTCU6/BTCV6/BTCX6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BTCZ6/BTCF7/BTCG7/BTCU6/BTCV6/BTCX6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BTCZ6/BTCF7/BTCG7/BTCU6/BTCV6/BTCX6</v>
      </c>
      <c r="R284" s="14">
        <f>'MKT DATA'!AB992</f>
        <v>0</v>
      </c>
    </row>
    <row r="285" spans="5:18" x14ac:dyDescent="0.25">
      <c r="E285" s="44" t="str">
        <f>'MKT DATA'!B993</f>
        <v>syn BTCZ6/BTCF7/BTCG7/BTCV6/BTCU6/BTCX6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BTCZ6/BTCF7/BTCG7/BTCV6/BTCU6/BTCX6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BTCZ6/BTCF7/BTCG7/BTCV6/BTCU6/BTCX6</v>
      </c>
      <c r="R285" s="14">
        <f>'MKT DATA'!AB993</f>
        <v>0</v>
      </c>
    </row>
    <row r="286" spans="5:18" x14ac:dyDescent="0.25">
      <c r="E286" s="44" t="str">
        <f>'MKT DATA'!B994</f>
        <v>syn BTCZ6/BTCG7/BTCU6/BTCV6/BTCF7/BTCX6</v>
      </c>
      <c r="F286" s="14">
        <f>'MKT DATA'!J994</f>
        <v>0</v>
      </c>
      <c r="G286" s="9">
        <f>'MKT DATA'!K994</f>
        <v>0</v>
      </c>
      <c r="H286" s="9">
        <f>'MKT DATA'!L994</f>
        <v>0</v>
      </c>
      <c r="I286" s="14">
        <f>'MKT DATA'!M994</f>
        <v>0</v>
      </c>
      <c r="J286" s="44" t="str">
        <f t="shared" si="10"/>
        <v>syn BTCZ6/BTCG7/BTCU6/BTCV6/BTCF7/BTCX6</v>
      </c>
      <c r="K286" s="9">
        <f>'MKT DATA'!O994</f>
        <v>0</v>
      </c>
      <c r="L286" s="9">
        <f>'MKT DATA'!P994</f>
        <v>0</v>
      </c>
      <c r="M286" s="9">
        <f>'MKT DATA'!Q994</f>
        <v>0</v>
      </c>
      <c r="N286" s="9">
        <f>'MKT DATA'!R994</f>
        <v>0</v>
      </c>
      <c r="O286" s="9">
        <f>'MKT DATA'!S994</f>
        <v>0</v>
      </c>
      <c r="P286" s="9">
        <f>'MKT DATA'!T994</f>
        <v>0</v>
      </c>
      <c r="Q286" s="44" t="str">
        <f t="shared" si="11"/>
        <v>syn BTCZ6/BTCG7/BTCU6/BTCV6/BTCF7/BTCX6</v>
      </c>
      <c r="R286" s="14">
        <f>'MKT DATA'!AB994</f>
        <v>0</v>
      </c>
    </row>
    <row r="287" spans="5:18" x14ac:dyDescent="0.25">
      <c r="E287" s="44" t="str">
        <f>'MKT DATA'!B995</f>
        <v>syn BTCZ6/BTCG7/BTCU6/BTCF7/BTCV6/BTCX6</v>
      </c>
      <c r="F287" s="14">
        <f>'MKT DATA'!J995</f>
        <v>0</v>
      </c>
      <c r="G287" s="9">
        <f>'MKT DATA'!K995</f>
        <v>0</v>
      </c>
      <c r="H287" s="9">
        <f>'MKT DATA'!L995</f>
        <v>0</v>
      </c>
      <c r="I287" s="14">
        <f>'MKT DATA'!M995</f>
        <v>0</v>
      </c>
      <c r="J287" s="44" t="str">
        <f t="shared" si="10"/>
        <v>syn BTCZ6/BTCG7/BTCU6/BTCF7/BTCV6/BTCX6</v>
      </c>
      <c r="K287" s="9">
        <f>'MKT DATA'!O995</f>
        <v>0</v>
      </c>
      <c r="L287" s="9">
        <f>'MKT DATA'!P995</f>
        <v>0</v>
      </c>
      <c r="M287" s="9">
        <f>'MKT DATA'!Q995</f>
        <v>0</v>
      </c>
      <c r="N287" s="9">
        <f>'MKT DATA'!R995</f>
        <v>0</v>
      </c>
      <c r="O287" s="9">
        <f>'MKT DATA'!S995</f>
        <v>0</v>
      </c>
      <c r="P287" s="9">
        <f>'MKT DATA'!T995</f>
        <v>0</v>
      </c>
      <c r="Q287" s="44" t="str">
        <f t="shared" si="11"/>
        <v>syn BTCZ6/BTCG7/BTCU6/BTCF7/BTCV6/BTCX6</v>
      </c>
      <c r="R287" s="14">
        <f>'MKT DATA'!AB995</f>
        <v>0</v>
      </c>
    </row>
    <row r="288" spans="5:18" x14ac:dyDescent="0.25">
      <c r="E288" s="44" t="str">
        <f>'MKT DATA'!B996</f>
        <v>syn BTCZ6/BTCG7/BTCV6/BTCU6/BTCF7/BTCX6</v>
      </c>
      <c r="F288" s="14">
        <f>'MKT DATA'!J996</f>
        <v>0</v>
      </c>
      <c r="G288" s="9">
        <f>'MKT DATA'!K996</f>
        <v>0</v>
      </c>
      <c r="H288" s="9">
        <f>'MKT DATA'!L996</f>
        <v>0</v>
      </c>
      <c r="I288" s="14">
        <f>'MKT DATA'!M996</f>
        <v>0</v>
      </c>
      <c r="J288" s="44" t="str">
        <f t="shared" si="10"/>
        <v>syn BTCZ6/BTCG7/BTCV6/BTCU6/BTCF7/BTCX6</v>
      </c>
      <c r="K288" s="9">
        <f>'MKT DATA'!O996</f>
        <v>0</v>
      </c>
      <c r="L288" s="9">
        <f>'MKT DATA'!P996</f>
        <v>0</v>
      </c>
      <c r="M288" s="9">
        <f>'MKT DATA'!Q996</f>
        <v>0</v>
      </c>
      <c r="N288" s="9">
        <f>'MKT DATA'!R996</f>
        <v>0</v>
      </c>
      <c r="O288" s="9">
        <f>'MKT DATA'!S996</f>
        <v>0</v>
      </c>
      <c r="P288" s="9">
        <f>'MKT DATA'!T996</f>
        <v>0</v>
      </c>
      <c r="Q288" s="44" t="str">
        <f t="shared" si="11"/>
        <v>syn BTCZ6/BTCG7/BTCV6/BTCU6/BTCF7/BTCX6</v>
      </c>
      <c r="R288" s="14">
        <f>'MKT DATA'!AB996</f>
        <v>0</v>
      </c>
    </row>
    <row r="289" spans="5:18" x14ac:dyDescent="0.25">
      <c r="E289" s="44" t="str">
        <f>'MKT DATA'!B997</f>
        <v>syn BTCZ6/BTCG7/BTCV6/BTCF7/BTCU6/BTCX6</v>
      </c>
      <c r="F289" s="14">
        <f>'MKT DATA'!J997</f>
        <v>0</v>
      </c>
      <c r="G289" s="9">
        <f>'MKT DATA'!K997</f>
        <v>0</v>
      </c>
      <c r="H289" s="9">
        <f>'MKT DATA'!L997</f>
        <v>0</v>
      </c>
      <c r="I289" s="14">
        <f>'MKT DATA'!M997</f>
        <v>0</v>
      </c>
      <c r="J289" s="44" t="str">
        <f t="shared" si="10"/>
        <v>syn BTCZ6/BTCG7/BTCV6/BTCF7/BTCU6/BTCX6</v>
      </c>
      <c r="K289" s="9">
        <f>'MKT DATA'!O997</f>
        <v>0</v>
      </c>
      <c r="L289" s="9">
        <f>'MKT DATA'!P997</f>
        <v>0</v>
      </c>
      <c r="M289" s="9">
        <f>'MKT DATA'!Q997</f>
        <v>0</v>
      </c>
      <c r="N289" s="9">
        <f>'MKT DATA'!R997</f>
        <v>0</v>
      </c>
      <c r="O289" s="9">
        <f>'MKT DATA'!S997</f>
        <v>0</v>
      </c>
      <c r="P289" s="9">
        <f>'MKT DATA'!T997</f>
        <v>0</v>
      </c>
      <c r="Q289" s="44" t="str">
        <f t="shared" si="11"/>
        <v>syn BTCZ6/BTCG7/BTCV6/BTCF7/BTCU6/BTCX6</v>
      </c>
      <c r="R289" s="14">
        <f>'MKT DATA'!AB997</f>
        <v>0</v>
      </c>
    </row>
    <row r="290" spans="5:18" x14ac:dyDescent="0.25">
      <c r="E290" s="44" t="str">
        <f>'MKT DATA'!B998</f>
        <v>syn BTCZ6/BTCG7/BTCF7/BTCU6/BTCV6/BTCX6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BTCZ6/BTCG7/BTCF7/BTCU6/BTCV6/BTCX6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BTCZ6/BTCG7/BTCF7/BTCU6/BTCV6/BTCX6</v>
      </c>
      <c r="R290" s="14">
        <f>'MKT DATA'!AB998</f>
        <v>0</v>
      </c>
    </row>
    <row r="291" spans="5:18" x14ac:dyDescent="0.25">
      <c r="E291" s="44" t="str">
        <f>'MKT DATA'!B999</f>
        <v>syn BTCZ6/BTCG7/BTCF7/BTCV6/BTCU6/BTCX6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BTCZ6/BTCG7/BTCF7/BTCV6/BTCU6/BTCX6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BTCZ6/BTCG7/BTCF7/BTCV6/BTCU6/BTCX6</v>
      </c>
      <c r="R291" s="14">
        <f>'MKT DATA'!AB999</f>
        <v>0</v>
      </c>
    </row>
    <row r="292" spans="5:18" x14ac:dyDescent="0.25">
      <c r="E292" s="44" t="str">
        <f>'MKT DATA'!B1000</f>
        <v>syn BTCF7/BTCU6/BTCV6/BTCZ6/BTCG7/BTCX6</v>
      </c>
      <c r="F292" s="14">
        <f>'MKT DATA'!J1000</f>
        <v>0</v>
      </c>
      <c r="G292" s="9">
        <f>'MKT DATA'!K1000</f>
        <v>0</v>
      </c>
      <c r="H292" s="9">
        <f>'MKT DATA'!L1000</f>
        <v>0</v>
      </c>
      <c r="I292" s="14">
        <f>'MKT DATA'!M1000</f>
        <v>0</v>
      </c>
      <c r="J292" s="44" t="str">
        <f t="shared" si="10"/>
        <v>syn BTCF7/BTCU6/BTCV6/BTCZ6/BTCG7/BTCX6</v>
      </c>
      <c r="K292" s="9">
        <f>'MKT DATA'!O1000</f>
        <v>0</v>
      </c>
      <c r="L292" s="9">
        <f>'MKT DATA'!P1000</f>
        <v>0</v>
      </c>
      <c r="M292" s="9">
        <f>'MKT DATA'!Q1000</f>
        <v>0</v>
      </c>
      <c r="N292" s="9">
        <f>'MKT DATA'!R1000</f>
        <v>0</v>
      </c>
      <c r="O292" s="9">
        <f>'MKT DATA'!S1000</f>
        <v>0</v>
      </c>
      <c r="P292" s="9">
        <f>'MKT DATA'!T1000</f>
        <v>0</v>
      </c>
      <c r="Q292" s="44" t="str">
        <f t="shared" si="11"/>
        <v>syn BTCF7/BTCU6/BTCV6/BTCZ6/BTCG7/BTCX6</v>
      </c>
      <c r="R292" s="14">
        <f>'MKT DATA'!AB1000</f>
        <v>0</v>
      </c>
    </row>
    <row r="293" spans="5:18" x14ac:dyDescent="0.25">
      <c r="E293" s="44" t="str">
        <f>'MKT DATA'!B1001</f>
        <v>syn BTCF7/BTCU6/BTCV6/BTCG7/BTCZ6/BTCX6</v>
      </c>
      <c r="F293" s="14">
        <f>'MKT DATA'!J1001</f>
        <v>0</v>
      </c>
      <c r="G293" s="9">
        <f>'MKT DATA'!K1001</f>
        <v>0</v>
      </c>
      <c r="H293" s="9">
        <f>'MKT DATA'!L1001</f>
        <v>0</v>
      </c>
      <c r="I293" s="14">
        <f>'MKT DATA'!M1001</f>
        <v>0</v>
      </c>
      <c r="J293" s="44" t="str">
        <f t="shared" si="10"/>
        <v>syn BTCF7/BTCU6/BTCV6/BTCG7/BTCZ6/BTCX6</v>
      </c>
      <c r="K293" s="9">
        <f>'MKT DATA'!O1001</f>
        <v>0</v>
      </c>
      <c r="L293" s="9">
        <f>'MKT DATA'!P1001</f>
        <v>0</v>
      </c>
      <c r="M293" s="9">
        <f>'MKT DATA'!Q1001</f>
        <v>0</v>
      </c>
      <c r="N293" s="9">
        <f>'MKT DATA'!R1001</f>
        <v>0</v>
      </c>
      <c r="O293" s="9">
        <f>'MKT DATA'!S1001</f>
        <v>0</v>
      </c>
      <c r="P293" s="9">
        <f>'MKT DATA'!T1001</f>
        <v>0</v>
      </c>
      <c r="Q293" s="44" t="str">
        <f t="shared" si="11"/>
        <v>syn BTCF7/BTCU6/BTCV6/BTCG7/BTCZ6/BTCX6</v>
      </c>
      <c r="R293" s="14">
        <f>'MKT DATA'!AB1001</f>
        <v>0</v>
      </c>
    </row>
    <row r="294" spans="5:18" x14ac:dyDescent="0.25">
      <c r="E294" s="44" t="str">
        <f>'MKT DATA'!B1002</f>
        <v>syn BTCF7/BTCU6/BTCZ6/BTCV6/BTCG7/BTCX6</v>
      </c>
      <c r="F294" s="14">
        <f>'MKT DATA'!J1002</f>
        <v>0</v>
      </c>
      <c r="G294" s="9">
        <f>'MKT DATA'!K1002</f>
        <v>0</v>
      </c>
      <c r="H294" s="9">
        <f>'MKT DATA'!L1002</f>
        <v>0</v>
      </c>
      <c r="I294" s="14">
        <f>'MKT DATA'!M1002</f>
        <v>0</v>
      </c>
      <c r="J294" s="44" t="str">
        <f t="shared" si="10"/>
        <v>syn BTCF7/BTCU6/BTCZ6/BTCV6/BTCG7/BTCX6</v>
      </c>
      <c r="K294" s="9">
        <f>'MKT DATA'!O1002</f>
        <v>0</v>
      </c>
      <c r="L294" s="9">
        <f>'MKT DATA'!P1002</f>
        <v>0</v>
      </c>
      <c r="M294" s="9">
        <f>'MKT DATA'!Q1002</f>
        <v>0</v>
      </c>
      <c r="N294" s="9">
        <f>'MKT DATA'!R1002</f>
        <v>0</v>
      </c>
      <c r="O294" s="9">
        <f>'MKT DATA'!S1002</f>
        <v>0</v>
      </c>
      <c r="P294" s="9">
        <f>'MKT DATA'!T1002</f>
        <v>0</v>
      </c>
      <c r="Q294" s="44" t="str">
        <f t="shared" si="11"/>
        <v>syn BTCF7/BTCU6/BTCZ6/BTCV6/BTCG7/BTCX6</v>
      </c>
      <c r="R294" s="14">
        <f>'MKT DATA'!AB1002</f>
        <v>0</v>
      </c>
    </row>
    <row r="295" spans="5:18" x14ac:dyDescent="0.25">
      <c r="E295" s="44" t="str">
        <f>'MKT DATA'!B1003</f>
        <v>syn BTCF7/BTCU6/BTCZ6/BTCG7/BTCV6/BTCX6</v>
      </c>
      <c r="F295" s="14">
        <f>'MKT DATA'!J1003</f>
        <v>0</v>
      </c>
      <c r="G295" s="9">
        <f>'MKT DATA'!K1003</f>
        <v>0</v>
      </c>
      <c r="H295" s="9">
        <f>'MKT DATA'!L1003</f>
        <v>0</v>
      </c>
      <c r="I295" s="14">
        <f>'MKT DATA'!M1003</f>
        <v>0</v>
      </c>
      <c r="J295" s="44" t="str">
        <f t="shared" si="10"/>
        <v>syn BTCF7/BTCU6/BTCZ6/BTCG7/BTCV6/BTCX6</v>
      </c>
      <c r="K295" s="9">
        <f>'MKT DATA'!O1003</f>
        <v>0</v>
      </c>
      <c r="L295" s="9">
        <f>'MKT DATA'!P1003</f>
        <v>0</v>
      </c>
      <c r="M295" s="9">
        <f>'MKT DATA'!Q1003</f>
        <v>0</v>
      </c>
      <c r="N295" s="9">
        <f>'MKT DATA'!R1003</f>
        <v>0</v>
      </c>
      <c r="O295" s="9">
        <f>'MKT DATA'!S1003</f>
        <v>0</v>
      </c>
      <c r="P295" s="9">
        <f>'MKT DATA'!T1003</f>
        <v>0</v>
      </c>
      <c r="Q295" s="44" t="str">
        <f t="shared" si="11"/>
        <v>syn BTCF7/BTCU6/BTCZ6/BTCG7/BTCV6/BTCX6</v>
      </c>
      <c r="R295" s="14">
        <f>'MKT DATA'!AB1003</f>
        <v>0</v>
      </c>
    </row>
    <row r="296" spans="5:18" x14ac:dyDescent="0.25">
      <c r="E296" s="44" t="str">
        <f>'MKT DATA'!B1004</f>
        <v>syn BTCF7/BTCU6/BTCG7/BTCV6/BTCZ6/BTCX6</v>
      </c>
      <c r="F296" s="14">
        <f>'MKT DATA'!J1004</f>
        <v>0</v>
      </c>
      <c r="G296" s="9">
        <f>'MKT DATA'!K1004</f>
        <v>0</v>
      </c>
      <c r="H296" s="9">
        <f>'MKT DATA'!L1004</f>
        <v>0</v>
      </c>
      <c r="I296" s="14">
        <f>'MKT DATA'!M1004</f>
        <v>0</v>
      </c>
      <c r="J296" s="44" t="str">
        <f t="shared" si="10"/>
        <v>syn BTCF7/BTCU6/BTCG7/BTCV6/BTCZ6/BTCX6</v>
      </c>
      <c r="K296" s="9">
        <f>'MKT DATA'!O1004</f>
        <v>0</v>
      </c>
      <c r="L296" s="9">
        <f>'MKT DATA'!P1004</f>
        <v>0</v>
      </c>
      <c r="M296" s="9">
        <f>'MKT DATA'!Q1004</f>
        <v>0</v>
      </c>
      <c r="N296" s="9">
        <f>'MKT DATA'!R1004</f>
        <v>0</v>
      </c>
      <c r="O296" s="9">
        <f>'MKT DATA'!S1004</f>
        <v>0</v>
      </c>
      <c r="P296" s="9">
        <f>'MKT DATA'!T1004</f>
        <v>0</v>
      </c>
      <c r="Q296" s="44" t="str">
        <f t="shared" si="11"/>
        <v>syn BTCF7/BTCU6/BTCG7/BTCV6/BTCZ6/BTCX6</v>
      </c>
      <c r="R296" s="14">
        <f>'MKT DATA'!AB1004</f>
        <v>0</v>
      </c>
    </row>
    <row r="297" spans="5:18" x14ac:dyDescent="0.25">
      <c r="E297" s="44" t="str">
        <f>'MKT DATA'!B1005</f>
        <v>syn BTCF7/BTCU6/BTCG7/BTCZ6/BTCV6/BTCX6</v>
      </c>
      <c r="F297" s="14">
        <f>'MKT DATA'!J1005</f>
        <v>0</v>
      </c>
      <c r="G297" s="9">
        <f>'MKT DATA'!K1005</f>
        <v>0</v>
      </c>
      <c r="H297" s="9">
        <f>'MKT DATA'!L1005</f>
        <v>0</v>
      </c>
      <c r="I297" s="14">
        <f>'MKT DATA'!M1005</f>
        <v>0</v>
      </c>
      <c r="J297" s="44" t="str">
        <f t="shared" si="10"/>
        <v>syn BTCF7/BTCU6/BTCG7/BTCZ6/BTCV6/BTCX6</v>
      </c>
      <c r="K297" s="9">
        <f>'MKT DATA'!O1005</f>
        <v>0</v>
      </c>
      <c r="L297" s="9">
        <f>'MKT DATA'!P1005</f>
        <v>0</v>
      </c>
      <c r="M297" s="9">
        <f>'MKT DATA'!Q1005</f>
        <v>0</v>
      </c>
      <c r="N297" s="9">
        <f>'MKT DATA'!R1005</f>
        <v>0</v>
      </c>
      <c r="O297" s="9">
        <f>'MKT DATA'!S1005</f>
        <v>0</v>
      </c>
      <c r="P297" s="9">
        <f>'MKT DATA'!T1005</f>
        <v>0</v>
      </c>
      <c r="Q297" s="44" t="str">
        <f t="shared" si="11"/>
        <v>syn BTCF7/BTCU6/BTCG7/BTCZ6/BTCV6/BTCX6</v>
      </c>
      <c r="R297" s="14">
        <f>'MKT DATA'!AB1005</f>
        <v>0</v>
      </c>
    </row>
    <row r="298" spans="5:18" x14ac:dyDescent="0.25">
      <c r="E298" s="44" t="str">
        <f>'MKT DATA'!B1006</f>
        <v>syn BTCF7/BTCV6/BTCU6/BTCZ6/BTCG7/BTCX6</v>
      </c>
      <c r="F298" s="14">
        <f>'MKT DATA'!J1006</f>
        <v>0</v>
      </c>
      <c r="G298" s="9">
        <f>'MKT DATA'!K1006</f>
        <v>0</v>
      </c>
      <c r="H298" s="9">
        <f>'MKT DATA'!L1006</f>
        <v>0</v>
      </c>
      <c r="I298" s="14">
        <f>'MKT DATA'!M1006</f>
        <v>0</v>
      </c>
      <c r="J298" s="44" t="str">
        <f t="shared" si="10"/>
        <v>syn BTCF7/BTCV6/BTCU6/BTCZ6/BTCG7/BTCX6</v>
      </c>
      <c r="K298" s="9">
        <f>'MKT DATA'!O1006</f>
        <v>0</v>
      </c>
      <c r="L298" s="9">
        <f>'MKT DATA'!P1006</f>
        <v>0</v>
      </c>
      <c r="M298" s="9">
        <f>'MKT DATA'!Q1006</f>
        <v>0</v>
      </c>
      <c r="N298" s="9">
        <f>'MKT DATA'!R1006</f>
        <v>0</v>
      </c>
      <c r="O298" s="9">
        <f>'MKT DATA'!S1006</f>
        <v>0</v>
      </c>
      <c r="P298" s="9">
        <f>'MKT DATA'!T1006</f>
        <v>0</v>
      </c>
      <c r="Q298" s="44" t="str">
        <f t="shared" si="11"/>
        <v>syn BTCF7/BTCV6/BTCU6/BTCZ6/BTCG7/BTCX6</v>
      </c>
      <c r="R298" s="14">
        <f>'MKT DATA'!AB1006</f>
        <v>0</v>
      </c>
    </row>
    <row r="299" spans="5:18" x14ac:dyDescent="0.25">
      <c r="E299" s="44" t="str">
        <f>'MKT DATA'!B1007</f>
        <v>syn BTCF7/BTCV6/BTCU6/BTCG7/BTCZ6/BTCX6</v>
      </c>
      <c r="F299" s="14">
        <f>'MKT DATA'!J1007</f>
        <v>0</v>
      </c>
      <c r="G299" s="9">
        <f>'MKT DATA'!K1007</f>
        <v>0</v>
      </c>
      <c r="H299" s="9">
        <f>'MKT DATA'!L1007</f>
        <v>0</v>
      </c>
      <c r="I299" s="14">
        <f>'MKT DATA'!M1007</f>
        <v>0</v>
      </c>
      <c r="J299" s="44" t="str">
        <f t="shared" si="10"/>
        <v>syn BTCF7/BTCV6/BTCU6/BTCG7/BTCZ6/BTCX6</v>
      </c>
      <c r="K299" s="9">
        <f>'MKT DATA'!O1007</f>
        <v>0</v>
      </c>
      <c r="L299" s="9">
        <f>'MKT DATA'!P1007</f>
        <v>0</v>
      </c>
      <c r="M299" s="9">
        <f>'MKT DATA'!Q1007</f>
        <v>0</v>
      </c>
      <c r="N299" s="9">
        <f>'MKT DATA'!R1007</f>
        <v>0</v>
      </c>
      <c r="O299" s="9">
        <f>'MKT DATA'!S1007</f>
        <v>0</v>
      </c>
      <c r="P299" s="9">
        <f>'MKT DATA'!T1007</f>
        <v>0</v>
      </c>
      <c r="Q299" s="44" t="str">
        <f t="shared" si="11"/>
        <v>syn BTCF7/BTCV6/BTCU6/BTCG7/BTCZ6/BTCX6</v>
      </c>
      <c r="R299" s="14">
        <f>'MKT DATA'!AB1007</f>
        <v>0</v>
      </c>
    </row>
    <row r="300" spans="5:18" x14ac:dyDescent="0.25">
      <c r="E300" s="44" t="str">
        <f>'MKT DATA'!B1008</f>
        <v>syn BTCF7/BTCV6/BTCZ6/BTCU6/BTCG7/BTCX6</v>
      </c>
      <c r="F300" s="14">
        <f>'MKT DATA'!J1008</f>
        <v>0</v>
      </c>
      <c r="G300" s="9">
        <f>'MKT DATA'!K1008</f>
        <v>0</v>
      </c>
      <c r="H300" s="9">
        <f>'MKT DATA'!L1008</f>
        <v>0</v>
      </c>
      <c r="I300" s="14">
        <f>'MKT DATA'!M1008</f>
        <v>0</v>
      </c>
      <c r="J300" s="44" t="str">
        <f t="shared" si="10"/>
        <v>syn BTCF7/BTCV6/BTCZ6/BTCU6/BTCG7/BTCX6</v>
      </c>
      <c r="K300" s="9">
        <f>'MKT DATA'!O1008</f>
        <v>0</v>
      </c>
      <c r="L300" s="9">
        <f>'MKT DATA'!P1008</f>
        <v>0</v>
      </c>
      <c r="M300" s="9">
        <f>'MKT DATA'!Q1008</f>
        <v>0</v>
      </c>
      <c r="N300" s="9">
        <f>'MKT DATA'!R1008</f>
        <v>0</v>
      </c>
      <c r="O300" s="9">
        <f>'MKT DATA'!S1008</f>
        <v>0</v>
      </c>
      <c r="P300" s="9">
        <f>'MKT DATA'!T1008</f>
        <v>0</v>
      </c>
      <c r="Q300" s="44" t="str">
        <f t="shared" si="11"/>
        <v>syn BTCF7/BTCV6/BTCZ6/BTCU6/BTCG7/BTCX6</v>
      </c>
      <c r="R300" s="14">
        <f>'MKT DATA'!AB1008</f>
        <v>0</v>
      </c>
    </row>
    <row r="301" spans="5:18" x14ac:dyDescent="0.25">
      <c r="E301" s="44" t="str">
        <f>'MKT DATA'!B1009</f>
        <v>syn BTCF7/BTCV6/BTCZ6/BTCG7/BTCU6/BTCX6</v>
      </c>
      <c r="F301" s="14">
        <f>'MKT DATA'!J1009</f>
        <v>0</v>
      </c>
      <c r="G301" s="9">
        <f>'MKT DATA'!K1009</f>
        <v>0</v>
      </c>
      <c r="H301" s="9">
        <f>'MKT DATA'!L1009</f>
        <v>0</v>
      </c>
      <c r="I301" s="14">
        <f>'MKT DATA'!M1009</f>
        <v>0</v>
      </c>
      <c r="J301" s="44" t="str">
        <f t="shared" si="10"/>
        <v>syn BTCF7/BTCV6/BTCZ6/BTCG7/BTCU6/BTCX6</v>
      </c>
      <c r="K301" s="9">
        <f>'MKT DATA'!O1009</f>
        <v>0</v>
      </c>
      <c r="L301" s="9">
        <f>'MKT DATA'!P1009</f>
        <v>0</v>
      </c>
      <c r="M301" s="9">
        <f>'MKT DATA'!Q1009</f>
        <v>0</v>
      </c>
      <c r="N301" s="9">
        <f>'MKT DATA'!R1009</f>
        <v>0</v>
      </c>
      <c r="O301" s="9">
        <f>'MKT DATA'!S1009</f>
        <v>0</v>
      </c>
      <c r="P301" s="9">
        <f>'MKT DATA'!T1009</f>
        <v>0</v>
      </c>
      <c r="Q301" s="44" t="str">
        <f t="shared" si="11"/>
        <v>syn BTCF7/BTCV6/BTCZ6/BTCG7/BTCU6/BTCX6</v>
      </c>
      <c r="R301" s="14">
        <f>'MKT DATA'!AB1009</f>
        <v>0</v>
      </c>
    </row>
    <row r="302" spans="5:18" x14ac:dyDescent="0.25">
      <c r="E302" s="44" t="str">
        <f>'MKT DATA'!B1010</f>
        <v>syn BTCF7/BTCV6/BTCG7/BTCU6/BTCZ6/BTCX6</v>
      </c>
      <c r="F302" s="14">
        <f>'MKT DATA'!J1010</f>
        <v>0</v>
      </c>
      <c r="G302" s="9">
        <f>'MKT DATA'!K1010</f>
        <v>0</v>
      </c>
      <c r="H302" s="9">
        <f>'MKT DATA'!L1010</f>
        <v>0</v>
      </c>
      <c r="I302" s="14">
        <f>'MKT DATA'!M1010</f>
        <v>0</v>
      </c>
      <c r="J302" s="44" t="str">
        <f t="shared" si="10"/>
        <v>syn BTCF7/BTCV6/BTCG7/BTCU6/BTCZ6/BTCX6</v>
      </c>
      <c r="K302" s="9">
        <f>'MKT DATA'!O1010</f>
        <v>0</v>
      </c>
      <c r="L302" s="9">
        <f>'MKT DATA'!P1010</f>
        <v>0</v>
      </c>
      <c r="M302" s="9">
        <f>'MKT DATA'!Q1010</f>
        <v>0</v>
      </c>
      <c r="N302" s="9">
        <f>'MKT DATA'!R1010</f>
        <v>0</v>
      </c>
      <c r="O302" s="9">
        <f>'MKT DATA'!S1010</f>
        <v>0</v>
      </c>
      <c r="P302" s="9">
        <f>'MKT DATA'!T1010</f>
        <v>0</v>
      </c>
      <c r="Q302" s="44" t="str">
        <f t="shared" si="11"/>
        <v>syn BTCF7/BTCV6/BTCG7/BTCU6/BTCZ6/BTCX6</v>
      </c>
      <c r="R302" s="14">
        <f>'MKT DATA'!AB1010</f>
        <v>0</v>
      </c>
    </row>
    <row r="303" spans="5:18" x14ac:dyDescent="0.25">
      <c r="E303" s="44" t="str">
        <f>'MKT DATA'!B1011</f>
        <v>syn BTCF7/BTCV6/BTCG7/BTCZ6/BTCU6/BTCX6</v>
      </c>
      <c r="F303" s="14">
        <f>'MKT DATA'!J1011</f>
        <v>0</v>
      </c>
      <c r="G303" s="9">
        <f>'MKT DATA'!K1011</f>
        <v>0</v>
      </c>
      <c r="H303" s="9">
        <f>'MKT DATA'!L1011</f>
        <v>0</v>
      </c>
      <c r="I303" s="14">
        <f>'MKT DATA'!M1011</f>
        <v>0</v>
      </c>
      <c r="J303" s="44" t="str">
        <f t="shared" si="10"/>
        <v>syn BTCF7/BTCV6/BTCG7/BTCZ6/BTCU6/BTCX6</v>
      </c>
      <c r="K303" s="9">
        <f>'MKT DATA'!O1011</f>
        <v>0</v>
      </c>
      <c r="L303" s="9">
        <f>'MKT DATA'!P1011</f>
        <v>0</v>
      </c>
      <c r="M303" s="9">
        <f>'MKT DATA'!Q1011</f>
        <v>0</v>
      </c>
      <c r="N303" s="9">
        <f>'MKT DATA'!R1011</f>
        <v>0</v>
      </c>
      <c r="O303" s="9">
        <f>'MKT DATA'!S1011</f>
        <v>0</v>
      </c>
      <c r="P303" s="9">
        <f>'MKT DATA'!T1011</f>
        <v>0</v>
      </c>
      <c r="Q303" s="44" t="str">
        <f t="shared" si="11"/>
        <v>syn BTCF7/BTCV6/BTCG7/BTCZ6/BTCU6/BTCX6</v>
      </c>
      <c r="R303" s="14">
        <f>'MKT DATA'!AB1011</f>
        <v>0</v>
      </c>
    </row>
    <row r="304" spans="5:18" x14ac:dyDescent="0.25">
      <c r="E304" s="44" t="str">
        <f>'MKT DATA'!B1012</f>
        <v>syn BTCF7/BTCZ6/BTCU6/BTCV6/BTCG7/BTCX6</v>
      </c>
      <c r="F304" s="14">
        <f>'MKT DATA'!J1012</f>
        <v>0</v>
      </c>
      <c r="G304" s="9">
        <f>'MKT DATA'!K1012</f>
        <v>0</v>
      </c>
      <c r="H304" s="9">
        <f>'MKT DATA'!L1012</f>
        <v>0</v>
      </c>
      <c r="I304" s="14">
        <f>'MKT DATA'!M1012</f>
        <v>0</v>
      </c>
      <c r="J304" s="44" t="str">
        <f t="shared" si="10"/>
        <v>syn BTCF7/BTCZ6/BTCU6/BTCV6/BTCG7/BTCX6</v>
      </c>
      <c r="K304" s="9">
        <f>'MKT DATA'!O1012</f>
        <v>0</v>
      </c>
      <c r="L304" s="9">
        <f>'MKT DATA'!P1012</f>
        <v>0</v>
      </c>
      <c r="M304" s="9">
        <f>'MKT DATA'!Q1012</f>
        <v>0</v>
      </c>
      <c r="N304" s="9">
        <f>'MKT DATA'!R1012</f>
        <v>0</v>
      </c>
      <c r="O304" s="9">
        <f>'MKT DATA'!S1012</f>
        <v>0</v>
      </c>
      <c r="P304" s="9">
        <f>'MKT DATA'!T1012</f>
        <v>0</v>
      </c>
      <c r="Q304" s="44" t="str">
        <f t="shared" si="11"/>
        <v>syn BTCF7/BTCZ6/BTCU6/BTCV6/BTCG7/BTCX6</v>
      </c>
      <c r="R304" s="14">
        <f>'MKT DATA'!AB1012</f>
        <v>0</v>
      </c>
    </row>
    <row r="305" spans="5:18" x14ac:dyDescent="0.25">
      <c r="E305" s="44" t="str">
        <f>'MKT DATA'!B1013</f>
        <v>syn BTCF7/BTCZ6/BTCU6/BTCG7/BTCV6/BTCX6</v>
      </c>
      <c r="F305" s="14">
        <f>'MKT DATA'!J1013</f>
        <v>0</v>
      </c>
      <c r="G305" s="9">
        <f>'MKT DATA'!K1013</f>
        <v>0</v>
      </c>
      <c r="H305" s="9">
        <f>'MKT DATA'!L1013</f>
        <v>0</v>
      </c>
      <c r="I305" s="14">
        <f>'MKT DATA'!M1013</f>
        <v>0</v>
      </c>
      <c r="J305" s="44" t="str">
        <f t="shared" si="10"/>
        <v>syn BTCF7/BTCZ6/BTCU6/BTCG7/BTCV6/BTCX6</v>
      </c>
      <c r="K305" s="9">
        <f>'MKT DATA'!O1013</f>
        <v>0</v>
      </c>
      <c r="L305" s="9">
        <f>'MKT DATA'!P1013</f>
        <v>0</v>
      </c>
      <c r="M305" s="9">
        <f>'MKT DATA'!Q1013</f>
        <v>0</v>
      </c>
      <c r="N305" s="9">
        <f>'MKT DATA'!R1013</f>
        <v>0</v>
      </c>
      <c r="O305" s="9">
        <f>'MKT DATA'!S1013</f>
        <v>0</v>
      </c>
      <c r="P305" s="9">
        <f>'MKT DATA'!T1013</f>
        <v>0</v>
      </c>
      <c r="Q305" s="44" t="str">
        <f t="shared" si="11"/>
        <v>syn BTCF7/BTCZ6/BTCU6/BTCG7/BTCV6/BTCX6</v>
      </c>
      <c r="R305" s="14">
        <f>'MKT DATA'!AB1013</f>
        <v>0</v>
      </c>
    </row>
    <row r="306" spans="5:18" x14ac:dyDescent="0.25">
      <c r="E306" s="44" t="str">
        <f>'MKT DATA'!B1014</f>
        <v>syn BTCF7/BTCZ6/BTCV6/BTCU6/BTCG7/BTCX6</v>
      </c>
      <c r="F306" s="14">
        <f>'MKT DATA'!J1014</f>
        <v>0</v>
      </c>
      <c r="G306" s="9">
        <f>'MKT DATA'!K1014</f>
        <v>0</v>
      </c>
      <c r="H306" s="9">
        <f>'MKT DATA'!L1014</f>
        <v>0</v>
      </c>
      <c r="I306" s="14">
        <f>'MKT DATA'!M1014</f>
        <v>0</v>
      </c>
      <c r="J306" s="44" t="str">
        <f t="shared" si="10"/>
        <v>syn BTCF7/BTCZ6/BTCV6/BTCU6/BTCG7/BTCX6</v>
      </c>
      <c r="K306" s="9">
        <f>'MKT DATA'!O1014</f>
        <v>0</v>
      </c>
      <c r="L306" s="9">
        <f>'MKT DATA'!P1014</f>
        <v>0</v>
      </c>
      <c r="M306" s="9">
        <f>'MKT DATA'!Q1014</f>
        <v>0</v>
      </c>
      <c r="N306" s="9">
        <f>'MKT DATA'!R1014</f>
        <v>0</v>
      </c>
      <c r="O306" s="9">
        <f>'MKT DATA'!S1014</f>
        <v>0</v>
      </c>
      <c r="P306" s="9">
        <f>'MKT DATA'!T1014</f>
        <v>0</v>
      </c>
      <c r="Q306" s="44" t="str">
        <f t="shared" si="11"/>
        <v>syn BTCF7/BTCZ6/BTCV6/BTCU6/BTCG7/BTCX6</v>
      </c>
      <c r="R306" s="14">
        <f>'MKT DATA'!AB1014</f>
        <v>0</v>
      </c>
    </row>
    <row r="307" spans="5:18" x14ac:dyDescent="0.25">
      <c r="E307" s="44" t="str">
        <f>'MKT DATA'!B1015</f>
        <v>syn BTCF7/BTCZ6/BTCV6/BTCG7/BTCU6/BTCX6</v>
      </c>
      <c r="F307" s="14">
        <f>'MKT DATA'!J1015</f>
        <v>0</v>
      </c>
      <c r="G307" s="9">
        <f>'MKT DATA'!K1015</f>
        <v>0</v>
      </c>
      <c r="H307" s="9">
        <f>'MKT DATA'!L1015</f>
        <v>0</v>
      </c>
      <c r="I307" s="14">
        <f>'MKT DATA'!M1015</f>
        <v>0</v>
      </c>
      <c r="J307" s="44" t="str">
        <f t="shared" si="10"/>
        <v>syn BTCF7/BTCZ6/BTCV6/BTCG7/BTCU6/BTCX6</v>
      </c>
      <c r="K307" s="9">
        <f>'MKT DATA'!O1015</f>
        <v>0</v>
      </c>
      <c r="L307" s="9">
        <f>'MKT DATA'!P1015</f>
        <v>0</v>
      </c>
      <c r="M307" s="9">
        <f>'MKT DATA'!Q1015</f>
        <v>0</v>
      </c>
      <c r="N307" s="9">
        <f>'MKT DATA'!R1015</f>
        <v>0</v>
      </c>
      <c r="O307" s="9">
        <f>'MKT DATA'!S1015</f>
        <v>0</v>
      </c>
      <c r="P307" s="9">
        <f>'MKT DATA'!T1015</f>
        <v>0</v>
      </c>
      <c r="Q307" s="44" t="str">
        <f t="shared" si="11"/>
        <v>syn BTCF7/BTCZ6/BTCV6/BTCG7/BTCU6/BTCX6</v>
      </c>
      <c r="R307" s="14">
        <f>'MKT DATA'!AB1015</f>
        <v>0</v>
      </c>
    </row>
    <row r="308" spans="5:18" x14ac:dyDescent="0.25">
      <c r="E308" s="44" t="str">
        <f>'MKT DATA'!B1016</f>
        <v>syn BTCF7/BTCZ6/BTCG7/BTCU6/BTCV6/BTCX6</v>
      </c>
      <c r="F308" s="14">
        <f>'MKT DATA'!J1016</f>
        <v>0</v>
      </c>
      <c r="G308" s="9">
        <f>'MKT DATA'!K1016</f>
        <v>0</v>
      </c>
      <c r="H308" s="9">
        <f>'MKT DATA'!L1016</f>
        <v>0</v>
      </c>
      <c r="I308" s="14">
        <f>'MKT DATA'!M1016</f>
        <v>0</v>
      </c>
      <c r="J308" s="44" t="str">
        <f t="shared" si="10"/>
        <v>syn BTCF7/BTCZ6/BTCG7/BTCU6/BTCV6/BTCX6</v>
      </c>
      <c r="K308" s="9">
        <f>'MKT DATA'!O1016</f>
        <v>0</v>
      </c>
      <c r="L308" s="9">
        <f>'MKT DATA'!P1016</f>
        <v>0</v>
      </c>
      <c r="M308" s="9">
        <f>'MKT DATA'!Q1016</f>
        <v>0</v>
      </c>
      <c r="N308" s="9">
        <f>'MKT DATA'!R1016</f>
        <v>0</v>
      </c>
      <c r="O308" s="9">
        <f>'MKT DATA'!S1016</f>
        <v>0</v>
      </c>
      <c r="P308" s="9">
        <f>'MKT DATA'!T1016</f>
        <v>0</v>
      </c>
      <c r="Q308" s="44" t="str">
        <f t="shared" si="11"/>
        <v>syn BTCF7/BTCZ6/BTCG7/BTCU6/BTCV6/BTCX6</v>
      </c>
      <c r="R308" s="14">
        <f>'MKT DATA'!AB1016</f>
        <v>0</v>
      </c>
    </row>
    <row r="309" spans="5:18" x14ac:dyDescent="0.25">
      <c r="E309" s="44" t="str">
        <f>'MKT DATA'!B1017</f>
        <v>syn BTCF7/BTCZ6/BTCG7/BTCV6/BTCU6/BTCX6</v>
      </c>
      <c r="F309" s="14">
        <f>'MKT DATA'!J1017</f>
        <v>0</v>
      </c>
      <c r="G309" s="9">
        <f>'MKT DATA'!K1017</f>
        <v>0</v>
      </c>
      <c r="H309" s="9">
        <f>'MKT DATA'!L1017</f>
        <v>0</v>
      </c>
      <c r="I309" s="14">
        <f>'MKT DATA'!M1017</f>
        <v>0</v>
      </c>
      <c r="J309" s="44" t="str">
        <f t="shared" si="10"/>
        <v>syn BTCF7/BTCZ6/BTCG7/BTCV6/BTCU6/BTCX6</v>
      </c>
      <c r="K309" s="9">
        <f>'MKT DATA'!O1017</f>
        <v>0</v>
      </c>
      <c r="L309" s="9">
        <f>'MKT DATA'!P1017</f>
        <v>0</v>
      </c>
      <c r="M309" s="9">
        <f>'MKT DATA'!Q1017</f>
        <v>0</v>
      </c>
      <c r="N309" s="9">
        <f>'MKT DATA'!R1017</f>
        <v>0</v>
      </c>
      <c r="O309" s="9">
        <f>'MKT DATA'!S1017</f>
        <v>0</v>
      </c>
      <c r="P309" s="9">
        <f>'MKT DATA'!T1017</f>
        <v>0</v>
      </c>
      <c r="Q309" s="44" t="str">
        <f t="shared" si="11"/>
        <v>syn BTCF7/BTCZ6/BTCG7/BTCV6/BTCU6/BTCX6</v>
      </c>
      <c r="R309" s="14">
        <f>'MKT DATA'!AB1017</f>
        <v>0</v>
      </c>
    </row>
    <row r="310" spans="5:18" x14ac:dyDescent="0.25">
      <c r="E310" s="44" t="str">
        <f>'MKT DATA'!B1018</f>
        <v>syn BTCF7/BTCG7/BTCU6/BTCV6/BTCZ6/BTCX6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BTCF7/BTCG7/BTCU6/BTCV6/BTCZ6/BTCX6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BTCF7/BTCG7/BTCU6/BTCV6/BTCZ6/BTCX6</v>
      </c>
      <c r="R310" s="14">
        <f>'MKT DATA'!AB1018</f>
        <v>0</v>
      </c>
    </row>
    <row r="311" spans="5:18" x14ac:dyDescent="0.25">
      <c r="E311" s="44" t="str">
        <f>'MKT DATA'!B1019</f>
        <v>syn BTCF7/BTCG7/BTCU6/BTCZ6/BTCV6/BTCX6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BTCF7/BTCG7/BTCU6/BTCZ6/BTCV6/BTCX6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BTCF7/BTCG7/BTCU6/BTCZ6/BTCV6/BTCX6</v>
      </c>
      <c r="R311" s="14">
        <f>'MKT DATA'!AB1019</f>
        <v>0</v>
      </c>
    </row>
    <row r="312" spans="5:18" x14ac:dyDescent="0.25">
      <c r="E312" s="44" t="str">
        <f>'MKT DATA'!B1020</f>
        <v>syn BTCF7/BTCG7/BTCV6/BTCU6/BTCZ6/BTCX6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BTCF7/BTCG7/BTCV6/BTCU6/BTCZ6/BTCX6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BTCF7/BTCG7/BTCV6/BTCU6/BTCZ6/BTCX6</v>
      </c>
      <c r="R312" s="14">
        <f>'MKT DATA'!AB1020</f>
        <v>0</v>
      </c>
    </row>
    <row r="313" spans="5:18" x14ac:dyDescent="0.25">
      <c r="E313" s="44" t="str">
        <f>'MKT DATA'!B1021</f>
        <v>syn BTCF7/BTCG7/BTCV6/BTCZ6/BTCU6/BTCX6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BTCF7/BTCG7/BTCV6/BTCZ6/BTCU6/BTCX6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BTCF7/BTCG7/BTCV6/BTCZ6/BTCU6/BTCX6</v>
      </c>
      <c r="R313" s="14">
        <f>'MKT DATA'!AB1021</f>
        <v>0</v>
      </c>
    </row>
    <row r="314" spans="5:18" x14ac:dyDescent="0.25">
      <c r="E314" s="44" t="str">
        <f>'MKT DATA'!B1022</f>
        <v>syn BTCF7/BTCG7/BTCZ6/BTCU6/BTCV6/BTCX6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BTCF7/BTCG7/BTCZ6/BTCU6/BTCV6/BTCX6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BTCF7/BTCG7/BTCZ6/BTCU6/BTCV6/BTCX6</v>
      </c>
      <c r="R314" s="14">
        <f>'MKT DATA'!AB1022</f>
        <v>0</v>
      </c>
    </row>
    <row r="315" spans="5:18" x14ac:dyDescent="0.25">
      <c r="E315" s="44" t="str">
        <f>'MKT DATA'!B1023</f>
        <v>syn BTCF7/BTCG7/BTCZ6/BTCV6/BTCU6/BTCX6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BTCF7/BTCG7/BTCZ6/BTCV6/BTCU6/BTCX6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BTCF7/BTCG7/BTCZ6/BTCV6/BTCU6/BTCX6</v>
      </c>
      <c r="R315" s="14">
        <f>'MKT DATA'!AB1023</f>
        <v>0</v>
      </c>
    </row>
    <row r="316" spans="5:18" x14ac:dyDescent="0.25">
      <c r="E316" s="44" t="str">
        <f>'MKT DATA'!B1024</f>
        <v>syn BTCG7/BTCU6/BTCV6/BTCZ6/BTCF7/BTCX6</v>
      </c>
      <c r="F316" s="14">
        <f>'MKT DATA'!J1024</f>
        <v>0</v>
      </c>
      <c r="G316" s="9">
        <f>'MKT DATA'!K1024</f>
        <v>0</v>
      </c>
      <c r="H316" s="9">
        <f>'MKT DATA'!L1024</f>
        <v>0</v>
      </c>
      <c r="I316" s="14">
        <f>'MKT DATA'!M1024</f>
        <v>0</v>
      </c>
      <c r="J316" s="44" t="str">
        <f t="shared" si="10"/>
        <v>syn BTCG7/BTCU6/BTCV6/BTCZ6/BTCF7/BTCX6</v>
      </c>
      <c r="K316" s="9">
        <f>'MKT DATA'!O1024</f>
        <v>0</v>
      </c>
      <c r="L316" s="9">
        <f>'MKT DATA'!P1024</f>
        <v>0</v>
      </c>
      <c r="M316" s="9">
        <f>'MKT DATA'!Q1024</f>
        <v>0</v>
      </c>
      <c r="N316" s="9">
        <f>'MKT DATA'!R1024</f>
        <v>0</v>
      </c>
      <c r="O316" s="9">
        <f>'MKT DATA'!S1024</f>
        <v>0</v>
      </c>
      <c r="P316" s="9">
        <f>'MKT DATA'!T1024</f>
        <v>0</v>
      </c>
      <c r="Q316" s="44" t="str">
        <f t="shared" si="11"/>
        <v>syn BTCG7/BTCU6/BTCV6/BTCZ6/BTCF7/BTCX6</v>
      </c>
      <c r="R316" s="14">
        <f>'MKT DATA'!AB1024</f>
        <v>0</v>
      </c>
    </row>
    <row r="317" spans="5:18" x14ac:dyDescent="0.25">
      <c r="E317" s="44" t="str">
        <f>'MKT DATA'!B1025</f>
        <v>syn BTCG7/BTCU6/BTCV6/BTCF7/BTCZ6/BTCX6</v>
      </c>
      <c r="F317" s="14">
        <f>'MKT DATA'!J1025</f>
        <v>0</v>
      </c>
      <c r="G317" s="9">
        <f>'MKT DATA'!K1025</f>
        <v>0</v>
      </c>
      <c r="H317" s="9">
        <f>'MKT DATA'!L1025</f>
        <v>0</v>
      </c>
      <c r="I317" s="14">
        <f>'MKT DATA'!M1025</f>
        <v>0</v>
      </c>
      <c r="J317" s="44" t="str">
        <f t="shared" si="10"/>
        <v>syn BTCG7/BTCU6/BTCV6/BTCF7/BTCZ6/BTCX6</v>
      </c>
      <c r="K317" s="9">
        <f>'MKT DATA'!O1025</f>
        <v>0</v>
      </c>
      <c r="L317" s="9">
        <f>'MKT DATA'!P1025</f>
        <v>0</v>
      </c>
      <c r="M317" s="9">
        <f>'MKT DATA'!Q1025</f>
        <v>0</v>
      </c>
      <c r="N317" s="9">
        <f>'MKT DATA'!R1025</f>
        <v>0</v>
      </c>
      <c r="O317" s="9">
        <f>'MKT DATA'!S1025</f>
        <v>0</v>
      </c>
      <c r="P317" s="9">
        <f>'MKT DATA'!T1025</f>
        <v>0</v>
      </c>
      <c r="Q317" s="44" t="str">
        <f t="shared" si="11"/>
        <v>syn BTCG7/BTCU6/BTCV6/BTCF7/BTCZ6/BTCX6</v>
      </c>
      <c r="R317" s="14">
        <f>'MKT DATA'!AB1025</f>
        <v>0</v>
      </c>
    </row>
    <row r="318" spans="5:18" x14ac:dyDescent="0.25">
      <c r="E318" s="44" t="str">
        <f>'MKT DATA'!B1026</f>
        <v>syn BTCG7/BTCU6/BTCZ6/BTCV6/BTCF7/BTCX6</v>
      </c>
      <c r="F318" s="14">
        <f>'MKT DATA'!J1026</f>
        <v>0</v>
      </c>
      <c r="G318" s="9">
        <f>'MKT DATA'!K1026</f>
        <v>0</v>
      </c>
      <c r="H318" s="9">
        <f>'MKT DATA'!L1026</f>
        <v>0</v>
      </c>
      <c r="I318" s="14">
        <f>'MKT DATA'!M1026</f>
        <v>0</v>
      </c>
      <c r="J318" s="44" t="str">
        <f t="shared" si="10"/>
        <v>syn BTCG7/BTCU6/BTCZ6/BTCV6/BTCF7/BTCX6</v>
      </c>
      <c r="K318" s="9">
        <f>'MKT DATA'!O1026</f>
        <v>0</v>
      </c>
      <c r="L318" s="9">
        <f>'MKT DATA'!P1026</f>
        <v>0</v>
      </c>
      <c r="M318" s="9">
        <f>'MKT DATA'!Q1026</f>
        <v>0</v>
      </c>
      <c r="N318" s="9">
        <f>'MKT DATA'!R1026</f>
        <v>0</v>
      </c>
      <c r="O318" s="9">
        <f>'MKT DATA'!S1026</f>
        <v>0</v>
      </c>
      <c r="P318" s="9">
        <f>'MKT DATA'!T1026</f>
        <v>0</v>
      </c>
      <c r="Q318" s="44" t="str">
        <f t="shared" si="11"/>
        <v>syn BTCG7/BTCU6/BTCZ6/BTCV6/BTCF7/BTCX6</v>
      </c>
      <c r="R318" s="14">
        <f>'MKT DATA'!AB1026</f>
        <v>0</v>
      </c>
    </row>
    <row r="319" spans="5:18" x14ac:dyDescent="0.25">
      <c r="E319" s="44" t="str">
        <f>'MKT DATA'!B1027</f>
        <v>syn BTCG7/BTCU6/BTCZ6/BTCF7/BTCV6/BTCX6</v>
      </c>
      <c r="F319" s="14">
        <f>'MKT DATA'!J1027</f>
        <v>0</v>
      </c>
      <c r="G319" s="9">
        <f>'MKT DATA'!K1027</f>
        <v>0</v>
      </c>
      <c r="H319" s="9">
        <f>'MKT DATA'!L1027</f>
        <v>0</v>
      </c>
      <c r="I319" s="14">
        <f>'MKT DATA'!M1027</f>
        <v>0</v>
      </c>
      <c r="J319" s="44" t="str">
        <f t="shared" si="10"/>
        <v>syn BTCG7/BTCU6/BTCZ6/BTCF7/BTCV6/BTCX6</v>
      </c>
      <c r="K319" s="9">
        <f>'MKT DATA'!O1027</f>
        <v>0</v>
      </c>
      <c r="L319" s="9">
        <f>'MKT DATA'!P1027</f>
        <v>0</v>
      </c>
      <c r="M319" s="9">
        <f>'MKT DATA'!Q1027</f>
        <v>0</v>
      </c>
      <c r="N319" s="9">
        <f>'MKT DATA'!R1027</f>
        <v>0</v>
      </c>
      <c r="O319" s="9">
        <f>'MKT DATA'!S1027</f>
        <v>0</v>
      </c>
      <c r="P319" s="9">
        <f>'MKT DATA'!T1027</f>
        <v>0</v>
      </c>
      <c r="Q319" s="44" t="str">
        <f t="shared" si="11"/>
        <v>syn BTCG7/BTCU6/BTCZ6/BTCF7/BTCV6/BTCX6</v>
      </c>
      <c r="R319" s="14">
        <f>'MKT DATA'!AB1027</f>
        <v>0</v>
      </c>
    </row>
    <row r="320" spans="5:18" x14ac:dyDescent="0.25">
      <c r="E320" s="44" t="str">
        <f>'MKT DATA'!B1028</f>
        <v>syn BTCG7/BTCU6/BTCF7/BTCV6/BTCZ6/BTCX6</v>
      </c>
      <c r="F320" s="14">
        <f>'MKT DATA'!J1028</f>
        <v>0</v>
      </c>
      <c r="G320" s="9">
        <f>'MKT DATA'!K1028</f>
        <v>0</v>
      </c>
      <c r="H320" s="9">
        <f>'MKT DATA'!L1028</f>
        <v>0</v>
      </c>
      <c r="I320" s="14">
        <f>'MKT DATA'!M1028</f>
        <v>0</v>
      </c>
      <c r="J320" s="44" t="str">
        <f t="shared" si="10"/>
        <v>syn BTCG7/BTCU6/BTCF7/BTCV6/BTCZ6/BTCX6</v>
      </c>
      <c r="K320" s="9">
        <f>'MKT DATA'!O1028</f>
        <v>0</v>
      </c>
      <c r="L320" s="9">
        <f>'MKT DATA'!P1028</f>
        <v>0</v>
      </c>
      <c r="M320" s="9">
        <f>'MKT DATA'!Q1028</f>
        <v>0</v>
      </c>
      <c r="N320" s="9">
        <f>'MKT DATA'!R1028</f>
        <v>0</v>
      </c>
      <c r="O320" s="9">
        <f>'MKT DATA'!S1028</f>
        <v>0</v>
      </c>
      <c r="P320" s="9">
        <f>'MKT DATA'!T1028</f>
        <v>0</v>
      </c>
      <c r="Q320" s="44" t="str">
        <f t="shared" si="11"/>
        <v>syn BTCG7/BTCU6/BTCF7/BTCV6/BTCZ6/BTCX6</v>
      </c>
      <c r="R320" s="14">
        <f>'MKT DATA'!AB1028</f>
        <v>0</v>
      </c>
    </row>
    <row r="321" spans="5:18" x14ac:dyDescent="0.25">
      <c r="E321" s="44" t="str">
        <f>'MKT DATA'!B1029</f>
        <v>syn BTCG7/BTCU6/BTCF7/BTCZ6/BTCV6/BTCX6</v>
      </c>
      <c r="F321" s="14">
        <f>'MKT DATA'!J1029</f>
        <v>0</v>
      </c>
      <c r="G321" s="9">
        <f>'MKT DATA'!K1029</f>
        <v>0</v>
      </c>
      <c r="H321" s="9">
        <f>'MKT DATA'!L1029</f>
        <v>0</v>
      </c>
      <c r="I321" s="14">
        <f>'MKT DATA'!M1029</f>
        <v>0</v>
      </c>
      <c r="J321" s="44" t="str">
        <f t="shared" si="10"/>
        <v>syn BTCG7/BTCU6/BTCF7/BTCZ6/BTCV6/BTCX6</v>
      </c>
      <c r="K321" s="9">
        <f>'MKT DATA'!O1029</f>
        <v>0</v>
      </c>
      <c r="L321" s="9">
        <f>'MKT DATA'!P1029</f>
        <v>0</v>
      </c>
      <c r="M321" s="9">
        <f>'MKT DATA'!Q1029</f>
        <v>0</v>
      </c>
      <c r="N321" s="9">
        <f>'MKT DATA'!R1029</f>
        <v>0</v>
      </c>
      <c r="O321" s="9">
        <f>'MKT DATA'!S1029</f>
        <v>0</v>
      </c>
      <c r="P321" s="9">
        <f>'MKT DATA'!T1029</f>
        <v>0</v>
      </c>
      <c r="Q321" s="44" t="str">
        <f t="shared" si="11"/>
        <v>syn BTCG7/BTCU6/BTCF7/BTCZ6/BTCV6/BTCX6</v>
      </c>
      <c r="R321" s="14">
        <f>'MKT DATA'!AB1029</f>
        <v>0</v>
      </c>
    </row>
    <row r="322" spans="5:18" x14ac:dyDescent="0.25">
      <c r="E322" s="44" t="str">
        <f>'MKT DATA'!B1030</f>
        <v>syn BTCG7/BTCV6/BTCU6/BTCZ6/BTCF7/BTCX6</v>
      </c>
      <c r="F322" s="14">
        <f>'MKT DATA'!J1030</f>
        <v>0</v>
      </c>
      <c r="G322" s="9">
        <f>'MKT DATA'!K1030</f>
        <v>0</v>
      </c>
      <c r="H322" s="9">
        <f>'MKT DATA'!L1030</f>
        <v>0</v>
      </c>
      <c r="I322" s="14">
        <f>'MKT DATA'!M1030</f>
        <v>0</v>
      </c>
      <c r="J322" s="44" t="str">
        <f t="shared" si="10"/>
        <v>syn BTCG7/BTCV6/BTCU6/BTCZ6/BTCF7/BTCX6</v>
      </c>
      <c r="K322" s="9">
        <f>'MKT DATA'!O1030</f>
        <v>0</v>
      </c>
      <c r="L322" s="9">
        <f>'MKT DATA'!P1030</f>
        <v>0</v>
      </c>
      <c r="M322" s="9">
        <f>'MKT DATA'!Q1030</f>
        <v>0</v>
      </c>
      <c r="N322" s="9">
        <f>'MKT DATA'!R1030</f>
        <v>0</v>
      </c>
      <c r="O322" s="9">
        <f>'MKT DATA'!S1030</f>
        <v>0</v>
      </c>
      <c r="P322" s="9">
        <f>'MKT DATA'!T1030</f>
        <v>0</v>
      </c>
      <c r="Q322" s="44" t="str">
        <f t="shared" si="11"/>
        <v>syn BTCG7/BTCV6/BTCU6/BTCZ6/BTCF7/BTCX6</v>
      </c>
      <c r="R322" s="14">
        <f>'MKT DATA'!AB1030</f>
        <v>0</v>
      </c>
    </row>
    <row r="323" spans="5:18" x14ac:dyDescent="0.25">
      <c r="E323" s="44" t="str">
        <f>'MKT DATA'!B1031</f>
        <v>syn BTCG7/BTCV6/BTCU6/BTCF7/BTCZ6/BTCX6</v>
      </c>
      <c r="F323" s="14">
        <f>'MKT DATA'!J1031</f>
        <v>0</v>
      </c>
      <c r="G323" s="9">
        <f>'MKT DATA'!K1031</f>
        <v>0</v>
      </c>
      <c r="H323" s="9">
        <f>'MKT DATA'!L1031</f>
        <v>0</v>
      </c>
      <c r="I323" s="14">
        <f>'MKT DATA'!M1031</f>
        <v>0</v>
      </c>
      <c r="J323" s="44" t="str">
        <f t="shared" si="10"/>
        <v>syn BTCG7/BTCV6/BTCU6/BTCF7/BTCZ6/BTCX6</v>
      </c>
      <c r="K323" s="9">
        <f>'MKT DATA'!O1031</f>
        <v>0</v>
      </c>
      <c r="L323" s="9">
        <f>'MKT DATA'!P1031</f>
        <v>0</v>
      </c>
      <c r="M323" s="9">
        <f>'MKT DATA'!Q1031</f>
        <v>0</v>
      </c>
      <c r="N323" s="9">
        <f>'MKT DATA'!R1031</f>
        <v>0</v>
      </c>
      <c r="O323" s="9">
        <f>'MKT DATA'!S1031</f>
        <v>0</v>
      </c>
      <c r="P323" s="9">
        <f>'MKT DATA'!T1031</f>
        <v>0</v>
      </c>
      <c r="Q323" s="44" t="str">
        <f t="shared" si="11"/>
        <v>syn BTCG7/BTCV6/BTCU6/BTCF7/BTCZ6/BTCX6</v>
      </c>
      <c r="R323" s="14">
        <f>'MKT DATA'!AB1031</f>
        <v>0</v>
      </c>
    </row>
    <row r="324" spans="5:18" x14ac:dyDescent="0.25">
      <c r="E324" s="44" t="str">
        <f>'MKT DATA'!B1032</f>
        <v>syn BTCG7/BTCV6/BTCZ6/BTCU6/BTCF7/BTCX6</v>
      </c>
      <c r="F324" s="14">
        <f>'MKT DATA'!J1032</f>
        <v>0</v>
      </c>
      <c r="G324" s="9">
        <f>'MKT DATA'!K1032</f>
        <v>0</v>
      </c>
      <c r="H324" s="9">
        <f>'MKT DATA'!L1032</f>
        <v>0</v>
      </c>
      <c r="I324" s="14">
        <f>'MKT DATA'!M1032</f>
        <v>0</v>
      </c>
      <c r="J324" s="44" t="str">
        <f t="shared" si="10"/>
        <v>syn BTCG7/BTCV6/BTCZ6/BTCU6/BTCF7/BTCX6</v>
      </c>
      <c r="K324" s="9">
        <f>'MKT DATA'!O1032</f>
        <v>0</v>
      </c>
      <c r="L324" s="9">
        <f>'MKT DATA'!P1032</f>
        <v>0</v>
      </c>
      <c r="M324" s="9">
        <f>'MKT DATA'!Q1032</f>
        <v>0</v>
      </c>
      <c r="N324" s="9">
        <f>'MKT DATA'!R1032</f>
        <v>0</v>
      </c>
      <c r="O324" s="9">
        <f>'MKT DATA'!S1032</f>
        <v>0</v>
      </c>
      <c r="P324" s="9">
        <f>'MKT DATA'!T1032</f>
        <v>0</v>
      </c>
      <c r="Q324" s="44" t="str">
        <f t="shared" si="11"/>
        <v>syn BTCG7/BTCV6/BTCZ6/BTCU6/BTCF7/BTCX6</v>
      </c>
      <c r="R324" s="14">
        <f>'MKT DATA'!AB1032</f>
        <v>0</v>
      </c>
    </row>
    <row r="325" spans="5:18" x14ac:dyDescent="0.25">
      <c r="E325" s="44" t="str">
        <f>'MKT DATA'!B1033</f>
        <v>syn BTCG7/BTCV6/BTCZ6/BTCF7/BTCU6/BTCX6</v>
      </c>
      <c r="F325" s="14">
        <f>'MKT DATA'!J1033</f>
        <v>0</v>
      </c>
      <c r="G325" s="9">
        <f>'MKT DATA'!K1033</f>
        <v>0</v>
      </c>
      <c r="H325" s="9">
        <f>'MKT DATA'!L1033</f>
        <v>0</v>
      </c>
      <c r="I325" s="14">
        <f>'MKT DATA'!M1033</f>
        <v>0</v>
      </c>
      <c r="J325" s="44" t="str">
        <f t="shared" si="10"/>
        <v>syn BTCG7/BTCV6/BTCZ6/BTCF7/BTCU6/BTCX6</v>
      </c>
      <c r="K325" s="9">
        <f>'MKT DATA'!O1033</f>
        <v>0</v>
      </c>
      <c r="L325" s="9">
        <f>'MKT DATA'!P1033</f>
        <v>0</v>
      </c>
      <c r="M325" s="9">
        <f>'MKT DATA'!Q1033</f>
        <v>0</v>
      </c>
      <c r="N325" s="9">
        <f>'MKT DATA'!R1033</f>
        <v>0</v>
      </c>
      <c r="O325" s="9">
        <f>'MKT DATA'!S1033</f>
        <v>0</v>
      </c>
      <c r="P325" s="9">
        <f>'MKT DATA'!T1033</f>
        <v>0</v>
      </c>
      <c r="Q325" s="44" t="str">
        <f t="shared" si="11"/>
        <v>syn BTCG7/BTCV6/BTCZ6/BTCF7/BTCU6/BTCX6</v>
      </c>
      <c r="R325" s="14">
        <f>'MKT DATA'!AB1033</f>
        <v>0</v>
      </c>
    </row>
    <row r="326" spans="5:18" x14ac:dyDescent="0.25">
      <c r="E326" s="44" t="str">
        <f>'MKT DATA'!B1034</f>
        <v>syn BTCG7/BTCV6/BTCF7/BTCU6/BTCZ6/BTCX6</v>
      </c>
      <c r="F326" s="14">
        <f>'MKT DATA'!J1034</f>
        <v>0</v>
      </c>
      <c r="G326" s="9">
        <f>'MKT DATA'!K1034</f>
        <v>0</v>
      </c>
      <c r="H326" s="9">
        <f>'MKT DATA'!L1034</f>
        <v>0</v>
      </c>
      <c r="I326" s="14">
        <f>'MKT DATA'!M1034</f>
        <v>0</v>
      </c>
      <c r="J326" s="44" t="str">
        <f t="shared" si="10"/>
        <v>syn BTCG7/BTCV6/BTCF7/BTCU6/BTCZ6/BTCX6</v>
      </c>
      <c r="K326" s="9">
        <f>'MKT DATA'!O1034</f>
        <v>0</v>
      </c>
      <c r="L326" s="9">
        <f>'MKT DATA'!P1034</f>
        <v>0</v>
      </c>
      <c r="M326" s="9">
        <f>'MKT DATA'!Q1034</f>
        <v>0</v>
      </c>
      <c r="N326" s="9">
        <f>'MKT DATA'!R1034</f>
        <v>0</v>
      </c>
      <c r="O326" s="9">
        <f>'MKT DATA'!S1034</f>
        <v>0</v>
      </c>
      <c r="P326" s="9">
        <f>'MKT DATA'!T1034</f>
        <v>0</v>
      </c>
      <c r="Q326" s="44" t="str">
        <f t="shared" si="11"/>
        <v>syn BTCG7/BTCV6/BTCF7/BTCU6/BTCZ6/BTCX6</v>
      </c>
      <c r="R326" s="14">
        <f>'MKT DATA'!AB1034</f>
        <v>0</v>
      </c>
    </row>
    <row r="327" spans="5:18" x14ac:dyDescent="0.25">
      <c r="E327" s="44" t="str">
        <f>'MKT DATA'!B1035</f>
        <v>syn BTCG7/BTCV6/BTCF7/BTCZ6/BTCU6/BTCX6</v>
      </c>
      <c r="F327" s="14">
        <f>'MKT DATA'!J1035</f>
        <v>0</v>
      </c>
      <c r="G327" s="9">
        <f>'MKT DATA'!K1035</f>
        <v>0</v>
      </c>
      <c r="H327" s="9">
        <f>'MKT DATA'!L1035</f>
        <v>0</v>
      </c>
      <c r="I327" s="14">
        <f>'MKT DATA'!M1035</f>
        <v>0</v>
      </c>
      <c r="J327" s="44" t="str">
        <f t="shared" si="10"/>
        <v>syn BTCG7/BTCV6/BTCF7/BTCZ6/BTCU6/BTCX6</v>
      </c>
      <c r="K327" s="9">
        <f>'MKT DATA'!O1035</f>
        <v>0</v>
      </c>
      <c r="L327" s="9">
        <f>'MKT DATA'!P1035</f>
        <v>0</v>
      </c>
      <c r="M327" s="9">
        <f>'MKT DATA'!Q1035</f>
        <v>0</v>
      </c>
      <c r="N327" s="9">
        <f>'MKT DATA'!R1035</f>
        <v>0</v>
      </c>
      <c r="O327" s="9">
        <f>'MKT DATA'!S1035</f>
        <v>0</v>
      </c>
      <c r="P327" s="9">
        <f>'MKT DATA'!T1035</f>
        <v>0</v>
      </c>
      <c r="Q327" s="44" t="str">
        <f t="shared" si="11"/>
        <v>syn BTCG7/BTCV6/BTCF7/BTCZ6/BTCU6/BTCX6</v>
      </c>
      <c r="R327" s="14">
        <f>'MKT DATA'!AB1035</f>
        <v>0</v>
      </c>
    </row>
    <row r="328" spans="5:18" x14ac:dyDescent="0.25">
      <c r="E328" s="44" t="str">
        <f>'MKT DATA'!B1036</f>
        <v>syn BTCG7/BTCZ6/BTCU6/BTCV6/BTCF7/BTCX6</v>
      </c>
      <c r="F328" s="14">
        <f>'MKT DATA'!J1036</f>
        <v>0</v>
      </c>
      <c r="G328" s="9">
        <f>'MKT DATA'!K1036</f>
        <v>0</v>
      </c>
      <c r="H328" s="9">
        <f>'MKT DATA'!L1036</f>
        <v>0</v>
      </c>
      <c r="I328" s="14">
        <f>'MKT DATA'!M1036</f>
        <v>0</v>
      </c>
      <c r="J328" s="44" t="str">
        <f t="shared" si="10"/>
        <v>syn BTCG7/BTCZ6/BTCU6/BTCV6/BTCF7/BTCX6</v>
      </c>
      <c r="K328" s="9">
        <f>'MKT DATA'!O1036</f>
        <v>0</v>
      </c>
      <c r="L328" s="9">
        <f>'MKT DATA'!P1036</f>
        <v>0</v>
      </c>
      <c r="M328" s="9">
        <f>'MKT DATA'!Q1036</f>
        <v>0</v>
      </c>
      <c r="N328" s="9">
        <f>'MKT DATA'!R1036</f>
        <v>0</v>
      </c>
      <c r="O328" s="9">
        <f>'MKT DATA'!S1036</f>
        <v>0</v>
      </c>
      <c r="P328" s="9">
        <f>'MKT DATA'!T1036</f>
        <v>0</v>
      </c>
      <c r="Q328" s="44" t="str">
        <f t="shared" si="11"/>
        <v>syn BTCG7/BTCZ6/BTCU6/BTCV6/BTCF7/BTCX6</v>
      </c>
      <c r="R328" s="14">
        <f>'MKT DATA'!AB1036</f>
        <v>0</v>
      </c>
    </row>
    <row r="329" spans="5:18" x14ac:dyDescent="0.25">
      <c r="E329" s="44" t="str">
        <f>'MKT DATA'!B1037</f>
        <v>syn BTCG7/BTCZ6/BTCU6/BTCF7/BTCV6/BTCX6</v>
      </c>
      <c r="F329" s="14">
        <f>'MKT DATA'!J1037</f>
        <v>0</v>
      </c>
      <c r="G329" s="9">
        <f>'MKT DATA'!K1037</f>
        <v>0</v>
      </c>
      <c r="H329" s="9">
        <f>'MKT DATA'!L1037</f>
        <v>0</v>
      </c>
      <c r="I329" s="14">
        <f>'MKT DATA'!M1037</f>
        <v>0</v>
      </c>
      <c r="J329" s="44" t="str">
        <f t="shared" si="10"/>
        <v>syn BTCG7/BTCZ6/BTCU6/BTCF7/BTCV6/BTCX6</v>
      </c>
      <c r="K329" s="9">
        <f>'MKT DATA'!O1037</f>
        <v>0</v>
      </c>
      <c r="L329" s="9">
        <f>'MKT DATA'!P1037</f>
        <v>0</v>
      </c>
      <c r="M329" s="9">
        <f>'MKT DATA'!Q1037</f>
        <v>0</v>
      </c>
      <c r="N329" s="9">
        <f>'MKT DATA'!R1037</f>
        <v>0</v>
      </c>
      <c r="O329" s="9">
        <f>'MKT DATA'!S1037</f>
        <v>0</v>
      </c>
      <c r="P329" s="9">
        <f>'MKT DATA'!T1037</f>
        <v>0</v>
      </c>
      <c r="Q329" s="44" t="str">
        <f t="shared" si="11"/>
        <v>syn BTCG7/BTCZ6/BTCU6/BTCF7/BTCV6/BTCX6</v>
      </c>
      <c r="R329" s="14">
        <f>'MKT DATA'!AB1037</f>
        <v>0</v>
      </c>
    </row>
    <row r="330" spans="5:18" x14ac:dyDescent="0.25">
      <c r="E330" s="44" t="str">
        <f>'MKT DATA'!B1038</f>
        <v>syn BTCG7/BTCZ6/BTCV6/BTCU6/BTCF7/BTCX6</v>
      </c>
      <c r="F330" s="14">
        <f>'MKT DATA'!J1038</f>
        <v>0</v>
      </c>
      <c r="G330" s="9">
        <f>'MKT DATA'!K1038</f>
        <v>0</v>
      </c>
      <c r="H330" s="9">
        <f>'MKT DATA'!L1038</f>
        <v>0</v>
      </c>
      <c r="I330" s="14">
        <f>'MKT DATA'!M1038</f>
        <v>0</v>
      </c>
      <c r="J330" s="44" t="str">
        <f t="shared" ref="J330:J333" si="12">E330</f>
        <v>syn BTCG7/BTCZ6/BTCV6/BTCU6/BTCF7/BTCX6</v>
      </c>
      <c r="K330" s="9">
        <f>'MKT DATA'!O1038</f>
        <v>0</v>
      </c>
      <c r="L330" s="9">
        <f>'MKT DATA'!P1038</f>
        <v>0</v>
      </c>
      <c r="M330" s="9">
        <f>'MKT DATA'!Q1038</f>
        <v>0</v>
      </c>
      <c r="N330" s="9">
        <f>'MKT DATA'!R1038</f>
        <v>0</v>
      </c>
      <c r="O330" s="9">
        <f>'MKT DATA'!S1038</f>
        <v>0</v>
      </c>
      <c r="P330" s="9">
        <f>'MKT DATA'!T1038</f>
        <v>0</v>
      </c>
      <c r="Q330" s="44" t="str">
        <f t="shared" ref="Q330:Q333" si="13">J330</f>
        <v>syn BTCG7/BTCZ6/BTCV6/BTCU6/BTCF7/BTCX6</v>
      </c>
      <c r="R330" s="14">
        <f>'MKT DATA'!AB1038</f>
        <v>0</v>
      </c>
    </row>
    <row r="331" spans="5:18" x14ac:dyDescent="0.25">
      <c r="E331" s="44" t="str">
        <f>'MKT DATA'!B1039</f>
        <v>syn BTCG7/BTCZ6/BTCV6/BTCF7/BTCU6/BTCX6</v>
      </c>
      <c r="F331" s="14">
        <f>'MKT DATA'!J1039</f>
        <v>0</v>
      </c>
      <c r="G331" s="9">
        <f>'MKT DATA'!K1039</f>
        <v>0</v>
      </c>
      <c r="H331" s="9">
        <f>'MKT DATA'!L1039</f>
        <v>0</v>
      </c>
      <c r="I331" s="14">
        <f>'MKT DATA'!M1039</f>
        <v>0</v>
      </c>
      <c r="J331" s="44" t="str">
        <f t="shared" si="12"/>
        <v>syn BTCG7/BTCZ6/BTCV6/BTCF7/BTCU6/BTCX6</v>
      </c>
      <c r="K331" s="9">
        <f>'MKT DATA'!O1039</f>
        <v>0</v>
      </c>
      <c r="L331" s="9">
        <f>'MKT DATA'!P1039</f>
        <v>0</v>
      </c>
      <c r="M331" s="9">
        <f>'MKT DATA'!Q1039</f>
        <v>0</v>
      </c>
      <c r="N331" s="9">
        <f>'MKT DATA'!R1039</f>
        <v>0</v>
      </c>
      <c r="O331" s="9">
        <f>'MKT DATA'!S1039</f>
        <v>0</v>
      </c>
      <c r="P331" s="9">
        <f>'MKT DATA'!T1039</f>
        <v>0</v>
      </c>
      <c r="Q331" s="44" t="str">
        <f t="shared" si="13"/>
        <v>syn BTCG7/BTCZ6/BTCV6/BTCF7/BTCU6/BTCX6</v>
      </c>
      <c r="R331" s="14">
        <f>'MKT DATA'!AB1039</f>
        <v>0</v>
      </c>
    </row>
    <row r="332" spans="5:18" x14ac:dyDescent="0.25">
      <c r="E332" s="44" t="str">
        <f>'MKT DATA'!B1040</f>
        <v>syn BTCG7/BTCZ6/BTCF7/BTCU6/BTCV6/BTCX6</v>
      </c>
      <c r="F332" s="14">
        <f>'MKT DATA'!J1040</f>
        <v>0</v>
      </c>
      <c r="G332" s="9">
        <f>'MKT DATA'!K1040</f>
        <v>0</v>
      </c>
      <c r="H332" s="9">
        <f>'MKT DATA'!L1040</f>
        <v>0</v>
      </c>
      <c r="I332" s="14">
        <f>'MKT DATA'!M1040</f>
        <v>0</v>
      </c>
      <c r="J332" s="44" t="str">
        <f t="shared" si="12"/>
        <v>syn BTCG7/BTCZ6/BTCF7/BTCU6/BTCV6/BTCX6</v>
      </c>
      <c r="K332" s="9">
        <f>'MKT DATA'!O1040</f>
        <v>0</v>
      </c>
      <c r="L332" s="9">
        <f>'MKT DATA'!P1040</f>
        <v>0</v>
      </c>
      <c r="M332" s="9">
        <f>'MKT DATA'!Q1040</f>
        <v>0</v>
      </c>
      <c r="N332" s="9">
        <f>'MKT DATA'!R1040</f>
        <v>0</v>
      </c>
      <c r="O332" s="9">
        <f>'MKT DATA'!S1040</f>
        <v>0</v>
      </c>
      <c r="P332" s="9">
        <f>'MKT DATA'!T1040</f>
        <v>0</v>
      </c>
      <c r="Q332" s="44" t="str">
        <f t="shared" si="13"/>
        <v>syn BTCG7/BTCZ6/BTCF7/BTCU6/BTCV6/BTCX6</v>
      </c>
      <c r="R332" s="14">
        <f>'MKT DATA'!AB1040</f>
        <v>0</v>
      </c>
    </row>
    <row r="333" spans="5:18" x14ac:dyDescent="0.25">
      <c r="E333" s="44" t="str">
        <f>'MKT DATA'!B1041</f>
        <v>syn BTCG7/BTCZ6/BTCF7/BTCV6/BTCU6/BTCX6</v>
      </c>
      <c r="F333" s="14">
        <f>'MKT DATA'!J1041</f>
        <v>0</v>
      </c>
      <c r="G333" s="9">
        <f>'MKT DATA'!K1041</f>
        <v>0</v>
      </c>
      <c r="H333" s="9">
        <f>'MKT DATA'!L1041</f>
        <v>0</v>
      </c>
      <c r="I333" s="14">
        <f>'MKT DATA'!M1041</f>
        <v>0</v>
      </c>
      <c r="J333" s="44" t="str">
        <f t="shared" si="12"/>
        <v>syn BTCG7/BTCZ6/BTCF7/BTCV6/BTCU6/BTCX6</v>
      </c>
      <c r="K333" s="9">
        <f>'MKT DATA'!O1041</f>
        <v>0</v>
      </c>
      <c r="L333" s="9">
        <f>'MKT DATA'!P1041</f>
        <v>0</v>
      </c>
      <c r="M333" s="9">
        <f>'MKT DATA'!Q1041</f>
        <v>0</v>
      </c>
      <c r="N333" s="9">
        <f>'MKT DATA'!R1041</f>
        <v>0</v>
      </c>
      <c r="O333" s="9">
        <f>'MKT DATA'!S1041</f>
        <v>0</v>
      </c>
      <c r="P333" s="9">
        <f>'MKT DATA'!T1041</f>
        <v>0</v>
      </c>
      <c r="Q333" s="44" t="str">
        <f t="shared" si="13"/>
        <v>syn BTCG7/BTCZ6/BTCF7/BTCV6/BTCU6/BTCX6</v>
      </c>
      <c r="R333" s="14">
        <f>'MKT DATA'!AB1041</f>
        <v>0</v>
      </c>
    </row>
    <row r="334" spans="5:18" x14ac:dyDescent="0.25">
      <c r="E334" s="44" t="str">
        <f>'MKT DATA'!B1042</f>
        <v>syn BTCG7/BTCF7/BTCU6/BTCV6/BTCZ6/BTCX6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BTCG7/BTCF7/BTCU6/BTCV6/BTCZ6/BTCX6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BTCG7/BTCF7/BTCU6/BTCV6/BTCZ6/BTCX6</v>
      </c>
      <c r="R334" s="14">
        <f>'MKT DATA'!AB1042</f>
        <v>0</v>
      </c>
    </row>
    <row r="335" spans="5:18" x14ac:dyDescent="0.25">
      <c r="E335" s="44" t="str">
        <f>'MKT DATA'!B1043</f>
        <v>syn BTCG7/BTCF7/BTCU6/BTCZ6/BTCV6/BTCX6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BTCG7/BTCF7/BTCU6/BTCZ6/BTCV6/BTCX6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BTCG7/BTCF7/BTCU6/BTCZ6/BTCV6/BTCX6</v>
      </c>
      <c r="R335" s="14">
        <f>'MKT DATA'!AB1043</f>
        <v>0</v>
      </c>
    </row>
    <row r="336" spans="5:18" x14ac:dyDescent="0.25">
      <c r="E336" s="44" t="str">
        <f>'MKT DATA'!B1044</f>
        <v>syn BTCG7/BTCF7/BTCV6/BTCU6/BTCZ6/BTCX6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BTCG7/BTCF7/BTCV6/BTCU6/BTCZ6/BTCX6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BTCG7/BTCF7/BTCV6/BTCU6/BTCZ6/BTCX6</v>
      </c>
      <c r="R336" s="14">
        <f>'MKT DATA'!AB1044</f>
        <v>0</v>
      </c>
    </row>
    <row r="337" spans="5:18" x14ac:dyDescent="0.25">
      <c r="E337" s="44" t="str">
        <f>'MKT DATA'!B1045</f>
        <v>syn BTCG7/BTCF7/BTCV6/BTCZ6/BTCU6/BTCX6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BTCG7/BTCF7/BTCV6/BTCZ6/BTCU6/BTCX6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BTCG7/BTCF7/BTCV6/BTCZ6/BTCU6/BTCX6</v>
      </c>
      <c r="R337" s="14">
        <f>'MKT DATA'!AB1045</f>
        <v>0</v>
      </c>
    </row>
    <row r="338" spans="5:18" x14ac:dyDescent="0.25">
      <c r="E338" s="44" t="str">
        <f>'MKT DATA'!B1046</f>
        <v>syn BTCG7/BTCF7/BTCZ6/BTCU6/BTCV6/BTCX6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BTCG7/BTCF7/BTCZ6/BTCU6/BTCV6/BTCX6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BTCG7/BTCF7/BTCZ6/BTCU6/BTCV6/BTCX6</v>
      </c>
      <c r="R338" s="14">
        <f>'MKT DATA'!AB1046</f>
        <v>0</v>
      </c>
    </row>
    <row r="339" spans="5:18" x14ac:dyDescent="0.25">
      <c r="E339" s="44" t="str">
        <f>'MKT DATA'!B1047</f>
        <v>syn BTCG7/BTCF7/BTCZ6/BTCV6/BTCU6/BTCX6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BTCG7/BTCF7/BTCZ6/BTCV6/BTCU6/BTCX6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BTCG7/BTCF7/BTCZ6/BTCV6/BTCU6/BTCX6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77090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77087.495999999999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82585</v>
      </c>
      <c r="I2" s="57"/>
      <c r="J2" s="59"/>
      <c r="K2" s="58"/>
      <c r="L2" s="58"/>
      <c r="M2" s="58">
        <f>'MKT DATA'!Q7-M1</f>
        <v>0</v>
      </c>
      <c r="N2" s="58">
        <f>'MKT DATA'!R7-N1</f>
        <v>-82587.504000000001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77090</v>
      </c>
      <c r="I4" s="58">
        <f>H4-(G14-H14)</f>
        <v>82585</v>
      </c>
      <c r="J4" s="44" t="s">
        <v>5</v>
      </c>
      <c r="L4" s="14"/>
      <c r="M4" s="51"/>
      <c r="N4" s="49">
        <f>N1+M1</f>
        <v>77087.495999999999</v>
      </c>
      <c r="O4" s="58">
        <f>(N14+M14)-N4</f>
        <v>-82587.504000000001</v>
      </c>
    </row>
    <row r="5" spans="1:24" x14ac:dyDescent="0.25">
      <c r="E5" s="44" t="s">
        <v>6</v>
      </c>
      <c r="G5" s="9">
        <f>G9-G11</f>
        <v>77090</v>
      </c>
      <c r="H5" s="9">
        <f>H9-H11</f>
        <v>83495</v>
      </c>
      <c r="J5" s="44" t="s">
        <v>6</v>
      </c>
      <c r="M5" s="9">
        <f>M9-M11</f>
        <v>77087.495999999999</v>
      </c>
      <c r="N5" s="9">
        <f>N9-N11</f>
        <v>83522.543999999994</v>
      </c>
    </row>
    <row r="6" spans="1:24" x14ac:dyDescent="0.25">
      <c r="E6" s="44" t="s">
        <v>7</v>
      </c>
      <c r="G6" s="9">
        <f>G9-G10</f>
        <v>76383.604294478529</v>
      </c>
      <c r="H6" s="9">
        <f>H9-H10</f>
        <v>82731.993865030672</v>
      </c>
      <c r="J6" s="44" t="s">
        <v>7</v>
      </c>
      <c r="M6" s="9">
        <f>M9-M10</f>
        <v>76381.276957055219</v>
      </c>
      <c r="N6" s="9">
        <f>N9-N10</f>
        <v>763.18279754601224</v>
      </c>
    </row>
    <row r="7" spans="1:24" x14ac:dyDescent="0.25">
      <c r="E7" s="44" t="s">
        <v>8</v>
      </c>
      <c r="G7" s="9">
        <f>G10-G11</f>
        <v>706.39570552147234</v>
      </c>
      <c r="H7" s="9">
        <f>H10-H11</f>
        <v>763.0061349693251</v>
      </c>
      <c r="J7" s="44" t="s">
        <v>8</v>
      </c>
      <c r="M7" s="9">
        <f>M10-M11</f>
        <v>706.21904294478531</v>
      </c>
      <c r="N7" s="9">
        <f>N10-N11</f>
        <v>82759.361202453976</v>
      </c>
    </row>
    <row r="9" spans="1:24" x14ac:dyDescent="0.25">
      <c r="E9" s="44" t="s">
        <v>1</v>
      </c>
      <c r="G9" s="9">
        <f>MAX(G$14:G$339)</f>
        <v>77090</v>
      </c>
      <c r="H9" s="9">
        <f>MAX(H$14:H$339)</f>
        <v>83495</v>
      </c>
      <c r="J9" s="44" t="str">
        <f>E9</f>
        <v>max</v>
      </c>
      <c r="L9" s="9">
        <f>MAX(L$14:L$339)</f>
        <v>77090</v>
      </c>
      <c r="M9" s="9">
        <f>MAX(M$14:M$339)</f>
        <v>77087.495999999999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706.39570552147234</v>
      </c>
      <c r="H10" s="9">
        <f>AVERAGE(H$14:H$339)</f>
        <v>763.0061349693251</v>
      </c>
      <c r="J10" s="44" t="str">
        <f t="shared" ref="J10" si="0">E10</f>
        <v>avg</v>
      </c>
      <c r="L10" s="9">
        <f>AVERAGE(L$14:L$339)</f>
        <v>706.39570552147234</v>
      </c>
      <c r="M10" s="9">
        <f>AVERAGE(M$14:M$339)</f>
        <v>706.21904294478531</v>
      </c>
      <c r="N10" s="9">
        <f>AVERAGE(N$14:N$339)</f>
        <v>-763.18279754601224</v>
      </c>
      <c r="O10" s="9">
        <f>AVERAGE(O$14:O$339)</f>
        <v>-763.0061349693251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-83522.543999999994</v>
      </c>
      <c r="O11" s="9">
        <f>MIN(O$14:O$339)</f>
        <v>-83495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BTCZ6</v>
      </c>
      <c r="F14" s="14">
        <f>'MKT DATA'!J34</f>
        <v>15</v>
      </c>
      <c r="G14" s="9">
        <f>'MKT DATA'!K34</f>
        <v>77090</v>
      </c>
      <c r="H14" s="9">
        <f>'MKT DATA'!L34</f>
        <v>82585</v>
      </c>
      <c r="I14" s="14">
        <f>'MKT DATA'!M34</f>
        <v>15</v>
      </c>
      <c r="J14" s="44" t="str">
        <f>E14</f>
        <v>BTCZ6</v>
      </c>
      <c r="K14" s="9">
        <f>'MKT DATA'!O34</f>
        <v>2.504</v>
      </c>
      <c r="L14" s="9">
        <f>'MKT DATA'!P34</f>
        <v>77090</v>
      </c>
      <c r="M14" s="9">
        <f>'MKT DATA'!Q34</f>
        <v>77087.495999999999</v>
      </c>
      <c r="N14" s="9">
        <f>'MKT DATA'!R34</f>
        <v>-82587.504000000001</v>
      </c>
      <c r="O14" s="9">
        <f>'MKT DATA'!S34</f>
        <v>-82585</v>
      </c>
      <c r="P14" s="9">
        <f>'MKT DATA'!T34</f>
        <v>2.504</v>
      </c>
      <c r="Q14" s="44" t="str">
        <f>J14</f>
        <v>BTCZ6</v>
      </c>
      <c r="R14" s="14">
        <f>'MKT DATA'!AB34</f>
        <v>0</v>
      </c>
    </row>
    <row r="15" spans="1:24" x14ac:dyDescent="0.25">
      <c r="E15" s="44" t="str">
        <f>'MKT DATA'!B1048</f>
        <v>syn BTCU6/BTCZ6</v>
      </c>
      <c r="F15" s="14">
        <f>'MKT DATA'!J1048</f>
        <v>3</v>
      </c>
      <c r="G15" s="9">
        <f>'MKT DATA'!K1048</f>
        <v>77015</v>
      </c>
      <c r="H15" s="9">
        <f>'MKT DATA'!L1048</f>
        <v>82660</v>
      </c>
      <c r="I15" s="14">
        <f>'MKT DATA'!M1048</f>
        <v>1</v>
      </c>
      <c r="J15" s="44" t="str">
        <f t="shared" ref="J15:J73" si="2">E15</f>
        <v>syn BTCU6/BTCZ6</v>
      </c>
      <c r="K15" s="9">
        <f>'MKT DATA'!O1048</f>
        <v>27.544</v>
      </c>
      <c r="L15" s="9">
        <f>'MKT DATA'!P1048</f>
        <v>77015</v>
      </c>
      <c r="M15" s="9">
        <f>'MKT DATA'!Q1048</f>
        <v>76987.456000000006</v>
      </c>
      <c r="N15" s="9">
        <f>'MKT DATA'!R1048</f>
        <v>-82687.543999999994</v>
      </c>
      <c r="O15" s="9">
        <f>'MKT DATA'!S1048</f>
        <v>-82660</v>
      </c>
      <c r="P15" s="9">
        <f>'MKT DATA'!T1048</f>
        <v>27.544</v>
      </c>
      <c r="Q15" s="44" t="str">
        <f t="shared" ref="Q15:Q73" si="3">J15</f>
        <v>syn BTCU6/BTCZ6</v>
      </c>
      <c r="R15" s="14">
        <f>'MKT DATA'!AB1048</f>
        <v>0</v>
      </c>
    </row>
    <row r="16" spans="1:24" x14ac:dyDescent="0.25">
      <c r="E16" s="44" t="str">
        <f>'MKT DATA'!B1049</f>
        <v>syn BTCV6/BTCZ6</v>
      </c>
      <c r="F16" s="14">
        <f>'MKT DATA'!J1049</f>
        <v>1</v>
      </c>
      <c r="G16" s="9">
        <f>'MKT DATA'!K1049</f>
        <v>76180</v>
      </c>
      <c r="H16" s="9">
        <f>'MKT DATA'!L1049</f>
        <v>83495</v>
      </c>
      <c r="I16" s="14">
        <f>'MKT DATA'!M1049</f>
        <v>1</v>
      </c>
      <c r="J16" s="44" t="str">
        <f t="shared" si="2"/>
        <v>syn BTCV6/BTCZ6</v>
      </c>
      <c r="K16" s="9">
        <f>'MKT DATA'!O1049</f>
        <v>27.544</v>
      </c>
      <c r="L16" s="9">
        <f>'MKT DATA'!P1049</f>
        <v>76180</v>
      </c>
      <c r="M16" s="9">
        <f>'MKT DATA'!Q1049</f>
        <v>76152.456000000006</v>
      </c>
      <c r="N16" s="9">
        <f>'MKT DATA'!R1049</f>
        <v>-83522.543999999994</v>
      </c>
      <c r="O16" s="9">
        <f>'MKT DATA'!S1049</f>
        <v>-83495</v>
      </c>
      <c r="P16" s="9">
        <f>'MKT DATA'!T1049</f>
        <v>27.544</v>
      </c>
      <c r="Q16" s="44" t="str">
        <f t="shared" si="3"/>
        <v>syn BTCV6/BTCZ6</v>
      </c>
      <c r="R16" s="14">
        <f>'MKT DATA'!AB1049</f>
        <v>0</v>
      </c>
    </row>
    <row r="17" spans="5:18" x14ac:dyDescent="0.25">
      <c r="E17" s="44" t="str">
        <f>'MKT DATA'!B1050</f>
        <v>syn BTCX6/BTCZ6</v>
      </c>
      <c r="F17" s="14">
        <f>'MKT DATA'!J1050</f>
        <v>0</v>
      </c>
      <c r="G17" s="9">
        <f>'MKT DATA'!K1050</f>
        <v>0</v>
      </c>
      <c r="H17" s="9">
        <f>'MKT DATA'!L1050</f>
        <v>0</v>
      </c>
      <c r="I17" s="14">
        <f>'MKT DATA'!M1050</f>
        <v>0</v>
      </c>
      <c r="J17" s="44" t="str">
        <f t="shared" si="2"/>
        <v>syn BTCX6/BTCZ6</v>
      </c>
      <c r="K17" s="9">
        <f>'MKT DATA'!O1050</f>
        <v>0</v>
      </c>
      <c r="L17" s="9">
        <f>'MKT DATA'!P1050</f>
        <v>0</v>
      </c>
      <c r="M17" s="9">
        <f>'MKT DATA'!Q1050</f>
        <v>0</v>
      </c>
      <c r="N17" s="9">
        <f>'MKT DATA'!R1050</f>
        <v>0</v>
      </c>
      <c r="O17" s="9">
        <f>'MKT DATA'!S1050</f>
        <v>0</v>
      </c>
      <c r="P17" s="9">
        <f>'MKT DATA'!T1050</f>
        <v>0</v>
      </c>
      <c r="Q17" s="44" t="str">
        <f t="shared" si="3"/>
        <v>syn BTCX6/BTCZ6</v>
      </c>
      <c r="R17" s="14">
        <f>'MKT DATA'!AB1050</f>
        <v>0</v>
      </c>
    </row>
    <row r="18" spans="5:18" x14ac:dyDescent="0.25">
      <c r="E18" s="44" t="str">
        <f>'MKT DATA'!B1051</f>
        <v>syn BTCF7/BTCZ6</v>
      </c>
      <c r="F18" s="14">
        <f>'MKT DATA'!J1051</f>
        <v>0</v>
      </c>
      <c r="G18" s="9">
        <f>'MKT DATA'!K1051</f>
        <v>0</v>
      </c>
      <c r="H18" s="9">
        <f>'MKT DATA'!L1051</f>
        <v>0</v>
      </c>
      <c r="I18" s="14">
        <f>'MKT DATA'!M1051</f>
        <v>0</v>
      </c>
      <c r="J18" s="44" t="str">
        <f t="shared" si="2"/>
        <v>syn BTCF7/BTCZ6</v>
      </c>
      <c r="K18" s="9">
        <f>'MKT DATA'!O1051</f>
        <v>0</v>
      </c>
      <c r="L18" s="9">
        <f>'MKT DATA'!P1051</f>
        <v>0</v>
      </c>
      <c r="M18" s="9">
        <f>'MKT DATA'!Q1051</f>
        <v>0</v>
      </c>
      <c r="N18" s="9">
        <f>'MKT DATA'!R1051</f>
        <v>0</v>
      </c>
      <c r="O18" s="9">
        <f>'MKT DATA'!S1051</f>
        <v>0</v>
      </c>
      <c r="P18" s="9">
        <f>'MKT DATA'!T1051</f>
        <v>0</v>
      </c>
      <c r="Q18" s="44" t="str">
        <f t="shared" si="3"/>
        <v>syn BTCF7/BTCZ6</v>
      </c>
      <c r="R18" s="14">
        <f>'MKT DATA'!AB1051</f>
        <v>0</v>
      </c>
    </row>
    <row r="19" spans="5:18" x14ac:dyDescent="0.25">
      <c r="E19" s="44" t="str">
        <f>'MKT DATA'!B1052</f>
        <v>syn BTCG7/BTCZ6</v>
      </c>
      <c r="F19" s="14">
        <f>'MKT DATA'!J1052</f>
        <v>0</v>
      </c>
      <c r="G19" s="9">
        <f>'MKT DATA'!K1052</f>
        <v>0</v>
      </c>
      <c r="H19" s="9">
        <f>'MKT DATA'!L1052</f>
        <v>0</v>
      </c>
      <c r="I19" s="14">
        <f>'MKT DATA'!M1052</f>
        <v>0</v>
      </c>
      <c r="J19" s="44" t="str">
        <f t="shared" si="2"/>
        <v>syn BTCG7/BTCZ6</v>
      </c>
      <c r="K19" s="9">
        <f>'MKT DATA'!O1052</f>
        <v>0</v>
      </c>
      <c r="L19" s="9">
        <f>'MKT DATA'!P1052</f>
        <v>0</v>
      </c>
      <c r="M19" s="9">
        <f>'MKT DATA'!Q1052</f>
        <v>0</v>
      </c>
      <c r="N19" s="9">
        <f>'MKT DATA'!R1052</f>
        <v>0</v>
      </c>
      <c r="O19" s="9">
        <f>'MKT DATA'!S1052</f>
        <v>0</v>
      </c>
      <c r="P19" s="9">
        <f>'MKT DATA'!T1052</f>
        <v>0</v>
      </c>
      <c r="Q19" s="44" t="str">
        <f t="shared" si="3"/>
        <v>syn BTCG7/BTCZ6</v>
      </c>
      <c r="R19" s="14">
        <f>'MKT DATA'!AB1052</f>
        <v>0</v>
      </c>
    </row>
    <row r="20" spans="5:18" x14ac:dyDescent="0.25">
      <c r="E20" s="44" t="str">
        <f>'MKT DATA'!B1053</f>
        <v>syn BTCU6/BTCV6/BTCZ6</v>
      </c>
      <c r="F20" s="14">
        <f>'MKT DATA'!J1053</f>
        <v>0</v>
      </c>
      <c r="G20" s="9">
        <f>'MKT DATA'!K1053</f>
        <v>0</v>
      </c>
      <c r="H20" s="9">
        <f>'MKT DATA'!L1053</f>
        <v>0</v>
      </c>
      <c r="I20" s="14">
        <f>'MKT DATA'!M1053</f>
        <v>0</v>
      </c>
      <c r="J20" s="44" t="str">
        <f t="shared" si="2"/>
        <v>syn BTCU6/BTCV6/BTCZ6</v>
      </c>
      <c r="K20" s="9">
        <f>'MKT DATA'!O1053</f>
        <v>0</v>
      </c>
      <c r="L20" s="9">
        <f>'MKT DATA'!P1053</f>
        <v>0</v>
      </c>
      <c r="M20" s="9">
        <f>'MKT DATA'!Q1053</f>
        <v>0</v>
      </c>
      <c r="N20" s="9">
        <f>'MKT DATA'!R1053</f>
        <v>0</v>
      </c>
      <c r="O20" s="9">
        <f>'MKT DATA'!S1053</f>
        <v>0</v>
      </c>
      <c r="P20" s="9">
        <f>'MKT DATA'!T1053</f>
        <v>0</v>
      </c>
      <c r="Q20" s="44" t="str">
        <f t="shared" si="3"/>
        <v>syn BTCU6/BTCV6/BTCZ6</v>
      </c>
      <c r="R20" s="14">
        <f>'MKT DATA'!AB1053</f>
        <v>0</v>
      </c>
    </row>
    <row r="21" spans="5:18" x14ac:dyDescent="0.25">
      <c r="E21" s="44" t="str">
        <f>'MKT DATA'!B1054</f>
        <v>syn BTCU6/BTCX6/BTCZ6</v>
      </c>
      <c r="F21" s="14">
        <f>'MKT DATA'!J1054</f>
        <v>0</v>
      </c>
      <c r="G21" s="9">
        <f>'MKT DATA'!K1054</f>
        <v>0</v>
      </c>
      <c r="H21" s="9">
        <f>'MKT DATA'!L1054</f>
        <v>0</v>
      </c>
      <c r="I21" s="14">
        <f>'MKT DATA'!M1054</f>
        <v>0</v>
      </c>
      <c r="J21" s="44" t="str">
        <f t="shared" si="2"/>
        <v>syn BTCU6/BTCX6/BTCZ6</v>
      </c>
      <c r="K21" s="9">
        <f>'MKT DATA'!O1054</f>
        <v>0</v>
      </c>
      <c r="L21" s="9">
        <f>'MKT DATA'!P1054</f>
        <v>0</v>
      </c>
      <c r="M21" s="9">
        <f>'MKT DATA'!Q1054</f>
        <v>0</v>
      </c>
      <c r="N21" s="9">
        <f>'MKT DATA'!R1054</f>
        <v>0</v>
      </c>
      <c r="O21" s="9">
        <f>'MKT DATA'!S1054</f>
        <v>0</v>
      </c>
      <c r="P21" s="9">
        <f>'MKT DATA'!T1054</f>
        <v>0</v>
      </c>
      <c r="Q21" s="44" t="str">
        <f t="shared" si="3"/>
        <v>syn BTCU6/BTCX6/BTCZ6</v>
      </c>
      <c r="R21" s="14">
        <f>'MKT DATA'!AB1054</f>
        <v>0</v>
      </c>
    </row>
    <row r="22" spans="5:18" x14ac:dyDescent="0.25">
      <c r="E22" s="44" t="str">
        <f>'MKT DATA'!B1055</f>
        <v>syn BTCU6/BTCF7/BTCZ6</v>
      </c>
      <c r="F22" s="14">
        <f>'MKT DATA'!J1055</f>
        <v>0</v>
      </c>
      <c r="G22" s="9">
        <f>'MKT DATA'!K1055</f>
        <v>0</v>
      </c>
      <c r="H22" s="9">
        <f>'MKT DATA'!L1055</f>
        <v>0</v>
      </c>
      <c r="I22" s="14">
        <f>'MKT DATA'!M1055</f>
        <v>0</v>
      </c>
      <c r="J22" s="44" t="str">
        <f t="shared" si="2"/>
        <v>syn BTCU6/BTCF7/BTCZ6</v>
      </c>
      <c r="K22" s="9">
        <f>'MKT DATA'!O1055</f>
        <v>0</v>
      </c>
      <c r="L22" s="9">
        <f>'MKT DATA'!P1055</f>
        <v>0</v>
      </c>
      <c r="M22" s="9">
        <f>'MKT DATA'!Q1055</f>
        <v>0</v>
      </c>
      <c r="N22" s="9">
        <f>'MKT DATA'!R1055</f>
        <v>0</v>
      </c>
      <c r="O22" s="9">
        <f>'MKT DATA'!S1055</f>
        <v>0</v>
      </c>
      <c r="P22" s="9">
        <f>'MKT DATA'!T1055</f>
        <v>0</v>
      </c>
      <c r="Q22" s="44" t="str">
        <f t="shared" si="3"/>
        <v>syn BTCU6/BTCF7/BTCZ6</v>
      </c>
      <c r="R22" s="14">
        <f>'MKT DATA'!AB1055</f>
        <v>0</v>
      </c>
    </row>
    <row r="23" spans="5:18" x14ac:dyDescent="0.25">
      <c r="E23" s="44" t="str">
        <f>'MKT DATA'!B1056</f>
        <v>syn BTCU6/BTCG7/BTCZ6</v>
      </c>
      <c r="F23" s="14">
        <f>'MKT DATA'!J1056</f>
        <v>0</v>
      </c>
      <c r="G23" s="9">
        <f>'MKT DATA'!K1056</f>
        <v>0</v>
      </c>
      <c r="H23" s="9">
        <f>'MKT DATA'!L1056</f>
        <v>0</v>
      </c>
      <c r="I23" s="14">
        <f>'MKT DATA'!M1056</f>
        <v>0</v>
      </c>
      <c r="J23" s="44" t="str">
        <f t="shared" si="2"/>
        <v>syn BTCU6/BTCG7/BTCZ6</v>
      </c>
      <c r="K23" s="9">
        <f>'MKT DATA'!O1056</f>
        <v>0</v>
      </c>
      <c r="L23" s="9">
        <f>'MKT DATA'!P1056</f>
        <v>0</v>
      </c>
      <c r="M23" s="9">
        <f>'MKT DATA'!Q1056</f>
        <v>0</v>
      </c>
      <c r="N23" s="9">
        <f>'MKT DATA'!R1056</f>
        <v>0</v>
      </c>
      <c r="O23" s="9">
        <f>'MKT DATA'!S1056</f>
        <v>0</v>
      </c>
      <c r="P23" s="9">
        <f>'MKT DATA'!T1056</f>
        <v>0</v>
      </c>
      <c r="Q23" s="44" t="str">
        <f t="shared" si="3"/>
        <v>syn BTCU6/BTCG7/BTCZ6</v>
      </c>
      <c r="R23" s="14">
        <f>'MKT DATA'!AB1056</f>
        <v>0</v>
      </c>
    </row>
    <row r="24" spans="5:18" x14ac:dyDescent="0.25">
      <c r="E24" s="44" t="str">
        <f>'MKT DATA'!B1057</f>
        <v>syn BTCV6/BTCU6/BTCZ6</v>
      </c>
      <c r="F24" s="14">
        <f>'MKT DATA'!J1057</f>
        <v>0</v>
      </c>
      <c r="G24" s="9">
        <f>'MKT DATA'!K1057</f>
        <v>0</v>
      </c>
      <c r="H24" s="9">
        <f>'MKT DATA'!L1057</f>
        <v>0</v>
      </c>
      <c r="I24" s="14">
        <f>'MKT DATA'!M1057</f>
        <v>0</v>
      </c>
      <c r="J24" s="44" t="str">
        <f t="shared" si="2"/>
        <v>syn BTCV6/BTCU6/BTCZ6</v>
      </c>
      <c r="K24" s="9">
        <f>'MKT DATA'!O1057</f>
        <v>0</v>
      </c>
      <c r="L24" s="9">
        <f>'MKT DATA'!P1057</f>
        <v>0</v>
      </c>
      <c r="M24" s="9">
        <f>'MKT DATA'!Q1057</f>
        <v>0</v>
      </c>
      <c r="N24" s="9">
        <f>'MKT DATA'!R1057</f>
        <v>0</v>
      </c>
      <c r="O24" s="9">
        <f>'MKT DATA'!S1057</f>
        <v>0</v>
      </c>
      <c r="P24" s="9">
        <f>'MKT DATA'!T1057</f>
        <v>0</v>
      </c>
      <c r="Q24" s="44" t="str">
        <f t="shared" si="3"/>
        <v>syn BTCV6/BTCU6/BTCZ6</v>
      </c>
      <c r="R24" s="14">
        <f>'MKT DATA'!AB1057</f>
        <v>0</v>
      </c>
    </row>
    <row r="25" spans="5:18" x14ac:dyDescent="0.25">
      <c r="E25" s="44" t="str">
        <f>'MKT DATA'!B1058</f>
        <v>syn BTCV6/BTCX6/BTCZ6</v>
      </c>
      <c r="F25" s="14">
        <f>'MKT DATA'!J1058</f>
        <v>0</v>
      </c>
      <c r="G25" s="9">
        <f>'MKT DATA'!K1058</f>
        <v>0</v>
      </c>
      <c r="H25" s="9">
        <f>'MKT DATA'!L1058</f>
        <v>0</v>
      </c>
      <c r="I25" s="14">
        <f>'MKT DATA'!M1058</f>
        <v>0</v>
      </c>
      <c r="J25" s="44" t="str">
        <f t="shared" si="2"/>
        <v>syn BTCV6/BTCX6/BTCZ6</v>
      </c>
      <c r="K25" s="9">
        <f>'MKT DATA'!O1058</f>
        <v>0</v>
      </c>
      <c r="L25" s="9">
        <f>'MKT DATA'!P1058</f>
        <v>0</v>
      </c>
      <c r="M25" s="9">
        <f>'MKT DATA'!Q1058</f>
        <v>0</v>
      </c>
      <c r="N25" s="9">
        <f>'MKT DATA'!R1058</f>
        <v>0</v>
      </c>
      <c r="O25" s="9">
        <f>'MKT DATA'!S1058</f>
        <v>0</v>
      </c>
      <c r="P25" s="9">
        <f>'MKT DATA'!T1058</f>
        <v>0</v>
      </c>
      <c r="Q25" s="44" t="str">
        <f t="shared" si="3"/>
        <v>syn BTCV6/BTCX6/BTCZ6</v>
      </c>
      <c r="R25" s="14">
        <f>'MKT DATA'!AB1058</f>
        <v>0</v>
      </c>
    </row>
    <row r="26" spans="5:18" x14ac:dyDescent="0.25">
      <c r="E26" s="44" t="str">
        <f>'MKT DATA'!B1059</f>
        <v>syn BTCV6/BTCF7/BTCZ6</v>
      </c>
      <c r="F26" s="14">
        <f>'MKT DATA'!J1059</f>
        <v>0</v>
      </c>
      <c r="G26" s="9">
        <f>'MKT DATA'!K1059</f>
        <v>0</v>
      </c>
      <c r="H26" s="9">
        <f>'MKT DATA'!L1059</f>
        <v>0</v>
      </c>
      <c r="I26" s="14">
        <f>'MKT DATA'!M1059</f>
        <v>0</v>
      </c>
      <c r="J26" s="44" t="str">
        <f t="shared" si="2"/>
        <v>syn BTCV6/BTCF7/BTCZ6</v>
      </c>
      <c r="K26" s="9">
        <f>'MKT DATA'!O1059</f>
        <v>0</v>
      </c>
      <c r="L26" s="9">
        <f>'MKT DATA'!P1059</f>
        <v>0</v>
      </c>
      <c r="M26" s="9">
        <f>'MKT DATA'!Q1059</f>
        <v>0</v>
      </c>
      <c r="N26" s="9">
        <f>'MKT DATA'!R1059</f>
        <v>0</v>
      </c>
      <c r="O26" s="9">
        <f>'MKT DATA'!S1059</f>
        <v>0</v>
      </c>
      <c r="P26" s="9">
        <f>'MKT DATA'!T1059</f>
        <v>0</v>
      </c>
      <c r="Q26" s="44" t="str">
        <f t="shared" si="3"/>
        <v>syn BTCV6/BTCF7/BTCZ6</v>
      </c>
      <c r="R26" s="14">
        <f>'MKT DATA'!AB1059</f>
        <v>0</v>
      </c>
    </row>
    <row r="27" spans="5:18" x14ac:dyDescent="0.25">
      <c r="E27" s="44" t="str">
        <f>'MKT DATA'!B1060</f>
        <v>syn BTCV6/BTCG7/BTCZ6</v>
      </c>
      <c r="F27" s="14">
        <f>'MKT DATA'!J1060</f>
        <v>0</v>
      </c>
      <c r="G27" s="9">
        <f>'MKT DATA'!K1060</f>
        <v>0</v>
      </c>
      <c r="H27" s="9">
        <f>'MKT DATA'!L1060</f>
        <v>0</v>
      </c>
      <c r="I27" s="14">
        <f>'MKT DATA'!M1060</f>
        <v>0</v>
      </c>
      <c r="J27" s="44" t="str">
        <f t="shared" si="2"/>
        <v>syn BTCV6/BTCG7/BTCZ6</v>
      </c>
      <c r="K27" s="9">
        <f>'MKT DATA'!O1060</f>
        <v>0</v>
      </c>
      <c r="L27" s="9">
        <f>'MKT DATA'!P1060</f>
        <v>0</v>
      </c>
      <c r="M27" s="9">
        <f>'MKT DATA'!Q1060</f>
        <v>0</v>
      </c>
      <c r="N27" s="9">
        <f>'MKT DATA'!R1060</f>
        <v>0</v>
      </c>
      <c r="O27" s="9">
        <f>'MKT DATA'!S1060</f>
        <v>0</v>
      </c>
      <c r="P27" s="9">
        <f>'MKT DATA'!T1060</f>
        <v>0</v>
      </c>
      <c r="Q27" s="44" t="str">
        <f t="shared" si="3"/>
        <v>syn BTCV6/BTCG7/BTCZ6</v>
      </c>
      <c r="R27" s="14">
        <f>'MKT DATA'!AB1060</f>
        <v>0</v>
      </c>
    </row>
    <row r="28" spans="5:18" x14ac:dyDescent="0.25">
      <c r="E28" s="44" t="str">
        <f>'MKT DATA'!B1061</f>
        <v>syn BTCX6/BTCU6/BTCZ6</v>
      </c>
      <c r="F28" s="14">
        <f>'MKT DATA'!J1061</f>
        <v>0</v>
      </c>
      <c r="G28" s="9">
        <f>'MKT DATA'!K1061</f>
        <v>0</v>
      </c>
      <c r="H28" s="9">
        <f>'MKT DATA'!L1061</f>
        <v>0</v>
      </c>
      <c r="I28" s="14">
        <f>'MKT DATA'!M1061</f>
        <v>0</v>
      </c>
      <c r="J28" s="44" t="str">
        <f t="shared" si="2"/>
        <v>syn BTCX6/BTCU6/BTCZ6</v>
      </c>
      <c r="K28" s="9">
        <f>'MKT DATA'!O1061</f>
        <v>0</v>
      </c>
      <c r="L28" s="9">
        <f>'MKT DATA'!P1061</f>
        <v>0</v>
      </c>
      <c r="M28" s="9">
        <f>'MKT DATA'!Q1061</f>
        <v>0</v>
      </c>
      <c r="N28" s="9">
        <f>'MKT DATA'!R1061</f>
        <v>0</v>
      </c>
      <c r="O28" s="9">
        <f>'MKT DATA'!S1061</f>
        <v>0</v>
      </c>
      <c r="P28" s="9">
        <f>'MKT DATA'!T1061</f>
        <v>0</v>
      </c>
      <c r="Q28" s="44" t="str">
        <f t="shared" si="3"/>
        <v>syn BTCX6/BTCU6/BTCZ6</v>
      </c>
      <c r="R28" s="14">
        <f>'MKT DATA'!AB1061</f>
        <v>0</v>
      </c>
    </row>
    <row r="29" spans="5:18" x14ac:dyDescent="0.25">
      <c r="E29" s="44" t="str">
        <f>'MKT DATA'!B1062</f>
        <v>syn BTCX6/BTCV6/BTCZ6</v>
      </c>
      <c r="F29" s="14">
        <f>'MKT DATA'!J1062</f>
        <v>0</v>
      </c>
      <c r="G29" s="9">
        <f>'MKT DATA'!K1062</f>
        <v>0</v>
      </c>
      <c r="H29" s="9">
        <f>'MKT DATA'!L1062</f>
        <v>0</v>
      </c>
      <c r="I29" s="14">
        <f>'MKT DATA'!M1062</f>
        <v>0</v>
      </c>
      <c r="J29" s="44" t="str">
        <f t="shared" si="2"/>
        <v>syn BTCX6/BTCV6/BTCZ6</v>
      </c>
      <c r="K29" s="9">
        <f>'MKT DATA'!O1062</f>
        <v>0</v>
      </c>
      <c r="L29" s="9">
        <f>'MKT DATA'!P1062</f>
        <v>0</v>
      </c>
      <c r="M29" s="9">
        <f>'MKT DATA'!Q1062</f>
        <v>0</v>
      </c>
      <c r="N29" s="9">
        <f>'MKT DATA'!R1062</f>
        <v>0</v>
      </c>
      <c r="O29" s="9">
        <f>'MKT DATA'!S1062</f>
        <v>0</v>
      </c>
      <c r="P29" s="9">
        <f>'MKT DATA'!T1062</f>
        <v>0</v>
      </c>
      <c r="Q29" s="44" t="str">
        <f t="shared" si="3"/>
        <v>syn BTCX6/BTCV6/BTCZ6</v>
      </c>
      <c r="R29" s="14">
        <f>'MKT DATA'!AB1062</f>
        <v>0</v>
      </c>
    </row>
    <row r="30" spans="5:18" x14ac:dyDescent="0.25">
      <c r="E30" s="44" t="str">
        <f>'MKT DATA'!B1063</f>
        <v>syn BTCX6/BTCF7/BTCZ6</v>
      </c>
      <c r="F30" s="14">
        <f>'MKT DATA'!J1063</f>
        <v>0</v>
      </c>
      <c r="G30" s="9">
        <f>'MKT DATA'!K1063</f>
        <v>0</v>
      </c>
      <c r="H30" s="9">
        <f>'MKT DATA'!L1063</f>
        <v>0</v>
      </c>
      <c r="I30" s="14">
        <f>'MKT DATA'!M1063</f>
        <v>0</v>
      </c>
      <c r="J30" s="44" t="str">
        <f t="shared" si="2"/>
        <v>syn BTCX6/BTCF7/BTCZ6</v>
      </c>
      <c r="K30" s="9">
        <f>'MKT DATA'!O1063</f>
        <v>0</v>
      </c>
      <c r="L30" s="9">
        <f>'MKT DATA'!P1063</f>
        <v>0</v>
      </c>
      <c r="M30" s="9">
        <f>'MKT DATA'!Q1063</f>
        <v>0</v>
      </c>
      <c r="N30" s="9">
        <f>'MKT DATA'!R1063</f>
        <v>0</v>
      </c>
      <c r="O30" s="9">
        <f>'MKT DATA'!S1063</f>
        <v>0</v>
      </c>
      <c r="P30" s="9">
        <f>'MKT DATA'!T1063</f>
        <v>0</v>
      </c>
      <c r="Q30" s="44" t="str">
        <f t="shared" si="3"/>
        <v>syn BTCX6/BTCF7/BTCZ6</v>
      </c>
      <c r="R30" s="14">
        <f>'MKT DATA'!AB1063</f>
        <v>0</v>
      </c>
    </row>
    <row r="31" spans="5:18" x14ac:dyDescent="0.25">
      <c r="E31" s="44" t="str">
        <f>'MKT DATA'!B1064</f>
        <v>syn BTCX6/BTCG7/BTCZ6</v>
      </c>
      <c r="F31" s="14">
        <f>'MKT DATA'!J1064</f>
        <v>0</v>
      </c>
      <c r="G31" s="9">
        <f>'MKT DATA'!K1064</f>
        <v>0</v>
      </c>
      <c r="H31" s="9">
        <f>'MKT DATA'!L1064</f>
        <v>0</v>
      </c>
      <c r="I31" s="14">
        <f>'MKT DATA'!M1064</f>
        <v>0</v>
      </c>
      <c r="J31" s="44" t="str">
        <f t="shared" si="2"/>
        <v>syn BTCX6/BTCG7/BTCZ6</v>
      </c>
      <c r="K31" s="9">
        <f>'MKT DATA'!O1064</f>
        <v>0</v>
      </c>
      <c r="L31" s="9">
        <f>'MKT DATA'!P1064</f>
        <v>0</v>
      </c>
      <c r="M31" s="9">
        <f>'MKT DATA'!Q1064</f>
        <v>0</v>
      </c>
      <c r="N31" s="9">
        <f>'MKT DATA'!R1064</f>
        <v>0</v>
      </c>
      <c r="O31" s="9">
        <f>'MKT DATA'!S1064</f>
        <v>0</v>
      </c>
      <c r="P31" s="9">
        <f>'MKT DATA'!T1064</f>
        <v>0</v>
      </c>
      <c r="Q31" s="44" t="str">
        <f t="shared" si="3"/>
        <v>syn BTCX6/BTCG7/BTCZ6</v>
      </c>
      <c r="R31" s="14">
        <f>'MKT DATA'!AB1064</f>
        <v>0</v>
      </c>
    </row>
    <row r="32" spans="5:18" x14ac:dyDescent="0.25">
      <c r="E32" s="44" t="str">
        <f>'MKT DATA'!B1065</f>
        <v>syn BTCF7/BTCU6/BTCZ6</v>
      </c>
      <c r="F32" s="14">
        <f>'MKT DATA'!J1065</f>
        <v>0</v>
      </c>
      <c r="G32" s="9">
        <f>'MKT DATA'!K1065</f>
        <v>0</v>
      </c>
      <c r="H32" s="9">
        <f>'MKT DATA'!L1065</f>
        <v>0</v>
      </c>
      <c r="I32" s="14">
        <f>'MKT DATA'!M1065</f>
        <v>0</v>
      </c>
      <c r="J32" s="44" t="str">
        <f t="shared" si="2"/>
        <v>syn BTCF7/BTCU6/BTCZ6</v>
      </c>
      <c r="K32" s="9">
        <f>'MKT DATA'!O1065</f>
        <v>0</v>
      </c>
      <c r="L32" s="9">
        <f>'MKT DATA'!P1065</f>
        <v>0</v>
      </c>
      <c r="M32" s="9">
        <f>'MKT DATA'!Q1065</f>
        <v>0</v>
      </c>
      <c r="N32" s="9">
        <f>'MKT DATA'!R1065</f>
        <v>0</v>
      </c>
      <c r="O32" s="9">
        <f>'MKT DATA'!S1065</f>
        <v>0</v>
      </c>
      <c r="P32" s="9">
        <f>'MKT DATA'!T1065</f>
        <v>0</v>
      </c>
      <c r="Q32" s="44" t="str">
        <f t="shared" si="3"/>
        <v>syn BTCF7/BTCU6/BTCZ6</v>
      </c>
      <c r="R32" s="14">
        <f>'MKT DATA'!AB1065</f>
        <v>0</v>
      </c>
    </row>
    <row r="33" spans="5:18" x14ac:dyDescent="0.25">
      <c r="E33" s="44" t="str">
        <f>'MKT DATA'!B1066</f>
        <v>syn BTCF7/BTCV6/BTCZ6</v>
      </c>
      <c r="F33" s="14">
        <f>'MKT DATA'!J1066</f>
        <v>0</v>
      </c>
      <c r="G33" s="9">
        <f>'MKT DATA'!K1066</f>
        <v>0</v>
      </c>
      <c r="H33" s="9">
        <f>'MKT DATA'!L1066</f>
        <v>0</v>
      </c>
      <c r="I33" s="14">
        <f>'MKT DATA'!M1066</f>
        <v>0</v>
      </c>
      <c r="J33" s="44" t="str">
        <f t="shared" si="2"/>
        <v>syn BTCF7/BTCV6/BTCZ6</v>
      </c>
      <c r="K33" s="9">
        <f>'MKT DATA'!O1066</f>
        <v>0</v>
      </c>
      <c r="L33" s="9">
        <f>'MKT DATA'!P1066</f>
        <v>0</v>
      </c>
      <c r="M33" s="9">
        <f>'MKT DATA'!Q1066</f>
        <v>0</v>
      </c>
      <c r="N33" s="9">
        <f>'MKT DATA'!R1066</f>
        <v>0</v>
      </c>
      <c r="O33" s="9">
        <f>'MKT DATA'!S1066</f>
        <v>0</v>
      </c>
      <c r="P33" s="9">
        <f>'MKT DATA'!T1066</f>
        <v>0</v>
      </c>
      <c r="Q33" s="44" t="str">
        <f t="shared" si="3"/>
        <v>syn BTCF7/BTCV6/BTCZ6</v>
      </c>
      <c r="R33" s="14">
        <f>'MKT DATA'!AB1066</f>
        <v>0</v>
      </c>
    </row>
    <row r="34" spans="5:18" x14ac:dyDescent="0.25">
      <c r="E34" s="44" t="str">
        <f>'MKT DATA'!B1067</f>
        <v>syn BTCF7/BTCX6/BTCZ6</v>
      </c>
      <c r="F34" s="14">
        <f>'MKT DATA'!J1067</f>
        <v>0</v>
      </c>
      <c r="G34" s="9">
        <f>'MKT DATA'!K1067</f>
        <v>0</v>
      </c>
      <c r="H34" s="9">
        <f>'MKT DATA'!L1067</f>
        <v>0</v>
      </c>
      <c r="I34" s="14">
        <f>'MKT DATA'!M1067</f>
        <v>0</v>
      </c>
      <c r="J34" s="44" t="str">
        <f t="shared" si="2"/>
        <v>syn BTCF7/BTCX6/BTCZ6</v>
      </c>
      <c r="K34" s="9">
        <f>'MKT DATA'!O1067</f>
        <v>0</v>
      </c>
      <c r="L34" s="9">
        <f>'MKT DATA'!P1067</f>
        <v>0</v>
      </c>
      <c r="M34" s="9">
        <f>'MKT DATA'!Q1067</f>
        <v>0</v>
      </c>
      <c r="N34" s="9">
        <f>'MKT DATA'!R1067</f>
        <v>0</v>
      </c>
      <c r="O34" s="9">
        <f>'MKT DATA'!S1067</f>
        <v>0</v>
      </c>
      <c r="P34" s="9">
        <f>'MKT DATA'!T1067</f>
        <v>0</v>
      </c>
      <c r="Q34" s="44" t="str">
        <f t="shared" si="3"/>
        <v>syn BTCF7/BTCX6/BTCZ6</v>
      </c>
      <c r="R34" s="14">
        <f>'MKT DATA'!AB1067</f>
        <v>0</v>
      </c>
    </row>
    <row r="35" spans="5:18" x14ac:dyDescent="0.25">
      <c r="E35" s="44" t="str">
        <f>'MKT DATA'!B1068</f>
        <v>syn BTCF7/BTCG7/BTCZ6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BTCF7/BTCG7/BTCZ6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BTCF7/BTCG7/BTCZ6</v>
      </c>
      <c r="R35" s="14">
        <f>'MKT DATA'!AB1068</f>
        <v>0</v>
      </c>
    </row>
    <row r="36" spans="5:18" x14ac:dyDescent="0.25">
      <c r="E36" s="44" t="str">
        <f>'MKT DATA'!B1069</f>
        <v>syn BTCG7/BTCU6/BTCZ6</v>
      </c>
      <c r="F36" s="14">
        <f>'MKT DATA'!J1069</f>
        <v>0</v>
      </c>
      <c r="G36" s="9">
        <f>'MKT DATA'!K1069</f>
        <v>0</v>
      </c>
      <c r="H36" s="9">
        <f>'MKT DATA'!L1069</f>
        <v>0</v>
      </c>
      <c r="I36" s="14">
        <f>'MKT DATA'!M1069</f>
        <v>0</v>
      </c>
      <c r="J36" s="44" t="str">
        <f t="shared" si="2"/>
        <v>syn BTCG7/BTCU6/BTCZ6</v>
      </c>
      <c r="K36" s="9">
        <f>'MKT DATA'!O1069</f>
        <v>0</v>
      </c>
      <c r="L36" s="9">
        <f>'MKT DATA'!P1069</f>
        <v>0</v>
      </c>
      <c r="M36" s="9">
        <f>'MKT DATA'!Q1069</f>
        <v>0</v>
      </c>
      <c r="N36" s="9">
        <f>'MKT DATA'!R1069</f>
        <v>0</v>
      </c>
      <c r="O36" s="9">
        <f>'MKT DATA'!S1069</f>
        <v>0</v>
      </c>
      <c r="P36" s="9">
        <f>'MKT DATA'!T1069</f>
        <v>0</v>
      </c>
      <c r="Q36" s="44" t="str">
        <f t="shared" si="3"/>
        <v>syn BTCG7/BTCU6/BTCZ6</v>
      </c>
      <c r="R36" s="14">
        <f>'MKT DATA'!AB1069</f>
        <v>0</v>
      </c>
    </row>
    <row r="37" spans="5:18" x14ac:dyDescent="0.25">
      <c r="E37" s="44" t="str">
        <f>'MKT DATA'!B1070</f>
        <v>syn BTCG7/BTCV6/BTCZ6</v>
      </c>
      <c r="F37" s="14">
        <f>'MKT DATA'!J1070</f>
        <v>0</v>
      </c>
      <c r="G37" s="9">
        <f>'MKT DATA'!K1070</f>
        <v>0</v>
      </c>
      <c r="H37" s="9">
        <f>'MKT DATA'!L1070</f>
        <v>0</v>
      </c>
      <c r="I37" s="14">
        <f>'MKT DATA'!M1070</f>
        <v>0</v>
      </c>
      <c r="J37" s="44" t="str">
        <f t="shared" si="2"/>
        <v>syn BTCG7/BTCV6/BTCZ6</v>
      </c>
      <c r="K37" s="9">
        <f>'MKT DATA'!O1070</f>
        <v>0</v>
      </c>
      <c r="L37" s="9">
        <f>'MKT DATA'!P1070</f>
        <v>0</v>
      </c>
      <c r="M37" s="9">
        <f>'MKT DATA'!Q1070</f>
        <v>0</v>
      </c>
      <c r="N37" s="9">
        <f>'MKT DATA'!R1070</f>
        <v>0</v>
      </c>
      <c r="O37" s="9">
        <f>'MKT DATA'!S1070</f>
        <v>0</v>
      </c>
      <c r="P37" s="9">
        <f>'MKT DATA'!T1070</f>
        <v>0</v>
      </c>
      <c r="Q37" s="44" t="str">
        <f t="shared" si="3"/>
        <v>syn BTCG7/BTCV6/BTCZ6</v>
      </c>
      <c r="R37" s="14">
        <f>'MKT DATA'!AB1070</f>
        <v>0</v>
      </c>
    </row>
    <row r="38" spans="5:18" x14ac:dyDescent="0.25">
      <c r="E38" s="44" t="str">
        <f>'MKT DATA'!B1071</f>
        <v>syn BTCG7/BTCX6/BTCZ6</v>
      </c>
      <c r="F38" s="14">
        <f>'MKT DATA'!J1071</f>
        <v>0</v>
      </c>
      <c r="G38" s="9">
        <f>'MKT DATA'!K1071</f>
        <v>0</v>
      </c>
      <c r="H38" s="9">
        <f>'MKT DATA'!L1071</f>
        <v>0</v>
      </c>
      <c r="I38" s="14">
        <f>'MKT DATA'!M1071</f>
        <v>0</v>
      </c>
      <c r="J38" s="44" t="str">
        <f t="shared" si="2"/>
        <v>syn BTCG7/BTCX6/BTCZ6</v>
      </c>
      <c r="K38" s="9">
        <f>'MKT DATA'!O1071</f>
        <v>0</v>
      </c>
      <c r="L38" s="9">
        <f>'MKT DATA'!P1071</f>
        <v>0</v>
      </c>
      <c r="M38" s="9">
        <f>'MKT DATA'!Q1071</f>
        <v>0</v>
      </c>
      <c r="N38" s="9">
        <f>'MKT DATA'!R1071</f>
        <v>0</v>
      </c>
      <c r="O38" s="9">
        <f>'MKT DATA'!S1071</f>
        <v>0</v>
      </c>
      <c r="P38" s="9">
        <f>'MKT DATA'!T1071</f>
        <v>0</v>
      </c>
      <c r="Q38" s="44" t="str">
        <f t="shared" si="3"/>
        <v>syn BTCG7/BTCX6/BTCZ6</v>
      </c>
      <c r="R38" s="14">
        <f>'MKT DATA'!AB1071</f>
        <v>0</v>
      </c>
    </row>
    <row r="39" spans="5:18" x14ac:dyDescent="0.25">
      <c r="E39" s="44" t="str">
        <f>'MKT DATA'!B1072</f>
        <v>syn BTCG7/BTCF7/BTCZ6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BTCG7/BTCF7/BTCZ6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BTCG7/BTCF7/BTCZ6</v>
      </c>
      <c r="R39" s="14">
        <f>'MKT DATA'!AB1072</f>
        <v>0</v>
      </c>
    </row>
    <row r="40" spans="5:18" x14ac:dyDescent="0.25">
      <c r="E40" s="44" t="str">
        <f>'MKT DATA'!B1073</f>
        <v>syn BTCU6/BTCV6/BTCX6/BTCZ6</v>
      </c>
      <c r="F40" s="14">
        <f>'MKT DATA'!J1073</f>
        <v>0</v>
      </c>
      <c r="G40" s="9">
        <f>'MKT DATA'!K1073</f>
        <v>0</v>
      </c>
      <c r="H40" s="9">
        <f>'MKT DATA'!L1073</f>
        <v>0</v>
      </c>
      <c r="I40" s="14">
        <f>'MKT DATA'!M1073</f>
        <v>0</v>
      </c>
      <c r="J40" s="44" t="str">
        <f t="shared" si="2"/>
        <v>syn BTCU6/BTCV6/BTCX6/BTCZ6</v>
      </c>
      <c r="K40" s="9">
        <f>'MKT DATA'!O1073</f>
        <v>0</v>
      </c>
      <c r="L40" s="9">
        <f>'MKT DATA'!P1073</f>
        <v>0</v>
      </c>
      <c r="M40" s="9">
        <f>'MKT DATA'!Q1073</f>
        <v>0</v>
      </c>
      <c r="N40" s="9">
        <f>'MKT DATA'!R1073</f>
        <v>0</v>
      </c>
      <c r="O40" s="9">
        <f>'MKT DATA'!S1073</f>
        <v>0</v>
      </c>
      <c r="P40" s="9">
        <f>'MKT DATA'!T1073</f>
        <v>0</v>
      </c>
      <c r="Q40" s="44" t="str">
        <f t="shared" si="3"/>
        <v>syn BTCU6/BTCV6/BTCX6/BTCZ6</v>
      </c>
      <c r="R40" s="14">
        <f>'MKT DATA'!AB1073</f>
        <v>0</v>
      </c>
    </row>
    <row r="41" spans="5:18" x14ac:dyDescent="0.25">
      <c r="E41" s="44" t="str">
        <f>'MKT DATA'!B1074</f>
        <v>syn BTCU6/BTCV6/BTCF7/BTCZ6</v>
      </c>
      <c r="F41" s="14">
        <f>'MKT DATA'!J1074</f>
        <v>0</v>
      </c>
      <c r="G41" s="9">
        <f>'MKT DATA'!K1074</f>
        <v>0</v>
      </c>
      <c r="H41" s="9">
        <f>'MKT DATA'!L1074</f>
        <v>0</v>
      </c>
      <c r="I41" s="14">
        <f>'MKT DATA'!M1074</f>
        <v>0</v>
      </c>
      <c r="J41" s="44" t="str">
        <f t="shared" si="2"/>
        <v>syn BTCU6/BTCV6/BTCF7/BTCZ6</v>
      </c>
      <c r="K41" s="9">
        <f>'MKT DATA'!O1074</f>
        <v>0</v>
      </c>
      <c r="L41" s="9">
        <f>'MKT DATA'!P1074</f>
        <v>0</v>
      </c>
      <c r="M41" s="9">
        <f>'MKT DATA'!Q1074</f>
        <v>0</v>
      </c>
      <c r="N41" s="9">
        <f>'MKT DATA'!R1074</f>
        <v>0</v>
      </c>
      <c r="O41" s="9">
        <f>'MKT DATA'!S1074</f>
        <v>0</v>
      </c>
      <c r="P41" s="9">
        <f>'MKT DATA'!T1074</f>
        <v>0</v>
      </c>
      <c r="Q41" s="44" t="str">
        <f t="shared" si="3"/>
        <v>syn BTCU6/BTCV6/BTCF7/BTCZ6</v>
      </c>
      <c r="R41" s="14">
        <f>'MKT DATA'!AB1074</f>
        <v>0</v>
      </c>
    </row>
    <row r="42" spans="5:18" x14ac:dyDescent="0.25">
      <c r="E42" s="44" t="str">
        <f>'MKT DATA'!B1075</f>
        <v>syn BTCU6/BTCV6/BTCG7/BTCZ6</v>
      </c>
      <c r="F42" s="14">
        <f>'MKT DATA'!J1075</f>
        <v>0</v>
      </c>
      <c r="G42" s="9">
        <f>'MKT DATA'!K1075</f>
        <v>0</v>
      </c>
      <c r="H42" s="9">
        <f>'MKT DATA'!L1075</f>
        <v>0</v>
      </c>
      <c r="I42" s="14">
        <f>'MKT DATA'!M1075</f>
        <v>0</v>
      </c>
      <c r="J42" s="44" t="str">
        <f t="shared" si="2"/>
        <v>syn BTCU6/BTCV6/BTCG7/BTCZ6</v>
      </c>
      <c r="K42" s="9">
        <f>'MKT DATA'!O1075</f>
        <v>0</v>
      </c>
      <c r="L42" s="9">
        <f>'MKT DATA'!P1075</f>
        <v>0</v>
      </c>
      <c r="M42" s="9">
        <f>'MKT DATA'!Q1075</f>
        <v>0</v>
      </c>
      <c r="N42" s="9">
        <f>'MKT DATA'!R1075</f>
        <v>0</v>
      </c>
      <c r="O42" s="9">
        <f>'MKT DATA'!S1075</f>
        <v>0</v>
      </c>
      <c r="P42" s="9">
        <f>'MKT DATA'!T1075</f>
        <v>0</v>
      </c>
      <c r="Q42" s="44" t="str">
        <f t="shared" si="3"/>
        <v>syn BTCU6/BTCV6/BTCG7/BTCZ6</v>
      </c>
      <c r="R42" s="14">
        <f>'MKT DATA'!AB1075</f>
        <v>0</v>
      </c>
    </row>
    <row r="43" spans="5:18" x14ac:dyDescent="0.25">
      <c r="E43" s="44" t="str">
        <f>'MKT DATA'!B1076</f>
        <v>syn BTCU6/BTCX6/BTCV6/BTCZ6</v>
      </c>
      <c r="F43" s="14">
        <f>'MKT DATA'!J1076</f>
        <v>0</v>
      </c>
      <c r="G43" s="9">
        <f>'MKT DATA'!K1076</f>
        <v>0</v>
      </c>
      <c r="H43" s="9">
        <f>'MKT DATA'!L1076</f>
        <v>0</v>
      </c>
      <c r="I43" s="14">
        <f>'MKT DATA'!M1076</f>
        <v>0</v>
      </c>
      <c r="J43" s="44" t="str">
        <f t="shared" si="2"/>
        <v>syn BTCU6/BTCX6/BTCV6/BTCZ6</v>
      </c>
      <c r="K43" s="9">
        <f>'MKT DATA'!O1076</f>
        <v>0</v>
      </c>
      <c r="L43" s="9">
        <f>'MKT DATA'!P1076</f>
        <v>0</v>
      </c>
      <c r="M43" s="9">
        <f>'MKT DATA'!Q1076</f>
        <v>0</v>
      </c>
      <c r="N43" s="9">
        <f>'MKT DATA'!R1076</f>
        <v>0</v>
      </c>
      <c r="O43" s="9">
        <f>'MKT DATA'!S1076</f>
        <v>0</v>
      </c>
      <c r="P43" s="9">
        <f>'MKT DATA'!T1076</f>
        <v>0</v>
      </c>
      <c r="Q43" s="44" t="str">
        <f t="shared" si="3"/>
        <v>syn BTCU6/BTCX6/BTCV6/BTCZ6</v>
      </c>
      <c r="R43" s="14">
        <f>'MKT DATA'!AB1076</f>
        <v>0</v>
      </c>
    </row>
    <row r="44" spans="5:18" x14ac:dyDescent="0.25">
      <c r="E44" s="44" t="str">
        <f>'MKT DATA'!B1077</f>
        <v>syn BTCU6/BTCX6/BTCF7/BTCZ6</v>
      </c>
      <c r="F44" s="14">
        <f>'MKT DATA'!J1077</f>
        <v>0</v>
      </c>
      <c r="G44" s="9">
        <f>'MKT DATA'!K1077</f>
        <v>0</v>
      </c>
      <c r="H44" s="9">
        <f>'MKT DATA'!L1077</f>
        <v>0</v>
      </c>
      <c r="I44" s="14">
        <f>'MKT DATA'!M1077</f>
        <v>0</v>
      </c>
      <c r="J44" s="44" t="str">
        <f t="shared" si="2"/>
        <v>syn BTCU6/BTCX6/BTCF7/BTCZ6</v>
      </c>
      <c r="K44" s="9">
        <f>'MKT DATA'!O1077</f>
        <v>0</v>
      </c>
      <c r="L44" s="9">
        <f>'MKT DATA'!P1077</f>
        <v>0</v>
      </c>
      <c r="M44" s="9">
        <f>'MKT DATA'!Q1077</f>
        <v>0</v>
      </c>
      <c r="N44" s="9">
        <f>'MKT DATA'!R1077</f>
        <v>0</v>
      </c>
      <c r="O44" s="9">
        <f>'MKT DATA'!S1077</f>
        <v>0</v>
      </c>
      <c r="P44" s="9">
        <f>'MKT DATA'!T1077</f>
        <v>0</v>
      </c>
      <c r="Q44" s="44" t="str">
        <f t="shared" si="3"/>
        <v>syn BTCU6/BTCX6/BTCF7/BTCZ6</v>
      </c>
      <c r="R44" s="14">
        <f>'MKT DATA'!AB1077</f>
        <v>0</v>
      </c>
    </row>
    <row r="45" spans="5:18" x14ac:dyDescent="0.25">
      <c r="E45" s="44" t="str">
        <f>'MKT DATA'!B1078</f>
        <v>syn BTCU6/BTCX6/BTCG7/BTCZ6</v>
      </c>
      <c r="F45" s="14">
        <f>'MKT DATA'!J1078</f>
        <v>0</v>
      </c>
      <c r="G45" s="9">
        <f>'MKT DATA'!K1078</f>
        <v>0</v>
      </c>
      <c r="H45" s="9">
        <f>'MKT DATA'!L1078</f>
        <v>0</v>
      </c>
      <c r="I45" s="14">
        <f>'MKT DATA'!M1078</f>
        <v>0</v>
      </c>
      <c r="J45" s="44" t="str">
        <f t="shared" si="2"/>
        <v>syn BTCU6/BTCX6/BTCG7/BTCZ6</v>
      </c>
      <c r="K45" s="9">
        <f>'MKT DATA'!O1078</f>
        <v>0</v>
      </c>
      <c r="L45" s="9">
        <f>'MKT DATA'!P1078</f>
        <v>0</v>
      </c>
      <c r="M45" s="9">
        <f>'MKT DATA'!Q1078</f>
        <v>0</v>
      </c>
      <c r="N45" s="9">
        <f>'MKT DATA'!R1078</f>
        <v>0</v>
      </c>
      <c r="O45" s="9">
        <f>'MKT DATA'!S1078</f>
        <v>0</v>
      </c>
      <c r="P45" s="9">
        <f>'MKT DATA'!T1078</f>
        <v>0</v>
      </c>
      <c r="Q45" s="44" t="str">
        <f t="shared" si="3"/>
        <v>syn BTCU6/BTCX6/BTCG7/BTCZ6</v>
      </c>
      <c r="R45" s="14">
        <f>'MKT DATA'!AB1078</f>
        <v>0</v>
      </c>
    </row>
    <row r="46" spans="5:18" x14ac:dyDescent="0.25">
      <c r="E46" s="44" t="str">
        <f>'MKT DATA'!B1079</f>
        <v>syn BTCU6/BTCF7/BTCV6/BTCZ6</v>
      </c>
      <c r="F46" s="14">
        <f>'MKT DATA'!J1079</f>
        <v>0</v>
      </c>
      <c r="G46" s="9">
        <f>'MKT DATA'!K1079</f>
        <v>0</v>
      </c>
      <c r="H46" s="9">
        <f>'MKT DATA'!L1079</f>
        <v>0</v>
      </c>
      <c r="I46" s="14">
        <f>'MKT DATA'!M1079</f>
        <v>0</v>
      </c>
      <c r="J46" s="44" t="str">
        <f t="shared" si="2"/>
        <v>syn BTCU6/BTCF7/BTCV6/BTCZ6</v>
      </c>
      <c r="K46" s="9">
        <f>'MKT DATA'!O1079</f>
        <v>0</v>
      </c>
      <c r="L46" s="9">
        <f>'MKT DATA'!P1079</f>
        <v>0</v>
      </c>
      <c r="M46" s="9">
        <f>'MKT DATA'!Q1079</f>
        <v>0</v>
      </c>
      <c r="N46" s="9">
        <f>'MKT DATA'!R1079</f>
        <v>0</v>
      </c>
      <c r="O46" s="9">
        <f>'MKT DATA'!S1079</f>
        <v>0</v>
      </c>
      <c r="P46" s="9">
        <f>'MKT DATA'!T1079</f>
        <v>0</v>
      </c>
      <c r="Q46" s="44" t="str">
        <f t="shared" si="3"/>
        <v>syn BTCU6/BTCF7/BTCV6/BTCZ6</v>
      </c>
      <c r="R46" s="14">
        <f>'MKT DATA'!AB1079</f>
        <v>0</v>
      </c>
    </row>
    <row r="47" spans="5:18" x14ac:dyDescent="0.25">
      <c r="E47" s="44" t="str">
        <f>'MKT DATA'!B1080</f>
        <v>syn BTCU6/BTCF7/BTCX6/BTCZ6</v>
      </c>
      <c r="F47" s="14">
        <f>'MKT DATA'!J1080</f>
        <v>0</v>
      </c>
      <c r="G47" s="9">
        <f>'MKT DATA'!K1080</f>
        <v>0</v>
      </c>
      <c r="H47" s="9">
        <f>'MKT DATA'!L1080</f>
        <v>0</v>
      </c>
      <c r="I47" s="14">
        <f>'MKT DATA'!M1080</f>
        <v>0</v>
      </c>
      <c r="J47" s="44" t="str">
        <f t="shared" si="2"/>
        <v>syn BTCU6/BTCF7/BTCX6/BTCZ6</v>
      </c>
      <c r="K47" s="9">
        <f>'MKT DATA'!O1080</f>
        <v>0</v>
      </c>
      <c r="L47" s="9">
        <f>'MKT DATA'!P1080</f>
        <v>0</v>
      </c>
      <c r="M47" s="9">
        <f>'MKT DATA'!Q1080</f>
        <v>0</v>
      </c>
      <c r="N47" s="9">
        <f>'MKT DATA'!R1080</f>
        <v>0</v>
      </c>
      <c r="O47" s="9">
        <f>'MKT DATA'!S1080</f>
        <v>0</v>
      </c>
      <c r="P47" s="9">
        <f>'MKT DATA'!T1080</f>
        <v>0</v>
      </c>
      <c r="Q47" s="44" t="str">
        <f t="shared" si="3"/>
        <v>syn BTCU6/BTCF7/BTCX6/BTCZ6</v>
      </c>
      <c r="R47" s="14">
        <f>'MKT DATA'!AB1080</f>
        <v>0</v>
      </c>
    </row>
    <row r="48" spans="5:18" x14ac:dyDescent="0.25">
      <c r="E48" s="44" t="str">
        <f>'MKT DATA'!B1081</f>
        <v>syn BTCU6/BTCF7/BTCG7/BTCZ6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BTCU6/BTCF7/BTCG7/BTCZ6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BTCU6/BTCF7/BTCG7/BTCZ6</v>
      </c>
      <c r="R48" s="14">
        <f>'MKT DATA'!AB1081</f>
        <v>0</v>
      </c>
    </row>
    <row r="49" spans="5:18" x14ac:dyDescent="0.25">
      <c r="E49" s="44" t="str">
        <f>'MKT DATA'!B1082</f>
        <v>syn BTCU6/BTCG7/BTCV6/BTCZ6</v>
      </c>
      <c r="F49" s="14">
        <f>'MKT DATA'!J1082</f>
        <v>0</v>
      </c>
      <c r="G49" s="9">
        <f>'MKT DATA'!K1082</f>
        <v>0</v>
      </c>
      <c r="H49" s="9">
        <f>'MKT DATA'!L1082</f>
        <v>0</v>
      </c>
      <c r="I49" s="14">
        <f>'MKT DATA'!M1082</f>
        <v>0</v>
      </c>
      <c r="J49" s="44" t="str">
        <f t="shared" si="2"/>
        <v>syn BTCU6/BTCG7/BTCV6/BTCZ6</v>
      </c>
      <c r="K49" s="9">
        <f>'MKT DATA'!O1082</f>
        <v>0</v>
      </c>
      <c r="L49" s="9">
        <f>'MKT DATA'!P1082</f>
        <v>0</v>
      </c>
      <c r="M49" s="9">
        <f>'MKT DATA'!Q1082</f>
        <v>0</v>
      </c>
      <c r="N49" s="9">
        <f>'MKT DATA'!R1082</f>
        <v>0</v>
      </c>
      <c r="O49" s="9">
        <f>'MKT DATA'!S1082</f>
        <v>0</v>
      </c>
      <c r="P49" s="9">
        <f>'MKT DATA'!T1082</f>
        <v>0</v>
      </c>
      <c r="Q49" s="44" t="str">
        <f t="shared" si="3"/>
        <v>syn BTCU6/BTCG7/BTCV6/BTCZ6</v>
      </c>
      <c r="R49" s="14">
        <f>'MKT DATA'!AB1082</f>
        <v>0</v>
      </c>
    </row>
    <row r="50" spans="5:18" x14ac:dyDescent="0.25">
      <c r="E50" s="44" t="str">
        <f>'MKT DATA'!B1083</f>
        <v>syn BTCU6/BTCG7/BTCX6/BTCZ6</v>
      </c>
      <c r="F50" s="14">
        <f>'MKT DATA'!J1083</f>
        <v>0</v>
      </c>
      <c r="G50" s="9">
        <f>'MKT DATA'!K1083</f>
        <v>0</v>
      </c>
      <c r="H50" s="9">
        <f>'MKT DATA'!L1083</f>
        <v>0</v>
      </c>
      <c r="I50" s="14">
        <f>'MKT DATA'!M1083</f>
        <v>0</v>
      </c>
      <c r="J50" s="44" t="str">
        <f t="shared" si="2"/>
        <v>syn BTCU6/BTCG7/BTCX6/BTCZ6</v>
      </c>
      <c r="K50" s="9">
        <f>'MKT DATA'!O1083</f>
        <v>0</v>
      </c>
      <c r="L50" s="9">
        <f>'MKT DATA'!P1083</f>
        <v>0</v>
      </c>
      <c r="M50" s="9">
        <f>'MKT DATA'!Q1083</f>
        <v>0</v>
      </c>
      <c r="N50" s="9">
        <f>'MKT DATA'!R1083</f>
        <v>0</v>
      </c>
      <c r="O50" s="9">
        <f>'MKT DATA'!S1083</f>
        <v>0</v>
      </c>
      <c r="P50" s="9">
        <f>'MKT DATA'!T1083</f>
        <v>0</v>
      </c>
      <c r="Q50" s="44" t="str">
        <f t="shared" si="3"/>
        <v>syn BTCU6/BTCG7/BTCX6/BTCZ6</v>
      </c>
      <c r="R50" s="14">
        <f>'MKT DATA'!AB1083</f>
        <v>0</v>
      </c>
    </row>
    <row r="51" spans="5:18" x14ac:dyDescent="0.25">
      <c r="E51" s="44" t="str">
        <f>'MKT DATA'!B1084</f>
        <v>syn BTCU6/BTCG7/BTCF7/BTCZ6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BTCU6/BTCG7/BTCF7/BTCZ6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BTCU6/BTCG7/BTCF7/BTCZ6</v>
      </c>
      <c r="R51" s="14">
        <f>'MKT DATA'!AB1084</f>
        <v>0</v>
      </c>
    </row>
    <row r="52" spans="5:18" x14ac:dyDescent="0.25">
      <c r="E52" s="44" t="str">
        <f>'MKT DATA'!B1085</f>
        <v>syn BTCV6/BTCU6/BTCX6/BTCZ6</v>
      </c>
      <c r="F52" s="14">
        <f>'MKT DATA'!J1085</f>
        <v>0</v>
      </c>
      <c r="G52" s="9">
        <f>'MKT DATA'!K1085</f>
        <v>0</v>
      </c>
      <c r="H52" s="9">
        <f>'MKT DATA'!L1085</f>
        <v>0</v>
      </c>
      <c r="I52" s="14">
        <f>'MKT DATA'!M1085</f>
        <v>0</v>
      </c>
      <c r="J52" s="44" t="str">
        <f t="shared" si="2"/>
        <v>syn BTCV6/BTCU6/BTCX6/BTCZ6</v>
      </c>
      <c r="K52" s="9">
        <f>'MKT DATA'!O1085</f>
        <v>0</v>
      </c>
      <c r="L52" s="9">
        <f>'MKT DATA'!P1085</f>
        <v>0</v>
      </c>
      <c r="M52" s="9">
        <f>'MKT DATA'!Q1085</f>
        <v>0</v>
      </c>
      <c r="N52" s="9">
        <f>'MKT DATA'!R1085</f>
        <v>0</v>
      </c>
      <c r="O52" s="9">
        <f>'MKT DATA'!S1085</f>
        <v>0</v>
      </c>
      <c r="P52" s="9">
        <f>'MKT DATA'!T1085</f>
        <v>0</v>
      </c>
      <c r="Q52" s="44" t="str">
        <f t="shared" si="3"/>
        <v>syn BTCV6/BTCU6/BTCX6/BTCZ6</v>
      </c>
      <c r="R52" s="14">
        <f>'MKT DATA'!AB1085</f>
        <v>0</v>
      </c>
    </row>
    <row r="53" spans="5:18" x14ac:dyDescent="0.25">
      <c r="E53" s="44" t="str">
        <f>'MKT DATA'!B1086</f>
        <v>syn BTCV6/BTCU6/BTCF7/BTCZ6</v>
      </c>
      <c r="F53" s="14">
        <f>'MKT DATA'!J1086</f>
        <v>0</v>
      </c>
      <c r="G53" s="9">
        <f>'MKT DATA'!K1086</f>
        <v>0</v>
      </c>
      <c r="H53" s="9">
        <f>'MKT DATA'!L1086</f>
        <v>0</v>
      </c>
      <c r="I53" s="14">
        <f>'MKT DATA'!M1086</f>
        <v>0</v>
      </c>
      <c r="J53" s="44" t="str">
        <f t="shared" si="2"/>
        <v>syn BTCV6/BTCU6/BTCF7/BTCZ6</v>
      </c>
      <c r="K53" s="9">
        <f>'MKT DATA'!O1086</f>
        <v>0</v>
      </c>
      <c r="L53" s="9">
        <f>'MKT DATA'!P1086</f>
        <v>0</v>
      </c>
      <c r="M53" s="9">
        <f>'MKT DATA'!Q1086</f>
        <v>0</v>
      </c>
      <c r="N53" s="9">
        <f>'MKT DATA'!R1086</f>
        <v>0</v>
      </c>
      <c r="O53" s="9">
        <f>'MKT DATA'!S1086</f>
        <v>0</v>
      </c>
      <c r="P53" s="9">
        <f>'MKT DATA'!T1086</f>
        <v>0</v>
      </c>
      <c r="Q53" s="44" t="str">
        <f t="shared" si="3"/>
        <v>syn BTCV6/BTCU6/BTCF7/BTCZ6</v>
      </c>
      <c r="R53" s="14">
        <f>'MKT DATA'!AB1086</f>
        <v>0</v>
      </c>
    </row>
    <row r="54" spans="5:18" x14ac:dyDescent="0.25">
      <c r="E54" s="44" t="str">
        <f>'MKT DATA'!B1087</f>
        <v>syn BTCV6/BTCU6/BTCG7/BTCZ6</v>
      </c>
      <c r="F54" s="14">
        <f>'MKT DATA'!J1087</f>
        <v>0</v>
      </c>
      <c r="G54" s="9">
        <f>'MKT DATA'!K1087</f>
        <v>0</v>
      </c>
      <c r="H54" s="9">
        <f>'MKT DATA'!L1087</f>
        <v>0</v>
      </c>
      <c r="I54" s="14">
        <f>'MKT DATA'!M1087</f>
        <v>0</v>
      </c>
      <c r="J54" s="44" t="str">
        <f t="shared" si="2"/>
        <v>syn BTCV6/BTCU6/BTCG7/BTCZ6</v>
      </c>
      <c r="K54" s="9">
        <f>'MKT DATA'!O1087</f>
        <v>0</v>
      </c>
      <c r="L54" s="9">
        <f>'MKT DATA'!P1087</f>
        <v>0</v>
      </c>
      <c r="M54" s="9">
        <f>'MKT DATA'!Q1087</f>
        <v>0</v>
      </c>
      <c r="N54" s="9">
        <f>'MKT DATA'!R1087</f>
        <v>0</v>
      </c>
      <c r="O54" s="9">
        <f>'MKT DATA'!S1087</f>
        <v>0</v>
      </c>
      <c r="P54" s="9">
        <f>'MKT DATA'!T1087</f>
        <v>0</v>
      </c>
      <c r="Q54" s="44" t="str">
        <f t="shared" si="3"/>
        <v>syn BTCV6/BTCU6/BTCG7/BTCZ6</v>
      </c>
      <c r="R54" s="14">
        <f>'MKT DATA'!AB1087</f>
        <v>0</v>
      </c>
    </row>
    <row r="55" spans="5:18" x14ac:dyDescent="0.25">
      <c r="E55" s="44" t="str">
        <f>'MKT DATA'!B1088</f>
        <v>syn BTCV6/BTCX6/BTCU6/BTCZ6</v>
      </c>
      <c r="F55" s="14">
        <f>'MKT DATA'!J1088</f>
        <v>0</v>
      </c>
      <c r="G55" s="9">
        <f>'MKT DATA'!K1088</f>
        <v>0</v>
      </c>
      <c r="H55" s="9">
        <f>'MKT DATA'!L1088</f>
        <v>0</v>
      </c>
      <c r="I55" s="14">
        <f>'MKT DATA'!M1088</f>
        <v>0</v>
      </c>
      <c r="J55" s="44" t="str">
        <f t="shared" si="2"/>
        <v>syn BTCV6/BTCX6/BTCU6/BTCZ6</v>
      </c>
      <c r="K55" s="9">
        <f>'MKT DATA'!O1088</f>
        <v>0</v>
      </c>
      <c r="L55" s="9">
        <f>'MKT DATA'!P1088</f>
        <v>0</v>
      </c>
      <c r="M55" s="9">
        <f>'MKT DATA'!Q1088</f>
        <v>0</v>
      </c>
      <c r="N55" s="9">
        <f>'MKT DATA'!R1088</f>
        <v>0</v>
      </c>
      <c r="O55" s="9">
        <f>'MKT DATA'!S1088</f>
        <v>0</v>
      </c>
      <c r="P55" s="9">
        <f>'MKT DATA'!T1088</f>
        <v>0</v>
      </c>
      <c r="Q55" s="44" t="str">
        <f t="shared" si="3"/>
        <v>syn BTCV6/BTCX6/BTCU6/BTCZ6</v>
      </c>
      <c r="R55" s="14">
        <f>'MKT DATA'!AB1088</f>
        <v>0</v>
      </c>
    </row>
    <row r="56" spans="5:18" x14ac:dyDescent="0.25">
      <c r="E56" s="44" t="str">
        <f>'MKT DATA'!B1089</f>
        <v>syn BTCV6/BTCX6/BTCF7/BTCZ6</v>
      </c>
      <c r="F56" s="14">
        <f>'MKT DATA'!J1089</f>
        <v>0</v>
      </c>
      <c r="G56" s="9">
        <f>'MKT DATA'!K1089</f>
        <v>0</v>
      </c>
      <c r="H56" s="9">
        <f>'MKT DATA'!L1089</f>
        <v>0</v>
      </c>
      <c r="I56" s="14">
        <f>'MKT DATA'!M1089</f>
        <v>0</v>
      </c>
      <c r="J56" s="44" t="str">
        <f t="shared" si="2"/>
        <v>syn BTCV6/BTCX6/BTCF7/BTCZ6</v>
      </c>
      <c r="K56" s="9">
        <f>'MKT DATA'!O1089</f>
        <v>0</v>
      </c>
      <c r="L56" s="9">
        <f>'MKT DATA'!P1089</f>
        <v>0</v>
      </c>
      <c r="M56" s="9">
        <f>'MKT DATA'!Q1089</f>
        <v>0</v>
      </c>
      <c r="N56" s="9">
        <f>'MKT DATA'!R1089</f>
        <v>0</v>
      </c>
      <c r="O56" s="9">
        <f>'MKT DATA'!S1089</f>
        <v>0</v>
      </c>
      <c r="P56" s="9">
        <f>'MKT DATA'!T1089</f>
        <v>0</v>
      </c>
      <c r="Q56" s="44" t="str">
        <f t="shared" si="3"/>
        <v>syn BTCV6/BTCX6/BTCF7/BTCZ6</v>
      </c>
      <c r="R56" s="14">
        <f>'MKT DATA'!AB1089</f>
        <v>0</v>
      </c>
    </row>
    <row r="57" spans="5:18" x14ac:dyDescent="0.25">
      <c r="E57" s="44" t="str">
        <f>'MKT DATA'!B1090</f>
        <v>syn BTCV6/BTCX6/BTCG7/BTCZ6</v>
      </c>
      <c r="F57" s="14">
        <f>'MKT DATA'!J1090</f>
        <v>0</v>
      </c>
      <c r="G57" s="9">
        <f>'MKT DATA'!K1090</f>
        <v>0</v>
      </c>
      <c r="H57" s="9">
        <f>'MKT DATA'!L1090</f>
        <v>0</v>
      </c>
      <c r="I57" s="14">
        <f>'MKT DATA'!M1090</f>
        <v>0</v>
      </c>
      <c r="J57" s="44" t="str">
        <f t="shared" si="2"/>
        <v>syn BTCV6/BTCX6/BTCG7/BTCZ6</v>
      </c>
      <c r="K57" s="9">
        <f>'MKT DATA'!O1090</f>
        <v>0</v>
      </c>
      <c r="L57" s="9">
        <f>'MKT DATA'!P1090</f>
        <v>0</v>
      </c>
      <c r="M57" s="9">
        <f>'MKT DATA'!Q1090</f>
        <v>0</v>
      </c>
      <c r="N57" s="9">
        <f>'MKT DATA'!R1090</f>
        <v>0</v>
      </c>
      <c r="O57" s="9">
        <f>'MKT DATA'!S1090</f>
        <v>0</v>
      </c>
      <c r="P57" s="9">
        <f>'MKT DATA'!T1090</f>
        <v>0</v>
      </c>
      <c r="Q57" s="44" t="str">
        <f t="shared" si="3"/>
        <v>syn BTCV6/BTCX6/BTCG7/BTCZ6</v>
      </c>
      <c r="R57" s="14">
        <f>'MKT DATA'!AB1090</f>
        <v>0</v>
      </c>
    </row>
    <row r="58" spans="5:18" x14ac:dyDescent="0.25">
      <c r="E58" s="44" t="str">
        <f>'MKT DATA'!B1091</f>
        <v>syn BTCV6/BTCF7/BTCU6/BTCZ6</v>
      </c>
      <c r="F58" s="14">
        <f>'MKT DATA'!J1091</f>
        <v>0</v>
      </c>
      <c r="G58" s="9">
        <f>'MKT DATA'!K1091</f>
        <v>0</v>
      </c>
      <c r="H58" s="9">
        <f>'MKT DATA'!L1091</f>
        <v>0</v>
      </c>
      <c r="I58" s="14">
        <f>'MKT DATA'!M1091</f>
        <v>0</v>
      </c>
      <c r="J58" s="44" t="str">
        <f t="shared" si="2"/>
        <v>syn BTCV6/BTCF7/BTCU6/BTCZ6</v>
      </c>
      <c r="K58" s="9">
        <f>'MKT DATA'!O1091</f>
        <v>0</v>
      </c>
      <c r="L58" s="9">
        <f>'MKT DATA'!P1091</f>
        <v>0</v>
      </c>
      <c r="M58" s="9">
        <f>'MKT DATA'!Q1091</f>
        <v>0</v>
      </c>
      <c r="N58" s="9">
        <f>'MKT DATA'!R1091</f>
        <v>0</v>
      </c>
      <c r="O58" s="9">
        <f>'MKT DATA'!S1091</f>
        <v>0</v>
      </c>
      <c r="P58" s="9">
        <f>'MKT DATA'!T1091</f>
        <v>0</v>
      </c>
      <c r="Q58" s="44" t="str">
        <f t="shared" si="3"/>
        <v>syn BTCV6/BTCF7/BTCU6/BTCZ6</v>
      </c>
      <c r="R58" s="14">
        <f>'MKT DATA'!AB1091</f>
        <v>0</v>
      </c>
    </row>
    <row r="59" spans="5:18" x14ac:dyDescent="0.25">
      <c r="E59" s="44" t="str">
        <f>'MKT DATA'!B1092</f>
        <v>syn BTCV6/BTCF7/BTCX6/BTCZ6</v>
      </c>
      <c r="F59" s="14">
        <f>'MKT DATA'!J1092</f>
        <v>0</v>
      </c>
      <c r="G59" s="9">
        <f>'MKT DATA'!K1092</f>
        <v>0</v>
      </c>
      <c r="H59" s="9">
        <f>'MKT DATA'!L1092</f>
        <v>0</v>
      </c>
      <c r="I59" s="14">
        <f>'MKT DATA'!M1092</f>
        <v>0</v>
      </c>
      <c r="J59" s="44" t="str">
        <f t="shared" si="2"/>
        <v>syn BTCV6/BTCF7/BTCX6/BTCZ6</v>
      </c>
      <c r="K59" s="9">
        <f>'MKT DATA'!O1092</f>
        <v>0</v>
      </c>
      <c r="L59" s="9">
        <f>'MKT DATA'!P1092</f>
        <v>0</v>
      </c>
      <c r="M59" s="9">
        <f>'MKT DATA'!Q1092</f>
        <v>0</v>
      </c>
      <c r="N59" s="9">
        <f>'MKT DATA'!R1092</f>
        <v>0</v>
      </c>
      <c r="O59" s="9">
        <f>'MKT DATA'!S1092</f>
        <v>0</v>
      </c>
      <c r="P59" s="9">
        <f>'MKT DATA'!T1092</f>
        <v>0</v>
      </c>
      <c r="Q59" s="44" t="str">
        <f t="shared" si="3"/>
        <v>syn BTCV6/BTCF7/BTCX6/BTCZ6</v>
      </c>
      <c r="R59" s="14">
        <f>'MKT DATA'!AB1092</f>
        <v>0</v>
      </c>
    </row>
    <row r="60" spans="5:18" x14ac:dyDescent="0.25">
      <c r="E60" s="44" t="str">
        <f>'MKT DATA'!B1093</f>
        <v>syn BTCV6/BTCF7/BTCG7/BTCZ6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BTCV6/BTCF7/BTCG7/BTCZ6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BTCV6/BTCF7/BTCG7/BTCZ6</v>
      </c>
      <c r="R60" s="14">
        <f>'MKT DATA'!AB1093</f>
        <v>0</v>
      </c>
    </row>
    <row r="61" spans="5:18" x14ac:dyDescent="0.25">
      <c r="E61" s="44" t="str">
        <f>'MKT DATA'!B1094</f>
        <v>syn BTCV6/BTCG7/BTCU6/BTCZ6</v>
      </c>
      <c r="F61" s="14">
        <f>'MKT DATA'!J1094</f>
        <v>0</v>
      </c>
      <c r="G61" s="9">
        <f>'MKT DATA'!K1094</f>
        <v>0</v>
      </c>
      <c r="H61" s="9">
        <f>'MKT DATA'!L1094</f>
        <v>0</v>
      </c>
      <c r="I61" s="14">
        <f>'MKT DATA'!M1094</f>
        <v>0</v>
      </c>
      <c r="J61" s="44" t="str">
        <f t="shared" si="2"/>
        <v>syn BTCV6/BTCG7/BTCU6/BTCZ6</v>
      </c>
      <c r="K61" s="9">
        <f>'MKT DATA'!O1094</f>
        <v>0</v>
      </c>
      <c r="L61" s="9">
        <f>'MKT DATA'!P1094</f>
        <v>0</v>
      </c>
      <c r="M61" s="9">
        <f>'MKT DATA'!Q1094</f>
        <v>0</v>
      </c>
      <c r="N61" s="9">
        <f>'MKT DATA'!R1094</f>
        <v>0</v>
      </c>
      <c r="O61" s="9">
        <f>'MKT DATA'!S1094</f>
        <v>0</v>
      </c>
      <c r="P61" s="9">
        <f>'MKT DATA'!T1094</f>
        <v>0</v>
      </c>
      <c r="Q61" s="44" t="str">
        <f t="shared" si="3"/>
        <v>syn BTCV6/BTCG7/BTCU6/BTCZ6</v>
      </c>
      <c r="R61" s="14">
        <f>'MKT DATA'!AB1094</f>
        <v>0</v>
      </c>
    </row>
    <row r="62" spans="5:18" x14ac:dyDescent="0.25">
      <c r="E62" s="44" t="str">
        <f>'MKT DATA'!B1095</f>
        <v>syn BTCV6/BTCG7/BTCX6/BTCZ6</v>
      </c>
      <c r="F62" s="14">
        <f>'MKT DATA'!J1095</f>
        <v>0</v>
      </c>
      <c r="G62" s="9">
        <f>'MKT DATA'!K1095</f>
        <v>0</v>
      </c>
      <c r="H62" s="9">
        <f>'MKT DATA'!L1095</f>
        <v>0</v>
      </c>
      <c r="I62" s="14">
        <f>'MKT DATA'!M1095</f>
        <v>0</v>
      </c>
      <c r="J62" s="44" t="str">
        <f t="shared" si="2"/>
        <v>syn BTCV6/BTCG7/BTCX6/BTCZ6</v>
      </c>
      <c r="K62" s="9">
        <f>'MKT DATA'!O1095</f>
        <v>0</v>
      </c>
      <c r="L62" s="9">
        <f>'MKT DATA'!P1095</f>
        <v>0</v>
      </c>
      <c r="M62" s="9">
        <f>'MKT DATA'!Q1095</f>
        <v>0</v>
      </c>
      <c r="N62" s="9">
        <f>'MKT DATA'!R1095</f>
        <v>0</v>
      </c>
      <c r="O62" s="9">
        <f>'MKT DATA'!S1095</f>
        <v>0</v>
      </c>
      <c r="P62" s="9">
        <f>'MKT DATA'!T1095</f>
        <v>0</v>
      </c>
      <c r="Q62" s="44" t="str">
        <f t="shared" si="3"/>
        <v>syn BTCV6/BTCG7/BTCX6/BTCZ6</v>
      </c>
      <c r="R62" s="14">
        <f>'MKT DATA'!AB1095</f>
        <v>0</v>
      </c>
    </row>
    <row r="63" spans="5:18" x14ac:dyDescent="0.25">
      <c r="E63" s="44" t="str">
        <f>'MKT DATA'!B1096</f>
        <v>syn BTCV6/BTCG7/BTCF7/BTCZ6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BTCV6/BTCG7/BTCF7/BTCZ6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BTCV6/BTCG7/BTCF7/BTCZ6</v>
      </c>
      <c r="R63" s="14">
        <f>'MKT DATA'!AB1096</f>
        <v>0</v>
      </c>
    </row>
    <row r="64" spans="5:18" x14ac:dyDescent="0.25">
      <c r="E64" s="44" t="str">
        <f>'MKT DATA'!B1097</f>
        <v>syn BTCX6/BTCU6/BTCV6/BTCZ6</v>
      </c>
      <c r="F64" s="14">
        <f>'MKT DATA'!J1097</f>
        <v>0</v>
      </c>
      <c r="G64" s="9">
        <f>'MKT DATA'!K1097</f>
        <v>0</v>
      </c>
      <c r="H64" s="9">
        <f>'MKT DATA'!L1097</f>
        <v>0</v>
      </c>
      <c r="I64" s="14">
        <f>'MKT DATA'!M1097</f>
        <v>0</v>
      </c>
      <c r="J64" s="44" t="str">
        <f t="shared" si="2"/>
        <v>syn BTCX6/BTCU6/BTCV6/BTCZ6</v>
      </c>
      <c r="K64" s="9">
        <f>'MKT DATA'!O1097</f>
        <v>0</v>
      </c>
      <c r="L64" s="9">
        <f>'MKT DATA'!P1097</f>
        <v>0</v>
      </c>
      <c r="M64" s="9">
        <f>'MKT DATA'!Q1097</f>
        <v>0</v>
      </c>
      <c r="N64" s="9">
        <f>'MKT DATA'!R1097</f>
        <v>0</v>
      </c>
      <c r="O64" s="9">
        <f>'MKT DATA'!S1097</f>
        <v>0</v>
      </c>
      <c r="P64" s="9">
        <f>'MKT DATA'!T1097</f>
        <v>0</v>
      </c>
      <c r="Q64" s="44" t="str">
        <f t="shared" si="3"/>
        <v>syn BTCX6/BTCU6/BTCV6/BTCZ6</v>
      </c>
      <c r="R64" s="14">
        <f>'MKT DATA'!AB1097</f>
        <v>0</v>
      </c>
    </row>
    <row r="65" spans="5:18" x14ac:dyDescent="0.25">
      <c r="E65" s="44" t="str">
        <f>'MKT DATA'!B1098</f>
        <v>syn BTCX6/BTCU6/BTCF7/BTCZ6</v>
      </c>
      <c r="F65" s="14">
        <f>'MKT DATA'!J1098</f>
        <v>0</v>
      </c>
      <c r="G65" s="9">
        <f>'MKT DATA'!K1098</f>
        <v>0</v>
      </c>
      <c r="H65" s="9">
        <f>'MKT DATA'!L1098</f>
        <v>0</v>
      </c>
      <c r="I65" s="14">
        <f>'MKT DATA'!M1098</f>
        <v>0</v>
      </c>
      <c r="J65" s="44" t="str">
        <f t="shared" si="2"/>
        <v>syn BTCX6/BTCU6/BTCF7/BTCZ6</v>
      </c>
      <c r="K65" s="9">
        <f>'MKT DATA'!O1098</f>
        <v>0</v>
      </c>
      <c r="L65" s="9">
        <f>'MKT DATA'!P1098</f>
        <v>0</v>
      </c>
      <c r="M65" s="9">
        <f>'MKT DATA'!Q1098</f>
        <v>0</v>
      </c>
      <c r="N65" s="9">
        <f>'MKT DATA'!R1098</f>
        <v>0</v>
      </c>
      <c r="O65" s="9">
        <f>'MKT DATA'!S1098</f>
        <v>0</v>
      </c>
      <c r="P65" s="9">
        <f>'MKT DATA'!T1098</f>
        <v>0</v>
      </c>
      <c r="Q65" s="44" t="str">
        <f t="shared" si="3"/>
        <v>syn BTCX6/BTCU6/BTCF7/BTCZ6</v>
      </c>
      <c r="R65" s="14">
        <f>'MKT DATA'!AB1098</f>
        <v>0</v>
      </c>
    </row>
    <row r="66" spans="5:18" x14ac:dyDescent="0.25">
      <c r="E66" s="44" t="str">
        <f>'MKT DATA'!B1099</f>
        <v>syn BTCX6/BTCU6/BTCG7/BTCZ6</v>
      </c>
      <c r="F66" s="14">
        <f>'MKT DATA'!J1099</f>
        <v>0</v>
      </c>
      <c r="G66" s="9">
        <f>'MKT DATA'!K1099</f>
        <v>0</v>
      </c>
      <c r="H66" s="9">
        <f>'MKT DATA'!L1099</f>
        <v>0</v>
      </c>
      <c r="I66" s="14">
        <f>'MKT DATA'!M1099</f>
        <v>0</v>
      </c>
      <c r="J66" s="44" t="str">
        <f t="shared" si="2"/>
        <v>syn BTCX6/BTCU6/BTCG7/BTCZ6</v>
      </c>
      <c r="K66" s="9">
        <f>'MKT DATA'!O1099</f>
        <v>0</v>
      </c>
      <c r="L66" s="9">
        <f>'MKT DATA'!P1099</f>
        <v>0</v>
      </c>
      <c r="M66" s="9">
        <f>'MKT DATA'!Q1099</f>
        <v>0</v>
      </c>
      <c r="N66" s="9">
        <f>'MKT DATA'!R1099</f>
        <v>0</v>
      </c>
      <c r="O66" s="9">
        <f>'MKT DATA'!S1099</f>
        <v>0</v>
      </c>
      <c r="P66" s="9">
        <f>'MKT DATA'!T1099</f>
        <v>0</v>
      </c>
      <c r="Q66" s="44" t="str">
        <f t="shared" si="3"/>
        <v>syn BTCX6/BTCU6/BTCG7/BTCZ6</v>
      </c>
      <c r="R66" s="14">
        <f>'MKT DATA'!AB1099</f>
        <v>0</v>
      </c>
    </row>
    <row r="67" spans="5:18" x14ac:dyDescent="0.25">
      <c r="E67" s="44" t="str">
        <f>'MKT DATA'!B1100</f>
        <v>syn BTCX6/BTCV6/BTCU6/BTCZ6</v>
      </c>
      <c r="F67" s="14">
        <f>'MKT DATA'!J1100</f>
        <v>0</v>
      </c>
      <c r="G67" s="9">
        <f>'MKT DATA'!K1100</f>
        <v>0</v>
      </c>
      <c r="H67" s="9">
        <f>'MKT DATA'!L1100</f>
        <v>0</v>
      </c>
      <c r="I67" s="14">
        <f>'MKT DATA'!M1100</f>
        <v>0</v>
      </c>
      <c r="J67" s="44" t="str">
        <f t="shared" si="2"/>
        <v>syn BTCX6/BTCV6/BTCU6/BTCZ6</v>
      </c>
      <c r="K67" s="9">
        <f>'MKT DATA'!O1100</f>
        <v>0</v>
      </c>
      <c r="L67" s="9">
        <f>'MKT DATA'!P1100</f>
        <v>0</v>
      </c>
      <c r="M67" s="9">
        <f>'MKT DATA'!Q1100</f>
        <v>0</v>
      </c>
      <c r="N67" s="9">
        <f>'MKT DATA'!R1100</f>
        <v>0</v>
      </c>
      <c r="O67" s="9">
        <f>'MKT DATA'!S1100</f>
        <v>0</v>
      </c>
      <c r="P67" s="9">
        <f>'MKT DATA'!T1100</f>
        <v>0</v>
      </c>
      <c r="Q67" s="44" t="str">
        <f t="shared" si="3"/>
        <v>syn BTCX6/BTCV6/BTCU6/BTCZ6</v>
      </c>
      <c r="R67" s="14">
        <f>'MKT DATA'!AB1100</f>
        <v>0</v>
      </c>
    </row>
    <row r="68" spans="5:18" x14ac:dyDescent="0.25">
      <c r="E68" s="44" t="str">
        <f>'MKT DATA'!B1101</f>
        <v>syn BTCX6/BTCV6/BTCF7/BTCZ6</v>
      </c>
      <c r="F68" s="14">
        <f>'MKT DATA'!J1101</f>
        <v>0</v>
      </c>
      <c r="G68" s="9">
        <f>'MKT DATA'!K1101</f>
        <v>0</v>
      </c>
      <c r="H68" s="9">
        <f>'MKT DATA'!L1101</f>
        <v>0</v>
      </c>
      <c r="I68" s="14">
        <f>'MKT DATA'!M1101</f>
        <v>0</v>
      </c>
      <c r="J68" s="44" t="str">
        <f t="shared" si="2"/>
        <v>syn BTCX6/BTCV6/BTCF7/BTCZ6</v>
      </c>
      <c r="K68" s="9">
        <f>'MKT DATA'!O1101</f>
        <v>0</v>
      </c>
      <c r="L68" s="9">
        <f>'MKT DATA'!P1101</f>
        <v>0</v>
      </c>
      <c r="M68" s="9">
        <f>'MKT DATA'!Q1101</f>
        <v>0</v>
      </c>
      <c r="N68" s="9">
        <f>'MKT DATA'!R1101</f>
        <v>0</v>
      </c>
      <c r="O68" s="9">
        <f>'MKT DATA'!S1101</f>
        <v>0</v>
      </c>
      <c r="P68" s="9">
        <f>'MKT DATA'!T1101</f>
        <v>0</v>
      </c>
      <c r="Q68" s="44" t="str">
        <f t="shared" si="3"/>
        <v>syn BTCX6/BTCV6/BTCF7/BTCZ6</v>
      </c>
      <c r="R68" s="14">
        <f>'MKT DATA'!AB1101</f>
        <v>0</v>
      </c>
    </row>
    <row r="69" spans="5:18" x14ac:dyDescent="0.25">
      <c r="E69" s="44" t="str">
        <f>'MKT DATA'!B1102</f>
        <v>syn BTCX6/BTCV6/BTCG7/BTCZ6</v>
      </c>
      <c r="F69" s="14">
        <f>'MKT DATA'!J1102</f>
        <v>0</v>
      </c>
      <c r="G69" s="9">
        <f>'MKT DATA'!K1102</f>
        <v>0</v>
      </c>
      <c r="H69" s="9">
        <f>'MKT DATA'!L1102</f>
        <v>0</v>
      </c>
      <c r="I69" s="14">
        <f>'MKT DATA'!M1102</f>
        <v>0</v>
      </c>
      <c r="J69" s="44" t="str">
        <f t="shared" si="2"/>
        <v>syn BTCX6/BTCV6/BTCG7/BTCZ6</v>
      </c>
      <c r="K69" s="9">
        <f>'MKT DATA'!O1102</f>
        <v>0</v>
      </c>
      <c r="L69" s="9">
        <f>'MKT DATA'!P1102</f>
        <v>0</v>
      </c>
      <c r="M69" s="9">
        <f>'MKT DATA'!Q1102</f>
        <v>0</v>
      </c>
      <c r="N69" s="9">
        <f>'MKT DATA'!R1102</f>
        <v>0</v>
      </c>
      <c r="O69" s="9">
        <f>'MKT DATA'!S1102</f>
        <v>0</v>
      </c>
      <c r="P69" s="9">
        <f>'MKT DATA'!T1102</f>
        <v>0</v>
      </c>
      <c r="Q69" s="44" t="str">
        <f t="shared" si="3"/>
        <v>syn BTCX6/BTCV6/BTCG7/BTCZ6</v>
      </c>
      <c r="R69" s="14">
        <f>'MKT DATA'!AB1102</f>
        <v>0</v>
      </c>
    </row>
    <row r="70" spans="5:18" x14ac:dyDescent="0.25">
      <c r="E70" s="44" t="str">
        <f>'MKT DATA'!B1103</f>
        <v>syn BTCX6/BTCF7/BTCU6/BTCZ6</v>
      </c>
      <c r="F70" s="14">
        <f>'MKT DATA'!J1103</f>
        <v>0</v>
      </c>
      <c r="G70" s="9">
        <f>'MKT DATA'!K1103</f>
        <v>0</v>
      </c>
      <c r="H70" s="9">
        <f>'MKT DATA'!L1103</f>
        <v>0</v>
      </c>
      <c r="I70" s="14">
        <f>'MKT DATA'!M1103</f>
        <v>0</v>
      </c>
      <c r="J70" s="44" t="str">
        <f t="shared" si="2"/>
        <v>syn BTCX6/BTCF7/BTCU6/BTCZ6</v>
      </c>
      <c r="K70" s="9">
        <f>'MKT DATA'!O1103</f>
        <v>0</v>
      </c>
      <c r="L70" s="9">
        <f>'MKT DATA'!P1103</f>
        <v>0</v>
      </c>
      <c r="M70" s="9">
        <f>'MKT DATA'!Q1103</f>
        <v>0</v>
      </c>
      <c r="N70" s="9">
        <f>'MKT DATA'!R1103</f>
        <v>0</v>
      </c>
      <c r="O70" s="9">
        <f>'MKT DATA'!S1103</f>
        <v>0</v>
      </c>
      <c r="P70" s="9">
        <f>'MKT DATA'!T1103</f>
        <v>0</v>
      </c>
      <c r="Q70" s="44" t="str">
        <f t="shared" si="3"/>
        <v>syn BTCX6/BTCF7/BTCU6/BTCZ6</v>
      </c>
      <c r="R70" s="14">
        <f>'MKT DATA'!AB1103</f>
        <v>0</v>
      </c>
    </row>
    <row r="71" spans="5:18" x14ac:dyDescent="0.25">
      <c r="E71" s="44" t="str">
        <f>'MKT DATA'!B1104</f>
        <v>syn BTCX6/BTCF7/BTCV6/BTCZ6</v>
      </c>
      <c r="F71" s="14">
        <f>'MKT DATA'!J1104</f>
        <v>0</v>
      </c>
      <c r="G71" s="9">
        <f>'MKT DATA'!K1104</f>
        <v>0</v>
      </c>
      <c r="H71" s="9">
        <f>'MKT DATA'!L1104</f>
        <v>0</v>
      </c>
      <c r="I71" s="14">
        <f>'MKT DATA'!M1104</f>
        <v>0</v>
      </c>
      <c r="J71" s="44" t="str">
        <f t="shared" si="2"/>
        <v>syn BTCX6/BTCF7/BTCV6/BTCZ6</v>
      </c>
      <c r="K71" s="9">
        <f>'MKT DATA'!O1104</f>
        <v>0</v>
      </c>
      <c r="L71" s="9">
        <f>'MKT DATA'!P1104</f>
        <v>0</v>
      </c>
      <c r="M71" s="9">
        <f>'MKT DATA'!Q1104</f>
        <v>0</v>
      </c>
      <c r="N71" s="9">
        <f>'MKT DATA'!R1104</f>
        <v>0</v>
      </c>
      <c r="O71" s="9">
        <f>'MKT DATA'!S1104</f>
        <v>0</v>
      </c>
      <c r="P71" s="9">
        <f>'MKT DATA'!T1104</f>
        <v>0</v>
      </c>
      <c r="Q71" s="44" t="str">
        <f t="shared" si="3"/>
        <v>syn BTCX6/BTCF7/BTCV6/BTCZ6</v>
      </c>
      <c r="R71" s="14">
        <f>'MKT DATA'!AB1104</f>
        <v>0</v>
      </c>
    </row>
    <row r="72" spans="5:18" x14ac:dyDescent="0.25">
      <c r="E72" s="44" t="str">
        <f>'MKT DATA'!B1105</f>
        <v>syn BTCX6/BTCF7/BTCG7/BTCZ6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BTCX6/BTCF7/BTCG7/BTCZ6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BTCX6/BTCF7/BTCG7/BTCZ6</v>
      </c>
      <c r="R72" s="14">
        <f>'MKT DATA'!AB1105</f>
        <v>0</v>
      </c>
    </row>
    <row r="73" spans="5:18" x14ac:dyDescent="0.25">
      <c r="E73" s="44" t="str">
        <f>'MKT DATA'!B1106</f>
        <v>syn BTCX6/BTCG7/BTCU6/BTCZ6</v>
      </c>
      <c r="F73" s="14">
        <f>'MKT DATA'!J1106</f>
        <v>0</v>
      </c>
      <c r="G73" s="9">
        <f>'MKT DATA'!K1106</f>
        <v>0</v>
      </c>
      <c r="H73" s="9">
        <f>'MKT DATA'!L1106</f>
        <v>0</v>
      </c>
      <c r="I73" s="14">
        <f>'MKT DATA'!M1106</f>
        <v>0</v>
      </c>
      <c r="J73" s="44" t="str">
        <f t="shared" si="2"/>
        <v>syn BTCX6/BTCG7/BTCU6/BTCZ6</v>
      </c>
      <c r="K73" s="9">
        <f>'MKT DATA'!O1106</f>
        <v>0</v>
      </c>
      <c r="L73" s="9">
        <f>'MKT DATA'!P1106</f>
        <v>0</v>
      </c>
      <c r="M73" s="9">
        <f>'MKT DATA'!Q1106</f>
        <v>0</v>
      </c>
      <c r="N73" s="9">
        <f>'MKT DATA'!R1106</f>
        <v>0</v>
      </c>
      <c r="O73" s="9">
        <f>'MKT DATA'!S1106</f>
        <v>0</v>
      </c>
      <c r="P73" s="9">
        <f>'MKT DATA'!T1106</f>
        <v>0</v>
      </c>
      <c r="Q73" s="44" t="str">
        <f t="shared" si="3"/>
        <v>syn BTCX6/BTCG7/BTCU6/BTCZ6</v>
      </c>
      <c r="R73" s="14">
        <f>'MKT DATA'!AB1106</f>
        <v>0</v>
      </c>
    </row>
    <row r="74" spans="5:18" x14ac:dyDescent="0.25">
      <c r="E74" s="44" t="str">
        <f>'MKT DATA'!B1107</f>
        <v>syn BTCX6/BTCG7/BTCV6/BTCZ6</v>
      </c>
      <c r="F74" s="14">
        <f>'MKT DATA'!J1107</f>
        <v>0</v>
      </c>
      <c r="G74" s="9">
        <f>'MKT DATA'!K1107</f>
        <v>0</v>
      </c>
      <c r="H74" s="9">
        <f>'MKT DATA'!L1107</f>
        <v>0</v>
      </c>
      <c r="I74" s="14">
        <f>'MKT DATA'!M1107</f>
        <v>0</v>
      </c>
      <c r="J74" s="44" t="str">
        <f t="shared" ref="J74:J137" si="4">E74</f>
        <v>syn BTCX6/BTCG7/BTCV6/BTCZ6</v>
      </c>
      <c r="K74" s="9">
        <f>'MKT DATA'!O1107</f>
        <v>0</v>
      </c>
      <c r="L74" s="9">
        <f>'MKT DATA'!P1107</f>
        <v>0</v>
      </c>
      <c r="M74" s="9">
        <f>'MKT DATA'!Q1107</f>
        <v>0</v>
      </c>
      <c r="N74" s="9">
        <f>'MKT DATA'!R1107</f>
        <v>0</v>
      </c>
      <c r="O74" s="9">
        <f>'MKT DATA'!S1107</f>
        <v>0</v>
      </c>
      <c r="P74" s="9">
        <f>'MKT DATA'!T1107</f>
        <v>0</v>
      </c>
      <c r="Q74" s="44" t="str">
        <f t="shared" ref="Q74:Q137" si="5">J74</f>
        <v>syn BTCX6/BTCG7/BTCV6/BTCZ6</v>
      </c>
      <c r="R74" s="14">
        <f>'MKT DATA'!AB1107</f>
        <v>0</v>
      </c>
    </row>
    <row r="75" spans="5:18" x14ac:dyDescent="0.25">
      <c r="E75" s="44" t="str">
        <f>'MKT DATA'!B1108</f>
        <v>syn BTCX6/BTCG7/BTCF7/BTCZ6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BTCX6/BTCG7/BTCF7/BTCZ6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BTCX6/BTCG7/BTCF7/BTCZ6</v>
      </c>
      <c r="R75" s="14">
        <f>'MKT DATA'!AB1108</f>
        <v>0</v>
      </c>
    </row>
    <row r="76" spans="5:18" x14ac:dyDescent="0.25">
      <c r="E76" s="44" t="str">
        <f>'MKT DATA'!B1109</f>
        <v>syn BTCF7/BTCU6/BTCV6/BTCZ6</v>
      </c>
      <c r="F76" s="14">
        <f>'MKT DATA'!J1109</f>
        <v>0</v>
      </c>
      <c r="G76" s="9">
        <f>'MKT DATA'!K1109</f>
        <v>0</v>
      </c>
      <c r="H76" s="9">
        <f>'MKT DATA'!L1109</f>
        <v>0</v>
      </c>
      <c r="I76" s="14">
        <f>'MKT DATA'!M1109</f>
        <v>0</v>
      </c>
      <c r="J76" s="44" t="str">
        <f t="shared" si="4"/>
        <v>syn BTCF7/BTCU6/BTCV6/BTCZ6</v>
      </c>
      <c r="K76" s="9">
        <f>'MKT DATA'!O1109</f>
        <v>0</v>
      </c>
      <c r="L76" s="9">
        <f>'MKT DATA'!P1109</f>
        <v>0</v>
      </c>
      <c r="M76" s="9">
        <f>'MKT DATA'!Q1109</f>
        <v>0</v>
      </c>
      <c r="N76" s="9">
        <f>'MKT DATA'!R1109</f>
        <v>0</v>
      </c>
      <c r="O76" s="9">
        <f>'MKT DATA'!S1109</f>
        <v>0</v>
      </c>
      <c r="P76" s="9">
        <f>'MKT DATA'!T1109</f>
        <v>0</v>
      </c>
      <c r="Q76" s="44" t="str">
        <f t="shared" si="5"/>
        <v>syn BTCF7/BTCU6/BTCV6/BTCZ6</v>
      </c>
      <c r="R76" s="14">
        <f>'MKT DATA'!AB1109</f>
        <v>0</v>
      </c>
    </row>
    <row r="77" spans="5:18" x14ac:dyDescent="0.25">
      <c r="E77" s="44" t="str">
        <f>'MKT DATA'!B1110</f>
        <v>syn BTCF7/BTCU6/BTCX6/BTCZ6</v>
      </c>
      <c r="F77" s="14">
        <f>'MKT DATA'!J1110</f>
        <v>0</v>
      </c>
      <c r="G77" s="9">
        <f>'MKT DATA'!K1110</f>
        <v>0</v>
      </c>
      <c r="H77" s="9">
        <f>'MKT DATA'!L1110</f>
        <v>0</v>
      </c>
      <c r="I77" s="14">
        <f>'MKT DATA'!M1110</f>
        <v>0</v>
      </c>
      <c r="J77" s="44" t="str">
        <f t="shared" si="4"/>
        <v>syn BTCF7/BTCU6/BTCX6/BTCZ6</v>
      </c>
      <c r="K77" s="9">
        <f>'MKT DATA'!O1110</f>
        <v>0</v>
      </c>
      <c r="L77" s="9">
        <f>'MKT DATA'!P1110</f>
        <v>0</v>
      </c>
      <c r="M77" s="9">
        <f>'MKT DATA'!Q1110</f>
        <v>0</v>
      </c>
      <c r="N77" s="9">
        <f>'MKT DATA'!R1110</f>
        <v>0</v>
      </c>
      <c r="O77" s="9">
        <f>'MKT DATA'!S1110</f>
        <v>0</v>
      </c>
      <c r="P77" s="9">
        <f>'MKT DATA'!T1110</f>
        <v>0</v>
      </c>
      <c r="Q77" s="44" t="str">
        <f t="shared" si="5"/>
        <v>syn BTCF7/BTCU6/BTCX6/BTCZ6</v>
      </c>
      <c r="R77" s="14">
        <f>'MKT DATA'!AB1110</f>
        <v>0</v>
      </c>
    </row>
    <row r="78" spans="5:18" x14ac:dyDescent="0.25">
      <c r="E78" s="44" t="str">
        <f>'MKT DATA'!B1111</f>
        <v>syn BTCF7/BTCU6/BTCG7/BTCZ6</v>
      </c>
      <c r="F78" s="14">
        <f>'MKT DATA'!J1111</f>
        <v>0</v>
      </c>
      <c r="G78" s="9">
        <f>'MKT DATA'!K1111</f>
        <v>0</v>
      </c>
      <c r="H78" s="9">
        <f>'MKT DATA'!L1111</f>
        <v>0</v>
      </c>
      <c r="I78" s="14">
        <f>'MKT DATA'!M1111</f>
        <v>0</v>
      </c>
      <c r="J78" s="44" t="str">
        <f t="shared" si="4"/>
        <v>syn BTCF7/BTCU6/BTCG7/BTCZ6</v>
      </c>
      <c r="K78" s="9">
        <f>'MKT DATA'!O1111</f>
        <v>0</v>
      </c>
      <c r="L78" s="9">
        <f>'MKT DATA'!P1111</f>
        <v>0</v>
      </c>
      <c r="M78" s="9">
        <f>'MKT DATA'!Q1111</f>
        <v>0</v>
      </c>
      <c r="N78" s="9">
        <f>'MKT DATA'!R1111</f>
        <v>0</v>
      </c>
      <c r="O78" s="9">
        <f>'MKT DATA'!S1111</f>
        <v>0</v>
      </c>
      <c r="P78" s="9">
        <f>'MKT DATA'!T1111</f>
        <v>0</v>
      </c>
      <c r="Q78" s="44" t="str">
        <f t="shared" si="5"/>
        <v>syn BTCF7/BTCU6/BTCG7/BTCZ6</v>
      </c>
      <c r="R78" s="14">
        <f>'MKT DATA'!AB1111</f>
        <v>0</v>
      </c>
    </row>
    <row r="79" spans="5:18" x14ac:dyDescent="0.25">
      <c r="E79" s="44" t="str">
        <f>'MKT DATA'!B1112</f>
        <v>syn BTCF7/BTCV6/BTCU6/BTCZ6</v>
      </c>
      <c r="F79" s="14">
        <f>'MKT DATA'!J1112</f>
        <v>0</v>
      </c>
      <c r="G79" s="9">
        <f>'MKT DATA'!K1112</f>
        <v>0</v>
      </c>
      <c r="H79" s="9">
        <f>'MKT DATA'!L1112</f>
        <v>0</v>
      </c>
      <c r="I79" s="14">
        <f>'MKT DATA'!M1112</f>
        <v>0</v>
      </c>
      <c r="J79" s="44" t="str">
        <f t="shared" si="4"/>
        <v>syn BTCF7/BTCV6/BTCU6/BTCZ6</v>
      </c>
      <c r="K79" s="9">
        <f>'MKT DATA'!O1112</f>
        <v>0</v>
      </c>
      <c r="L79" s="9">
        <f>'MKT DATA'!P1112</f>
        <v>0</v>
      </c>
      <c r="M79" s="9">
        <f>'MKT DATA'!Q1112</f>
        <v>0</v>
      </c>
      <c r="N79" s="9">
        <f>'MKT DATA'!R1112</f>
        <v>0</v>
      </c>
      <c r="O79" s="9">
        <f>'MKT DATA'!S1112</f>
        <v>0</v>
      </c>
      <c r="P79" s="9">
        <f>'MKT DATA'!T1112</f>
        <v>0</v>
      </c>
      <c r="Q79" s="44" t="str">
        <f t="shared" si="5"/>
        <v>syn BTCF7/BTCV6/BTCU6/BTCZ6</v>
      </c>
      <c r="R79" s="14">
        <f>'MKT DATA'!AB1112</f>
        <v>0</v>
      </c>
    </row>
    <row r="80" spans="5:18" x14ac:dyDescent="0.25">
      <c r="E80" s="44" t="str">
        <f>'MKT DATA'!B1113</f>
        <v>syn BTCF7/BTCV6/BTCX6/BTCZ6</v>
      </c>
      <c r="F80" s="14">
        <f>'MKT DATA'!J1113</f>
        <v>0</v>
      </c>
      <c r="G80" s="9">
        <f>'MKT DATA'!K1113</f>
        <v>0</v>
      </c>
      <c r="H80" s="9">
        <f>'MKT DATA'!L1113</f>
        <v>0</v>
      </c>
      <c r="I80" s="14">
        <f>'MKT DATA'!M1113</f>
        <v>0</v>
      </c>
      <c r="J80" s="44" t="str">
        <f t="shared" si="4"/>
        <v>syn BTCF7/BTCV6/BTCX6/BTCZ6</v>
      </c>
      <c r="K80" s="9">
        <f>'MKT DATA'!O1113</f>
        <v>0</v>
      </c>
      <c r="L80" s="9">
        <f>'MKT DATA'!P1113</f>
        <v>0</v>
      </c>
      <c r="M80" s="9">
        <f>'MKT DATA'!Q1113</f>
        <v>0</v>
      </c>
      <c r="N80" s="9">
        <f>'MKT DATA'!R1113</f>
        <v>0</v>
      </c>
      <c r="O80" s="9">
        <f>'MKT DATA'!S1113</f>
        <v>0</v>
      </c>
      <c r="P80" s="9">
        <f>'MKT DATA'!T1113</f>
        <v>0</v>
      </c>
      <c r="Q80" s="44" t="str">
        <f t="shared" si="5"/>
        <v>syn BTCF7/BTCV6/BTCX6/BTCZ6</v>
      </c>
      <c r="R80" s="14">
        <f>'MKT DATA'!AB1113</f>
        <v>0</v>
      </c>
    </row>
    <row r="81" spans="5:18" x14ac:dyDescent="0.25">
      <c r="E81" s="44" t="str">
        <f>'MKT DATA'!B1114</f>
        <v>syn BTCF7/BTCV6/BTCG7/BTCZ6</v>
      </c>
      <c r="F81" s="14">
        <f>'MKT DATA'!J1114</f>
        <v>0</v>
      </c>
      <c r="G81" s="9">
        <f>'MKT DATA'!K1114</f>
        <v>0</v>
      </c>
      <c r="H81" s="9">
        <f>'MKT DATA'!L1114</f>
        <v>0</v>
      </c>
      <c r="I81" s="14">
        <f>'MKT DATA'!M1114</f>
        <v>0</v>
      </c>
      <c r="J81" s="44" t="str">
        <f t="shared" si="4"/>
        <v>syn BTCF7/BTCV6/BTCG7/BTCZ6</v>
      </c>
      <c r="K81" s="9">
        <f>'MKT DATA'!O1114</f>
        <v>0</v>
      </c>
      <c r="L81" s="9">
        <f>'MKT DATA'!P1114</f>
        <v>0</v>
      </c>
      <c r="M81" s="9">
        <f>'MKT DATA'!Q1114</f>
        <v>0</v>
      </c>
      <c r="N81" s="9">
        <f>'MKT DATA'!R1114</f>
        <v>0</v>
      </c>
      <c r="O81" s="9">
        <f>'MKT DATA'!S1114</f>
        <v>0</v>
      </c>
      <c r="P81" s="9">
        <f>'MKT DATA'!T1114</f>
        <v>0</v>
      </c>
      <c r="Q81" s="44" t="str">
        <f t="shared" si="5"/>
        <v>syn BTCF7/BTCV6/BTCG7/BTCZ6</v>
      </c>
      <c r="R81" s="14">
        <f>'MKT DATA'!AB1114</f>
        <v>0</v>
      </c>
    </row>
    <row r="82" spans="5:18" x14ac:dyDescent="0.25">
      <c r="E82" s="44" t="str">
        <f>'MKT DATA'!B1115</f>
        <v>syn BTCF7/BTCX6/BTCU6/BTCZ6</v>
      </c>
      <c r="F82" s="14">
        <f>'MKT DATA'!J1115</f>
        <v>0</v>
      </c>
      <c r="G82" s="9">
        <f>'MKT DATA'!K1115</f>
        <v>0</v>
      </c>
      <c r="H82" s="9">
        <f>'MKT DATA'!L1115</f>
        <v>0</v>
      </c>
      <c r="I82" s="14">
        <f>'MKT DATA'!M1115</f>
        <v>0</v>
      </c>
      <c r="J82" s="44" t="str">
        <f t="shared" si="4"/>
        <v>syn BTCF7/BTCX6/BTCU6/BTCZ6</v>
      </c>
      <c r="K82" s="9">
        <f>'MKT DATA'!O1115</f>
        <v>0</v>
      </c>
      <c r="L82" s="9">
        <f>'MKT DATA'!P1115</f>
        <v>0</v>
      </c>
      <c r="M82" s="9">
        <f>'MKT DATA'!Q1115</f>
        <v>0</v>
      </c>
      <c r="N82" s="9">
        <f>'MKT DATA'!R1115</f>
        <v>0</v>
      </c>
      <c r="O82" s="9">
        <f>'MKT DATA'!S1115</f>
        <v>0</v>
      </c>
      <c r="P82" s="9">
        <f>'MKT DATA'!T1115</f>
        <v>0</v>
      </c>
      <c r="Q82" s="44" t="str">
        <f t="shared" si="5"/>
        <v>syn BTCF7/BTCX6/BTCU6/BTCZ6</v>
      </c>
      <c r="R82" s="14">
        <f>'MKT DATA'!AB1115</f>
        <v>0</v>
      </c>
    </row>
    <row r="83" spans="5:18" x14ac:dyDescent="0.25">
      <c r="E83" s="44" t="str">
        <f>'MKT DATA'!B1116</f>
        <v>syn BTCF7/BTCX6/BTCV6/BTCZ6</v>
      </c>
      <c r="F83" s="14">
        <f>'MKT DATA'!J1116</f>
        <v>0</v>
      </c>
      <c r="G83" s="9">
        <f>'MKT DATA'!K1116</f>
        <v>0</v>
      </c>
      <c r="H83" s="9">
        <f>'MKT DATA'!L1116</f>
        <v>0</v>
      </c>
      <c r="I83" s="14">
        <f>'MKT DATA'!M1116</f>
        <v>0</v>
      </c>
      <c r="J83" s="44" t="str">
        <f t="shared" si="4"/>
        <v>syn BTCF7/BTCX6/BTCV6/BTCZ6</v>
      </c>
      <c r="K83" s="9">
        <f>'MKT DATA'!O1116</f>
        <v>0</v>
      </c>
      <c r="L83" s="9">
        <f>'MKT DATA'!P1116</f>
        <v>0</v>
      </c>
      <c r="M83" s="9">
        <f>'MKT DATA'!Q1116</f>
        <v>0</v>
      </c>
      <c r="N83" s="9">
        <f>'MKT DATA'!R1116</f>
        <v>0</v>
      </c>
      <c r="O83" s="9">
        <f>'MKT DATA'!S1116</f>
        <v>0</v>
      </c>
      <c r="P83" s="9">
        <f>'MKT DATA'!T1116</f>
        <v>0</v>
      </c>
      <c r="Q83" s="44" t="str">
        <f t="shared" si="5"/>
        <v>syn BTCF7/BTCX6/BTCV6/BTCZ6</v>
      </c>
      <c r="R83" s="14">
        <f>'MKT DATA'!AB1116</f>
        <v>0</v>
      </c>
    </row>
    <row r="84" spans="5:18" x14ac:dyDescent="0.25">
      <c r="E84" s="44" t="str">
        <f>'MKT DATA'!B1117</f>
        <v>syn BTCF7/BTCX6/BTCG7/BTCZ6</v>
      </c>
      <c r="F84" s="14">
        <f>'MKT DATA'!J1117</f>
        <v>0</v>
      </c>
      <c r="G84" s="9">
        <f>'MKT DATA'!K1117</f>
        <v>0</v>
      </c>
      <c r="H84" s="9">
        <f>'MKT DATA'!L1117</f>
        <v>0</v>
      </c>
      <c r="I84" s="14">
        <f>'MKT DATA'!M1117</f>
        <v>0</v>
      </c>
      <c r="J84" s="44" t="str">
        <f t="shared" si="4"/>
        <v>syn BTCF7/BTCX6/BTCG7/BTCZ6</v>
      </c>
      <c r="K84" s="9">
        <f>'MKT DATA'!O1117</f>
        <v>0</v>
      </c>
      <c r="L84" s="9">
        <f>'MKT DATA'!P1117</f>
        <v>0</v>
      </c>
      <c r="M84" s="9">
        <f>'MKT DATA'!Q1117</f>
        <v>0</v>
      </c>
      <c r="N84" s="9">
        <f>'MKT DATA'!R1117</f>
        <v>0</v>
      </c>
      <c r="O84" s="9">
        <f>'MKT DATA'!S1117</f>
        <v>0</v>
      </c>
      <c r="P84" s="9">
        <f>'MKT DATA'!T1117</f>
        <v>0</v>
      </c>
      <c r="Q84" s="44" t="str">
        <f t="shared" si="5"/>
        <v>syn BTCF7/BTCX6/BTCG7/BTCZ6</v>
      </c>
      <c r="R84" s="14">
        <f>'MKT DATA'!AB1117</f>
        <v>0</v>
      </c>
    </row>
    <row r="85" spans="5:18" x14ac:dyDescent="0.25">
      <c r="E85" s="44" t="str">
        <f>'MKT DATA'!B1118</f>
        <v>syn BTCF7/BTCG7/BTCU6/BTCZ6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BTCF7/BTCG7/BTCU6/BTCZ6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BTCF7/BTCG7/BTCU6/BTCZ6</v>
      </c>
      <c r="R85" s="14">
        <f>'MKT DATA'!AB1118</f>
        <v>0</v>
      </c>
    </row>
    <row r="86" spans="5:18" x14ac:dyDescent="0.25">
      <c r="E86" s="44" t="str">
        <f>'MKT DATA'!B1119</f>
        <v>syn BTCF7/BTCG7/BTCV6/BTCZ6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BTCF7/BTCG7/BTCV6/BTCZ6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BTCF7/BTCG7/BTCV6/BTCZ6</v>
      </c>
      <c r="R86" s="14">
        <f>'MKT DATA'!AB1119</f>
        <v>0</v>
      </c>
    </row>
    <row r="87" spans="5:18" x14ac:dyDescent="0.25">
      <c r="E87" s="44" t="str">
        <f>'MKT DATA'!B1120</f>
        <v>syn BTCF7/BTCG7/BTCX6/BTCZ6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BTCF7/BTCG7/BTCX6/BTCZ6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BTCF7/BTCG7/BTCX6/BTCZ6</v>
      </c>
      <c r="R87" s="14">
        <f>'MKT DATA'!AB1120</f>
        <v>0</v>
      </c>
    </row>
    <row r="88" spans="5:18" x14ac:dyDescent="0.25">
      <c r="E88" s="44" t="str">
        <f>'MKT DATA'!B1121</f>
        <v>syn BTCG7/BTCU6/BTCV6/BTCZ6</v>
      </c>
      <c r="F88" s="14">
        <f>'MKT DATA'!J1121</f>
        <v>0</v>
      </c>
      <c r="G88" s="9">
        <f>'MKT DATA'!K1121</f>
        <v>0</v>
      </c>
      <c r="H88" s="9">
        <f>'MKT DATA'!L1121</f>
        <v>0</v>
      </c>
      <c r="I88" s="14">
        <f>'MKT DATA'!M1121</f>
        <v>0</v>
      </c>
      <c r="J88" s="44" t="str">
        <f t="shared" si="4"/>
        <v>syn BTCG7/BTCU6/BTCV6/BTCZ6</v>
      </c>
      <c r="K88" s="9">
        <f>'MKT DATA'!O1121</f>
        <v>0</v>
      </c>
      <c r="L88" s="9">
        <f>'MKT DATA'!P1121</f>
        <v>0</v>
      </c>
      <c r="M88" s="9">
        <f>'MKT DATA'!Q1121</f>
        <v>0</v>
      </c>
      <c r="N88" s="9">
        <f>'MKT DATA'!R1121</f>
        <v>0</v>
      </c>
      <c r="O88" s="9">
        <f>'MKT DATA'!S1121</f>
        <v>0</v>
      </c>
      <c r="P88" s="9">
        <f>'MKT DATA'!T1121</f>
        <v>0</v>
      </c>
      <c r="Q88" s="44" t="str">
        <f t="shared" si="5"/>
        <v>syn BTCG7/BTCU6/BTCV6/BTCZ6</v>
      </c>
      <c r="R88" s="14">
        <f>'MKT DATA'!AB1121</f>
        <v>0</v>
      </c>
    </row>
    <row r="89" spans="5:18" x14ac:dyDescent="0.25">
      <c r="E89" s="44" t="str">
        <f>'MKT DATA'!B1122</f>
        <v>syn BTCG7/BTCU6/BTCX6/BTCZ6</v>
      </c>
      <c r="F89" s="14">
        <f>'MKT DATA'!J1122</f>
        <v>0</v>
      </c>
      <c r="G89" s="9">
        <f>'MKT DATA'!K1122</f>
        <v>0</v>
      </c>
      <c r="H89" s="9">
        <f>'MKT DATA'!L1122</f>
        <v>0</v>
      </c>
      <c r="I89" s="14">
        <f>'MKT DATA'!M1122</f>
        <v>0</v>
      </c>
      <c r="J89" s="44" t="str">
        <f t="shared" si="4"/>
        <v>syn BTCG7/BTCU6/BTCX6/BTCZ6</v>
      </c>
      <c r="K89" s="9">
        <f>'MKT DATA'!O1122</f>
        <v>0</v>
      </c>
      <c r="L89" s="9">
        <f>'MKT DATA'!P1122</f>
        <v>0</v>
      </c>
      <c r="M89" s="9">
        <f>'MKT DATA'!Q1122</f>
        <v>0</v>
      </c>
      <c r="N89" s="9">
        <f>'MKT DATA'!R1122</f>
        <v>0</v>
      </c>
      <c r="O89" s="9">
        <f>'MKT DATA'!S1122</f>
        <v>0</v>
      </c>
      <c r="P89" s="9">
        <f>'MKT DATA'!T1122</f>
        <v>0</v>
      </c>
      <c r="Q89" s="44" t="str">
        <f t="shared" si="5"/>
        <v>syn BTCG7/BTCU6/BTCX6/BTCZ6</v>
      </c>
      <c r="R89" s="14">
        <f>'MKT DATA'!AB1122</f>
        <v>0</v>
      </c>
    </row>
    <row r="90" spans="5:18" x14ac:dyDescent="0.25">
      <c r="E90" s="44" t="str">
        <f>'MKT DATA'!B1123</f>
        <v>syn BTCG7/BTCU6/BTCF7/BTCZ6</v>
      </c>
      <c r="F90" s="14">
        <f>'MKT DATA'!J1123</f>
        <v>0</v>
      </c>
      <c r="G90" s="9">
        <f>'MKT DATA'!K1123</f>
        <v>0</v>
      </c>
      <c r="H90" s="9">
        <f>'MKT DATA'!L1123</f>
        <v>0</v>
      </c>
      <c r="I90" s="14">
        <f>'MKT DATA'!M1123</f>
        <v>0</v>
      </c>
      <c r="J90" s="44" t="str">
        <f t="shared" si="4"/>
        <v>syn BTCG7/BTCU6/BTCF7/BTCZ6</v>
      </c>
      <c r="K90" s="9">
        <f>'MKT DATA'!O1123</f>
        <v>0</v>
      </c>
      <c r="L90" s="9">
        <f>'MKT DATA'!P1123</f>
        <v>0</v>
      </c>
      <c r="M90" s="9">
        <f>'MKT DATA'!Q1123</f>
        <v>0</v>
      </c>
      <c r="N90" s="9">
        <f>'MKT DATA'!R1123</f>
        <v>0</v>
      </c>
      <c r="O90" s="9">
        <f>'MKT DATA'!S1123</f>
        <v>0</v>
      </c>
      <c r="P90" s="9">
        <f>'MKT DATA'!T1123</f>
        <v>0</v>
      </c>
      <c r="Q90" s="44" t="str">
        <f t="shared" si="5"/>
        <v>syn BTCG7/BTCU6/BTCF7/BTCZ6</v>
      </c>
      <c r="R90" s="14">
        <f>'MKT DATA'!AB1123</f>
        <v>0</v>
      </c>
    </row>
    <row r="91" spans="5:18" x14ac:dyDescent="0.25">
      <c r="E91" s="44" t="str">
        <f>'MKT DATA'!B1124</f>
        <v>syn BTCG7/BTCV6/BTCU6/BTCZ6</v>
      </c>
      <c r="F91" s="14">
        <f>'MKT DATA'!J1124</f>
        <v>0</v>
      </c>
      <c r="G91" s="9">
        <f>'MKT DATA'!K1124</f>
        <v>0</v>
      </c>
      <c r="H91" s="9">
        <f>'MKT DATA'!L1124</f>
        <v>0</v>
      </c>
      <c r="I91" s="14">
        <f>'MKT DATA'!M1124</f>
        <v>0</v>
      </c>
      <c r="J91" s="44" t="str">
        <f t="shared" si="4"/>
        <v>syn BTCG7/BTCV6/BTCU6/BTCZ6</v>
      </c>
      <c r="K91" s="9">
        <f>'MKT DATA'!O1124</f>
        <v>0</v>
      </c>
      <c r="L91" s="9">
        <f>'MKT DATA'!P1124</f>
        <v>0</v>
      </c>
      <c r="M91" s="9">
        <f>'MKT DATA'!Q1124</f>
        <v>0</v>
      </c>
      <c r="N91" s="9">
        <f>'MKT DATA'!R1124</f>
        <v>0</v>
      </c>
      <c r="O91" s="9">
        <f>'MKT DATA'!S1124</f>
        <v>0</v>
      </c>
      <c r="P91" s="9">
        <f>'MKT DATA'!T1124</f>
        <v>0</v>
      </c>
      <c r="Q91" s="44" t="str">
        <f t="shared" si="5"/>
        <v>syn BTCG7/BTCV6/BTCU6/BTCZ6</v>
      </c>
      <c r="R91" s="14">
        <f>'MKT DATA'!AB1124</f>
        <v>0</v>
      </c>
    </row>
    <row r="92" spans="5:18" x14ac:dyDescent="0.25">
      <c r="E92" s="44" t="str">
        <f>'MKT DATA'!B1125</f>
        <v>syn BTCG7/BTCV6/BTCX6/BTCZ6</v>
      </c>
      <c r="F92" s="14">
        <f>'MKT DATA'!J1125</f>
        <v>0</v>
      </c>
      <c r="G92" s="9">
        <f>'MKT DATA'!K1125</f>
        <v>0</v>
      </c>
      <c r="H92" s="9">
        <f>'MKT DATA'!L1125</f>
        <v>0</v>
      </c>
      <c r="I92" s="14">
        <f>'MKT DATA'!M1125</f>
        <v>0</v>
      </c>
      <c r="J92" s="44" t="str">
        <f t="shared" si="4"/>
        <v>syn BTCG7/BTCV6/BTCX6/BTCZ6</v>
      </c>
      <c r="K92" s="9">
        <f>'MKT DATA'!O1125</f>
        <v>0</v>
      </c>
      <c r="L92" s="9">
        <f>'MKT DATA'!P1125</f>
        <v>0</v>
      </c>
      <c r="M92" s="9">
        <f>'MKT DATA'!Q1125</f>
        <v>0</v>
      </c>
      <c r="N92" s="9">
        <f>'MKT DATA'!R1125</f>
        <v>0</v>
      </c>
      <c r="O92" s="9">
        <f>'MKT DATA'!S1125</f>
        <v>0</v>
      </c>
      <c r="P92" s="9">
        <f>'MKT DATA'!T1125</f>
        <v>0</v>
      </c>
      <c r="Q92" s="44" t="str">
        <f t="shared" si="5"/>
        <v>syn BTCG7/BTCV6/BTCX6/BTCZ6</v>
      </c>
      <c r="R92" s="14">
        <f>'MKT DATA'!AB1125</f>
        <v>0</v>
      </c>
    </row>
    <row r="93" spans="5:18" x14ac:dyDescent="0.25">
      <c r="E93" s="44" t="str">
        <f>'MKT DATA'!B1126</f>
        <v>syn BTCG7/BTCV6/BTCF7/BTCZ6</v>
      </c>
      <c r="F93" s="14">
        <f>'MKT DATA'!J1126</f>
        <v>0</v>
      </c>
      <c r="G93" s="9">
        <f>'MKT DATA'!K1126</f>
        <v>0</v>
      </c>
      <c r="H93" s="9">
        <f>'MKT DATA'!L1126</f>
        <v>0</v>
      </c>
      <c r="I93" s="14">
        <f>'MKT DATA'!M1126</f>
        <v>0</v>
      </c>
      <c r="J93" s="44" t="str">
        <f t="shared" si="4"/>
        <v>syn BTCG7/BTCV6/BTCF7/BTCZ6</v>
      </c>
      <c r="K93" s="9">
        <f>'MKT DATA'!O1126</f>
        <v>0</v>
      </c>
      <c r="L93" s="9">
        <f>'MKT DATA'!P1126</f>
        <v>0</v>
      </c>
      <c r="M93" s="9">
        <f>'MKT DATA'!Q1126</f>
        <v>0</v>
      </c>
      <c r="N93" s="9">
        <f>'MKT DATA'!R1126</f>
        <v>0</v>
      </c>
      <c r="O93" s="9">
        <f>'MKT DATA'!S1126</f>
        <v>0</v>
      </c>
      <c r="P93" s="9">
        <f>'MKT DATA'!T1126</f>
        <v>0</v>
      </c>
      <c r="Q93" s="44" t="str">
        <f t="shared" si="5"/>
        <v>syn BTCG7/BTCV6/BTCF7/BTCZ6</v>
      </c>
      <c r="R93" s="14">
        <f>'MKT DATA'!AB1126</f>
        <v>0</v>
      </c>
    </row>
    <row r="94" spans="5:18" x14ac:dyDescent="0.25">
      <c r="E94" s="44" t="str">
        <f>'MKT DATA'!B1127</f>
        <v>syn BTCG7/BTCX6/BTCU6/BTCZ6</v>
      </c>
      <c r="F94" s="14">
        <f>'MKT DATA'!J1127</f>
        <v>0</v>
      </c>
      <c r="G94" s="9">
        <f>'MKT DATA'!K1127</f>
        <v>0</v>
      </c>
      <c r="H94" s="9">
        <f>'MKT DATA'!L1127</f>
        <v>0</v>
      </c>
      <c r="I94" s="14">
        <f>'MKT DATA'!M1127</f>
        <v>0</v>
      </c>
      <c r="J94" s="44" t="str">
        <f t="shared" si="4"/>
        <v>syn BTCG7/BTCX6/BTCU6/BTCZ6</v>
      </c>
      <c r="K94" s="9">
        <f>'MKT DATA'!O1127</f>
        <v>0</v>
      </c>
      <c r="L94" s="9">
        <f>'MKT DATA'!P1127</f>
        <v>0</v>
      </c>
      <c r="M94" s="9">
        <f>'MKT DATA'!Q1127</f>
        <v>0</v>
      </c>
      <c r="N94" s="9">
        <f>'MKT DATA'!R1127</f>
        <v>0</v>
      </c>
      <c r="O94" s="9">
        <f>'MKT DATA'!S1127</f>
        <v>0</v>
      </c>
      <c r="P94" s="9">
        <f>'MKT DATA'!T1127</f>
        <v>0</v>
      </c>
      <c r="Q94" s="44" t="str">
        <f t="shared" si="5"/>
        <v>syn BTCG7/BTCX6/BTCU6/BTCZ6</v>
      </c>
      <c r="R94" s="14">
        <f>'MKT DATA'!AB1127</f>
        <v>0</v>
      </c>
    </row>
    <row r="95" spans="5:18" x14ac:dyDescent="0.25">
      <c r="E95" s="44" t="str">
        <f>'MKT DATA'!B1128</f>
        <v>syn BTCG7/BTCX6/BTCV6/BTCZ6</v>
      </c>
      <c r="F95" s="14">
        <f>'MKT DATA'!J1128</f>
        <v>0</v>
      </c>
      <c r="G95" s="9">
        <f>'MKT DATA'!K1128</f>
        <v>0</v>
      </c>
      <c r="H95" s="9">
        <f>'MKT DATA'!L1128</f>
        <v>0</v>
      </c>
      <c r="I95" s="14">
        <f>'MKT DATA'!M1128</f>
        <v>0</v>
      </c>
      <c r="J95" s="44" t="str">
        <f t="shared" si="4"/>
        <v>syn BTCG7/BTCX6/BTCV6/BTCZ6</v>
      </c>
      <c r="K95" s="9">
        <f>'MKT DATA'!O1128</f>
        <v>0</v>
      </c>
      <c r="L95" s="9">
        <f>'MKT DATA'!P1128</f>
        <v>0</v>
      </c>
      <c r="M95" s="9">
        <f>'MKT DATA'!Q1128</f>
        <v>0</v>
      </c>
      <c r="N95" s="9">
        <f>'MKT DATA'!R1128</f>
        <v>0</v>
      </c>
      <c r="O95" s="9">
        <f>'MKT DATA'!S1128</f>
        <v>0</v>
      </c>
      <c r="P95" s="9">
        <f>'MKT DATA'!T1128</f>
        <v>0</v>
      </c>
      <c r="Q95" s="44" t="str">
        <f t="shared" si="5"/>
        <v>syn BTCG7/BTCX6/BTCV6/BTCZ6</v>
      </c>
      <c r="R95" s="14">
        <f>'MKT DATA'!AB1128</f>
        <v>0</v>
      </c>
    </row>
    <row r="96" spans="5:18" x14ac:dyDescent="0.25">
      <c r="E96" s="44" t="str">
        <f>'MKT DATA'!B1129</f>
        <v>syn BTCG7/BTCX6/BTCF7/BTCZ6</v>
      </c>
      <c r="F96" s="14">
        <f>'MKT DATA'!J1129</f>
        <v>0</v>
      </c>
      <c r="G96" s="9">
        <f>'MKT DATA'!K1129</f>
        <v>0</v>
      </c>
      <c r="H96" s="9">
        <f>'MKT DATA'!L1129</f>
        <v>0</v>
      </c>
      <c r="I96" s="14">
        <f>'MKT DATA'!M1129</f>
        <v>0</v>
      </c>
      <c r="J96" s="44" t="str">
        <f t="shared" si="4"/>
        <v>syn BTCG7/BTCX6/BTCF7/BTCZ6</v>
      </c>
      <c r="K96" s="9">
        <f>'MKT DATA'!O1129</f>
        <v>0</v>
      </c>
      <c r="L96" s="9">
        <f>'MKT DATA'!P1129</f>
        <v>0</v>
      </c>
      <c r="M96" s="9">
        <f>'MKT DATA'!Q1129</f>
        <v>0</v>
      </c>
      <c r="N96" s="9">
        <f>'MKT DATA'!R1129</f>
        <v>0</v>
      </c>
      <c r="O96" s="9">
        <f>'MKT DATA'!S1129</f>
        <v>0</v>
      </c>
      <c r="P96" s="9">
        <f>'MKT DATA'!T1129</f>
        <v>0</v>
      </c>
      <c r="Q96" s="44" t="str">
        <f t="shared" si="5"/>
        <v>syn BTCG7/BTCX6/BTCF7/BTCZ6</v>
      </c>
      <c r="R96" s="14">
        <f>'MKT DATA'!AB1129</f>
        <v>0</v>
      </c>
    </row>
    <row r="97" spans="5:18" x14ac:dyDescent="0.25">
      <c r="E97" s="44" t="str">
        <f>'MKT DATA'!B1130</f>
        <v>syn BTCG7/BTCF7/BTCU6/BTCZ6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BTCG7/BTCF7/BTCU6/BTCZ6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BTCG7/BTCF7/BTCU6/BTCZ6</v>
      </c>
      <c r="R97" s="14">
        <f>'MKT DATA'!AB1130</f>
        <v>0</v>
      </c>
    </row>
    <row r="98" spans="5:18" x14ac:dyDescent="0.25">
      <c r="E98" s="44" t="str">
        <f>'MKT DATA'!B1131</f>
        <v>syn BTCG7/BTCF7/BTCV6/BTCZ6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BTCG7/BTCF7/BTCV6/BTCZ6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BTCG7/BTCF7/BTCV6/BTCZ6</v>
      </c>
      <c r="R98" s="14">
        <f>'MKT DATA'!AB1131</f>
        <v>0</v>
      </c>
    </row>
    <row r="99" spans="5:18" x14ac:dyDescent="0.25">
      <c r="E99" s="44" t="str">
        <f>'MKT DATA'!B1132</f>
        <v>syn BTCG7/BTCF7/BTCX6/BTCZ6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BTCG7/BTCF7/BTCX6/BTCZ6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BTCG7/BTCF7/BTCX6/BTCZ6</v>
      </c>
      <c r="R99" s="14">
        <f>'MKT DATA'!AB1132</f>
        <v>0</v>
      </c>
    </row>
    <row r="100" spans="5:18" x14ac:dyDescent="0.25">
      <c r="E100" s="44" t="str">
        <f>'MKT DATA'!B1133</f>
        <v>syn BTCU6/BTCV6/BTCX6/BTCF7/BTCZ6</v>
      </c>
      <c r="F100" s="14">
        <f>'MKT DATA'!J1133</f>
        <v>0</v>
      </c>
      <c r="G100" s="9">
        <f>'MKT DATA'!K1133</f>
        <v>0</v>
      </c>
      <c r="H100" s="9">
        <f>'MKT DATA'!L1133</f>
        <v>0</v>
      </c>
      <c r="I100" s="14">
        <f>'MKT DATA'!M1133</f>
        <v>0</v>
      </c>
      <c r="J100" s="44" t="str">
        <f t="shared" si="4"/>
        <v>syn BTCU6/BTCV6/BTCX6/BTCF7/BTCZ6</v>
      </c>
      <c r="K100" s="9">
        <f>'MKT DATA'!O1133</f>
        <v>0</v>
      </c>
      <c r="L100" s="9">
        <f>'MKT DATA'!P1133</f>
        <v>0</v>
      </c>
      <c r="M100" s="9">
        <f>'MKT DATA'!Q1133</f>
        <v>0</v>
      </c>
      <c r="N100" s="9">
        <f>'MKT DATA'!R1133</f>
        <v>0</v>
      </c>
      <c r="O100" s="9">
        <f>'MKT DATA'!S1133</f>
        <v>0</v>
      </c>
      <c r="P100" s="9">
        <f>'MKT DATA'!T1133</f>
        <v>0</v>
      </c>
      <c r="Q100" s="44" t="str">
        <f t="shared" si="5"/>
        <v>syn BTCU6/BTCV6/BTCX6/BTCF7/BTCZ6</v>
      </c>
      <c r="R100" s="14">
        <f>'MKT DATA'!AB1133</f>
        <v>0</v>
      </c>
    </row>
    <row r="101" spans="5:18" x14ac:dyDescent="0.25">
      <c r="E101" s="44" t="str">
        <f>'MKT DATA'!B1134</f>
        <v>syn BTCU6/BTCV6/BTCX6/BTCG7/BTCZ6</v>
      </c>
      <c r="F101" s="14">
        <f>'MKT DATA'!J1134</f>
        <v>0</v>
      </c>
      <c r="G101" s="9">
        <f>'MKT DATA'!K1134</f>
        <v>0</v>
      </c>
      <c r="H101" s="9">
        <f>'MKT DATA'!L1134</f>
        <v>0</v>
      </c>
      <c r="I101" s="14">
        <f>'MKT DATA'!M1134</f>
        <v>0</v>
      </c>
      <c r="J101" s="44" t="str">
        <f t="shared" si="4"/>
        <v>syn BTCU6/BTCV6/BTCX6/BTCG7/BTCZ6</v>
      </c>
      <c r="K101" s="9">
        <f>'MKT DATA'!O1134</f>
        <v>0</v>
      </c>
      <c r="L101" s="9">
        <f>'MKT DATA'!P1134</f>
        <v>0</v>
      </c>
      <c r="M101" s="9">
        <f>'MKT DATA'!Q1134</f>
        <v>0</v>
      </c>
      <c r="N101" s="9">
        <f>'MKT DATA'!R1134</f>
        <v>0</v>
      </c>
      <c r="O101" s="9">
        <f>'MKT DATA'!S1134</f>
        <v>0</v>
      </c>
      <c r="P101" s="9">
        <f>'MKT DATA'!T1134</f>
        <v>0</v>
      </c>
      <c r="Q101" s="44" t="str">
        <f t="shared" si="5"/>
        <v>syn BTCU6/BTCV6/BTCX6/BTCG7/BTCZ6</v>
      </c>
      <c r="R101" s="14">
        <f>'MKT DATA'!AB1134</f>
        <v>0</v>
      </c>
    </row>
    <row r="102" spans="5:18" x14ac:dyDescent="0.25">
      <c r="E102" s="44" t="str">
        <f>'MKT DATA'!B1135</f>
        <v>syn BTCU6/BTCV6/BTCF7/BTCX6/BTCZ6</v>
      </c>
      <c r="F102" s="14">
        <f>'MKT DATA'!J1135</f>
        <v>0</v>
      </c>
      <c r="G102" s="9">
        <f>'MKT DATA'!K1135</f>
        <v>0</v>
      </c>
      <c r="H102" s="9">
        <f>'MKT DATA'!L1135</f>
        <v>0</v>
      </c>
      <c r="I102" s="14">
        <f>'MKT DATA'!M1135</f>
        <v>0</v>
      </c>
      <c r="J102" s="44" t="str">
        <f t="shared" si="4"/>
        <v>syn BTCU6/BTCV6/BTCF7/BTCX6/BTCZ6</v>
      </c>
      <c r="K102" s="9">
        <f>'MKT DATA'!O1135</f>
        <v>0</v>
      </c>
      <c r="L102" s="9">
        <f>'MKT DATA'!P1135</f>
        <v>0</v>
      </c>
      <c r="M102" s="9">
        <f>'MKT DATA'!Q1135</f>
        <v>0</v>
      </c>
      <c r="N102" s="9">
        <f>'MKT DATA'!R1135</f>
        <v>0</v>
      </c>
      <c r="O102" s="9">
        <f>'MKT DATA'!S1135</f>
        <v>0</v>
      </c>
      <c r="P102" s="9">
        <f>'MKT DATA'!T1135</f>
        <v>0</v>
      </c>
      <c r="Q102" s="44" t="str">
        <f t="shared" si="5"/>
        <v>syn BTCU6/BTCV6/BTCF7/BTCX6/BTCZ6</v>
      </c>
      <c r="R102" s="14">
        <f>'MKT DATA'!AB1135</f>
        <v>0</v>
      </c>
    </row>
    <row r="103" spans="5:18" x14ac:dyDescent="0.25">
      <c r="E103" s="44" t="str">
        <f>'MKT DATA'!B1136</f>
        <v>syn BTCU6/BTCV6/BTCF7/BTCG7/BTCZ6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BTCU6/BTCV6/BTCF7/BTCG7/BTCZ6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BTCU6/BTCV6/BTCF7/BTCG7/BTCZ6</v>
      </c>
      <c r="R103" s="14">
        <f>'MKT DATA'!AB1136</f>
        <v>0</v>
      </c>
    </row>
    <row r="104" spans="5:18" x14ac:dyDescent="0.25">
      <c r="E104" s="44" t="str">
        <f>'MKT DATA'!B1137</f>
        <v>syn BTCU6/BTCV6/BTCG7/BTCX6/BTCZ6</v>
      </c>
      <c r="F104" s="14">
        <f>'MKT DATA'!J1137</f>
        <v>0</v>
      </c>
      <c r="G104" s="9">
        <f>'MKT DATA'!K1137</f>
        <v>0</v>
      </c>
      <c r="H104" s="9">
        <f>'MKT DATA'!L1137</f>
        <v>0</v>
      </c>
      <c r="I104" s="14">
        <f>'MKT DATA'!M1137</f>
        <v>0</v>
      </c>
      <c r="J104" s="44" t="str">
        <f t="shared" si="4"/>
        <v>syn BTCU6/BTCV6/BTCG7/BTCX6/BTCZ6</v>
      </c>
      <c r="K104" s="9">
        <f>'MKT DATA'!O1137</f>
        <v>0</v>
      </c>
      <c r="L104" s="9">
        <f>'MKT DATA'!P1137</f>
        <v>0</v>
      </c>
      <c r="M104" s="9">
        <f>'MKT DATA'!Q1137</f>
        <v>0</v>
      </c>
      <c r="N104" s="9">
        <f>'MKT DATA'!R1137</f>
        <v>0</v>
      </c>
      <c r="O104" s="9">
        <f>'MKT DATA'!S1137</f>
        <v>0</v>
      </c>
      <c r="P104" s="9">
        <f>'MKT DATA'!T1137</f>
        <v>0</v>
      </c>
      <c r="Q104" s="44" t="str">
        <f t="shared" si="5"/>
        <v>syn BTCU6/BTCV6/BTCG7/BTCX6/BTCZ6</v>
      </c>
      <c r="R104" s="14">
        <f>'MKT DATA'!AB1137</f>
        <v>0</v>
      </c>
    </row>
    <row r="105" spans="5:18" x14ac:dyDescent="0.25">
      <c r="E105" s="44" t="str">
        <f>'MKT DATA'!B1138</f>
        <v>syn BTCU6/BTCV6/BTCG7/BTCF7/BTCZ6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BTCU6/BTCV6/BTCG7/BTCF7/BTCZ6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BTCU6/BTCV6/BTCG7/BTCF7/BTCZ6</v>
      </c>
      <c r="R105" s="14">
        <f>'MKT DATA'!AB1138</f>
        <v>0</v>
      </c>
    </row>
    <row r="106" spans="5:18" x14ac:dyDescent="0.25">
      <c r="E106" s="44" t="str">
        <f>'MKT DATA'!B1139</f>
        <v>syn BTCU6/BTCX6/BTCV6/BTCF7/BTCZ6</v>
      </c>
      <c r="F106" s="14">
        <f>'MKT DATA'!J1139</f>
        <v>0</v>
      </c>
      <c r="G106" s="9">
        <f>'MKT DATA'!K1139</f>
        <v>0</v>
      </c>
      <c r="H106" s="9">
        <f>'MKT DATA'!L1139</f>
        <v>0</v>
      </c>
      <c r="I106" s="14">
        <f>'MKT DATA'!M1139</f>
        <v>0</v>
      </c>
      <c r="J106" s="44" t="str">
        <f t="shared" si="4"/>
        <v>syn BTCU6/BTCX6/BTCV6/BTCF7/BTCZ6</v>
      </c>
      <c r="K106" s="9">
        <f>'MKT DATA'!O1139</f>
        <v>0</v>
      </c>
      <c r="L106" s="9">
        <f>'MKT DATA'!P1139</f>
        <v>0</v>
      </c>
      <c r="M106" s="9">
        <f>'MKT DATA'!Q1139</f>
        <v>0</v>
      </c>
      <c r="N106" s="9">
        <f>'MKT DATA'!R1139</f>
        <v>0</v>
      </c>
      <c r="O106" s="9">
        <f>'MKT DATA'!S1139</f>
        <v>0</v>
      </c>
      <c r="P106" s="9">
        <f>'MKT DATA'!T1139</f>
        <v>0</v>
      </c>
      <c r="Q106" s="44" t="str">
        <f t="shared" si="5"/>
        <v>syn BTCU6/BTCX6/BTCV6/BTCF7/BTCZ6</v>
      </c>
      <c r="R106" s="14">
        <f>'MKT DATA'!AB1139</f>
        <v>0</v>
      </c>
    </row>
    <row r="107" spans="5:18" x14ac:dyDescent="0.25">
      <c r="E107" s="44" t="str">
        <f>'MKT DATA'!B1140</f>
        <v>syn BTCU6/BTCX6/BTCV6/BTCG7/BTCZ6</v>
      </c>
      <c r="F107" s="14">
        <f>'MKT DATA'!J1140</f>
        <v>0</v>
      </c>
      <c r="G107" s="9">
        <f>'MKT DATA'!K1140</f>
        <v>0</v>
      </c>
      <c r="H107" s="9">
        <f>'MKT DATA'!L1140</f>
        <v>0</v>
      </c>
      <c r="I107" s="14">
        <f>'MKT DATA'!M1140</f>
        <v>0</v>
      </c>
      <c r="J107" s="44" t="str">
        <f t="shared" si="4"/>
        <v>syn BTCU6/BTCX6/BTCV6/BTCG7/BTCZ6</v>
      </c>
      <c r="K107" s="9">
        <f>'MKT DATA'!O1140</f>
        <v>0</v>
      </c>
      <c r="L107" s="9">
        <f>'MKT DATA'!P1140</f>
        <v>0</v>
      </c>
      <c r="M107" s="9">
        <f>'MKT DATA'!Q1140</f>
        <v>0</v>
      </c>
      <c r="N107" s="9">
        <f>'MKT DATA'!R1140</f>
        <v>0</v>
      </c>
      <c r="O107" s="9">
        <f>'MKT DATA'!S1140</f>
        <v>0</v>
      </c>
      <c r="P107" s="9">
        <f>'MKT DATA'!T1140</f>
        <v>0</v>
      </c>
      <c r="Q107" s="44" t="str">
        <f t="shared" si="5"/>
        <v>syn BTCU6/BTCX6/BTCV6/BTCG7/BTCZ6</v>
      </c>
      <c r="R107" s="14">
        <f>'MKT DATA'!AB1140</f>
        <v>0</v>
      </c>
    </row>
    <row r="108" spans="5:18" x14ac:dyDescent="0.25">
      <c r="E108" s="44" t="str">
        <f>'MKT DATA'!B1141</f>
        <v>syn BTCU6/BTCX6/BTCF7/BTCV6/BTCZ6</v>
      </c>
      <c r="F108" s="14">
        <f>'MKT DATA'!J1141</f>
        <v>0</v>
      </c>
      <c r="G108" s="9">
        <f>'MKT DATA'!K1141</f>
        <v>0</v>
      </c>
      <c r="H108" s="9">
        <f>'MKT DATA'!L1141</f>
        <v>0</v>
      </c>
      <c r="I108" s="14">
        <f>'MKT DATA'!M1141</f>
        <v>0</v>
      </c>
      <c r="J108" s="44" t="str">
        <f t="shared" si="4"/>
        <v>syn BTCU6/BTCX6/BTCF7/BTCV6/BTCZ6</v>
      </c>
      <c r="K108" s="9">
        <f>'MKT DATA'!O1141</f>
        <v>0</v>
      </c>
      <c r="L108" s="9">
        <f>'MKT DATA'!P1141</f>
        <v>0</v>
      </c>
      <c r="M108" s="9">
        <f>'MKT DATA'!Q1141</f>
        <v>0</v>
      </c>
      <c r="N108" s="9">
        <f>'MKT DATA'!R1141</f>
        <v>0</v>
      </c>
      <c r="O108" s="9">
        <f>'MKT DATA'!S1141</f>
        <v>0</v>
      </c>
      <c r="P108" s="9">
        <f>'MKT DATA'!T1141</f>
        <v>0</v>
      </c>
      <c r="Q108" s="44" t="str">
        <f t="shared" si="5"/>
        <v>syn BTCU6/BTCX6/BTCF7/BTCV6/BTCZ6</v>
      </c>
      <c r="R108" s="14">
        <f>'MKT DATA'!AB1141</f>
        <v>0</v>
      </c>
    </row>
    <row r="109" spans="5:18" x14ac:dyDescent="0.25">
      <c r="E109" s="44" t="str">
        <f>'MKT DATA'!B1142</f>
        <v>syn BTCU6/BTCX6/BTCF7/BTCG7/BTCZ6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BTCU6/BTCX6/BTCF7/BTCG7/BTCZ6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BTCU6/BTCX6/BTCF7/BTCG7/BTCZ6</v>
      </c>
      <c r="R109" s="14">
        <f>'MKT DATA'!AB1142</f>
        <v>0</v>
      </c>
    </row>
    <row r="110" spans="5:18" x14ac:dyDescent="0.25">
      <c r="E110" s="44" t="str">
        <f>'MKT DATA'!B1143</f>
        <v>syn BTCU6/BTCX6/BTCG7/BTCV6/BTCZ6</v>
      </c>
      <c r="F110" s="14">
        <f>'MKT DATA'!J1143</f>
        <v>0</v>
      </c>
      <c r="G110" s="9">
        <f>'MKT DATA'!K1143</f>
        <v>0</v>
      </c>
      <c r="H110" s="9">
        <f>'MKT DATA'!L1143</f>
        <v>0</v>
      </c>
      <c r="I110" s="14">
        <f>'MKT DATA'!M1143</f>
        <v>0</v>
      </c>
      <c r="J110" s="44" t="str">
        <f t="shared" si="4"/>
        <v>syn BTCU6/BTCX6/BTCG7/BTCV6/BTCZ6</v>
      </c>
      <c r="K110" s="9">
        <f>'MKT DATA'!O1143</f>
        <v>0</v>
      </c>
      <c r="L110" s="9">
        <f>'MKT DATA'!P1143</f>
        <v>0</v>
      </c>
      <c r="M110" s="9">
        <f>'MKT DATA'!Q1143</f>
        <v>0</v>
      </c>
      <c r="N110" s="9">
        <f>'MKT DATA'!R1143</f>
        <v>0</v>
      </c>
      <c r="O110" s="9">
        <f>'MKT DATA'!S1143</f>
        <v>0</v>
      </c>
      <c r="P110" s="9">
        <f>'MKT DATA'!T1143</f>
        <v>0</v>
      </c>
      <c r="Q110" s="44" t="str">
        <f t="shared" si="5"/>
        <v>syn BTCU6/BTCX6/BTCG7/BTCV6/BTCZ6</v>
      </c>
      <c r="R110" s="14">
        <f>'MKT DATA'!AB1143</f>
        <v>0</v>
      </c>
    </row>
    <row r="111" spans="5:18" x14ac:dyDescent="0.25">
      <c r="E111" s="44" t="str">
        <f>'MKT DATA'!B1144</f>
        <v>syn BTCU6/BTCX6/BTCG7/BTCF7/BTCZ6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BTCU6/BTCX6/BTCG7/BTCF7/BTCZ6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BTCU6/BTCX6/BTCG7/BTCF7/BTCZ6</v>
      </c>
      <c r="R111" s="14">
        <f>'MKT DATA'!AB1144</f>
        <v>0</v>
      </c>
    </row>
    <row r="112" spans="5:18" x14ac:dyDescent="0.25">
      <c r="E112" s="44" t="str">
        <f>'MKT DATA'!B1145</f>
        <v>syn BTCU6/BTCF7/BTCV6/BTCX6/BTCZ6</v>
      </c>
      <c r="F112" s="14">
        <f>'MKT DATA'!J1145</f>
        <v>0</v>
      </c>
      <c r="G112" s="9">
        <f>'MKT DATA'!K1145</f>
        <v>0</v>
      </c>
      <c r="H112" s="9">
        <f>'MKT DATA'!L1145</f>
        <v>0</v>
      </c>
      <c r="I112" s="14">
        <f>'MKT DATA'!M1145</f>
        <v>0</v>
      </c>
      <c r="J112" s="44" t="str">
        <f t="shared" si="4"/>
        <v>syn BTCU6/BTCF7/BTCV6/BTCX6/BTCZ6</v>
      </c>
      <c r="K112" s="9">
        <f>'MKT DATA'!O1145</f>
        <v>0</v>
      </c>
      <c r="L112" s="9">
        <f>'MKT DATA'!P1145</f>
        <v>0</v>
      </c>
      <c r="M112" s="9">
        <f>'MKT DATA'!Q1145</f>
        <v>0</v>
      </c>
      <c r="N112" s="9">
        <f>'MKT DATA'!R1145</f>
        <v>0</v>
      </c>
      <c r="O112" s="9">
        <f>'MKT DATA'!S1145</f>
        <v>0</v>
      </c>
      <c r="P112" s="9">
        <f>'MKT DATA'!T1145</f>
        <v>0</v>
      </c>
      <c r="Q112" s="44" t="str">
        <f t="shared" si="5"/>
        <v>syn BTCU6/BTCF7/BTCV6/BTCX6/BTCZ6</v>
      </c>
      <c r="R112" s="14">
        <f>'MKT DATA'!AB1145</f>
        <v>0</v>
      </c>
    </row>
    <row r="113" spans="5:18" x14ac:dyDescent="0.25">
      <c r="E113" s="44" t="str">
        <f>'MKT DATA'!B1146</f>
        <v>syn BTCU6/BTCF7/BTCV6/BTCG7/BTCZ6</v>
      </c>
      <c r="F113" s="14">
        <f>'MKT DATA'!J1146</f>
        <v>0</v>
      </c>
      <c r="G113" s="9">
        <f>'MKT DATA'!K1146</f>
        <v>0</v>
      </c>
      <c r="H113" s="9">
        <f>'MKT DATA'!L1146</f>
        <v>0</v>
      </c>
      <c r="I113" s="14">
        <f>'MKT DATA'!M1146</f>
        <v>0</v>
      </c>
      <c r="J113" s="44" t="str">
        <f t="shared" si="4"/>
        <v>syn BTCU6/BTCF7/BTCV6/BTCG7/BTCZ6</v>
      </c>
      <c r="K113" s="9">
        <f>'MKT DATA'!O1146</f>
        <v>0</v>
      </c>
      <c r="L113" s="9">
        <f>'MKT DATA'!P1146</f>
        <v>0</v>
      </c>
      <c r="M113" s="9">
        <f>'MKT DATA'!Q1146</f>
        <v>0</v>
      </c>
      <c r="N113" s="9">
        <f>'MKT DATA'!R1146</f>
        <v>0</v>
      </c>
      <c r="O113" s="9">
        <f>'MKT DATA'!S1146</f>
        <v>0</v>
      </c>
      <c r="P113" s="9">
        <f>'MKT DATA'!T1146</f>
        <v>0</v>
      </c>
      <c r="Q113" s="44" t="str">
        <f t="shared" si="5"/>
        <v>syn BTCU6/BTCF7/BTCV6/BTCG7/BTCZ6</v>
      </c>
      <c r="R113" s="14">
        <f>'MKT DATA'!AB1146</f>
        <v>0</v>
      </c>
    </row>
    <row r="114" spans="5:18" x14ac:dyDescent="0.25">
      <c r="E114" s="44" t="str">
        <f>'MKT DATA'!B1147</f>
        <v>syn BTCU6/BTCF7/BTCX6/BTCV6/BTCZ6</v>
      </c>
      <c r="F114" s="14">
        <f>'MKT DATA'!J1147</f>
        <v>0</v>
      </c>
      <c r="G114" s="9">
        <f>'MKT DATA'!K1147</f>
        <v>0</v>
      </c>
      <c r="H114" s="9">
        <f>'MKT DATA'!L1147</f>
        <v>0</v>
      </c>
      <c r="I114" s="14">
        <f>'MKT DATA'!M1147</f>
        <v>0</v>
      </c>
      <c r="J114" s="44" t="str">
        <f t="shared" si="4"/>
        <v>syn BTCU6/BTCF7/BTCX6/BTCV6/BTCZ6</v>
      </c>
      <c r="K114" s="9">
        <f>'MKT DATA'!O1147</f>
        <v>0</v>
      </c>
      <c r="L114" s="9">
        <f>'MKT DATA'!P1147</f>
        <v>0</v>
      </c>
      <c r="M114" s="9">
        <f>'MKT DATA'!Q1147</f>
        <v>0</v>
      </c>
      <c r="N114" s="9">
        <f>'MKT DATA'!R1147</f>
        <v>0</v>
      </c>
      <c r="O114" s="9">
        <f>'MKT DATA'!S1147</f>
        <v>0</v>
      </c>
      <c r="P114" s="9">
        <f>'MKT DATA'!T1147</f>
        <v>0</v>
      </c>
      <c r="Q114" s="44" t="str">
        <f t="shared" si="5"/>
        <v>syn BTCU6/BTCF7/BTCX6/BTCV6/BTCZ6</v>
      </c>
      <c r="R114" s="14">
        <f>'MKT DATA'!AB1147</f>
        <v>0</v>
      </c>
    </row>
    <row r="115" spans="5:18" x14ac:dyDescent="0.25">
      <c r="E115" s="44" t="str">
        <f>'MKT DATA'!B1148</f>
        <v>syn BTCU6/BTCF7/BTCX6/BTCG7/BTCZ6</v>
      </c>
      <c r="F115" s="14">
        <f>'MKT DATA'!J1148</f>
        <v>0</v>
      </c>
      <c r="G115" s="9">
        <f>'MKT DATA'!K1148</f>
        <v>0</v>
      </c>
      <c r="H115" s="9">
        <f>'MKT DATA'!L1148</f>
        <v>0</v>
      </c>
      <c r="I115" s="14">
        <f>'MKT DATA'!M1148</f>
        <v>0</v>
      </c>
      <c r="J115" s="44" t="str">
        <f t="shared" si="4"/>
        <v>syn BTCU6/BTCF7/BTCX6/BTCG7/BTCZ6</v>
      </c>
      <c r="K115" s="9">
        <f>'MKT DATA'!O1148</f>
        <v>0</v>
      </c>
      <c r="L115" s="9">
        <f>'MKT DATA'!P1148</f>
        <v>0</v>
      </c>
      <c r="M115" s="9">
        <f>'MKT DATA'!Q1148</f>
        <v>0</v>
      </c>
      <c r="N115" s="9">
        <f>'MKT DATA'!R1148</f>
        <v>0</v>
      </c>
      <c r="O115" s="9">
        <f>'MKT DATA'!S1148</f>
        <v>0</v>
      </c>
      <c r="P115" s="9">
        <f>'MKT DATA'!T1148</f>
        <v>0</v>
      </c>
      <c r="Q115" s="44" t="str">
        <f t="shared" si="5"/>
        <v>syn BTCU6/BTCF7/BTCX6/BTCG7/BTCZ6</v>
      </c>
      <c r="R115" s="14">
        <f>'MKT DATA'!AB1148</f>
        <v>0</v>
      </c>
    </row>
    <row r="116" spans="5:18" x14ac:dyDescent="0.25">
      <c r="E116" s="44" t="str">
        <f>'MKT DATA'!B1149</f>
        <v>syn BTCU6/BTCF7/BTCG7/BTCV6/BTCZ6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BTCU6/BTCF7/BTCG7/BTCV6/BTCZ6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BTCU6/BTCF7/BTCG7/BTCV6/BTCZ6</v>
      </c>
      <c r="R116" s="14">
        <f>'MKT DATA'!AB1149</f>
        <v>0</v>
      </c>
    </row>
    <row r="117" spans="5:18" x14ac:dyDescent="0.25">
      <c r="E117" s="44" t="str">
        <f>'MKT DATA'!B1150</f>
        <v>syn BTCU6/BTCF7/BTCG7/BTCX6/BTCZ6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BTCU6/BTCF7/BTCG7/BTCX6/BTCZ6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BTCU6/BTCF7/BTCG7/BTCX6/BTCZ6</v>
      </c>
      <c r="R117" s="14">
        <f>'MKT DATA'!AB1150</f>
        <v>0</v>
      </c>
    </row>
    <row r="118" spans="5:18" x14ac:dyDescent="0.25">
      <c r="E118" s="44" t="str">
        <f>'MKT DATA'!B1151</f>
        <v>syn BTCU6/BTCG7/BTCV6/BTCX6/BTCZ6</v>
      </c>
      <c r="F118" s="14">
        <f>'MKT DATA'!J1151</f>
        <v>0</v>
      </c>
      <c r="G118" s="9">
        <f>'MKT DATA'!K1151</f>
        <v>0</v>
      </c>
      <c r="H118" s="9">
        <f>'MKT DATA'!L1151</f>
        <v>0</v>
      </c>
      <c r="I118" s="14">
        <f>'MKT DATA'!M1151</f>
        <v>0</v>
      </c>
      <c r="J118" s="44" t="str">
        <f t="shared" si="4"/>
        <v>syn BTCU6/BTCG7/BTCV6/BTCX6/BTCZ6</v>
      </c>
      <c r="K118" s="9">
        <f>'MKT DATA'!O1151</f>
        <v>0</v>
      </c>
      <c r="L118" s="9">
        <f>'MKT DATA'!P1151</f>
        <v>0</v>
      </c>
      <c r="M118" s="9">
        <f>'MKT DATA'!Q1151</f>
        <v>0</v>
      </c>
      <c r="N118" s="9">
        <f>'MKT DATA'!R1151</f>
        <v>0</v>
      </c>
      <c r="O118" s="9">
        <f>'MKT DATA'!S1151</f>
        <v>0</v>
      </c>
      <c r="P118" s="9">
        <f>'MKT DATA'!T1151</f>
        <v>0</v>
      </c>
      <c r="Q118" s="44" t="str">
        <f t="shared" si="5"/>
        <v>syn BTCU6/BTCG7/BTCV6/BTCX6/BTCZ6</v>
      </c>
      <c r="R118" s="14">
        <f>'MKT DATA'!AB1151</f>
        <v>0</v>
      </c>
    </row>
    <row r="119" spans="5:18" x14ac:dyDescent="0.25">
      <c r="E119" s="44" t="str">
        <f>'MKT DATA'!B1152</f>
        <v>syn BTCU6/BTCG7/BTCV6/BTCF7/BTCZ6</v>
      </c>
      <c r="F119" s="14">
        <f>'MKT DATA'!J1152</f>
        <v>0</v>
      </c>
      <c r="G119" s="9">
        <f>'MKT DATA'!K1152</f>
        <v>0</v>
      </c>
      <c r="H119" s="9">
        <f>'MKT DATA'!L1152</f>
        <v>0</v>
      </c>
      <c r="I119" s="14">
        <f>'MKT DATA'!M1152</f>
        <v>0</v>
      </c>
      <c r="J119" s="44" t="str">
        <f t="shared" si="4"/>
        <v>syn BTCU6/BTCG7/BTCV6/BTCF7/BTCZ6</v>
      </c>
      <c r="K119" s="9">
        <f>'MKT DATA'!O1152</f>
        <v>0</v>
      </c>
      <c r="L119" s="9">
        <f>'MKT DATA'!P1152</f>
        <v>0</v>
      </c>
      <c r="M119" s="9">
        <f>'MKT DATA'!Q1152</f>
        <v>0</v>
      </c>
      <c r="N119" s="9">
        <f>'MKT DATA'!R1152</f>
        <v>0</v>
      </c>
      <c r="O119" s="9">
        <f>'MKT DATA'!S1152</f>
        <v>0</v>
      </c>
      <c r="P119" s="9">
        <f>'MKT DATA'!T1152</f>
        <v>0</v>
      </c>
      <c r="Q119" s="44" t="str">
        <f t="shared" si="5"/>
        <v>syn BTCU6/BTCG7/BTCV6/BTCF7/BTCZ6</v>
      </c>
      <c r="R119" s="14">
        <f>'MKT DATA'!AB1152</f>
        <v>0</v>
      </c>
    </row>
    <row r="120" spans="5:18" x14ac:dyDescent="0.25">
      <c r="E120" s="44" t="str">
        <f>'MKT DATA'!B1153</f>
        <v>syn BTCU6/BTCG7/BTCX6/BTCV6/BTCZ6</v>
      </c>
      <c r="F120" s="14">
        <f>'MKT DATA'!J1153</f>
        <v>0</v>
      </c>
      <c r="G120" s="9">
        <f>'MKT DATA'!K1153</f>
        <v>0</v>
      </c>
      <c r="H120" s="9">
        <f>'MKT DATA'!L1153</f>
        <v>0</v>
      </c>
      <c r="I120" s="14">
        <f>'MKT DATA'!M1153</f>
        <v>0</v>
      </c>
      <c r="J120" s="44" t="str">
        <f t="shared" si="4"/>
        <v>syn BTCU6/BTCG7/BTCX6/BTCV6/BTCZ6</v>
      </c>
      <c r="K120" s="9">
        <f>'MKT DATA'!O1153</f>
        <v>0</v>
      </c>
      <c r="L120" s="9">
        <f>'MKT DATA'!P1153</f>
        <v>0</v>
      </c>
      <c r="M120" s="9">
        <f>'MKT DATA'!Q1153</f>
        <v>0</v>
      </c>
      <c r="N120" s="9">
        <f>'MKT DATA'!R1153</f>
        <v>0</v>
      </c>
      <c r="O120" s="9">
        <f>'MKT DATA'!S1153</f>
        <v>0</v>
      </c>
      <c r="P120" s="9">
        <f>'MKT DATA'!T1153</f>
        <v>0</v>
      </c>
      <c r="Q120" s="44" t="str">
        <f t="shared" si="5"/>
        <v>syn BTCU6/BTCG7/BTCX6/BTCV6/BTCZ6</v>
      </c>
      <c r="R120" s="14">
        <f>'MKT DATA'!AB1153</f>
        <v>0</v>
      </c>
    </row>
    <row r="121" spans="5:18" x14ac:dyDescent="0.25">
      <c r="E121" s="44" t="str">
        <f>'MKT DATA'!B1154</f>
        <v>syn BTCU6/BTCG7/BTCX6/BTCF7/BTCZ6</v>
      </c>
      <c r="F121" s="14">
        <f>'MKT DATA'!J1154</f>
        <v>0</v>
      </c>
      <c r="G121" s="9">
        <f>'MKT DATA'!K1154</f>
        <v>0</v>
      </c>
      <c r="H121" s="9">
        <f>'MKT DATA'!L1154</f>
        <v>0</v>
      </c>
      <c r="I121" s="14">
        <f>'MKT DATA'!M1154</f>
        <v>0</v>
      </c>
      <c r="J121" s="44" t="str">
        <f t="shared" si="4"/>
        <v>syn BTCU6/BTCG7/BTCX6/BTCF7/BTCZ6</v>
      </c>
      <c r="K121" s="9">
        <f>'MKT DATA'!O1154</f>
        <v>0</v>
      </c>
      <c r="L121" s="9">
        <f>'MKT DATA'!P1154</f>
        <v>0</v>
      </c>
      <c r="M121" s="9">
        <f>'MKT DATA'!Q1154</f>
        <v>0</v>
      </c>
      <c r="N121" s="9">
        <f>'MKT DATA'!R1154</f>
        <v>0</v>
      </c>
      <c r="O121" s="9">
        <f>'MKT DATA'!S1154</f>
        <v>0</v>
      </c>
      <c r="P121" s="9">
        <f>'MKT DATA'!T1154</f>
        <v>0</v>
      </c>
      <c r="Q121" s="44" t="str">
        <f t="shared" si="5"/>
        <v>syn BTCU6/BTCG7/BTCX6/BTCF7/BTCZ6</v>
      </c>
      <c r="R121" s="14">
        <f>'MKT DATA'!AB1154</f>
        <v>0</v>
      </c>
    </row>
    <row r="122" spans="5:18" x14ac:dyDescent="0.25">
      <c r="E122" s="44" t="str">
        <f>'MKT DATA'!B1155</f>
        <v>syn BTCU6/BTCG7/BTCF7/BTCV6/BTCZ6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BTCU6/BTCG7/BTCF7/BTCV6/BTCZ6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BTCU6/BTCG7/BTCF7/BTCV6/BTCZ6</v>
      </c>
      <c r="R122" s="14">
        <f>'MKT DATA'!AB1155</f>
        <v>0</v>
      </c>
    </row>
    <row r="123" spans="5:18" x14ac:dyDescent="0.25">
      <c r="E123" s="44" t="str">
        <f>'MKT DATA'!B1156</f>
        <v>syn BTCU6/BTCG7/BTCF7/BTCX6/BTCZ6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BTCU6/BTCG7/BTCF7/BTCX6/BTCZ6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BTCU6/BTCG7/BTCF7/BTCX6/BTCZ6</v>
      </c>
      <c r="R123" s="14">
        <f>'MKT DATA'!AB1156</f>
        <v>0</v>
      </c>
    </row>
    <row r="124" spans="5:18" x14ac:dyDescent="0.25">
      <c r="E124" s="44" t="str">
        <f>'MKT DATA'!B1157</f>
        <v>syn BTCV6/BTCU6/BTCX6/BTCF7/BTCZ6</v>
      </c>
      <c r="F124" s="14">
        <f>'MKT DATA'!J1157</f>
        <v>0</v>
      </c>
      <c r="G124" s="9">
        <f>'MKT DATA'!K1157</f>
        <v>0</v>
      </c>
      <c r="H124" s="9">
        <f>'MKT DATA'!L1157</f>
        <v>0</v>
      </c>
      <c r="I124" s="14">
        <f>'MKT DATA'!M1157</f>
        <v>0</v>
      </c>
      <c r="J124" s="44" t="str">
        <f t="shared" si="4"/>
        <v>syn BTCV6/BTCU6/BTCX6/BTCF7/BTCZ6</v>
      </c>
      <c r="K124" s="9">
        <f>'MKT DATA'!O1157</f>
        <v>0</v>
      </c>
      <c r="L124" s="9">
        <f>'MKT DATA'!P1157</f>
        <v>0</v>
      </c>
      <c r="M124" s="9">
        <f>'MKT DATA'!Q1157</f>
        <v>0</v>
      </c>
      <c r="N124" s="9">
        <f>'MKT DATA'!R1157</f>
        <v>0</v>
      </c>
      <c r="O124" s="9">
        <f>'MKT DATA'!S1157</f>
        <v>0</v>
      </c>
      <c r="P124" s="9">
        <f>'MKT DATA'!T1157</f>
        <v>0</v>
      </c>
      <c r="Q124" s="44" t="str">
        <f t="shared" si="5"/>
        <v>syn BTCV6/BTCU6/BTCX6/BTCF7/BTCZ6</v>
      </c>
      <c r="R124" s="14">
        <f>'MKT DATA'!AB1157</f>
        <v>0</v>
      </c>
    </row>
    <row r="125" spans="5:18" x14ac:dyDescent="0.25">
      <c r="E125" s="44" t="str">
        <f>'MKT DATA'!B1158</f>
        <v>syn BTCV6/BTCU6/BTCX6/BTCG7/BTCZ6</v>
      </c>
      <c r="F125" s="14">
        <f>'MKT DATA'!J1158</f>
        <v>0</v>
      </c>
      <c r="G125" s="9">
        <f>'MKT DATA'!K1158</f>
        <v>0</v>
      </c>
      <c r="H125" s="9">
        <f>'MKT DATA'!L1158</f>
        <v>0</v>
      </c>
      <c r="I125" s="14">
        <f>'MKT DATA'!M1158</f>
        <v>0</v>
      </c>
      <c r="J125" s="44" t="str">
        <f t="shared" si="4"/>
        <v>syn BTCV6/BTCU6/BTCX6/BTCG7/BTCZ6</v>
      </c>
      <c r="K125" s="9">
        <f>'MKT DATA'!O1158</f>
        <v>0</v>
      </c>
      <c r="L125" s="9">
        <f>'MKT DATA'!P1158</f>
        <v>0</v>
      </c>
      <c r="M125" s="9">
        <f>'MKT DATA'!Q1158</f>
        <v>0</v>
      </c>
      <c r="N125" s="9">
        <f>'MKT DATA'!R1158</f>
        <v>0</v>
      </c>
      <c r="O125" s="9">
        <f>'MKT DATA'!S1158</f>
        <v>0</v>
      </c>
      <c r="P125" s="9">
        <f>'MKT DATA'!T1158</f>
        <v>0</v>
      </c>
      <c r="Q125" s="44" t="str">
        <f t="shared" si="5"/>
        <v>syn BTCV6/BTCU6/BTCX6/BTCG7/BTCZ6</v>
      </c>
      <c r="R125" s="14">
        <f>'MKT DATA'!AB1158</f>
        <v>0</v>
      </c>
    </row>
    <row r="126" spans="5:18" x14ac:dyDescent="0.25">
      <c r="E126" s="44" t="str">
        <f>'MKT DATA'!B1159</f>
        <v>syn BTCV6/BTCU6/BTCF7/BTCX6/BTCZ6</v>
      </c>
      <c r="F126" s="14">
        <f>'MKT DATA'!J1159</f>
        <v>0</v>
      </c>
      <c r="G126" s="9">
        <f>'MKT DATA'!K1159</f>
        <v>0</v>
      </c>
      <c r="H126" s="9">
        <f>'MKT DATA'!L1159</f>
        <v>0</v>
      </c>
      <c r="I126" s="14">
        <f>'MKT DATA'!M1159</f>
        <v>0</v>
      </c>
      <c r="J126" s="44" t="str">
        <f t="shared" si="4"/>
        <v>syn BTCV6/BTCU6/BTCF7/BTCX6/BTCZ6</v>
      </c>
      <c r="K126" s="9">
        <f>'MKT DATA'!O1159</f>
        <v>0</v>
      </c>
      <c r="L126" s="9">
        <f>'MKT DATA'!P1159</f>
        <v>0</v>
      </c>
      <c r="M126" s="9">
        <f>'MKT DATA'!Q1159</f>
        <v>0</v>
      </c>
      <c r="N126" s="9">
        <f>'MKT DATA'!R1159</f>
        <v>0</v>
      </c>
      <c r="O126" s="9">
        <f>'MKT DATA'!S1159</f>
        <v>0</v>
      </c>
      <c r="P126" s="9">
        <f>'MKT DATA'!T1159</f>
        <v>0</v>
      </c>
      <c r="Q126" s="44" t="str">
        <f t="shared" si="5"/>
        <v>syn BTCV6/BTCU6/BTCF7/BTCX6/BTCZ6</v>
      </c>
      <c r="R126" s="14">
        <f>'MKT DATA'!AB1159</f>
        <v>0</v>
      </c>
    </row>
    <row r="127" spans="5:18" x14ac:dyDescent="0.25">
      <c r="E127" s="44" t="str">
        <f>'MKT DATA'!B1160</f>
        <v>syn BTCV6/BTCU6/BTCF7/BTCG7/BTCZ6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BTCV6/BTCU6/BTCF7/BTCG7/BTCZ6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BTCV6/BTCU6/BTCF7/BTCG7/BTCZ6</v>
      </c>
      <c r="R127" s="14">
        <f>'MKT DATA'!AB1160</f>
        <v>0</v>
      </c>
    </row>
    <row r="128" spans="5:18" x14ac:dyDescent="0.25">
      <c r="E128" s="44" t="str">
        <f>'MKT DATA'!B1161</f>
        <v>syn BTCV6/BTCU6/BTCG7/BTCX6/BTCZ6</v>
      </c>
      <c r="F128" s="14">
        <f>'MKT DATA'!J1161</f>
        <v>0</v>
      </c>
      <c r="G128" s="9">
        <f>'MKT DATA'!K1161</f>
        <v>0</v>
      </c>
      <c r="H128" s="9">
        <f>'MKT DATA'!L1161</f>
        <v>0</v>
      </c>
      <c r="I128" s="14">
        <f>'MKT DATA'!M1161</f>
        <v>0</v>
      </c>
      <c r="J128" s="44" t="str">
        <f t="shared" si="4"/>
        <v>syn BTCV6/BTCU6/BTCG7/BTCX6/BTCZ6</v>
      </c>
      <c r="K128" s="9">
        <f>'MKT DATA'!O1161</f>
        <v>0</v>
      </c>
      <c r="L128" s="9">
        <f>'MKT DATA'!P1161</f>
        <v>0</v>
      </c>
      <c r="M128" s="9">
        <f>'MKT DATA'!Q1161</f>
        <v>0</v>
      </c>
      <c r="N128" s="9">
        <f>'MKT DATA'!R1161</f>
        <v>0</v>
      </c>
      <c r="O128" s="9">
        <f>'MKT DATA'!S1161</f>
        <v>0</v>
      </c>
      <c r="P128" s="9">
        <f>'MKT DATA'!T1161</f>
        <v>0</v>
      </c>
      <c r="Q128" s="44" t="str">
        <f t="shared" si="5"/>
        <v>syn BTCV6/BTCU6/BTCG7/BTCX6/BTCZ6</v>
      </c>
      <c r="R128" s="14">
        <f>'MKT DATA'!AB1161</f>
        <v>0</v>
      </c>
    </row>
    <row r="129" spans="5:18" x14ac:dyDescent="0.25">
      <c r="E129" s="44" t="str">
        <f>'MKT DATA'!B1162</f>
        <v>syn BTCV6/BTCU6/BTCG7/BTCF7/BTCZ6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BTCV6/BTCU6/BTCG7/BTCF7/BTCZ6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BTCV6/BTCU6/BTCG7/BTCF7/BTCZ6</v>
      </c>
      <c r="R129" s="14">
        <f>'MKT DATA'!AB1162</f>
        <v>0</v>
      </c>
    </row>
    <row r="130" spans="5:18" x14ac:dyDescent="0.25">
      <c r="E130" s="44" t="str">
        <f>'MKT DATA'!B1163</f>
        <v>syn BTCV6/BTCX6/BTCU6/BTCF7/BTCZ6</v>
      </c>
      <c r="F130" s="14">
        <f>'MKT DATA'!J1163</f>
        <v>0</v>
      </c>
      <c r="G130" s="9">
        <f>'MKT DATA'!K1163</f>
        <v>0</v>
      </c>
      <c r="H130" s="9">
        <f>'MKT DATA'!L1163</f>
        <v>0</v>
      </c>
      <c r="I130" s="14">
        <f>'MKT DATA'!M1163</f>
        <v>0</v>
      </c>
      <c r="J130" s="44" t="str">
        <f t="shared" si="4"/>
        <v>syn BTCV6/BTCX6/BTCU6/BTCF7/BTCZ6</v>
      </c>
      <c r="K130" s="9">
        <f>'MKT DATA'!O1163</f>
        <v>0</v>
      </c>
      <c r="L130" s="9">
        <f>'MKT DATA'!P1163</f>
        <v>0</v>
      </c>
      <c r="M130" s="9">
        <f>'MKT DATA'!Q1163</f>
        <v>0</v>
      </c>
      <c r="N130" s="9">
        <f>'MKT DATA'!R1163</f>
        <v>0</v>
      </c>
      <c r="O130" s="9">
        <f>'MKT DATA'!S1163</f>
        <v>0</v>
      </c>
      <c r="P130" s="9">
        <f>'MKT DATA'!T1163</f>
        <v>0</v>
      </c>
      <c r="Q130" s="44" t="str">
        <f t="shared" si="5"/>
        <v>syn BTCV6/BTCX6/BTCU6/BTCF7/BTCZ6</v>
      </c>
      <c r="R130" s="14">
        <f>'MKT DATA'!AB1163</f>
        <v>0</v>
      </c>
    </row>
    <row r="131" spans="5:18" x14ac:dyDescent="0.25">
      <c r="E131" s="44" t="str">
        <f>'MKT DATA'!B1164</f>
        <v>syn BTCV6/BTCX6/BTCU6/BTCG7/BTCZ6</v>
      </c>
      <c r="F131" s="14">
        <f>'MKT DATA'!J1164</f>
        <v>0</v>
      </c>
      <c r="G131" s="9">
        <f>'MKT DATA'!K1164</f>
        <v>0</v>
      </c>
      <c r="H131" s="9">
        <f>'MKT DATA'!L1164</f>
        <v>0</v>
      </c>
      <c r="I131" s="14">
        <f>'MKT DATA'!M1164</f>
        <v>0</v>
      </c>
      <c r="J131" s="44" t="str">
        <f t="shared" si="4"/>
        <v>syn BTCV6/BTCX6/BTCU6/BTCG7/BTCZ6</v>
      </c>
      <c r="K131" s="9">
        <f>'MKT DATA'!O1164</f>
        <v>0</v>
      </c>
      <c r="L131" s="9">
        <f>'MKT DATA'!P1164</f>
        <v>0</v>
      </c>
      <c r="M131" s="9">
        <f>'MKT DATA'!Q1164</f>
        <v>0</v>
      </c>
      <c r="N131" s="9">
        <f>'MKT DATA'!R1164</f>
        <v>0</v>
      </c>
      <c r="O131" s="9">
        <f>'MKT DATA'!S1164</f>
        <v>0</v>
      </c>
      <c r="P131" s="9">
        <f>'MKT DATA'!T1164</f>
        <v>0</v>
      </c>
      <c r="Q131" s="44" t="str">
        <f t="shared" si="5"/>
        <v>syn BTCV6/BTCX6/BTCU6/BTCG7/BTCZ6</v>
      </c>
      <c r="R131" s="14">
        <f>'MKT DATA'!AB1164</f>
        <v>0</v>
      </c>
    </row>
    <row r="132" spans="5:18" x14ac:dyDescent="0.25">
      <c r="E132" s="44" t="str">
        <f>'MKT DATA'!B1165</f>
        <v>syn BTCV6/BTCX6/BTCF7/BTCU6/BTCZ6</v>
      </c>
      <c r="F132" s="14">
        <f>'MKT DATA'!J1165</f>
        <v>0</v>
      </c>
      <c r="G132" s="9">
        <f>'MKT DATA'!K1165</f>
        <v>0</v>
      </c>
      <c r="H132" s="9">
        <f>'MKT DATA'!L1165</f>
        <v>0</v>
      </c>
      <c r="I132" s="14">
        <f>'MKT DATA'!M1165</f>
        <v>0</v>
      </c>
      <c r="J132" s="44" t="str">
        <f t="shared" si="4"/>
        <v>syn BTCV6/BTCX6/BTCF7/BTCU6/BTCZ6</v>
      </c>
      <c r="K132" s="9">
        <f>'MKT DATA'!O1165</f>
        <v>0</v>
      </c>
      <c r="L132" s="9">
        <f>'MKT DATA'!P1165</f>
        <v>0</v>
      </c>
      <c r="M132" s="9">
        <f>'MKT DATA'!Q1165</f>
        <v>0</v>
      </c>
      <c r="N132" s="9">
        <f>'MKT DATA'!R1165</f>
        <v>0</v>
      </c>
      <c r="O132" s="9">
        <f>'MKT DATA'!S1165</f>
        <v>0</v>
      </c>
      <c r="P132" s="9">
        <f>'MKT DATA'!T1165</f>
        <v>0</v>
      </c>
      <c r="Q132" s="44" t="str">
        <f t="shared" si="5"/>
        <v>syn BTCV6/BTCX6/BTCF7/BTCU6/BTCZ6</v>
      </c>
      <c r="R132" s="14">
        <f>'MKT DATA'!AB1165</f>
        <v>0</v>
      </c>
    </row>
    <row r="133" spans="5:18" x14ac:dyDescent="0.25">
      <c r="E133" s="44" t="str">
        <f>'MKT DATA'!B1166</f>
        <v>syn BTCV6/BTCX6/BTCF7/BTCG7/BTCZ6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BTCV6/BTCX6/BTCF7/BTCG7/BTCZ6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BTCV6/BTCX6/BTCF7/BTCG7/BTCZ6</v>
      </c>
      <c r="R133" s="14">
        <f>'MKT DATA'!AB1166</f>
        <v>0</v>
      </c>
    </row>
    <row r="134" spans="5:18" x14ac:dyDescent="0.25">
      <c r="E134" s="44" t="str">
        <f>'MKT DATA'!B1167</f>
        <v>syn BTCV6/BTCX6/BTCG7/BTCU6/BTCZ6</v>
      </c>
      <c r="F134" s="14">
        <f>'MKT DATA'!J1167</f>
        <v>0</v>
      </c>
      <c r="G134" s="9">
        <f>'MKT DATA'!K1167</f>
        <v>0</v>
      </c>
      <c r="H134" s="9">
        <f>'MKT DATA'!L1167</f>
        <v>0</v>
      </c>
      <c r="I134" s="14">
        <f>'MKT DATA'!M1167</f>
        <v>0</v>
      </c>
      <c r="J134" s="44" t="str">
        <f t="shared" si="4"/>
        <v>syn BTCV6/BTCX6/BTCG7/BTCU6/BTCZ6</v>
      </c>
      <c r="K134" s="9">
        <f>'MKT DATA'!O1167</f>
        <v>0</v>
      </c>
      <c r="L134" s="9">
        <f>'MKT DATA'!P1167</f>
        <v>0</v>
      </c>
      <c r="M134" s="9">
        <f>'MKT DATA'!Q1167</f>
        <v>0</v>
      </c>
      <c r="N134" s="9">
        <f>'MKT DATA'!R1167</f>
        <v>0</v>
      </c>
      <c r="O134" s="9">
        <f>'MKT DATA'!S1167</f>
        <v>0</v>
      </c>
      <c r="P134" s="9">
        <f>'MKT DATA'!T1167</f>
        <v>0</v>
      </c>
      <c r="Q134" s="44" t="str">
        <f t="shared" si="5"/>
        <v>syn BTCV6/BTCX6/BTCG7/BTCU6/BTCZ6</v>
      </c>
      <c r="R134" s="14">
        <f>'MKT DATA'!AB1167</f>
        <v>0</v>
      </c>
    </row>
    <row r="135" spans="5:18" x14ac:dyDescent="0.25">
      <c r="E135" s="44" t="str">
        <f>'MKT DATA'!B1168</f>
        <v>syn BTCV6/BTCX6/BTCG7/BTCF7/BTCZ6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BTCV6/BTCX6/BTCG7/BTCF7/BTCZ6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BTCV6/BTCX6/BTCG7/BTCF7/BTCZ6</v>
      </c>
      <c r="R135" s="14">
        <f>'MKT DATA'!AB1168</f>
        <v>0</v>
      </c>
    </row>
    <row r="136" spans="5:18" x14ac:dyDescent="0.25">
      <c r="E136" s="44" t="str">
        <f>'MKT DATA'!B1169</f>
        <v>syn BTCV6/BTCF7/BTCU6/BTCX6/BTCZ6</v>
      </c>
      <c r="F136" s="14">
        <f>'MKT DATA'!J1169</f>
        <v>0</v>
      </c>
      <c r="G136" s="9">
        <f>'MKT DATA'!K1169</f>
        <v>0</v>
      </c>
      <c r="H136" s="9">
        <f>'MKT DATA'!L1169</f>
        <v>0</v>
      </c>
      <c r="I136" s="14">
        <f>'MKT DATA'!M1169</f>
        <v>0</v>
      </c>
      <c r="J136" s="44" t="str">
        <f t="shared" si="4"/>
        <v>syn BTCV6/BTCF7/BTCU6/BTCX6/BTCZ6</v>
      </c>
      <c r="K136" s="9">
        <f>'MKT DATA'!O1169</f>
        <v>0</v>
      </c>
      <c r="L136" s="9">
        <f>'MKT DATA'!P1169</f>
        <v>0</v>
      </c>
      <c r="M136" s="9">
        <f>'MKT DATA'!Q1169</f>
        <v>0</v>
      </c>
      <c r="N136" s="9">
        <f>'MKT DATA'!R1169</f>
        <v>0</v>
      </c>
      <c r="O136" s="9">
        <f>'MKT DATA'!S1169</f>
        <v>0</v>
      </c>
      <c r="P136" s="9">
        <f>'MKT DATA'!T1169</f>
        <v>0</v>
      </c>
      <c r="Q136" s="44" t="str">
        <f t="shared" si="5"/>
        <v>syn BTCV6/BTCF7/BTCU6/BTCX6/BTCZ6</v>
      </c>
      <c r="R136" s="14">
        <f>'MKT DATA'!AB1169</f>
        <v>0</v>
      </c>
    </row>
    <row r="137" spans="5:18" x14ac:dyDescent="0.25">
      <c r="E137" s="44" t="str">
        <f>'MKT DATA'!B1170</f>
        <v>syn BTCV6/BTCF7/BTCU6/BTCG7/BTCZ6</v>
      </c>
      <c r="F137" s="14">
        <f>'MKT DATA'!J1170</f>
        <v>0</v>
      </c>
      <c r="G137" s="9">
        <f>'MKT DATA'!K1170</f>
        <v>0</v>
      </c>
      <c r="H137" s="9">
        <f>'MKT DATA'!L1170</f>
        <v>0</v>
      </c>
      <c r="I137" s="14">
        <f>'MKT DATA'!M1170</f>
        <v>0</v>
      </c>
      <c r="J137" s="44" t="str">
        <f t="shared" si="4"/>
        <v>syn BTCV6/BTCF7/BTCU6/BTCG7/BTCZ6</v>
      </c>
      <c r="K137" s="9">
        <f>'MKT DATA'!O1170</f>
        <v>0</v>
      </c>
      <c r="L137" s="9">
        <f>'MKT DATA'!P1170</f>
        <v>0</v>
      </c>
      <c r="M137" s="9">
        <f>'MKT DATA'!Q1170</f>
        <v>0</v>
      </c>
      <c r="N137" s="9">
        <f>'MKT DATA'!R1170</f>
        <v>0</v>
      </c>
      <c r="O137" s="9">
        <f>'MKT DATA'!S1170</f>
        <v>0</v>
      </c>
      <c r="P137" s="9">
        <f>'MKT DATA'!T1170</f>
        <v>0</v>
      </c>
      <c r="Q137" s="44" t="str">
        <f t="shared" si="5"/>
        <v>syn BTCV6/BTCF7/BTCU6/BTCG7/BTCZ6</v>
      </c>
      <c r="R137" s="14">
        <f>'MKT DATA'!AB1170</f>
        <v>0</v>
      </c>
    </row>
    <row r="138" spans="5:18" x14ac:dyDescent="0.25">
      <c r="E138" s="44" t="str">
        <f>'MKT DATA'!B1171</f>
        <v>syn BTCV6/BTCF7/BTCX6/BTCU6/BTCZ6</v>
      </c>
      <c r="F138" s="14">
        <f>'MKT DATA'!J1171</f>
        <v>0</v>
      </c>
      <c r="G138" s="9">
        <f>'MKT DATA'!K1171</f>
        <v>0</v>
      </c>
      <c r="H138" s="9">
        <f>'MKT DATA'!L1171</f>
        <v>0</v>
      </c>
      <c r="I138" s="14">
        <f>'MKT DATA'!M1171</f>
        <v>0</v>
      </c>
      <c r="J138" s="44" t="str">
        <f t="shared" ref="J138:J201" si="6">E138</f>
        <v>syn BTCV6/BTCF7/BTCX6/BTCU6/BTCZ6</v>
      </c>
      <c r="K138" s="9">
        <f>'MKT DATA'!O1171</f>
        <v>0</v>
      </c>
      <c r="L138" s="9">
        <f>'MKT DATA'!P1171</f>
        <v>0</v>
      </c>
      <c r="M138" s="9">
        <f>'MKT DATA'!Q1171</f>
        <v>0</v>
      </c>
      <c r="N138" s="9">
        <f>'MKT DATA'!R1171</f>
        <v>0</v>
      </c>
      <c r="O138" s="9">
        <f>'MKT DATA'!S1171</f>
        <v>0</v>
      </c>
      <c r="P138" s="9">
        <f>'MKT DATA'!T1171</f>
        <v>0</v>
      </c>
      <c r="Q138" s="44" t="str">
        <f t="shared" ref="Q138:Q201" si="7">J138</f>
        <v>syn BTCV6/BTCF7/BTCX6/BTCU6/BTCZ6</v>
      </c>
      <c r="R138" s="14">
        <f>'MKT DATA'!AB1171</f>
        <v>0</v>
      </c>
    </row>
    <row r="139" spans="5:18" x14ac:dyDescent="0.25">
      <c r="E139" s="44" t="str">
        <f>'MKT DATA'!B1172</f>
        <v>syn BTCV6/BTCF7/BTCX6/BTCG7/BTCZ6</v>
      </c>
      <c r="F139" s="14">
        <f>'MKT DATA'!J1172</f>
        <v>0</v>
      </c>
      <c r="G139" s="9">
        <f>'MKT DATA'!K1172</f>
        <v>0</v>
      </c>
      <c r="H139" s="9">
        <f>'MKT DATA'!L1172</f>
        <v>0</v>
      </c>
      <c r="I139" s="14">
        <f>'MKT DATA'!M1172</f>
        <v>0</v>
      </c>
      <c r="J139" s="44" t="str">
        <f t="shared" si="6"/>
        <v>syn BTCV6/BTCF7/BTCX6/BTCG7/BTCZ6</v>
      </c>
      <c r="K139" s="9">
        <f>'MKT DATA'!O1172</f>
        <v>0</v>
      </c>
      <c r="L139" s="9">
        <f>'MKT DATA'!P1172</f>
        <v>0</v>
      </c>
      <c r="M139" s="9">
        <f>'MKT DATA'!Q1172</f>
        <v>0</v>
      </c>
      <c r="N139" s="9">
        <f>'MKT DATA'!R1172</f>
        <v>0</v>
      </c>
      <c r="O139" s="9">
        <f>'MKT DATA'!S1172</f>
        <v>0</v>
      </c>
      <c r="P139" s="9">
        <f>'MKT DATA'!T1172</f>
        <v>0</v>
      </c>
      <c r="Q139" s="44" t="str">
        <f t="shared" si="7"/>
        <v>syn BTCV6/BTCF7/BTCX6/BTCG7/BTCZ6</v>
      </c>
      <c r="R139" s="14">
        <f>'MKT DATA'!AB1172</f>
        <v>0</v>
      </c>
    </row>
    <row r="140" spans="5:18" x14ac:dyDescent="0.25">
      <c r="E140" s="44" t="str">
        <f>'MKT DATA'!B1173</f>
        <v>syn BTCV6/BTCF7/BTCG7/BTCU6/BTCZ6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BTCV6/BTCF7/BTCG7/BTCU6/BTCZ6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BTCV6/BTCF7/BTCG7/BTCU6/BTCZ6</v>
      </c>
      <c r="R140" s="14">
        <f>'MKT DATA'!AB1173</f>
        <v>0</v>
      </c>
    </row>
    <row r="141" spans="5:18" x14ac:dyDescent="0.25">
      <c r="E141" s="44" t="str">
        <f>'MKT DATA'!B1174</f>
        <v>syn BTCV6/BTCF7/BTCG7/BTCX6/BTCZ6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BTCV6/BTCF7/BTCG7/BTCX6/BTCZ6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BTCV6/BTCF7/BTCG7/BTCX6/BTCZ6</v>
      </c>
      <c r="R141" s="14">
        <f>'MKT DATA'!AB1174</f>
        <v>0</v>
      </c>
    </row>
    <row r="142" spans="5:18" x14ac:dyDescent="0.25">
      <c r="E142" s="44" t="str">
        <f>'MKT DATA'!B1175</f>
        <v>syn BTCV6/BTCG7/BTCU6/BTCX6/BTCZ6</v>
      </c>
      <c r="F142" s="14">
        <f>'MKT DATA'!J1175</f>
        <v>0</v>
      </c>
      <c r="G142" s="9">
        <f>'MKT DATA'!K1175</f>
        <v>0</v>
      </c>
      <c r="H142" s="9">
        <f>'MKT DATA'!L1175</f>
        <v>0</v>
      </c>
      <c r="I142" s="14">
        <f>'MKT DATA'!M1175</f>
        <v>0</v>
      </c>
      <c r="J142" s="44" t="str">
        <f t="shared" si="6"/>
        <v>syn BTCV6/BTCG7/BTCU6/BTCX6/BTCZ6</v>
      </c>
      <c r="K142" s="9">
        <f>'MKT DATA'!O1175</f>
        <v>0</v>
      </c>
      <c r="L142" s="9">
        <f>'MKT DATA'!P1175</f>
        <v>0</v>
      </c>
      <c r="M142" s="9">
        <f>'MKT DATA'!Q1175</f>
        <v>0</v>
      </c>
      <c r="N142" s="9">
        <f>'MKT DATA'!R1175</f>
        <v>0</v>
      </c>
      <c r="O142" s="9">
        <f>'MKT DATA'!S1175</f>
        <v>0</v>
      </c>
      <c r="P142" s="9">
        <f>'MKT DATA'!T1175</f>
        <v>0</v>
      </c>
      <c r="Q142" s="44" t="str">
        <f t="shared" si="7"/>
        <v>syn BTCV6/BTCG7/BTCU6/BTCX6/BTCZ6</v>
      </c>
      <c r="R142" s="14">
        <f>'MKT DATA'!AB1175</f>
        <v>0</v>
      </c>
    </row>
    <row r="143" spans="5:18" x14ac:dyDescent="0.25">
      <c r="E143" s="44" t="str">
        <f>'MKT DATA'!B1176</f>
        <v>syn BTCV6/BTCG7/BTCU6/BTCF7/BTCZ6</v>
      </c>
      <c r="F143" s="14">
        <f>'MKT DATA'!J1176</f>
        <v>0</v>
      </c>
      <c r="G143" s="9">
        <f>'MKT DATA'!K1176</f>
        <v>0</v>
      </c>
      <c r="H143" s="9">
        <f>'MKT DATA'!L1176</f>
        <v>0</v>
      </c>
      <c r="I143" s="14">
        <f>'MKT DATA'!M1176</f>
        <v>0</v>
      </c>
      <c r="J143" s="44" t="str">
        <f t="shared" si="6"/>
        <v>syn BTCV6/BTCG7/BTCU6/BTCF7/BTCZ6</v>
      </c>
      <c r="K143" s="9">
        <f>'MKT DATA'!O1176</f>
        <v>0</v>
      </c>
      <c r="L143" s="9">
        <f>'MKT DATA'!P1176</f>
        <v>0</v>
      </c>
      <c r="M143" s="9">
        <f>'MKT DATA'!Q1176</f>
        <v>0</v>
      </c>
      <c r="N143" s="9">
        <f>'MKT DATA'!R1176</f>
        <v>0</v>
      </c>
      <c r="O143" s="9">
        <f>'MKT DATA'!S1176</f>
        <v>0</v>
      </c>
      <c r="P143" s="9">
        <f>'MKT DATA'!T1176</f>
        <v>0</v>
      </c>
      <c r="Q143" s="44" t="str">
        <f t="shared" si="7"/>
        <v>syn BTCV6/BTCG7/BTCU6/BTCF7/BTCZ6</v>
      </c>
      <c r="R143" s="14">
        <f>'MKT DATA'!AB1176</f>
        <v>0</v>
      </c>
    </row>
    <row r="144" spans="5:18" x14ac:dyDescent="0.25">
      <c r="E144" s="44" t="str">
        <f>'MKT DATA'!B1177</f>
        <v>syn BTCV6/BTCG7/BTCX6/BTCU6/BTCZ6</v>
      </c>
      <c r="F144" s="14">
        <f>'MKT DATA'!J1177</f>
        <v>0</v>
      </c>
      <c r="G144" s="9">
        <f>'MKT DATA'!K1177</f>
        <v>0</v>
      </c>
      <c r="H144" s="9">
        <f>'MKT DATA'!L1177</f>
        <v>0</v>
      </c>
      <c r="I144" s="14">
        <f>'MKT DATA'!M1177</f>
        <v>0</v>
      </c>
      <c r="J144" s="44" t="str">
        <f t="shared" si="6"/>
        <v>syn BTCV6/BTCG7/BTCX6/BTCU6/BTCZ6</v>
      </c>
      <c r="K144" s="9">
        <f>'MKT DATA'!O1177</f>
        <v>0</v>
      </c>
      <c r="L144" s="9">
        <f>'MKT DATA'!P1177</f>
        <v>0</v>
      </c>
      <c r="M144" s="9">
        <f>'MKT DATA'!Q1177</f>
        <v>0</v>
      </c>
      <c r="N144" s="9">
        <f>'MKT DATA'!R1177</f>
        <v>0</v>
      </c>
      <c r="O144" s="9">
        <f>'MKT DATA'!S1177</f>
        <v>0</v>
      </c>
      <c r="P144" s="9">
        <f>'MKT DATA'!T1177</f>
        <v>0</v>
      </c>
      <c r="Q144" s="44" t="str">
        <f t="shared" si="7"/>
        <v>syn BTCV6/BTCG7/BTCX6/BTCU6/BTCZ6</v>
      </c>
      <c r="R144" s="14">
        <f>'MKT DATA'!AB1177</f>
        <v>0</v>
      </c>
    </row>
    <row r="145" spans="5:18" x14ac:dyDescent="0.25">
      <c r="E145" s="44" t="str">
        <f>'MKT DATA'!B1178</f>
        <v>syn BTCV6/BTCG7/BTCX6/BTCF7/BTCZ6</v>
      </c>
      <c r="F145" s="14">
        <f>'MKT DATA'!J1178</f>
        <v>0</v>
      </c>
      <c r="G145" s="9">
        <f>'MKT DATA'!K1178</f>
        <v>0</v>
      </c>
      <c r="H145" s="9">
        <f>'MKT DATA'!L1178</f>
        <v>0</v>
      </c>
      <c r="I145" s="14">
        <f>'MKT DATA'!M1178</f>
        <v>0</v>
      </c>
      <c r="J145" s="44" t="str">
        <f t="shared" si="6"/>
        <v>syn BTCV6/BTCG7/BTCX6/BTCF7/BTCZ6</v>
      </c>
      <c r="K145" s="9">
        <f>'MKT DATA'!O1178</f>
        <v>0</v>
      </c>
      <c r="L145" s="9">
        <f>'MKT DATA'!P1178</f>
        <v>0</v>
      </c>
      <c r="M145" s="9">
        <f>'MKT DATA'!Q1178</f>
        <v>0</v>
      </c>
      <c r="N145" s="9">
        <f>'MKT DATA'!R1178</f>
        <v>0</v>
      </c>
      <c r="O145" s="9">
        <f>'MKT DATA'!S1178</f>
        <v>0</v>
      </c>
      <c r="P145" s="9">
        <f>'MKT DATA'!T1178</f>
        <v>0</v>
      </c>
      <c r="Q145" s="44" t="str">
        <f t="shared" si="7"/>
        <v>syn BTCV6/BTCG7/BTCX6/BTCF7/BTCZ6</v>
      </c>
      <c r="R145" s="14">
        <f>'MKT DATA'!AB1178</f>
        <v>0</v>
      </c>
    </row>
    <row r="146" spans="5:18" x14ac:dyDescent="0.25">
      <c r="E146" s="44" t="str">
        <f>'MKT DATA'!B1179</f>
        <v>syn BTCV6/BTCG7/BTCF7/BTCU6/BTCZ6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BTCV6/BTCG7/BTCF7/BTCU6/BTCZ6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BTCV6/BTCG7/BTCF7/BTCU6/BTCZ6</v>
      </c>
      <c r="R146" s="14">
        <f>'MKT DATA'!AB1179</f>
        <v>0</v>
      </c>
    </row>
    <row r="147" spans="5:18" x14ac:dyDescent="0.25">
      <c r="E147" s="44" t="str">
        <f>'MKT DATA'!B1180</f>
        <v>syn BTCV6/BTCG7/BTCF7/BTCX6/BTCZ6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BTCV6/BTCG7/BTCF7/BTCX6/BTCZ6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BTCV6/BTCG7/BTCF7/BTCX6/BTCZ6</v>
      </c>
      <c r="R147" s="14">
        <f>'MKT DATA'!AB1180</f>
        <v>0</v>
      </c>
    </row>
    <row r="148" spans="5:18" x14ac:dyDescent="0.25">
      <c r="E148" s="44" t="str">
        <f>'MKT DATA'!B1181</f>
        <v>syn BTCX6/BTCU6/BTCV6/BTCF7/BTCZ6</v>
      </c>
      <c r="F148" s="14">
        <f>'MKT DATA'!J1181</f>
        <v>0</v>
      </c>
      <c r="G148" s="9">
        <f>'MKT DATA'!K1181</f>
        <v>0</v>
      </c>
      <c r="H148" s="9">
        <f>'MKT DATA'!L1181</f>
        <v>0</v>
      </c>
      <c r="I148" s="14">
        <f>'MKT DATA'!M1181</f>
        <v>0</v>
      </c>
      <c r="J148" s="44" t="str">
        <f t="shared" si="6"/>
        <v>syn BTCX6/BTCU6/BTCV6/BTCF7/BTCZ6</v>
      </c>
      <c r="K148" s="9">
        <f>'MKT DATA'!O1181</f>
        <v>0</v>
      </c>
      <c r="L148" s="9">
        <f>'MKT DATA'!P1181</f>
        <v>0</v>
      </c>
      <c r="M148" s="9">
        <f>'MKT DATA'!Q1181</f>
        <v>0</v>
      </c>
      <c r="N148" s="9">
        <f>'MKT DATA'!R1181</f>
        <v>0</v>
      </c>
      <c r="O148" s="9">
        <f>'MKT DATA'!S1181</f>
        <v>0</v>
      </c>
      <c r="P148" s="9">
        <f>'MKT DATA'!T1181</f>
        <v>0</v>
      </c>
      <c r="Q148" s="44" t="str">
        <f t="shared" si="7"/>
        <v>syn BTCX6/BTCU6/BTCV6/BTCF7/BTCZ6</v>
      </c>
      <c r="R148" s="14">
        <f>'MKT DATA'!AB1181</f>
        <v>0</v>
      </c>
    </row>
    <row r="149" spans="5:18" x14ac:dyDescent="0.25">
      <c r="E149" s="44" t="str">
        <f>'MKT DATA'!B1182</f>
        <v>syn BTCX6/BTCU6/BTCV6/BTCG7/BTCZ6</v>
      </c>
      <c r="F149" s="14">
        <f>'MKT DATA'!J1182</f>
        <v>0</v>
      </c>
      <c r="G149" s="9">
        <f>'MKT DATA'!K1182</f>
        <v>0</v>
      </c>
      <c r="H149" s="9">
        <f>'MKT DATA'!L1182</f>
        <v>0</v>
      </c>
      <c r="I149" s="14">
        <f>'MKT DATA'!M1182</f>
        <v>0</v>
      </c>
      <c r="J149" s="44" t="str">
        <f t="shared" si="6"/>
        <v>syn BTCX6/BTCU6/BTCV6/BTCG7/BTCZ6</v>
      </c>
      <c r="K149" s="9">
        <f>'MKT DATA'!O1182</f>
        <v>0</v>
      </c>
      <c r="L149" s="9">
        <f>'MKT DATA'!P1182</f>
        <v>0</v>
      </c>
      <c r="M149" s="9">
        <f>'MKT DATA'!Q1182</f>
        <v>0</v>
      </c>
      <c r="N149" s="9">
        <f>'MKT DATA'!R1182</f>
        <v>0</v>
      </c>
      <c r="O149" s="9">
        <f>'MKT DATA'!S1182</f>
        <v>0</v>
      </c>
      <c r="P149" s="9">
        <f>'MKT DATA'!T1182</f>
        <v>0</v>
      </c>
      <c r="Q149" s="44" t="str">
        <f t="shared" si="7"/>
        <v>syn BTCX6/BTCU6/BTCV6/BTCG7/BTCZ6</v>
      </c>
      <c r="R149" s="14">
        <f>'MKT DATA'!AB1182</f>
        <v>0</v>
      </c>
    </row>
    <row r="150" spans="5:18" x14ac:dyDescent="0.25">
      <c r="E150" s="44" t="str">
        <f>'MKT DATA'!B1183</f>
        <v>syn BTCX6/BTCU6/BTCF7/BTCV6/BTCZ6</v>
      </c>
      <c r="F150" s="14">
        <f>'MKT DATA'!J1183</f>
        <v>0</v>
      </c>
      <c r="G150" s="9">
        <f>'MKT DATA'!K1183</f>
        <v>0</v>
      </c>
      <c r="H150" s="9">
        <f>'MKT DATA'!L1183</f>
        <v>0</v>
      </c>
      <c r="I150" s="14">
        <f>'MKT DATA'!M1183</f>
        <v>0</v>
      </c>
      <c r="J150" s="44" t="str">
        <f t="shared" si="6"/>
        <v>syn BTCX6/BTCU6/BTCF7/BTCV6/BTCZ6</v>
      </c>
      <c r="K150" s="9">
        <f>'MKT DATA'!O1183</f>
        <v>0</v>
      </c>
      <c r="L150" s="9">
        <f>'MKT DATA'!P1183</f>
        <v>0</v>
      </c>
      <c r="M150" s="9">
        <f>'MKT DATA'!Q1183</f>
        <v>0</v>
      </c>
      <c r="N150" s="9">
        <f>'MKT DATA'!R1183</f>
        <v>0</v>
      </c>
      <c r="O150" s="9">
        <f>'MKT DATA'!S1183</f>
        <v>0</v>
      </c>
      <c r="P150" s="9">
        <f>'MKT DATA'!T1183</f>
        <v>0</v>
      </c>
      <c r="Q150" s="44" t="str">
        <f t="shared" si="7"/>
        <v>syn BTCX6/BTCU6/BTCF7/BTCV6/BTCZ6</v>
      </c>
      <c r="R150" s="14">
        <f>'MKT DATA'!AB1183</f>
        <v>0</v>
      </c>
    </row>
    <row r="151" spans="5:18" x14ac:dyDescent="0.25">
      <c r="E151" s="44" t="str">
        <f>'MKT DATA'!B1184</f>
        <v>syn BTCX6/BTCU6/BTCF7/BTCG7/BTCZ6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BTCX6/BTCU6/BTCF7/BTCG7/BTCZ6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BTCX6/BTCU6/BTCF7/BTCG7/BTCZ6</v>
      </c>
      <c r="R151" s="14">
        <f>'MKT DATA'!AB1184</f>
        <v>0</v>
      </c>
    </row>
    <row r="152" spans="5:18" x14ac:dyDescent="0.25">
      <c r="E152" s="44" t="str">
        <f>'MKT DATA'!B1185</f>
        <v>syn BTCX6/BTCU6/BTCG7/BTCV6/BTCZ6</v>
      </c>
      <c r="F152" s="14">
        <f>'MKT DATA'!J1185</f>
        <v>0</v>
      </c>
      <c r="G152" s="9">
        <f>'MKT DATA'!K1185</f>
        <v>0</v>
      </c>
      <c r="H152" s="9">
        <f>'MKT DATA'!L1185</f>
        <v>0</v>
      </c>
      <c r="I152" s="14">
        <f>'MKT DATA'!M1185</f>
        <v>0</v>
      </c>
      <c r="J152" s="44" t="str">
        <f t="shared" si="6"/>
        <v>syn BTCX6/BTCU6/BTCG7/BTCV6/BTCZ6</v>
      </c>
      <c r="K152" s="9">
        <f>'MKT DATA'!O1185</f>
        <v>0</v>
      </c>
      <c r="L152" s="9">
        <f>'MKT DATA'!P1185</f>
        <v>0</v>
      </c>
      <c r="M152" s="9">
        <f>'MKT DATA'!Q1185</f>
        <v>0</v>
      </c>
      <c r="N152" s="9">
        <f>'MKT DATA'!R1185</f>
        <v>0</v>
      </c>
      <c r="O152" s="9">
        <f>'MKT DATA'!S1185</f>
        <v>0</v>
      </c>
      <c r="P152" s="9">
        <f>'MKT DATA'!T1185</f>
        <v>0</v>
      </c>
      <c r="Q152" s="44" t="str">
        <f t="shared" si="7"/>
        <v>syn BTCX6/BTCU6/BTCG7/BTCV6/BTCZ6</v>
      </c>
      <c r="R152" s="14">
        <f>'MKT DATA'!AB1185</f>
        <v>0</v>
      </c>
    </row>
    <row r="153" spans="5:18" x14ac:dyDescent="0.25">
      <c r="E153" s="44" t="str">
        <f>'MKT DATA'!B1186</f>
        <v>syn BTCX6/BTCU6/BTCG7/BTCF7/BTCZ6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BTCX6/BTCU6/BTCG7/BTCF7/BTCZ6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BTCX6/BTCU6/BTCG7/BTCF7/BTCZ6</v>
      </c>
      <c r="R153" s="14">
        <f>'MKT DATA'!AB1186</f>
        <v>0</v>
      </c>
    </row>
    <row r="154" spans="5:18" x14ac:dyDescent="0.25">
      <c r="E154" s="44" t="str">
        <f>'MKT DATA'!B1187</f>
        <v>syn BTCX6/BTCV6/BTCU6/BTCF7/BTCZ6</v>
      </c>
      <c r="F154" s="14">
        <f>'MKT DATA'!J1187</f>
        <v>0</v>
      </c>
      <c r="G154" s="9">
        <f>'MKT DATA'!K1187</f>
        <v>0</v>
      </c>
      <c r="H154" s="9">
        <f>'MKT DATA'!L1187</f>
        <v>0</v>
      </c>
      <c r="I154" s="14">
        <f>'MKT DATA'!M1187</f>
        <v>0</v>
      </c>
      <c r="J154" s="44" t="str">
        <f t="shared" si="6"/>
        <v>syn BTCX6/BTCV6/BTCU6/BTCF7/BTCZ6</v>
      </c>
      <c r="K154" s="9">
        <f>'MKT DATA'!O1187</f>
        <v>0</v>
      </c>
      <c r="L154" s="9">
        <f>'MKT DATA'!P1187</f>
        <v>0</v>
      </c>
      <c r="M154" s="9">
        <f>'MKT DATA'!Q1187</f>
        <v>0</v>
      </c>
      <c r="N154" s="9">
        <f>'MKT DATA'!R1187</f>
        <v>0</v>
      </c>
      <c r="O154" s="9">
        <f>'MKT DATA'!S1187</f>
        <v>0</v>
      </c>
      <c r="P154" s="9">
        <f>'MKT DATA'!T1187</f>
        <v>0</v>
      </c>
      <c r="Q154" s="44" t="str">
        <f t="shared" si="7"/>
        <v>syn BTCX6/BTCV6/BTCU6/BTCF7/BTCZ6</v>
      </c>
      <c r="R154" s="14">
        <f>'MKT DATA'!AB1187</f>
        <v>0</v>
      </c>
    </row>
    <row r="155" spans="5:18" x14ac:dyDescent="0.25">
      <c r="E155" s="44" t="str">
        <f>'MKT DATA'!B1188</f>
        <v>syn BTCX6/BTCV6/BTCU6/BTCG7/BTCZ6</v>
      </c>
      <c r="F155" s="14">
        <f>'MKT DATA'!J1188</f>
        <v>0</v>
      </c>
      <c r="G155" s="9">
        <f>'MKT DATA'!K1188</f>
        <v>0</v>
      </c>
      <c r="H155" s="9">
        <f>'MKT DATA'!L1188</f>
        <v>0</v>
      </c>
      <c r="I155" s="14">
        <f>'MKT DATA'!M1188</f>
        <v>0</v>
      </c>
      <c r="J155" s="44" t="str">
        <f t="shared" si="6"/>
        <v>syn BTCX6/BTCV6/BTCU6/BTCG7/BTCZ6</v>
      </c>
      <c r="K155" s="9">
        <f>'MKT DATA'!O1188</f>
        <v>0</v>
      </c>
      <c r="L155" s="9">
        <f>'MKT DATA'!P1188</f>
        <v>0</v>
      </c>
      <c r="M155" s="9">
        <f>'MKT DATA'!Q1188</f>
        <v>0</v>
      </c>
      <c r="N155" s="9">
        <f>'MKT DATA'!R1188</f>
        <v>0</v>
      </c>
      <c r="O155" s="9">
        <f>'MKT DATA'!S1188</f>
        <v>0</v>
      </c>
      <c r="P155" s="9">
        <f>'MKT DATA'!T1188</f>
        <v>0</v>
      </c>
      <c r="Q155" s="44" t="str">
        <f t="shared" si="7"/>
        <v>syn BTCX6/BTCV6/BTCU6/BTCG7/BTCZ6</v>
      </c>
      <c r="R155" s="14">
        <f>'MKT DATA'!AB1188</f>
        <v>0</v>
      </c>
    </row>
    <row r="156" spans="5:18" x14ac:dyDescent="0.25">
      <c r="E156" s="44" t="str">
        <f>'MKT DATA'!B1189</f>
        <v>syn BTCX6/BTCV6/BTCF7/BTCU6/BTCZ6</v>
      </c>
      <c r="F156" s="14">
        <f>'MKT DATA'!J1189</f>
        <v>0</v>
      </c>
      <c r="G156" s="9">
        <f>'MKT DATA'!K1189</f>
        <v>0</v>
      </c>
      <c r="H156" s="9">
        <f>'MKT DATA'!L1189</f>
        <v>0</v>
      </c>
      <c r="I156" s="14">
        <f>'MKT DATA'!M1189</f>
        <v>0</v>
      </c>
      <c r="J156" s="44" t="str">
        <f t="shared" si="6"/>
        <v>syn BTCX6/BTCV6/BTCF7/BTCU6/BTCZ6</v>
      </c>
      <c r="K156" s="9">
        <f>'MKT DATA'!O1189</f>
        <v>0</v>
      </c>
      <c r="L156" s="9">
        <f>'MKT DATA'!P1189</f>
        <v>0</v>
      </c>
      <c r="M156" s="9">
        <f>'MKT DATA'!Q1189</f>
        <v>0</v>
      </c>
      <c r="N156" s="9">
        <f>'MKT DATA'!R1189</f>
        <v>0</v>
      </c>
      <c r="O156" s="9">
        <f>'MKT DATA'!S1189</f>
        <v>0</v>
      </c>
      <c r="P156" s="9">
        <f>'MKT DATA'!T1189</f>
        <v>0</v>
      </c>
      <c r="Q156" s="44" t="str">
        <f t="shared" si="7"/>
        <v>syn BTCX6/BTCV6/BTCF7/BTCU6/BTCZ6</v>
      </c>
      <c r="R156" s="14">
        <f>'MKT DATA'!AB1189</f>
        <v>0</v>
      </c>
    </row>
    <row r="157" spans="5:18" x14ac:dyDescent="0.25">
      <c r="E157" s="44" t="str">
        <f>'MKT DATA'!B1190</f>
        <v>syn BTCX6/BTCV6/BTCF7/BTCG7/BTCZ6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BTCX6/BTCV6/BTCF7/BTCG7/BTCZ6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BTCX6/BTCV6/BTCF7/BTCG7/BTCZ6</v>
      </c>
      <c r="R157" s="14">
        <f>'MKT DATA'!AB1190</f>
        <v>0</v>
      </c>
    </row>
    <row r="158" spans="5:18" x14ac:dyDescent="0.25">
      <c r="E158" s="44" t="str">
        <f>'MKT DATA'!B1191</f>
        <v>syn BTCX6/BTCV6/BTCG7/BTCU6/BTCZ6</v>
      </c>
      <c r="F158" s="14">
        <f>'MKT DATA'!J1191</f>
        <v>0</v>
      </c>
      <c r="G158" s="9">
        <f>'MKT DATA'!K1191</f>
        <v>0</v>
      </c>
      <c r="H158" s="9">
        <f>'MKT DATA'!L1191</f>
        <v>0</v>
      </c>
      <c r="I158" s="14">
        <f>'MKT DATA'!M1191</f>
        <v>0</v>
      </c>
      <c r="J158" s="44" t="str">
        <f t="shared" si="6"/>
        <v>syn BTCX6/BTCV6/BTCG7/BTCU6/BTCZ6</v>
      </c>
      <c r="K158" s="9">
        <f>'MKT DATA'!O1191</f>
        <v>0</v>
      </c>
      <c r="L158" s="9">
        <f>'MKT DATA'!P1191</f>
        <v>0</v>
      </c>
      <c r="M158" s="9">
        <f>'MKT DATA'!Q1191</f>
        <v>0</v>
      </c>
      <c r="N158" s="9">
        <f>'MKT DATA'!R1191</f>
        <v>0</v>
      </c>
      <c r="O158" s="9">
        <f>'MKT DATA'!S1191</f>
        <v>0</v>
      </c>
      <c r="P158" s="9">
        <f>'MKT DATA'!T1191</f>
        <v>0</v>
      </c>
      <c r="Q158" s="44" t="str">
        <f t="shared" si="7"/>
        <v>syn BTCX6/BTCV6/BTCG7/BTCU6/BTCZ6</v>
      </c>
      <c r="R158" s="14">
        <f>'MKT DATA'!AB1191</f>
        <v>0</v>
      </c>
    </row>
    <row r="159" spans="5:18" x14ac:dyDescent="0.25">
      <c r="E159" s="44" t="str">
        <f>'MKT DATA'!B1192</f>
        <v>syn BTCX6/BTCV6/BTCG7/BTCF7/BTCZ6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BTCX6/BTCV6/BTCG7/BTCF7/BTCZ6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BTCX6/BTCV6/BTCG7/BTCF7/BTCZ6</v>
      </c>
      <c r="R159" s="14">
        <f>'MKT DATA'!AB1192</f>
        <v>0</v>
      </c>
    </row>
    <row r="160" spans="5:18" x14ac:dyDescent="0.25">
      <c r="E160" s="44" t="str">
        <f>'MKT DATA'!B1193</f>
        <v>syn BTCX6/BTCF7/BTCU6/BTCV6/BTCZ6</v>
      </c>
      <c r="F160" s="14">
        <f>'MKT DATA'!J1193</f>
        <v>0</v>
      </c>
      <c r="G160" s="9">
        <f>'MKT DATA'!K1193</f>
        <v>0</v>
      </c>
      <c r="H160" s="9">
        <f>'MKT DATA'!L1193</f>
        <v>0</v>
      </c>
      <c r="I160" s="14">
        <f>'MKT DATA'!M1193</f>
        <v>0</v>
      </c>
      <c r="J160" s="44" t="str">
        <f t="shared" si="6"/>
        <v>syn BTCX6/BTCF7/BTCU6/BTCV6/BTCZ6</v>
      </c>
      <c r="K160" s="9">
        <f>'MKT DATA'!O1193</f>
        <v>0</v>
      </c>
      <c r="L160" s="9">
        <f>'MKT DATA'!P1193</f>
        <v>0</v>
      </c>
      <c r="M160" s="9">
        <f>'MKT DATA'!Q1193</f>
        <v>0</v>
      </c>
      <c r="N160" s="9">
        <f>'MKT DATA'!R1193</f>
        <v>0</v>
      </c>
      <c r="O160" s="9">
        <f>'MKT DATA'!S1193</f>
        <v>0</v>
      </c>
      <c r="P160" s="9">
        <f>'MKT DATA'!T1193</f>
        <v>0</v>
      </c>
      <c r="Q160" s="44" t="str">
        <f t="shared" si="7"/>
        <v>syn BTCX6/BTCF7/BTCU6/BTCV6/BTCZ6</v>
      </c>
      <c r="R160" s="14">
        <f>'MKT DATA'!AB1193</f>
        <v>0</v>
      </c>
    </row>
    <row r="161" spans="5:18" x14ac:dyDescent="0.25">
      <c r="E161" s="44" t="str">
        <f>'MKT DATA'!B1194</f>
        <v>syn BTCX6/BTCF7/BTCU6/BTCG7/BTCZ6</v>
      </c>
      <c r="F161" s="14">
        <f>'MKT DATA'!J1194</f>
        <v>0</v>
      </c>
      <c r="G161" s="9">
        <f>'MKT DATA'!K1194</f>
        <v>0</v>
      </c>
      <c r="H161" s="9">
        <f>'MKT DATA'!L1194</f>
        <v>0</v>
      </c>
      <c r="I161" s="14">
        <f>'MKT DATA'!M1194</f>
        <v>0</v>
      </c>
      <c r="J161" s="44" t="str">
        <f t="shared" si="6"/>
        <v>syn BTCX6/BTCF7/BTCU6/BTCG7/BTCZ6</v>
      </c>
      <c r="K161" s="9">
        <f>'MKT DATA'!O1194</f>
        <v>0</v>
      </c>
      <c r="L161" s="9">
        <f>'MKT DATA'!P1194</f>
        <v>0</v>
      </c>
      <c r="M161" s="9">
        <f>'MKT DATA'!Q1194</f>
        <v>0</v>
      </c>
      <c r="N161" s="9">
        <f>'MKT DATA'!R1194</f>
        <v>0</v>
      </c>
      <c r="O161" s="9">
        <f>'MKT DATA'!S1194</f>
        <v>0</v>
      </c>
      <c r="P161" s="9">
        <f>'MKT DATA'!T1194</f>
        <v>0</v>
      </c>
      <c r="Q161" s="44" t="str">
        <f t="shared" si="7"/>
        <v>syn BTCX6/BTCF7/BTCU6/BTCG7/BTCZ6</v>
      </c>
      <c r="R161" s="14">
        <f>'MKT DATA'!AB1194</f>
        <v>0</v>
      </c>
    </row>
    <row r="162" spans="5:18" x14ac:dyDescent="0.25">
      <c r="E162" s="44" t="str">
        <f>'MKT DATA'!B1195</f>
        <v>syn BTCX6/BTCF7/BTCV6/BTCU6/BTCZ6</v>
      </c>
      <c r="F162" s="14">
        <f>'MKT DATA'!J1195</f>
        <v>0</v>
      </c>
      <c r="G162" s="9">
        <f>'MKT DATA'!K1195</f>
        <v>0</v>
      </c>
      <c r="H162" s="9">
        <f>'MKT DATA'!L1195</f>
        <v>0</v>
      </c>
      <c r="I162" s="14">
        <f>'MKT DATA'!M1195</f>
        <v>0</v>
      </c>
      <c r="J162" s="44" t="str">
        <f t="shared" si="6"/>
        <v>syn BTCX6/BTCF7/BTCV6/BTCU6/BTCZ6</v>
      </c>
      <c r="K162" s="9">
        <f>'MKT DATA'!O1195</f>
        <v>0</v>
      </c>
      <c r="L162" s="9">
        <f>'MKT DATA'!P1195</f>
        <v>0</v>
      </c>
      <c r="M162" s="9">
        <f>'MKT DATA'!Q1195</f>
        <v>0</v>
      </c>
      <c r="N162" s="9">
        <f>'MKT DATA'!R1195</f>
        <v>0</v>
      </c>
      <c r="O162" s="9">
        <f>'MKT DATA'!S1195</f>
        <v>0</v>
      </c>
      <c r="P162" s="9">
        <f>'MKT DATA'!T1195</f>
        <v>0</v>
      </c>
      <c r="Q162" s="44" t="str">
        <f t="shared" si="7"/>
        <v>syn BTCX6/BTCF7/BTCV6/BTCU6/BTCZ6</v>
      </c>
      <c r="R162" s="14">
        <f>'MKT DATA'!AB1195</f>
        <v>0</v>
      </c>
    </row>
    <row r="163" spans="5:18" x14ac:dyDescent="0.25">
      <c r="E163" s="44" t="str">
        <f>'MKT DATA'!B1196</f>
        <v>syn BTCX6/BTCF7/BTCV6/BTCG7/BTCZ6</v>
      </c>
      <c r="F163" s="14">
        <f>'MKT DATA'!J1196</f>
        <v>0</v>
      </c>
      <c r="G163" s="9">
        <f>'MKT DATA'!K1196</f>
        <v>0</v>
      </c>
      <c r="H163" s="9">
        <f>'MKT DATA'!L1196</f>
        <v>0</v>
      </c>
      <c r="I163" s="14">
        <f>'MKT DATA'!M1196</f>
        <v>0</v>
      </c>
      <c r="J163" s="44" t="str">
        <f t="shared" si="6"/>
        <v>syn BTCX6/BTCF7/BTCV6/BTCG7/BTCZ6</v>
      </c>
      <c r="K163" s="9">
        <f>'MKT DATA'!O1196</f>
        <v>0</v>
      </c>
      <c r="L163" s="9">
        <f>'MKT DATA'!P1196</f>
        <v>0</v>
      </c>
      <c r="M163" s="9">
        <f>'MKT DATA'!Q1196</f>
        <v>0</v>
      </c>
      <c r="N163" s="9">
        <f>'MKT DATA'!R1196</f>
        <v>0</v>
      </c>
      <c r="O163" s="9">
        <f>'MKT DATA'!S1196</f>
        <v>0</v>
      </c>
      <c r="P163" s="9">
        <f>'MKT DATA'!T1196</f>
        <v>0</v>
      </c>
      <c r="Q163" s="44" t="str">
        <f t="shared" si="7"/>
        <v>syn BTCX6/BTCF7/BTCV6/BTCG7/BTCZ6</v>
      </c>
      <c r="R163" s="14">
        <f>'MKT DATA'!AB1196</f>
        <v>0</v>
      </c>
    </row>
    <row r="164" spans="5:18" x14ac:dyDescent="0.25">
      <c r="E164" s="44" t="str">
        <f>'MKT DATA'!B1197</f>
        <v>syn BTCX6/BTCF7/BTCG7/BTCU6/BTCZ6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BTCX6/BTCF7/BTCG7/BTCU6/BTCZ6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BTCX6/BTCF7/BTCG7/BTCU6/BTCZ6</v>
      </c>
      <c r="R164" s="14">
        <f>'MKT DATA'!AB1197</f>
        <v>0</v>
      </c>
    </row>
    <row r="165" spans="5:18" x14ac:dyDescent="0.25">
      <c r="E165" s="44" t="str">
        <f>'MKT DATA'!B1198</f>
        <v>syn BTCX6/BTCF7/BTCG7/BTCV6/BTCZ6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BTCX6/BTCF7/BTCG7/BTCV6/BTCZ6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BTCX6/BTCF7/BTCG7/BTCV6/BTCZ6</v>
      </c>
      <c r="R165" s="14">
        <f>'MKT DATA'!AB1198</f>
        <v>0</v>
      </c>
    </row>
    <row r="166" spans="5:18" x14ac:dyDescent="0.25">
      <c r="E166" s="44" t="str">
        <f>'MKT DATA'!B1199</f>
        <v>syn BTCX6/BTCG7/BTCU6/BTCV6/BTCZ6</v>
      </c>
      <c r="F166" s="14">
        <f>'MKT DATA'!J1199</f>
        <v>0</v>
      </c>
      <c r="G166" s="9">
        <f>'MKT DATA'!K1199</f>
        <v>0</v>
      </c>
      <c r="H166" s="9">
        <f>'MKT DATA'!L1199</f>
        <v>0</v>
      </c>
      <c r="I166" s="14">
        <f>'MKT DATA'!M1199</f>
        <v>0</v>
      </c>
      <c r="J166" s="44" t="str">
        <f t="shared" si="6"/>
        <v>syn BTCX6/BTCG7/BTCU6/BTCV6/BTCZ6</v>
      </c>
      <c r="K166" s="9">
        <f>'MKT DATA'!O1199</f>
        <v>0</v>
      </c>
      <c r="L166" s="9">
        <f>'MKT DATA'!P1199</f>
        <v>0</v>
      </c>
      <c r="M166" s="9">
        <f>'MKT DATA'!Q1199</f>
        <v>0</v>
      </c>
      <c r="N166" s="9">
        <f>'MKT DATA'!R1199</f>
        <v>0</v>
      </c>
      <c r="O166" s="9">
        <f>'MKT DATA'!S1199</f>
        <v>0</v>
      </c>
      <c r="P166" s="9">
        <f>'MKT DATA'!T1199</f>
        <v>0</v>
      </c>
      <c r="Q166" s="44" t="str">
        <f t="shared" si="7"/>
        <v>syn BTCX6/BTCG7/BTCU6/BTCV6/BTCZ6</v>
      </c>
      <c r="R166" s="14">
        <f>'MKT DATA'!AB1199</f>
        <v>0</v>
      </c>
    </row>
    <row r="167" spans="5:18" x14ac:dyDescent="0.25">
      <c r="E167" s="44" t="str">
        <f>'MKT DATA'!B1200</f>
        <v>syn BTCX6/BTCG7/BTCU6/BTCF7/BTCZ6</v>
      </c>
      <c r="F167" s="14">
        <f>'MKT DATA'!J1200</f>
        <v>0</v>
      </c>
      <c r="G167" s="9">
        <f>'MKT DATA'!K1200</f>
        <v>0</v>
      </c>
      <c r="H167" s="9">
        <f>'MKT DATA'!L1200</f>
        <v>0</v>
      </c>
      <c r="I167" s="14">
        <f>'MKT DATA'!M1200</f>
        <v>0</v>
      </c>
      <c r="J167" s="44" t="str">
        <f t="shared" si="6"/>
        <v>syn BTCX6/BTCG7/BTCU6/BTCF7/BTCZ6</v>
      </c>
      <c r="K167" s="9">
        <f>'MKT DATA'!O1200</f>
        <v>0</v>
      </c>
      <c r="L167" s="9">
        <f>'MKT DATA'!P1200</f>
        <v>0</v>
      </c>
      <c r="M167" s="9">
        <f>'MKT DATA'!Q1200</f>
        <v>0</v>
      </c>
      <c r="N167" s="9">
        <f>'MKT DATA'!R1200</f>
        <v>0</v>
      </c>
      <c r="O167" s="9">
        <f>'MKT DATA'!S1200</f>
        <v>0</v>
      </c>
      <c r="P167" s="9">
        <f>'MKT DATA'!T1200</f>
        <v>0</v>
      </c>
      <c r="Q167" s="44" t="str">
        <f t="shared" si="7"/>
        <v>syn BTCX6/BTCG7/BTCU6/BTCF7/BTCZ6</v>
      </c>
      <c r="R167" s="14">
        <f>'MKT DATA'!AB1200</f>
        <v>0</v>
      </c>
    </row>
    <row r="168" spans="5:18" x14ac:dyDescent="0.25">
      <c r="E168" s="44" t="str">
        <f>'MKT DATA'!B1201</f>
        <v>syn BTCX6/BTCG7/BTCV6/BTCU6/BTCZ6</v>
      </c>
      <c r="F168" s="14">
        <f>'MKT DATA'!J1201</f>
        <v>0</v>
      </c>
      <c r="G168" s="9">
        <f>'MKT DATA'!K1201</f>
        <v>0</v>
      </c>
      <c r="H168" s="9">
        <f>'MKT DATA'!L1201</f>
        <v>0</v>
      </c>
      <c r="I168" s="14">
        <f>'MKT DATA'!M1201</f>
        <v>0</v>
      </c>
      <c r="J168" s="44" t="str">
        <f t="shared" si="6"/>
        <v>syn BTCX6/BTCG7/BTCV6/BTCU6/BTCZ6</v>
      </c>
      <c r="K168" s="9">
        <f>'MKT DATA'!O1201</f>
        <v>0</v>
      </c>
      <c r="L168" s="9">
        <f>'MKT DATA'!P1201</f>
        <v>0</v>
      </c>
      <c r="M168" s="9">
        <f>'MKT DATA'!Q1201</f>
        <v>0</v>
      </c>
      <c r="N168" s="9">
        <f>'MKT DATA'!R1201</f>
        <v>0</v>
      </c>
      <c r="O168" s="9">
        <f>'MKT DATA'!S1201</f>
        <v>0</v>
      </c>
      <c r="P168" s="9">
        <f>'MKT DATA'!T1201</f>
        <v>0</v>
      </c>
      <c r="Q168" s="44" t="str">
        <f t="shared" si="7"/>
        <v>syn BTCX6/BTCG7/BTCV6/BTCU6/BTCZ6</v>
      </c>
      <c r="R168" s="14">
        <f>'MKT DATA'!AB1201</f>
        <v>0</v>
      </c>
    </row>
    <row r="169" spans="5:18" x14ac:dyDescent="0.25">
      <c r="E169" s="44" t="str">
        <f>'MKT DATA'!B1202</f>
        <v>syn BTCX6/BTCG7/BTCV6/BTCF7/BTCZ6</v>
      </c>
      <c r="F169" s="14">
        <f>'MKT DATA'!J1202</f>
        <v>0</v>
      </c>
      <c r="G169" s="9">
        <f>'MKT DATA'!K1202</f>
        <v>0</v>
      </c>
      <c r="H169" s="9">
        <f>'MKT DATA'!L1202</f>
        <v>0</v>
      </c>
      <c r="I169" s="14">
        <f>'MKT DATA'!M1202</f>
        <v>0</v>
      </c>
      <c r="J169" s="44" t="str">
        <f t="shared" si="6"/>
        <v>syn BTCX6/BTCG7/BTCV6/BTCF7/BTCZ6</v>
      </c>
      <c r="K169" s="9">
        <f>'MKT DATA'!O1202</f>
        <v>0</v>
      </c>
      <c r="L169" s="9">
        <f>'MKT DATA'!P1202</f>
        <v>0</v>
      </c>
      <c r="M169" s="9">
        <f>'MKT DATA'!Q1202</f>
        <v>0</v>
      </c>
      <c r="N169" s="9">
        <f>'MKT DATA'!R1202</f>
        <v>0</v>
      </c>
      <c r="O169" s="9">
        <f>'MKT DATA'!S1202</f>
        <v>0</v>
      </c>
      <c r="P169" s="9">
        <f>'MKT DATA'!T1202</f>
        <v>0</v>
      </c>
      <c r="Q169" s="44" t="str">
        <f t="shared" si="7"/>
        <v>syn BTCX6/BTCG7/BTCV6/BTCF7/BTCZ6</v>
      </c>
      <c r="R169" s="14">
        <f>'MKT DATA'!AB1202</f>
        <v>0</v>
      </c>
    </row>
    <row r="170" spans="5:18" x14ac:dyDescent="0.25">
      <c r="E170" s="44" t="str">
        <f>'MKT DATA'!B1203</f>
        <v>syn BTCX6/BTCG7/BTCF7/BTCU6/BTCZ6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BTCX6/BTCG7/BTCF7/BTCU6/BTCZ6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BTCX6/BTCG7/BTCF7/BTCU6/BTCZ6</v>
      </c>
      <c r="R170" s="14">
        <f>'MKT DATA'!AB1203</f>
        <v>0</v>
      </c>
    </row>
    <row r="171" spans="5:18" x14ac:dyDescent="0.25">
      <c r="E171" s="44" t="str">
        <f>'MKT DATA'!B1204</f>
        <v>syn BTCX6/BTCG7/BTCF7/BTCV6/BTCZ6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BTCX6/BTCG7/BTCF7/BTCV6/BTCZ6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BTCX6/BTCG7/BTCF7/BTCV6/BTCZ6</v>
      </c>
      <c r="R171" s="14">
        <f>'MKT DATA'!AB1204</f>
        <v>0</v>
      </c>
    </row>
    <row r="172" spans="5:18" x14ac:dyDescent="0.25">
      <c r="E172" s="44" t="str">
        <f>'MKT DATA'!B1205</f>
        <v>syn BTCF7/BTCU6/BTCV6/BTCX6/BTCZ6</v>
      </c>
      <c r="F172" s="14">
        <f>'MKT DATA'!J1205</f>
        <v>0</v>
      </c>
      <c r="G172" s="9">
        <f>'MKT DATA'!K1205</f>
        <v>0</v>
      </c>
      <c r="H172" s="9">
        <f>'MKT DATA'!L1205</f>
        <v>0</v>
      </c>
      <c r="I172" s="14">
        <f>'MKT DATA'!M1205</f>
        <v>0</v>
      </c>
      <c r="J172" s="44" t="str">
        <f t="shared" si="6"/>
        <v>syn BTCF7/BTCU6/BTCV6/BTCX6/BTCZ6</v>
      </c>
      <c r="K172" s="9">
        <f>'MKT DATA'!O1205</f>
        <v>0</v>
      </c>
      <c r="L172" s="9">
        <f>'MKT DATA'!P1205</f>
        <v>0</v>
      </c>
      <c r="M172" s="9">
        <f>'MKT DATA'!Q1205</f>
        <v>0</v>
      </c>
      <c r="N172" s="9">
        <f>'MKT DATA'!R1205</f>
        <v>0</v>
      </c>
      <c r="O172" s="9">
        <f>'MKT DATA'!S1205</f>
        <v>0</v>
      </c>
      <c r="P172" s="9">
        <f>'MKT DATA'!T1205</f>
        <v>0</v>
      </c>
      <c r="Q172" s="44" t="str">
        <f t="shared" si="7"/>
        <v>syn BTCF7/BTCU6/BTCV6/BTCX6/BTCZ6</v>
      </c>
      <c r="R172" s="14">
        <f>'MKT DATA'!AB1205</f>
        <v>0</v>
      </c>
    </row>
    <row r="173" spans="5:18" x14ac:dyDescent="0.25">
      <c r="E173" s="44" t="str">
        <f>'MKT DATA'!B1206</f>
        <v>syn BTCF7/BTCU6/BTCV6/BTCG7/BTCZ6</v>
      </c>
      <c r="F173" s="14">
        <f>'MKT DATA'!J1206</f>
        <v>0</v>
      </c>
      <c r="G173" s="9">
        <f>'MKT DATA'!K1206</f>
        <v>0</v>
      </c>
      <c r="H173" s="9">
        <f>'MKT DATA'!L1206</f>
        <v>0</v>
      </c>
      <c r="I173" s="14">
        <f>'MKT DATA'!M1206</f>
        <v>0</v>
      </c>
      <c r="J173" s="44" t="str">
        <f t="shared" si="6"/>
        <v>syn BTCF7/BTCU6/BTCV6/BTCG7/BTCZ6</v>
      </c>
      <c r="K173" s="9">
        <f>'MKT DATA'!O1206</f>
        <v>0</v>
      </c>
      <c r="L173" s="9">
        <f>'MKT DATA'!P1206</f>
        <v>0</v>
      </c>
      <c r="M173" s="9">
        <f>'MKT DATA'!Q1206</f>
        <v>0</v>
      </c>
      <c r="N173" s="9">
        <f>'MKT DATA'!R1206</f>
        <v>0</v>
      </c>
      <c r="O173" s="9">
        <f>'MKT DATA'!S1206</f>
        <v>0</v>
      </c>
      <c r="P173" s="9">
        <f>'MKT DATA'!T1206</f>
        <v>0</v>
      </c>
      <c r="Q173" s="44" t="str">
        <f t="shared" si="7"/>
        <v>syn BTCF7/BTCU6/BTCV6/BTCG7/BTCZ6</v>
      </c>
      <c r="R173" s="14">
        <f>'MKT DATA'!AB1206</f>
        <v>0</v>
      </c>
    </row>
    <row r="174" spans="5:18" x14ac:dyDescent="0.25">
      <c r="E174" s="44" t="str">
        <f>'MKT DATA'!B1207</f>
        <v>syn BTCF7/BTCU6/BTCX6/BTCV6/BTCZ6</v>
      </c>
      <c r="F174" s="14">
        <f>'MKT DATA'!J1207</f>
        <v>0</v>
      </c>
      <c r="G174" s="9">
        <f>'MKT DATA'!K1207</f>
        <v>0</v>
      </c>
      <c r="H174" s="9">
        <f>'MKT DATA'!L1207</f>
        <v>0</v>
      </c>
      <c r="I174" s="14">
        <f>'MKT DATA'!M1207</f>
        <v>0</v>
      </c>
      <c r="J174" s="44" t="str">
        <f t="shared" si="6"/>
        <v>syn BTCF7/BTCU6/BTCX6/BTCV6/BTCZ6</v>
      </c>
      <c r="K174" s="9">
        <f>'MKT DATA'!O1207</f>
        <v>0</v>
      </c>
      <c r="L174" s="9">
        <f>'MKT DATA'!P1207</f>
        <v>0</v>
      </c>
      <c r="M174" s="9">
        <f>'MKT DATA'!Q1207</f>
        <v>0</v>
      </c>
      <c r="N174" s="9">
        <f>'MKT DATA'!R1207</f>
        <v>0</v>
      </c>
      <c r="O174" s="9">
        <f>'MKT DATA'!S1207</f>
        <v>0</v>
      </c>
      <c r="P174" s="9">
        <f>'MKT DATA'!T1207</f>
        <v>0</v>
      </c>
      <c r="Q174" s="44" t="str">
        <f t="shared" si="7"/>
        <v>syn BTCF7/BTCU6/BTCX6/BTCV6/BTCZ6</v>
      </c>
      <c r="R174" s="14">
        <f>'MKT DATA'!AB1207</f>
        <v>0</v>
      </c>
    </row>
    <row r="175" spans="5:18" x14ac:dyDescent="0.25">
      <c r="E175" s="44" t="str">
        <f>'MKT DATA'!B1208</f>
        <v>syn BTCF7/BTCU6/BTCX6/BTCG7/BTCZ6</v>
      </c>
      <c r="F175" s="14">
        <f>'MKT DATA'!J1208</f>
        <v>0</v>
      </c>
      <c r="G175" s="9">
        <f>'MKT DATA'!K1208</f>
        <v>0</v>
      </c>
      <c r="H175" s="9">
        <f>'MKT DATA'!L1208</f>
        <v>0</v>
      </c>
      <c r="I175" s="14">
        <f>'MKT DATA'!M1208</f>
        <v>0</v>
      </c>
      <c r="J175" s="44" t="str">
        <f t="shared" si="6"/>
        <v>syn BTCF7/BTCU6/BTCX6/BTCG7/BTCZ6</v>
      </c>
      <c r="K175" s="9">
        <f>'MKT DATA'!O1208</f>
        <v>0</v>
      </c>
      <c r="L175" s="9">
        <f>'MKT DATA'!P1208</f>
        <v>0</v>
      </c>
      <c r="M175" s="9">
        <f>'MKT DATA'!Q1208</f>
        <v>0</v>
      </c>
      <c r="N175" s="9">
        <f>'MKT DATA'!R1208</f>
        <v>0</v>
      </c>
      <c r="O175" s="9">
        <f>'MKT DATA'!S1208</f>
        <v>0</v>
      </c>
      <c r="P175" s="9">
        <f>'MKT DATA'!T1208</f>
        <v>0</v>
      </c>
      <c r="Q175" s="44" t="str">
        <f t="shared" si="7"/>
        <v>syn BTCF7/BTCU6/BTCX6/BTCG7/BTCZ6</v>
      </c>
      <c r="R175" s="14">
        <f>'MKT DATA'!AB1208</f>
        <v>0</v>
      </c>
    </row>
    <row r="176" spans="5:18" x14ac:dyDescent="0.25">
      <c r="E176" s="44" t="str">
        <f>'MKT DATA'!B1209</f>
        <v>syn BTCF7/BTCU6/BTCG7/BTCV6/BTCZ6</v>
      </c>
      <c r="F176" s="14">
        <f>'MKT DATA'!J1209</f>
        <v>0</v>
      </c>
      <c r="G176" s="9">
        <f>'MKT DATA'!K1209</f>
        <v>0</v>
      </c>
      <c r="H176" s="9">
        <f>'MKT DATA'!L1209</f>
        <v>0</v>
      </c>
      <c r="I176" s="14">
        <f>'MKT DATA'!M1209</f>
        <v>0</v>
      </c>
      <c r="J176" s="44" t="str">
        <f t="shared" si="6"/>
        <v>syn BTCF7/BTCU6/BTCG7/BTCV6/BTCZ6</v>
      </c>
      <c r="K176" s="9">
        <f>'MKT DATA'!O1209</f>
        <v>0</v>
      </c>
      <c r="L176" s="9">
        <f>'MKT DATA'!P1209</f>
        <v>0</v>
      </c>
      <c r="M176" s="9">
        <f>'MKT DATA'!Q1209</f>
        <v>0</v>
      </c>
      <c r="N176" s="9">
        <f>'MKT DATA'!R1209</f>
        <v>0</v>
      </c>
      <c r="O176" s="9">
        <f>'MKT DATA'!S1209</f>
        <v>0</v>
      </c>
      <c r="P176" s="9">
        <f>'MKT DATA'!T1209</f>
        <v>0</v>
      </c>
      <c r="Q176" s="44" t="str">
        <f t="shared" si="7"/>
        <v>syn BTCF7/BTCU6/BTCG7/BTCV6/BTCZ6</v>
      </c>
      <c r="R176" s="14">
        <f>'MKT DATA'!AB1209</f>
        <v>0</v>
      </c>
    </row>
    <row r="177" spans="5:18" x14ac:dyDescent="0.25">
      <c r="E177" s="44" t="str">
        <f>'MKT DATA'!B1210</f>
        <v>syn BTCF7/BTCU6/BTCG7/BTCX6/BTCZ6</v>
      </c>
      <c r="F177" s="14">
        <f>'MKT DATA'!J1210</f>
        <v>0</v>
      </c>
      <c r="G177" s="9">
        <f>'MKT DATA'!K1210</f>
        <v>0</v>
      </c>
      <c r="H177" s="9">
        <f>'MKT DATA'!L1210</f>
        <v>0</v>
      </c>
      <c r="I177" s="14">
        <f>'MKT DATA'!M1210</f>
        <v>0</v>
      </c>
      <c r="J177" s="44" t="str">
        <f t="shared" si="6"/>
        <v>syn BTCF7/BTCU6/BTCG7/BTCX6/BTCZ6</v>
      </c>
      <c r="K177" s="9">
        <f>'MKT DATA'!O1210</f>
        <v>0</v>
      </c>
      <c r="L177" s="9">
        <f>'MKT DATA'!P1210</f>
        <v>0</v>
      </c>
      <c r="M177" s="9">
        <f>'MKT DATA'!Q1210</f>
        <v>0</v>
      </c>
      <c r="N177" s="9">
        <f>'MKT DATA'!R1210</f>
        <v>0</v>
      </c>
      <c r="O177" s="9">
        <f>'MKT DATA'!S1210</f>
        <v>0</v>
      </c>
      <c r="P177" s="9">
        <f>'MKT DATA'!T1210</f>
        <v>0</v>
      </c>
      <c r="Q177" s="44" t="str">
        <f t="shared" si="7"/>
        <v>syn BTCF7/BTCU6/BTCG7/BTCX6/BTCZ6</v>
      </c>
      <c r="R177" s="14">
        <f>'MKT DATA'!AB1210</f>
        <v>0</v>
      </c>
    </row>
    <row r="178" spans="5:18" x14ac:dyDescent="0.25">
      <c r="E178" s="44" t="str">
        <f>'MKT DATA'!B1211</f>
        <v>syn BTCF7/BTCV6/BTCU6/BTCX6/BTCZ6</v>
      </c>
      <c r="F178" s="14">
        <f>'MKT DATA'!J1211</f>
        <v>0</v>
      </c>
      <c r="G178" s="9">
        <f>'MKT DATA'!K1211</f>
        <v>0</v>
      </c>
      <c r="H178" s="9">
        <f>'MKT DATA'!L1211</f>
        <v>0</v>
      </c>
      <c r="I178" s="14">
        <f>'MKT DATA'!M1211</f>
        <v>0</v>
      </c>
      <c r="J178" s="44" t="str">
        <f t="shared" si="6"/>
        <v>syn BTCF7/BTCV6/BTCU6/BTCX6/BTCZ6</v>
      </c>
      <c r="K178" s="9">
        <f>'MKT DATA'!O1211</f>
        <v>0</v>
      </c>
      <c r="L178" s="9">
        <f>'MKT DATA'!P1211</f>
        <v>0</v>
      </c>
      <c r="M178" s="9">
        <f>'MKT DATA'!Q1211</f>
        <v>0</v>
      </c>
      <c r="N178" s="9">
        <f>'MKT DATA'!R1211</f>
        <v>0</v>
      </c>
      <c r="O178" s="9">
        <f>'MKT DATA'!S1211</f>
        <v>0</v>
      </c>
      <c r="P178" s="9">
        <f>'MKT DATA'!T1211</f>
        <v>0</v>
      </c>
      <c r="Q178" s="44" t="str">
        <f t="shared" si="7"/>
        <v>syn BTCF7/BTCV6/BTCU6/BTCX6/BTCZ6</v>
      </c>
      <c r="R178" s="14">
        <f>'MKT DATA'!AB1211</f>
        <v>0</v>
      </c>
    </row>
    <row r="179" spans="5:18" x14ac:dyDescent="0.25">
      <c r="E179" s="44" t="str">
        <f>'MKT DATA'!B1212</f>
        <v>syn BTCF7/BTCV6/BTCU6/BTCG7/BTCZ6</v>
      </c>
      <c r="F179" s="14">
        <f>'MKT DATA'!J1212</f>
        <v>0</v>
      </c>
      <c r="G179" s="9">
        <f>'MKT DATA'!K1212</f>
        <v>0</v>
      </c>
      <c r="H179" s="9">
        <f>'MKT DATA'!L1212</f>
        <v>0</v>
      </c>
      <c r="I179" s="14">
        <f>'MKT DATA'!M1212</f>
        <v>0</v>
      </c>
      <c r="J179" s="44" t="str">
        <f t="shared" si="6"/>
        <v>syn BTCF7/BTCV6/BTCU6/BTCG7/BTCZ6</v>
      </c>
      <c r="K179" s="9">
        <f>'MKT DATA'!O1212</f>
        <v>0</v>
      </c>
      <c r="L179" s="9">
        <f>'MKT DATA'!P1212</f>
        <v>0</v>
      </c>
      <c r="M179" s="9">
        <f>'MKT DATA'!Q1212</f>
        <v>0</v>
      </c>
      <c r="N179" s="9">
        <f>'MKT DATA'!R1212</f>
        <v>0</v>
      </c>
      <c r="O179" s="9">
        <f>'MKT DATA'!S1212</f>
        <v>0</v>
      </c>
      <c r="P179" s="9">
        <f>'MKT DATA'!T1212</f>
        <v>0</v>
      </c>
      <c r="Q179" s="44" t="str">
        <f t="shared" si="7"/>
        <v>syn BTCF7/BTCV6/BTCU6/BTCG7/BTCZ6</v>
      </c>
      <c r="R179" s="14">
        <f>'MKT DATA'!AB1212</f>
        <v>0</v>
      </c>
    </row>
    <row r="180" spans="5:18" x14ac:dyDescent="0.25">
      <c r="E180" s="44" t="str">
        <f>'MKT DATA'!B1213</f>
        <v>syn BTCF7/BTCV6/BTCX6/BTCU6/BTCZ6</v>
      </c>
      <c r="F180" s="14">
        <f>'MKT DATA'!J1213</f>
        <v>0</v>
      </c>
      <c r="G180" s="9">
        <f>'MKT DATA'!K1213</f>
        <v>0</v>
      </c>
      <c r="H180" s="9">
        <f>'MKT DATA'!L1213</f>
        <v>0</v>
      </c>
      <c r="I180" s="14">
        <f>'MKT DATA'!M1213</f>
        <v>0</v>
      </c>
      <c r="J180" s="44" t="str">
        <f t="shared" si="6"/>
        <v>syn BTCF7/BTCV6/BTCX6/BTCU6/BTCZ6</v>
      </c>
      <c r="K180" s="9">
        <f>'MKT DATA'!O1213</f>
        <v>0</v>
      </c>
      <c r="L180" s="9">
        <f>'MKT DATA'!P1213</f>
        <v>0</v>
      </c>
      <c r="M180" s="9">
        <f>'MKT DATA'!Q1213</f>
        <v>0</v>
      </c>
      <c r="N180" s="9">
        <f>'MKT DATA'!R1213</f>
        <v>0</v>
      </c>
      <c r="O180" s="9">
        <f>'MKT DATA'!S1213</f>
        <v>0</v>
      </c>
      <c r="P180" s="9">
        <f>'MKT DATA'!T1213</f>
        <v>0</v>
      </c>
      <c r="Q180" s="44" t="str">
        <f t="shared" si="7"/>
        <v>syn BTCF7/BTCV6/BTCX6/BTCU6/BTCZ6</v>
      </c>
      <c r="R180" s="14">
        <f>'MKT DATA'!AB1213</f>
        <v>0</v>
      </c>
    </row>
    <row r="181" spans="5:18" x14ac:dyDescent="0.25">
      <c r="E181" s="44" t="str">
        <f>'MKT DATA'!B1214</f>
        <v>syn BTCF7/BTCV6/BTCX6/BTCG7/BTCZ6</v>
      </c>
      <c r="F181" s="14">
        <f>'MKT DATA'!J1214</f>
        <v>0</v>
      </c>
      <c r="G181" s="9">
        <f>'MKT DATA'!K1214</f>
        <v>0</v>
      </c>
      <c r="H181" s="9">
        <f>'MKT DATA'!L1214</f>
        <v>0</v>
      </c>
      <c r="I181" s="14">
        <f>'MKT DATA'!M1214</f>
        <v>0</v>
      </c>
      <c r="J181" s="44" t="str">
        <f t="shared" si="6"/>
        <v>syn BTCF7/BTCV6/BTCX6/BTCG7/BTCZ6</v>
      </c>
      <c r="K181" s="9">
        <f>'MKT DATA'!O1214</f>
        <v>0</v>
      </c>
      <c r="L181" s="9">
        <f>'MKT DATA'!P1214</f>
        <v>0</v>
      </c>
      <c r="M181" s="9">
        <f>'MKT DATA'!Q1214</f>
        <v>0</v>
      </c>
      <c r="N181" s="9">
        <f>'MKT DATA'!R1214</f>
        <v>0</v>
      </c>
      <c r="O181" s="9">
        <f>'MKT DATA'!S1214</f>
        <v>0</v>
      </c>
      <c r="P181" s="9">
        <f>'MKT DATA'!T1214</f>
        <v>0</v>
      </c>
      <c r="Q181" s="44" t="str">
        <f t="shared" si="7"/>
        <v>syn BTCF7/BTCV6/BTCX6/BTCG7/BTCZ6</v>
      </c>
      <c r="R181" s="14">
        <f>'MKT DATA'!AB1214</f>
        <v>0</v>
      </c>
    </row>
    <row r="182" spans="5:18" x14ac:dyDescent="0.25">
      <c r="E182" s="44" t="str">
        <f>'MKT DATA'!B1215</f>
        <v>syn BTCF7/BTCV6/BTCG7/BTCU6/BTCZ6</v>
      </c>
      <c r="F182" s="14">
        <f>'MKT DATA'!J1215</f>
        <v>0</v>
      </c>
      <c r="G182" s="9">
        <f>'MKT DATA'!K1215</f>
        <v>0</v>
      </c>
      <c r="H182" s="9">
        <f>'MKT DATA'!L1215</f>
        <v>0</v>
      </c>
      <c r="I182" s="14">
        <f>'MKT DATA'!M1215</f>
        <v>0</v>
      </c>
      <c r="J182" s="44" t="str">
        <f t="shared" si="6"/>
        <v>syn BTCF7/BTCV6/BTCG7/BTCU6/BTCZ6</v>
      </c>
      <c r="K182" s="9">
        <f>'MKT DATA'!O1215</f>
        <v>0</v>
      </c>
      <c r="L182" s="9">
        <f>'MKT DATA'!P1215</f>
        <v>0</v>
      </c>
      <c r="M182" s="9">
        <f>'MKT DATA'!Q1215</f>
        <v>0</v>
      </c>
      <c r="N182" s="9">
        <f>'MKT DATA'!R1215</f>
        <v>0</v>
      </c>
      <c r="O182" s="9">
        <f>'MKT DATA'!S1215</f>
        <v>0</v>
      </c>
      <c r="P182" s="9">
        <f>'MKT DATA'!T1215</f>
        <v>0</v>
      </c>
      <c r="Q182" s="44" t="str">
        <f t="shared" si="7"/>
        <v>syn BTCF7/BTCV6/BTCG7/BTCU6/BTCZ6</v>
      </c>
      <c r="R182" s="14">
        <f>'MKT DATA'!AB1215</f>
        <v>0</v>
      </c>
    </row>
    <row r="183" spans="5:18" x14ac:dyDescent="0.25">
      <c r="E183" s="44" t="str">
        <f>'MKT DATA'!B1216</f>
        <v>syn BTCF7/BTCV6/BTCG7/BTCX6/BTCZ6</v>
      </c>
      <c r="F183" s="14">
        <f>'MKT DATA'!J1216</f>
        <v>0</v>
      </c>
      <c r="G183" s="9">
        <f>'MKT DATA'!K1216</f>
        <v>0</v>
      </c>
      <c r="H183" s="9">
        <f>'MKT DATA'!L1216</f>
        <v>0</v>
      </c>
      <c r="I183" s="14">
        <f>'MKT DATA'!M1216</f>
        <v>0</v>
      </c>
      <c r="J183" s="44" t="str">
        <f t="shared" si="6"/>
        <v>syn BTCF7/BTCV6/BTCG7/BTCX6/BTCZ6</v>
      </c>
      <c r="K183" s="9">
        <f>'MKT DATA'!O1216</f>
        <v>0</v>
      </c>
      <c r="L183" s="9">
        <f>'MKT DATA'!P1216</f>
        <v>0</v>
      </c>
      <c r="M183" s="9">
        <f>'MKT DATA'!Q1216</f>
        <v>0</v>
      </c>
      <c r="N183" s="9">
        <f>'MKT DATA'!R1216</f>
        <v>0</v>
      </c>
      <c r="O183" s="9">
        <f>'MKT DATA'!S1216</f>
        <v>0</v>
      </c>
      <c r="P183" s="9">
        <f>'MKT DATA'!T1216</f>
        <v>0</v>
      </c>
      <c r="Q183" s="44" t="str">
        <f t="shared" si="7"/>
        <v>syn BTCF7/BTCV6/BTCG7/BTCX6/BTCZ6</v>
      </c>
      <c r="R183" s="14">
        <f>'MKT DATA'!AB1216</f>
        <v>0</v>
      </c>
    </row>
    <row r="184" spans="5:18" x14ac:dyDescent="0.25">
      <c r="E184" s="44" t="str">
        <f>'MKT DATA'!B1217</f>
        <v>syn BTCF7/BTCX6/BTCU6/BTCV6/BTCZ6</v>
      </c>
      <c r="F184" s="14">
        <f>'MKT DATA'!J1217</f>
        <v>0</v>
      </c>
      <c r="G184" s="9">
        <f>'MKT DATA'!K1217</f>
        <v>0</v>
      </c>
      <c r="H184" s="9">
        <f>'MKT DATA'!L1217</f>
        <v>0</v>
      </c>
      <c r="I184" s="14">
        <f>'MKT DATA'!M1217</f>
        <v>0</v>
      </c>
      <c r="J184" s="44" t="str">
        <f t="shared" si="6"/>
        <v>syn BTCF7/BTCX6/BTCU6/BTCV6/BTCZ6</v>
      </c>
      <c r="K184" s="9">
        <f>'MKT DATA'!O1217</f>
        <v>0</v>
      </c>
      <c r="L184" s="9">
        <f>'MKT DATA'!P1217</f>
        <v>0</v>
      </c>
      <c r="M184" s="9">
        <f>'MKT DATA'!Q1217</f>
        <v>0</v>
      </c>
      <c r="N184" s="9">
        <f>'MKT DATA'!R1217</f>
        <v>0</v>
      </c>
      <c r="O184" s="9">
        <f>'MKT DATA'!S1217</f>
        <v>0</v>
      </c>
      <c r="P184" s="9">
        <f>'MKT DATA'!T1217</f>
        <v>0</v>
      </c>
      <c r="Q184" s="44" t="str">
        <f t="shared" si="7"/>
        <v>syn BTCF7/BTCX6/BTCU6/BTCV6/BTCZ6</v>
      </c>
      <c r="R184" s="14">
        <f>'MKT DATA'!AB1217</f>
        <v>0</v>
      </c>
    </row>
    <row r="185" spans="5:18" x14ac:dyDescent="0.25">
      <c r="E185" s="44" t="str">
        <f>'MKT DATA'!B1218</f>
        <v>syn BTCF7/BTCX6/BTCU6/BTCG7/BTCZ6</v>
      </c>
      <c r="F185" s="14">
        <f>'MKT DATA'!J1218</f>
        <v>0</v>
      </c>
      <c r="G185" s="9">
        <f>'MKT DATA'!K1218</f>
        <v>0</v>
      </c>
      <c r="H185" s="9">
        <f>'MKT DATA'!L1218</f>
        <v>0</v>
      </c>
      <c r="I185" s="14">
        <f>'MKT DATA'!M1218</f>
        <v>0</v>
      </c>
      <c r="J185" s="44" t="str">
        <f t="shared" si="6"/>
        <v>syn BTCF7/BTCX6/BTCU6/BTCG7/BTCZ6</v>
      </c>
      <c r="K185" s="9">
        <f>'MKT DATA'!O1218</f>
        <v>0</v>
      </c>
      <c r="L185" s="9">
        <f>'MKT DATA'!P1218</f>
        <v>0</v>
      </c>
      <c r="M185" s="9">
        <f>'MKT DATA'!Q1218</f>
        <v>0</v>
      </c>
      <c r="N185" s="9">
        <f>'MKT DATA'!R1218</f>
        <v>0</v>
      </c>
      <c r="O185" s="9">
        <f>'MKT DATA'!S1218</f>
        <v>0</v>
      </c>
      <c r="P185" s="9">
        <f>'MKT DATA'!T1218</f>
        <v>0</v>
      </c>
      <c r="Q185" s="44" t="str">
        <f t="shared" si="7"/>
        <v>syn BTCF7/BTCX6/BTCU6/BTCG7/BTCZ6</v>
      </c>
      <c r="R185" s="14">
        <f>'MKT DATA'!AB1218</f>
        <v>0</v>
      </c>
    </row>
    <row r="186" spans="5:18" x14ac:dyDescent="0.25">
      <c r="E186" s="44" t="str">
        <f>'MKT DATA'!B1219</f>
        <v>syn BTCF7/BTCX6/BTCV6/BTCU6/BTCZ6</v>
      </c>
      <c r="F186" s="14">
        <f>'MKT DATA'!J1219</f>
        <v>0</v>
      </c>
      <c r="G186" s="9">
        <f>'MKT DATA'!K1219</f>
        <v>0</v>
      </c>
      <c r="H186" s="9">
        <f>'MKT DATA'!L1219</f>
        <v>0</v>
      </c>
      <c r="I186" s="14">
        <f>'MKT DATA'!M1219</f>
        <v>0</v>
      </c>
      <c r="J186" s="44" t="str">
        <f t="shared" si="6"/>
        <v>syn BTCF7/BTCX6/BTCV6/BTCU6/BTCZ6</v>
      </c>
      <c r="K186" s="9">
        <f>'MKT DATA'!O1219</f>
        <v>0</v>
      </c>
      <c r="L186" s="9">
        <f>'MKT DATA'!P1219</f>
        <v>0</v>
      </c>
      <c r="M186" s="9">
        <f>'MKT DATA'!Q1219</f>
        <v>0</v>
      </c>
      <c r="N186" s="9">
        <f>'MKT DATA'!R1219</f>
        <v>0</v>
      </c>
      <c r="O186" s="9">
        <f>'MKT DATA'!S1219</f>
        <v>0</v>
      </c>
      <c r="P186" s="9">
        <f>'MKT DATA'!T1219</f>
        <v>0</v>
      </c>
      <c r="Q186" s="44" t="str">
        <f t="shared" si="7"/>
        <v>syn BTCF7/BTCX6/BTCV6/BTCU6/BTCZ6</v>
      </c>
      <c r="R186" s="14">
        <f>'MKT DATA'!AB1219</f>
        <v>0</v>
      </c>
    </row>
    <row r="187" spans="5:18" x14ac:dyDescent="0.25">
      <c r="E187" s="44" t="str">
        <f>'MKT DATA'!B1220</f>
        <v>syn BTCF7/BTCX6/BTCV6/BTCG7/BTCZ6</v>
      </c>
      <c r="F187" s="14">
        <f>'MKT DATA'!J1220</f>
        <v>0</v>
      </c>
      <c r="G187" s="9">
        <f>'MKT DATA'!K1220</f>
        <v>0</v>
      </c>
      <c r="H187" s="9">
        <f>'MKT DATA'!L1220</f>
        <v>0</v>
      </c>
      <c r="I187" s="14">
        <f>'MKT DATA'!M1220</f>
        <v>0</v>
      </c>
      <c r="J187" s="44" t="str">
        <f t="shared" si="6"/>
        <v>syn BTCF7/BTCX6/BTCV6/BTCG7/BTCZ6</v>
      </c>
      <c r="K187" s="9">
        <f>'MKT DATA'!O1220</f>
        <v>0</v>
      </c>
      <c r="L187" s="9">
        <f>'MKT DATA'!P1220</f>
        <v>0</v>
      </c>
      <c r="M187" s="9">
        <f>'MKT DATA'!Q1220</f>
        <v>0</v>
      </c>
      <c r="N187" s="9">
        <f>'MKT DATA'!R1220</f>
        <v>0</v>
      </c>
      <c r="O187" s="9">
        <f>'MKT DATA'!S1220</f>
        <v>0</v>
      </c>
      <c r="P187" s="9">
        <f>'MKT DATA'!T1220</f>
        <v>0</v>
      </c>
      <c r="Q187" s="44" t="str">
        <f t="shared" si="7"/>
        <v>syn BTCF7/BTCX6/BTCV6/BTCG7/BTCZ6</v>
      </c>
      <c r="R187" s="14">
        <f>'MKT DATA'!AB1220</f>
        <v>0</v>
      </c>
    </row>
    <row r="188" spans="5:18" x14ac:dyDescent="0.25">
      <c r="E188" s="44" t="str">
        <f>'MKT DATA'!B1221</f>
        <v>syn BTCF7/BTCX6/BTCG7/BTCU6/BTCZ6</v>
      </c>
      <c r="F188" s="14">
        <f>'MKT DATA'!J1221</f>
        <v>0</v>
      </c>
      <c r="G188" s="9">
        <f>'MKT DATA'!K1221</f>
        <v>0</v>
      </c>
      <c r="H188" s="9">
        <f>'MKT DATA'!L1221</f>
        <v>0</v>
      </c>
      <c r="I188" s="14">
        <f>'MKT DATA'!M1221</f>
        <v>0</v>
      </c>
      <c r="J188" s="44" t="str">
        <f t="shared" si="6"/>
        <v>syn BTCF7/BTCX6/BTCG7/BTCU6/BTCZ6</v>
      </c>
      <c r="K188" s="9">
        <f>'MKT DATA'!O1221</f>
        <v>0</v>
      </c>
      <c r="L188" s="9">
        <f>'MKT DATA'!P1221</f>
        <v>0</v>
      </c>
      <c r="M188" s="9">
        <f>'MKT DATA'!Q1221</f>
        <v>0</v>
      </c>
      <c r="N188" s="9">
        <f>'MKT DATA'!R1221</f>
        <v>0</v>
      </c>
      <c r="O188" s="9">
        <f>'MKT DATA'!S1221</f>
        <v>0</v>
      </c>
      <c r="P188" s="9">
        <f>'MKT DATA'!T1221</f>
        <v>0</v>
      </c>
      <c r="Q188" s="44" t="str">
        <f t="shared" si="7"/>
        <v>syn BTCF7/BTCX6/BTCG7/BTCU6/BTCZ6</v>
      </c>
      <c r="R188" s="14">
        <f>'MKT DATA'!AB1221</f>
        <v>0</v>
      </c>
    </row>
    <row r="189" spans="5:18" x14ac:dyDescent="0.25">
      <c r="E189" s="44" t="str">
        <f>'MKT DATA'!B1222</f>
        <v>syn BTCF7/BTCX6/BTCG7/BTCV6/BTCZ6</v>
      </c>
      <c r="F189" s="14">
        <f>'MKT DATA'!J1222</f>
        <v>0</v>
      </c>
      <c r="G189" s="9">
        <f>'MKT DATA'!K1222</f>
        <v>0</v>
      </c>
      <c r="H189" s="9">
        <f>'MKT DATA'!L1222</f>
        <v>0</v>
      </c>
      <c r="I189" s="14">
        <f>'MKT DATA'!M1222</f>
        <v>0</v>
      </c>
      <c r="J189" s="44" t="str">
        <f t="shared" si="6"/>
        <v>syn BTCF7/BTCX6/BTCG7/BTCV6/BTCZ6</v>
      </c>
      <c r="K189" s="9">
        <f>'MKT DATA'!O1222</f>
        <v>0</v>
      </c>
      <c r="L189" s="9">
        <f>'MKT DATA'!P1222</f>
        <v>0</v>
      </c>
      <c r="M189" s="9">
        <f>'MKT DATA'!Q1222</f>
        <v>0</v>
      </c>
      <c r="N189" s="9">
        <f>'MKT DATA'!R1222</f>
        <v>0</v>
      </c>
      <c r="O189" s="9">
        <f>'MKT DATA'!S1222</f>
        <v>0</v>
      </c>
      <c r="P189" s="9">
        <f>'MKT DATA'!T1222</f>
        <v>0</v>
      </c>
      <c r="Q189" s="44" t="str">
        <f t="shared" si="7"/>
        <v>syn BTCF7/BTCX6/BTCG7/BTCV6/BTCZ6</v>
      </c>
      <c r="R189" s="14">
        <f>'MKT DATA'!AB1222</f>
        <v>0</v>
      </c>
    </row>
    <row r="190" spans="5:18" x14ac:dyDescent="0.25">
      <c r="E190" s="44" t="str">
        <f>'MKT DATA'!B1223</f>
        <v>syn BTCF7/BTCG7/BTCU6/BTCV6/BTCZ6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BTCF7/BTCG7/BTCU6/BTCV6/BTCZ6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BTCF7/BTCG7/BTCU6/BTCV6/BTCZ6</v>
      </c>
      <c r="R190" s="14">
        <f>'MKT DATA'!AB1223</f>
        <v>0</v>
      </c>
    </row>
    <row r="191" spans="5:18" x14ac:dyDescent="0.25">
      <c r="E191" s="44" t="str">
        <f>'MKT DATA'!B1224</f>
        <v>syn BTCF7/BTCG7/BTCU6/BTCX6/BTCZ6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BTCF7/BTCG7/BTCU6/BTCX6/BTCZ6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BTCF7/BTCG7/BTCU6/BTCX6/BTCZ6</v>
      </c>
      <c r="R191" s="14">
        <f>'MKT DATA'!AB1224</f>
        <v>0</v>
      </c>
    </row>
    <row r="192" spans="5:18" x14ac:dyDescent="0.25">
      <c r="E192" s="44" t="str">
        <f>'MKT DATA'!B1225</f>
        <v>syn BTCF7/BTCG7/BTCV6/BTCU6/BTCZ6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BTCF7/BTCG7/BTCV6/BTCU6/BTCZ6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BTCF7/BTCG7/BTCV6/BTCU6/BTCZ6</v>
      </c>
      <c r="R192" s="14">
        <f>'MKT DATA'!AB1225</f>
        <v>0</v>
      </c>
    </row>
    <row r="193" spans="5:18" x14ac:dyDescent="0.25">
      <c r="E193" s="44" t="str">
        <f>'MKT DATA'!B1226</f>
        <v>syn BTCF7/BTCG7/BTCV6/BTCX6/BTCZ6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BTCF7/BTCG7/BTCV6/BTCX6/BTCZ6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BTCF7/BTCG7/BTCV6/BTCX6/BTCZ6</v>
      </c>
      <c r="R193" s="14">
        <f>'MKT DATA'!AB1226</f>
        <v>0</v>
      </c>
    </row>
    <row r="194" spans="5:18" x14ac:dyDescent="0.25">
      <c r="E194" s="44" t="str">
        <f>'MKT DATA'!B1227</f>
        <v>syn BTCF7/BTCG7/BTCX6/BTCU6/BTCZ6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BTCF7/BTCG7/BTCX6/BTCU6/BTCZ6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BTCF7/BTCG7/BTCX6/BTCU6/BTCZ6</v>
      </c>
      <c r="R194" s="14">
        <f>'MKT DATA'!AB1227</f>
        <v>0</v>
      </c>
    </row>
    <row r="195" spans="5:18" x14ac:dyDescent="0.25">
      <c r="E195" s="44" t="str">
        <f>'MKT DATA'!B1228</f>
        <v>syn BTCF7/BTCG7/BTCX6/BTCV6/BTCZ6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BTCF7/BTCG7/BTCX6/BTCV6/BTCZ6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BTCF7/BTCG7/BTCX6/BTCV6/BTCZ6</v>
      </c>
      <c r="R195" s="14">
        <f>'MKT DATA'!AB1228</f>
        <v>0</v>
      </c>
    </row>
    <row r="196" spans="5:18" x14ac:dyDescent="0.25">
      <c r="E196" s="44" t="str">
        <f>'MKT DATA'!B1229</f>
        <v>syn BTCG7/BTCU6/BTCV6/BTCX6/BTCZ6</v>
      </c>
      <c r="F196" s="14">
        <f>'MKT DATA'!J1229</f>
        <v>0</v>
      </c>
      <c r="G196" s="9">
        <f>'MKT DATA'!K1229</f>
        <v>0</v>
      </c>
      <c r="H196" s="9">
        <f>'MKT DATA'!L1229</f>
        <v>0</v>
      </c>
      <c r="I196" s="14">
        <f>'MKT DATA'!M1229</f>
        <v>0</v>
      </c>
      <c r="J196" s="44" t="str">
        <f t="shared" si="6"/>
        <v>syn BTCG7/BTCU6/BTCV6/BTCX6/BTCZ6</v>
      </c>
      <c r="K196" s="9">
        <f>'MKT DATA'!O1229</f>
        <v>0</v>
      </c>
      <c r="L196" s="9">
        <f>'MKT DATA'!P1229</f>
        <v>0</v>
      </c>
      <c r="M196" s="9">
        <f>'MKT DATA'!Q1229</f>
        <v>0</v>
      </c>
      <c r="N196" s="9">
        <f>'MKT DATA'!R1229</f>
        <v>0</v>
      </c>
      <c r="O196" s="9">
        <f>'MKT DATA'!S1229</f>
        <v>0</v>
      </c>
      <c r="P196" s="9">
        <f>'MKT DATA'!T1229</f>
        <v>0</v>
      </c>
      <c r="Q196" s="44" t="str">
        <f t="shared" si="7"/>
        <v>syn BTCG7/BTCU6/BTCV6/BTCX6/BTCZ6</v>
      </c>
      <c r="R196" s="14">
        <f>'MKT DATA'!AB1229</f>
        <v>0</v>
      </c>
    </row>
    <row r="197" spans="5:18" x14ac:dyDescent="0.25">
      <c r="E197" s="44" t="str">
        <f>'MKT DATA'!B1230</f>
        <v>syn BTCG7/BTCU6/BTCV6/BTCF7/BTCZ6</v>
      </c>
      <c r="F197" s="14">
        <f>'MKT DATA'!J1230</f>
        <v>0</v>
      </c>
      <c r="G197" s="9">
        <f>'MKT DATA'!K1230</f>
        <v>0</v>
      </c>
      <c r="H197" s="9">
        <f>'MKT DATA'!L1230</f>
        <v>0</v>
      </c>
      <c r="I197" s="14">
        <f>'MKT DATA'!M1230</f>
        <v>0</v>
      </c>
      <c r="J197" s="44" t="str">
        <f t="shared" si="6"/>
        <v>syn BTCG7/BTCU6/BTCV6/BTCF7/BTCZ6</v>
      </c>
      <c r="K197" s="9">
        <f>'MKT DATA'!O1230</f>
        <v>0</v>
      </c>
      <c r="L197" s="9">
        <f>'MKT DATA'!P1230</f>
        <v>0</v>
      </c>
      <c r="M197" s="9">
        <f>'MKT DATA'!Q1230</f>
        <v>0</v>
      </c>
      <c r="N197" s="9">
        <f>'MKT DATA'!R1230</f>
        <v>0</v>
      </c>
      <c r="O197" s="9">
        <f>'MKT DATA'!S1230</f>
        <v>0</v>
      </c>
      <c r="P197" s="9">
        <f>'MKT DATA'!T1230</f>
        <v>0</v>
      </c>
      <c r="Q197" s="44" t="str">
        <f t="shared" si="7"/>
        <v>syn BTCG7/BTCU6/BTCV6/BTCF7/BTCZ6</v>
      </c>
      <c r="R197" s="14">
        <f>'MKT DATA'!AB1230</f>
        <v>0</v>
      </c>
    </row>
    <row r="198" spans="5:18" x14ac:dyDescent="0.25">
      <c r="E198" s="44" t="str">
        <f>'MKT DATA'!B1231</f>
        <v>syn BTCG7/BTCU6/BTCX6/BTCV6/BTCZ6</v>
      </c>
      <c r="F198" s="14">
        <f>'MKT DATA'!J1231</f>
        <v>0</v>
      </c>
      <c r="G198" s="9">
        <f>'MKT DATA'!K1231</f>
        <v>0</v>
      </c>
      <c r="H198" s="9">
        <f>'MKT DATA'!L1231</f>
        <v>0</v>
      </c>
      <c r="I198" s="14">
        <f>'MKT DATA'!M1231</f>
        <v>0</v>
      </c>
      <c r="J198" s="44" t="str">
        <f t="shared" si="6"/>
        <v>syn BTCG7/BTCU6/BTCX6/BTCV6/BTCZ6</v>
      </c>
      <c r="K198" s="9">
        <f>'MKT DATA'!O1231</f>
        <v>0</v>
      </c>
      <c r="L198" s="9">
        <f>'MKT DATA'!P1231</f>
        <v>0</v>
      </c>
      <c r="M198" s="9">
        <f>'MKT DATA'!Q1231</f>
        <v>0</v>
      </c>
      <c r="N198" s="9">
        <f>'MKT DATA'!R1231</f>
        <v>0</v>
      </c>
      <c r="O198" s="9">
        <f>'MKT DATA'!S1231</f>
        <v>0</v>
      </c>
      <c r="P198" s="9">
        <f>'MKT DATA'!T1231</f>
        <v>0</v>
      </c>
      <c r="Q198" s="44" t="str">
        <f t="shared" si="7"/>
        <v>syn BTCG7/BTCU6/BTCX6/BTCV6/BTCZ6</v>
      </c>
      <c r="R198" s="14">
        <f>'MKT DATA'!AB1231</f>
        <v>0</v>
      </c>
    </row>
    <row r="199" spans="5:18" x14ac:dyDescent="0.25">
      <c r="E199" s="44" t="str">
        <f>'MKT DATA'!B1232</f>
        <v>syn BTCG7/BTCU6/BTCX6/BTCF7/BTCZ6</v>
      </c>
      <c r="F199" s="14">
        <f>'MKT DATA'!J1232</f>
        <v>0</v>
      </c>
      <c r="G199" s="9">
        <f>'MKT DATA'!K1232</f>
        <v>0</v>
      </c>
      <c r="H199" s="9">
        <f>'MKT DATA'!L1232</f>
        <v>0</v>
      </c>
      <c r="I199" s="14">
        <f>'MKT DATA'!M1232</f>
        <v>0</v>
      </c>
      <c r="J199" s="44" t="str">
        <f t="shared" si="6"/>
        <v>syn BTCG7/BTCU6/BTCX6/BTCF7/BTCZ6</v>
      </c>
      <c r="K199" s="9">
        <f>'MKT DATA'!O1232</f>
        <v>0</v>
      </c>
      <c r="L199" s="9">
        <f>'MKT DATA'!P1232</f>
        <v>0</v>
      </c>
      <c r="M199" s="9">
        <f>'MKT DATA'!Q1232</f>
        <v>0</v>
      </c>
      <c r="N199" s="9">
        <f>'MKT DATA'!R1232</f>
        <v>0</v>
      </c>
      <c r="O199" s="9">
        <f>'MKT DATA'!S1232</f>
        <v>0</v>
      </c>
      <c r="P199" s="9">
        <f>'MKT DATA'!T1232</f>
        <v>0</v>
      </c>
      <c r="Q199" s="44" t="str">
        <f t="shared" si="7"/>
        <v>syn BTCG7/BTCU6/BTCX6/BTCF7/BTCZ6</v>
      </c>
      <c r="R199" s="14">
        <f>'MKT DATA'!AB1232</f>
        <v>0</v>
      </c>
    </row>
    <row r="200" spans="5:18" x14ac:dyDescent="0.25">
      <c r="E200" s="44" t="str">
        <f>'MKT DATA'!B1233</f>
        <v>syn BTCG7/BTCU6/BTCF7/BTCV6/BTCZ6</v>
      </c>
      <c r="F200" s="14">
        <f>'MKT DATA'!J1233</f>
        <v>0</v>
      </c>
      <c r="G200" s="9">
        <f>'MKT DATA'!K1233</f>
        <v>0</v>
      </c>
      <c r="H200" s="9">
        <f>'MKT DATA'!L1233</f>
        <v>0</v>
      </c>
      <c r="I200" s="14">
        <f>'MKT DATA'!M1233</f>
        <v>0</v>
      </c>
      <c r="J200" s="44" t="str">
        <f t="shared" si="6"/>
        <v>syn BTCG7/BTCU6/BTCF7/BTCV6/BTCZ6</v>
      </c>
      <c r="K200" s="9">
        <f>'MKT DATA'!O1233</f>
        <v>0</v>
      </c>
      <c r="L200" s="9">
        <f>'MKT DATA'!P1233</f>
        <v>0</v>
      </c>
      <c r="M200" s="9">
        <f>'MKT DATA'!Q1233</f>
        <v>0</v>
      </c>
      <c r="N200" s="9">
        <f>'MKT DATA'!R1233</f>
        <v>0</v>
      </c>
      <c r="O200" s="9">
        <f>'MKT DATA'!S1233</f>
        <v>0</v>
      </c>
      <c r="P200" s="9">
        <f>'MKT DATA'!T1233</f>
        <v>0</v>
      </c>
      <c r="Q200" s="44" t="str">
        <f t="shared" si="7"/>
        <v>syn BTCG7/BTCU6/BTCF7/BTCV6/BTCZ6</v>
      </c>
      <c r="R200" s="14">
        <f>'MKT DATA'!AB1233</f>
        <v>0</v>
      </c>
    </row>
    <row r="201" spans="5:18" x14ac:dyDescent="0.25">
      <c r="E201" s="44" t="str">
        <f>'MKT DATA'!B1234</f>
        <v>syn BTCG7/BTCU6/BTCF7/BTCX6/BTCZ6</v>
      </c>
      <c r="F201" s="14">
        <f>'MKT DATA'!J1234</f>
        <v>0</v>
      </c>
      <c r="G201" s="9">
        <f>'MKT DATA'!K1234</f>
        <v>0</v>
      </c>
      <c r="H201" s="9">
        <f>'MKT DATA'!L1234</f>
        <v>0</v>
      </c>
      <c r="I201" s="14">
        <f>'MKT DATA'!M1234</f>
        <v>0</v>
      </c>
      <c r="J201" s="44" t="str">
        <f t="shared" si="6"/>
        <v>syn BTCG7/BTCU6/BTCF7/BTCX6/BTCZ6</v>
      </c>
      <c r="K201" s="9">
        <f>'MKT DATA'!O1234</f>
        <v>0</v>
      </c>
      <c r="L201" s="9">
        <f>'MKT DATA'!P1234</f>
        <v>0</v>
      </c>
      <c r="M201" s="9">
        <f>'MKT DATA'!Q1234</f>
        <v>0</v>
      </c>
      <c r="N201" s="9">
        <f>'MKT DATA'!R1234</f>
        <v>0</v>
      </c>
      <c r="O201" s="9">
        <f>'MKT DATA'!S1234</f>
        <v>0</v>
      </c>
      <c r="P201" s="9">
        <f>'MKT DATA'!T1234</f>
        <v>0</v>
      </c>
      <c r="Q201" s="44" t="str">
        <f t="shared" si="7"/>
        <v>syn BTCG7/BTCU6/BTCF7/BTCX6/BTCZ6</v>
      </c>
      <c r="R201" s="14">
        <f>'MKT DATA'!AB1234</f>
        <v>0</v>
      </c>
    </row>
    <row r="202" spans="5:18" x14ac:dyDescent="0.25">
      <c r="E202" s="44" t="str">
        <f>'MKT DATA'!B1235</f>
        <v>syn BTCG7/BTCV6/BTCU6/BTCX6/BTCZ6</v>
      </c>
      <c r="F202" s="14">
        <f>'MKT DATA'!J1235</f>
        <v>0</v>
      </c>
      <c r="G202" s="9">
        <f>'MKT DATA'!K1235</f>
        <v>0</v>
      </c>
      <c r="H202" s="9">
        <f>'MKT DATA'!L1235</f>
        <v>0</v>
      </c>
      <c r="I202" s="14">
        <f>'MKT DATA'!M1235</f>
        <v>0</v>
      </c>
      <c r="J202" s="44" t="str">
        <f t="shared" ref="J202:J265" si="8">E202</f>
        <v>syn BTCG7/BTCV6/BTCU6/BTCX6/BTCZ6</v>
      </c>
      <c r="K202" s="9">
        <f>'MKT DATA'!O1235</f>
        <v>0</v>
      </c>
      <c r="L202" s="9">
        <f>'MKT DATA'!P1235</f>
        <v>0</v>
      </c>
      <c r="M202" s="9">
        <f>'MKT DATA'!Q1235</f>
        <v>0</v>
      </c>
      <c r="N202" s="9">
        <f>'MKT DATA'!R1235</f>
        <v>0</v>
      </c>
      <c r="O202" s="9">
        <f>'MKT DATA'!S1235</f>
        <v>0</v>
      </c>
      <c r="P202" s="9">
        <f>'MKT DATA'!T1235</f>
        <v>0</v>
      </c>
      <c r="Q202" s="44" t="str">
        <f t="shared" ref="Q202:Q265" si="9">J202</f>
        <v>syn BTCG7/BTCV6/BTCU6/BTCX6/BTCZ6</v>
      </c>
      <c r="R202" s="14">
        <f>'MKT DATA'!AB1235</f>
        <v>0</v>
      </c>
    </row>
    <row r="203" spans="5:18" x14ac:dyDescent="0.25">
      <c r="E203" s="44" t="str">
        <f>'MKT DATA'!B1236</f>
        <v>syn BTCG7/BTCV6/BTCU6/BTCF7/BTCZ6</v>
      </c>
      <c r="F203" s="14">
        <f>'MKT DATA'!J1236</f>
        <v>0</v>
      </c>
      <c r="G203" s="9">
        <f>'MKT DATA'!K1236</f>
        <v>0</v>
      </c>
      <c r="H203" s="9">
        <f>'MKT DATA'!L1236</f>
        <v>0</v>
      </c>
      <c r="I203" s="14">
        <f>'MKT DATA'!M1236</f>
        <v>0</v>
      </c>
      <c r="J203" s="44" t="str">
        <f t="shared" si="8"/>
        <v>syn BTCG7/BTCV6/BTCU6/BTCF7/BTCZ6</v>
      </c>
      <c r="K203" s="9">
        <f>'MKT DATA'!O1236</f>
        <v>0</v>
      </c>
      <c r="L203" s="9">
        <f>'MKT DATA'!P1236</f>
        <v>0</v>
      </c>
      <c r="M203" s="9">
        <f>'MKT DATA'!Q1236</f>
        <v>0</v>
      </c>
      <c r="N203" s="9">
        <f>'MKT DATA'!R1236</f>
        <v>0</v>
      </c>
      <c r="O203" s="9">
        <f>'MKT DATA'!S1236</f>
        <v>0</v>
      </c>
      <c r="P203" s="9">
        <f>'MKT DATA'!T1236</f>
        <v>0</v>
      </c>
      <c r="Q203" s="44" t="str">
        <f t="shared" si="9"/>
        <v>syn BTCG7/BTCV6/BTCU6/BTCF7/BTCZ6</v>
      </c>
      <c r="R203" s="14">
        <f>'MKT DATA'!AB1236</f>
        <v>0</v>
      </c>
    </row>
    <row r="204" spans="5:18" x14ac:dyDescent="0.25">
      <c r="E204" s="44" t="str">
        <f>'MKT DATA'!B1237</f>
        <v>syn BTCG7/BTCV6/BTCX6/BTCU6/BTCZ6</v>
      </c>
      <c r="F204" s="14">
        <f>'MKT DATA'!J1237</f>
        <v>0</v>
      </c>
      <c r="G204" s="9">
        <f>'MKT DATA'!K1237</f>
        <v>0</v>
      </c>
      <c r="H204" s="9">
        <f>'MKT DATA'!L1237</f>
        <v>0</v>
      </c>
      <c r="I204" s="14">
        <f>'MKT DATA'!M1237</f>
        <v>0</v>
      </c>
      <c r="J204" s="44" t="str">
        <f t="shared" si="8"/>
        <v>syn BTCG7/BTCV6/BTCX6/BTCU6/BTCZ6</v>
      </c>
      <c r="K204" s="9">
        <f>'MKT DATA'!O1237</f>
        <v>0</v>
      </c>
      <c r="L204" s="9">
        <f>'MKT DATA'!P1237</f>
        <v>0</v>
      </c>
      <c r="M204" s="9">
        <f>'MKT DATA'!Q1237</f>
        <v>0</v>
      </c>
      <c r="N204" s="9">
        <f>'MKT DATA'!R1237</f>
        <v>0</v>
      </c>
      <c r="O204" s="9">
        <f>'MKT DATA'!S1237</f>
        <v>0</v>
      </c>
      <c r="P204" s="9">
        <f>'MKT DATA'!T1237</f>
        <v>0</v>
      </c>
      <c r="Q204" s="44" t="str">
        <f t="shared" si="9"/>
        <v>syn BTCG7/BTCV6/BTCX6/BTCU6/BTCZ6</v>
      </c>
      <c r="R204" s="14">
        <f>'MKT DATA'!AB1237</f>
        <v>0</v>
      </c>
    </row>
    <row r="205" spans="5:18" x14ac:dyDescent="0.25">
      <c r="E205" s="44" t="str">
        <f>'MKT DATA'!B1238</f>
        <v>syn BTCG7/BTCV6/BTCX6/BTCF7/BTCZ6</v>
      </c>
      <c r="F205" s="14">
        <f>'MKT DATA'!J1238</f>
        <v>0</v>
      </c>
      <c r="G205" s="9">
        <f>'MKT DATA'!K1238</f>
        <v>0</v>
      </c>
      <c r="H205" s="9">
        <f>'MKT DATA'!L1238</f>
        <v>0</v>
      </c>
      <c r="I205" s="14">
        <f>'MKT DATA'!M1238</f>
        <v>0</v>
      </c>
      <c r="J205" s="44" t="str">
        <f t="shared" si="8"/>
        <v>syn BTCG7/BTCV6/BTCX6/BTCF7/BTCZ6</v>
      </c>
      <c r="K205" s="9">
        <f>'MKT DATA'!O1238</f>
        <v>0</v>
      </c>
      <c r="L205" s="9">
        <f>'MKT DATA'!P1238</f>
        <v>0</v>
      </c>
      <c r="M205" s="9">
        <f>'MKT DATA'!Q1238</f>
        <v>0</v>
      </c>
      <c r="N205" s="9">
        <f>'MKT DATA'!R1238</f>
        <v>0</v>
      </c>
      <c r="O205" s="9">
        <f>'MKT DATA'!S1238</f>
        <v>0</v>
      </c>
      <c r="P205" s="9">
        <f>'MKT DATA'!T1238</f>
        <v>0</v>
      </c>
      <c r="Q205" s="44" t="str">
        <f t="shared" si="9"/>
        <v>syn BTCG7/BTCV6/BTCX6/BTCF7/BTCZ6</v>
      </c>
      <c r="R205" s="14">
        <f>'MKT DATA'!AB1238</f>
        <v>0</v>
      </c>
    </row>
    <row r="206" spans="5:18" x14ac:dyDescent="0.25">
      <c r="E206" s="44" t="str">
        <f>'MKT DATA'!B1239</f>
        <v>syn BTCG7/BTCV6/BTCF7/BTCU6/BTCZ6</v>
      </c>
      <c r="F206" s="14">
        <f>'MKT DATA'!J1239</f>
        <v>0</v>
      </c>
      <c r="G206" s="9">
        <f>'MKT DATA'!K1239</f>
        <v>0</v>
      </c>
      <c r="H206" s="9">
        <f>'MKT DATA'!L1239</f>
        <v>0</v>
      </c>
      <c r="I206" s="14">
        <f>'MKT DATA'!M1239</f>
        <v>0</v>
      </c>
      <c r="J206" s="44" t="str">
        <f t="shared" si="8"/>
        <v>syn BTCG7/BTCV6/BTCF7/BTCU6/BTCZ6</v>
      </c>
      <c r="K206" s="9">
        <f>'MKT DATA'!O1239</f>
        <v>0</v>
      </c>
      <c r="L206" s="9">
        <f>'MKT DATA'!P1239</f>
        <v>0</v>
      </c>
      <c r="M206" s="9">
        <f>'MKT DATA'!Q1239</f>
        <v>0</v>
      </c>
      <c r="N206" s="9">
        <f>'MKT DATA'!R1239</f>
        <v>0</v>
      </c>
      <c r="O206" s="9">
        <f>'MKT DATA'!S1239</f>
        <v>0</v>
      </c>
      <c r="P206" s="9">
        <f>'MKT DATA'!T1239</f>
        <v>0</v>
      </c>
      <c r="Q206" s="44" t="str">
        <f t="shared" si="9"/>
        <v>syn BTCG7/BTCV6/BTCF7/BTCU6/BTCZ6</v>
      </c>
      <c r="R206" s="14">
        <f>'MKT DATA'!AB1239</f>
        <v>0</v>
      </c>
    </row>
    <row r="207" spans="5:18" x14ac:dyDescent="0.25">
      <c r="E207" s="44" t="str">
        <f>'MKT DATA'!B1240</f>
        <v>syn BTCG7/BTCV6/BTCF7/BTCX6/BTCZ6</v>
      </c>
      <c r="F207" s="14">
        <f>'MKT DATA'!J1240</f>
        <v>0</v>
      </c>
      <c r="G207" s="9">
        <f>'MKT DATA'!K1240</f>
        <v>0</v>
      </c>
      <c r="H207" s="9">
        <f>'MKT DATA'!L1240</f>
        <v>0</v>
      </c>
      <c r="I207" s="14">
        <f>'MKT DATA'!M1240</f>
        <v>0</v>
      </c>
      <c r="J207" s="44" t="str">
        <f t="shared" si="8"/>
        <v>syn BTCG7/BTCV6/BTCF7/BTCX6/BTCZ6</v>
      </c>
      <c r="K207" s="9">
        <f>'MKT DATA'!O1240</f>
        <v>0</v>
      </c>
      <c r="L207" s="9">
        <f>'MKT DATA'!P1240</f>
        <v>0</v>
      </c>
      <c r="M207" s="9">
        <f>'MKT DATA'!Q1240</f>
        <v>0</v>
      </c>
      <c r="N207" s="9">
        <f>'MKT DATA'!R1240</f>
        <v>0</v>
      </c>
      <c r="O207" s="9">
        <f>'MKT DATA'!S1240</f>
        <v>0</v>
      </c>
      <c r="P207" s="9">
        <f>'MKT DATA'!T1240</f>
        <v>0</v>
      </c>
      <c r="Q207" s="44" t="str">
        <f t="shared" si="9"/>
        <v>syn BTCG7/BTCV6/BTCF7/BTCX6/BTCZ6</v>
      </c>
      <c r="R207" s="14">
        <f>'MKT DATA'!AB1240</f>
        <v>0</v>
      </c>
    </row>
    <row r="208" spans="5:18" x14ac:dyDescent="0.25">
      <c r="E208" s="44" t="str">
        <f>'MKT DATA'!B1241</f>
        <v>syn BTCG7/BTCX6/BTCU6/BTCV6/BTCZ6</v>
      </c>
      <c r="F208" s="14">
        <f>'MKT DATA'!J1241</f>
        <v>0</v>
      </c>
      <c r="G208" s="9">
        <f>'MKT DATA'!K1241</f>
        <v>0</v>
      </c>
      <c r="H208" s="9">
        <f>'MKT DATA'!L1241</f>
        <v>0</v>
      </c>
      <c r="I208" s="14">
        <f>'MKT DATA'!M1241</f>
        <v>0</v>
      </c>
      <c r="J208" s="44" t="str">
        <f t="shared" si="8"/>
        <v>syn BTCG7/BTCX6/BTCU6/BTCV6/BTCZ6</v>
      </c>
      <c r="K208" s="9">
        <f>'MKT DATA'!O1241</f>
        <v>0</v>
      </c>
      <c r="L208" s="9">
        <f>'MKT DATA'!P1241</f>
        <v>0</v>
      </c>
      <c r="M208" s="9">
        <f>'MKT DATA'!Q1241</f>
        <v>0</v>
      </c>
      <c r="N208" s="9">
        <f>'MKT DATA'!R1241</f>
        <v>0</v>
      </c>
      <c r="O208" s="9">
        <f>'MKT DATA'!S1241</f>
        <v>0</v>
      </c>
      <c r="P208" s="9">
        <f>'MKT DATA'!T1241</f>
        <v>0</v>
      </c>
      <c r="Q208" s="44" t="str">
        <f t="shared" si="9"/>
        <v>syn BTCG7/BTCX6/BTCU6/BTCV6/BTCZ6</v>
      </c>
      <c r="R208" s="14">
        <f>'MKT DATA'!AB1241</f>
        <v>0</v>
      </c>
    </row>
    <row r="209" spans="5:18" x14ac:dyDescent="0.25">
      <c r="E209" s="44" t="str">
        <f>'MKT DATA'!B1242</f>
        <v>syn BTCG7/BTCX6/BTCU6/BTCF7/BTCZ6</v>
      </c>
      <c r="F209" s="14">
        <f>'MKT DATA'!J1242</f>
        <v>0</v>
      </c>
      <c r="G209" s="9">
        <f>'MKT DATA'!K1242</f>
        <v>0</v>
      </c>
      <c r="H209" s="9">
        <f>'MKT DATA'!L1242</f>
        <v>0</v>
      </c>
      <c r="I209" s="14">
        <f>'MKT DATA'!M1242</f>
        <v>0</v>
      </c>
      <c r="J209" s="44" t="str">
        <f t="shared" si="8"/>
        <v>syn BTCG7/BTCX6/BTCU6/BTCF7/BTCZ6</v>
      </c>
      <c r="K209" s="9">
        <f>'MKT DATA'!O1242</f>
        <v>0</v>
      </c>
      <c r="L209" s="9">
        <f>'MKT DATA'!P1242</f>
        <v>0</v>
      </c>
      <c r="M209" s="9">
        <f>'MKT DATA'!Q1242</f>
        <v>0</v>
      </c>
      <c r="N209" s="9">
        <f>'MKT DATA'!R1242</f>
        <v>0</v>
      </c>
      <c r="O209" s="9">
        <f>'MKT DATA'!S1242</f>
        <v>0</v>
      </c>
      <c r="P209" s="9">
        <f>'MKT DATA'!T1242</f>
        <v>0</v>
      </c>
      <c r="Q209" s="44" t="str">
        <f t="shared" si="9"/>
        <v>syn BTCG7/BTCX6/BTCU6/BTCF7/BTCZ6</v>
      </c>
      <c r="R209" s="14">
        <f>'MKT DATA'!AB1242</f>
        <v>0</v>
      </c>
    </row>
    <row r="210" spans="5:18" x14ac:dyDescent="0.25">
      <c r="E210" s="44" t="str">
        <f>'MKT DATA'!B1243</f>
        <v>syn BTCG7/BTCX6/BTCV6/BTCU6/BTCZ6</v>
      </c>
      <c r="F210" s="14">
        <f>'MKT DATA'!J1243</f>
        <v>0</v>
      </c>
      <c r="G210" s="9">
        <f>'MKT DATA'!K1243</f>
        <v>0</v>
      </c>
      <c r="H210" s="9">
        <f>'MKT DATA'!L1243</f>
        <v>0</v>
      </c>
      <c r="I210" s="14">
        <f>'MKT DATA'!M1243</f>
        <v>0</v>
      </c>
      <c r="J210" s="44" t="str">
        <f t="shared" si="8"/>
        <v>syn BTCG7/BTCX6/BTCV6/BTCU6/BTCZ6</v>
      </c>
      <c r="K210" s="9">
        <f>'MKT DATA'!O1243</f>
        <v>0</v>
      </c>
      <c r="L210" s="9">
        <f>'MKT DATA'!P1243</f>
        <v>0</v>
      </c>
      <c r="M210" s="9">
        <f>'MKT DATA'!Q1243</f>
        <v>0</v>
      </c>
      <c r="N210" s="9">
        <f>'MKT DATA'!R1243</f>
        <v>0</v>
      </c>
      <c r="O210" s="9">
        <f>'MKT DATA'!S1243</f>
        <v>0</v>
      </c>
      <c r="P210" s="9">
        <f>'MKT DATA'!T1243</f>
        <v>0</v>
      </c>
      <c r="Q210" s="44" t="str">
        <f t="shared" si="9"/>
        <v>syn BTCG7/BTCX6/BTCV6/BTCU6/BTCZ6</v>
      </c>
      <c r="R210" s="14">
        <f>'MKT DATA'!AB1243</f>
        <v>0</v>
      </c>
    </row>
    <row r="211" spans="5:18" x14ac:dyDescent="0.25">
      <c r="E211" s="44" t="str">
        <f>'MKT DATA'!B1244</f>
        <v>syn BTCG7/BTCX6/BTCV6/BTCF7/BTCZ6</v>
      </c>
      <c r="F211" s="14">
        <f>'MKT DATA'!J1244</f>
        <v>0</v>
      </c>
      <c r="G211" s="9">
        <f>'MKT DATA'!K1244</f>
        <v>0</v>
      </c>
      <c r="H211" s="9">
        <f>'MKT DATA'!L1244</f>
        <v>0</v>
      </c>
      <c r="I211" s="14">
        <f>'MKT DATA'!M1244</f>
        <v>0</v>
      </c>
      <c r="J211" s="44" t="str">
        <f t="shared" si="8"/>
        <v>syn BTCG7/BTCX6/BTCV6/BTCF7/BTCZ6</v>
      </c>
      <c r="K211" s="9">
        <f>'MKT DATA'!O1244</f>
        <v>0</v>
      </c>
      <c r="L211" s="9">
        <f>'MKT DATA'!P1244</f>
        <v>0</v>
      </c>
      <c r="M211" s="9">
        <f>'MKT DATA'!Q1244</f>
        <v>0</v>
      </c>
      <c r="N211" s="9">
        <f>'MKT DATA'!R1244</f>
        <v>0</v>
      </c>
      <c r="O211" s="9">
        <f>'MKT DATA'!S1244</f>
        <v>0</v>
      </c>
      <c r="P211" s="9">
        <f>'MKT DATA'!T1244</f>
        <v>0</v>
      </c>
      <c r="Q211" s="44" t="str">
        <f t="shared" si="9"/>
        <v>syn BTCG7/BTCX6/BTCV6/BTCF7/BTCZ6</v>
      </c>
      <c r="R211" s="14">
        <f>'MKT DATA'!AB1244</f>
        <v>0</v>
      </c>
    </row>
    <row r="212" spans="5:18" x14ac:dyDescent="0.25">
      <c r="E212" s="44" t="str">
        <f>'MKT DATA'!B1245</f>
        <v>syn BTCG7/BTCX6/BTCF7/BTCU6/BTCZ6</v>
      </c>
      <c r="F212" s="14">
        <f>'MKT DATA'!J1245</f>
        <v>0</v>
      </c>
      <c r="G212" s="9">
        <f>'MKT DATA'!K1245</f>
        <v>0</v>
      </c>
      <c r="H212" s="9">
        <f>'MKT DATA'!L1245</f>
        <v>0</v>
      </c>
      <c r="I212" s="14">
        <f>'MKT DATA'!M1245</f>
        <v>0</v>
      </c>
      <c r="J212" s="44" t="str">
        <f t="shared" si="8"/>
        <v>syn BTCG7/BTCX6/BTCF7/BTCU6/BTCZ6</v>
      </c>
      <c r="K212" s="9">
        <f>'MKT DATA'!O1245</f>
        <v>0</v>
      </c>
      <c r="L212" s="9">
        <f>'MKT DATA'!P1245</f>
        <v>0</v>
      </c>
      <c r="M212" s="9">
        <f>'MKT DATA'!Q1245</f>
        <v>0</v>
      </c>
      <c r="N212" s="9">
        <f>'MKT DATA'!R1245</f>
        <v>0</v>
      </c>
      <c r="O212" s="9">
        <f>'MKT DATA'!S1245</f>
        <v>0</v>
      </c>
      <c r="P212" s="9">
        <f>'MKT DATA'!T1245</f>
        <v>0</v>
      </c>
      <c r="Q212" s="44" t="str">
        <f t="shared" si="9"/>
        <v>syn BTCG7/BTCX6/BTCF7/BTCU6/BTCZ6</v>
      </c>
      <c r="R212" s="14">
        <f>'MKT DATA'!AB1245</f>
        <v>0</v>
      </c>
    </row>
    <row r="213" spans="5:18" x14ac:dyDescent="0.25">
      <c r="E213" s="44" t="str">
        <f>'MKT DATA'!B1246</f>
        <v>syn BTCG7/BTCX6/BTCF7/BTCV6/BTCZ6</v>
      </c>
      <c r="F213" s="14">
        <f>'MKT DATA'!J1246</f>
        <v>0</v>
      </c>
      <c r="G213" s="9">
        <f>'MKT DATA'!K1246</f>
        <v>0</v>
      </c>
      <c r="H213" s="9">
        <f>'MKT DATA'!L1246</f>
        <v>0</v>
      </c>
      <c r="I213" s="14">
        <f>'MKT DATA'!M1246</f>
        <v>0</v>
      </c>
      <c r="J213" s="44" t="str">
        <f t="shared" si="8"/>
        <v>syn BTCG7/BTCX6/BTCF7/BTCV6/BTCZ6</v>
      </c>
      <c r="K213" s="9">
        <f>'MKT DATA'!O1246</f>
        <v>0</v>
      </c>
      <c r="L213" s="9">
        <f>'MKT DATA'!P1246</f>
        <v>0</v>
      </c>
      <c r="M213" s="9">
        <f>'MKT DATA'!Q1246</f>
        <v>0</v>
      </c>
      <c r="N213" s="9">
        <f>'MKT DATA'!R1246</f>
        <v>0</v>
      </c>
      <c r="O213" s="9">
        <f>'MKT DATA'!S1246</f>
        <v>0</v>
      </c>
      <c r="P213" s="9">
        <f>'MKT DATA'!T1246</f>
        <v>0</v>
      </c>
      <c r="Q213" s="44" t="str">
        <f t="shared" si="9"/>
        <v>syn BTCG7/BTCX6/BTCF7/BTCV6/BTCZ6</v>
      </c>
      <c r="R213" s="14">
        <f>'MKT DATA'!AB1246</f>
        <v>0</v>
      </c>
    </row>
    <row r="214" spans="5:18" x14ac:dyDescent="0.25">
      <c r="E214" s="44" t="str">
        <f>'MKT DATA'!B1247</f>
        <v>syn BTCG7/BTCF7/BTCU6/BTCV6/BTCZ6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BTCG7/BTCF7/BTCU6/BTCV6/BTCZ6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BTCG7/BTCF7/BTCU6/BTCV6/BTCZ6</v>
      </c>
      <c r="R214" s="14">
        <f>'MKT DATA'!AB1247</f>
        <v>0</v>
      </c>
    </row>
    <row r="215" spans="5:18" x14ac:dyDescent="0.25">
      <c r="E215" s="44" t="str">
        <f>'MKT DATA'!B1248</f>
        <v>syn BTCG7/BTCF7/BTCU6/BTCX6/BTCZ6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BTCG7/BTCF7/BTCU6/BTCX6/BTCZ6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BTCG7/BTCF7/BTCU6/BTCX6/BTCZ6</v>
      </c>
      <c r="R215" s="14">
        <f>'MKT DATA'!AB1248</f>
        <v>0</v>
      </c>
    </row>
    <row r="216" spans="5:18" x14ac:dyDescent="0.25">
      <c r="E216" s="44" t="str">
        <f>'MKT DATA'!B1249</f>
        <v>syn BTCG7/BTCF7/BTCV6/BTCU6/BTCZ6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BTCG7/BTCF7/BTCV6/BTCU6/BTCZ6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BTCG7/BTCF7/BTCV6/BTCU6/BTCZ6</v>
      </c>
      <c r="R216" s="14">
        <f>'MKT DATA'!AB1249</f>
        <v>0</v>
      </c>
    </row>
    <row r="217" spans="5:18" x14ac:dyDescent="0.25">
      <c r="E217" s="44" t="str">
        <f>'MKT DATA'!B1250</f>
        <v>syn BTCG7/BTCF7/BTCV6/BTCX6/BTCZ6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BTCG7/BTCF7/BTCV6/BTCX6/BTCZ6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BTCG7/BTCF7/BTCV6/BTCX6/BTCZ6</v>
      </c>
      <c r="R217" s="14">
        <f>'MKT DATA'!AB1250</f>
        <v>0</v>
      </c>
    </row>
    <row r="218" spans="5:18" x14ac:dyDescent="0.25">
      <c r="E218" s="44" t="str">
        <f>'MKT DATA'!B1251</f>
        <v>syn BTCG7/BTCF7/BTCX6/BTCU6/BTCZ6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BTCG7/BTCF7/BTCX6/BTCU6/BTCZ6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BTCG7/BTCF7/BTCX6/BTCU6/BTCZ6</v>
      </c>
      <c r="R218" s="14">
        <f>'MKT DATA'!AB1251</f>
        <v>0</v>
      </c>
    </row>
    <row r="219" spans="5:18" x14ac:dyDescent="0.25">
      <c r="E219" s="44" t="str">
        <f>'MKT DATA'!B1252</f>
        <v>syn BTCG7/BTCF7/BTCX6/BTCV6/BTCZ6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BTCG7/BTCF7/BTCX6/BTCV6/BTCZ6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BTCG7/BTCF7/BTCX6/BTCV6/BTCZ6</v>
      </c>
      <c r="R219" s="14">
        <f>'MKT DATA'!AB1252</f>
        <v>0</v>
      </c>
    </row>
    <row r="220" spans="5:18" x14ac:dyDescent="0.25">
      <c r="E220" s="44" t="str">
        <f>'MKT DATA'!B1253</f>
        <v>syn BTCU6/BTCV6/BTCX6/BTCF7/BTCG7/BTCZ6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BTCU6/BTCV6/BTCX6/BTCF7/BTCG7/BTCZ6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BTCU6/BTCV6/BTCX6/BTCF7/BTCG7/BTCZ6</v>
      </c>
      <c r="R220" s="14">
        <f>'MKT DATA'!AB1253</f>
        <v>0</v>
      </c>
    </row>
    <row r="221" spans="5:18" x14ac:dyDescent="0.25">
      <c r="E221" s="44" t="str">
        <f>'MKT DATA'!B1254</f>
        <v>syn BTCU6/BTCV6/BTCX6/BTCG7/BTCF7/BTCZ6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BTCU6/BTCV6/BTCX6/BTCG7/BTCF7/BTCZ6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BTCU6/BTCV6/BTCX6/BTCG7/BTCF7/BTCZ6</v>
      </c>
      <c r="R221" s="14">
        <f>'MKT DATA'!AB1254</f>
        <v>0</v>
      </c>
    </row>
    <row r="222" spans="5:18" x14ac:dyDescent="0.25">
      <c r="E222" s="44" t="str">
        <f>'MKT DATA'!B1255</f>
        <v>syn BTCU6/BTCV6/BTCF7/BTCX6/BTCG7/BTCZ6</v>
      </c>
      <c r="F222" s="14">
        <f>'MKT DATA'!J1255</f>
        <v>0</v>
      </c>
      <c r="G222" s="9">
        <f>'MKT DATA'!K1255</f>
        <v>0</v>
      </c>
      <c r="H222" s="9">
        <f>'MKT DATA'!L1255</f>
        <v>0</v>
      </c>
      <c r="I222" s="14">
        <f>'MKT DATA'!M1255</f>
        <v>0</v>
      </c>
      <c r="J222" s="44" t="str">
        <f t="shared" si="8"/>
        <v>syn BTCU6/BTCV6/BTCF7/BTCX6/BTCG7/BTCZ6</v>
      </c>
      <c r="K222" s="9">
        <f>'MKT DATA'!O1255</f>
        <v>0</v>
      </c>
      <c r="L222" s="9">
        <f>'MKT DATA'!P1255</f>
        <v>0</v>
      </c>
      <c r="M222" s="9">
        <f>'MKT DATA'!Q1255</f>
        <v>0</v>
      </c>
      <c r="N222" s="9">
        <f>'MKT DATA'!R1255</f>
        <v>0</v>
      </c>
      <c r="O222" s="9">
        <f>'MKT DATA'!S1255</f>
        <v>0</v>
      </c>
      <c r="P222" s="9">
        <f>'MKT DATA'!T1255</f>
        <v>0</v>
      </c>
      <c r="Q222" s="44" t="str">
        <f t="shared" si="9"/>
        <v>syn BTCU6/BTCV6/BTCF7/BTCX6/BTCG7/BTCZ6</v>
      </c>
      <c r="R222" s="14">
        <f>'MKT DATA'!AB1255</f>
        <v>0</v>
      </c>
    </row>
    <row r="223" spans="5:18" x14ac:dyDescent="0.25">
      <c r="E223" s="44" t="str">
        <f>'MKT DATA'!B1256</f>
        <v>syn BTCU6/BTCV6/BTCF7/BTCG7/BTCX6/BTCZ6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BTCU6/BTCV6/BTCF7/BTCG7/BTCX6/BTCZ6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BTCU6/BTCV6/BTCF7/BTCG7/BTCX6/BTCZ6</v>
      </c>
      <c r="R223" s="14">
        <f>'MKT DATA'!AB1256</f>
        <v>0</v>
      </c>
    </row>
    <row r="224" spans="5:18" x14ac:dyDescent="0.25">
      <c r="E224" s="44" t="str">
        <f>'MKT DATA'!B1257</f>
        <v>syn BTCU6/BTCV6/BTCG7/BTCX6/BTCF7/BTCZ6</v>
      </c>
      <c r="F224" s="14">
        <f>'MKT DATA'!J1257</f>
        <v>0</v>
      </c>
      <c r="G224" s="9">
        <f>'MKT DATA'!K1257</f>
        <v>0</v>
      </c>
      <c r="H224" s="9">
        <f>'MKT DATA'!L1257</f>
        <v>0</v>
      </c>
      <c r="I224" s="14">
        <f>'MKT DATA'!M1257</f>
        <v>0</v>
      </c>
      <c r="J224" s="44" t="str">
        <f t="shared" si="8"/>
        <v>syn BTCU6/BTCV6/BTCG7/BTCX6/BTCF7/BTCZ6</v>
      </c>
      <c r="K224" s="9">
        <f>'MKT DATA'!O1257</f>
        <v>0</v>
      </c>
      <c r="L224" s="9">
        <f>'MKT DATA'!P1257</f>
        <v>0</v>
      </c>
      <c r="M224" s="9">
        <f>'MKT DATA'!Q1257</f>
        <v>0</v>
      </c>
      <c r="N224" s="9">
        <f>'MKT DATA'!R1257</f>
        <v>0</v>
      </c>
      <c r="O224" s="9">
        <f>'MKT DATA'!S1257</f>
        <v>0</v>
      </c>
      <c r="P224" s="9">
        <f>'MKT DATA'!T1257</f>
        <v>0</v>
      </c>
      <c r="Q224" s="44" t="str">
        <f t="shared" si="9"/>
        <v>syn BTCU6/BTCV6/BTCG7/BTCX6/BTCF7/BTCZ6</v>
      </c>
      <c r="R224" s="14">
        <f>'MKT DATA'!AB1257</f>
        <v>0</v>
      </c>
    </row>
    <row r="225" spans="5:18" x14ac:dyDescent="0.25">
      <c r="E225" s="44" t="str">
        <f>'MKT DATA'!B1258</f>
        <v>syn BTCU6/BTCV6/BTCG7/BTCF7/BTCX6/BTCZ6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BTCU6/BTCV6/BTCG7/BTCF7/BTCX6/BTCZ6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BTCU6/BTCV6/BTCG7/BTCF7/BTCX6/BTCZ6</v>
      </c>
      <c r="R225" s="14">
        <f>'MKT DATA'!AB1258</f>
        <v>0</v>
      </c>
    </row>
    <row r="226" spans="5:18" x14ac:dyDescent="0.25">
      <c r="E226" s="44" t="str">
        <f>'MKT DATA'!B1259</f>
        <v>syn BTCU6/BTCX6/BTCV6/BTCF7/BTCG7/BTCZ6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BTCU6/BTCX6/BTCV6/BTCF7/BTCG7/BTCZ6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BTCU6/BTCX6/BTCV6/BTCF7/BTCG7/BTCZ6</v>
      </c>
      <c r="R226" s="14">
        <f>'MKT DATA'!AB1259</f>
        <v>0</v>
      </c>
    </row>
    <row r="227" spans="5:18" x14ac:dyDescent="0.25">
      <c r="E227" s="44" t="str">
        <f>'MKT DATA'!B1260</f>
        <v>syn BTCU6/BTCX6/BTCV6/BTCG7/BTCF7/BTCZ6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BTCU6/BTCX6/BTCV6/BTCG7/BTCF7/BTCZ6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BTCU6/BTCX6/BTCV6/BTCG7/BTCF7/BTCZ6</v>
      </c>
      <c r="R227" s="14">
        <f>'MKT DATA'!AB1260</f>
        <v>0</v>
      </c>
    </row>
    <row r="228" spans="5:18" x14ac:dyDescent="0.25">
      <c r="E228" s="44" t="str">
        <f>'MKT DATA'!B1261</f>
        <v>syn BTCU6/BTCX6/BTCF7/BTCV6/BTCG7/BTCZ6</v>
      </c>
      <c r="F228" s="14">
        <f>'MKT DATA'!J1261</f>
        <v>0</v>
      </c>
      <c r="G228" s="9">
        <f>'MKT DATA'!K1261</f>
        <v>0</v>
      </c>
      <c r="H228" s="9">
        <f>'MKT DATA'!L1261</f>
        <v>0</v>
      </c>
      <c r="I228" s="14">
        <f>'MKT DATA'!M1261</f>
        <v>0</v>
      </c>
      <c r="J228" s="44" t="str">
        <f t="shared" si="8"/>
        <v>syn BTCU6/BTCX6/BTCF7/BTCV6/BTCG7/BTCZ6</v>
      </c>
      <c r="K228" s="9">
        <f>'MKT DATA'!O1261</f>
        <v>0</v>
      </c>
      <c r="L228" s="9">
        <f>'MKT DATA'!P1261</f>
        <v>0</v>
      </c>
      <c r="M228" s="9">
        <f>'MKT DATA'!Q1261</f>
        <v>0</v>
      </c>
      <c r="N228" s="9">
        <f>'MKT DATA'!R1261</f>
        <v>0</v>
      </c>
      <c r="O228" s="9">
        <f>'MKT DATA'!S1261</f>
        <v>0</v>
      </c>
      <c r="P228" s="9">
        <f>'MKT DATA'!T1261</f>
        <v>0</v>
      </c>
      <c r="Q228" s="44" t="str">
        <f t="shared" si="9"/>
        <v>syn BTCU6/BTCX6/BTCF7/BTCV6/BTCG7/BTCZ6</v>
      </c>
      <c r="R228" s="14">
        <f>'MKT DATA'!AB1261</f>
        <v>0</v>
      </c>
    </row>
    <row r="229" spans="5:18" x14ac:dyDescent="0.25">
      <c r="E229" s="44" t="str">
        <f>'MKT DATA'!B1262</f>
        <v>syn BTCU6/BTCX6/BTCF7/BTCG7/BTCV6/BTCZ6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BTCU6/BTCX6/BTCF7/BTCG7/BTCV6/BTCZ6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BTCU6/BTCX6/BTCF7/BTCG7/BTCV6/BTCZ6</v>
      </c>
      <c r="R229" s="14">
        <f>'MKT DATA'!AB1262</f>
        <v>0</v>
      </c>
    </row>
    <row r="230" spans="5:18" x14ac:dyDescent="0.25">
      <c r="E230" s="44" t="str">
        <f>'MKT DATA'!B1263</f>
        <v>syn BTCU6/BTCX6/BTCG7/BTCV6/BTCF7/BTCZ6</v>
      </c>
      <c r="F230" s="14">
        <f>'MKT DATA'!J1263</f>
        <v>0</v>
      </c>
      <c r="G230" s="9">
        <f>'MKT DATA'!K1263</f>
        <v>0</v>
      </c>
      <c r="H230" s="9">
        <f>'MKT DATA'!L1263</f>
        <v>0</v>
      </c>
      <c r="I230" s="14">
        <f>'MKT DATA'!M1263</f>
        <v>0</v>
      </c>
      <c r="J230" s="44" t="str">
        <f t="shared" si="8"/>
        <v>syn BTCU6/BTCX6/BTCG7/BTCV6/BTCF7/BTCZ6</v>
      </c>
      <c r="K230" s="9">
        <f>'MKT DATA'!O1263</f>
        <v>0</v>
      </c>
      <c r="L230" s="9">
        <f>'MKT DATA'!P1263</f>
        <v>0</v>
      </c>
      <c r="M230" s="9">
        <f>'MKT DATA'!Q1263</f>
        <v>0</v>
      </c>
      <c r="N230" s="9">
        <f>'MKT DATA'!R1263</f>
        <v>0</v>
      </c>
      <c r="O230" s="9">
        <f>'MKT DATA'!S1263</f>
        <v>0</v>
      </c>
      <c r="P230" s="9">
        <f>'MKT DATA'!T1263</f>
        <v>0</v>
      </c>
      <c r="Q230" s="44" t="str">
        <f t="shared" si="9"/>
        <v>syn BTCU6/BTCX6/BTCG7/BTCV6/BTCF7/BTCZ6</v>
      </c>
      <c r="R230" s="14">
        <f>'MKT DATA'!AB1263</f>
        <v>0</v>
      </c>
    </row>
    <row r="231" spans="5:18" x14ac:dyDescent="0.25">
      <c r="E231" s="44" t="str">
        <f>'MKT DATA'!B1264</f>
        <v>syn BTCU6/BTCX6/BTCG7/BTCF7/BTCV6/BTCZ6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BTCU6/BTCX6/BTCG7/BTCF7/BTCV6/BTCZ6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BTCU6/BTCX6/BTCG7/BTCF7/BTCV6/BTCZ6</v>
      </c>
      <c r="R231" s="14">
        <f>'MKT DATA'!AB1264</f>
        <v>0</v>
      </c>
    </row>
    <row r="232" spans="5:18" x14ac:dyDescent="0.25">
      <c r="E232" s="44" t="str">
        <f>'MKT DATA'!B1265</f>
        <v>syn BTCU6/BTCF7/BTCV6/BTCX6/BTCG7/BTCZ6</v>
      </c>
      <c r="F232" s="14">
        <f>'MKT DATA'!J1265</f>
        <v>0</v>
      </c>
      <c r="G232" s="9">
        <f>'MKT DATA'!K1265</f>
        <v>0</v>
      </c>
      <c r="H232" s="9">
        <f>'MKT DATA'!L1265</f>
        <v>0</v>
      </c>
      <c r="I232" s="14">
        <f>'MKT DATA'!M1265</f>
        <v>0</v>
      </c>
      <c r="J232" s="44" t="str">
        <f t="shared" si="8"/>
        <v>syn BTCU6/BTCF7/BTCV6/BTCX6/BTCG7/BTCZ6</v>
      </c>
      <c r="K232" s="9">
        <f>'MKT DATA'!O1265</f>
        <v>0</v>
      </c>
      <c r="L232" s="9">
        <f>'MKT DATA'!P1265</f>
        <v>0</v>
      </c>
      <c r="M232" s="9">
        <f>'MKT DATA'!Q1265</f>
        <v>0</v>
      </c>
      <c r="N232" s="9">
        <f>'MKT DATA'!R1265</f>
        <v>0</v>
      </c>
      <c r="O232" s="9">
        <f>'MKT DATA'!S1265</f>
        <v>0</v>
      </c>
      <c r="P232" s="9">
        <f>'MKT DATA'!T1265</f>
        <v>0</v>
      </c>
      <c r="Q232" s="44" t="str">
        <f t="shared" si="9"/>
        <v>syn BTCU6/BTCF7/BTCV6/BTCX6/BTCG7/BTCZ6</v>
      </c>
      <c r="R232" s="14">
        <f>'MKT DATA'!AB1265</f>
        <v>0</v>
      </c>
    </row>
    <row r="233" spans="5:18" x14ac:dyDescent="0.25">
      <c r="E233" s="44" t="str">
        <f>'MKT DATA'!B1266</f>
        <v>syn BTCU6/BTCF7/BTCV6/BTCG7/BTCX6/BTCZ6</v>
      </c>
      <c r="F233" s="14">
        <f>'MKT DATA'!J1266</f>
        <v>0</v>
      </c>
      <c r="G233" s="9">
        <f>'MKT DATA'!K1266</f>
        <v>0</v>
      </c>
      <c r="H233" s="9">
        <f>'MKT DATA'!L1266</f>
        <v>0</v>
      </c>
      <c r="I233" s="14">
        <f>'MKT DATA'!M1266</f>
        <v>0</v>
      </c>
      <c r="J233" s="44" t="str">
        <f t="shared" si="8"/>
        <v>syn BTCU6/BTCF7/BTCV6/BTCG7/BTCX6/BTCZ6</v>
      </c>
      <c r="K233" s="9">
        <f>'MKT DATA'!O1266</f>
        <v>0</v>
      </c>
      <c r="L233" s="9">
        <f>'MKT DATA'!P1266</f>
        <v>0</v>
      </c>
      <c r="M233" s="9">
        <f>'MKT DATA'!Q1266</f>
        <v>0</v>
      </c>
      <c r="N233" s="9">
        <f>'MKT DATA'!R1266</f>
        <v>0</v>
      </c>
      <c r="O233" s="9">
        <f>'MKT DATA'!S1266</f>
        <v>0</v>
      </c>
      <c r="P233" s="9">
        <f>'MKT DATA'!T1266</f>
        <v>0</v>
      </c>
      <c r="Q233" s="44" t="str">
        <f t="shared" si="9"/>
        <v>syn BTCU6/BTCF7/BTCV6/BTCG7/BTCX6/BTCZ6</v>
      </c>
      <c r="R233" s="14">
        <f>'MKT DATA'!AB1266</f>
        <v>0</v>
      </c>
    </row>
    <row r="234" spans="5:18" x14ac:dyDescent="0.25">
      <c r="E234" s="44" t="str">
        <f>'MKT DATA'!B1267</f>
        <v>syn BTCU6/BTCF7/BTCX6/BTCV6/BTCG7/BTCZ6</v>
      </c>
      <c r="F234" s="14">
        <f>'MKT DATA'!J1267</f>
        <v>0</v>
      </c>
      <c r="G234" s="9">
        <f>'MKT DATA'!K1267</f>
        <v>0</v>
      </c>
      <c r="H234" s="9">
        <f>'MKT DATA'!L1267</f>
        <v>0</v>
      </c>
      <c r="I234" s="14">
        <f>'MKT DATA'!M1267</f>
        <v>0</v>
      </c>
      <c r="J234" s="44" t="str">
        <f t="shared" si="8"/>
        <v>syn BTCU6/BTCF7/BTCX6/BTCV6/BTCG7/BTCZ6</v>
      </c>
      <c r="K234" s="9">
        <f>'MKT DATA'!O1267</f>
        <v>0</v>
      </c>
      <c r="L234" s="9">
        <f>'MKT DATA'!P1267</f>
        <v>0</v>
      </c>
      <c r="M234" s="9">
        <f>'MKT DATA'!Q1267</f>
        <v>0</v>
      </c>
      <c r="N234" s="9">
        <f>'MKT DATA'!R1267</f>
        <v>0</v>
      </c>
      <c r="O234" s="9">
        <f>'MKT DATA'!S1267</f>
        <v>0</v>
      </c>
      <c r="P234" s="9">
        <f>'MKT DATA'!T1267</f>
        <v>0</v>
      </c>
      <c r="Q234" s="44" t="str">
        <f t="shared" si="9"/>
        <v>syn BTCU6/BTCF7/BTCX6/BTCV6/BTCG7/BTCZ6</v>
      </c>
      <c r="R234" s="14">
        <f>'MKT DATA'!AB1267</f>
        <v>0</v>
      </c>
    </row>
    <row r="235" spans="5:18" x14ac:dyDescent="0.25">
      <c r="E235" s="44" t="str">
        <f>'MKT DATA'!B1268</f>
        <v>syn BTCU6/BTCF7/BTCX6/BTCG7/BTCV6/BTCZ6</v>
      </c>
      <c r="F235" s="14">
        <f>'MKT DATA'!J1268</f>
        <v>0</v>
      </c>
      <c r="G235" s="9">
        <f>'MKT DATA'!K1268</f>
        <v>0</v>
      </c>
      <c r="H235" s="9">
        <f>'MKT DATA'!L1268</f>
        <v>0</v>
      </c>
      <c r="I235" s="14">
        <f>'MKT DATA'!M1268</f>
        <v>0</v>
      </c>
      <c r="J235" s="44" t="str">
        <f t="shared" si="8"/>
        <v>syn BTCU6/BTCF7/BTCX6/BTCG7/BTCV6/BTCZ6</v>
      </c>
      <c r="K235" s="9">
        <f>'MKT DATA'!O1268</f>
        <v>0</v>
      </c>
      <c r="L235" s="9">
        <f>'MKT DATA'!P1268</f>
        <v>0</v>
      </c>
      <c r="M235" s="9">
        <f>'MKT DATA'!Q1268</f>
        <v>0</v>
      </c>
      <c r="N235" s="9">
        <f>'MKT DATA'!R1268</f>
        <v>0</v>
      </c>
      <c r="O235" s="9">
        <f>'MKT DATA'!S1268</f>
        <v>0</v>
      </c>
      <c r="P235" s="9">
        <f>'MKT DATA'!T1268</f>
        <v>0</v>
      </c>
      <c r="Q235" s="44" t="str">
        <f t="shared" si="9"/>
        <v>syn BTCU6/BTCF7/BTCX6/BTCG7/BTCV6/BTCZ6</v>
      </c>
      <c r="R235" s="14">
        <f>'MKT DATA'!AB1268</f>
        <v>0</v>
      </c>
    </row>
    <row r="236" spans="5:18" x14ac:dyDescent="0.25">
      <c r="E236" s="44" t="str">
        <f>'MKT DATA'!B1269</f>
        <v>syn BTCU6/BTCF7/BTCG7/BTCV6/BTCX6/BTCZ6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BTCU6/BTCF7/BTCG7/BTCV6/BTCX6/BTCZ6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BTCU6/BTCF7/BTCG7/BTCV6/BTCX6/BTCZ6</v>
      </c>
      <c r="R236" s="14">
        <f>'MKT DATA'!AB1269</f>
        <v>0</v>
      </c>
    </row>
    <row r="237" spans="5:18" x14ac:dyDescent="0.25">
      <c r="E237" s="44" t="str">
        <f>'MKT DATA'!B1270</f>
        <v>syn BTCU6/BTCF7/BTCG7/BTCX6/BTCV6/BTCZ6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BTCU6/BTCF7/BTCG7/BTCX6/BTCV6/BTCZ6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BTCU6/BTCF7/BTCG7/BTCX6/BTCV6/BTCZ6</v>
      </c>
      <c r="R237" s="14">
        <f>'MKT DATA'!AB1270</f>
        <v>0</v>
      </c>
    </row>
    <row r="238" spans="5:18" x14ac:dyDescent="0.25">
      <c r="E238" s="44" t="str">
        <f>'MKT DATA'!B1271</f>
        <v>syn BTCU6/BTCG7/BTCV6/BTCX6/BTCF7/BTCZ6</v>
      </c>
      <c r="F238" s="14">
        <f>'MKT DATA'!J1271</f>
        <v>0</v>
      </c>
      <c r="G238" s="9">
        <f>'MKT DATA'!K1271</f>
        <v>0</v>
      </c>
      <c r="H238" s="9">
        <f>'MKT DATA'!L1271</f>
        <v>0</v>
      </c>
      <c r="I238" s="14">
        <f>'MKT DATA'!M1271</f>
        <v>0</v>
      </c>
      <c r="J238" s="44" t="str">
        <f t="shared" si="8"/>
        <v>syn BTCU6/BTCG7/BTCV6/BTCX6/BTCF7/BTCZ6</v>
      </c>
      <c r="K238" s="9">
        <f>'MKT DATA'!O1271</f>
        <v>0</v>
      </c>
      <c r="L238" s="9">
        <f>'MKT DATA'!P1271</f>
        <v>0</v>
      </c>
      <c r="M238" s="9">
        <f>'MKT DATA'!Q1271</f>
        <v>0</v>
      </c>
      <c r="N238" s="9">
        <f>'MKT DATA'!R1271</f>
        <v>0</v>
      </c>
      <c r="O238" s="9">
        <f>'MKT DATA'!S1271</f>
        <v>0</v>
      </c>
      <c r="P238" s="9">
        <f>'MKT DATA'!T1271</f>
        <v>0</v>
      </c>
      <c r="Q238" s="44" t="str">
        <f t="shared" si="9"/>
        <v>syn BTCU6/BTCG7/BTCV6/BTCX6/BTCF7/BTCZ6</v>
      </c>
      <c r="R238" s="14">
        <f>'MKT DATA'!AB1271</f>
        <v>0</v>
      </c>
    </row>
    <row r="239" spans="5:18" x14ac:dyDescent="0.25">
      <c r="E239" s="44" t="str">
        <f>'MKT DATA'!B1272</f>
        <v>syn BTCU6/BTCG7/BTCV6/BTCF7/BTCX6/BTCZ6</v>
      </c>
      <c r="F239" s="14">
        <f>'MKT DATA'!J1272</f>
        <v>0</v>
      </c>
      <c r="G239" s="9">
        <f>'MKT DATA'!K1272</f>
        <v>0</v>
      </c>
      <c r="H239" s="9">
        <f>'MKT DATA'!L1272</f>
        <v>0</v>
      </c>
      <c r="I239" s="14">
        <f>'MKT DATA'!M1272</f>
        <v>0</v>
      </c>
      <c r="J239" s="44" t="str">
        <f t="shared" si="8"/>
        <v>syn BTCU6/BTCG7/BTCV6/BTCF7/BTCX6/BTCZ6</v>
      </c>
      <c r="K239" s="9">
        <f>'MKT DATA'!O1272</f>
        <v>0</v>
      </c>
      <c r="L239" s="9">
        <f>'MKT DATA'!P1272</f>
        <v>0</v>
      </c>
      <c r="M239" s="9">
        <f>'MKT DATA'!Q1272</f>
        <v>0</v>
      </c>
      <c r="N239" s="9">
        <f>'MKT DATA'!R1272</f>
        <v>0</v>
      </c>
      <c r="O239" s="9">
        <f>'MKT DATA'!S1272</f>
        <v>0</v>
      </c>
      <c r="P239" s="9">
        <f>'MKT DATA'!T1272</f>
        <v>0</v>
      </c>
      <c r="Q239" s="44" t="str">
        <f t="shared" si="9"/>
        <v>syn BTCU6/BTCG7/BTCV6/BTCF7/BTCX6/BTCZ6</v>
      </c>
      <c r="R239" s="14">
        <f>'MKT DATA'!AB1272</f>
        <v>0</v>
      </c>
    </row>
    <row r="240" spans="5:18" x14ac:dyDescent="0.25">
      <c r="E240" s="44" t="str">
        <f>'MKT DATA'!B1273</f>
        <v>syn BTCU6/BTCG7/BTCX6/BTCV6/BTCF7/BTCZ6</v>
      </c>
      <c r="F240" s="14">
        <f>'MKT DATA'!J1273</f>
        <v>0</v>
      </c>
      <c r="G240" s="9">
        <f>'MKT DATA'!K1273</f>
        <v>0</v>
      </c>
      <c r="H240" s="9">
        <f>'MKT DATA'!L1273</f>
        <v>0</v>
      </c>
      <c r="I240" s="14">
        <f>'MKT DATA'!M1273</f>
        <v>0</v>
      </c>
      <c r="J240" s="44" t="str">
        <f t="shared" si="8"/>
        <v>syn BTCU6/BTCG7/BTCX6/BTCV6/BTCF7/BTCZ6</v>
      </c>
      <c r="K240" s="9">
        <f>'MKT DATA'!O1273</f>
        <v>0</v>
      </c>
      <c r="L240" s="9">
        <f>'MKT DATA'!P1273</f>
        <v>0</v>
      </c>
      <c r="M240" s="9">
        <f>'MKT DATA'!Q1273</f>
        <v>0</v>
      </c>
      <c r="N240" s="9">
        <f>'MKT DATA'!R1273</f>
        <v>0</v>
      </c>
      <c r="O240" s="9">
        <f>'MKT DATA'!S1273</f>
        <v>0</v>
      </c>
      <c r="P240" s="9">
        <f>'MKT DATA'!T1273</f>
        <v>0</v>
      </c>
      <c r="Q240" s="44" t="str">
        <f t="shared" si="9"/>
        <v>syn BTCU6/BTCG7/BTCX6/BTCV6/BTCF7/BTCZ6</v>
      </c>
      <c r="R240" s="14">
        <f>'MKT DATA'!AB1273</f>
        <v>0</v>
      </c>
    </row>
    <row r="241" spans="5:18" x14ac:dyDescent="0.25">
      <c r="E241" s="44" t="str">
        <f>'MKT DATA'!B1274</f>
        <v>syn BTCU6/BTCG7/BTCX6/BTCF7/BTCV6/BTCZ6</v>
      </c>
      <c r="F241" s="14">
        <f>'MKT DATA'!J1274</f>
        <v>0</v>
      </c>
      <c r="G241" s="9">
        <f>'MKT DATA'!K1274</f>
        <v>0</v>
      </c>
      <c r="H241" s="9">
        <f>'MKT DATA'!L1274</f>
        <v>0</v>
      </c>
      <c r="I241" s="14">
        <f>'MKT DATA'!M1274</f>
        <v>0</v>
      </c>
      <c r="J241" s="44" t="str">
        <f t="shared" si="8"/>
        <v>syn BTCU6/BTCG7/BTCX6/BTCF7/BTCV6/BTCZ6</v>
      </c>
      <c r="K241" s="9">
        <f>'MKT DATA'!O1274</f>
        <v>0</v>
      </c>
      <c r="L241" s="9">
        <f>'MKT DATA'!P1274</f>
        <v>0</v>
      </c>
      <c r="M241" s="9">
        <f>'MKT DATA'!Q1274</f>
        <v>0</v>
      </c>
      <c r="N241" s="9">
        <f>'MKT DATA'!R1274</f>
        <v>0</v>
      </c>
      <c r="O241" s="9">
        <f>'MKT DATA'!S1274</f>
        <v>0</v>
      </c>
      <c r="P241" s="9">
        <f>'MKT DATA'!T1274</f>
        <v>0</v>
      </c>
      <c r="Q241" s="44" t="str">
        <f t="shared" si="9"/>
        <v>syn BTCU6/BTCG7/BTCX6/BTCF7/BTCV6/BTCZ6</v>
      </c>
      <c r="R241" s="14">
        <f>'MKT DATA'!AB1274</f>
        <v>0</v>
      </c>
    </row>
    <row r="242" spans="5:18" x14ac:dyDescent="0.25">
      <c r="E242" s="44" t="str">
        <f>'MKT DATA'!B1275</f>
        <v>syn BTCU6/BTCG7/BTCF7/BTCV6/BTCX6/BTCZ6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BTCU6/BTCG7/BTCF7/BTCV6/BTCX6/BTCZ6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BTCU6/BTCG7/BTCF7/BTCV6/BTCX6/BTCZ6</v>
      </c>
      <c r="R242" s="14">
        <f>'MKT DATA'!AB1275</f>
        <v>0</v>
      </c>
    </row>
    <row r="243" spans="5:18" x14ac:dyDescent="0.25">
      <c r="E243" s="44" t="str">
        <f>'MKT DATA'!B1276</f>
        <v>syn BTCU6/BTCG7/BTCF7/BTCX6/BTCV6/BTCZ6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BTCU6/BTCG7/BTCF7/BTCX6/BTCV6/BTCZ6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BTCU6/BTCG7/BTCF7/BTCX6/BTCV6/BTCZ6</v>
      </c>
      <c r="R243" s="14">
        <f>'MKT DATA'!AB1276</f>
        <v>0</v>
      </c>
    </row>
    <row r="244" spans="5:18" x14ac:dyDescent="0.25">
      <c r="E244" s="44" t="str">
        <f>'MKT DATA'!B1277</f>
        <v>syn BTCV6/BTCU6/BTCX6/BTCF7/BTCG7/BTCZ6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BTCV6/BTCU6/BTCX6/BTCF7/BTCG7/BTCZ6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BTCV6/BTCU6/BTCX6/BTCF7/BTCG7/BTCZ6</v>
      </c>
      <c r="R244" s="14">
        <f>'MKT DATA'!AB1277</f>
        <v>0</v>
      </c>
    </row>
    <row r="245" spans="5:18" x14ac:dyDescent="0.25">
      <c r="E245" s="44" t="str">
        <f>'MKT DATA'!B1278</f>
        <v>syn BTCV6/BTCU6/BTCX6/BTCG7/BTCF7/BTCZ6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BTCV6/BTCU6/BTCX6/BTCG7/BTCF7/BTCZ6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BTCV6/BTCU6/BTCX6/BTCG7/BTCF7/BTCZ6</v>
      </c>
      <c r="R245" s="14">
        <f>'MKT DATA'!AB1278</f>
        <v>0</v>
      </c>
    </row>
    <row r="246" spans="5:18" x14ac:dyDescent="0.25">
      <c r="E246" s="44" t="str">
        <f>'MKT DATA'!B1279</f>
        <v>syn BTCV6/BTCU6/BTCF7/BTCX6/BTCG7/BTCZ6</v>
      </c>
      <c r="F246" s="14">
        <f>'MKT DATA'!J1279</f>
        <v>0</v>
      </c>
      <c r="G246" s="9">
        <f>'MKT DATA'!K1279</f>
        <v>0</v>
      </c>
      <c r="H246" s="9">
        <f>'MKT DATA'!L1279</f>
        <v>0</v>
      </c>
      <c r="I246" s="14">
        <f>'MKT DATA'!M1279</f>
        <v>0</v>
      </c>
      <c r="J246" s="44" t="str">
        <f t="shared" si="8"/>
        <v>syn BTCV6/BTCU6/BTCF7/BTCX6/BTCG7/BTCZ6</v>
      </c>
      <c r="K246" s="9">
        <f>'MKT DATA'!O1279</f>
        <v>0</v>
      </c>
      <c r="L246" s="9">
        <f>'MKT DATA'!P1279</f>
        <v>0</v>
      </c>
      <c r="M246" s="9">
        <f>'MKT DATA'!Q1279</f>
        <v>0</v>
      </c>
      <c r="N246" s="9">
        <f>'MKT DATA'!R1279</f>
        <v>0</v>
      </c>
      <c r="O246" s="9">
        <f>'MKT DATA'!S1279</f>
        <v>0</v>
      </c>
      <c r="P246" s="9">
        <f>'MKT DATA'!T1279</f>
        <v>0</v>
      </c>
      <c r="Q246" s="44" t="str">
        <f t="shared" si="9"/>
        <v>syn BTCV6/BTCU6/BTCF7/BTCX6/BTCG7/BTCZ6</v>
      </c>
      <c r="R246" s="14">
        <f>'MKT DATA'!AB1279</f>
        <v>0</v>
      </c>
    </row>
    <row r="247" spans="5:18" x14ac:dyDescent="0.25">
      <c r="E247" s="44" t="str">
        <f>'MKT DATA'!B1280</f>
        <v>syn BTCV6/BTCU6/BTCF7/BTCG7/BTCX6/BTCZ6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BTCV6/BTCU6/BTCF7/BTCG7/BTCX6/BTCZ6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BTCV6/BTCU6/BTCF7/BTCG7/BTCX6/BTCZ6</v>
      </c>
      <c r="R247" s="14">
        <f>'MKT DATA'!AB1280</f>
        <v>0</v>
      </c>
    </row>
    <row r="248" spans="5:18" x14ac:dyDescent="0.25">
      <c r="E248" s="44" t="str">
        <f>'MKT DATA'!B1281</f>
        <v>syn BTCV6/BTCU6/BTCG7/BTCX6/BTCF7/BTCZ6</v>
      </c>
      <c r="F248" s="14">
        <f>'MKT DATA'!J1281</f>
        <v>0</v>
      </c>
      <c r="G248" s="9">
        <f>'MKT DATA'!K1281</f>
        <v>0</v>
      </c>
      <c r="H248" s="9">
        <f>'MKT DATA'!L1281</f>
        <v>0</v>
      </c>
      <c r="I248" s="14">
        <f>'MKT DATA'!M1281</f>
        <v>0</v>
      </c>
      <c r="J248" s="44" t="str">
        <f t="shared" si="8"/>
        <v>syn BTCV6/BTCU6/BTCG7/BTCX6/BTCF7/BTCZ6</v>
      </c>
      <c r="K248" s="9">
        <f>'MKT DATA'!O1281</f>
        <v>0</v>
      </c>
      <c r="L248" s="9">
        <f>'MKT DATA'!P1281</f>
        <v>0</v>
      </c>
      <c r="M248" s="9">
        <f>'MKT DATA'!Q1281</f>
        <v>0</v>
      </c>
      <c r="N248" s="9">
        <f>'MKT DATA'!R1281</f>
        <v>0</v>
      </c>
      <c r="O248" s="9">
        <f>'MKT DATA'!S1281</f>
        <v>0</v>
      </c>
      <c r="P248" s="9">
        <f>'MKT DATA'!T1281</f>
        <v>0</v>
      </c>
      <c r="Q248" s="44" t="str">
        <f t="shared" si="9"/>
        <v>syn BTCV6/BTCU6/BTCG7/BTCX6/BTCF7/BTCZ6</v>
      </c>
      <c r="R248" s="14">
        <f>'MKT DATA'!AB1281</f>
        <v>0</v>
      </c>
    </row>
    <row r="249" spans="5:18" x14ac:dyDescent="0.25">
      <c r="E249" s="44" t="str">
        <f>'MKT DATA'!B1282</f>
        <v>syn BTCV6/BTCU6/BTCG7/BTCF7/BTCX6/BTCZ6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BTCV6/BTCU6/BTCG7/BTCF7/BTCX6/BTCZ6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BTCV6/BTCU6/BTCG7/BTCF7/BTCX6/BTCZ6</v>
      </c>
      <c r="R249" s="14">
        <f>'MKT DATA'!AB1282</f>
        <v>0</v>
      </c>
    </row>
    <row r="250" spans="5:18" x14ac:dyDescent="0.25">
      <c r="E250" s="44" t="str">
        <f>'MKT DATA'!B1283</f>
        <v>syn BTCV6/BTCX6/BTCU6/BTCF7/BTCG7/BTCZ6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BTCV6/BTCX6/BTCU6/BTCF7/BTCG7/BTCZ6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BTCV6/BTCX6/BTCU6/BTCF7/BTCG7/BTCZ6</v>
      </c>
      <c r="R250" s="14">
        <f>'MKT DATA'!AB1283</f>
        <v>0</v>
      </c>
    </row>
    <row r="251" spans="5:18" x14ac:dyDescent="0.25">
      <c r="E251" s="44" t="str">
        <f>'MKT DATA'!B1284</f>
        <v>syn BTCV6/BTCX6/BTCU6/BTCG7/BTCF7/BTCZ6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BTCV6/BTCX6/BTCU6/BTCG7/BTCF7/BTCZ6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BTCV6/BTCX6/BTCU6/BTCG7/BTCF7/BTCZ6</v>
      </c>
      <c r="R251" s="14">
        <f>'MKT DATA'!AB1284</f>
        <v>0</v>
      </c>
    </row>
    <row r="252" spans="5:18" x14ac:dyDescent="0.25">
      <c r="E252" s="44" t="str">
        <f>'MKT DATA'!B1285</f>
        <v>syn BTCV6/BTCX6/BTCF7/BTCU6/BTCG7/BTCZ6</v>
      </c>
      <c r="F252" s="14">
        <f>'MKT DATA'!J1285</f>
        <v>0</v>
      </c>
      <c r="G252" s="9">
        <f>'MKT DATA'!K1285</f>
        <v>0</v>
      </c>
      <c r="H252" s="9">
        <f>'MKT DATA'!L1285</f>
        <v>0</v>
      </c>
      <c r="I252" s="14">
        <f>'MKT DATA'!M1285</f>
        <v>0</v>
      </c>
      <c r="J252" s="44" t="str">
        <f t="shared" si="8"/>
        <v>syn BTCV6/BTCX6/BTCF7/BTCU6/BTCG7/BTCZ6</v>
      </c>
      <c r="K252" s="9">
        <f>'MKT DATA'!O1285</f>
        <v>0</v>
      </c>
      <c r="L252" s="9">
        <f>'MKT DATA'!P1285</f>
        <v>0</v>
      </c>
      <c r="M252" s="9">
        <f>'MKT DATA'!Q1285</f>
        <v>0</v>
      </c>
      <c r="N252" s="9">
        <f>'MKT DATA'!R1285</f>
        <v>0</v>
      </c>
      <c r="O252" s="9">
        <f>'MKT DATA'!S1285</f>
        <v>0</v>
      </c>
      <c r="P252" s="9">
        <f>'MKT DATA'!T1285</f>
        <v>0</v>
      </c>
      <c r="Q252" s="44" t="str">
        <f t="shared" si="9"/>
        <v>syn BTCV6/BTCX6/BTCF7/BTCU6/BTCG7/BTCZ6</v>
      </c>
      <c r="R252" s="14">
        <f>'MKT DATA'!AB1285</f>
        <v>0</v>
      </c>
    </row>
    <row r="253" spans="5:18" x14ac:dyDescent="0.25">
      <c r="E253" s="44" t="str">
        <f>'MKT DATA'!B1286</f>
        <v>syn BTCV6/BTCX6/BTCF7/BTCG7/BTCU6/BTCZ6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BTCV6/BTCX6/BTCF7/BTCG7/BTCU6/BTCZ6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BTCV6/BTCX6/BTCF7/BTCG7/BTCU6/BTCZ6</v>
      </c>
      <c r="R253" s="14">
        <f>'MKT DATA'!AB1286</f>
        <v>0</v>
      </c>
    </row>
    <row r="254" spans="5:18" x14ac:dyDescent="0.25">
      <c r="E254" s="44" t="str">
        <f>'MKT DATA'!B1287</f>
        <v>syn BTCV6/BTCX6/BTCG7/BTCU6/BTCF7/BTCZ6</v>
      </c>
      <c r="F254" s="14">
        <f>'MKT DATA'!J1287</f>
        <v>0</v>
      </c>
      <c r="G254" s="9">
        <f>'MKT DATA'!K1287</f>
        <v>0</v>
      </c>
      <c r="H254" s="9">
        <f>'MKT DATA'!L1287</f>
        <v>0</v>
      </c>
      <c r="I254" s="14">
        <f>'MKT DATA'!M1287</f>
        <v>0</v>
      </c>
      <c r="J254" s="44" t="str">
        <f t="shared" si="8"/>
        <v>syn BTCV6/BTCX6/BTCG7/BTCU6/BTCF7/BTCZ6</v>
      </c>
      <c r="K254" s="9">
        <f>'MKT DATA'!O1287</f>
        <v>0</v>
      </c>
      <c r="L254" s="9">
        <f>'MKT DATA'!P1287</f>
        <v>0</v>
      </c>
      <c r="M254" s="9">
        <f>'MKT DATA'!Q1287</f>
        <v>0</v>
      </c>
      <c r="N254" s="9">
        <f>'MKT DATA'!R1287</f>
        <v>0</v>
      </c>
      <c r="O254" s="9">
        <f>'MKT DATA'!S1287</f>
        <v>0</v>
      </c>
      <c r="P254" s="9">
        <f>'MKT DATA'!T1287</f>
        <v>0</v>
      </c>
      <c r="Q254" s="44" t="str">
        <f t="shared" si="9"/>
        <v>syn BTCV6/BTCX6/BTCG7/BTCU6/BTCF7/BTCZ6</v>
      </c>
      <c r="R254" s="14">
        <f>'MKT DATA'!AB1287</f>
        <v>0</v>
      </c>
    </row>
    <row r="255" spans="5:18" x14ac:dyDescent="0.25">
      <c r="E255" s="44" t="str">
        <f>'MKT DATA'!B1288</f>
        <v>syn BTCV6/BTCX6/BTCG7/BTCF7/BTCU6/BTCZ6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BTCV6/BTCX6/BTCG7/BTCF7/BTCU6/BTCZ6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BTCV6/BTCX6/BTCG7/BTCF7/BTCU6/BTCZ6</v>
      </c>
      <c r="R255" s="14">
        <f>'MKT DATA'!AB1288</f>
        <v>0</v>
      </c>
    </row>
    <row r="256" spans="5:18" x14ac:dyDescent="0.25">
      <c r="E256" s="44" t="str">
        <f>'MKT DATA'!B1289</f>
        <v>syn BTCV6/BTCF7/BTCU6/BTCX6/BTCG7/BTCZ6</v>
      </c>
      <c r="F256" s="14">
        <f>'MKT DATA'!J1289</f>
        <v>0</v>
      </c>
      <c r="G256" s="9">
        <f>'MKT DATA'!K1289</f>
        <v>0</v>
      </c>
      <c r="H256" s="9">
        <f>'MKT DATA'!L1289</f>
        <v>0</v>
      </c>
      <c r="I256" s="14">
        <f>'MKT DATA'!M1289</f>
        <v>0</v>
      </c>
      <c r="J256" s="44" t="str">
        <f t="shared" si="8"/>
        <v>syn BTCV6/BTCF7/BTCU6/BTCX6/BTCG7/BTCZ6</v>
      </c>
      <c r="K256" s="9">
        <f>'MKT DATA'!O1289</f>
        <v>0</v>
      </c>
      <c r="L256" s="9">
        <f>'MKT DATA'!P1289</f>
        <v>0</v>
      </c>
      <c r="M256" s="9">
        <f>'MKT DATA'!Q1289</f>
        <v>0</v>
      </c>
      <c r="N256" s="9">
        <f>'MKT DATA'!R1289</f>
        <v>0</v>
      </c>
      <c r="O256" s="9">
        <f>'MKT DATA'!S1289</f>
        <v>0</v>
      </c>
      <c r="P256" s="9">
        <f>'MKT DATA'!T1289</f>
        <v>0</v>
      </c>
      <c r="Q256" s="44" t="str">
        <f t="shared" si="9"/>
        <v>syn BTCV6/BTCF7/BTCU6/BTCX6/BTCG7/BTCZ6</v>
      </c>
      <c r="R256" s="14">
        <f>'MKT DATA'!AB1289</f>
        <v>0</v>
      </c>
    </row>
    <row r="257" spans="5:18" x14ac:dyDescent="0.25">
      <c r="E257" s="44" t="str">
        <f>'MKT DATA'!B1290</f>
        <v>syn BTCV6/BTCF7/BTCU6/BTCG7/BTCX6/BTCZ6</v>
      </c>
      <c r="F257" s="14">
        <f>'MKT DATA'!J1290</f>
        <v>0</v>
      </c>
      <c r="G257" s="9">
        <f>'MKT DATA'!K1290</f>
        <v>0</v>
      </c>
      <c r="H257" s="9">
        <f>'MKT DATA'!L1290</f>
        <v>0</v>
      </c>
      <c r="I257" s="14">
        <f>'MKT DATA'!M1290</f>
        <v>0</v>
      </c>
      <c r="J257" s="44" t="str">
        <f t="shared" si="8"/>
        <v>syn BTCV6/BTCF7/BTCU6/BTCG7/BTCX6/BTCZ6</v>
      </c>
      <c r="K257" s="9">
        <f>'MKT DATA'!O1290</f>
        <v>0</v>
      </c>
      <c r="L257" s="9">
        <f>'MKT DATA'!P1290</f>
        <v>0</v>
      </c>
      <c r="M257" s="9">
        <f>'MKT DATA'!Q1290</f>
        <v>0</v>
      </c>
      <c r="N257" s="9">
        <f>'MKT DATA'!R1290</f>
        <v>0</v>
      </c>
      <c r="O257" s="9">
        <f>'MKT DATA'!S1290</f>
        <v>0</v>
      </c>
      <c r="P257" s="9">
        <f>'MKT DATA'!T1290</f>
        <v>0</v>
      </c>
      <c r="Q257" s="44" t="str">
        <f t="shared" si="9"/>
        <v>syn BTCV6/BTCF7/BTCU6/BTCG7/BTCX6/BTCZ6</v>
      </c>
      <c r="R257" s="14">
        <f>'MKT DATA'!AB1290</f>
        <v>0</v>
      </c>
    </row>
    <row r="258" spans="5:18" x14ac:dyDescent="0.25">
      <c r="E258" s="44" t="str">
        <f>'MKT DATA'!B1291</f>
        <v>syn BTCV6/BTCF7/BTCX6/BTCU6/BTCG7/BTCZ6</v>
      </c>
      <c r="F258" s="14">
        <f>'MKT DATA'!J1291</f>
        <v>0</v>
      </c>
      <c r="G258" s="9">
        <f>'MKT DATA'!K1291</f>
        <v>0</v>
      </c>
      <c r="H258" s="9">
        <f>'MKT DATA'!L1291</f>
        <v>0</v>
      </c>
      <c r="I258" s="14">
        <f>'MKT DATA'!M1291</f>
        <v>0</v>
      </c>
      <c r="J258" s="44" t="str">
        <f t="shared" si="8"/>
        <v>syn BTCV6/BTCF7/BTCX6/BTCU6/BTCG7/BTCZ6</v>
      </c>
      <c r="K258" s="9">
        <f>'MKT DATA'!O1291</f>
        <v>0</v>
      </c>
      <c r="L258" s="9">
        <f>'MKT DATA'!P1291</f>
        <v>0</v>
      </c>
      <c r="M258" s="9">
        <f>'MKT DATA'!Q1291</f>
        <v>0</v>
      </c>
      <c r="N258" s="9">
        <f>'MKT DATA'!R1291</f>
        <v>0</v>
      </c>
      <c r="O258" s="9">
        <f>'MKT DATA'!S1291</f>
        <v>0</v>
      </c>
      <c r="P258" s="9">
        <f>'MKT DATA'!T1291</f>
        <v>0</v>
      </c>
      <c r="Q258" s="44" t="str">
        <f t="shared" si="9"/>
        <v>syn BTCV6/BTCF7/BTCX6/BTCU6/BTCG7/BTCZ6</v>
      </c>
      <c r="R258" s="14">
        <f>'MKT DATA'!AB1291</f>
        <v>0</v>
      </c>
    </row>
    <row r="259" spans="5:18" x14ac:dyDescent="0.25">
      <c r="E259" s="44" t="str">
        <f>'MKT DATA'!B1292</f>
        <v>syn BTCV6/BTCF7/BTCX6/BTCG7/BTCU6/BTCZ6</v>
      </c>
      <c r="F259" s="14">
        <f>'MKT DATA'!J1292</f>
        <v>0</v>
      </c>
      <c r="G259" s="9">
        <f>'MKT DATA'!K1292</f>
        <v>0</v>
      </c>
      <c r="H259" s="9">
        <f>'MKT DATA'!L1292</f>
        <v>0</v>
      </c>
      <c r="I259" s="14">
        <f>'MKT DATA'!M1292</f>
        <v>0</v>
      </c>
      <c r="J259" s="44" t="str">
        <f t="shared" si="8"/>
        <v>syn BTCV6/BTCF7/BTCX6/BTCG7/BTCU6/BTCZ6</v>
      </c>
      <c r="K259" s="9">
        <f>'MKT DATA'!O1292</f>
        <v>0</v>
      </c>
      <c r="L259" s="9">
        <f>'MKT DATA'!P1292</f>
        <v>0</v>
      </c>
      <c r="M259" s="9">
        <f>'MKT DATA'!Q1292</f>
        <v>0</v>
      </c>
      <c r="N259" s="9">
        <f>'MKT DATA'!R1292</f>
        <v>0</v>
      </c>
      <c r="O259" s="9">
        <f>'MKT DATA'!S1292</f>
        <v>0</v>
      </c>
      <c r="P259" s="9">
        <f>'MKT DATA'!T1292</f>
        <v>0</v>
      </c>
      <c r="Q259" s="44" t="str">
        <f t="shared" si="9"/>
        <v>syn BTCV6/BTCF7/BTCX6/BTCG7/BTCU6/BTCZ6</v>
      </c>
      <c r="R259" s="14">
        <f>'MKT DATA'!AB1292</f>
        <v>0</v>
      </c>
    </row>
    <row r="260" spans="5:18" x14ac:dyDescent="0.25">
      <c r="E260" s="44" t="str">
        <f>'MKT DATA'!B1293</f>
        <v>syn BTCV6/BTCF7/BTCG7/BTCU6/BTCX6/BTCZ6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BTCV6/BTCF7/BTCG7/BTCU6/BTCX6/BTCZ6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BTCV6/BTCF7/BTCG7/BTCU6/BTCX6/BTCZ6</v>
      </c>
      <c r="R260" s="14">
        <f>'MKT DATA'!AB1293</f>
        <v>0</v>
      </c>
    </row>
    <row r="261" spans="5:18" x14ac:dyDescent="0.25">
      <c r="E261" s="44" t="str">
        <f>'MKT DATA'!B1294</f>
        <v>syn BTCV6/BTCF7/BTCG7/BTCX6/BTCU6/BTCZ6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BTCV6/BTCF7/BTCG7/BTCX6/BTCU6/BTCZ6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BTCV6/BTCF7/BTCG7/BTCX6/BTCU6/BTCZ6</v>
      </c>
      <c r="R261" s="14">
        <f>'MKT DATA'!AB1294</f>
        <v>0</v>
      </c>
    </row>
    <row r="262" spans="5:18" x14ac:dyDescent="0.25">
      <c r="E262" s="44" t="str">
        <f>'MKT DATA'!B1295</f>
        <v>syn BTCV6/BTCG7/BTCU6/BTCX6/BTCF7/BTCZ6</v>
      </c>
      <c r="F262" s="14">
        <f>'MKT DATA'!J1295</f>
        <v>0</v>
      </c>
      <c r="G262" s="9">
        <f>'MKT DATA'!K1295</f>
        <v>0</v>
      </c>
      <c r="H262" s="9">
        <f>'MKT DATA'!L1295</f>
        <v>0</v>
      </c>
      <c r="I262" s="14">
        <f>'MKT DATA'!M1295</f>
        <v>0</v>
      </c>
      <c r="J262" s="44" t="str">
        <f t="shared" si="8"/>
        <v>syn BTCV6/BTCG7/BTCU6/BTCX6/BTCF7/BTCZ6</v>
      </c>
      <c r="K262" s="9">
        <f>'MKT DATA'!O1295</f>
        <v>0</v>
      </c>
      <c r="L262" s="9">
        <f>'MKT DATA'!P1295</f>
        <v>0</v>
      </c>
      <c r="M262" s="9">
        <f>'MKT DATA'!Q1295</f>
        <v>0</v>
      </c>
      <c r="N262" s="9">
        <f>'MKT DATA'!R1295</f>
        <v>0</v>
      </c>
      <c r="O262" s="9">
        <f>'MKT DATA'!S1295</f>
        <v>0</v>
      </c>
      <c r="P262" s="9">
        <f>'MKT DATA'!T1295</f>
        <v>0</v>
      </c>
      <c r="Q262" s="44" t="str">
        <f t="shared" si="9"/>
        <v>syn BTCV6/BTCG7/BTCU6/BTCX6/BTCF7/BTCZ6</v>
      </c>
      <c r="R262" s="14">
        <f>'MKT DATA'!AB1295</f>
        <v>0</v>
      </c>
    </row>
    <row r="263" spans="5:18" x14ac:dyDescent="0.25">
      <c r="E263" s="44" t="str">
        <f>'MKT DATA'!B1296</f>
        <v>syn BTCV6/BTCG7/BTCU6/BTCF7/BTCX6/BTCZ6</v>
      </c>
      <c r="F263" s="14">
        <f>'MKT DATA'!J1296</f>
        <v>0</v>
      </c>
      <c r="G263" s="9">
        <f>'MKT DATA'!K1296</f>
        <v>0</v>
      </c>
      <c r="H263" s="9">
        <f>'MKT DATA'!L1296</f>
        <v>0</v>
      </c>
      <c r="I263" s="14">
        <f>'MKT DATA'!M1296</f>
        <v>0</v>
      </c>
      <c r="J263" s="44" t="str">
        <f t="shared" si="8"/>
        <v>syn BTCV6/BTCG7/BTCU6/BTCF7/BTCX6/BTCZ6</v>
      </c>
      <c r="K263" s="9">
        <f>'MKT DATA'!O1296</f>
        <v>0</v>
      </c>
      <c r="L263" s="9">
        <f>'MKT DATA'!P1296</f>
        <v>0</v>
      </c>
      <c r="M263" s="9">
        <f>'MKT DATA'!Q1296</f>
        <v>0</v>
      </c>
      <c r="N263" s="9">
        <f>'MKT DATA'!R1296</f>
        <v>0</v>
      </c>
      <c r="O263" s="9">
        <f>'MKT DATA'!S1296</f>
        <v>0</v>
      </c>
      <c r="P263" s="9">
        <f>'MKT DATA'!T1296</f>
        <v>0</v>
      </c>
      <c r="Q263" s="44" t="str">
        <f t="shared" si="9"/>
        <v>syn BTCV6/BTCG7/BTCU6/BTCF7/BTCX6/BTCZ6</v>
      </c>
      <c r="R263" s="14">
        <f>'MKT DATA'!AB1296</f>
        <v>0</v>
      </c>
    </row>
    <row r="264" spans="5:18" x14ac:dyDescent="0.25">
      <c r="E264" s="44" t="str">
        <f>'MKT DATA'!B1297</f>
        <v>syn BTCV6/BTCG7/BTCX6/BTCU6/BTCF7/BTCZ6</v>
      </c>
      <c r="F264" s="14">
        <f>'MKT DATA'!J1297</f>
        <v>0</v>
      </c>
      <c r="G264" s="9">
        <f>'MKT DATA'!K1297</f>
        <v>0</v>
      </c>
      <c r="H264" s="9">
        <f>'MKT DATA'!L1297</f>
        <v>0</v>
      </c>
      <c r="I264" s="14">
        <f>'MKT DATA'!M1297</f>
        <v>0</v>
      </c>
      <c r="J264" s="44" t="str">
        <f t="shared" si="8"/>
        <v>syn BTCV6/BTCG7/BTCX6/BTCU6/BTCF7/BTCZ6</v>
      </c>
      <c r="K264" s="9">
        <f>'MKT DATA'!O1297</f>
        <v>0</v>
      </c>
      <c r="L264" s="9">
        <f>'MKT DATA'!P1297</f>
        <v>0</v>
      </c>
      <c r="M264" s="9">
        <f>'MKT DATA'!Q1297</f>
        <v>0</v>
      </c>
      <c r="N264" s="9">
        <f>'MKT DATA'!R1297</f>
        <v>0</v>
      </c>
      <c r="O264" s="9">
        <f>'MKT DATA'!S1297</f>
        <v>0</v>
      </c>
      <c r="P264" s="9">
        <f>'MKT DATA'!T1297</f>
        <v>0</v>
      </c>
      <c r="Q264" s="44" t="str">
        <f t="shared" si="9"/>
        <v>syn BTCV6/BTCG7/BTCX6/BTCU6/BTCF7/BTCZ6</v>
      </c>
      <c r="R264" s="14">
        <f>'MKT DATA'!AB1297</f>
        <v>0</v>
      </c>
    </row>
    <row r="265" spans="5:18" x14ac:dyDescent="0.25">
      <c r="E265" s="44" t="str">
        <f>'MKT DATA'!B1298</f>
        <v>syn BTCV6/BTCG7/BTCX6/BTCF7/BTCU6/BTCZ6</v>
      </c>
      <c r="F265" s="14">
        <f>'MKT DATA'!J1298</f>
        <v>0</v>
      </c>
      <c r="G265" s="9">
        <f>'MKT DATA'!K1298</f>
        <v>0</v>
      </c>
      <c r="H265" s="9">
        <f>'MKT DATA'!L1298</f>
        <v>0</v>
      </c>
      <c r="I265" s="14">
        <f>'MKT DATA'!M1298</f>
        <v>0</v>
      </c>
      <c r="J265" s="44" t="str">
        <f t="shared" si="8"/>
        <v>syn BTCV6/BTCG7/BTCX6/BTCF7/BTCU6/BTCZ6</v>
      </c>
      <c r="K265" s="9">
        <f>'MKT DATA'!O1298</f>
        <v>0</v>
      </c>
      <c r="L265" s="9">
        <f>'MKT DATA'!P1298</f>
        <v>0</v>
      </c>
      <c r="M265" s="9">
        <f>'MKT DATA'!Q1298</f>
        <v>0</v>
      </c>
      <c r="N265" s="9">
        <f>'MKT DATA'!R1298</f>
        <v>0</v>
      </c>
      <c r="O265" s="9">
        <f>'MKT DATA'!S1298</f>
        <v>0</v>
      </c>
      <c r="P265" s="9">
        <f>'MKT DATA'!T1298</f>
        <v>0</v>
      </c>
      <c r="Q265" s="44" t="str">
        <f t="shared" si="9"/>
        <v>syn BTCV6/BTCG7/BTCX6/BTCF7/BTCU6/BTCZ6</v>
      </c>
      <c r="R265" s="14">
        <f>'MKT DATA'!AB1298</f>
        <v>0</v>
      </c>
    </row>
    <row r="266" spans="5:18" x14ac:dyDescent="0.25">
      <c r="E266" s="44" t="str">
        <f>'MKT DATA'!B1299</f>
        <v>syn BTCV6/BTCG7/BTCF7/BTCU6/BTCX6/BTCZ6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BTCV6/BTCG7/BTCF7/BTCU6/BTCX6/BTCZ6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BTCV6/BTCG7/BTCF7/BTCU6/BTCX6/BTCZ6</v>
      </c>
      <c r="R266" s="14">
        <f>'MKT DATA'!AB1299</f>
        <v>0</v>
      </c>
    </row>
    <row r="267" spans="5:18" x14ac:dyDescent="0.25">
      <c r="E267" s="44" t="str">
        <f>'MKT DATA'!B1300</f>
        <v>syn BTCV6/BTCG7/BTCF7/BTCX6/BTCU6/BTCZ6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BTCV6/BTCG7/BTCF7/BTCX6/BTCU6/BTCZ6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BTCV6/BTCG7/BTCF7/BTCX6/BTCU6/BTCZ6</v>
      </c>
      <c r="R267" s="14">
        <f>'MKT DATA'!AB1300</f>
        <v>0</v>
      </c>
    </row>
    <row r="268" spans="5:18" x14ac:dyDescent="0.25">
      <c r="E268" s="44" t="str">
        <f>'MKT DATA'!B1301</f>
        <v>syn BTCX6/BTCU6/BTCV6/BTCF7/BTCG7/BTCZ6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BTCX6/BTCU6/BTCV6/BTCF7/BTCG7/BTCZ6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BTCX6/BTCU6/BTCV6/BTCF7/BTCG7/BTCZ6</v>
      </c>
      <c r="R268" s="14">
        <f>'MKT DATA'!AB1301</f>
        <v>0</v>
      </c>
    </row>
    <row r="269" spans="5:18" x14ac:dyDescent="0.25">
      <c r="E269" s="44" t="str">
        <f>'MKT DATA'!B1302</f>
        <v>syn BTCX6/BTCU6/BTCV6/BTCG7/BTCF7/BTCZ6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BTCX6/BTCU6/BTCV6/BTCG7/BTCF7/BTCZ6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BTCX6/BTCU6/BTCV6/BTCG7/BTCF7/BTCZ6</v>
      </c>
      <c r="R269" s="14">
        <f>'MKT DATA'!AB1302</f>
        <v>0</v>
      </c>
    </row>
    <row r="270" spans="5:18" x14ac:dyDescent="0.25">
      <c r="E270" s="44" t="str">
        <f>'MKT DATA'!B1303</f>
        <v>syn BTCX6/BTCU6/BTCF7/BTCV6/BTCG7/BTCZ6</v>
      </c>
      <c r="F270" s="14">
        <f>'MKT DATA'!J1303</f>
        <v>0</v>
      </c>
      <c r="G270" s="9">
        <f>'MKT DATA'!K1303</f>
        <v>0</v>
      </c>
      <c r="H270" s="9">
        <f>'MKT DATA'!L1303</f>
        <v>0</v>
      </c>
      <c r="I270" s="14">
        <f>'MKT DATA'!M1303</f>
        <v>0</v>
      </c>
      <c r="J270" s="44" t="str">
        <f t="shared" si="10"/>
        <v>syn BTCX6/BTCU6/BTCF7/BTCV6/BTCG7/BTCZ6</v>
      </c>
      <c r="K270" s="9">
        <f>'MKT DATA'!O1303</f>
        <v>0</v>
      </c>
      <c r="L270" s="9">
        <f>'MKT DATA'!P1303</f>
        <v>0</v>
      </c>
      <c r="M270" s="9">
        <f>'MKT DATA'!Q1303</f>
        <v>0</v>
      </c>
      <c r="N270" s="9">
        <f>'MKT DATA'!R1303</f>
        <v>0</v>
      </c>
      <c r="O270" s="9">
        <f>'MKT DATA'!S1303</f>
        <v>0</v>
      </c>
      <c r="P270" s="9">
        <f>'MKT DATA'!T1303</f>
        <v>0</v>
      </c>
      <c r="Q270" s="44" t="str">
        <f t="shared" si="11"/>
        <v>syn BTCX6/BTCU6/BTCF7/BTCV6/BTCG7/BTCZ6</v>
      </c>
      <c r="R270" s="14">
        <f>'MKT DATA'!AB1303</f>
        <v>0</v>
      </c>
    </row>
    <row r="271" spans="5:18" x14ac:dyDescent="0.25">
      <c r="E271" s="44" t="str">
        <f>'MKT DATA'!B1304</f>
        <v>syn BTCX6/BTCU6/BTCF7/BTCG7/BTCV6/BTCZ6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BTCX6/BTCU6/BTCF7/BTCG7/BTCV6/BTCZ6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BTCX6/BTCU6/BTCF7/BTCG7/BTCV6/BTCZ6</v>
      </c>
      <c r="R271" s="14">
        <f>'MKT DATA'!AB1304</f>
        <v>0</v>
      </c>
    </row>
    <row r="272" spans="5:18" x14ac:dyDescent="0.25">
      <c r="E272" s="44" t="str">
        <f>'MKT DATA'!B1305</f>
        <v>syn BTCX6/BTCU6/BTCG7/BTCV6/BTCF7/BTCZ6</v>
      </c>
      <c r="F272" s="14">
        <f>'MKT DATA'!J1305</f>
        <v>0</v>
      </c>
      <c r="G272" s="9">
        <f>'MKT DATA'!K1305</f>
        <v>0</v>
      </c>
      <c r="H272" s="9">
        <f>'MKT DATA'!L1305</f>
        <v>0</v>
      </c>
      <c r="I272" s="14">
        <f>'MKT DATA'!M1305</f>
        <v>0</v>
      </c>
      <c r="J272" s="44" t="str">
        <f t="shared" si="10"/>
        <v>syn BTCX6/BTCU6/BTCG7/BTCV6/BTCF7/BTCZ6</v>
      </c>
      <c r="K272" s="9">
        <f>'MKT DATA'!O1305</f>
        <v>0</v>
      </c>
      <c r="L272" s="9">
        <f>'MKT DATA'!P1305</f>
        <v>0</v>
      </c>
      <c r="M272" s="9">
        <f>'MKT DATA'!Q1305</f>
        <v>0</v>
      </c>
      <c r="N272" s="9">
        <f>'MKT DATA'!R1305</f>
        <v>0</v>
      </c>
      <c r="O272" s="9">
        <f>'MKT DATA'!S1305</f>
        <v>0</v>
      </c>
      <c r="P272" s="9">
        <f>'MKT DATA'!T1305</f>
        <v>0</v>
      </c>
      <c r="Q272" s="44" t="str">
        <f t="shared" si="11"/>
        <v>syn BTCX6/BTCU6/BTCG7/BTCV6/BTCF7/BTCZ6</v>
      </c>
      <c r="R272" s="14">
        <f>'MKT DATA'!AB1305</f>
        <v>0</v>
      </c>
    </row>
    <row r="273" spans="5:18" x14ac:dyDescent="0.25">
      <c r="E273" s="44" t="str">
        <f>'MKT DATA'!B1306</f>
        <v>syn BTCX6/BTCU6/BTCG7/BTCF7/BTCV6/BTCZ6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BTCX6/BTCU6/BTCG7/BTCF7/BTCV6/BTCZ6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BTCX6/BTCU6/BTCG7/BTCF7/BTCV6/BTCZ6</v>
      </c>
      <c r="R273" s="14">
        <f>'MKT DATA'!AB1306</f>
        <v>0</v>
      </c>
    </row>
    <row r="274" spans="5:18" x14ac:dyDescent="0.25">
      <c r="E274" s="44" t="str">
        <f>'MKT DATA'!B1307</f>
        <v>syn BTCX6/BTCV6/BTCU6/BTCF7/BTCG7/BTCZ6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BTCX6/BTCV6/BTCU6/BTCF7/BTCG7/BTCZ6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BTCX6/BTCV6/BTCU6/BTCF7/BTCG7/BTCZ6</v>
      </c>
      <c r="R274" s="14">
        <f>'MKT DATA'!AB1307</f>
        <v>0</v>
      </c>
    </row>
    <row r="275" spans="5:18" x14ac:dyDescent="0.25">
      <c r="E275" s="44" t="str">
        <f>'MKT DATA'!B1308</f>
        <v>syn BTCX6/BTCV6/BTCU6/BTCG7/BTCF7/BTCZ6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BTCX6/BTCV6/BTCU6/BTCG7/BTCF7/BTCZ6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BTCX6/BTCV6/BTCU6/BTCG7/BTCF7/BTCZ6</v>
      </c>
      <c r="R275" s="14">
        <f>'MKT DATA'!AB1308</f>
        <v>0</v>
      </c>
    </row>
    <row r="276" spans="5:18" x14ac:dyDescent="0.25">
      <c r="E276" s="44" t="str">
        <f>'MKT DATA'!B1309</f>
        <v>syn BTCX6/BTCV6/BTCF7/BTCU6/BTCG7/BTCZ6</v>
      </c>
      <c r="F276" s="14">
        <f>'MKT DATA'!J1309</f>
        <v>0</v>
      </c>
      <c r="G276" s="9">
        <f>'MKT DATA'!K1309</f>
        <v>0</v>
      </c>
      <c r="H276" s="9">
        <f>'MKT DATA'!L1309</f>
        <v>0</v>
      </c>
      <c r="I276" s="14">
        <f>'MKT DATA'!M1309</f>
        <v>0</v>
      </c>
      <c r="J276" s="44" t="str">
        <f t="shared" si="10"/>
        <v>syn BTCX6/BTCV6/BTCF7/BTCU6/BTCG7/BTCZ6</v>
      </c>
      <c r="K276" s="9">
        <f>'MKT DATA'!O1309</f>
        <v>0</v>
      </c>
      <c r="L276" s="9">
        <f>'MKT DATA'!P1309</f>
        <v>0</v>
      </c>
      <c r="M276" s="9">
        <f>'MKT DATA'!Q1309</f>
        <v>0</v>
      </c>
      <c r="N276" s="9">
        <f>'MKT DATA'!R1309</f>
        <v>0</v>
      </c>
      <c r="O276" s="9">
        <f>'MKT DATA'!S1309</f>
        <v>0</v>
      </c>
      <c r="P276" s="9">
        <f>'MKT DATA'!T1309</f>
        <v>0</v>
      </c>
      <c r="Q276" s="44" t="str">
        <f t="shared" si="11"/>
        <v>syn BTCX6/BTCV6/BTCF7/BTCU6/BTCG7/BTCZ6</v>
      </c>
      <c r="R276" s="14">
        <f>'MKT DATA'!AB1309</f>
        <v>0</v>
      </c>
    </row>
    <row r="277" spans="5:18" x14ac:dyDescent="0.25">
      <c r="E277" s="44" t="str">
        <f>'MKT DATA'!B1310</f>
        <v>syn BTCX6/BTCV6/BTCF7/BTCG7/BTCU6/BTCZ6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BTCX6/BTCV6/BTCF7/BTCG7/BTCU6/BTCZ6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BTCX6/BTCV6/BTCF7/BTCG7/BTCU6/BTCZ6</v>
      </c>
      <c r="R277" s="14">
        <f>'MKT DATA'!AB1310</f>
        <v>0</v>
      </c>
    </row>
    <row r="278" spans="5:18" x14ac:dyDescent="0.25">
      <c r="E278" s="44" t="str">
        <f>'MKT DATA'!B1311</f>
        <v>syn BTCX6/BTCV6/BTCG7/BTCU6/BTCF7/BTCZ6</v>
      </c>
      <c r="F278" s="14">
        <f>'MKT DATA'!J1311</f>
        <v>0</v>
      </c>
      <c r="G278" s="9">
        <f>'MKT DATA'!K1311</f>
        <v>0</v>
      </c>
      <c r="H278" s="9">
        <f>'MKT DATA'!L1311</f>
        <v>0</v>
      </c>
      <c r="I278" s="14">
        <f>'MKT DATA'!M1311</f>
        <v>0</v>
      </c>
      <c r="J278" s="44" t="str">
        <f t="shared" si="10"/>
        <v>syn BTCX6/BTCV6/BTCG7/BTCU6/BTCF7/BTCZ6</v>
      </c>
      <c r="K278" s="9">
        <f>'MKT DATA'!O1311</f>
        <v>0</v>
      </c>
      <c r="L278" s="9">
        <f>'MKT DATA'!P1311</f>
        <v>0</v>
      </c>
      <c r="M278" s="9">
        <f>'MKT DATA'!Q1311</f>
        <v>0</v>
      </c>
      <c r="N278" s="9">
        <f>'MKT DATA'!R1311</f>
        <v>0</v>
      </c>
      <c r="O278" s="9">
        <f>'MKT DATA'!S1311</f>
        <v>0</v>
      </c>
      <c r="P278" s="9">
        <f>'MKT DATA'!T1311</f>
        <v>0</v>
      </c>
      <c r="Q278" s="44" t="str">
        <f t="shared" si="11"/>
        <v>syn BTCX6/BTCV6/BTCG7/BTCU6/BTCF7/BTCZ6</v>
      </c>
      <c r="R278" s="14">
        <f>'MKT DATA'!AB1311</f>
        <v>0</v>
      </c>
    </row>
    <row r="279" spans="5:18" x14ac:dyDescent="0.25">
      <c r="E279" s="44" t="str">
        <f>'MKT DATA'!B1312</f>
        <v>syn BTCX6/BTCV6/BTCG7/BTCF7/BTCU6/BTCZ6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BTCX6/BTCV6/BTCG7/BTCF7/BTCU6/BTCZ6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BTCX6/BTCV6/BTCG7/BTCF7/BTCU6/BTCZ6</v>
      </c>
      <c r="R279" s="14">
        <f>'MKT DATA'!AB1312</f>
        <v>0</v>
      </c>
    </row>
    <row r="280" spans="5:18" x14ac:dyDescent="0.25">
      <c r="E280" s="44" t="str">
        <f>'MKT DATA'!B1313</f>
        <v>syn BTCX6/BTCF7/BTCU6/BTCV6/BTCG7/BTCZ6</v>
      </c>
      <c r="F280" s="14">
        <f>'MKT DATA'!J1313</f>
        <v>0</v>
      </c>
      <c r="G280" s="9">
        <f>'MKT DATA'!K1313</f>
        <v>0</v>
      </c>
      <c r="H280" s="9">
        <f>'MKT DATA'!L1313</f>
        <v>0</v>
      </c>
      <c r="I280" s="14">
        <f>'MKT DATA'!M1313</f>
        <v>0</v>
      </c>
      <c r="J280" s="44" t="str">
        <f t="shared" si="10"/>
        <v>syn BTCX6/BTCF7/BTCU6/BTCV6/BTCG7/BTCZ6</v>
      </c>
      <c r="K280" s="9">
        <f>'MKT DATA'!O1313</f>
        <v>0</v>
      </c>
      <c r="L280" s="9">
        <f>'MKT DATA'!P1313</f>
        <v>0</v>
      </c>
      <c r="M280" s="9">
        <f>'MKT DATA'!Q1313</f>
        <v>0</v>
      </c>
      <c r="N280" s="9">
        <f>'MKT DATA'!R1313</f>
        <v>0</v>
      </c>
      <c r="O280" s="9">
        <f>'MKT DATA'!S1313</f>
        <v>0</v>
      </c>
      <c r="P280" s="9">
        <f>'MKT DATA'!T1313</f>
        <v>0</v>
      </c>
      <c r="Q280" s="44" t="str">
        <f t="shared" si="11"/>
        <v>syn BTCX6/BTCF7/BTCU6/BTCV6/BTCG7/BTCZ6</v>
      </c>
      <c r="R280" s="14">
        <f>'MKT DATA'!AB1313</f>
        <v>0</v>
      </c>
    </row>
    <row r="281" spans="5:18" x14ac:dyDescent="0.25">
      <c r="E281" s="44" t="str">
        <f>'MKT DATA'!B1314</f>
        <v>syn BTCX6/BTCF7/BTCU6/BTCG7/BTCV6/BTCZ6</v>
      </c>
      <c r="F281" s="14">
        <f>'MKT DATA'!J1314</f>
        <v>0</v>
      </c>
      <c r="G281" s="9">
        <f>'MKT DATA'!K1314</f>
        <v>0</v>
      </c>
      <c r="H281" s="9">
        <f>'MKT DATA'!L1314</f>
        <v>0</v>
      </c>
      <c r="I281" s="14">
        <f>'MKT DATA'!M1314</f>
        <v>0</v>
      </c>
      <c r="J281" s="44" t="str">
        <f t="shared" si="10"/>
        <v>syn BTCX6/BTCF7/BTCU6/BTCG7/BTCV6/BTCZ6</v>
      </c>
      <c r="K281" s="9">
        <f>'MKT DATA'!O1314</f>
        <v>0</v>
      </c>
      <c r="L281" s="9">
        <f>'MKT DATA'!P1314</f>
        <v>0</v>
      </c>
      <c r="M281" s="9">
        <f>'MKT DATA'!Q1314</f>
        <v>0</v>
      </c>
      <c r="N281" s="9">
        <f>'MKT DATA'!R1314</f>
        <v>0</v>
      </c>
      <c r="O281" s="9">
        <f>'MKT DATA'!S1314</f>
        <v>0</v>
      </c>
      <c r="P281" s="9">
        <f>'MKT DATA'!T1314</f>
        <v>0</v>
      </c>
      <c r="Q281" s="44" t="str">
        <f t="shared" si="11"/>
        <v>syn BTCX6/BTCF7/BTCU6/BTCG7/BTCV6/BTCZ6</v>
      </c>
      <c r="R281" s="14">
        <f>'MKT DATA'!AB1314</f>
        <v>0</v>
      </c>
    </row>
    <row r="282" spans="5:18" x14ac:dyDescent="0.25">
      <c r="E282" s="44" t="str">
        <f>'MKT DATA'!B1315</f>
        <v>syn BTCX6/BTCF7/BTCV6/BTCU6/BTCG7/BTCZ6</v>
      </c>
      <c r="F282" s="14">
        <f>'MKT DATA'!J1315</f>
        <v>0</v>
      </c>
      <c r="G282" s="9">
        <f>'MKT DATA'!K1315</f>
        <v>0</v>
      </c>
      <c r="H282" s="9">
        <f>'MKT DATA'!L1315</f>
        <v>0</v>
      </c>
      <c r="I282" s="14">
        <f>'MKT DATA'!M1315</f>
        <v>0</v>
      </c>
      <c r="J282" s="44" t="str">
        <f t="shared" si="10"/>
        <v>syn BTCX6/BTCF7/BTCV6/BTCU6/BTCG7/BTCZ6</v>
      </c>
      <c r="K282" s="9">
        <f>'MKT DATA'!O1315</f>
        <v>0</v>
      </c>
      <c r="L282" s="9">
        <f>'MKT DATA'!P1315</f>
        <v>0</v>
      </c>
      <c r="M282" s="9">
        <f>'MKT DATA'!Q1315</f>
        <v>0</v>
      </c>
      <c r="N282" s="9">
        <f>'MKT DATA'!R1315</f>
        <v>0</v>
      </c>
      <c r="O282" s="9">
        <f>'MKT DATA'!S1315</f>
        <v>0</v>
      </c>
      <c r="P282" s="9">
        <f>'MKT DATA'!T1315</f>
        <v>0</v>
      </c>
      <c r="Q282" s="44" t="str">
        <f t="shared" si="11"/>
        <v>syn BTCX6/BTCF7/BTCV6/BTCU6/BTCG7/BTCZ6</v>
      </c>
      <c r="R282" s="14">
        <f>'MKT DATA'!AB1315</f>
        <v>0</v>
      </c>
    </row>
    <row r="283" spans="5:18" x14ac:dyDescent="0.25">
      <c r="E283" s="44" t="str">
        <f>'MKT DATA'!B1316</f>
        <v>syn BTCX6/BTCF7/BTCV6/BTCG7/BTCU6/BTCZ6</v>
      </c>
      <c r="F283" s="14">
        <f>'MKT DATA'!J1316</f>
        <v>0</v>
      </c>
      <c r="G283" s="9">
        <f>'MKT DATA'!K1316</f>
        <v>0</v>
      </c>
      <c r="H283" s="9">
        <f>'MKT DATA'!L1316</f>
        <v>0</v>
      </c>
      <c r="I283" s="14">
        <f>'MKT DATA'!M1316</f>
        <v>0</v>
      </c>
      <c r="J283" s="44" t="str">
        <f t="shared" si="10"/>
        <v>syn BTCX6/BTCF7/BTCV6/BTCG7/BTCU6/BTCZ6</v>
      </c>
      <c r="K283" s="9">
        <f>'MKT DATA'!O1316</f>
        <v>0</v>
      </c>
      <c r="L283" s="9">
        <f>'MKT DATA'!P1316</f>
        <v>0</v>
      </c>
      <c r="M283" s="9">
        <f>'MKT DATA'!Q1316</f>
        <v>0</v>
      </c>
      <c r="N283" s="9">
        <f>'MKT DATA'!R1316</f>
        <v>0</v>
      </c>
      <c r="O283" s="9">
        <f>'MKT DATA'!S1316</f>
        <v>0</v>
      </c>
      <c r="P283" s="9">
        <f>'MKT DATA'!T1316</f>
        <v>0</v>
      </c>
      <c r="Q283" s="44" t="str">
        <f t="shared" si="11"/>
        <v>syn BTCX6/BTCF7/BTCV6/BTCG7/BTCU6/BTCZ6</v>
      </c>
      <c r="R283" s="14">
        <f>'MKT DATA'!AB1316</f>
        <v>0</v>
      </c>
    </row>
    <row r="284" spans="5:18" x14ac:dyDescent="0.25">
      <c r="E284" s="44" t="str">
        <f>'MKT DATA'!B1317</f>
        <v>syn BTCX6/BTCF7/BTCG7/BTCU6/BTCV6/BTCZ6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BTCX6/BTCF7/BTCG7/BTCU6/BTCV6/BTCZ6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BTCX6/BTCF7/BTCG7/BTCU6/BTCV6/BTCZ6</v>
      </c>
      <c r="R284" s="14">
        <f>'MKT DATA'!AB1317</f>
        <v>0</v>
      </c>
    </row>
    <row r="285" spans="5:18" x14ac:dyDescent="0.25">
      <c r="E285" s="44" t="str">
        <f>'MKT DATA'!B1318</f>
        <v>syn BTCX6/BTCF7/BTCG7/BTCV6/BTCU6/BTCZ6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BTCX6/BTCF7/BTCG7/BTCV6/BTCU6/BTCZ6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BTCX6/BTCF7/BTCG7/BTCV6/BTCU6/BTCZ6</v>
      </c>
      <c r="R285" s="14">
        <f>'MKT DATA'!AB1318</f>
        <v>0</v>
      </c>
    </row>
    <row r="286" spans="5:18" x14ac:dyDescent="0.25">
      <c r="E286" s="44" t="str">
        <f>'MKT DATA'!B1319</f>
        <v>syn BTCX6/BTCG7/BTCU6/BTCV6/BTCF7/BTCZ6</v>
      </c>
      <c r="F286" s="14">
        <f>'MKT DATA'!J1319</f>
        <v>0</v>
      </c>
      <c r="G286" s="9">
        <f>'MKT DATA'!K1319</f>
        <v>0</v>
      </c>
      <c r="H286" s="9">
        <f>'MKT DATA'!L1319</f>
        <v>0</v>
      </c>
      <c r="I286" s="14">
        <f>'MKT DATA'!M1319</f>
        <v>0</v>
      </c>
      <c r="J286" s="44" t="str">
        <f t="shared" si="10"/>
        <v>syn BTCX6/BTCG7/BTCU6/BTCV6/BTCF7/BTCZ6</v>
      </c>
      <c r="K286" s="9">
        <f>'MKT DATA'!O1319</f>
        <v>0</v>
      </c>
      <c r="L286" s="9">
        <f>'MKT DATA'!P1319</f>
        <v>0</v>
      </c>
      <c r="M286" s="9">
        <f>'MKT DATA'!Q1319</f>
        <v>0</v>
      </c>
      <c r="N286" s="9">
        <f>'MKT DATA'!R1319</f>
        <v>0</v>
      </c>
      <c r="O286" s="9">
        <f>'MKT DATA'!S1319</f>
        <v>0</v>
      </c>
      <c r="P286" s="9">
        <f>'MKT DATA'!T1319</f>
        <v>0</v>
      </c>
      <c r="Q286" s="44" t="str">
        <f t="shared" si="11"/>
        <v>syn BTCX6/BTCG7/BTCU6/BTCV6/BTCF7/BTCZ6</v>
      </c>
      <c r="R286" s="14">
        <f>'MKT DATA'!AB1319</f>
        <v>0</v>
      </c>
    </row>
    <row r="287" spans="5:18" x14ac:dyDescent="0.25">
      <c r="E287" s="44" t="str">
        <f>'MKT DATA'!B1320</f>
        <v>syn BTCX6/BTCG7/BTCU6/BTCF7/BTCV6/BTCZ6</v>
      </c>
      <c r="F287" s="14">
        <f>'MKT DATA'!J1320</f>
        <v>0</v>
      </c>
      <c r="G287" s="9">
        <f>'MKT DATA'!K1320</f>
        <v>0</v>
      </c>
      <c r="H287" s="9">
        <f>'MKT DATA'!L1320</f>
        <v>0</v>
      </c>
      <c r="I287" s="14">
        <f>'MKT DATA'!M1320</f>
        <v>0</v>
      </c>
      <c r="J287" s="44" t="str">
        <f t="shared" si="10"/>
        <v>syn BTCX6/BTCG7/BTCU6/BTCF7/BTCV6/BTCZ6</v>
      </c>
      <c r="K287" s="9">
        <f>'MKT DATA'!O1320</f>
        <v>0</v>
      </c>
      <c r="L287" s="9">
        <f>'MKT DATA'!P1320</f>
        <v>0</v>
      </c>
      <c r="M287" s="9">
        <f>'MKT DATA'!Q1320</f>
        <v>0</v>
      </c>
      <c r="N287" s="9">
        <f>'MKT DATA'!R1320</f>
        <v>0</v>
      </c>
      <c r="O287" s="9">
        <f>'MKT DATA'!S1320</f>
        <v>0</v>
      </c>
      <c r="P287" s="9">
        <f>'MKT DATA'!T1320</f>
        <v>0</v>
      </c>
      <c r="Q287" s="44" t="str">
        <f t="shared" si="11"/>
        <v>syn BTCX6/BTCG7/BTCU6/BTCF7/BTCV6/BTCZ6</v>
      </c>
      <c r="R287" s="14">
        <f>'MKT DATA'!AB1320</f>
        <v>0</v>
      </c>
    </row>
    <row r="288" spans="5:18" x14ac:dyDescent="0.25">
      <c r="E288" s="44" t="str">
        <f>'MKT DATA'!B1321</f>
        <v>syn BTCX6/BTCG7/BTCV6/BTCU6/BTCF7/BTCZ6</v>
      </c>
      <c r="F288" s="14">
        <f>'MKT DATA'!J1321</f>
        <v>0</v>
      </c>
      <c r="G288" s="9">
        <f>'MKT DATA'!K1321</f>
        <v>0</v>
      </c>
      <c r="H288" s="9">
        <f>'MKT DATA'!L1321</f>
        <v>0</v>
      </c>
      <c r="I288" s="14">
        <f>'MKT DATA'!M1321</f>
        <v>0</v>
      </c>
      <c r="J288" s="44" t="str">
        <f t="shared" si="10"/>
        <v>syn BTCX6/BTCG7/BTCV6/BTCU6/BTCF7/BTCZ6</v>
      </c>
      <c r="K288" s="9">
        <f>'MKT DATA'!O1321</f>
        <v>0</v>
      </c>
      <c r="L288" s="9">
        <f>'MKT DATA'!P1321</f>
        <v>0</v>
      </c>
      <c r="M288" s="9">
        <f>'MKT DATA'!Q1321</f>
        <v>0</v>
      </c>
      <c r="N288" s="9">
        <f>'MKT DATA'!R1321</f>
        <v>0</v>
      </c>
      <c r="O288" s="9">
        <f>'MKT DATA'!S1321</f>
        <v>0</v>
      </c>
      <c r="P288" s="9">
        <f>'MKT DATA'!T1321</f>
        <v>0</v>
      </c>
      <c r="Q288" s="44" t="str">
        <f t="shared" si="11"/>
        <v>syn BTCX6/BTCG7/BTCV6/BTCU6/BTCF7/BTCZ6</v>
      </c>
      <c r="R288" s="14">
        <f>'MKT DATA'!AB1321</f>
        <v>0</v>
      </c>
    </row>
    <row r="289" spans="5:18" x14ac:dyDescent="0.25">
      <c r="E289" s="44" t="str">
        <f>'MKT DATA'!B1322</f>
        <v>syn BTCX6/BTCG7/BTCV6/BTCF7/BTCU6/BTCZ6</v>
      </c>
      <c r="F289" s="14">
        <f>'MKT DATA'!J1322</f>
        <v>0</v>
      </c>
      <c r="G289" s="9">
        <f>'MKT DATA'!K1322</f>
        <v>0</v>
      </c>
      <c r="H289" s="9">
        <f>'MKT DATA'!L1322</f>
        <v>0</v>
      </c>
      <c r="I289" s="14">
        <f>'MKT DATA'!M1322</f>
        <v>0</v>
      </c>
      <c r="J289" s="44" t="str">
        <f t="shared" si="10"/>
        <v>syn BTCX6/BTCG7/BTCV6/BTCF7/BTCU6/BTCZ6</v>
      </c>
      <c r="K289" s="9">
        <f>'MKT DATA'!O1322</f>
        <v>0</v>
      </c>
      <c r="L289" s="9">
        <f>'MKT DATA'!P1322</f>
        <v>0</v>
      </c>
      <c r="M289" s="9">
        <f>'MKT DATA'!Q1322</f>
        <v>0</v>
      </c>
      <c r="N289" s="9">
        <f>'MKT DATA'!R1322</f>
        <v>0</v>
      </c>
      <c r="O289" s="9">
        <f>'MKT DATA'!S1322</f>
        <v>0</v>
      </c>
      <c r="P289" s="9">
        <f>'MKT DATA'!T1322</f>
        <v>0</v>
      </c>
      <c r="Q289" s="44" t="str">
        <f t="shared" si="11"/>
        <v>syn BTCX6/BTCG7/BTCV6/BTCF7/BTCU6/BTCZ6</v>
      </c>
      <c r="R289" s="14">
        <f>'MKT DATA'!AB1322</f>
        <v>0</v>
      </c>
    </row>
    <row r="290" spans="5:18" x14ac:dyDescent="0.25">
      <c r="E290" s="44" t="str">
        <f>'MKT DATA'!B1323</f>
        <v>syn BTCX6/BTCG7/BTCF7/BTCU6/BTCV6/BTCZ6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BTCX6/BTCG7/BTCF7/BTCU6/BTCV6/BTCZ6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BTCX6/BTCG7/BTCF7/BTCU6/BTCV6/BTCZ6</v>
      </c>
      <c r="R290" s="14">
        <f>'MKT DATA'!AB1323</f>
        <v>0</v>
      </c>
    </row>
    <row r="291" spans="5:18" x14ac:dyDescent="0.25">
      <c r="E291" s="44" t="str">
        <f>'MKT DATA'!B1324</f>
        <v>syn BTCX6/BTCG7/BTCF7/BTCV6/BTCU6/BTCZ6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BTCX6/BTCG7/BTCF7/BTCV6/BTCU6/BTCZ6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BTCX6/BTCG7/BTCF7/BTCV6/BTCU6/BTCZ6</v>
      </c>
      <c r="R291" s="14">
        <f>'MKT DATA'!AB1324</f>
        <v>0</v>
      </c>
    </row>
    <row r="292" spans="5:18" x14ac:dyDescent="0.25">
      <c r="E292" s="44" t="str">
        <f>'MKT DATA'!B1325</f>
        <v>syn BTCF7/BTCU6/BTCV6/BTCX6/BTCG7/BTCZ6</v>
      </c>
      <c r="F292" s="14">
        <f>'MKT DATA'!J1325</f>
        <v>0</v>
      </c>
      <c r="G292" s="9">
        <f>'MKT DATA'!K1325</f>
        <v>0</v>
      </c>
      <c r="H292" s="9">
        <f>'MKT DATA'!L1325</f>
        <v>0</v>
      </c>
      <c r="I292" s="14">
        <f>'MKT DATA'!M1325</f>
        <v>0</v>
      </c>
      <c r="J292" s="44" t="str">
        <f t="shared" si="10"/>
        <v>syn BTCF7/BTCU6/BTCV6/BTCX6/BTCG7/BTCZ6</v>
      </c>
      <c r="K292" s="9">
        <f>'MKT DATA'!O1325</f>
        <v>0</v>
      </c>
      <c r="L292" s="9">
        <f>'MKT DATA'!P1325</f>
        <v>0</v>
      </c>
      <c r="M292" s="9">
        <f>'MKT DATA'!Q1325</f>
        <v>0</v>
      </c>
      <c r="N292" s="9">
        <f>'MKT DATA'!R1325</f>
        <v>0</v>
      </c>
      <c r="O292" s="9">
        <f>'MKT DATA'!S1325</f>
        <v>0</v>
      </c>
      <c r="P292" s="9">
        <f>'MKT DATA'!T1325</f>
        <v>0</v>
      </c>
      <c r="Q292" s="44" t="str">
        <f t="shared" si="11"/>
        <v>syn BTCF7/BTCU6/BTCV6/BTCX6/BTCG7/BTCZ6</v>
      </c>
      <c r="R292" s="14">
        <f>'MKT DATA'!AB1325</f>
        <v>0</v>
      </c>
    </row>
    <row r="293" spans="5:18" x14ac:dyDescent="0.25">
      <c r="E293" s="44" t="str">
        <f>'MKT DATA'!B1326</f>
        <v>syn BTCF7/BTCU6/BTCV6/BTCG7/BTCX6/BTCZ6</v>
      </c>
      <c r="F293" s="14">
        <f>'MKT DATA'!J1326</f>
        <v>0</v>
      </c>
      <c r="G293" s="9">
        <f>'MKT DATA'!K1326</f>
        <v>0</v>
      </c>
      <c r="H293" s="9">
        <f>'MKT DATA'!L1326</f>
        <v>0</v>
      </c>
      <c r="I293" s="14">
        <f>'MKT DATA'!M1326</f>
        <v>0</v>
      </c>
      <c r="J293" s="44" t="str">
        <f t="shared" si="10"/>
        <v>syn BTCF7/BTCU6/BTCV6/BTCG7/BTCX6/BTCZ6</v>
      </c>
      <c r="K293" s="9">
        <f>'MKT DATA'!O1326</f>
        <v>0</v>
      </c>
      <c r="L293" s="9">
        <f>'MKT DATA'!P1326</f>
        <v>0</v>
      </c>
      <c r="M293" s="9">
        <f>'MKT DATA'!Q1326</f>
        <v>0</v>
      </c>
      <c r="N293" s="9">
        <f>'MKT DATA'!R1326</f>
        <v>0</v>
      </c>
      <c r="O293" s="9">
        <f>'MKT DATA'!S1326</f>
        <v>0</v>
      </c>
      <c r="P293" s="9">
        <f>'MKT DATA'!T1326</f>
        <v>0</v>
      </c>
      <c r="Q293" s="44" t="str">
        <f t="shared" si="11"/>
        <v>syn BTCF7/BTCU6/BTCV6/BTCG7/BTCX6/BTCZ6</v>
      </c>
      <c r="R293" s="14">
        <f>'MKT DATA'!AB1326</f>
        <v>0</v>
      </c>
    </row>
    <row r="294" spans="5:18" x14ac:dyDescent="0.25">
      <c r="E294" s="44" t="str">
        <f>'MKT DATA'!B1327</f>
        <v>syn BTCF7/BTCU6/BTCX6/BTCV6/BTCG7/BTCZ6</v>
      </c>
      <c r="F294" s="14">
        <f>'MKT DATA'!J1327</f>
        <v>0</v>
      </c>
      <c r="G294" s="9">
        <f>'MKT DATA'!K1327</f>
        <v>0</v>
      </c>
      <c r="H294" s="9">
        <f>'MKT DATA'!L1327</f>
        <v>0</v>
      </c>
      <c r="I294" s="14">
        <f>'MKT DATA'!M1327</f>
        <v>0</v>
      </c>
      <c r="J294" s="44" t="str">
        <f t="shared" si="10"/>
        <v>syn BTCF7/BTCU6/BTCX6/BTCV6/BTCG7/BTCZ6</v>
      </c>
      <c r="K294" s="9">
        <f>'MKT DATA'!O1327</f>
        <v>0</v>
      </c>
      <c r="L294" s="9">
        <f>'MKT DATA'!P1327</f>
        <v>0</v>
      </c>
      <c r="M294" s="9">
        <f>'MKT DATA'!Q1327</f>
        <v>0</v>
      </c>
      <c r="N294" s="9">
        <f>'MKT DATA'!R1327</f>
        <v>0</v>
      </c>
      <c r="O294" s="9">
        <f>'MKT DATA'!S1327</f>
        <v>0</v>
      </c>
      <c r="P294" s="9">
        <f>'MKT DATA'!T1327</f>
        <v>0</v>
      </c>
      <c r="Q294" s="44" t="str">
        <f t="shared" si="11"/>
        <v>syn BTCF7/BTCU6/BTCX6/BTCV6/BTCG7/BTCZ6</v>
      </c>
      <c r="R294" s="14">
        <f>'MKT DATA'!AB1327</f>
        <v>0</v>
      </c>
    </row>
    <row r="295" spans="5:18" x14ac:dyDescent="0.25">
      <c r="E295" s="44" t="str">
        <f>'MKT DATA'!B1328</f>
        <v>syn BTCF7/BTCU6/BTCX6/BTCG7/BTCV6/BTCZ6</v>
      </c>
      <c r="F295" s="14">
        <f>'MKT DATA'!J1328</f>
        <v>0</v>
      </c>
      <c r="G295" s="9">
        <f>'MKT DATA'!K1328</f>
        <v>0</v>
      </c>
      <c r="H295" s="9">
        <f>'MKT DATA'!L1328</f>
        <v>0</v>
      </c>
      <c r="I295" s="14">
        <f>'MKT DATA'!M1328</f>
        <v>0</v>
      </c>
      <c r="J295" s="44" t="str">
        <f t="shared" si="10"/>
        <v>syn BTCF7/BTCU6/BTCX6/BTCG7/BTCV6/BTCZ6</v>
      </c>
      <c r="K295" s="9">
        <f>'MKT DATA'!O1328</f>
        <v>0</v>
      </c>
      <c r="L295" s="9">
        <f>'MKT DATA'!P1328</f>
        <v>0</v>
      </c>
      <c r="M295" s="9">
        <f>'MKT DATA'!Q1328</f>
        <v>0</v>
      </c>
      <c r="N295" s="9">
        <f>'MKT DATA'!R1328</f>
        <v>0</v>
      </c>
      <c r="O295" s="9">
        <f>'MKT DATA'!S1328</f>
        <v>0</v>
      </c>
      <c r="P295" s="9">
        <f>'MKT DATA'!T1328</f>
        <v>0</v>
      </c>
      <c r="Q295" s="44" t="str">
        <f t="shared" si="11"/>
        <v>syn BTCF7/BTCU6/BTCX6/BTCG7/BTCV6/BTCZ6</v>
      </c>
      <c r="R295" s="14">
        <f>'MKT DATA'!AB1328</f>
        <v>0</v>
      </c>
    </row>
    <row r="296" spans="5:18" x14ac:dyDescent="0.25">
      <c r="E296" s="44" t="str">
        <f>'MKT DATA'!B1329</f>
        <v>syn BTCF7/BTCU6/BTCG7/BTCV6/BTCX6/BTCZ6</v>
      </c>
      <c r="F296" s="14">
        <f>'MKT DATA'!J1329</f>
        <v>0</v>
      </c>
      <c r="G296" s="9">
        <f>'MKT DATA'!K1329</f>
        <v>0</v>
      </c>
      <c r="H296" s="9">
        <f>'MKT DATA'!L1329</f>
        <v>0</v>
      </c>
      <c r="I296" s="14">
        <f>'MKT DATA'!M1329</f>
        <v>0</v>
      </c>
      <c r="J296" s="44" t="str">
        <f t="shared" si="10"/>
        <v>syn BTCF7/BTCU6/BTCG7/BTCV6/BTCX6/BTCZ6</v>
      </c>
      <c r="K296" s="9">
        <f>'MKT DATA'!O1329</f>
        <v>0</v>
      </c>
      <c r="L296" s="9">
        <f>'MKT DATA'!P1329</f>
        <v>0</v>
      </c>
      <c r="M296" s="9">
        <f>'MKT DATA'!Q1329</f>
        <v>0</v>
      </c>
      <c r="N296" s="9">
        <f>'MKT DATA'!R1329</f>
        <v>0</v>
      </c>
      <c r="O296" s="9">
        <f>'MKT DATA'!S1329</f>
        <v>0</v>
      </c>
      <c r="P296" s="9">
        <f>'MKT DATA'!T1329</f>
        <v>0</v>
      </c>
      <c r="Q296" s="44" t="str">
        <f t="shared" si="11"/>
        <v>syn BTCF7/BTCU6/BTCG7/BTCV6/BTCX6/BTCZ6</v>
      </c>
      <c r="R296" s="14">
        <f>'MKT DATA'!AB1329</f>
        <v>0</v>
      </c>
    </row>
    <row r="297" spans="5:18" x14ac:dyDescent="0.25">
      <c r="E297" s="44" t="str">
        <f>'MKT DATA'!B1330</f>
        <v>syn BTCF7/BTCU6/BTCG7/BTCX6/BTCV6/BTCZ6</v>
      </c>
      <c r="F297" s="14">
        <f>'MKT DATA'!J1330</f>
        <v>0</v>
      </c>
      <c r="G297" s="9">
        <f>'MKT DATA'!K1330</f>
        <v>0</v>
      </c>
      <c r="H297" s="9">
        <f>'MKT DATA'!L1330</f>
        <v>0</v>
      </c>
      <c r="I297" s="14">
        <f>'MKT DATA'!M1330</f>
        <v>0</v>
      </c>
      <c r="J297" s="44" t="str">
        <f t="shared" si="10"/>
        <v>syn BTCF7/BTCU6/BTCG7/BTCX6/BTCV6/BTCZ6</v>
      </c>
      <c r="K297" s="9">
        <f>'MKT DATA'!O1330</f>
        <v>0</v>
      </c>
      <c r="L297" s="9">
        <f>'MKT DATA'!P1330</f>
        <v>0</v>
      </c>
      <c r="M297" s="9">
        <f>'MKT DATA'!Q1330</f>
        <v>0</v>
      </c>
      <c r="N297" s="9">
        <f>'MKT DATA'!R1330</f>
        <v>0</v>
      </c>
      <c r="O297" s="9">
        <f>'MKT DATA'!S1330</f>
        <v>0</v>
      </c>
      <c r="P297" s="9">
        <f>'MKT DATA'!T1330</f>
        <v>0</v>
      </c>
      <c r="Q297" s="44" t="str">
        <f t="shared" si="11"/>
        <v>syn BTCF7/BTCU6/BTCG7/BTCX6/BTCV6/BTCZ6</v>
      </c>
      <c r="R297" s="14">
        <f>'MKT DATA'!AB1330</f>
        <v>0</v>
      </c>
    </row>
    <row r="298" spans="5:18" x14ac:dyDescent="0.25">
      <c r="E298" s="44" t="str">
        <f>'MKT DATA'!B1331</f>
        <v>syn BTCF7/BTCV6/BTCU6/BTCX6/BTCG7/BTCZ6</v>
      </c>
      <c r="F298" s="14">
        <f>'MKT DATA'!J1331</f>
        <v>0</v>
      </c>
      <c r="G298" s="9">
        <f>'MKT DATA'!K1331</f>
        <v>0</v>
      </c>
      <c r="H298" s="9">
        <f>'MKT DATA'!L1331</f>
        <v>0</v>
      </c>
      <c r="I298" s="14">
        <f>'MKT DATA'!M1331</f>
        <v>0</v>
      </c>
      <c r="J298" s="44" t="str">
        <f t="shared" si="10"/>
        <v>syn BTCF7/BTCV6/BTCU6/BTCX6/BTCG7/BTCZ6</v>
      </c>
      <c r="K298" s="9">
        <f>'MKT DATA'!O1331</f>
        <v>0</v>
      </c>
      <c r="L298" s="9">
        <f>'MKT DATA'!P1331</f>
        <v>0</v>
      </c>
      <c r="M298" s="9">
        <f>'MKT DATA'!Q1331</f>
        <v>0</v>
      </c>
      <c r="N298" s="9">
        <f>'MKT DATA'!R1331</f>
        <v>0</v>
      </c>
      <c r="O298" s="9">
        <f>'MKT DATA'!S1331</f>
        <v>0</v>
      </c>
      <c r="P298" s="9">
        <f>'MKT DATA'!T1331</f>
        <v>0</v>
      </c>
      <c r="Q298" s="44" t="str">
        <f t="shared" si="11"/>
        <v>syn BTCF7/BTCV6/BTCU6/BTCX6/BTCG7/BTCZ6</v>
      </c>
      <c r="R298" s="14">
        <f>'MKT DATA'!AB1331</f>
        <v>0</v>
      </c>
    </row>
    <row r="299" spans="5:18" x14ac:dyDescent="0.25">
      <c r="E299" s="44" t="str">
        <f>'MKT DATA'!B1332</f>
        <v>syn BTCF7/BTCV6/BTCU6/BTCG7/BTCX6/BTCZ6</v>
      </c>
      <c r="F299" s="14">
        <f>'MKT DATA'!J1332</f>
        <v>0</v>
      </c>
      <c r="G299" s="9">
        <f>'MKT DATA'!K1332</f>
        <v>0</v>
      </c>
      <c r="H299" s="9">
        <f>'MKT DATA'!L1332</f>
        <v>0</v>
      </c>
      <c r="I299" s="14">
        <f>'MKT DATA'!M1332</f>
        <v>0</v>
      </c>
      <c r="J299" s="44" t="str">
        <f t="shared" si="10"/>
        <v>syn BTCF7/BTCV6/BTCU6/BTCG7/BTCX6/BTCZ6</v>
      </c>
      <c r="K299" s="9">
        <f>'MKT DATA'!O1332</f>
        <v>0</v>
      </c>
      <c r="L299" s="9">
        <f>'MKT DATA'!P1332</f>
        <v>0</v>
      </c>
      <c r="M299" s="9">
        <f>'MKT DATA'!Q1332</f>
        <v>0</v>
      </c>
      <c r="N299" s="9">
        <f>'MKT DATA'!R1332</f>
        <v>0</v>
      </c>
      <c r="O299" s="9">
        <f>'MKT DATA'!S1332</f>
        <v>0</v>
      </c>
      <c r="P299" s="9">
        <f>'MKT DATA'!T1332</f>
        <v>0</v>
      </c>
      <c r="Q299" s="44" t="str">
        <f t="shared" si="11"/>
        <v>syn BTCF7/BTCV6/BTCU6/BTCG7/BTCX6/BTCZ6</v>
      </c>
      <c r="R299" s="14">
        <f>'MKT DATA'!AB1332</f>
        <v>0</v>
      </c>
    </row>
    <row r="300" spans="5:18" x14ac:dyDescent="0.25">
      <c r="E300" s="44" t="str">
        <f>'MKT DATA'!B1333</f>
        <v>syn BTCF7/BTCV6/BTCX6/BTCU6/BTCG7/BTCZ6</v>
      </c>
      <c r="F300" s="14">
        <f>'MKT DATA'!J1333</f>
        <v>0</v>
      </c>
      <c r="G300" s="9">
        <f>'MKT DATA'!K1333</f>
        <v>0</v>
      </c>
      <c r="H300" s="9">
        <f>'MKT DATA'!L1333</f>
        <v>0</v>
      </c>
      <c r="I300" s="14">
        <f>'MKT DATA'!M1333</f>
        <v>0</v>
      </c>
      <c r="J300" s="44" t="str">
        <f t="shared" si="10"/>
        <v>syn BTCF7/BTCV6/BTCX6/BTCU6/BTCG7/BTCZ6</v>
      </c>
      <c r="K300" s="9">
        <f>'MKT DATA'!O1333</f>
        <v>0</v>
      </c>
      <c r="L300" s="9">
        <f>'MKT DATA'!P1333</f>
        <v>0</v>
      </c>
      <c r="M300" s="9">
        <f>'MKT DATA'!Q1333</f>
        <v>0</v>
      </c>
      <c r="N300" s="9">
        <f>'MKT DATA'!R1333</f>
        <v>0</v>
      </c>
      <c r="O300" s="9">
        <f>'MKT DATA'!S1333</f>
        <v>0</v>
      </c>
      <c r="P300" s="9">
        <f>'MKT DATA'!T1333</f>
        <v>0</v>
      </c>
      <c r="Q300" s="44" t="str">
        <f t="shared" si="11"/>
        <v>syn BTCF7/BTCV6/BTCX6/BTCU6/BTCG7/BTCZ6</v>
      </c>
      <c r="R300" s="14">
        <f>'MKT DATA'!AB1333</f>
        <v>0</v>
      </c>
    </row>
    <row r="301" spans="5:18" x14ac:dyDescent="0.25">
      <c r="E301" s="44" t="str">
        <f>'MKT DATA'!B1334</f>
        <v>syn BTCF7/BTCV6/BTCX6/BTCG7/BTCU6/BTCZ6</v>
      </c>
      <c r="F301" s="14">
        <f>'MKT DATA'!J1334</f>
        <v>0</v>
      </c>
      <c r="G301" s="9">
        <f>'MKT DATA'!K1334</f>
        <v>0</v>
      </c>
      <c r="H301" s="9">
        <f>'MKT DATA'!L1334</f>
        <v>0</v>
      </c>
      <c r="I301" s="14">
        <f>'MKT DATA'!M1334</f>
        <v>0</v>
      </c>
      <c r="J301" s="44" t="str">
        <f t="shared" si="10"/>
        <v>syn BTCF7/BTCV6/BTCX6/BTCG7/BTCU6/BTCZ6</v>
      </c>
      <c r="K301" s="9">
        <f>'MKT DATA'!O1334</f>
        <v>0</v>
      </c>
      <c r="L301" s="9">
        <f>'MKT DATA'!P1334</f>
        <v>0</v>
      </c>
      <c r="M301" s="9">
        <f>'MKT DATA'!Q1334</f>
        <v>0</v>
      </c>
      <c r="N301" s="9">
        <f>'MKT DATA'!R1334</f>
        <v>0</v>
      </c>
      <c r="O301" s="9">
        <f>'MKT DATA'!S1334</f>
        <v>0</v>
      </c>
      <c r="P301" s="9">
        <f>'MKT DATA'!T1334</f>
        <v>0</v>
      </c>
      <c r="Q301" s="44" t="str">
        <f t="shared" si="11"/>
        <v>syn BTCF7/BTCV6/BTCX6/BTCG7/BTCU6/BTCZ6</v>
      </c>
      <c r="R301" s="14">
        <f>'MKT DATA'!AB1334</f>
        <v>0</v>
      </c>
    </row>
    <row r="302" spans="5:18" x14ac:dyDescent="0.25">
      <c r="E302" s="44" t="str">
        <f>'MKT DATA'!B1335</f>
        <v>syn BTCF7/BTCV6/BTCG7/BTCU6/BTCX6/BTCZ6</v>
      </c>
      <c r="F302" s="14">
        <f>'MKT DATA'!J1335</f>
        <v>0</v>
      </c>
      <c r="G302" s="9">
        <f>'MKT DATA'!K1335</f>
        <v>0</v>
      </c>
      <c r="H302" s="9">
        <f>'MKT DATA'!L1335</f>
        <v>0</v>
      </c>
      <c r="I302" s="14">
        <f>'MKT DATA'!M1335</f>
        <v>0</v>
      </c>
      <c r="J302" s="44" t="str">
        <f t="shared" si="10"/>
        <v>syn BTCF7/BTCV6/BTCG7/BTCU6/BTCX6/BTCZ6</v>
      </c>
      <c r="K302" s="9">
        <f>'MKT DATA'!O1335</f>
        <v>0</v>
      </c>
      <c r="L302" s="9">
        <f>'MKT DATA'!P1335</f>
        <v>0</v>
      </c>
      <c r="M302" s="9">
        <f>'MKT DATA'!Q1335</f>
        <v>0</v>
      </c>
      <c r="N302" s="9">
        <f>'MKT DATA'!R1335</f>
        <v>0</v>
      </c>
      <c r="O302" s="9">
        <f>'MKT DATA'!S1335</f>
        <v>0</v>
      </c>
      <c r="P302" s="9">
        <f>'MKT DATA'!T1335</f>
        <v>0</v>
      </c>
      <c r="Q302" s="44" t="str">
        <f t="shared" si="11"/>
        <v>syn BTCF7/BTCV6/BTCG7/BTCU6/BTCX6/BTCZ6</v>
      </c>
      <c r="R302" s="14">
        <f>'MKT DATA'!AB1335</f>
        <v>0</v>
      </c>
    </row>
    <row r="303" spans="5:18" x14ac:dyDescent="0.25">
      <c r="E303" s="44" t="str">
        <f>'MKT DATA'!B1336</f>
        <v>syn BTCF7/BTCV6/BTCG7/BTCX6/BTCU6/BTCZ6</v>
      </c>
      <c r="F303" s="14">
        <f>'MKT DATA'!J1336</f>
        <v>0</v>
      </c>
      <c r="G303" s="9">
        <f>'MKT DATA'!K1336</f>
        <v>0</v>
      </c>
      <c r="H303" s="9">
        <f>'MKT DATA'!L1336</f>
        <v>0</v>
      </c>
      <c r="I303" s="14">
        <f>'MKT DATA'!M1336</f>
        <v>0</v>
      </c>
      <c r="J303" s="44" t="str">
        <f t="shared" si="10"/>
        <v>syn BTCF7/BTCV6/BTCG7/BTCX6/BTCU6/BTCZ6</v>
      </c>
      <c r="K303" s="9">
        <f>'MKT DATA'!O1336</f>
        <v>0</v>
      </c>
      <c r="L303" s="9">
        <f>'MKT DATA'!P1336</f>
        <v>0</v>
      </c>
      <c r="M303" s="9">
        <f>'MKT DATA'!Q1336</f>
        <v>0</v>
      </c>
      <c r="N303" s="9">
        <f>'MKT DATA'!R1336</f>
        <v>0</v>
      </c>
      <c r="O303" s="9">
        <f>'MKT DATA'!S1336</f>
        <v>0</v>
      </c>
      <c r="P303" s="9">
        <f>'MKT DATA'!T1336</f>
        <v>0</v>
      </c>
      <c r="Q303" s="44" t="str">
        <f t="shared" si="11"/>
        <v>syn BTCF7/BTCV6/BTCG7/BTCX6/BTCU6/BTCZ6</v>
      </c>
      <c r="R303" s="14">
        <f>'MKT DATA'!AB1336</f>
        <v>0</v>
      </c>
    </row>
    <row r="304" spans="5:18" x14ac:dyDescent="0.25">
      <c r="E304" s="44" t="str">
        <f>'MKT DATA'!B1337</f>
        <v>syn BTCF7/BTCX6/BTCU6/BTCV6/BTCG7/BTCZ6</v>
      </c>
      <c r="F304" s="14">
        <f>'MKT DATA'!J1337</f>
        <v>0</v>
      </c>
      <c r="G304" s="9">
        <f>'MKT DATA'!K1337</f>
        <v>0</v>
      </c>
      <c r="H304" s="9">
        <f>'MKT DATA'!L1337</f>
        <v>0</v>
      </c>
      <c r="I304" s="14">
        <f>'MKT DATA'!M1337</f>
        <v>0</v>
      </c>
      <c r="J304" s="44" t="str">
        <f t="shared" si="10"/>
        <v>syn BTCF7/BTCX6/BTCU6/BTCV6/BTCG7/BTCZ6</v>
      </c>
      <c r="K304" s="9">
        <f>'MKT DATA'!O1337</f>
        <v>0</v>
      </c>
      <c r="L304" s="9">
        <f>'MKT DATA'!P1337</f>
        <v>0</v>
      </c>
      <c r="M304" s="9">
        <f>'MKT DATA'!Q1337</f>
        <v>0</v>
      </c>
      <c r="N304" s="9">
        <f>'MKT DATA'!R1337</f>
        <v>0</v>
      </c>
      <c r="O304" s="9">
        <f>'MKT DATA'!S1337</f>
        <v>0</v>
      </c>
      <c r="P304" s="9">
        <f>'MKT DATA'!T1337</f>
        <v>0</v>
      </c>
      <c r="Q304" s="44" t="str">
        <f t="shared" si="11"/>
        <v>syn BTCF7/BTCX6/BTCU6/BTCV6/BTCG7/BTCZ6</v>
      </c>
      <c r="R304" s="14">
        <f>'MKT DATA'!AB1337</f>
        <v>0</v>
      </c>
    </row>
    <row r="305" spans="5:18" x14ac:dyDescent="0.25">
      <c r="E305" s="44" t="str">
        <f>'MKT DATA'!B1338</f>
        <v>syn BTCF7/BTCX6/BTCU6/BTCG7/BTCV6/BTCZ6</v>
      </c>
      <c r="F305" s="14">
        <f>'MKT DATA'!J1338</f>
        <v>0</v>
      </c>
      <c r="G305" s="9">
        <f>'MKT DATA'!K1338</f>
        <v>0</v>
      </c>
      <c r="H305" s="9">
        <f>'MKT DATA'!L1338</f>
        <v>0</v>
      </c>
      <c r="I305" s="14">
        <f>'MKT DATA'!M1338</f>
        <v>0</v>
      </c>
      <c r="J305" s="44" t="str">
        <f t="shared" si="10"/>
        <v>syn BTCF7/BTCX6/BTCU6/BTCG7/BTCV6/BTCZ6</v>
      </c>
      <c r="K305" s="9">
        <f>'MKT DATA'!O1338</f>
        <v>0</v>
      </c>
      <c r="L305" s="9">
        <f>'MKT DATA'!P1338</f>
        <v>0</v>
      </c>
      <c r="M305" s="9">
        <f>'MKT DATA'!Q1338</f>
        <v>0</v>
      </c>
      <c r="N305" s="9">
        <f>'MKT DATA'!R1338</f>
        <v>0</v>
      </c>
      <c r="O305" s="9">
        <f>'MKT DATA'!S1338</f>
        <v>0</v>
      </c>
      <c r="P305" s="9">
        <f>'MKT DATA'!T1338</f>
        <v>0</v>
      </c>
      <c r="Q305" s="44" t="str">
        <f t="shared" si="11"/>
        <v>syn BTCF7/BTCX6/BTCU6/BTCG7/BTCV6/BTCZ6</v>
      </c>
      <c r="R305" s="14">
        <f>'MKT DATA'!AB1338</f>
        <v>0</v>
      </c>
    </row>
    <row r="306" spans="5:18" x14ac:dyDescent="0.25">
      <c r="E306" s="44" t="str">
        <f>'MKT DATA'!B1339</f>
        <v>syn BTCF7/BTCX6/BTCV6/BTCU6/BTCG7/BTCZ6</v>
      </c>
      <c r="F306" s="14">
        <f>'MKT DATA'!J1339</f>
        <v>0</v>
      </c>
      <c r="G306" s="9">
        <f>'MKT DATA'!K1339</f>
        <v>0</v>
      </c>
      <c r="H306" s="9">
        <f>'MKT DATA'!L1339</f>
        <v>0</v>
      </c>
      <c r="I306" s="14">
        <f>'MKT DATA'!M1339</f>
        <v>0</v>
      </c>
      <c r="J306" s="44" t="str">
        <f t="shared" si="10"/>
        <v>syn BTCF7/BTCX6/BTCV6/BTCU6/BTCG7/BTCZ6</v>
      </c>
      <c r="K306" s="9">
        <f>'MKT DATA'!O1339</f>
        <v>0</v>
      </c>
      <c r="L306" s="9">
        <f>'MKT DATA'!P1339</f>
        <v>0</v>
      </c>
      <c r="M306" s="9">
        <f>'MKT DATA'!Q1339</f>
        <v>0</v>
      </c>
      <c r="N306" s="9">
        <f>'MKT DATA'!R1339</f>
        <v>0</v>
      </c>
      <c r="O306" s="9">
        <f>'MKT DATA'!S1339</f>
        <v>0</v>
      </c>
      <c r="P306" s="9">
        <f>'MKT DATA'!T1339</f>
        <v>0</v>
      </c>
      <c r="Q306" s="44" t="str">
        <f t="shared" si="11"/>
        <v>syn BTCF7/BTCX6/BTCV6/BTCU6/BTCG7/BTCZ6</v>
      </c>
      <c r="R306" s="14">
        <f>'MKT DATA'!AB1339</f>
        <v>0</v>
      </c>
    </row>
    <row r="307" spans="5:18" x14ac:dyDescent="0.25">
      <c r="E307" s="44" t="str">
        <f>'MKT DATA'!B1340</f>
        <v>syn BTCF7/BTCX6/BTCV6/BTCG7/BTCU6/BTCZ6</v>
      </c>
      <c r="F307" s="14">
        <f>'MKT DATA'!J1340</f>
        <v>0</v>
      </c>
      <c r="G307" s="9">
        <f>'MKT DATA'!K1340</f>
        <v>0</v>
      </c>
      <c r="H307" s="9">
        <f>'MKT DATA'!L1340</f>
        <v>0</v>
      </c>
      <c r="I307" s="14">
        <f>'MKT DATA'!M1340</f>
        <v>0</v>
      </c>
      <c r="J307" s="44" t="str">
        <f t="shared" si="10"/>
        <v>syn BTCF7/BTCX6/BTCV6/BTCG7/BTCU6/BTCZ6</v>
      </c>
      <c r="K307" s="9">
        <f>'MKT DATA'!O1340</f>
        <v>0</v>
      </c>
      <c r="L307" s="9">
        <f>'MKT DATA'!P1340</f>
        <v>0</v>
      </c>
      <c r="M307" s="9">
        <f>'MKT DATA'!Q1340</f>
        <v>0</v>
      </c>
      <c r="N307" s="9">
        <f>'MKT DATA'!R1340</f>
        <v>0</v>
      </c>
      <c r="O307" s="9">
        <f>'MKT DATA'!S1340</f>
        <v>0</v>
      </c>
      <c r="P307" s="9">
        <f>'MKT DATA'!T1340</f>
        <v>0</v>
      </c>
      <c r="Q307" s="44" t="str">
        <f t="shared" si="11"/>
        <v>syn BTCF7/BTCX6/BTCV6/BTCG7/BTCU6/BTCZ6</v>
      </c>
      <c r="R307" s="14">
        <f>'MKT DATA'!AB1340</f>
        <v>0</v>
      </c>
    </row>
    <row r="308" spans="5:18" x14ac:dyDescent="0.25">
      <c r="E308" s="44" t="str">
        <f>'MKT DATA'!B1341</f>
        <v>syn BTCF7/BTCX6/BTCG7/BTCU6/BTCV6/BTCZ6</v>
      </c>
      <c r="F308" s="14">
        <f>'MKT DATA'!J1341</f>
        <v>0</v>
      </c>
      <c r="G308" s="9">
        <f>'MKT DATA'!K1341</f>
        <v>0</v>
      </c>
      <c r="H308" s="9">
        <f>'MKT DATA'!L1341</f>
        <v>0</v>
      </c>
      <c r="I308" s="14">
        <f>'MKT DATA'!M1341</f>
        <v>0</v>
      </c>
      <c r="J308" s="44" t="str">
        <f t="shared" si="10"/>
        <v>syn BTCF7/BTCX6/BTCG7/BTCU6/BTCV6/BTCZ6</v>
      </c>
      <c r="K308" s="9">
        <f>'MKT DATA'!O1341</f>
        <v>0</v>
      </c>
      <c r="L308" s="9">
        <f>'MKT DATA'!P1341</f>
        <v>0</v>
      </c>
      <c r="M308" s="9">
        <f>'MKT DATA'!Q1341</f>
        <v>0</v>
      </c>
      <c r="N308" s="9">
        <f>'MKT DATA'!R1341</f>
        <v>0</v>
      </c>
      <c r="O308" s="9">
        <f>'MKT DATA'!S1341</f>
        <v>0</v>
      </c>
      <c r="P308" s="9">
        <f>'MKT DATA'!T1341</f>
        <v>0</v>
      </c>
      <c r="Q308" s="44" t="str">
        <f t="shared" si="11"/>
        <v>syn BTCF7/BTCX6/BTCG7/BTCU6/BTCV6/BTCZ6</v>
      </c>
      <c r="R308" s="14">
        <f>'MKT DATA'!AB1341</f>
        <v>0</v>
      </c>
    </row>
    <row r="309" spans="5:18" x14ac:dyDescent="0.25">
      <c r="E309" s="44" t="str">
        <f>'MKT DATA'!B1342</f>
        <v>syn BTCF7/BTCX6/BTCG7/BTCV6/BTCU6/BTCZ6</v>
      </c>
      <c r="F309" s="14">
        <f>'MKT DATA'!J1342</f>
        <v>0</v>
      </c>
      <c r="G309" s="9">
        <f>'MKT DATA'!K1342</f>
        <v>0</v>
      </c>
      <c r="H309" s="9">
        <f>'MKT DATA'!L1342</f>
        <v>0</v>
      </c>
      <c r="I309" s="14">
        <f>'MKT DATA'!M1342</f>
        <v>0</v>
      </c>
      <c r="J309" s="44" t="str">
        <f t="shared" si="10"/>
        <v>syn BTCF7/BTCX6/BTCG7/BTCV6/BTCU6/BTCZ6</v>
      </c>
      <c r="K309" s="9">
        <f>'MKT DATA'!O1342</f>
        <v>0</v>
      </c>
      <c r="L309" s="9">
        <f>'MKT DATA'!P1342</f>
        <v>0</v>
      </c>
      <c r="M309" s="9">
        <f>'MKT DATA'!Q1342</f>
        <v>0</v>
      </c>
      <c r="N309" s="9">
        <f>'MKT DATA'!R1342</f>
        <v>0</v>
      </c>
      <c r="O309" s="9">
        <f>'MKT DATA'!S1342</f>
        <v>0</v>
      </c>
      <c r="P309" s="9">
        <f>'MKT DATA'!T1342</f>
        <v>0</v>
      </c>
      <c r="Q309" s="44" t="str">
        <f t="shared" si="11"/>
        <v>syn BTCF7/BTCX6/BTCG7/BTCV6/BTCU6/BTCZ6</v>
      </c>
      <c r="R309" s="14">
        <f>'MKT DATA'!AB1342</f>
        <v>0</v>
      </c>
    </row>
    <row r="310" spans="5:18" x14ac:dyDescent="0.25">
      <c r="E310" s="44" t="str">
        <f>'MKT DATA'!B1343</f>
        <v>syn BTCF7/BTCG7/BTCU6/BTCV6/BTCX6/BTCZ6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BTCF7/BTCG7/BTCU6/BTCV6/BTCX6/BTCZ6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BTCF7/BTCG7/BTCU6/BTCV6/BTCX6/BTCZ6</v>
      </c>
      <c r="R310" s="14">
        <f>'MKT DATA'!AB1343</f>
        <v>0</v>
      </c>
    </row>
    <row r="311" spans="5:18" x14ac:dyDescent="0.25">
      <c r="E311" s="44" t="str">
        <f>'MKT DATA'!B1344</f>
        <v>syn BTCF7/BTCG7/BTCU6/BTCX6/BTCV6/BTCZ6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BTCF7/BTCG7/BTCU6/BTCX6/BTCV6/BTCZ6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BTCF7/BTCG7/BTCU6/BTCX6/BTCV6/BTCZ6</v>
      </c>
      <c r="R311" s="14">
        <f>'MKT DATA'!AB1344</f>
        <v>0</v>
      </c>
    </row>
    <row r="312" spans="5:18" x14ac:dyDescent="0.25">
      <c r="E312" s="44" t="str">
        <f>'MKT DATA'!B1345</f>
        <v>syn BTCF7/BTCG7/BTCV6/BTCU6/BTCX6/BTCZ6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BTCF7/BTCG7/BTCV6/BTCU6/BTCX6/BTCZ6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BTCF7/BTCG7/BTCV6/BTCU6/BTCX6/BTCZ6</v>
      </c>
      <c r="R312" s="14">
        <f>'MKT DATA'!AB1345</f>
        <v>0</v>
      </c>
    </row>
    <row r="313" spans="5:18" x14ac:dyDescent="0.25">
      <c r="E313" s="44" t="str">
        <f>'MKT DATA'!B1346</f>
        <v>syn BTCF7/BTCG7/BTCV6/BTCX6/BTCU6/BTCZ6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BTCF7/BTCG7/BTCV6/BTCX6/BTCU6/BTCZ6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BTCF7/BTCG7/BTCV6/BTCX6/BTCU6/BTCZ6</v>
      </c>
      <c r="R313" s="14">
        <f>'MKT DATA'!AB1346</f>
        <v>0</v>
      </c>
    </row>
    <row r="314" spans="5:18" x14ac:dyDescent="0.25">
      <c r="E314" s="44" t="str">
        <f>'MKT DATA'!B1347</f>
        <v>syn BTCF7/BTCG7/BTCX6/BTCU6/BTCV6/BTCZ6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BTCF7/BTCG7/BTCX6/BTCU6/BTCV6/BTCZ6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BTCF7/BTCG7/BTCX6/BTCU6/BTCV6/BTCZ6</v>
      </c>
      <c r="R314" s="14">
        <f>'MKT DATA'!AB1347</f>
        <v>0</v>
      </c>
    </row>
    <row r="315" spans="5:18" x14ac:dyDescent="0.25">
      <c r="E315" s="44" t="str">
        <f>'MKT DATA'!B1348</f>
        <v>syn BTCF7/BTCG7/BTCX6/BTCV6/BTCU6/BTCZ6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BTCF7/BTCG7/BTCX6/BTCV6/BTCU6/BTCZ6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BTCF7/BTCG7/BTCX6/BTCV6/BTCU6/BTCZ6</v>
      </c>
      <c r="R315" s="14">
        <f>'MKT DATA'!AB1348</f>
        <v>0</v>
      </c>
    </row>
    <row r="316" spans="5:18" x14ac:dyDescent="0.25">
      <c r="E316" s="44" t="str">
        <f>'MKT DATA'!B1349</f>
        <v>syn BTCG7/BTCU6/BTCV6/BTCX6/BTCF7/BTCZ6</v>
      </c>
      <c r="F316" s="14">
        <f>'MKT DATA'!J1349</f>
        <v>0</v>
      </c>
      <c r="G316" s="9">
        <f>'MKT DATA'!K1349</f>
        <v>0</v>
      </c>
      <c r="H316" s="9">
        <f>'MKT DATA'!L1349</f>
        <v>0</v>
      </c>
      <c r="I316" s="14">
        <f>'MKT DATA'!M1349</f>
        <v>0</v>
      </c>
      <c r="J316" s="44" t="str">
        <f t="shared" si="10"/>
        <v>syn BTCG7/BTCU6/BTCV6/BTCX6/BTCF7/BTCZ6</v>
      </c>
      <c r="K316" s="9">
        <f>'MKT DATA'!O1349</f>
        <v>0</v>
      </c>
      <c r="L316" s="9">
        <f>'MKT DATA'!P1349</f>
        <v>0</v>
      </c>
      <c r="M316" s="9">
        <f>'MKT DATA'!Q1349</f>
        <v>0</v>
      </c>
      <c r="N316" s="9">
        <f>'MKT DATA'!R1349</f>
        <v>0</v>
      </c>
      <c r="O316" s="9">
        <f>'MKT DATA'!S1349</f>
        <v>0</v>
      </c>
      <c r="P316" s="9">
        <f>'MKT DATA'!T1349</f>
        <v>0</v>
      </c>
      <c r="Q316" s="44" t="str">
        <f t="shared" si="11"/>
        <v>syn BTCG7/BTCU6/BTCV6/BTCX6/BTCF7/BTCZ6</v>
      </c>
      <c r="R316" s="14">
        <f>'MKT DATA'!AB1349</f>
        <v>0</v>
      </c>
    </row>
    <row r="317" spans="5:18" x14ac:dyDescent="0.25">
      <c r="E317" s="44" t="str">
        <f>'MKT DATA'!B1350</f>
        <v>syn BTCG7/BTCU6/BTCV6/BTCF7/BTCX6/BTCZ6</v>
      </c>
      <c r="F317" s="14">
        <f>'MKT DATA'!J1350</f>
        <v>0</v>
      </c>
      <c r="G317" s="9">
        <f>'MKT DATA'!K1350</f>
        <v>0</v>
      </c>
      <c r="H317" s="9">
        <f>'MKT DATA'!L1350</f>
        <v>0</v>
      </c>
      <c r="I317" s="14">
        <f>'MKT DATA'!M1350</f>
        <v>0</v>
      </c>
      <c r="J317" s="44" t="str">
        <f t="shared" si="10"/>
        <v>syn BTCG7/BTCU6/BTCV6/BTCF7/BTCX6/BTCZ6</v>
      </c>
      <c r="K317" s="9">
        <f>'MKT DATA'!O1350</f>
        <v>0</v>
      </c>
      <c r="L317" s="9">
        <f>'MKT DATA'!P1350</f>
        <v>0</v>
      </c>
      <c r="M317" s="9">
        <f>'MKT DATA'!Q1350</f>
        <v>0</v>
      </c>
      <c r="N317" s="9">
        <f>'MKT DATA'!R1350</f>
        <v>0</v>
      </c>
      <c r="O317" s="9">
        <f>'MKT DATA'!S1350</f>
        <v>0</v>
      </c>
      <c r="P317" s="9">
        <f>'MKT DATA'!T1350</f>
        <v>0</v>
      </c>
      <c r="Q317" s="44" t="str">
        <f t="shared" si="11"/>
        <v>syn BTCG7/BTCU6/BTCV6/BTCF7/BTCX6/BTCZ6</v>
      </c>
      <c r="R317" s="14">
        <f>'MKT DATA'!AB1350</f>
        <v>0</v>
      </c>
    </row>
    <row r="318" spans="5:18" x14ac:dyDescent="0.25">
      <c r="E318" s="44" t="str">
        <f>'MKT DATA'!B1351</f>
        <v>syn BTCG7/BTCU6/BTCX6/BTCV6/BTCF7/BTCZ6</v>
      </c>
      <c r="F318" s="14">
        <f>'MKT DATA'!J1351</f>
        <v>0</v>
      </c>
      <c r="G318" s="9">
        <f>'MKT DATA'!K1351</f>
        <v>0</v>
      </c>
      <c r="H318" s="9">
        <f>'MKT DATA'!L1351</f>
        <v>0</v>
      </c>
      <c r="I318" s="14">
        <f>'MKT DATA'!M1351</f>
        <v>0</v>
      </c>
      <c r="J318" s="44" t="str">
        <f t="shared" si="10"/>
        <v>syn BTCG7/BTCU6/BTCX6/BTCV6/BTCF7/BTCZ6</v>
      </c>
      <c r="K318" s="9">
        <f>'MKT DATA'!O1351</f>
        <v>0</v>
      </c>
      <c r="L318" s="9">
        <f>'MKT DATA'!P1351</f>
        <v>0</v>
      </c>
      <c r="M318" s="9">
        <f>'MKT DATA'!Q1351</f>
        <v>0</v>
      </c>
      <c r="N318" s="9">
        <f>'MKT DATA'!R1351</f>
        <v>0</v>
      </c>
      <c r="O318" s="9">
        <f>'MKT DATA'!S1351</f>
        <v>0</v>
      </c>
      <c r="P318" s="9">
        <f>'MKT DATA'!T1351</f>
        <v>0</v>
      </c>
      <c r="Q318" s="44" t="str">
        <f t="shared" si="11"/>
        <v>syn BTCG7/BTCU6/BTCX6/BTCV6/BTCF7/BTCZ6</v>
      </c>
      <c r="R318" s="14">
        <f>'MKT DATA'!AB1351</f>
        <v>0</v>
      </c>
    </row>
    <row r="319" spans="5:18" x14ac:dyDescent="0.25">
      <c r="E319" s="44" t="str">
        <f>'MKT DATA'!B1352</f>
        <v>syn BTCG7/BTCU6/BTCX6/BTCF7/BTCV6/BTCZ6</v>
      </c>
      <c r="F319" s="14">
        <f>'MKT DATA'!J1352</f>
        <v>0</v>
      </c>
      <c r="G319" s="9">
        <f>'MKT DATA'!K1352</f>
        <v>0</v>
      </c>
      <c r="H319" s="9">
        <f>'MKT DATA'!L1352</f>
        <v>0</v>
      </c>
      <c r="I319" s="14">
        <f>'MKT DATA'!M1352</f>
        <v>0</v>
      </c>
      <c r="J319" s="44" t="str">
        <f t="shared" si="10"/>
        <v>syn BTCG7/BTCU6/BTCX6/BTCF7/BTCV6/BTCZ6</v>
      </c>
      <c r="K319" s="9">
        <f>'MKT DATA'!O1352</f>
        <v>0</v>
      </c>
      <c r="L319" s="9">
        <f>'MKT DATA'!P1352</f>
        <v>0</v>
      </c>
      <c r="M319" s="9">
        <f>'MKT DATA'!Q1352</f>
        <v>0</v>
      </c>
      <c r="N319" s="9">
        <f>'MKT DATA'!R1352</f>
        <v>0</v>
      </c>
      <c r="O319" s="9">
        <f>'MKT DATA'!S1352</f>
        <v>0</v>
      </c>
      <c r="P319" s="9">
        <f>'MKT DATA'!T1352</f>
        <v>0</v>
      </c>
      <c r="Q319" s="44" t="str">
        <f t="shared" si="11"/>
        <v>syn BTCG7/BTCU6/BTCX6/BTCF7/BTCV6/BTCZ6</v>
      </c>
      <c r="R319" s="14">
        <f>'MKT DATA'!AB1352</f>
        <v>0</v>
      </c>
    </row>
    <row r="320" spans="5:18" x14ac:dyDescent="0.25">
      <c r="E320" s="44" t="str">
        <f>'MKT DATA'!B1353</f>
        <v>syn BTCG7/BTCU6/BTCF7/BTCV6/BTCX6/BTCZ6</v>
      </c>
      <c r="F320" s="14">
        <f>'MKT DATA'!J1353</f>
        <v>0</v>
      </c>
      <c r="G320" s="9">
        <f>'MKT DATA'!K1353</f>
        <v>0</v>
      </c>
      <c r="H320" s="9">
        <f>'MKT DATA'!L1353</f>
        <v>0</v>
      </c>
      <c r="I320" s="14">
        <f>'MKT DATA'!M1353</f>
        <v>0</v>
      </c>
      <c r="J320" s="44" t="str">
        <f t="shared" si="10"/>
        <v>syn BTCG7/BTCU6/BTCF7/BTCV6/BTCX6/BTCZ6</v>
      </c>
      <c r="K320" s="9">
        <f>'MKT DATA'!O1353</f>
        <v>0</v>
      </c>
      <c r="L320" s="9">
        <f>'MKT DATA'!P1353</f>
        <v>0</v>
      </c>
      <c r="M320" s="9">
        <f>'MKT DATA'!Q1353</f>
        <v>0</v>
      </c>
      <c r="N320" s="9">
        <f>'MKT DATA'!R1353</f>
        <v>0</v>
      </c>
      <c r="O320" s="9">
        <f>'MKT DATA'!S1353</f>
        <v>0</v>
      </c>
      <c r="P320" s="9">
        <f>'MKT DATA'!T1353</f>
        <v>0</v>
      </c>
      <c r="Q320" s="44" t="str">
        <f t="shared" si="11"/>
        <v>syn BTCG7/BTCU6/BTCF7/BTCV6/BTCX6/BTCZ6</v>
      </c>
      <c r="R320" s="14">
        <f>'MKT DATA'!AB1353</f>
        <v>0</v>
      </c>
    </row>
    <row r="321" spans="5:18" x14ac:dyDescent="0.25">
      <c r="E321" s="44" t="str">
        <f>'MKT DATA'!B1354</f>
        <v>syn BTCG7/BTCU6/BTCF7/BTCX6/BTCV6/BTCZ6</v>
      </c>
      <c r="F321" s="14">
        <f>'MKT DATA'!J1354</f>
        <v>0</v>
      </c>
      <c r="G321" s="9">
        <f>'MKT DATA'!K1354</f>
        <v>0</v>
      </c>
      <c r="H321" s="9">
        <f>'MKT DATA'!L1354</f>
        <v>0</v>
      </c>
      <c r="I321" s="14">
        <f>'MKT DATA'!M1354</f>
        <v>0</v>
      </c>
      <c r="J321" s="44" t="str">
        <f t="shared" si="10"/>
        <v>syn BTCG7/BTCU6/BTCF7/BTCX6/BTCV6/BTCZ6</v>
      </c>
      <c r="K321" s="9">
        <f>'MKT DATA'!O1354</f>
        <v>0</v>
      </c>
      <c r="L321" s="9">
        <f>'MKT DATA'!P1354</f>
        <v>0</v>
      </c>
      <c r="M321" s="9">
        <f>'MKT DATA'!Q1354</f>
        <v>0</v>
      </c>
      <c r="N321" s="9">
        <f>'MKT DATA'!R1354</f>
        <v>0</v>
      </c>
      <c r="O321" s="9">
        <f>'MKT DATA'!S1354</f>
        <v>0</v>
      </c>
      <c r="P321" s="9">
        <f>'MKT DATA'!T1354</f>
        <v>0</v>
      </c>
      <c r="Q321" s="44" t="str">
        <f t="shared" si="11"/>
        <v>syn BTCG7/BTCU6/BTCF7/BTCX6/BTCV6/BTCZ6</v>
      </c>
      <c r="R321" s="14">
        <f>'MKT DATA'!AB1354</f>
        <v>0</v>
      </c>
    </row>
    <row r="322" spans="5:18" x14ac:dyDescent="0.25">
      <c r="E322" s="44" t="str">
        <f>'MKT DATA'!B1355</f>
        <v>syn BTCG7/BTCV6/BTCU6/BTCX6/BTCF7/BTCZ6</v>
      </c>
      <c r="F322" s="14">
        <f>'MKT DATA'!J1355</f>
        <v>0</v>
      </c>
      <c r="G322" s="9">
        <f>'MKT DATA'!K1355</f>
        <v>0</v>
      </c>
      <c r="H322" s="9">
        <f>'MKT DATA'!L1355</f>
        <v>0</v>
      </c>
      <c r="I322" s="14">
        <f>'MKT DATA'!M1355</f>
        <v>0</v>
      </c>
      <c r="J322" s="44" t="str">
        <f t="shared" si="10"/>
        <v>syn BTCG7/BTCV6/BTCU6/BTCX6/BTCF7/BTCZ6</v>
      </c>
      <c r="K322" s="9">
        <f>'MKT DATA'!O1355</f>
        <v>0</v>
      </c>
      <c r="L322" s="9">
        <f>'MKT DATA'!P1355</f>
        <v>0</v>
      </c>
      <c r="M322" s="9">
        <f>'MKT DATA'!Q1355</f>
        <v>0</v>
      </c>
      <c r="N322" s="9">
        <f>'MKT DATA'!R1355</f>
        <v>0</v>
      </c>
      <c r="O322" s="9">
        <f>'MKT DATA'!S1355</f>
        <v>0</v>
      </c>
      <c r="P322" s="9">
        <f>'MKT DATA'!T1355</f>
        <v>0</v>
      </c>
      <c r="Q322" s="44" t="str">
        <f t="shared" si="11"/>
        <v>syn BTCG7/BTCV6/BTCU6/BTCX6/BTCF7/BTCZ6</v>
      </c>
      <c r="R322" s="14">
        <f>'MKT DATA'!AB1355</f>
        <v>0</v>
      </c>
    </row>
    <row r="323" spans="5:18" x14ac:dyDescent="0.25">
      <c r="E323" s="44" t="str">
        <f>'MKT DATA'!B1356</f>
        <v>syn BTCG7/BTCV6/BTCU6/BTCF7/BTCX6/BTCZ6</v>
      </c>
      <c r="F323" s="14">
        <f>'MKT DATA'!J1356</f>
        <v>0</v>
      </c>
      <c r="G323" s="9">
        <f>'MKT DATA'!K1356</f>
        <v>0</v>
      </c>
      <c r="H323" s="9">
        <f>'MKT DATA'!L1356</f>
        <v>0</v>
      </c>
      <c r="I323" s="14">
        <f>'MKT DATA'!M1356</f>
        <v>0</v>
      </c>
      <c r="J323" s="44" t="str">
        <f t="shared" si="10"/>
        <v>syn BTCG7/BTCV6/BTCU6/BTCF7/BTCX6/BTCZ6</v>
      </c>
      <c r="K323" s="9">
        <f>'MKT DATA'!O1356</f>
        <v>0</v>
      </c>
      <c r="L323" s="9">
        <f>'MKT DATA'!P1356</f>
        <v>0</v>
      </c>
      <c r="M323" s="9">
        <f>'MKT DATA'!Q1356</f>
        <v>0</v>
      </c>
      <c r="N323" s="9">
        <f>'MKT DATA'!R1356</f>
        <v>0</v>
      </c>
      <c r="O323" s="9">
        <f>'MKT DATA'!S1356</f>
        <v>0</v>
      </c>
      <c r="P323" s="9">
        <f>'MKT DATA'!T1356</f>
        <v>0</v>
      </c>
      <c r="Q323" s="44" t="str">
        <f t="shared" si="11"/>
        <v>syn BTCG7/BTCV6/BTCU6/BTCF7/BTCX6/BTCZ6</v>
      </c>
      <c r="R323" s="14">
        <f>'MKT DATA'!AB1356</f>
        <v>0</v>
      </c>
    </row>
    <row r="324" spans="5:18" x14ac:dyDescent="0.25">
      <c r="E324" s="44" t="str">
        <f>'MKT DATA'!B1357</f>
        <v>syn BTCG7/BTCV6/BTCX6/BTCU6/BTCF7/BTCZ6</v>
      </c>
      <c r="F324" s="14">
        <f>'MKT DATA'!J1357</f>
        <v>0</v>
      </c>
      <c r="G324" s="9">
        <f>'MKT DATA'!K1357</f>
        <v>0</v>
      </c>
      <c r="H324" s="9">
        <f>'MKT DATA'!L1357</f>
        <v>0</v>
      </c>
      <c r="I324" s="14">
        <f>'MKT DATA'!M1357</f>
        <v>0</v>
      </c>
      <c r="J324" s="44" t="str">
        <f t="shared" si="10"/>
        <v>syn BTCG7/BTCV6/BTCX6/BTCU6/BTCF7/BTCZ6</v>
      </c>
      <c r="K324" s="9">
        <f>'MKT DATA'!O1357</f>
        <v>0</v>
      </c>
      <c r="L324" s="9">
        <f>'MKT DATA'!P1357</f>
        <v>0</v>
      </c>
      <c r="M324" s="9">
        <f>'MKT DATA'!Q1357</f>
        <v>0</v>
      </c>
      <c r="N324" s="9">
        <f>'MKT DATA'!R1357</f>
        <v>0</v>
      </c>
      <c r="O324" s="9">
        <f>'MKT DATA'!S1357</f>
        <v>0</v>
      </c>
      <c r="P324" s="9">
        <f>'MKT DATA'!T1357</f>
        <v>0</v>
      </c>
      <c r="Q324" s="44" t="str">
        <f t="shared" si="11"/>
        <v>syn BTCG7/BTCV6/BTCX6/BTCU6/BTCF7/BTCZ6</v>
      </c>
      <c r="R324" s="14">
        <f>'MKT DATA'!AB1357</f>
        <v>0</v>
      </c>
    </row>
    <row r="325" spans="5:18" x14ac:dyDescent="0.25">
      <c r="E325" s="44" t="str">
        <f>'MKT DATA'!B1358</f>
        <v>syn BTCG7/BTCV6/BTCX6/BTCF7/BTCU6/BTCZ6</v>
      </c>
      <c r="F325" s="14">
        <f>'MKT DATA'!J1358</f>
        <v>0</v>
      </c>
      <c r="G325" s="9">
        <f>'MKT DATA'!K1358</f>
        <v>0</v>
      </c>
      <c r="H325" s="9">
        <f>'MKT DATA'!L1358</f>
        <v>0</v>
      </c>
      <c r="I325" s="14">
        <f>'MKT DATA'!M1358</f>
        <v>0</v>
      </c>
      <c r="J325" s="44" t="str">
        <f t="shared" si="10"/>
        <v>syn BTCG7/BTCV6/BTCX6/BTCF7/BTCU6/BTCZ6</v>
      </c>
      <c r="K325" s="9">
        <f>'MKT DATA'!O1358</f>
        <v>0</v>
      </c>
      <c r="L325" s="9">
        <f>'MKT DATA'!P1358</f>
        <v>0</v>
      </c>
      <c r="M325" s="9">
        <f>'MKT DATA'!Q1358</f>
        <v>0</v>
      </c>
      <c r="N325" s="9">
        <f>'MKT DATA'!R1358</f>
        <v>0</v>
      </c>
      <c r="O325" s="9">
        <f>'MKT DATA'!S1358</f>
        <v>0</v>
      </c>
      <c r="P325" s="9">
        <f>'MKT DATA'!T1358</f>
        <v>0</v>
      </c>
      <c r="Q325" s="44" t="str">
        <f t="shared" si="11"/>
        <v>syn BTCG7/BTCV6/BTCX6/BTCF7/BTCU6/BTCZ6</v>
      </c>
      <c r="R325" s="14">
        <f>'MKT DATA'!AB1358</f>
        <v>0</v>
      </c>
    </row>
    <row r="326" spans="5:18" x14ac:dyDescent="0.25">
      <c r="E326" s="44" t="str">
        <f>'MKT DATA'!B1359</f>
        <v>syn BTCG7/BTCV6/BTCF7/BTCU6/BTCX6/BTCZ6</v>
      </c>
      <c r="F326" s="14">
        <f>'MKT DATA'!J1359</f>
        <v>0</v>
      </c>
      <c r="G326" s="9">
        <f>'MKT DATA'!K1359</f>
        <v>0</v>
      </c>
      <c r="H326" s="9">
        <f>'MKT DATA'!L1359</f>
        <v>0</v>
      </c>
      <c r="I326" s="14">
        <f>'MKT DATA'!M1359</f>
        <v>0</v>
      </c>
      <c r="J326" s="44" t="str">
        <f t="shared" si="10"/>
        <v>syn BTCG7/BTCV6/BTCF7/BTCU6/BTCX6/BTCZ6</v>
      </c>
      <c r="K326" s="9">
        <f>'MKT DATA'!O1359</f>
        <v>0</v>
      </c>
      <c r="L326" s="9">
        <f>'MKT DATA'!P1359</f>
        <v>0</v>
      </c>
      <c r="M326" s="9">
        <f>'MKT DATA'!Q1359</f>
        <v>0</v>
      </c>
      <c r="N326" s="9">
        <f>'MKT DATA'!R1359</f>
        <v>0</v>
      </c>
      <c r="O326" s="9">
        <f>'MKT DATA'!S1359</f>
        <v>0</v>
      </c>
      <c r="P326" s="9">
        <f>'MKT DATA'!T1359</f>
        <v>0</v>
      </c>
      <c r="Q326" s="44" t="str">
        <f t="shared" si="11"/>
        <v>syn BTCG7/BTCV6/BTCF7/BTCU6/BTCX6/BTCZ6</v>
      </c>
      <c r="R326" s="14">
        <f>'MKT DATA'!AB1359</f>
        <v>0</v>
      </c>
    </row>
    <row r="327" spans="5:18" x14ac:dyDescent="0.25">
      <c r="E327" s="44" t="str">
        <f>'MKT DATA'!B1360</f>
        <v>syn BTCG7/BTCV6/BTCF7/BTCX6/BTCU6/BTCZ6</v>
      </c>
      <c r="F327" s="14">
        <f>'MKT DATA'!J1360</f>
        <v>0</v>
      </c>
      <c r="G327" s="9">
        <f>'MKT DATA'!K1360</f>
        <v>0</v>
      </c>
      <c r="H327" s="9">
        <f>'MKT DATA'!L1360</f>
        <v>0</v>
      </c>
      <c r="I327" s="14">
        <f>'MKT DATA'!M1360</f>
        <v>0</v>
      </c>
      <c r="J327" s="44" t="str">
        <f t="shared" si="10"/>
        <v>syn BTCG7/BTCV6/BTCF7/BTCX6/BTCU6/BTCZ6</v>
      </c>
      <c r="K327" s="9">
        <f>'MKT DATA'!O1360</f>
        <v>0</v>
      </c>
      <c r="L327" s="9">
        <f>'MKT DATA'!P1360</f>
        <v>0</v>
      </c>
      <c r="M327" s="9">
        <f>'MKT DATA'!Q1360</f>
        <v>0</v>
      </c>
      <c r="N327" s="9">
        <f>'MKT DATA'!R1360</f>
        <v>0</v>
      </c>
      <c r="O327" s="9">
        <f>'MKT DATA'!S1360</f>
        <v>0</v>
      </c>
      <c r="P327" s="9">
        <f>'MKT DATA'!T1360</f>
        <v>0</v>
      </c>
      <c r="Q327" s="44" t="str">
        <f t="shared" si="11"/>
        <v>syn BTCG7/BTCV6/BTCF7/BTCX6/BTCU6/BTCZ6</v>
      </c>
      <c r="R327" s="14">
        <f>'MKT DATA'!AB1360</f>
        <v>0</v>
      </c>
    </row>
    <row r="328" spans="5:18" x14ac:dyDescent="0.25">
      <c r="E328" s="44" t="str">
        <f>'MKT DATA'!B1361</f>
        <v>syn BTCG7/BTCX6/BTCU6/BTCV6/BTCF7/BTCZ6</v>
      </c>
      <c r="F328" s="14">
        <f>'MKT DATA'!J1361</f>
        <v>0</v>
      </c>
      <c r="G328" s="9">
        <f>'MKT DATA'!K1361</f>
        <v>0</v>
      </c>
      <c r="H328" s="9">
        <f>'MKT DATA'!L1361</f>
        <v>0</v>
      </c>
      <c r="I328" s="14">
        <f>'MKT DATA'!M1361</f>
        <v>0</v>
      </c>
      <c r="J328" s="44" t="str">
        <f t="shared" si="10"/>
        <v>syn BTCG7/BTCX6/BTCU6/BTCV6/BTCF7/BTCZ6</v>
      </c>
      <c r="K328" s="9">
        <f>'MKT DATA'!O1361</f>
        <v>0</v>
      </c>
      <c r="L328" s="9">
        <f>'MKT DATA'!P1361</f>
        <v>0</v>
      </c>
      <c r="M328" s="9">
        <f>'MKT DATA'!Q1361</f>
        <v>0</v>
      </c>
      <c r="N328" s="9">
        <f>'MKT DATA'!R1361</f>
        <v>0</v>
      </c>
      <c r="O328" s="9">
        <f>'MKT DATA'!S1361</f>
        <v>0</v>
      </c>
      <c r="P328" s="9">
        <f>'MKT DATA'!T1361</f>
        <v>0</v>
      </c>
      <c r="Q328" s="44" t="str">
        <f t="shared" si="11"/>
        <v>syn BTCG7/BTCX6/BTCU6/BTCV6/BTCF7/BTCZ6</v>
      </c>
      <c r="R328" s="14">
        <f>'MKT DATA'!AB1361</f>
        <v>0</v>
      </c>
    </row>
    <row r="329" spans="5:18" x14ac:dyDescent="0.25">
      <c r="E329" s="44" t="str">
        <f>'MKT DATA'!B1362</f>
        <v>syn BTCG7/BTCX6/BTCU6/BTCF7/BTCV6/BTCZ6</v>
      </c>
      <c r="F329" s="14">
        <f>'MKT DATA'!J1362</f>
        <v>0</v>
      </c>
      <c r="G329" s="9">
        <f>'MKT DATA'!K1362</f>
        <v>0</v>
      </c>
      <c r="H329" s="9">
        <f>'MKT DATA'!L1362</f>
        <v>0</v>
      </c>
      <c r="I329" s="14">
        <f>'MKT DATA'!M1362</f>
        <v>0</v>
      </c>
      <c r="J329" s="44" t="str">
        <f t="shared" si="10"/>
        <v>syn BTCG7/BTCX6/BTCU6/BTCF7/BTCV6/BTCZ6</v>
      </c>
      <c r="K329" s="9">
        <f>'MKT DATA'!O1362</f>
        <v>0</v>
      </c>
      <c r="L329" s="9">
        <f>'MKT DATA'!P1362</f>
        <v>0</v>
      </c>
      <c r="M329" s="9">
        <f>'MKT DATA'!Q1362</f>
        <v>0</v>
      </c>
      <c r="N329" s="9">
        <f>'MKT DATA'!R1362</f>
        <v>0</v>
      </c>
      <c r="O329" s="9">
        <f>'MKT DATA'!S1362</f>
        <v>0</v>
      </c>
      <c r="P329" s="9">
        <f>'MKT DATA'!T1362</f>
        <v>0</v>
      </c>
      <c r="Q329" s="44" t="str">
        <f t="shared" si="11"/>
        <v>syn BTCG7/BTCX6/BTCU6/BTCF7/BTCV6/BTCZ6</v>
      </c>
      <c r="R329" s="14">
        <f>'MKT DATA'!AB1362</f>
        <v>0</v>
      </c>
    </row>
    <row r="330" spans="5:18" x14ac:dyDescent="0.25">
      <c r="E330" s="44" t="str">
        <f>'MKT DATA'!B1363</f>
        <v>syn BTCG7/BTCX6/BTCV6/BTCU6/BTCF7/BTCZ6</v>
      </c>
      <c r="F330" s="14">
        <f>'MKT DATA'!J1363</f>
        <v>0</v>
      </c>
      <c r="G330" s="9">
        <f>'MKT DATA'!K1363</f>
        <v>0</v>
      </c>
      <c r="H330" s="9">
        <f>'MKT DATA'!L1363</f>
        <v>0</v>
      </c>
      <c r="I330" s="14">
        <f>'MKT DATA'!M1363</f>
        <v>0</v>
      </c>
      <c r="J330" s="44" t="str">
        <f t="shared" ref="J330:J333" si="12">E330</f>
        <v>syn BTCG7/BTCX6/BTCV6/BTCU6/BTCF7/BTCZ6</v>
      </c>
      <c r="K330" s="9">
        <f>'MKT DATA'!O1363</f>
        <v>0</v>
      </c>
      <c r="L330" s="9">
        <f>'MKT DATA'!P1363</f>
        <v>0</v>
      </c>
      <c r="M330" s="9">
        <f>'MKT DATA'!Q1363</f>
        <v>0</v>
      </c>
      <c r="N330" s="9">
        <f>'MKT DATA'!R1363</f>
        <v>0</v>
      </c>
      <c r="O330" s="9">
        <f>'MKT DATA'!S1363</f>
        <v>0</v>
      </c>
      <c r="P330" s="9">
        <f>'MKT DATA'!T1363</f>
        <v>0</v>
      </c>
      <c r="Q330" s="44" t="str">
        <f t="shared" ref="Q330:Q333" si="13">J330</f>
        <v>syn BTCG7/BTCX6/BTCV6/BTCU6/BTCF7/BTCZ6</v>
      </c>
      <c r="R330" s="14">
        <f>'MKT DATA'!AB1363</f>
        <v>0</v>
      </c>
    </row>
    <row r="331" spans="5:18" x14ac:dyDescent="0.25">
      <c r="E331" s="44" t="str">
        <f>'MKT DATA'!B1364</f>
        <v>syn BTCG7/BTCX6/BTCV6/BTCF7/BTCU6/BTCZ6</v>
      </c>
      <c r="F331" s="14">
        <f>'MKT DATA'!J1364</f>
        <v>0</v>
      </c>
      <c r="G331" s="9">
        <f>'MKT DATA'!K1364</f>
        <v>0</v>
      </c>
      <c r="H331" s="9">
        <f>'MKT DATA'!L1364</f>
        <v>0</v>
      </c>
      <c r="I331" s="14">
        <f>'MKT DATA'!M1364</f>
        <v>0</v>
      </c>
      <c r="J331" s="44" t="str">
        <f t="shared" si="12"/>
        <v>syn BTCG7/BTCX6/BTCV6/BTCF7/BTCU6/BTCZ6</v>
      </c>
      <c r="K331" s="9">
        <f>'MKT DATA'!O1364</f>
        <v>0</v>
      </c>
      <c r="L331" s="9">
        <f>'MKT DATA'!P1364</f>
        <v>0</v>
      </c>
      <c r="M331" s="9">
        <f>'MKT DATA'!Q1364</f>
        <v>0</v>
      </c>
      <c r="N331" s="9">
        <f>'MKT DATA'!R1364</f>
        <v>0</v>
      </c>
      <c r="O331" s="9">
        <f>'MKT DATA'!S1364</f>
        <v>0</v>
      </c>
      <c r="P331" s="9">
        <f>'MKT DATA'!T1364</f>
        <v>0</v>
      </c>
      <c r="Q331" s="44" t="str">
        <f t="shared" si="13"/>
        <v>syn BTCG7/BTCX6/BTCV6/BTCF7/BTCU6/BTCZ6</v>
      </c>
      <c r="R331" s="14">
        <f>'MKT DATA'!AB1364</f>
        <v>0</v>
      </c>
    </row>
    <row r="332" spans="5:18" x14ac:dyDescent="0.25">
      <c r="E332" s="44" t="str">
        <f>'MKT DATA'!B1365</f>
        <v>syn BTCG7/BTCX6/BTCF7/BTCU6/BTCV6/BTCZ6</v>
      </c>
      <c r="F332" s="14">
        <f>'MKT DATA'!J1365</f>
        <v>0</v>
      </c>
      <c r="G332" s="9">
        <f>'MKT DATA'!K1365</f>
        <v>0</v>
      </c>
      <c r="H332" s="9">
        <f>'MKT DATA'!L1365</f>
        <v>0</v>
      </c>
      <c r="I332" s="14">
        <f>'MKT DATA'!M1365</f>
        <v>0</v>
      </c>
      <c r="J332" s="44" t="str">
        <f t="shared" si="12"/>
        <v>syn BTCG7/BTCX6/BTCF7/BTCU6/BTCV6/BTCZ6</v>
      </c>
      <c r="K332" s="9">
        <f>'MKT DATA'!O1365</f>
        <v>0</v>
      </c>
      <c r="L332" s="9">
        <f>'MKT DATA'!P1365</f>
        <v>0</v>
      </c>
      <c r="M332" s="9">
        <f>'MKT DATA'!Q1365</f>
        <v>0</v>
      </c>
      <c r="N332" s="9">
        <f>'MKT DATA'!R1365</f>
        <v>0</v>
      </c>
      <c r="O332" s="9">
        <f>'MKT DATA'!S1365</f>
        <v>0</v>
      </c>
      <c r="P332" s="9">
        <f>'MKT DATA'!T1365</f>
        <v>0</v>
      </c>
      <c r="Q332" s="44" t="str">
        <f t="shared" si="13"/>
        <v>syn BTCG7/BTCX6/BTCF7/BTCU6/BTCV6/BTCZ6</v>
      </c>
      <c r="R332" s="14">
        <f>'MKT DATA'!AB1365</f>
        <v>0</v>
      </c>
    </row>
    <row r="333" spans="5:18" x14ac:dyDescent="0.25">
      <c r="E333" s="44" t="str">
        <f>'MKT DATA'!B1366</f>
        <v>syn BTCG7/BTCX6/BTCF7/BTCV6/BTCU6/BTCZ6</v>
      </c>
      <c r="F333" s="14">
        <f>'MKT DATA'!J1366</f>
        <v>0</v>
      </c>
      <c r="G333" s="9">
        <f>'MKT DATA'!K1366</f>
        <v>0</v>
      </c>
      <c r="H333" s="9">
        <f>'MKT DATA'!L1366</f>
        <v>0</v>
      </c>
      <c r="I333" s="14">
        <f>'MKT DATA'!M1366</f>
        <v>0</v>
      </c>
      <c r="J333" s="44" t="str">
        <f t="shared" si="12"/>
        <v>syn BTCG7/BTCX6/BTCF7/BTCV6/BTCU6/BTCZ6</v>
      </c>
      <c r="K333" s="9">
        <f>'MKT DATA'!O1366</f>
        <v>0</v>
      </c>
      <c r="L333" s="9">
        <f>'MKT DATA'!P1366</f>
        <v>0</v>
      </c>
      <c r="M333" s="9">
        <f>'MKT DATA'!Q1366</f>
        <v>0</v>
      </c>
      <c r="N333" s="9">
        <f>'MKT DATA'!R1366</f>
        <v>0</v>
      </c>
      <c r="O333" s="9">
        <f>'MKT DATA'!S1366</f>
        <v>0</v>
      </c>
      <c r="P333" s="9">
        <f>'MKT DATA'!T1366</f>
        <v>0</v>
      </c>
      <c r="Q333" s="44" t="str">
        <f t="shared" si="13"/>
        <v>syn BTCG7/BTCX6/BTCF7/BTCV6/BTCU6/BTCZ6</v>
      </c>
      <c r="R333" s="14">
        <f>'MKT DATA'!AB1366</f>
        <v>0</v>
      </c>
    </row>
    <row r="334" spans="5:18" x14ac:dyDescent="0.25">
      <c r="E334" s="44" t="str">
        <f>'MKT DATA'!B1367</f>
        <v>syn BTCG7/BTCF7/BTCU6/BTCV6/BTCX6/BTCZ6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BTCG7/BTCF7/BTCU6/BTCV6/BTCX6/BTCZ6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BTCG7/BTCF7/BTCU6/BTCV6/BTCX6/BTCZ6</v>
      </c>
      <c r="R334" s="14">
        <f>'MKT DATA'!AB1367</f>
        <v>0</v>
      </c>
    </row>
    <row r="335" spans="5:18" x14ac:dyDescent="0.25">
      <c r="E335" s="44" t="str">
        <f>'MKT DATA'!B1368</f>
        <v>syn BTCG7/BTCF7/BTCU6/BTCX6/BTCV6/BTCZ6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BTCG7/BTCF7/BTCU6/BTCX6/BTCV6/BTCZ6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BTCG7/BTCF7/BTCU6/BTCX6/BTCV6/BTCZ6</v>
      </c>
      <c r="R335" s="14">
        <f>'MKT DATA'!AB1368</f>
        <v>0</v>
      </c>
    </row>
    <row r="336" spans="5:18" x14ac:dyDescent="0.25">
      <c r="E336" s="44" t="str">
        <f>'MKT DATA'!B1369</f>
        <v>syn BTCG7/BTCF7/BTCV6/BTCU6/BTCX6/BTCZ6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BTCG7/BTCF7/BTCV6/BTCU6/BTCX6/BTCZ6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BTCG7/BTCF7/BTCV6/BTCU6/BTCX6/BTCZ6</v>
      </c>
      <c r="R336" s="14">
        <f>'MKT DATA'!AB1369</f>
        <v>0</v>
      </c>
    </row>
    <row r="337" spans="5:18" x14ac:dyDescent="0.25">
      <c r="E337" s="44" t="str">
        <f>'MKT DATA'!B1370</f>
        <v>syn BTCG7/BTCF7/BTCV6/BTCX6/BTCU6/BTCZ6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BTCG7/BTCF7/BTCV6/BTCX6/BTCU6/BTCZ6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BTCG7/BTCF7/BTCV6/BTCX6/BTCU6/BTCZ6</v>
      </c>
      <c r="R337" s="14">
        <f>'MKT DATA'!AB1370</f>
        <v>0</v>
      </c>
    </row>
    <row r="338" spans="5:18" x14ac:dyDescent="0.25">
      <c r="E338" s="44" t="str">
        <f>'MKT DATA'!B1371</f>
        <v>syn BTCG7/BTCF7/BTCX6/BTCU6/BTCV6/BTCZ6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BTCG7/BTCF7/BTCX6/BTCU6/BTCV6/BTCZ6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BTCG7/BTCF7/BTCX6/BTCU6/BTCV6/BTCZ6</v>
      </c>
      <c r="R338" s="14">
        <f>'MKT DATA'!AB1371</f>
        <v>0</v>
      </c>
    </row>
    <row r="339" spans="5:18" x14ac:dyDescent="0.25">
      <c r="E339" s="44" t="str">
        <f>'MKT DATA'!B1372</f>
        <v>syn BTCG7/BTCF7/BTCX6/BTCV6/BTCU6/BTCZ6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BTCG7/BTCF7/BTCX6/BTCV6/BTCU6/BTCZ6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BTCG7/BTCF7/BTCX6/BTCV6/BTCU6/BTCZ6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0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0</v>
      </c>
      <c r="I2" s="57"/>
      <c r="J2" s="59"/>
      <c r="K2" s="58"/>
      <c r="L2" s="58"/>
      <c r="M2" s="58">
        <f>'MKT DATA'!Q8-M1</f>
        <v>-2.504</v>
      </c>
      <c r="N2" s="58">
        <f>'MKT DATA'!R8-N1</f>
        <v>-2.504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0</v>
      </c>
      <c r="I4" s="58">
        <f>H4-(G14-H14)</f>
        <v>0</v>
      </c>
      <c r="J4" s="44" t="s">
        <v>5</v>
      </c>
      <c r="L4" s="14"/>
      <c r="M4" s="51"/>
      <c r="N4" s="49">
        <f>N1+M1</f>
        <v>0</v>
      </c>
      <c r="O4" s="58">
        <f>(N14+M14)-N4</f>
        <v>-5.008</v>
      </c>
    </row>
    <row r="5" spans="1:24" x14ac:dyDescent="0.25">
      <c r="E5" s="44" t="s">
        <v>6</v>
      </c>
      <c r="G5" s="9">
        <f>G9-G11</f>
        <v>0</v>
      </c>
      <c r="H5" s="9">
        <f>H9-H11</f>
        <v>0</v>
      </c>
      <c r="J5" s="44" t="s">
        <v>6</v>
      </c>
      <c r="M5" s="9">
        <f>M9-M11</f>
        <v>2.504</v>
      </c>
      <c r="N5" s="9">
        <f>N9-N11</f>
        <v>2.504</v>
      </c>
    </row>
    <row r="6" spans="1:24" x14ac:dyDescent="0.25">
      <c r="E6" s="44" t="s">
        <v>7</v>
      </c>
      <c r="G6" s="9">
        <f>G9-G10</f>
        <v>0</v>
      </c>
      <c r="H6" s="9">
        <f>H9-H10</f>
        <v>0</v>
      </c>
      <c r="J6" s="44" t="s">
        <v>7</v>
      </c>
      <c r="M6" s="9">
        <f>M9-M10</f>
        <v>7.6809815950920242E-3</v>
      </c>
      <c r="N6" s="9">
        <f>N9-N10</f>
        <v>7.6809815950920242E-3</v>
      </c>
    </row>
    <row r="7" spans="1:24" x14ac:dyDescent="0.25">
      <c r="E7" s="44" t="s">
        <v>8</v>
      </c>
      <c r="G7" s="9">
        <f>G10-G11</f>
        <v>0</v>
      </c>
      <c r="H7" s="9">
        <f>H10-H11</f>
        <v>0</v>
      </c>
      <c r="J7" s="44" t="s">
        <v>8</v>
      </c>
      <c r="M7" s="9">
        <f>M10-M11</f>
        <v>2.496319018404908</v>
      </c>
      <c r="N7" s="9">
        <f>N10-N11</f>
        <v>2.496319018404908</v>
      </c>
    </row>
    <row r="9" spans="1:24" x14ac:dyDescent="0.25">
      <c r="E9" s="44" t="s">
        <v>1</v>
      </c>
      <c r="G9" s="9">
        <f>MAX(G$14:G$339)</f>
        <v>0</v>
      </c>
      <c r="H9" s="9">
        <f>MAX(H$14:H$339)</f>
        <v>0</v>
      </c>
      <c r="J9" s="44" t="str">
        <f>E9</f>
        <v>max</v>
      </c>
      <c r="L9" s="9">
        <f>MAX(L$14:L$339)</f>
        <v>0</v>
      </c>
      <c r="M9" s="9">
        <f>MAX(M$14:M$339)</f>
        <v>0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0</v>
      </c>
      <c r="H10" s="9">
        <f>AVERAGE(H$14:H$339)</f>
        <v>0</v>
      </c>
      <c r="J10" s="44" t="str">
        <f t="shared" ref="J10" si="0">E10</f>
        <v>avg</v>
      </c>
      <c r="L10" s="9">
        <f>AVERAGE(L$14:L$339)</f>
        <v>0</v>
      </c>
      <c r="M10" s="9">
        <f>AVERAGE(M$14:M$339)</f>
        <v>-7.6809815950920242E-3</v>
      </c>
      <c r="N10" s="9">
        <f>AVERAGE(N$14:N$339)</f>
        <v>-7.6809815950920242E-3</v>
      </c>
      <c r="O10" s="9">
        <f>AVERAGE(O$14:O$339)</f>
        <v>0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-2.504</v>
      </c>
      <c r="N11" s="9">
        <f>MIN(N$14:N$339)</f>
        <v>-2.504</v>
      </c>
      <c r="O11" s="9">
        <f>MIN(O$14:O$339)</f>
        <v>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BTCF7</v>
      </c>
      <c r="F14" s="14">
        <f>'MKT DATA'!J35</f>
        <v>0</v>
      </c>
      <c r="G14" s="9">
        <f>'MKT DATA'!K35</f>
        <v>0</v>
      </c>
      <c r="H14" s="9">
        <f>'MKT DATA'!L35</f>
        <v>0</v>
      </c>
      <c r="I14" s="14">
        <f>'MKT DATA'!M35</f>
        <v>0</v>
      </c>
      <c r="J14" s="44" t="str">
        <f>E14</f>
        <v>BTCF7</v>
      </c>
      <c r="K14" s="9">
        <f>'MKT DATA'!O35</f>
        <v>2.504</v>
      </c>
      <c r="L14" s="9">
        <f>'MKT DATA'!P35</f>
        <v>0</v>
      </c>
      <c r="M14" s="9">
        <f>'MKT DATA'!Q35</f>
        <v>-2.504</v>
      </c>
      <c r="N14" s="9">
        <f>'MKT DATA'!R35</f>
        <v>-2.504</v>
      </c>
      <c r="O14" s="9">
        <f>'MKT DATA'!S35</f>
        <v>0</v>
      </c>
      <c r="P14" s="9">
        <f>'MKT DATA'!T35</f>
        <v>2.504</v>
      </c>
      <c r="Q14" s="44" t="str">
        <f>J14</f>
        <v>BTCF7</v>
      </c>
      <c r="R14" s="14">
        <f>'MKT DATA'!AB35</f>
        <v>0</v>
      </c>
    </row>
    <row r="15" spans="1:24" x14ac:dyDescent="0.25">
      <c r="E15" s="44" t="str">
        <f>'MKT DATA'!B1373</f>
        <v>syn BTCU6/BTCF7</v>
      </c>
      <c r="F15" s="14">
        <f>'MKT DATA'!J1373</f>
        <v>0</v>
      </c>
      <c r="G15" s="9">
        <f>'MKT DATA'!K1373</f>
        <v>0</v>
      </c>
      <c r="H15" s="9">
        <f>'MKT DATA'!L1373</f>
        <v>0</v>
      </c>
      <c r="I15" s="14">
        <f>'MKT DATA'!M1373</f>
        <v>0</v>
      </c>
      <c r="J15" s="44" t="str">
        <f t="shared" ref="J15:J73" si="2">E15</f>
        <v>syn BTCU6/BTCF7</v>
      </c>
      <c r="K15" s="9">
        <f>'MKT DATA'!O1373</f>
        <v>0</v>
      </c>
      <c r="L15" s="9">
        <f>'MKT DATA'!P1373</f>
        <v>0</v>
      </c>
      <c r="M15" s="9">
        <f>'MKT DATA'!Q1373</f>
        <v>0</v>
      </c>
      <c r="N15" s="9">
        <f>'MKT DATA'!R1373</f>
        <v>0</v>
      </c>
      <c r="O15" s="9">
        <f>'MKT DATA'!S1373</f>
        <v>0</v>
      </c>
      <c r="P15" s="9">
        <f>'MKT DATA'!T1373</f>
        <v>0</v>
      </c>
      <c r="Q15" s="44" t="str">
        <f t="shared" ref="Q15:Q73" si="3">J15</f>
        <v>syn BTCU6/BTCF7</v>
      </c>
      <c r="R15" s="14">
        <f>'MKT DATA'!AB1373</f>
        <v>0</v>
      </c>
    </row>
    <row r="16" spans="1:24" x14ac:dyDescent="0.25">
      <c r="E16" s="44" t="str">
        <f>'MKT DATA'!B1374</f>
        <v>syn BTCV6/BTCF7</v>
      </c>
      <c r="F16" s="14">
        <f>'MKT DATA'!J1374</f>
        <v>0</v>
      </c>
      <c r="G16" s="9">
        <f>'MKT DATA'!K1374</f>
        <v>0</v>
      </c>
      <c r="H16" s="9">
        <f>'MKT DATA'!L1374</f>
        <v>0</v>
      </c>
      <c r="I16" s="14">
        <f>'MKT DATA'!M1374</f>
        <v>0</v>
      </c>
      <c r="J16" s="44" t="str">
        <f>E16</f>
        <v>syn BTCV6/BTCF7</v>
      </c>
      <c r="K16" s="9">
        <f>'MKT DATA'!O1374</f>
        <v>0</v>
      </c>
      <c r="L16" s="9">
        <f>'MKT DATA'!P1374</f>
        <v>0</v>
      </c>
      <c r="M16" s="9">
        <f>'MKT DATA'!Q1374</f>
        <v>0</v>
      </c>
      <c r="N16" s="9">
        <f>'MKT DATA'!R1374</f>
        <v>0</v>
      </c>
      <c r="O16" s="9">
        <f>'MKT DATA'!S1374</f>
        <v>0</v>
      </c>
      <c r="P16" s="9">
        <f>'MKT DATA'!T1374</f>
        <v>0</v>
      </c>
      <c r="Q16" s="44" t="str">
        <f t="shared" si="3"/>
        <v>syn BTCV6/BTCF7</v>
      </c>
      <c r="R16" s="14">
        <f>'MKT DATA'!AB1374</f>
        <v>0</v>
      </c>
    </row>
    <row r="17" spans="5:18" x14ac:dyDescent="0.25">
      <c r="E17" s="44" t="str">
        <f>'MKT DATA'!B1375</f>
        <v>syn BTCX6/BTCF7</v>
      </c>
      <c r="F17" s="14">
        <f>'MKT DATA'!J1375</f>
        <v>0</v>
      </c>
      <c r="G17" s="9">
        <f>'MKT DATA'!K1375</f>
        <v>0</v>
      </c>
      <c r="H17" s="9">
        <f>'MKT DATA'!L1375</f>
        <v>0</v>
      </c>
      <c r="I17" s="14">
        <f>'MKT DATA'!M1375</f>
        <v>0</v>
      </c>
      <c r="J17" s="44" t="str">
        <f t="shared" si="2"/>
        <v>syn BTCX6/BTCF7</v>
      </c>
      <c r="K17" s="9">
        <f>'MKT DATA'!O1375</f>
        <v>0</v>
      </c>
      <c r="L17" s="9">
        <f>'MKT DATA'!P1375</f>
        <v>0</v>
      </c>
      <c r="M17" s="9">
        <f>'MKT DATA'!Q1375</f>
        <v>0</v>
      </c>
      <c r="N17" s="9">
        <f>'MKT DATA'!R1375</f>
        <v>0</v>
      </c>
      <c r="O17" s="9">
        <f>'MKT DATA'!S1375</f>
        <v>0</v>
      </c>
      <c r="P17" s="9">
        <f>'MKT DATA'!T1375</f>
        <v>0</v>
      </c>
      <c r="Q17" s="44" t="str">
        <f t="shared" si="3"/>
        <v>syn BTCX6/BTCF7</v>
      </c>
      <c r="R17" s="14">
        <f>'MKT DATA'!AB1375</f>
        <v>0</v>
      </c>
    </row>
    <row r="18" spans="5:18" x14ac:dyDescent="0.25">
      <c r="E18" s="44" t="str">
        <f>'MKT DATA'!B1376</f>
        <v>syn BTCZ6/BTCF7</v>
      </c>
      <c r="F18" s="14">
        <f>'MKT DATA'!J1376</f>
        <v>0</v>
      </c>
      <c r="G18" s="9">
        <f>'MKT DATA'!K1376</f>
        <v>0</v>
      </c>
      <c r="H18" s="9">
        <f>'MKT DATA'!L1376</f>
        <v>0</v>
      </c>
      <c r="I18" s="14">
        <f>'MKT DATA'!M1376</f>
        <v>0</v>
      </c>
      <c r="J18" s="44" t="str">
        <f t="shared" si="2"/>
        <v>syn BTCZ6/BTCF7</v>
      </c>
      <c r="K18" s="9">
        <f>'MKT DATA'!O1376</f>
        <v>0</v>
      </c>
      <c r="L18" s="9">
        <f>'MKT DATA'!P1376</f>
        <v>0</v>
      </c>
      <c r="M18" s="9">
        <f>'MKT DATA'!Q1376</f>
        <v>0</v>
      </c>
      <c r="N18" s="9">
        <f>'MKT DATA'!R1376</f>
        <v>0</v>
      </c>
      <c r="O18" s="9">
        <f>'MKT DATA'!S1376</f>
        <v>0</v>
      </c>
      <c r="P18" s="9">
        <f>'MKT DATA'!T1376</f>
        <v>0</v>
      </c>
      <c r="Q18" s="44" t="str">
        <f t="shared" si="3"/>
        <v>syn BTCZ6/BTCF7</v>
      </c>
      <c r="R18" s="14">
        <f>'MKT DATA'!AB1376</f>
        <v>0</v>
      </c>
    </row>
    <row r="19" spans="5:18" x14ac:dyDescent="0.25">
      <c r="E19" s="44" t="str">
        <f>'MKT DATA'!B1377</f>
        <v>syn BTCG7/BTCF7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BTCG7/BTCF7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BTCG7/BTCF7</v>
      </c>
      <c r="R19" s="14">
        <f>'MKT DATA'!AB1377</f>
        <v>0</v>
      </c>
    </row>
    <row r="20" spans="5:18" x14ac:dyDescent="0.25">
      <c r="E20" s="44" t="str">
        <f>'MKT DATA'!B1378</f>
        <v>syn BTCU6/BTCV6/BTCF7</v>
      </c>
      <c r="F20" s="14">
        <f>'MKT DATA'!J1378</f>
        <v>0</v>
      </c>
      <c r="G20" s="9">
        <f>'MKT DATA'!K1378</f>
        <v>0</v>
      </c>
      <c r="H20" s="9">
        <f>'MKT DATA'!L1378</f>
        <v>0</v>
      </c>
      <c r="I20" s="14">
        <f>'MKT DATA'!M1378</f>
        <v>0</v>
      </c>
      <c r="J20" s="44" t="str">
        <f t="shared" si="2"/>
        <v>syn BTCU6/BTCV6/BTCF7</v>
      </c>
      <c r="K20" s="9">
        <f>'MKT DATA'!O1378</f>
        <v>0</v>
      </c>
      <c r="L20" s="9">
        <f>'MKT DATA'!P1378</f>
        <v>0</v>
      </c>
      <c r="M20" s="9">
        <f>'MKT DATA'!Q1378</f>
        <v>0</v>
      </c>
      <c r="N20" s="9">
        <f>'MKT DATA'!R1378</f>
        <v>0</v>
      </c>
      <c r="O20" s="9">
        <f>'MKT DATA'!S1378</f>
        <v>0</v>
      </c>
      <c r="P20" s="9">
        <f>'MKT DATA'!T1378</f>
        <v>0</v>
      </c>
      <c r="Q20" s="44" t="str">
        <f t="shared" si="3"/>
        <v>syn BTCU6/BTCV6/BTCF7</v>
      </c>
      <c r="R20" s="14">
        <f>'MKT DATA'!AB1378</f>
        <v>0</v>
      </c>
    </row>
    <row r="21" spans="5:18" x14ac:dyDescent="0.25">
      <c r="E21" s="44" t="str">
        <f>'MKT DATA'!B1379</f>
        <v>syn BTCU6/BTCX6/BTCF7</v>
      </c>
      <c r="F21" s="14">
        <f>'MKT DATA'!J1379</f>
        <v>0</v>
      </c>
      <c r="G21" s="9">
        <f>'MKT DATA'!K1379</f>
        <v>0</v>
      </c>
      <c r="H21" s="9">
        <f>'MKT DATA'!L1379</f>
        <v>0</v>
      </c>
      <c r="I21" s="14">
        <f>'MKT DATA'!M1379</f>
        <v>0</v>
      </c>
      <c r="J21" s="44" t="str">
        <f t="shared" si="2"/>
        <v>syn BTCU6/BTCX6/BTCF7</v>
      </c>
      <c r="K21" s="9">
        <f>'MKT DATA'!O1379</f>
        <v>0</v>
      </c>
      <c r="L21" s="9">
        <f>'MKT DATA'!P1379</f>
        <v>0</v>
      </c>
      <c r="M21" s="9">
        <f>'MKT DATA'!Q1379</f>
        <v>0</v>
      </c>
      <c r="N21" s="9">
        <f>'MKT DATA'!R1379</f>
        <v>0</v>
      </c>
      <c r="O21" s="9">
        <f>'MKT DATA'!S1379</f>
        <v>0</v>
      </c>
      <c r="P21" s="9">
        <f>'MKT DATA'!T1379</f>
        <v>0</v>
      </c>
      <c r="Q21" s="44" t="str">
        <f t="shared" si="3"/>
        <v>syn BTCU6/BTCX6/BTCF7</v>
      </c>
      <c r="R21" s="14">
        <f>'MKT DATA'!AB1379</f>
        <v>0</v>
      </c>
    </row>
    <row r="22" spans="5:18" x14ac:dyDescent="0.25">
      <c r="E22" s="44" t="str">
        <f>'MKT DATA'!B1380</f>
        <v>syn BTCU6/BTCZ6/BTCF7</v>
      </c>
      <c r="F22" s="14">
        <f>'MKT DATA'!J1380</f>
        <v>0</v>
      </c>
      <c r="G22" s="9">
        <f>'MKT DATA'!K1380</f>
        <v>0</v>
      </c>
      <c r="H22" s="9">
        <f>'MKT DATA'!L1380</f>
        <v>0</v>
      </c>
      <c r="I22" s="14">
        <f>'MKT DATA'!M1380</f>
        <v>0</v>
      </c>
      <c r="J22" s="44" t="str">
        <f t="shared" si="2"/>
        <v>syn BTCU6/BTCZ6/BTCF7</v>
      </c>
      <c r="K22" s="9">
        <f>'MKT DATA'!O1380</f>
        <v>0</v>
      </c>
      <c r="L22" s="9">
        <f>'MKT DATA'!P1380</f>
        <v>0</v>
      </c>
      <c r="M22" s="9">
        <f>'MKT DATA'!Q1380</f>
        <v>0</v>
      </c>
      <c r="N22" s="9">
        <f>'MKT DATA'!R1380</f>
        <v>0</v>
      </c>
      <c r="O22" s="9">
        <f>'MKT DATA'!S1380</f>
        <v>0</v>
      </c>
      <c r="P22" s="9">
        <f>'MKT DATA'!T1380</f>
        <v>0</v>
      </c>
      <c r="Q22" s="44" t="str">
        <f t="shared" si="3"/>
        <v>syn BTCU6/BTCZ6/BTCF7</v>
      </c>
      <c r="R22" s="14">
        <f>'MKT DATA'!AB1380</f>
        <v>0</v>
      </c>
    </row>
    <row r="23" spans="5:18" x14ac:dyDescent="0.25">
      <c r="E23" s="44" t="str">
        <f>'MKT DATA'!B1381</f>
        <v>syn BTCU6/BTCG7/BTCF7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BTCU6/BTCG7/BTCF7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BTCU6/BTCG7/BTCF7</v>
      </c>
      <c r="R23" s="14">
        <f>'MKT DATA'!AB1381</f>
        <v>0</v>
      </c>
    </row>
    <row r="24" spans="5:18" x14ac:dyDescent="0.25">
      <c r="E24" s="44" t="str">
        <f>'MKT DATA'!B1382</f>
        <v>syn BTCV6/BTCU6/BTCF7</v>
      </c>
      <c r="F24" s="14">
        <f>'MKT DATA'!J1382</f>
        <v>0</v>
      </c>
      <c r="G24" s="9">
        <f>'MKT DATA'!K1382</f>
        <v>0</v>
      </c>
      <c r="H24" s="9">
        <f>'MKT DATA'!L1382</f>
        <v>0</v>
      </c>
      <c r="I24" s="14">
        <f>'MKT DATA'!M1382</f>
        <v>0</v>
      </c>
      <c r="J24" s="44" t="str">
        <f t="shared" si="2"/>
        <v>syn BTCV6/BTCU6/BTCF7</v>
      </c>
      <c r="K24" s="9">
        <f>'MKT DATA'!O1382</f>
        <v>0</v>
      </c>
      <c r="L24" s="9">
        <f>'MKT DATA'!P1382</f>
        <v>0</v>
      </c>
      <c r="M24" s="9">
        <f>'MKT DATA'!Q1382</f>
        <v>0</v>
      </c>
      <c r="N24" s="9">
        <f>'MKT DATA'!R1382</f>
        <v>0</v>
      </c>
      <c r="O24" s="9">
        <f>'MKT DATA'!S1382</f>
        <v>0</v>
      </c>
      <c r="P24" s="9">
        <f>'MKT DATA'!T1382</f>
        <v>0</v>
      </c>
      <c r="Q24" s="44" t="str">
        <f t="shared" si="3"/>
        <v>syn BTCV6/BTCU6/BTCF7</v>
      </c>
      <c r="R24" s="14">
        <f>'MKT DATA'!AB1382</f>
        <v>0</v>
      </c>
    </row>
    <row r="25" spans="5:18" x14ac:dyDescent="0.25">
      <c r="E25" s="44" t="str">
        <f>'MKT DATA'!B1383</f>
        <v>syn BTCV6/BTCX6/BTCF7</v>
      </c>
      <c r="F25" s="14">
        <f>'MKT DATA'!J1383</f>
        <v>0</v>
      </c>
      <c r="G25" s="9">
        <f>'MKT DATA'!K1383</f>
        <v>0</v>
      </c>
      <c r="H25" s="9">
        <f>'MKT DATA'!L1383</f>
        <v>0</v>
      </c>
      <c r="I25" s="14">
        <f>'MKT DATA'!M1383</f>
        <v>0</v>
      </c>
      <c r="J25" s="44" t="str">
        <f t="shared" si="2"/>
        <v>syn BTCV6/BTCX6/BTCF7</v>
      </c>
      <c r="K25" s="9">
        <f>'MKT DATA'!O1383</f>
        <v>0</v>
      </c>
      <c r="L25" s="9">
        <f>'MKT DATA'!P1383</f>
        <v>0</v>
      </c>
      <c r="M25" s="9">
        <f>'MKT DATA'!Q1383</f>
        <v>0</v>
      </c>
      <c r="N25" s="9">
        <f>'MKT DATA'!R1383</f>
        <v>0</v>
      </c>
      <c r="O25" s="9">
        <f>'MKT DATA'!S1383</f>
        <v>0</v>
      </c>
      <c r="P25" s="9">
        <f>'MKT DATA'!T1383</f>
        <v>0</v>
      </c>
      <c r="Q25" s="44" t="str">
        <f t="shared" si="3"/>
        <v>syn BTCV6/BTCX6/BTCF7</v>
      </c>
      <c r="R25" s="14">
        <f>'MKT DATA'!AB1383</f>
        <v>0</v>
      </c>
    </row>
    <row r="26" spans="5:18" x14ac:dyDescent="0.25">
      <c r="E26" s="44" t="str">
        <f>'MKT DATA'!B1384</f>
        <v>syn BTCV6/BTCZ6/BTCF7</v>
      </c>
      <c r="F26" s="14">
        <f>'MKT DATA'!J1384</f>
        <v>0</v>
      </c>
      <c r="G26" s="9">
        <f>'MKT DATA'!K1384</f>
        <v>0</v>
      </c>
      <c r="H26" s="9">
        <f>'MKT DATA'!L1384</f>
        <v>0</v>
      </c>
      <c r="I26" s="14">
        <f>'MKT DATA'!M1384</f>
        <v>0</v>
      </c>
      <c r="J26" s="44" t="str">
        <f t="shared" si="2"/>
        <v>syn BTCV6/BTCZ6/BTCF7</v>
      </c>
      <c r="K26" s="9">
        <f>'MKT DATA'!O1384</f>
        <v>0</v>
      </c>
      <c r="L26" s="9">
        <f>'MKT DATA'!P1384</f>
        <v>0</v>
      </c>
      <c r="M26" s="9">
        <f>'MKT DATA'!Q1384</f>
        <v>0</v>
      </c>
      <c r="N26" s="9">
        <f>'MKT DATA'!R1384</f>
        <v>0</v>
      </c>
      <c r="O26" s="9">
        <f>'MKT DATA'!S1384</f>
        <v>0</v>
      </c>
      <c r="P26" s="9">
        <f>'MKT DATA'!T1384</f>
        <v>0</v>
      </c>
      <c r="Q26" s="44" t="str">
        <f t="shared" si="3"/>
        <v>syn BTCV6/BTCZ6/BTCF7</v>
      </c>
      <c r="R26" s="14">
        <f>'MKT DATA'!AB1384</f>
        <v>0</v>
      </c>
    </row>
    <row r="27" spans="5:18" x14ac:dyDescent="0.25">
      <c r="E27" s="44" t="str">
        <f>'MKT DATA'!B1385</f>
        <v>syn BTCV6/BTCG7/BTCF7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BTCV6/BTCG7/BTCF7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BTCV6/BTCG7/BTCF7</v>
      </c>
      <c r="R27" s="14">
        <f>'MKT DATA'!AB1385</f>
        <v>0</v>
      </c>
    </row>
    <row r="28" spans="5:18" x14ac:dyDescent="0.25">
      <c r="E28" s="44" t="str">
        <f>'MKT DATA'!B1386</f>
        <v>syn BTCX6/BTCU6/BTCF7</v>
      </c>
      <c r="F28" s="14">
        <f>'MKT DATA'!J1386</f>
        <v>0</v>
      </c>
      <c r="G28" s="9">
        <f>'MKT DATA'!K1386</f>
        <v>0</v>
      </c>
      <c r="H28" s="9">
        <f>'MKT DATA'!L1386</f>
        <v>0</v>
      </c>
      <c r="I28" s="14">
        <f>'MKT DATA'!M1386</f>
        <v>0</v>
      </c>
      <c r="J28" s="44" t="str">
        <f t="shared" si="2"/>
        <v>syn BTCX6/BTCU6/BTCF7</v>
      </c>
      <c r="K28" s="9">
        <f>'MKT DATA'!O1386</f>
        <v>0</v>
      </c>
      <c r="L28" s="9">
        <f>'MKT DATA'!P1386</f>
        <v>0</v>
      </c>
      <c r="M28" s="9">
        <f>'MKT DATA'!Q1386</f>
        <v>0</v>
      </c>
      <c r="N28" s="9">
        <f>'MKT DATA'!R1386</f>
        <v>0</v>
      </c>
      <c r="O28" s="9">
        <f>'MKT DATA'!S1386</f>
        <v>0</v>
      </c>
      <c r="P28" s="9">
        <f>'MKT DATA'!T1386</f>
        <v>0</v>
      </c>
      <c r="Q28" s="44" t="str">
        <f t="shared" si="3"/>
        <v>syn BTCX6/BTCU6/BTCF7</v>
      </c>
      <c r="R28" s="14">
        <f>'MKT DATA'!AB1386</f>
        <v>0</v>
      </c>
    </row>
    <row r="29" spans="5:18" x14ac:dyDescent="0.25">
      <c r="E29" s="44" t="str">
        <f>'MKT DATA'!B1387</f>
        <v>syn BTCX6/BTCV6/BTCF7</v>
      </c>
      <c r="F29" s="14">
        <f>'MKT DATA'!J1387</f>
        <v>0</v>
      </c>
      <c r="G29" s="9">
        <f>'MKT DATA'!K1387</f>
        <v>0</v>
      </c>
      <c r="H29" s="9">
        <f>'MKT DATA'!L1387</f>
        <v>0</v>
      </c>
      <c r="I29" s="14">
        <f>'MKT DATA'!M1387</f>
        <v>0</v>
      </c>
      <c r="J29" s="44" t="str">
        <f t="shared" si="2"/>
        <v>syn BTCX6/BTCV6/BTCF7</v>
      </c>
      <c r="K29" s="9">
        <f>'MKT DATA'!O1387</f>
        <v>0</v>
      </c>
      <c r="L29" s="9">
        <f>'MKT DATA'!P1387</f>
        <v>0</v>
      </c>
      <c r="M29" s="9">
        <f>'MKT DATA'!Q1387</f>
        <v>0</v>
      </c>
      <c r="N29" s="9">
        <f>'MKT DATA'!R1387</f>
        <v>0</v>
      </c>
      <c r="O29" s="9">
        <f>'MKT DATA'!S1387</f>
        <v>0</v>
      </c>
      <c r="P29" s="9">
        <f>'MKT DATA'!T1387</f>
        <v>0</v>
      </c>
      <c r="Q29" s="44" t="str">
        <f t="shared" si="3"/>
        <v>syn BTCX6/BTCV6/BTCF7</v>
      </c>
      <c r="R29" s="14">
        <f>'MKT DATA'!AB1387</f>
        <v>0</v>
      </c>
    </row>
    <row r="30" spans="5:18" x14ac:dyDescent="0.25">
      <c r="E30" s="44" t="str">
        <f>'MKT DATA'!B1388</f>
        <v>syn BTCX6/BTCZ6/BTCF7</v>
      </c>
      <c r="F30" s="14">
        <f>'MKT DATA'!J1388</f>
        <v>0</v>
      </c>
      <c r="G30" s="9">
        <f>'MKT DATA'!K1388</f>
        <v>0</v>
      </c>
      <c r="H30" s="9">
        <f>'MKT DATA'!L1388</f>
        <v>0</v>
      </c>
      <c r="I30" s="14">
        <f>'MKT DATA'!M1388</f>
        <v>0</v>
      </c>
      <c r="J30" s="44" t="str">
        <f t="shared" si="2"/>
        <v>syn BTCX6/BTCZ6/BTCF7</v>
      </c>
      <c r="K30" s="9">
        <f>'MKT DATA'!O1388</f>
        <v>0</v>
      </c>
      <c r="L30" s="9">
        <f>'MKT DATA'!P1388</f>
        <v>0</v>
      </c>
      <c r="M30" s="9">
        <f>'MKT DATA'!Q1388</f>
        <v>0</v>
      </c>
      <c r="N30" s="9">
        <f>'MKT DATA'!R1388</f>
        <v>0</v>
      </c>
      <c r="O30" s="9">
        <f>'MKT DATA'!S1388</f>
        <v>0</v>
      </c>
      <c r="P30" s="9">
        <f>'MKT DATA'!T1388</f>
        <v>0</v>
      </c>
      <c r="Q30" s="44" t="str">
        <f t="shared" si="3"/>
        <v>syn BTCX6/BTCZ6/BTCF7</v>
      </c>
      <c r="R30" s="14">
        <f>'MKT DATA'!AB1388</f>
        <v>0</v>
      </c>
    </row>
    <row r="31" spans="5:18" x14ac:dyDescent="0.25">
      <c r="E31" s="44" t="str">
        <f>'MKT DATA'!B1389</f>
        <v>syn BTCX6/BTCG7/BTCF7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BTCX6/BTCG7/BTCF7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BTCX6/BTCG7/BTCF7</v>
      </c>
      <c r="R31" s="14">
        <f>'MKT DATA'!AB1389</f>
        <v>0</v>
      </c>
    </row>
    <row r="32" spans="5:18" x14ac:dyDescent="0.25">
      <c r="E32" s="44" t="str">
        <f>'MKT DATA'!B1390</f>
        <v>syn BTCZ6/BTCU6/BTCF7</v>
      </c>
      <c r="F32" s="14">
        <f>'MKT DATA'!J1390</f>
        <v>0</v>
      </c>
      <c r="G32" s="9">
        <f>'MKT DATA'!K1390</f>
        <v>0</v>
      </c>
      <c r="H32" s="9">
        <f>'MKT DATA'!L1390</f>
        <v>0</v>
      </c>
      <c r="I32" s="14">
        <f>'MKT DATA'!M1390</f>
        <v>0</v>
      </c>
      <c r="J32" s="44" t="str">
        <f t="shared" si="2"/>
        <v>syn BTCZ6/BTCU6/BTCF7</v>
      </c>
      <c r="K32" s="9">
        <f>'MKT DATA'!O1390</f>
        <v>0</v>
      </c>
      <c r="L32" s="9">
        <f>'MKT DATA'!P1390</f>
        <v>0</v>
      </c>
      <c r="M32" s="9">
        <f>'MKT DATA'!Q1390</f>
        <v>0</v>
      </c>
      <c r="N32" s="9">
        <f>'MKT DATA'!R1390</f>
        <v>0</v>
      </c>
      <c r="O32" s="9">
        <f>'MKT DATA'!S1390</f>
        <v>0</v>
      </c>
      <c r="P32" s="9">
        <f>'MKT DATA'!T1390</f>
        <v>0</v>
      </c>
      <c r="Q32" s="44" t="str">
        <f t="shared" si="3"/>
        <v>syn BTCZ6/BTCU6/BTCF7</v>
      </c>
      <c r="R32" s="14">
        <f>'MKT DATA'!AB1390</f>
        <v>0</v>
      </c>
    </row>
    <row r="33" spans="5:18" x14ac:dyDescent="0.25">
      <c r="E33" s="44" t="str">
        <f>'MKT DATA'!B1391</f>
        <v>syn BTCZ6/BTCV6/BTCF7</v>
      </c>
      <c r="F33" s="14">
        <f>'MKT DATA'!J1391</f>
        <v>0</v>
      </c>
      <c r="G33" s="9">
        <f>'MKT DATA'!K1391</f>
        <v>0</v>
      </c>
      <c r="H33" s="9">
        <f>'MKT DATA'!L1391</f>
        <v>0</v>
      </c>
      <c r="I33" s="14">
        <f>'MKT DATA'!M1391</f>
        <v>0</v>
      </c>
      <c r="J33" s="44" t="str">
        <f t="shared" si="2"/>
        <v>syn BTCZ6/BTCV6/BTCF7</v>
      </c>
      <c r="K33" s="9">
        <f>'MKT DATA'!O1391</f>
        <v>0</v>
      </c>
      <c r="L33" s="9">
        <f>'MKT DATA'!P1391</f>
        <v>0</v>
      </c>
      <c r="M33" s="9">
        <f>'MKT DATA'!Q1391</f>
        <v>0</v>
      </c>
      <c r="N33" s="9">
        <f>'MKT DATA'!R1391</f>
        <v>0</v>
      </c>
      <c r="O33" s="9">
        <f>'MKT DATA'!S1391</f>
        <v>0</v>
      </c>
      <c r="P33" s="9">
        <f>'MKT DATA'!T1391</f>
        <v>0</v>
      </c>
      <c r="Q33" s="44" t="str">
        <f t="shared" si="3"/>
        <v>syn BTCZ6/BTCV6/BTCF7</v>
      </c>
      <c r="R33" s="14">
        <f>'MKT DATA'!AB1391</f>
        <v>0</v>
      </c>
    </row>
    <row r="34" spans="5:18" x14ac:dyDescent="0.25">
      <c r="E34" s="44" t="str">
        <f>'MKT DATA'!B1392</f>
        <v>syn BTCZ6/BTCX6/BTCF7</v>
      </c>
      <c r="F34" s="14">
        <f>'MKT DATA'!J1392</f>
        <v>0</v>
      </c>
      <c r="G34" s="9">
        <f>'MKT DATA'!K1392</f>
        <v>0</v>
      </c>
      <c r="H34" s="9">
        <f>'MKT DATA'!L1392</f>
        <v>0</v>
      </c>
      <c r="I34" s="14">
        <f>'MKT DATA'!M1392</f>
        <v>0</v>
      </c>
      <c r="J34" s="44" t="str">
        <f t="shared" si="2"/>
        <v>syn BTCZ6/BTCX6/BTCF7</v>
      </c>
      <c r="K34" s="9">
        <f>'MKT DATA'!O1392</f>
        <v>0</v>
      </c>
      <c r="L34" s="9">
        <f>'MKT DATA'!P1392</f>
        <v>0</v>
      </c>
      <c r="M34" s="9">
        <f>'MKT DATA'!Q1392</f>
        <v>0</v>
      </c>
      <c r="N34" s="9">
        <f>'MKT DATA'!R1392</f>
        <v>0</v>
      </c>
      <c r="O34" s="9">
        <f>'MKT DATA'!S1392</f>
        <v>0</v>
      </c>
      <c r="P34" s="9">
        <f>'MKT DATA'!T1392</f>
        <v>0</v>
      </c>
      <c r="Q34" s="44" t="str">
        <f t="shared" si="3"/>
        <v>syn BTCZ6/BTCX6/BTCF7</v>
      </c>
      <c r="R34" s="14">
        <f>'MKT DATA'!AB1392</f>
        <v>0</v>
      </c>
    </row>
    <row r="35" spans="5:18" x14ac:dyDescent="0.25">
      <c r="E35" s="44" t="str">
        <f>'MKT DATA'!B1393</f>
        <v>syn BTCZ6/BTCG7/BTCF7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BTCZ6/BTCG7/BTCF7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BTCZ6/BTCG7/BTCF7</v>
      </c>
      <c r="R35" s="14">
        <f>'MKT DATA'!AB1393</f>
        <v>0</v>
      </c>
    </row>
    <row r="36" spans="5:18" x14ac:dyDescent="0.25">
      <c r="E36" s="44" t="str">
        <f>'MKT DATA'!B1394</f>
        <v>syn BTCG7/BTCU6/BTCF7</v>
      </c>
      <c r="F36" s="14">
        <f>'MKT DATA'!J1394</f>
        <v>0</v>
      </c>
      <c r="G36" s="9">
        <f>'MKT DATA'!K1394</f>
        <v>0</v>
      </c>
      <c r="H36" s="9">
        <f>'MKT DATA'!L1394</f>
        <v>0</v>
      </c>
      <c r="I36" s="14">
        <f>'MKT DATA'!M1394</f>
        <v>0</v>
      </c>
      <c r="J36" s="44" t="str">
        <f t="shared" si="2"/>
        <v>syn BTCG7/BTCU6/BTCF7</v>
      </c>
      <c r="K36" s="9">
        <f>'MKT DATA'!O1394</f>
        <v>0</v>
      </c>
      <c r="L36" s="9">
        <f>'MKT DATA'!P1394</f>
        <v>0</v>
      </c>
      <c r="M36" s="9">
        <f>'MKT DATA'!Q1394</f>
        <v>0</v>
      </c>
      <c r="N36" s="9">
        <f>'MKT DATA'!R1394</f>
        <v>0</v>
      </c>
      <c r="O36" s="9">
        <f>'MKT DATA'!S1394</f>
        <v>0</v>
      </c>
      <c r="P36" s="9">
        <f>'MKT DATA'!T1394</f>
        <v>0</v>
      </c>
      <c r="Q36" s="44" t="str">
        <f t="shared" si="3"/>
        <v>syn BTCG7/BTCU6/BTCF7</v>
      </c>
      <c r="R36" s="14">
        <f>'MKT DATA'!AB1394</f>
        <v>0</v>
      </c>
    </row>
    <row r="37" spans="5:18" x14ac:dyDescent="0.25">
      <c r="E37" s="44" t="str">
        <f>'MKT DATA'!B1395</f>
        <v>syn BTCG7/BTCV6/BTCF7</v>
      </c>
      <c r="F37" s="14">
        <f>'MKT DATA'!J1395</f>
        <v>0</v>
      </c>
      <c r="G37" s="9">
        <f>'MKT DATA'!K1395</f>
        <v>0</v>
      </c>
      <c r="H37" s="9">
        <f>'MKT DATA'!L1395</f>
        <v>0</v>
      </c>
      <c r="I37" s="14">
        <f>'MKT DATA'!M1395</f>
        <v>0</v>
      </c>
      <c r="J37" s="44" t="str">
        <f t="shared" si="2"/>
        <v>syn BTCG7/BTCV6/BTCF7</v>
      </c>
      <c r="K37" s="9">
        <f>'MKT DATA'!O1395</f>
        <v>0</v>
      </c>
      <c r="L37" s="9">
        <f>'MKT DATA'!P1395</f>
        <v>0</v>
      </c>
      <c r="M37" s="9">
        <f>'MKT DATA'!Q1395</f>
        <v>0</v>
      </c>
      <c r="N37" s="9">
        <f>'MKT DATA'!R1395</f>
        <v>0</v>
      </c>
      <c r="O37" s="9">
        <f>'MKT DATA'!S1395</f>
        <v>0</v>
      </c>
      <c r="P37" s="9">
        <f>'MKT DATA'!T1395</f>
        <v>0</v>
      </c>
      <c r="Q37" s="44" t="str">
        <f t="shared" si="3"/>
        <v>syn BTCG7/BTCV6/BTCF7</v>
      </c>
      <c r="R37" s="14">
        <f>'MKT DATA'!AB1395</f>
        <v>0</v>
      </c>
    </row>
    <row r="38" spans="5:18" x14ac:dyDescent="0.25">
      <c r="E38" s="44" t="str">
        <f>'MKT DATA'!B1396</f>
        <v>syn BTCG7/BTCX6/BTCF7</v>
      </c>
      <c r="F38" s="14">
        <f>'MKT DATA'!J1396</f>
        <v>0</v>
      </c>
      <c r="G38" s="9">
        <f>'MKT DATA'!K1396</f>
        <v>0</v>
      </c>
      <c r="H38" s="9">
        <f>'MKT DATA'!L1396</f>
        <v>0</v>
      </c>
      <c r="I38" s="14">
        <f>'MKT DATA'!M1396</f>
        <v>0</v>
      </c>
      <c r="J38" s="44" t="str">
        <f t="shared" si="2"/>
        <v>syn BTCG7/BTCX6/BTCF7</v>
      </c>
      <c r="K38" s="9">
        <f>'MKT DATA'!O1396</f>
        <v>0</v>
      </c>
      <c r="L38" s="9">
        <f>'MKT DATA'!P1396</f>
        <v>0</v>
      </c>
      <c r="M38" s="9">
        <f>'MKT DATA'!Q1396</f>
        <v>0</v>
      </c>
      <c r="N38" s="9">
        <f>'MKT DATA'!R1396</f>
        <v>0</v>
      </c>
      <c r="O38" s="9">
        <f>'MKT DATA'!S1396</f>
        <v>0</v>
      </c>
      <c r="P38" s="9">
        <f>'MKT DATA'!T1396</f>
        <v>0</v>
      </c>
      <c r="Q38" s="44" t="str">
        <f t="shared" si="3"/>
        <v>syn BTCG7/BTCX6/BTCF7</v>
      </c>
      <c r="R38" s="14">
        <f>'MKT DATA'!AB1396</f>
        <v>0</v>
      </c>
    </row>
    <row r="39" spans="5:18" x14ac:dyDescent="0.25">
      <c r="E39" s="44" t="str">
        <f>'MKT DATA'!B1397</f>
        <v>syn BTCG7/BTCZ6/BTCF7</v>
      </c>
      <c r="F39" s="14">
        <f>'MKT DATA'!J1397</f>
        <v>0</v>
      </c>
      <c r="G39" s="9">
        <f>'MKT DATA'!K1397</f>
        <v>0</v>
      </c>
      <c r="H39" s="9">
        <f>'MKT DATA'!L1397</f>
        <v>0</v>
      </c>
      <c r="I39" s="14">
        <f>'MKT DATA'!M1397</f>
        <v>0</v>
      </c>
      <c r="J39" s="44" t="str">
        <f t="shared" si="2"/>
        <v>syn BTCG7/BTCZ6/BTCF7</v>
      </c>
      <c r="K39" s="9">
        <f>'MKT DATA'!O1397</f>
        <v>0</v>
      </c>
      <c r="L39" s="9">
        <f>'MKT DATA'!P1397</f>
        <v>0</v>
      </c>
      <c r="M39" s="9">
        <f>'MKT DATA'!Q1397</f>
        <v>0</v>
      </c>
      <c r="N39" s="9">
        <f>'MKT DATA'!R1397</f>
        <v>0</v>
      </c>
      <c r="O39" s="9">
        <f>'MKT DATA'!S1397</f>
        <v>0</v>
      </c>
      <c r="P39" s="9">
        <f>'MKT DATA'!T1397</f>
        <v>0</v>
      </c>
      <c r="Q39" s="44" t="str">
        <f t="shared" si="3"/>
        <v>syn BTCG7/BTCZ6/BTCF7</v>
      </c>
      <c r="R39" s="14">
        <f>'MKT DATA'!AB1397</f>
        <v>0</v>
      </c>
    </row>
    <row r="40" spans="5:18" x14ac:dyDescent="0.25">
      <c r="E40" s="44" t="str">
        <f>'MKT DATA'!B1398</f>
        <v>syn BTCU6/BTCV6/BTCX6/BTCF7</v>
      </c>
      <c r="F40" s="14">
        <f>'MKT DATA'!J1398</f>
        <v>0</v>
      </c>
      <c r="G40" s="9">
        <f>'MKT DATA'!K1398</f>
        <v>0</v>
      </c>
      <c r="H40" s="9">
        <f>'MKT DATA'!L1398</f>
        <v>0</v>
      </c>
      <c r="I40" s="14">
        <f>'MKT DATA'!M1398</f>
        <v>0</v>
      </c>
      <c r="J40" s="44" t="str">
        <f t="shared" si="2"/>
        <v>syn BTCU6/BTCV6/BTCX6/BTCF7</v>
      </c>
      <c r="K40" s="9">
        <f>'MKT DATA'!O1398</f>
        <v>0</v>
      </c>
      <c r="L40" s="9">
        <f>'MKT DATA'!P1398</f>
        <v>0</v>
      </c>
      <c r="M40" s="9">
        <f>'MKT DATA'!Q1398</f>
        <v>0</v>
      </c>
      <c r="N40" s="9">
        <f>'MKT DATA'!R1398</f>
        <v>0</v>
      </c>
      <c r="O40" s="9">
        <f>'MKT DATA'!S1398</f>
        <v>0</v>
      </c>
      <c r="P40" s="9">
        <f>'MKT DATA'!T1398</f>
        <v>0</v>
      </c>
      <c r="Q40" s="44" t="str">
        <f t="shared" si="3"/>
        <v>syn BTCU6/BTCV6/BTCX6/BTCF7</v>
      </c>
      <c r="R40" s="14">
        <f>'MKT DATA'!AB1398</f>
        <v>0</v>
      </c>
    </row>
    <row r="41" spans="5:18" x14ac:dyDescent="0.25">
      <c r="E41" s="44" t="str">
        <f>'MKT DATA'!B1399</f>
        <v>syn BTCU6/BTCV6/BTCZ6/BTCF7</v>
      </c>
      <c r="F41" s="14">
        <f>'MKT DATA'!J1399</f>
        <v>0</v>
      </c>
      <c r="G41" s="9">
        <f>'MKT DATA'!K1399</f>
        <v>0</v>
      </c>
      <c r="H41" s="9">
        <f>'MKT DATA'!L1399</f>
        <v>0</v>
      </c>
      <c r="I41" s="14">
        <f>'MKT DATA'!M1399</f>
        <v>0</v>
      </c>
      <c r="J41" s="44" t="str">
        <f t="shared" si="2"/>
        <v>syn BTCU6/BTCV6/BTCZ6/BTCF7</v>
      </c>
      <c r="K41" s="9">
        <f>'MKT DATA'!O1399</f>
        <v>0</v>
      </c>
      <c r="L41" s="9">
        <f>'MKT DATA'!P1399</f>
        <v>0</v>
      </c>
      <c r="M41" s="9">
        <f>'MKT DATA'!Q1399</f>
        <v>0</v>
      </c>
      <c r="N41" s="9">
        <f>'MKT DATA'!R1399</f>
        <v>0</v>
      </c>
      <c r="O41" s="9">
        <f>'MKT DATA'!S1399</f>
        <v>0</v>
      </c>
      <c r="P41" s="9">
        <f>'MKT DATA'!T1399</f>
        <v>0</v>
      </c>
      <c r="Q41" s="44" t="str">
        <f t="shared" si="3"/>
        <v>syn BTCU6/BTCV6/BTCZ6/BTCF7</v>
      </c>
      <c r="R41" s="14">
        <f>'MKT DATA'!AB1399</f>
        <v>0</v>
      </c>
    </row>
    <row r="42" spans="5:18" x14ac:dyDescent="0.25">
      <c r="E42" s="44" t="str">
        <f>'MKT DATA'!B1400</f>
        <v>syn BTCU6/BTCV6/BTCG7/BTCF7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BTCU6/BTCV6/BTCG7/BTCF7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BTCU6/BTCV6/BTCG7/BTCF7</v>
      </c>
      <c r="R42" s="14">
        <f>'MKT DATA'!AB1400</f>
        <v>0</v>
      </c>
    </row>
    <row r="43" spans="5:18" x14ac:dyDescent="0.25">
      <c r="E43" s="44" t="str">
        <f>'MKT DATA'!B1401</f>
        <v>syn BTCU6/BTCX6/BTCV6/BTCF7</v>
      </c>
      <c r="F43" s="14">
        <f>'MKT DATA'!J1401</f>
        <v>0</v>
      </c>
      <c r="G43" s="9">
        <f>'MKT DATA'!K1401</f>
        <v>0</v>
      </c>
      <c r="H43" s="9">
        <f>'MKT DATA'!L1401</f>
        <v>0</v>
      </c>
      <c r="I43" s="14">
        <f>'MKT DATA'!M1401</f>
        <v>0</v>
      </c>
      <c r="J43" s="44" t="str">
        <f t="shared" si="2"/>
        <v>syn BTCU6/BTCX6/BTCV6/BTCF7</v>
      </c>
      <c r="K43" s="9">
        <f>'MKT DATA'!O1401</f>
        <v>0</v>
      </c>
      <c r="L43" s="9">
        <f>'MKT DATA'!P1401</f>
        <v>0</v>
      </c>
      <c r="M43" s="9">
        <f>'MKT DATA'!Q1401</f>
        <v>0</v>
      </c>
      <c r="N43" s="9">
        <f>'MKT DATA'!R1401</f>
        <v>0</v>
      </c>
      <c r="O43" s="9">
        <f>'MKT DATA'!S1401</f>
        <v>0</v>
      </c>
      <c r="P43" s="9">
        <f>'MKT DATA'!T1401</f>
        <v>0</v>
      </c>
      <c r="Q43" s="44" t="str">
        <f t="shared" si="3"/>
        <v>syn BTCU6/BTCX6/BTCV6/BTCF7</v>
      </c>
      <c r="R43" s="14">
        <f>'MKT DATA'!AB1401</f>
        <v>0</v>
      </c>
    </row>
    <row r="44" spans="5:18" x14ac:dyDescent="0.25">
      <c r="E44" s="44" t="str">
        <f>'MKT DATA'!B1402</f>
        <v>syn BTCU6/BTCX6/BTCZ6/BTCF7</v>
      </c>
      <c r="F44" s="14">
        <f>'MKT DATA'!J1402</f>
        <v>0</v>
      </c>
      <c r="G44" s="9">
        <f>'MKT DATA'!K1402</f>
        <v>0</v>
      </c>
      <c r="H44" s="9">
        <f>'MKT DATA'!L1402</f>
        <v>0</v>
      </c>
      <c r="I44" s="14">
        <f>'MKT DATA'!M1402</f>
        <v>0</v>
      </c>
      <c r="J44" s="44" t="str">
        <f t="shared" si="2"/>
        <v>syn BTCU6/BTCX6/BTCZ6/BTCF7</v>
      </c>
      <c r="K44" s="9">
        <f>'MKT DATA'!O1402</f>
        <v>0</v>
      </c>
      <c r="L44" s="9">
        <f>'MKT DATA'!P1402</f>
        <v>0</v>
      </c>
      <c r="M44" s="9">
        <f>'MKT DATA'!Q1402</f>
        <v>0</v>
      </c>
      <c r="N44" s="9">
        <f>'MKT DATA'!R1402</f>
        <v>0</v>
      </c>
      <c r="O44" s="9">
        <f>'MKT DATA'!S1402</f>
        <v>0</v>
      </c>
      <c r="P44" s="9">
        <f>'MKT DATA'!T1402</f>
        <v>0</v>
      </c>
      <c r="Q44" s="44" t="str">
        <f t="shared" si="3"/>
        <v>syn BTCU6/BTCX6/BTCZ6/BTCF7</v>
      </c>
      <c r="R44" s="14">
        <f>'MKT DATA'!AB1402</f>
        <v>0</v>
      </c>
    </row>
    <row r="45" spans="5:18" x14ac:dyDescent="0.25">
      <c r="E45" s="44" t="str">
        <f>'MKT DATA'!B1403</f>
        <v>syn BTCU6/BTCX6/BTCG7/BTCF7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BTCU6/BTCX6/BTCG7/BTCF7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BTCU6/BTCX6/BTCG7/BTCF7</v>
      </c>
      <c r="R45" s="14">
        <f>'MKT DATA'!AB1403</f>
        <v>0</v>
      </c>
    </row>
    <row r="46" spans="5:18" x14ac:dyDescent="0.25">
      <c r="E46" s="44" t="str">
        <f>'MKT DATA'!B1404</f>
        <v>syn BTCU6/BTCZ6/BTCV6/BTCF7</v>
      </c>
      <c r="F46" s="14">
        <f>'MKT DATA'!J1404</f>
        <v>0</v>
      </c>
      <c r="G46" s="9">
        <f>'MKT DATA'!K1404</f>
        <v>0</v>
      </c>
      <c r="H46" s="9">
        <f>'MKT DATA'!L1404</f>
        <v>0</v>
      </c>
      <c r="I46" s="14">
        <f>'MKT DATA'!M1404</f>
        <v>0</v>
      </c>
      <c r="J46" s="44" t="str">
        <f t="shared" si="2"/>
        <v>syn BTCU6/BTCZ6/BTCV6/BTCF7</v>
      </c>
      <c r="K46" s="9">
        <f>'MKT DATA'!O1404</f>
        <v>0</v>
      </c>
      <c r="L46" s="9">
        <f>'MKT DATA'!P1404</f>
        <v>0</v>
      </c>
      <c r="M46" s="9">
        <f>'MKT DATA'!Q1404</f>
        <v>0</v>
      </c>
      <c r="N46" s="9">
        <f>'MKT DATA'!R1404</f>
        <v>0</v>
      </c>
      <c r="O46" s="9">
        <f>'MKT DATA'!S1404</f>
        <v>0</v>
      </c>
      <c r="P46" s="9">
        <f>'MKT DATA'!T1404</f>
        <v>0</v>
      </c>
      <c r="Q46" s="44" t="str">
        <f t="shared" si="3"/>
        <v>syn BTCU6/BTCZ6/BTCV6/BTCF7</v>
      </c>
      <c r="R46" s="14">
        <f>'MKT DATA'!AB1404</f>
        <v>0</v>
      </c>
    </row>
    <row r="47" spans="5:18" x14ac:dyDescent="0.25">
      <c r="E47" s="44" t="str">
        <f>'MKT DATA'!B1405</f>
        <v>syn BTCU6/BTCZ6/BTCX6/BTCF7</v>
      </c>
      <c r="F47" s="14">
        <f>'MKT DATA'!J1405</f>
        <v>0</v>
      </c>
      <c r="G47" s="9">
        <f>'MKT DATA'!K1405</f>
        <v>0</v>
      </c>
      <c r="H47" s="9">
        <f>'MKT DATA'!L1405</f>
        <v>0</v>
      </c>
      <c r="I47" s="14">
        <f>'MKT DATA'!M1405</f>
        <v>0</v>
      </c>
      <c r="J47" s="44" t="str">
        <f t="shared" si="2"/>
        <v>syn BTCU6/BTCZ6/BTCX6/BTCF7</v>
      </c>
      <c r="K47" s="9">
        <f>'MKT DATA'!O1405</f>
        <v>0</v>
      </c>
      <c r="L47" s="9">
        <f>'MKT DATA'!P1405</f>
        <v>0</v>
      </c>
      <c r="M47" s="9">
        <f>'MKT DATA'!Q1405</f>
        <v>0</v>
      </c>
      <c r="N47" s="9">
        <f>'MKT DATA'!R1405</f>
        <v>0</v>
      </c>
      <c r="O47" s="9">
        <f>'MKT DATA'!S1405</f>
        <v>0</v>
      </c>
      <c r="P47" s="9">
        <f>'MKT DATA'!T1405</f>
        <v>0</v>
      </c>
      <c r="Q47" s="44" t="str">
        <f t="shared" si="3"/>
        <v>syn BTCU6/BTCZ6/BTCX6/BTCF7</v>
      </c>
      <c r="R47" s="14">
        <f>'MKT DATA'!AB1405</f>
        <v>0</v>
      </c>
    </row>
    <row r="48" spans="5:18" x14ac:dyDescent="0.25">
      <c r="E48" s="44" t="str">
        <f>'MKT DATA'!B1406</f>
        <v>syn BTCU6/BTCZ6/BTCG7/BTCF7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BTCU6/BTCZ6/BTCG7/BTCF7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BTCU6/BTCZ6/BTCG7/BTCF7</v>
      </c>
      <c r="R48" s="14">
        <f>'MKT DATA'!AB1406</f>
        <v>0</v>
      </c>
    </row>
    <row r="49" spans="5:18" x14ac:dyDescent="0.25">
      <c r="E49" s="44" t="str">
        <f>'MKT DATA'!B1407</f>
        <v>syn BTCU6/BTCG7/BTCV6/BTCF7</v>
      </c>
      <c r="F49" s="14">
        <f>'MKT DATA'!J1407</f>
        <v>0</v>
      </c>
      <c r="G49" s="9">
        <f>'MKT DATA'!K1407</f>
        <v>0</v>
      </c>
      <c r="H49" s="9">
        <f>'MKT DATA'!L1407</f>
        <v>0</v>
      </c>
      <c r="I49" s="14">
        <f>'MKT DATA'!M1407</f>
        <v>0</v>
      </c>
      <c r="J49" s="44" t="str">
        <f t="shared" si="2"/>
        <v>syn BTCU6/BTCG7/BTCV6/BTCF7</v>
      </c>
      <c r="K49" s="9">
        <f>'MKT DATA'!O1407</f>
        <v>0</v>
      </c>
      <c r="L49" s="9">
        <f>'MKT DATA'!P1407</f>
        <v>0</v>
      </c>
      <c r="M49" s="9">
        <f>'MKT DATA'!Q1407</f>
        <v>0</v>
      </c>
      <c r="N49" s="9">
        <f>'MKT DATA'!R1407</f>
        <v>0</v>
      </c>
      <c r="O49" s="9">
        <f>'MKT DATA'!S1407</f>
        <v>0</v>
      </c>
      <c r="P49" s="9">
        <f>'MKT DATA'!T1407</f>
        <v>0</v>
      </c>
      <c r="Q49" s="44" t="str">
        <f t="shared" si="3"/>
        <v>syn BTCU6/BTCG7/BTCV6/BTCF7</v>
      </c>
      <c r="R49" s="14">
        <f>'MKT DATA'!AB1407</f>
        <v>0</v>
      </c>
    </row>
    <row r="50" spans="5:18" x14ac:dyDescent="0.25">
      <c r="E50" s="44" t="str">
        <f>'MKT DATA'!B1408</f>
        <v>syn BTCU6/BTCG7/BTCX6/BTCF7</v>
      </c>
      <c r="F50" s="14">
        <f>'MKT DATA'!J1408</f>
        <v>0</v>
      </c>
      <c r="G50" s="9">
        <f>'MKT DATA'!K1408</f>
        <v>0</v>
      </c>
      <c r="H50" s="9">
        <f>'MKT DATA'!L1408</f>
        <v>0</v>
      </c>
      <c r="I50" s="14">
        <f>'MKT DATA'!M1408</f>
        <v>0</v>
      </c>
      <c r="J50" s="44" t="str">
        <f t="shared" si="2"/>
        <v>syn BTCU6/BTCG7/BTCX6/BTCF7</v>
      </c>
      <c r="K50" s="9">
        <f>'MKT DATA'!O1408</f>
        <v>0</v>
      </c>
      <c r="L50" s="9">
        <f>'MKT DATA'!P1408</f>
        <v>0</v>
      </c>
      <c r="M50" s="9">
        <f>'MKT DATA'!Q1408</f>
        <v>0</v>
      </c>
      <c r="N50" s="9">
        <f>'MKT DATA'!R1408</f>
        <v>0</v>
      </c>
      <c r="O50" s="9">
        <f>'MKT DATA'!S1408</f>
        <v>0</v>
      </c>
      <c r="P50" s="9">
        <f>'MKT DATA'!T1408</f>
        <v>0</v>
      </c>
      <c r="Q50" s="44" t="str">
        <f t="shared" si="3"/>
        <v>syn BTCU6/BTCG7/BTCX6/BTCF7</v>
      </c>
      <c r="R50" s="14">
        <f>'MKT DATA'!AB1408</f>
        <v>0</v>
      </c>
    </row>
    <row r="51" spans="5:18" x14ac:dyDescent="0.25">
      <c r="E51" s="44" t="str">
        <f>'MKT DATA'!B1409</f>
        <v>syn BTCU6/BTCG7/BTCZ6/BTCF7</v>
      </c>
      <c r="F51" s="14">
        <f>'MKT DATA'!J1409</f>
        <v>0</v>
      </c>
      <c r="G51" s="9">
        <f>'MKT DATA'!K1409</f>
        <v>0</v>
      </c>
      <c r="H51" s="9">
        <f>'MKT DATA'!L1409</f>
        <v>0</v>
      </c>
      <c r="I51" s="14">
        <f>'MKT DATA'!M1409</f>
        <v>0</v>
      </c>
      <c r="J51" s="44" t="str">
        <f t="shared" si="2"/>
        <v>syn BTCU6/BTCG7/BTCZ6/BTCF7</v>
      </c>
      <c r="K51" s="9">
        <f>'MKT DATA'!O1409</f>
        <v>0</v>
      </c>
      <c r="L51" s="9">
        <f>'MKT DATA'!P1409</f>
        <v>0</v>
      </c>
      <c r="M51" s="9">
        <f>'MKT DATA'!Q1409</f>
        <v>0</v>
      </c>
      <c r="N51" s="9">
        <f>'MKT DATA'!R1409</f>
        <v>0</v>
      </c>
      <c r="O51" s="9">
        <f>'MKT DATA'!S1409</f>
        <v>0</v>
      </c>
      <c r="P51" s="9">
        <f>'MKT DATA'!T1409</f>
        <v>0</v>
      </c>
      <c r="Q51" s="44" t="str">
        <f t="shared" si="3"/>
        <v>syn BTCU6/BTCG7/BTCZ6/BTCF7</v>
      </c>
      <c r="R51" s="14">
        <f>'MKT DATA'!AB1409</f>
        <v>0</v>
      </c>
    </row>
    <row r="52" spans="5:18" x14ac:dyDescent="0.25">
      <c r="E52" s="44" t="str">
        <f>'MKT DATA'!B1410</f>
        <v>syn BTCV6/BTCU6/BTCX6/BTCF7</v>
      </c>
      <c r="F52" s="14">
        <f>'MKT DATA'!J1410</f>
        <v>0</v>
      </c>
      <c r="G52" s="9">
        <f>'MKT DATA'!K1410</f>
        <v>0</v>
      </c>
      <c r="H52" s="9">
        <f>'MKT DATA'!L1410</f>
        <v>0</v>
      </c>
      <c r="I52" s="14">
        <f>'MKT DATA'!M1410</f>
        <v>0</v>
      </c>
      <c r="J52" s="44" t="str">
        <f t="shared" si="2"/>
        <v>syn BTCV6/BTCU6/BTCX6/BTCF7</v>
      </c>
      <c r="K52" s="9">
        <f>'MKT DATA'!O1410</f>
        <v>0</v>
      </c>
      <c r="L52" s="9">
        <f>'MKT DATA'!P1410</f>
        <v>0</v>
      </c>
      <c r="M52" s="9">
        <f>'MKT DATA'!Q1410</f>
        <v>0</v>
      </c>
      <c r="N52" s="9">
        <f>'MKT DATA'!R1410</f>
        <v>0</v>
      </c>
      <c r="O52" s="9">
        <f>'MKT DATA'!S1410</f>
        <v>0</v>
      </c>
      <c r="P52" s="9">
        <f>'MKT DATA'!T1410</f>
        <v>0</v>
      </c>
      <c r="Q52" s="44" t="str">
        <f t="shared" si="3"/>
        <v>syn BTCV6/BTCU6/BTCX6/BTCF7</v>
      </c>
      <c r="R52" s="14">
        <f>'MKT DATA'!AB1410</f>
        <v>0</v>
      </c>
    </row>
    <row r="53" spans="5:18" x14ac:dyDescent="0.25">
      <c r="E53" s="44" t="str">
        <f>'MKT DATA'!B1411</f>
        <v>syn BTCV6/BTCU6/BTCZ6/BTCF7</v>
      </c>
      <c r="F53" s="14">
        <f>'MKT DATA'!J1411</f>
        <v>0</v>
      </c>
      <c r="G53" s="9">
        <f>'MKT DATA'!K1411</f>
        <v>0</v>
      </c>
      <c r="H53" s="9">
        <f>'MKT DATA'!L1411</f>
        <v>0</v>
      </c>
      <c r="I53" s="14">
        <f>'MKT DATA'!M1411</f>
        <v>0</v>
      </c>
      <c r="J53" s="44" t="str">
        <f t="shared" si="2"/>
        <v>syn BTCV6/BTCU6/BTCZ6/BTCF7</v>
      </c>
      <c r="K53" s="9">
        <f>'MKT DATA'!O1411</f>
        <v>0</v>
      </c>
      <c r="L53" s="9">
        <f>'MKT DATA'!P1411</f>
        <v>0</v>
      </c>
      <c r="M53" s="9">
        <f>'MKT DATA'!Q1411</f>
        <v>0</v>
      </c>
      <c r="N53" s="9">
        <f>'MKT DATA'!R1411</f>
        <v>0</v>
      </c>
      <c r="O53" s="9">
        <f>'MKT DATA'!S1411</f>
        <v>0</v>
      </c>
      <c r="P53" s="9">
        <f>'MKT DATA'!T1411</f>
        <v>0</v>
      </c>
      <c r="Q53" s="44" t="str">
        <f t="shared" si="3"/>
        <v>syn BTCV6/BTCU6/BTCZ6/BTCF7</v>
      </c>
      <c r="R53" s="14">
        <f>'MKT DATA'!AB1411</f>
        <v>0</v>
      </c>
    </row>
    <row r="54" spans="5:18" x14ac:dyDescent="0.25">
      <c r="E54" s="44" t="str">
        <f>'MKT DATA'!B1412</f>
        <v>syn BTCV6/BTCU6/BTCG7/BTCF7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BTCV6/BTCU6/BTCG7/BTCF7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BTCV6/BTCU6/BTCG7/BTCF7</v>
      </c>
      <c r="R54" s="14">
        <f>'MKT DATA'!AB1412</f>
        <v>0</v>
      </c>
    </row>
    <row r="55" spans="5:18" x14ac:dyDescent="0.25">
      <c r="E55" s="44" t="str">
        <f>'MKT DATA'!B1413</f>
        <v>syn BTCV6/BTCX6/BTCU6/BTCF7</v>
      </c>
      <c r="F55" s="14">
        <f>'MKT DATA'!J1413</f>
        <v>0</v>
      </c>
      <c r="G55" s="9">
        <f>'MKT DATA'!K1413</f>
        <v>0</v>
      </c>
      <c r="H55" s="9">
        <f>'MKT DATA'!L1413</f>
        <v>0</v>
      </c>
      <c r="I55" s="14">
        <f>'MKT DATA'!M1413</f>
        <v>0</v>
      </c>
      <c r="J55" s="44" t="str">
        <f t="shared" si="2"/>
        <v>syn BTCV6/BTCX6/BTCU6/BTCF7</v>
      </c>
      <c r="K55" s="9">
        <f>'MKT DATA'!O1413</f>
        <v>0</v>
      </c>
      <c r="L55" s="9">
        <f>'MKT DATA'!P1413</f>
        <v>0</v>
      </c>
      <c r="M55" s="9">
        <f>'MKT DATA'!Q1413</f>
        <v>0</v>
      </c>
      <c r="N55" s="9">
        <f>'MKT DATA'!R1413</f>
        <v>0</v>
      </c>
      <c r="O55" s="9">
        <f>'MKT DATA'!S1413</f>
        <v>0</v>
      </c>
      <c r="P55" s="9">
        <f>'MKT DATA'!T1413</f>
        <v>0</v>
      </c>
      <c r="Q55" s="44" t="str">
        <f t="shared" si="3"/>
        <v>syn BTCV6/BTCX6/BTCU6/BTCF7</v>
      </c>
      <c r="R55" s="14">
        <f>'MKT DATA'!AB1413</f>
        <v>0</v>
      </c>
    </row>
    <row r="56" spans="5:18" x14ac:dyDescent="0.25">
      <c r="E56" s="44" t="str">
        <f>'MKT DATA'!B1414</f>
        <v>syn BTCV6/BTCX6/BTCZ6/BTCF7</v>
      </c>
      <c r="F56" s="14">
        <f>'MKT DATA'!J1414</f>
        <v>0</v>
      </c>
      <c r="G56" s="9">
        <f>'MKT DATA'!K1414</f>
        <v>0</v>
      </c>
      <c r="H56" s="9">
        <f>'MKT DATA'!L1414</f>
        <v>0</v>
      </c>
      <c r="I56" s="14">
        <f>'MKT DATA'!M1414</f>
        <v>0</v>
      </c>
      <c r="J56" s="44" t="str">
        <f t="shared" si="2"/>
        <v>syn BTCV6/BTCX6/BTCZ6/BTCF7</v>
      </c>
      <c r="K56" s="9">
        <f>'MKT DATA'!O1414</f>
        <v>0</v>
      </c>
      <c r="L56" s="9">
        <f>'MKT DATA'!P1414</f>
        <v>0</v>
      </c>
      <c r="M56" s="9">
        <f>'MKT DATA'!Q1414</f>
        <v>0</v>
      </c>
      <c r="N56" s="9">
        <f>'MKT DATA'!R1414</f>
        <v>0</v>
      </c>
      <c r="O56" s="9">
        <f>'MKT DATA'!S1414</f>
        <v>0</v>
      </c>
      <c r="P56" s="9">
        <f>'MKT DATA'!T1414</f>
        <v>0</v>
      </c>
      <c r="Q56" s="44" t="str">
        <f t="shared" si="3"/>
        <v>syn BTCV6/BTCX6/BTCZ6/BTCF7</v>
      </c>
      <c r="R56" s="14">
        <f>'MKT DATA'!AB1414</f>
        <v>0</v>
      </c>
    </row>
    <row r="57" spans="5:18" x14ac:dyDescent="0.25">
      <c r="E57" s="44" t="str">
        <f>'MKT DATA'!B1415</f>
        <v>syn BTCV6/BTCX6/BTCG7/BTCF7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BTCV6/BTCX6/BTCG7/BTCF7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BTCV6/BTCX6/BTCG7/BTCF7</v>
      </c>
      <c r="R57" s="14">
        <f>'MKT DATA'!AB1415</f>
        <v>0</v>
      </c>
    </row>
    <row r="58" spans="5:18" x14ac:dyDescent="0.25">
      <c r="E58" s="44" t="str">
        <f>'MKT DATA'!B1416</f>
        <v>syn BTCV6/BTCZ6/BTCU6/BTCF7</v>
      </c>
      <c r="F58" s="14">
        <f>'MKT DATA'!J1416</f>
        <v>0</v>
      </c>
      <c r="G58" s="9">
        <f>'MKT DATA'!K1416</f>
        <v>0</v>
      </c>
      <c r="H58" s="9">
        <f>'MKT DATA'!L1416</f>
        <v>0</v>
      </c>
      <c r="I58" s="14">
        <f>'MKT DATA'!M1416</f>
        <v>0</v>
      </c>
      <c r="J58" s="44" t="str">
        <f t="shared" si="2"/>
        <v>syn BTCV6/BTCZ6/BTCU6/BTCF7</v>
      </c>
      <c r="K58" s="9">
        <f>'MKT DATA'!O1416</f>
        <v>0</v>
      </c>
      <c r="L58" s="9">
        <f>'MKT DATA'!P1416</f>
        <v>0</v>
      </c>
      <c r="M58" s="9">
        <f>'MKT DATA'!Q1416</f>
        <v>0</v>
      </c>
      <c r="N58" s="9">
        <f>'MKT DATA'!R1416</f>
        <v>0</v>
      </c>
      <c r="O58" s="9">
        <f>'MKT DATA'!S1416</f>
        <v>0</v>
      </c>
      <c r="P58" s="9">
        <f>'MKT DATA'!T1416</f>
        <v>0</v>
      </c>
      <c r="Q58" s="44" t="str">
        <f t="shared" si="3"/>
        <v>syn BTCV6/BTCZ6/BTCU6/BTCF7</v>
      </c>
      <c r="R58" s="14">
        <f>'MKT DATA'!AB1416</f>
        <v>0</v>
      </c>
    </row>
    <row r="59" spans="5:18" x14ac:dyDescent="0.25">
      <c r="E59" s="44" t="str">
        <f>'MKT DATA'!B1417</f>
        <v>syn BTCV6/BTCZ6/BTCX6/BTCF7</v>
      </c>
      <c r="F59" s="14">
        <f>'MKT DATA'!J1417</f>
        <v>0</v>
      </c>
      <c r="G59" s="9">
        <f>'MKT DATA'!K1417</f>
        <v>0</v>
      </c>
      <c r="H59" s="9">
        <f>'MKT DATA'!L1417</f>
        <v>0</v>
      </c>
      <c r="I59" s="14">
        <f>'MKT DATA'!M1417</f>
        <v>0</v>
      </c>
      <c r="J59" s="44" t="str">
        <f t="shared" si="2"/>
        <v>syn BTCV6/BTCZ6/BTCX6/BTCF7</v>
      </c>
      <c r="K59" s="9">
        <f>'MKT DATA'!O1417</f>
        <v>0</v>
      </c>
      <c r="L59" s="9">
        <f>'MKT DATA'!P1417</f>
        <v>0</v>
      </c>
      <c r="M59" s="9">
        <f>'MKT DATA'!Q1417</f>
        <v>0</v>
      </c>
      <c r="N59" s="9">
        <f>'MKT DATA'!R1417</f>
        <v>0</v>
      </c>
      <c r="O59" s="9">
        <f>'MKT DATA'!S1417</f>
        <v>0</v>
      </c>
      <c r="P59" s="9">
        <f>'MKT DATA'!T1417</f>
        <v>0</v>
      </c>
      <c r="Q59" s="44" t="str">
        <f t="shared" si="3"/>
        <v>syn BTCV6/BTCZ6/BTCX6/BTCF7</v>
      </c>
      <c r="R59" s="14">
        <f>'MKT DATA'!AB1417</f>
        <v>0</v>
      </c>
    </row>
    <row r="60" spans="5:18" x14ac:dyDescent="0.25">
      <c r="E60" s="44" t="str">
        <f>'MKT DATA'!B1418</f>
        <v>syn BTCV6/BTCZ6/BTCG7/BTCF7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BTCV6/BTCZ6/BTCG7/BTCF7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BTCV6/BTCZ6/BTCG7/BTCF7</v>
      </c>
      <c r="R60" s="14">
        <f>'MKT DATA'!AB1418</f>
        <v>0</v>
      </c>
    </row>
    <row r="61" spans="5:18" x14ac:dyDescent="0.25">
      <c r="E61" s="44" t="str">
        <f>'MKT DATA'!B1419</f>
        <v>syn BTCV6/BTCG7/BTCU6/BTCF7</v>
      </c>
      <c r="F61" s="14">
        <f>'MKT DATA'!J1419</f>
        <v>0</v>
      </c>
      <c r="G61" s="9">
        <f>'MKT DATA'!K1419</f>
        <v>0</v>
      </c>
      <c r="H61" s="9">
        <f>'MKT DATA'!L1419</f>
        <v>0</v>
      </c>
      <c r="I61" s="14">
        <f>'MKT DATA'!M1419</f>
        <v>0</v>
      </c>
      <c r="J61" s="44" t="str">
        <f t="shared" si="2"/>
        <v>syn BTCV6/BTCG7/BTCU6/BTCF7</v>
      </c>
      <c r="K61" s="9">
        <f>'MKT DATA'!O1419</f>
        <v>0</v>
      </c>
      <c r="L61" s="9">
        <f>'MKT DATA'!P1419</f>
        <v>0</v>
      </c>
      <c r="M61" s="9">
        <f>'MKT DATA'!Q1419</f>
        <v>0</v>
      </c>
      <c r="N61" s="9">
        <f>'MKT DATA'!R1419</f>
        <v>0</v>
      </c>
      <c r="O61" s="9">
        <f>'MKT DATA'!S1419</f>
        <v>0</v>
      </c>
      <c r="P61" s="9">
        <f>'MKT DATA'!T1419</f>
        <v>0</v>
      </c>
      <c r="Q61" s="44" t="str">
        <f t="shared" si="3"/>
        <v>syn BTCV6/BTCG7/BTCU6/BTCF7</v>
      </c>
      <c r="R61" s="14">
        <f>'MKT DATA'!AB1419</f>
        <v>0</v>
      </c>
    </row>
    <row r="62" spans="5:18" x14ac:dyDescent="0.25">
      <c r="E62" s="44" t="str">
        <f>'MKT DATA'!B1420</f>
        <v>syn BTCV6/BTCG7/BTCX6/BTCF7</v>
      </c>
      <c r="F62" s="14">
        <f>'MKT DATA'!J1420</f>
        <v>0</v>
      </c>
      <c r="G62" s="9">
        <f>'MKT DATA'!K1420</f>
        <v>0</v>
      </c>
      <c r="H62" s="9">
        <f>'MKT DATA'!L1420</f>
        <v>0</v>
      </c>
      <c r="I62" s="14">
        <f>'MKT DATA'!M1420</f>
        <v>0</v>
      </c>
      <c r="J62" s="44" t="str">
        <f t="shared" si="2"/>
        <v>syn BTCV6/BTCG7/BTCX6/BTCF7</v>
      </c>
      <c r="K62" s="9">
        <f>'MKT DATA'!O1420</f>
        <v>0</v>
      </c>
      <c r="L62" s="9">
        <f>'MKT DATA'!P1420</f>
        <v>0</v>
      </c>
      <c r="M62" s="9">
        <f>'MKT DATA'!Q1420</f>
        <v>0</v>
      </c>
      <c r="N62" s="9">
        <f>'MKT DATA'!R1420</f>
        <v>0</v>
      </c>
      <c r="O62" s="9">
        <f>'MKT DATA'!S1420</f>
        <v>0</v>
      </c>
      <c r="P62" s="9">
        <f>'MKT DATA'!T1420</f>
        <v>0</v>
      </c>
      <c r="Q62" s="44" t="str">
        <f t="shared" si="3"/>
        <v>syn BTCV6/BTCG7/BTCX6/BTCF7</v>
      </c>
      <c r="R62" s="14">
        <f>'MKT DATA'!AB1420</f>
        <v>0</v>
      </c>
    </row>
    <row r="63" spans="5:18" x14ac:dyDescent="0.25">
      <c r="E63" s="44" t="str">
        <f>'MKT DATA'!B1421</f>
        <v>syn BTCV6/BTCG7/BTCZ6/BTCF7</v>
      </c>
      <c r="F63" s="14">
        <f>'MKT DATA'!J1421</f>
        <v>0</v>
      </c>
      <c r="G63" s="9">
        <f>'MKT DATA'!K1421</f>
        <v>0</v>
      </c>
      <c r="H63" s="9">
        <f>'MKT DATA'!L1421</f>
        <v>0</v>
      </c>
      <c r="I63" s="14">
        <f>'MKT DATA'!M1421</f>
        <v>0</v>
      </c>
      <c r="J63" s="44" t="str">
        <f t="shared" si="2"/>
        <v>syn BTCV6/BTCG7/BTCZ6/BTCF7</v>
      </c>
      <c r="K63" s="9">
        <f>'MKT DATA'!O1421</f>
        <v>0</v>
      </c>
      <c r="L63" s="9">
        <f>'MKT DATA'!P1421</f>
        <v>0</v>
      </c>
      <c r="M63" s="9">
        <f>'MKT DATA'!Q1421</f>
        <v>0</v>
      </c>
      <c r="N63" s="9">
        <f>'MKT DATA'!R1421</f>
        <v>0</v>
      </c>
      <c r="O63" s="9">
        <f>'MKT DATA'!S1421</f>
        <v>0</v>
      </c>
      <c r="P63" s="9">
        <f>'MKT DATA'!T1421</f>
        <v>0</v>
      </c>
      <c r="Q63" s="44" t="str">
        <f t="shared" si="3"/>
        <v>syn BTCV6/BTCG7/BTCZ6/BTCF7</v>
      </c>
      <c r="R63" s="14">
        <f>'MKT DATA'!AB1421</f>
        <v>0</v>
      </c>
    </row>
    <row r="64" spans="5:18" x14ac:dyDescent="0.25">
      <c r="E64" s="44" t="str">
        <f>'MKT DATA'!B1422</f>
        <v>syn BTCX6/BTCU6/BTCV6/BTCF7</v>
      </c>
      <c r="F64" s="14">
        <f>'MKT DATA'!J1422</f>
        <v>0</v>
      </c>
      <c r="G64" s="9">
        <f>'MKT DATA'!K1422</f>
        <v>0</v>
      </c>
      <c r="H64" s="9">
        <f>'MKT DATA'!L1422</f>
        <v>0</v>
      </c>
      <c r="I64" s="14">
        <f>'MKT DATA'!M1422</f>
        <v>0</v>
      </c>
      <c r="J64" s="44" t="str">
        <f t="shared" si="2"/>
        <v>syn BTCX6/BTCU6/BTCV6/BTCF7</v>
      </c>
      <c r="K64" s="9">
        <f>'MKT DATA'!O1422</f>
        <v>0</v>
      </c>
      <c r="L64" s="9">
        <f>'MKT DATA'!P1422</f>
        <v>0</v>
      </c>
      <c r="M64" s="9">
        <f>'MKT DATA'!Q1422</f>
        <v>0</v>
      </c>
      <c r="N64" s="9">
        <f>'MKT DATA'!R1422</f>
        <v>0</v>
      </c>
      <c r="O64" s="9">
        <f>'MKT DATA'!S1422</f>
        <v>0</v>
      </c>
      <c r="P64" s="9">
        <f>'MKT DATA'!T1422</f>
        <v>0</v>
      </c>
      <c r="Q64" s="44" t="str">
        <f t="shared" si="3"/>
        <v>syn BTCX6/BTCU6/BTCV6/BTCF7</v>
      </c>
      <c r="R64" s="14">
        <f>'MKT DATA'!AB1422</f>
        <v>0</v>
      </c>
    </row>
    <row r="65" spans="5:18" x14ac:dyDescent="0.25">
      <c r="E65" s="44" t="str">
        <f>'MKT DATA'!B1423</f>
        <v>syn BTCX6/BTCU6/BTCZ6/BTCF7</v>
      </c>
      <c r="F65" s="14">
        <f>'MKT DATA'!J1423</f>
        <v>0</v>
      </c>
      <c r="G65" s="9">
        <f>'MKT DATA'!K1423</f>
        <v>0</v>
      </c>
      <c r="H65" s="9">
        <f>'MKT DATA'!L1423</f>
        <v>0</v>
      </c>
      <c r="I65" s="14">
        <f>'MKT DATA'!M1423</f>
        <v>0</v>
      </c>
      <c r="J65" s="44" t="str">
        <f t="shared" si="2"/>
        <v>syn BTCX6/BTCU6/BTCZ6/BTCF7</v>
      </c>
      <c r="K65" s="9">
        <f>'MKT DATA'!O1423</f>
        <v>0</v>
      </c>
      <c r="L65" s="9">
        <f>'MKT DATA'!P1423</f>
        <v>0</v>
      </c>
      <c r="M65" s="9">
        <f>'MKT DATA'!Q1423</f>
        <v>0</v>
      </c>
      <c r="N65" s="9">
        <f>'MKT DATA'!R1423</f>
        <v>0</v>
      </c>
      <c r="O65" s="9">
        <f>'MKT DATA'!S1423</f>
        <v>0</v>
      </c>
      <c r="P65" s="9">
        <f>'MKT DATA'!T1423</f>
        <v>0</v>
      </c>
      <c r="Q65" s="44" t="str">
        <f t="shared" si="3"/>
        <v>syn BTCX6/BTCU6/BTCZ6/BTCF7</v>
      </c>
      <c r="R65" s="14">
        <f>'MKT DATA'!AB1423</f>
        <v>0</v>
      </c>
    </row>
    <row r="66" spans="5:18" x14ac:dyDescent="0.25">
      <c r="E66" s="44" t="str">
        <f>'MKT DATA'!B1424</f>
        <v>syn BTCX6/BTCU6/BTCG7/BTCF7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BTCX6/BTCU6/BTCG7/BTCF7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BTCX6/BTCU6/BTCG7/BTCF7</v>
      </c>
      <c r="R66" s="14">
        <f>'MKT DATA'!AB1424</f>
        <v>0</v>
      </c>
    </row>
    <row r="67" spans="5:18" x14ac:dyDescent="0.25">
      <c r="E67" s="44" t="str">
        <f>'MKT DATA'!B1425</f>
        <v>syn BTCX6/BTCV6/BTCU6/BTCF7</v>
      </c>
      <c r="F67" s="14">
        <f>'MKT DATA'!J1425</f>
        <v>0</v>
      </c>
      <c r="G67" s="9">
        <f>'MKT DATA'!K1425</f>
        <v>0</v>
      </c>
      <c r="H67" s="9">
        <f>'MKT DATA'!L1425</f>
        <v>0</v>
      </c>
      <c r="I67" s="14">
        <f>'MKT DATA'!M1425</f>
        <v>0</v>
      </c>
      <c r="J67" s="44" t="str">
        <f t="shared" si="2"/>
        <v>syn BTCX6/BTCV6/BTCU6/BTCF7</v>
      </c>
      <c r="K67" s="9">
        <f>'MKT DATA'!O1425</f>
        <v>0</v>
      </c>
      <c r="L67" s="9">
        <f>'MKT DATA'!P1425</f>
        <v>0</v>
      </c>
      <c r="M67" s="9">
        <f>'MKT DATA'!Q1425</f>
        <v>0</v>
      </c>
      <c r="N67" s="9">
        <f>'MKT DATA'!R1425</f>
        <v>0</v>
      </c>
      <c r="O67" s="9">
        <f>'MKT DATA'!S1425</f>
        <v>0</v>
      </c>
      <c r="P67" s="9">
        <f>'MKT DATA'!T1425</f>
        <v>0</v>
      </c>
      <c r="Q67" s="44" t="str">
        <f t="shared" si="3"/>
        <v>syn BTCX6/BTCV6/BTCU6/BTCF7</v>
      </c>
      <c r="R67" s="14">
        <f>'MKT DATA'!AB1425</f>
        <v>0</v>
      </c>
    </row>
    <row r="68" spans="5:18" x14ac:dyDescent="0.25">
      <c r="E68" s="44" t="str">
        <f>'MKT DATA'!B1426</f>
        <v>syn BTCX6/BTCV6/BTCZ6/BTCF7</v>
      </c>
      <c r="F68" s="14">
        <f>'MKT DATA'!J1426</f>
        <v>0</v>
      </c>
      <c r="G68" s="9">
        <f>'MKT DATA'!K1426</f>
        <v>0</v>
      </c>
      <c r="H68" s="9">
        <f>'MKT DATA'!L1426</f>
        <v>0</v>
      </c>
      <c r="I68" s="14">
        <f>'MKT DATA'!M1426</f>
        <v>0</v>
      </c>
      <c r="J68" s="44" t="str">
        <f t="shared" si="2"/>
        <v>syn BTCX6/BTCV6/BTCZ6/BTCF7</v>
      </c>
      <c r="K68" s="9">
        <f>'MKT DATA'!O1426</f>
        <v>0</v>
      </c>
      <c r="L68" s="9">
        <f>'MKT DATA'!P1426</f>
        <v>0</v>
      </c>
      <c r="M68" s="9">
        <f>'MKT DATA'!Q1426</f>
        <v>0</v>
      </c>
      <c r="N68" s="9">
        <f>'MKT DATA'!R1426</f>
        <v>0</v>
      </c>
      <c r="O68" s="9">
        <f>'MKT DATA'!S1426</f>
        <v>0</v>
      </c>
      <c r="P68" s="9">
        <f>'MKT DATA'!T1426</f>
        <v>0</v>
      </c>
      <c r="Q68" s="44" t="str">
        <f t="shared" si="3"/>
        <v>syn BTCX6/BTCV6/BTCZ6/BTCF7</v>
      </c>
      <c r="R68" s="14">
        <f>'MKT DATA'!AB1426</f>
        <v>0</v>
      </c>
    </row>
    <row r="69" spans="5:18" x14ac:dyDescent="0.25">
      <c r="E69" s="44" t="str">
        <f>'MKT DATA'!B1427</f>
        <v>syn BTCX6/BTCV6/BTCG7/BTCF7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BTCX6/BTCV6/BTCG7/BTCF7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BTCX6/BTCV6/BTCG7/BTCF7</v>
      </c>
      <c r="R69" s="14">
        <f>'MKT DATA'!AB1427</f>
        <v>0</v>
      </c>
    </row>
    <row r="70" spans="5:18" x14ac:dyDescent="0.25">
      <c r="E70" s="44" t="str">
        <f>'MKT DATA'!B1428</f>
        <v>syn BTCX6/BTCZ6/BTCU6/BTCF7</v>
      </c>
      <c r="F70" s="14">
        <f>'MKT DATA'!J1428</f>
        <v>0</v>
      </c>
      <c r="G70" s="9">
        <f>'MKT DATA'!K1428</f>
        <v>0</v>
      </c>
      <c r="H70" s="9">
        <f>'MKT DATA'!L1428</f>
        <v>0</v>
      </c>
      <c r="I70" s="14">
        <f>'MKT DATA'!M1428</f>
        <v>0</v>
      </c>
      <c r="J70" s="44" t="str">
        <f t="shared" si="2"/>
        <v>syn BTCX6/BTCZ6/BTCU6/BTCF7</v>
      </c>
      <c r="K70" s="9">
        <f>'MKT DATA'!O1428</f>
        <v>0</v>
      </c>
      <c r="L70" s="9">
        <f>'MKT DATA'!P1428</f>
        <v>0</v>
      </c>
      <c r="M70" s="9">
        <f>'MKT DATA'!Q1428</f>
        <v>0</v>
      </c>
      <c r="N70" s="9">
        <f>'MKT DATA'!R1428</f>
        <v>0</v>
      </c>
      <c r="O70" s="9">
        <f>'MKT DATA'!S1428</f>
        <v>0</v>
      </c>
      <c r="P70" s="9">
        <f>'MKT DATA'!T1428</f>
        <v>0</v>
      </c>
      <c r="Q70" s="44" t="str">
        <f t="shared" si="3"/>
        <v>syn BTCX6/BTCZ6/BTCU6/BTCF7</v>
      </c>
      <c r="R70" s="14">
        <f>'MKT DATA'!AB1428</f>
        <v>0</v>
      </c>
    </row>
    <row r="71" spans="5:18" x14ac:dyDescent="0.25">
      <c r="E71" s="44" t="str">
        <f>'MKT DATA'!B1429</f>
        <v>syn BTCX6/BTCZ6/BTCV6/BTCF7</v>
      </c>
      <c r="F71" s="14">
        <f>'MKT DATA'!J1429</f>
        <v>0</v>
      </c>
      <c r="G71" s="9">
        <f>'MKT DATA'!K1429</f>
        <v>0</v>
      </c>
      <c r="H71" s="9">
        <f>'MKT DATA'!L1429</f>
        <v>0</v>
      </c>
      <c r="I71" s="14">
        <f>'MKT DATA'!M1429</f>
        <v>0</v>
      </c>
      <c r="J71" s="44" t="str">
        <f t="shared" si="2"/>
        <v>syn BTCX6/BTCZ6/BTCV6/BTCF7</v>
      </c>
      <c r="K71" s="9">
        <f>'MKT DATA'!O1429</f>
        <v>0</v>
      </c>
      <c r="L71" s="9">
        <f>'MKT DATA'!P1429</f>
        <v>0</v>
      </c>
      <c r="M71" s="9">
        <f>'MKT DATA'!Q1429</f>
        <v>0</v>
      </c>
      <c r="N71" s="9">
        <f>'MKT DATA'!R1429</f>
        <v>0</v>
      </c>
      <c r="O71" s="9">
        <f>'MKT DATA'!S1429</f>
        <v>0</v>
      </c>
      <c r="P71" s="9">
        <f>'MKT DATA'!T1429</f>
        <v>0</v>
      </c>
      <c r="Q71" s="44" t="str">
        <f t="shared" si="3"/>
        <v>syn BTCX6/BTCZ6/BTCV6/BTCF7</v>
      </c>
      <c r="R71" s="14">
        <f>'MKT DATA'!AB1429</f>
        <v>0</v>
      </c>
    </row>
    <row r="72" spans="5:18" x14ac:dyDescent="0.25">
      <c r="E72" s="44" t="str">
        <f>'MKT DATA'!B1430</f>
        <v>syn BTCX6/BTCZ6/BTCG7/BTCF7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BTCX6/BTCZ6/BTCG7/BTCF7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BTCX6/BTCZ6/BTCG7/BTCF7</v>
      </c>
      <c r="R72" s="14">
        <f>'MKT DATA'!AB1430</f>
        <v>0</v>
      </c>
    </row>
    <row r="73" spans="5:18" x14ac:dyDescent="0.25">
      <c r="E73" s="44" t="str">
        <f>'MKT DATA'!B1431</f>
        <v>syn BTCX6/BTCG7/BTCU6/BTCF7</v>
      </c>
      <c r="F73" s="14">
        <f>'MKT DATA'!J1431</f>
        <v>0</v>
      </c>
      <c r="G73" s="9">
        <f>'MKT DATA'!K1431</f>
        <v>0</v>
      </c>
      <c r="H73" s="9">
        <f>'MKT DATA'!L1431</f>
        <v>0</v>
      </c>
      <c r="I73" s="14">
        <f>'MKT DATA'!M1431</f>
        <v>0</v>
      </c>
      <c r="J73" s="44" t="str">
        <f t="shared" si="2"/>
        <v>syn BTCX6/BTCG7/BTCU6/BTCF7</v>
      </c>
      <c r="K73" s="9">
        <f>'MKT DATA'!O1431</f>
        <v>0</v>
      </c>
      <c r="L73" s="9">
        <f>'MKT DATA'!P1431</f>
        <v>0</v>
      </c>
      <c r="M73" s="9">
        <f>'MKT DATA'!Q1431</f>
        <v>0</v>
      </c>
      <c r="N73" s="9">
        <f>'MKT DATA'!R1431</f>
        <v>0</v>
      </c>
      <c r="O73" s="9">
        <f>'MKT DATA'!S1431</f>
        <v>0</v>
      </c>
      <c r="P73" s="9">
        <f>'MKT DATA'!T1431</f>
        <v>0</v>
      </c>
      <c r="Q73" s="44" t="str">
        <f t="shared" si="3"/>
        <v>syn BTCX6/BTCG7/BTCU6/BTCF7</v>
      </c>
      <c r="R73" s="14">
        <f>'MKT DATA'!AB1431</f>
        <v>0</v>
      </c>
    </row>
    <row r="74" spans="5:18" x14ac:dyDescent="0.25">
      <c r="E74" s="44" t="str">
        <f>'MKT DATA'!B1432</f>
        <v>syn BTCX6/BTCG7/BTCV6/BTCF7</v>
      </c>
      <c r="F74" s="14">
        <f>'MKT DATA'!J1432</f>
        <v>0</v>
      </c>
      <c r="G74" s="9">
        <f>'MKT DATA'!K1432</f>
        <v>0</v>
      </c>
      <c r="H74" s="9">
        <f>'MKT DATA'!L1432</f>
        <v>0</v>
      </c>
      <c r="I74" s="14">
        <f>'MKT DATA'!M1432</f>
        <v>0</v>
      </c>
      <c r="J74" s="44" t="str">
        <f t="shared" ref="J74:J137" si="4">E74</f>
        <v>syn BTCX6/BTCG7/BTCV6/BTCF7</v>
      </c>
      <c r="K74" s="9">
        <f>'MKT DATA'!O1432</f>
        <v>0</v>
      </c>
      <c r="L74" s="9">
        <f>'MKT DATA'!P1432</f>
        <v>0</v>
      </c>
      <c r="M74" s="9">
        <f>'MKT DATA'!Q1432</f>
        <v>0</v>
      </c>
      <c r="N74" s="9">
        <f>'MKT DATA'!R1432</f>
        <v>0</v>
      </c>
      <c r="O74" s="9">
        <f>'MKT DATA'!S1432</f>
        <v>0</v>
      </c>
      <c r="P74" s="9">
        <f>'MKT DATA'!T1432</f>
        <v>0</v>
      </c>
      <c r="Q74" s="44" t="str">
        <f t="shared" ref="Q74:Q137" si="5">J74</f>
        <v>syn BTCX6/BTCG7/BTCV6/BTCF7</v>
      </c>
      <c r="R74" s="14">
        <f>'MKT DATA'!AB1432</f>
        <v>0</v>
      </c>
    </row>
    <row r="75" spans="5:18" x14ac:dyDescent="0.25">
      <c r="E75" s="44" t="str">
        <f>'MKT DATA'!B1433</f>
        <v>syn BTCX6/BTCG7/BTCZ6/BTCF7</v>
      </c>
      <c r="F75" s="14">
        <f>'MKT DATA'!J1433</f>
        <v>0</v>
      </c>
      <c r="G75" s="9">
        <f>'MKT DATA'!K1433</f>
        <v>0</v>
      </c>
      <c r="H75" s="9">
        <f>'MKT DATA'!L1433</f>
        <v>0</v>
      </c>
      <c r="I75" s="14">
        <f>'MKT DATA'!M1433</f>
        <v>0</v>
      </c>
      <c r="J75" s="44" t="str">
        <f t="shared" si="4"/>
        <v>syn BTCX6/BTCG7/BTCZ6/BTCF7</v>
      </c>
      <c r="K75" s="9">
        <f>'MKT DATA'!O1433</f>
        <v>0</v>
      </c>
      <c r="L75" s="9">
        <f>'MKT DATA'!P1433</f>
        <v>0</v>
      </c>
      <c r="M75" s="9">
        <f>'MKT DATA'!Q1433</f>
        <v>0</v>
      </c>
      <c r="N75" s="9">
        <f>'MKT DATA'!R1433</f>
        <v>0</v>
      </c>
      <c r="O75" s="9">
        <f>'MKT DATA'!S1433</f>
        <v>0</v>
      </c>
      <c r="P75" s="9">
        <f>'MKT DATA'!T1433</f>
        <v>0</v>
      </c>
      <c r="Q75" s="44" t="str">
        <f t="shared" si="5"/>
        <v>syn BTCX6/BTCG7/BTCZ6/BTCF7</v>
      </c>
      <c r="R75" s="14">
        <f>'MKT DATA'!AB1433</f>
        <v>0</v>
      </c>
    </row>
    <row r="76" spans="5:18" x14ac:dyDescent="0.25">
      <c r="E76" s="44" t="str">
        <f>'MKT DATA'!B1434</f>
        <v>syn BTCZ6/BTCU6/BTCV6/BTCF7</v>
      </c>
      <c r="F76" s="14">
        <f>'MKT DATA'!J1434</f>
        <v>0</v>
      </c>
      <c r="G76" s="9">
        <f>'MKT DATA'!K1434</f>
        <v>0</v>
      </c>
      <c r="H76" s="9">
        <f>'MKT DATA'!L1434</f>
        <v>0</v>
      </c>
      <c r="I76" s="14">
        <f>'MKT DATA'!M1434</f>
        <v>0</v>
      </c>
      <c r="J76" s="44" t="str">
        <f t="shared" si="4"/>
        <v>syn BTCZ6/BTCU6/BTCV6/BTCF7</v>
      </c>
      <c r="K76" s="9">
        <f>'MKT DATA'!O1434</f>
        <v>0</v>
      </c>
      <c r="L76" s="9">
        <f>'MKT DATA'!P1434</f>
        <v>0</v>
      </c>
      <c r="M76" s="9">
        <f>'MKT DATA'!Q1434</f>
        <v>0</v>
      </c>
      <c r="N76" s="9">
        <f>'MKT DATA'!R1434</f>
        <v>0</v>
      </c>
      <c r="O76" s="9">
        <f>'MKT DATA'!S1434</f>
        <v>0</v>
      </c>
      <c r="P76" s="9">
        <f>'MKT DATA'!T1434</f>
        <v>0</v>
      </c>
      <c r="Q76" s="44" t="str">
        <f t="shared" si="5"/>
        <v>syn BTCZ6/BTCU6/BTCV6/BTCF7</v>
      </c>
      <c r="R76" s="14">
        <f>'MKT DATA'!AB1434</f>
        <v>0</v>
      </c>
    </row>
    <row r="77" spans="5:18" x14ac:dyDescent="0.25">
      <c r="E77" s="44" t="str">
        <f>'MKT DATA'!B1435</f>
        <v>syn BTCZ6/BTCU6/BTCX6/BTCF7</v>
      </c>
      <c r="F77" s="14">
        <f>'MKT DATA'!J1435</f>
        <v>0</v>
      </c>
      <c r="G77" s="9">
        <f>'MKT DATA'!K1435</f>
        <v>0</v>
      </c>
      <c r="H77" s="9">
        <f>'MKT DATA'!L1435</f>
        <v>0</v>
      </c>
      <c r="I77" s="14">
        <f>'MKT DATA'!M1435</f>
        <v>0</v>
      </c>
      <c r="J77" s="44" t="str">
        <f t="shared" si="4"/>
        <v>syn BTCZ6/BTCU6/BTCX6/BTCF7</v>
      </c>
      <c r="K77" s="9">
        <f>'MKT DATA'!O1435</f>
        <v>0</v>
      </c>
      <c r="L77" s="9">
        <f>'MKT DATA'!P1435</f>
        <v>0</v>
      </c>
      <c r="M77" s="9">
        <f>'MKT DATA'!Q1435</f>
        <v>0</v>
      </c>
      <c r="N77" s="9">
        <f>'MKT DATA'!R1435</f>
        <v>0</v>
      </c>
      <c r="O77" s="9">
        <f>'MKT DATA'!S1435</f>
        <v>0</v>
      </c>
      <c r="P77" s="9">
        <f>'MKT DATA'!T1435</f>
        <v>0</v>
      </c>
      <c r="Q77" s="44" t="str">
        <f t="shared" si="5"/>
        <v>syn BTCZ6/BTCU6/BTCX6/BTCF7</v>
      </c>
      <c r="R77" s="14">
        <f>'MKT DATA'!AB1435</f>
        <v>0</v>
      </c>
    </row>
    <row r="78" spans="5:18" x14ac:dyDescent="0.25">
      <c r="E78" s="44" t="str">
        <f>'MKT DATA'!B1436</f>
        <v>syn BTCZ6/BTCU6/BTCG7/BTCF7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BTCZ6/BTCU6/BTCG7/BTCF7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BTCZ6/BTCU6/BTCG7/BTCF7</v>
      </c>
      <c r="R78" s="14">
        <f>'MKT DATA'!AB1436</f>
        <v>0</v>
      </c>
    </row>
    <row r="79" spans="5:18" x14ac:dyDescent="0.25">
      <c r="E79" s="44" t="str">
        <f>'MKT DATA'!B1437</f>
        <v>syn BTCZ6/BTCV6/BTCU6/BTCF7</v>
      </c>
      <c r="F79" s="14">
        <f>'MKT DATA'!J1437</f>
        <v>0</v>
      </c>
      <c r="G79" s="9">
        <f>'MKT DATA'!K1437</f>
        <v>0</v>
      </c>
      <c r="H79" s="9">
        <f>'MKT DATA'!L1437</f>
        <v>0</v>
      </c>
      <c r="I79" s="14">
        <f>'MKT DATA'!M1437</f>
        <v>0</v>
      </c>
      <c r="J79" s="44" t="str">
        <f t="shared" si="4"/>
        <v>syn BTCZ6/BTCV6/BTCU6/BTCF7</v>
      </c>
      <c r="K79" s="9">
        <f>'MKT DATA'!O1437</f>
        <v>0</v>
      </c>
      <c r="L79" s="9">
        <f>'MKT DATA'!P1437</f>
        <v>0</v>
      </c>
      <c r="M79" s="9">
        <f>'MKT DATA'!Q1437</f>
        <v>0</v>
      </c>
      <c r="N79" s="9">
        <f>'MKT DATA'!R1437</f>
        <v>0</v>
      </c>
      <c r="O79" s="9">
        <f>'MKT DATA'!S1437</f>
        <v>0</v>
      </c>
      <c r="P79" s="9">
        <f>'MKT DATA'!T1437</f>
        <v>0</v>
      </c>
      <c r="Q79" s="44" t="str">
        <f t="shared" si="5"/>
        <v>syn BTCZ6/BTCV6/BTCU6/BTCF7</v>
      </c>
      <c r="R79" s="14">
        <f>'MKT DATA'!AB1437</f>
        <v>0</v>
      </c>
    </row>
    <row r="80" spans="5:18" x14ac:dyDescent="0.25">
      <c r="E80" s="44" t="str">
        <f>'MKT DATA'!B1438</f>
        <v>syn BTCZ6/BTCV6/BTCX6/BTCF7</v>
      </c>
      <c r="F80" s="14">
        <f>'MKT DATA'!J1438</f>
        <v>0</v>
      </c>
      <c r="G80" s="9">
        <f>'MKT DATA'!K1438</f>
        <v>0</v>
      </c>
      <c r="H80" s="9">
        <f>'MKT DATA'!L1438</f>
        <v>0</v>
      </c>
      <c r="I80" s="14">
        <f>'MKT DATA'!M1438</f>
        <v>0</v>
      </c>
      <c r="J80" s="44" t="str">
        <f t="shared" si="4"/>
        <v>syn BTCZ6/BTCV6/BTCX6/BTCF7</v>
      </c>
      <c r="K80" s="9">
        <f>'MKT DATA'!O1438</f>
        <v>0</v>
      </c>
      <c r="L80" s="9">
        <f>'MKT DATA'!P1438</f>
        <v>0</v>
      </c>
      <c r="M80" s="9">
        <f>'MKT DATA'!Q1438</f>
        <v>0</v>
      </c>
      <c r="N80" s="9">
        <f>'MKT DATA'!R1438</f>
        <v>0</v>
      </c>
      <c r="O80" s="9">
        <f>'MKT DATA'!S1438</f>
        <v>0</v>
      </c>
      <c r="P80" s="9">
        <f>'MKT DATA'!T1438</f>
        <v>0</v>
      </c>
      <c r="Q80" s="44" t="str">
        <f t="shared" si="5"/>
        <v>syn BTCZ6/BTCV6/BTCX6/BTCF7</v>
      </c>
      <c r="R80" s="14">
        <f>'MKT DATA'!AB1438</f>
        <v>0</v>
      </c>
    </row>
    <row r="81" spans="5:18" x14ac:dyDescent="0.25">
      <c r="E81" s="44" t="str">
        <f>'MKT DATA'!B1439</f>
        <v>syn BTCZ6/BTCV6/BTCG7/BTCF7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BTCZ6/BTCV6/BTCG7/BTCF7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BTCZ6/BTCV6/BTCG7/BTCF7</v>
      </c>
      <c r="R81" s="14">
        <f>'MKT DATA'!AB1439</f>
        <v>0</v>
      </c>
    </row>
    <row r="82" spans="5:18" x14ac:dyDescent="0.25">
      <c r="E82" s="44" t="str">
        <f>'MKT DATA'!B1440</f>
        <v>syn BTCZ6/BTCX6/BTCU6/BTCF7</v>
      </c>
      <c r="F82" s="14">
        <f>'MKT DATA'!J1440</f>
        <v>0</v>
      </c>
      <c r="G82" s="9">
        <f>'MKT DATA'!K1440</f>
        <v>0</v>
      </c>
      <c r="H82" s="9">
        <f>'MKT DATA'!L1440</f>
        <v>0</v>
      </c>
      <c r="I82" s="14">
        <f>'MKT DATA'!M1440</f>
        <v>0</v>
      </c>
      <c r="J82" s="44" t="str">
        <f t="shared" si="4"/>
        <v>syn BTCZ6/BTCX6/BTCU6/BTCF7</v>
      </c>
      <c r="K82" s="9">
        <f>'MKT DATA'!O1440</f>
        <v>0</v>
      </c>
      <c r="L82" s="9">
        <f>'MKT DATA'!P1440</f>
        <v>0</v>
      </c>
      <c r="M82" s="9">
        <f>'MKT DATA'!Q1440</f>
        <v>0</v>
      </c>
      <c r="N82" s="9">
        <f>'MKT DATA'!R1440</f>
        <v>0</v>
      </c>
      <c r="O82" s="9">
        <f>'MKT DATA'!S1440</f>
        <v>0</v>
      </c>
      <c r="P82" s="9">
        <f>'MKT DATA'!T1440</f>
        <v>0</v>
      </c>
      <c r="Q82" s="44" t="str">
        <f t="shared" si="5"/>
        <v>syn BTCZ6/BTCX6/BTCU6/BTCF7</v>
      </c>
      <c r="R82" s="14">
        <f>'MKT DATA'!AB1440</f>
        <v>0</v>
      </c>
    </row>
    <row r="83" spans="5:18" x14ac:dyDescent="0.25">
      <c r="E83" s="44" t="str">
        <f>'MKT DATA'!B1441</f>
        <v>syn BTCZ6/BTCX6/BTCV6/BTCF7</v>
      </c>
      <c r="F83" s="14">
        <f>'MKT DATA'!J1441</f>
        <v>0</v>
      </c>
      <c r="G83" s="9">
        <f>'MKT DATA'!K1441</f>
        <v>0</v>
      </c>
      <c r="H83" s="9">
        <f>'MKT DATA'!L1441</f>
        <v>0</v>
      </c>
      <c r="I83" s="14">
        <f>'MKT DATA'!M1441</f>
        <v>0</v>
      </c>
      <c r="J83" s="44" t="str">
        <f t="shared" si="4"/>
        <v>syn BTCZ6/BTCX6/BTCV6/BTCF7</v>
      </c>
      <c r="K83" s="9">
        <f>'MKT DATA'!O1441</f>
        <v>0</v>
      </c>
      <c r="L83" s="9">
        <f>'MKT DATA'!P1441</f>
        <v>0</v>
      </c>
      <c r="M83" s="9">
        <f>'MKT DATA'!Q1441</f>
        <v>0</v>
      </c>
      <c r="N83" s="9">
        <f>'MKT DATA'!R1441</f>
        <v>0</v>
      </c>
      <c r="O83" s="9">
        <f>'MKT DATA'!S1441</f>
        <v>0</v>
      </c>
      <c r="P83" s="9">
        <f>'MKT DATA'!T1441</f>
        <v>0</v>
      </c>
      <c r="Q83" s="44" t="str">
        <f t="shared" si="5"/>
        <v>syn BTCZ6/BTCX6/BTCV6/BTCF7</v>
      </c>
      <c r="R83" s="14">
        <f>'MKT DATA'!AB1441</f>
        <v>0</v>
      </c>
    </row>
    <row r="84" spans="5:18" x14ac:dyDescent="0.25">
      <c r="E84" s="44" t="str">
        <f>'MKT DATA'!B1442</f>
        <v>syn BTCZ6/BTCX6/BTCG7/BTCF7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BTCZ6/BTCX6/BTCG7/BTCF7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BTCZ6/BTCX6/BTCG7/BTCF7</v>
      </c>
      <c r="R84" s="14">
        <f>'MKT DATA'!AB1442</f>
        <v>0</v>
      </c>
    </row>
    <row r="85" spans="5:18" x14ac:dyDescent="0.25">
      <c r="E85" s="44" t="str">
        <f>'MKT DATA'!B1443</f>
        <v>syn BTCZ6/BTCG7/BTCU6/BTCF7</v>
      </c>
      <c r="F85" s="14">
        <f>'MKT DATA'!J1443</f>
        <v>0</v>
      </c>
      <c r="G85" s="9">
        <f>'MKT DATA'!K1443</f>
        <v>0</v>
      </c>
      <c r="H85" s="9">
        <f>'MKT DATA'!L1443</f>
        <v>0</v>
      </c>
      <c r="I85" s="14">
        <f>'MKT DATA'!M1443</f>
        <v>0</v>
      </c>
      <c r="J85" s="44" t="str">
        <f t="shared" si="4"/>
        <v>syn BTCZ6/BTCG7/BTCU6/BTCF7</v>
      </c>
      <c r="K85" s="9">
        <f>'MKT DATA'!O1443</f>
        <v>0</v>
      </c>
      <c r="L85" s="9">
        <f>'MKT DATA'!P1443</f>
        <v>0</v>
      </c>
      <c r="M85" s="9">
        <f>'MKT DATA'!Q1443</f>
        <v>0</v>
      </c>
      <c r="N85" s="9">
        <f>'MKT DATA'!R1443</f>
        <v>0</v>
      </c>
      <c r="O85" s="9">
        <f>'MKT DATA'!S1443</f>
        <v>0</v>
      </c>
      <c r="P85" s="9">
        <f>'MKT DATA'!T1443</f>
        <v>0</v>
      </c>
      <c r="Q85" s="44" t="str">
        <f t="shared" si="5"/>
        <v>syn BTCZ6/BTCG7/BTCU6/BTCF7</v>
      </c>
      <c r="R85" s="14">
        <f>'MKT DATA'!AB1443</f>
        <v>0</v>
      </c>
    </row>
    <row r="86" spans="5:18" x14ac:dyDescent="0.25">
      <c r="E86" s="44" t="str">
        <f>'MKT DATA'!B1444</f>
        <v>syn BTCZ6/BTCG7/BTCV6/BTCF7</v>
      </c>
      <c r="F86" s="14">
        <f>'MKT DATA'!J1444</f>
        <v>0</v>
      </c>
      <c r="G86" s="9">
        <f>'MKT DATA'!K1444</f>
        <v>0</v>
      </c>
      <c r="H86" s="9">
        <f>'MKT DATA'!L1444</f>
        <v>0</v>
      </c>
      <c r="I86" s="14">
        <f>'MKT DATA'!M1444</f>
        <v>0</v>
      </c>
      <c r="J86" s="44" t="str">
        <f t="shared" si="4"/>
        <v>syn BTCZ6/BTCG7/BTCV6/BTCF7</v>
      </c>
      <c r="K86" s="9">
        <f>'MKT DATA'!O1444</f>
        <v>0</v>
      </c>
      <c r="L86" s="9">
        <f>'MKT DATA'!P1444</f>
        <v>0</v>
      </c>
      <c r="M86" s="9">
        <f>'MKT DATA'!Q1444</f>
        <v>0</v>
      </c>
      <c r="N86" s="9">
        <f>'MKT DATA'!R1444</f>
        <v>0</v>
      </c>
      <c r="O86" s="9">
        <f>'MKT DATA'!S1444</f>
        <v>0</v>
      </c>
      <c r="P86" s="9">
        <f>'MKT DATA'!T1444</f>
        <v>0</v>
      </c>
      <c r="Q86" s="44" t="str">
        <f t="shared" si="5"/>
        <v>syn BTCZ6/BTCG7/BTCV6/BTCF7</v>
      </c>
      <c r="R86" s="14">
        <f>'MKT DATA'!AB1444</f>
        <v>0</v>
      </c>
    </row>
    <row r="87" spans="5:18" x14ac:dyDescent="0.25">
      <c r="E87" s="44" t="str">
        <f>'MKT DATA'!B1445</f>
        <v>syn BTCZ6/BTCG7/BTCX6/BTCF7</v>
      </c>
      <c r="F87" s="14">
        <f>'MKT DATA'!J1445</f>
        <v>0</v>
      </c>
      <c r="G87" s="9">
        <f>'MKT DATA'!K1445</f>
        <v>0</v>
      </c>
      <c r="H87" s="9">
        <f>'MKT DATA'!L1445</f>
        <v>0</v>
      </c>
      <c r="I87" s="14">
        <f>'MKT DATA'!M1445</f>
        <v>0</v>
      </c>
      <c r="J87" s="44" t="str">
        <f t="shared" si="4"/>
        <v>syn BTCZ6/BTCG7/BTCX6/BTCF7</v>
      </c>
      <c r="K87" s="9">
        <f>'MKT DATA'!O1445</f>
        <v>0</v>
      </c>
      <c r="L87" s="9">
        <f>'MKT DATA'!P1445</f>
        <v>0</v>
      </c>
      <c r="M87" s="9">
        <f>'MKT DATA'!Q1445</f>
        <v>0</v>
      </c>
      <c r="N87" s="9">
        <f>'MKT DATA'!R1445</f>
        <v>0</v>
      </c>
      <c r="O87" s="9">
        <f>'MKT DATA'!S1445</f>
        <v>0</v>
      </c>
      <c r="P87" s="9">
        <f>'MKT DATA'!T1445</f>
        <v>0</v>
      </c>
      <c r="Q87" s="44" t="str">
        <f t="shared" si="5"/>
        <v>syn BTCZ6/BTCG7/BTCX6/BTCF7</v>
      </c>
      <c r="R87" s="14">
        <f>'MKT DATA'!AB1445</f>
        <v>0</v>
      </c>
    </row>
    <row r="88" spans="5:18" x14ac:dyDescent="0.25">
      <c r="E88" s="44" t="str">
        <f>'MKT DATA'!B1446</f>
        <v>syn BTCG7/BTCU6/BTCV6/BTCF7</v>
      </c>
      <c r="F88" s="14">
        <f>'MKT DATA'!J1446</f>
        <v>0</v>
      </c>
      <c r="G88" s="9">
        <f>'MKT DATA'!K1446</f>
        <v>0</v>
      </c>
      <c r="H88" s="9">
        <f>'MKT DATA'!L1446</f>
        <v>0</v>
      </c>
      <c r="I88" s="14">
        <f>'MKT DATA'!M1446</f>
        <v>0</v>
      </c>
      <c r="J88" s="44" t="str">
        <f t="shared" si="4"/>
        <v>syn BTCG7/BTCU6/BTCV6/BTCF7</v>
      </c>
      <c r="K88" s="9">
        <f>'MKT DATA'!O1446</f>
        <v>0</v>
      </c>
      <c r="L88" s="9">
        <f>'MKT DATA'!P1446</f>
        <v>0</v>
      </c>
      <c r="M88" s="9">
        <f>'MKT DATA'!Q1446</f>
        <v>0</v>
      </c>
      <c r="N88" s="9">
        <f>'MKT DATA'!R1446</f>
        <v>0</v>
      </c>
      <c r="O88" s="9">
        <f>'MKT DATA'!S1446</f>
        <v>0</v>
      </c>
      <c r="P88" s="9">
        <f>'MKT DATA'!T1446</f>
        <v>0</v>
      </c>
      <c r="Q88" s="44" t="str">
        <f t="shared" si="5"/>
        <v>syn BTCG7/BTCU6/BTCV6/BTCF7</v>
      </c>
      <c r="R88" s="14">
        <f>'MKT DATA'!AB1446</f>
        <v>0</v>
      </c>
    </row>
    <row r="89" spans="5:18" x14ac:dyDescent="0.25">
      <c r="E89" s="44" t="str">
        <f>'MKT DATA'!B1447</f>
        <v>syn BTCG7/BTCU6/BTCX6/BTCF7</v>
      </c>
      <c r="F89" s="14">
        <f>'MKT DATA'!J1447</f>
        <v>0</v>
      </c>
      <c r="G89" s="9">
        <f>'MKT DATA'!K1447</f>
        <v>0</v>
      </c>
      <c r="H89" s="9">
        <f>'MKT DATA'!L1447</f>
        <v>0</v>
      </c>
      <c r="I89" s="14">
        <f>'MKT DATA'!M1447</f>
        <v>0</v>
      </c>
      <c r="J89" s="44" t="str">
        <f t="shared" si="4"/>
        <v>syn BTCG7/BTCU6/BTCX6/BTCF7</v>
      </c>
      <c r="K89" s="9">
        <f>'MKT DATA'!O1447</f>
        <v>0</v>
      </c>
      <c r="L89" s="9">
        <f>'MKT DATA'!P1447</f>
        <v>0</v>
      </c>
      <c r="M89" s="9">
        <f>'MKT DATA'!Q1447</f>
        <v>0</v>
      </c>
      <c r="N89" s="9">
        <f>'MKT DATA'!R1447</f>
        <v>0</v>
      </c>
      <c r="O89" s="9">
        <f>'MKT DATA'!S1447</f>
        <v>0</v>
      </c>
      <c r="P89" s="9">
        <f>'MKT DATA'!T1447</f>
        <v>0</v>
      </c>
      <c r="Q89" s="44" t="str">
        <f t="shared" si="5"/>
        <v>syn BTCG7/BTCU6/BTCX6/BTCF7</v>
      </c>
      <c r="R89" s="14">
        <f>'MKT DATA'!AB1447</f>
        <v>0</v>
      </c>
    </row>
    <row r="90" spans="5:18" x14ac:dyDescent="0.25">
      <c r="E90" s="44" t="str">
        <f>'MKT DATA'!B1448</f>
        <v>syn BTCG7/BTCU6/BTCZ6/BTCF7</v>
      </c>
      <c r="F90" s="14">
        <f>'MKT DATA'!J1448</f>
        <v>0</v>
      </c>
      <c r="G90" s="9">
        <f>'MKT DATA'!K1448</f>
        <v>0</v>
      </c>
      <c r="H90" s="9">
        <f>'MKT DATA'!L1448</f>
        <v>0</v>
      </c>
      <c r="I90" s="14">
        <f>'MKT DATA'!M1448</f>
        <v>0</v>
      </c>
      <c r="J90" s="44" t="str">
        <f t="shared" si="4"/>
        <v>syn BTCG7/BTCU6/BTCZ6/BTCF7</v>
      </c>
      <c r="K90" s="9">
        <f>'MKT DATA'!O1448</f>
        <v>0</v>
      </c>
      <c r="L90" s="9">
        <f>'MKT DATA'!P1448</f>
        <v>0</v>
      </c>
      <c r="M90" s="9">
        <f>'MKT DATA'!Q1448</f>
        <v>0</v>
      </c>
      <c r="N90" s="9">
        <f>'MKT DATA'!R1448</f>
        <v>0</v>
      </c>
      <c r="O90" s="9">
        <f>'MKT DATA'!S1448</f>
        <v>0</v>
      </c>
      <c r="P90" s="9">
        <f>'MKT DATA'!T1448</f>
        <v>0</v>
      </c>
      <c r="Q90" s="44" t="str">
        <f t="shared" si="5"/>
        <v>syn BTCG7/BTCU6/BTCZ6/BTCF7</v>
      </c>
      <c r="R90" s="14">
        <f>'MKT DATA'!AB1448</f>
        <v>0</v>
      </c>
    </row>
    <row r="91" spans="5:18" x14ac:dyDescent="0.25">
      <c r="E91" s="44" t="str">
        <f>'MKT DATA'!B1449</f>
        <v>syn BTCG7/BTCV6/BTCU6/BTCF7</v>
      </c>
      <c r="F91" s="14">
        <f>'MKT DATA'!J1449</f>
        <v>0</v>
      </c>
      <c r="G91" s="9">
        <f>'MKT DATA'!K1449</f>
        <v>0</v>
      </c>
      <c r="H91" s="9">
        <f>'MKT DATA'!L1449</f>
        <v>0</v>
      </c>
      <c r="I91" s="14">
        <f>'MKT DATA'!M1449</f>
        <v>0</v>
      </c>
      <c r="J91" s="44" t="str">
        <f t="shared" si="4"/>
        <v>syn BTCG7/BTCV6/BTCU6/BTCF7</v>
      </c>
      <c r="K91" s="9">
        <f>'MKT DATA'!O1449</f>
        <v>0</v>
      </c>
      <c r="L91" s="9">
        <f>'MKT DATA'!P1449</f>
        <v>0</v>
      </c>
      <c r="M91" s="9">
        <f>'MKT DATA'!Q1449</f>
        <v>0</v>
      </c>
      <c r="N91" s="9">
        <f>'MKT DATA'!R1449</f>
        <v>0</v>
      </c>
      <c r="O91" s="9">
        <f>'MKT DATA'!S1449</f>
        <v>0</v>
      </c>
      <c r="P91" s="9">
        <f>'MKT DATA'!T1449</f>
        <v>0</v>
      </c>
      <c r="Q91" s="44" t="str">
        <f t="shared" si="5"/>
        <v>syn BTCG7/BTCV6/BTCU6/BTCF7</v>
      </c>
      <c r="R91" s="14">
        <f>'MKT DATA'!AB1449</f>
        <v>0</v>
      </c>
    </row>
    <row r="92" spans="5:18" x14ac:dyDescent="0.25">
      <c r="E92" s="44" t="str">
        <f>'MKT DATA'!B1450</f>
        <v>syn BTCG7/BTCV6/BTCX6/BTCF7</v>
      </c>
      <c r="F92" s="14">
        <f>'MKT DATA'!J1450</f>
        <v>0</v>
      </c>
      <c r="G92" s="9">
        <f>'MKT DATA'!K1450</f>
        <v>0</v>
      </c>
      <c r="H92" s="9">
        <f>'MKT DATA'!L1450</f>
        <v>0</v>
      </c>
      <c r="I92" s="14">
        <f>'MKT DATA'!M1450</f>
        <v>0</v>
      </c>
      <c r="J92" s="44" t="str">
        <f t="shared" si="4"/>
        <v>syn BTCG7/BTCV6/BTCX6/BTCF7</v>
      </c>
      <c r="K92" s="9">
        <f>'MKT DATA'!O1450</f>
        <v>0</v>
      </c>
      <c r="L92" s="9">
        <f>'MKT DATA'!P1450</f>
        <v>0</v>
      </c>
      <c r="M92" s="9">
        <f>'MKT DATA'!Q1450</f>
        <v>0</v>
      </c>
      <c r="N92" s="9">
        <f>'MKT DATA'!R1450</f>
        <v>0</v>
      </c>
      <c r="O92" s="9">
        <f>'MKT DATA'!S1450</f>
        <v>0</v>
      </c>
      <c r="P92" s="9">
        <f>'MKT DATA'!T1450</f>
        <v>0</v>
      </c>
      <c r="Q92" s="44" t="str">
        <f t="shared" si="5"/>
        <v>syn BTCG7/BTCV6/BTCX6/BTCF7</v>
      </c>
      <c r="R92" s="14">
        <f>'MKT DATA'!AB1450</f>
        <v>0</v>
      </c>
    </row>
    <row r="93" spans="5:18" x14ac:dyDescent="0.25">
      <c r="E93" s="44" t="str">
        <f>'MKT DATA'!B1451</f>
        <v>syn BTCG7/BTCV6/BTCZ6/BTCF7</v>
      </c>
      <c r="F93" s="14">
        <f>'MKT DATA'!J1451</f>
        <v>0</v>
      </c>
      <c r="G93" s="9">
        <f>'MKT DATA'!K1451</f>
        <v>0</v>
      </c>
      <c r="H93" s="9">
        <f>'MKT DATA'!L1451</f>
        <v>0</v>
      </c>
      <c r="I93" s="14">
        <f>'MKT DATA'!M1451</f>
        <v>0</v>
      </c>
      <c r="J93" s="44" t="str">
        <f t="shared" si="4"/>
        <v>syn BTCG7/BTCV6/BTCZ6/BTCF7</v>
      </c>
      <c r="K93" s="9">
        <f>'MKT DATA'!O1451</f>
        <v>0</v>
      </c>
      <c r="L93" s="9">
        <f>'MKT DATA'!P1451</f>
        <v>0</v>
      </c>
      <c r="M93" s="9">
        <f>'MKT DATA'!Q1451</f>
        <v>0</v>
      </c>
      <c r="N93" s="9">
        <f>'MKT DATA'!R1451</f>
        <v>0</v>
      </c>
      <c r="O93" s="9">
        <f>'MKT DATA'!S1451</f>
        <v>0</v>
      </c>
      <c r="P93" s="9">
        <f>'MKT DATA'!T1451</f>
        <v>0</v>
      </c>
      <c r="Q93" s="44" t="str">
        <f t="shared" si="5"/>
        <v>syn BTCG7/BTCV6/BTCZ6/BTCF7</v>
      </c>
      <c r="R93" s="14">
        <f>'MKT DATA'!AB1451</f>
        <v>0</v>
      </c>
    </row>
    <row r="94" spans="5:18" x14ac:dyDescent="0.25">
      <c r="E94" s="44" t="str">
        <f>'MKT DATA'!B1452</f>
        <v>syn BTCG7/BTCX6/BTCU6/BTCF7</v>
      </c>
      <c r="F94" s="14">
        <f>'MKT DATA'!J1452</f>
        <v>0</v>
      </c>
      <c r="G94" s="9">
        <f>'MKT DATA'!K1452</f>
        <v>0</v>
      </c>
      <c r="H94" s="9">
        <f>'MKT DATA'!L1452</f>
        <v>0</v>
      </c>
      <c r="I94" s="14">
        <f>'MKT DATA'!M1452</f>
        <v>0</v>
      </c>
      <c r="J94" s="44" t="str">
        <f t="shared" si="4"/>
        <v>syn BTCG7/BTCX6/BTCU6/BTCF7</v>
      </c>
      <c r="K94" s="9">
        <f>'MKT DATA'!O1452</f>
        <v>0</v>
      </c>
      <c r="L94" s="9">
        <f>'MKT DATA'!P1452</f>
        <v>0</v>
      </c>
      <c r="M94" s="9">
        <f>'MKT DATA'!Q1452</f>
        <v>0</v>
      </c>
      <c r="N94" s="9">
        <f>'MKT DATA'!R1452</f>
        <v>0</v>
      </c>
      <c r="O94" s="9">
        <f>'MKT DATA'!S1452</f>
        <v>0</v>
      </c>
      <c r="P94" s="9">
        <f>'MKT DATA'!T1452</f>
        <v>0</v>
      </c>
      <c r="Q94" s="44" t="str">
        <f t="shared" si="5"/>
        <v>syn BTCG7/BTCX6/BTCU6/BTCF7</v>
      </c>
      <c r="R94" s="14">
        <f>'MKT DATA'!AB1452</f>
        <v>0</v>
      </c>
    </row>
    <row r="95" spans="5:18" x14ac:dyDescent="0.25">
      <c r="E95" s="44" t="str">
        <f>'MKT DATA'!B1453</f>
        <v>syn BTCG7/BTCX6/BTCV6/BTCF7</v>
      </c>
      <c r="F95" s="14">
        <f>'MKT DATA'!J1453</f>
        <v>0</v>
      </c>
      <c r="G95" s="9">
        <f>'MKT DATA'!K1453</f>
        <v>0</v>
      </c>
      <c r="H95" s="9">
        <f>'MKT DATA'!L1453</f>
        <v>0</v>
      </c>
      <c r="I95" s="14">
        <f>'MKT DATA'!M1453</f>
        <v>0</v>
      </c>
      <c r="J95" s="44" t="str">
        <f t="shared" si="4"/>
        <v>syn BTCG7/BTCX6/BTCV6/BTCF7</v>
      </c>
      <c r="K95" s="9">
        <f>'MKT DATA'!O1453</f>
        <v>0</v>
      </c>
      <c r="L95" s="9">
        <f>'MKT DATA'!P1453</f>
        <v>0</v>
      </c>
      <c r="M95" s="9">
        <f>'MKT DATA'!Q1453</f>
        <v>0</v>
      </c>
      <c r="N95" s="9">
        <f>'MKT DATA'!R1453</f>
        <v>0</v>
      </c>
      <c r="O95" s="9">
        <f>'MKT DATA'!S1453</f>
        <v>0</v>
      </c>
      <c r="P95" s="9">
        <f>'MKT DATA'!T1453</f>
        <v>0</v>
      </c>
      <c r="Q95" s="44" t="str">
        <f t="shared" si="5"/>
        <v>syn BTCG7/BTCX6/BTCV6/BTCF7</v>
      </c>
      <c r="R95" s="14">
        <f>'MKT DATA'!AB1453</f>
        <v>0</v>
      </c>
    </row>
    <row r="96" spans="5:18" x14ac:dyDescent="0.25">
      <c r="E96" s="44" t="str">
        <f>'MKT DATA'!B1454</f>
        <v>syn BTCG7/BTCX6/BTCZ6/BTCF7</v>
      </c>
      <c r="F96" s="14">
        <f>'MKT DATA'!J1454</f>
        <v>0</v>
      </c>
      <c r="G96" s="9">
        <f>'MKT DATA'!K1454</f>
        <v>0</v>
      </c>
      <c r="H96" s="9">
        <f>'MKT DATA'!L1454</f>
        <v>0</v>
      </c>
      <c r="I96" s="14">
        <f>'MKT DATA'!M1454</f>
        <v>0</v>
      </c>
      <c r="J96" s="44" t="str">
        <f t="shared" si="4"/>
        <v>syn BTCG7/BTCX6/BTCZ6/BTCF7</v>
      </c>
      <c r="K96" s="9">
        <f>'MKT DATA'!O1454</f>
        <v>0</v>
      </c>
      <c r="L96" s="9">
        <f>'MKT DATA'!P1454</f>
        <v>0</v>
      </c>
      <c r="M96" s="9">
        <f>'MKT DATA'!Q1454</f>
        <v>0</v>
      </c>
      <c r="N96" s="9">
        <f>'MKT DATA'!R1454</f>
        <v>0</v>
      </c>
      <c r="O96" s="9">
        <f>'MKT DATA'!S1454</f>
        <v>0</v>
      </c>
      <c r="P96" s="9">
        <f>'MKT DATA'!T1454</f>
        <v>0</v>
      </c>
      <c r="Q96" s="44" t="str">
        <f t="shared" si="5"/>
        <v>syn BTCG7/BTCX6/BTCZ6/BTCF7</v>
      </c>
      <c r="R96" s="14">
        <f>'MKT DATA'!AB1454</f>
        <v>0</v>
      </c>
    </row>
    <row r="97" spans="5:18" x14ac:dyDescent="0.25">
      <c r="E97" s="44" t="str">
        <f>'MKT DATA'!B1455</f>
        <v>syn BTCG7/BTCZ6/BTCU6/BTCF7</v>
      </c>
      <c r="F97" s="14">
        <f>'MKT DATA'!J1455</f>
        <v>0</v>
      </c>
      <c r="G97" s="9">
        <f>'MKT DATA'!K1455</f>
        <v>0</v>
      </c>
      <c r="H97" s="9">
        <f>'MKT DATA'!L1455</f>
        <v>0</v>
      </c>
      <c r="I97" s="14">
        <f>'MKT DATA'!M1455</f>
        <v>0</v>
      </c>
      <c r="J97" s="44" t="str">
        <f t="shared" si="4"/>
        <v>syn BTCG7/BTCZ6/BTCU6/BTCF7</v>
      </c>
      <c r="K97" s="9">
        <f>'MKT DATA'!O1455</f>
        <v>0</v>
      </c>
      <c r="L97" s="9">
        <f>'MKT DATA'!P1455</f>
        <v>0</v>
      </c>
      <c r="M97" s="9">
        <f>'MKT DATA'!Q1455</f>
        <v>0</v>
      </c>
      <c r="N97" s="9">
        <f>'MKT DATA'!R1455</f>
        <v>0</v>
      </c>
      <c r="O97" s="9">
        <f>'MKT DATA'!S1455</f>
        <v>0</v>
      </c>
      <c r="P97" s="9">
        <f>'MKT DATA'!T1455</f>
        <v>0</v>
      </c>
      <c r="Q97" s="44" t="str">
        <f t="shared" si="5"/>
        <v>syn BTCG7/BTCZ6/BTCU6/BTCF7</v>
      </c>
      <c r="R97" s="14">
        <f>'MKT DATA'!AB1455</f>
        <v>0</v>
      </c>
    </row>
    <row r="98" spans="5:18" x14ac:dyDescent="0.25">
      <c r="E98" s="44" t="str">
        <f>'MKT DATA'!B1456</f>
        <v>syn BTCG7/BTCZ6/BTCV6/BTCF7</v>
      </c>
      <c r="F98" s="14">
        <f>'MKT DATA'!J1456</f>
        <v>0</v>
      </c>
      <c r="G98" s="9">
        <f>'MKT DATA'!K1456</f>
        <v>0</v>
      </c>
      <c r="H98" s="9">
        <f>'MKT DATA'!L1456</f>
        <v>0</v>
      </c>
      <c r="I98" s="14">
        <f>'MKT DATA'!M1456</f>
        <v>0</v>
      </c>
      <c r="J98" s="44" t="str">
        <f t="shared" si="4"/>
        <v>syn BTCG7/BTCZ6/BTCV6/BTCF7</v>
      </c>
      <c r="K98" s="9">
        <f>'MKT DATA'!O1456</f>
        <v>0</v>
      </c>
      <c r="L98" s="9">
        <f>'MKT DATA'!P1456</f>
        <v>0</v>
      </c>
      <c r="M98" s="9">
        <f>'MKT DATA'!Q1456</f>
        <v>0</v>
      </c>
      <c r="N98" s="9">
        <f>'MKT DATA'!R1456</f>
        <v>0</v>
      </c>
      <c r="O98" s="9">
        <f>'MKT DATA'!S1456</f>
        <v>0</v>
      </c>
      <c r="P98" s="9">
        <f>'MKT DATA'!T1456</f>
        <v>0</v>
      </c>
      <c r="Q98" s="44" t="str">
        <f t="shared" si="5"/>
        <v>syn BTCG7/BTCZ6/BTCV6/BTCF7</v>
      </c>
      <c r="R98" s="14">
        <f>'MKT DATA'!AB1456</f>
        <v>0</v>
      </c>
    </row>
    <row r="99" spans="5:18" x14ac:dyDescent="0.25">
      <c r="E99" s="44" t="str">
        <f>'MKT DATA'!B1457</f>
        <v>syn BTCG7/BTCZ6/BTCX6/BTCF7</v>
      </c>
      <c r="F99" s="14">
        <f>'MKT DATA'!J1457</f>
        <v>0</v>
      </c>
      <c r="G99" s="9">
        <f>'MKT DATA'!K1457</f>
        <v>0</v>
      </c>
      <c r="H99" s="9">
        <f>'MKT DATA'!L1457</f>
        <v>0</v>
      </c>
      <c r="I99" s="14">
        <f>'MKT DATA'!M1457</f>
        <v>0</v>
      </c>
      <c r="J99" s="44" t="str">
        <f t="shared" si="4"/>
        <v>syn BTCG7/BTCZ6/BTCX6/BTCF7</v>
      </c>
      <c r="K99" s="9">
        <f>'MKT DATA'!O1457</f>
        <v>0</v>
      </c>
      <c r="L99" s="9">
        <f>'MKT DATA'!P1457</f>
        <v>0</v>
      </c>
      <c r="M99" s="9">
        <f>'MKT DATA'!Q1457</f>
        <v>0</v>
      </c>
      <c r="N99" s="9">
        <f>'MKT DATA'!R1457</f>
        <v>0</v>
      </c>
      <c r="O99" s="9">
        <f>'MKT DATA'!S1457</f>
        <v>0</v>
      </c>
      <c r="P99" s="9">
        <f>'MKT DATA'!T1457</f>
        <v>0</v>
      </c>
      <c r="Q99" s="44" t="str">
        <f t="shared" si="5"/>
        <v>syn BTCG7/BTCZ6/BTCX6/BTCF7</v>
      </c>
      <c r="R99" s="14">
        <f>'MKT DATA'!AB1457</f>
        <v>0</v>
      </c>
    </row>
    <row r="100" spans="5:18" x14ac:dyDescent="0.25">
      <c r="E100" s="44" t="str">
        <f>'MKT DATA'!B1458</f>
        <v>syn BTCU6/BTCV6/BTCX6/BTCZ6/BTCF7</v>
      </c>
      <c r="F100" s="14">
        <f>'MKT DATA'!J1458</f>
        <v>0</v>
      </c>
      <c r="G100" s="9">
        <f>'MKT DATA'!K1458</f>
        <v>0</v>
      </c>
      <c r="H100" s="9">
        <f>'MKT DATA'!L1458</f>
        <v>0</v>
      </c>
      <c r="I100" s="14">
        <f>'MKT DATA'!M1458</f>
        <v>0</v>
      </c>
      <c r="J100" s="44" t="str">
        <f t="shared" si="4"/>
        <v>syn BTCU6/BTCV6/BTCX6/BTCZ6/BTCF7</v>
      </c>
      <c r="K100" s="9">
        <f>'MKT DATA'!O1458</f>
        <v>0</v>
      </c>
      <c r="L100" s="9">
        <f>'MKT DATA'!P1458</f>
        <v>0</v>
      </c>
      <c r="M100" s="9">
        <f>'MKT DATA'!Q1458</f>
        <v>0</v>
      </c>
      <c r="N100" s="9">
        <f>'MKT DATA'!R1458</f>
        <v>0</v>
      </c>
      <c r="O100" s="9">
        <f>'MKT DATA'!S1458</f>
        <v>0</v>
      </c>
      <c r="P100" s="9">
        <f>'MKT DATA'!T1458</f>
        <v>0</v>
      </c>
      <c r="Q100" s="44" t="str">
        <f t="shared" si="5"/>
        <v>syn BTCU6/BTCV6/BTCX6/BTCZ6/BTCF7</v>
      </c>
      <c r="R100" s="14">
        <f>'MKT DATA'!AB1458</f>
        <v>0</v>
      </c>
    </row>
    <row r="101" spans="5:18" x14ac:dyDescent="0.25">
      <c r="E101" s="44" t="str">
        <f>'MKT DATA'!B1459</f>
        <v>syn BTCU6/BTCV6/BTCX6/BTCG7/BTCF7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BTCU6/BTCV6/BTCX6/BTCG7/BTCF7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BTCU6/BTCV6/BTCX6/BTCG7/BTCF7</v>
      </c>
      <c r="R101" s="14">
        <f>'MKT DATA'!AB1459</f>
        <v>0</v>
      </c>
    </row>
    <row r="102" spans="5:18" x14ac:dyDescent="0.25">
      <c r="E102" s="44" t="str">
        <f>'MKT DATA'!B1460</f>
        <v>syn BTCU6/BTCV6/BTCZ6/BTCX6/BTCF7</v>
      </c>
      <c r="F102" s="14">
        <f>'MKT DATA'!J1460</f>
        <v>0</v>
      </c>
      <c r="G102" s="9">
        <f>'MKT DATA'!K1460</f>
        <v>0</v>
      </c>
      <c r="H102" s="9">
        <f>'MKT DATA'!L1460</f>
        <v>0</v>
      </c>
      <c r="I102" s="14">
        <f>'MKT DATA'!M1460</f>
        <v>0</v>
      </c>
      <c r="J102" s="44" t="str">
        <f t="shared" si="4"/>
        <v>syn BTCU6/BTCV6/BTCZ6/BTCX6/BTCF7</v>
      </c>
      <c r="K102" s="9">
        <f>'MKT DATA'!O1460</f>
        <v>0</v>
      </c>
      <c r="L102" s="9">
        <f>'MKT DATA'!P1460</f>
        <v>0</v>
      </c>
      <c r="M102" s="9">
        <f>'MKT DATA'!Q1460</f>
        <v>0</v>
      </c>
      <c r="N102" s="9">
        <f>'MKT DATA'!R1460</f>
        <v>0</v>
      </c>
      <c r="O102" s="9">
        <f>'MKT DATA'!S1460</f>
        <v>0</v>
      </c>
      <c r="P102" s="9">
        <f>'MKT DATA'!T1460</f>
        <v>0</v>
      </c>
      <c r="Q102" s="44" t="str">
        <f t="shared" si="5"/>
        <v>syn BTCU6/BTCV6/BTCZ6/BTCX6/BTCF7</v>
      </c>
      <c r="R102" s="14">
        <f>'MKT DATA'!AB1460</f>
        <v>0</v>
      </c>
    </row>
    <row r="103" spans="5:18" x14ac:dyDescent="0.25">
      <c r="E103" s="44" t="str">
        <f>'MKT DATA'!B1461</f>
        <v>syn BTCU6/BTCV6/BTCZ6/BTCG7/BTCF7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BTCU6/BTCV6/BTCZ6/BTCG7/BTCF7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BTCU6/BTCV6/BTCZ6/BTCG7/BTCF7</v>
      </c>
      <c r="R103" s="14">
        <f>'MKT DATA'!AB1461</f>
        <v>0</v>
      </c>
    </row>
    <row r="104" spans="5:18" x14ac:dyDescent="0.25">
      <c r="E104" s="44" t="str">
        <f>'MKT DATA'!B1462</f>
        <v>syn BTCU6/BTCV6/BTCG7/BTCX6/BTCF7</v>
      </c>
      <c r="F104" s="14">
        <f>'MKT DATA'!J1462</f>
        <v>0</v>
      </c>
      <c r="G104" s="9">
        <f>'MKT DATA'!K1462</f>
        <v>0</v>
      </c>
      <c r="H104" s="9">
        <f>'MKT DATA'!L1462</f>
        <v>0</v>
      </c>
      <c r="I104" s="14">
        <f>'MKT DATA'!M1462</f>
        <v>0</v>
      </c>
      <c r="J104" s="44" t="str">
        <f t="shared" si="4"/>
        <v>syn BTCU6/BTCV6/BTCG7/BTCX6/BTCF7</v>
      </c>
      <c r="K104" s="9">
        <f>'MKT DATA'!O1462</f>
        <v>0</v>
      </c>
      <c r="L104" s="9">
        <f>'MKT DATA'!P1462</f>
        <v>0</v>
      </c>
      <c r="M104" s="9">
        <f>'MKT DATA'!Q1462</f>
        <v>0</v>
      </c>
      <c r="N104" s="9">
        <f>'MKT DATA'!R1462</f>
        <v>0</v>
      </c>
      <c r="O104" s="9">
        <f>'MKT DATA'!S1462</f>
        <v>0</v>
      </c>
      <c r="P104" s="9">
        <f>'MKT DATA'!T1462</f>
        <v>0</v>
      </c>
      <c r="Q104" s="44" t="str">
        <f t="shared" si="5"/>
        <v>syn BTCU6/BTCV6/BTCG7/BTCX6/BTCF7</v>
      </c>
      <c r="R104" s="14">
        <f>'MKT DATA'!AB1462</f>
        <v>0</v>
      </c>
    </row>
    <row r="105" spans="5:18" x14ac:dyDescent="0.25">
      <c r="E105" s="44" t="str">
        <f>'MKT DATA'!B1463</f>
        <v>syn BTCU6/BTCV6/BTCG7/BTCZ6/BTCF7</v>
      </c>
      <c r="F105" s="14">
        <f>'MKT DATA'!J1463</f>
        <v>0</v>
      </c>
      <c r="G105" s="9">
        <f>'MKT DATA'!K1463</f>
        <v>0</v>
      </c>
      <c r="H105" s="9">
        <f>'MKT DATA'!L1463</f>
        <v>0</v>
      </c>
      <c r="I105" s="14">
        <f>'MKT DATA'!M1463</f>
        <v>0</v>
      </c>
      <c r="J105" s="44" t="str">
        <f t="shared" si="4"/>
        <v>syn BTCU6/BTCV6/BTCG7/BTCZ6/BTCF7</v>
      </c>
      <c r="K105" s="9">
        <f>'MKT DATA'!O1463</f>
        <v>0</v>
      </c>
      <c r="L105" s="9">
        <f>'MKT DATA'!P1463</f>
        <v>0</v>
      </c>
      <c r="M105" s="9">
        <f>'MKT DATA'!Q1463</f>
        <v>0</v>
      </c>
      <c r="N105" s="9">
        <f>'MKT DATA'!R1463</f>
        <v>0</v>
      </c>
      <c r="O105" s="9">
        <f>'MKT DATA'!S1463</f>
        <v>0</v>
      </c>
      <c r="P105" s="9">
        <f>'MKT DATA'!T1463</f>
        <v>0</v>
      </c>
      <c r="Q105" s="44" t="str">
        <f t="shared" si="5"/>
        <v>syn BTCU6/BTCV6/BTCG7/BTCZ6/BTCF7</v>
      </c>
      <c r="R105" s="14">
        <f>'MKT DATA'!AB1463</f>
        <v>0</v>
      </c>
    </row>
    <row r="106" spans="5:18" x14ac:dyDescent="0.25">
      <c r="E106" s="44" t="str">
        <f>'MKT DATA'!B1464</f>
        <v>syn BTCU6/BTCX6/BTCV6/BTCZ6/BTCF7</v>
      </c>
      <c r="F106" s="14">
        <f>'MKT DATA'!J1464</f>
        <v>0</v>
      </c>
      <c r="G106" s="9">
        <f>'MKT DATA'!K1464</f>
        <v>0</v>
      </c>
      <c r="H106" s="9">
        <f>'MKT DATA'!L1464</f>
        <v>0</v>
      </c>
      <c r="I106" s="14">
        <f>'MKT DATA'!M1464</f>
        <v>0</v>
      </c>
      <c r="J106" s="44" t="str">
        <f t="shared" si="4"/>
        <v>syn BTCU6/BTCX6/BTCV6/BTCZ6/BTCF7</v>
      </c>
      <c r="K106" s="9">
        <f>'MKT DATA'!O1464</f>
        <v>0</v>
      </c>
      <c r="L106" s="9">
        <f>'MKT DATA'!P1464</f>
        <v>0</v>
      </c>
      <c r="M106" s="9">
        <f>'MKT DATA'!Q1464</f>
        <v>0</v>
      </c>
      <c r="N106" s="9">
        <f>'MKT DATA'!R1464</f>
        <v>0</v>
      </c>
      <c r="O106" s="9">
        <f>'MKT DATA'!S1464</f>
        <v>0</v>
      </c>
      <c r="P106" s="9">
        <f>'MKT DATA'!T1464</f>
        <v>0</v>
      </c>
      <c r="Q106" s="44" t="str">
        <f t="shared" si="5"/>
        <v>syn BTCU6/BTCX6/BTCV6/BTCZ6/BTCF7</v>
      </c>
      <c r="R106" s="14">
        <f>'MKT DATA'!AB1464</f>
        <v>0</v>
      </c>
    </row>
    <row r="107" spans="5:18" x14ac:dyDescent="0.25">
      <c r="E107" s="44" t="str">
        <f>'MKT DATA'!B1465</f>
        <v>syn BTCU6/BTCX6/BTCV6/BTCG7/BTCF7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BTCU6/BTCX6/BTCV6/BTCG7/BTCF7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BTCU6/BTCX6/BTCV6/BTCG7/BTCF7</v>
      </c>
      <c r="R107" s="14">
        <f>'MKT DATA'!AB1465</f>
        <v>0</v>
      </c>
    </row>
    <row r="108" spans="5:18" x14ac:dyDescent="0.25">
      <c r="E108" s="44" t="str">
        <f>'MKT DATA'!B1466</f>
        <v>syn BTCU6/BTCX6/BTCZ6/BTCV6/BTCF7</v>
      </c>
      <c r="F108" s="14">
        <f>'MKT DATA'!J1466</f>
        <v>0</v>
      </c>
      <c r="G108" s="9">
        <f>'MKT DATA'!K1466</f>
        <v>0</v>
      </c>
      <c r="H108" s="9">
        <f>'MKT DATA'!L1466</f>
        <v>0</v>
      </c>
      <c r="I108" s="14">
        <f>'MKT DATA'!M1466</f>
        <v>0</v>
      </c>
      <c r="J108" s="44" t="str">
        <f t="shared" si="4"/>
        <v>syn BTCU6/BTCX6/BTCZ6/BTCV6/BTCF7</v>
      </c>
      <c r="K108" s="9">
        <f>'MKT DATA'!O1466</f>
        <v>0</v>
      </c>
      <c r="L108" s="9">
        <f>'MKT DATA'!P1466</f>
        <v>0</v>
      </c>
      <c r="M108" s="9">
        <f>'MKT DATA'!Q1466</f>
        <v>0</v>
      </c>
      <c r="N108" s="9">
        <f>'MKT DATA'!R1466</f>
        <v>0</v>
      </c>
      <c r="O108" s="9">
        <f>'MKT DATA'!S1466</f>
        <v>0</v>
      </c>
      <c r="P108" s="9">
        <f>'MKT DATA'!T1466</f>
        <v>0</v>
      </c>
      <c r="Q108" s="44" t="str">
        <f t="shared" si="5"/>
        <v>syn BTCU6/BTCX6/BTCZ6/BTCV6/BTCF7</v>
      </c>
      <c r="R108" s="14">
        <f>'MKT DATA'!AB1466</f>
        <v>0</v>
      </c>
    </row>
    <row r="109" spans="5:18" x14ac:dyDescent="0.25">
      <c r="E109" s="44" t="str">
        <f>'MKT DATA'!B1467</f>
        <v>syn BTCU6/BTCX6/BTCZ6/BTCG7/BTCF7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BTCU6/BTCX6/BTCZ6/BTCG7/BTCF7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BTCU6/BTCX6/BTCZ6/BTCG7/BTCF7</v>
      </c>
      <c r="R109" s="14">
        <f>'MKT DATA'!AB1467</f>
        <v>0</v>
      </c>
    </row>
    <row r="110" spans="5:18" x14ac:dyDescent="0.25">
      <c r="E110" s="44" t="str">
        <f>'MKT DATA'!B1468</f>
        <v>syn BTCU6/BTCX6/BTCG7/BTCV6/BTCF7</v>
      </c>
      <c r="F110" s="14">
        <f>'MKT DATA'!J1468</f>
        <v>0</v>
      </c>
      <c r="G110" s="9">
        <f>'MKT DATA'!K1468</f>
        <v>0</v>
      </c>
      <c r="H110" s="9">
        <f>'MKT DATA'!L1468</f>
        <v>0</v>
      </c>
      <c r="I110" s="14">
        <f>'MKT DATA'!M1468</f>
        <v>0</v>
      </c>
      <c r="J110" s="44" t="str">
        <f t="shared" si="4"/>
        <v>syn BTCU6/BTCX6/BTCG7/BTCV6/BTCF7</v>
      </c>
      <c r="K110" s="9">
        <f>'MKT DATA'!O1468</f>
        <v>0</v>
      </c>
      <c r="L110" s="9">
        <f>'MKT DATA'!P1468</f>
        <v>0</v>
      </c>
      <c r="M110" s="9">
        <f>'MKT DATA'!Q1468</f>
        <v>0</v>
      </c>
      <c r="N110" s="9">
        <f>'MKT DATA'!R1468</f>
        <v>0</v>
      </c>
      <c r="O110" s="9">
        <f>'MKT DATA'!S1468</f>
        <v>0</v>
      </c>
      <c r="P110" s="9">
        <f>'MKT DATA'!T1468</f>
        <v>0</v>
      </c>
      <c r="Q110" s="44" t="str">
        <f t="shared" si="5"/>
        <v>syn BTCU6/BTCX6/BTCG7/BTCV6/BTCF7</v>
      </c>
      <c r="R110" s="14">
        <f>'MKT DATA'!AB1468</f>
        <v>0</v>
      </c>
    </row>
    <row r="111" spans="5:18" x14ac:dyDescent="0.25">
      <c r="E111" s="44" t="str">
        <f>'MKT DATA'!B1469</f>
        <v>syn BTCU6/BTCX6/BTCG7/BTCZ6/BTCF7</v>
      </c>
      <c r="F111" s="14">
        <f>'MKT DATA'!J1469</f>
        <v>0</v>
      </c>
      <c r="G111" s="9">
        <f>'MKT DATA'!K1469</f>
        <v>0</v>
      </c>
      <c r="H111" s="9">
        <f>'MKT DATA'!L1469</f>
        <v>0</v>
      </c>
      <c r="I111" s="14">
        <f>'MKT DATA'!M1469</f>
        <v>0</v>
      </c>
      <c r="J111" s="44" t="str">
        <f t="shared" si="4"/>
        <v>syn BTCU6/BTCX6/BTCG7/BTCZ6/BTCF7</v>
      </c>
      <c r="K111" s="9">
        <f>'MKT DATA'!O1469</f>
        <v>0</v>
      </c>
      <c r="L111" s="9">
        <f>'MKT DATA'!P1469</f>
        <v>0</v>
      </c>
      <c r="M111" s="9">
        <f>'MKT DATA'!Q1469</f>
        <v>0</v>
      </c>
      <c r="N111" s="9">
        <f>'MKT DATA'!R1469</f>
        <v>0</v>
      </c>
      <c r="O111" s="9">
        <f>'MKT DATA'!S1469</f>
        <v>0</v>
      </c>
      <c r="P111" s="9">
        <f>'MKT DATA'!T1469</f>
        <v>0</v>
      </c>
      <c r="Q111" s="44" t="str">
        <f t="shared" si="5"/>
        <v>syn BTCU6/BTCX6/BTCG7/BTCZ6/BTCF7</v>
      </c>
      <c r="R111" s="14">
        <f>'MKT DATA'!AB1469</f>
        <v>0</v>
      </c>
    </row>
    <row r="112" spans="5:18" x14ac:dyDescent="0.25">
      <c r="E112" s="44" t="str">
        <f>'MKT DATA'!B1470</f>
        <v>syn BTCU6/BTCZ6/BTCV6/BTCX6/BTCF7</v>
      </c>
      <c r="F112" s="14">
        <f>'MKT DATA'!J1470</f>
        <v>0</v>
      </c>
      <c r="G112" s="9">
        <f>'MKT DATA'!K1470</f>
        <v>0</v>
      </c>
      <c r="H112" s="9">
        <f>'MKT DATA'!L1470</f>
        <v>0</v>
      </c>
      <c r="I112" s="14">
        <f>'MKT DATA'!M1470</f>
        <v>0</v>
      </c>
      <c r="J112" s="44" t="str">
        <f t="shared" si="4"/>
        <v>syn BTCU6/BTCZ6/BTCV6/BTCX6/BTCF7</v>
      </c>
      <c r="K112" s="9">
        <f>'MKT DATA'!O1470</f>
        <v>0</v>
      </c>
      <c r="L112" s="9">
        <f>'MKT DATA'!P1470</f>
        <v>0</v>
      </c>
      <c r="M112" s="9">
        <f>'MKT DATA'!Q1470</f>
        <v>0</v>
      </c>
      <c r="N112" s="9">
        <f>'MKT DATA'!R1470</f>
        <v>0</v>
      </c>
      <c r="O112" s="9">
        <f>'MKT DATA'!S1470</f>
        <v>0</v>
      </c>
      <c r="P112" s="9">
        <f>'MKT DATA'!T1470</f>
        <v>0</v>
      </c>
      <c r="Q112" s="44" t="str">
        <f t="shared" si="5"/>
        <v>syn BTCU6/BTCZ6/BTCV6/BTCX6/BTCF7</v>
      </c>
      <c r="R112" s="14">
        <f>'MKT DATA'!AB1470</f>
        <v>0</v>
      </c>
    </row>
    <row r="113" spans="5:18" x14ac:dyDescent="0.25">
      <c r="E113" s="44" t="str">
        <f>'MKT DATA'!B1471</f>
        <v>syn BTCU6/BTCZ6/BTCV6/BTCG7/BTCF7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BTCU6/BTCZ6/BTCV6/BTCG7/BTCF7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BTCU6/BTCZ6/BTCV6/BTCG7/BTCF7</v>
      </c>
      <c r="R113" s="14">
        <f>'MKT DATA'!AB1471</f>
        <v>0</v>
      </c>
    </row>
    <row r="114" spans="5:18" x14ac:dyDescent="0.25">
      <c r="E114" s="44" t="str">
        <f>'MKT DATA'!B1472</f>
        <v>syn BTCU6/BTCZ6/BTCX6/BTCV6/BTCF7</v>
      </c>
      <c r="F114" s="14">
        <f>'MKT DATA'!J1472</f>
        <v>0</v>
      </c>
      <c r="G114" s="9">
        <f>'MKT DATA'!K1472</f>
        <v>0</v>
      </c>
      <c r="H114" s="9">
        <f>'MKT DATA'!L1472</f>
        <v>0</v>
      </c>
      <c r="I114" s="14">
        <f>'MKT DATA'!M1472</f>
        <v>0</v>
      </c>
      <c r="J114" s="44" t="str">
        <f t="shared" si="4"/>
        <v>syn BTCU6/BTCZ6/BTCX6/BTCV6/BTCF7</v>
      </c>
      <c r="K114" s="9">
        <f>'MKT DATA'!O1472</f>
        <v>0</v>
      </c>
      <c r="L114" s="9">
        <f>'MKT DATA'!P1472</f>
        <v>0</v>
      </c>
      <c r="M114" s="9">
        <f>'MKT DATA'!Q1472</f>
        <v>0</v>
      </c>
      <c r="N114" s="9">
        <f>'MKT DATA'!R1472</f>
        <v>0</v>
      </c>
      <c r="O114" s="9">
        <f>'MKT DATA'!S1472</f>
        <v>0</v>
      </c>
      <c r="P114" s="9">
        <f>'MKT DATA'!T1472</f>
        <v>0</v>
      </c>
      <c r="Q114" s="44" t="str">
        <f t="shared" si="5"/>
        <v>syn BTCU6/BTCZ6/BTCX6/BTCV6/BTCF7</v>
      </c>
      <c r="R114" s="14">
        <f>'MKT DATA'!AB1472</f>
        <v>0</v>
      </c>
    </row>
    <row r="115" spans="5:18" x14ac:dyDescent="0.25">
      <c r="E115" s="44" t="str">
        <f>'MKT DATA'!B1473</f>
        <v>syn BTCU6/BTCZ6/BTCX6/BTCG7/BTCF7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BTCU6/BTCZ6/BTCX6/BTCG7/BTCF7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BTCU6/BTCZ6/BTCX6/BTCG7/BTCF7</v>
      </c>
      <c r="R115" s="14">
        <f>'MKT DATA'!AB1473</f>
        <v>0</v>
      </c>
    </row>
    <row r="116" spans="5:18" x14ac:dyDescent="0.25">
      <c r="E116" s="44" t="str">
        <f>'MKT DATA'!B1474</f>
        <v>syn BTCU6/BTCZ6/BTCG7/BTCV6/BTCF7</v>
      </c>
      <c r="F116" s="14">
        <f>'MKT DATA'!J1474</f>
        <v>0</v>
      </c>
      <c r="G116" s="9">
        <f>'MKT DATA'!K1474</f>
        <v>0</v>
      </c>
      <c r="H116" s="9">
        <f>'MKT DATA'!L1474</f>
        <v>0</v>
      </c>
      <c r="I116" s="14">
        <f>'MKT DATA'!M1474</f>
        <v>0</v>
      </c>
      <c r="J116" s="44" t="str">
        <f t="shared" si="4"/>
        <v>syn BTCU6/BTCZ6/BTCG7/BTCV6/BTCF7</v>
      </c>
      <c r="K116" s="9">
        <f>'MKT DATA'!O1474</f>
        <v>0</v>
      </c>
      <c r="L116" s="9">
        <f>'MKT DATA'!P1474</f>
        <v>0</v>
      </c>
      <c r="M116" s="9">
        <f>'MKT DATA'!Q1474</f>
        <v>0</v>
      </c>
      <c r="N116" s="9">
        <f>'MKT DATA'!R1474</f>
        <v>0</v>
      </c>
      <c r="O116" s="9">
        <f>'MKT DATA'!S1474</f>
        <v>0</v>
      </c>
      <c r="P116" s="9">
        <f>'MKT DATA'!T1474</f>
        <v>0</v>
      </c>
      <c r="Q116" s="44" t="str">
        <f t="shared" si="5"/>
        <v>syn BTCU6/BTCZ6/BTCG7/BTCV6/BTCF7</v>
      </c>
      <c r="R116" s="14">
        <f>'MKT DATA'!AB1474</f>
        <v>0</v>
      </c>
    </row>
    <row r="117" spans="5:18" x14ac:dyDescent="0.25">
      <c r="E117" s="44" t="str">
        <f>'MKT DATA'!B1475</f>
        <v>syn BTCU6/BTCZ6/BTCG7/BTCX6/BTCF7</v>
      </c>
      <c r="F117" s="14">
        <f>'MKT DATA'!J1475</f>
        <v>0</v>
      </c>
      <c r="G117" s="9">
        <f>'MKT DATA'!K1475</f>
        <v>0</v>
      </c>
      <c r="H117" s="9">
        <f>'MKT DATA'!L1475</f>
        <v>0</v>
      </c>
      <c r="I117" s="14">
        <f>'MKT DATA'!M1475</f>
        <v>0</v>
      </c>
      <c r="J117" s="44" t="str">
        <f t="shared" si="4"/>
        <v>syn BTCU6/BTCZ6/BTCG7/BTCX6/BTCF7</v>
      </c>
      <c r="K117" s="9">
        <f>'MKT DATA'!O1475</f>
        <v>0</v>
      </c>
      <c r="L117" s="9">
        <f>'MKT DATA'!P1475</f>
        <v>0</v>
      </c>
      <c r="M117" s="9">
        <f>'MKT DATA'!Q1475</f>
        <v>0</v>
      </c>
      <c r="N117" s="9">
        <f>'MKT DATA'!R1475</f>
        <v>0</v>
      </c>
      <c r="O117" s="9">
        <f>'MKT DATA'!S1475</f>
        <v>0</v>
      </c>
      <c r="P117" s="9">
        <f>'MKT DATA'!T1475</f>
        <v>0</v>
      </c>
      <c r="Q117" s="44" t="str">
        <f t="shared" si="5"/>
        <v>syn BTCU6/BTCZ6/BTCG7/BTCX6/BTCF7</v>
      </c>
      <c r="R117" s="14">
        <f>'MKT DATA'!AB1475</f>
        <v>0</v>
      </c>
    </row>
    <row r="118" spans="5:18" x14ac:dyDescent="0.25">
      <c r="E118" s="44" t="str">
        <f>'MKT DATA'!B1476</f>
        <v>syn BTCU6/BTCG7/BTCV6/BTCX6/BTCF7</v>
      </c>
      <c r="F118" s="14">
        <f>'MKT DATA'!J1476</f>
        <v>0</v>
      </c>
      <c r="G118" s="9">
        <f>'MKT DATA'!K1476</f>
        <v>0</v>
      </c>
      <c r="H118" s="9">
        <f>'MKT DATA'!L1476</f>
        <v>0</v>
      </c>
      <c r="I118" s="14">
        <f>'MKT DATA'!M1476</f>
        <v>0</v>
      </c>
      <c r="J118" s="44" t="str">
        <f t="shared" si="4"/>
        <v>syn BTCU6/BTCG7/BTCV6/BTCX6/BTCF7</v>
      </c>
      <c r="K118" s="9">
        <f>'MKT DATA'!O1476</f>
        <v>0</v>
      </c>
      <c r="L118" s="9">
        <f>'MKT DATA'!P1476</f>
        <v>0</v>
      </c>
      <c r="M118" s="9">
        <f>'MKT DATA'!Q1476</f>
        <v>0</v>
      </c>
      <c r="N118" s="9">
        <f>'MKT DATA'!R1476</f>
        <v>0</v>
      </c>
      <c r="O118" s="9">
        <f>'MKT DATA'!S1476</f>
        <v>0</v>
      </c>
      <c r="P118" s="9">
        <f>'MKT DATA'!T1476</f>
        <v>0</v>
      </c>
      <c r="Q118" s="44" t="str">
        <f t="shared" si="5"/>
        <v>syn BTCU6/BTCG7/BTCV6/BTCX6/BTCF7</v>
      </c>
      <c r="R118" s="14">
        <f>'MKT DATA'!AB1476</f>
        <v>0</v>
      </c>
    </row>
    <row r="119" spans="5:18" x14ac:dyDescent="0.25">
      <c r="E119" s="44" t="str">
        <f>'MKT DATA'!B1477</f>
        <v>syn BTCU6/BTCG7/BTCV6/BTCZ6/BTCF7</v>
      </c>
      <c r="F119" s="14">
        <f>'MKT DATA'!J1477</f>
        <v>0</v>
      </c>
      <c r="G119" s="9">
        <f>'MKT DATA'!K1477</f>
        <v>0</v>
      </c>
      <c r="H119" s="9">
        <f>'MKT DATA'!L1477</f>
        <v>0</v>
      </c>
      <c r="I119" s="14">
        <f>'MKT DATA'!M1477</f>
        <v>0</v>
      </c>
      <c r="J119" s="44" t="str">
        <f t="shared" si="4"/>
        <v>syn BTCU6/BTCG7/BTCV6/BTCZ6/BTCF7</v>
      </c>
      <c r="K119" s="9">
        <f>'MKT DATA'!O1477</f>
        <v>0</v>
      </c>
      <c r="L119" s="9">
        <f>'MKT DATA'!P1477</f>
        <v>0</v>
      </c>
      <c r="M119" s="9">
        <f>'MKT DATA'!Q1477</f>
        <v>0</v>
      </c>
      <c r="N119" s="9">
        <f>'MKT DATA'!R1477</f>
        <v>0</v>
      </c>
      <c r="O119" s="9">
        <f>'MKT DATA'!S1477</f>
        <v>0</v>
      </c>
      <c r="P119" s="9">
        <f>'MKT DATA'!T1477</f>
        <v>0</v>
      </c>
      <c r="Q119" s="44" t="str">
        <f t="shared" si="5"/>
        <v>syn BTCU6/BTCG7/BTCV6/BTCZ6/BTCF7</v>
      </c>
      <c r="R119" s="14">
        <f>'MKT DATA'!AB1477</f>
        <v>0</v>
      </c>
    </row>
    <row r="120" spans="5:18" x14ac:dyDescent="0.25">
      <c r="E120" s="44" t="str">
        <f>'MKT DATA'!B1478</f>
        <v>syn BTCU6/BTCG7/BTCX6/BTCV6/BTCF7</v>
      </c>
      <c r="F120" s="14">
        <f>'MKT DATA'!J1478</f>
        <v>0</v>
      </c>
      <c r="G120" s="9">
        <f>'MKT DATA'!K1478</f>
        <v>0</v>
      </c>
      <c r="H120" s="9">
        <f>'MKT DATA'!L1478</f>
        <v>0</v>
      </c>
      <c r="I120" s="14">
        <f>'MKT DATA'!M1478</f>
        <v>0</v>
      </c>
      <c r="J120" s="44" t="str">
        <f t="shared" si="4"/>
        <v>syn BTCU6/BTCG7/BTCX6/BTCV6/BTCF7</v>
      </c>
      <c r="K120" s="9">
        <f>'MKT DATA'!O1478</f>
        <v>0</v>
      </c>
      <c r="L120" s="9">
        <f>'MKT DATA'!P1478</f>
        <v>0</v>
      </c>
      <c r="M120" s="9">
        <f>'MKT DATA'!Q1478</f>
        <v>0</v>
      </c>
      <c r="N120" s="9">
        <f>'MKT DATA'!R1478</f>
        <v>0</v>
      </c>
      <c r="O120" s="9">
        <f>'MKT DATA'!S1478</f>
        <v>0</v>
      </c>
      <c r="P120" s="9">
        <f>'MKT DATA'!T1478</f>
        <v>0</v>
      </c>
      <c r="Q120" s="44" t="str">
        <f t="shared" si="5"/>
        <v>syn BTCU6/BTCG7/BTCX6/BTCV6/BTCF7</v>
      </c>
      <c r="R120" s="14">
        <f>'MKT DATA'!AB1478</f>
        <v>0</v>
      </c>
    </row>
    <row r="121" spans="5:18" x14ac:dyDescent="0.25">
      <c r="E121" s="44" t="str">
        <f>'MKT DATA'!B1479</f>
        <v>syn BTCU6/BTCG7/BTCX6/BTCZ6/BTCF7</v>
      </c>
      <c r="F121" s="14">
        <f>'MKT DATA'!J1479</f>
        <v>0</v>
      </c>
      <c r="G121" s="9">
        <f>'MKT DATA'!K1479</f>
        <v>0</v>
      </c>
      <c r="H121" s="9">
        <f>'MKT DATA'!L1479</f>
        <v>0</v>
      </c>
      <c r="I121" s="14">
        <f>'MKT DATA'!M1479</f>
        <v>0</v>
      </c>
      <c r="J121" s="44" t="str">
        <f t="shared" si="4"/>
        <v>syn BTCU6/BTCG7/BTCX6/BTCZ6/BTCF7</v>
      </c>
      <c r="K121" s="9">
        <f>'MKT DATA'!O1479</f>
        <v>0</v>
      </c>
      <c r="L121" s="9">
        <f>'MKT DATA'!P1479</f>
        <v>0</v>
      </c>
      <c r="M121" s="9">
        <f>'MKT DATA'!Q1479</f>
        <v>0</v>
      </c>
      <c r="N121" s="9">
        <f>'MKT DATA'!R1479</f>
        <v>0</v>
      </c>
      <c r="O121" s="9">
        <f>'MKT DATA'!S1479</f>
        <v>0</v>
      </c>
      <c r="P121" s="9">
        <f>'MKT DATA'!T1479</f>
        <v>0</v>
      </c>
      <c r="Q121" s="44" t="str">
        <f t="shared" si="5"/>
        <v>syn BTCU6/BTCG7/BTCX6/BTCZ6/BTCF7</v>
      </c>
      <c r="R121" s="14">
        <f>'MKT DATA'!AB1479</f>
        <v>0</v>
      </c>
    </row>
    <row r="122" spans="5:18" x14ac:dyDescent="0.25">
      <c r="E122" s="44" t="str">
        <f>'MKT DATA'!B1480</f>
        <v>syn BTCU6/BTCG7/BTCZ6/BTCV6/BTCF7</v>
      </c>
      <c r="F122" s="14">
        <f>'MKT DATA'!J1480</f>
        <v>0</v>
      </c>
      <c r="G122" s="9">
        <f>'MKT DATA'!K1480</f>
        <v>0</v>
      </c>
      <c r="H122" s="9">
        <f>'MKT DATA'!L1480</f>
        <v>0</v>
      </c>
      <c r="I122" s="14">
        <f>'MKT DATA'!M1480</f>
        <v>0</v>
      </c>
      <c r="J122" s="44" t="str">
        <f t="shared" si="4"/>
        <v>syn BTCU6/BTCG7/BTCZ6/BTCV6/BTCF7</v>
      </c>
      <c r="K122" s="9">
        <f>'MKT DATA'!O1480</f>
        <v>0</v>
      </c>
      <c r="L122" s="9">
        <f>'MKT DATA'!P1480</f>
        <v>0</v>
      </c>
      <c r="M122" s="9">
        <f>'MKT DATA'!Q1480</f>
        <v>0</v>
      </c>
      <c r="N122" s="9">
        <f>'MKT DATA'!R1480</f>
        <v>0</v>
      </c>
      <c r="O122" s="9">
        <f>'MKT DATA'!S1480</f>
        <v>0</v>
      </c>
      <c r="P122" s="9">
        <f>'MKT DATA'!T1480</f>
        <v>0</v>
      </c>
      <c r="Q122" s="44" t="str">
        <f t="shared" si="5"/>
        <v>syn BTCU6/BTCG7/BTCZ6/BTCV6/BTCF7</v>
      </c>
      <c r="R122" s="14">
        <f>'MKT DATA'!AB1480</f>
        <v>0</v>
      </c>
    </row>
    <row r="123" spans="5:18" x14ac:dyDescent="0.25">
      <c r="E123" s="44" t="str">
        <f>'MKT DATA'!B1481</f>
        <v>syn BTCU6/BTCG7/BTCZ6/BTCX6/BTCF7</v>
      </c>
      <c r="F123" s="14">
        <f>'MKT DATA'!J1481</f>
        <v>0</v>
      </c>
      <c r="G123" s="9">
        <f>'MKT DATA'!K1481</f>
        <v>0</v>
      </c>
      <c r="H123" s="9">
        <f>'MKT DATA'!L1481</f>
        <v>0</v>
      </c>
      <c r="I123" s="14">
        <f>'MKT DATA'!M1481</f>
        <v>0</v>
      </c>
      <c r="J123" s="44" t="str">
        <f t="shared" si="4"/>
        <v>syn BTCU6/BTCG7/BTCZ6/BTCX6/BTCF7</v>
      </c>
      <c r="K123" s="9">
        <f>'MKT DATA'!O1481</f>
        <v>0</v>
      </c>
      <c r="L123" s="9">
        <f>'MKT DATA'!P1481</f>
        <v>0</v>
      </c>
      <c r="M123" s="9">
        <f>'MKT DATA'!Q1481</f>
        <v>0</v>
      </c>
      <c r="N123" s="9">
        <f>'MKT DATA'!R1481</f>
        <v>0</v>
      </c>
      <c r="O123" s="9">
        <f>'MKT DATA'!S1481</f>
        <v>0</v>
      </c>
      <c r="P123" s="9">
        <f>'MKT DATA'!T1481</f>
        <v>0</v>
      </c>
      <c r="Q123" s="44" t="str">
        <f t="shared" si="5"/>
        <v>syn BTCU6/BTCG7/BTCZ6/BTCX6/BTCF7</v>
      </c>
      <c r="R123" s="14">
        <f>'MKT DATA'!AB1481</f>
        <v>0</v>
      </c>
    </row>
    <row r="124" spans="5:18" x14ac:dyDescent="0.25">
      <c r="E124" s="44" t="str">
        <f>'MKT DATA'!B1482</f>
        <v>syn BTCV6/BTCU6/BTCX6/BTCZ6/BTCF7</v>
      </c>
      <c r="F124" s="14">
        <f>'MKT DATA'!J1482</f>
        <v>0</v>
      </c>
      <c r="G124" s="9">
        <f>'MKT DATA'!K1482</f>
        <v>0</v>
      </c>
      <c r="H124" s="9">
        <f>'MKT DATA'!L1482</f>
        <v>0</v>
      </c>
      <c r="I124" s="14">
        <f>'MKT DATA'!M1482</f>
        <v>0</v>
      </c>
      <c r="J124" s="44" t="str">
        <f t="shared" si="4"/>
        <v>syn BTCV6/BTCU6/BTCX6/BTCZ6/BTCF7</v>
      </c>
      <c r="K124" s="9">
        <f>'MKT DATA'!O1482</f>
        <v>0</v>
      </c>
      <c r="L124" s="9">
        <f>'MKT DATA'!P1482</f>
        <v>0</v>
      </c>
      <c r="M124" s="9">
        <f>'MKT DATA'!Q1482</f>
        <v>0</v>
      </c>
      <c r="N124" s="9">
        <f>'MKT DATA'!R1482</f>
        <v>0</v>
      </c>
      <c r="O124" s="9">
        <f>'MKT DATA'!S1482</f>
        <v>0</v>
      </c>
      <c r="P124" s="9">
        <f>'MKT DATA'!T1482</f>
        <v>0</v>
      </c>
      <c r="Q124" s="44" t="str">
        <f t="shared" si="5"/>
        <v>syn BTCV6/BTCU6/BTCX6/BTCZ6/BTCF7</v>
      </c>
      <c r="R124" s="14">
        <f>'MKT DATA'!AB1482</f>
        <v>0</v>
      </c>
    </row>
    <row r="125" spans="5:18" x14ac:dyDescent="0.25">
      <c r="E125" s="44" t="str">
        <f>'MKT DATA'!B1483</f>
        <v>syn BTCV6/BTCU6/BTCX6/BTCG7/BTCF7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BTCV6/BTCU6/BTCX6/BTCG7/BTCF7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BTCV6/BTCU6/BTCX6/BTCG7/BTCF7</v>
      </c>
      <c r="R125" s="14">
        <f>'MKT DATA'!AB1483</f>
        <v>0</v>
      </c>
    </row>
    <row r="126" spans="5:18" x14ac:dyDescent="0.25">
      <c r="E126" s="44" t="str">
        <f>'MKT DATA'!B1484</f>
        <v>syn BTCV6/BTCU6/BTCZ6/BTCX6/BTCF7</v>
      </c>
      <c r="F126" s="14">
        <f>'MKT DATA'!J1484</f>
        <v>0</v>
      </c>
      <c r="G126" s="9">
        <f>'MKT DATA'!K1484</f>
        <v>0</v>
      </c>
      <c r="H126" s="9">
        <f>'MKT DATA'!L1484</f>
        <v>0</v>
      </c>
      <c r="I126" s="14">
        <f>'MKT DATA'!M1484</f>
        <v>0</v>
      </c>
      <c r="J126" s="44" t="str">
        <f t="shared" si="4"/>
        <v>syn BTCV6/BTCU6/BTCZ6/BTCX6/BTCF7</v>
      </c>
      <c r="K126" s="9">
        <f>'MKT DATA'!O1484</f>
        <v>0</v>
      </c>
      <c r="L126" s="9">
        <f>'MKT DATA'!P1484</f>
        <v>0</v>
      </c>
      <c r="M126" s="9">
        <f>'MKT DATA'!Q1484</f>
        <v>0</v>
      </c>
      <c r="N126" s="9">
        <f>'MKT DATA'!R1484</f>
        <v>0</v>
      </c>
      <c r="O126" s="9">
        <f>'MKT DATA'!S1484</f>
        <v>0</v>
      </c>
      <c r="P126" s="9">
        <f>'MKT DATA'!T1484</f>
        <v>0</v>
      </c>
      <c r="Q126" s="44" t="str">
        <f t="shared" si="5"/>
        <v>syn BTCV6/BTCU6/BTCZ6/BTCX6/BTCF7</v>
      </c>
      <c r="R126" s="14">
        <f>'MKT DATA'!AB1484</f>
        <v>0</v>
      </c>
    </row>
    <row r="127" spans="5:18" x14ac:dyDescent="0.25">
      <c r="E127" s="44" t="str">
        <f>'MKT DATA'!B1485</f>
        <v>syn BTCV6/BTCU6/BTCZ6/BTCG7/BTCF7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BTCV6/BTCU6/BTCZ6/BTCG7/BTCF7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BTCV6/BTCU6/BTCZ6/BTCG7/BTCF7</v>
      </c>
      <c r="R127" s="14">
        <f>'MKT DATA'!AB1485</f>
        <v>0</v>
      </c>
    </row>
    <row r="128" spans="5:18" x14ac:dyDescent="0.25">
      <c r="E128" s="44" t="str">
        <f>'MKT DATA'!B1486</f>
        <v>syn BTCV6/BTCU6/BTCG7/BTCX6/BTCF7</v>
      </c>
      <c r="F128" s="14">
        <f>'MKT DATA'!J1486</f>
        <v>0</v>
      </c>
      <c r="G128" s="9">
        <f>'MKT DATA'!K1486</f>
        <v>0</v>
      </c>
      <c r="H128" s="9">
        <f>'MKT DATA'!L1486</f>
        <v>0</v>
      </c>
      <c r="I128" s="14">
        <f>'MKT DATA'!M1486</f>
        <v>0</v>
      </c>
      <c r="J128" s="44" t="str">
        <f t="shared" si="4"/>
        <v>syn BTCV6/BTCU6/BTCG7/BTCX6/BTCF7</v>
      </c>
      <c r="K128" s="9">
        <f>'MKT DATA'!O1486</f>
        <v>0</v>
      </c>
      <c r="L128" s="9">
        <f>'MKT DATA'!P1486</f>
        <v>0</v>
      </c>
      <c r="M128" s="9">
        <f>'MKT DATA'!Q1486</f>
        <v>0</v>
      </c>
      <c r="N128" s="9">
        <f>'MKT DATA'!R1486</f>
        <v>0</v>
      </c>
      <c r="O128" s="9">
        <f>'MKT DATA'!S1486</f>
        <v>0</v>
      </c>
      <c r="P128" s="9">
        <f>'MKT DATA'!T1486</f>
        <v>0</v>
      </c>
      <c r="Q128" s="44" t="str">
        <f t="shared" si="5"/>
        <v>syn BTCV6/BTCU6/BTCG7/BTCX6/BTCF7</v>
      </c>
      <c r="R128" s="14">
        <f>'MKT DATA'!AB1486</f>
        <v>0</v>
      </c>
    </row>
    <row r="129" spans="5:18" x14ac:dyDescent="0.25">
      <c r="E129" s="44" t="str">
        <f>'MKT DATA'!B1487</f>
        <v>syn BTCV6/BTCU6/BTCG7/BTCZ6/BTCF7</v>
      </c>
      <c r="F129" s="14">
        <f>'MKT DATA'!J1487</f>
        <v>0</v>
      </c>
      <c r="G129" s="9">
        <f>'MKT DATA'!K1487</f>
        <v>0</v>
      </c>
      <c r="H129" s="9">
        <f>'MKT DATA'!L1487</f>
        <v>0</v>
      </c>
      <c r="I129" s="14">
        <f>'MKT DATA'!M1487</f>
        <v>0</v>
      </c>
      <c r="J129" s="44" t="str">
        <f t="shared" si="4"/>
        <v>syn BTCV6/BTCU6/BTCG7/BTCZ6/BTCF7</v>
      </c>
      <c r="K129" s="9">
        <f>'MKT DATA'!O1487</f>
        <v>0</v>
      </c>
      <c r="L129" s="9">
        <f>'MKT DATA'!P1487</f>
        <v>0</v>
      </c>
      <c r="M129" s="9">
        <f>'MKT DATA'!Q1487</f>
        <v>0</v>
      </c>
      <c r="N129" s="9">
        <f>'MKT DATA'!R1487</f>
        <v>0</v>
      </c>
      <c r="O129" s="9">
        <f>'MKT DATA'!S1487</f>
        <v>0</v>
      </c>
      <c r="P129" s="9">
        <f>'MKT DATA'!T1487</f>
        <v>0</v>
      </c>
      <c r="Q129" s="44" t="str">
        <f t="shared" si="5"/>
        <v>syn BTCV6/BTCU6/BTCG7/BTCZ6/BTCF7</v>
      </c>
      <c r="R129" s="14">
        <f>'MKT DATA'!AB1487</f>
        <v>0</v>
      </c>
    </row>
    <row r="130" spans="5:18" x14ac:dyDescent="0.25">
      <c r="E130" s="44" t="str">
        <f>'MKT DATA'!B1488</f>
        <v>syn BTCV6/BTCX6/BTCU6/BTCZ6/BTCF7</v>
      </c>
      <c r="F130" s="14">
        <f>'MKT DATA'!J1488</f>
        <v>0</v>
      </c>
      <c r="G130" s="9">
        <f>'MKT DATA'!K1488</f>
        <v>0</v>
      </c>
      <c r="H130" s="9">
        <f>'MKT DATA'!L1488</f>
        <v>0</v>
      </c>
      <c r="I130" s="14">
        <f>'MKT DATA'!M1488</f>
        <v>0</v>
      </c>
      <c r="J130" s="44" t="str">
        <f t="shared" si="4"/>
        <v>syn BTCV6/BTCX6/BTCU6/BTCZ6/BTCF7</v>
      </c>
      <c r="K130" s="9">
        <f>'MKT DATA'!O1488</f>
        <v>0</v>
      </c>
      <c r="L130" s="9">
        <f>'MKT DATA'!P1488</f>
        <v>0</v>
      </c>
      <c r="M130" s="9">
        <f>'MKT DATA'!Q1488</f>
        <v>0</v>
      </c>
      <c r="N130" s="9">
        <f>'MKT DATA'!R1488</f>
        <v>0</v>
      </c>
      <c r="O130" s="9">
        <f>'MKT DATA'!S1488</f>
        <v>0</v>
      </c>
      <c r="P130" s="9">
        <f>'MKT DATA'!T1488</f>
        <v>0</v>
      </c>
      <c r="Q130" s="44" t="str">
        <f t="shared" si="5"/>
        <v>syn BTCV6/BTCX6/BTCU6/BTCZ6/BTCF7</v>
      </c>
      <c r="R130" s="14">
        <f>'MKT DATA'!AB1488</f>
        <v>0</v>
      </c>
    </row>
    <row r="131" spans="5:18" x14ac:dyDescent="0.25">
      <c r="E131" s="44" t="str">
        <f>'MKT DATA'!B1489</f>
        <v>syn BTCV6/BTCX6/BTCU6/BTCG7/BTCF7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BTCV6/BTCX6/BTCU6/BTCG7/BTCF7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BTCV6/BTCX6/BTCU6/BTCG7/BTCF7</v>
      </c>
      <c r="R131" s="14">
        <f>'MKT DATA'!AB1489</f>
        <v>0</v>
      </c>
    </row>
    <row r="132" spans="5:18" x14ac:dyDescent="0.25">
      <c r="E132" s="44" t="str">
        <f>'MKT DATA'!B1490</f>
        <v>syn BTCV6/BTCX6/BTCZ6/BTCU6/BTCF7</v>
      </c>
      <c r="F132" s="14">
        <f>'MKT DATA'!J1490</f>
        <v>0</v>
      </c>
      <c r="G132" s="9">
        <f>'MKT DATA'!K1490</f>
        <v>0</v>
      </c>
      <c r="H132" s="9">
        <f>'MKT DATA'!L1490</f>
        <v>0</v>
      </c>
      <c r="I132" s="14">
        <f>'MKT DATA'!M1490</f>
        <v>0</v>
      </c>
      <c r="J132" s="44" t="str">
        <f t="shared" si="4"/>
        <v>syn BTCV6/BTCX6/BTCZ6/BTCU6/BTCF7</v>
      </c>
      <c r="K132" s="9">
        <f>'MKT DATA'!O1490</f>
        <v>0</v>
      </c>
      <c r="L132" s="9">
        <f>'MKT DATA'!P1490</f>
        <v>0</v>
      </c>
      <c r="M132" s="9">
        <f>'MKT DATA'!Q1490</f>
        <v>0</v>
      </c>
      <c r="N132" s="9">
        <f>'MKT DATA'!R1490</f>
        <v>0</v>
      </c>
      <c r="O132" s="9">
        <f>'MKT DATA'!S1490</f>
        <v>0</v>
      </c>
      <c r="P132" s="9">
        <f>'MKT DATA'!T1490</f>
        <v>0</v>
      </c>
      <c r="Q132" s="44" t="str">
        <f t="shared" si="5"/>
        <v>syn BTCV6/BTCX6/BTCZ6/BTCU6/BTCF7</v>
      </c>
      <c r="R132" s="14">
        <f>'MKT DATA'!AB1490</f>
        <v>0</v>
      </c>
    </row>
    <row r="133" spans="5:18" x14ac:dyDescent="0.25">
      <c r="E133" s="44" t="str">
        <f>'MKT DATA'!B1491</f>
        <v>syn BTCV6/BTCX6/BTCZ6/BTCG7/BTCF7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BTCV6/BTCX6/BTCZ6/BTCG7/BTCF7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BTCV6/BTCX6/BTCZ6/BTCG7/BTCF7</v>
      </c>
      <c r="R133" s="14">
        <f>'MKT DATA'!AB1491</f>
        <v>0</v>
      </c>
    </row>
    <row r="134" spans="5:18" x14ac:dyDescent="0.25">
      <c r="E134" s="44" t="str">
        <f>'MKT DATA'!B1492</f>
        <v>syn BTCV6/BTCX6/BTCG7/BTCU6/BTCF7</v>
      </c>
      <c r="F134" s="14">
        <f>'MKT DATA'!J1492</f>
        <v>0</v>
      </c>
      <c r="G134" s="9">
        <f>'MKT DATA'!K1492</f>
        <v>0</v>
      </c>
      <c r="H134" s="9">
        <f>'MKT DATA'!L1492</f>
        <v>0</v>
      </c>
      <c r="I134" s="14">
        <f>'MKT DATA'!M1492</f>
        <v>0</v>
      </c>
      <c r="J134" s="44" t="str">
        <f t="shared" si="4"/>
        <v>syn BTCV6/BTCX6/BTCG7/BTCU6/BTCF7</v>
      </c>
      <c r="K134" s="9">
        <f>'MKT DATA'!O1492</f>
        <v>0</v>
      </c>
      <c r="L134" s="9">
        <f>'MKT DATA'!P1492</f>
        <v>0</v>
      </c>
      <c r="M134" s="9">
        <f>'MKT DATA'!Q1492</f>
        <v>0</v>
      </c>
      <c r="N134" s="9">
        <f>'MKT DATA'!R1492</f>
        <v>0</v>
      </c>
      <c r="O134" s="9">
        <f>'MKT DATA'!S1492</f>
        <v>0</v>
      </c>
      <c r="P134" s="9">
        <f>'MKT DATA'!T1492</f>
        <v>0</v>
      </c>
      <c r="Q134" s="44" t="str">
        <f t="shared" si="5"/>
        <v>syn BTCV6/BTCX6/BTCG7/BTCU6/BTCF7</v>
      </c>
      <c r="R134" s="14">
        <f>'MKT DATA'!AB1492</f>
        <v>0</v>
      </c>
    </row>
    <row r="135" spans="5:18" x14ac:dyDescent="0.25">
      <c r="E135" s="44" t="str">
        <f>'MKT DATA'!B1493</f>
        <v>syn BTCV6/BTCX6/BTCG7/BTCZ6/BTCF7</v>
      </c>
      <c r="F135" s="14">
        <f>'MKT DATA'!J1493</f>
        <v>0</v>
      </c>
      <c r="G135" s="9">
        <f>'MKT DATA'!K1493</f>
        <v>0</v>
      </c>
      <c r="H135" s="9">
        <f>'MKT DATA'!L1493</f>
        <v>0</v>
      </c>
      <c r="I135" s="14">
        <f>'MKT DATA'!M1493</f>
        <v>0</v>
      </c>
      <c r="J135" s="44" t="str">
        <f t="shared" si="4"/>
        <v>syn BTCV6/BTCX6/BTCG7/BTCZ6/BTCF7</v>
      </c>
      <c r="K135" s="9">
        <f>'MKT DATA'!O1493</f>
        <v>0</v>
      </c>
      <c r="L135" s="9">
        <f>'MKT DATA'!P1493</f>
        <v>0</v>
      </c>
      <c r="M135" s="9">
        <f>'MKT DATA'!Q1493</f>
        <v>0</v>
      </c>
      <c r="N135" s="9">
        <f>'MKT DATA'!R1493</f>
        <v>0</v>
      </c>
      <c r="O135" s="9">
        <f>'MKT DATA'!S1493</f>
        <v>0</v>
      </c>
      <c r="P135" s="9">
        <f>'MKT DATA'!T1493</f>
        <v>0</v>
      </c>
      <c r="Q135" s="44" t="str">
        <f t="shared" si="5"/>
        <v>syn BTCV6/BTCX6/BTCG7/BTCZ6/BTCF7</v>
      </c>
      <c r="R135" s="14">
        <f>'MKT DATA'!AB1493</f>
        <v>0</v>
      </c>
    </row>
    <row r="136" spans="5:18" x14ac:dyDescent="0.25">
      <c r="E136" s="44" t="str">
        <f>'MKT DATA'!B1494</f>
        <v>syn BTCV6/BTCZ6/BTCU6/BTCX6/BTCF7</v>
      </c>
      <c r="F136" s="14">
        <f>'MKT DATA'!J1494</f>
        <v>0</v>
      </c>
      <c r="G136" s="9">
        <f>'MKT DATA'!K1494</f>
        <v>0</v>
      </c>
      <c r="H136" s="9">
        <f>'MKT DATA'!L1494</f>
        <v>0</v>
      </c>
      <c r="I136" s="14">
        <f>'MKT DATA'!M1494</f>
        <v>0</v>
      </c>
      <c r="J136" s="44" t="str">
        <f t="shared" si="4"/>
        <v>syn BTCV6/BTCZ6/BTCU6/BTCX6/BTCF7</v>
      </c>
      <c r="K136" s="9">
        <f>'MKT DATA'!O1494</f>
        <v>0</v>
      </c>
      <c r="L136" s="9">
        <f>'MKT DATA'!P1494</f>
        <v>0</v>
      </c>
      <c r="M136" s="9">
        <f>'MKT DATA'!Q1494</f>
        <v>0</v>
      </c>
      <c r="N136" s="9">
        <f>'MKT DATA'!R1494</f>
        <v>0</v>
      </c>
      <c r="O136" s="9">
        <f>'MKT DATA'!S1494</f>
        <v>0</v>
      </c>
      <c r="P136" s="9">
        <f>'MKT DATA'!T1494</f>
        <v>0</v>
      </c>
      <c r="Q136" s="44" t="str">
        <f t="shared" si="5"/>
        <v>syn BTCV6/BTCZ6/BTCU6/BTCX6/BTCF7</v>
      </c>
      <c r="R136" s="14">
        <f>'MKT DATA'!AB1494</f>
        <v>0</v>
      </c>
    </row>
    <row r="137" spans="5:18" x14ac:dyDescent="0.25">
      <c r="E137" s="44" t="str">
        <f>'MKT DATA'!B1495</f>
        <v>syn BTCV6/BTCZ6/BTCU6/BTCG7/BTCF7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BTCV6/BTCZ6/BTCU6/BTCG7/BTCF7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BTCV6/BTCZ6/BTCU6/BTCG7/BTCF7</v>
      </c>
      <c r="R137" s="14">
        <f>'MKT DATA'!AB1495</f>
        <v>0</v>
      </c>
    </row>
    <row r="138" spans="5:18" x14ac:dyDescent="0.25">
      <c r="E138" s="44" t="str">
        <f>'MKT DATA'!B1496</f>
        <v>syn BTCV6/BTCZ6/BTCX6/BTCU6/BTCF7</v>
      </c>
      <c r="F138" s="14">
        <f>'MKT DATA'!J1496</f>
        <v>0</v>
      </c>
      <c r="G138" s="9">
        <f>'MKT DATA'!K1496</f>
        <v>0</v>
      </c>
      <c r="H138" s="9">
        <f>'MKT DATA'!L1496</f>
        <v>0</v>
      </c>
      <c r="I138" s="14">
        <f>'MKT DATA'!M1496</f>
        <v>0</v>
      </c>
      <c r="J138" s="44" t="str">
        <f t="shared" ref="J138:J201" si="6">E138</f>
        <v>syn BTCV6/BTCZ6/BTCX6/BTCU6/BTCF7</v>
      </c>
      <c r="K138" s="9">
        <f>'MKT DATA'!O1496</f>
        <v>0</v>
      </c>
      <c r="L138" s="9">
        <f>'MKT DATA'!P1496</f>
        <v>0</v>
      </c>
      <c r="M138" s="9">
        <f>'MKT DATA'!Q1496</f>
        <v>0</v>
      </c>
      <c r="N138" s="9">
        <f>'MKT DATA'!R1496</f>
        <v>0</v>
      </c>
      <c r="O138" s="9">
        <f>'MKT DATA'!S1496</f>
        <v>0</v>
      </c>
      <c r="P138" s="9">
        <f>'MKT DATA'!T1496</f>
        <v>0</v>
      </c>
      <c r="Q138" s="44" t="str">
        <f t="shared" ref="Q138:Q201" si="7">J138</f>
        <v>syn BTCV6/BTCZ6/BTCX6/BTCU6/BTCF7</v>
      </c>
      <c r="R138" s="14">
        <f>'MKT DATA'!AB1496</f>
        <v>0</v>
      </c>
    </row>
    <row r="139" spans="5:18" x14ac:dyDescent="0.25">
      <c r="E139" s="44" t="str">
        <f>'MKT DATA'!B1497</f>
        <v>syn BTCV6/BTCZ6/BTCX6/BTCG7/BTCF7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BTCV6/BTCZ6/BTCX6/BTCG7/BTCF7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BTCV6/BTCZ6/BTCX6/BTCG7/BTCF7</v>
      </c>
      <c r="R139" s="14">
        <f>'MKT DATA'!AB1497</f>
        <v>0</v>
      </c>
    </row>
    <row r="140" spans="5:18" x14ac:dyDescent="0.25">
      <c r="E140" s="44" t="str">
        <f>'MKT DATA'!B1498</f>
        <v>syn BTCV6/BTCZ6/BTCG7/BTCU6/BTCF7</v>
      </c>
      <c r="F140" s="14">
        <f>'MKT DATA'!J1498</f>
        <v>0</v>
      </c>
      <c r="G140" s="9">
        <f>'MKT DATA'!K1498</f>
        <v>0</v>
      </c>
      <c r="H140" s="9">
        <f>'MKT DATA'!L1498</f>
        <v>0</v>
      </c>
      <c r="I140" s="14">
        <f>'MKT DATA'!M1498</f>
        <v>0</v>
      </c>
      <c r="J140" s="44" t="str">
        <f t="shared" si="6"/>
        <v>syn BTCV6/BTCZ6/BTCG7/BTCU6/BTCF7</v>
      </c>
      <c r="K140" s="9">
        <f>'MKT DATA'!O1498</f>
        <v>0</v>
      </c>
      <c r="L140" s="9">
        <f>'MKT DATA'!P1498</f>
        <v>0</v>
      </c>
      <c r="M140" s="9">
        <f>'MKT DATA'!Q1498</f>
        <v>0</v>
      </c>
      <c r="N140" s="9">
        <f>'MKT DATA'!R1498</f>
        <v>0</v>
      </c>
      <c r="O140" s="9">
        <f>'MKT DATA'!S1498</f>
        <v>0</v>
      </c>
      <c r="P140" s="9">
        <f>'MKT DATA'!T1498</f>
        <v>0</v>
      </c>
      <c r="Q140" s="44" t="str">
        <f t="shared" si="7"/>
        <v>syn BTCV6/BTCZ6/BTCG7/BTCU6/BTCF7</v>
      </c>
      <c r="R140" s="14">
        <f>'MKT DATA'!AB1498</f>
        <v>0</v>
      </c>
    </row>
    <row r="141" spans="5:18" x14ac:dyDescent="0.25">
      <c r="E141" s="44" t="str">
        <f>'MKT DATA'!B1499</f>
        <v>syn BTCV6/BTCZ6/BTCG7/BTCX6/BTCF7</v>
      </c>
      <c r="F141" s="14">
        <f>'MKT DATA'!J1499</f>
        <v>0</v>
      </c>
      <c r="G141" s="9">
        <f>'MKT DATA'!K1499</f>
        <v>0</v>
      </c>
      <c r="H141" s="9">
        <f>'MKT DATA'!L1499</f>
        <v>0</v>
      </c>
      <c r="I141" s="14">
        <f>'MKT DATA'!M1499</f>
        <v>0</v>
      </c>
      <c r="J141" s="44" t="str">
        <f t="shared" si="6"/>
        <v>syn BTCV6/BTCZ6/BTCG7/BTCX6/BTCF7</v>
      </c>
      <c r="K141" s="9">
        <f>'MKT DATA'!O1499</f>
        <v>0</v>
      </c>
      <c r="L141" s="9">
        <f>'MKT DATA'!P1499</f>
        <v>0</v>
      </c>
      <c r="M141" s="9">
        <f>'MKT DATA'!Q1499</f>
        <v>0</v>
      </c>
      <c r="N141" s="9">
        <f>'MKT DATA'!R1499</f>
        <v>0</v>
      </c>
      <c r="O141" s="9">
        <f>'MKT DATA'!S1499</f>
        <v>0</v>
      </c>
      <c r="P141" s="9">
        <f>'MKT DATA'!T1499</f>
        <v>0</v>
      </c>
      <c r="Q141" s="44" t="str">
        <f t="shared" si="7"/>
        <v>syn BTCV6/BTCZ6/BTCG7/BTCX6/BTCF7</v>
      </c>
      <c r="R141" s="14">
        <f>'MKT DATA'!AB1499</f>
        <v>0</v>
      </c>
    </row>
    <row r="142" spans="5:18" x14ac:dyDescent="0.25">
      <c r="E142" s="44" t="str">
        <f>'MKT DATA'!B1500</f>
        <v>syn BTCV6/BTCG7/BTCU6/BTCX6/BTCF7</v>
      </c>
      <c r="F142" s="14">
        <f>'MKT DATA'!J1500</f>
        <v>0</v>
      </c>
      <c r="G142" s="9">
        <f>'MKT DATA'!K1500</f>
        <v>0</v>
      </c>
      <c r="H142" s="9">
        <f>'MKT DATA'!L1500</f>
        <v>0</v>
      </c>
      <c r="I142" s="14">
        <f>'MKT DATA'!M1500</f>
        <v>0</v>
      </c>
      <c r="J142" s="44" t="str">
        <f t="shared" si="6"/>
        <v>syn BTCV6/BTCG7/BTCU6/BTCX6/BTCF7</v>
      </c>
      <c r="K142" s="9">
        <f>'MKT DATA'!O1500</f>
        <v>0</v>
      </c>
      <c r="L142" s="9">
        <f>'MKT DATA'!P1500</f>
        <v>0</v>
      </c>
      <c r="M142" s="9">
        <f>'MKT DATA'!Q1500</f>
        <v>0</v>
      </c>
      <c r="N142" s="9">
        <f>'MKT DATA'!R1500</f>
        <v>0</v>
      </c>
      <c r="O142" s="9">
        <f>'MKT DATA'!S1500</f>
        <v>0</v>
      </c>
      <c r="P142" s="9">
        <f>'MKT DATA'!T1500</f>
        <v>0</v>
      </c>
      <c r="Q142" s="44" t="str">
        <f t="shared" si="7"/>
        <v>syn BTCV6/BTCG7/BTCU6/BTCX6/BTCF7</v>
      </c>
      <c r="R142" s="14">
        <f>'MKT DATA'!AB1500</f>
        <v>0</v>
      </c>
    </row>
    <row r="143" spans="5:18" x14ac:dyDescent="0.25">
      <c r="E143" s="44" t="str">
        <f>'MKT DATA'!B1501</f>
        <v>syn BTCV6/BTCG7/BTCU6/BTCZ6/BTCF7</v>
      </c>
      <c r="F143" s="14">
        <f>'MKT DATA'!J1501</f>
        <v>0</v>
      </c>
      <c r="G143" s="9">
        <f>'MKT DATA'!K1501</f>
        <v>0</v>
      </c>
      <c r="H143" s="9">
        <f>'MKT DATA'!L1501</f>
        <v>0</v>
      </c>
      <c r="I143" s="14">
        <f>'MKT DATA'!M1501</f>
        <v>0</v>
      </c>
      <c r="J143" s="44" t="str">
        <f t="shared" si="6"/>
        <v>syn BTCV6/BTCG7/BTCU6/BTCZ6/BTCF7</v>
      </c>
      <c r="K143" s="9">
        <f>'MKT DATA'!O1501</f>
        <v>0</v>
      </c>
      <c r="L143" s="9">
        <f>'MKT DATA'!P1501</f>
        <v>0</v>
      </c>
      <c r="M143" s="9">
        <f>'MKT DATA'!Q1501</f>
        <v>0</v>
      </c>
      <c r="N143" s="9">
        <f>'MKT DATA'!R1501</f>
        <v>0</v>
      </c>
      <c r="O143" s="9">
        <f>'MKT DATA'!S1501</f>
        <v>0</v>
      </c>
      <c r="P143" s="9">
        <f>'MKT DATA'!T1501</f>
        <v>0</v>
      </c>
      <c r="Q143" s="44" t="str">
        <f t="shared" si="7"/>
        <v>syn BTCV6/BTCG7/BTCU6/BTCZ6/BTCF7</v>
      </c>
      <c r="R143" s="14">
        <f>'MKT DATA'!AB1501</f>
        <v>0</v>
      </c>
    </row>
    <row r="144" spans="5:18" x14ac:dyDescent="0.25">
      <c r="E144" s="44" t="str">
        <f>'MKT DATA'!B1502</f>
        <v>syn BTCV6/BTCG7/BTCX6/BTCU6/BTCF7</v>
      </c>
      <c r="F144" s="14">
        <f>'MKT DATA'!J1502</f>
        <v>0</v>
      </c>
      <c r="G144" s="9">
        <f>'MKT DATA'!K1502</f>
        <v>0</v>
      </c>
      <c r="H144" s="9">
        <f>'MKT DATA'!L1502</f>
        <v>0</v>
      </c>
      <c r="I144" s="14">
        <f>'MKT DATA'!M1502</f>
        <v>0</v>
      </c>
      <c r="J144" s="44" t="str">
        <f t="shared" si="6"/>
        <v>syn BTCV6/BTCG7/BTCX6/BTCU6/BTCF7</v>
      </c>
      <c r="K144" s="9">
        <f>'MKT DATA'!O1502</f>
        <v>0</v>
      </c>
      <c r="L144" s="9">
        <f>'MKT DATA'!P1502</f>
        <v>0</v>
      </c>
      <c r="M144" s="9">
        <f>'MKT DATA'!Q1502</f>
        <v>0</v>
      </c>
      <c r="N144" s="9">
        <f>'MKT DATA'!R1502</f>
        <v>0</v>
      </c>
      <c r="O144" s="9">
        <f>'MKT DATA'!S1502</f>
        <v>0</v>
      </c>
      <c r="P144" s="9">
        <f>'MKT DATA'!T1502</f>
        <v>0</v>
      </c>
      <c r="Q144" s="44" t="str">
        <f t="shared" si="7"/>
        <v>syn BTCV6/BTCG7/BTCX6/BTCU6/BTCF7</v>
      </c>
      <c r="R144" s="14">
        <f>'MKT DATA'!AB1502</f>
        <v>0</v>
      </c>
    </row>
    <row r="145" spans="5:18" x14ac:dyDescent="0.25">
      <c r="E145" s="44" t="str">
        <f>'MKT DATA'!B1503</f>
        <v>syn BTCV6/BTCG7/BTCX6/BTCZ6/BTCF7</v>
      </c>
      <c r="F145" s="14">
        <f>'MKT DATA'!J1503</f>
        <v>0</v>
      </c>
      <c r="G145" s="9">
        <f>'MKT DATA'!K1503</f>
        <v>0</v>
      </c>
      <c r="H145" s="9">
        <f>'MKT DATA'!L1503</f>
        <v>0</v>
      </c>
      <c r="I145" s="14">
        <f>'MKT DATA'!M1503</f>
        <v>0</v>
      </c>
      <c r="J145" s="44" t="str">
        <f t="shared" si="6"/>
        <v>syn BTCV6/BTCG7/BTCX6/BTCZ6/BTCF7</v>
      </c>
      <c r="K145" s="9">
        <f>'MKT DATA'!O1503</f>
        <v>0</v>
      </c>
      <c r="L145" s="9">
        <f>'MKT DATA'!P1503</f>
        <v>0</v>
      </c>
      <c r="M145" s="9">
        <f>'MKT DATA'!Q1503</f>
        <v>0</v>
      </c>
      <c r="N145" s="9">
        <f>'MKT DATA'!R1503</f>
        <v>0</v>
      </c>
      <c r="O145" s="9">
        <f>'MKT DATA'!S1503</f>
        <v>0</v>
      </c>
      <c r="P145" s="9">
        <f>'MKT DATA'!T1503</f>
        <v>0</v>
      </c>
      <c r="Q145" s="44" t="str">
        <f t="shared" si="7"/>
        <v>syn BTCV6/BTCG7/BTCX6/BTCZ6/BTCF7</v>
      </c>
      <c r="R145" s="14">
        <f>'MKT DATA'!AB1503</f>
        <v>0</v>
      </c>
    </row>
    <row r="146" spans="5:18" x14ac:dyDescent="0.25">
      <c r="E146" s="44" t="str">
        <f>'MKT DATA'!B1504</f>
        <v>syn BTCV6/BTCG7/BTCZ6/BTCU6/BTCF7</v>
      </c>
      <c r="F146" s="14">
        <f>'MKT DATA'!J1504</f>
        <v>0</v>
      </c>
      <c r="G146" s="9">
        <f>'MKT DATA'!K1504</f>
        <v>0</v>
      </c>
      <c r="H146" s="9">
        <f>'MKT DATA'!L1504</f>
        <v>0</v>
      </c>
      <c r="I146" s="14">
        <f>'MKT DATA'!M1504</f>
        <v>0</v>
      </c>
      <c r="J146" s="44" t="str">
        <f t="shared" si="6"/>
        <v>syn BTCV6/BTCG7/BTCZ6/BTCU6/BTCF7</v>
      </c>
      <c r="K146" s="9">
        <f>'MKT DATA'!O1504</f>
        <v>0</v>
      </c>
      <c r="L146" s="9">
        <f>'MKT DATA'!P1504</f>
        <v>0</v>
      </c>
      <c r="M146" s="9">
        <f>'MKT DATA'!Q1504</f>
        <v>0</v>
      </c>
      <c r="N146" s="9">
        <f>'MKT DATA'!R1504</f>
        <v>0</v>
      </c>
      <c r="O146" s="9">
        <f>'MKT DATA'!S1504</f>
        <v>0</v>
      </c>
      <c r="P146" s="9">
        <f>'MKT DATA'!T1504</f>
        <v>0</v>
      </c>
      <c r="Q146" s="44" t="str">
        <f t="shared" si="7"/>
        <v>syn BTCV6/BTCG7/BTCZ6/BTCU6/BTCF7</v>
      </c>
      <c r="R146" s="14">
        <f>'MKT DATA'!AB1504</f>
        <v>0</v>
      </c>
    </row>
    <row r="147" spans="5:18" x14ac:dyDescent="0.25">
      <c r="E147" s="44" t="str">
        <f>'MKT DATA'!B1505</f>
        <v>syn BTCV6/BTCG7/BTCZ6/BTCX6/BTCF7</v>
      </c>
      <c r="F147" s="14">
        <f>'MKT DATA'!J1505</f>
        <v>0</v>
      </c>
      <c r="G147" s="9">
        <f>'MKT DATA'!K1505</f>
        <v>0</v>
      </c>
      <c r="H147" s="9">
        <f>'MKT DATA'!L1505</f>
        <v>0</v>
      </c>
      <c r="I147" s="14">
        <f>'MKT DATA'!M1505</f>
        <v>0</v>
      </c>
      <c r="J147" s="44" t="str">
        <f t="shared" si="6"/>
        <v>syn BTCV6/BTCG7/BTCZ6/BTCX6/BTCF7</v>
      </c>
      <c r="K147" s="9">
        <f>'MKT DATA'!O1505</f>
        <v>0</v>
      </c>
      <c r="L147" s="9">
        <f>'MKT DATA'!P1505</f>
        <v>0</v>
      </c>
      <c r="M147" s="9">
        <f>'MKT DATA'!Q1505</f>
        <v>0</v>
      </c>
      <c r="N147" s="9">
        <f>'MKT DATA'!R1505</f>
        <v>0</v>
      </c>
      <c r="O147" s="9">
        <f>'MKT DATA'!S1505</f>
        <v>0</v>
      </c>
      <c r="P147" s="9">
        <f>'MKT DATA'!T1505</f>
        <v>0</v>
      </c>
      <c r="Q147" s="44" t="str">
        <f t="shared" si="7"/>
        <v>syn BTCV6/BTCG7/BTCZ6/BTCX6/BTCF7</v>
      </c>
      <c r="R147" s="14">
        <f>'MKT DATA'!AB1505</f>
        <v>0</v>
      </c>
    </row>
    <row r="148" spans="5:18" x14ac:dyDescent="0.25">
      <c r="E148" s="44" t="str">
        <f>'MKT DATA'!B1506</f>
        <v>syn BTCX6/BTCU6/BTCV6/BTCZ6/BTCF7</v>
      </c>
      <c r="F148" s="14">
        <f>'MKT DATA'!J1506</f>
        <v>0</v>
      </c>
      <c r="G148" s="9">
        <f>'MKT DATA'!K1506</f>
        <v>0</v>
      </c>
      <c r="H148" s="9">
        <f>'MKT DATA'!L1506</f>
        <v>0</v>
      </c>
      <c r="I148" s="14">
        <f>'MKT DATA'!M1506</f>
        <v>0</v>
      </c>
      <c r="J148" s="44" t="str">
        <f t="shared" si="6"/>
        <v>syn BTCX6/BTCU6/BTCV6/BTCZ6/BTCF7</v>
      </c>
      <c r="K148" s="9">
        <f>'MKT DATA'!O1506</f>
        <v>0</v>
      </c>
      <c r="L148" s="9">
        <f>'MKT DATA'!P1506</f>
        <v>0</v>
      </c>
      <c r="M148" s="9">
        <f>'MKT DATA'!Q1506</f>
        <v>0</v>
      </c>
      <c r="N148" s="9">
        <f>'MKT DATA'!R1506</f>
        <v>0</v>
      </c>
      <c r="O148" s="9">
        <f>'MKT DATA'!S1506</f>
        <v>0</v>
      </c>
      <c r="P148" s="9">
        <f>'MKT DATA'!T1506</f>
        <v>0</v>
      </c>
      <c r="Q148" s="44" t="str">
        <f t="shared" si="7"/>
        <v>syn BTCX6/BTCU6/BTCV6/BTCZ6/BTCF7</v>
      </c>
      <c r="R148" s="14">
        <f>'MKT DATA'!AB1506</f>
        <v>0</v>
      </c>
    </row>
    <row r="149" spans="5:18" x14ac:dyDescent="0.25">
      <c r="E149" s="44" t="str">
        <f>'MKT DATA'!B1507</f>
        <v>syn BTCX6/BTCU6/BTCV6/BTCG7/BTCF7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BTCX6/BTCU6/BTCV6/BTCG7/BTCF7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BTCX6/BTCU6/BTCV6/BTCG7/BTCF7</v>
      </c>
      <c r="R149" s="14">
        <f>'MKT DATA'!AB1507</f>
        <v>0</v>
      </c>
    </row>
    <row r="150" spans="5:18" x14ac:dyDescent="0.25">
      <c r="E150" s="44" t="str">
        <f>'MKT DATA'!B1508</f>
        <v>syn BTCX6/BTCU6/BTCZ6/BTCV6/BTCF7</v>
      </c>
      <c r="F150" s="14">
        <f>'MKT DATA'!J1508</f>
        <v>0</v>
      </c>
      <c r="G150" s="9">
        <f>'MKT DATA'!K1508</f>
        <v>0</v>
      </c>
      <c r="H150" s="9">
        <f>'MKT DATA'!L1508</f>
        <v>0</v>
      </c>
      <c r="I150" s="14">
        <f>'MKT DATA'!M1508</f>
        <v>0</v>
      </c>
      <c r="J150" s="44" t="str">
        <f t="shared" si="6"/>
        <v>syn BTCX6/BTCU6/BTCZ6/BTCV6/BTCF7</v>
      </c>
      <c r="K150" s="9">
        <f>'MKT DATA'!O1508</f>
        <v>0</v>
      </c>
      <c r="L150" s="9">
        <f>'MKT DATA'!P1508</f>
        <v>0</v>
      </c>
      <c r="M150" s="9">
        <f>'MKT DATA'!Q1508</f>
        <v>0</v>
      </c>
      <c r="N150" s="9">
        <f>'MKT DATA'!R1508</f>
        <v>0</v>
      </c>
      <c r="O150" s="9">
        <f>'MKT DATA'!S1508</f>
        <v>0</v>
      </c>
      <c r="P150" s="9">
        <f>'MKT DATA'!T1508</f>
        <v>0</v>
      </c>
      <c r="Q150" s="44" t="str">
        <f t="shared" si="7"/>
        <v>syn BTCX6/BTCU6/BTCZ6/BTCV6/BTCF7</v>
      </c>
      <c r="R150" s="14">
        <f>'MKT DATA'!AB1508</f>
        <v>0</v>
      </c>
    </row>
    <row r="151" spans="5:18" x14ac:dyDescent="0.25">
      <c r="E151" s="44" t="str">
        <f>'MKT DATA'!B1509</f>
        <v>syn BTCX6/BTCU6/BTCZ6/BTCG7/BTCF7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BTCX6/BTCU6/BTCZ6/BTCG7/BTCF7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BTCX6/BTCU6/BTCZ6/BTCG7/BTCF7</v>
      </c>
      <c r="R151" s="14">
        <f>'MKT DATA'!AB1509</f>
        <v>0</v>
      </c>
    </row>
    <row r="152" spans="5:18" x14ac:dyDescent="0.25">
      <c r="E152" s="44" t="str">
        <f>'MKT DATA'!B1510</f>
        <v>syn BTCX6/BTCU6/BTCG7/BTCV6/BTCF7</v>
      </c>
      <c r="F152" s="14">
        <f>'MKT DATA'!J1510</f>
        <v>0</v>
      </c>
      <c r="G152" s="9">
        <f>'MKT DATA'!K1510</f>
        <v>0</v>
      </c>
      <c r="H152" s="9">
        <f>'MKT DATA'!L1510</f>
        <v>0</v>
      </c>
      <c r="I152" s="14">
        <f>'MKT DATA'!M1510</f>
        <v>0</v>
      </c>
      <c r="J152" s="44" t="str">
        <f t="shared" si="6"/>
        <v>syn BTCX6/BTCU6/BTCG7/BTCV6/BTCF7</v>
      </c>
      <c r="K152" s="9">
        <f>'MKT DATA'!O1510</f>
        <v>0</v>
      </c>
      <c r="L152" s="9">
        <f>'MKT DATA'!P1510</f>
        <v>0</v>
      </c>
      <c r="M152" s="9">
        <f>'MKT DATA'!Q1510</f>
        <v>0</v>
      </c>
      <c r="N152" s="9">
        <f>'MKT DATA'!R1510</f>
        <v>0</v>
      </c>
      <c r="O152" s="9">
        <f>'MKT DATA'!S1510</f>
        <v>0</v>
      </c>
      <c r="P152" s="9">
        <f>'MKT DATA'!T1510</f>
        <v>0</v>
      </c>
      <c r="Q152" s="44" t="str">
        <f t="shared" si="7"/>
        <v>syn BTCX6/BTCU6/BTCG7/BTCV6/BTCF7</v>
      </c>
      <c r="R152" s="14">
        <f>'MKT DATA'!AB1510</f>
        <v>0</v>
      </c>
    </row>
    <row r="153" spans="5:18" x14ac:dyDescent="0.25">
      <c r="E153" s="44" t="str">
        <f>'MKT DATA'!B1511</f>
        <v>syn BTCX6/BTCU6/BTCG7/BTCZ6/BTCF7</v>
      </c>
      <c r="F153" s="14">
        <f>'MKT DATA'!J1511</f>
        <v>0</v>
      </c>
      <c r="G153" s="9">
        <f>'MKT DATA'!K1511</f>
        <v>0</v>
      </c>
      <c r="H153" s="9">
        <f>'MKT DATA'!L1511</f>
        <v>0</v>
      </c>
      <c r="I153" s="14">
        <f>'MKT DATA'!M1511</f>
        <v>0</v>
      </c>
      <c r="J153" s="44" t="str">
        <f t="shared" si="6"/>
        <v>syn BTCX6/BTCU6/BTCG7/BTCZ6/BTCF7</v>
      </c>
      <c r="K153" s="9">
        <f>'MKT DATA'!O1511</f>
        <v>0</v>
      </c>
      <c r="L153" s="9">
        <f>'MKT DATA'!P1511</f>
        <v>0</v>
      </c>
      <c r="M153" s="9">
        <f>'MKT DATA'!Q1511</f>
        <v>0</v>
      </c>
      <c r="N153" s="9">
        <f>'MKT DATA'!R1511</f>
        <v>0</v>
      </c>
      <c r="O153" s="9">
        <f>'MKT DATA'!S1511</f>
        <v>0</v>
      </c>
      <c r="P153" s="9">
        <f>'MKT DATA'!T1511</f>
        <v>0</v>
      </c>
      <c r="Q153" s="44" t="str">
        <f t="shared" si="7"/>
        <v>syn BTCX6/BTCU6/BTCG7/BTCZ6/BTCF7</v>
      </c>
      <c r="R153" s="14">
        <f>'MKT DATA'!AB1511</f>
        <v>0</v>
      </c>
    </row>
    <row r="154" spans="5:18" x14ac:dyDescent="0.25">
      <c r="E154" s="44" t="str">
        <f>'MKT DATA'!B1512</f>
        <v>syn BTCX6/BTCV6/BTCU6/BTCZ6/BTCF7</v>
      </c>
      <c r="F154" s="14">
        <f>'MKT DATA'!J1512</f>
        <v>0</v>
      </c>
      <c r="G154" s="9">
        <f>'MKT DATA'!K1512</f>
        <v>0</v>
      </c>
      <c r="H154" s="9">
        <f>'MKT DATA'!L1512</f>
        <v>0</v>
      </c>
      <c r="I154" s="14">
        <f>'MKT DATA'!M1512</f>
        <v>0</v>
      </c>
      <c r="J154" s="44" t="str">
        <f t="shared" si="6"/>
        <v>syn BTCX6/BTCV6/BTCU6/BTCZ6/BTCF7</v>
      </c>
      <c r="K154" s="9">
        <f>'MKT DATA'!O1512</f>
        <v>0</v>
      </c>
      <c r="L154" s="9">
        <f>'MKT DATA'!P1512</f>
        <v>0</v>
      </c>
      <c r="M154" s="9">
        <f>'MKT DATA'!Q1512</f>
        <v>0</v>
      </c>
      <c r="N154" s="9">
        <f>'MKT DATA'!R1512</f>
        <v>0</v>
      </c>
      <c r="O154" s="9">
        <f>'MKT DATA'!S1512</f>
        <v>0</v>
      </c>
      <c r="P154" s="9">
        <f>'MKT DATA'!T1512</f>
        <v>0</v>
      </c>
      <c r="Q154" s="44" t="str">
        <f t="shared" si="7"/>
        <v>syn BTCX6/BTCV6/BTCU6/BTCZ6/BTCF7</v>
      </c>
      <c r="R154" s="14">
        <f>'MKT DATA'!AB1512</f>
        <v>0</v>
      </c>
    </row>
    <row r="155" spans="5:18" x14ac:dyDescent="0.25">
      <c r="E155" s="44" t="str">
        <f>'MKT DATA'!B1513</f>
        <v>syn BTCX6/BTCV6/BTCU6/BTCG7/BTCF7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BTCX6/BTCV6/BTCU6/BTCG7/BTCF7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BTCX6/BTCV6/BTCU6/BTCG7/BTCF7</v>
      </c>
      <c r="R155" s="14">
        <f>'MKT DATA'!AB1513</f>
        <v>0</v>
      </c>
    </row>
    <row r="156" spans="5:18" x14ac:dyDescent="0.25">
      <c r="E156" s="44" t="str">
        <f>'MKT DATA'!B1514</f>
        <v>syn BTCX6/BTCV6/BTCZ6/BTCU6/BTCF7</v>
      </c>
      <c r="F156" s="14">
        <f>'MKT DATA'!J1514</f>
        <v>0</v>
      </c>
      <c r="G156" s="9">
        <f>'MKT DATA'!K1514</f>
        <v>0</v>
      </c>
      <c r="H156" s="9">
        <f>'MKT DATA'!L1514</f>
        <v>0</v>
      </c>
      <c r="I156" s="14">
        <f>'MKT DATA'!M1514</f>
        <v>0</v>
      </c>
      <c r="J156" s="44" t="str">
        <f t="shared" si="6"/>
        <v>syn BTCX6/BTCV6/BTCZ6/BTCU6/BTCF7</v>
      </c>
      <c r="K156" s="9">
        <f>'MKT DATA'!O1514</f>
        <v>0</v>
      </c>
      <c r="L156" s="9">
        <f>'MKT DATA'!P1514</f>
        <v>0</v>
      </c>
      <c r="M156" s="9">
        <f>'MKT DATA'!Q1514</f>
        <v>0</v>
      </c>
      <c r="N156" s="9">
        <f>'MKT DATA'!R1514</f>
        <v>0</v>
      </c>
      <c r="O156" s="9">
        <f>'MKT DATA'!S1514</f>
        <v>0</v>
      </c>
      <c r="P156" s="9">
        <f>'MKT DATA'!T1514</f>
        <v>0</v>
      </c>
      <c r="Q156" s="44" t="str">
        <f t="shared" si="7"/>
        <v>syn BTCX6/BTCV6/BTCZ6/BTCU6/BTCF7</v>
      </c>
      <c r="R156" s="14">
        <f>'MKT DATA'!AB1514</f>
        <v>0</v>
      </c>
    </row>
    <row r="157" spans="5:18" x14ac:dyDescent="0.25">
      <c r="E157" s="44" t="str">
        <f>'MKT DATA'!B1515</f>
        <v>syn BTCX6/BTCV6/BTCZ6/BTCG7/BTCF7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BTCX6/BTCV6/BTCZ6/BTCG7/BTCF7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BTCX6/BTCV6/BTCZ6/BTCG7/BTCF7</v>
      </c>
      <c r="R157" s="14">
        <f>'MKT DATA'!AB1515</f>
        <v>0</v>
      </c>
    </row>
    <row r="158" spans="5:18" x14ac:dyDescent="0.25">
      <c r="E158" s="44" t="str">
        <f>'MKT DATA'!B1516</f>
        <v>syn BTCX6/BTCV6/BTCG7/BTCU6/BTCF7</v>
      </c>
      <c r="F158" s="14">
        <f>'MKT DATA'!J1516</f>
        <v>0</v>
      </c>
      <c r="G158" s="9">
        <f>'MKT DATA'!K1516</f>
        <v>0</v>
      </c>
      <c r="H158" s="9">
        <f>'MKT DATA'!L1516</f>
        <v>0</v>
      </c>
      <c r="I158" s="14">
        <f>'MKT DATA'!M1516</f>
        <v>0</v>
      </c>
      <c r="J158" s="44" t="str">
        <f t="shared" si="6"/>
        <v>syn BTCX6/BTCV6/BTCG7/BTCU6/BTCF7</v>
      </c>
      <c r="K158" s="9">
        <f>'MKT DATA'!O1516</f>
        <v>0</v>
      </c>
      <c r="L158" s="9">
        <f>'MKT DATA'!P1516</f>
        <v>0</v>
      </c>
      <c r="M158" s="9">
        <f>'MKT DATA'!Q1516</f>
        <v>0</v>
      </c>
      <c r="N158" s="9">
        <f>'MKT DATA'!R1516</f>
        <v>0</v>
      </c>
      <c r="O158" s="9">
        <f>'MKT DATA'!S1516</f>
        <v>0</v>
      </c>
      <c r="P158" s="9">
        <f>'MKT DATA'!T1516</f>
        <v>0</v>
      </c>
      <c r="Q158" s="44" t="str">
        <f t="shared" si="7"/>
        <v>syn BTCX6/BTCV6/BTCG7/BTCU6/BTCF7</v>
      </c>
      <c r="R158" s="14">
        <f>'MKT DATA'!AB1516</f>
        <v>0</v>
      </c>
    </row>
    <row r="159" spans="5:18" x14ac:dyDescent="0.25">
      <c r="E159" s="44" t="str">
        <f>'MKT DATA'!B1517</f>
        <v>syn BTCX6/BTCV6/BTCG7/BTCZ6/BTCF7</v>
      </c>
      <c r="F159" s="14">
        <f>'MKT DATA'!J1517</f>
        <v>0</v>
      </c>
      <c r="G159" s="9">
        <f>'MKT DATA'!K1517</f>
        <v>0</v>
      </c>
      <c r="H159" s="9">
        <f>'MKT DATA'!L1517</f>
        <v>0</v>
      </c>
      <c r="I159" s="14">
        <f>'MKT DATA'!M1517</f>
        <v>0</v>
      </c>
      <c r="J159" s="44" t="str">
        <f t="shared" si="6"/>
        <v>syn BTCX6/BTCV6/BTCG7/BTCZ6/BTCF7</v>
      </c>
      <c r="K159" s="9">
        <f>'MKT DATA'!O1517</f>
        <v>0</v>
      </c>
      <c r="L159" s="9">
        <f>'MKT DATA'!P1517</f>
        <v>0</v>
      </c>
      <c r="M159" s="9">
        <f>'MKT DATA'!Q1517</f>
        <v>0</v>
      </c>
      <c r="N159" s="9">
        <f>'MKT DATA'!R1517</f>
        <v>0</v>
      </c>
      <c r="O159" s="9">
        <f>'MKT DATA'!S1517</f>
        <v>0</v>
      </c>
      <c r="P159" s="9">
        <f>'MKT DATA'!T1517</f>
        <v>0</v>
      </c>
      <c r="Q159" s="44" t="str">
        <f t="shared" si="7"/>
        <v>syn BTCX6/BTCV6/BTCG7/BTCZ6/BTCF7</v>
      </c>
      <c r="R159" s="14">
        <f>'MKT DATA'!AB1517</f>
        <v>0</v>
      </c>
    </row>
    <row r="160" spans="5:18" x14ac:dyDescent="0.25">
      <c r="E160" s="44" t="str">
        <f>'MKT DATA'!B1518</f>
        <v>syn BTCX6/BTCZ6/BTCU6/BTCV6/BTCF7</v>
      </c>
      <c r="F160" s="14">
        <f>'MKT DATA'!J1518</f>
        <v>0</v>
      </c>
      <c r="G160" s="9">
        <f>'MKT DATA'!K1518</f>
        <v>0</v>
      </c>
      <c r="H160" s="9">
        <f>'MKT DATA'!L1518</f>
        <v>0</v>
      </c>
      <c r="I160" s="14">
        <f>'MKT DATA'!M1518</f>
        <v>0</v>
      </c>
      <c r="J160" s="44" t="str">
        <f t="shared" si="6"/>
        <v>syn BTCX6/BTCZ6/BTCU6/BTCV6/BTCF7</v>
      </c>
      <c r="K160" s="9">
        <f>'MKT DATA'!O1518</f>
        <v>0</v>
      </c>
      <c r="L160" s="9">
        <f>'MKT DATA'!P1518</f>
        <v>0</v>
      </c>
      <c r="M160" s="9">
        <f>'MKT DATA'!Q1518</f>
        <v>0</v>
      </c>
      <c r="N160" s="9">
        <f>'MKT DATA'!R1518</f>
        <v>0</v>
      </c>
      <c r="O160" s="9">
        <f>'MKT DATA'!S1518</f>
        <v>0</v>
      </c>
      <c r="P160" s="9">
        <f>'MKT DATA'!T1518</f>
        <v>0</v>
      </c>
      <c r="Q160" s="44" t="str">
        <f t="shared" si="7"/>
        <v>syn BTCX6/BTCZ6/BTCU6/BTCV6/BTCF7</v>
      </c>
      <c r="R160" s="14">
        <f>'MKT DATA'!AB1518</f>
        <v>0</v>
      </c>
    </row>
    <row r="161" spans="5:18" x14ac:dyDescent="0.25">
      <c r="E161" s="44" t="str">
        <f>'MKT DATA'!B1519</f>
        <v>syn BTCX6/BTCZ6/BTCU6/BTCG7/BTCF7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BTCX6/BTCZ6/BTCU6/BTCG7/BTCF7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BTCX6/BTCZ6/BTCU6/BTCG7/BTCF7</v>
      </c>
      <c r="R161" s="14">
        <f>'MKT DATA'!AB1519</f>
        <v>0</v>
      </c>
    </row>
    <row r="162" spans="5:18" x14ac:dyDescent="0.25">
      <c r="E162" s="44" t="str">
        <f>'MKT DATA'!B1520</f>
        <v>syn BTCX6/BTCZ6/BTCV6/BTCU6/BTCF7</v>
      </c>
      <c r="F162" s="14">
        <f>'MKT DATA'!J1520</f>
        <v>0</v>
      </c>
      <c r="G162" s="9">
        <f>'MKT DATA'!K1520</f>
        <v>0</v>
      </c>
      <c r="H162" s="9">
        <f>'MKT DATA'!L1520</f>
        <v>0</v>
      </c>
      <c r="I162" s="14">
        <f>'MKT DATA'!M1520</f>
        <v>0</v>
      </c>
      <c r="J162" s="44" t="str">
        <f t="shared" si="6"/>
        <v>syn BTCX6/BTCZ6/BTCV6/BTCU6/BTCF7</v>
      </c>
      <c r="K162" s="9">
        <f>'MKT DATA'!O1520</f>
        <v>0</v>
      </c>
      <c r="L162" s="9">
        <f>'MKT DATA'!P1520</f>
        <v>0</v>
      </c>
      <c r="M162" s="9">
        <f>'MKT DATA'!Q1520</f>
        <v>0</v>
      </c>
      <c r="N162" s="9">
        <f>'MKT DATA'!R1520</f>
        <v>0</v>
      </c>
      <c r="O162" s="9">
        <f>'MKT DATA'!S1520</f>
        <v>0</v>
      </c>
      <c r="P162" s="9">
        <f>'MKT DATA'!T1520</f>
        <v>0</v>
      </c>
      <c r="Q162" s="44" t="str">
        <f t="shared" si="7"/>
        <v>syn BTCX6/BTCZ6/BTCV6/BTCU6/BTCF7</v>
      </c>
      <c r="R162" s="14">
        <f>'MKT DATA'!AB1520</f>
        <v>0</v>
      </c>
    </row>
    <row r="163" spans="5:18" x14ac:dyDescent="0.25">
      <c r="E163" s="44" t="str">
        <f>'MKT DATA'!B1521</f>
        <v>syn BTCX6/BTCZ6/BTCV6/BTCG7/BTCF7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BTCX6/BTCZ6/BTCV6/BTCG7/BTCF7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BTCX6/BTCZ6/BTCV6/BTCG7/BTCF7</v>
      </c>
      <c r="R163" s="14">
        <f>'MKT DATA'!AB1521</f>
        <v>0</v>
      </c>
    </row>
    <row r="164" spans="5:18" x14ac:dyDescent="0.25">
      <c r="E164" s="44" t="str">
        <f>'MKT DATA'!B1522</f>
        <v>syn BTCX6/BTCZ6/BTCG7/BTCU6/BTCF7</v>
      </c>
      <c r="F164" s="14">
        <f>'MKT DATA'!J1522</f>
        <v>0</v>
      </c>
      <c r="G164" s="9">
        <f>'MKT DATA'!K1522</f>
        <v>0</v>
      </c>
      <c r="H164" s="9">
        <f>'MKT DATA'!L1522</f>
        <v>0</v>
      </c>
      <c r="I164" s="14">
        <f>'MKT DATA'!M1522</f>
        <v>0</v>
      </c>
      <c r="J164" s="44" t="str">
        <f t="shared" si="6"/>
        <v>syn BTCX6/BTCZ6/BTCG7/BTCU6/BTCF7</v>
      </c>
      <c r="K164" s="9">
        <f>'MKT DATA'!O1522</f>
        <v>0</v>
      </c>
      <c r="L164" s="9">
        <f>'MKT DATA'!P1522</f>
        <v>0</v>
      </c>
      <c r="M164" s="9">
        <f>'MKT DATA'!Q1522</f>
        <v>0</v>
      </c>
      <c r="N164" s="9">
        <f>'MKT DATA'!R1522</f>
        <v>0</v>
      </c>
      <c r="O164" s="9">
        <f>'MKT DATA'!S1522</f>
        <v>0</v>
      </c>
      <c r="P164" s="9">
        <f>'MKT DATA'!T1522</f>
        <v>0</v>
      </c>
      <c r="Q164" s="44" t="str">
        <f t="shared" si="7"/>
        <v>syn BTCX6/BTCZ6/BTCG7/BTCU6/BTCF7</v>
      </c>
      <c r="R164" s="14">
        <f>'MKT DATA'!AB1522</f>
        <v>0</v>
      </c>
    </row>
    <row r="165" spans="5:18" x14ac:dyDescent="0.25">
      <c r="E165" s="44" t="str">
        <f>'MKT DATA'!B1523</f>
        <v>syn BTCX6/BTCZ6/BTCG7/BTCV6/BTCF7</v>
      </c>
      <c r="F165" s="14">
        <f>'MKT DATA'!J1523</f>
        <v>0</v>
      </c>
      <c r="G165" s="9">
        <f>'MKT DATA'!K1523</f>
        <v>0</v>
      </c>
      <c r="H165" s="9">
        <f>'MKT DATA'!L1523</f>
        <v>0</v>
      </c>
      <c r="I165" s="14">
        <f>'MKT DATA'!M1523</f>
        <v>0</v>
      </c>
      <c r="J165" s="44" t="str">
        <f t="shared" si="6"/>
        <v>syn BTCX6/BTCZ6/BTCG7/BTCV6/BTCF7</v>
      </c>
      <c r="K165" s="9">
        <f>'MKT DATA'!O1523</f>
        <v>0</v>
      </c>
      <c r="L165" s="9">
        <f>'MKT DATA'!P1523</f>
        <v>0</v>
      </c>
      <c r="M165" s="9">
        <f>'MKT DATA'!Q1523</f>
        <v>0</v>
      </c>
      <c r="N165" s="9">
        <f>'MKT DATA'!R1523</f>
        <v>0</v>
      </c>
      <c r="O165" s="9">
        <f>'MKT DATA'!S1523</f>
        <v>0</v>
      </c>
      <c r="P165" s="9">
        <f>'MKT DATA'!T1523</f>
        <v>0</v>
      </c>
      <c r="Q165" s="44" t="str">
        <f t="shared" si="7"/>
        <v>syn BTCX6/BTCZ6/BTCG7/BTCV6/BTCF7</v>
      </c>
      <c r="R165" s="14">
        <f>'MKT DATA'!AB1523</f>
        <v>0</v>
      </c>
    </row>
    <row r="166" spans="5:18" x14ac:dyDescent="0.25">
      <c r="E166" s="44" t="str">
        <f>'MKT DATA'!B1524</f>
        <v>syn BTCX6/BTCG7/BTCU6/BTCV6/BTCF7</v>
      </c>
      <c r="F166" s="14">
        <f>'MKT DATA'!J1524</f>
        <v>0</v>
      </c>
      <c r="G166" s="9">
        <f>'MKT DATA'!K1524</f>
        <v>0</v>
      </c>
      <c r="H166" s="9">
        <f>'MKT DATA'!L1524</f>
        <v>0</v>
      </c>
      <c r="I166" s="14">
        <f>'MKT DATA'!M1524</f>
        <v>0</v>
      </c>
      <c r="J166" s="44" t="str">
        <f t="shared" si="6"/>
        <v>syn BTCX6/BTCG7/BTCU6/BTCV6/BTCF7</v>
      </c>
      <c r="K166" s="9">
        <f>'MKT DATA'!O1524</f>
        <v>0</v>
      </c>
      <c r="L166" s="9">
        <f>'MKT DATA'!P1524</f>
        <v>0</v>
      </c>
      <c r="M166" s="9">
        <f>'MKT DATA'!Q1524</f>
        <v>0</v>
      </c>
      <c r="N166" s="9">
        <f>'MKT DATA'!R1524</f>
        <v>0</v>
      </c>
      <c r="O166" s="9">
        <f>'MKT DATA'!S1524</f>
        <v>0</v>
      </c>
      <c r="P166" s="9">
        <f>'MKT DATA'!T1524</f>
        <v>0</v>
      </c>
      <c r="Q166" s="44" t="str">
        <f t="shared" si="7"/>
        <v>syn BTCX6/BTCG7/BTCU6/BTCV6/BTCF7</v>
      </c>
      <c r="R166" s="14">
        <f>'MKT DATA'!AB1524</f>
        <v>0</v>
      </c>
    </row>
    <row r="167" spans="5:18" x14ac:dyDescent="0.25">
      <c r="E167" s="44" t="str">
        <f>'MKT DATA'!B1525</f>
        <v>syn BTCX6/BTCG7/BTCU6/BTCZ6/BTCF7</v>
      </c>
      <c r="F167" s="14">
        <f>'MKT DATA'!J1525</f>
        <v>0</v>
      </c>
      <c r="G167" s="9">
        <f>'MKT DATA'!K1525</f>
        <v>0</v>
      </c>
      <c r="H167" s="9">
        <f>'MKT DATA'!L1525</f>
        <v>0</v>
      </c>
      <c r="I167" s="14">
        <f>'MKT DATA'!M1525</f>
        <v>0</v>
      </c>
      <c r="J167" s="44" t="str">
        <f t="shared" si="6"/>
        <v>syn BTCX6/BTCG7/BTCU6/BTCZ6/BTCF7</v>
      </c>
      <c r="K167" s="9">
        <f>'MKT DATA'!O1525</f>
        <v>0</v>
      </c>
      <c r="L167" s="9">
        <f>'MKT DATA'!P1525</f>
        <v>0</v>
      </c>
      <c r="M167" s="9">
        <f>'MKT DATA'!Q1525</f>
        <v>0</v>
      </c>
      <c r="N167" s="9">
        <f>'MKT DATA'!R1525</f>
        <v>0</v>
      </c>
      <c r="O167" s="9">
        <f>'MKT DATA'!S1525</f>
        <v>0</v>
      </c>
      <c r="P167" s="9">
        <f>'MKT DATA'!T1525</f>
        <v>0</v>
      </c>
      <c r="Q167" s="44" t="str">
        <f t="shared" si="7"/>
        <v>syn BTCX6/BTCG7/BTCU6/BTCZ6/BTCF7</v>
      </c>
      <c r="R167" s="14">
        <f>'MKT DATA'!AB1525</f>
        <v>0</v>
      </c>
    </row>
    <row r="168" spans="5:18" x14ac:dyDescent="0.25">
      <c r="E168" s="44" t="str">
        <f>'MKT DATA'!B1526</f>
        <v>syn BTCX6/BTCG7/BTCV6/BTCU6/BTCF7</v>
      </c>
      <c r="F168" s="14">
        <f>'MKT DATA'!J1526</f>
        <v>0</v>
      </c>
      <c r="G168" s="9">
        <f>'MKT DATA'!K1526</f>
        <v>0</v>
      </c>
      <c r="H168" s="9">
        <f>'MKT DATA'!L1526</f>
        <v>0</v>
      </c>
      <c r="I168" s="14">
        <f>'MKT DATA'!M1526</f>
        <v>0</v>
      </c>
      <c r="J168" s="44" t="str">
        <f t="shared" si="6"/>
        <v>syn BTCX6/BTCG7/BTCV6/BTCU6/BTCF7</v>
      </c>
      <c r="K168" s="9">
        <f>'MKT DATA'!O1526</f>
        <v>0</v>
      </c>
      <c r="L168" s="9">
        <f>'MKT DATA'!P1526</f>
        <v>0</v>
      </c>
      <c r="M168" s="9">
        <f>'MKT DATA'!Q1526</f>
        <v>0</v>
      </c>
      <c r="N168" s="9">
        <f>'MKT DATA'!R1526</f>
        <v>0</v>
      </c>
      <c r="O168" s="9">
        <f>'MKT DATA'!S1526</f>
        <v>0</v>
      </c>
      <c r="P168" s="9">
        <f>'MKT DATA'!T1526</f>
        <v>0</v>
      </c>
      <c r="Q168" s="44" t="str">
        <f t="shared" si="7"/>
        <v>syn BTCX6/BTCG7/BTCV6/BTCU6/BTCF7</v>
      </c>
      <c r="R168" s="14">
        <f>'MKT DATA'!AB1526</f>
        <v>0</v>
      </c>
    </row>
    <row r="169" spans="5:18" x14ac:dyDescent="0.25">
      <c r="E169" s="44" t="str">
        <f>'MKT DATA'!B1527</f>
        <v>syn BTCX6/BTCG7/BTCV6/BTCZ6/BTCF7</v>
      </c>
      <c r="F169" s="14">
        <f>'MKT DATA'!J1527</f>
        <v>0</v>
      </c>
      <c r="G169" s="9">
        <f>'MKT DATA'!K1527</f>
        <v>0</v>
      </c>
      <c r="H169" s="9">
        <f>'MKT DATA'!L1527</f>
        <v>0</v>
      </c>
      <c r="I169" s="14">
        <f>'MKT DATA'!M1527</f>
        <v>0</v>
      </c>
      <c r="J169" s="44" t="str">
        <f t="shared" si="6"/>
        <v>syn BTCX6/BTCG7/BTCV6/BTCZ6/BTCF7</v>
      </c>
      <c r="K169" s="9">
        <f>'MKT DATA'!O1527</f>
        <v>0</v>
      </c>
      <c r="L169" s="9">
        <f>'MKT DATA'!P1527</f>
        <v>0</v>
      </c>
      <c r="M169" s="9">
        <f>'MKT DATA'!Q1527</f>
        <v>0</v>
      </c>
      <c r="N169" s="9">
        <f>'MKT DATA'!R1527</f>
        <v>0</v>
      </c>
      <c r="O169" s="9">
        <f>'MKT DATA'!S1527</f>
        <v>0</v>
      </c>
      <c r="P169" s="9">
        <f>'MKT DATA'!T1527</f>
        <v>0</v>
      </c>
      <c r="Q169" s="44" t="str">
        <f t="shared" si="7"/>
        <v>syn BTCX6/BTCG7/BTCV6/BTCZ6/BTCF7</v>
      </c>
      <c r="R169" s="14">
        <f>'MKT DATA'!AB1527</f>
        <v>0</v>
      </c>
    </row>
    <row r="170" spans="5:18" x14ac:dyDescent="0.25">
      <c r="E170" s="44" t="str">
        <f>'MKT DATA'!B1528</f>
        <v>syn BTCX6/BTCG7/BTCZ6/BTCU6/BTCF7</v>
      </c>
      <c r="F170" s="14">
        <f>'MKT DATA'!J1528</f>
        <v>0</v>
      </c>
      <c r="G170" s="9">
        <f>'MKT DATA'!K1528</f>
        <v>0</v>
      </c>
      <c r="H170" s="9">
        <f>'MKT DATA'!L1528</f>
        <v>0</v>
      </c>
      <c r="I170" s="14">
        <f>'MKT DATA'!M1528</f>
        <v>0</v>
      </c>
      <c r="J170" s="44" t="str">
        <f t="shared" si="6"/>
        <v>syn BTCX6/BTCG7/BTCZ6/BTCU6/BTCF7</v>
      </c>
      <c r="K170" s="9">
        <f>'MKT DATA'!O1528</f>
        <v>0</v>
      </c>
      <c r="L170" s="9">
        <f>'MKT DATA'!P1528</f>
        <v>0</v>
      </c>
      <c r="M170" s="9">
        <f>'MKT DATA'!Q1528</f>
        <v>0</v>
      </c>
      <c r="N170" s="9">
        <f>'MKT DATA'!R1528</f>
        <v>0</v>
      </c>
      <c r="O170" s="9">
        <f>'MKT DATA'!S1528</f>
        <v>0</v>
      </c>
      <c r="P170" s="9">
        <f>'MKT DATA'!T1528</f>
        <v>0</v>
      </c>
      <c r="Q170" s="44" t="str">
        <f t="shared" si="7"/>
        <v>syn BTCX6/BTCG7/BTCZ6/BTCU6/BTCF7</v>
      </c>
      <c r="R170" s="14">
        <f>'MKT DATA'!AB1528</f>
        <v>0</v>
      </c>
    </row>
    <row r="171" spans="5:18" x14ac:dyDescent="0.25">
      <c r="E171" s="44" t="str">
        <f>'MKT DATA'!B1529</f>
        <v>syn BTCX6/BTCG7/BTCZ6/BTCV6/BTCF7</v>
      </c>
      <c r="F171" s="14">
        <f>'MKT DATA'!J1529</f>
        <v>0</v>
      </c>
      <c r="G171" s="9">
        <f>'MKT DATA'!K1529</f>
        <v>0</v>
      </c>
      <c r="H171" s="9">
        <f>'MKT DATA'!L1529</f>
        <v>0</v>
      </c>
      <c r="I171" s="14">
        <f>'MKT DATA'!M1529</f>
        <v>0</v>
      </c>
      <c r="J171" s="44" t="str">
        <f t="shared" si="6"/>
        <v>syn BTCX6/BTCG7/BTCZ6/BTCV6/BTCF7</v>
      </c>
      <c r="K171" s="9">
        <f>'MKT DATA'!O1529</f>
        <v>0</v>
      </c>
      <c r="L171" s="9">
        <f>'MKT DATA'!P1529</f>
        <v>0</v>
      </c>
      <c r="M171" s="9">
        <f>'MKT DATA'!Q1529</f>
        <v>0</v>
      </c>
      <c r="N171" s="9">
        <f>'MKT DATA'!R1529</f>
        <v>0</v>
      </c>
      <c r="O171" s="9">
        <f>'MKT DATA'!S1529</f>
        <v>0</v>
      </c>
      <c r="P171" s="9">
        <f>'MKT DATA'!T1529</f>
        <v>0</v>
      </c>
      <c r="Q171" s="44" t="str">
        <f t="shared" si="7"/>
        <v>syn BTCX6/BTCG7/BTCZ6/BTCV6/BTCF7</v>
      </c>
      <c r="R171" s="14">
        <f>'MKT DATA'!AB1529</f>
        <v>0</v>
      </c>
    </row>
    <row r="172" spans="5:18" x14ac:dyDescent="0.25">
      <c r="E172" s="44" t="str">
        <f>'MKT DATA'!B1530</f>
        <v>syn BTCZ6/BTCU6/BTCV6/BTCX6/BTCF7</v>
      </c>
      <c r="F172" s="14">
        <f>'MKT DATA'!J1530</f>
        <v>0</v>
      </c>
      <c r="G172" s="9">
        <f>'MKT DATA'!K1530</f>
        <v>0</v>
      </c>
      <c r="H172" s="9">
        <f>'MKT DATA'!L1530</f>
        <v>0</v>
      </c>
      <c r="I172" s="14">
        <f>'MKT DATA'!M1530</f>
        <v>0</v>
      </c>
      <c r="J172" s="44" t="str">
        <f t="shared" si="6"/>
        <v>syn BTCZ6/BTCU6/BTCV6/BTCX6/BTCF7</v>
      </c>
      <c r="K172" s="9">
        <f>'MKT DATA'!O1530</f>
        <v>0</v>
      </c>
      <c r="L172" s="9">
        <f>'MKT DATA'!P1530</f>
        <v>0</v>
      </c>
      <c r="M172" s="9">
        <f>'MKT DATA'!Q1530</f>
        <v>0</v>
      </c>
      <c r="N172" s="9">
        <f>'MKT DATA'!R1530</f>
        <v>0</v>
      </c>
      <c r="O172" s="9">
        <f>'MKT DATA'!S1530</f>
        <v>0</v>
      </c>
      <c r="P172" s="9">
        <f>'MKT DATA'!T1530</f>
        <v>0</v>
      </c>
      <c r="Q172" s="44" t="str">
        <f t="shared" si="7"/>
        <v>syn BTCZ6/BTCU6/BTCV6/BTCX6/BTCF7</v>
      </c>
      <c r="R172" s="14">
        <f>'MKT DATA'!AB1530</f>
        <v>0</v>
      </c>
    </row>
    <row r="173" spans="5:18" x14ac:dyDescent="0.25">
      <c r="E173" s="44" t="str">
        <f>'MKT DATA'!B1531</f>
        <v>syn BTCZ6/BTCU6/BTCV6/BTCG7/BTCF7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BTCZ6/BTCU6/BTCV6/BTCG7/BTCF7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BTCZ6/BTCU6/BTCV6/BTCG7/BTCF7</v>
      </c>
      <c r="R173" s="14">
        <f>'MKT DATA'!AB1531</f>
        <v>0</v>
      </c>
    </row>
    <row r="174" spans="5:18" x14ac:dyDescent="0.25">
      <c r="E174" s="44" t="str">
        <f>'MKT DATA'!B1532</f>
        <v>syn BTCZ6/BTCU6/BTCX6/BTCV6/BTCF7</v>
      </c>
      <c r="F174" s="14">
        <f>'MKT DATA'!J1532</f>
        <v>0</v>
      </c>
      <c r="G174" s="9">
        <f>'MKT DATA'!K1532</f>
        <v>0</v>
      </c>
      <c r="H174" s="9">
        <f>'MKT DATA'!L1532</f>
        <v>0</v>
      </c>
      <c r="I174" s="14">
        <f>'MKT DATA'!M1532</f>
        <v>0</v>
      </c>
      <c r="J174" s="44" t="str">
        <f t="shared" si="6"/>
        <v>syn BTCZ6/BTCU6/BTCX6/BTCV6/BTCF7</v>
      </c>
      <c r="K174" s="9">
        <f>'MKT DATA'!O1532</f>
        <v>0</v>
      </c>
      <c r="L174" s="9">
        <f>'MKT DATA'!P1532</f>
        <v>0</v>
      </c>
      <c r="M174" s="9">
        <f>'MKT DATA'!Q1532</f>
        <v>0</v>
      </c>
      <c r="N174" s="9">
        <f>'MKT DATA'!R1532</f>
        <v>0</v>
      </c>
      <c r="O174" s="9">
        <f>'MKT DATA'!S1532</f>
        <v>0</v>
      </c>
      <c r="P174" s="9">
        <f>'MKT DATA'!T1532</f>
        <v>0</v>
      </c>
      <c r="Q174" s="44" t="str">
        <f t="shared" si="7"/>
        <v>syn BTCZ6/BTCU6/BTCX6/BTCV6/BTCF7</v>
      </c>
      <c r="R174" s="14">
        <f>'MKT DATA'!AB1532</f>
        <v>0</v>
      </c>
    </row>
    <row r="175" spans="5:18" x14ac:dyDescent="0.25">
      <c r="E175" s="44" t="str">
        <f>'MKT DATA'!B1533</f>
        <v>syn BTCZ6/BTCU6/BTCX6/BTCG7/BTCF7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BTCZ6/BTCU6/BTCX6/BTCG7/BTCF7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BTCZ6/BTCU6/BTCX6/BTCG7/BTCF7</v>
      </c>
      <c r="R175" s="14">
        <f>'MKT DATA'!AB1533</f>
        <v>0</v>
      </c>
    </row>
    <row r="176" spans="5:18" x14ac:dyDescent="0.25">
      <c r="E176" s="44" t="str">
        <f>'MKT DATA'!B1534</f>
        <v>syn BTCZ6/BTCU6/BTCG7/BTCV6/BTCF7</v>
      </c>
      <c r="F176" s="14">
        <f>'MKT DATA'!J1534</f>
        <v>0</v>
      </c>
      <c r="G176" s="9">
        <f>'MKT DATA'!K1534</f>
        <v>0</v>
      </c>
      <c r="H176" s="9">
        <f>'MKT DATA'!L1534</f>
        <v>0</v>
      </c>
      <c r="I176" s="14">
        <f>'MKT DATA'!M1534</f>
        <v>0</v>
      </c>
      <c r="J176" s="44" t="str">
        <f t="shared" si="6"/>
        <v>syn BTCZ6/BTCU6/BTCG7/BTCV6/BTCF7</v>
      </c>
      <c r="K176" s="9">
        <f>'MKT DATA'!O1534</f>
        <v>0</v>
      </c>
      <c r="L176" s="9">
        <f>'MKT DATA'!P1534</f>
        <v>0</v>
      </c>
      <c r="M176" s="9">
        <f>'MKT DATA'!Q1534</f>
        <v>0</v>
      </c>
      <c r="N176" s="9">
        <f>'MKT DATA'!R1534</f>
        <v>0</v>
      </c>
      <c r="O176" s="9">
        <f>'MKT DATA'!S1534</f>
        <v>0</v>
      </c>
      <c r="P176" s="9">
        <f>'MKT DATA'!T1534</f>
        <v>0</v>
      </c>
      <c r="Q176" s="44" t="str">
        <f t="shared" si="7"/>
        <v>syn BTCZ6/BTCU6/BTCG7/BTCV6/BTCF7</v>
      </c>
      <c r="R176" s="14">
        <f>'MKT DATA'!AB1534</f>
        <v>0</v>
      </c>
    </row>
    <row r="177" spans="5:18" x14ac:dyDescent="0.25">
      <c r="E177" s="44" t="str">
        <f>'MKT DATA'!B1535</f>
        <v>syn BTCZ6/BTCU6/BTCG7/BTCX6/BTCF7</v>
      </c>
      <c r="F177" s="14">
        <f>'MKT DATA'!J1535</f>
        <v>0</v>
      </c>
      <c r="G177" s="9">
        <f>'MKT DATA'!K1535</f>
        <v>0</v>
      </c>
      <c r="H177" s="9">
        <f>'MKT DATA'!L1535</f>
        <v>0</v>
      </c>
      <c r="I177" s="14">
        <f>'MKT DATA'!M1535</f>
        <v>0</v>
      </c>
      <c r="J177" s="44" t="str">
        <f t="shared" si="6"/>
        <v>syn BTCZ6/BTCU6/BTCG7/BTCX6/BTCF7</v>
      </c>
      <c r="K177" s="9">
        <f>'MKT DATA'!O1535</f>
        <v>0</v>
      </c>
      <c r="L177" s="9">
        <f>'MKT DATA'!P1535</f>
        <v>0</v>
      </c>
      <c r="M177" s="9">
        <f>'MKT DATA'!Q1535</f>
        <v>0</v>
      </c>
      <c r="N177" s="9">
        <f>'MKT DATA'!R1535</f>
        <v>0</v>
      </c>
      <c r="O177" s="9">
        <f>'MKT DATA'!S1535</f>
        <v>0</v>
      </c>
      <c r="P177" s="9">
        <f>'MKT DATA'!T1535</f>
        <v>0</v>
      </c>
      <c r="Q177" s="44" t="str">
        <f t="shared" si="7"/>
        <v>syn BTCZ6/BTCU6/BTCG7/BTCX6/BTCF7</v>
      </c>
      <c r="R177" s="14">
        <f>'MKT DATA'!AB1535</f>
        <v>0</v>
      </c>
    </row>
    <row r="178" spans="5:18" x14ac:dyDescent="0.25">
      <c r="E178" s="44" t="str">
        <f>'MKT DATA'!B1536</f>
        <v>syn BTCZ6/BTCV6/BTCU6/BTCX6/BTCF7</v>
      </c>
      <c r="F178" s="14">
        <f>'MKT DATA'!J1536</f>
        <v>0</v>
      </c>
      <c r="G178" s="9">
        <f>'MKT DATA'!K1536</f>
        <v>0</v>
      </c>
      <c r="H178" s="9">
        <f>'MKT DATA'!L1536</f>
        <v>0</v>
      </c>
      <c r="I178" s="14">
        <f>'MKT DATA'!M1536</f>
        <v>0</v>
      </c>
      <c r="J178" s="44" t="str">
        <f t="shared" si="6"/>
        <v>syn BTCZ6/BTCV6/BTCU6/BTCX6/BTCF7</v>
      </c>
      <c r="K178" s="9">
        <f>'MKT DATA'!O1536</f>
        <v>0</v>
      </c>
      <c r="L178" s="9">
        <f>'MKT DATA'!P1536</f>
        <v>0</v>
      </c>
      <c r="M178" s="9">
        <f>'MKT DATA'!Q1536</f>
        <v>0</v>
      </c>
      <c r="N178" s="9">
        <f>'MKT DATA'!R1536</f>
        <v>0</v>
      </c>
      <c r="O178" s="9">
        <f>'MKT DATA'!S1536</f>
        <v>0</v>
      </c>
      <c r="P178" s="9">
        <f>'MKT DATA'!T1536</f>
        <v>0</v>
      </c>
      <c r="Q178" s="44" t="str">
        <f t="shared" si="7"/>
        <v>syn BTCZ6/BTCV6/BTCU6/BTCX6/BTCF7</v>
      </c>
      <c r="R178" s="14">
        <f>'MKT DATA'!AB1536</f>
        <v>0</v>
      </c>
    </row>
    <row r="179" spans="5:18" x14ac:dyDescent="0.25">
      <c r="E179" s="44" t="str">
        <f>'MKT DATA'!B1537</f>
        <v>syn BTCZ6/BTCV6/BTCU6/BTCG7/BTCF7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BTCZ6/BTCV6/BTCU6/BTCG7/BTCF7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BTCZ6/BTCV6/BTCU6/BTCG7/BTCF7</v>
      </c>
      <c r="R179" s="14">
        <f>'MKT DATA'!AB1537</f>
        <v>0</v>
      </c>
    </row>
    <row r="180" spans="5:18" x14ac:dyDescent="0.25">
      <c r="E180" s="44" t="str">
        <f>'MKT DATA'!B1538</f>
        <v>syn BTCZ6/BTCV6/BTCX6/BTCU6/BTCF7</v>
      </c>
      <c r="F180" s="14">
        <f>'MKT DATA'!J1538</f>
        <v>0</v>
      </c>
      <c r="G180" s="9">
        <f>'MKT DATA'!K1538</f>
        <v>0</v>
      </c>
      <c r="H180" s="9">
        <f>'MKT DATA'!L1538</f>
        <v>0</v>
      </c>
      <c r="I180" s="14">
        <f>'MKT DATA'!M1538</f>
        <v>0</v>
      </c>
      <c r="J180" s="44" t="str">
        <f t="shared" si="6"/>
        <v>syn BTCZ6/BTCV6/BTCX6/BTCU6/BTCF7</v>
      </c>
      <c r="K180" s="9">
        <f>'MKT DATA'!O1538</f>
        <v>0</v>
      </c>
      <c r="L180" s="9">
        <f>'MKT DATA'!P1538</f>
        <v>0</v>
      </c>
      <c r="M180" s="9">
        <f>'MKT DATA'!Q1538</f>
        <v>0</v>
      </c>
      <c r="N180" s="9">
        <f>'MKT DATA'!R1538</f>
        <v>0</v>
      </c>
      <c r="O180" s="9">
        <f>'MKT DATA'!S1538</f>
        <v>0</v>
      </c>
      <c r="P180" s="9">
        <f>'MKT DATA'!T1538</f>
        <v>0</v>
      </c>
      <c r="Q180" s="44" t="str">
        <f t="shared" si="7"/>
        <v>syn BTCZ6/BTCV6/BTCX6/BTCU6/BTCF7</v>
      </c>
      <c r="R180" s="14">
        <f>'MKT DATA'!AB1538</f>
        <v>0</v>
      </c>
    </row>
    <row r="181" spans="5:18" x14ac:dyDescent="0.25">
      <c r="E181" s="44" t="str">
        <f>'MKT DATA'!B1539</f>
        <v>syn BTCZ6/BTCV6/BTCX6/BTCG7/BTCF7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BTCZ6/BTCV6/BTCX6/BTCG7/BTCF7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BTCZ6/BTCV6/BTCX6/BTCG7/BTCF7</v>
      </c>
      <c r="R181" s="14">
        <f>'MKT DATA'!AB1539</f>
        <v>0</v>
      </c>
    </row>
    <row r="182" spans="5:18" x14ac:dyDescent="0.25">
      <c r="E182" s="44" t="str">
        <f>'MKT DATA'!B1540</f>
        <v>syn BTCZ6/BTCV6/BTCG7/BTCU6/BTCF7</v>
      </c>
      <c r="F182" s="14">
        <f>'MKT DATA'!J1540</f>
        <v>0</v>
      </c>
      <c r="G182" s="9">
        <f>'MKT DATA'!K1540</f>
        <v>0</v>
      </c>
      <c r="H182" s="9">
        <f>'MKT DATA'!L1540</f>
        <v>0</v>
      </c>
      <c r="I182" s="14">
        <f>'MKT DATA'!M1540</f>
        <v>0</v>
      </c>
      <c r="J182" s="44" t="str">
        <f t="shared" si="6"/>
        <v>syn BTCZ6/BTCV6/BTCG7/BTCU6/BTCF7</v>
      </c>
      <c r="K182" s="9">
        <f>'MKT DATA'!O1540</f>
        <v>0</v>
      </c>
      <c r="L182" s="9">
        <f>'MKT DATA'!P1540</f>
        <v>0</v>
      </c>
      <c r="M182" s="9">
        <f>'MKT DATA'!Q1540</f>
        <v>0</v>
      </c>
      <c r="N182" s="9">
        <f>'MKT DATA'!R1540</f>
        <v>0</v>
      </c>
      <c r="O182" s="9">
        <f>'MKT DATA'!S1540</f>
        <v>0</v>
      </c>
      <c r="P182" s="9">
        <f>'MKT DATA'!T1540</f>
        <v>0</v>
      </c>
      <c r="Q182" s="44" t="str">
        <f t="shared" si="7"/>
        <v>syn BTCZ6/BTCV6/BTCG7/BTCU6/BTCF7</v>
      </c>
      <c r="R182" s="14">
        <f>'MKT DATA'!AB1540</f>
        <v>0</v>
      </c>
    </row>
    <row r="183" spans="5:18" x14ac:dyDescent="0.25">
      <c r="E183" s="44" t="str">
        <f>'MKT DATA'!B1541</f>
        <v>syn BTCZ6/BTCV6/BTCG7/BTCX6/BTCF7</v>
      </c>
      <c r="F183" s="14">
        <f>'MKT DATA'!J1541</f>
        <v>0</v>
      </c>
      <c r="G183" s="9">
        <f>'MKT DATA'!K1541</f>
        <v>0</v>
      </c>
      <c r="H183" s="9">
        <f>'MKT DATA'!L1541</f>
        <v>0</v>
      </c>
      <c r="I183" s="14">
        <f>'MKT DATA'!M1541</f>
        <v>0</v>
      </c>
      <c r="J183" s="44" t="str">
        <f t="shared" si="6"/>
        <v>syn BTCZ6/BTCV6/BTCG7/BTCX6/BTCF7</v>
      </c>
      <c r="K183" s="9">
        <f>'MKT DATA'!O1541</f>
        <v>0</v>
      </c>
      <c r="L183" s="9">
        <f>'MKT DATA'!P1541</f>
        <v>0</v>
      </c>
      <c r="M183" s="9">
        <f>'MKT DATA'!Q1541</f>
        <v>0</v>
      </c>
      <c r="N183" s="9">
        <f>'MKT DATA'!R1541</f>
        <v>0</v>
      </c>
      <c r="O183" s="9">
        <f>'MKT DATA'!S1541</f>
        <v>0</v>
      </c>
      <c r="P183" s="9">
        <f>'MKT DATA'!T1541</f>
        <v>0</v>
      </c>
      <c r="Q183" s="44" t="str">
        <f t="shared" si="7"/>
        <v>syn BTCZ6/BTCV6/BTCG7/BTCX6/BTCF7</v>
      </c>
      <c r="R183" s="14">
        <f>'MKT DATA'!AB1541</f>
        <v>0</v>
      </c>
    </row>
    <row r="184" spans="5:18" x14ac:dyDescent="0.25">
      <c r="E184" s="44" t="str">
        <f>'MKT DATA'!B1542</f>
        <v>syn BTCZ6/BTCX6/BTCU6/BTCV6/BTCF7</v>
      </c>
      <c r="F184" s="14">
        <f>'MKT DATA'!J1542</f>
        <v>0</v>
      </c>
      <c r="G184" s="9">
        <f>'MKT DATA'!K1542</f>
        <v>0</v>
      </c>
      <c r="H184" s="9">
        <f>'MKT DATA'!L1542</f>
        <v>0</v>
      </c>
      <c r="I184" s="14">
        <f>'MKT DATA'!M1542</f>
        <v>0</v>
      </c>
      <c r="J184" s="44" t="str">
        <f t="shared" si="6"/>
        <v>syn BTCZ6/BTCX6/BTCU6/BTCV6/BTCF7</v>
      </c>
      <c r="K184" s="9">
        <f>'MKT DATA'!O1542</f>
        <v>0</v>
      </c>
      <c r="L184" s="9">
        <f>'MKT DATA'!P1542</f>
        <v>0</v>
      </c>
      <c r="M184" s="9">
        <f>'MKT DATA'!Q1542</f>
        <v>0</v>
      </c>
      <c r="N184" s="9">
        <f>'MKT DATA'!R1542</f>
        <v>0</v>
      </c>
      <c r="O184" s="9">
        <f>'MKT DATA'!S1542</f>
        <v>0</v>
      </c>
      <c r="P184" s="9">
        <f>'MKT DATA'!T1542</f>
        <v>0</v>
      </c>
      <c r="Q184" s="44" t="str">
        <f t="shared" si="7"/>
        <v>syn BTCZ6/BTCX6/BTCU6/BTCV6/BTCF7</v>
      </c>
      <c r="R184" s="14">
        <f>'MKT DATA'!AB1542</f>
        <v>0</v>
      </c>
    </row>
    <row r="185" spans="5:18" x14ac:dyDescent="0.25">
      <c r="E185" s="44" t="str">
        <f>'MKT DATA'!B1543</f>
        <v>syn BTCZ6/BTCX6/BTCU6/BTCG7/BTCF7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BTCZ6/BTCX6/BTCU6/BTCG7/BTCF7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BTCZ6/BTCX6/BTCU6/BTCG7/BTCF7</v>
      </c>
      <c r="R185" s="14">
        <f>'MKT DATA'!AB1543</f>
        <v>0</v>
      </c>
    </row>
    <row r="186" spans="5:18" x14ac:dyDescent="0.25">
      <c r="E186" s="44" t="str">
        <f>'MKT DATA'!B1544</f>
        <v>syn BTCZ6/BTCX6/BTCV6/BTCU6/BTCF7</v>
      </c>
      <c r="F186" s="14">
        <f>'MKT DATA'!J1544</f>
        <v>0</v>
      </c>
      <c r="G186" s="9">
        <f>'MKT DATA'!K1544</f>
        <v>0</v>
      </c>
      <c r="H186" s="9">
        <f>'MKT DATA'!L1544</f>
        <v>0</v>
      </c>
      <c r="I186" s="14">
        <f>'MKT DATA'!M1544</f>
        <v>0</v>
      </c>
      <c r="J186" s="44" t="str">
        <f t="shared" si="6"/>
        <v>syn BTCZ6/BTCX6/BTCV6/BTCU6/BTCF7</v>
      </c>
      <c r="K186" s="9">
        <f>'MKT DATA'!O1544</f>
        <v>0</v>
      </c>
      <c r="L186" s="9">
        <f>'MKT DATA'!P1544</f>
        <v>0</v>
      </c>
      <c r="M186" s="9">
        <f>'MKT DATA'!Q1544</f>
        <v>0</v>
      </c>
      <c r="N186" s="9">
        <f>'MKT DATA'!R1544</f>
        <v>0</v>
      </c>
      <c r="O186" s="9">
        <f>'MKT DATA'!S1544</f>
        <v>0</v>
      </c>
      <c r="P186" s="9">
        <f>'MKT DATA'!T1544</f>
        <v>0</v>
      </c>
      <c r="Q186" s="44" t="str">
        <f t="shared" si="7"/>
        <v>syn BTCZ6/BTCX6/BTCV6/BTCU6/BTCF7</v>
      </c>
      <c r="R186" s="14">
        <f>'MKT DATA'!AB1544</f>
        <v>0</v>
      </c>
    </row>
    <row r="187" spans="5:18" x14ac:dyDescent="0.25">
      <c r="E187" s="44" t="str">
        <f>'MKT DATA'!B1545</f>
        <v>syn BTCZ6/BTCX6/BTCV6/BTCG7/BTCF7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BTCZ6/BTCX6/BTCV6/BTCG7/BTCF7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BTCZ6/BTCX6/BTCV6/BTCG7/BTCF7</v>
      </c>
      <c r="R187" s="14">
        <f>'MKT DATA'!AB1545</f>
        <v>0</v>
      </c>
    </row>
    <row r="188" spans="5:18" x14ac:dyDescent="0.25">
      <c r="E188" s="44" t="str">
        <f>'MKT DATA'!B1546</f>
        <v>syn BTCZ6/BTCX6/BTCG7/BTCU6/BTCF7</v>
      </c>
      <c r="F188" s="14">
        <f>'MKT DATA'!J1546</f>
        <v>0</v>
      </c>
      <c r="G188" s="9">
        <f>'MKT DATA'!K1546</f>
        <v>0</v>
      </c>
      <c r="H188" s="9">
        <f>'MKT DATA'!L1546</f>
        <v>0</v>
      </c>
      <c r="I188" s="14">
        <f>'MKT DATA'!M1546</f>
        <v>0</v>
      </c>
      <c r="J188" s="44" t="str">
        <f t="shared" si="6"/>
        <v>syn BTCZ6/BTCX6/BTCG7/BTCU6/BTCF7</v>
      </c>
      <c r="K188" s="9">
        <f>'MKT DATA'!O1546</f>
        <v>0</v>
      </c>
      <c r="L188" s="9">
        <f>'MKT DATA'!P1546</f>
        <v>0</v>
      </c>
      <c r="M188" s="9">
        <f>'MKT DATA'!Q1546</f>
        <v>0</v>
      </c>
      <c r="N188" s="9">
        <f>'MKT DATA'!R1546</f>
        <v>0</v>
      </c>
      <c r="O188" s="9">
        <f>'MKT DATA'!S1546</f>
        <v>0</v>
      </c>
      <c r="P188" s="9">
        <f>'MKT DATA'!T1546</f>
        <v>0</v>
      </c>
      <c r="Q188" s="44" t="str">
        <f t="shared" si="7"/>
        <v>syn BTCZ6/BTCX6/BTCG7/BTCU6/BTCF7</v>
      </c>
      <c r="R188" s="14">
        <f>'MKT DATA'!AB1546</f>
        <v>0</v>
      </c>
    </row>
    <row r="189" spans="5:18" x14ac:dyDescent="0.25">
      <c r="E189" s="44" t="str">
        <f>'MKT DATA'!B1547</f>
        <v>syn BTCZ6/BTCX6/BTCG7/BTCV6/BTCF7</v>
      </c>
      <c r="F189" s="14">
        <f>'MKT DATA'!J1547</f>
        <v>0</v>
      </c>
      <c r="G189" s="9">
        <f>'MKT DATA'!K1547</f>
        <v>0</v>
      </c>
      <c r="H189" s="9">
        <f>'MKT DATA'!L1547</f>
        <v>0</v>
      </c>
      <c r="I189" s="14">
        <f>'MKT DATA'!M1547</f>
        <v>0</v>
      </c>
      <c r="J189" s="44" t="str">
        <f t="shared" si="6"/>
        <v>syn BTCZ6/BTCX6/BTCG7/BTCV6/BTCF7</v>
      </c>
      <c r="K189" s="9">
        <f>'MKT DATA'!O1547</f>
        <v>0</v>
      </c>
      <c r="L189" s="9">
        <f>'MKT DATA'!P1547</f>
        <v>0</v>
      </c>
      <c r="M189" s="9">
        <f>'MKT DATA'!Q1547</f>
        <v>0</v>
      </c>
      <c r="N189" s="9">
        <f>'MKT DATA'!R1547</f>
        <v>0</v>
      </c>
      <c r="O189" s="9">
        <f>'MKT DATA'!S1547</f>
        <v>0</v>
      </c>
      <c r="P189" s="9">
        <f>'MKT DATA'!T1547</f>
        <v>0</v>
      </c>
      <c r="Q189" s="44" t="str">
        <f t="shared" si="7"/>
        <v>syn BTCZ6/BTCX6/BTCG7/BTCV6/BTCF7</v>
      </c>
      <c r="R189" s="14">
        <f>'MKT DATA'!AB1547</f>
        <v>0</v>
      </c>
    </row>
    <row r="190" spans="5:18" x14ac:dyDescent="0.25">
      <c r="E190" s="44" t="str">
        <f>'MKT DATA'!B1548</f>
        <v>syn BTCZ6/BTCG7/BTCU6/BTCV6/BTCF7</v>
      </c>
      <c r="F190" s="14">
        <f>'MKT DATA'!J1548</f>
        <v>0</v>
      </c>
      <c r="G190" s="9">
        <f>'MKT DATA'!K1548</f>
        <v>0</v>
      </c>
      <c r="H190" s="9">
        <f>'MKT DATA'!L1548</f>
        <v>0</v>
      </c>
      <c r="I190" s="14">
        <f>'MKT DATA'!M1548</f>
        <v>0</v>
      </c>
      <c r="J190" s="44" t="str">
        <f t="shared" si="6"/>
        <v>syn BTCZ6/BTCG7/BTCU6/BTCV6/BTCF7</v>
      </c>
      <c r="K190" s="9">
        <f>'MKT DATA'!O1548</f>
        <v>0</v>
      </c>
      <c r="L190" s="9">
        <f>'MKT DATA'!P1548</f>
        <v>0</v>
      </c>
      <c r="M190" s="9">
        <f>'MKT DATA'!Q1548</f>
        <v>0</v>
      </c>
      <c r="N190" s="9">
        <f>'MKT DATA'!R1548</f>
        <v>0</v>
      </c>
      <c r="O190" s="9">
        <f>'MKT DATA'!S1548</f>
        <v>0</v>
      </c>
      <c r="P190" s="9">
        <f>'MKT DATA'!T1548</f>
        <v>0</v>
      </c>
      <c r="Q190" s="44" t="str">
        <f t="shared" si="7"/>
        <v>syn BTCZ6/BTCG7/BTCU6/BTCV6/BTCF7</v>
      </c>
      <c r="R190" s="14">
        <f>'MKT DATA'!AB1548</f>
        <v>0</v>
      </c>
    </row>
    <row r="191" spans="5:18" x14ac:dyDescent="0.25">
      <c r="E191" s="44" t="str">
        <f>'MKT DATA'!B1549</f>
        <v>syn BTCZ6/BTCG7/BTCU6/BTCX6/BTCF7</v>
      </c>
      <c r="F191" s="14">
        <f>'MKT DATA'!J1549</f>
        <v>0</v>
      </c>
      <c r="G191" s="9">
        <f>'MKT DATA'!K1549</f>
        <v>0</v>
      </c>
      <c r="H191" s="9">
        <f>'MKT DATA'!L1549</f>
        <v>0</v>
      </c>
      <c r="I191" s="14">
        <f>'MKT DATA'!M1549</f>
        <v>0</v>
      </c>
      <c r="J191" s="44" t="str">
        <f t="shared" si="6"/>
        <v>syn BTCZ6/BTCG7/BTCU6/BTCX6/BTCF7</v>
      </c>
      <c r="K191" s="9">
        <f>'MKT DATA'!O1549</f>
        <v>0</v>
      </c>
      <c r="L191" s="9">
        <f>'MKT DATA'!P1549</f>
        <v>0</v>
      </c>
      <c r="M191" s="9">
        <f>'MKT DATA'!Q1549</f>
        <v>0</v>
      </c>
      <c r="N191" s="9">
        <f>'MKT DATA'!R1549</f>
        <v>0</v>
      </c>
      <c r="O191" s="9">
        <f>'MKT DATA'!S1549</f>
        <v>0</v>
      </c>
      <c r="P191" s="9">
        <f>'MKT DATA'!T1549</f>
        <v>0</v>
      </c>
      <c r="Q191" s="44" t="str">
        <f t="shared" si="7"/>
        <v>syn BTCZ6/BTCG7/BTCU6/BTCX6/BTCF7</v>
      </c>
      <c r="R191" s="14">
        <f>'MKT DATA'!AB1549</f>
        <v>0</v>
      </c>
    </row>
    <row r="192" spans="5:18" x14ac:dyDescent="0.25">
      <c r="E192" s="44" t="str">
        <f>'MKT DATA'!B1550</f>
        <v>syn BTCZ6/BTCG7/BTCV6/BTCU6/BTCF7</v>
      </c>
      <c r="F192" s="14">
        <f>'MKT DATA'!J1550</f>
        <v>0</v>
      </c>
      <c r="G192" s="9">
        <f>'MKT DATA'!K1550</f>
        <v>0</v>
      </c>
      <c r="H192" s="9">
        <f>'MKT DATA'!L1550</f>
        <v>0</v>
      </c>
      <c r="I192" s="14">
        <f>'MKT DATA'!M1550</f>
        <v>0</v>
      </c>
      <c r="J192" s="44" t="str">
        <f t="shared" si="6"/>
        <v>syn BTCZ6/BTCG7/BTCV6/BTCU6/BTCF7</v>
      </c>
      <c r="K192" s="9">
        <f>'MKT DATA'!O1550</f>
        <v>0</v>
      </c>
      <c r="L192" s="9">
        <f>'MKT DATA'!P1550</f>
        <v>0</v>
      </c>
      <c r="M192" s="9">
        <f>'MKT DATA'!Q1550</f>
        <v>0</v>
      </c>
      <c r="N192" s="9">
        <f>'MKT DATA'!R1550</f>
        <v>0</v>
      </c>
      <c r="O192" s="9">
        <f>'MKT DATA'!S1550</f>
        <v>0</v>
      </c>
      <c r="P192" s="9">
        <f>'MKT DATA'!T1550</f>
        <v>0</v>
      </c>
      <c r="Q192" s="44" t="str">
        <f t="shared" si="7"/>
        <v>syn BTCZ6/BTCG7/BTCV6/BTCU6/BTCF7</v>
      </c>
      <c r="R192" s="14">
        <f>'MKT DATA'!AB1550</f>
        <v>0</v>
      </c>
    </row>
    <row r="193" spans="5:18" x14ac:dyDescent="0.25">
      <c r="E193" s="44" t="str">
        <f>'MKT DATA'!B1551</f>
        <v>syn BTCZ6/BTCG7/BTCV6/BTCX6/BTCF7</v>
      </c>
      <c r="F193" s="14">
        <f>'MKT DATA'!J1551</f>
        <v>0</v>
      </c>
      <c r="G193" s="9">
        <f>'MKT DATA'!K1551</f>
        <v>0</v>
      </c>
      <c r="H193" s="9">
        <f>'MKT DATA'!L1551</f>
        <v>0</v>
      </c>
      <c r="I193" s="14">
        <f>'MKT DATA'!M1551</f>
        <v>0</v>
      </c>
      <c r="J193" s="44" t="str">
        <f t="shared" si="6"/>
        <v>syn BTCZ6/BTCG7/BTCV6/BTCX6/BTCF7</v>
      </c>
      <c r="K193" s="9">
        <f>'MKT DATA'!O1551</f>
        <v>0</v>
      </c>
      <c r="L193" s="9">
        <f>'MKT DATA'!P1551</f>
        <v>0</v>
      </c>
      <c r="M193" s="9">
        <f>'MKT DATA'!Q1551</f>
        <v>0</v>
      </c>
      <c r="N193" s="9">
        <f>'MKT DATA'!R1551</f>
        <v>0</v>
      </c>
      <c r="O193" s="9">
        <f>'MKT DATA'!S1551</f>
        <v>0</v>
      </c>
      <c r="P193" s="9">
        <f>'MKT DATA'!T1551</f>
        <v>0</v>
      </c>
      <c r="Q193" s="44" t="str">
        <f t="shared" si="7"/>
        <v>syn BTCZ6/BTCG7/BTCV6/BTCX6/BTCF7</v>
      </c>
      <c r="R193" s="14">
        <f>'MKT DATA'!AB1551</f>
        <v>0</v>
      </c>
    </row>
    <row r="194" spans="5:18" x14ac:dyDescent="0.25">
      <c r="E194" s="44" t="str">
        <f>'MKT DATA'!B1552</f>
        <v>syn BTCZ6/BTCG7/BTCX6/BTCU6/BTCF7</v>
      </c>
      <c r="F194" s="14">
        <f>'MKT DATA'!J1552</f>
        <v>0</v>
      </c>
      <c r="G194" s="9">
        <f>'MKT DATA'!K1552</f>
        <v>0</v>
      </c>
      <c r="H194" s="9">
        <f>'MKT DATA'!L1552</f>
        <v>0</v>
      </c>
      <c r="I194" s="14">
        <f>'MKT DATA'!M1552</f>
        <v>0</v>
      </c>
      <c r="J194" s="44" t="str">
        <f t="shared" si="6"/>
        <v>syn BTCZ6/BTCG7/BTCX6/BTCU6/BTCF7</v>
      </c>
      <c r="K194" s="9">
        <f>'MKT DATA'!O1552</f>
        <v>0</v>
      </c>
      <c r="L194" s="9">
        <f>'MKT DATA'!P1552</f>
        <v>0</v>
      </c>
      <c r="M194" s="9">
        <f>'MKT DATA'!Q1552</f>
        <v>0</v>
      </c>
      <c r="N194" s="9">
        <f>'MKT DATA'!R1552</f>
        <v>0</v>
      </c>
      <c r="O194" s="9">
        <f>'MKT DATA'!S1552</f>
        <v>0</v>
      </c>
      <c r="P194" s="9">
        <f>'MKT DATA'!T1552</f>
        <v>0</v>
      </c>
      <c r="Q194" s="44" t="str">
        <f t="shared" si="7"/>
        <v>syn BTCZ6/BTCG7/BTCX6/BTCU6/BTCF7</v>
      </c>
      <c r="R194" s="14">
        <f>'MKT DATA'!AB1552</f>
        <v>0</v>
      </c>
    </row>
    <row r="195" spans="5:18" x14ac:dyDescent="0.25">
      <c r="E195" s="44" t="str">
        <f>'MKT DATA'!B1553</f>
        <v>syn BTCZ6/BTCG7/BTCX6/BTCV6/BTCF7</v>
      </c>
      <c r="F195" s="14">
        <f>'MKT DATA'!J1553</f>
        <v>0</v>
      </c>
      <c r="G195" s="9">
        <f>'MKT DATA'!K1553</f>
        <v>0</v>
      </c>
      <c r="H195" s="9">
        <f>'MKT DATA'!L1553</f>
        <v>0</v>
      </c>
      <c r="I195" s="14">
        <f>'MKT DATA'!M1553</f>
        <v>0</v>
      </c>
      <c r="J195" s="44" t="str">
        <f t="shared" si="6"/>
        <v>syn BTCZ6/BTCG7/BTCX6/BTCV6/BTCF7</v>
      </c>
      <c r="K195" s="9">
        <f>'MKT DATA'!O1553</f>
        <v>0</v>
      </c>
      <c r="L195" s="9">
        <f>'MKT DATA'!P1553</f>
        <v>0</v>
      </c>
      <c r="M195" s="9">
        <f>'MKT DATA'!Q1553</f>
        <v>0</v>
      </c>
      <c r="N195" s="9">
        <f>'MKT DATA'!R1553</f>
        <v>0</v>
      </c>
      <c r="O195" s="9">
        <f>'MKT DATA'!S1553</f>
        <v>0</v>
      </c>
      <c r="P195" s="9">
        <f>'MKT DATA'!T1553</f>
        <v>0</v>
      </c>
      <c r="Q195" s="44" t="str">
        <f t="shared" si="7"/>
        <v>syn BTCZ6/BTCG7/BTCX6/BTCV6/BTCF7</v>
      </c>
      <c r="R195" s="14">
        <f>'MKT DATA'!AB1553</f>
        <v>0</v>
      </c>
    </row>
    <row r="196" spans="5:18" x14ac:dyDescent="0.25">
      <c r="E196" s="44" t="str">
        <f>'MKT DATA'!B1554</f>
        <v>syn BTCG7/BTCU6/BTCV6/BTCX6/BTCF7</v>
      </c>
      <c r="F196" s="14">
        <f>'MKT DATA'!J1554</f>
        <v>0</v>
      </c>
      <c r="G196" s="9">
        <f>'MKT DATA'!K1554</f>
        <v>0</v>
      </c>
      <c r="H196" s="9">
        <f>'MKT DATA'!L1554</f>
        <v>0</v>
      </c>
      <c r="I196" s="14">
        <f>'MKT DATA'!M1554</f>
        <v>0</v>
      </c>
      <c r="J196" s="44" t="str">
        <f t="shared" si="6"/>
        <v>syn BTCG7/BTCU6/BTCV6/BTCX6/BTCF7</v>
      </c>
      <c r="K196" s="9">
        <f>'MKT DATA'!O1554</f>
        <v>0</v>
      </c>
      <c r="L196" s="9">
        <f>'MKT DATA'!P1554</f>
        <v>0</v>
      </c>
      <c r="M196" s="9">
        <f>'MKT DATA'!Q1554</f>
        <v>0</v>
      </c>
      <c r="N196" s="9">
        <f>'MKT DATA'!R1554</f>
        <v>0</v>
      </c>
      <c r="O196" s="9">
        <f>'MKT DATA'!S1554</f>
        <v>0</v>
      </c>
      <c r="P196" s="9">
        <f>'MKT DATA'!T1554</f>
        <v>0</v>
      </c>
      <c r="Q196" s="44" t="str">
        <f t="shared" si="7"/>
        <v>syn BTCG7/BTCU6/BTCV6/BTCX6/BTCF7</v>
      </c>
      <c r="R196" s="14">
        <f>'MKT DATA'!AB1554</f>
        <v>0</v>
      </c>
    </row>
    <row r="197" spans="5:18" x14ac:dyDescent="0.25">
      <c r="E197" s="44" t="str">
        <f>'MKT DATA'!B1555</f>
        <v>syn BTCG7/BTCU6/BTCV6/BTCZ6/BTCF7</v>
      </c>
      <c r="F197" s="14">
        <f>'MKT DATA'!J1555</f>
        <v>0</v>
      </c>
      <c r="G197" s="9">
        <f>'MKT DATA'!K1555</f>
        <v>0</v>
      </c>
      <c r="H197" s="9">
        <f>'MKT DATA'!L1555</f>
        <v>0</v>
      </c>
      <c r="I197" s="14">
        <f>'MKT DATA'!M1555</f>
        <v>0</v>
      </c>
      <c r="J197" s="44" t="str">
        <f t="shared" si="6"/>
        <v>syn BTCG7/BTCU6/BTCV6/BTCZ6/BTCF7</v>
      </c>
      <c r="K197" s="9">
        <f>'MKT DATA'!O1555</f>
        <v>0</v>
      </c>
      <c r="L197" s="9">
        <f>'MKT DATA'!P1555</f>
        <v>0</v>
      </c>
      <c r="M197" s="9">
        <f>'MKT DATA'!Q1555</f>
        <v>0</v>
      </c>
      <c r="N197" s="9">
        <f>'MKT DATA'!R1555</f>
        <v>0</v>
      </c>
      <c r="O197" s="9">
        <f>'MKT DATA'!S1555</f>
        <v>0</v>
      </c>
      <c r="P197" s="9">
        <f>'MKT DATA'!T1555</f>
        <v>0</v>
      </c>
      <c r="Q197" s="44" t="str">
        <f t="shared" si="7"/>
        <v>syn BTCG7/BTCU6/BTCV6/BTCZ6/BTCF7</v>
      </c>
      <c r="R197" s="14">
        <f>'MKT DATA'!AB1555</f>
        <v>0</v>
      </c>
    </row>
    <row r="198" spans="5:18" x14ac:dyDescent="0.25">
      <c r="E198" s="44" t="str">
        <f>'MKT DATA'!B1556</f>
        <v>syn BTCG7/BTCU6/BTCX6/BTCV6/BTCF7</v>
      </c>
      <c r="F198" s="14">
        <f>'MKT DATA'!J1556</f>
        <v>0</v>
      </c>
      <c r="G198" s="9">
        <f>'MKT DATA'!K1556</f>
        <v>0</v>
      </c>
      <c r="H198" s="9">
        <f>'MKT DATA'!L1556</f>
        <v>0</v>
      </c>
      <c r="I198" s="14">
        <f>'MKT DATA'!M1556</f>
        <v>0</v>
      </c>
      <c r="J198" s="44" t="str">
        <f t="shared" si="6"/>
        <v>syn BTCG7/BTCU6/BTCX6/BTCV6/BTCF7</v>
      </c>
      <c r="K198" s="9">
        <f>'MKT DATA'!O1556</f>
        <v>0</v>
      </c>
      <c r="L198" s="9">
        <f>'MKT DATA'!P1556</f>
        <v>0</v>
      </c>
      <c r="M198" s="9">
        <f>'MKT DATA'!Q1556</f>
        <v>0</v>
      </c>
      <c r="N198" s="9">
        <f>'MKT DATA'!R1556</f>
        <v>0</v>
      </c>
      <c r="O198" s="9">
        <f>'MKT DATA'!S1556</f>
        <v>0</v>
      </c>
      <c r="P198" s="9">
        <f>'MKT DATA'!T1556</f>
        <v>0</v>
      </c>
      <c r="Q198" s="44" t="str">
        <f t="shared" si="7"/>
        <v>syn BTCG7/BTCU6/BTCX6/BTCV6/BTCF7</v>
      </c>
      <c r="R198" s="14">
        <f>'MKT DATA'!AB1556</f>
        <v>0</v>
      </c>
    </row>
    <row r="199" spans="5:18" x14ac:dyDescent="0.25">
      <c r="E199" s="44" t="str">
        <f>'MKT DATA'!B1557</f>
        <v>syn BTCG7/BTCU6/BTCX6/BTCZ6/BTCF7</v>
      </c>
      <c r="F199" s="14">
        <f>'MKT DATA'!J1557</f>
        <v>0</v>
      </c>
      <c r="G199" s="9">
        <f>'MKT DATA'!K1557</f>
        <v>0</v>
      </c>
      <c r="H199" s="9">
        <f>'MKT DATA'!L1557</f>
        <v>0</v>
      </c>
      <c r="I199" s="14">
        <f>'MKT DATA'!M1557</f>
        <v>0</v>
      </c>
      <c r="J199" s="44" t="str">
        <f t="shared" si="6"/>
        <v>syn BTCG7/BTCU6/BTCX6/BTCZ6/BTCF7</v>
      </c>
      <c r="K199" s="9">
        <f>'MKT DATA'!O1557</f>
        <v>0</v>
      </c>
      <c r="L199" s="9">
        <f>'MKT DATA'!P1557</f>
        <v>0</v>
      </c>
      <c r="M199" s="9">
        <f>'MKT DATA'!Q1557</f>
        <v>0</v>
      </c>
      <c r="N199" s="9">
        <f>'MKT DATA'!R1557</f>
        <v>0</v>
      </c>
      <c r="O199" s="9">
        <f>'MKT DATA'!S1557</f>
        <v>0</v>
      </c>
      <c r="P199" s="9">
        <f>'MKT DATA'!T1557</f>
        <v>0</v>
      </c>
      <c r="Q199" s="44" t="str">
        <f t="shared" si="7"/>
        <v>syn BTCG7/BTCU6/BTCX6/BTCZ6/BTCF7</v>
      </c>
      <c r="R199" s="14">
        <f>'MKT DATA'!AB1557</f>
        <v>0</v>
      </c>
    </row>
    <row r="200" spans="5:18" x14ac:dyDescent="0.25">
      <c r="E200" s="44" t="str">
        <f>'MKT DATA'!B1558</f>
        <v>syn BTCG7/BTCU6/BTCZ6/BTCV6/BTCF7</v>
      </c>
      <c r="F200" s="14">
        <f>'MKT DATA'!J1558</f>
        <v>0</v>
      </c>
      <c r="G200" s="9">
        <f>'MKT DATA'!K1558</f>
        <v>0</v>
      </c>
      <c r="H200" s="9">
        <f>'MKT DATA'!L1558</f>
        <v>0</v>
      </c>
      <c r="I200" s="14">
        <f>'MKT DATA'!M1558</f>
        <v>0</v>
      </c>
      <c r="J200" s="44" t="str">
        <f t="shared" si="6"/>
        <v>syn BTCG7/BTCU6/BTCZ6/BTCV6/BTCF7</v>
      </c>
      <c r="K200" s="9">
        <f>'MKT DATA'!O1558</f>
        <v>0</v>
      </c>
      <c r="L200" s="9">
        <f>'MKT DATA'!P1558</f>
        <v>0</v>
      </c>
      <c r="M200" s="9">
        <f>'MKT DATA'!Q1558</f>
        <v>0</v>
      </c>
      <c r="N200" s="9">
        <f>'MKT DATA'!R1558</f>
        <v>0</v>
      </c>
      <c r="O200" s="9">
        <f>'MKT DATA'!S1558</f>
        <v>0</v>
      </c>
      <c r="P200" s="9">
        <f>'MKT DATA'!T1558</f>
        <v>0</v>
      </c>
      <c r="Q200" s="44" t="str">
        <f t="shared" si="7"/>
        <v>syn BTCG7/BTCU6/BTCZ6/BTCV6/BTCF7</v>
      </c>
      <c r="R200" s="14">
        <f>'MKT DATA'!AB1558</f>
        <v>0</v>
      </c>
    </row>
    <row r="201" spans="5:18" x14ac:dyDescent="0.25">
      <c r="E201" s="44" t="str">
        <f>'MKT DATA'!B1559</f>
        <v>syn BTCG7/BTCU6/BTCZ6/BTCX6/BTCF7</v>
      </c>
      <c r="F201" s="14">
        <f>'MKT DATA'!J1559</f>
        <v>0</v>
      </c>
      <c r="G201" s="9">
        <f>'MKT DATA'!K1559</f>
        <v>0</v>
      </c>
      <c r="H201" s="9">
        <f>'MKT DATA'!L1559</f>
        <v>0</v>
      </c>
      <c r="I201" s="14">
        <f>'MKT DATA'!M1559</f>
        <v>0</v>
      </c>
      <c r="J201" s="44" t="str">
        <f t="shared" si="6"/>
        <v>syn BTCG7/BTCU6/BTCZ6/BTCX6/BTCF7</v>
      </c>
      <c r="K201" s="9">
        <f>'MKT DATA'!O1559</f>
        <v>0</v>
      </c>
      <c r="L201" s="9">
        <f>'MKT DATA'!P1559</f>
        <v>0</v>
      </c>
      <c r="M201" s="9">
        <f>'MKT DATA'!Q1559</f>
        <v>0</v>
      </c>
      <c r="N201" s="9">
        <f>'MKT DATA'!R1559</f>
        <v>0</v>
      </c>
      <c r="O201" s="9">
        <f>'MKT DATA'!S1559</f>
        <v>0</v>
      </c>
      <c r="P201" s="9">
        <f>'MKT DATA'!T1559</f>
        <v>0</v>
      </c>
      <c r="Q201" s="44" t="str">
        <f t="shared" si="7"/>
        <v>syn BTCG7/BTCU6/BTCZ6/BTCX6/BTCF7</v>
      </c>
      <c r="R201" s="14">
        <f>'MKT DATA'!AB1559</f>
        <v>0</v>
      </c>
    </row>
    <row r="202" spans="5:18" x14ac:dyDescent="0.25">
      <c r="E202" s="44" t="str">
        <f>'MKT DATA'!B1560</f>
        <v>syn BTCG7/BTCV6/BTCU6/BTCX6/BTCF7</v>
      </c>
      <c r="F202" s="14">
        <f>'MKT DATA'!J1560</f>
        <v>0</v>
      </c>
      <c r="G202" s="9">
        <f>'MKT DATA'!K1560</f>
        <v>0</v>
      </c>
      <c r="H202" s="9">
        <f>'MKT DATA'!L1560</f>
        <v>0</v>
      </c>
      <c r="I202" s="14">
        <f>'MKT DATA'!M1560</f>
        <v>0</v>
      </c>
      <c r="J202" s="44" t="str">
        <f t="shared" ref="J202:J265" si="8">E202</f>
        <v>syn BTCG7/BTCV6/BTCU6/BTCX6/BTCF7</v>
      </c>
      <c r="K202" s="9">
        <f>'MKT DATA'!O1560</f>
        <v>0</v>
      </c>
      <c r="L202" s="9">
        <f>'MKT DATA'!P1560</f>
        <v>0</v>
      </c>
      <c r="M202" s="9">
        <f>'MKT DATA'!Q1560</f>
        <v>0</v>
      </c>
      <c r="N202" s="9">
        <f>'MKT DATA'!R1560</f>
        <v>0</v>
      </c>
      <c r="O202" s="9">
        <f>'MKT DATA'!S1560</f>
        <v>0</v>
      </c>
      <c r="P202" s="9">
        <f>'MKT DATA'!T1560</f>
        <v>0</v>
      </c>
      <c r="Q202" s="44" t="str">
        <f t="shared" ref="Q202:Q265" si="9">J202</f>
        <v>syn BTCG7/BTCV6/BTCU6/BTCX6/BTCF7</v>
      </c>
      <c r="R202" s="14">
        <f>'MKT DATA'!AB1560</f>
        <v>0</v>
      </c>
    </row>
    <row r="203" spans="5:18" x14ac:dyDescent="0.25">
      <c r="E203" s="44" t="str">
        <f>'MKT DATA'!B1561</f>
        <v>syn BTCG7/BTCV6/BTCU6/BTCZ6/BTCF7</v>
      </c>
      <c r="F203" s="14">
        <f>'MKT DATA'!J1561</f>
        <v>0</v>
      </c>
      <c r="G203" s="9">
        <f>'MKT DATA'!K1561</f>
        <v>0</v>
      </c>
      <c r="H203" s="9">
        <f>'MKT DATA'!L1561</f>
        <v>0</v>
      </c>
      <c r="I203" s="14">
        <f>'MKT DATA'!M1561</f>
        <v>0</v>
      </c>
      <c r="J203" s="44" t="str">
        <f t="shared" si="8"/>
        <v>syn BTCG7/BTCV6/BTCU6/BTCZ6/BTCF7</v>
      </c>
      <c r="K203" s="9">
        <f>'MKT DATA'!O1561</f>
        <v>0</v>
      </c>
      <c r="L203" s="9">
        <f>'MKT DATA'!P1561</f>
        <v>0</v>
      </c>
      <c r="M203" s="9">
        <f>'MKT DATA'!Q1561</f>
        <v>0</v>
      </c>
      <c r="N203" s="9">
        <f>'MKT DATA'!R1561</f>
        <v>0</v>
      </c>
      <c r="O203" s="9">
        <f>'MKT DATA'!S1561</f>
        <v>0</v>
      </c>
      <c r="P203" s="9">
        <f>'MKT DATA'!T1561</f>
        <v>0</v>
      </c>
      <c r="Q203" s="44" t="str">
        <f t="shared" si="9"/>
        <v>syn BTCG7/BTCV6/BTCU6/BTCZ6/BTCF7</v>
      </c>
      <c r="R203" s="14">
        <f>'MKT DATA'!AB1561</f>
        <v>0</v>
      </c>
    </row>
    <row r="204" spans="5:18" x14ac:dyDescent="0.25">
      <c r="E204" s="44" t="str">
        <f>'MKT DATA'!B1562</f>
        <v>syn BTCG7/BTCV6/BTCX6/BTCU6/BTCF7</v>
      </c>
      <c r="F204" s="14">
        <f>'MKT DATA'!J1562</f>
        <v>0</v>
      </c>
      <c r="G204" s="9">
        <f>'MKT DATA'!K1562</f>
        <v>0</v>
      </c>
      <c r="H204" s="9">
        <f>'MKT DATA'!L1562</f>
        <v>0</v>
      </c>
      <c r="I204" s="14">
        <f>'MKT DATA'!M1562</f>
        <v>0</v>
      </c>
      <c r="J204" s="44" t="str">
        <f t="shared" si="8"/>
        <v>syn BTCG7/BTCV6/BTCX6/BTCU6/BTCF7</v>
      </c>
      <c r="K204" s="9">
        <f>'MKT DATA'!O1562</f>
        <v>0</v>
      </c>
      <c r="L204" s="9">
        <f>'MKT DATA'!P1562</f>
        <v>0</v>
      </c>
      <c r="M204" s="9">
        <f>'MKT DATA'!Q1562</f>
        <v>0</v>
      </c>
      <c r="N204" s="9">
        <f>'MKT DATA'!R1562</f>
        <v>0</v>
      </c>
      <c r="O204" s="9">
        <f>'MKT DATA'!S1562</f>
        <v>0</v>
      </c>
      <c r="P204" s="9">
        <f>'MKT DATA'!T1562</f>
        <v>0</v>
      </c>
      <c r="Q204" s="44" t="str">
        <f t="shared" si="9"/>
        <v>syn BTCG7/BTCV6/BTCX6/BTCU6/BTCF7</v>
      </c>
      <c r="R204" s="14">
        <f>'MKT DATA'!AB1562</f>
        <v>0</v>
      </c>
    </row>
    <row r="205" spans="5:18" x14ac:dyDescent="0.25">
      <c r="E205" s="44" t="str">
        <f>'MKT DATA'!B1563</f>
        <v>syn BTCG7/BTCV6/BTCX6/BTCZ6/BTCF7</v>
      </c>
      <c r="F205" s="14">
        <f>'MKT DATA'!J1563</f>
        <v>0</v>
      </c>
      <c r="G205" s="9">
        <f>'MKT DATA'!K1563</f>
        <v>0</v>
      </c>
      <c r="H205" s="9">
        <f>'MKT DATA'!L1563</f>
        <v>0</v>
      </c>
      <c r="I205" s="14">
        <f>'MKT DATA'!M1563</f>
        <v>0</v>
      </c>
      <c r="J205" s="44" t="str">
        <f t="shared" si="8"/>
        <v>syn BTCG7/BTCV6/BTCX6/BTCZ6/BTCF7</v>
      </c>
      <c r="K205" s="9">
        <f>'MKT DATA'!O1563</f>
        <v>0</v>
      </c>
      <c r="L205" s="9">
        <f>'MKT DATA'!P1563</f>
        <v>0</v>
      </c>
      <c r="M205" s="9">
        <f>'MKT DATA'!Q1563</f>
        <v>0</v>
      </c>
      <c r="N205" s="9">
        <f>'MKT DATA'!R1563</f>
        <v>0</v>
      </c>
      <c r="O205" s="9">
        <f>'MKT DATA'!S1563</f>
        <v>0</v>
      </c>
      <c r="P205" s="9">
        <f>'MKT DATA'!T1563</f>
        <v>0</v>
      </c>
      <c r="Q205" s="44" t="str">
        <f t="shared" si="9"/>
        <v>syn BTCG7/BTCV6/BTCX6/BTCZ6/BTCF7</v>
      </c>
      <c r="R205" s="14">
        <f>'MKT DATA'!AB1563</f>
        <v>0</v>
      </c>
    </row>
    <row r="206" spans="5:18" x14ac:dyDescent="0.25">
      <c r="E206" s="44" t="str">
        <f>'MKT DATA'!B1564</f>
        <v>syn BTCG7/BTCV6/BTCZ6/BTCU6/BTCF7</v>
      </c>
      <c r="F206" s="14">
        <f>'MKT DATA'!J1564</f>
        <v>0</v>
      </c>
      <c r="G206" s="9">
        <f>'MKT DATA'!K1564</f>
        <v>0</v>
      </c>
      <c r="H206" s="9">
        <f>'MKT DATA'!L1564</f>
        <v>0</v>
      </c>
      <c r="I206" s="14">
        <f>'MKT DATA'!M1564</f>
        <v>0</v>
      </c>
      <c r="J206" s="44" t="str">
        <f t="shared" si="8"/>
        <v>syn BTCG7/BTCV6/BTCZ6/BTCU6/BTCF7</v>
      </c>
      <c r="K206" s="9">
        <f>'MKT DATA'!O1564</f>
        <v>0</v>
      </c>
      <c r="L206" s="9">
        <f>'MKT DATA'!P1564</f>
        <v>0</v>
      </c>
      <c r="M206" s="9">
        <f>'MKT DATA'!Q1564</f>
        <v>0</v>
      </c>
      <c r="N206" s="9">
        <f>'MKT DATA'!R1564</f>
        <v>0</v>
      </c>
      <c r="O206" s="9">
        <f>'MKT DATA'!S1564</f>
        <v>0</v>
      </c>
      <c r="P206" s="9">
        <f>'MKT DATA'!T1564</f>
        <v>0</v>
      </c>
      <c r="Q206" s="44" t="str">
        <f t="shared" si="9"/>
        <v>syn BTCG7/BTCV6/BTCZ6/BTCU6/BTCF7</v>
      </c>
      <c r="R206" s="14">
        <f>'MKT DATA'!AB1564</f>
        <v>0</v>
      </c>
    </row>
    <row r="207" spans="5:18" x14ac:dyDescent="0.25">
      <c r="E207" s="44" t="str">
        <f>'MKT DATA'!B1565</f>
        <v>syn BTCG7/BTCV6/BTCZ6/BTCX6/BTCF7</v>
      </c>
      <c r="F207" s="14">
        <f>'MKT DATA'!J1565</f>
        <v>0</v>
      </c>
      <c r="G207" s="9">
        <f>'MKT DATA'!K1565</f>
        <v>0</v>
      </c>
      <c r="H207" s="9">
        <f>'MKT DATA'!L1565</f>
        <v>0</v>
      </c>
      <c r="I207" s="14">
        <f>'MKT DATA'!M1565</f>
        <v>0</v>
      </c>
      <c r="J207" s="44" t="str">
        <f t="shared" si="8"/>
        <v>syn BTCG7/BTCV6/BTCZ6/BTCX6/BTCF7</v>
      </c>
      <c r="K207" s="9">
        <f>'MKT DATA'!O1565</f>
        <v>0</v>
      </c>
      <c r="L207" s="9">
        <f>'MKT DATA'!P1565</f>
        <v>0</v>
      </c>
      <c r="M207" s="9">
        <f>'MKT DATA'!Q1565</f>
        <v>0</v>
      </c>
      <c r="N207" s="9">
        <f>'MKT DATA'!R1565</f>
        <v>0</v>
      </c>
      <c r="O207" s="9">
        <f>'MKT DATA'!S1565</f>
        <v>0</v>
      </c>
      <c r="P207" s="9">
        <f>'MKT DATA'!T1565</f>
        <v>0</v>
      </c>
      <c r="Q207" s="44" t="str">
        <f t="shared" si="9"/>
        <v>syn BTCG7/BTCV6/BTCZ6/BTCX6/BTCF7</v>
      </c>
      <c r="R207" s="14">
        <f>'MKT DATA'!AB1565</f>
        <v>0</v>
      </c>
    </row>
    <row r="208" spans="5:18" x14ac:dyDescent="0.25">
      <c r="E208" s="44" t="str">
        <f>'MKT DATA'!B1566</f>
        <v>syn BTCG7/BTCX6/BTCU6/BTCV6/BTCF7</v>
      </c>
      <c r="F208" s="14">
        <f>'MKT DATA'!J1566</f>
        <v>0</v>
      </c>
      <c r="G208" s="9">
        <f>'MKT DATA'!K1566</f>
        <v>0</v>
      </c>
      <c r="H208" s="9">
        <f>'MKT DATA'!L1566</f>
        <v>0</v>
      </c>
      <c r="I208" s="14">
        <f>'MKT DATA'!M1566</f>
        <v>0</v>
      </c>
      <c r="J208" s="44" t="str">
        <f t="shared" si="8"/>
        <v>syn BTCG7/BTCX6/BTCU6/BTCV6/BTCF7</v>
      </c>
      <c r="K208" s="9">
        <f>'MKT DATA'!O1566</f>
        <v>0</v>
      </c>
      <c r="L208" s="9">
        <f>'MKT DATA'!P1566</f>
        <v>0</v>
      </c>
      <c r="M208" s="9">
        <f>'MKT DATA'!Q1566</f>
        <v>0</v>
      </c>
      <c r="N208" s="9">
        <f>'MKT DATA'!R1566</f>
        <v>0</v>
      </c>
      <c r="O208" s="9">
        <f>'MKT DATA'!S1566</f>
        <v>0</v>
      </c>
      <c r="P208" s="9">
        <f>'MKT DATA'!T1566</f>
        <v>0</v>
      </c>
      <c r="Q208" s="44" t="str">
        <f t="shared" si="9"/>
        <v>syn BTCG7/BTCX6/BTCU6/BTCV6/BTCF7</v>
      </c>
      <c r="R208" s="14">
        <f>'MKT DATA'!AB1566</f>
        <v>0</v>
      </c>
    </row>
    <row r="209" spans="5:18" x14ac:dyDescent="0.25">
      <c r="E209" s="44" t="str">
        <f>'MKT DATA'!B1567</f>
        <v>syn BTCG7/BTCX6/BTCU6/BTCZ6/BTCF7</v>
      </c>
      <c r="F209" s="14">
        <f>'MKT DATA'!J1567</f>
        <v>0</v>
      </c>
      <c r="G209" s="9">
        <f>'MKT DATA'!K1567</f>
        <v>0</v>
      </c>
      <c r="H209" s="9">
        <f>'MKT DATA'!L1567</f>
        <v>0</v>
      </c>
      <c r="I209" s="14">
        <f>'MKT DATA'!M1567</f>
        <v>0</v>
      </c>
      <c r="J209" s="44" t="str">
        <f t="shared" si="8"/>
        <v>syn BTCG7/BTCX6/BTCU6/BTCZ6/BTCF7</v>
      </c>
      <c r="K209" s="9">
        <f>'MKT DATA'!O1567</f>
        <v>0</v>
      </c>
      <c r="L209" s="9">
        <f>'MKT DATA'!P1567</f>
        <v>0</v>
      </c>
      <c r="M209" s="9">
        <f>'MKT DATA'!Q1567</f>
        <v>0</v>
      </c>
      <c r="N209" s="9">
        <f>'MKT DATA'!R1567</f>
        <v>0</v>
      </c>
      <c r="O209" s="9">
        <f>'MKT DATA'!S1567</f>
        <v>0</v>
      </c>
      <c r="P209" s="9">
        <f>'MKT DATA'!T1567</f>
        <v>0</v>
      </c>
      <c r="Q209" s="44" t="str">
        <f t="shared" si="9"/>
        <v>syn BTCG7/BTCX6/BTCU6/BTCZ6/BTCF7</v>
      </c>
      <c r="R209" s="14">
        <f>'MKT DATA'!AB1567</f>
        <v>0</v>
      </c>
    </row>
    <row r="210" spans="5:18" x14ac:dyDescent="0.25">
      <c r="E210" s="44" t="str">
        <f>'MKT DATA'!B1568</f>
        <v>syn BTCG7/BTCX6/BTCV6/BTCU6/BTCF7</v>
      </c>
      <c r="F210" s="14">
        <f>'MKT DATA'!J1568</f>
        <v>0</v>
      </c>
      <c r="G210" s="9">
        <f>'MKT DATA'!K1568</f>
        <v>0</v>
      </c>
      <c r="H210" s="9">
        <f>'MKT DATA'!L1568</f>
        <v>0</v>
      </c>
      <c r="I210" s="14">
        <f>'MKT DATA'!M1568</f>
        <v>0</v>
      </c>
      <c r="J210" s="44" t="str">
        <f t="shared" si="8"/>
        <v>syn BTCG7/BTCX6/BTCV6/BTCU6/BTCF7</v>
      </c>
      <c r="K210" s="9">
        <f>'MKT DATA'!O1568</f>
        <v>0</v>
      </c>
      <c r="L210" s="9">
        <f>'MKT DATA'!P1568</f>
        <v>0</v>
      </c>
      <c r="M210" s="9">
        <f>'MKT DATA'!Q1568</f>
        <v>0</v>
      </c>
      <c r="N210" s="9">
        <f>'MKT DATA'!R1568</f>
        <v>0</v>
      </c>
      <c r="O210" s="9">
        <f>'MKT DATA'!S1568</f>
        <v>0</v>
      </c>
      <c r="P210" s="9">
        <f>'MKT DATA'!T1568</f>
        <v>0</v>
      </c>
      <c r="Q210" s="44" t="str">
        <f t="shared" si="9"/>
        <v>syn BTCG7/BTCX6/BTCV6/BTCU6/BTCF7</v>
      </c>
      <c r="R210" s="14">
        <f>'MKT DATA'!AB1568</f>
        <v>0</v>
      </c>
    </row>
    <row r="211" spans="5:18" x14ac:dyDescent="0.25">
      <c r="E211" s="44" t="str">
        <f>'MKT DATA'!B1569</f>
        <v>syn BTCG7/BTCX6/BTCV6/BTCZ6/BTCF7</v>
      </c>
      <c r="F211" s="14">
        <f>'MKT DATA'!J1569</f>
        <v>0</v>
      </c>
      <c r="G211" s="9">
        <f>'MKT DATA'!K1569</f>
        <v>0</v>
      </c>
      <c r="H211" s="9">
        <f>'MKT DATA'!L1569</f>
        <v>0</v>
      </c>
      <c r="I211" s="14">
        <f>'MKT DATA'!M1569</f>
        <v>0</v>
      </c>
      <c r="J211" s="44" t="str">
        <f t="shared" si="8"/>
        <v>syn BTCG7/BTCX6/BTCV6/BTCZ6/BTCF7</v>
      </c>
      <c r="K211" s="9">
        <f>'MKT DATA'!O1569</f>
        <v>0</v>
      </c>
      <c r="L211" s="9">
        <f>'MKT DATA'!P1569</f>
        <v>0</v>
      </c>
      <c r="M211" s="9">
        <f>'MKT DATA'!Q1569</f>
        <v>0</v>
      </c>
      <c r="N211" s="9">
        <f>'MKT DATA'!R1569</f>
        <v>0</v>
      </c>
      <c r="O211" s="9">
        <f>'MKT DATA'!S1569</f>
        <v>0</v>
      </c>
      <c r="P211" s="9">
        <f>'MKT DATA'!T1569</f>
        <v>0</v>
      </c>
      <c r="Q211" s="44" t="str">
        <f t="shared" si="9"/>
        <v>syn BTCG7/BTCX6/BTCV6/BTCZ6/BTCF7</v>
      </c>
      <c r="R211" s="14">
        <f>'MKT DATA'!AB1569</f>
        <v>0</v>
      </c>
    </row>
    <row r="212" spans="5:18" x14ac:dyDescent="0.25">
      <c r="E212" s="44" t="str">
        <f>'MKT DATA'!B1570</f>
        <v>syn BTCG7/BTCX6/BTCZ6/BTCU6/BTCF7</v>
      </c>
      <c r="F212" s="14">
        <f>'MKT DATA'!J1570</f>
        <v>0</v>
      </c>
      <c r="G212" s="9">
        <f>'MKT DATA'!K1570</f>
        <v>0</v>
      </c>
      <c r="H212" s="9">
        <f>'MKT DATA'!L1570</f>
        <v>0</v>
      </c>
      <c r="I212" s="14">
        <f>'MKT DATA'!M1570</f>
        <v>0</v>
      </c>
      <c r="J212" s="44" t="str">
        <f t="shared" si="8"/>
        <v>syn BTCG7/BTCX6/BTCZ6/BTCU6/BTCF7</v>
      </c>
      <c r="K212" s="9">
        <f>'MKT DATA'!O1570</f>
        <v>0</v>
      </c>
      <c r="L212" s="9">
        <f>'MKT DATA'!P1570</f>
        <v>0</v>
      </c>
      <c r="M212" s="9">
        <f>'MKT DATA'!Q1570</f>
        <v>0</v>
      </c>
      <c r="N212" s="9">
        <f>'MKT DATA'!R1570</f>
        <v>0</v>
      </c>
      <c r="O212" s="9">
        <f>'MKT DATA'!S1570</f>
        <v>0</v>
      </c>
      <c r="P212" s="9">
        <f>'MKT DATA'!T1570</f>
        <v>0</v>
      </c>
      <c r="Q212" s="44" t="str">
        <f t="shared" si="9"/>
        <v>syn BTCG7/BTCX6/BTCZ6/BTCU6/BTCF7</v>
      </c>
      <c r="R212" s="14">
        <f>'MKT DATA'!AB1570</f>
        <v>0</v>
      </c>
    </row>
    <row r="213" spans="5:18" x14ac:dyDescent="0.25">
      <c r="E213" s="44" t="str">
        <f>'MKT DATA'!B1571</f>
        <v>syn BTCG7/BTCX6/BTCZ6/BTCV6/BTCF7</v>
      </c>
      <c r="F213" s="14">
        <f>'MKT DATA'!J1571</f>
        <v>0</v>
      </c>
      <c r="G213" s="9">
        <f>'MKT DATA'!K1571</f>
        <v>0</v>
      </c>
      <c r="H213" s="9">
        <f>'MKT DATA'!L1571</f>
        <v>0</v>
      </c>
      <c r="I213" s="14">
        <f>'MKT DATA'!M1571</f>
        <v>0</v>
      </c>
      <c r="J213" s="44" t="str">
        <f t="shared" si="8"/>
        <v>syn BTCG7/BTCX6/BTCZ6/BTCV6/BTCF7</v>
      </c>
      <c r="K213" s="9">
        <f>'MKT DATA'!O1571</f>
        <v>0</v>
      </c>
      <c r="L213" s="9">
        <f>'MKT DATA'!P1571</f>
        <v>0</v>
      </c>
      <c r="M213" s="9">
        <f>'MKT DATA'!Q1571</f>
        <v>0</v>
      </c>
      <c r="N213" s="9">
        <f>'MKT DATA'!R1571</f>
        <v>0</v>
      </c>
      <c r="O213" s="9">
        <f>'MKT DATA'!S1571</f>
        <v>0</v>
      </c>
      <c r="P213" s="9">
        <f>'MKT DATA'!T1571</f>
        <v>0</v>
      </c>
      <c r="Q213" s="44" t="str">
        <f t="shared" si="9"/>
        <v>syn BTCG7/BTCX6/BTCZ6/BTCV6/BTCF7</v>
      </c>
      <c r="R213" s="14">
        <f>'MKT DATA'!AB1571</f>
        <v>0</v>
      </c>
    </row>
    <row r="214" spans="5:18" x14ac:dyDescent="0.25">
      <c r="E214" s="44" t="str">
        <f>'MKT DATA'!B1572</f>
        <v>syn BTCG7/BTCZ6/BTCU6/BTCV6/BTCF7</v>
      </c>
      <c r="F214" s="14">
        <f>'MKT DATA'!J1572</f>
        <v>0</v>
      </c>
      <c r="G214" s="9">
        <f>'MKT DATA'!K1572</f>
        <v>0</v>
      </c>
      <c r="H214" s="9">
        <f>'MKT DATA'!L1572</f>
        <v>0</v>
      </c>
      <c r="I214" s="14">
        <f>'MKT DATA'!M1572</f>
        <v>0</v>
      </c>
      <c r="J214" s="44" t="str">
        <f t="shared" si="8"/>
        <v>syn BTCG7/BTCZ6/BTCU6/BTCV6/BTCF7</v>
      </c>
      <c r="K214" s="9">
        <f>'MKT DATA'!O1572</f>
        <v>0</v>
      </c>
      <c r="L214" s="9">
        <f>'MKT DATA'!P1572</f>
        <v>0</v>
      </c>
      <c r="M214" s="9">
        <f>'MKT DATA'!Q1572</f>
        <v>0</v>
      </c>
      <c r="N214" s="9">
        <f>'MKT DATA'!R1572</f>
        <v>0</v>
      </c>
      <c r="O214" s="9">
        <f>'MKT DATA'!S1572</f>
        <v>0</v>
      </c>
      <c r="P214" s="9">
        <f>'MKT DATA'!T1572</f>
        <v>0</v>
      </c>
      <c r="Q214" s="44" t="str">
        <f t="shared" si="9"/>
        <v>syn BTCG7/BTCZ6/BTCU6/BTCV6/BTCF7</v>
      </c>
      <c r="R214" s="14">
        <f>'MKT DATA'!AB1572</f>
        <v>0</v>
      </c>
    </row>
    <row r="215" spans="5:18" x14ac:dyDescent="0.25">
      <c r="E215" s="44" t="str">
        <f>'MKT DATA'!B1573</f>
        <v>syn BTCG7/BTCZ6/BTCU6/BTCX6/BTCF7</v>
      </c>
      <c r="F215" s="14">
        <f>'MKT DATA'!J1573</f>
        <v>0</v>
      </c>
      <c r="G215" s="9">
        <f>'MKT DATA'!K1573</f>
        <v>0</v>
      </c>
      <c r="H215" s="9">
        <f>'MKT DATA'!L1573</f>
        <v>0</v>
      </c>
      <c r="I215" s="14">
        <f>'MKT DATA'!M1573</f>
        <v>0</v>
      </c>
      <c r="J215" s="44" t="str">
        <f t="shared" si="8"/>
        <v>syn BTCG7/BTCZ6/BTCU6/BTCX6/BTCF7</v>
      </c>
      <c r="K215" s="9">
        <f>'MKT DATA'!O1573</f>
        <v>0</v>
      </c>
      <c r="L215" s="9">
        <f>'MKT DATA'!P1573</f>
        <v>0</v>
      </c>
      <c r="M215" s="9">
        <f>'MKT DATA'!Q1573</f>
        <v>0</v>
      </c>
      <c r="N215" s="9">
        <f>'MKT DATA'!R1573</f>
        <v>0</v>
      </c>
      <c r="O215" s="9">
        <f>'MKT DATA'!S1573</f>
        <v>0</v>
      </c>
      <c r="P215" s="9">
        <f>'MKT DATA'!T1573</f>
        <v>0</v>
      </c>
      <c r="Q215" s="44" t="str">
        <f t="shared" si="9"/>
        <v>syn BTCG7/BTCZ6/BTCU6/BTCX6/BTCF7</v>
      </c>
      <c r="R215" s="14">
        <f>'MKT DATA'!AB1573</f>
        <v>0</v>
      </c>
    </row>
    <row r="216" spans="5:18" x14ac:dyDescent="0.25">
      <c r="E216" s="44" t="str">
        <f>'MKT DATA'!B1574</f>
        <v>syn BTCG7/BTCZ6/BTCV6/BTCU6/BTCF7</v>
      </c>
      <c r="F216" s="14">
        <f>'MKT DATA'!J1574</f>
        <v>0</v>
      </c>
      <c r="G216" s="9">
        <f>'MKT DATA'!K1574</f>
        <v>0</v>
      </c>
      <c r="H216" s="9">
        <f>'MKT DATA'!L1574</f>
        <v>0</v>
      </c>
      <c r="I216" s="14">
        <f>'MKT DATA'!M1574</f>
        <v>0</v>
      </c>
      <c r="J216" s="44" t="str">
        <f t="shared" si="8"/>
        <v>syn BTCG7/BTCZ6/BTCV6/BTCU6/BTCF7</v>
      </c>
      <c r="K216" s="9">
        <f>'MKT DATA'!O1574</f>
        <v>0</v>
      </c>
      <c r="L216" s="9">
        <f>'MKT DATA'!P1574</f>
        <v>0</v>
      </c>
      <c r="M216" s="9">
        <f>'MKT DATA'!Q1574</f>
        <v>0</v>
      </c>
      <c r="N216" s="9">
        <f>'MKT DATA'!R1574</f>
        <v>0</v>
      </c>
      <c r="O216" s="9">
        <f>'MKT DATA'!S1574</f>
        <v>0</v>
      </c>
      <c r="P216" s="9">
        <f>'MKT DATA'!T1574</f>
        <v>0</v>
      </c>
      <c r="Q216" s="44" t="str">
        <f t="shared" si="9"/>
        <v>syn BTCG7/BTCZ6/BTCV6/BTCU6/BTCF7</v>
      </c>
      <c r="R216" s="14">
        <f>'MKT DATA'!AB1574</f>
        <v>0</v>
      </c>
    </row>
    <row r="217" spans="5:18" x14ac:dyDescent="0.25">
      <c r="E217" s="44" t="str">
        <f>'MKT DATA'!B1575</f>
        <v>syn BTCG7/BTCZ6/BTCV6/BTCX6/BTCF7</v>
      </c>
      <c r="F217" s="14">
        <f>'MKT DATA'!J1575</f>
        <v>0</v>
      </c>
      <c r="G217" s="9">
        <f>'MKT DATA'!K1575</f>
        <v>0</v>
      </c>
      <c r="H217" s="9">
        <f>'MKT DATA'!L1575</f>
        <v>0</v>
      </c>
      <c r="I217" s="14">
        <f>'MKT DATA'!M1575</f>
        <v>0</v>
      </c>
      <c r="J217" s="44" t="str">
        <f t="shared" si="8"/>
        <v>syn BTCG7/BTCZ6/BTCV6/BTCX6/BTCF7</v>
      </c>
      <c r="K217" s="9">
        <f>'MKT DATA'!O1575</f>
        <v>0</v>
      </c>
      <c r="L217" s="9">
        <f>'MKT DATA'!P1575</f>
        <v>0</v>
      </c>
      <c r="M217" s="9">
        <f>'MKT DATA'!Q1575</f>
        <v>0</v>
      </c>
      <c r="N217" s="9">
        <f>'MKT DATA'!R1575</f>
        <v>0</v>
      </c>
      <c r="O217" s="9">
        <f>'MKT DATA'!S1575</f>
        <v>0</v>
      </c>
      <c r="P217" s="9">
        <f>'MKT DATA'!T1575</f>
        <v>0</v>
      </c>
      <c r="Q217" s="44" t="str">
        <f t="shared" si="9"/>
        <v>syn BTCG7/BTCZ6/BTCV6/BTCX6/BTCF7</v>
      </c>
      <c r="R217" s="14">
        <f>'MKT DATA'!AB1575</f>
        <v>0</v>
      </c>
    </row>
    <row r="218" spans="5:18" x14ac:dyDescent="0.25">
      <c r="E218" s="44" t="str">
        <f>'MKT DATA'!B1576</f>
        <v>syn BTCG7/BTCZ6/BTCX6/BTCU6/BTCF7</v>
      </c>
      <c r="F218" s="14">
        <f>'MKT DATA'!J1576</f>
        <v>0</v>
      </c>
      <c r="G218" s="9">
        <f>'MKT DATA'!K1576</f>
        <v>0</v>
      </c>
      <c r="H218" s="9">
        <f>'MKT DATA'!L1576</f>
        <v>0</v>
      </c>
      <c r="I218" s="14">
        <f>'MKT DATA'!M1576</f>
        <v>0</v>
      </c>
      <c r="J218" s="44" t="str">
        <f t="shared" si="8"/>
        <v>syn BTCG7/BTCZ6/BTCX6/BTCU6/BTCF7</v>
      </c>
      <c r="K218" s="9">
        <f>'MKT DATA'!O1576</f>
        <v>0</v>
      </c>
      <c r="L218" s="9">
        <f>'MKT DATA'!P1576</f>
        <v>0</v>
      </c>
      <c r="M218" s="9">
        <f>'MKT DATA'!Q1576</f>
        <v>0</v>
      </c>
      <c r="N218" s="9">
        <f>'MKT DATA'!R1576</f>
        <v>0</v>
      </c>
      <c r="O218" s="9">
        <f>'MKT DATA'!S1576</f>
        <v>0</v>
      </c>
      <c r="P218" s="9">
        <f>'MKT DATA'!T1576</f>
        <v>0</v>
      </c>
      <c r="Q218" s="44" t="str">
        <f t="shared" si="9"/>
        <v>syn BTCG7/BTCZ6/BTCX6/BTCU6/BTCF7</v>
      </c>
      <c r="R218" s="14">
        <f>'MKT DATA'!AB1576</f>
        <v>0</v>
      </c>
    </row>
    <row r="219" spans="5:18" x14ac:dyDescent="0.25">
      <c r="E219" s="44" t="str">
        <f>'MKT DATA'!B1577</f>
        <v>syn BTCG7/BTCZ6/BTCX6/BTCV6/BTCF7</v>
      </c>
      <c r="F219" s="14">
        <f>'MKT DATA'!J1577</f>
        <v>0</v>
      </c>
      <c r="G219" s="9">
        <f>'MKT DATA'!K1577</f>
        <v>0</v>
      </c>
      <c r="H219" s="9">
        <f>'MKT DATA'!L1577</f>
        <v>0</v>
      </c>
      <c r="I219" s="14">
        <f>'MKT DATA'!M1577</f>
        <v>0</v>
      </c>
      <c r="J219" s="44" t="str">
        <f t="shared" si="8"/>
        <v>syn BTCG7/BTCZ6/BTCX6/BTCV6/BTCF7</v>
      </c>
      <c r="K219" s="9">
        <f>'MKT DATA'!O1577</f>
        <v>0</v>
      </c>
      <c r="L219" s="9">
        <f>'MKT DATA'!P1577</f>
        <v>0</v>
      </c>
      <c r="M219" s="9">
        <f>'MKT DATA'!Q1577</f>
        <v>0</v>
      </c>
      <c r="N219" s="9">
        <f>'MKT DATA'!R1577</f>
        <v>0</v>
      </c>
      <c r="O219" s="9">
        <f>'MKT DATA'!S1577</f>
        <v>0</v>
      </c>
      <c r="P219" s="9">
        <f>'MKT DATA'!T1577</f>
        <v>0</v>
      </c>
      <c r="Q219" s="44" t="str">
        <f t="shared" si="9"/>
        <v>syn BTCG7/BTCZ6/BTCX6/BTCV6/BTCF7</v>
      </c>
      <c r="R219" s="14">
        <f>'MKT DATA'!AB1577</f>
        <v>0</v>
      </c>
    </row>
    <row r="220" spans="5:18" x14ac:dyDescent="0.25">
      <c r="E220" s="44" t="str">
        <f>'MKT DATA'!B1578</f>
        <v>syn BTCU6/BTCV6/BTCX6/BTCZ6/BTCG7/BTCF7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BTCU6/BTCV6/BTCX6/BTCZ6/BTCG7/BTCF7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BTCU6/BTCV6/BTCX6/BTCZ6/BTCG7/BTCF7</v>
      </c>
      <c r="R220" s="14">
        <f>'MKT DATA'!AB1578</f>
        <v>0</v>
      </c>
    </row>
    <row r="221" spans="5:18" x14ac:dyDescent="0.25">
      <c r="E221" s="44" t="str">
        <f>'MKT DATA'!B1579</f>
        <v>syn BTCU6/BTCV6/BTCX6/BTCG7/BTCZ6/BTCF7</v>
      </c>
      <c r="F221" s="14">
        <f>'MKT DATA'!J1579</f>
        <v>0</v>
      </c>
      <c r="G221" s="9">
        <f>'MKT DATA'!K1579</f>
        <v>0</v>
      </c>
      <c r="H221" s="9">
        <f>'MKT DATA'!L1579</f>
        <v>0</v>
      </c>
      <c r="I221" s="14">
        <f>'MKT DATA'!M1579</f>
        <v>0</v>
      </c>
      <c r="J221" s="44" t="str">
        <f t="shared" si="8"/>
        <v>syn BTCU6/BTCV6/BTCX6/BTCG7/BTCZ6/BTCF7</v>
      </c>
      <c r="K221" s="9">
        <f>'MKT DATA'!O1579</f>
        <v>0</v>
      </c>
      <c r="L221" s="9">
        <f>'MKT DATA'!P1579</f>
        <v>0</v>
      </c>
      <c r="M221" s="9">
        <f>'MKT DATA'!Q1579</f>
        <v>0</v>
      </c>
      <c r="N221" s="9">
        <f>'MKT DATA'!R1579</f>
        <v>0</v>
      </c>
      <c r="O221" s="9">
        <f>'MKT DATA'!S1579</f>
        <v>0</v>
      </c>
      <c r="P221" s="9">
        <f>'MKT DATA'!T1579</f>
        <v>0</v>
      </c>
      <c r="Q221" s="44" t="str">
        <f t="shared" si="9"/>
        <v>syn BTCU6/BTCV6/BTCX6/BTCG7/BTCZ6/BTCF7</v>
      </c>
      <c r="R221" s="14">
        <f>'MKT DATA'!AB1579</f>
        <v>0</v>
      </c>
    </row>
    <row r="222" spans="5:18" x14ac:dyDescent="0.25">
      <c r="E222" s="44" t="str">
        <f>'MKT DATA'!B1580</f>
        <v>syn BTCU6/BTCV6/BTCZ6/BTCX6/BTCG7/BTCF7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BTCU6/BTCV6/BTCZ6/BTCX6/BTCG7/BTCF7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BTCU6/BTCV6/BTCZ6/BTCX6/BTCG7/BTCF7</v>
      </c>
      <c r="R222" s="14">
        <f>'MKT DATA'!AB1580</f>
        <v>0</v>
      </c>
    </row>
    <row r="223" spans="5:18" x14ac:dyDescent="0.25">
      <c r="E223" s="44" t="str">
        <f>'MKT DATA'!B1581</f>
        <v>syn BTCU6/BTCV6/BTCZ6/BTCG7/BTCX6/BTCF7</v>
      </c>
      <c r="F223" s="14">
        <f>'MKT DATA'!J1581</f>
        <v>0</v>
      </c>
      <c r="G223" s="9">
        <f>'MKT DATA'!K1581</f>
        <v>0</v>
      </c>
      <c r="H223" s="9">
        <f>'MKT DATA'!L1581</f>
        <v>0</v>
      </c>
      <c r="I223" s="14">
        <f>'MKT DATA'!M1581</f>
        <v>0</v>
      </c>
      <c r="J223" s="44" t="str">
        <f t="shared" si="8"/>
        <v>syn BTCU6/BTCV6/BTCZ6/BTCG7/BTCX6/BTCF7</v>
      </c>
      <c r="K223" s="9">
        <f>'MKT DATA'!O1581</f>
        <v>0</v>
      </c>
      <c r="L223" s="9">
        <f>'MKT DATA'!P1581</f>
        <v>0</v>
      </c>
      <c r="M223" s="9">
        <f>'MKT DATA'!Q1581</f>
        <v>0</v>
      </c>
      <c r="N223" s="9">
        <f>'MKT DATA'!R1581</f>
        <v>0</v>
      </c>
      <c r="O223" s="9">
        <f>'MKT DATA'!S1581</f>
        <v>0</v>
      </c>
      <c r="P223" s="9">
        <f>'MKT DATA'!T1581</f>
        <v>0</v>
      </c>
      <c r="Q223" s="44" t="str">
        <f t="shared" si="9"/>
        <v>syn BTCU6/BTCV6/BTCZ6/BTCG7/BTCX6/BTCF7</v>
      </c>
      <c r="R223" s="14">
        <f>'MKT DATA'!AB1581</f>
        <v>0</v>
      </c>
    </row>
    <row r="224" spans="5:18" x14ac:dyDescent="0.25">
      <c r="E224" s="44" t="str">
        <f>'MKT DATA'!B1582</f>
        <v>syn BTCU6/BTCV6/BTCG7/BTCX6/BTCZ6/BTCF7</v>
      </c>
      <c r="F224" s="14">
        <f>'MKT DATA'!J1582</f>
        <v>0</v>
      </c>
      <c r="G224" s="9">
        <f>'MKT DATA'!K1582</f>
        <v>0</v>
      </c>
      <c r="H224" s="9">
        <f>'MKT DATA'!L1582</f>
        <v>0</v>
      </c>
      <c r="I224" s="14">
        <f>'MKT DATA'!M1582</f>
        <v>0</v>
      </c>
      <c r="J224" s="44" t="str">
        <f t="shared" si="8"/>
        <v>syn BTCU6/BTCV6/BTCG7/BTCX6/BTCZ6/BTCF7</v>
      </c>
      <c r="K224" s="9">
        <f>'MKT DATA'!O1582</f>
        <v>0</v>
      </c>
      <c r="L224" s="9">
        <f>'MKT DATA'!P1582</f>
        <v>0</v>
      </c>
      <c r="M224" s="9">
        <f>'MKT DATA'!Q1582</f>
        <v>0</v>
      </c>
      <c r="N224" s="9">
        <f>'MKT DATA'!R1582</f>
        <v>0</v>
      </c>
      <c r="O224" s="9">
        <f>'MKT DATA'!S1582</f>
        <v>0</v>
      </c>
      <c r="P224" s="9">
        <f>'MKT DATA'!T1582</f>
        <v>0</v>
      </c>
      <c r="Q224" s="44" t="str">
        <f t="shared" si="9"/>
        <v>syn BTCU6/BTCV6/BTCG7/BTCX6/BTCZ6/BTCF7</v>
      </c>
      <c r="R224" s="14">
        <f>'MKT DATA'!AB1582</f>
        <v>0</v>
      </c>
    </row>
    <row r="225" spans="5:18" x14ac:dyDescent="0.25">
      <c r="E225" s="44" t="str">
        <f>'MKT DATA'!B1583</f>
        <v>syn BTCU6/BTCV6/BTCG7/BTCZ6/BTCX6/BTCF7</v>
      </c>
      <c r="F225" s="14">
        <f>'MKT DATA'!J1583</f>
        <v>0</v>
      </c>
      <c r="G225" s="9">
        <f>'MKT DATA'!K1583</f>
        <v>0</v>
      </c>
      <c r="H225" s="9">
        <f>'MKT DATA'!L1583</f>
        <v>0</v>
      </c>
      <c r="I225" s="14">
        <f>'MKT DATA'!M1583</f>
        <v>0</v>
      </c>
      <c r="J225" s="44" t="str">
        <f t="shared" si="8"/>
        <v>syn BTCU6/BTCV6/BTCG7/BTCZ6/BTCX6/BTCF7</v>
      </c>
      <c r="K225" s="9">
        <f>'MKT DATA'!O1583</f>
        <v>0</v>
      </c>
      <c r="L225" s="9">
        <f>'MKT DATA'!P1583</f>
        <v>0</v>
      </c>
      <c r="M225" s="9">
        <f>'MKT DATA'!Q1583</f>
        <v>0</v>
      </c>
      <c r="N225" s="9">
        <f>'MKT DATA'!R1583</f>
        <v>0</v>
      </c>
      <c r="O225" s="9">
        <f>'MKT DATA'!S1583</f>
        <v>0</v>
      </c>
      <c r="P225" s="9">
        <f>'MKT DATA'!T1583</f>
        <v>0</v>
      </c>
      <c r="Q225" s="44" t="str">
        <f t="shared" si="9"/>
        <v>syn BTCU6/BTCV6/BTCG7/BTCZ6/BTCX6/BTCF7</v>
      </c>
      <c r="R225" s="14">
        <f>'MKT DATA'!AB1583</f>
        <v>0</v>
      </c>
    </row>
    <row r="226" spans="5:18" x14ac:dyDescent="0.25">
      <c r="E226" s="44" t="str">
        <f>'MKT DATA'!B1584</f>
        <v>syn BTCU6/BTCX6/BTCV6/BTCZ6/BTCG7/BTCF7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BTCU6/BTCX6/BTCV6/BTCZ6/BTCG7/BTCF7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BTCU6/BTCX6/BTCV6/BTCZ6/BTCG7/BTCF7</v>
      </c>
      <c r="R226" s="14">
        <f>'MKT DATA'!AB1584</f>
        <v>0</v>
      </c>
    </row>
    <row r="227" spans="5:18" x14ac:dyDescent="0.25">
      <c r="E227" s="44" t="str">
        <f>'MKT DATA'!B1585</f>
        <v>syn BTCU6/BTCX6/BTCV6/BTCG7/BTCZ6/BTCF7</v>
      </c>
      <c r="F227" s="14">
        <f>'MKT DATA'!J1585</f>
        <v>0</v>
      </c>
      <c r="G227" s="9">
        <f>'MKT DATA'!K1585</f>
        <v>0</v>
      </c>
      <c r="H227" s="9">
        <f>'MKT DATA'!L1585</f>
        <v>0</v>
      </c>
      <c r="I227" s="14">
        <f>'MKT DATA'!M1585</f>
        <v>0</v>
      </c>
      <c r="J227" s="44" t="str">
        <f t="shared" si="8"/>
        <v>syn BTCU6/BTCX6/BTCV6/BTCG7/BTCZ6/BTCF7</v>
      </c>
      <c r="K227" s="9">
        <f>'MKT DATA'!O1585</f>
        <v>0</v>
      </c>
      <c r="L227" s="9">
        <f>'MKT DATA'!P1585</f>
        <v>0</v>
      </c>
      <c r="M227" s="9">
        <f>'MKT DATA'!Q1585</f>
        <v>0</v>
      </c>
      <c r="N227" s="9">
        <f>'MKT DATA'!R1585</f>
        <v>0</v>
      </c>
      <c r="O227" s="9">
        <f>'MKT DATA'!S1585</f>
        <v>0</v>
      </c>
      <c r="P227" s="9">
        <f>'MKT DATA'!T1585</f>
        <v>0</v>
      </c>
      <c r="Q227" s="44" t="str">
        <f t="shared" si="9"/>
        <v>syn BTCU6/BTCX6/BTCV6/BTCG7/BTCZ6/BTCF7</v>
      </c>
      <c r="R227" s="14">
        <f>'MKT DATA'!AB1585</f>
        <v>0</v>
      </c>
    </row>
    <row r="228" spans="5:18" x14ac:dyDescent="0.25">
      <c r="E228" s="44" t="str">
        <f>'MKT DATA'!B1586</f>
        <v>syn BTCU6/BTCX6/BTCZ6/BTCV6/BTCG7/BTCF7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BTCU6/BTCX6/BTCZ6/BTCV6/BTCG7/BTCF7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BTCU6/BTCX6/BTCZ6/BTCV6/BTCG7/BTCF7</v>
      </c>
      <c r="R228" s="14">
        <f>'MKT DATA'!AB1586</f>
        <v>0</v>
      </c>
    </row>
    <row r="229" spans="5:18" x14ac:dyDescent="0.25">
      <c r="E229" s="44" t="str">
        <f>'MKT DATA'!B1587</f>
        <v>syn BTCU6/BTCX6/BTCZ6/BTCG7/BTCV6/BTCF7</v>
      </c>
      <c r="F229" s="14">
        <f>'MKT DATA'!J1587</f>
        <v>0</v>
      </c>
      <c r="G229" s="9">
        <f>'MKT DATA'!K1587</f>
        <v>0</v>
      </c>
      <c r="H229" s="9">
        <f>'MKT DATA'!L1587</f>
        <v>0</v>
      </c>
      <c r="I229" s="14">
        <f>'MKT DATA'!M1587</f>
        <v>0</v>
      </c>
      <c r="J229" s="44" t="str">
        <f t="shared" si="8"/>
        <v>syn BTCU6/BTCX6/BTCZ6/BTCG7/BTCV6/BTCF7</v>
      </c>
      <c r="K229" s="9">
        <f>'MKT DATA'!O1587</f>
        <v>0</v>
      </c>
      <c r="L229" s="9">
        <f>'MKT DATA'!P1587</f>
        <v>0</v>
      </c>
      <c r="M229" s="9">
        <f>'MKT DATA'!Q1587</f>
        <v>0</v>
      </c>
      <c r="N229" s="9">
        <f>'MKT DATA'!R1587</f>
        <v>0</v>
      </c>
      <c r="O229" s="9">
        <f>'MKT DATA'!S1587</f>
        <v>0</v>
      </c>
      <c r="P229" s="9">
        <f>'MKT DATA'!T1587</f>
        <v>0</v>
      </c>
      <c r="Q229" s="44" t="str">
        <f t="shared" si="9"/>
        <v>syn BTCU6/BTCX6/BTCZ6/BTCG7/BTCV6/BTCF7</v>
      </c>
      <c r="R229" s="14">
        <f>'MKT DATA'!AB1587</f>
        <v>0</v>
      </c>
    </row>
    <row r="230" spans="5:18" x14ac:dyDescent="0.25">
      <c r="E230" s="44" t="str">
        <f>'MKT DATA'!B1588</f>
        <v>syn BTCU6/BTCX6/BTCG7/BTCV6/BTCZ6/BTCF7</v>
      </c>
      <c r="F230" s="14">
        <f>'MKT DATA'!J1588</f>
        <v>0</v>
      </c>
      <c r="G230" s="9">
        <f>'MKT DATA'!K1588</f>
        <v>0</v>
      </c>
      <c r="H230" s="9">
        <f>'MKT DATA'!L1588</f>
        <v>0</v>
      </c>
      <c r="I230" s="14">
        <f>'MKT DATA'!M1588</f>
        <v>0</v>
      </c>
      <c r="J230" s="44" t="str">
        <f t="shared" si="8"/>
        <v>syn BTCU6/BTCX6/BTCG7/BTCV6/BTCZ6/BTCF7</v>
      </c>
      <c r="K230" s="9">
        <f>'MKT DATA'!O1588</f>
        <v>0</v>
      </c>
      <c r="L230" s="9">
        <f>'MKT DATA'!P1588</f>
        <v>0</v>
      </c>
      <c r="M230" s="9">
        <f>'MKT DATA'!Q1588</f>
        <v>0</v>
      </c>
      <c r="N230" s="9">
        <f>'MKT DATA'!R1588</f>
        <v>0</v>
      </c>
      <c r="O230" s="9">
        <f>'MKT DATA'!S1588</f>
        <v>0</v>
      </c>
      <c r="P230" s="9">
        <f>'MKT DATA'!T1588</f>
        <v>0</v>
      </c>
      <c r="Q230" s="44" t="str">
        <f t="shared" si="9"/>
        <v>syn BTCU6/BTCX6/BTCG7/BTCV6/BTCZ6/BTCF7</v>
      </c>
      <c r="R230" s="14">
        <f>'MKT DATA'!AB1588</f>
        <v>0</v>
      </c>
    </row>
    <row r="231" spans="5:18" x14ac:dyDescent="0.25">
      <c r="E231" s="44" t="str">
        <f>'MKT DATA'!B1589</f>
        <v>syn BTCU6/BTCX6/BTCG7/BTCZ6/BTCV6/BTCF7</v>
      </c>
      <c r="F231" s="14">
        <f>'MKT DATA'!J1589</f>
        <v>0</v>
      </c>
      <c r="G231" s="9">
        <f>'MKT DATA'!K1589</f>
        <v>0</v>
      </c>
      <c r="H231" s="9">
        <f>'MKT DATA'!L1589</f>
        <v>0</v>
      </c>
      <c r="I231" s="14">
        <f>'MKT DATA'!M1589</f>
        <v>0</v>
      </c>
      <c r="J231" s="44" t="str">
        <f t="shared" si="8"/>
        <v>syn BTCU6/BTCX6/BTCG7/BTCZ6/BTCV6/BTCF7</v>
      </c>
      <c r="K231" s="9">
        <f>'MKT DATA'!O1589</f>
        <v>0</v>
      </c>
      <c r="L231" s="9">
        <f>'MKT DATA'!P1589</f>
        <v>0</v>
      </c>
      <c r="M231" s="9">
        <f>'MKT DATA'!Q1589</f>
        <v>0</v>
      </c>
      <c r="N231" s="9">
        <f>'MKT DATA'!R1589</f>
        <v>0</v>
      </c>
      <c r="O231" s="9">
        <f>'MKT DATA'!S1589</f>
        <v>0</v>
      </c>
      <c r="P231" s="9">
        <f>'MKT DATA'!T1589</f>
        <v>0</v>
      </c>
      <c r="Q231" s="44" t="str">
        <f t="shared" si="9"/>
        <v>syn BTCU6/BTCX6/BTCG7/BTCZ6/BTCV6/BTCF7</v>
      </c>
      <c r="R231" s="14">
        <f>'MKT DATA'!AB1589</f>
        <v>0</v>
      </c>
    </row>
    <row r="232" spans="5:18" x14ac:dyDescent="0.25">
      <c r="E232" s="44" t="str">
        <f>'MKT DATA'!B1590</f>
        <v>syn BTCU6/BTCZ6/BTCV6/BTCX6/BTCG7/BTCF7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BTCU6/BTCZ6/BTCV6/BTCX6/BTCG7/BTCF7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BTCU6/BTCZ6/BTCV6/BTCX6/BTCG7/BTCF7</v>
      </c>
      <c r="R232" s="14">
        <f>'MKT DATA'!AB1590</f>
        <v>0</v>
      </c>
    </row>
    <row r="233" spans="5:18" x14ac:dyDescent="0.25">
      <c r="E233" s="44" t="str">
        <f>'MKT DATA'!B1591</f>
        <v>syn BTCU6/BTCZ6/BTCV6/BTCG7/BTCX6/BTCF7</v>
      </c>
      <c r="F233" s="14">
        <f>'MKT DATA'!J1591</f>
        <v>0</v>
      </c>
      <c r="G233" s="9">
        <f>'MKT DATA'!K1591</f>
        <v>0</v>
      </c>
      <c r="H233" s="9">
        <f>'MKT DATA'!L1591</f>
        <v>0</v>
      </c>
      <c r="I233" s="14">
        <f>'MKT DATA'!M1591</f>
        <v>0</v>
      </c>
      <c r="J233" s="44" t="str">
        <f t="shared" si="8"/>
        <v>syn BTCU6/BTCZ6/BTCV6/BTCG7/BTCX6/BTCF7</v>
      </c>
      <c r="K233" s="9">
        <f>'MKT DATA'!O1591</f>
        <v>0</v>
      </c>
      <c r="L233" s="9">
        <f>'MKT DATA'!P1591</f>
        <v>0</v>
      </c>
      <c r="M233" s="9">
        <f>'MKT DATA'!Q1591</f>
        <v>0</v>
      </c>
      <c r="N233" s="9">
        <f>'MKT DATA'!R1591</f>
        <v>0</v>
      </c>
      <c r="O233" s="9">
        <f>'MKT DATA'!S1591</f>
        <v>0</v>
      </c>
      <c r="P233" s="9">
        <f>'MKT DATA'!T1591</f>
        <v>0</v>
      </c>
      <c r="Q233" s="44" t="str">
        <f t="shared" si="9"/>
        <v>syn BTCU6/BTCZ6/BTCV6/BTCG7/BTCX6/BTCF7</v>
      </c>
      <c r="R233" s="14">
        <f>'MKT DATA'!AB1591</f>
        <v>0</v>
      </c>
    </row>
    <row r="234" spans="5:18" x14ac:dyDescent="0.25">
      <c r="E234" s="44" t="str">
        <f>'MKT DATA'!B1592</f>
        <v>syn BTCU6/BTCZ6/BTCX6/BTCV6/BTCG7/BTCF7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BTCU6/BTCZ6/BTCX6/BTCV6/BTCG7/BTCF7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BTCU6/BTCZ6/BTCX6/BTCV6/BTCG7/BTCF7</v>
      </c>
      <c r="R234" s="14">
        <f>'MKT DATA'!AB1592</f>
        <v>0</v>
      </c>
    </row>
    <row r="235" spans="5:18" x14ac:dyDescent="0.25">
      <c r="E235" s="44" t="str">
        <f>'MKT DATA'!B1593</f>
        <v>syn BTCU6/BTCZ6/BTCX6/BTCG7/BTCV6/BTCF7</v>
      </c>
      <c r="F235" s="14">
        <f>'MKT DATA'!J1593</f>
        <v>0</v>
      </c>
      <c r="G235" s="9">
        <f>'MKT DATA'!K1593</f>
        <v>0</v>
      </c>
      <c r="H235" s="9">
        <f>'MKT DATA'!L1593</f>
        <v>0</v>
      </c>
      <c r="I235" s="14">
        <f>'MKT DATA'!M1593</f>
        <v>0</v>
      </c>
      <c r="J235" s="44" t="str">
        <f t="shared" si="8"/>
        <v>syn BTCU6/BTCZ6/BTCX6/BTCG7/BTCV6/BTCF7</v>
      </c>
      <c r="K235" s="9">
        <f>'MKT DATA'!O1593</f>
        <v>0</v>
      </c>
      <c r="L235" s="9">
        <f>'MKT DATA'!P1593</f>
        <v>0</v>
      </c>
      <c r="M235" s="9">
        <f>'MKT DATA'!Q1593</f>
        <v>0</v>
      </c>
      <c r="N235" s="9">
        <f>'MKT DATA'!R1593</f>
        <v>0</v>
      </c>
      <c r="O235" s="9">
        <f>'MKT DATA'!S1593</f>
        <v>0</v>
      </c>
      <c r="P235" s="9">
        <f>'MKT DATA'!T1593</f>
        <v>0</v>
      </c>
      <c r="Q235" s="44" t="str">
        <f t="shared" si="9"/>
        <v>syn BTCU6/BTCZ6/BTCX6/BTCG7/BTCV6/BTCF7</v>
      </c>
      <c r="R235" s="14">
        <f>'MKT DATA'!AB1593</f>
        <v>0</v>
      </c>
    </row>
    <row r="236" spans="5:18" x14ac:dyDescent="0.25">
      <c r="E236" s="44" t="str">
        <f>'MKT DATA'!B1594</f>
        <v>syn BTCU6/BTCZ6/BTCG7/BTCV6/BTCX6/BTCF7</v>
      </c>
      <c r="F236" s="14">
        <f>'MKT DATA'!J1594</f>
        <v>0</v>
      </c>
      <c r="G236" s="9">
        <f>'MKT DATA'!K1594</f>
        <v>0</v>
      </c>
      <c r="H236" s="9">
        <f>'MKT DATA'!L1594</f>
        <v>0</v>
      </c>
      <c r="I236" s="14">
        <f>'MKT DATA'!M1594</f>
        <v>0</v>
      </c>
      <c r="J236" s="44" t="str">
        <f t="shared" si="8"/>
        <v>syn BTCU6/BTCZ6/BTCG7/BTCV6/BTCX6/BTCF7</v>
      </c>
      <c r="K236" s="9">
        <f>'MKT DATA'!O1594</f>
        <v>0</v>
      </c>
      <c r="L236" s="9">
        <f>'MKT DATA'!P1594</f>
        <v>0</v>
      </c>
      <c r="M236" s="9">
        <f>'MKT DATA'!Q1594</f>
        <v>0</v>
      </c>
      <c r="N236" s="9">
        <f>'MKT DATA'!R1594</f>
        <v>0</v>
      </c>
      <c r="O236" s="9">
        <f>'MKT DATA'!S1594</f>
        <v>0</v>
      </c>
      <c r="P236" s="9">
        <f>'MKT DATA'!T1594</f>
        <v>0</v>
      </c>
      <c r="Q236" s="44" t="str">
        <f t="shared" si="9"/>
        <v>syn BTCU6/BTCZ6/BTCG7/BTCV6/BTCX6/BTCF7</v>
      </c>
      <c r="R236" s="14">
        <f>'MKT DATA'!AB1594</f>
        <v>0</v>
      </c>
    </row>
    <row r="237" spans="5:18" x14ac:dyDescent="0.25">
      <c r="E237" s="44" t="str">
        <f>'MKT DATA'!B1595</f>
        <v>syn BTCU6/BTCZ6/BTCG7/BTCX6/BTCV6/BTCF7</v>
      </c>
      <c r="F237" s="14">
        <f>'MKT DATA'!J1595</f>
        <v>0</v>
      </c>
      <c r="G237" s="9">
        <f>'MKT DATA'!K1595</f>
        <v>0</v>
      </c>
      <c r="H237" s="9">
        <f>'MKT DATA'!L1595</f>
        <v>0</v>
      </c>
      <c r="I237" s="14">
        <f>'MKT DATA'!M1595</f>
        <v>0</v>
      </c>
      <c r="J237" s="44" t="str">
        <f t="shared" si="8"/>
        <v>syn BTCU6/BTCZ6/BTCG7/BTCX6/BTCV6/BTCF7</v>
      </c>
      <c r="K237" s="9">
        <f>'MKT DATA'!O1595</f>
        <v>0</v>
      </c>
      <c r="L237" s="9">
        <f>'MKT DATA'!P1595</f>
        <v>0</v>
      </c>
      <c r="M237" s="9">
        <f>'MKT DATA'!Q1595</f>
        <v>0</v>
      </c>
      <c r="N237" s="9">
        <f>'MKT DATA'!R1595</f>
        <v>0</v>
      </c>
      <c r="O237" s="9">
        <f>'MKT DATA'!S1595</f>
        <v>0</v>
      </c>
      <c r="P237" s="9">
        <f>'MKT DATA'!T1595</f>
        <v>0</v>
      </c>
      <c r="Q237" s="44" t="str">
        <f t="shared" si="9"/>
        <v>syn BTCU6/BTCZ6/BTCG7/BTCX6/BTCV6/BTCF7</v>
      </c>
      <c r="R237" s="14">
        <f>'MKT DATA'!AB1595</f>
        <v>0</v>
      </c>
    </row>
    <row r="238" spans="5:18" x14ac:dyDescent="0.25">
      <c r="E238" s="44" t="str">
        <f>'MKT DATA'!B1596</f>
        <v>syn BTCU6/BTCG7/BTCV6/BTCX6/BTCZ6/BTCF7</v>
      </c>
      <c r="F238" s="14">
        <f>'MKT DATA'!J1596</f>
        <v>0</v>
      </c>
      <c r="G238" s="9">
        <f>'MKT DATA'!K1596</f>
        <v>0</v>
      </c>
      <c r="H238" s="9">
        <f>'MKT DATA'!L1596</f>
        <v>0</v>
      </c>
      <c r="I238" s="14">
        <f>'MKT DATA'!M1596</f>
        <v>0</v>
      </c>
      <c r="J238" s="44" t="str">
        <f t="shared" si="8"/>
        <v>syn BTCU6/BTCG7/BTCV6/BTCX6/BTCZ6/BTCF7</v>
      </c>
      <c r="K238" s="9">
        <f>'MKT DATA'!O1596</f>
        <v>0</v>
      </c>
      <c r="L238" s="9">
        <f>'MKT DATA'!P1596</f>
        <v>0</v>
      </c>
      <c r="M238" s="9">
        <f>'MKT DATA'!Q1596</f>
        <v>0</v>
      </c>
      <c r="N238" s="9">
        <f>'MKT DATA'!R1596</f>
        <v>0</v>
      </c>
      <c r="O238" s="9">
        <f>'MKT DATA'!S1596</f>
        <v>0</v>
      </c>
      <c r="P238" s="9">
        <f>'MKT DATA'!T1596</f>
        <v>0</v>
      </c>
      <c r="Q238" s="44" t="str">
        <f t="shared" si="9"/>
        <v>syn BTCU6/BTCG7/BTCV6/BTCX6/BTCZ6/BTCF7</v>
      </c>
      <c r="R238" s="14">
        <f>'MKT DATA'!AB1596</f>
        <v>0</v>
      </c>
    </row>
    <row r="239" spans="5:18" x14ac:dyDescent="0.25">
      <c r="E239" s="44" t="str">
        <f>'MKT DATA'!B1597</f>
        <v>syn BTCU6/BTCG7/BTCV6/BTCZ6/BTCX6/BTCF7</v>
      </c>
      <c r="F239" s="14">
        <f>'MKT DATA'!J1597</f>
        <v>0</v>
      </c>
      <c r="G239" s="9">
        <f>'MKT DATA'!K1597</f>
        <v>0</v>
      </c>
      <c r="H239" s="9">
        <f>'MKT DATA'!L1597</f>
        <v>0</v>
      </c>
      <c r="I239" s="14">
        <f>'MKT DATA'!M1597</f>
        <v>0</v>
      </c>
      <c r="J239" s="44" t="str">
        <f t="shared" si="8"/>
        <v>syn BTCU6/BTCG7/BTCV6/BTCZ6/BTCX6/BTCF7</v>
      </c>
      <c r="K239" s="9">
        <f>'MKT DATA'!O1597</f>
        <v>0</v>
      </c>
      <c r="L239" s="9">
        <f>'MKT DATA'!P1597</f>
        <v>0</v>
      </c>
      <c r="M239" s="9">
        <f>'MKT DATA'!Q1597</f>
        <v>0</v>
      </c>
      <c r="N239" s="9">
        <f>'MKT DATA'!R1597</f>
        <v>0</v>
      </c>
      <c r="O239" s="9">
        <f>'MKT DATA'!S1597</f>
        <v>0</v>
      </c>
      <c r="P239" s="9">
        <f>'MKT DATA'!T1597</f>
        <v>0</v>
      </c>
      <c r="Q239" s="44" t="str">
        <f t="shared" si="9"/>
        <v>syn BTCU6/BTCG7/BTCV6/BTCZ6/BTCX6/BTCF7</v>
      </c>
      <c r="R239" s="14">
        <f>'MKT DATA'!AB1597</f>
        <v>0</v>
      </c>
    </row>
    <row r="240" spans="5:18" x14ac:dyDescent="0.25">
      <c r="E240" s="44" t="str">
        <f>'MKT DATA'!B1598</f>
        <v>syn BTCU6/BTCG7/BTCX6/BTCV6/BTCZ6/BTCF7</v>
      </c>
      <c r="F240" s="14">
        <f>'MKT DATA'!J1598</f>
        <v>0</v>
      </c>
      <c r="G240" s="9">
        <f>'MKT DATA'!K1598</f>
        <v>0</v>
      </c>
      <c r="H240" s="9">
        <f>'MKT DATA'!L1598</f>
        <v>0</v>
      </c>
      <c r="I240" s="14">
        <f>'MKT DATA'!M1598</f>
        <v>0</v>
      </c>
      <c r="J240" s="44" t="str">
        <f t="shared" si="8"/>
        <v>syn BTCU6/BTCG7/BTCX6/BTCV6/BTCZ6/BTCF7</v>
      </c>
      <c r="K240" s="9">
        <f>'MKT DATA'!O1598</f>
        <v>0</v>
      </c>
      <c r="L240" s="9">
        <f>'MKT DATA'!P1598</f>
        <v>0</v>
      </c>
      <c r="M240" s="9">
        <f>'MKT DATA'!Q1598</f>
        <v>0</v>
      </c>
      <c r="N240" s="9">
        <f>'MKT DATA'!R1598</f>
        <v>0</v>
      </c>
      <c r="O240" s="9">
        <f>'MKT DATA'!S1598</f>
        <v>0</v>
      </c>
      <c r="P240" s="9">
        <f>'MKT DATA'!T1598</f>
        <v>0</v>
      </c>
      <c r="Q240" s="44" t="str">
        <f t="shared" si="9"/>
        <v>syn BTCU6/BTCG7/BTCX6/BTCV6/BTCZ6/BTCF7</v>
      </c>
      <c r="R240" s="14">
        <f>'MKT DATA'!AB1598</f>
        <v>0</v>
      </c>
    </row>
    <row r="241" spans="5:18" x14ac:dyDescent="0.25">
      <c r="E241" s="44" t="str">
        <f>'MKT DATA'!B1599</f>
        <v>syn BTCU6/BTCG7/BTCX6/BTCZ6/BTCV6/BTCF7</v>
      </c>
      <c r="F241" s="14">
        <f>'MKT DATA'!J1599</f>
        <v>0</v>
      </c>
      <c r="G241" s="9">
        <f>'MKT DATA'!K1599</f>
        <v>0</v>
      </c>
      <c r="H241" s="9">
        <f>'MKT DATA'!L1599</f>
        <v>0</v>
      </c>
      <c r="I241" s="14">
        <f>'MKT DATA'!M1599</f>
        <v>0</v>
      </c>
      <c r="J241" s="44" t="str">
        <f t="shared" si="8"/>
        <v>syn BTCU6/BTCG7/BTCX6/BTCZ6/BTCV6/BTCF7</v>
      </c>
      <c r="K241" s="9">
        <f>'MKT DATA'!O1599</f>
        <v>0</v>
      </c>
      <c r="L241" s="9">
        <f>'MKT DATA'!P1599</f>
        <v>0</v>
      </c>
      <c r="M241" s="9">
        <f>'MKT DATA'!Q1599</f>
        <v>0</v>
      </c>
      <c r="N241" s="9">
        <f>'MKT DATA'!R1599</f>
        <v>0</v>
      </c>
      <c r="O241" s="9">
        <f>'MKT DATA'!S1599</f>
        <v>0</v>
      </c>
      <c r="P241" s="9">
        <f>'MKT DATA'!T1599</f>
        <v>0</v>
      </c>
      <c r="Q241" s="44" t="str">
        <f t="shared" si="9"/>
        <v>syn BTCU6/BTCG7/BTCX6/BTCZ6/BTCV6/BTCF7</v>
      </c>
      <c r="R241" s="14">
        <f>'MKT DATA'!AB1599</f>
        <v>0</v>
      </c>
    </row>
    <row r="242" spans="5:18" x14ac:dyDescent="0.25">
      <c r="E242" s="44" t="str">
        <f>'MKT DATA'!B1600</f>
        <v>syn BTCU6/BTCG7/BTCZ6/BTCV6/BTCX6/BTCF7</v>
      </c>
      <c r="F242" s="14">
        <f>'MKT DATA'!J1600</f>
        <v>0</v>
      </c>
      <c r="G242" s="9">
        <f>'MKT DATA'!K1600</f>
        <v>0</v>
      </c>
      <c r="H242" s="9">
        <f>'MKT DATA'!L1600</f>
        <v>0</v>
      </c>
      <c r="I242" s="14">
        <f>'MKT DATA'!M1600</f>
        <v>0</v>
      </c>
      <c r="J242" s="44" t="str">
        <f t="shared" si="8"/>
        <v>syn BTCU6/BTCG7/BTCZ6/BTCV6/BTCX6/BTCF7</v>
      </c>
      <c r="K242" s="9">
        <f>'MKT DATA'!O1600</f>
        <v>0</v>
      </c>
      <c r="L242" s="9">
        <f>'MKT DATA'!P1600</f>
        <v>0</v>
      </c>
      <c r="M242" s="9">
        <f>'MKT DATA'!Q1600</f>
        <v>0</v>
      </c>
      <c r="N242" s="9">
        <f>'MKT DATA'!R1600</f>
        <v>0</v>
      </c>
      <c r="O242" s="9">
        <f>'MKT DATA'!S1600</f>
        <v>0</v>
      </c>
      <c r="P242" s="9">
        <f>'MKT DATA'!T1600</f>
        <v>0</v>
      </c>
      <c r="Q242" s="44" t="str">
        <f t="shared" si="9"/>
        <v>syn BTCU6/BTCG7/BTCZ6/BTCV6/BTCX6/BTCF7</v>
      </c>
      <c r="R242" s="14">
        <f>'MKT DATA'!AB1600</f>
        <v>0</v>
      </c>
    </row>
    <row r="243" spans="5:18" x14ac:dyDescent="0.25">
      <c r="E243" s="44" t="str">
        <f>'MKT DATA'!B1601</f>
        <v>syn BTCU6/BTCG7/BTCZ6/BTCX6/BTCV6/BTCF7</v>
      </c>
      <c r="F243" s="14">
        <f>'MKT DATA'!J1601</f>
        <v>0</v>
      </c>
      <c r="G243" s="9">
        <f>'MKT DATA'!K1601</f>
        <v>0</v>
      </c>
      <c r="H243" s="9">
        <f>'MKT DATA'!L1601</f>
        <v>0</v>
      </c>
      <c r="I243" s="14">
        <f>'MKT DATA'!M1601</f>
        <v>0</v>
      </c>
      <c r="J243" s="44" t="str">
        <f t="shared" si="8"/>
        <v>syn BTCU6/BTCG7/BTCZ6/BTCX6/BTCV6/BTCF7</v>
      </c>
      <c r="K243" s="9">
        <f>'MKT DATA'!O1601</f>
        <v>0</v>
      </c>
      <c r="L243" s="9">
        <f>'MKT DATA'!P1601</f>
        <v>0</v>
      </c>
      <c r="M243" s="9">
        <f>'MKT DATA'!Q1601</f>
        <v>0</v>
      </c>
      <c r="N243" s="9">
        <f>'MKT DATA'!R1601</f>
        <v>0</v>
      </c>
      <c r="O243" s="9">
        <f>'MKT DATA'!S1601</f>
        <v>0</v>
      </c>
      <c r="P243" s="9">
        <f>'MKT DATA'!T1601</f>
        <v>0</v>
      </c>
      <c r="Q243" s="44" t="str">
        <f t="shared" si="9"/>
        <v>syn BTCU6/BTCG7/BTCZ6/BTCX6/BTCV6/BTCF7</v>
      </c>
      <c r="R243" s="14">
        <f>'MKT DATA'!AB1601</f>
        <v>0</v>
      </c>
    </row>
    <row r="244" spans="5:18" x14ac:dyDescent="0.25">
      <c r="E244" s="44" t="str">
        <f>'MKT DATA'!B1602</f>
        <v>syn BTCV6/BTCU6/BTCX6/BTCZ6/BTCG7/BTCF7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BTCV6/BTCU6/BTCX6/BTCZ6/BTCG7/BTCF7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BTCV6/BTCU6/BTCX6/BTCZ6/BTCG7/BTCF7</v>
      </c>
      <c r="R244" s="14">
        <f>'MKT DATA'!AB1602</f>
        <v>0</v>
      </c>
    </row>
    <row r="245" spans="5:18" x14ac:dyDescent="0.25">
      <c r="E245" s="44" t="str">
        <f>'MKT DATA'!B1603</f>
        <v>syn BTCV6/BTCU6/BTCX6/BTCG7/BTCZ6/BTCF7</v>
      </c>
      <c r="F245" s="14">
        <f>'MKT DATA'!J1603</f>
        <v>0</v>
      </c>
      <c r="G245" s="9">
        <f>'MKT DATA'!K1603</f>
        <v>0</v>
      </c>
      <c r="H245" s="9">
        <f>'MKT DATA'!L1603</f>
        <v>0</v>
      </c>
      <c r="I245" s="14">
        <f>'MKT DATA'!M1603</f>
        <v>0</v>
      </c>
      <c r="J245" s="44" t="str">
        <f t="shared" si="8"/>
        <v>syn BTCV6/BTCU6/BTCX6/BTCG7/BTCZ6/BTCF7</v>
      </c>
      <c r="K245" s="9">
        <f>'MKT DATA'!O1603</f>
        <v>0</v>
      </c>
      <c r="L245" s="9">
        <f>'MKT DATA'!P1603</f>
        <v>0</v>
      </c>
      <c r="M245" s="9">
        <f>'MKT DATA'!Q1603</f>
        <v>0</v>
      </c>
      <c r="N245" s="9">
        <f>'MKT DATA'!R1603</f>
        <v>0</v>
      </c>
      <c r="O245" s="9">
        <f>'MKT DATA'!S1603</f>
        <v>0</v>
      </c>
      <c r="P245" s="9">
        <f>'MKT DATA'!T1603</f>
        <v>0</v>
      </c>
      <c r="Q245" s="44" t="str">
        <f t="shared" si="9"/>
        <v>syn BTCV6/BTCU6/BTCX6/BTCG7/BTCZ6/BTCF7</v>
      </c>
      <c r="R245" s="14">
        <f>'MKT DATA'!AB1603</f>
        <v>0</v>
      </c>
    </row>
    <row r="246" spans="5:18" x14ac:dyDescent="0.25">
      <c r="E246" s="44" t="str">
        <f>'MKT DATA'!B1604</f>
        <v>syn BTCV6/BTCU6/BTCZ6/BTCX6/BTCG7/BTCF7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BTCV6/BTCU6/BTCZ6/BTCX6/BTCG7/BTCF7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BTCV6/BTCU6/BTCZ6/BTCX6/BTCG7/BTCF7</v>
      </c>
      <c r="R246" s="14">
        <f>'MKT DATA'!AB1604</f>
        <v>0</v>
      </c>
    </row>
    <row r="247" spans="5:18" x14ac:dyDescent="0.25">
      <c r="E247" s="44" t="str">
        <f>'MKT DATA'!B1605</f>
        <v>syn BTCV6/BTCU6/BTCZ6/BTCG7/BTCX6/BTCF7</v>
      </c>
      <c r="F247" s="14">
        <f>'MKT DATA'!J1605</f>
        <v>0</v>
      </c>
      <c r="G247" s="9">
        <f>'MKT DATA'!K1605</f>
        <v>0</v>
      </c>
      <c r="H247" s="9">
        <f>'MKT DATA'!L1605</f>
        <v>0</v>
      </c>
      <c r="I247" s="14">
        <f>'MKT DATA'!M1605</f>
        <v>0</v>
      </c>
      <c r="J247" s="44" t="str">
        <f t="shared" si="8"/>
        <v>syn BTCV6/BTCU6/BTCZ6/BTCG7/BTCX6/BTCF7</v>
      </c>
      <c r="K247" s="9">
        <f>'MKT DATA'!O1605</f>
        <v>0</v>
      </c>
      <c r="L247" s="9">
        <f>'MKT DATA'!P1605</f>
        <v>0</v>
      </c>
      <c r="M247" s="9">
        <f>'MKT DATA'!Q1605</f>
        <v>0</v>
      </c>
      <c r="N247" s="9">
        <f>'MKT DATA'!R1605</f>
        <v>0</v>
      </c>
      <c r="O247" s="9">
        <f>'MKT DATA'!S1605</f>
        <v>0</v>
      </c>
      <c r="P247" s="9">
        <f>'MKT DATA'!T1605</f>
        <v>0</v>
      </c>
      <c r="Q247" s="44" t="str">
        <f t="shared" si="9"/>
        <v>syn BTCV6/BTCU6/BTCZ6/BTCG7/BTCX6/BTCF7</v>
      </c>
      <c r="R247" s="14">
        <f>'MKT DATA'!AB1605</f>
        <v>0</v>
      </c>
    </row>
    <row r="248" spans="5:18" x14ac:dyDescent="0.25">
      <c r="E248" s="44" t="str">
        <f>'MKT DATA'!B1606</f>
        <v>syn BTCV6/BTCU6/BTCG7/BTCX6/BTCZ6/BTCF7</v>
      </c>
      <c r="F248" s="14">
        <f>'MKT DATA'!J1606</f>
        <v>0</v>
      </c>
      <c r="G248" s="9">
        <f>'MKT DATA'!K1606</f>
        <v>0</v>
      </c>
      <c r="H248" s="9">
        <f>'MKT DATA'!L1606</f>
        <v>0</v>
      </c>
      <c r="I248" s="14">
        <f>'MKT DATA'!M1606</f>
        <v>0</v>
      </c>
      <c r="J248" s="44" t="str">
        <f t="shared" si="8"/>
        <v>syn BTCV6/BTCU6/BTCG7/BTCX6/BTCZ6/BTCF7</v>
      </c>
      <c r="K248" s="9">
        <f>'MKT DATA'!O1606</f>
        <v>0</v>
      </c>
      <c r="L248" s="9">
        <f>'MKT DATA'!P1606</f>
        <v>0</v>
      </c>
      <c r="M248" s="9">
        <f>'MKT DATA'!Q1606</f>
        <v>0</v>
      </c>
      <c r="N248" s="9">
        <f>'MKT DATA'!R1606</f>
        <v>0</v>
      </c>
      <c r="O248" s="9">
        <f>'MKT DATA'!S1606</f>
        <v>0</v>
      </c>
      <c r="P248" s="9">
        <f>'MKT DATA'!T1606</f>
        <v>0</v>
      </c>
      <c r="Q248" s="44" t="str">
        <f t="shared" si="9"/>
        <v>syn BTCV6/BTCU6/BTCG7/BTCX6/BTCZ6/BTCF7</v>
      </c>
      <c r="R248" s="14">
        <f>'MKT DATA'!AB1606</f>
        <v>0</v>
      </c>
    </row>
    <row r="249" spans="5:18" x14ac:dyDescent="0.25">
      <c r="E249" s="44" t="str">
        <f>'MKT DATA'!B1607</f>
        <v>syn BTCV6/BTCU6/BTCG7/BTCZ6/BTCX6/BTCF7</v>
      </c>
      <c r="F249" s="14">
        <f>'MKT DATA'!J1607</f>
        <v>0</v>
      </c>
      <c r="G249" s="9">
        <f>'MKT DATA'!K1607</f>
        <v>0</v>
      </c>
      <c r="H249" s="9">
        <f>'MKT DATA'!L1607</f>
        <v>0</v>
      </c>
      <c r="I249" s="14">
        <f>'MKT DATA'!M1607</f>
        <v>0</v>
      </c>
      <c r="J249" s="44" t="str">
        <f t="shared" si="8"/>
        <v>syn BTCV6/BTCU6/BTCG7/BTCZ6/BTCX6/BTCF7</v>
      </c>
      <c r="K249" s="9">
        <f>'MKT DATA'!O1607</f>
        <v>0</v>
      </c>
      <c r="L249" s="9">
        <f>'MKT DATA'!P1607</f>
        <v>0</v>
      </c>
      <c r="M249" s="9">
        <f>'MKT DATA'!Q1607</f>
        <v>0</v>
      </c>
      <c r="N249" s="9">
        <f>'MKT DATA'!R1607</f>
        <v>0</v>
      </c>
      <c r="O249" s="9">
        <f>'MKT DATA'!S1607</f>
        <v>0</v>
      </c>
      <c r="P249" s="9">
        <f>'MKT DATA'!T1607</f>
        <v>0</v>
      </c>
      <c r="Q249" s="44" t="str">
        <f t="shared" si="9"/>
        <v>syn BTCV6/BTCU6/BTCG7/BTCZ6/BTCX6/BTCF7</v>
      </c>
      <c r="R249" s="14">
        <f>'MKT DATA'!AB1607</f>
        <v>0</v>
      </c>
    </row>
    <row r="250" spans="5:18" x14ac:dyDescent="0.25">
      <c r="E250" s="44" t="str">
        <f>'MKT DATA'!B1608</f>
        <v>syn BTCV6/BTCX6/BTCU6/BTCZ6/BTCG7/BTCF7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BTCV6/BTCX6/BTCU6/BTCZ6/BTCG7/BTCF7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BTCV6/BTCX6/BTCU6/BTCZ6/BTCG7/BTCF7</v>
      </c>
      <c r="R250" s="14">
        <f>'MKT DATA'!AB1608</f>
        <v>0</v>
      </c>
    </row>
    <row r="251" spans="5:18" x14ac:dyDescent="0.25">
      <c r="E251" s="44" t="str">
        <f>'MKT DATA'!B1609</f>
        <v>syn BTCV6/BTCX6/BTCU6/BTCG7/BTCZ6/BTCF7</v>
      </c>
      <c r="F251" s="14">
        <f>'MKT DATA'!J1609</f>
        <v>0</v>
      </c>
      <c r="G251" s="9">
        <f>'MKT DATA'!K1609</f>
        <v>0</v>
      </c>
      <c r="H251" s="9">
        <f>'MKT DATA'!L1609</f>
        <v>0</v>
      </c>
      <c r="I251" s="14">
        <f>'MKT DATA'!M1609</f>
        <v>0</v>
      </c>
      <c r="J251" s="44" t="str">
        <f t="shared" si="8"/>
        <v>syn BTCV6/BTCX6/BTCU6/BTCG7/BTCZ6/BTCF7</v>
      </c>
      <c r="K251" s="9">
        <f>'MKT DATA'!O1609</f>
        <v>0</v>
      </c>
      <c r="L251" s="9">
        <f>'MKT DATA'!P1609</f>
        <v>0</v>
      </c>
      <c r="M251" s="9">
        <f>'MKT DATA'!Q1609</f>
        <v>0</v>
      </c>
      <c r="N251" s="9">
        <f>'MKT DATA'!R1609</f>
        <v>0</v>
      </c>
      <c r="O251" s="9">
        <f>'MKT DATA'!S1609</f>
        <v>0</v>
      </c>
      <c r="P251" s="9">
        <f>'MKT DATA'!T1609</f>
        <v>0</v>
      </c>
      <c r="Q251" s="44" t="str">
        <f t="shared" si="9"/>
        <v>syn BTCV6/BTCX6/BTCU6/BTCG7/BTCZ6/BTCF7</v>
      </c>
      <c r="R251" s="14">
        <f>'MKT DATA'!AB1609</f>
        <v>0</v>
      </c>
    </row>
    <row r="252" spans="5:18" x14ac:dyDescent="0.25">
      <c r="E252" s="44" t="str">
        <f>'MKT DATA'!B1610</f>
        <v>syn BTCV6/BTCX6/BTCZ6/BTCU6/BTCG7/BTCF7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BTCV6/BTCX6/BTCZ6/BTCU6/BTCG7/BTCF7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BTCV6/BTCX6/BTCZ6/BTCU6/BTCG7/BTCF7</v>
      </c>
      <c r="R252" s="14">
        <f>'MKT DATA'!AB1610</f>
        <v>0</v>
      </c>
    </row>
    <row r="253" spans="5:18" x14ac:dyDescent="0.25">
      <c r="E253" s="44" t="str">
        <f>'MKT DATA'!B1611</f>
        <v>syn BTCV6/BTCX6/BTCZ6/BTCG7/BTCU6/BTCF7</v>
      </c>
      <c r="F253" s="14">
        <f>'MKT DATA'!J1611</f>
        <v>0</v>
      </c>
      <c r="G253" s="9">
        <f>'MKT DATA'!K1611</f>
        <v>0</v>
      </c>
      <c r="H253" s="9">
        <f>'MKT DATA'!L1611</f>
        <v>0</v>
      </c>
      <c r="I253" s="14">
        <f>'MKT DATA'!M1611</f>
        <v>0</v>
      </c>
      <c r="J253" s="44" t="str">
        <f t="shared" si="8"/>
        <v>syn BTCV6/BTCX6/BTCZ6/BTCG7/BTCU6/BTCF7</v>
      </c>
      <c r="K253" s="9">
        <f>'MKT DATA'!O1611</f>
        <v>0</v>
      </c>
      <c r="L253" s="9">
        <f>'MKT DATA'!P1611</f>
        <v>0</v>
      </c>
      <c r="M253" s="9">
        <f>'MKT DATA'!Q1611</f>
        <v>0</v>
      </c>
      <c r="N253" s="9">
        <f>'MKT DATA'!R1611</f>
        <v>0</v>
      </c>
      <c r="O253" s="9">
        <f>'MKT DATA'!S1611</f>
        <v>0</v>
      </c>
      <c r="P253" s="9">
        <f>'MKT DATA'!T1611</f>
        <v>0</v>
      </c>
      <c r="Q253" s="44" t="str">
        <f t="shared" si="9"/>
        <v>syn BTCV6/BTCX6/BTCZ6/BTCG7/BTCU6/BTCF7</v>
      </c>
      <c r="R253" s="14">
        <f>'MKT DATA'!AB1611</f>
        <v>0</v>
      </c>
    </row>
    <row r="254" spans="5:18" x14ac:dyDescent="0.25">
      <c r="E254" s="44" t="str">
        <f>'MKT DATA'!B1612</f>
        <v>syn BTCV6/BTCX6/BTCG7/BTCU6/BTCZ6/BTCF7</v>
      </c>
      <c r="F254" s="14">
        <f>'MKT DATA'!J1612</f>
        <v>0</v>
      </c>
      <c r="G254" s="9">
        <f>'MKT DATA'!K1612</f>
        <v>0</v>
      </c>
      <c r="H254" s="9">
        <f>'MKT DATA'!L1612</f>
        <v>0</v>
      </c>
      <c r="I254" s="14">
        <f>'MKT DATA'!M1612</f>
        <v>0</v>
      </c>
      <c r="J254" s="44" t="str">
        <f t="shared" si="8"/>
        <v>syn BTCV6/BTCX6/BTCG7/BTCU6/BTCZ6/BTCF7</v>
      </c>
      <c r="K254" s="9">
        <f>'MKT DATA'!O1612</f>
        <v>0</v>
      </c>
      <c r="L254" s="9">
        <f>'MKT DATA'!P1612</f>
        <v>0</v>
      </c>
      <c r="M254" s="9">
        <f>'MKT DATA'!Q1612</f>
        <v>0</v>
      </c>
      <c r="N254" s="9">
        <f>'MKT DATA'!R1612</f>
        <v>0</v>
      </c>
      <c r="O254" s="9">
        <f>'MKT DATA'!S1612</f>
        <v>0</v>
      </c>
      <c r="P254" s="9">
        <f>'MKT DATA'!T1612</f>
        <v>0</v>
      </c>
      <c r="Q254" s="44" t="str">
        <f t="shared" si="9"/>
        <v>syn BTCV6/BTCX6/BTCG7/BTCU6/BTCZ6/BTCF7</v>
      </c>
      <c r="R254" s="14">
        <f>'MKT DATA'!AB1612</f>
        <v>0</v>
      </c>
    </row>
    <row r="255" spans="5:18" x14ac:dyDescent="0.25">
      <c r="E255" s="44" t="str">
        <f>'MKT DATA'!B1613</f>
        <v>syn BTCV6/BTCX6/BTCG7/BTCZ6/BTCU6/BTCF7</v>
      </c>
      <c r="F255" s="14">
        <f>'MKT DATA'!J1613</f>
        <v>0</v>
      </c>
      <c r="G255" s="9">
        <f>'MKT DATA'!K1613</f>
        <v>0</v>
      </c>
      <c r="H255" s="9">
        <f>'MKT DATA'!L1613</f>
        <v>0</v>
      </c>
      <c r="I255" s="14">
        <f>'MKT DATA'!M1613</f>
        <v>0</v>
      </c>
      <c r="J255" s="44" t="str">
        <f t="shared" si="8"/>
        <v>syn BTCV6/BTCX6/BTCG7/BTCZ6/BTCU6/BTCF7</v>
      </c>
      <c r="K255" s="9">
        <f>'MKT DATA'!O1613</f>
        <v>0</v>
      </c>
      <c r="L255" s="9">
        <f>'MKT DATA'!P1613</f>
        <v>0</v>
      </c>
      <c r="M255" s="9">
        <f>'MKT DATA'!Q1613</f>
        <v>0</v>
      </c>
      <c r="N255" s="9">
        <f>'MKT DATA'!R1613</f>
        <v>0</v>
      </c>
      <c r="O255" s="9">
        <f>'MKT DATA'!S1613</f>
        <v>0</v>
      </c>
      <c r="P255" s="9">
        <f>'MKT DATA'!T1613</f>
        <v>0</v>
      </c>
      <c r="Q255" s="44" t="str">
        <f t="shared" si="9"/>
        <v>syn BTCV6/BTCX6/BTCG7/BTCZ6/BTCU6/BTCF7</v>
      </c>
      <c r="R255" s="14">
        <f>'MKT DATA'!AB1613</f>
        <v>0</v>
      </c>
    </row>
    <row r="256" spans="5:18" x14ac:dyDescent="0.25">
      <c r="E256" s="44" t="str">
        <f>'MKT DATA'!B1614</f>
        <v>syn BTCV6/BTCZ6/BTCU6/BTCX6/BTCG7/BTCF7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BTCV6/BTCZ6/BTCU6/BTCX6/BTCG7/BTCF7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BTCV6/BTCZ6/BTCU6/BTCX6/BTCG7/BTCF7</v>
      </c>
      <c r="R256" s="14">
        <f>'MKT DATA'!AB1614</f>
        <v>0</v>
      </c>
    </row>
    <row r="257" spans="5:18" x14ac:dyDescent="0.25">
      <c r="E257" s="44" t="str">
        <f>'MKT DATA'!B1615</f>
        <v>syn BTCV6/BTCZ6/BTCU6/BTCG7/BTCX6/BTCF7</v>
      </c>
      <c r="F257" s="14">
        <f>'MKT DATA'!J1615</f>
        <v>0</v>
      </c>
      <c r="G257" s="9">
        <f>'MKT DATA'!K1615</f>
        <v>0</v>
      </c>
      <c r="H257" s="9">
        <f>'MKT DATA'!L1615</f>
        <v>0</v>
      </c>
      <c r="I257" s="14">
        <f>'MKT DATA'!M1615</f>
        <v>0</v>
      </c>
      <c r="J257" s="44" t="str">
        <f t="shared" si="8"/>
        <v>syn BTCV6/BTCZ6/BTCU6/BTCG7/BTCX6/BTCF7</v>
      </c>
      <c r="K257" s="9">
        <f>'MKT DATA'!O1615</f>
        <v>0</v>
      </c>
      <c r="L257" s="9">
        <f>'MKT DATA'!P1615</f>
        <v>0</v>
      </c>
      <c r="M257" s="9">
        <f>'MKT DATA'!Q1615</f>
        <v>0</v>
      </c>
      <c r="N257" s="9">
        <f>'MKT DATA'!R1615</f>
        <v>0</v>
      </c>
      <c r="O257" s="9">
        <f>'MKT DATA'!S1615</f>
        <v>0</v>
      </c>
      <c r="P257" s="9">
        <f>'MKT DATA'!T1615</f>
        <v>0</v>
      </c>
      <c r="Q257" s="44" t="str">
        <f t="shared" si="9"/>
        <v>syn BTCV6/BTCZ6/BTCU6/BTCG7/BTCX6/BTCF7</v>
      </c>
      <c r="R257" s="14">
        <f>'MKT DATA'!AB1615</f>
        <v>0</v>
      </c>
    </row>
    <row r="258" spans="5:18" x14ac:dyDescent="0.25">
      <c r="E258" s="44" t="str">
        <f>'MKT DATA'!B1616</f>
        <v>syn BTCV6/BTCZ6/BTCX6/BTCU6/BTCG7/BTCF7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BTCV6/BTCZ6/BTCX6/BTCU6/BTCG7/BTCF7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BTCV6/BTCZ6/BTCX6/BTCU6/BTCG7/BTCF7</v>
      </c>
      <c r="R258" s="14">
        <f>'MKT DATA'!AB1616</f>
        <v>0</v>
      </c>
    </row>
    <row r="259" spans="5:18" x14ac:dyDescent="0.25">
      <c r="E259" s="44" t="str">
        <f>'MKT DATA'!B1617</f>
        <v>syn BTCV6/BTCZ6/BTCX6/BTCG7/BTCU6/BTCF7</v>
      </c>
      <c r="F259" s="14">
        <f>'MKT DATA'!J1617</f>
        <v>0</v>
      </c>
      <c r="G259" s="9">
        <f>'MKT DATA'!K1617</f>
        <v>0</v>
      </c>
      <c r="H259" s="9">
        <f>'MKT DATA'!L1617</f>
        <v>0</v>
      </c>
      <c r="I259" s="14">
        <f>'MKT DATA'!M1617</f>
        <v>0</v>
      </c>
      <c r="J259" s="44" t="str">
        <f t="shared" si="8"/>
        <v>syn BTCV6/BTCZ6/BTCX6/BTCG7/BTCU6/BTCF7</v>
      </c>
      <c r="K259" s="9">
        <f>'MKT DATA'!O1617</f>
        <v>0</v>
      </c>
      <c r="L259" s="9">
        <f>'MKT DATA'!P1617</f>
        <v>0</v>
      </c>
      <c r="M259" s="9">
        <f>'MKT DATA'!Q1617</f>
        <v>0</v>
      </c>
      <c r="N259" s="9">
        <f>'MKT DATA'!R1617</f>
        <v>0</v>
      </c>
      <c r="O259" s="9">
        <f>'MKT DATA'!S1617</f>
        <v>0</v>
      </c>
      <c r="P259" s="9">
        <f>'MKT DATA'!T1617</f>
        <v>0</v>
      </c>
      <c r="Q259" s="44" t="str">
        <f t="shared" si="9"/>
        <v>syn BTCV6/BTCZ6/BTCX6/BTCG7/BTCU6/BTCF7</v>
      </c>
      <c r="R259" s="14">
        <f>'MKT DATA'!AB1617</f>
        <v>0</v>
      </c>
    </row>
    <row r="260" spans="5:18" x14ac:dyDescent="0.25">
      <c r="E260" s="44" t="str">
        <f>'MKT DATA'!B1618</f>
        <v>syn BTCV6/BTCZ6/BTCG7/BTCU6/BTCX6/BTCF7</v>
      </c>
      <c r="F260" s="14">
        <f>'MKT DATA'!J1618</f>
        <v>0</v>
      </c>
      <c r="G260" s="9">
        <f>'MKT DATA'!K1618</f>
        <v>0</v>
      </c>
      <c r="H260" s="9">
        <f>'MKT DATA'!L1618</f>
        <v>0</v>
      </c>
      <c r="I260" s="14">
        <f>'MKT DATA'!M1618</f>
        <v>0</v>
      </c>
      <c r="J260" s="44" t="str">
        <f t="shared" si="8"/>
        <v>syn BTCV6/BTCZ6/BTCG7/BTCU6/BTCX6/BTCF7</v>
      </c>
      <c r="K260" s="9">
        <f>'MKT DATA'!O1618</f>
        <v>0</v>
      </c>
      <c r="L260" s="9">
        <f>'MKT DATA'!P1618</f>
        <v>0</v>
      </c>
      <c r="M260" s="9">
        <f>'MKT DATA'!Q1618</f>
        <v>0</v>
      </c>
      <c r="N260" s="9">
        <f>'MKT DATA'!R1618</f>
        <v>0</v>
      </c>
      <c r="O260" s="9">
        <f>'MKT DATA'!S1618</f>
        <v>0</v>
      </c>
      <c r="P260" s="9">
        <f>'MKT DATA'!T1618</f>
        <v>0</v>
      </c>
      <c r="Q260" s="44" t="str">
        <f t="shared" si="9"/>
        <v>syn BTCV6/BTCZ6/BTCG7/BTCU6/BTCX6/BTCF7</v>
      </c>
      <c r="R260" s="14">
        <f>'MKT DATA'!AB1618</f>
        <v>0</v>
      </c>
    </row>
    <row r="261" spans="5:18" x14ac:dyDescent="0.25">
      <c r="E261" s="44" t="str">
        <f>'MKT DATA'!B1619</f>
        <v>syn BTCV6/BTCZ6/BTCG7/BTCX6/BTCU6/BTCF7</v>
      </c>
      <c r="F261" s="14">
        <f>'MKT DATA'!J1619</f>
        <v>0</v>
      </c>
      <c r="G261" s="9">
        <f>'MKT DATA'!K1619</f>
        <v>0</v>
      </c>
      <c r="H261" s="9">
        <f>'MKT DATA'!L1619</f>
        <v>0</v>
      </c>
      <c r="I261" s="14">
        <f>'MKT DATA'!M1619</f>
        <v>0</v>
      </c>
      <c r="J261" s="44" t="str">
        <f t="shared" si="8"/>
        <v>syn BTCV6/BTCZ6/BTCG7/BTCX6/BTCU6/BTCF7</v>
      </c>
      <c r="K261" s="9">
        <f>'MKT DATA'!O1619</f>
        <v>0</v>
      </c>
      <c r="L261" s="9">
        <f>'MKT DATA'!P1619</f>
        <v>0</v>
      </c>
      <c r="M261" s="9">
        <f>'MKT DATA'!Q1619</f>
        <v>0</v>
      </c>
      <c r="N261" s="9">
        <f>'MKT DATA'!R1619</f>
        <v>0</v>
      </c>
      <c r="O261" s="9">
        <f>'MKT DATA'!S1619</f>
        <v>0</v>
      </c>
      <c r="P261" s="9">
        <f>'MKT DATA'!T1619</f>
        <v>0</v>
      </c>
      <c r="Q261" s="44" t="str">
        <f t="shared" si="9"/>
        <v>syn BTCV6/BTCZ6/BTCG7/BTCX6/BTCU6/BTCF7</v>
      </c>
      <c r="R261" s="14">
        <f>'MKT DATA'!AB1619</f>
        <v>0</v>
      </c>
    </row>
    <row r="262" spans="5:18" x14ac:dyDescent="0.25">
      <c r="E262" s="44" t="str">
        <f>'MKT DATA'!B1620</f>
        <v>syn BTCV6/BTCG7/BTCU6/BTCX6/BTCZ6/BTCF7</v>
      </c>
      <c r="F262" s="14">
        <f>'MKT DATA'!J1620</f>
        <v>0</v>
      </c>
      <c r="G262" s="9">
        <f>'MKT DATA'!K1620</f>
        <v>0</v>
      </c>
      <c r="H262" s="9">
        <f>'MKT DATA'!L1620</f>
        <v>0</v>
      </c>
      <c r="I262" s="14">
        <f>'MKT DATA'!M1620</f>
        <v>0</v>
      </c>
      <c r="J262" s="44" t="str">
        <f t="shared" si="8"/>
        <v>syn BTCV6/BTCG7/BTCU6/BTCX6/BTCZ6/BTCF7</v>
      </c>
      <c r="K262" s="9">
        <f>'MKT DATA'!O1620</f>
        <v>0</v>
      </c>
      <c r="L262" s="9">
        <f>'MKT DATA'!P1620</f>
        <v>0</v>
      </c>
      <c r="M262" s="9">
        <f>'MKT DATA'!Q1620</f>
        <v>0</v>
      </c>
      <c r="N262" s="9">
        <f>'MKT DATA'!R1620</f>
        <v>0</v>
      </c>
      <c r="O262" s="9">
        <f>'MKT DATA'!S1620</f>
        <v>0</v>
      </c>
      <c r="P262" s="9">
        <f>'MKT DATA'!T1620</f>
        <v>0</v>
      </c>
      <c r="Q262" s="44" t="str">
        <f t="shared" si="9"/>
        <v>syn BTCV6/BTCG7/BTCU6/BTCX6/BTCZ6/BTCF7</v>
      </c>
      <c r="R262" s="14">
        <f>'MKT DATA'!AB1620</f>
        <v>0</v>
      </c>
    </row>
    <row r="263" spans="5:18" x14ac:dyDescent="0.25">
      <c r="E263" s="44" t="str">
        <f>'MKT DATA'!B1621</f>
        <v>syn BTCV6/BTCG7/BTCU6/BTCZ6/BTCX6/BTCF7</v>
      </c>
      <c r="F263" s="14">
        <f>'MKT DATA'!J1621</f>
        <v>0</v>
      </c>
      <c r="G263" s="9">
        <f>'MKT DATA'!K1621</f>
        <v>0</v>
      </c>
      <c r="H263" s="9">
        <f>'MKT DATA'!L1621</f>
        <v>0</v>
      </c>
      <c r="I263" s="14">
        <f>'MKT DATA'!M1621</f>
        <v>0</v>
      </c>
      <c r="J263" s="44" t="str">
        <f t="shared" si="8"/>
        <v>syn BTCV6/BTCG7/BTCU6/BTCZ6/BTCX6/BTCF7</v>
      </c>
      <c r="K263" s="9">
        <f>'MKT DATA'!O1621</f>
        <v>0</v>
      </c>
      <c r="L263" s="9">
        <f>'MKT DATA'!P1621</f>
        <v>0</v>
      </c>
      <c r="M263" s="9">
        <f>'MKT DATA'!Q1621</f>
        <v>0</v>
      </c>
      <c r="N263" s="9">
        <f>'MKT DATA'!R1621</f>
        <v>0</v>
      </c>
      <c r="O263" s="9">
        <f>'MKT DATA'!S1621</f>
        <v>0</v>
      </c>
      <c r="P263" s="9">
        <f>'MKT DATA'!T1621</f>
        <v>0</v>
      </c>
      <c r="Q263" s="44" t="str">
        <f t="shared" si="9"/>
        <v>syn BTCV6/BTCG7/BTCU6/BTCZ6/BTCX6/BTCF7</v>
      </c>
      <c r="R263" s="14">
        <f>'MKT DATA'!AB1621</f>
        <v>0</v>
      </c>
    </row>
    <row r="264" spans="5:18" x14ac:dyDescent="0.25">
      <c r="E264" s="44" t="str">
        <f>'MKT DATA'!B1622</f>
        <v>syn BTCV6/BTCG7/BTCX6/BTCU6/BTCZ6/BTCF7</v>
      </c>
      <c r="F264" s="14">
        <f>'MKT DATA'!J1622</f>
        <v>0</v>
      </c>
      <c r="G264" s="9">
        <f>'MKT DATA'!K1622</f>
        <v>0</v>
      </c>
      <c r="H264" s="9">
        <f>'MKT DATA'!L1622</f>
        <v>0</v>
      </c>
      <c r="I264" s="14">
        <f>'MKT DATA'!M1622</f>
        <v>0</v>
      </c>
      <c r="J264" s="44" t="str">
        <f t="shared" si="8"/>
        <v>syn BTCV6/BTCG7/BTCX6/BTCU6/BTCZ6/BTCF7</v>
      </c>
      <c r="K264" s="9">
        <f>'MKT DATA'!O1622</f>
        <v>0</v>
      </c>
      <c r="L264" s="9">
        <f>'MKT DATA'!P1622</f>
        <v>0</v>
      </c>
      <c r="M264" s="9">
        <f>'MKT DATA'!Q1622</f>
        <v>0</v>
      </c>
      <c r="N264" s="9">
        <f>'MKT DATA'!R1622</f>
        <v>0</v>
      </c>
      <c r="O264" s="9">
        <f>'MKT DATA'!S1622</f>
        <v>0</v>
      </c>
      <c r="P264" s="9">
        <f>'MKT DATA'!T1622</f>
        <v>0</v>
      </c>
      <c r="Q264" s="44" t="str">
        <f t="shared" si="9"/>
        <v>syn BTCV6/BTCG7/BTCX6/BTCU6/BTCZ6/BTCF7</v>
      </c>
      <c r="R264" s="14">
        <f>'MKT DATA'!AB1622</f>
        <v>0</v>
      </c>
    </row>
    <row r="265" spans="5:18" x14ac:dyDescent="0.25">
      <c r="E265" s="44" t="str">
        <f>'MKT DATA'!B1623</f>
        <v>syn BTCV6/BTCG7/BTCX6/BTCZ6/BTCU6/BTCF7</v>
      </c>
      <c r="F265" s="14">
        <f>'MKT DATA'!J1623</f>
        <v>0</v>
      </c>
      <c r="G265" s="9">
        <f>'MKT DATA'!K1623</f>
        <v>0</v>
      </c>
      <c r="H265" s="9">
        <f>'MKT DATA'!L1623</f>
        <v>0</v>
      </c>
      <c r="I265" s="14">
        <f>'MKT DATA'!M1623</f>
        <v>0</v>
      </c>
      <c r="J265" s="44" t="str">
        <f t="shared" si="8"/>
        <v>syn BTCV6/BTCG7/BTCX6/BTCZ6/BTCU6/BTCF7</v>
      </c>
      <c r="K265" s="9">
        <f>'MKT DATA'!O1623</f>
        <v>0</v>
      </c>
      <c r="L265" s="9">
        <f>'MKT DATA'!P1623</f>
        <v>0</v>
      </c>
      <c r="M265" s="9">
        <f>'MKT DATA'!Q1623</f>
        <v>0</v>
      </c>
      <c r="N265" s="9">
        <f>'MKT DATA'!R1623</f>
        <v>0</v>
      </c>
      <c r="O265" s="9">
        <f>'MKT DATA'!S1623</f>
        <v>0</v>
      </c>
      <c r="P265" s="9">
        <f>'MKT DATA'!T1623</f>
        <v>0</v>
      </c>
      <c r="Q265" s="44" t="str">
        <f t="shared" si="9"/>
        <v>syn BTCV6/BTCG7/BTCX6/BTCZ6/BTCU6/BTCF7</v>
      </c>
      <c r="R265" s="14">
        <f>'MKT DATA'!AB1623</f>
        <v>0</v>
      </c>
    </row>
    <row r="266" spans="5:18" x14ac:dyDescent="0.25">
      <c r="E266" s="44" t="str">
        <f>'MKT DATA'!B1624</f>
        <v>syn BTCV6/BTCG7/BTCZ6/BTCU6/BTCX6/BTCF7</v>
      </c>
      <c r="F266" s="14">
        <f>'MKT DATA'!J1624</f>
        <v>0</v>
      </c>
      <c r="G266" s="9">
        <f>'MKT DATA'!K1624</f>
        <v>0</v>
      </c>
      <c r="H266" s="9">
        <f>'MKT DATA'!L1624</f>
        <v>0</v>
      </c>
      <c r="I266" s="14">
        <f>'MKT DATA'!M1624</f>
        <v>0</v>
      </c>
      <c r="J266" s="44" t="str">
        <f t="shared" ref="J266:J329" si="10">E266</f>
        <v>syn BTCV6/BTCG7/BTCZ6/BTCU6/BTCX6/BTCF7</v>
      </c>
      <c r="K266" s="9">
        <f>'MKT DATA'!O1624</f>
        <v>0</v>
      </c>
      <c r="L266" s="9">
        <f>'MKT DATA'!P1624</f>
        <v>0</v>
      </c>
      <c r="M266" s="9">
        <f>'MKT DATA'!Q1624</f>
        <v>0</v>
      </c>
      <c r="N266" s="9">
        <f>'MKT DATA'!R1624</f>
        <v>0</v>
      </c>
      <c r="O266" s="9">
        <f>'MKT DATA'!S1624</f>
        <v>0</v>
      </c>
      <c r="P266" s="9">
        <f>'MKT DATA'!T1624</f>
        <v>0</v>
      </c>
      <c r="Q266" s="44" t="str">
        <f t="shared" ref="Q266:Q329" si="11">J266</f>
        <v>syn BTCV6/BTCG7/BTCZ6/BTCU6/BTCX6/BTCF7</v>
      </c>
      <c r="R266" s="14">
        <f>'MKT DATA'!AB1624</f>
        <v>0</v>
      </c>
    </row>
    <row r="267" spans="5:18" x14ac:dyDescent="0.25">
      <c r="E267" s="44" t="str">
        <f>'MKT DATA'!B1625</f>
        <v>syn BTCV6/BTCG7/BTCZ6/BTCX6/BTCU6/BTCF7</v>
      </c>
      <c r="F267" s="14">
        <f>'MKT DATA'!J1625</f>
        <v>0</v>
      </c>
      <c r="G267" s="9">
        <f>'MKT DATA'!K1625</f>
        <v>0</v>
      </c>
      <c r="H267" s="9">
        <f>'MKT DATA'!L1625</f>
        <v>0</v>
      </c>
      <c r="I267" s="14">
        <f>'MKT DATA'!M1625</f>
        <v>0</v>
      </c>
      <c r="J267" s="44" t="str">
        <f t="shared" si="10"/>
        <v>syn BTCV6/BTCG7/BTCZ6/BTCX6/BTCU6/BTCF7</v>
      </c>
      <c r="K267" s="9">
        <f>'MKT DATA'!O1625</f>
        <v>0</v>
      </c>
      <c r="L267" s="9">
        <f>'MKT DATA'!P1625</f>
        <v>0</v>
      </c>
      <c r="M267" s="9">
        <f>'MKT DATA'!Q1625</f>
        <v>0</v>
      </c>
      <c r="N267" s="9">
        <f>'MKT DATA'!R1625</f>
        <v>0</v>
      </c>
      <c r="O267" s="9">
        <f>'MKT DATA'!S1625</f>
        <v>0</v>
      </c>
      <c r="P267" s="9">
        <f>'MKT DATA'!T1625</f>
        <v>0</v>
      </c>
      <c r="Q267" s="44" t="str">
        <f t="shared" si="11"/>
        <v>syn BTCV6/BTCG7/BTCZ6/BTCX6/BTCU6/BTCF7</v>
      </c>
      <c r="R267" s="14">
        <f>'MKT DATA'!AB1625</f>
        <v>0</v>
      </c>
    </row>
    <row r="268" spans="5:18" x14ac:dyDescent="0.25">
      <c r="E268" s="44" t="str">
        <f>'MKT DATA'!B1626</f>
        <v>syn BTCX6/BTCU6/BTCV6/BTCZ6/BTCG7/BTCF7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BTCX6/BTCU6/BTCV6/BTCZ6/BTCG7/BTCF7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BTCX6/BTCU6/BTCV6/BTCZ6/BTCG7/BTCF7</v>
      </c>
      <c r="R268" s="14">
        <f>'MKT DATA'!AB1626</f>
        <v>0</v>
      </c>
    </row>
    <row r="269" spans="5:18" x14ac:dyDescent="0.25">
      <c r="E269" s="44" t="str">
        <f>'MKT DATA'!B1627</f>
        <v>syn BTCX6/BTCU6/BTCV6/BTCG7/BTCZ6/BTCF7</v>
      </c>
      <c r="F269" s="14">
        <f>'MKT DATA'!J1627</f>
        <v>0</v>
      </c>
      <c r="G269" s="9">
        <f>'MKT DATA'!K1627</f>
        <v>0</v>
      </c>
      <c r="H269" s="9">
        <f>'MKT DATA'!L1627</f>
        <v>0</v>
      </c>
      <c r="I269" s="14">
        <f>'MKT DATA'!M1627</f>
        <v>0</v>
      </c>
      <c r="J269" s="44" t="str">
        <f t="shared" si="10"/>
        <v>syn BTCX6/BTCU6/BTCV6/BTCG7/BTCZ6/BTCF7</v>
      </c>
      <c r="K269" s="9">
        <f>'MKT DATA'!O1627</f>
        <v>0</v>
      </c>
      <c r="L269" s="9">
        <f>'MKT DATA'!P1627</f>
        <v>0</v>
      </c>
      <c r="M269" s="9">
        <f>'MKT DATA'!Q1627</f>
        <v>0</v>
      </c>
      <c r="N269" s="9">
        <f>'MKT DATA'!R1627</f>
        <v>0</v>
      </c>
      <c r="O269" s="9">
        <f>'MKT DATA'!S1627</f>
        <v>0</v>
      </c>
      <c r="P269" s="9">
        <f>'MKT DATA'!T1627</f>
        <v>0</v>
      </c>
      <c r="Q269" s="44" t="str">
        <f t="shared" si="11"/>
        <v>syn BTCX6/BTCU6/BTCV6/BTCG7/BTCZ6/BTCF7</v>
      </c>
      <c r="R269" s="14">
        <f>'MKT DATA'!AB1627</f>
        <v>0</v>
      </c>
    </row>
    <row r="270" spans="5:18" x14ac:dyDescent="0.25">
      <c r="E270" s="44" t="str">
        <f>'MKT DATA'!B1628</f>
        <v>syn BTCX6/BTCU6/BTCZ6/BTCV6/BTCG7/BTCF7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BTCX6/BTCU6/BTCZ6/BTCV6/BTCG7/BTCF7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BTCX6/BTCU6/BTCZ6/BTCV6/BTCG7/BTCF7</v>
      </c>
      <c r="R270" s="14">
        <f>'MKT DATA'!AB1628</f>
        <v>0</v>
      </c>
    </row>
    <row r="271" spans="5:18" x14ac:dyDescent="0.25">
      <c r="E271" s="44" t="str">
        <f>'MKT DATA'!B1629</f>
        <v>syn BTCX6/BTCU6/BTCZ6/BTCG7/BTCV6/BTCF7</v>
      </c>
      <c r="F271" s="14">
        <f>'MKT DATA'!J1629</f>
        <v>0</v>
      </c>
      <c r="G271" s="9">
        <f>'MKT DATA'!K1629</f>
        <v>0</v>
      </c>
      <c r="H271" s="9">
        <f>'MKT DATA'!L1629</f>
        <v>0</v>
      </c>
      <c r="I271" s="14">
        <f>'MKT DATA'!M1629</f>
        <v>0</v>
      </c>
      <c r="J271" s="44" t="str">
        <f t="shared" si="10"/>
        <v>syn BTCX6/BTCU6/BTCZ6/BTCG7/BTCV6/BTCF7</v>
      </c>
      <c r="K271" s="9">
        <f>'MKT DATA'!O1629</f>
        <v>0</v>
      </c>
      <c r="L271" s="9">
        <f>'MKT DATA'!P1629</f>
        <v>0</v>
      </c>
      <c r="M271" s="9">
        <f>'MKT DATA'!Q1629</f>
        <v>0</v>
      </c>
      <c r="N271" s="9">
        <f>'MKT DATA'!R1629</f>
        <v>0</v>
      </c>
      <c r="O271" s="9">
        <f>'MKT DATA'!S1629</f>
        <v>0</v>
      </c>
      <c r="P271" s="9">
        <f>'MKT DATA'!T1629</f>
        <v>0</v>
      </c>
      <c r="Q271" s="44" t="str">
        <f t="shared" si="11"/>
        <v>syn BTCX6/BTCU6/BTCZ6/BTCG7/BTCV6/BTCF7</v>
      </c>
      <c r="R271" s="14">
        <f>'MKT DATA'!AB1629</f>
        <v>0</v>
      </c>
    </row>
    <row r="272" spans="5:18" x14ac:dyDescent="0.25">
      <c r="E272" s="44" t="str">
        <f>'MKT DATA'!B1630</f>
        <v>syn BTCX6/BTCU6/BTCG7/BTCV6/BTCZ6/BTCF7</v>
      </c>
      <c r="F272" s="14">
        <f>'MKT DATA'!J1630</f>
        <v>0</v>
      </c>
      <c r="G272" s="9">
        <f>'MKT DATA'!K1630</f>
        <v>0</v>
      </c>
      <c r="H272" s="9">
        <f>'MKT DATA'!L1630</f>
        <v>0</v>
      </c>
      <c r="I272" s="14">
        <f>'MKT DATA'!M1630</f>
        <v>0</v>
      </c>
      <c r="J272" s="44" t="str">
        <f t="shared" si="10"/>
        <v>syn BTCX6/BTCU6/BTCG7/BTCV6/BTCZ6/BTCF7</v>
      </c>
      <c r="K272" s="9">
        <f>'MKT DATA'!O1630</f>
        <v>0</v>
      </c>
      <c r="L272" s="9">
        <f>'MKT DATA'!P1630</f>
        <v>0</v>
      </c>
      <c r="M272" s="9">
        <f>'MKT DATA'!Q1630</f>
        <v>0</v>
      </c>
      <c r="N272" s="9">
        <f>'MKT DATA'!R1630</f>
        <v>0</v>
      </c>
      <c r="O272" s="9">
        <f>'MKT DATA'!S1630</f>
        <v>0</v>
      </c>
      <c r="P272" s="9">
        <f>'MKT DATA'!T1630</f>
        <v>0</v>
      </c>
      <c r="Q272" s="44" t="str">
        <f t="shared" si="11"/>
        <v>syn BTCX6/BTCU6/BTCG7/BTCV6/BTCZ6/BTCF7</v>
      </c>
      <c r="R272" s="14">
        <f>'MKT DATA'!AB1630</f>
        <v>0</v>
      </c>
    </row>
    <row r="273" spans="5:18" x14ac:dyDescent="0.25">
      <c r="E273" s="44" t="str">
        <f>'MKT DATA'!B1631</f>
        <v>syn BTCX6/BTCU6/BTCG7/BTCZ6/BTCV6/BTCF7</v>
      </c>
      <c r="F273" s="14">
        <f>'MKT DATA'!J1631</f>
        <v>0</v>
      </c>
      <c r="G273" s="9">
        <f>'MKT DATA'!K1631</f>
        <v>0</v>
      </c>
      <c r="H273" s="9">
        <f>'MKT DATA'!L1631</f>
        <v>0</v>
      </c>
      <c r="I273" s="14">
        <f>'MKT DATA'!M1631</f>
        <v>0</v>
      </c>
      <c r="J273" s="44" t="str">
        <f t="shared" si="10"/>
        <v>syn BTCX6/BTCU6/BTCG7/BTCZ6/BTCV6/BTCF7</v>
      </c>
      <c r="K273" s="9">
        <f>'MKT DATA'!O1631</f>
        <v>0</v>
      </c>
      <c r="L273" s="9">
        <f>'MKT DATA'!P1631</f>
        <v>0</v>
      </c>
      <c r="M273" s="9">
        <f>'MKT DATA'!Q1631</f>
        <v>0</v>
      </c>
      <c r="N273" s="9">
        <f>'MKT DATA'!R1631</f>
        <v>0</v>
      </c>
      <c r="O273" s="9">
        <f>'MKT DATA'!S1631</f>
        <v>0</v>
      </c>
      <c r="P273" s="9">
        <f>'MKT DATA'!T1631</f>
        <v>0</v>
      </c>
      <c r="Q273" s="44" t="str">
        <f t="shared" si="11"/>
        <v>syn BTCX6/BTCU6/BTCG7/BTCZ6/BTCV6/BTCF7</v>
      </c>
      <c r="R273" s="14">
        <f>'MKT DATA'!AB1631</f>
        <v>0</v>
      </c>
    </row>
    <row r="274" spans="5:18" x14ac:dyDescent="0.25">
      <c r="E274" s="44" t="str">
        <f>'MKT DATA'!B1632</f>
        <v>syn BTCX6/BTCV6/BTCU6/BTCZ6/BTCG7/BTCF7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BTCX6/BTCV6/BTCU6/BTCZ6/BTCG7/BTCF7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BTCX6/BTCV6/BTCU6/BTCZ6/BTCG7/BTCF7</v>
      </c>
      <c r="R274" s="14">
        <f>'MKT DATA'!AB1632</f>
        <v>0</v>
      </c>
    </row>
    <row r="275" spans="5:18" x14ac:dyDescent="0.25">
      <c r="E275" s="44" t="str">
        <f>'MKT DATA'!B1633</f>
        <v>syn BTCX6/BTCV6/BTCU6/BTCG7/BTCZ6/BTCF7</v>
      </c>
      <c r="F275" s="14">
        <f>'MKT DATA'!J1633</f>
        <v>0</v>
      </c>
      <c r="G275" s="9">
        <f>'MKT DATA'!K1633</f>
        <v>0</v>
      </c>
      <c r="H275" s="9">
        <f>'MKT DATA'!L1633</f>
        <v>0</v>
      </c>
      <c r="I275" s="14">
        <f>'MKT DATA'!M1633</f>
        <v>0</v>
      </c>
      <c r="J275" s="44" t="str">
        <f t="shared" si="10"/>
        <v>syn BTCX6/BTCV6/BTCU6/BTCG7/BTCZ6/BTCF7</v>
      </c>
      <c r="K275" s="9">
        <f>'MKT DATA'!O1633</f>
        <v>0</v>
      </c>
      <c r="L275" s="9">
        <f>'MKT DATA'!P1633</f>
        <v>0</v>
      </c>
      <c r="M275" s="9">
        <f>'MKT DATA'!Q1633</f>
        <v>0</v>
      </c>
      <c r="N275" s="9">
        <f>'MKT DATA'!R1633</f>
        <v>0</v>
      </c>
      <c r="O275" s="9">
        <f>'MKT DATA'!S1633</f>
        <v>0</v>
      </c>
      <c r="P275" s="9">
        <f>'MKT DATA'!T1633</f>
        <v>0</v>
      </c>
      <c r="Q275" s="44" t="str">
        <f t="shared" si="11"/>
        <v>syn BTCX6/BTCV6/BTCU6/BTCG7/BTCZ6/BTCF7</v>
      </c>
      <c r="R275" s="14">
        <f>'MKT DATA'!AB1633</f>
        <v>0</v>
      </c>
    </row>
    <row r="276" spans="5:18" x14ac:dyDescent="0.25">
      <c r="E276" s="44" t="str">
        <f>'MKT DATA'!B1634</f>
        <v>syn BTCX6/BTCV6/BTCZ6/BTCU6/BTCG7/BTCF7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BTCX6/BTCV6/BTCZ6/BTCU6/BTCG7/BTCF7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BTCX6/BTCV6/BTCZ6/BTCU6/BTCG7/BTCF7</v>
      </c>
      <c r="R276" s="14">
        <f>'MKT DATA'!AB1634</f>
        <v>0</v>
      </c>
    </row>
    <row r="277" spans="5:18" x14ac:dyDescent="0.25">
      <c r="E277" s="44" t="str">
        <f>'MKT DATA'!B1635</f>
        <v>syn BTCX6/BTCV6/BTCZ6/BTCG7/BTCU6/BTCF7</v>
      </c>
      <c r="F277" s="14">
        <f>'MKT DATA'!J1635</f>
        <v>0</v>
      </c>
      <c r="G277" s="9">
        <f>'MKT DATA'!K1635</f>
        <v>0</v>
      </c>
      <c r="H277" s="9">
        <f>'MKT DATA'!L1635</f>
        <v>0</v>
      </c>
      <c r="I277" s="14">
        <f>'MKT DATA'!M1635</f>
        <v>0</v>
      </c>
      <c r="J277" s="44" t="str">
        <f t="shared" si="10"/>
        <v>syn BTCX6/BTCV6/BTCZ6/BTCG7/BTCU6/BTCF7</v>
      </c>
      <c r="K277" s="9">
        <f>'MKT DATA'!O1635</f>
        <v>0</v>
      </c>
      <c r="L277" s="9">
        <f>'MKT DATA'!P1635</f>
        <v>0</v>
      </c>
      <c r="M277" s="9">
        <f>'MKT DATA'!Q1635</f>
        <v>0</v>
      </c>
      <c r="N277" s="9">
        <f>'MKT DATA'!R1635</f>
        <v>0</v>
      </c>
      <c r="O277" s="9">
        <f>'MKT DATA'!S1635</f>
        <v>0</v>
      </c>
      <c r="P277" s="9">
        <f>'MKT DATA'!T1635</f>
        <v>0</v>
      </c>
      <c r="Q277" s="44" t="str">
        <f t="shared" si="11"/>
        <v>syn BTCX6/BTCV6/BTCZ6/BTCG7/BTCU6/BTCF7</v>
      </c>
      <c r="R277" s="14">
        <f>'MKT DATA'!AB1635</f>
        <v>0</v>
      </c>
    </row>
    <row r="278" spans="5:18" x14ac:dyDescent="0.25">
      <c r="E278" s="44" t="str">
        <f>'MKT DATA'!B1636</f>
        <v>syn BTCX6/BTCV6/BTCG7/BTCU6/BTCZ6/BTCF7</v>
      </c>
      <c r="F278" s="14">
        <f>'MKT DATA'!J1636</f>
        <v>0</v>
      </c>
      <c r="G278" s="9">
        <f>'MKT DATA'!K1636</f>
        <v>0</v>
      </c>
      <c r="H278" s="9">
        <f>'MKT DATA'!L1636</f>
        <v>0</v>
      </c>
      <c r="I278" s="14">
        <f>'MKT DATA'!M1636</f>
        <v>0</v>
      </c>
      <c r="J278" s="44" t="str">
        <f t="shared" si="10"/>
        <v>syn BTCX6/BTCV6/BTCG7/BTCU6/BTCZ6/BTCF7</v>
      </c>
      <c r="K278" s="9">
        <f>'MKT DATA'!O1636</f>
        <v>0</v>
      </c>
      <c r="L278" s="9">
        <f>'MKT DATA'!P1636</f>
        <v>0</v>
      </c>
      <c r="M278" s="9">
        <f>'MKT DATA'!Q1636</f>
        <v>0</v>
      </c>
      <c r="N278" s="9">
        <f>'MKT DATA'!R1636</f>
        <v>0</v>
      </c>
      <c r="O278" s="9">
        <f>'MKT DATA'!S1636</f>
        <v>0</v>
      </c>
      <c r="P278" s="9">
        <f>'MKT DATA'!T1636</f>
        <v>0</v>
      </c>
      <c r="Q278" s="44" t="str">
        <f t="shared" si="11"/>
        <v>syn BTCX6/BTCV6/BTCG7/BTCU6/BTCZ6/BTCF7</v>
      </c>
      <c r="R278" s="14">
        <f>'MKT DATA'!AB1636</f>
        <v>0</v>
      </c>
    </row>
    <row r="279" spans="5:18" x14ac:dyDescent="0.25">
      <c r="E279" s="44" t="str">
        <f>'MKT DATA'!B1637</f>
        <v>syn BTCX6/BTCV6/BTCG7/BTCZ6/BTCU6/BTCF7</v>
      </c>
      <c r="F279" s="14">
        <f>'MKT DATA'!J1637</f>
        <v>0</v>
      </c>
      <c r="G279" s="9">
        <f>'MKT DATA'!K1637</f>
        <v>0</v>
      </c>
      <c r="H279" s="9">
        <f>'MKT DATA'!L1637</f>
        <v>0</v>
      </c>
      <c r="I279" s="14">
        <f>'MKT DATA'!M1637</f>
        <v>0</v>
      </c>
      <c r="J279" s="44" t="str">
        <f t="shared" si="10"/>
        <v>syn BTCX6/BTCV6/BTCG7/BTCZ6/BTCU6/BTCF7</v>
      </c>
      <c r="K279" s="9">
        <f>'MKT DATA'!O1637</f>
        <v>0</v>
      </c>
      <c r="L279" s="9">
        <f>'MKT DATA'!P1637</f>
        <v>0</v>
      </c>
      <c r="M279" s="9">
        <f>'MKT DATA'!Q1637</f>
        <v>0</v>
      </c>
      <c r="N279" s="9">
        <f>'MKT DATA'!R1637</f>
        <v>0</v>
      </c>
      <c r="O279" s="9">
        <f>'MKT DATA'!S1637</f>
        <v>0</v>
      </c>
      <c r="P279" s="9">
        <f>'MKT DATA'!T1637</f>
        <v>0</v>
      </c>
      <c r="Q279" s="44" t="str">
        <f t="shared" si="11"/>
        <v>syn BTCX6/BTCV6/BTCG7/BTCZ6/BTCU6/BTCF7</v>
      </c>
      <c r="R279" s="14">
        <f>'MKT DATA'!AB1637</f>
        <v>0</v>
      </c>
    </row>
    <row r="280" spans="5:18" x14ac:dyDescent="0.25">
      <c r="E280" s="44" t="str">
        <f>'MKT DATA'!B1638</f>
        <v>syn BTCX6/BTCZ6/BTCU6/BTCV6/BTCG7/BTCF7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BTCX6/BTCZ6/BTCU6/BTCV6/BTCG7/BTCF7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BTCX6/BTCZ6/BTCU6/BTCV6/BTCG7/BTCF7</v>
      </c>
      <c r="R280" s="14">
        <f>'MKT DATA'!AB1638</f>
        <v>0</v>
      </c>
    </row>
    <row r="281" spans="5:18" x14ac:dyDescent="0.25">
      <c r="E281" s="44" t="str">
        <f>'MKT DATA'!B1639</f>
        <v>syn BTCX6/BTCZ6/BTCU6/BTCG7/BTCV6/BTCF7</v>
      </c>
      <c r="F281" s="14">
        <f>'MKT DATA'!J1639</f>
        <v>0</v>
      </c>
      <c r="G281" s="9">
        <f>'MKT DATA'!K1639</f>
        <v>0</v>
      </c>
      <c r="H281" s="9">
        <f>'MKT DATA'!L1639</f>
        <v>0</v>
      </c>
      <c r="I281" s="14">
        <f>'MKT DATA'!M1639</f>
        <v>0</v>
      </c>
      <c r="J281" s="44" t="str">
        <f t="shared" si="10"/>
        <v>syn BTCX6/BTCZ6/BTCU6/BTCG7/BTCV6/BTCF7</v>
      </c>
      <c r="K281" s="9">
        <f>'MKT DATA'!O1639</f>
        <v>0</v>
      </c>
      <c r="L281" s="9">
        <f>'MKT DATA'!P1639</f>
        <v>0</v>
      </c>
      <c r="M281" s="9">
        <f>'MKT DATA'!Q1639</f>
        <v>0</v>
      </c>
      <c r="N281" s="9">
        <f>'MKT DATA'!R1639</f>
        <v>0</v>
      </c>
      <c r="O281" s="9">
        <f>'MKT DATA'!S1639</f>
        <v>0</v>
      </c>
      <c r="P281" s="9">
        <f>'MKT DATA'!T1639</f>
        <v>0</v>
      </c>
      <c r="Q281" s="44" t="str">
        <f t="shared" si="11"/>
        <v>syn BTCX6/BTCZ6/BTCU6/BTCG7/BTCV6/BTCF7</v>
      </c>
      <c r="R281" s="14">
        <f>'MKT DATA'!AB1639</f>
        <v>0</v>
      </c>
    </row>
    <row r="282" spans="5:18" x14ac:dyDescent="0.25">
      <c r="E282" s="44" t="str">
        <f>'MKT DATA'!B1640</f>
        <v>syn BTCX6/BTCZ6/BTCV6/BTCU6/BTCG7/BTCF7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BTCX6/BTCZ6/BTCV6/BTCU6/BTCG7/BTCF7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BTCX6/BTCZ6/BTCV6/BTCU6/BTCG7/BTCF7</v>
      </c>
      <c r="R282" s="14">
        <f>'MKT DATA'!AB1640</f>
        <v>0</v>
      </c>
    </row>
    <row r="283" spans="5:18" x14ac:dyDescent="0.25">
      <c r="E283" s="44" t="str">
        <f>'MKT DATA'!B1641</f>
        <v>syn BTCX6/BTCZ6/BTCV6/BTCG7/BTCU6/BTCF7</v>
      </c>
      <c r="F283" s="14">
        <f>'MKT DATA'!J1641</f>
        <v>0</v>
      </c>
      <c r="G283" s="9">
        <f>'MKT DATA'!K1641</f>
        <v>0</v>
      </c>
      <c r="H283" s="9">
        <f>'MKT DATA'!L1641</f>
        <v>0</v>
      </c>
      <c r="I283" s="14">
        <f>'MKT DATA'!M1641</f>
        <v>0</v>
      </c>
      <c r="J283" s="44" t="str">
        <f t="shared" si="10"/>
        <v>syn BTCX6/BTCZ6/BTCV6/BTCG7/BTCU6/BTCF7</v>
      </c>
      <c r="K283" s="9">
        <f>'MKT DATA'!O1641</f>
        <v>0</v>
      </c>
      <c r="L283" s="9">
        <f>'MKT DATA'!P1641</f>
        <v>0</v>
      </c>
      <c r="M283" s="9">
        <f>'MKT DATA'!Q1641</f>
        <v>0</v>
      </c>
      <c r="N283" s="9">
        <f>'MKT DATA'!R1641</f>
        <v>0</v>
      </c>
      <c r="O283" s="9">
        <f>'MKT DATA'!S1641</f>
        <v>0</v>
      </c>
      <c r="P283" s="9">
        <f>'MKT DATA'!T1641</f>
        <v>0</v>
      </c>
      <c r="Q283" s="44" t="str">
        <f t="shared" si="11"/>
        <v>syn BTCX6/BTCZ6/BTCV6/BTCG7/BTCU6/BTCF7</v>
      </c>
      <c r="R283" s="14">
        <f>'MKT DATA'!AB1641</f>
        <v>0</v>
      </c>
    </row>
    <row r="284" spans="5:18" x14ac:dyDescent="0.25">
      <c r="E284" s="44" t="str">
        <f>'MKT DATA'!B1642</f>
        <v>syn BTCX6/BTCZ6/BTCG7/BTCU6/BTCV6/BTCF7</v>
      </c>
      <c r="F284" s="14">
        <f>'MKT DATA'!J1642</f>
        <v>0</v>
      </c>
      <c r="G284" s="9">
        <f>'MKT DATA'!K1642</f>
        <v>0</v>
      </c>
      <c r="H284" s="9">
        <f>'MKT DATA'!L1642</f>
        <v>0</v>
      </c>
      <c r="I284" s="14">
        <f>'MKT DATA'!M1642</f>
        <v>0</v>
      </c>
      <c r="J284" s="44" t="str">
        <f t="shared" si="10"/>
        <v>syn BTCX6/BTCZ6/BTCG7/BTCU6/BTCV6/BTCF7</v>
      </c>
      <c r="K284" s="9">
        <f>'MKT DATA'!O1642</f>
        <v>0</v>
      </c>
      <c r="L284" s="9">
        <f>'MKT DATA'!P1642</f>
        <v>0</v>
      </c>
      <c r="M284" s="9">
        <f>'MKT DATA'!Q1642</f>
        <v>0</v>
      </c>
      <c r="N284" s="9">
        <f>'MKT DATA'!R1642</f>
        <v>0</v>
      </c>
      <c r="O284" s="9">
        <f>'MKT DATA'!S1642</f>
        <v>0</v>
      </c>
      <c r="P284" s="9">
        <f>'MKT DATA'!T1642</f>
        <v>0</v>
      </c>
      <c r="Q284" s="44" t="str">
        <f t="shared" si="11"/>
        <v>syn BTCX6/BTCZ6/BTCG7/BTCU6/BTCV6/BTCF7</v>
      </c>
      <c r="R284" s="14">
        <f>'MKT DATA'!AB1642</f>
        <v>0</v>
      </c>
    </row>
    <row r="285" spans="5:18" x14ac:dyDescent="0.25">
      <c r="E285" s="44" t="str">
        <f>'MKT DATA'!B1643</f>
        <v>syn BTCX6/BTCZ6/BTCG7/BTCV6/BTCU6/BTCF7</v>
      </c>
      <c r="F285" s="14">
        <f>'MKT DATA'!J1643</f>
        <v>0</v>
      </c>
      <c r="G285" s="9">
        <f>'MKT DATA'!K1643</f>
        <v>0</v>
      </c>
      <c r="H285" s="9">
        <f>'MKT DATA'!L1643</f>
        <v>0</v>
      </c>
      <c r="I285" s="14">
        <f>'MKT DATA'!M1643</f>
        <v>0</v>
      </c>
      <c r="J285" s="44" t="str">
        <f t="shared" si="10"/>
        <v>syn BTCX6/BTCZ6/BTCG7/BTCV6/BTCU6/BTCF7</v>
      </c>
      <c r="K285" s="9">
        <f>'MKT DATA'!O1643</f>
        <v>0</v>
      </c>
      <c r="L285" s="9">
        <f>'MKT DATA'!P1643</f>
        <v>0</v>
      </c>
      <c r="M285" s="9">
        <f>'MKT DATA'!Q1643</f>
        <v>0</v>
      </c>
      <c r="N285" s="9">
        <f>'MKT DATA'!R1643</f>
        <v>0</v>
      </c>
      <c r="O285" s="9">
        <f>'MKT DATA'!S1643</f>
        <v>0</v>
      </c>
      <c r="P285" s="9">
        <f>'MKT DATA'!T1643</f>
        <v>0</v>
      </c>
      <c r="Q285" s="44" t="str">
        <f t="shared" si="11"/>
        <v>syn BTCX6/BTCZ6/BTCG7/BTCV6/BTCU6/BTCF7</v>
      </c>
      <c r="R285" s="14">
        <f>'MKT DATA'!AB1643</f>
        <v>0</v>
      </c>
    </row>
    <row r="286" spans="5:18" x14ac:dyDescent="0.25">
      <c r="E286" s="44" t="str">
        <f>'MKT DATA'!B1644</f>
        <v>syn BTCX6/BTCG7/BTCU6/BTCV6/BTCZ6/BTCF7</v>
      </c>
      <c r="F286" s="14">
        <f>'MKT DATA'!J1644</f>
        <v>0</v>
      </c>
      <c r="G286" s="9">
        <f>'MKT DATA'!K1644</f>
        <v>0</v>
      </c>
      <c r="H286" s="9">
        <f>'MKT DATA'!L1644</f>
        <v>0</v>
      </c>
      <c r="I286" s="14">
        <f>'MKT DATA'!M1644</f>
        <v>0</v>
      </c>
      <c r="J286" s="44" t="str">
        <f t="shared" si="10"/>
        <v>syn BTCX6/BTCG7/BTCU6/BTCV6/BTCZ6/BTCF7</v>
      </c>
      <c r="K286" s="9">
        <f>'MKT DATA'!O1644</f>
        <v>0</v>
      </c>
      <c r="L286" s="9">
        <f>'MKT DATA'!P1644</f>
        <v>0</v>
      </c>
      <c r="M286" s="9">
        <f>'MKT DATA'!Q1644</f>
        <v>0</v>
      </c>
      <c r="N286" s="9">
        <f>'MKT DATA'!R1644</f>
        <v>0</v>
      </c>
      <c r="O286" s="9">
        <f>'MKT DATA'!S1644</f>
        <v>0</v>
      </c>
      <c r="P286" s="9">
        <f>'MKT DATA'!T1644</f>
        <v>0</v>
      </c>
      <c r="Q286" s="44" t="str">
        <f t="shared" si="11"/>
        <v>syn BTCX6/BTCG7/BTCU6/BTCV6/BTCZ6/BTCF7</v>
      </c>
      <c r="R286" s="14">
        <f>'MKT DATA'!AB1644</f>
        <v>0</v>
      </c>
    </row>
    <row r="287" spans="5:18" x14ac:dyDescent="0.25">
      <c r="E287" s="44" t="str">
        <f>'MKT DATA'!B1645</f>
        <v>syn BTCX6/BTCG7/BTCU6/BTCZ6/BTCV6/BTCF7</v>
      </c>
      <c r="F287" s="14">
        <f>'MKT DATA'!J1645</f>
        <v>0</v>
      </c>
      <c r="G287" s="9">
        <f>'MKT DATA'!K1645</f>
        <v>0</v>
      </c>
      <c r="H287" s="9">
        <f>'MKT DATA'!L1645</f>
        <v>0</v>
      </c>
      <c r="I287" s="14">
        <f>'MKT DATA'!M1645</f>
        <v>0</v>
      </c>
      <c r="J287" s="44" t="str">
        <f t="shared" si="10"/>
        <v>syn BTCX6/BTCG7/BTCU6/BTCZ6/BTCV6/BTCF7</v>
      </c>
      <c r="K287" s="9">
        <f>'MKT DATA'!O1645</f>
        <v>0</v>
      </c>
      <c r="L287" s="9">
        <f>'MKT DATA'!P1645</f>
        <v>0</v>
      </c>
      <c r="M287" s="9">
        <f>'MKT DATA'!Q1645</f>
        <v>0</v>
      </c>
      <c r="N287" s="9">
        <f>'MKT DATA'!R1645</f>
        <v>0</v>
      </c>
      <c r="O287" s="9">
        <f>'MKT DATA'!S1645</f>
        <v>0</v>
      </c>
      <c r="P287" s="9">
        <f>'MKT DATA'!T1645</f>
        <v>0</v>
      </c>
      <c r="Q287" s="44" t="str">
        <f t="shared" si="11"/>
        <v>syn BTCX6/BTCG7/BTCU6/BTCZ6/BTCV6/BTCF7</v>
      </c>
      <c r="R287" s="14">
        <f>'MKT DATA'!AB1645</f>
        <v>0</v>
      </c>
    </row>
    <row r="288" spans="5:18" x14ac:dyDescent="0.25">
      <c r="E288" s="44" t="str">
        <f>'MKT DATA'!B1646</f>
        <v>syn BTCX6/BTCG7/BTCV6/BTCU6/BTCZ6/BTCF7</v>
      </c>
      <c r="F288" s="14">
        <f>'MKT DATA'!J1646</f>
        <v>0</v>
      </c>
      <c r="G288" s="9">
        <f>'MKT DATA'!K1646</f>
        <v>0</v>
      </c>
      <c r="H288" s="9">
        <f>'MKT DATA'!L1646</f>
        <v>0</v>
      </c>
      <c r="I288" s="14">
        <f>'MKT DATA'!M1646</f>
        <v>0</v>
      </c>
      <c r="J288" s="44" t="str">
        <f t="shared" si="10"/>
        <v>syn BTCX6/BTCG7/BTCV6/BTCU6/BTCZ6/BTCF7</v>
      </c>
      <c r="K288" s="9">
        <f>'MKT DATA'!O1646</f>
        <v>0</v>
      </c>
      <c r="L288" s="9">
        <f>'MKT DATA'!P1646</f>
        <v>0</v>
      </c>
      <c r="M288" s="9">
        <f>'MKT DATA'!Q1646</f>
        <v>0</v>
      </c>
      <c r="N288" s="9">
        <f>'MKT DATA'!R1646</f>
        <v>0</v>
      </c>
      <c r="O288" s="9">
        <f>'MKT DATA'!S1646</f>
        <v>0</v>
      </c>
      <c r="P288" s="9">
        <f>'MKT DATA'!T1646</f>
        <v>0</v>
      </c>
      <c r="Q288" s="44" t="str">
        <f t="shared" si="11"/>
        <v>syn BTCX6/BTCG7/BTCV6/BTCU6/BTCZ6/BTCF7</v>
      </c>
      <c r="R288" s="14">
        <f>'MKT DATA'!AB1646</f>
        <v>0</v>
      </c>
    </row>
    <row r="289" spans="5:18" x14ac:dyDescent="0.25">
      <c r="E289" s="44" t="str">
        <f>'MKT DATA'!B1647</f>
        <v>syn BTCX6/BTCG7/BTCV6/BTCZ6/BTCU6/BTCF7</v>
      </c>
      <c r="F289" s="14">
        <f>'MKT DATA'!J1647</f>
        <v>0</v>
      </c>
      <c r="G289" s="9">
        <f>'MKT DATA'!K1647</f>
        <v>0</v>
      </c>
      <c r="H289" s="9">
        <f>'MKT DATA'!L1647</f>
        <v>0</v>
      </c>
      <c r="I289" s="14">
        <f>'MKT DATA'!M1647</f>
        <v>0</v>
      </c>
      <c r="J289" s="44" t="str">
        <f t="shared" si="10"/>
        <v>syn BTCX6/BTCG7/BTCV6/BTCZ6/BTCU6/BTCF7</v>
      </c>
      <c r="K289" s="9">
        <f>'MKT DATA'!O1647</f>
        <v>0</v>
      </c>
      <c r="L289" s="9">
        <f>'MKT DATA'!P1647</f>
        <v>0</v>
      </c>
      <c r="M289" s="9">
        <f>'MKT DATA'!Q1647</f>
        <v>0</v>
      </c>
      <c r="N289" s="9">
        <f>'MKT DATA'!R1647</f>
        <v>0</v>
      </c>
      <c r="O289" s="9">
        <f>'MKT DATA'!S1647</f>
        <v>0</v>
      </c>
      <c r="P289" s="9">
        <f>'MKT DATA'!T1647</f>
        <v>0</v>
      </c>
      <c r="Q289" s="44" t="str">
        <f t="shared" si="11"/>
        <v>syn BTCX6/BTCG7/BTCV6/BTCZ6/BTCU6/BTCF7</v>
      </c>
      <c r="R289" s="14">
        <f>'MKT DATA'!AB1647</f>
        <v>0</v>
      </c>
    </row>
    <row r="290" spans="5:18" x14ac:dyDescent="0.25">
      <c r="E290" s="44" t="str">
        <f>'MKT DATA'!B1648</f>
        <v>syn BTCX6/BTCG7/BTCZ6/BTCU6/BTCV6/BTCF7</v>
      </c>
      <c r="F290" s="14">
        <f>'MKT DATA'!J1648</f>
        <v>0</v>
      </c>
      <c r="G290" s="9">
        <f>'MKT DATA'!K1648</f>
        <v>0</v>
      </c>
      <c r="H290" s="9">
        <f>'MKT DATA'!L1648</f>
        <v>0</v>
      </c>
      <c r="I290" s="14">
        <f>'MKT DATA'!M1648</f>
        <v>0</v>
      </c>
      <c r="J290" s="44" t="str">
        <f t="shared" si="10"/>
        <v>syn BTCX6/BTCG7/BTCZ6/BTCU6/BTCV6/BTCF7</v>
      </c>
      <c r="K290" s="9">
        <f>'MKT DATA'!O1648</f>
        <v>0</v>
      </c>
      <c r="L290" s="9">
        <f>'MKT DATA'!P1648</f>
        <v>0</v>
      </c>
      <c r="M290" s="9">
        <f>'MKT DATA'!Q1648</f>
        <v>0</v>
      </c>
      <c r="N290" s="9">
        <f>'MKT DATA'!R1648</f>
        <v>0</v>
      </c>
      <c r="O290" s="9">
        <f>'MKT DATA'!S1648</f>
        <v>0</v>
      </c>
      <c r="P290" s="9">
        <f>'MKT DATA'!T1648</f>
        <v>0</v>
      </c>
      <c r="Q290" s="44" t="str">
        <f t="shared" si="11"/>
        <v>syn BTCX6/BTCG7/BTCZ6/BTCU6/BTCV6/BTCF7</v>
      </c>
      <c r="R290" s="14">
        <f>'MKT DATA'!AB1648</f>
        <v>0</v>
      </c>
    </row>
    <row r="291" spans="5:18" x14ac:dyDescent="0.25">
      <c r="E291" s="44" t="str">
        <f>'MKT DATA'!B1649</f>
        <v>syn BTCX6/BTCG7/BTCZ6/BTCV6/BTCU6/BTCF7</v>
      </c>
      <c r="F291" s="14">
        <f>'MKT DATA'!J1649</f>
        <v>0</v>
      </c>
      <c r="G291" s="9">
        <f>'MKT DATA'!K1649</f>
        <v>0</v>
      </c>
      <c r="H291" s="9">
        <f>'MKT DATA'!L1649</f>
        <v>0</v>
      </c>
      <c r="I291" s="14">
        <f>'MKT DATA'!M1649</f>
        <v>0</v>
      </c>
      <c r="J291" s="44" t="str">
        <f t="shared" si="10"/>
        <v>syn BTCX6/BTCG7/BTCZ6/BTCV6/BTCU6/BTCF7</v>
      </c>
      <c r="K291" s="9">
        <f>'MKT DATA'!O1649</f>
        <v>0</v>
      </c>
      <c r="L291" s="9">
        <f>'MKT DATA'!P1649</f>
        <v>0</v>
      </c>
      <c r="M291" s="9">
        <f>'MKT DATA'!Q1649</f>
        <v>0</v>
      </c>
      <c r="N291" s="9">
        <f>'MKT DATA'!R1649</f>
        <v>0</v>
      </c>
      <c r="O291" s="9">
        <f>'MKT DATA'!S1649</f>
        <v>0</v>
      </c>
      <c r="P291" s="9">
        <f>'MKT DATA'!T1649</f>
        <v>0</v>
      </c>
      <c r="Q291" s="44" t="str">
        <f t="shared" si="11"/>
        <v>syn BTCX6/BTCG7/BTCZ6/BTCV6/BTCU6/BTCF7</v>
      </c>
      <c r="R291" s="14">
        <f>'MKT DATA'!AB1649</f>
        <v>0</v>
      </c>
    </row>
    <row r="292" spans="5:18" x14ac:dyDescent="0.25">
      <c r="E292" s="44" t="str">
        <f>'MKT DATA'!B1650</f>
        <v>syn BTCZ6/BTCU6/BTCV6/BTCX6/BTCG7/BTCF7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BTCZ6/BTCU6/BTCV6/BTCX6/BTCG7/BTCF7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BTCZ6/BTCU6/BTCV6/BTCX6/BTCG7/BTCF7</v>
      </c>
      <c r="R292" s="14">
        <f>'MKT DATA'!AB1650</f>
        <v>0</v>
      </c>
    </row>
    <row r="293" spans="5:18" x14ac:dyDescent="0.25">
      <c r="E293" s="44" t="str">
        <f>'MKT DATA'!B1651</f>
        <v>syn BTCZ6/BTCU6/BTCV6/BTCG7/BTCX6/BTCF7</v>
      </c>
      <c r="F293" s="14">
        <f>'MKT DATA'!J1651</f>
        <v>0</v>
      </c>
      <c r="G293" s="9">
        <f>'MKT DATA'!K1651</f>
        <v>0</v>
      </c>
      <c r="H293" s="9">
        <f>'MKT DATA'!L1651</f>
        <v>0</v>
      </c>
      <c r="I293" s="14">
        <f>'MKT DATA'!M1651</f>
        <v>0</v>
      </c>
      <c r="J293" s="44" t="str">
        <f t="shared" si="10"/>
        <v>syn BTCZ6/BTCU6/BTCV6/BTCG7/BTCX6/BTCF7</v>
      </c>
      <c r="K293" s="9">
        <f>'MKT DATA'!O1651</f>
        <v>0</v>
      </c>
      <c r="L293" s="9">
        <f>'MKT DATA'!P1651</f>
        <v>0</v>
      </c>
      <c r="M293" s="9">
        <f>'MKT DATA'!Q1651</f>
        <v>0</v>
      </c>
      <c r="N293" s="9">
        <f>'MKT DATA'!R1651</f>
        <v>0</v>
      </c>
      <c r="O293" s="9">
        <f>'MKT DATA'!S1651</f>
        <v>0</v>
      </c>
      <c r="P293" s="9">
        <f>'MKT DATA'!T1651</f>
        <v>0</v>
      </c>
      <c r="Q293" s="44" t="str">
        <f t="shared" si="11"/>
        <v>syn BTCZ6/BTCU6/BTCV6/BTCG7/BTCX6/BTCF7</v>
      </c>
      <c r="R293" s="14">
        <f>'MKT DATA'!AB1651</f>
        <v>0</v>
      </c>
    </row>
    <row r="294" spans="5:18" x14ac:dyDescent="0.25">
      <c r="E294" s="44" t="str">
        <f>'MKT DATA'!B1652</f>
        <v>syn BTCZ6/BTCU6/BTCX6/BTCV6/BTCG7/BTCF7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BTCZ6/BTCU6/BTCX6/BTCV6/BTCG7/BTCF7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BTCZ6/BTCU6/BTCX6/BTCV6/BTCG7/BTCF7</v>
      </c>
      <c r="R294" s="14">
        <f>'MKT DATA'!AB1652</f>
        <v>0</v>
      </c>
    </row>
    <row r="295" spans="5:18" x14ac:dyDescent="0.25">
      <c r="E295" s="44" t="str">
        <f>'MKT DATA'!B1653</f>
        <v>syn BTCZ6/BTCU6/BTCX6/BTCG7/BTCV6/BTCF7</v>
      </c>
      <c r="F295" s="14">
        <f>'MKT DATA'!J1653</f>
        <v>0</v>
      </c>
      <c r="G295" s="9">
        <f>'MKT DATA'!K1653</f>
        <v>0</v>
      </c>
      <c r="H295" s="9">
        <f>'MKT DATA'!L1653</f>
        <v>0</v>
      </c>
      <c r="I295" s="14">
        <f>'MKT DATA'!M1653</f>
        <v>0</v>
      </c>
      <c r="J295" s="44" t="str">
        <f t="shared" si="10"/>
        <v>syn BTCZ6/BTCU6/BTCX6/BTCG7/BTCV6/BTCF7</v>
      </c>
      <c r="K295" s="9">
        <f>'MKT DATA'!O1653</f>
        <v>0</v>
      </c>
      <c r="L295" s="9">
        <f>'MKT DATA'!P1653</f>
        <v>0</v>
      </c>
      <c r="M295" s="9">
        <f>'MKT DATA'!Q1653</f>
        <v>0</v>
      </c>
      <c r="N295" s="9">
        <f>'MKT DATA'!R1653</f>
        <v>0</v>
      </c>
      <c r="O295" s="9">
        <f>'MKT DATA'!S1653</f>
        <v>0</v>
      </c>
      <c r="P295" s="9">
        <f>'MKT DATA'!T1653</f>
        <v>0</v>
      </c>
      <c r="Q295" s="44" t="str">
        <f t="shared" si="11"/>
        <v>syn BTCZ6/BTCU6/BTCX6/BTCG7/BTCV6/BTCF7</v>
      </c>
      <c r="R295" s="14">
        <f>'MKT DATA'!AB1653</f>
        <v>0</v>
      </c>
    </row>
    <row r="296" spans="5:18" x14ac:dyDescent="0.25">
      <c r="E296" s="44" t="str">
        <f>'MKT DATA'!B1654</f>
        <v>syn BTCZ6/BTCU6/BTCG7/BTCV6/BTCX6/BTCF7</v>
      </c>
      <c r="F296" s="14">
        <f>'MKT DATA'!J1654</f>
        <v>0</v>
      </c>
      <c r="G296" s="9">
        <f>'MKT DATA'!K1654</f>
        <v>0</v>
      </c>
      <c r="H296" s="9">
        <f>'MKT DATA'!L1654</f>
        <v>0</v>
      </c>
      <c r="I296" s="14">
        <f>'MKT DATA'!M1654</f>
        <v>0</v>
      </c>
      <c r="J296" s="44" t="str">
        <f t="shared" si="10"/>
        <v>syn BTCZ6/BTCU6/BTCG7/BTCV6/BTCX6/BTCF7</v>
      </c>
      <c r="K296" s="9">
        <f>'MKT DATA'!O1654</f>
        <v>0</v>
      </c>
      <c r="L296" s="9">
        <f>'MKT DATA'!P1654</f>
        <v>0</v>
      </c>
      <c r="M296" s="9">
        <f>'MKT DATA'!Q1654</f>
        <v>0</v>
      </c>
      <c r="N296" s="9">
        <f>'MKT DATA'!R1654</f>
        <v>0</v>
      </c>
      <c r="O296" s="9">
        <f>'MKT DATA'!S1654</f>
        <v>0</v>
      </c>
      <c r="P296" s="9">
        <f>'MKT DATA'!T1654</f>
        <v>0</v>
      </c>
      <c r="Q296" s="44" t="str">
        <f t="shared" si="11"/>
        <v>syn BTCZ6/BTCU6/BTCG7/BTCV6/BTCX6/BTCF7</v>
      </c>
      <c r="R296" s="14">
        <f>'MKT DATA'!AB1654</f>
        <v>0</v>
      </c>
    </row>
    <row r="297" spans="5:18" x14ac:dyDescent="0.25">
      <c r="E297" s="44" t="str">
        <f>'MKT DATA'!B1655</f>
        <v>syn BTCZ6/BTCU6/BTCG7/BTCX6/BTCV6/BTCF7</v>
      </c>
      <c r="F297" s="14">
        <f>'MKT DATA'!J1655</f>
        <v>0</v>
      </c>
      <c r="G297" s="9">
        <f>'MKT DATA'!K1655</f>
        <v>0</v>
      </c>
      <c r="H297" s="9">
        <f>'MKT DATA'!L1655</f>
        <v>0</v>
      </c>
      <c r="I297" s="14">
        <f>'MKT DATA'!M1655</f>
        <v>0</v>
      </c>
      <c r="J297" s="44" t="str">
        <f t="shared" si="10"/>
        <v>syn BTCZ6/BTCU6/BTCG7/BTCX6/BTCV6/BTCF7</v>
      </c>
      <c r="K297" s="9">
        <f>'MKT DATA'!O1655</f>
        <v>0</v>
      </c>
      <c r="L297" s="9">
        <f>'MKT DATA'!P1655</f>
        <v>0</v>
      </c>
      <c r="M297" s="9">
        <f>'MKT DATA'!Q1655</f>
        <v>0</v>
      </c>
      <c r="N297" s="9">
        <f>'MKT DATA'!R1655</f>
        <v>0</v>
      </c>
      <c r="O297" s="9">
        <f>'MKT DATA'!S1655</f>
        <v>0</v>
      </c>
      <c r="P297" s="9">
        <f>'MKT DATA'!T1655</f>
        <v>0</v>
      </c>
      <c r="Q297" s="44" t="str">
        <f t="shared" si="11"/>
        <v>syn BTCZ6/BTCU6/BTCG7/BTCX6/BTCV6/BTCF7</v>
      </c>
      <c r="R297" s="14">
        <f>'MKT DATA'!AB1655</f>
        <v>0</v>
      </c>
    </row>
    <row r="298" spans="5:18" x14ac:dyDescent="0.25">
      <c r="E298" s="44" t="str">
        <f>'MKT DATA'!B1656</f>
        <v>syn BTCZ6/BTCV6/BTCU6/BTCX6/BTCG7/BTCF7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BTCZ6/BTCV6/BTCU6/BTCX6/BTCG7/BTCF7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BTCZ6/BTCV6/BTCU6/BTCX6/BTCG7/BTCF7</v>
      </c>
      <c r="R298" s="14">
        <f>'MKT DATA'!AB1656</f>
        <v>0</v>
      </c>
    </row>
    <row r="299" spans="5:18" x14ac:dyDescent="0.25">
      <c r="E299" s="44" t="str">
        <f>'MKT DATA'!B1657</f>
        <v>syn BTCZ6/BTCV6/BTCU6/BTCG7/BTCX6/BTCF7</v>
      </c>
      <c r="F299" s="14">
        <f>'MKT DATA'!J1657</f>
        <v>0</v>
      </c>
      <c r="G299" s="9">
        <f>'MKT DATA'!K1657</f>
        <v>0</v>
      </c>
      <c r="H299" s="9">
        <f>'MKT DATA'!L1657</f>
        <v>0</v>
      </c>
      <c r="I299" s="14">
        <f>'MKT DATA'!M1657</f>
        <v>0</v>
      </c>
      <c r="J299" s="44" t="str">
        <f t="shared" si="10"/>
        <v>syn BTCZ6/BTCV6/BTCU6/BTCG7/BTCX6/BTCF7</v>
      </c>
      <c r="K299" s="9">
        <f>'MKT DATA'!O1657</f>
        <v>0</v>
      </c>
      <c r="L299" s="9">
        <f>'MKT DATA'!P1657</f>
        <v>0</v>
      </c>
      <c r="M299" s="9">
        <f>'MKT DATA'!Q1657</f>
        <v>0</v>
      </c>
      <c r="N299" s="9">
        <f>'MKT DATA'!R1657</f>
        <v>0</v>
      </c>
      <c r="O299" s="9">
        <f>'MKT DATA'!S1657</f>
        <v>0</v>
      </c>
      <c r="P299" s="9">
        <f>'MKT DATA'!T1657</f>
        <v>0</v>
      </c>
      <c r="Q299" s="44" t="str">
        <f t="shared" si="11"/>
        <v>syn BTCZ6/BTCV6/BTCU6/BTCG7/BTCX6/BTCF7</v>
      </c>
      <c r="R299" s="14">
        <f>'MKT DATA'!AB1657</f>
        <v>0</v>
      </c>
    </row>
    <row r="300" spans="5:18" x14ac:dyDescent="0.25">
      <c r="E300" s="44" t="str">
        <f>'MKT DATA'!B1658</f>
        <v>syn BTCZ6/BTCV6/BTCX6/BTCU6/BTCG7/BTCF7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BTCZ6/BTCV6/BTCX6/BTCU6/BTCG7/BTCF7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BTCZ6/BTCV6/BTCX6/BTCU6/BTCG7/BTCF7</v>
      </c>
      <c r="R300" s="14">
        <f>'MKT DATA'!AB1658</f>
        <v>0</v>
      </c>
    </row>
    <row r="301" spans="5:18" x14ac:dyDescent="0.25">
      <c r="E301" s="44" t="str">
        <f>'MKT DATA'!B1659</f>
        <v>syn BTCZ6/BTCV6/BTCX6/BTCG7/BTCU6/BTCF7</v>
      </c>
      <c r="F301" s="14">
        <f>'MKT DATA'!J1659</f>
        <v>0</v>
      </c>
      <c r="G301" s="9">
        <f>'MKT DATA'!K1659</f>
        <v>0</v>
      </c>
      <c r="H301" s="9">
        <f>'MKT DATA'!L1659</f>
        <v>0</v>
      </c>
      <c r="I301" s="14">
        <f>'MKT DATA'!M1659</f>
        <v>0</v>
      </c>
      <c r="J301" s="44" t="str">
        <f t="shared" si="10"/>
        <v>syn BTCZ6/BTCV6/BTCX6/BTCG7/BTCU6/BTCF7</v>
      </c>
      <c r="K301" s="9">
        <f>'MKT DATA'!O1659</f>
        <v>0</v>
      </c>
      <c r="L301" s="9">
        <f>'MKT DATA'!P1659</f>
        <v>0</v>
      </c>
      <c r="M301" s="9">
        <f>'MKT DATA'!Q1659</f>
        <v>0</v>
      </c>
      <c r="N301" s="9">
        <f>'MKT DATA'!R1659</f>
        <v>0</v>
      </c>
      <c r="O301" s="9">
        <f>'MKT DATA'!S1659</f>
        <v>0</v>
      </c>
      <c r="P301" s="9">
        <f>'MKT DATA'!T1659</f>
        <v>0</v>
      </c>
      <c r="Q301" s="44" t="str">
        <f t="shared" si="11"/>
        <v>syn BTCZ6/BTCV6/BTCX6/BTCG7/BTCU6/BTCF7</v>
      </c>
      <c r="R301" s="14">
        <f>'MKT DATA'!AB1659</f>
        <v>0</v>
      </c>
    </row>
    <row r="302" spans="5:18" x14ac:dyDescent="0.25">
      <c r="E302" s="44" t="str">
        <f>'MKT DATA'!B1660</f>
        <v>syn BTCZ6/BTCV6/BTCG7/BTCU6/BTCX6/BTCF7</v>
      </c>
      <c r="F302" s="14">
        <f>'MKT DATA'!J1660</f>
        <v>0</v>
      </c>
      <c r="G302" s="9">
        <f>'MKT DATA'!K1660</f>
        <v>0</v>
      </c>
      <c r="H302" s="9">
        <f>'MKT DATA'!L1660</f>
        <v>0</v>
      </c>
      <c r="I302" s="14">
        <f>'MKT DATA'!M1660</f>
        <v>0</v>
      </c>
      <c r="J302" s="44" t="str">
        <f t="shared" si="10"/>
        <v>syn BTCZ6/BTCV6/BTCG7/BTCU6/BTCX6/BTCF7</v>
      </c>
      <c r="K302" s="9">
        <f>'MKT DATA'!O1660</f>
        <v>0</v>
      </c>
      <c r="L302" s="9">
        <f>'MKT DATA'!P1660</f>
        <v>0</v>
      </c>
      <c r="M302" s="9">
        <f>'MKT DATA'!Q1660</f>
        <v>0</v>
      </c>
      <c r="N302" s="9">
        <f>'MKT DATA'!R1660</f>
        <v>0</v>
      </c>
      <c r="O302" s="9">
        <f>'MKT DATA'!S1660</f>
        <v>0</v>
      </c>
      <c r="P302" s="9">
        <f>'MKT DATA'!T1660</f>
        <v>0</v>
      </c>
      <c r="Q302" s="44" t="str">
        <f t="shared" si="11"/>
        <v>syn BTCZ6/BTCV6/BTCG7/BTCU6/BTCX6/BTCF7</v>
      </c>
      <c r="R302" s="14">
        <f>'MKT DATA'!AB1660</f>
        <v>0</v>
      </c>
    </row>
    <row r="303" spans="5:18" x14ac:dyDescent="0.25">
      <c r="E303" s="44" t="str">
        <f>'MKT DATA'!B1661</f>
        <v>syn BTCZ6/BTCV6/BTCG7/BTCX6/BTCU6/BTCF7</v>
      </c>
      <c r="F303" s="14">
        <f>'MKT DATA'!J1661</f>
        <v>0</v>
      </c>
      <c r="G303" s="9">
        <f>'MKT DATA'!K1661</f>
        <v>0</v>
      </c>
      <c r="H303" s="9">
        <f>'MKT DATA'!L1661</f>
        <v>0</v>
      </c>
      <c r="I303" s="14">
        <f>'MKT DATA'!M1661</f>
        <v>0</v>
      </c>
      <c r="J303" s="44" t="str">
        <f t="shared" si="10"/>
        <v>syn BTCZ6/BTCV6/BTCG7/BTCX6/BTCU6/BTCF7</v>
      </c>
      <c r="K303" s="9">
        <f>'MKT DATA'!O1661</f>
        <v>0</v>
      </c>
      <c r="L303" s="9">
        <f>'MKT DATA'!P1661</f>
        <v>0</v>
      </c>
      <c r="M303" s="9">
        <f>'MKT DATA'!Q1661</f>
        <v>0</v>
      </c>
      <c r="N303" s="9">
        <f>'MKT DATA'!R1661</f>
        <v>0</v>
      </c>
      <c r="O303" s="9">
        <f>'MKT DATA'!S1661</f>
        <v>0</v>
      </c>
      <c r="P303" s="9">
        <f>'MKT DATA'!T1661</f>
        <v>0</v>
      </c>
      <c r="Q303" s="44" t="str">
        <f t="shared" si="11"/>
        <v>syn BTCZ6/BTCV6/BTCG7/BTCX6/BTCU6/BTCF7</v>
      </c>
      <c r="R303" s="14">
        <f>'MKT DATA'!AB1661</f>
        <v>0</v>
      </c>
    </row>
    <row r="304" spans="5:18" x14ac:dyDescent="0.25">
      <c r="E304" s="44" t="str">
        <f>'MKT DATA'!B1662</f>
        <v>syn BTCZ6/BTCX6/BTCU6/BTCV6/BTCG7/BTCF7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BTCZ6/BTCX6/BTCU6/BTCV6/BTCG7/BTCF7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BTCZ6/BTCX6/BTCU6/BTCV6/BTCG7/BTCF7</v>
      </c>
      <c r="R304" s="14">
        <f>'MKT DATA'!AB1662</f>
        <v>0</v>
      </c>
    </row>
    <row r="305" spans="5:18" x14ac:dyDescent="0.25">
      <c r="E305" s="44" t="str">
        <f>'MKT DATA'!B1663</f>
        <v>syn BTCZ6/BTCX6/BTCU6/BTCG7/BTCV6/BTCF7</v>
      </c>
      <c r="F305" s="14">
        <f>'MKT DATA'!J1663</f>
        <v>0</v>
      </c>
      <c r="G305" s="9">
        <f>'MKT DATA'!K1663</f>
        <v>0</v>
      </c>
      <c r="H305" s="9">
        <f>'MKT DATA'!L1663</f>
        <v>0</v>
      </c>
      <c r="I305" s="14">
        <f>'MKT DATA'!M1663</f>
        <v>0</v>
      </c>
      <c r="J305" s="44" t="str">
        <f t="shared" si="10"/>
        <v>syn BTCZ6/BTCX6/BTCU6/BTCG7/BTCV6/BTCF7</v>
      </c>
      <c r="K305" s="9">
        <f>'MKT DATA'!O1663</f>
        <v>0</v>
      </c>
      <c r="L305" s="9">
        <f>'MKT DATA'!P1663</f>
        <v>0</v>
      </c>
      <c r="M305" s="9">
        <f>'MKT DATA'!Q1663</f>
        <v>0</v>
      </c>
      <c r="N305" s="9">
        <f>'MKT DATA'!R1663</f>
        <v>0</v>
      </c>
      <c r="O305" s="9">
        <f>'MKT DATA'!S1663</f>
        <v>0</v>
      </c>
      <c r="P305" s="9">
        <f>'MKT DATA'!T1663</f>
        <v>0</v>
      </c>
      <c r="Q305" s="44" t="str">
        <f t="shared" si="11"/>
        <v>syn BTCZ6/BTCX6/BTCU6/BTCG7/BTCV6/BTCF7</v>
      </c>
      <c r="R305" s="14">
        <f>'MKT DATA'!AB1663</f>
        <v>0</v>
      </c>
    </row>
    <row r="306" spans="5:18" x14ac:dyDescent="0.25">
      <c r="E306" s="44" t="str">
        <f>'MKT DATA'!B1664</f>
        <v>syn BTCZ6/BTCX6/BTCV6/BTCU6/BTCG7/BTCF7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BTCZ6/BTCX6/BTCV6/BTCU6/BTCG7/BTCF7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BTCZ6/BTCX6/BTCV6/BTCU6/BTCG7/BTCF7</v>
      </c>
      <c r="R306" s="14">
        <f>'MKT DATA'!AB1664</f>
        <v>0</v>
      </c>
    </row>
    <row r="307" spans="5:18" x14ac:dyDescent="0.25">
      <c r="E307" s="44" t="str">
        <f>'MKT DATA'!B1665</f>
        <v>syn BTCZ6/BTCX6/BTCV6/BTCG7/BTCU6/BTCF7</v>
      </c>
      <c r="F307" s="14">
        <f>'MKT DATA'!J1665</f>
        <v>0</v>
      </c>
      <c r="G307" s="9">
        <f>'MKT DATA'!K1665</f>
        <v>0</v>
      </c>
      <c r="H307" s="9">
        <f>'MKT DATA'!L1665</f>
        <v>0</v>
      </c>
      <c r="I307" s="14">
        <f>'MKT DATA'!M1665</f>
        <v>0</v>
      </c>
      <c r="J307" s="44" t="str">
        <f t="shared" si="10"/>
        <v>syn BTCZ6/BTCX6/BTCV6/BTCG7/BTCU6/BTCF7</v>
      </c>
      <c r="K307" s="9">
        <f>'MKT DATA'!O1665</f>
        <v>0</v>
      </c>
      <c r="L307" s="9">
        <f>'MKT DATA'!P1665</f>
        <v>0</v>
      </c>
      <c r="M307" s="9">
        <f>'MKT DATA'!Q1665</f>
        <v>0</v>
      </c>
      <c r="N307" s="9">
        <f>'MKT DATA'!R1665</f>
        <v>0</v>
      </c>
      <c r="O307" s="9">
        <f>'MKT DATA'!S1665</f>
        <v>0</v>
      </c>
      <c r="P307" s="9">
        <f>'MKT DATA'!T1665</f>
        <v>0</v>
      </c>
      <c r="Q307" s="44" t="str">
        <f t="shared" si="11"/>
        <v>syn BTCZ6/BTCX6/BTCV6/BTCG7/BTCU6/BTCF7</v>
      </c>
      <c r="R307" s="14">
        <f>'MKT DATA'!AB1665</f>
        <v>0</v>
      </c>
    </row>
    <row r="308" spans="5:18" x14ac:dyDescent="0.25">
      <c r="E308" s="44" t="str">
        <f>'MKT DATA'!B1666</f>
        <v>syn BTCZ6/BTCX6/BTCG7/BTCU6/BTCV6/BTCF7</v>
      </c>
      <c r="F308" s="14">
        <f>'MKT DATA'!J1666</f>
        <v>0</v>
      </c>
      <c r="G308" s="9">
        <f>'MKT DATA'!K1666</f>
        <v>0</v>
      </c>
      <c r="H308" s="9">
        <f>'MKT DATA'!L1666</f>
        <v>0</v>
      </c>
      <c r="I308" s="14">
        <f>'MKT DATA'!M1666</f>
        <v>0</v>
      </c>
      <c r="J308" s="44" t="str">
        <f t="shared" si="10"/>
        <v>syn BTCZ6/BTCX6/BTCG7/BTCU6/BTCV6/BTCF7</v>
      </c>
      <c r="K308" s="9">
        <f>'MKT DATA'!O1666</f>
        <v>0</v>
      </c>
      <c r="L308" s="9">
        <f>'MKT DATA'!P1666</f>
        <v>0</v>
      </c>
      <c r="M308" s="9">
        <f>'MKT DATA'!Q1666</f>
        <v>0</v>
      </c>
      <c r="N308" s="9">
        <f>'MKT DATA'!R1666</f>
        <v>0</v>
      </c>
      <c r="O308" s="9">
        <f>'MKT DATA'!S1666</f>
        <v>0</v>
      </c>
      <c r="P308" s="9">
        <f>'MKT DATA'!T1666</f>
        <v>0</v>
      </c>
      <c r="Q308" s="44" t="str">
        <f t="shared" si="11"/>
        <v>syn BTCZ6/BTCX6/BTCG7/BTCU6/BTCV6/BTCF7</v>
      </c>
      <c r="R308" s="14">
        <f>'MKT DATA'!AB1666</f>
        <v>0</v>
      </c>
    </row>
    <row r="309" spans="5:18" x14ac:dyDescent="0.25">
      <c r="E309" s="44" t="str">
        <f>'MKT DATA'!B1667</f>
        <v>syn BTCZ6/BTCX6/BTCG7/BTCV6/BTCU6/BTCF7</v>
      </c>
      <c r="F309" s="14">
        <f>'MKT DATA'!J1667</f>
        <v>0</v>
      </c>
      <c r="G309" s="9">
        <f>'MKT DATA'!K1667</f>
        <v>0</v>
      </c>
      <c r="H309" s="9">
        <f>'MKT DATA'!L1667</f>
        <v>0</v>
      </c>
      <c r="I309" s="14">
        <f>'MKT DATA'!M1667</f>
        <v>0</v>
      </c>
      <c r="J309" s="44" t="str">
        <f t="shared" si="10"/>
        <v>syn BTCZ6/BTCX6/BTCG7/BTCV6/BTCU6/BTCF7</v>
      </c>
      <c r="K309" s="9">
        <f>'MKT DATA'!O1667</f>
        <v>0</v>
      </c>
      <c r="L309" s="9">
        <f>'MKT DATA'!P1667</f>
        <v>0</v>
      </c>
      <c r="M309" s="9">
        <f>'MKT DATA'!Q1667</f>
        <v>0</v>
      </c>
      <c r="N309" s="9">
        <f>'MKT DATA'!R1667</f>
        <v>0</v>
      </c>
      <c r="O309" s="9">
        <f>'MKT DATA'!S1667</f>
        <v>0</v>
      </c>
      <c r="P309" s="9">
        <f>'MKT DATA'!T1667</f>
        <v>0</v>
      </c>
      <c r="Q309" s="44" t="str">
        <f t="shared" si="11"/>
        <v>syn BTCZ6/BTCX6/BTCG7/BTCV6/BTCU6/BTCF7</v>
      </c>
      <c r="R309" s="14">
        <f>'MKT DATA'!AB1667</f>
        <v>0</v>
      </c>
    </row>
    <row r="310" spans="5:18" x14ac:dyDescent="0.25">
      <c r="E310" s="44" t="str">
        <f>'MKT DATA'!B1668</f>
        <v>syn BTCZ6/BTCG7/BTCU6/BTCV6/BTCX6/BTCF7</v>
      </c>
      <c r="F310" s="14">
        <f>'MKT DATA'!J1668</f>
        <v>0</v>
      </c>
      <c r="G310" s="9">
        <f>'MKT DATA'!K1668</f>
        <v>0</v>
      </c>
      <c r="H310" s="9">
        <f>'MKT DATA'!L1668</f>
        <v>0</v>
      </c>
      <c r="I310" s="14">
        <f>'MKT DATA'!M1668</f>
        <v>0</v>
      </c>
      <c r="J310" s="44" t="str">
        <f t="shared" si="10"/>
        <v>syn BTCZ6/BTCG7/BTCU6/BTCV6/BTCX6/BTCF7</v>
      </c>
      <c r="K310" s="9">
        <f>'MKT DATA'!O1668</f>
        <v>0</v>
      </c>
      <c r="L310" s="9">
        <f>'MKT DATA'!P1668</f>
        <v>0</v>
      </c>
      <c r="M310" s="9">
        <f>'MKT DATA'!Q1668</f>
        <v>0</v>
      </c>
      <c r="N310" s="9">
        <f>'MKT DATA'!R1668</f>
        <v>0</v>
      </c>
      <c r="O310" s="9">
        <f>'MKT DATA'!S1668</f>
        <v>0</v>
      </c>
      <c r="P310" s="9">
        <f>'MKT DATA'!T1668</f>
        <v>0</v>
      </c>
      <c r="Q310" s="44" t="str">
        <f t="shared" si="11"/>
        <v>syn BTCZ6/BTCG7/BTCU6/BTCV6/BTCX6/BTCF7</v>
      </c>
      <c r="R310" s="14">
        <f>'MKT DATA'!AB1668</f>
        <v>0</v>
      </c>
    </row>
    <row r="311" spans="5:18" x14ac:dyDescent="0.25">
      <c r="E311" s="44" t="str">
        <f>'MKT DATA'!B1669</f>
        <v>syn BTCZ6/BTCG7/BTCU6/BTCX6/BTCV6/BTCF7</v>
      </c>
      <c r="F311" s="14">
        <f>'MKT DATA'!J1669</f>
        <v>0</v>
      </c>
      <c r="G311" s="9">
        <f>'MKT DATA'!K1669</f>
        <v>0</v>
      </c>
      <c r="H311" s="9">
        <f>'MKT DATA'!L1669</f>
        <v>0</v>
      </c>
      <c r="I311" s="14">
        <f>'MKT DATA'!M1669</f>
        <v>0</v>
      </c>
      <c r="J311" s="44" t="str">
        <f t="shared" si="10"/>
        <v>syn BTCZ6/BTCG7/BTCU6/BTCX6/BTCV6/BTCF7</v>
      </c>
      <c r="K311" s="9">
        <f>'MKT DATA'!O1669</f>
        <v>0</v>
      </c>
      <c r="L311" s="9">
        <f>'MKT DATA'!P1669</f>
        <v>0</v>
      </c>
      <c r="M311" s="9">
        <f>'MKT DATA'!Q1669</f>
        <v>0</v>
      </c>
      <c r="N311" s="9">
        <f>'MKT DATA'!R1669</f>
        <v>0</v>
      </c>
      <c r="O311" s="9">
        <f>'MKT DATA'!S1669</f>
        <v>0</v>
      </c>
      <c r="P311" s="9">
        <f>'MKT DATA'!T1669</f>
        <v>0</v>
      </c>
      <c r="Q311" s="44" t="str">
        <f t="shared" si="11"/>
        <v>syn BTCZ6/BTCG7/BTCU6/BTCX6/BTCV6/BTCF7</v>
      </c>
      <c r="R311" s="14">
        <f>'MKT DATA'!AB1669</f>
        <v>0</v>
      </c>
    </row>
    <row r="312" spans="5:18" x14ac:dyDescent="0.25">
      <c r="E312" s="44" t="str">
        <f>'MKT DATA'!B1670</f>
        <v>syn BTCZ6/BTCG7/BTCV6/BTCU6/BTCX6/BTCF7</v>
      </c>
      <c r="F312" s="14">
        <f>'MKT DATA'!J1670</f>
        <v>0</v>
      </c>
      <c r="G312" s="9">
        <f>'MKT DATA'!K1670</f>
        <v>0</v>
      </c>
      <c r="H312" s="9">
        <f>'MKT DATA'!L1670</f>
        <v>0</v>
      </c>
      <c r="I312" s="14">
        <f>'MKT DATA'!M1670</f>
        <v>0</v>
      </c>
      <c r="J312" s="44" t="str">
        <f t="shared" si="10"/>
        <v>syn BTCZ6/BTCG7/BTCV6/BTCU6/BTCX6/BTCF7</v>
      </c>
      <c r="K312" s="9">
        <f>'MKT DATA'!O1670</f>
        <v>0</v>
      </c>
      <c r="L312" s="9">
        <f>'MKT DATA'!P1670</f>
        <v>0</v>
      </c>
      <c r="M312" s="9">
        <f>'MKT DATA'!Q1670</f>
        <v>0</v>
      </c>
      <c r="N312" s="9">
        <f>'MKT DATA'!R1670</f>
        <v>0</v>
      </c>
      <c r="O312" s="9">
        <f>'MKT DATA'!S1670</f>
        <v>0</v>
      </c>
      <c r="P312" s="9">
        <f>'MKT DATA'!T1670</f>
        <v>0</v>
      </c>
      <c r="Q312" s="44" t="str">
        <f t="shared" si="11"/>
        <v>syn BTCZ6/BTCG7/BTCV6/BTCU6/BTCX6/BTCF7</v>
      </c>
      <c r="R312" s="14">
        <f>'MKT DATA'!AB1670</f>
        <v>0</v>
      </c>
    </row>
    <row r="313" spans="5:18" x14ac:dyDescent="0.25">
      <c r="E313" s="44" t="str">
        <f>'MKT DATA'!B1671</f>
        <v>syn BTCZ6/BTCG7/BTCV6/BTCX6/BTCU6/BTCF7</v>
      </c>
      <c r="F313" s="14">
        <f>'MKT DATA'!J1671</f>
        <v>0</v>
      </c>
      <c r="G313" s="9">
        <f>'MKT DATA'!K1671</f>
        <v>0</v>
      </c>
      <c r="H313" s="9">
        <f>'MKT DATA'!L1671</f>
        <v>0</v>
      </c>
      <c r="I313" s="14">
        <f>'MKT DATA'!M1671</f>
        <v>0</v>
      </c>
      <c r="J313" s="44" t="str">
        <f t="shared" si="10"/>
        <v>syn BTCZ6/BTCG7/BTCV6/BTCX6/BTCU6/BTCF7</v>
      </c>
      <c r="K313" s="9">
        <f>'MKT DATA'!O1671</f>
        <v>0</v>
      </c>
      <c r="L313" s="9">
        <f>'MKT DATA'!P1671</f>
        <v>0</v>
      </c>
      <c r="M313" s="9">
        <f>'MKT DATA'!Q1671</f>
        <v>0</v>
      </c>
      <c r="N313" s="9">
        <f>'MKT DATA'!R1671</f>
        <v>0</v>
      </c>
      <c r="O313" s="9">
        <f>'MKT DATA'!S1671</f>
        <v>0</v>
      </c>
      <c r="P313" s="9">
        <f>'MKT DATA'!T1671</f>
        <v>0</v>
      </c>
      <c r="Q313" s="44" t="str">
        <f t="shared" si="11"/>
        <v>syn BTCZ6/BTCG7/BTCV6/BTCX6/BTCU6/BTCF7</v>
      </c>
      <c r="R313" s="14">
        <f>'MKT DATA'!AB1671</f>
        <v>0</v>
      </c>
    </row>
    <row r="314" spans="5:18" x14ac:dyDescent="0.25">
      <c r="E314" s="44" t="str">
        <f>'MKT DATA'!B1672</f>
        <v>syn BTCZ6/BTCG7/BTCX6/BTCU6/BTCV6/BTCF7</v>
      </c>
      <c r="F314" s="14">
        <f>'MKT DATA'!J1672</f>
        <v>0</v>
      </c>
      <c r="G314" s="9">
        <f>'MKT DATA'!K1672</f>
        <v>0</v>
      </c>
      <c r="H314" s="9">
        <f>'MKT DATA'!L1672</f>
        <v>0</v>
      </c>
      <c r="I314" s="14">
        <f>'MKT DATA'!M1672</f>
        <v>0</v>
      </c>
      <c r="J314" s="44" t="str">
        <f t="shared" si="10"/>
        <v>syn BTCZ6/BTCG7/BTCX6/BTCU6/BTCV6/BTCF7</v>
      </c>
      <c r="K314" s="9">
        <f>'MKT DATA'!O1672</f>
        <v>0</v>
      </c>
      <c r="L314" s="9">
        <f>'MKT DATA'!P1672</f>
        <v>0</v>
      </c>
      <c r="M314" s="9">
        <f>'MKT DATA'!Q1672</f>
        <v>0</v>
      </c>
      <c r="N314" s="9">
        <f>'MKT DATA'!R1672</f>
        <v>0</v>
      </c>
      <c r="O314" s="9">
        <f>'MKT DATA'!S1672</f>
        <v>0</v>
      </c>
      <c r="P314" s="9">
        <f>'MKT DATA'!T1672</f>
        <v>0</v>
      </c>
      <c r="Q314" s="44" t="str">
        <f t="shared" si="11"/>
        <v>syn BTCZ6/BTCG7/BTCX6/BTCU6/BTCV6/BTCF7</v>
      </c>
      <c r="R314" s="14">
        <f>'MKT DATA'!AB1672</f>
        <v>0</v>
      </c>
    </row>
    <row r="315" spans="5:18" x14ac:dyDescent="0.25">
      <c r="E315" s="44" t="str">
        <f>'MKT DATA'!B1673</f>
        <v>syn BTCZ6/BTCG7/BTCX6/BTCV6/BTCU6/BTCF7</v>
      </c>
      <c r="F315" s="14">
        <f>'MKT DATA'!J1673</f>
        <v>0</v>
      </c>
      <c r="G315" s="9">
        <f>'MKT DATA'!K1673</f>
        <v>0</v>
      </c>
      <c r="H315" s="9">
        <f>'MKT DATA'!L1673</f>
        <v>0</v>
      </c>
      <c r="I315" s="14">
        <f>'MKT DATA'!M1673</f>
        <v>0</v>
      </c>
      <c r="J315" s="44" t="str">
        <f t="shared" si="10"/>
        <v>syn BTCZ6/BTCG7/BTCX6/BTCV6/BTCU6/BTCF7</v>
      </c>
      <c r="K315" s="9">
        <f>'MKT DATA'!O1673</f>
        <v>0</v>
      </c>
      <c r="L315" s="9">
        <f>'MKT DATA'!P1673</f>
        <v>0</v>
      </c>
      <c r="M315" s="9">
        <f>'MKT DATA'!Q1673</f>
        <v>0</v>
      </c>
      <c r="N315" s="9">
        <f>'MKT DATA'!R1673</f>
        <v>0</v>
      </c>
      <c r="O315" s="9">
        <f>'MKT DATA'!S1673</f>
        <v>0</v>
      </c>
      <c r="P315" s="9">
        <f>'MKT DATA'!T1673</f>
        <v>0</v>
      </c>
      <c r="Q315" s="44" t="str">
        <f t="shared" si="11"/>
        <v>syn BTCZ6/BTCG7/BTCX6/BTCV6/BTCU6/BTCF7</v>
      </c>
      <c r="R315" s="14">
        <f>'MKT DATA'!AB1673</f>
        <v>0</v>
      </c>
    </row>
    <row r="316" spans="5:18" x14ac:dyDescent="0.25">
      <c r="E316" s="44" t="str">
        <f>'MKT DATA'!B1674</f>
        <v>syn BTCG7/BTCU6/BTCV6/BTCX6/BTCZ6/BTCF7</v>
      </c>
      <c r="F316" s="14">
        <f>'MKT DATA'!J1674</f>
        <v>0</v>
      </c>
      <c r="G316" s="9">
        <f>'MKT DATA'!K1674</f>
        <v>0</v>
      </c>
      <c r="H316" s="9">
        <f>'MKT DATA'!L1674</f>
        <v>0</v>
      </c>
      <c r="I316" s="14">
        <f>'MKT DATA'!M1674</f>
        <v>0</v>
      </c>
      <c r="J316" s="44" t="str">
        <f t="shared" si="10"/>
        <v>syn BTCG7/BTCU6/BTCV6/BTCX6/BTCZ6/BTCF7</v>
      </c>
      <c r="K316" s="9">
        <f>'MKT DATA'!O1674</f>
        <v>0</v>
      </c>
      <c r="L316" s="9">
        <f>'MKT DATA'!P1674</f>
        <v>0</v>
      </c>
      <c r="M316" s="9">
        <f>'MKT DATA'!Q1674</f>
        <v>0</v>
      </c>
      <c r="N316" s="9">
        <f>'MKT DATA'!R1674</f>
        <v>0</v>
      </c>
      <c r="O316" s="9">
        <f>'MKT DATA'!S1674</f>
        <v>0</v>
      </c>
      <c r="P316" s="9">
        <f>'MKT DATA'!T1674</f>
        <v>0</v>
      </c>
      <c r="Q316" s="44" t="str">
        <f t="shared" si="11"/>
        <v>syn BTCG7/BTCU6/BTCV6/BTCX6/BTCZ6/BTCF7</v>
      </c>
      <c r="R316" s="14">
        <f>'MKT DATA'!AB1674</f>
        <v>0</v>
      </c>
    </row>
    <row r="317" spans="5:18" x14ac:dyDescent="0.25">
      <c r="E317" s="44" t="str">
        <f>'MKT DATA'!B1675</f>
        <v>syn BTCG7/BTCU6/BTCV6/BTCZ6/BTCX6/BTCF7</v>
      </c>
      <c r="F317" s="14">
        <f>'MKT DATA'!J1675</f>
        <v>0</v>
      </c>
      <c r="G317" s="9">
        <f>'MKT DATA'!K1675</f>
        <v>0</v>
      </c>
      <c r="H317" s="9">
        <f>'MKT DATA'!L1675</f>
        <v>0</v>
      </c>
      <c r="I317" s="14">
        <f>'MKT DATA'!M1675</f>
        <v>0</v>
      </c>
      <c r="J317" s="44" t="str">
        <f t="shared" si="10"/>
        <v>syn BTCG7/BTCU6/BTCV6/BTCZ6/BTCX6/BTCF7</v>
      </c>
      <c r="K317" s="9">
        <f>'MKT DATA'!O1675</f>
        <v>0</v>
      </c>
      <c r="L317" s="9">
        <f>'MKT DATA'!P1675</f>
        <v>0</v>
      </c>
      <c r="M317" s="9">
        <f>'MKT DATA'!Q1675</f>
        <v>0</v>
      </c>
      <c r="N317" s="9">
        <f>'MKT DATA'!R1675</f>
        <v>0</v>
      </c>
      <c r="O317" s="9">
        <f>'MKT DATA'!S1675</f>
        <v>0</v>
      </c>
      <c r="P317" s="9">
        <f>'MKT DATA'!T1675</f>
        <v>0</v>
      </c>
      <c r="Q317" s="44" t="str">
        <f t="shared" si="11"/>
        <v>syn BTCG7/BTCU6/BTCV6/BTCZ6/BTCX6/BTCF7</v>
      </c>
      <c r="R317" s="14">
        <f>'MKT DATA'!AB1675</f>
        <v>0</v>
      </c>
    </row>
    <row r="318" spans="5:18" x14ac:dyDescent="0.25">
      <c r="E318" s="44" t="str">
        <f>'MKT DATA'!B1676</f>
        <v>syn BTCG7/BTCU6/BTCX6/BTCV6/BTCZ6/BTCF7</v>
      </c>
      <c r="F318" s="14">
        <f>'MKT DATA'!J1676</f>
        <v>0</v>
      </c>
      <c r="G318" s="9">
        <f>'MKT DATA'!K1676</f>
        <v>0</v>
      </c>
      <c r="H318" s="9">
        <f>'MKT DATA'!L1676</f>
        <v>0</v>
      </c>
      <c r="I318" s="14">
        <f>'MKT DATA'!M1676</f>
        <v>0</v>
      </c>
      <c r="J318" s="44" t="str">
        <f t="shared" si="10"/>
        <v>syn BTCG7/BTCU6/BTCX6/BTCV6/BTCZ6/BTCF7</v>
      </c>
      <c r="K318" s="9">
        <f>'MKT DATA'!O1676</f>
        <v>0</v>
      </c>
      <c r="L318" s="9">
        <f>'MKT DATA'!P1676</f>
        <v>0</v>
      </c>
      <c r="M318" s="9">
        <f>'MKT DATA'!Q1676</f>
        <v>0</v>
      </c>
      <c r="N318" s="9">
        <f>'MKT DATA'!R1676</f>
        <v>0</v>
      </c>
      <c r="O318" s="9">
        <f>'MKT DATA'!S1676</f>
        <v>0</v>
      </c>
      <c r="P318" s="9">
        <f>'MKT DATA'!T1676</f>
        <v>0</v>
      </c>
      <c r="Q318" s="44" t="str">
        <f t="shared" si="11"/>
        <v>syn BTCG7/BTCU6/BTCX6/BTCV6/BTCZ6/BTCF7</v>
      </c>
      <c r="R318" s="14">
        <f>'MKT DATA'!AB1676</f>
        <v>0</v>
      </c>
    </row>
    <row r="319" spans="5:18" x14ac:dyDescent="0.25">
      <c r="E319" s="44" t="str">
        <f>'MKT DATA'!B1677</f>
        <v>syn BTCG7/BTCU6/BTCX6/BTCZ6/BTCV6/BTCF7</v>
      </c>
      <c r="F319" s="14">
        <f>'MKT DATA'!J1677</f>
        <v>0</v>
      </c>
      <c r="G319" s="9">
        <f>'MKT DATA'!K1677</f>
        <v>0</v>
      </c>
      <c r="H319" s="9">
        <f>'MKT DATA'!L1677</f>
        <v>0</v>
      </c>
      <c r="I319" s="14">
        <f>'MKT DATA'!M1677</f>
        <v>0</v>
      </c>
      <c r="J319" s="44" t="str">
        <f t="shared" si="10"/>
        <v>syn BTCG7/BTCU6/BTCX6/BTCZ6/BTCV6/BTCF7</v>
      </c>
      <c r="K319" s="9">
        <f>'MKT DATA'!O1677</f>
        <v>0</v>
      </c>
      <c r="L319" s="9">
        <f>'MKT DATA'!P1677</f>
        <v>0</v>
      </c>
      <c r="M319" s="9">
        <f>'MKT DATA'!Q1677</f>
        <v>0</v>
      </c>
      <c r="N319" s="9">
        <f>'MKT DATA'!R1677</f>
        <v>0</v>
      </c>
      <c r="O319" s="9">
        <f>'MKT DATA'!S1677</f>
        <v>0</v>
      </c>
      <c r="P319" s="9">
        <f>'MKT DATA'!T1677</f>
        <v>0</v>
      </c>
      <c r="Q319" s="44" t="str">
        <f t="shared" si="11"/>
        <v>syn BTCG7/BTCU6/BTCX6/BTCZ6/BTCV6/BTCF7</v>
      </c>
      <c r="R319" s="14">
        <f>'MKT DATA'!AB1677</f>
        <v>0</v>
      </c>
    </row>
    <row r="320" spans="5:18" x14ac:dyDescent="0.25">
      <c r="E320" s="44" t="str">
        <f>'MKT DATA'!B1678</f>
        <v>syn BTCG7/BTCU6/BTCZ6/BTCV6/BTCX6/BTCF7</v>
      </c>
      <c r="F320" s="14">
        <f>'MKT DATA'!J1678</f>
        <v>0</v>
      </c>
      <c r="G320" s="9">
        <f>'MKT DATA'!K1678</f>
        <v>0</v>
      </c>
      <c r="H320" s="9">
        <f>'MKT DATA'!L1678</f>
        <v>0</v>
      </c>
      <c r="I320" s="14">
        <f>'MKT DATA'!M1678</f>
        <v>0</v>
      </c>
      <c r="J320" s="44" t="str">
        <f t="shared" si="10"/>
        <v>syn BTCG7/BTCU6/BTCZ6/BTCV6/BTCX6/BTCF7</v>
      </c>
      <c r="K320" s="9">
        <f>'MKT DATA'!O1678</f>
        <v>0</v>
      </c>
      <c r="L320" s="9">
        <f>'MKT DATA'!P1678</f>
        <v>0</v>
      </c>
      <c r="M320" s="9">
        <f>'MKT DATA'!Q1678</f>
        <v>0</v>
      </c>
      <c r="N320" s="9">
        <f>'MKT DATA'!R1678</f>
        <v>0</v>
      </c>
      <c r="O320" s="9">
        <f>'MKT DATA'!S1678</f>
        <v>0</v>
      </c>
      <c r="P320" s="9">
        <f>'MKT DATA'!T1678</f>
        <v>0</v>
      </c>
      <c r="Q320" s="44" t="str">
        <f t="shared" si="11"/>
        <v>syn BTCG7/BTCU6/BTCZ6/BTCV6/BTCX6/BTCF7</v>
      </c>
      <c r="R320" s="14">
        <f>'MKT DATA'!AB1678</f>
        <v>0</v>
      </c>
    </row>
    <row r="321" spans="5:18" x14ac:dyDescent="0.25">
      <c r="E321" s="44" t="str">
        <f>'MKT DATA'!B1679</f>
        <v>syn BTCG7/BTCU6/BTCZ6/BTCX6/BTCV6/BTCF7</v>
      </c>
      <c r="F321" s="14">
        <f>'MKT DATA'!J1679</f>
        <v>0</v>
      </c>
      <c r="G321" s="9">
        <f>'MKT DATA'!K1679</f>
        <v>0</v>
      </c>
      <c r="H321" s="9">
        <f>'MKT DATA'!L1679</f>
        <v>0</v>
      </c>
      <c r="I321" s="14">
        <f>'MKT DATA'!M1679</f>
        <v>0</v>
      </c>
      <c r="J321" s="44" t="str">
        <f t="shared" si="10"/>
        <v>syn BTCG7/BTCU6/BTCZ6/BTCX6/BTCV6/BTCF7</v>
      </c>
      <c r="K321" s="9">
        <f>'MKT DATA'!O1679</f>
        <v>0</v>
      </c>
      <c r="L321" s="9">
        <f>'MKT DATA'!P1679</f>
        <v>0</v>
      </c>
      <c r="M321" s="9">
        <f>'MKT DATA'!Q1679</f>
        <v>0</v>
      </c>
      <c r="N321" s="9">
        <f>'MKT DATA'!R1679</f>
        <v>0</v>
      </c>
      <c r="O321" s="9">
        <f>'MKT DATA'!S1679</f>
        <v>0</v>
      </c>
      <c r="P321" s="9">
        <f>'MKT DATA'!T1679</f>
        <v>0</v>
      </c>
      <c r="Q321" s="44" t="str">
        <f t="shared" si="11"/>
        <v>syn BTCG7/BTCU6/BTCZ6/BTCX6/BTCV6/BTCF7</v>
      </c>
      <c r="R321" s="14">
        <f>'MKT DATA'!AB1679</f>
        <v>0</v>
      </c>
    </row>
    <row r="322" spans="5:18" x14ac:dyDescent="0.25">
      <c r="E322" s="44" t="str">
        <f>'MKT DATA'!B1680</f>
        <v>syn BTCG7/BTCV6/BTCU6/BTCX6/BTCZ6/BTCF7</v>
      </c>
      <c r="F322" s="14">
        <f>'MKT DATA'!J1680</f>
        <v>0</v>
      </c>
      <c r="G322" s="9">
        <f>'MKT DATA'!K1680</f>
        <v>0</v>
      </c>
      <c r="H322" s="9">
        <f>'MKT DATA'!L1680</f>
        <v>0</v>
      </c>
      <c r="I322" s="14">
        <f>'MKT DATA'!M1680</f>
        <v>0</v>
      </c>
      <c r="J322" s="44" t="str">
        <f t="shared" si="10"/>
        <v>syn BTCG7/BTCV6/BTCU6/BTCX6/BTCZ6/BTCF7</v>
      </c>
      <c r="K322" s="9">
        <f>'MKT DATA'!O1680</f>
        <v>0</v>
      </c>
      <c r="L322" s="9">
        <f>'MKT DATA'!P1680</f>
        <v>0</v>
      </c>
      <c r="M322" s="9">
        <f>'MKT DATA'!Q1680</f>
        <v>0</v>
      </c>
      <c r="N322" s="9">
        <f>'MKT DATA'!R1680</f>
        <v>0</v>
      </c>
      <c r="O322" s="9">
        <f>'MKT DATA'!S1680</f>
        <v>0</v>
      </c>
      <c r="P322" s="9">
        <f>'MKT DATA'!T1680</f>
        <v>0</v>
      </c>
      <c r="Q322" s="44" t="str">
        <f t="shared" si="11"/>
        <v>syn BTCG7/BTCV6/BTCU6/BTCX6/BTCZ6/BTCF7</v>
      </c>
      <c r="R322" s="14">
        <f>'MKT DATA'!AB1680</f>
        <v>0</v>
      </c>
    </row>
    <row r="323" spans="5:18" x14ac:dyDescent="0.25">
      <c r="E323" s="44" t="str">
        <f>'MKT DATA'!B1681</f>
        <v>syn BTCG7/BTCV6/BTCU6/BTCZ6/BTCX6/BTCF7</v>
      </c>
      <c r="F323" s="14">
        <f>'MKT DATA'!J1681</f>
        <v>0</v>
      </c>
      <c r="G323" s="9">
        <f>'MKT DATA'!K1681</f>
        <v>0</v>
      </c>
      <c r="H323" s="9">
        <f>'MKT DATA'!L1681</f>
        <v>0</v>
      </c>
      <c r="I323" s="14">
        <f>'MKT DATA'!M1681</f>
        <v>0</v>
      </c>
      <c r="J323" s="44" t="str">
        <f t="shared" si="10"/>
        <v>syn BTCG7/BTCV6/BTCU6/BTCZ6/BTCX6/BTCF7</v>
      </c>
      <c r="K323" s="9">
        <f>'MKT DATA'!O1681</f>
        <v>0</v>
      </c>
      <c r="L323" s="9">
        <f>'MKT DATA'!P1681</f>
        <v>0</v>
      </c>
      <c r="M323" s="9">
        <f>'MKT DATA'!Q1681</f>
        <v>0</v>
      </c>
      <c r="N323" s="9">
        <f>'MKT DATA'!R1681</f>
        <v>0</v>
      </c>
      <c r="O323" s="9">
        <f>'MKT DATA'!S1681</f>
        <v>0</v>
      </c>
      <c r="P323" s="9">
        <f>'MKT DATA'!T1681</f>
        <v>0</v>
      </c>
      <c r="Q323" s="44" t="str">
        <f t="shared" si="11"/>
        <v>syn BTCG7/BTCV6/BTCU6/BTCZ6/BTCX6/BTCF7</v>
      </c>
      <c r="R323" s="14">
        <f>'MKT DATA'!AB1681</f>
        <v>0</v>
      </c>
    </row>
    <row r="324" spans="5:18" x14ac:dyDescent="0.25">
      <c r="E324" s="44" t="str">
        <f>'MKT DATA'!B1682</f>
        <v>syn BTCG7/BTCV6/BTCX6/BTCU6/BTCZ6/BTCF7</v>
      </c>
      <c r="F324" s="14">
        <f>'MKT DATA'!J1682</f>
        <v>0</v>
      </c>
      <c r="G324" s="9">
        <f>'MKT DATA'!K1682</f>
        <v>0</v>
      </c>
      <c r="H324" s="9">
        <f>'MKT DATA'!L1682</f>
        <v>0</v>
      </c>
      <c r="I324" s="14">
        <f>'MKT DATA'!M1682</f>
        <v>0</v>
      </c>
      <c r="J324" s="44" t="str">
        <f t="shared" si="10"/>
        <v>syn BTCG7/BTCV6/BTCX6/BTCU6/BTCZ6/BTCF7</v>
      </c>
      <c r="K324" s="9">
        <f>'MKT DATA'!O1682</f>
        <v>0</v>
      </c>
      <c r="L324" s="9">
        <f>'MKT DATA'!P1682</f>
        <v>0</v>
      </c>
      <c r="M324" s="9">
        <f>'MKT DATA'!Q1682</f>
        <v>0</v>
      </c>
      <c r="N324" s="9">
        <f>'MKT DATA'!R1682</f>
        <v>0</v>
      </c>
      <c r="O324" s="9">
        <f>'MKT DATA'!S1682</f>
        <v>0</v>
      </c>
      <c r="P324" s="9">
        <f>'MKT DATA'!T1682</f>
        <v>0</v>
      </c>
      <c r="Q324" s="44" t="str">
        <f t="shared" si="11"/>
        <v>syn BTCG7/BTCV6/BTCX6/BTCU6/BTCZ6/BTCF7</v>
      </c>
      <c r="R324" s="14">
        <f>'MKT DATA'!AB1682</f>
        <v>0</v>
      </c>
    </row>
    <row r="325" spans="5:18" x14ac:dyDescent="0.25">
      <c r="E325" s="44" t="str">
        <f>'MKT DATA'!B1683</f>
        <v>syn BTCG7/BTCV6/BTCX6/BTCZ6/BTCU6/BTCF7</v>
      </c>
      <c r="F325" s="14">
        <f>'MKT DATA'!J1683</f>
        <v>0</v>
      </c>
      <c r="G325" s="9">
        <f>'MKT DATA'!K1683</f>
        <v>0</v>
      </c>
      <c r="H325" s="9">
        <f>'MKT DATA'!L1683</f>
        <v>0</v>
      </c>
      <c r="I325" s="14">
        <f>'MKT DATA'!M1683</f>
        <v>0</v>
      </c>
      <c r="J325" s="44" t="str">
        <f t="shared" si="10"/>
        <v>syn BTCG7/BTCV6/BTCX6/BTCZ6/BTCU6/BTCF7</v>
      </c>
      <c r="K325" s="9">
        <f>'MKT DATA'!O1683</f>
        <v>0</v>
      </c>
      <c r="L325" s="9">
        <f>'MKT DATA'!P1683</f>
        <v>0</v>
      </c>
      <c r="M325" s="9">
        <f>'MKT DATA'!Q1683</f>
        <v>0</v>
      </c>
      <c r="N325" s="9">
        <f>'MKT DATA'!R1683</f>
        <v>0</v>
      </c>
      <c r="O325" s="9">
        <f>'MKT DATA'!S1683</f>
        <v>0</v>
      </c>
      <c r="P325" s="9">
        <f>'MKT DATA'!T1683</f>
        <v>0</v>
      </c>
      <c r="Q325" s="44" t="str">
        <f t="shared" si="11"/>
        <v>syn BTCG7/BTCV6/BTCX6/BTCZ6/BTCU6/BTCF7</v>
      </c>
      <c r="R325" s="14">
        <f>'MKT DATA'!AB1683</f>
        <v>0</v>
      </c>
    </row>
    <row r="326" spans="5:18" x14ac:dyDescent="0.25">
      <c r="E326" s="44" t="str">
        <f>'MKT DATA'!B1684</f>
        <v>syn BTCG7/BTCV6/BTCZ6/BTCU6/BTCX6/BTCF7</v>
      </c>
      <c r="F326" s="14">
        <f>'MKT DATA'!J1684</f>
        <v>0</v>
      </c>
      <c r="G326" s="9">
        <f>'MKT DATA'!K1684</f>
        <v>0</v>
      </c>
      <c r="H326" s="9">
        <f>'MKT DATA'!L1684</f>
        <v>0</v>
      </c>
      <c r="I326" s="14">
        <f>'MKT DATA'!M1684</f>
        <v>0</v>
      </c>
      <c r="J326" s="44" t="str">
        <f t="shared" si="10"/>
        <v>syn BTCG7/BTCV6/BTCZ6/BTCU6/BTCX6/BTCF7</v>
      </c>
      <c r="K326" s="9">
        <f>'MKT DATA'!O1684</f>
        <v>0</v>
      </c>
      <c r="L326" s="9">
        <f>'MKT DATA'!P1684</f>
        <v>0</v>
      </c>
      <c r="M326" s="9">
        <f>'MKT DATA'!Q1684</f>
        <v>0</v>
      </c>
      <c r="N326" s="9">
        <f>'MKT DATA'!R1684</f>
        <v>0</v>
      </c>
      <c r="O326" s="9">
        <f>'MKT DATA'!S1684</f>
        <v>0</v>
      </c>
      <c r="P326" s="9">
        <f>'MKT DATA'!T1684</f>
        <v>0</v>
      </c>
      <c r="Q326" s="44" t="str">
        <f t="shared" si="11"/>
        <v>syn BTCG7/BTCV6/BTCZ6/BTCU6/BTCX6/BTCF7</v>
      </c>
      <c r="R326" s="14">
        <f>'MKT DATA'!AB1684</f>
        <v>0</v>
      </c>
    </row>
    <row r="327" spans="5:18" x14ac:dyDescent="0.25">
      <c r="E327" s="44" t="str">
        <f>'MKT DATA'!B1685</f>
        <v>syn BTCG7/BTCV6/BTCZ6/BTCX6/BTCU6/BTCF7</v>
      </c>
      <c r="F327" s="14">
        <f>'MKT DATA'!J1685</f>
        <v>0</v>
      </c>
      <c r="G327" s="9">
        <f>'MKT DATA'!K1685</f>
        <v>0</v>
      </c>
      <c r="H327" s="9">
        <f>'MKT DATA'!L1685</f>
        <v>0</v>
      </c>
      <c r="I327" s="14">
        <f>'MKT DATA'!M1685</f>
        <v>0</v>
      </c>
      <c r="J327" s="44" t="str">
        <f t="shared" si="10"/>
        <v>syn BTCG7/BTCV6/BTCZ6/BTCX6/BTCU6/BTCF7</v>
      </c>
      <c r="K327" s="9">
        <f>'MKT DATA'!O1685</f>
        <v>0</v>
      </c>
      <c r="L327" s="9">
        <f>'MKT DATA'!P1685</f>
        <v>0</v>
      </c>
      <c r="M327" s="9">
        <f>'MKT DATA'!Q1685</f>
        <v>0</v>
      </c>
      <c r="N327" s="9">
        <f>'MKT DATA'!R1685</f>
        <v>0</v>
      </c>
      <c r="O327" s="9">
        <f>'MKT DATA'!S1685</f>
        <v>0</v>
      </c>
      <c r="P327" s="9">
        <f>'MKT DATA'!T1685</f>
        <v>0</v>
      </c>
      <c r="Q327" s="44" t="str">
        <f t="shared" si="11"/>
        <v>syn BTCG7/BTCV6/BTCZ6/BTCX6/BTCU6/BTCF7</v>
      </c>
      <c r="R327" s="14">
        <f>'MKT DATA'!AB1685</f>
        <v>0</v>
      </c>
    </row>
    <row r="328" spans="5:18" x14ac:dyDescent="0.25">
      <c r="E328" s="44" t="str">
        <f>'MKT DATA'!B1686</f>
        <v>syn BTCG7/BTCX6/BTCU6/BTCV6/BTCZ6/BTCF7</v>
      </c>
      <c r="F328" s="14">
        <f>'MKT DATA'!J1686</f>
        <v>0</v>
      </c>
      <c r="G328" s="9">
        <f>'MKT DATA'!K1686</f>
        <v>0</v>
      </c>
      <c r="H328" s="9">
        <f>'MKT DATA'!L1686</f>
        <v>0</v>
      </c>
      <c r="I328" s="14">
        <f>'MKT DATA'!M1686</f>
        <v>0</v>
      </c>
      <c r="J328" s="44" t="str">
        <f t="shared" si="10"/>
        <v>syn BTCG7/BTCX6/BTCU6/BTCV6/BTCZ6/BTCF7</v>
      </c>
      <c r="K328" s="9">
        <f>'MKT DATA'!O1686</f>
        <v>0</v>
      </c>
      <c r="L328" s="9">
        <f>'MKT DATA'!P1686</f>
        <v>0</v>
      </c>
      <c r="M328" s="9">
        <f>'MKT DATA'!Q1686</f>
        <v>0</v>
      </c>
      <c r="N328" s="9">
        <f>'MKT DATA'!R1686</f>
        <v>0</v>
      </c>
      <c r="O328" s="9">
        <f>'MKT DATA'!S1686</f>
        <v>0</v>
      </c>
      <c r="P328" s="9">
        <f>'MKT DATA'!T1686</f>
        <v>0</v>
      </c>
      <c r="Q328" s="44" t="str">
        <f t="shared" si="11"/>
        <v>syn BTCG7/BTCX6/BTCU6/BTCV6/BTCZ6/BTCF7</v>
      </c>
      <c r="R328" s="14">
        <f>'MKT DATA'!AB1686</f>
        <v>0</v>
      </c>
    </row>
    <row r="329" spans="5:18" x14ac:dyDescent="0.25">
      <c r="E329" s="44" t="str">
        <f>'MKT DATA'!B1687</f>
        <v>syn BTCG7/BTCX6/BTCU6/BTCZ6/BTCV6/BTCF7</v>
      </c>
      <c r="F329" s="14">
        <f>'MKT DATA'!J1687</f>
        <v>0</v>
      </c>
      <c r="G329" s="9">
        <f>'MKT DATA'!K1687</f>
        <v>0</v>
      </c>
      <c r="H329" s="9">
        <f>'MKT DATA'!L1687</f>
        <v>0</v>
      </c>
      <c r="I329" s="14">
        <f>'MKT DATA'!M1687</f>
        <v>0</v>
      </c>
      <c r="J329" s="44" t="str">
        <f t="shared" si="10"/>
        <v>syn BTCG7/BTCX6/BTCU6/BTCZ6/BTCV6/BTCF7</v>
      </c>
      <c r="K329" s="9">
        <f>'MKT DATA'!O1687</f>
        <v>0</v>
      </c>
      <c r="L329" s="9">
        <f>'MKT DATA'!P1687</f>
        <v>0</v>
      </c>
      <c r="M329" s="9">
        <f>'MKT DATA'!Q1687</f>
        <v>0</v>
      </c>
      <c r="N329" s="9">
        <f>'MKT DATA'!R1687</f>
        <v>0</v>
      </c>
      <c r="O329" s="9">
        <f>'MKT DATA'!S1687</f>
        <v>0</v>
      </c>
      <c r="P329" s="9">
        <f>'MKT DATA'!T1687</f>
        <v>0</v>
      </c>
      <c r="Q329" s="44" t="str">
        <f t="shared" si="11"/>
        <v>syn BTCG7/BTCX6/BTCU6/BTCZ6/BTCV6/BTCF7</v>
      </c>
      <c r="R329" s="14">
        <f>'MKT DATA'!AB1687</f>
        <v>0</v>
      </c>
    </row>
    <row r="330" spans="5:18" x14ac:dyDescent="0.25">
      <c r="E330" s="44" t="str">
        <f>'MKT DATA'!B1688</f>
        <v>syn BTCG7/BTCX6/BTCV6/BTCU6/BTCZ6/BTCF7</v>
      </c>
      <c r="F330" s="14">
        <f>'MKT DATA'!J1688</f>
        <v>0</v>
      </c>
      <c r="G330" s="9">
        <f>'MKT DATA'!K1688</f>
        <v>0</v>
      </c>
      <c r="H330" s="9">
        <f>'MKT DATA'!L1688</f>
        <v>0</v>
      </c>
      <c r="I330" s="14">
        <f>'MKT DATA'!M1688</f>
        <v>0</v>
      </c>
      <c r="J330" s="44" t="str">
        <f t="shared" ref="J330:J333" si="12">E330</f>
        <v>syn BTCG7/BTCX6/BTCV6/BTCU6/BTCZ6/BTCF7</v>
      </c>
      <c r="K330" s="9">
        <f>'MKT DATA'!O1688</f>
        <v>0</v>
      </c>
      <c r="L330" s="9">
        <f>'MKT DATA'!P1688</f>
        <v>0</v>
      </c>
      <c r="M330" s="9">
        <f>'MKT DATA'!Q1688</f>
        <v>0</v>
      </c>
      <c r="N330" s="9">
        <f>'MKT DATA'!R1688</f>
        <v>0</v>
      </c>
      <c r="O330" s="9">
        <f>'MKT DATA'!S1688</f>
        <v>0</v>
      </c>
      <c r="P330" s="9">
        <f>'MKT DATA'!T1688</f>
        <v>0</v>
      </c>
      <c r="Q330" s="44" t="str">
        <f t="shared" ref="Q330:Q333" si="13">J330</f>
        <v>syn BTCG7/BTCX6/BTCV6/BTCU6/BTCZ6/BTCF7</v>
      </c>
      <c r="R330" s="14">
        <f>'MKT DATA'!AB1688</f>
        <v>0</v>
      </c>
    </row>
    <row r="331" spans="5:18" x14ac:dyDescent="0.25">
      <c r="E331" s="44" t="str">
        <f>'MKT DATA'!B1689</f>
        <v>syn BTCG7/BTCX6/BTCV6/BTCZ6/BTCU6/BTCF7</v>
      </c>
      <c r="F331" s="14">
        <f>'MKT DATA'!J1689</f>
        <v>0</v>
      </c>
      <c r="G331" s="9">
        <f>'MKT DATA'!K1689</f>
        <v>0</v>
      </c>
      <c r="H331" s="9">
        <f>'MKT DATA'!L1689</f>
        <v>0</v>
      </c>
      <c r="I331" s="14">
        <f>'MKT DATA'!M1689</f>
        <v>0</v>
      </c>
      <c r="J331" s="44" t="str">
        <f t="shared" si="12"/>
        <v>syn BTCG7/BTCX6/BTCV6/BTCZ6/BTCU6/BTCF7</v>
      </c>
      <c r="K331" s="9">
        <f>'MKT DATA'!O1689</f>
        <v>0</v>
      </c>
      <c r="L331" s="9">
        <f>'MKT DATA'!P1689</f>
        <v>0</v>
      </c>
      <c r="M331" s="9">
        <f>'MKT DATA'!Q1689</f>
        <v>0</v>
      </c>
      <c r="N331" s="9">
        <f>'MKT DATA'!R1689</f>
        <v>0</v>
      </c>
      <c r="O331" s="9">
        <f>'MKT DATA'!S1689</f>
        <v>0</v>
      </c>
      <c r="P331" s="9">
        <f>'MKT DATA'!T1689</f>
        <v>0</v>
      </c>
      <c r="Q331" s="44" t="str">
        <f t="shared" si="13"/>
        <v>syn BTCG7/BTCX6/BTCV6/BTCZ6/BTCU6/BTCF7</v>
      </c>
      <c r="R331" s="14">
        <f>'MKT DATA'!AB1689</f>
        <v>0</v>
      </c>
    </row>
    <row r="332" spans="5:18" x14ac:dyDescent="0.25">
      <c r="E332" s="44" t="str">
        <f>'MKT DATA'!B1690</f>
        <v>syn BTCG7/BTCX6/BTCZ6/BTCU6/BTCV6/BTCF7</v>
      </c>
      <c r="F332" s="14">
        <f>'MKT DATA'!J1690</f>
        <v>0</v>
      </c>
      <c r="G332" s="9">
        <f>'MKT DATA'!K1690</f>
        <v>0</v>
      </c>
      <c r="H332" s="9">
        <f>'MKT DATA'!L1690</f>
        <v>0</v>
      </c>
      <c r="I332" s="14">
        <f>'MKT DATA'!M1690</f>
        <v>0</v>
      </c>
      <c r="J332" s="44" t="str">
        <f t="shared" si="12"/>
        <v>syn BTCG7/BTCX6/BTCZ6/BTCU6/BTCV6/BTCF7</v>
      </c>
      <c r="K332" s="9">
        <f>'MKT DATA'!O1690</f>
        <v>0</v>
      </c>
      <c r="L332" s="9">
        <f>'MKT DATA'!P1690</f>
        <v>0</v>
      </c>
      <c r="M332" s="9">
        <f>'MKT DATA'!Q1690</f>
        <v>0</v>
      </c>
      <c r="N332" s="9">
        <f>'MKT DATA'!R1690</f>
        <v>0</v>
      </c>
      <c r="O332" s="9">
        <f>'MKT DATA'!S1690</f>
        <v>0</v>
      </c>
      <c r="P332" s="9">
        <f>'MKT DATA'!T1690</f>
        <v>0</v>
      </c>
      <c r="Q332" s="44" t="str">
        <f t="shared" si="13"/>
        <v>syn BTCG7/BTCX6/BTCZ6/BTCU6/BTCV6/BTCF7</v>
      </c>
      <c r="R332" s="14">
        <f>'MKT DATA'!AB1690</f>
        <v>0</v>
      </c>
    </row>
    <row r="333" spans="5:18" x14ac:dyDescent="0.25">
      <c r="E333" s="44" t="str">
        <f>'MKT DATA'!B1691</f>
        <v>syn BTCG7/BTCX6/BTCZ6/BTCV6/BTCU6/BTCF7</v>
      </c>
      <c r="F333" s="14">
        <f>'MKT DATA'!J1691</f>
        <v>0</v>
      </c>
      <c r="G333" s="9">
        <f>'MKT DATA'!K1691</f>
        <v>0</v>
      </c>
      <c r="H333" s="9">
        <f>'MKT DATA'!L1691</f>
        <v>0</v>
      </c>
      <c r="I333" s="14">
        <f>'MKT DATA'!M1691</f>
        <v>0</v>
      </c>
      <c r="J333" s="44" t="str">
        <f t="shared" si="12"/>
        <v>syn BTCG7/BTCX6/BTCZ6/BTCV6/BTCU6/BTCF7</v>
      </c>
      <c r="K333" s="9">
        <f>'MKT DATA'!O1691</f>
        <v>0</v>
      </c>
      <c r="L333" s="9">
        <f>'MKT DATA'!P1691</f>
        <v>0</v>
      </c>
      <c r="M333" s="9">
        <f>'MKT DATA'!Q1691</f>
        <v>0</v>
      </c>
      <c r="N333" s="9">
        <f>'MKT DATA'!R1691</f>
        <v>0</v>
      </c>
      <c r="O333" s="9">
        <f>'MKT DATA'!S1691</f>
        <v>0</v>
      </c>
      <c r="P333" s="9">
        <f>'MKT DATA'!T1691</f>
        <v>0</v>
      </c>
      <c r="Q333" s="44" t="str">
        <f t="shared" si="13"/>
        <v>syn BTCG7/BTCX6/BTCZ6/BTCV6/BTCU6/BTCF7</v>
      </c>
      <c r="R333" s="14">
        <f>'MKT DATA'!AB1691</f>
        <v>0</v>
      </c>
    </row>
    <row r="334" spans="5:18" x14ac:dyDescent="0.25">
      <c r="E334" s="44" t="str">
        <f>'MKT DATA'!B1692</f>
        <v>syn BTCG7/BTCZ6/BTCU6/BTCV6/BTCX6/BTCF7</v>
      </c>
      <c r="F334" s="14">
        <f>'MKT DATA'!J1692</f>
        <v>0</v>
      </c>
      <c r="G334" s="9">
        <f>'MKT DATA'!K1692</f>
        <v>0</v>
      </c>
      <c r="H334" s="9">
        <f>'MKT DATA'!L1692</f>
        <v>0</v>
      </c>
      <c r="I334" s="14">
        <f>'MKT DATA'!M1692</f>
        <v>0</v>
      </c>
      <c r="J334" s="44" t="str">
        <f t="shared" ref="J334:J339" si="14">E334</f>
        <v>syn BTCG7/BTCZ6/BTCU6/BTCV6/BTCX6/BTCF7</v>
      </c>
      <c r="K334" s="9">
        <f>'MKT DATA'!O1692</f>
        <v>0</v>
      </c>
      <c r="L334" s="9">
        <f>'MKT DATA'!P1692</f>
        <v>0</v>
      </c>
      <c r="M334" s="9">
        <f>'MKT DATA'!Q1692</f>
        <v>0</v>
      </c>
      <c r="N334" s="9">
        <f>'MKT DATA'!R1692</f>
        <v>0</v>
      </c>
      <c r="O334" s="9">
        <f>'MKT DATA'!S1692</f>
        <v>0</v>
      </c>
      <c r="P334" s="9">
        <f>'MKT DATA'!T1692</f>
        <v>0</v>
      </c>
      <c r="Q334" s="44" t="str">
        <f t="shared" ref="Q334:Q339" si="15">J334</f>
        <v>syn BTCG7/BTCZ6/BTCU6/BTCV6/BTCX6/BTCF7</v>
      </c>
      <c r="R334" s="14">
        <f>'MKT DATA'!AB1692</f>
        <v>0</v>
      </c>
    </row>
    <row r="335" spans="5:18" x14ac:dyDescent="0.25">
      <c r="E335" s="44" t="str">
        <f>'MKT DATA'!B1693</f>
        <v>syn BTCG7/BTCZ6/BTCU6/BTCX6/BTCV6/BTCF7</v>
      </c>
      <c r="F335" s="14">
        <f>'MKT DATA'!J1693</f>
        <v>0</v>
      </c>
      <c r="G335" s="9">
        <f>'MKT DATA'!K1693</f>
        <v>0</v>
      </c>
      <c r="H335" s="9">
        <f>'MKT DATA'!L1693</f>
        <v>0</v>
      </c>
      <c r="I335" s="14">
        <f>'MKT DATA'!M1693</f>
        <v>0</v>
      </c>
      <c r="J335" s="44" t="str">
        <f t="shared" si="14"/>
        <v>syn BTCG7/BTCZ6/BTCU6/BTCX6/BTCV6/BTCF7</v>
      </c>
      <c r="K335" s="9">
        <f>'MKT DATA'!O1693</f>
        <v>0</v>
      </c>
      <c r="L335" s="9">
        <f>'MKT DATA'!P1693</f>
        <v>0</v>
      </c>
      <c r="M335" s="9">
        <f>'MKT DATA'!Q1693</f>
        <v>0</v>
      </c>
      <c r="N335" s="9">
        <f>'MKT DATA'!R1693</f>
        <v>0</v>
      </c>
      <c r="O335" s="9">
        <f>'MKT DATA'!S1693</f>
        <v>0</v>
      </c>
      <c r="P335" s="9">
        <f>'MKT DATA'!T1693</f>
        <v>0</v>
      </c>
      <c r="Q335" s="44" t="str">
        <f t="shared" si="15"/>
        <v>syn BTCG7/BTCZ6/BTCU6/BTCX6/BTCV6/BTCF7</v>
      </c>
      <c r="R335" s="14">
        <f>'MKT DATA'!AB1693</f>
        <v>0</v>
      </c>
    </row>
    <row r="336" spans="5:18" x14ac:dyDescent="0.25">
      <c r="E336" s="44" t="str">
        <f>'MKT DATA'!B1694</f>
        <v>syn BTCG7/BTCZ6/BTCV6/BTCU6/BTCX6/BTCF7</v>
      </c>
      <c r="F336" s="14">
        <f>'MKT DATA'!J1694</f>
        <v>0</v>
      </c>
      <c r="G336" s="9">
        <f>'MKT DATA'!K1694</f>
        <v>0</v>
      </c>
      <c r="H336" s="9">
        <f>'MKT DATA'!L1694</f>
        <v>0</v>
      </c>
      <c r="I336" s="14">
        <f>'MKT DATA'!M1694</f>
        <v>0</v>
      </c>
      <c r="J336" s="44" t="str">
        <f t="shared" si="14"/>
        <v>syn BTCG7/BTCZ6/BTCV6/BTCU6/BTCX6/BTCF7</v>
      </c>
      <c r="K336" s="9">
        <f>'MKT DATA'!O1694</f>
        <v>0</v>
      </c>
      <c r="L336" s="9">
        <f>'MKT DATA'!P1694</f>
        <v>0</v>
      </c>
      <c r="M336" s="9">
        <f>'MKT DATA'!Q1694</f>
        <v>0</v>
      </c>
      <c r="N336" s="9">
        <f>'MKT DATA'!R1694</f>
        <v>0</v>
      </c>
      <c r="O336" s="9">
        <f>'MKT DATA'!S1694</f>
        <v>0</v>
      </c>
      <c r="P336" s="9">
        <f>'MKT DATA'!T1694</f>
        <v>0</v>
      </c>
      <c r="Q336" s="44" t="str">
        <f t="shared" si="15"/>
        <v>syn BTCG7/BTCZ6/BTCV6/BTCU6/BTCX6/BTCF7</v>
      </c>
      <c r="R336" s="14">
        <f>'MKT DATA'!AB1694</f>
        <v>0</v>
      </c>
    </row>
    <row r="337" spans="5:18" x14ac:dyDescent="0.25">
      <c r="E337" s="44" t="str">
        <f>'MKT DATA'!B1695</f>
        <v>syn BTCG7/BTCZ6/BTCV6/BTCX6/BTCU6/BTCF7</v>
      </c>
      <c r="F337" s="14">
        <f>'MKT DATA'!J1695</f>
        <v>0</v>
      </c>
      <c r="G337" s="9">
        <f>'MKT DATA'!K1695</f>
        <v>0</v>
      </c>
      <c r="H337" s="9">
        <f>'MKT DATA'!L1695</f>
        <v>0</v>
      </c>
      <c r="I337" s="14">
        <f>'MKT DATA'!M1695</f>
        <v>0</v>
      </c>
      <c r="J337" s="44" t="str">
        <f t="shared" si="14"/>
        <v>syn BTCG7/BTCZ6/BTCV6/BTCX6/BTCU6/BTCF7</v>
      </c>
      <c r="K337" s="9">
        <f>'MKT DATA'!O1695</f>
        <v>0</v>
      </c>
      <c r="L337" s="9">
        <f>'MKT DATA'!P1695</f>
        <v>0</v>
      </c>
      <c r="M337" s="9">
        <f>'MKT DATA'!Q1695</f>
        <v>0</v>
      </c>
      <c r="N337" s="9">
        <f>'MKT DATA'!R1695</f>
        <v>0</v>
      </c>
      <c r="O337" s="9">
        <f>'MKT DATA'!S1695</f>
        <v>0</v>
      </c>
      <c r="P337" s="9">
        <f>'MKT DATA'!T1695</f>
        <v>0</v>
      </c>
      <c r="Q337" s="44" t="str">
        <f t="shared" si="15"/>
        <v>syn BTCG7/BTCZ6/BTCV6/BTCX6/BTCU6/BTCF7</v>
      </c>
      <c r="R337" s="14">
        <f>'MKT DATA'!AB1695</f>
        <v>0</v>
      </c>
    </row>
    <row r="338" spans="5:18" x14ac:dyDescent="0.25">
      <c r="E338" s="44" t="str">
        <f>'MKT DATA'!B1696</f>
        <v>syn BTCG7/BTCZ6/BTCX6/BTCU6/BTCV6/BTCF7</v>
      </c>
      <c r="F338" s="14">
        <f>'MKT DATA'!J1696</f>
        <v>0</v>
      </c>
      <c r="G338" s="9">
        <f>'MKT DATA'!K1696</f>
        <v>0</v>
      </c>
      <c r="H338" s="9">
        <f>'MKT DATA'!L1696</f>
        <v>0</v>
      </c>
      <c r="I338" s="14">
        <f>'MKT DATA'!M1696</f>
        <v>0</v>
      </c>
      <c r="J338" s="44" t="str">
        <f t="shared" si="14"/>
        <v>syn BTCG7/BTCZ6/BTCX6/BTCU6/BTCV6/BTCF7</v>
      </c>
      <c r="K338" s="9">
        <f>'MKT DATA'!O1696</f>
        <v>0</v>
      </c>
      <c r="L338" s="9">
        <f>'MKT DATA'!P1696</f>
        <v>0</v>
      </c>
      <c r="M338" s="9">
        <f>'MKT DATA'!Q1696</f>
        <v>0</v>
      </c>
      <c r="N338" s="9">
        <f>'MKT DATA'!R1696</f>
        <v>0</v>
      </c>
      <c r="O338" s="9">
        <f>'MKT DATA'!S1696</f>
        <v>0</v>
      </c>
      <c r="P338" s="9">
        <f>'MKT DATA'!T1696</f>
        <v>0</v>
      </c>
      <c r="Q338" s="44" t="str">
        <f t="shared" si="15"/>
        <v>syn BTCG7/BTCZ6/BTCX6/BTCU6/BTCV6/BTCF7</v>
      </c>
      <c r="R338" s="14">
        <f>'MKT DATA'!AB1696</f>
        <v>0</v>
      </c>
    </row>
    <row r="339" spans="5:18" x14ac:dyDescent="0.25">
      <c r="E339" s="44" t="str">
        <f>'MKT DATA'!B1697</f>
        <v>syn BTCG7/BTCZ6/BTCX6/BTCV6/BTCU6/BTCF7</v>
      </c>
      <c r="F339" s="14">
        <f>'MKT DATA'!J1697</f>
        <v>0</v>
      </c>
      <c r="G339" s="9">
        <f>'MKT DATA'!K1697</f>
        <v>0</v>
      </c>
      <c r="H339" s="9">
        <f>'MKT DATA'!L1697</f>
        <v>0</v>
      </c>
      <c r="I339" s="14">
        <f>'MKT DATA'!M1697</f>
        <v>0</v>
      </c>
      <c r="J339" s="44" t="str">
        <f t="shared" si="14"/>
        <v>syn BTCG7/BTCZ6/BTCX6/BTCV6/BTCU6/BTCF7</v>
      </c>
      <c r="K339" s="9">
        <f>'MKT DATA'!O1697</f>
        <v>0</v>
      </c>
      <c r="L339" s="9">
        <f>'MKT DATA'!P1697</f>
        <v>0</v>
      </c>
      <c r="M339" s="9">
        <f>'MKT DATA'!Q1697</f>
        <v>0</v>
      </c>
      <c r="N339" s="9">
        <f>'MKT DATA'!R1697</f>
        <v>0</v>
      </c>
      <c r="O339" s="9">
        <f>'MKT DATA'!S1697</f>
        <v>0</v>
      </c>
      <c r="P339" s="9">
        <f>'MKT DATA'!T1697</f>
        <v>0</v>
      </c>
      <c r="Q339" s="44" t="str">
        <f t="shared" si="15"/>
        <v>syn BTCG7/BTCZ6/BTCX6/BTCV6/BTCU6/BTCF7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0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0</v>
      </c>
      <c r="I2" s="57"/>
      <c r="J2" s="59"/>
      <c r="K2" s="58"/>
      <c r="L2" s="58"/>
      <c r="M2" s="58">
        <f>'MKT DATA'!Q9-M1</f>
        <v>-2.504</v>
      </c>
      <c r="N2" s="58">
        <f>'MKT DATA'!R9-N1</f>
        <v>-2.504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0</v>
      </c>
      <c r="I4" s="58">
        <f>H4-(G14-H14)</f>
        <v>0</v>
      </c>
      <c r="J4" s="44" t="s">
        <v>5</v>
      </c>
      <c r="L4" s="14"/>
      <c r="M4" s="51"/>
      <c r="N4" s="49">
        <f>N1+M1</f>
        <v>0</v>
      </c>
      <c r="O4" s="58">
        <f>(N14+M14)-N4</f>
        <v>-5.008</v>
      </c>
    </row>
    <row r="5" spans="1:24" x14ac:dyDescent="0.25">
      <c r="E5" s="44" t="s">
        <v>6</v>
      </c>
      <c r="G5" s="9">
        <f>G9-G11</f>
        <v>0</v>
      </c>
      <c r="H5" s="9">
        <f>H9-H11</f>
        <v>0</v>
      </c>
      <c r="J5" s="44" t="s">
        <v>6</v>
      </c>
      <c r="M5" s="9">
        <f>M9-M11</f>
        <v>2.504</v>
      </c>
      <c r="N5" s="9">
        <f>N9-N11</f>
        <v>2.504</v>
      </c>
    </row>
    <row r="6" spans="1:24" x14ac:dyDescent="0.25">
      <c r="E6" s="44" t="s">
        <v>7</v>
      </c>
      <c r="G6" s="9">
        <f>G9-G10</f>
        <v>0</v>
      </c>
      <c r="H6" s="9">
        <f>H9-H10</f>
        <v>0</v>
      </c>
      <c r="J6" s="44" t="s">
        <v>7</v>
      </c>
      <c r="M6" s="9">
        <f>M9-M10</f>
        <v>7.6809815950920242E-3</v>
      </c>
      <c r="N6" s="9">
        <f>N9-N10</f>
        <v>7.6809815950920242E-3</v>
      </c>
    </row>
    <row r="7" spans="1:24" x14ac:dyDescent="0.25">
      <c r="E7" s="44" t="s">
        <v>8</v>
      </c>
      <c r="G7" s="9">
        <f>G10-G11</f>
        <v>0</v>
      </c>
      <c r="H7" s="9">
        <f>H10-H11</f>
        <v>0</v>
      </c>
      <c r="J7" s="44" t="s">
        <v>8</v>
      </c>
      <c r="M7" s="9">
        <f>M10-M11</f>
        <v>2.496319018404908</v>
      </c>
      <c r="N7" s="9">
        <f>N10-N11</f>
        <v>2.496319018404908</v>
      </c>
    </row>
    <row r="9" spans="1:24" x14ac:dyDescent="0.25">
      <c r="E9" s="44" t="s">
        <v>1</v>
      </c>
      <c r="G9" s="9">
        <f>MAX(G$14:G$339)</f>
        <v>0</v>
      </c>
      <c r="H9" s="9">
        <f>MAX(H$14:H$339)</f>
        <v>0</v>
      </c>
      <c r="J9" s="44" t="str">
        <f>E9</f>
        <v>max</v>
      </c>
      <c r="L9" s="9">
        <f>MAX(L$14:L$339)</f>
        <v>0</v>
      </c>
      <c r="M9" s="9">
        <f>MAX(M$14:M$339)</f>
        <v>0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0</v>
      </c>
      <c r="H10" s="9">
        <f>AVERAGE(H$14:H$339)</f>
        <v>0</v>
      </c>
      <c r="J10" s="44" t="str">
        <f t="shared" ref="J10" si="0">E10</f>
        <v>avg</v>
      </c>
      <c r="L10" s="9">
        <f>AVERAGE(L$14:L$339)</f>
        <v>0</v>
      </c>
      <c r="M10" s="9">
        <f>AVERAGE(M$14:M$339)</f>
        <v>-7.6809815950920242E-3</v>
      </c>
      <c r="N10" s="9">
        <f>AVERAGE(N$14:N$339)</f>
        <v>-7.6809815950920242E-3</v>
      </c>
      <c r="O10" s="9">
        <f>AVERAGE(O$14:O$339)</f>
        <v>0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-2.504</v>
      </c>
      <c r="N11" s="9">
        <f>MIN(N$14:N$339)</f>
        <v>-2.504</v>
      </c>
      <c r="O11" s="9">
        <f>MIN(O$14:O$339)</f>
        <v>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BTCG7</v>
      </c>
      <c r="F14" s="14">
        <f>'MKT DATA'!J36</f>
        <v>0</v>
      </c>
      <c r="G14" s="9">
        <f>'MKT DATA'!K36</f>
        <v>0</v>
      </c>
      <c r="H14" s="9">
        <f>'MKT DATA'!L36</f>
        <v>0</v>
      </c>
      <c r="I14" s="14">
        <f>'MKT DATA'!M36</f>
        <v>0</v>
      </c>
      <c r="J14" s="44" t="str">
        <f>E14</f>
        <v>BTCG7</v>
      </c>
      <c r="K14" s="9">
        <f>'MKT DATA'!O36</f>
        <v>2.504</v>
      </c>
      <c r="L14" s="9">
        <f>'MKT DATA'!P36</f>
        <v>0</v>
      </c>
      <c r="M14" s="9">
        <f>'MKT DATA'!Q36</f>
        <v>-2.504</v>
      </c>
      <c r="N14" s="9">
        <f>'MKT DATA'!R36</f>
        <v>-2.504</v>
      </c>
      <c r="O14" s="9">
        <f>'MKT DATA'!S36</f>
        <v>0</v>
      </c>
      <c r="P14" s="9">
        <f>'MKT DATA'!T36</f>
        <v>2.504</v>
      </c>
      <c r="Q14" s="44" t="str">
        <f>J14</f>
        <v>BTCG7</v>
      </c>
      <c r="R14" s="14">
        <f>'MKT DATA'!AB36</f>
        <v>0</v>
      </c>
    </row>
    <row r="15" spans="1:24" x14ac:dyDescent="0.25">
      <c r="E15" s="44" t="str">
        <f>'MKT DATA'!B1698</f>
        <v>syn BTCU6/BTCG7</v>
      </c>
      <c r="F15" s="14">
        <f>'MKT DATA'!J1698</f>
        <v>0</v>
      </c>
      <c r="G15" s="9">
        <f>'MKT DATA'!K1698</f>
        <v>0</v>
      </c>
      <c r="H15" s="9">
        <f>'MKT DATA'!L1698</f>
        <v>0</v>
      </c>
      <c r="I15" s="14">
        <f>'MKT DATA'!M1698</f>
        <v>0</v>
      </c>
      <c r="J15" s="44" t="str">
        <f t="shared" ref="J15:J73" si="2">E15</f>
        <v>syn BTCU6/BTCG7</v>
      </c>
      <c r="K15" s="9">
        <f>'MKT DATA'!O1698</f>
        <v>0</v>
      </c>
      <c r="L15" s="9">
        <f>'MKT DATA'!P1698</f>
        <v>0</v>
      </c>
      <c r="M15" s="9">
        <f>'MKT DATA'!Q1698</f>
        <v>0</v>
      </c>
      <c r="N15" s="9">
        <f>'MKT DATA'!R1698</f>
        <v>0</v>
      </c>
      <c r="O15" s="9">
        <f>'MKT DATA'!S1698</f>
        <v>0</v>
      </c>
      <c r="P15" s="9">
        <f>'MKT DATA'!T1698</f>
        <v>0</v>
      </c>
      <c r="Q15" s="44" t="str">
        <f t="shared" ref="Q15:Q73" si="3">J15</f>
        <v>syn BTCU6/BTCG7</v>
      </c>
      <c r="R15" s="14">
        <f>'MKT DATA'!AB1698</f>
        <v>0</v>
      </c>
    </row>
    <row r="16" spans="1:24" x14ac:dyDescent="0.25">
      <c r="E16" s="44" t="str">
        <f>'MKT DATA'!B1699</f>
        <v>syn BTCV6/BTCG7</v>
      </c>
      <c r="F16" s="14">
        <f>'MKT DATA'!J1699</f>
        <v>0</v>
      </c>
      <c r="G16" s="9">
        <f>'MKT DATA'!K1699</f>
        <v>0</v>
      </c>
      <c r="H16" s="9">
        <f>'MKT DATA'!L1699</f>
        <v>0</v>
      </c>
      <c r="I16" s="14">
        <f>'MKT DATA'!M1699</f>
        <v>0</v>
      </c>
      <c r="J16" s="44" t="str">
        <f t="shared" si="2"/>
        <v>syn BTCV6/BTCG7</v>
      </c>
      <c r="K16" s="9">
        <f>'MKT DATA'!O1699</f>
        <v>0</v>
      </c>
      <c r="L16" s="9">
        <f>'MKT DATA'!P1699</f>
        <v>0</v>
      </c>
      <c r="M16" s="9">
        <f>'MKT DATA'!Q1699</f>
        <v>0</v>
      </c>
      <c r="N16" s="9">
        <f>'MKT DATA'!R1699</f>
        <v>0</v>
      </c>
      <c r="O16" s="9">
        <f>'MKT DATA'!S1699</f>
        <v>0</v>
      </c>
      <c r="P16" s="9">
        <f>'MKT DATA'!T1699</f>
        <v>0</v>
      </c>
      <c r="Q16" s="44" t="str">
        <f t="shared" si="3"/>
        <v>syn BTCV6/BTCG7</v>
      </c>
      <c r="R16" s="14">
        <f>'MKT DATA'!AB1699</f>
        <v>0</v>
      </c>
    </row>
    <row r="17" spans="5:18" x14ac:dyDescent="0.25">
      <c r="E17" s="44" t="str">
        <f>'MKT DATA'!B1700</f>
        <v>syn BTCX6/BTCG7</v>
      </c>
      <c r="F17" s="14">
        <f>'MKT DATA'!J1700</f>
        <v>0</v>
      </c>
      <c r="G17" s="9">
        <f>'MKT DATA'!K1700</f>
        <v>0</v>
      </c>
      <c r="H17" s="9">
        <f>'MKT DATA'!L1700</f>
        <v>0</v>
      </c>
      <c r="I17" s="14">
        <f>'MKT DATA'!M1700</f>
        <v>0</v>
      </c>
      <c r="J17" s="44" t="str">
        <f t="shared" si="2"/>
        <v>syn BTCX6/BTCG7</v>
      </c>
      <c r="K17" s="9">
        <f>'MKT DATA'!O1700</f>
        <v>0</v>
      </c>
      <c r="L17" s="9">
        <f>'MKT DATA'!P1700</f>
        <v>0</v>
      </c>
      <c r="M17" s="9">
        <f>'MKT DATA'!Q1700</f>
        <v>0</v>
      </c>
      <c r="N17" s="9">
        <f>'MKT DATA'!R1700</f>
        <v>0</v>
      </c>
      <c r="O17" s="9">
        <f>'MKT DATA'!S1700</f>
        <v>0</v>
      </c>
      <c r="P17" s="9">
        <f>'MKT DATA'!T1700</f>
        <v>0</v>
      </c>
      <c r="Q17" s="44" t="str">
        <f t="shared" si="3"/>
        <v>syn BTCX6/BTCG7</v>
      </c>
      <c r="R17" s="14">
        <f>'MKT DATA'!AB1700</f>
        <v>0</v>
      </c>
    </row>
    <row r="18" spans="5:18" x14ac:dyDescent="0.25">
      <c r="E18" s="44" t="str">
        <f>'MKT DATA'!B1701</f>
        <v>syn BTCZ6/BTCG7</v>
      </c>
      <c r="F18" s="14">
        <f>'MKT DATA'!J1701</f>
        <v>0</v>
      </c>
      <c r="G18" s="9">
        <f>'MKT DATA'!K1701</f>
        <v>0</v>
      </c>
      <c r="H18" s="9">
        <f>'MKT DATA'!L1701</f>
        <v>0</v>
      </c>
      <c r="I18" s="14">
        <f>'MKT DATA'!M1701</f>
        <v>0</v>
      </c>
      <c r="J18" s="44" t="str">
        <f t="shared" si="2"/>
        <v>syn BTCZ6/BTCG7</v>
      </c>
      <c r="K18" s="9">
        <f>'MKT DATA'!O1701</f>
        <v>0</v>
      </c>
      <c r="L18" s="9">
        <f>'MKT DATA'!P1701</f>
        <v>0</v>
      </c>
      <c r="M18" s="9">
        <f>'MKT DATA'!Q1701</f>
        <v>0</v>
      </c>
      <c r="N18" s="9">
        <f>'MKT DATA'!R1701</f>
        <v>0</v>
      </c>
      <c r="O18" s="9">
        <f>'MKT DATA'!S1701</f>
        <v>0</v>
      </c>
      <c r="P18" s="9">
        <f>'MKT DATA'!T1701</f>
        <v>0</v>
      </c>
      <c r="Q18" s="44" t="str">
        <f t="shared" si="3"/>
        <v>syn BTCZ6/BTCG7</v>
      </c>
      <c r="R18" s="14">
        <f>'MKT DATA'!AB1701</f>
        <v>0</v>
      </c>
    </row>
    <row r="19" spans="5:18" x14ac:dyDescent="0.25">
      <c r="E19" s="44" t="str">
        <f>'MKT DATA'!B1702</f>
        <v>syn BTCF7/BTCG7</v>
      </c>
      <c r="F19" s="14">
        <f>'MKT DATA'!J1702</f>
        <v>0</v>
      </c>
      <c r="G19" s="9">
        <f>'MKT DATA'!K1702</f>
        <v>0</v>
      </c>
      <c r="H19" s="9">
        <f>'MKT DATA'!L1702</f>
        <v>0</v>
      </c>
      <c r="I19" s="14">
        <f>'MKT DATA'!M1702</f>
        <v>0</v>
      </c>
      <c r="J19" s="44" t="str">
        <f t="shared" si="2"/>
        <v>syn BTCF7/BTCG7</v>
      </c>
      <c r="K19" s="9">
        <f>'MKT DATA'!O1702</f>
        <v>0</v>
      </c>
      <c r="L19" s="9">
        <f>'MKT DATA'!P1702</f>
        <v>0</v>
      </c>
      <c r="M19" s="9">
        <f>'MKT DATA'!Q1702</f>
        <v>0</v>
      </c>
      <c r="N19" s="9">
        <f>'MKT DATA'!R1702</f>
        <v>0</v>
      </c>
      <c r="O19" s="9">
        <f>'MKT DATA'!S1702</f>
        <v>0</v>
      </c>
      <c r="P19" s="9">
        <f>'MKT DATA'!T1702</f>
        <v>0</v>
      </c>
      <c r="Q19" s="44" t="str">
        <f t="shared" si="3"/>
        <v>syn BTCF7/BTCG7</v>
      </c>
      <c r="R19" s="14">
        <f>'MKT DATA'!AB1702</f>
        <v>0</v>
      </c>
    </row>
    <row r="20" spans="5:18" x14ac:dyDescent="0.25">
      <c r="E20" s="44" t="str">
        <f>'MKT DATA'!B1703</f>
        <v>syn BTCU6/BTCV6/BTCG7</v>
      </c>
      <c r="F20" s="14">
        <f>'MKT DATA'!J1703</f>
        <v>0</v>
      </c>
      <c r="G20" s="9">
        <f>'MKT DATA'!K1703</f>
        <v>0</v>
      </c>
      <c r="H20" s="9">
        <f>'MKT DATA'!L1703</f>
        <v>0</v>
      </c>
      <c r="I20" s="14">
        <f>'MKT DATA'!M1703</f>
        <v>0</v>
      </c>
      <c r="J20" s="44" t="str">
        <f t="shared" si="2"/>
        <v>syn BTCU6/BTCV6/BTCG7</v>
      </c>
      <c r="K20" s="9">
        <f>'MKT DATA'!O1703</f>
        <v>0</v>
      </c>
      <c r="L20" s="9">
        <f>'MKT DATA'!P1703</f>
        <v>0</v>
      </c>
      <c r="M20" s="9">
        <f>'MKT DATA'!Q1703</f>
        <v>0</v>
      </c>
      <c r="N20" s="9">
        <f>'MKT DATA'!R1703</f>
        <v>0</v>
      </c>
      <c r="O20" s="9">
        <f>'MKT DATA'!S1703</f>
        <v>0</v>
      </c>
      <c r="P20" s="9">
        <f>'MKT DATA'!T1703</f>
        <v>0</v>
      </c>
      <c r="Q20" s="44" t="str">
        <f t="shared" si="3"/>
        <v>syn BTCU6/BTCV6/BTCG7</v>
      </c>
      <c r="R20" s="14">
        <f>'MKT DATA'!AB1703</f>
        <v>0</v>
      </c>
    </row>
    <row r="21" spans="5:18" x14ac:dyDescent="0.25">
      <c r="E21" s="44" t="str">
        <f>'MKT DATA'!B1704</f>
        <v>syn BTCU6/BTCX6/BTCG7</v>
      </c>
      <c r="F21" s="14">
        <f>'MKT DATA'!J1704</f>
        <v>0</v>
      </c>
      <c r="G21" s="9">
        <f>'MKT DATA'!K1704</f>
        <v>0</v>
      </c>
      <c r="H21" s="9">
        <f>'MKT DATA'!L1704</f>
        <v>0</v>
      </c>
      <c r="I21" s="14">
        <f>'MKT DATA'!M1704</f>
        <v>0</v>
      </c>
      <c r="J21" s="44" t="str">
        <f t="shared" si="2"/>
        <v>syn BTCU6/BTCX6/BTCG7</v>
      </c>
      <c r="K21" s="9">
        <f>'MKT DATA'!O1704</f>
        <v>0</v>
      </c>
      <c r="L21" s="9">
        <f>'MKT DATA'!P1704</f>
        <v>0</v>
      </c>
      <c r="M21" s="9">
        <f>'MKT DATA'!Q1704</f>
        <v>0</v>
      </c>
      <c r="N21" s="9">
        <f>'MKT DATA'!R1704</f>
        <v>0</v>
      </c>
      <c r="O21" s="9">
        <f>'MKT DATA'!S1704</f>
        <v>0</v>
      </c>
      <c r="P21" s="9">
        <f>'MKT DATA'!T1704</f>
        <v>0</v>
      </c>
      <c r="Q21" s="44" t="str">
        <f t="shared" si="3"/>
        <v>syn BTCU6/BTCX6/BTCG7</v>
      </c>
      <c r="R21" s="14">
        <f>'MKT DATA'!AB1704</f>
        <v>0</v>
      </c>
    </row>
    <row r="22" spans="5:18" x14ac:dyDescent="0.25">
      <c r="E22" s="44" t="str">
        <f>'MKT DATA'!B1705</f>
        <v>syn BTCU6/BTCZ6/BTCG7</v>
      </c>
      <c r="F22" s="14">
        <f>'MKT DATA'!J1705</f>
        <v>0</v>
      </c>
      <c r="G22" s="9">
        <f>'MKT DATA'!K1705</f>
        <v>0</v>
      </c>
      <c r="H22" s="9">
        <f>'MKT DATA'!L1705</f>
        <v>0</v>
      </c>
      <c r="I22" s="14">
        <f>'MKT DATA'!M1705</f>
        <v>0</v>
      </c>
      <c r="J22" s="44" t="str">
        <f t="shared" si="2"/>
        <v>syn BTCU6/BTCZ6/BTCG7</v>
      </c>
      <c r="K22" s="9">
        <f>'MKT DATA'!O1705</f>
        <v>0</v>
      </c>
      <c r="L22" s="9">
        <f>'MKT DATA'!P1705</f>
        <v>0</v>
      </c>
      <c r="M22" s="9">
        <f>'MKT DATA'!Q1705</f>
        <v>0</v>
      </c>
      <c r="N22" s="9">
        <f>'MKT DATA'!R1705</f>
        <v>0</v>
      </c>
      <c r="O22" s="9">
        <f>'MKT DATA'!S1705</f>
        <v>0</v>
      </c>
      <c r="P22" s="9">
        <f>'MKT DATA'!T1705</f>
        <v>0</v>
      </c>
      <c r="Q22" s="44" t="str">
        <f t="shared" si="3"/>
        <v>syn BTCU6/BTCZ6/BTCG7</v>
      </c>
      <c r="R22" s="14">
        <f>'MKT DATA'!AB1705</f>
        <v>0</v>
      </c>
    </row>
    <row r="23" spans="5:18" x14ac:dyDescent="0.25">
      <c r="E23" s="44" t="str">
        <f>'MKT DATA'!B1706</f>
        <v>syn BTCU6/BTCF7/BTCG7</v>
      </c>
      <c r="F23" s="14">
        <f>'MKT DATA'!J1706</f>
        <v>0</v>
      </c>
      <c r="G23" s="9">
        <f>'MKT DATA'!K1706</f>
        <v>0</v>
      </c>
      <c r="H23" s="9">
        <f>'MKT DATA'!L1706</f>
        <v>0</v>
      </c>
      <c r="I23" s="14">
        <f>'MKT DATA'!M1706</f>
        <v>0</v>
      </c>
      <c r="J23" s="44" t="str">
        <f t="shared" si="2"/>
        <v>syn BTCU6/BTCF7/BTCG7</v>
      </c>
      <c r="K23" s="9">
        <f>'MKT DATA'!O1706</f>
        <v>0</v>
      </c>
      <c r="L23" s="9">
        <f>'MKT DATA'!P1706</f>
        <v>0</v>
      </c>
      <c r="M23" s="9">
        <f>'MKT DATA'!Q1706</f>
        <v>0</v>
      </c>
      <c r="N23" s="9">
        <f>'MKT DATA'!R1706</f>
        <v>0</v>
      </c>
      <c r="O23" s="9">
        <f>'MKT DATA'!S1706</f>
        <v>0</v>
      </c>
      <c r="P23" s="9">
        <f>'MKT DATA'!T1706</f>
        <v>0</v>
      </c>
      <c r="Q23" s="44" t="str">
        <f t="shared" si="3"/>
        <v>syn BTCU6/BTCF7/BTCG7</v>
      </c>
      <c r="R23" s="14">
        <f>'MKT DATA'!AB1706</f>
        <v>0</v>
      </c>
    </row>
    <row r="24" spans="5:18" x14ac:dyDescent="0.25">
      <c r="E24" s="44" t="str">
        <f>'MKT DATA'!B1707</f>
        <v>syn BTCV6/BTCU6/BTCG7</v>
      </c>
      <c r="F24" s="14">
        <f>'MKT DATA'!J1707</f>
        <v>0</v>
      </c>
      <c r="G24" s="9">
        <f>'MKT DATA'!K1707</f>
        <v>0</v>
      </c>
      <c r="H24" s="9">
        <f>'MKT DATA'!L1707</f>
        <v>0</v>
      </c>
      <c r="I24" s="14">
        <f>'MKT DATA'!M1707</f>
        <v>0</v>
      </c>
      <c r="J24" s="44" t="str">
        <f t="shared" si="2"/>
        <v>syn BTCV6/BTCU6/BTCG7</v>
      </c>
      <c r="K24" s="9">
        <f>'MKT DATA'!O1707</f>
        <v>0</v>
      </c>
      <c r="L24" s="9">
        <f>'MKT DATA'!P1707</f>
        <v>0</v>
      </c>
      <c r="M24" s="9">
        <f>'MKT DATA'!Q1707</f>
        <v>0</v>
      </c>
      <c r="N24" s="9">
        <f>'MKT DATA'!R1707</f>
        <v>0</v>
      </c>
      <c r="O24" s="9">
        <f>'MKT DATA'!S1707</f>
        <v>0</v>
      </c>
      <c r="P24" s="9">
        <f>'MKT DATA'!T1707</f>
        <v>0</v>
      </c>
      <c r="Q24" s="44" t="str">
        <f t="shared" si="3"/>
        <v>syn BTCV6/BTCU6/BTCG7</v>
      </c>
      <c r="R24" s="14">
        <f>'MKT DATA'!AB1707</f>
        <v>0</v>
      </c>
    </row>
    <row r="25" spans="5:18" x14ac:dyDescent="0.25">
      <c r="E25" s="44" t="str">
        <f>'MKT DATA'!B1708</f>
        <v>syn BTCV6/BTCX6/BTCG7</v>
      </c>
      <c r="F25" s="14">
        <f>'MKT DATA'!J1708</f>
        <v>0</v>
      </c>
      <c r="G25" s="9">
        <f>'MKT DATA'!K1708</f>
        <v>0</v>
      </c>
      <c r="H25" s="9">
        <f>'MKT DATA'!L1708</f>
        <v>0</v>
      </c>
      <c r="I25" s="14">
        <f>'MKT DATA'!M1708</f>
        <v>0</v>
      </c>
      <c r="J25" s="44" t="str">
        <f t="shared" si="2"/>
        <v>syn BTCV6/BTCX6/BTCG7</v>
      </c>
      <c r="K25" s="9">
        <f>'MKT DATA'!O1708</f>
        <v>0</v>
      </c>
      <c r="L25" s="9">
        <f>'MKT DATA'!P1708</f>
        <v>0</v>
      </c>
      <c r="M25" s="9">
        <f>'MKT DATA'!Q1708</f>
        <v>0</v>
      </c>
      <c r="N25" s="9">
        <f>'MKT DATA'!R1708</f>
        <v>0</v>
      </c>
      <c r="O25" s="9">
        <f>'MKT DATA'!S1708</f>
        <v>0</v>
      </c>
      <c r="P25" s="9">
        <f>'MKT DATA'!T1708</f>
        <v>0</v>
      </c>
      <c r="Q25" s="44" t="str">
        <f t="shared" si="3"/>
        <v>syn BTCV6/BTCX6/BTCG7</v>
      </c>
      <c r="R25" s="14">
        <f>'MKT DATA'!AB1708</f>
        <v>0</v>
      </c>
    </row>
    <row r="26" spans="5:18" x14ac:dyDescent="0.25">
      <c r="E26" s="44" t="str">
        <f>'MKT DATA'!B1709</f>
        <v>syn BTCV6/BTCZ6/BTCG7</v>
      </c>
      <c r="F26" s="14">
        <f>'MKT DATA'!J1709</f>
        <v>0</v>
      </c>
      <c r="G26" s="9">
        <f>'MKT DATA'!K1709</f>
        <v>0</v>
      </c>
      <c r="H26" s="9">
        <f>'MKT DATA'!L1709</f>
        <v>0</v>
      </c>
      <c r="I26" s="14">
        <f>'MKT DATA'!M1709</f>
        <v>0</v>
      </c>
      <c r="J26" s="44" t="str">
        <f t="shared" si="2"/>
        <v>syn BTCV6/BTCZ6/BTCG7</v>
      </c>
      <c r="K26" s="9">
        <f>'MKT DATA'!O1709</f>
        <v>0</v>
      </c>
      <c r="L26" s="9">
        <f>'MKT DATA'!P1709</f>
        <v>0</v>
      </c>
      <c r="M26" s="9">
        <f>'MKT DATA'!Q1709</f>
        <v>0</v>
      </c>
      <c r="N26" s="9">
        <f>'MKT DATA'!R1709</f>
        <v>0</v>
      </c>
      <c r="O26" s="9">
        <f>'MKT DATA'!S1709</f>
        <v>0</v>
      </c>
      <c r="P26" s="9">
        <f>'MKT DATA'!T1709</f>
        <v>0</v>
      </c>
      <c r="Q26" s="44" t="str">
        <f t="shared" si="3"/>
        <v>syn BTCV6/BTCZ6/BTCG7</v>
      </c>
      <c r="R26" s="14">
        <f>'MKT DATA'!AB1709</f>
        <v>0</v>
      </c>
    </row>
    <row r="27" spans="5:18" x14ac:dyDescent="0.25">
      <c r="E27" s="44" t="str">
        <f>'MKT DATA'!B1710</f>
        <v>syn BTCV6/BTCF7/BTCG7</v>
      </c>
      <c r="F27" s="14">
        <f>'MKT DATA'!J1710</f>
        <v>0</v>
      </c>
      <c r="G27" s="9">
        <f>'MKT DATA'!K1710</f>
        <v>0</v>
      </c>
      <c r="H27" s="9">
        <f>'MKT DATA'!L1710</f>
        <v>0</v>
      </c>
      <c r="I27" s="14">
        <f>'MKT DATA'!M1710</f>
        <v>0</v>
      </c>
      <c r="J27" s="44" t="str">
        <f t="shared" si="2"/>
        <v>syn BTCV6/BTCF7/BTCG7</v>
      </c>
      <c r="K27" s="9">
        <f>'MKT DATA'!O1710</f>
        <v>0</v>
      </c>
      <c r="L27" s="9">
        <f>'MKT DATA'!P1710</f>
        <v>0</v>
      </c>
      <c r="M27" s="9">
        <f>'MKT DATA'!Q1710</f>
        <v>0</v>
      </c>
      <c r="N27" s="9">
        <f>'MKT DATA'!R1710</f>
        <v>0</v>
      </c>
      <c r="O27" s="9">
        <f>'MKT DATA'!S1710</f>
        <v>0</v>
      </c>
      <c r="P27" s="9">
        <f>'MKT DATA'!T1710</f>
        <v>0</v>
      </c>
      <c r="Q27" s="44" t="str">
        <f t="shared" si="3"/>
        <v>syn BTCV6/BTCF7/BTCG7</v>
      </c>
      <c r="R27" s="14">
        <f>'MKT DATA'!AB1710</f>
        <v>0</v>
      </c>
    </row>
    <row r="28" spans="5:18" x14ac:dyDescent="0.25">
      <c r="E28" s="44" t="str">
        <f>'MKT DATA'!B1711</f>
        <v>syn BTCX6/BTCU6/BTCG7</v>
      </c>
      <c r="F28" s="14">
        <f>'MKT DATA'!J1711</f>
        <v>0</v>
      </c>
      <c r="G28" s="9">
        <f>'MKT DATA'!K1711</f>
        <v>0</v>
      </c>
      <c r="H28" s="9">
        <f>'MKT DATA'!L1711</f>
        <v>0</v>
      </c>
      <c r="I28" s="14">
        <f>'MKT DATA'!M1711</f>
        <v>0</v>
      </c>
      <c r="J28" s="44" t="str">
        <f t="shared" si="2"/>
        <v>syn BTCX6/BTCU6/BTCG7</v>
      </c>
      <c r="K28" s="9">
        <f>'MKT DATA'!O1711</f>
        <v>0</v>
      </c>
      <c r="L28" s="9">
        <f>'MKT DATA'!P1711</f>
        <v>0</v>
      </c>
      <c r="M28" s="9">
        <f>'MKT DATA'!Q1711</f>
        <v>0</v>
      </c>
      <c r="N28" s="9">
        <f>'MKT DATA'!R1711</f>
        <v>0</v>
      </c>
      <c r="O28" s="9">
        <f>'MKT DATA'!S1711</f>
        <v>0</v>
      </c>
      <c r="P28" s="9">
        <f>'MKT DATA'!T1711</f>
        <v>0</v>
      </c>
      <c r="Q28" s="44" t="str">
        <f t="shared" si="3"/>
        <v>syn BTCX6/BTCU6/BTCG7</v>
      </c>
      <c r="R28" s="14">
        <f>'MKT DATA'!AB1711</f>
        <v>0</v>
      </c>
    </row>
    <row r="29" spans="5:18" x14ac:dyDescent="0.25">
      <c r="E29" s="44" t="str">
        <f>'MKT DATA'!B1712</f>
        <v>syn BTCX6/BTCV6/BTCG7</v>
      </c>
      <c r="F29" s="14">
        <f>'MKT DATA'!J1712</f>
        <v>0</v>
      </c>
      <c r="G29" s="9">
        <f>'MKT DATA'!K1712</f>
        <v>0</v>
      </c>
      <c r="H29" s="9">
        <f>'MKT DATA'!L1712</f>
        <v>0</v>
      </c>
      <c r="I29" s="14">
        <f>'MKT DATA'!M1712</f>
        <v>0</v>
      </c>
      <c r="J29" s="44" t="str">
        <f t="shared" si="2"/>
        <v>syn BTCX6/BTCV6/BTCG7</v>
      </c>
      <c r="K29" s="9">
        <f>'MKT DATA'!O1712</f>
        <v>0</v>
      </c>
      <c r="L29" s="9">
        <f>'MKT DATA'!P1712</f>
        <v>0</v>
      </c>
      <c r="M29" s="9">
        <f>'MKT DATA'!Q1712</f>
        <v>0</v>
      </c>
      <c r="N29" s="9">
        <f>'MKT DATA'!R1712</f>
        <v>0</v>
      </c>
      <c r="O29" s="9">
        <f>'MKT DATA'!S1712</f>
        <v>0</v>
      </c>
      <c r="P29" s="9">
        <f>'MKT DATA'!T1712</f>
        <v>0</v>
      </c>
      <c r="Q29" s="44" t="str">
        <f t="shared" si="3"/>
        <v>syn BTCX6/BTCV6/BTCG7</v>
      </c>
      <c r="R29" s="14">
        <f>'MKT DATA'!AB1712</f>
        <v>0</v>
      </c>
    </row>
    <row r="30" spans="5:18" x14ac:dyDescent="0.25">
      <c r="E30" s="44" t="str">
        <f>'MKT DATA'!B1713</f>
        <v>syn BTCX6/BTCZ6/BTCG7</v>
      </c>
      <c r="F30" s="14">
        <f>'MKT DATA'!J1713</f>
        <v>0</v>
      </c>
      <c r="G30" s="9">
        <f>'MKT DATA'!K1713</f>
        <v>0</v>
      </c>
      <c r="H30" s="9">
        <f>'MKT DATA'!L1713</f>
        <v>0</v>
      </c>
      <c r="I30" s="14">
        <f>'MKT DATA'!M1713</f>
        <v>0</v>
      </c>
      <c r="J30" s="44" t="str">
        <f t="shared" si="2"/>
        <v>syn BTCX6/BTCZ6/BTCG7</v>
      </c>
      <c r="K30" s="9">
        <f>'MKT DATA'!O1713</f>
        <v>0</v>
      </c>
      <c r="L30" s="9">
        <f>'MKT DATA'!P1713</f>
        <v>0</v>
      </c>
      <c r="M30" s="9">
        <f>'MKT DATA'!Q1713</f>
        <v>0</v>
      </c>
      <c r="N30" s="9">
        <f>'MKT DATA'!R1713</f>
        <v>0</v>
      </c>
      <c r="O30" s="9">
        <f>'MKT DATA'!S1713</f>
        <v>0</v>
      </c>
      <c r="P30" s="9">
        <f>'MKT DATA'!T1713</f>
        <v>0</v>
      </c>
      <c r="Q30" s="44" t="str">
        <f t="shared" si="3"/>
        <v>syn BTCX6/BTCZ6/BTCG7</v>
      </c>
      <c r="R30" s="14">
        <f>'MKT DATA'!AB1713</f>
        <v>0</v>
      </c>
    </row>
    <row r="31" spans="5:18" x14ac:dyDescent="0.25">
      <c r="E31" s="44" t="str">
        <f>'MKT DATA'!B1714</f>
        <v>syn BTCX6/BTCF7/BTCG7</v>
      </c>
      <c r="F31" s="14">
        <f>'MKT DATA'!J1714</f>
        <v>0</v>
      </c>
      <c r="G31" s="9">
        <f>'MKT DATA'!K1714</f>
        <v>0</v>
      </c>
      <c r="H31" s="9">
        <f>'MKT DATA'!L1714</f>
        <v>0</v>
      </c>
      <c r="I31" s="14">
        <f>'MKT DATA'!M1714</f>
        <v>0</v>
      </c>
      <c r="J31" s="44" t="str">
        <f t="shared" si="2"/>
        <v>syn BTCX6/BTCF7/BTCG7</v>
      </c>
      <c r="K31" s="9">
        <f>'MKT DATA'!O1714</f>
        <v>0</v>
      </c>
      <c r="L31" s="9">
        <f>'MKT DATA'!P1714</f>
        <v>0</v>
      </c>
      <c r="M31" s="9">
        <f>'MKT DATA'!Q1714</f>
        <v>0</v>
      </c>
      <c r="N31" s="9">
        <f>'MKT DATA'!R1714</f>
        <v>0</v>
      </c>
      <c r="O31" s="9">
        <f>'MKT DATA'!S1714</f>
        <v>0</v>
      </c>
      <c r="P31" s="9">
        <f>'MKT DATA'!T1714</f>
        <v>0</v>
      </c>
      <c r="Q31" s="44" t="str">
        <f t="shared" si="3"/>
        <v>syn BTCX6/BTCF7/BTCG7</v>
      </c>
      <c r="R31" s="14">
        <f>'MKT DATA'!AB1714</f>
        <v>0</v>
      </c>
    </row>
    <row r="32" spans="5:18" x14ac:dyDescent="0.25">
      <c r="E32" s="44" t="str">
        <f>'MKT DATA'!B1715</f>
        <v>syn BTCZ6/BTCU6/BTCG7</v>
      </c>
      <c r="F32" s="14">
        <f>'MKT DATA'!J1715</f>
        <v>0</v>
      </c>
      <c r="G32" s="9">
        <f>'MKT DATA'!K1715</f>
        <v>0</v>
      </c>
      <c r="H32" s="9">
        <f>'MKT DATA'!L1715</f>
        <v>0</v>
      </c>
      <c r="I32" s="14">
        <f>'MKT DATA'!M1715</f>
        <v>0</v>
      </c>
      <c r="J32" s="44" t="str">
        <f t="shared" si="2"/>
        <v>syn BTCZ6/BTCU6/BTCG7</v>
      </c>
      <c r="K32" s="9">
        <f>'MKT DATA'!O1715</f>
        <v>0</v>
      </c>
      <c r="L32" s="9">
        <f>'MKT DATA'!P1715</f>
        <v>0</v>
      </c>
      <c r="M32" s="9">
        <f>'MKT DATA'!Q1715</f>
        <v>0</v>
      </c>
      <c r="N32" s="9">
        <f>'MKT DATA'!R1715</f>
        <v>0</v>
      </c>
      <c r="O32" s="9">
        <f>'MKT DATA'!S1715</f>
        <v>0</v>
      </c>
      <c r="P32" s="9">
        <f>'MKT DATA'!T1715</f>
        <v>0</v>
      </c>
      <c r="Q32" s="44" t="str">
        <f t="shared" si="3"/>
        <v>syn BTCZ6/BTCU6/BTCG7</v>
      </c>
      <c r="R32" s="14">
        <f>'MKT DATA'!AB1715</f>
        <v>0</v>
      </c>
    </row>
    <row r="33" spans="5:18" x14ac:dyDescent="0.25">
      <c r="E33" s="44" t="str">
        <f>'MKT DATA'!B1716</f>
        <v>syn BTCZ6/BTCV6/BTCG7</v>
      </c>
      <c r="F33" s="14">
        <f>'MKT DATA'!J1716</f>
        <v>0</v>
      </c>
      <c r="G33" s="9">
        <f>'MKT DATA'!K1716</f>
        <v>0</v>
      </c>
      <c r="H33" s="9">
        <f>'MKT DATA'!L1716</f>
        <v>0</v>
      </c>
      <c r="I33" s="14">
        <f>'MKT DATA'!M1716</f>
        <v>0</v>
      </c>
      <c r="J33" s="44" t="str">
        <f t="shared" si="2"/>
        <v>syn BTCZ6/BTCV6/BTCG7</v>
      </c>
      <c r="K33" s="9">
        <f>'MKT DATA'!O1716</f>
        <v>0</v>
      </c>
      <c r="L33" s="9">
        <f>'MKT DATA'!P1716</f>
        <v>0</v>
      </c>
      <c r="M33" s="9">
        <f>'MKT DATA'!Q1716</f>
        <v>0</v>
      </c>
      <c r="N33" s="9">
        <f>'MKT DATA'!R1716</f>
        <v>0</v>
      </c>
      <c r="O33" s="9">
        <f>'MKT DATA'!S1716</f>
        <v>0</v>
      </c>
      <c r="P33" s="9">
        <f>'MKT DATA'!T1716</f>
        <v>0</v>
      </c>
      <c r="Q33" s="44" t="str">
        <f t="shared" si="3"/>
        <v>syn BTCZ6/BTCV6/BTCG7</v>
      </c>
      <c r="R33" s="14">
        <f>'MKT DATA'!AB1716</f>
        <v>0</v>
      </c>
    </row>
    <row r="34" spans="5:18" x14ac:dyDescent="0.25">
      <c r="E34" s="44" t="str">
        <f>'MKT DATA'!B1717</f>
        <v>syn BTCZ6/BTCX6/BTCG7</v>
      </c>
      <c r="F34" s="14">
        <f>'MKT DATA'!J1717</f>
        <v>0</v>
      </c>
      <c r="G34" s="9">
        <f>'MKT DATA'!K1717</f>
        <v>0</v>
      </c>
      <c r="H34" s="9">
        <f>'MKT DATA'!L1717</f>
        <v>0</v>
      </c>
      <c r="I34" s="14">
        <f>'MKT DATA'!M1717</f>
        <v>0</v>
      </c>
      <c r="J34" s="44" t="str">
        <f t="shared" si="2"/>
        <v>syn BTCZ6/BTCX6/BTCG7</v>
      </c>
      <c r="K34" s="9">
        <f>'MKT DATA'!O1717</f>
        <v>0</v>
      </c>
      <c r="L34" s="9">
        <f>'MKT DATA'!P1717</f>
        <v>0</v>
      </c>
      <c r="M34" s="9">
        <f>'MKT DATA'!Q1717</f>
        <v>0</v>
      </c>
      <c r="N34" s="9">
        <f>'MKT DATA'!R1717</f>
        <v>0</v>
      </c>
      <c r="O34" s="9">
        <f>'MKT DATA'!S1717</f>
        <v>0</v>
      </c>
      <c r="P34" s="9">
        <f>'MKT DATA'!T1717</f>
        <v>0</v>
      </c>
      <c r="Q34" s="44" t="str">
        <f t="shared" si="3"/>
        <v>syn BTCZ6/BTCX6/BTCG7</v>
      </c>
      <c r="R34" s="14">
        <f>'MKT DATA'!AB1717</f>
        <v>0</v>
      </c>
    </row>
    <row r="35" spans="5:18" x14ac:dyDescent="0.25">
      <c r="E35" s="44" t="str">
        <f>'MKT DATA'!B1718</f>
        <v>syn BTCZ6/BTCF7/BTCG7</v>
      </c>
      <c r="F35" s="14">
        <f>'MKT DATA'!J1718</f>
        <v>0</v>
      </c>
      <c r="G35" s="9">
        <f>'MKT DATA'!K1718</f>
        <v>0</v>
      </c>
      <c r="H35" s="9">
        <f>'MKT DATA'!L1718</f>
        <v>0</v>
      </c>
      <c r="I35" s="14">
        <f>'MKT DATA'!M1718</f>
        <v>0</v>
      </c>
      <c r="J35" s="44" t="str">
        <f t="shared" si="2"/>
        <v>syn BTCZ6/BTCF7/BTCG7</v>
      </c>
      <c r="K35" s="9">
        <f>'MKT DATA'!O1718</f>
        <v>0</v>
      </c>
      <c r="L35" s="9">
        <f>'MKT DATA'!P1718</f>
        <v>0</v>
      </c>
      <c r="M35" s="9">
        <f>'MKT DATA'!Q1718</f>
        <v>0</v>
      </c>
      <c r="N35" s="9">
        <f>'MKT DATA'!R1718</f>
        <v>0</v>
      </c>
      <c r="O35" s="9">
        <f>'MKT DATA'!S1718</f>
        <v>0</v>
      </c>
      <c r="P35" s="9">
        <f>'MKT DATA'!T1718</f>
        <v>0</v>
      </c>
      <c r="Q35" s="44" t="str">
        <f t="shared" si="3"/>
        <v>syn BTCZ6/BTCF7/BTCG7</v>
      </c>
      <c r="R35" s="14">
        <f>'MKT DATA'!AB1718</f>
        <v>0</v>
      </c>
    </row>
    <row r="36" spans="5:18" x14ac:dyDescent="0.25">
      <c r="E36" s="44" t="str">
        <f>'MKT DATA'!B1719</f>
        <v>syn BTCF7/BTCU6/BTCG7</v>
      </c>
      <c r="F36" s="14">
        <f>'MKT DATA'!J1719</f>
        <v>0</v>
      </c>
      <c r="G36" s="9">
        <f>'MKT DATA'!K1719</f>
        <v>0</v>
      </c>
      <c r="H36" s="9">
        <f>'MKT DATA'!L1719</f>
        <v>0</v>
      </c>
      <c r="I36" s="14">
        <f>'MKT DATA'!M1719</f>
        <v>0</v>
      </c>
      <c r="J36" s="44" t="str">
        <f t="shared" si="2"/>
        <v>syn BTCF7/BTCU6/BTCG7</v>
      </c>
      <c r="K36" s="9">
        <f>'MKT DATA'!O1719</f>
        <v>0</v>
      </c>
      <c r="L36" s="9">
        <f>'MKT DATA'!P1719</f>
        <v>0</v>
      </c>
      <c r="M36" s="9">
        <f>'MKT DATA'!Q1719</f>
        <v>0</v>
      </c>
      <c r="N36" s="9">
        <f>'MKT DATA'!R1719</f>
        <v>0</v>
      </c>
      <c r="O36" s="9">
        <f>'MKT DATA'!S1719</f>
        <v>0</v>
      </c>
      <c r="P36" s="9">
        <f>'MKT DATA'!T1719</f>
        <v>0</v>
      </c>
      <c r="Q36" s="44" t="str">
        <f t="shared" si="3"/>
        <v>syn BTCF7/BTCU6/BTCG7</v>
      </c>
      <c r="R36" s="14">
        <f>'MKT DATA'!AB1719</f>
        <v>0</v>
      </c>
    </row>
    <row r="37" spans="5:18" x14ac:dyDescent="0.25">
      <c r="E37" s="44" t="str">
        <f>'MKT DATA'!B1720</f>
        <v>syn BTCF7/BTCV6/BTCG7</v>
      </c>
      <c r="F37" s="14">
        <f>'MKT DATA'!J1720</f>
        <v>0</v>
      </c>
      <c r="G37" s="9">
        <f>'MKT DATA'!K1720</f>
        <v>0</v>
      </c>
      <c r="H37" s="9">
        <f>'MKT DATA'!L1720</f>
        <v>0</v>
      </c>
      <c r="I37" s="14">
        <f>'MKT DATA'!M1720</f>
        <v>0</v>
      </c>
      <c r="J37" s="44" t="str">
        <f t="shared" si="2"/>
        <v>syn BTCF7/BTCV6/BTCG7</v>
      </c>
      <c r="K37" s="9">
        <f>'MKT DATA'!O1720</f>
        <v>0</v>
      </c>
      <c r="L37" s="9">
        <f>'MKT DATA'!P1720</f>
        <v>0</v>
      </c>
      <c r="M37" s="9">
        <f>'MKT DATA'!Q1720</f>
        <v>0</v>
      </c>
      <c r="N37" s="9">
        <f>'MKT DATA'!R1720</f>
        <v>0</v>
      </c>
      <c r="O37" s="9">
        <f>'MKT DATA'!S1720</f>
        <v>0</v>
      </c>
      <c r="P37" s="9">
        <f>'MKT DATA'!T1720</f>
        <v>0</v>
      </c>
      <c r="Q37" s="44" t="str">
        <f t="shared" si="3"/>
        <v>syn BTCF7/BTCV6/BTCG7</v>
      </c>
      <c r="R37" s="14">
        <f>'MKT DATA'!AB1720</f>
        <v>0</v>
      </c>
    </row>
    <row r="38" spans="5:18" x14ac:dyDescent="0.25">
      <c r="E38" s="44" t="str">
        <f>'MKT DATA'!B1721</f>
        <v>syn BTCF7/BTCX6/BTCG7</v>
      </c>
      <c r="F38" s="14">
        <f>'MKT DATA'!J1721</f>
        <v>0</v>
      </c>
      <c r="G38" s="9">
        <f>'MKT DATA'!K1721</f>
        <v>0</v>
      </c>
      <c r="H38" s="9">
        <f>'MKT DATA'!L1721</f>
        <v>0</v>
      </c>
      <c r="I38" s="14">
        <f>'MKT DATA'!M1721</f>
        <v>0</v>
      </c>
      <c r="J38" s="44" t="str">
        <f t="shared" si="2"/>
        <v>syn BTCF7/BTCX6/BTCG7</v>
      </c>
      <c r="K38" s="9">
        <f>'MKT DATA'!O1721</f>
        <v>0</v>
      </c>
      <c r="L38" s="9">
        <f>'MKT DATA'!P1721</f>
        <v>0</v>
      </c>
      <c r="M38" s="9">
        <f>'MKT DATA'!Q1721</f>
        <v>0</v>
      </c>
      <c r="N38" s="9">
        <f>'MKT DATA'!R1721</f>
        <v>0</v>
      </c>
      <c r="O38" s="9">
        <f>'MKT DATA'!S1721</f>
        <v>0</v>
      </c>
      <c r="P38" s="9">
        <f>'MKT DATA'!T1721</f>
        <v>0</v>
      </c>
      <c r="Q38" s="44" t="str">
        <f t="shared" si="3"/>
        <v>syn BTCF7/BTCX6/BTCG7</v>
      </c>
      <c r="R38" s="14">
        <f>'MKT DATA'!AB1721</f>
        <v>0</v>
      </c>
    </row>
    <row r="39" spans="5:18" x14ac:dyDescent="0.25">
      <c r="E39" s="44" t="str">
        <f>'MKT DATA'!B1722</f>
        <v>syn BTCF7/BTCZ6/BTCG7</v>
      </c>
      <c r="F39" s="14">
        <f>'MKT DATA'!J1722</f>
        <v>0</v>
      </c>
      <c r="G39" s="9">
        <f>'MKT DATA'!K1722</f>
        <v>0</v>
      </c>
      <c r="H39" s="9">
        <f>'MKT DATA'!L1722</f>
        <v>0</v>
      </c>
      <c r="I39" s="14">
        <f>'MKT DATA'!M1722</f>
        <v>0</v>
      </c>
      <c r="J39" s="44" t="str">
        <f t="shared" si="2"/>
        <v>syn BTCF7/BTCZ6/BTCG7</v>
      </c>
      <c r="K39" s="9">
        <f>'MKT DATA'!O1722</f>
        <v>0</v>
      </c>
      <c r="L39" s="9">
        <f>'MKT DATA'!P1722</f>
        <v>0</v>
      </c>
      <c r="M39" s="9">
        <f>'MKT DATA'!Q1722</f>
        <v>0</v>
      </c>
      <c r="N39" s="9">
        <f>'MKT DATA'!R1722</f>
        <v>0</v>
      </c>
      <c r="O39" s="9">
        <f>'MKT DATA'!S1722</f>
        <v>0</v>
      </c>
      <c r="P39" s="9">
        <f>'MKT DATA'!T1722</f>
        <v>0</v>
      </c>
      <c r="Q39" s="44" t="str">
        <f t="shared" si="3"/>
        <v>syn BTCF7/BTCZ6/BTCG7</v>
      </c>
      <c r="R39" s="14">
        <f>'MKT DATA'!AB1722</f>
        <v>0</v>
      </c>
    </row>
    <row r="40" spans="5:18" x14ac:dyDescent="0.25">
      <c r="E40" s="44" t="str">
        <f>'MKT DATA'!B1723</f>
        <v>syn BTCU6/BTCV6/BTCX6/BTCG7</v>
      </c>
      <c r="F40" s="14">
        <f>'MKT DATA'!J1723</f>
        <v>0</v>
      </c>
      <c r="G40" s="9">
        <f>'MKT DATA'!K1723</f>
        <v>0</v>
      </c>
      <c r="H40" s="9">
        <f>'MKT DATA'!L1723</f>
        <v>0</v>
      </c>
      <c r="I40" s="14">
        <f>'MKT DATA'!M1723</f>
        <v>0</v>
      </c>
      <c r="J40" s="44" t="str">
        <f t="shared" si="2"/>
        <v>syn BTCU6/BTCV6/BTCX6/BTCG7</v>
      </c>
      <c r="K40" s="9">
        <f>'MKT DATA'!O1723</f>
        <v>0</v>
      </c>
      <c r="L40" s="9">
        <f>'MKT DATA'!P1723</f>
        <v>0</v>
      </c>
      <c r="M40" s="9">
        <f>'MKT DATA'!Q1723</f>
        <v>0</v>
      </c>
      <c r="N40" s="9">
        <f>'MKT DATA'!R1723</f>
        <v>0</v>
      </c>
      <c r="O40" s="9">
        <f>'MKT DATA'!S1723</f>
        <v>0</v>
      </c>
      <c r="P40" s="9">
        <f>'MKT DATA'!T1723</f>
        <v>0</v>
      </c>
      <c r="Q40" s="44" t="str">
        <f t="shared" si="3"/>
        <v>syn BTCU6/BTCV6/BTCX6/BTCG7</v>
      </c>
      <c r="R40" s="14">
        <f>'MKT DATA'!AB1723</f>
        <v>0</v>
      </c>
    </row>
    <row r="41" spans="5:18" x14ac:dyDescent="0.25">
      <c r="E41" s="44" t="str">
        <f>'MKT DATA'!B1724</f>
        <v>syn BTCU6/BTCV6/BTCZ6/BTCG7</v>
      </c>
      <c r="F41" s="14">
        <f>'MKT DATA'!J1724</f>
        <v>0</v>
      </c>
      <c r="G41" s="9">
        <f>'MKT DATA'!K1724</f>
        <v>0</v>
      </c>
      <c r="H41" s="9">
        <f>'MKT DATA'!L1724</f>
        <v>0</v>
      </c>
      <c r="I41" s="14">
        <f>'MKT DATA'!M1724</f>
        <v>0</v>
      </c>
      <c r="J41" s="44" t="str">
        <f t="shared" si="2"/>
        <v>syn BTCU6/BTCV6/BTCZ6/BTCG7</v>
      </c>
      <c r="K41" s="9">
        <f>'MKT DATA'!O1724</f>
        <v>0</v>
      </c>
      <c r="L41" s="9">
        <f>'MKT DATA'!P1724</f>
        <v>0</v>
      </c>
      <c r="M41" s="9">
        <f>'MKT DATA'!Q1724</f>
        <v>0</v>
      </c>
      <c r="N41" s="9">
        <f>'MKT DATA'!R1724</f>
        <v>0</v>
      </c>
      <c r="O41" s="9">
        <f>'MKT DATA'!S1724</f>
        <v>0</v>
      </c>
      <c r="P41" s="9">
        <f>'MKT DATA'!T1724</f>
        <v>0</v>
      </c>
      <c r="Q41" s="44" t="str">
        <f t="shared" si="3"/>
        <v>syn BTCU6/BTCV6/BTCZ6/BTCG7</v>
      </c>
      <c r="R41" s="14">
        <f>'MKT DATA'!AB1724</f>
        <v>0</v>
      </c>
    </row>
    <row r="42" spans="5:18" x14ac:dyDescent="0.25">
      <c r="E42" s="44" t="str">
        <f>'MKT DATA'!B1725</f>
        <v>syn BTCU6/BTCV6/BTCF7/BTCG7</v>
      </c>
      <c r="F42" s="14">
        <f>'MKT DATA'!J1725</f>
        <v>0</v>
      </c>
      <c r="G42" s="9">
        <f>'MKT DATA'!K1725</f>
        <v>0</v>
      </c>
      <c r="H42" s="9">
        <f>'MKT DATA'!L1725</f>
        <v>0</v>
      </c>
      <c r="I42" s="14">
        <f>'MKT DATA'!M1725</f>
        <v>0</v>
      </c>
      <c r="J42" s="44" t="str">
        <f t="shared" si="2"/>
        <v>syn BTCU6/BTCV6/BTCF7/BTCG7</v>
      </c>
      <c r="K42" s="9">
        <f>'MKT DATA'!O1725</f>
        <v>0</v>
      </c>
      <c r="L42" s="9">
        <f>'MKT DATA'!P1725</f>
        <v>0</v>
      </c>
      <c r="M42" s="9">
        <f>'MKT DATA'!Q1725</f>
        <v>0</v>
      </c>
      <c r="N42" s="9">
        <f>'MKT DATA'!R1725</f>
        <v>0</v>
      </c>
      <c r="O42" s="9">
        <f>'MKT DATA'!S1725</f>
        <v>0</v>
      </c>
      <c r="P42" s="9">
        <f>'MKT DATA'!T1725</f>
        <v>0</v>
      </c>
      <c r="Q42" s="44" t="str">
        <f t="shared" si="3"/>
        <v>syn BTCU6/BTCV6/BTCF7/BTCG7</v>
      </c>
      <c r="R42" s="14">
        <f>'MKT DATA'!AB1725</f>
        <v>0</v>
      </c>
    </row>
    <row r="43" spans="5:18" x14ac:dyDescent="0.25">
      <c r="E43" s="44" t="str">
        <f>'MKT DATA'!B1726</f>
        <v>syn BTCU6/BTCX6/BTCV6/BTCG7</v>
      </c>
      <c r="F43" s="14">
        <f>'MKT DATA'!J1726</f>
        <v>0</v>
      </c>
      <c r="G43" s="9">
        <f>'MKT DATA'!K1726</f>
        <v>0</v>
      </c>
      <c r="H43" s="9">
        <f>'MKT DATA'!L1726</f>
        <v>0</v>
      </c>
      <c r="I43" s="14">
        <f>'MKT DATA'!M1726</f>
        <v>0</v>
      </c>
      <c r="J43" s="44" t="str">
        <f t="shared" si="2"/>
        <v>syn BTCU6/BTCX6/BTCV6/BTCG7</v>
      </c>
      <c r="K43" s="9">
        <f>'MKT DATA'!O1726</f>
        <v>0</v>
      </c>
      <c r="L43" s="9">
        <f>'MKT DATA'!P1726</f>
        <v>0</v>
      </c>
      <c r="M43" s="9">
        <f>'MKT DATA'!Q1726</f>
        <v>0</v>
      </c>
      <c r="N43" s="9">
        <f>'MKT DATA'!R1726</f>
        <v>0</v>
      </c>
      <c r="O43" s="9">
        <f>'MKT DATA'!S1726</f>
        <v>0</v>
      </c>
      <c r="P43" s="9">
        <f>'MKT DATA'!T1726</f>
        <v>0</v>
      </c>
      <c r="Q43" s="44" t="str">
        <f t="shared" si="3"/>
        <v>syn BTCU6/BTCX6/BTCV6/BTCG7</v>
      </c>
      <c r="R43" s="14">
        <f>'MKT DATA'!AB1726</f>
        <v>0</v>
      </c>
    </row>
    <row r="44" spans="5:18" x14ac:dyDescent="0.25">
      <c r="E44" s="44" t="str">
        <f>'MKT DATA'!B1727</f>
        <v>syn BTCU6/BTCX6/BTCZ6/BTCG7</v>
      </c>
      <c r="F44" s="14">
        <f>'MKT DATA'!J1727</f>
        <v>0</v>
      </c>
      <c r="G44" s="9">
        <f>'MKT DATA'!K1727</f>
        <v>0</v>
      </c>
      <c r="H44" s="9">
        <f>'MKT DATA'!L1727</f>
        <v>0</v>
      </c>
      <c r="I44" s="14">
        <f>'MKT DATA'!M1727</f>
        <v>0</v>
      </c>
      <c r="J44" s="44" t="str">
        <f t="shared" si="2"/>
        <v>syn BTCU6/BTCX6/BTCZ6/BTCG7</v>
      </c>
      <c r="K44" s="9">
        <f>'MKT DATA'!O1727</f>
        <v>0</v>
      </c>
      <c r="L44" s="9">
        <f>'MKT DATA'!P1727</f>
        <v>0</v>
      </c>
      <c r="M44" s="9">
        <f>'MKT DATA'!Q1727</f>
        <v>0</v>
      </c>
      <c r="N44" s="9">
        <f>'MKT DATA'!R1727</f>
        <v>0</v>
      </c>
      <c r="O44" s="9">
        <f>'MKT DATA'!S1727</f>
        <v>0</v>
      </c>
      <c r="P44" s="9">
        <f>'MKT DATA'!T1727</f>
        <v>0</v>
      </c>
      <c r="Q44" s="44" t="str">
        <f t="shared" si="3"/>
        <v>syn BTCU6/BTCX6/BTCZ6/BTCG7</v>
      </c>
      <c r="R44" s="14">
        <f>'MKT DATA'!AB1727</f>
        <v>0</v>
      </c>
    </row>
    <row r="45" spans="5:18" x14ac:dyDescent="0.25">
      <c r="E45" s="44" t="str">
        <f>'MKT DATA'!B1728</f>
        <v>syn BTCU6/BTCX6/BTCF7/BTCG7</v>
      </c>
      <c r="F45" s="14">
        <f>'MKT DATA'!J1728</f>
        <v>0</v>
      </c>
      <c r="G45" s="9">
        <f>'MKT DATA'!K1728</f>
        <v>0</v>
      </c>
      <c r="H45" s="9">
        <f>'MKT DATA'!L1728</f>
        <v>0</v>
      </c>
      <c r="I45" s="14">
        <f>'MKT DATA'!M1728</f>
        <v>0</v>
      </c>
      <c r="J45" s="44" t="str">
        <f t="shared" si="2"/>
        <v>syn BTCU6/BTCX6/BTCF7/BTCG7</v>
      </c>
      <c r="K45" s="9">
        <f>'MKT DATA'!O1728</f>
        <v>0</v>
      </c>
      <c r="L45" s="9">
        <f>'MKT DATA'!P1728</f>
        <v>0</v>
      </c>
      <c r="M45" s="9">
        <f>'MKT DATA'!Q1728</f>
        <v>0</v>
      </c>
      <c r="N45" s="9">
        <f>'MKT DATA'!R1728</f>
        <v>0</v>
      </c>
      <c r="O45" s="9">
        <f>'MKT DATA'!S1728</f>
        <v>0</v>
      </c>
      <c r="P45" s="9">
        <f>'MKT DATA'!T1728</f>
        <v>0</v>
      </c>
      <c r="Q45" s="44" t="str">
        <f t="shared" si="3"/>
        <v>syn BTCU6/BTCX6/BTCF7/BTCG7</v>
      </c>
      <c r="R45" s="14">
        <f>'MKT DATA'!AB1728</f>
        <v>0</v>
      </c>
    </row>
    <row r="46" spans="5:18" x14ac:dyDescent="0.25">
      <c r="E46" s="44" t="str">
        <f>'MKT DATA'!B1729</f>
        <v>syn BTCU6/BTCZ6/BTCV6/BTCG7</v>
      </c>
      <c r="F46" s="14">
        <f>'MKT DATA'!J1729</f>
        <v>0</v>
      </c>
      <c r="G46" s="9">
        <f>'MKT DATA'!K1729</f>
        <v>0</v>
      </c>
      <c r="H46" s="9">
        <f>'MKT DATA'!L1729</f>
        <v>0</v>
      </c>
      <c r="I46" s="14">
        <f>'MKT DATA'!M1729</f>
        <v>0</v>
      </c>
      <c r="J46" s="44" t="str">
        <f t="shared" si="2"/>
        <v>syn BTCU6/BTCZ6/BTCV6/BTCG7</v>
      </c>
      <c r="K46" s="9">
        <f>'MKT DATA'!O1729</f>
        <v>0</v>
      </c>
      <c r="L46" s="9">
        <f>'MKT DATA'!P1729</f>
        <v>0</v>
      </c>
      <c r="M46" s="9">
        <f>'MKT DATA'!Q1729</f>
        <v>0</v>
      </c>
      <c r="N46" s="9">
        <f>'MKT DATA'!R1729</f>
        <v>0</v>
      </c>
      <c r="O46" s="9">
        <f>'MKT DATA'!S1729</f>
        <v>0</v>
      </c>
      <c r="P46" s="9">
        <f>'MKT DATA'!T1729</f>
        <v>0</v>
      </c>
      <c r="Q46" s="44" t="str">
        <f t="shared" si="3"/>
        <v>syn BTCU6/BTCZ6/BTCV6/BTCG7</v>
      </c>
      <c r="R46" s="14">
        <f>'MKT DATA'!AB1729</f>
        <v>0</v>
      </c>
    </row>
    <row r="47" spans="5:18" x14ac:dyDescent="0.25">
      <c r="E47" s="44" t="str">
        <f>'MKT DATA'!B1730</f>
        <v>syn BTCU6/BTCZ6/BTCX6/BTCG7</v>
      </c>
      <c r="F47" s="14">
        <f>'MKT DATA'!J1730</f>
        <v>0</v>
      </c>
      <c r="G47" s="9">
        <f>'MKT DATA'!K1730</f>
        <v>0</v>
      </c>
      <c r="H47" s="9">
        <f>'MKT DATA'!L1730</f>
        <v>0</v>
      </c>
      <c r="I47" s="14">
        <f>'MKT DATA'!M1730</f>
        <v>0</v>
      </c>
      <c r="J47" s="44" t="str">
        <f t="shared" si="2"/>
        <v>syn BTCU6/BTCZ6/BTCX6/BTCG7</v>
      </c>
      <c r="K47" s="9">
        <f>'MKT DATA'!O1730</f>
        <v>0</v>
      </c>
      <c r="L47" s="9">
        <f>'MKT DATA'!P1730</f>
        <v>0</v>
      </c>
      <c r="M47" s="9">
        <f>'MKT DATA'!Q1730</f>
        <v>0</v>
      </c>
      <c r="N47" s="9">
        <f>'MKT DATA'!R1730</f>
        <v>0</v>
      </c>
      <c r="O47" s="9">
        <f>'MKT DATA'!S1730</f>
        <v>0</v>
      </c>
      <c r="P47" s="9">
        <f>'MKT DATA'!T1730</f>
        <v>0</v>
      </c>
      <c r="Q47" s="44" t="str">
        <f t="shared" si="3"/>
        <v>syn BTCU6/BTCZ6/BTCX6/BTCG7</v>
      </c>
      <c r="R47" s="14">
        <f>'MKT DATA'!AB1730</f>
        <v>0</v>
      </c>
    </row>
    <row r="48" spans="5:18" x14ac:dyDescent="0.25">
      <c r="E48" s="44" t="str">
        <f>'MKT DATA'!B1731</f>
        <v>syn BTCU6/BTCZ6/BTCF7/BTCG7</v>
      </c>
      <c r="F48" s="14">
        <f>'MKT DATA'!J1731</f>
        <v>0</v>
      </c>
      <c r="G48" s="9">
        <f>'MKT DATA'!K1731</f>
        <v>0</v>
      </c>
      <c r="H48" s="9">
        <f>'MKT DATA'!L1731</f>
        <v>0</v>
      </c>
      <c r="I48" s="14">
        <f>'MKT DATA'!M1731</f>
        <v>0</v>
      </c>
      <c r="J48" s="44" t="str">
        <f t="shared" si="2"/>
        <v>syn BTCU6/BTCZ6/BTCF7/BTCG7</v>
      </c>
      <c r="K48" s="9">
        <f>'MKT DATA'!O1731</f>
        <v>0</v>
      </c>
      <c r="L48" s="9">
        <f>'MKT DATA'!P1731</f>
        <v>0</v>
      </c>
      <c r="M48" s="9">
        <f>'MKT DATA'!Q1731</f>
        <v>0</v>
      </c>
      <c r="N48" s="9">
        <f>'MKT DATA'!R1731</f>
        <v>0</v>
      </c>
      <c r="O48" s="9">
        <f>'MKT DATA'!S1731</f>
        <v>0</v>
      </c>
      <c r="P48" s="9">
        <f>'MKT DATA'!T1731</f>
        <v>0</v>
      </c>
      <c r="Q48" s="44" t="str">
        <f t="shared" si="3"/>
        <v>syn BTCU6/BTCZ6/BTCF7/BTCG7</v>
      </c>
      <c r="R48" s="14">
        <f>'MKT DATA'!AB1731</f>
        <v>0</v>
      </c>
    </row>
    <row r="49" spans="5:18" x14ac:dyDescent="0.25">
      <c r="E49" s="44" t="str">
        <f>'MKT DATA'!B1732</f>
        <v>syn BTCU6/BTCF7/BTCV6/BTCG7</v>
      </c>
      <c r="F49" s="14">
        <f>'MKT DATA'!J1732</f>
        <v>0</v>
      </c>
      <c r="G49" s="9">
        <f>'MKT DATA'!K1732</f>
        <v>0</v>
      </c>
      <c r="H49" s="9">
        <f>'MKT DATA'!L1732</f>
        <v>0</v>
      </c>
      <c r="I49" s="14">
        <f>'MKT DATA'!M1732</f>
        <v>0</v>
      </c>
      <c r="J49" s="44" t="str">
        <f t="shared" si="2"/>
        <v>syn BTCU6/BTCF7/BTCV6/BTCG7</v>
      </c>
      <c r="K49" s="9">
        <f>'MKT DATA'!O1732</f>
        <v>0</v>
      </c>
      <c r="L49" s="9">
        <f>'MKT DATA'!P1732</f>
        <v>0</v>
      </c>
      <c r="M49" s="9">
        <f>'MKT DATA'!Q1732</f>
        <v>0</v>
      </c>
      <c r="N49" s="9">
        <f>'MKT DATA'!R1732</f>
        <v>0</v>
      </c>
      <c r="O49" s="9">
        <f>'MKT DATA'!S1732</f>
        <v>0</v>
      </c>
      <c r="P49" s="9">
        <f>'MKT DATA'!T1732</f>
        <v>0</v>
      </c>
      <c r="Q49" s="44" t="str">
        <f t="shared" si="3"/>
        <v>syn BTCU6/BTCF7/BTCV6/BTCG7</v>
      </c>
      <c r="R49" s="14">
        <f>'MKT DATA'!AB1732</f>
        <v>0</v>
      </c>
    </row>
    <row r="50" spans="5:18" x14ac:dyDescent="0.25">
      <c r="E50" s="44" t="str">
        <f>'MKT DATA'!B1733</f>
        <v>syn BTCU6/BTCF7/BTCX6/BTCG7</v>
      </c>
      <c r="F50" s="14">
        <f>'MKT DATA'!J1733</f>
        <v>0</v>
      </c>
      <c r="G50" s="9">
        <f>'MKT DATA'!K1733</f>
        <v>0</v>
      </c>
      <c r="H50" s="9">
        <f>'MKT DATA'!L1733</f>
        <v>0</v>
      </c>
      <c r="I50" s="14">
        <f>'MKT DATA'!M1733</f>
        <v>0</v>
      </c>
      <c r="J50" s="44" t="str">
        <f t="shared" si="2"/>
        <v>syn BTCU6/BTCF7/BTCX6/BTCG7</v>
      </c>
      <c r="K50" s="9">
        <f>'MKT DATA'!O1733</f>
        <v>0</v>
      </c>
      <c r="L50" s="9">
        <f>'MKT DATA'!P1733</f>
        <v>0</v>
      </c>
      <c r="M50" s="9">
        <f>'MKT DATA'!Q1733</f>
        <v>0</v>
      </c>
      <c r="N50" s="9">
        <f>'MKT DATA'!R1733</f>
        <v>0</v>
      </c>
      <c r="O50" s="9">
        <f>'MKT DATA'!S1733</f>
        <v>0</v>
      </c>
      <c r="P50" s="9">
        <f>'MKT DATA'!T1733</f>
        <v>0</v>
      </c>
      <c r="Q50" s="44" t="str">
        <f t="shared" si="3"/>
        <v>syn BTCU6/BTCF7/BTCX6/BTCG7</v>
      </c>
      <c r="R50" s="14">
        <f>'MKT DATA'!AB1733</f>
        <v>0</v>
      </c>
    </row>
    <row r="51" spans="5:18" x14ac:dyDescent="0.25">
      <c r="E51" s="44" t="str">
        <f>'MKT DATA'!B1734</f>
        <v>syn BTCU6/BTCF7/BTCZ6/BTCG7</v>
      </c>
      <c r="F51" s="14">
        <f>'MKT DATA'!J1734</f>
        <v>0</v>
      </c>
      <c r="G51" s="9">
        <f>'MKT DATA'!K1734</f>
        <v>0</v>
      </c>
      <c r="H51" s="9">
        <f>'MKT DATA'!L1734</f>
        <v>0</v>
      </c>
      <c r="I51" s="14">
        <f>'MKT DATA'!M1734</f>
        <v>0</v>
      </c>
      <c r="J51" s="44" t="str">
        <f t="shared" si="2"/>
        <v>syn BTCU6/BTCF7/BTCZ6/BTCG7</v>
      </c>
      <c r="K51" s="9">
        <f>'MKT DATA'!O1734</f>
        <v>0</v>
      </c>
      <c r="L51" s="9">
        <f>'MKT DATA'!P1734</f>
        <v>0</v>
      </c>
      <c r="M51" s="9">
        <f>'MKT DATA'!Q1734</f>
        <v>0</v>
      </c>
      <c r="N51" s="9">
        <f>'MKT DATA'!R1734</f>
        <v>0</v>
      </c>
      <c r="O51" s="9">
        <f>'MKT DATA'!S1734</f>
        <v>0</v>
      </c>
      <c r="P51" s="9">
        <f>'MKT DATA'!T1734</f>
        <v>0</v>
      </c>
      <c r="Q51" s="44" t="str">
        <f t="shared" si="3"/>
        <v>syn BTCU6/BTCF7/BTCZ6/BTCG7</v>
      </c>
      <c r="R51" s="14">
        <f>'MKT DATA'!AB1734</f>
        <v>0</v>
      </c>
    </row>
    <row r="52" spans="5:18" x14ac:dyDescent="0.25">
      <c r="E52" s="44" t="str">
        <f>'MKT DATA'!B1735</f>
        <v>syn BTCV6/BTCU6/BTCX6/BTCG7</v>
      </c>
      <c r="F52" s="14">
        <f>'MKT DATA'!J1735</f>
        <v>0</v>
      </c>
      <c r="G52" s="9">
        <f>'MKT DATA'!K1735</f>
        <v>0</v>
      </c>
      <c r="H52" s="9">
        <f>'MKT DATA'!L1735</f>
        <v>0</v>
      </c>
      <c r="I52" s="14">
        <f>'MKT DATA'!M1735</f>
        <v>0</v>
      </c>
      <c r="J52" s="44" t="str">
        <f t="shared" si="2"/>
        <v>syn BTCV6/BTCU6/BTCX6/BTCG7</v>
      </c>
      <c r="K52" s="9">
        <f>'MKT DATA'!O1735</f>
        <v>0</v>
      </c>
      <c r="L52" s="9">
        <f>'MKT DATA'!P1735</f>
        <v>0</v>
      </c>
      <c r="M52" s="9">
        <f>'MKT DATA'!Q1735</f>
        <v>0</v>
      </c>
      <c r="N52" s="9">
        <f>'MKT DATA'!R1735</f>
        <v>0</v>
      </c>
      <c r="O52" s="9">
        <f>'MKT DATA'!S1735</f>
        <v>0</v>
      </c>
      <c r="P52" s="9">
        <f>'MKT DATA'!T1735</f>
        <v>0</v>
      </c>
      <c r="Q52" s="44" t="str">
        <f t="shared" si="3"/>
        <v>syn BTCV6/BTCU6/BTCX6/BTCG7</v>
      </c>
      <c r="R52" s="14">
        <f>'MKT DATA'!AB1735</f>
        <v>0</v>
      </c>
    </row>
    <row r="53" spans="5:18" x14ac:dyDescent="0.25">
      <c r="E53" s="44" t="str">
        <f>'MKT DATA'!B1736</f>
        <v>syn BTCV6/BTCU6/BTCZ6/BTCG7</v>
      </c>
      <c r="F53" s="14">
        <f>'MKT DATA'!J1736</f>
        <v>0</v>
      </c>
      <c r="G53" s="9">
        <f>'MKT DATA'!K1736</f>
        <v>0</v>
      </c>
      <c r="H53" s="9">
        <f>'MKT DATA'!L1736</f>
        <v>0</v>
      </c>
      <c r="I53" s="14">
        <f>'MKT DATA'!M1736</f>
        <v>0</v>
      </c>
      <c r="J53" s="44" t="str">
        <f t="shared" si="2"/>
        <v>syn BTCV6/BTCU6/BTCZ6/BTCG7</v>
      </c>
      <c r="K53" s="9">
        <f>'MKT DATA'!O1736</f>
        <v>0</v>
      </c>
      <c r="L53" s="9">
        <f>'MKT DATA'!P1736</f>
        <v>0</v>
      </c>
      <c r="M53" s="9">
        <f>'MKT DATA'!Q1736</f>
        <v>0</v>
      </c>
      <c r="N53" s="9">
        <f>'MKT DATA'!R1736</f>
        <v>0</v>
      </c>
      <c r="O53" s="9">
        <f>'MKT DATA'!S1736</f>
        <v>0</v>
      </c>
      <c r="P53" s="9">
        <f>'MKT DATA'!T1736</f>
        <v>0</v>
      </c>
      <c r="Q53" s="44" t="str">
        <f t="shared" si="3"/>
        <v>syn BTCV6/BTCU6/BTCZ6/BTCG7</v>
      </c>
      <c r="R53" s="14">
        <f>'MKT DATA'!AB1736</f>
        <v>0</v>
      </c>
    </row>
    <row r="54" spans="5:18" x14ac:dyDescent="0.25">
      <c r="E54" s="44" t="str">
        <f>'MKT DATA'!B1737</f>
        <v>syn BTCV6/BTCU6/BTCF7/BTCG7</v>
      </c>
      <c r="F54" s="14">
        <f>'MKT DATA'!J1737</f>
        <v>0</v>
      </c>
      <c r="G54" s="9">
        <f>'MKT DATA'!K1737</f>
        <v>0</v>
      </c>
      <c r="H54" s="9">
        <f>'MKT DATA'!L1737</f>
        <v>0</v>
      </c>
      <c r="I54" s="14">
        <f>'MKT DATA'!M1737</f>
        <v>0</v>
      </c>
      <c r="J54" s="44" t="str">
        <f t="shared" si="2"/>
        <v>syn BTCV6/BTCU6/BTCF7/BTCG7</v>
      </c>
      <c r="K54" s="9">
        <f>'MKT DATA'!O1737</f>
        <v>0</v>
      </c>
      <c r="L54" s="9">
        <f>'MKT DATA'!P1737</f>
        <v>0</v>
      </c>
      <c r="M54" s="9">
        <f>'MKT DATA'!Q1737</f>
        <v>0</v>
      </c>
      <c r="N54" s="9">
        <f>'MKT DATA'!R1737</f>
        <v>0</v>
      </c>
      <c r="O54" s="9">
        <f>'MKT DATA'!S1737</f>
        <v>0</v>
      </c>
      <c r="P54" s="9">
        <f>'MKT DATA'!T1737</f>
        <v>0</v>
      </c>
      <c r="Q54" s="44" t="str">
        <f t="shared" si="3"/>
        <v>syn BTCV6/BTCU6/BTCF7/BTCG7</v>
      </c>
      <c r="R54" s="14">
        <f>'MKT DATA'!AB1737</f>
        <v>0</v>
      </c>
    </row>
    <row r="55" spans="5:18" x14ac:dyDescent="0.25">
      <c r="E55" s="44" t="str">
        <f>'MKT DATA'!B1738</f>
        <v>syn BTCV6/BTCX6/BTCU6/BTCG7</v>
      </c>
      <c r="F55" s="14">
        <f>'MKT DATA'!J1738</f>
        <v>0</v>
      </c>
      <c r="G55" s="9">
        <f>'MKT DATA'!K1738</f>
        <v>0</v>
      </c>
      <c r="H55" s="9">
        <f>'MKT DATA'!L1738</f>
        <v>0</v>
      </c>
      <c r="I55" s="14">
        <f>'MKT DATA'!M1738</f>
        <v>0</v>
      </c>
      <c r="J55" s="44" t="str">
        <f t="shared" si="2"/>
        <v>syn BTCV6/BTCX6/BTCU6/BTCG7</v>
      </c>
      <c r="K55" s="9">
        <f>'MKT DATA'!O1738</f>
        <v>0</v>
      </c>
      <c r="L55" s="9">
        <f>'MKT DATA'!P1738</f>
        <v>0</v>
      </c>
      <c r="M55" s="9">
        <f>'MKT DATA'!Q1738</f>
        <v>0</v>
      </c>
      <c r="N55" s="9">
        <f>'MKT DATA'!R1738</f>
        <v>0</v>
      </c>
      <c r="O55" s="9">
        <f>'MKT DATA'!S1738</f>
        <v>0</v>
      </c>
      <c r="P55" s="9">
        <f>'MKT DATA'!T1738</f>
        <v>0</v>
      </c>
      <c r="Q55" s="44" t="str">
        <f t="shared" si="3"/>
        <v>syn BTCV6/BTCX6/BTCU6/BTCG7</v>
      </c>
      <c r="R55" s="14">
        <f>'MKT DATA'!AB1738</f>
        <v>0</v>
      </c>
    </row>
    <row r="56" spans="5:18" x14ac:dyDescent="0.25">
      <c r="E56" s="44" t="str">
        <f>'MKT DATA'!B1739</f>
        <v>syn BTCV6/BTCX6/BTCZ6/BTCG7</v>
      </c>
      <c r="F56" s="14">
        <f>'MKT DATA'!J1739</f>
        <v>0</v>
      </c>
      <c r="G56" s="9">
        <f>'MKT DATA'!K1739</f>
        <v>0</v>
      </c>
      <c r="H56" s="9">
        <f>'MKT DATA'!L1739</f>
        <v>0</v>
      </c>
      <c r="I56" s="14">
        <f>'MKT DATA'!M1739</f>
        <v>0</v>
      </c>
      <c r="J56" s="44" t="str">
        <f t="shared" si="2"/>
        <v>syn BTCV6/BTCX6/BTCZ6/BTCG7</v>
      </c>
      <c r="K56" s="9">
        <f>'MKT DATA'!O1739</f>
        <v>0</v>
      </c>
      <c r="L56" s="9">
        <f>'MKT DATA'!P1739</f>
        <v>0</v>
      </c>
      <c r="M56" s="9">
        <f>'MKT DATA'!Q1739</f>
        <v>0</v>
      </c>
      <c r="N56" s="9">
        <f>'MKT DATA'!R1739</f>
        <v>0</v>
      </c>
      <c r="O56" s="9">
        <f>'MKT DATA'!S1739</f>
        <v>0</v>
      </c>
      <c r="P56" s="9">
        <f>'MKT DATA'!T1739</f>
        <v>0</v>
      </c>
      <c r="Q56" s="44" t="str">
        <f t="shared" si="3"/>
        <v>syn BTCV6/BTCX6/BTCZ6/BTCG7</v>
      </c>
      <c r="R56" s="14">
        <f>'MKT DATA'!AB1739</f>
        <v>0</v>
      </c>
    </row>
    <row r="57" spans="5:18" x14ac:dyDescent="0.25">
      <c r="E57" s="44" t="str">
        <f>'MKT DATA'!B1740</f>
        <v>syn BTCV6/BTCX6/BTCF7/BTCG7</v>
      </c>
      <c r="F57" s="14">
        <f>'MKT DATA'!J1740</f>
        <v>0</v>
      </c>
      <c r="G57" s="9">
        <f>'MKT DATA'!K1740</f>
        <v>0</v>
      </c>
      <c r="H57" s="9">
        <f>'MKT DATA'!L1740</f>
        <v>0</v>
      </c>
      <c r="I57" s="14">
        <f>'MKT DATA'!M1740</f>
        <v>0</v>
      </c>
      <c r="J57" s="44" t="str">
        <f t="shared" si="2"/>
        <v>syn BTCV6/BTCX6/BTCF7/BTCG7</v>
      </c>
      <c r="K57" s="9">
        <f>'MKT DATA'!O1740</f>
        <v>0</v>
      </c>
      <c r="L57" s="9">
        <f>'MKT DATA'!P1740</f>
        <v>0</v>
      </c>
      <c r="M57" s="9">
        <f>'MKT DATA'!Q1740</f>
        <v>0</v>
      </c>
      <c r="N57" s="9">
        <f>'MKT DATA'!R1740</f>
        <v>0</v>
      </c>
      <c r="O57" s="9">
        <f>'MKT DATA'!S1740</f>
        <v>0</v>
      </c>
      <c r="P57" s="9">
        <f>'MKT DATA'!T1740</f>
        <v>0</v>
      </c>
      <c r="Q57" s="44" t="str">
        <f t="shared" si="3"/>
        <v>syn BTCV6/BTCX6/BTCF7/BTCG7</v>
      </c>
      <c r="R57" s="14">
        <f>'MKT DATA'!AB1740</f>
        <v>0</v>
      </c>
    </row>
    <row r="58" spans="5:18" x14ac:dyDescent="0.25">
      <c r="E58" s="44" t="str">
        <f>'MKT DATA'!B1741</f>
        <v>syn BTCV6/BTCZ6/BTCU6/BTCG7</v>
      </c>
      <c r="F58" s="14">
        <f>'MKT DATA'!J1741</f>
        <v>0</v>
      </c>
      <c r="G58" s="9">
        <f>'MKT DATA'!K1741</f>
        <v>0</v>
      </c>
      <c r="H58" s="9">
        <f>'MKT DATA'!L1741</f>
        <v>0</v>
      </c>
      <c r="I58" s="14">
        <f>'MKT DATA'!M1741</f>
        <v>0</v>
      </c>
      <c r="J58" s="44" t="str">
        <f t="shared" si="2"/>
        <v>syn BTCV6/BTCZ6/BTCU6/BTCG7</v>
      </c>
      <c r="K58" s="9">
        <f>'MKT DATA'!O1741</f>
        <v>0</v>
      </c>
      <c r="L58" s="9">
        <f>'MKT DATA'!P1741</f>
        <v>0</v>
      </c>
      <c r="M58" s="9">
        <f>'MKT DATA'!Q1741</f>
        <v>0</v>
      </c>
      <c r="N58" s="9">
        <f>'MKT DATA'!R1741</f>
        <v>0</v>
      </c>
      <c r="O58" s="9">
        <f>'MKT DATA'!S1741</f>
        <v>0</v>
      </c>
      <c r="P58" s="9">
        <f>'MKT DATA'!T1741</f>
        <v>0</v>
      </c>
      <c r="Q58" s="44" t="str">
        <f t="shared" si="3"/>
        <v>syn BTCV6/BTCZ6/BTCU6/BTCG7</v>
      </c>
      <c r="R58" s="14">
        <f>'MKT DATA'!AB1741</f>
        <v>0</v>
      </c>
    </row>
    <row r="59" spans="5:18" x14ac:dyDescent="0.25">
      <c r="E59" s="44" t="str">
        <f>'MKT DATA'!B1742</f>
        <v>syn BTCV6/BTCZ6/BTCX6/BTCG7</v>
      </c>
      <c r="F59" s="14">
        <f>'MKT DATA'!J1742</f>
        <v>0</v>
      </c>
      <c r="G59" s="9">
        <f>'MKT DATA'!K1742</f>
        <v>0</v>
      </c>
      <c r="H59" s="9">
        <f>'MKT DATA'!L1742</f>
        <v>0</v>
      </c>
      <c r="I59" s="14">
        <f>'MKT DATA'!M1742</f>
        <v>0</v>
      </c>
      <c r="J59" s="44" t="str">
        <f t="shared" si="2"/>
        <v>syn BTCV6/BTCZ6/BTCX6/BTCG7</v>
      </c>
      <c r="K59" s="9">
        <f>'MKT DATA'!O1742</f>
        <v>0</v>
      </c>
      <c r="L59" s="9">
        <f>'MKT DATA'!P1742</f>
        <v>0</v>
      </c>
      <c r="M59" s="9">
        <f>'MKT DATA'!Q1742</f>
        <v>0</v>
      </c>
      <c r="N59" s="9">
        <f>'MKT DATA'!R1742</f>
        <v>0</v>
      </c>
      <c r="O59" s="9">
        <f>'MKT DATA'!S1742</f>
        <v>0</v>
      </c>
      <c r="P59" s="9">
        <f>'MKT DATA'!T1742</f>
        <v>0</v>
      </c>
      <c r="Q59" s="44" t="str">
        <f t="shared" si="3"/>
        <v>syn BTCV6/BTCZ6/BTCX6/BTCG7</v>
      </c>
      <c r="R59" s="14">
        <f>'MKT DATA'!AB1742</f>
        <v>0</v>
      </c>
    </row>
    <row r="60" spans="5:18" x14ac:dyDescent="0.25">
      <c r="E60" s="44" t="str">
        <f>'MKT DATA'!B1743</f>
        <v>syn BTCV6/BTCZ6/BTCF7/BTCG7</v>
      </c>
      <c r="F60" s="14">
        <f>'MKT DATA'!J1743</f>
        <v>0</v>
      </c>
      <c r="G60" s="9">
        <f>'MKT DATA'!K1743</f>
        <v>0</v>
      </c>
      <c r="H60" s="9">
        <f>'MKT DATA'!L1743</f>
        <v>0</v>
      </c>
      <c r="I60" s="14">
        <f>'MKT DATA'!M1743</f>
        <v>0</v>
      </c>
      <c r="J60" s="44" t="str">
        <f t="shared" si="2"/>
        <v>syn BTCV6/BTCZ6/BTCF7/BTCG7</v>
      </c>
      <c r="K60" s="9">
        <f>'MKT DATA'!O1743</f>
        <v>0</v>
      </c>
      <c r="L60" s="9">
        <f>'MKT DATA'!P1743</f>
        <v>0</v>
      </c>
      <c r="M60" s="9">
        <f>'MKT DATA'!Q1743</f>
        <v>0</v>
      </c>
      <c r="N60" s="9">
        <f>'MKT DATA'!R1743</f>
        <v>0</v>
      </c>
      <c r="O60" s="9">
        <f>'MKT DATA'!S1743</f>
        <v>0</v>
      </c>
      <c r="P60" s="9">
        <f>'MKT DATA'!T1743</f>
        <v>0</v>
      </c>
      <c r="Q60" s="44" t="str">
        <f t="shared" si="3"/>
        <v>syn BTCV6/BTCZ6/BTCF7/BTCG7</v>
      </c>
      <c r="R60" s="14">
        <f>'MKT DATA'!AB1743</f>
        <v>0</v>
      </c>
    </row>
    <row r="61" spans="5:18" x14ac:dyDescent="0.25">
      <c r="E61" s="44" t="str">
        <f>'MKT DATA'!B1744</f>
        <v>syn BTCV6/BTCF7/BTCU6/BTCG7</v>
      </c>
      <c r="F61" s="14">
        <f>'MKT DATA'!J1744</f>
        <v>0</v>
      </c>
      <c r="G61" s="9">
        <f>'MKT DATA'!K1744</f>
        <v>0</v>
      </c>
      <c r="H61" s="9">
        <f>'MKT DATA'!L1744</f>
        <v>0</v>
      </c>
      <c r="I61" s="14">
        <f>'MKT DATA'!M1744</f>
        <v>0</v>
      </c>
      <c r="J61" s="44" t="str">
        <f t="shared" si="2"/>
        <v>syn BTCV6/BTCF7/BTCU6/BTCG7</v>
      </c>
      <c r="K61" s="9">
        <f>'MKT DATA'!O1744</f>
        <v>0</v>
      </c>
      <c r="L61" s="9">
        <f>'MKT DATA'!P1744</f>
        <v>0</v>
      </c>
      <c r="M61" s="9">
        <f>'MKT DATA'!Q1744</f>
        <v>0</v>
      </c>
      <c r="N61" s="9">
        <f>'MKT DATA'!R1744</f>
        <v>0</v>
      </c>
      <c r="O61" s="9">
        <f>'MKT DATA'!S1744</f>
        <v>0</v>
      </c>
      <c r="P61" s="9">
        <f>'MKT DATA'!T1744</f>
        <v>0</v>
      </c>
      <c r="Q61" s="44" t="str">
        <f t="shared" si="3"/>
        <v>syn BTCV6/BTCF7/BTCU6/BTCG7</v>
      </c>
      <c r="R61" s="14">
        <f>'MKT DATA'!AB1744</f>
        <v>0</v>
      </c>
    </row>
    <row r="62" spans="5:18" x14ac:dyDescent="0.25">
      <c r="E62" s="44" t="str">
        <f>'MKT DATA'!B1745</f>
        <v>syn BTCV6/BTCF7/BTCX6/BTCG7</v>
      </c>
      <c r="F62" s="14">
        <f>'MKT DATA'!J1745</f>
        <v>0</v>
      </c>
      <c r="G62" s="9">
        <f>'MKT DATA'!K1745</f>
        <v>0</v>
      </c>
      <c r="H62" s="9">
        <f>'MKT DATA'!L1745</f>
        <v>0</v>
      </c>
      <c r="I62" s="14">
        <f>'MKT DATA'!M1745</f>
        <v>0</v>
      </c>
      <c r="J62" s="44" t="str">
        <f t="shared" si="2"/>
        <v>syn BTCV6/BTCF7/BTCX6/BTCG7</v>
      </c>
      <c r="K62" s="9">
        <f>'MKT DATA'!O1745</f>
        <v>0</v>
      </c>
      <c r="L62" s="9">
        <f>'MKT DATA'!P1745</f>
        <v>0</v>
      </c>
      <c r="M62" s="9">
        <f>'MKT DATA'!Q1745</f>
        <v>0</v>
      </c>
      <c r="N62" s="9">
        <f>'MKT DATA'!R1745</f>
        <v>0</v>
      </c>
      <c r="O62" s="9">
        <f>'MKT DATA'!S1745</f>
        <v>0</v>
      </c>
      <c r="P62" s="9">
        <f>'MKT DATA'!T1745</f>
        <v>0</v>
      </c>
      <c r="Q62" s="44" t="str">
        <f t="shared" si="3"/>
        <v>syn BTCV6/BTCF7/BTCX6/BTCG7</v>
      </c>
      <c r="R62" s="14">
        <f>'MKT DATA'!AB1745</f>
        <v>0</v>
      </c>
    </row>
    <row r="63" spans="5:18" x14ac:dyDescent="0.25">
      <c r="E63" s="44" t="str">
        <f>'MKT DATA'!B1746</f>
        <v>syn BTCV6/BTCF7/BTCZ6/BTCG7</v>
      </c>
      <c r="F63" s="14">
        <f>'MKT DATA'!J1746</f>
        <v>0</v>
      </c>
      <c r="G63" s="9">
        <f>'MKT DATA'!K1746</f>
        <v>0</v>
      </c>
      <c r="H63" s="9">
        <f>'MKT DATA'!L1746</f>
        <v>0</v>
      </c>
      <c r="I63" s="14">
        <f>'MKT DATA'!M1746</f>
        <v>0</v>
      </c>
      <c r="J63" s="44" t="str">
        <f t="shared" si="2"/>
        <v>syn BTCV6/BTCF7/BTCZ6/BTCG7</v>
      </c>
      <c r="K63" s="9">
        <f>'MKT DATA'!O1746</f>
        <v>0</v>
      </c>
      <c r="L63" s="9">
        <f>'MKT DATA'!P1746</f>
        <v>0</v>
      </c>
      <c r="M63" s="9">
        <f>'MKT DATA'!Q1746</f>
        <v>0</v>
      </c>
      <c r="N63" s="9">
        <f>'MKT DATA'!R1746</f>
        <v>0</v>
      </c>
      <c r="O63" s="9">
        <f>'MKT DATA'!S1746</f>
        <v>0</v>
      </c>
      <c r="P63" s="9">
        <f>'MKT DATA'!T1746</f>
        <v>0</v>
      </c>
      <c r="Q63" s="44" t="str">
        <f t="shared" si="3"/>
        <v>syn BTCV6/BTCF7/BTCZ6/BTCG7</v>
      </c>
      <c r="R63" s="14">
        <f>'MKT DATA'!AB1746</f>
        <v>0</v>
      </c>
    </row>
    <row r="64" spans="5:18" x14ac:dyDescent="0.25">
      <c r="E64" s="44" t="str">
        <f>'MKT DATA'!B1747</f>
        <v>syn BTCX6/BTCU6/BTCV6/BTCG7</v>
      </c>
      <c r="F64" s="14">
        <f>'MKT DATA'!J1747</f>
        <v>0</v>
      </c>
      <c r="G64" s="9">
        <f>'MKT DATA'!K1747</f>
        <v>0</v>
      </c>
      <c r="H64" s="9">
        <f>'MKT DATA'!L1747</f>
        <v>0</v>
      </c>
      <c r="I64" s="14">
        <f>'MKT DATA'!M1747</f>
        <v>0</v>
      </c>
      <c r="J64" s="44" t="str">
        <f t="shared" si="2"/>
        <v>syn BTCX6/BTCU6/BTCV6/BTCG7</v>
      </c>
      <c r="K64" s="9">
        <f>'MKT DATA'!O1747</f>
        <v>0</v>
      </c>
      <c r="L64" s="9">
        <f>'MKT DATA'!P1747</f>
        <v>0</v>
      </c>
      <c r="M64" s="9">
        <f>'MKT DATA'!Q1747</f>
        <v>0</v>
      </c>
      <c r="N64" s="9">
        <f>'MKT DATA'!R1747</f>
        <v>0</v>
      </c>
      <c r="O64" s="9">
        <f>'MKT DATA'!S1747</f>
        <v>0</v>
      </c>
      <c r="P64" s="9">
        <f>'MKT DATA'!T1747</f>
        <v>0</v>
      </c>
      <c r="Q64" s="44" t="str">
        <f t="shared" si="3"/>
        <v>syn BTCX6/BTCU6/BTCV6/BTCG7</v>
      </c>
      <c r="R64" s="14">
        <f>'MKT DATA'!AB1747</f>
        <v>0</v>
      </c>
    </row>
    <row r="65" spans="5:18" x14ac:dyDescent="0.25">
      <c r="E65" s="44" t="str">
        <f>'MKT DATA'!B1748</f>
        <v>syn BTCX6/BTCU6/BTCZ6/BTCG7</v>
      </c>
      <c r="F65" s="14">
        <f>'MKT DATA'!J1748</f>
        <v>0</v>
      </c>
      <c r="G65" s="9">
        <f>'MKT DATA'!K1748</f>
        <v>0</v>
      </c>
      <c r="H65" s="9">
        <f>'MKT DATA'!L1748</f>
        <v>0</v>
      </c>
      <c r="I65" s="14">
        <f>'MKT DATA'!M1748</f>
        <v>0</v>
      </c>
      <c r="J65" s="44" t="str">
        <f t="shared" si="2"/>
        <v>syn BTCX6/BTCU6/BTCZ6/BTCG7</v>
      </c>
      <c r="K65" s="9">
        <f>'MKT DATA'!O1748</f>
        <v>0</v>
      </c>
      <c r="L65" s="9">
        <f>'MKT DATA'!P1748</f>
        <v>0</v>
      </c>
      <c r="M65" s="9">
        <f>'MKT DATA'!Q1748</f>
        <v>0</v>
      </c>
      <c r="N65" s="9">
        <f>'MKT DATA'!R1748</f>
        <v>0</v>
      </c>
      <c r="O65" s="9">
        <f>'MKT DATA'!S1748</f>
        <v>0</v>
      </c>
      <c r="P65" s="9">
        <f>'MKT DATA'!T1748</f>
        <v>0</v>
      </c>
      <c r="Q65" s="44" t="str">
        <f t="shared" si="3"/>
        <v>syn BTCX6/BTCU6/BTCZ6/BTCG7</v>
      </c>
      <c r="R65" s="14">
        <f>'MKT DATA'!AB1748</f>
        <v>0</v>
      </c>
    </row>
    <row r="66" spans="5:18" x14ac:dyDescent="0.25">
      <c r="E66" s="44" t="str">
        <f>'MKT DATA'!B1749</f>
        <v>syn BTCX6/BTCU6/BTCF7/BTCG7</v>
      </c>
      <c r="F66" s="14">
        <f>'MKT DATA'!J1749</f>
        <v>0</v>
      </c>
      <c r="G66" s="9">
        <f>'MKT DATA'!K1749</f>
        <v>0</v>
      </c>
      <c r="H66" s="9">
        <f>'MKT DATA'!L1749</f>
        <v>0</v>
      </c>
      <c r="I66" s="14">
        <f>'MKT DATA'!M1749</f>
        <v>0</v>
      </c>
      <c r="J66" s="44" t="str">
        <f t="shared" si="2"/>
        <v>syn BTCX6/BTCU6/BTCF7/BTCG7</v>
      </c>
      <c r="K66" s="9">
        <f>'MKT DATA'!O1749</f>
        <v>0</v>
      </c>
      <c r="L66" s="9">
        <f>'MKT DATA'!P1749</f>
        <v>0</v>
      </c>
      <c r="M66" s="9">
        <f>'MKT DATA'!Q1749</f>
        <v>0</v>
      </c>
      <c r="N66" s="9">
        <f>'MKT DATA'!R1749</f>
        <v>0</v>
      </c>
      <c r="O66" s="9">
        <f>'MKT DATA'!S1749</f>
        <v>0</v>
      </c>
      <c r="P66" s="9">
        <f>'MKT DATA'!T1749</f>
        <v>0</v>
      </c>
      <c r="Q66" s="44" t="str">
        <f t="shared" si="3"/>
        <v>syn BTCX6/BTCU6/BTCF7/BTCG7</v>
      </c>
      <c r="R66" s="14">
        <f>'MKT DATA'!AB1749</f>
        <v>0</v>
      </c>
    </row>
    <row r="67" spans="5:18" x14ac:dyDescent="0.25">
      <c r="E67" s="44" t="str">
        <f>'MKT DATA'!B1750</f>
        <v>syn BTCX6/BTCV6/BTCU6/BTCG7</v>
      </c>
      <c r="F67" s="14">
        <f>'MKT DATA'!J1750</f>
        <v>0</v>
      </c>
      <c r="G67" s="9">
        <f>'MKT DATA'!K1750</f>
        <v>0</v>
      </c>
      <c r="H67" s="9">
        <f>'MKT DATA'!L1750</f>
        <v>0</v>
      </c>
      <c r="I67" s="14">
        <f>'MKT DATA'!M1750</f>
        <v>0</v>
      </c>
      <c r="J67" s="44" t="str">
        <f t="shared" si="2"/>
        <v>syn BTCX6/BTCV6/BTCU6/BTCG7</v>
      </c>
      <c r="K67" s="9">
        <f>'MKT DATA'!O1750</f>
        <v>0</v>
      </c>
      <c r="L67" s="9">
        <f>'MKT DATA'!P1750</f>
        <v>0</v>
      </c>
      <c r="M67" s="9">
        <f>'MKT DATA'!Q1750</f>
        <v>0</v>
      </c>
      <c r="N67" s="9">
        <f>'MKT DATA'!R1750</f>
        <v>0</v>
      </c>
      <c r="O67" s="9">
        <f>'MKT DATA'!S1750</f>
        <v>0</v>
      </c>
      <c r="P67" s="9">
        <f>'MKT DATA'!T1750</f>
        <v>0</v>
      </c>
      <c r="Q67" s="44" t="str">
        <f t="shared" si="3"/>
        <v>syn BTCX6/BTCV6/BTCU6/BTCG7</v>
      </c>
      <c r="R67" s="14">
        <f>'MKT DATA'!AB1750</f>
        <v>0</v>
      </c>
    </row>
    <row r="68" spans="5:18" x14ac:dyDescent="0.25">
      <c r="E68" s="44" t="str">
        <f>'MKT DATA'!B1751</f>
        <v>syn BTCX6/BTCV6/BTCZ6/BTCG7</v>
      </c>
      <c r="F68" s="14">
        <f>'MKT DATA'!J1751</f>
        <v>0</v>
      </c>
      <c r="G68" s="9">
        <f>'MKT DATA'!K1751</f>
        <v>0</v>
      </c>
      <c r="H68" s="9">
        <f>'MKT DATA'!L1751</f>
        <v>0</v>
      </c>
      <c r="I68" s="14">
        <f>'MKT DATA'!M1751</f>
        <v>0</v>
      </c>
      <c r="J68" s="44" t="str">
        <f t="shared" si="2"/>
        <v>syn BTCX6/BTCV6/BTCZ6/BTCG7</v>
      </c>
      <c r="K68" s="9">
        <f>'MKT DATA'!O1751</f>
        <v>0</v>
      </c>
      <c r="L68" s="9">
        <f>'MKT DATA'!P1751</f>
        <v>0</v>
      </c>
      <c r="M68" s="9">
        <f>'MKT DATA'!Q1751</f>
        <v>0</v>
      </c>
      <c r="N68" s="9">
        <f>'MKT DATA'!R1751</f>
        <v>0</v>
      </c>
      <c r="O68" s="9">
        <f>'MKT DATA'!S1751</f>
        <v>0</v>
      </c>
      <c r="P68" s="9">
        <f>'MKT DATA'!T1751</f>
        <v>0</v>
      </c>
      <c r="Q68" s="44" t="str">
        <f t="shared" si="3"/>
        <v>syn BTCX6/BTCV6/BTCZ6/BTCG7</v>
      </c>
      <c r="R68" s="14">
        <f>'MKT DATA'!AB1751</f>
        <v>0</v>
      </c>
    </row>
    <row r="69" spans="5:18" x14ac:dyDescent="0.25">
      <c r="E69" s="44" t="str">
        <f>'MKT DATA'!B1752</f>
        <v>syn BTCX6/BTCV6/BTCF7/BTCG7</v>
      </c>
      <c r="F69" s="14">
        <f>'MKT DATA'!J1752</f>
        <v>0</v>
      </c>
      <c r="G69" s="9">
        <f>'MKT DATA'!K1752</f>
        <v>0</v>
      </c>
      <c r="H69" s="9">
        <f>'MKT DATA'!L1752</f>
        <v>0</v>
      </c>
      <c r="I69" s="14">
        <f>'MKT DATA'!M1752</f>
        <v>0</v>
      </c>
      <c r="J69" s="44" t="str">
        <f t="shared" si="2"/>
        <v>syn BTCX6/BTCV6/BTCF7/BTCG7</v>
      </c>
      <c r="K69" s="9">
        <f>'MKT DATA'!O1752</f>
        <v>0</v>
      </c>
      <c r="L69" s="9">
        <f>'MKT DATA'!P1752</f>
        <v>0</v>
      </c>
      <c r="M69" s="9">
        <f>'MKT DATA'!Q1752</f>
        <v>0</v>
      </c>
      <c r="N69" s="9">
        <f>'MKT DATA'!R1752</f>
        <v>0</v>
      </c>
      <c r="O69" s="9">
        <f>'MKT DATA'!S1752</f>
        <v>0</v>
      </c>
      <c r="P69" s="9">
        <f>'MKT DATA'!T1752</f>
        <v>0</v>
      </c>
      <c r="Q69" s="44" t="str">
        <f t="shared" si="3"/>
        <v>syn BTCX6/BTCV6/BTCF7/BTCG7</v>
      </c>
      <c r="R69" s="14">
        <f>'MKT DATA'!AB1752</f>
        <v>0</v>
      </c>
    </row>
    <row r="70" spans="5:18" x14ac:dyDescent="0.25">
      <c r="E70" s="44" t="str">
        <f>'MKT DATA'!B1753</f>
        <v>syn BTCX6/BTCZ6/BTCU6/BTCG7</v>
      </c>
      <c r="F70" s="14">
        <f>'MKT DATA'!J1753</f>
        <v>0</v>
      </c>
      <c r="G70" s="9">
        <f>'MKT DATA'!K1753</f>
        <v>0</v>
      </c>
      <c r="H70" s="9">
        <f>'MKT DATA'!L1753</f>
        <v>0</v>
      </c>
      <c r="I70" s="14">
        <f>'MKT DATA'!M1753</f>
        <v>0</v>
      </c>
      <c r="J70" s="44" t="str">
        <f t="shared" si="2"/>
        <v>syn BTCX6/BTCZ6/BTCU6/BTCG7</v>
      </c>
      <c r="K70" s="9">
        <f>'MKT DATA'!O1753</f>
        <v>0</v>
      </c>
      <c r="L70" s="9">
        <f>'MKT DATA'!P1753</f>
        <v>0</v>
      </c>
      <c r="M70" s="9">
        <f>'MKT DATA'!Q1753</f>
        <v>0</v>
      </c>
      <c r="N70" s="9">
        <f>'MKT DATA'!R1753</f>
        <v>0</v>
      </c>
      <c r="O70" s="9">
        <f>'MKT DATA'!S1753</f>
        <v>0</v>
      </c>
      <c r="P70" s="9">
        <f>'MKT DATA'!T1753</f>
        <v>0</v>
      </c>
      <c r="Q70" s="44" t="str">
        <f t="shared" si="3"/>
        <v>syn BTCX6/BTCZ6/BTCU6/BTCG7</v>
      </c>
      <c r="R70" s="14">
        <f>'MKT DATA'!AB1753</f>
        <v>0</v>
      </c>
    </row>
    <row r="71" spans="5:18" x14ac:dyDescent="0.25">
      <c r="E71" s="44" t="str">
        <f>'MKT DATA'!B1754</f>
        <v>syn BTCX6/BTCZ6/BTCV6/BTCG7</v>
      </c>
      <c r="F71" s="14">
        <f>'MKT DATA'!J1754</f>
        <v>0</v>
      </c>
      <c r="G71" s="9">
        <f>'MKT DATA'!K1754</f>
        <v>0</v>
      </c>
      <c r="H71" s="9">
        <f>'MKT DATA'!L1754</f>
        <v>0</v>
      </c>
      <c r="I71" s="14">
        <f>'MKT DATA'!M1754</f>
        <v>0</v>
      </c>
      <c r="J71" s="44" t="str">
        <f t="shared" si="2"/>
        <v>syn BTCX6/BTCZ6/BTCV6/BTCG7</v>
      </c>
      <c r="K71" s="9">
        <f>'MKT DATA'!O1754</f>
        <v>0</v>
      </c>
      <c r="L71" s="9">
        <f>'MKT DATA'!P1754</f>
        <v>0</v>
      </c>
      <c r="M71" s="9">
        <f>'MKT DATA'!Q1754</f>
        <v>0</v>
      </c>
      <c r="N71" s="9">
        <f>'MKT DATA'!R1754</f>
        <v>0</v>
      </c>
      <c r="O71" s="9">
        <f>'MKT DATA'!S1754</f>
        <v>0</v>
      </c>
      <c r="P71" s="9">
        <f>'MKT DATA'!T1754</f>
        <v>0</v>
      </c>
      <c r="Q71" s="44" t="str">
        <f t="shared" si="3"/>
        <v>syn BTCX6/BTCZ6/BTCV6/BTCG7</v>
      </c>
      <c r="R71" s="14">
        <f>'MKT DATA'!AB1754</f>
        <v>0</v>
      </c>
    </row>
    <row r="72" spans="5:18" x14ac:dyDescent="0.25">
      <c r="E72" s="44" t="str">
        <f>'MKT DATA'!B1755</f>
        <v>syn BTCX6/BTCZ6/BTCF7/BTCG7</v>
      </c>
      <c r="F72" s="14">
        <f>'MKT DATA'!J1755</f>
        <v>0</v>
      </c>
      <c r="G72" s="9">
        <f>'MKT DATA'!K1755</f>
        <v>0</v>
      </c>
      <c r="H72" s="9">
        <f>'MKT DATA'!L1755</f>
        <v>0</v>
      </c>
      <c r="I72" s="14">
        <f>'MKT DATA'!M1755</f>
        <v>0</v>
      </c>
      <c r="J72" s="44" t="str">
        <f t="shared" si="2"/>
        <v>syn BTCX6/BTCZ6/BTCF7/BTCG7</v>
      </c>
      <c r="K72" s="9">
        <f>'MKT DATA'!O1755</f>
        <v>0</v>
      </c>
      <c r="L72" s="9">
        <f>'MKT DATA'!P1755</f>
        <v>0</v>
      </c>
      <c r="M72" s="9">
        <f>'MKT DATA'!Q1755</f>
        <v>0</v>
      </c>
      <c r="N72" s="9">
        <f>'MKT DATA'!R1755</f>
        <v>0</v>
      </c>
      <c r="O72" s="9">
        <f>'MKT DATA'!S1755</f>
        <v>0</v>
      </c>
      <c r="P72" s="9">
        <f>'MKT DATA'!T1755</f>
        <v>0</v>
      </c>
      <c r="Q72" s="44" t="str">
        <f t="shared" si="3"/>
        <v>syn BTCX6/BTCZ6/BTCF7/BTCG7</v>
      </c>
      <c r="R72" s="14">
        <f>'MKT DATA'!AB1755</f>
        <v>0</v>
      </c>
    </row>
    <row r="73" spans="5:18" x14ac:dyDescent="0.25">
      <c r="E73" s="44" t="str">
        <f>'MKT DATA'!B1756</f>
        <v>syn BTCX6/BTCF7/BTCU6/BTCG7</v>
      </c>
      <c r="F73" s="14">
        <f>'MKT DATA'!J1756</f>
        <v>0</v>
      </c>
      <c r="G73" s="9">
        <f>'MKT DATA'!K1756</f>
        <v>0</v>
      </c>
      <c r="H73" s="9">
        <f>'MKT DATA'!L1756</f>
        <v>0</v>
      </c>
      <c r="I73" s="14">
        <f>'MKT DATA'!M1756</f>
        <v>0</v>
      </c>
      <c r="J73" s="44" t="str">
        <f t="shared" si="2"/>
        <v>syn BTCX6/BTCF7/BTCU6/BTCG7</v>
      </c>
      <c r="K73" s="9">
        <f>'MKT DATA'!O1756</f>
        <v>0</v>
      </c>
      <c r="L73" s="9">
        <f>'MKT DATA'!P1756</f>
        <v>0</v>
      </c>
      <c r="M73" s="9">
        <f>'MKT DATA'!Q1756</f>
        <v>0</v>
      </c>
      <c r="N73" s="9">
        <f>'MKT DATA'!R1756</f>
        <v>0</v>
      </c>
      <c r="O73" s="9">
        <f>'MKT DATA'!S1756</f>
        <v>0</v>
      </c>
      <c r="P73" s="9">
        <f>'MKT DATA'!T1756</f>
        <v>0</v>
      </c>
      <c r="Q73" s="44" t="str">
        <f t="shared" si="3"/>
        <v>syn BTCX6/BTCF7/BTCU6/BTCG7</v>
      </c>
      <c r="R73" s="14">
        <f>'MKT DATA'!AB1756</f>
        <v>0</v>
      </c>
    </row>
    <row r="74" spans="5:18" x14ac:dyDescent="0.25">
      <c r="E74" s="44" t="str">
        <f>'MKT DATA'!B1757</f>
        <v>syn BTCX6/BTCF7/BTCV6/BTCG7</v>
      </c>
      <c r="F74" s="14">
        <f>'MKT DATA'!J1757</f>
        <v>0</v>
      </c>
      <c r="G74" s="9">
        <f>'MKT DATA'!K1757</f>
        <v>0</v>
      </c>
      <c r="H74" s="9">
        <f>'MKT DATA'!L1757</f>
        <v>0</v>
      </c>
      <c r="I74" s="14">
        <f>'MKT DATA'!M1757</f>
        <v>0</v>
      </c>
      <c r="J74" s="44" t="str">
        <f t="shared" ref="J74:J137" si="4">E74</f>
        <v>syn BTCX6/BTCF7/BTCV6/BTCG7</v>
      </c>
      <c r="K74" s="9">
        <f>'MKT DATA'!O1757</f>
        <v>0</v>
      </c>
      <c r="L74" s="9">
        <f>'MKT DATA'!P1757</f>
        <v>0</v>
      </c>
      <c r="M74" s="9">
        <f>'MKT DATA'!Q1757</f>
        <v>0</v>
      </c>
      <c r="N74" s="9">
        <f>'MKT DATA'!R1757</f>
        <v>0</v>
      </c>
      <c r="O74" s="9">
        <f>'MKT DATA'!S1757</f>
        <v>0</v>
      </c>
      <c r="P74" s="9">
        <f>'MKT DATA'!T1757</f>
        <v>0</v>
      </c>
      <c r="Q74" s="44" t="str">
        <f t="shared" ref="Q74:Q137" si="5">J74</f>
        <v>syn BTCX6/BTCF7/BTCV6/BTCG7</v>
      </c>
      <c r="R74" s="14">
        <f>'MKT DATA'!AB1757</f>
        <v>0</v>
      </c>
    </row>
    <row r="75" spans="5:18" x14ac:dyDescent="0.25">
      <c r="E75" s="44" t="str">
        <f>'MKT DATA'!B1758</f>
        <v>syn BTCX6/BTCF7/BTCZ6/BTCG7</v>
      </c>
      <c r="F75" s="14">
        <f>'MKT DATA'!J1758</f>
        <v>0</v>
      </c>
      <c r="G75" s="9">
        <f>'MKT DATA'!K1758</f>
        <v>0</v>
      </c>
      <c r="H75" s="9">
        <f>'MKT DATA'!L1758</f>
        <v>0</v>
      </c>
      <c r="I75" s="14">
        <f>'MKT DATA'!M1758</f>
        <v>0</v>
      </c>
      <c r="J75" s="44" t="str">
        <f t="shared" si="4"/>
        <v>syn BTCX6/BTCF7/BTCZ6/BTCG7</v>
      </c>
      <c r="K75" s="9">
        <f>'MKT DATA'!O1758</f>
        <v>0</v>
      </c>
      <c r="L75" s="9">
        <f>'MKT DATA'!P1758</f>
        <v>0</v>
      </c>
      <c r="M75" s="9">
        <f>'MKT DATA'!Q1758</f>
        <v>0</v>
      </c>
      <c r="N75" s="9">
        <f>'MKT DATA'!R1758</f>
        <v>0</v>
      </c>
      <c r="O75" s="9">
        <f>'MKT DATA'!S1758</f>
        <v>0</v>
      </c>
      <c r="P75" s="9">
        <f>'MKT DATA'!T1758</f>
        <v>0</v>
      </c>
      <c r="Q75" s="44" t="str">
        <f t="shared" si="5"/>
        <v>syn BTCX6/BTCF7/BTCZ6/BTCG7</v>
      </c>
      <c r="R75" s="14">
        <f>'MKT DATA'!AB1758</f>
        <v>0</v>
      </c>
    </row>
    <row r="76" spans="5:18" x14ac:dyDescent="0.25">
      <c r="E76" s="44" t="str">
        <f>'MKT DATA'!B1759</f>
        <v>syn BTCZ6/BTCU6/BTCV6/BTCG7</v>
      </c>
      <c r="F76" s="14">
        <f>'MKT DATA'!J1759</f>
        <v>0</v>
      </c>
      <c r="G76" s="9">
        <f>'MKT DATA'!K1759</f>
        <v>0</v>
      </c>
      <c r="H76" s="9">
        <f>'MKT DATA'!L1759</f>
        <v>0</v>
      </c>
      <c r="I76" s="14">
        <f>'MKT DATA'!M1759</f>
        <v>0</v>
      </c>
      <c r="J76" s="44" t="str">
        <f t="shared" si="4"/>
        <v>syn BTCZ6/BTCU6/BTCV6/BTCG7</v>
      </c>
      <c r="K76" s="9">
        <f>'MKT DATA'!O1759</f>
        <v>0</v>
      </c>
      <c r="L76" s="9">
        <f>'MKT DATA'!P1759</f>
        <v>0</v>
      </c>
      <c r="M76" s="9">
        <f>'MKT DATA'!Q1759</f>
        <v>0</v>
      </c>
      <c r="N76" s="9">
        <f>'MKT DATA'!R1759</f>
        <v>0</v>
      </c>
      <c r="O76" s="9">
        <f>'MKT DATA'!S1759</f>
        <v>0</v>
      </c>
      <c r="P76" s="9">
        <f>'MKT DATA'!T1759</f>
        <v>0</v>
      </c>
      <c r="Q76" s="44" t="str">
        <f t="shared" si="5"/>
        <v>syn BTCZ6/BTCU6/BTCV6/BTCG7</v>
      </c>
      <c r="R76" s="14">
        <f>'MKT DATA'!AB1759</f>
        <v>0</v>
      </c>
    </row>
    <row r="77" spans="5:18" x14ac:dyDescent="0.25">
      <c r="E77" s="44" t="str">
        <f>'MKT DATA'!B1760</f>
        <v>syn BTCZ6/BTCU6/BTCX6/BTCG7</v>
      </c>
      <c r="F77" s="14">
        <f>'MKT DATA'!J1760</f>
        <v>0</v>
      </c>
      <c r="G77" s="9">
        <f>'MKT DATA'!K1760</f>
        <v>0</v>
      </c>
      <c r="H77" s="9">
        <f>'MKT DATA'!L1760</f>
        <v>0</v>
      </c>
      <c r="I77" s="14">
        <f>'MKT DATA'!M1760</f>
        <v>0</v>
      </c>
      <c r="J77" s="44" t="str">
        <f t="shared" si="4"/>
        <v>syn BTCZ6/BTCU6/BTCX6/BTCG7</v>
      </c>
      <c r="K77" s="9">
        <f>'MKT DATA'!O1760</f>
        <v>0</v>
      </c>
      <c r="L77" s="9">
        <f>'MKT DATA'!P1760</f>
        <v>0</v>
      </c>
      <c r="M77" s="9">
        <f>'MKT DATA'!Q1760</f>
        <v>0</v>
      </c>
      <c r="N77" s="9">
        <f>'MKT DATA'!R1760</f>
        <v>0</v>
      </c>
      <c r="O77" s="9">
        <f>'MKT DATA'!S1760</f>
        <v>0</v>
      </c>
      <c r="P77" s="9">
        <f>'MKT DATA'!T1760</f>
        <v>0</v>
      </c>
      <c r="Q77" s="44" t="str">
        <f t="shared" si="5"/>
        <v>syn BTCZ6/BTCU6/BTCX6/BTCG7</v>
      </c>
      <c r="R77" s="14">
        <f>'MKT DATA'!AB1760</f>
        <v>0</v>
      </c>
    </row>
    <row r="78" spans="5:18" x14ac:dyDescent="0.25">
      <c r="E78" s="44" t="str">
        <f>'MKT DATA'!B1761</f>
        <v>syn BTCZ6/BTCU6/BTCF7/BTCG7</v>
      </c>
      <c r="F78" s="14">
        <f>'MKT DATA'!J1761</f>
        <v>0</v>
      </c>
      <c r="G78" s="9">
        <f>'MKT DATA'!K1761</f>
        <v>0</v>
      </c>
      <c r="H78" s="9">
        <f>'MKT DATA'!L1761</f>
        <v>0</v>
      </c>
      <c r="I78" s="14">
        <f>'MKT DATA'!M1761</f>
        <v>0</v>
      </c>
      <c r="J78" s="44" t="str">
        <f t="shared" si="4"/>
        <v>syn BTCZ6/BTCU6/BTCF7/BTCG7</v>
      </c>
      <c r="K78" s="9">
        <f>'MKT DATA'!O1761</f>
        <v>0</v>
      </c>
      <c r="L78" s="9">
        <f>'MKT DATA'!P1761</f>
        <v>0</v>
      </c>
      <c r="M78" s="9">
        <f>'MKT DATA'!Q1761</f>
        <v>0</v>
      </c>
      <c r="N78" s="9">
        <f>'MKT DATA'!R1761</f>
        <v>0</v>
      </c>
      <c r="O78" s="9">
        <f>'MKT DATA'!S1761</f>
        <v>0</v>
      </c>
      <c r="P78" s="9">
        <f>'MKT DATA'!T1761</f>
        <v>0</v>
      </c>
      <c r="Q78" s="44" t="str">
        <f t="shared" si="5"/>
        <v>syn BTCZ6/BTCU6/BTCF7/BTCG7</v>
      </c>
      <c r="R78" s="14">
        <f>'MKT DATA'!AB1761</f>
        <v>0</v>
      </c>
    </row>
    <row r="79" spans="5:18" x14ac:dyDescent="0.25">
      <c r="E79" s="44" t="str">
        <f>'MKT DATA'!B1762</f>
        <v>syn BTCZ6/BTCV6/BTCU6/BTCG7</v>
      </c>
      <c r="F79" s="14">
        <f>'MKT DATA'!J1762</f>
        <v>0</v>
      </c>
      <c r="G79" s="9">
        <f>'MKT DATA'!K1762</f>
        <v>0</v>
      </c>
      <c r="H79" s="9">
        <f>'MKT DATA'!L1762</f>
        <v>0</v>
      </c>
      <c r="I79" s="14">
        <f>'MKT DATA'!M1762</f>
        <v>0</v>
      </c>
      <c r="J79" s="44" t="str">
        <f t="shared" si="4"/>
        <v>syn BTCZ6/BTCV6/BTCU6/BTCG7</v>
      </c>
      <c r="K79" s="9">
        <f>'MKT DATA'!O1762</f>
        <v>0</v>
      </c>
      <c r="L79" s="9">
        <f>'MKT DATA'!P1762</f>
        <v>0</v>
      </c>
      <c r="M79" s="9">
        <f>'MKT DATA'!Q1762</f>
        <v>0</v>
      </c>
      <c r="N79" s="9">
        <f>'MKT DATA'!R1762</f>
        <v>0</v>
      </c>
      <c r="O79" s="9">
        <f>'MKT DATA'!S1762</f>
        <v>0</v>
      </c>
      <c r="P79" s="9">
        <f>'MKT DATA'!T1762</f>
        <v>0</v>
      </c>
      <c r="Q79" s="44" t="str">
        <f t="shared" si="5"/>
        <v>syn BTCZ6/BTCV6/BTCU6/BTCG7</v>
      </c>
      <c r="R79" s="14">
        <f>'MKT DATA'!AB1762</f>
        <v>0</v>
      </c>
    </row>
    <row r="80" spans="5:18" x14ac:dyDescent="0.25">
      <c r="E80" s="44" t="str">
        <f>'MKT DATA'!B1763</f>
        <v>syn BTCZ6/BTCV6/BTCX6/BTCG7</v>
      </c>
      <c r="F80" s="14">
        <f>'MKT DATA'!J1763</f>
        <v>0</v>
      </c>
      <c r="G80" s="9">
        <f>'MKT DATA'!K1763</f>
        <v>0</v>
      </c>
      <c r="H80" s="9">
        <f>'MKT DATA'!L1763</f>
        <v>0</v>
      </c>
      <c r="I80" s="14">
        <f>'MKT DATA'!M1763</f>
        <v>0</v>
      </c>
      <c r="J80" s="44" t="str">
        <f t="shared" si="4"/>
        <v>syn BTCZ6/BTCV6/BTCX6/BTCG7</v>
      </c>
      <c r="K80" s="9">
        <f>'MKT DATA'!O1763</f>
        <v>0</v>
      </c>
      <c r="L80" s="9">
        <f>'MKT DATA'!P1763</f>
        <v>0</v>
      </c>
      <c r="M80" s="9">
        <f>'MKT DATA'!Q1763</f>
        <v>0</v>
      </c>
      <c r="N80" s="9">
        <f>'MKT DATA'!R1763</f>
        <v>0</v>
      </c>
      <c r="O80" s="9">
        <f>'MKT DATA'!S1763</f>
        <v>0</v>
      </c>
      <c r="P80" s="9">
        <f>'MKT DATA'!T1763</f>
        <v>0</v>
      </c>
      <c r="Q80" s="44" t="str">
        <f t="shared" si="5"/>
        <v>syn BTCZ6/BTCV6/BTCX6/BTCG7</v>
      </c>
      <c r="R80" s="14">
        <f>'MKT DATA'!AB1763</f>
        <v>0</v>
      </c>
    </row>
    <row r="81" spans="5:18" x14ac:dyDescent="0.25">
      <c r="E81" s="44" t="str">
        <f>'MKT DATA'!B1764</f>
        <v>syn BTCZ6/BTCV6/BTCF7/BTCG7</v>
      </c>
      <c r="F81" s="14">
        <f>'MKT DATA'!J1764</f>
        <v>0</v>
      </c>
      <c r="G81" s="9">
        <f>'MKT DATA'!K1764</f>
        <v>0</v>
      </c>
      <c r="H81" s="9">
        <f>'MKT DATA'!L1764</f>
        <v>0</v>
      </c>
      <c r="I81" s="14">
        <f>'MKT DATA'!M1764</f>
        <v>0</v>
      </c>
      <c r="J81" s="44" t="str">
        <f t="shared" si="4"/>
        <v>syn BTCZ6/BTCV6/BTCF7/BTCG7</v>
      </c>
      <c r="K81" s="9">
        <f>'MKT DATA'!O1764</f>
        <v>0</v>
      </c>
      <c r="L81" s="9">
        <f>'MKT DATA'!P1764</f>
        <v>0</v>
      </c>
      <c r="M81" s="9">
        <f>'MKT DATA'!Q1764</f>
        <v>0</v>
      </c>
      <c r="N81" s="9">
        <f>'MKT DATA'!R1764</f>
        <v>0</v>
      </c>
      <c r="O81" s="9">
        <f>'MKT DATA'!S1764</f>
        <v>0</v>
      </c>
      <c r="P81" s="9">
        <f>'MKT DATA'!T1764</f>
        <v>0</v>
      </c>
      <c r="Q81" s="44" t="str">
        <f t="shared" si="5"/>
        <v>syn BTCZ6/BTCV6/BTCF7/BTCG7</v>
      </c>
      <c r="R81" s="14">
        <f>'MKT DATA'!AB1764</f>
        <v>0</v>
      </c>
    </row>
    <row r="82" spans="5:18" x14ac:dyDescent="0.25">
      <c r="E82" s="44" t="str">
        <f>'MKT DATA'!B1765</f>
        <v>syn BTCZ6/BTCX6/BTCU6/BTCG7</v>
      </c>
      <c r="F82" s="14">
        <f>'MKT DATA'!J1765</f>
        <v>0</v>
      </c>
      <c r="G82" s="9">
        <f>'MKT DATA'!K1765</f>
        <v>0</v>
      </c>
      <c r="H82" s="9">
        <f>'MKT DATA'!L1765</f>
        <v>0</v>
      </c>
      <c r="I82" s="14">
        <f>'MKT DATA'!M1765</f>
        <v>0</v>
      </c>
      <c r="J82" s="44" t="str">
        <f t="shared" si="4"/>
        <v>syn BTCZ6/BTCX6/BTCU6/BTCG7</v>
      </c>
      <c r="K82" s="9">
        <f>'MKT DATA'!O1765</f>
        <v>0</v>
      </c>
      <c r="L82" s="9">
        <f>'MKT DATA'!P1765</f>
        <v>0</v>
      </c>
      <c r="M82" s="9">
        <f>'MKT DATA'!Q1765</f>
        <v>0</v>
      </c>
      <c r="N82" s="9">
        <f>'MKT DATA'!R1765</f>
        <v>0</v>
      </c>
      <c r="O82" s="9">
        <f>'MKT DATA'!S1765</f>
        <v>0</v>
      </c>
      <c r="P82" s="9">
        <f>'MKT DATA'!T1765</f>
        <v>0</v>
      </c>
      <c r="Q82" s="44" t="str">
        <f t="shared" si="5"/>
        <v>syn BTCZ6/BTCX6/BTCU6/BTCG7</v>
      </c>
      <c r="R82" s="14">
        <f>'MKT DATA'!AB1765</f>
        <v>0</v>
      </c>
    </row>
    <row r="83" spans="5:18" x14ac:dyDescent="0.25">
      <c r="E83" s="44" t="str">
        <f>'MKT DATA'!B1766</f>
        <v>syn BTCZ6/BTCX6/BTCV6/BTCG7</v>
      </c>
      <c r="F83" s="14">
        <f>'MKT DATA'!J1766</f>
        <v>0</v>
      </c>
      <c r="G83" s="9">
        <f>'MKT DATA'!K1766</f>
        <v>0</v>
      </c>
      <c r="H83" s="9">
        <f>'MKT DATA'!L1766</f>
        <v>0</v>
      </c>
      <c r="I83" s="14">
        <f>'MKT DATA'!M1766</f>
        <v>0</v>
      </c>
      <c r="J83" s="44" t="str">
        <f t="shared" si="4"/>
        <v>syn BTCZ6/BTCX6/BTCV6/BTCG7</v>
      </c>
      <c r="K83" s="9">
        <f>'MKT DATA'!O1766</f>
        <v>0</v>
      </c>
      <c r="L83" s="9">
        <f>'MKT DATA'!P1766</f>
        <v>0</v>
      </c>
      <c r="M83" s="9">
        <f>'MKT DATA'!Q1766</f>
        <v>0</v>
      </c>
      <c r="N83" s="9">
        <f>'MKT DATA'!R1766</f>
        <v>0</v>
      </c>
      <c r="O83" s="9">
        <f>'MKT DATA'!S1766</f>
        <v>0</v>
      </c>
      <c r="P83" s="9">
        <f>'MKT DATA'!T1766</f>
        <v>0</v>
      </c>
      <c r="Q83" s="44" t="str">
        <f t="shared" si="5"/>
        <v>syn BTCZ6/BTCX6/BTCV6/BTCG7</v>
      </c>
      <c r="R83" s="14">
        <f>'MKT DATA'!AB1766</f>
        <v>0</v>
      </c>
    </row>
    <row r="84" spans="5:18" x14ac:dyDescent="0.25">
      <c r="E84" s="44" t="str">
        <f>'MKT DATA'!B1767</f>
        <v>syn BTCZ6/BTCX6/BTCF7/BTCG7</v>
      </c>
      <c r="F84" s="14">
        <f>'MKT DATA'!J1767</f>
        <v>0</v>
      </c>
      <c r="G84" s="9">
        <f>'MKT DATA'!K1767</f>
        <v>0</v>
      </c>
      <c r="H84" s="9">
        <f>'MKT DATA'!L1767</f>
        <v>0</v>
      </c>
      <c r="I84" s="14">
        <f>'MKT DATA'!M1767</f>
        <v>0</v>
      </c>
      <c r="J84" s="44" t="str">
        <f t="shared" si="4"/>
        <v>syn BTCZ6/BTCX6/BTCF7/BTCG7</v>
      </c>
      <c r="K84" s="9">
        <f>'MKT DATA'!O1767</f>
        <v>0</v>
      </c>
      <c r="L84" s="9">
        <f>'MKT DATA'!P1767</f>
        <v>0</v>
      </c>
      <c r="M84" s="9">
        <f>'MKT DATA'!Q1767</f>
        <v>0</v>
      </c>
      <c r="N84" s="9">
        <f>'MKT DATA'!R1767</f>
        <v>0</v>
      </c>
      <c r="O84" s="9">
        <f>'MKT DATA'!S1767</f>
        <v>0</v>
      </c>
      <c r="P84" s="9">
        <f>'MKT DATA'!T1767</f>
        <v>0</v>
      </c>
      <c r="Q84" s="44" t="str">
        <f t="shared" si="5"/>
        <v>syn BTCZ6/BTCX6/BTCF7/BTCG7</v>
      </c>
      <c r="R84" s="14">
        <f>'MKT DATA'!AB1767</f>
        <v>0</v>
      </c>
    </row>
    <row r="85" spans="5:18" x14ac:dyDescent="0.25">
      <c r="E85" s="44" t="str">
        <f>'MKT DATA'!B1768</f>
        <v>syn BTCZ6/BTCF7/BTCU6/BTCG7</v>
      </c>
      <c r="F85" s="14">
        <f>'MKT DATA'!J1768</f>
        <v>0</v>
      </c>
      <c r="G85" s="9">
        <f>'MKT DATA'!K1768</f>
        <v>0</v>
      </c>
      <c r="H85" s="9">
        <f>'MKT DATA'!L1768</f>
        <v>0</v>
      </c>
      <c r="I85" s="14">
        <f>'MKT DATA'!M1768</f>
        <v>0</v>
      </c>
      <c r="J85" s="44" t="str">
        <f t="shared" si="4"/>
        <v>syn BTCZ6/BTCF7/BTCU6/BTCG7</v>
      </c>
      <c r="K85" s="9">
        <f>'MKT DATA'!O1768</f>
        <v>0</v>
      </c>
      <c r="L85" s="9">
        <f>'MKT DATA'!P1768</f>
        <v>0</v>
      </c>
      <c r="M85" s="9">
        <f>'MKT DATA'!Q1768</f>
        <v>0</v>
      </c>
      <c r="N85" s="9">
        <f>'MKT DATA'!R1768</f>
        <v>0</v>
      </c>
      <c r="O85" s="9">
        <f>'MKT DATA'!S1768</f>
        <v>0</v>
      </c>
      <c r="P85" s="9">
        <f>'MKT DATA'!T1768</f>
        <v>0</v>
      </c>
      <c r="Q85" s="44" t="str">
        <f t="shared" si="5"/>
        <v>syn BTCZ6/BTCF7/BTCU6/BTCG7</v>
      </c>
      <c r="R85" s="14">
        <f>'MKT DATA'!AB1768</f>
        <v>0</v>
      </c>
    </row>
    <row r="86" spans="5:18" x14ac:dyDescent="0.25">
      <c r="E86" s="44" t="str">
        <f>'MKT DATA'!B1769</f>
        <v>syn BTCZ6/BTCF7/BTCV6/BTCG7</v>
      </c>
      <c r="F86" s="14">
        <f>'MKT DATA'!J1769</f>
        <v>0</v>
      </c>
      <c r="G86" s="9">
        <f>'MKT DATA'!K1769</f>
        <v>0</v>
      </c>
      <c r="H86" s="9">
        <f>'MKT DATA'!L1769</f>
        <v>0</v>
      </c>
      <c r="I86" s="14">
        <f>'MKT DATA'!M1769</f>
        <v>0</v>
      </c>
      <c r="J86" s="44" t="str">
        <f t="shared" si="4"/>
        <v>syn BTCZ6/BTCF7/BTCV6/BTCG7</v>
      </c>
      <c r="K86" s="9">
        <f>'MKT DATA'!O1769</f>
        <v>0</v>
      </c>
      <c r="L86" s="9">
        <f>'MKT DATA'!P1769</f>
        <v>0</v>
      </c>
      <c r="M86" s="9">
        <f>'MKT DATA'!Q1769</f>
        <v>0</v>
      </c>
      <c r="N86" s="9">
        <f>'MKT DATA'!R1769</f>
        <v>0</v>
      </c>
      <c r="O86" s="9">
        <f>'MKT DATA'!S1769</f>
        <v>0</v>
      </c>
      <c r="P86" s="9">
        <f>'MKT DATA'!T1769</f>
        <v>0</v>
      </c>
      <c r="Q86" s="44" t="str">
        <f t="shared" si="5"/>
        <v>syn BTCZ6/BTCF7/BTCV6/BTCG7</v>
      </c>
      <c r="R86" s="14">
        <f>'MKT DATA'!AB1769</f>
        <v>0</v>
      </c>
    </row>
    <row r="87" spans="5:18" x14ac:dyDescent="0.25">
      <c r="E87" s="44" t="str">
        <f>'MKT DATA'!B1770</f>
        <v>syn BTCZ6/BTCF7/BTCX6/BTCG7</v>
      </c>
      <c r="F87" s="14">
        <f>'MKT DATA'!J1770</f>
        <v>0</v>
      </c>
      <c r="G87" s="9">
        <f>'MKT DATA'!K1770</f>
        <v>0</v>
      </c>
      <c r="H87" s="9">
        <f>'MKT DATA'!L1770</f>
        <v>0</v>
      </c>
      <c r="I87" s="14">
        <f>'MKT DATA'!M1770</f>
        <v>0</v>
      </c>
      <c r="J87" s="44" t="str">
        <f t="shared" si="4"/>
        <v>syn BTCZ6/BTCF7/BTCX6/BTCG7</v>
      </c>
      <c r="K87" s="9">
        <f>'MKT DATA'!O1770</f>
        <v>0</v>
      </c>
      <c r="L87" s="9">
        <f>'MKT DATA'!P1770</f>
        <v>0</v>
      </c>
      <c r="M87" s="9">
        <f>'MKT DATA'!Q1770</f>
        <v>0</v>
      </c>
      <c r="N87" s="9">
        <f>'MKT DATA'!R1770</f>
        <v>0</v>
      </c>
      <c r="O87" s="9">
        <f>'MKT DATA'!S1770</f>
        <v>0</v>
      </c>
      <c r="P87" s="9">
        <f>'MKT DATA'!T1770</f>
        <v>0</v>
      </c>
      <c r="Q87" s="44" t="str">
        <f t="shared" si="5"/>
        <v>syn BTCZ6/BTCF7/BTCX6/BTCG7</v>
      </c>
      <c r="R87" s="14">
        <f>'MKT DATA'!AB1770</f>
        <v>0</v>
      </c>
    </row>
    <row r="88" spans="5:18" x14ac:dyDescent="0.25">
      <c r="E88" s="44" t="str">
        <f>'MKT DATA'!B1771</f>
        <v>syn BTCF7/BTCU6/BTCV6/BTCG7</v>
      </c>
      <c r="F88" s="14">
        <f>'MKT DATA'!J1771</f>
        <v>0</v>
      </c>
      <c r="G88" s="9">
        <f>'MKT DATA'!K1771</f>
        <v>0</v>
      </c>
      <c r="H88" s="9">
        <f>'MKT DATA'!L1771</f>
        <v>0</v>
      </c>
      <c r="I88" s="14">
        <f>'MKT DATA'!M1771</f>
        <v>0</v>
      </c>
      <c r="J88" s="44" t="str">
        <f t="shared" si="4"/>
        <v>syn BTCF7/BTCU6/BTCV6/BTCG7</v>
      </c>
      <c r="K88" s="9">
        <f>'MKT DATA'!O1771</f>
        <v>0</v>
      </c>
      <c r="L88" s="9">
        <f>'MKT DATA'!P1771</f>
        <v>0</v>
      </c>
      <c r="M88" s="9">
        <f>'MKT DATA'!Q1771</f>
        <v>0</v>
      </c>
      <c r="N88" s="9">
        <f>'MKT DATA'!R1771</f>
        <v>0</v>
      </c>
      <c r="O88" s="9">
        <f>'MKT DATA'!S1771</f>
        <v>0</v>
      </c>
      <c r="P88" s="9">
        <f>'MKT DATA'!T1771</f>
        <v>0</v>
      </c>
      <c r="Q88" s="44" t="str">
        <f t="shared" si="5"/>
        <v>syn BTCF7/BTCU6/BTCV6/BTCG7</v>
      </c>
      <c r="R88" s="14">
        <f>'MKT DATA'!AB1771</f>
        <v>0</v>
      </c>
    </row>
    <row r="89" spans="5:18" x14ac:dyDescent="0.25">
      <c r="E89" s="44" t="str">
        <f>'MKT DATA'!B1772</f>
        <v>syn BTCF7/BTCU6/BTCX6/BTCG7</v>
      </c>
      <c r="F89" s="14">
        <f>'MKT DATA'!J1772</f>
        <v>0</v>
      </c>
      <c r="G89" s="9">
        <f>'MKT DATA'!K1772</f>
        <v>0</v>
      </c>
      <c r="H89" s="9">
        <f>'MKT DATA'!L1772</f>
        <v>0</v>
      </c>
      <c r="I89" s="14">
        <f>'MKT DATA'!M1772</f>
        <v>0</v>
      </c>
      <c r="J89" s="44" t="str">
        <f t="shared" si="4"/>
        <v>syn BTCF7/BTCU6/BTCX6/BTCG7</v>
      </c>
      <c r="K89" s="9">
        <f>'MKT DATA'!O1772</f>
        <v>0</v>
      </c>
      <c r="L89" s="9">
        <f>'MKT DATA'!P1772</f>
        <v>0</v>
      </c>
      <c r="M89" s="9">
        <f>'MKT DATA'!Q1772</f>
        <v>0</v>
      </c>
      <c r="N89" s="9">
        <f>'MKT DATA'!R1772</f>
        <v>0</v>
      </c>
      <c r="O89" s="9">
        <f>'MKT DATA'!S1772</f>
        <v>0</v>
      </c>
      <c r="P89" s="9">
        <f>'MKT DATA'!T1772</f>
        <v>0</v>
      </c>
      <c r="Q89" s="44" t="str">
        <f t="shared" si="5"/>
        <v>syn BTCF7/BTCU6/BTCX6/BTCG7</v>
      </c>
      <c r="R89" s="14">
        <f>'MKT DATA'!AB1772</f>
        <v>0</v>
      </c>
    </row>
    <row r="90" spans="5:18" x14ac:dyDescent="0.25">
      <c r="E90" s="44" t="str">
        <f>'MKT DATA'!B1773</f>
        <v>syn BTCF7/BTCU6/BTCZ6/BTCG7</v>
      </c>
      <c r="F90" s="14">
        <f>'MKT DATA'!J1773</f>
        <v>0</v>
      </c>
      <c r="G90" s="9">
        <f>'MKT DATA'!K1773</f>
        <v>0</v>
      </c>
      <c r="H90" s="9">
        <f>'MKT DATA'!L1773</f>
        <v>0</v>
      </c>
      <c r="I90" s="14">
        <f>'MKT DATA'!M1773</f>
        <v>0</v>
      </c>
      <c r="J90" s="44" t="str">
        <f t="shared" si="4"/>
        <v>syn BTCF7/BTCU6/BTCZ6/BTCG7</v>
      </c>
      <c r="K90" s="9">
        <f>'MKT DATA'!O1773</f>
        <v>0</v>
      </c>
      <c r="L90" s="9">
        <f>'MKT DATA'!P1773</f>
        <v>0</v>
      </c>
      <c r="M90" s="9">
        <f>'MKT DATA'!Q1773</f>
        <v>0</v>
      </c>
      <c r="N90" s="9">
        <f>'MKT DATA'!R1773</f>
        <v>0</v>
      </c>
      <c r="O90" s="9">
        <f>'MKT DATA'!S1773</f>
        <v>0</v>
      </c>
      <c r="P90" s="9">
        <f>'MKT DATA'!T1773</f>
        <v>0</v>
      </c>
      <c r="Q90" s="44" t="str">
        <f t="shared" si="5"/>
        <v>syn BTCF7/BTCU6/BTCZ6/BTCG7</v>
      </c>
      <c r="R90" s="14">
        <f>'MKT DATA'!AB1773</f>
        <v>0</v>
      </c>
    </row>
    <row r="91" spans="5:18" x14ac:dyDescent="0.25">
      <c r="E91" s="44" t="str">
        <f>'MKT DATA'!B1774</f>
        <v>syn BTCF7/BTCV6/BTCU6/BTCG7</v>
      </c>
      <c r="F91" s="14">
        <f>'MKT DATA'!J1774</f>
        <v>0</v>
      </c>
      <c r="G91" s="9">
        <f>'MKT DATA'!K1774</f>
        <v>0</v>
      </c>
      <c r="H91" s="9">
        <f>'MKT DATA'!L1774</f>
        <v>0</v>
      </c>
      <c r="I91" s="14">
        <f>'MKT DATA'!M1774</f>
        <v>0</v>
      </c>
      <c r="J91" s="44" t="str">
        <f t="shared" si="4"/>
        <v>syn BTCF7/BTCV6/BTCU6/BTCG7</v>
      </c>
      <c r="K91" s="9">
        <f>'MKT DATA'!O1774</f>
        <v>0</v>
      </c>
      <c r="L91" s="9">
        <f>'MKT DATA'!P1774</f>
        <v>0</v>
      </c>
      <c r="M91" s="9">
        <f>'MKT DATA'!Q1774</f>
        <v>0</v>
      </c>
      <c r="N91" s="9">
        <f>'MKT DATA'!R1774</f>
        <v>0</v>
      </c>
      <c r="O91" s="9">
        <f>'MKT DATA'!S1774</f>
        <v>0</v>
      </c>
      <c r="P91" s="9">
        <f>'MKT DATA'!T1774</f>
        <v>0</v>
      </c>
      <c r="Q91" s="44" t="str">
        <f t="shared" si="5"/>
        <v>syn BTCF7/BTCV6/BTCU6/BTCG7</v>
      </c>
      <c r="R91" s="14">
        <f>'MKT DATA'!AB1774</f>
        <v>0</v>
      </c>
    </row>
    <row r="92" spans="5:18" x14ac:dyDescent="0.25">
      <c r="E92" s="44" t="str">
        <f>'MKT DATA'!B1775</f>
        <v>syn BTCF7/BTCV6/BTCX6/BTCG7</v>
      </c>
      <c r="F92" s="14">
        <f>'MKT DATA'!J1775</f>
        <v>0</v>
      </c>
      <c r="G92" s="9">
        <f>'MKT DATA'!K1775</f>
        <v>0</v>
      </c>
      <c r="H92" s="9">
        <f>'MKT DATA'!L1775</f>
        <v>0</v>
      </c>
      <c r="I92" s="14">
        <f>'MKT DATA'!M1775</f>
        <v>0</v>
      </c>
      <c r="J92" s="44" t="str">
        <f t="shared" si="4"/>
        <v>syn BTCF7/BTCV6/BTCX6/BTCG7</v>
      </c>
      <c r="K92" s="9">
        <f>'MKT DATA'!O1775</f>
        <v>0</v>
      </c>
      <c r="L92" s="9">
        <f>'MKT DATA'!P1775</f>
        <v>0</v>
      </c>
      <c r="M92" s="9">
        <f>'MKT DATA'!Q1775</f>
        <v>0</v>
      </c>
      <c r="N92" s="9">
        <f>'MKT DATA'!R1775</f>
        <v>0</v>
      </c>
      <c r="O92" s="9">
        <f>'MKT DATA'!S1775</f>
        <v>0</v>
      </c>
      <c r="P92" s="9">
        <f>'MKT DATA'!T1775</f>
        <v>0</v>
      </c>
      <c r="Q92" s="44" t="str">
        <f t="shared" si="5"/>
        <v>syn BTCF7/BTCV6/BTCX6/BTCG7</v>
      </c>
      <c r="R92" s="14">
        <f>'MKT DATA'!AB1775</f>
        <v>0</v>
      </c>
    </row>
    <row r="93" spans="5:18" x14ac:dyDescent="0.25">
      <c r="E93" s="44" t="str">
        <f>'MKT DATA'!B1776</f>
        <v>syn BTCF7/BTCV6/BTCZ6/BTCG7</v>
      </c>
      <c r="F93" s="14">
        <f>'MKT DATA'!J1776</f>
        <v>0</v>
      </c>
      <c r="G93" s="9">
        <f>'MKT DATA'!K1776</f>
        <v>0</v>
      </c>
      <c r="H93" s="9">
        <f>'MKT DATA'!L1776</f>
        <v>0</v>
      </c>
      <c r="I93" s="14">
        <f>'MKT DATA'!M1776</f>
        <v>0</v>
      </c>
      <c r="J93" s="44" t="str">
        <f t="shared" si="4"/>
        <v>syn BTCF7/BTCV6/BTCZ6/BTCG7</v>
      </c>
      <c r="K93" s="9">
        <f>'MKT DATA'!O1776</f>
        <v>0</v>
      </c>
      <c r="L93" s="9">
        <f>'MKT DATA'!P1776</f>
        <v>0</v>
      </c>
      <c r="M93" s="9">
        <f>'MKT DATA'!Q1776</f>
        <v>0</v>
      </c>
      <c r="N93" s="9">
        <f>'MKT DATA'!R1776</f>
        <v>0</v>
      </c>
      <c r="O93" s="9">
        <f>'MKT DATA'!S1776</f>
        <v>0</v>
      </c>
      <c r="P93" s="9">
        <f>'MKT DATA'!T1776</f>
        <v>0</v>
      </c>
      <c r="Q93" s="44" t="str">
        <f t="shared" si="5"/>
        <v>syn BTCF7/BTCV6/BTCZ6/BTCG7</v>
      </c>
      <c r="R93" s="14">
        <f>'MKT DATA'!AB1776</f>
        <v>0</v>
      </c>
    </row>
    <row r="94" spans="5:18" x14ac:dyDescent="0.25">
      <c r="E94" s="44" t="str">
        <f>'MKT DATA'!B1777</f>
        <v>syn BTCF7/BTCX6/BTCU6/BTCG7</v>
      </c>
      <c r="F94" s="14">
        <f>'MKT DATA'!J1777</f>
        <v>0</v>
      </c>
      <c r="G94" s="9">
        <f>'MKT DATA'!K1777</f>
        <v>0</v>
      </c>
      <c r="H94" s="9">
        <f>'MKT DATA'!L1777</f>
        <v>0</v>
      </c>
      <c r="I94" s="14">
        <f>'MKT DATA'!M1777</f>
        <v>0</v>
      </c>
      <c r="J94" s="44" t="str">
        <f t="shared" si="4"/>
        <v>syn BTCF7/BTCX6/BTCU6/BTCG7</v>
      </c>
      <c r="K94" s="9">
        <f>'MKT DATA'!O1777</f>
        <v>0</v>
      </c>
      <c r="L94" s="9">
        <f>'MKT DATA'!P1777</f>
        <v>0</v>
      </c>
      <c r="M94" s="9">
        <f>'MKT DATA'!Q1777</f>
        <v>0</v>
      </c>
      <c r="N94" s="9">
        <f>'MKT DATA'!R1777</f>
        <v>0</v>
      </c>
      <c r="O94" s="9">
        <f>'MKT DATA'!S1777</f>
        <v>0</v>
      </c>
      <c r="P94" s="9">
        <f>'MKT DATA'!T1777</f>
        <v>0</v>
      </c>
      <c r="Q94" s="44" t="str">
        <f t="shared" si="5"/>
        <v>syn BTCF7/BTCX6/BTCU6/BTCG7</v>
      </c>
      <c r="R94" s="14">
        <f>'MKT DATA'!AB1777</f>
        <v>0</v>
      </c>
    </row>
    <row r="95" spans="5:18" x14ac:dyDescent="0.25">
      <c r="E95" s="44" t="str">
        <f>'MKT DATA'!B1778</f>
        <v>syn BTCF7/BTCX6/BTCV6/BTCG7</v>
      </c>
      <c r="F95" s="14">
        <f>'MKT DATA'!J1778</f>
        <v>0</v>
      </c>
      <c r="G95" s="9">
        <f>'MKT DATA'!K1778</f>
        <v>0</v>
      </c>
      <c r="H95" s="9">
        <f>'MKT DATA'!L1778</f>
        <v>0</v>
      </c>
      <c r="I95" s="14">
        <f>'MKT DATA'!M1778</f>
        <v>0</v>
      </c>
      <c r="J95" s="44" t="str">
        <f t="shared" si="4"/>
        <v>syn BTCF7/BTCX6/BTCV6/BTCG7</v>
      </c>
      <c r="K95" s="9">
        <f>'MKT DATA'!O1778</f>
        <v>0</v>
      </c>
      <c r="L95" s="9">
        <f>'MKT DATA'!P1778</f>
        <v>0</v>
      </c>
      <c r="M95" s="9">
        <f>'MKT DATA'!Q1778</f>
        <v>0</v>
      </c>
      <c r="N95" s="9">
        <f>'MKT DATA'!R1778</f>
        <v>0</v>
      </c>
      <c r="O95" s="9">
        <f>'MKT DATA'!S1778</f>
        <v>0</v>
      </c>
      <c r="P95" s="9">
        <f>'MKT DATA'!T1778</f>
        <v>0</v>
      </c>
      <c r="Q95" s="44" t="str">
        <f t="shared" si="5"/>
        <v>syn BTCF7/BTCX6/BTCV6/BTCG7</v>
      </c>
      <c r="R95" s="14">
        <f>'MKT DATA'!AB1778</f>
        <v>0</v>
      </c>
    </row>
    <row r="96" spans="5:18" x14ac:dyDescent="0.25">
      <c r="E96" s="44" t="str">
        <f>'MKT DATA'!B1779</f>
        <v>syn BTCF7/BTCX6/BTCZ6/BTCG7</v>
      </c>
      <c r="F96" s="14">
        <f>'MKT DATA'!J1779</f>
        <v>0</v>
      </c>
      <c r="G96" s="9">
        <f>'MKT DATA'!K1779</f>
        <v>0</v>
      </c>
      <c r="H96" s="9">
        <f>'MKT DATA'!L1779</f>
        <v>0</v>
      </c>
      <c r="I96" s="14">
        <f>'MKT DATA'!M1779</f>
        <v>0</v>
      </c>
      <c r="J96" s="44" t="str">
        <f t="shared" si="4"/>
        <v>syn BTCF7/BTCX6/BTCZ6/BTCG7</v>
      </c>
      <c r="K96" s="9">
        <f>'MKT DATA'!O1779</f>
        <v>0</v>
      </c>
      <c r="L96" s="9">
        <f>'MKT DATA'!P1779</f>
        <v>0</v>
      </c>
      <c r="M96" s="9">
        <f>'MKT DATA'!Q1779</f>
        <v>0</v>
      </c>
      <c r="N96" s="9">
        <f>'MKT DATA'!R1779</f>
        <v>0</v>
      </c>
      <c r="O96" s="9">
        <f>'MKT DATA'!S1779</f>
        <v>0</v>
      </c>
      <c r="P96" s="9">
        <f>'MKT DATA'!T1779</f>
        <v>0</v>
      </c>
      <c r="Q96" s="44" t="str">
        <f t="shared" si="5"/>
        <v>syn BTCF7/BTCX6/BTCZ6/BTCG7</v>
      </c>
      <c r="R96" s="14">
        <f>'MKT DATA'!AB1779</f>
        <v>0</v>
      </c>
    </row>
    <row r="97" spans="5:18" x14ac:dyDescent="0.25">
      <c r="E97" s="44" t="str">
        <f>'MKT DATA'!B1780</f>
        <v>syn BTCF7/BTCZ6/BTCU6/BTCG7</v>
      </c>
      <c r="F97" s="14">
        <f>'MKT DATA'!J1780</f>
        <v>0</v>
      </c>
      <c r="G97" s="9">
        <f>'MKT DATA'!K1780</f>
        <v>0</v>
      </c>
      <c r="H97" s="9">
        <f>'MKT DATA'!L1780</f>
        <v>0</v>
      </c>
      <c r="I97" s="14">
        <f>'MKT DATA'!M1780</f>
        <v>0</v>
      </c>
      <c r="J97" s="44" t="str">
        <f t="shared" si="4"/>
        <v>syn BTCF7/BTCZ6/BTCU6/BTCG7</v>
      </c>
      <c r="K97" s="9">
        <f>'MKT DATA'!O1780</f>
        <v>0</v>
      </c>
      <c r="L97" s="9">
        <f>'MKT DATA'!P1780</f>
        <v>0</v>
      </c>
      <c r="M97" s="9">
        <f>'MKT DATA'!Q1780</f>
        <v>0</v>
      </c>
      <c r="N97" s="9">
        <f>'MKT DATA'!R1780</f>
        <v>0</v>
      </c>
      <c r="O97" s="9">
        <f>'MKT DATA'!S1780</f>
        <v>0</v>
      </c>
      <c r="P97" s="9">
        <f>'MKT DATA'!T1780</f>
        <v>0</v>
      </c>
      <c r="Q97" s="44" t="str">
        <f t="shared" si="5"/>
        <v>syn BTCF7/BTCZ6/BTCU6/BTCG7</v>
      </c>
      <c r="R97" s="14">
        <f>'MKT DATA'!AB1780</f>
        <v>0</v>
      </c>
    </row>
    <row r="98" spans="5:18" x14ac:dyDescent="0.25">
      <c r="E98" s="44" t="str">
        <f>'MKT DATA'!B1781</f>
        <v>syn BTCF7/BTCZ6/BTCV6/BTCG7</v>
      </c>
      <c r="F98" s="14">
        <f>'MKT DATA'!J1781</f>
        <v>0</v>
      </c>
      <c r="G98" s="9">
        <f>'MKT DATA'!K1781</f>
        <v>0</v>
      </c>
      <c r="H98" s="9">
        <f>'MKT DATA'!L1781</f>
        <v>0</v>
      </c>
      <c r="I98" s="14">
        <f>'MKT DATA'!M1781</f>
        <v>0</v>
      </c>
      <c r="J98" s="44" t="str">
        <f t="shared" si="4"/>
        <v>syn BTCF7/BTCZ6/BTCV6/BTCG7</v>
      </c>
      <c r="K98" s="9">
        <f>'MKT DATA'!O1781</f>
        <v>0</v>
      </c>
      <c r="L98" s="9">
        <f>'MKT DATA'!P1781</f>
        <v>0</v>
      </c>
      <c r="M98" s="9">
        <f>'MKT DATA'!Q1781</f>
        <v>0</v>
      </c>
      <c r="N98" s="9">
        <f>'MKT DATA'!R1781</f>
        <v>0</v>
      </c>
      <c r="O98" s="9">
        <f>'MKT DATA'!S1781</f>
        <v>0</v>
      </c>
      <c r="P98" s="9">
        <f>'MKT DATA'!T1781</f>
        <v>0</v>
      </c>
      <c r="Q98" s="44" t="str">
        <f t="shared" si="5"/>
        <v>syn BTCF7/BTCZ6/BTCV6/BTCG7</v>
      </c>
      <c r="R98" s="14">
        <f>'MKT DATA'!AB1781</f>
        <v>0</v>
      </c>
    </row>
    <row r="99" spans="5:18" x14ac:dyDescent="0.25">
      <c r="E99" s="44" t="str">
        <f>'MKT DATA'!B1782</f>
        <v>syn BTCF7/BTCZ6/BTCX6/BTCG7</v>
      </c>
      <c r="F99" s="14">
        <f>'MKT DATA'!J1782</f>
        <v>0</v>
      </c>
      <c r="G99" s="9">
        <f>'MKT DATA'!K1782</f>
        <v>0</v>
      </c>
      <c r="H99" s="9">
        <f>'MKT DATA'!L1782</f>
        <v>0</v>
      </c>
      <c r="I99" s="14">
        <f>'MKT DATA'!M1782</f>
        <v>0</v>
      </c>
      <c r="J99" s="44" t="str">
        <f t="shared" si="4"/>
        <v>syn BTCF7/BTCZ6/BTCX6/BTCG7</v>
      </c>
      <c r="K99" s="9">
        <f>'MKT DATA'!O1782</f>
        <v>0</v>
      </c>
      <c r="L99" s="9">
        <f>'MKT DATA'!P1782</f>
        <v>0</v>
      </c>
      <c r="M99" s="9">
        <f>'MKT DATA'!Q1782</f>
        <v>0</v>
      </c>
      <c r="N99" s="9">
        <f>'MKT DATA'!R1782</f>
        <v>0</v>
      </c>
      <c r="O99" s="9">
        <f>'MKT DATA'!S1782</f>
        <v>0</v>
      </c>
      <c r="P99" s="9">
        <f>'MKT DATA'!T1782</f>
        <v>0</v>
      </c>
      <c r="Q99" s="44" t="str">
        <f t="shared" si="5"/>
        <v>syn BTCF7/BTCZ6/BTCX6/BTCG7</v>
      </c>
      <c r="R99" s="14">
        <f>'MKT DATA'!AB1782</f>
        <v>0</v>
      </c>
    </row>
    <row r="100" spans="5:18" x14ac:dyDescent="0.25">
      <c r="E100" s="44" t="str">
        <f>'MKT DATA'!B1783</f>
        <v>syn BTCU6/BTCV6/BTCX6/BTCZ6/BTCG7</v>
      </c>
      <c r="F100" s="14">
        <f>'MKT DATA'!J1783</f>
        <v>0</v>
      </c>
      <c r="G100" s="9">
        <f>'MKT DATA'!K1783</f>
        <v>0</v>
      </c>
      <c r="H100" s="9">
        <f>'MKT DATA'!L1783</f>
        <v>0</v>
      </c>
      <c r="I100" s="14">
        <f>'MKT DATA'!M1783</f>
        <v>0</v>
      </c>
      <c r="J100" s="44" t="str">
        <f t="shared" si="4"/>
        <v>syn BTCU6/BTCV6/BTCX6/BTCZ6/BTCG7</v>
      </c>
      <c r="K100" s="9">
        <f>'MKT DATA'!O1783</f>
        <v>0</v>
      </c>
      <c r="L100" s="9">
        <f>'MKT DATA'!P1783</f>
        <v>0</v>
      </c>
      <c r="M100" s="9">
        <f>'MKT DATA'!Q1783</f>
        <v>0</v>
      </c>
      <c r="N100" s="9">
        <f>'MKT DATA'!R1783</f>
        <v>0</v>
      </c>
      <c r="O100" s="9">
        <f>'MKT DATA'!S1783</f>
        <v>0</v>
      </c>
      <c r="P100" s="9">
        <f>'MKT DATA'!T1783</f>
        <v>0</v>
      </c>
      <c r="Q100" s="44" t="str">
        <f t="shared" si="5"/>
        <v>syn BTCU6/BTCV6/BTCX6/BTCZ6/BTCG7</v>
      </c>
      <c r="R100" s="14">
        <f>'MKT DATA'!AB1783</f>
        <v>0</v>
      </c>
    </row>
    <row r="101" spans="5:18" x14ac:dyDescent="0.25">
      <c r="E101" s="44" t="str">
        <f>'MKT DATA'!B1784</f>
        <v>syn BTCU6/BTCV6/BTCX6/BTCF7/BTCG7</v>
      </c>
      <c r="F101" s="14">
        <f>'MKT DATA'!J1784</f>
        <v>0</v>
      </c>
      <c r="G101" s="9">
        <f>'MKT DATA'!K1784</f>
        <v>0</v>
      </c>
      <c r="H101" s="9">
        <f>'MKT DATA'!L1784</f>
        <v>0</v>
      </c>
      <c r="I101" s="14">
        <f>'MKT DATA'!M1784</f>
        <v>0</v>
      </c>
      <c r="J101" s="44" t="str">
        <f t="shared" si="4"/>
        <v>syn BTCU6/BTCV6/BTCX6/BTCF7/BTCG7</v>
      </c>
      <c r="K101" s="9">
        <f>'MKT DATA'!O1784</f>
        <v>0</v>
      </c>
      <c r="L101" s="9">
        <f>'MKT DATA'!P1784</f>
        <v>0</v>
      </c>
      <c r="M101" s="9">
        <f>'MKT DATA'!Q1784</f>
        <v>0</v>
      </c>
      <c r="N101" s="9">
        <f>'MKT DATA'!R1784</f>
        <v>0</v>
      </c>
      <c r="O101" s="9">
        <f>'MKT DATA'!S1784</f>
        <v>0</v>
      </c>
      <c r="P101" s="9">
        <f>'MKT DATA'!T1784</f>
        <v>0</v>
      </c>
      <c r="Q101" s="44" t="str">
        <f t="shared" si="5"/>
        <v>syn BTCU6/BTCV6/BTCX6/BTCF7/BTCG7</v>
      </c>
      <c r="R101" s="14">
        <f>'MKT DATA'!AB1784</f>
        <v>0</v>
      </c>
    </row>
    <row r="102" spans="5:18" x14ac:dyDescent="0.25">
      <c r="E102" s="44" t="str">
        <f>'MKT DATA'!B1785</f>
        <v>syn BTCU6/BTCV6/BTCZ6/BTCX6/BTCG7</v>
      </c>
      <c r="F102" s="14">
        <f>'MKT DATA'!J1785</f>
        <v>0</v>
      </c>
      <c r="G102" s="9">
        <f>'MKT DATA'!K1785</f>
        <v>0</v>
      </c>
      <c r="H102" s="9">
        <f>'MKT DATA'!L1785</f>
        <v>0</v>
      </c>
      <c r="I102" s="14">
        <f>'MKT DATA'!M1785</f>
        <v>0</v>
      </c>
      <c r="J102" s="44" t="str">
        <f t="shared" si="4"/>
        <v>syn BTCU6/BTCV6/BTCZ6/BTCX6/BTCG7</v>
      </c>
      <c r="K102" s="9">
        <f>'MKT DATA'!O1785</f>
        <v>0</v>
      </c>
      <c r="L102" s="9">
        <f>'MKT DATA'!P1785</f>
        <v>0</v>
      </c>
      <c r="M102" s="9">
        <f>'MKT DATA'!Q1785</f>
        <v>0</v>
      </c>
      <c r="N102" s="9">
        <f>'MKT DATA'!R1785</f>
        <v>0</v>
      </c>
      <c r="O102" s="9">
        <f>'MKT DATA'!S1785</f>
        <v>0</v>
      </c>
      <c r="P102" s="9">
        <f>'MKT DATA'!T1785</f>
        <v>0</v>
      </c>
      <c r="Q102" s="44" t="str">
        <f t="shared" si="5"/>
        <v>syn BTCU6/BTCV6/BTCZ6/BTCX6/BTCG7</v>
      </c>
      <c r="R102" s="14">
        <f>'MKT DATA'!AB1785</f>
        <v>0</v>
      </c>
    </row>
    <row r="103" spans="5:18" x14ac:dyDescent="0.25">
      <c r="E103" s="44" t="str">
        <f>'MKT DATA'!B1786</f>
        <v>syn BTCU6/BTCV6/BTCZ6/BTCF7/BTCG7</v>
      </c>
      <c r="F103" s="14">
        <f>'MKT DATA'!J1786</f>
        <v>0</v>
      </c>
      <c r="G103" s="9">
        <f>'MKT DATA'!K1786</f>
        <v>0</v>
      </c>
      <c r="H103" s="9">
        <f>'MKT DATA'!L1786</f>
        <v>0</v>
      </c>
      <c r="I103" s="14">
        <f>'MKT DATA'!M1786</f>
        <v>0</v>
      </c>
      <c r="J103" s="44" t="str">
        <f t="shared" si="4"/>
        <v>syn BTCU6/BTCV6/BTCZ6/BTCF7/BTCG7</v>
      </c>
      <c r="K103" s="9">
        <f>'MKT DATA'!O1786</f>
        <v>0</v>
      </c>
      <c r="L103" s="9">
        <f>'MKT DATA'!P1786</f>
        <v>0</v>
      </c>
      <c r="M103" s="9">
        <f>'MKT DATA'!Q1786</f>
        <v>0</v>
      </c>
      <c r="N103" s="9">
        <f>'MKT DATA'!R1786</f>
        <v>0</v>
      </c>
      <c r="O103" s="9">
        <f>'MKT DATA'!S1786</f>
        <v>0</v>
      </c>
      <c r="P103" s="9">
        <f>'MKT DATA'!T1786</f>
        <v>0</v>
      </c>
      <c r="Q103" s="44" t="str">
        <f t="shared" si="5"/>
        <v>syn BTCU6/BTCV6/BTCZ6/BTCF7/BTCG7</v>
      </c>
      <c r="R103" s="14">
        <f>'MKT DATA'!AB1786</f>
        <v>0</v>
      </c>
    </row>
    <row r="104" spans="5:18" x14ac:dyDescent="0.25">
      <c r="E104" s="44" t="str">
        <f>'MKT DATA'!B1787</f>
        <v>syn BTCU6/BTCV6/BTCF7/BTCX6/BTCG7</v>
      </c>
      <c r="F104" s="14">
        <f>'MKT DATA'!J1787</f>
        <v>0</v>
      </c>
      <c r="G104" s="9">
        <f>'MKT DATA'!K1787</f>
        <v>0</v>
      </c>
      <c r="H104" s="9">
        <f>'MKT DATA'!L1787</f>
        <v>0</v>
      </c>
      <c r="I104" s="14">
        <f>'MKT DATA'!M1787</f>
        <v>0</v>
      </c>
      <c r="J104" s="44" t="str">
        <f t="shared" si="4"/>
        <v>syn BTCU6/BTCV6/BTCF7/BTCX6/BTCG7</v>
      </c>
      <c r="K104" s="9">
        <f>'MKT DATA'!O1787</f>
        <v>0</v>
      </c>
      <c r="L104" s="9">
        <f>'MKT DATA'!P1787</f>
        <v>0</v>
      </c>
      <c r="M104" s="9">
        <f>'MKT DATA'!Q1787</f>
        <v>0</v>
      </c>
      <c r="N104" s="9">
        <f>'MKT DATA'!R1787</f>
        <v>0</v>
      </c>
      <c r="O104" s="9">
        <f>'MKT DATA'!S1787</f>
        <v>0</v>
      </c>
      <c r="P104" s="9">
        <f>'MKT DATA'!T1787</f>
        <v>0</v>
      </c>
      <c r="Q104" s="44" t="str">
        <f t="shared" si="5"/>
        <v>syn BTCU6/BTCV6/BTCF7/BTCX6/BTCG7</v>
      </c>
      <c r="R104" s="14">
        <f>'MKT DATA'!AB1787</f>
        <v>0</v>
      </c>
    </row>
    <row r="105" spans="5:18" x14ac:dyDescent="0.25">
      <c r="E105" s="44" t="str">
        <f>'MKT DATA'!B1788</f>
        <v>syn BTCU6/BTCV6/BTCF7/BTCZ6/BTCG7</v>
      </c>
      <c r="F105" s="14">
        <f>'MKT DATA'!J1788</f>
        <v>0</v>
      </c>
      <c r="G105" s="9">
        <f>'MKT DATA'!K1788</f>
        <v>0</v>
      </c>
      <c r="H105" s="9">
        <f>'MKT DATA'!L1788</f>
        <v>0</v>
      </c>
      <c r="I105" s="14">
        <f>'MKT DATA'!M1788</f>
        <v>0</v>
      </c>
      <c r="J105" s="44" t="str">
        <f t="shared" si="4"/>
        <v>syn BTCU6/BTCV6/BTCF7/BTCZ6/BTCG7</v>
      </c>
      <c r="K105" s="9">
        <f>'MKT DATA'!O1788</f>
        <v>0</v>
      </c>
      <c r="L105" s="9">
        <f>'MKT DATA'!P1788</f>
        <v>0</v>
      </c>
      <c r="M105" s="9">
        <f>'MKT DATA'!Q1788</f>
        <v>0</v>
      </c>
      <c r="N105" s="9">
        <f>'MKT DATA'!R1788</f>
        <v>0</v>
      </c>
      <c r="O105" s="9">
        <f>'MKT DATA'!S1788</f>
        <v>0</v>
      </c>
      <c r="P105" s="9">
        <f>'MKT DATA'!T1788</f>
        <v>0</v>
      </c>
      <c r="Q105" s="44" t="str">
        <f t="shared" si="5"/>
        <v>syn BTCU6/BTCV6/BTCF7/BTCZ6/BTCG7</v>
      </c>
      <c r="R105" s="14">
        <f>'MKT DATA'!AB1788</f>
        <v>0</v>
      </c>
    </row>
    <row r="106" spans="5:18" x14ac:dyDescent="0.25">
      <c r="E106" s="44" t="str">
        <f>'MKT DATA'!B1789</f>
        <v>syn BTCU6/BTCX6/BTCV6/BTCZ6/BTCG7</v>
      </c>
      <c r="F106" s="14">
        <f>'MKT DATA'!J1789</f>
        <v>0</v>
      </c>
      <c r="G106" s="9">
        <f>'MKT DATA'!K1789</f>
        <v>0</v>
      </c>
      <c r="H106" s="9">
        <f>'MKT DATA'!L1789</f>
        <v>0</v>
      </c>
      <c r="I106" s="14">
        <f>'MKT DATA'!M1789</f>
        <v>0</v>
      </c>
      <c r="J106" s="44" t="str">
        <f t="shared" si="4"/>
        <v>syn BTCU6/BTCX6/BTCV6/BTCZ6/BTCG7</v>
      </c>
      <c r="K106" s="9">
        <f>'MKT DATA'!O1789</f>
        <v>0</v>
      </c>
      <c r="L106" s="9">
        <f>'MKT DATA'!P1789</f>
        <v>0</v>
      </c>
      <c r="M106" s="9">
        <f>'MKT DATA'!Q1789</f>
        <v>0</v>
      </c>
      <c r="N106" s="9">
        <f>'MKT DATA'!R1789</f>
        <v>0</v>
      </c>
      <c r="O106" s="9">
        <f>'MKT DATA'!S1789</f>
        <v>0</v>
      </c>
      <c r="P106" s="9">
        <f>'MKT DATA'!T1789</f>
        <v>0</v>
      </c>
      <c r="Q106" s="44" t="str">
        <f t="shared" si="5"/>
        <v>syn BTCU6/BTCX6/BTCV6/BTCZ6/BTCG7</v>
      </c>
      <c r="R106" s="14">
        <f>'MKT DATA'!AB1789</f>
        <v>0</v>
      </c>
    </row>
    <row r="107" spans="5:18" x14ac:dyDescent="0.25">
      <c r="E107" s="44" t="str">
        <f>'MKT DATA'!B1790</f>
        <v>syn BTCU6/BTCX6/BTCV6/BTCF7/BTCG7</v>
      </c>
      <c r="F107" s="14">
        <f>'MKT DATA'!J1790</f>
        <v>0</v>
      </c>
      <c r="G107" s="9">
        <f>'MKT DATA'!K1790</f>
        <v>0</v>
      </c>
      <c r="H107" s="9">
        <f>'MKT DATA'!L1790</f>
        <v>0</v>
      </c>
      <c r="I107" s="14">
        <f>'MKT DATA'!M1790</f>
        <v>0</v>
      </c>
      <c r="J107" s="44" t="str">
        <f t="shared" si="4"/>
        <v>syn BTCU6/BTCX6/BTCV6/BTCF7/BTCG7</v>
      </c>
      <c r="K107" s="9">
        <f>'MKT DATA'!O1790</f>
        <v>0</v>
      </c>
      <c r="L107" s="9">
        <f>'MKT DATA'!P1790</f>
        <v>0</v>
      </c>
      <c r="M107" s="9">
        <f>'MKT DATA'!Q1790</f>
        <v>0</v>
      </c>
      <c r="N107" s="9">
        <f>'MKT DATA'!R1790</f>
        <v>0</v>
      </c>
      <c r="O107" s="9">
        <f>'MKT DATA'!S1790</f>
        <v>0</v>
      </c>
      <c r="P107" s="9">
        <f>'MKT DATA'!T1790</f>
        <v>0</v>
      </c>
      <c r="Q107" s="44" t="str">
        <f t="shared" si="5"/>
        <v>syn BTCU6/BTCX6/BTCV6/BTCF7/BTCG7</v>
      </c>
      <c r="R107" s="14">
        <f>'MKT DATA'!AB1790</f>
        <v>0</v>
      </c>
    </row>
    <row r="108" spans="5:18" x14ac:dyDescent="0.25">
      <c r="E108" s="44" t="str">
        <f>'MKT DATA'!B1791</f>
        <v>syn BTCU6/BTCX6/BTCZ6/BTCV6/BTCG7</v>
      </c>
      <c r="F108" s="14">
        <f>'MKT DATA'!J1791</f>
        <v>0</v>
      </c>
      <c r="G108" s="9">
        <f>'MKT DATA'!K1791</f>
        <v>0</v>
      </c>
      <c r="H108" s="9">
        <f>'MKT DATA'!L1791</f>
        <v>0</v>
      </c>
      <c r="I108" s="14">
        <f>'MKT DATA'!M1791</f>
        <v>0</v>
      </c>
      <c r="J108" s="44" t="str">
        <f t="shared" si="4"/>
        <v>syn BTCU6/BTCX6/BTCZ6/BTCV6/BTCG7</v>
      </c>
      <c r="K108" s="9">
        <f>'MKT DATA'!O1791</f>
        <v>0</v>
      </c>
      <c r="L108" s="9">
        <f>'MKT DATA'!P1791</f>
        <v>0</v>
      </c>
      <c r="M108" s="9">
        <f>'MKT DATA'!Q1791</f>
        <v>0</v>
      </c>
      <c r="N108" s="9">
        <f>'MKT DATA'!R1791</f>
        <v>0</v>
      </c>
      <c r="O108" s="9">
        <f>'MKT DATA'!S1791</f>
        <v>0</v>
      </c>
      <c r="P108" s="9">
        <f>'MKT DATA'!T1791</f>
        <v>0</v>
      </c>
      <c r="Q108" s="44" t="str">
        <f t="shared" si="5"/>
        <v>syn BTCU6/BTCX6/BTCZ6/BTCV6/BTCG7</v>
      </c>
      <c r="R108" s="14">
        <f>'MKT DATA'!AB1791</f>
        <v>0</v>
      </c>
    </row>
    <row r="109" spans="5:18" x14ac:dyDescent="0.25">
      <c r="E109" s="44" t="str">
        <f>'MKT DATA'!B1792</f>
        <v>syn BTCU6/BTCX6/BTCZ6/BTCF7/BTCG7</v>
      </c>
      <c r="F109" s="14">
        <f>'MKT DATA'!J1792</f>
        <v>0</v>
      </c>
      <c r="G109" s="9">
        <f>'MKT DATA'!K1792</f>
        <v>0</v>
      </c>
      <c r="H109" s="9">
        <f>'MKT DATA'!L1792</f>
        <v>0</v>
      </c>
      <c r="I109" s="14">
        <f>'MKT DATA'!M1792</f>
        <v>0</v>
      </c>
      <c r="J109" s="44" t="str">
        <f t="shared" si="4"/>
        <v>syn BTCU6/BTCX6/BTCZ6/BTCF7/BTCG7</v>
      </c>
      <c r="K109" s="9">
        <f>'MKT DATA'!O1792</f>
        <v>0</v>
      </c>
      <c r="L109" s="9">
        <f>'MKT DATA'!P1792</f>
        <v>0</v>
      </c>
      <c r="M109" s="9">
        <f>'MKT DATA'!Q1792</f>
        <v>0</v>
      </c>
      <c r="N109" s="9">
        <f>'MKT DATA'!R1792</f>
        <v>0</v>
      </c>
      <c r="O109" s="9">
        <f>'MKT DATA'!S1792</f>
        <v>0</v>
      </c>
      <c r="P109" s="9">
        <f>'MKT DATA'!T1792</f>
        <v>0</v>
      </c>
      <c r="Q109" s="44" t="str">
        <f t="shared" si="5"/>
        <v>syn BTCU6/BTCX6/BTCZ6/BTCF7/BTCG7</v>
      </c>
      <c r="R109" s="14">
        <f>'MKT DATA'!AB1792</f>
        <v>0</v>
      </c>
    </row>
    <row r="110" spans="5:18" x14ac:dyDescent="0.25">
      <c r="E110" s="44" t="str">
        <f>'MKT DATA'!B1793</f>
        <v>syn BTCU6/BTCX6/BTCF7/BTCV6/BTCG7</v>
      </c>
      <c r="F110" s="14">
        <f>'MKT DATA'!J1793</f>
        <v>0</v>
      </c>
      <c r="G110" s="9">
        <f>'MKT DATA'!K1793</f>
        <v>0</v>
      </c>
      <c r="H110" s="9">
        <f>'MKT DATA'!L1793</f>
        <v>0</v>
      </c>
      <c r="I110" s="14">
        <f>'MKT DATA'!M1793</f>
        <v>0</v>
      </c>
      <c r="J110" s="44" t="str">
        <f t="shared" si="4"/>
        <v>syn BTCU6/BTCX6/BTCF7/BTCV6/BTCG7</v>
      </c>
      <c r="K110" s="9">
        <f>'MKT DATA'!O1793</f>
        <v>0</v>
      </c>
      <c r="L110" s="9">
        <f>'MKT DATA'!P1793</f>
        <v>0</v>
      </c>
      <c r="M110" s="9">
        <f>'MKT DATA'!Q1793</f>
        <v>0</v>
      </c>
      <c r="N110" s="9">
        <f>'MKT DATA'!R1793</f>
        <v>0</v>
      </c>
      <c r="O110" s="9">
        <f>'MKT DATA'!S1793</f>
        <v>0</v>
      </c>
      <c r="P110" s="9">
        <f>'MKT DATA'!T1793</f>
        <v>0</v>
      </c>
      <c r="Q110" s="44" t="str">
        <f t="shared" si="5"/>
        <v>syn BTCU6/BTCX6/BTCF7/BTCV6/BTCG7</v>
      </c>
      <c r="R110" s="14">
        <f>'MKT DATA'!AB1793</f>
        <v>0</v>
      </c>
    </row>
    <row r="111" spans="5:18" x14ac:dyDescent="0.25">
      <c r="E111" s="44" t="str">
        <f>'MKT DATA'!B1794</f>
        <v>syn BTCU6/BTCX6/BTCF7/BTCZ6/BTCG7</v>
      </c>
      <c r="F111" s="14">
        <f>'MKT DATA'!J1794</f>
        <v>0</v>
      </c>
      <c r="G111" s="9">
        <f>'MKT DATA'!K1794</f>
        <v>0</v>
      </c>
      <c r="H111" s="9">
        <f>'MKT DATA'!L1794</f>
        <v>0</v>
      </c>
      <c r="I111" s="14">
        <f>'MKT DATA'!M1794</f>
        <v>0</v>
      </c>
      <c r="J111" s="44" t="str">
        <f t="shared" si="4"/>
        <v>syn BTCU6/BTCX6/BTCF7/BTCZ6/BTCG7</v>
      </c>
      <c r="K111" s="9">
        <f>'MKT DATA'!O1794</f>
        <v>0</v>
      </c>
      <c r="L111" s="9">
        <f>'MKT DATA'!P1794</f>
        <v>0</v>
      </c>
      <c r="M111" s="9">
        <f>'MKT DATA'!Q1794</f>
        <v>0</v>
      </c>
      <c r="N111" s="9">
        <f>'MKT DATA'!R1794</f>
        <v>0</v>
      </c>
      <c r="O111" s="9">
        <f>'MKT DATA'!S1794</f>
        <v>0</v>
      </c>
      <c r="P111" s="9">
        <f>'MKT DATA'!T1794</f>
        <v>0</v>
      </c>
      <c r="Q111" s="44" t="str">
        <f t="shared" si="5"/>
        <v>syn BTCU6/BTCX6/BTCF7/BTCZ6/BTCG7</v>
      </c>
      <c r="R111" s="14">
        <f>'MKT DATA'!AB1794</f>
        <v>0</v>
      </c>
    </row>
    <row r="112" spans="5:18" x14ac:dyDescent="0.25">
      <c r="E112" s="44" t="str">
        <f>'MKT DATA'!B1795</f>
        <v>syn BTCU6/BTCZ6/BTCV6/BTCX6/BTCG7</v>
      </c>
      <c r="F112" s="14">
        <f>'MKT DATA'!J1795</f>
        <v>0</v>
      </c>
      <c r="G112" s="9">
        <f>'MKT DATA'!K1795</f>
        <v>0</v>
      </c>
      <c r="H112" s="9">
        <f>'MKT DATA'!L1795</f>
        <v>0</v>
      </c>
      <c r="I112" s="14">
        <f>'MKT DATA'!M1795</f>
        <v>0</v>
      </c>
      <c r="J112" s="44" t="str">
        <f t="shared" si="4"/>
        <v>syn BTCU6/BTCZ6/BTCV6/BTCX6/BTCG7</v>
      </c>
      <c r="K112" s="9">
        <f>'MKT DATA'!O1795</f>
        <v>0</v>
      </c>
      <c r="L112" s="9">
        <f>'MKT DATA'!P1795</f>
        <v>0</v>
      </c>
      <c r="M112" s="9">
        <f>'MKT DATA'!Q1795</f>
        <v>0</v>
      </c>
      <c r="N112" s="9">
        <f>'MKT DATA'!R1795</f>
        <v>0</v>
      </c>
      <c r="O112" s="9">
        <f>'MKT DATA'!S1795</f>
        <v>0</v>
      </c>
      <c r="P112" s="9">
        <f>'MKT DATA'!T1795</f>
        <v>0</v>
      </c>
      <c r="Q112" s="44" t="str">
        <f t="shared" si="5"/>
        <v>syn BTCU6/BTCZ6/BTCV6/BTCX6/BTCG7</v>
      </c>
      <c r="R112" s="14">
        <f>'MKT DATA'!AB1795</f>
        <v>0</v>
      </c>
    </row>
    <row r="113" spans="5:18" x14ac:dyDescent="0.25">
      <c r="E113" s="44" t="str">
        <f>'MKT DATA'!B1796</f>
        <v>syn BTCU6/BTCZ6/BTCV6/BTCF7/BTCG7</v>
      </c>
      <c r="F113" s="14">
        <f>'MKT DATA'!J1796</f>
        <v>0</v>
      </c>
      <c r="G113" s="9">
        <f>'MKT DATA'!K1796</f>
        <v>0</v>
      </c>
      <c r="H113" s="9">
        <f>'MKT DATA'!L1796</f>
        <v>0</v>
      </c>
      <c r="I113" s="14">
        <f>'MKT DATA'!M1796</f>
        <v>0</v>
      </c>
      <c r="J113" s="44" t="str">
        <f t="shared" si="4"/>
        <v>syn BTCU6/BTCZ6/BTCV6/BTCF7/BTCG7</v>
      </c>
      <c r="K113" s="9">
        <f>'MKT DATA'!O1796</f>
        <v>0</v>
      </c>
      <c r="L113" s="9">
        <f>'MKT DATA'!P1796</f>
        <v>0</v>
      </c>
      <c r="M113" s="9">
        <f>'MKT DATA'!Q1796</f>
        <v>0</v>
      </c>
      <c r="N113" s="9">
        <f>'MKT DATA'!R1796</f>
        <v>0</v>
      </c>
      <c r="O113" s="9">
        <f>'MKT DATA'!S1796</f>
        <v>0</v>
      </c>
      <c r="P113" s="9">
        <f>'MKT DATA'!T1796</f>
        <v>0</v>
      </c>
      <c r="Q113" s="44" t="str">
        <f t="shared" si="5"/>
        <v>syn BTCU6/BTCZ6/BTCV6/BTCF7/BTCG7</v>
      </c>
      <c r="R113" s="14">
        <f>'MKT DATA'!AB1796</f>
        <v>0</v>
      </c>
    </row>
    <row r="114" spans="5:18" x14ac:dyDescent="0.25">
      <c r="E114" s="44" t="str">
        <f>'MKT DATA'!B1797</f>
        <v>syn BTCU6/BTCZ6/BTCX6/BTCV6/BTCG7</v>
      </c>
      <c r="F114" s="14">
        <f>'MKT DATA'!J1797</f>
        <v>0</v>
      </c>
      <c r="G114" s="9">
        <f>'MKT DATA'!K1797</f>
        <v>0</v>
      </c>
      <c r="H114" s="9">
        <f>'MKT DATA'!L1797</f>
        <v>0</v>
      </c>
      <c r="I114" s="14">
        <f>'MKT DATA'!M1797</f>
        <v>0</v>
      </c>
      <c r="J114" s="44" t="str">
        <f t="shared" si="4"/>
        <v>syn BTCU6/BTCZ6/BTCX6/BTCV6/BTCG7</v>
      </c>
      <c r="K114" s="9">
        <f>'MKT DATA'!O1797</f>
        <v>0</v>
      </c>
      <c r="L114" s="9">
        <f>'MKT DATA'!P1797</f>
        <v>0</v>
      </c>
      <c r="M114" s="9">
        <f>'MKT DATA'!Q1797</f>
        <v>0</v>
      </c>
      <c r="N114" s="9">
        <f>'MKT DATA'!R1797</f>
        <v>0</v>
      </c>
      <c r="O114" s="9">
        <f>'MKT DATA'!S1797</f>
        <v>0</v>
      </c>
      <c r="P114" s="9">
        <f>'MKT DATA'!T1797</f>
        <v>0</v>
      </c>
      <c r="Q114" s="44" t="str">
        <f t="shared" si="5"/>
        <v>syn BTCU6/BTCZ6/BTCX6/BTCV6/BTCG7</v>
      </c>
      <c r="R114" s="14">
        <f>'MKT DATA'!AB1797</f>
        <v>0</v>
      </c>
    </row>
    <row r="115" spans="5:18" x14ac:dyDescent="0.25">
      <c r="E115" s="44" t="str">
        <f>'MKT DATA'!B1798</f>
        <v>syn BTCU6/BTCZ6/BTCX6/BTCF7/BTCG7</v>
      </c>
      <c r="F115" s="14">
        <f>'MKT DATA'!J1798</f>
        <v>0</v>
      </c>
      <c r="G115" s="9">
        <f>'MKT DATA'!K1798</f>
        <v>0</v>
      </c>
      <c r="H115" s="9">
        <f>'MKT DATA'!L1798</f>
        <v>0</v>
      </c>
      <c r="I115" s="14">
        <f>'MKT DATA'!M1798</f>
        <v>0</v>
      </c>
      <c r="J115" s="44" t="str">
        <f t="shared" si="4"/>
        <v>syn BTCU6/BTCZ6/BTCX6/BTCF7/BTCG7</v>
      </c>
      <c r="K115" s="9">
        <f>'MKT DATA'!O1798</f>
        <v>0</v>
      </c>
      <c r="L115" s="9">
        <f>'MKT DATA'!P1798</f>
        <v>0</v>
      </c>
      <c r="M115" s="9">
        <f>'MKT DATA'!Q1798</f>
        <v>0</v>
      </c>
      <c r="N115" s="9">
        <f>'MKT DATA'!R1798</f>
        <v>0</v>
      </c>
      <c r="O115" s="9">
        <f>'MKT DATA'!S1798</f>
        <v>0</v>
      </c>
      <c r="P115" s="9">
        <f>'MKT DATA'!T1798</f>
        <v>0</v>
      </c>
      <c r="Q115" s="44" t="str">
        <f t="shared" si="5"/>
        <v>syn BTCU6/BTCZ6/BTCX6/BTCF7/BTCG7</v>
      </c>
      <c r="R115" s="14">
        <f>'MKT DATA'!AB1798</f>
        <v>0</v>
      </c>
    </row>
    <row r="116" spans="5:18" x14ac:dyDescent="0.25">
      <c r="E116" s="44" t="str">
        <f>'MKT DATA'!B1799</f>
        <v>syn BTCU6/BTCZ6/BTCF7/BTCV6/BTCG7</v>
      </c>
      <c r="F116" s="14">
        <f>'MKT DATA'!J1799</f>
        <v>0</v>
      </c>
      <c r="G116" s="9">
        <f>'MKT DATA'!K1799</f>
        <v>0</v>
      </c>
      <c r="H116" s="9">
        <f>'MKT DATA'!L1799</f>
        <v>0</v>
      </c>
      <c r="I116" s="14">
        <f>'MKT DATA'!M1799</f>
        <v>0</v>
      </c>
      <c r="J116" s="44" t="str">
        <f t="shared" si="4"/>
        <v>syn BTCU6/BTCZ6/BTCF7/BTCV6/BTCG7</v>
      </c>
      <c r="K116" s="9">
        <f>'MKT DATA'!O1799</f>
        <v>0</v>
      </c>
      <c r="L116" s="9">
        <f>'MKT DATA'!P1799</f>
        <v>0</v>
      </c>
      <c r="M116" s="9">
        <f>'MKT DATA'!Q1799</f>
        <v>0</v>
      </c>
      <c r="N116" s="9">
        <f>'MKT DATA'!R1799</f>
        <v>0</v>
      </c>
      <c r="O116" s="9">
        <f>'MKT DATA'!S1799</f>
        <v>0</v>
      </c>
      <c r="P116" s="9">
        <f>'MKT DATA'!T1799</f>
        <v>0</v>
      </c>
      <c r="Q116" s="44" t="str">
        <f t="shared" si="5"/>
        <v>syn BTCU6/BTCZ6/BTCF7/BTCV6/BTCG7</v>
      </c>
      <c r="R116" s="14">
        <f>'MKT DATA'!AB1799</f>
        <v>0</v>
      </c>
    </row>
    <row r="117" spans="5:18" x14ac:dyDescent="0.25">
      <c r="E117" s="44" t="str">
        <f>'MKT DATA'!B1800</f>
        <v>syn BTCU6/BTCZ6/BTCF7/BTCX6/BTCG7</v>
      </c>
      <c r="F117" s="14">
        <f>'MKT DATA'!J1800</f>
        <v>0</v>
      </c>
      <c r="G117" s="9">
        <f>'MKT DATA'!K1800</f>
        <v>0</v>
      </c>
      <c r="H117" s="9">
        <f>'MKT DATA'!L1800</f>
        <v>0</v>
      </c>
      <c r="I117" s="14">
        <f>'MKT DATA'!M1800</f>
        <v>0</v>
      </c>
      <c r="J117" s="44" t="str">
        <f t="shared" si="4"/>
        <v>syn BTCU6/BTCZ6/BTCF7/BTCX6/BTCG7</v>
      </c>
      <c r="K117" s="9">
        <f>'MKT DATA'!O1800</f>
        <v>0</v>
      </c>
      <c r="L117" s="9">
        <f>'MKT DATA'!P1800</f>
        <v>0</v>
      </c>
      <c r="M117" s="9">
        <f>'MKT DATA'!Q1800</f>
        <v>0</v>
      </c>
      <c r="N117" s="9">
        <f>'MKT DATA'!R1800</f>
        <v>0</v>
      </c>
      <c r="O117" s="9">
        <f>'MKT DATA'!S1800</f>
        <v>0</v>
      </c>
      <c r="P117" s="9">
        <f>'MKT DATA'!T1800</f>
        <v>0</v>
      </c>
      <c r="Q117" s="44" t="str">
        <f t="shared" si="5"/>
        <v>syn BTCU6/BTCZ6/BTCF7/BTCX6/BTCG7</v>
      </c>
      <c r="R117" s="14">
        <f>'MKT DATA'!AB1800</f>
        <v>0</v>
      </c>
    </row>
    <row r="118" spans="5:18" x14ac:dyDescent="0.25">
      <c r="E118" s="44" t="str">
        <f>'MKT DATA'!B1801</f>
        <v>syn BTCU6/BTCF7/BTCV6/BTCX6/BTCG7</v>
      </c>
      <c r="F118" s="14">
        <f>'MKT DATA'!J1801</f>
        <v>0</v>
      </c>
      <c r="G118" s="9">
        <f>'MKT DATA'!K1801</f>
        <v>0</v>
      </c>
      <c r="H118" s="9">
        <f>'MKT DATA'!L1801</f>
        <v>0</v>
      </c>
      <c r="I118" s="14">
        <f>'MKT DATA'!M1801</f>
        <v>0</v>
      </c>
      <c r="J118" s="44" t="str">
        <f t="shared" si="4"/>
        <v>syn BTCU6/BTCF7/BTCV6/BTCX6/BTCG7</v>
      </c>
      <c r="K118" s="9">
        <f>'MKT DATA'!O1801</f>
        <v>0</v>
      </c>
      <c r="L118" s="9">
        <f>'MKT DATA'!P1801</f>
        <v>0</v>
      </c>
      <c r="M118" s="9">
        <f>'MKT DATA'!Q1801</f>
        <v>0</v>
      </c>
      <c r="N118" s="9">
        <f>'MKT DATA'!R1801</f>
        <v>0</v>
      </c>
      <c r="O118" s="9">
        <f>'MKT DATA'!S1801</f>
        <v>0</v>
      </c>
      <c r="P118" s="9">
        <f>'MKT DATA'!T1801</f>
        <v>0</v>
      </c>
      <c r="Q118" s="44" t="str">
        <f t="shared" si="5"/>
        <v>syn BTCU6/BTCF7/BTCV6/BTCX6/BTCG7</v>
      </c>
      <c r="R118" s="14">
        <f>'MKT DATA'!AB1801</f>
        <v>0</v>
      </c>
    </row>
    <row r="119" spans="5:18" x14ac:dyDescent="0.25">
      <c r="E119" s="44" t="str">
        <f>'MKT DATA'!B1802</f>
        <v>syn BTCU6/BTCF7/BTCV6/BTCZ6/BTCG7</v>
      </c>
      <c r="F119" s="14">
        <f>'MKT DATA'!J1802</f>
        <v>0</v>
      </c>
      <c r="G119" s="9">
        <f>'MKT DATA'!K1802</f>
        <v>0</v>
      </c>
      <c r="H119" s="9">
        <f>'MKT DATA'!L1802</f>
        <v>0</v>
      </c>
      <c r="I119" s="14">
        <f>'MKT DATA'!M1802</f>
        <v>0</v>
      </c>
      <c r="J119" s="44" t="str">
        <f t="shared" si="4"/>
        <v>syn BTCU6/BTCF7/BTCV6/BTCZ6/BTCG7</v>
      </c>
      <c r="K119" s="9">
        <f>'MKT DATA'!O1802</f>
        <v>0</v>
      </c>
      <c r="L119" s="9">
        <f>'MKT DATA'!P1802</f>
        <v>0</v>
      </c>
      <c r="M119" s="9">
        <f>'MKT DATA'!Q1802</f>
        <v>0</v>
      </c>
      <c r="N119" s="9">
        <f>'MKT DATA'!R1802</f>
        <v>0</v>
      </c>
      <c r="O119" s="9">
        <f>'MKT DATA'!S1802</f>
        <v>0</v>
      </c>
      <c r="P119" s="9">
        <f>'MKT DATA'!T1802</f>
        <v>0</v>
      </c>
      <c r="Q119" s="44" t="str">
        <f t="shared" si="5"/>
        <v>syn BTCU6/BTCF7/BTCV6/BTCZ6/BTCG7</v>
      </c>
      <c r="R119" s="14">
        <f>'MKT DATA'!AB1802</f>
        <v>0</v>
      </c>
    </row>
    <row r="120" spans="5:18" x14ac:dyDescent="0.25">
      <c r="E120" s="44" t="str">
        <f>'MKT DATA'!B1803</f>
        <v>syn BTCU6/BTCF7/BTCX6/BTCV6/BTCG7</v>
      </c>
      <c r="F120" s="14">
        <f>'MKT DATA'!J1803</f>
        <v>0</v>
      </c>
      <c r="G120" s="9">
        <f>'MKT DATA'!K1803</f>
        <v>0</v>
      </c>
      <c r="H120" s="9">
        <f>'MKT DATA'!L1803</f>
        <v>0</v>
      </c>
      <c r="I120" s="14">
        <f>'MKT DATA'!M1803</f>
        <v>0</v>
      </c>
      <c r="J120" s="44" t="str">
        <f t="shared" si="4"/>
        <v>syn BTCU6/BTCF7/BTCX6/BTCV6/BTCG7</v>
      </c>
      <c r="K120" s="9">
        <f>'MKT DATA'!O1803</f>
        <v>0</v>
      </c>
      <c r="L120" s="9">
        <f>'MKT DATA'!P1803</f>
        <v>0</v>
      </c>
      <c r="M120" s="9">
        <f>'MKT DATA'!Q1803</f>
        <v>0</v>
      </c>
      <c r="N120" s="9">
        <f>'MKT DATA'!R1803</f>
        <v>0</v>
      </c>
      <c r="O120" s="9">
        <f>'MKT DATA'!S1803</f>
        <v>0</v>
      </c>
      <c r="P120" s="9">
        <f>'MKT DATA'!T1803</f>
        <v>0</v>
      </c>
      <c r="Q120" s="44" t="str">
        <f t="shared" si="5"/>
        <v>syn BTCU6/BTCF7/BTCX6/BTCV6/BTCG7</v>
      </c>
      <c r="R120" s="14">
        <f>'MKT DATA'!AB1803</f>
        <v>0</v>
      </c>
    </row>
    <row r="121" spans="5:18" x14ac:dyDescent="0.25">
      <c r="E121" s="44" t="str">
        <f>'MKT DATA'!B1804</f>
        <v>syn BTCU6/BTCF7/BTCX6/BTCZ6/BTCG7</v>
      </c>
      <c r="F121" s="14">
        <f>'MKT DATA'!J1804</f>
        <v>0</v>
      </c>
      <c r="G121" s="9">
        <f>'MKT DATA'!K1804</f>
        <v>0</v>
      </c>
      <c r="H121" s="9">
        <f>'MKT DATA'!L1804</f>
        <v>0</v>
      </c>
      <c r="I121" s="14">
        <f>'MKT DATA'!M1804</f>
        <v>0</v>
      </c>
      <c r="J121" s="44" t="str">
        <f t="shared" si="4"/>
        <v>syn BTCU6/BTCF7/BTCX6/BTCZ6/BTCG7</v>
      </c>
      <c r="K121" s="9">
        <f>'MKT DATA'!O1804</f>
        <v>0</v>
      </c>
      <c r="L121" s="9">
        <f>'MKT DATA'!P1804</f>
        <v>0</v>
      </c>
      <c r="M121" s="9">
        <f>'MKT DATA'!Q1804</f>
        <v>0</v>
      </c>
      <c r="N121" s="9">
        <f>'MKT DATA'!R1804</f>
        <v>0</v>
      </c>
      <c r="O121" s="9">
        <f>'MKT DATA'!S1804</f>
        <v>0</v>
      </c>
      <c r="P121" s="9">
        <f>'MKT DATA'!T1804</f>
        <v>0</v>
      </c>
      <c r="Q121" s="44" t="str">
        <f t="shared" si="5"/>
        <v>syn BTCU6/BTCF7/BTCX6/BTCZ6/BTCG7</v>
      </c>
      <c r="R121" s="14">
        <f>'MKT DATA'!AB1804</f>
        <v>0</v>
      </c>
    </row>
    <row r="122" spans="5:18" x14ac:dyDescent="0.25">
      <c r="E122" s="44" t="str">
        <f>'MKT DATA'!B1805</f>
        <v>syn BTCU6/BTCF7/BTCZ6/BTCV6/BTCG7</v>
      </c>
      <c r="F122" s="14">
        <f>'MKT DATA'!J1805</f>
        <v>0</v>
      </c>
      <c r="G122" s="9">
        <f>'MKT DATA'!K1805</f>
        <v>0</v>
      </c>
      <c r="H122" s="9">
        <f>'MKT DATA'!L1805</f>
        <v>0</v>
      </c>
      <c r="I122" s="14">
        <f>'MKT DATA'!M1805</f>
        <v>0</v>
      </c>
      <c r="J122" s="44" t="str">
        <f t="shared" si="4"/>
        <v>syn BTCU6/BTCF7/BTCZ6/BTCV6/BTCG7</v>
      </c>
      <c r="K122" s="9">
        <f>'MKT DATA'!O1805</f>
        <v>0</v>
      </c>
      <c r="L122" s="9">
        <f>'MKT DATA'!P1805</f>
        <v>0</v>
      </c>
      <c r="M122" s="9">
        <f>'MKT DATA'!Q1805</f>
        <v>0</v>
      </c>
      <c r="N122" s="9">
        <f>'MKT DATA'!R1805</f>
        <v>0</v>
      </c>
      <c r="O122" s="9">
        <f>'MKT DATA'!S1805</f>
        <v>0</v>
      </c>
      <c r="P122" s="9">
        <f>'MKT DATA'!T1805</f>
        <v>0</v>
      </c>
      <c r="Q122" s="44" t="str">
        <f t="shared" si="5"/>
        <v>syn BTCU6/BTCF7/BTCZ6/BTCV6/BTCG7</v>
      </c>
      <c r="R122" s="14">
        <f>'MKT DATA'!AB1805</f>
        <v>0</v>
      </c>
    </row>
    <row r="123" spans="5:18" x14ac:dyDescent="0.25">
      <c r="E123" s="44" t="str">
        <f>'MKT DATA'!B1806</f>
        <v>syn BTCU6/BTCF7/BTCZ6/BTCX6/BTCG7</v>
      </c>
      <c r="F123" s="14">
        <f>'MKT DATA'!J1806</f>
        <v>0</v>
      </c>
      <c r="G123" s="9">
        <f>'MKT DATA'!K1806</f>
        <v>0</v>
      </c>
      <c r="H123" s="9">
        <f>'MKT DATA'!L1806</f>
        <v>0</v>
      </c>
      <c r="I123" s="14">
        <f>'MKT DATA'!M1806</f>
        <v>0</v>
      </c>
      <c r="J123" s="44" t="str">
        <f t="shared" si="4"/>
        <v>syn BTCU6/BTCF7/BTCZ6/BTCX6/BTCG7</v>
      </c>
      <c r="K123" s="9">
        <f>'MKT DATA'!O1806</f>
        <v>0</v>
      </c>
      <c r="L123" s="9">
        <f>'MKT DATA'!P1806</f>
        <v>0</v>
      </c>
      <c r="M123" s="9">
        <f>'MKT DATA'!Q1806</f>
        <v>0</v>
      </c>
      <c r="N123" s="9">
        <f>'MKT DATA'!R1806</f>
        <v>0</v>
      </c>
      <c r="O123" s="9">
        <f>'MKT DATA'!S1806</f>
        <v>0</v>
      </c>
      <c r="P123" s="9">
        <f>'MKT DATA'!T1806</f>
        <v>0</v>
      </c>
      <c r="Q123" s="44" t="str">
        <f t="shared" si="5"/>
        <v>syn BTCU6/BTCF7/BTCZ6/BTCX6/BTCG7</v>
      </c>
      <c r="R123" s="14">
        <f>'MKT DATA'!AB1806</f>
        <v>0</v>
      </c>
    </row>
    <row r="124" spans="5:18" x14ac:dyDescent="0.25">
      <c r="E124" s="44" t="str">
        <f>'MKT DATA'!B1807</f>
        <v>syn BTCV6/BTCU6/BTCX6/BTCZ6/BTCG7</v>
      </c>
      <c r="F124" s="14">
        <f>'MKT DATA'!J1807</f>
        <v>0</v>
      </c>
      <c r="G124" s="9">
        <f>'MKT DATA'!K1807</f>
        <v>0</v>
      </c>
      <c r="H124" s="9">
        <f>'MKT DATA'!L1807</f>
        <v>0</v>
      </c>
      <c r="I124" s="14">
        <f>'MKT DATA'!M1807</f>
        <v>0</v>
      </c>
      <c r="J124" s="44" t="str">
        <f t="shared" si="4"/>
        <v>syn BTCV6/BTCU6/BTCX6/BTCZ6/BTCG7</v>
      </c>
      <c r="K124" s="9">
        <f>'MKT DATA'!O1807</f>
        <v>0</v>
      </c>
      <c r="L124" s="9">
        <f>'MKT DATA'!P1807</f>
        <v>0</v>
      </c>
      <c r="M124" s="9">
        <f>'MKT DATA'!Q1807</f>
        <v>0</v>
      </c>
      <c r="N124" s="9">
        <f>'MKT DATA'!R1807</f>
        <v>0</v>
      </c>
      <c r="O124" s="9">
        <f>'MKT DATA'!S1807</f>
        <v>0</v>
      </c>
      <c r="P124" s="9">
        <f>'MKT DATA'!T1807</f>
        <v>0</v>
      </c>
      <c r="Q124" s="44" t="str">
        <f t="shared" si="5"/>
        <v>syn BTCV6/BTCU6/BTCX6/BTCZ6/BTCG7</v>
      </c>
      <c r="R124" s="14">
        <f>'MKT DATA'!AB1807</f>
        <v>0</v>
      </c>
    </row>
    <row r="125" spans="5:18" x14ac:dyDescent="0.25">
      <c r="E125" s="44" t="str">
        <f>'MKT DATA'!B1808</f>
        <v>syn BTCV6/BTCU6/BTCX6/BTCF7/BTCG7</v>
      </c>
      <c r="F125" s="14">
        <f>'MKT DATA'!J1808</f>
        <v>0</v>
      </c>
      <c r="G125" s="9">
        <f>'MKT DATA'!K1808</f>
        <v>0</v>
      </c>
      <c r="H125" s="9">
        <f>'MKT DATA'!L1808</f>
        <v>0</v>
      </c>
      <c r="I125" s="14">
        <f>'MKT DATA'!M1808</f>
        <v>0</v>
      </c>
      <c r="J125" s="44" t="str">
        <f t="shared" si="4"/>
        <v>syn BTCV6/BTCU6/BTCX6/BTCF7/BTCG7</v>
      </c>
      <c r="K125" s="9">
        <f>'MKT DATA'!O1808</f>
        <v>0</v>
      </c>
      <c r="L125" s="9">
        <f>'MKT DATA'!P1808</f>
        <v>0</v>
      </c>
      <c r="M125" s="9">
        <f>'MKT DATA'!Q1808</f>
        <v>0</v>
      </c>
      <c r="N125" s="9">
        <f>'MKT DATA'!R1808</f>
        <v>0</v>
      </c>
      <c r="O125" s="9">
        <f>'MKT DATA'!S1808</f>
        <v>0</v>
      </c>
      <c r="P125" s="9">
        <f>'MKT DATA'!T1808</f>
        <v>0</v>
      </c>
      <c r="Q125" s="44" t="str">
        <f t="shared" si="5"/>
        <v>syn BTCV6/BTCU6/BTCX6/BTCF7/BTCG7</v>
      </c>
      <c r="R125" s="14">
        <f>'MKT DATA'!AB1808</f>
        <v>0</v>
      </c>
    </row>
    <row r="126" spans="5:18" x14ac:dyDescent="0.25">
      <c r="E126" s="44" t="str">
        <f>'MKT DATA'!B1809</f>
        <v>syn BTCV6/BTCU6/BTCZ6/BTCX6/BTCG7</v>
      </c>
      <c r="F126" s="14">
        <f>'MKT DATA'!J1809</f>
        <v>0</v>
      </c>
      <c r="G126" s="9">
        <f>'MKT DATA'!K1809</f>
        <v>0</v>
      </c>
      <c r="H126" s="9">
        <f>'MKT DATA'!L1809</f>
        <v>0</v>
      </c>
      <c r="I126" s="14">
        <f>'MKT DATA'!M1809</f>
        <v>0</v>
      </c>
      <c r="J126" s="44" t="str">
        <f t="shared" si="4"/>
        <v>syn BTCV6/BTCU6/BTCZ6/BTCX6/BTCG7</v>
      </c>
      <c r="K126" s="9">
        <f>'MKT DATA'!O1809</f>
        <v>0</v>
      </c>
      <c r="L126" s="9">
        <f>'MKT DATA'!P1809</f>
        <v>0</v>
      </c>
      <c r="M126" s="9">
        <f>'MKT DATA'!Q1809</f>
        <v>0</v>
      </c>
      <c r="N126" s="9">
        <f>'MKT DATA'!R1809</f>
        <v>0</v>
      </c>
      <c r="O126" s="9">
        <f>'MKT DATA'!S1809</f>
        <v>0</v>
      </c>
      <c r="P126" s="9">
        <f>'MKT DATA'!T1809</f>
        <v>0</v>
      </c>
      <c r="Q126" s="44" t="str">
        <f t="shared" si="5"/>
        <v>syn BTCV6/BTCU6/BTCZ6/BTCX6/BTCG7</v>
      </c>
      <c r="R126" s="14">
        <f>'MKT DATA'!AB1809</f>
        <v>0</v>
      </c>
    </row>
    <row r="127" spans="5:18" x14ac:dyDescent="0.25">
      <c r="E127" s="44" t="str">
        <f>'MKT DATA'!B1810</f>
        <v>syn BTCV6/BTCU6/BTCZ6/BTCF7/BTCG7</v>
      </c>
      <c r="F127" s="14">
        <f>'MKT DATA'!J1810</f>
        <v>0</v>
      </c>
      <c r="G127" s="9">
        <f>'MKT DATA'!K1810</f>
        <v>0</v>
      </c>
      <c r="H127" s="9">
        <f>'MKT DATA'!L1810</f>
        <v>0</v>
      </c>
      <c r="I127" s="14">
        <f>'MKT DATA'!M1810</f>
        <v>0</v>
      </c>
      <c r="J127" s="44" t="str">
        <f t="shared" si="4"/>
        <v>syn BTCV6/BTCU6/BTCZ6/BTCF7/BTCG7</v>
      </c>
      <c r="K127" s="9">
        <f>'MKT DATA'!O1810</f>
        <v>0</v>
      </c>
      <c r="L127" s="9">
        <f>'MKT DATA'!P1810</f>
        <v>0</v>
      </c>
      <c r="M127" s="9">
        <f>'MKT DATA'!Q1810</f>
        <v>0</v>
      </c>
      <c r="N127" s="9">
        <f>'MKT DATA'!R1810</f>
        <v>0</v>
      </c>
      <c r="O127" s="9">
        <f>'MKT DATA'!S1810</f>
        <v>0</v>
      </c>
      <c r="P127" s="9">
        <f>'MKT DATA'!T1810</f>
        <v>0</v>
      </c>
      <c r="Q127" s="44" t="str">
        <f t="shared" si="5"/>
        <v>syn BTCV6/BTCU6/BTCZ6/BTCF7/BTCG7</v>
      </c>
      <c r="R127" s="14">
        <f>'MKT DATA'!AB1810</f>
        <v>0</v>
      </c>
    </row>
    <row r="128" spans="5:18" x14ac:dyDescent="0.25">
      <c r="E128" s="44" t="str">
        <f>'MKT DATA'!B1811</f>
        <v>syn BTCV6/BTCU6/BTCF7/BTCX6/BTCG7</v>
      </c>
      <c r="F128" s="14">
        <f>'MKT DATA'!J1811</f>
        <v>0</v>
      </c>
      <c r="G128" s="9">
        <f>'MKT DATA'!K1811</f>
        <v>0</v>
      </c>
      <c r="H128" s="9">
        <f>'MKT DATA'!L1811</f>
        <v>0</v>
      </c>
      <c r="I128" s="14">
        <f>'MKT DATA'!M1811</f>
        <v>0</v>
      </c>
      <c r="J128" s="44" t="str">
        <f t="shared" si="4"/>
        <v>syn BTCV6/BTCU6/BTCF7/BTCX6/BTCG7</v>
      </c>
      <c r="K128" s="9">
        <f>'MKT DATA'!O1811</f>
        <v>0</v>
      </c>
      <c r="L128" s="9">
        <f>'MKT DATA'!P1811</f>
        <v>0</v>
      </c>
      <c r="M128" s="9">
        <f>'MKT DATA'!Q1811</f>
        <v>0</v>
      </c>
      <c r="N128" s="9">
        <f>'MKT DATA'!R1811</f>
        <v>0</v>
      </c>
      <c r="O128" s="9">
        <f>'MKT DATA'!S1811</f>
        <v>0</v>
      </c>
      <c r="P128" s="9">
        <f>'MKT DATA'!T1811</f>
        <v>0</v>
      </c>
      <c r="Q128" s="44" t="str">
        <f t="shared" si="5"/>
        <v>syn BTCV6/BTCU6/BTCF7/BTCX6/BTCG7</v>
      </c>
      <c r="R128" s="14">
        <f>'MKT DATA'!AB1811</f>
        <v>0</v>
      </c>
    </row>
    <row r="129" spans="5:18" x14ac:dyDescent="0.25">
      <c r="E129" s="44" t="str">
        <f>'MKT DATA'!B1812</f>
        <v>syn BTCV6/BTCU6/BTCF7/BTCZ6/BTCG7</v>
      </c>
      <c r="F129" s="14">
        <f>'MKT DATA'!J1812</f>
        <v>0</v>
      </c>
      <c r="G129" s="9">
        <f>'MKT DATA'!K1812</f>
        <v>0</v>
      </c>
      <c r="H129" s="9">
        <f>'MKT DATA'!L1812</f>
        <v>0</v>
      </c>
      <c r="I129" s="14">
        <f>'MKT DATA'!M1812</f>
        <v>0</v>
      </c>
      <c r="J129" s="44" t="str">
        <f t="shared" si="4"/>
        <v>syn BTCV6/BTCU6/BTCF7/BTCZ6/BTCG7</v>
      </c>
      <c r="K129" s="9">
        <f>'MKT DATA'!O1812</f>
        <v>0</v>
      </c>
      <c r="L129" s="9">
        <f>'MKT DATA'!P1812</f>
        <v>0</v>
      </c>
      <c r="M129" s="9">
        <f>'MKT DATA'!Q1812</f>
        <v>0</v>
      </c>
      <c r="N129" s="9">
        <f>'MKT DATA'!R1812</f>
        <v>0</v>
      </c>
      <c r="O129" s="9">
        <f>'MKT DATA'!S1812</f>
        <v>0</v>
      </c>
      <c r="P129" s="9">
        <f>'MKT DATA'!T1812</f>
        <v>0</v>
      </c>
      <c r="Q129" s="44" t="str">
        <f t="shared" si="5"/>
        <v>syn BTCV6/BTCU6/BTCF7/BTCZ6/BTCG7</v>
      </c>
      <c r="R129" s="14">
        <f>'MKT DATA'!AB1812</f>
        <v>0</v>
      </c>
    </row>
    <row r="130" spans="5:18" x14ac:dyDescent="0.25">
      <c r="E130" s="44" t="str">
        <f>'MKT DATA'!B1813</f>
        <v>syn BTCV6/BTCX6/BTCU6/BTCZ6/BTCG7</v>
      </c>
      <c r="F130" s="14">
        <f>'MKT DATA'!J1813</f>
        <v>0</v>
      </c>
      <c r="G130" s="9">
        <f>'MKT DATA'!K1813</f>
        <v>0</v>
      </c>
      <c r="H130" s="9">
        <f>'MKT DATA'!L1813</f>
        <v>0</v>
      </c>
      <c r="I130" s="14">
        <f>'MKT DATA'!M1813</f>
        <v>0</v>
      </c>
      <c r="J130" s="44" t="str">
        <f t="shared" si="4"/>
        <v>syn BTCV6/BTCX6/BTCU6/BTCZ6/BTCG7</v>
      </c>
      <c r="K130" s="9">
        <f>'MKT DATA'!O1813</f>
        <v>0</v>
      </c>
      <c r="L130" s="9">
        <f>'MKT DATA'!P1813</f>
        <v>0</v>
      </c>
      <c r="M130" s="9">
        <f>'MKT DATA'!Q1813</f>
        <v>0</v>
      </c>
      <c r="N130" s="9">
        <f>'MKT DATA'!R1813</f>
        <v>0</v>
      </c>
      <c r="O130" s="9">
        <f>'MKT DATA'!S1813</f>
        <v>0</v>
      </c>
      <c r="P130" s="9">
        <f>'MKT DATA'!T1813</f>
        <v>0</v>
      </c>
      <c r="Q130" s="44" t="str">
        <f t="shared" si="5"/>
        <v>syn BTCV6/BTCX6/BTCU6/BTCZ6/BTCG7</v>
      </c>
      <c r="R130" s="14">
        <f>'MKT DATA'!AB1813</f>
        <v>0</v>
      </c>
    </row>
    <row r="131" spans="5:18" x14ac:dyDescent="0.25">
      <c r="E131" s="44" t="str">
        <f>'MKT DATA'!B1814</f>
        <v>syn BTCV6/BTCX6/BTCU6/BTCF7/BTCG7</v>
      </c>
      <c r="F131" s="14">
        <f>'MKT DATA'!J1814</f>
        <v>0</v>
      </c>
      <c r="G131" s="9">
        <f>'MKT DATA'!K1814</f>
        <v>0</v>
      </c>
      <c r="H131" s="9">
        <f>'MKT DATA'!L1814</f>
        <v>0</v>
      </c>
      <c r="I131" s="14">
        <f>'MKT DATA'!M1814</f>
        <v>0</v>
      </c>
      <c r="J131" s="44" t="str">
        <f t="shared" si="4"/>
        <v>syn BTCV6/BTCX6/BTCU6/BTCF7/BTCG7</v>
      </c>
      <c r="K131" s="9">
        <f>'MKT DATA'!O1814</f>
        <v>0</v>
      </c>
      <c r="L131" s="9">
        <f>'MKT DATA'!P1814</f>
        <v>0</v>
      </c>
      <c r="M131" s="9">
        <f>'MKT DATA'!Q1814</f>
        <v>0</v>
      </c>
      <c r="N131" s="9">
        <f>'MKT DATA'!R1814</f>
        <v>0</v>
      </c>
      <c r="O131" s="9">
        <f>'MKT DATA'!S1814</f>
        <v>0</v>
      </c>
      <c r="P131" s="9">
        <f>'MKT DATA'!T1814</f>
        <v>0</v>
      </c>
      <c r="Q131" s="44" t="str">
        <f t="shared" si="5"/>
        <v>syn BTCV6/BTCX6/BTCU6/BTCF7/BTCG7</v>
      </c>
      <c r="R131" s="14">
        <f>'MKT DATA'!AB1814</f>
        <v>0</v>
      </c>
    </row>
    <row r="132" spans="5:18" x14ac:dyDescent="0.25">
      <c r="E132" s="44" t="str">
        <f>'MKT DATA'!B1815</f>
        <v>syn BTCV6/BTCX6/BTCZ6/BTCU6/BTCG7</v>
      </c>
      <c r="F132" s="14">
        <f>'MKT DATA'!J1815</f>
        <v>0</v>
      </c>
      <c r="G132" s="9">
        <f>'MKT DATA'!K1815</f>
        <v>0</v>
      </c>
      <c r="H132" s="9">
        <f>'MKT DATA'!L1815</f>
        <v>0</v>
      </c>
      <c r="I132" s="14">
        <f>'MKT DATA'!M1815</f>
        <v>0</v>
      </c>
      <c r="J132" s="44" t="str">
        <f t="shared" si="4"/>
        <v>syn BTCV6/BTCX6/BTCZ6/BTCU6/BTCG7</v>
      </c>
      <c r="K132" s="9">
        <f>'MKT DATA'!O1815</f>
        <v>0</v>
      </c>
      <c r="L132" s="9">
        <f>'MKT DATA'!P1815</f>
        <v>0</v>
      </c>
      <c r="M132" s="9">
        <f>'MKT DATA'!Q1815</f>
        <v>0</v>
      </c>
      <c r="N132" s="9">
        <f>'MKT DATA'!R1815</f>
        <v>0</v>
      </c>
      <c r="O132" s="9">
        <f>'MKT DATA'!S1815</f>
        <v>0</v>
      </c>
      <c r="P132" s="9">
        <f>'MKT DATA'!T1815</f>
        <v>0</v>
      </c>
      <c r="Q132" s="44" t="str">
        <f t="shared" si="5"/>
        <v>syn BTCV6/BTCX6/BTCZ6/BTCU6/BTCG7</v>
      </c>
      <c r="R132" s="14">
        <f>'MKT DATA'!AB1815</f>
        <v>0</v>
      </c>
    </row>
    <row r="133" spans="5:18" x14ac:dyDescent="0.25">
      <c r="E133" s="44" t="str">
        <f>'MKT DATA'!B1816</f>
        <v>syn BTCV6/BTCX6/BTCZ6/BTCF7/BTCG7</v>
      </c>
      <c r="F133" s="14">
        <f>'MKT DATA'!J1816</f>
        <v>0</v>
      </c>
      <c r="G133" s="9">
        <f>'MKT DATA'!K1816</f>
        <v>0</v>
      </c>
      <c r="H133" s="9">
        <f>'MKT DATA'!L1816</f>
        <v>0</v>
      </c>
      <c r="I133" s="14">
        <f>'MKT DATA'!M1816</f>
        <v>0</v>
      </c>
      <c r="J133" s="44" t="str">
        <f t="shared" si="4"/>
        <v>syn BTCV6/BTCX6/BTCZ6/BTCF7/BTCG7</v>
      </c>
      <c r="K133" s="9">
        <f>'MKT DATA'!O1816</f>
        <v>0</v>
      </c>
      <c r="L133" s="9">
        <f>'MKT DATA'!P1816</f>
        <v>0</v>
      </c>
      <c r="M133" s="9">
        <f>'MKT DATA'!Q1816</f>
        <v>0</v>
      </c>
      <c r="N133" s="9">
        <f>'MKT DATA'!R1816</f>
        <v>0</v>
      </c>
      <c r="O133" s="9">
        <f>'MKT DATA'!S1816</f>
        <v>0</v>
      </c>
      <c r="P133" s="9">
        <f>'MKT DATA'!T1816</f>
        <v>0</v>
      </c>
      <c r="Q133" s="44" t="str">
        <f t="shared" si="5"/>
        <v>syn BTCV6/BTCX6/BTCZ6/BTCF7/BTCG7</v>
      </c>
      <c r="R133" s="14">
        <f>'MKT DATA'!AB1816</f>
        <v>0</v>
      </c>
    </row>
    <row r="134" spans="5:18" x14ac:dyDescent="0.25">
      <c r="E134" s="44" t="str">
        <f>'MKT DATA'!B1817</f>
        <v>syn BTCV6/BTCX6/BTCF7/BTCU6/BTCG7</v>
      </c>
      <c r="F134" s="14">
        <f>'MKT DATA'!J1817</f>
        <v>0</v>
      </c>
      <c r="G134" s="9">
        <f>'MKT DATA'!K1817</f>
        <v>0</v>
      </c>
      <c r="H134" s="9">
        <f>'MKT DATA'!L1817</f>
        <v>0</v>
      </c>
      <c r="I134" s="14">
        <f>'MKT DATA'!M1817</f>
        <v>0</v>
      </c>
      <c r="J134" s="44" t="str">
        <f t="shared" si="4"/>
        <v>syn BTCV6/BTCX6/BTCF7/BTCU6/BTCG7</v>
      </c>
      <c r="K134" s="9">
        <f>'MKT DATA'!O1817</f>
        <v>0</v>
      </c>
      <c r="L134" s="9">
        <f>'MKT DATA'!P1817</f>
        <v>0</v>
      </c>
      <c r="M134" s="9">
        <f>'MKT DATA'!Q1817</f>
        <v>0</v>
      </c>
      <c r="N134" s="9">
        <f>'MKT DATA'!R1817</f>
        <v>0</v>
      </c>
      <c r="O134" s="9">
        <f>'MKT DATA'!S1817</f>
        <v>0</v>
      </c>
      <c r="P134" s="9">
        <f>'MKT DATA'!T1817</f>
        <v>0</v>
      </c>
      <c r="Q134" s="44" t="str">
        <f t="shared" si="5"/>
        <v>syn BTCV6/BTCX6/BTCF7/BTCU6/BTCG7</v>
      </c>
      <c r="R134" s="14">
        <f>'MKT DATA'!AB1817</f>
        <v>0</v>
      </c>
    </row>
    <row r="135" spans="5:18" x14ac:dyDescent="0.25">
      <c r="E135" s="44" t="str">
        <f>'MKT DATA'!B1818</f>
        <v>syn BTCV6/BTCX6/BTCF7/BTCZ6/BTCG7</v>
      </c>
      <c r="F135" s="14">
        <f>'MKT DATA'!J1818</f>
        <v>0</v>
      </c>
      <c r="G135" s="9">
        <f>'MKT DATA'!K1818</f>
        <v>0</v>
      </c>
      <c r="H135" s="9">
        <f>'MKT DATA'!L1818</f>
        <v>0</v>
      </c>
      <c r="I135" s="14">
        <f>'MKT DATA'!M1818</f>
        <v>0</v>
      </c>
      <c r="J135" s="44" t="str">
        <f t="shared" si="4"/>
        <v>syn BTCV6/BTCX6/BTCF7/BTCZ6/BTCG7</v>
      </c>
      <c r="K135" s="9">
        <f>'MKT DATA'!O1818</f>
        <v>0</v>
      </c>
      <c r="L135" s="9">
        <f>'MKT DATA'!P1818</f>
        <v>0</v>
      </c>
      <c r="M135" s="9">
        <f>'MKT DATA'!Q1818</f>
        <v>0</v>
      </c>
      <c r="N135" s="9">
        <f>'MKT DATA'!R1818</f>
        <v>0</v>
      </c>
      <c r="O135" s="9">
        <f>'MKT DATA'!S1818</f>
        <v>0</v>
      </c>
      <c r="P135" s="9">
        <f>'MKT DATA'!T1818</f>
        <v>0</v>
      </c>
      <c r="Q135" s="44" t="str">
        <f t="shared" si="5"/>
        <v>syn BTCV6/BTCX6/BTCF7/BTCZ6/BTCG7</v>
      </c>
      <c r="R135" s="14">
        <f>'MKT DATA'!AB1818</f>
        <v>0</v>
      </c>
    </row>
    <row r="136" spans="5:18" x14ac:dyDescent="0.25">
      <c r="E136" s="44" t="str">
        <f>'MKT DATA'!B1819</f>
        <v>syn BTCV6/BTCZ6/BTCU6/BTCX6/BTCG7</v>
      </c>
      <c r="F136" s="14">
        <f>'MKT DATA'!J1819</f>
        <v>0</v>
      </c>
      <c r="G136" s="9">
        <f>'MKT DATA'!K1819</f>
        <v>0</v>
      </c>
      <c r="H136" s="9">
        <f>'MKT DATA'!L1819</f>
        <v>0</v>
      </c>
      <c r="I136" s="14">
        <f>'MKT DATA'!M1819</f>
        <v>0</v>
      </c>
      <c r="J136" s="44" t="str">
        <f t="shared" si="4"/>
        <v>syn BTCV6/BTCZ6/BTCU6/BTCX6/BTCG7</v>
      </c>
      <c r="K136" s="9">
        <f>'MKT DATA'!O1819</f>
        <v>0</v>
      </c>
      <c r="L136" s="9">
        <f>'MKT DATA'!P1819</f>
        <v>0</v>
      </c>
      <c r="M136" s="9">
        <f>'MKT DATA'!Q1819</f>
        <v>0</v>
      </c>
      <c r="N136" s="9">
        <f>'MKT DATA'!R1819</f>
        <v>0</v>
      </c>
      <c r="O136" s="9">
        <f>'MKT DATA'!S1819</f>
        <v>0</v>
      </c>
      <c r="P136" s="9">
        <f>'MKT DATA'!T1819</f>
        <v>0</v>
      </c>
      <c r="Q136" s="44" t="str">
        <f t="shared" si="5"/>
        <v>syn BTCV6/BTCZ6/BTCU6/BTCX6/BTCG7</v>
      </c>
      <c r="R136" s="14">
        <f>'MKT DATA'!AB1819</f>
        <v>0</v>
      </c>
    </row>
    <row r="137" spans="5:18" x14ac:dyDescent="0.25">
      <c r="E137" s="44" t="str">
        <f>'MKT DATA'!B1820</f>
        <v>syn BTCV6/BTCZ6/BTCU6/BTCF7/BTCG7</v>
      </c>
      <c r="F137" s="14">
        <f>'MKT DATA'!J1820</f>
        <v>0</v>
      </c>
      <c r="G137" s="9">
        <f>'MKT DATA'!K1820</f>
        <v>0</v>
      </c>
      <c r="H137" s="9">
        <f>'MKT DATA'!L1820</f>
        <v>0</v>
      </c>
      <c r="I137" s="14">
        <f>'MKT DATA'!M1820</f>
        <v>0</v>
      </c>
      <c r="J137" s="44" t="str">
        <f t="shared" si="4"/>
        <v>syn BTCV6/BTCZ6/BTCU6/BTCF7/BTCG7</v>
      </c>
      <c r="K137" s="9">
        <f>'MKT DATA'!O1820</f>
        <v>0</v>
      </c>
      <c r="L137" s="9">
        <f>'MKT DATA'!P1820</f>
        <v>0</v>
      </c>
      <c r="M137" s="9">
        <f>'MKT DATA'!Q1820</f>
        <v>0</v>
      </c>
      <c r="N137" s="9">
        <f>'MKT DATA'!R1820</f>
        <v>0</v>
      </c>
      <c r="O137" s="9">
        <f>'MKT DATA'!S1820</f>
        <v>0</v>
      </c>
      <c r="P137" s="9">
        <f>'MKT DATA'!T1820</f>
        <v>0</v>
      </c>
      <c r="Q137" s="44" t="str">
        <f t="shared" si="5"/>
        <v>syn BTCV6/BTCZ6/BTCU6/BTCF7/BTCG7</v>
      </c>
      <c r="R137" s="14">
        <f>'MKT DATA'!AB1820</f>
        <v>0</v>
      </c>
    </row>
    <row r="138" spans="5:18" x14ac:dyDescent="0.25">
      <c r="E138" s="44" t="str">
        <f>'MKT DATA'!B1821</f>
        <v>syn BTCV6/BTCZ6/BTCX6/BTCU6/BTCG7</v>
      </c>
      <c r="F138" s="14">
        <f>'MKT DATA'!J1821</f>
        <v>0</v>
      </c>
      <c r="G138" s="9">
        <f>'MKT DATA'!K1821</f>
        <v>0</v>
      </c>
      <c r="H138" s="9">
        <f>'MKT DATA'!L1821</f>
        <v>0</v>
      </c>
      <c r="I138" s="14">
        <f>'MKT DATA'!M1821</f>
        <v>0</v>
      </c>
      <c r="J138" s="44" t="str">
        <f t="shared" ref="J138:J201" si="6">E138</f>
        <v>syn BTCV6/BTCZ6/BTCX6/BTCU6/BTCG7</v>
      </c>
      <c r="K138" s="9">
        <f>'MKT DATA'!O1821</f>
        <v>0</v>
      </c>
      <c r="L138" s="9">
        <f>'MKT DATA'!P1821</f>
        <v>0</v>
      </c>
      <c r="M138" s="9">
        <f>'MKT DATA'!Q1821</f>
        <v>0</v>
      </c>
      <c r="N138" s="9">
        <f>'MKT DATA'!R1821</f>
        <v>0</v>
      </c>
      <c r="O138" s="9">
        <f>'MKT DATA'!S1821</f>
        <v>0</v>
      </c>
      <c r="P138" s="9">
        <f>'MKT DATA'!T1821</f>
        <v>0</v>
      </c>
      <c r="Q138" s="44" t="str">
        <f t="shared" ref="Q138:Q201" si="7">J138</f>
        <v>syn BTCV6/BTCZ6/BTCX6/BTCU6/BTCG7</v>
      </c>
      <c r="R138" s="14">
        <f>'MKT DATA'!AB1821</f>
        <v>0</v>
      </c>
    </row>
    <row r="139" spans="5:18" x14ac:dyDescent="0.25">
      <c r="E139" s="44" t="str">
        <f>'MKT DATA'!B1822</f>
        <v>syn BTCV6/BTCZ6/BTCX6/BTCF7/BTCG7</v>
      </c>
      <c r="F139" s="14">
        <f>'MKT DATA'!J1822</f>
        <v>0</v>
      </c>
      <c r="G139" s="9">
        <f>'MKT DATA'!K1822</f>
        <v>0</v>
      </c>
      <c r="H139" s="9">
        <f>'MKT DATA'!L1822</f>
        <v>0</v>
      </c>
      <c r="I139" s="14">
        <f>'MKT DATA'!M1822</f>
        <v>0</v>
      </c>
      <c r="J139" s="44" t="str">
        <f t="shared" si="6"/>
        <v>syn BTCV6/BTCZ6/BTCX6/BTCF7/BTCG7</v>
      </c>
      <c r="K139" s="9">
        <f>'MKT DATA'!O1822</f>
        <v>0</v>
      </c>
      <c r="L139" s="9">
        <f>'MKT DATA'!P1822</f>
        <v>0</v>
      </c>
      <c r="M139" s="9">
        <f>'MKT DATA'!Q1822</f>
        <v>0</v>
      </c>
      <c r="N139" s="9">
        <f>'MKT DATA'!R1822</f>
        <v>0</v>
      </c>
      <c r="O139" s="9">
        <f>'MKT DATA'!S1822</f>
        <v>0</v>
      </c>
      <c r="P139" s="9">
        <f>'MKT DATA'!T1822</f>
        <v>0</v>
      </c>
      <c r="Q139" s="44" t="str">
        <f t="shared" si="7"/>
        <v>syn BTCV6/BTCZ6/BTCX6/BTCF7/BTCG7</v>
      </c>
      <c r="R139" s="14">
        <f>'MKT DATA'!AB1822</f>
        <v>0</v>
      </c>
    </row>
    <row r="140" spans="5:18" x14ac:dyDescent="0.25">
      <c r="E140" s="44" t="str">
        <f>'MKT DATA'!B1823</f>
        <v>syn BTCV6/BTCZ6/BTCF7/BTCU6/BTCG7</v>
      </c>
      <c r="F140" s="14">
        <f>'MKT DATA'!J1823</f>
        <v>0</v>
      </c>
      <c r="G140" s="9">
        <f>'MKT DATA'!K1823</f>
        <v>0</v>
      </c>
      <c r="H140" s="9">
        <f>'MKT DATA'!L1823</f>
        <v>0</v>
      </c>
      <c r="I140" s="14">
        <f>'MKT DATA'!M1823</f>
        <v>0</v>
      </c>
      <c r="J140" s="44" t="str">
        <f t="shared" si="6"/>
        <v>syn BTCV6/BTCZ6/BTCF7/BTCU6/BTCG7</v>
      </c>
      <c r="K140" s="9">
        <f>'MKT DATA'!O1823</f>
        <v>0</v>
      </c>
      <c r="L140" s="9">
        <f>'MKT DATA'!P1823</f>
        <v>0</v>
      </c>
      <c r="M140" s="9">
        <f>'MKT DATA'!Q1823</f>
        <v>0</v>
      </c>
      <c r="N140" s="9">
        <f>'MKT DATA'!R1823</f>
        <v>0</v>
      </c>
      <c r="O140" s="9">
        <f>'MKT DATA'!S1823</f>
        <v>0</v>
      </c>
      <c r="P140" s="9">
        <f>'MKT DATA'!T1823</f>
        <v>0</v>
      </c>
      <c r="Q140" s="44" t="str">
        <f t="shared" si="7"/>
        <v>syn BTCV6/BTCZ6/BTCF7/BTCU6/BTCG7</v>
      </c>
      <c r="R140" s="14">
        <f>'MKT DATA'!AB1823</f>
        <v>0</v>
      </c>
    </row>
    <row r="141" spans="5:18" x14ac:dyDescent="0.25">
      <c r="E141" s="44" t="str">
        <f>'MKT DATA'!B1824</f>
        <v>syn BTCV6/BTCZ6/BTCF7/BTCX6/BTCG7</v>
      </c>
      <c r="F141" s="14">
        <f>'MKT DATA'!J1824</f>
        <v>0</v>
      </c>
      <c r="G141" s="9">
        <f>'MKT DATA'!K1824</f>
        <v>0</v>
      </c>
      <c r="H141" s="9">
        <f>'MKT DATA'!L1824</f>
        <v>0</v>
      </c>
      <c r="I141" s="14">
        <f>'MKT DATA'!M1824</f>
        <v>0</v>
      </c>
      <c r="J141" s="44" t="str">
        <f t="shared" si="6"/>
        <v>syn BTCV6/BTCZ6/BTCF7/BTCX6/BTCG7</v>
      </c>
      <c r="K141" s="9">
        <f>'MKT DATA'!O1824</f>
        <v>0</v>
      </c>
      <c r="L141" s="9">
        <f>'MKT DATA'!P1824</f>
        <v>0</v>
      </c>
      <c r="M141" s="9">
        <f>'MKT DATA'!Q1824</f>
        <v>0</v>
      </c>
      <c r="N141" s="9">
        <f>'MKT DATA'!R1824</f>
        <v>0</v>
      </c>
      <c r="O141" s="9">
        <f>'MKT DATA'!S1824</f>
        <v>0</v>
      </c>
      <c r="P141" s="9">
        <f>'MKT DATA'!T1824</f>
        <v>0</v>
      </c>
      <c r="Q141" s="44" t="str">
        <f t="shared" si="7"/>
        <v>syn BTCV6/BTCZ6/BTCF7/BTCX6/BTCG7</v>
      </c>
      <c r="R141" s="14">
        <f>'MKT DATA'!AB1824</f>
        <v>0</v>
      </c>
    </row>
    <row r="142" spans="5:18" x14ac:dyDescent="0.25">
      <c r="E142" s="44" t="str">
        <f>'MKT DATA'!B1825</f>
        <v>syn BTCV6/BTCF7/BTCU6/BTCX6/BTCG7</v>
      </c>
      <c r="F142" s="14">
        <f>'MKT DATA'!J1825</f>
        <v>0</v>
      </c>
      <c r="G142" s="9">
        <f>'MKT DATA'!K1825</f>
        <v>0</v>
      </c>
      <c r="H142" s="9">
        <f>'MKT DATA'!L1825</f>
        <v>0</v>
      </c>
      <c r="I142" s="14">
        <f>'MKT DATA'!M1825</f>
        <v>0</v>
      </c>
      <c r="J142" s="44" t="str">
        <f t="shared" si="6"/>
        <v>syn BTCV6/BTCF7/BTCU6/BTCX6/BTCG7</v>
      </c>
      <c r="K142" s="9">
        <f>'MKT DATA'!O1825</f>
        <v>0</v>
      </c>
      <c r="L142" s="9">
        <f>'MKT DATA'!P1825</f>
        <v>0</v>
      </c>
      <c r="M142" s="9">
        <f>'MKT DATA'!Q1825</f>
        <v>0</v>
      </c>
      <c r="N142" s="9">
        <f>'MKT DATA'!R1825</f>
        <v>0</v>
      </c>
      <c r="O142" s="9">
        <f>'MKT DATA'!S1825</f>
        <v>0</v>
      </c>
      <c r="P142" s="9">
        <f>'MKT DATA'!T1825</f>
        <v>0</v>
      </c>
      <c r="Q142" s="44" t="str">
        <f t="shared" si="7"/>
        <v>syn BTCV6/BTCF7/BTCU6/BTCX6/BTCG7</v>
      </c>
      <c r="R142" s="14">
        <f>'MKT DATA'!AB1825</f>
        <v>0</v>
      </c>
    </row>
    <row r="143" spans="5:18" x14ac:dyDescent="0.25">
      <c r="E143" s="44" t="str">
        <f>'MKT DATA'!B1826</f>
        <v>syn BTCV6/BTCF7/BTCU6/BTCZ6/BTCG7</v>
      </c>
      <c r="F143" s="14">
        <f>'MKT DATA'!J1826</f>
        <v>0</v>
      </c>
      <c r="G143" s="9">
        <f>'MKT DATA'!K1826</f>
        <v>0</v>
      </c>
      <c r="H143" s="9">
        <f>'MKT DATA'!L1826</f>
        <v>0</v>
      </c>
      <c r="I143" s="14">
        <f>'MKT DATA'!M1826</f>
        <v>0</v>
      </c>
      <c r="J143" s="44" t="str">
        <f t="shared" si="6"/>
        <v>syn BTCV6/BTCF7/BTCU6/BTCZ6/BTCG7</v>
      </c>
      <c r="K143" s="9">
        <f>'MKT DATA'!O1826</f>
        <v>0</v>
      </c>
      <c r="L143" s="9">
        <f>'MKT DATA'!P1826</f>
        <v>0</v>
      </c>
      <c r="M143" s="9">
        <f>'MKT DATA'!Q1826</f>
        <v>0</v>
      </c>
      <c r="N143" s="9">
        <f>'MKT DATA'!R1826</f>
        <v>0</v>
      </c>
      <c r="O143" s="9">
        <f>'MKT DATA'!S1826</f>
        <v>0</v>
      </c>
      <c r="P143" s="9">
        <f>'MKT DATA'!T1826</f>
        <v>0</v>
      </c>
      <c r="Q143" s="44" t="str">
        <f t="shared" si="7"/>
        <v>syn BTCV6/BTCF7/BTCU6/BTCZ6/BTCG7</v>
      </c>
      <c r="R143" s="14">
        <f>'MKT DATA'!AB1826</f>
        <v>0</v>
      </c>
    </row>
    <row r="144" spans="5:18" x14ac:dyDescent="0.25">
      <c r="E144" s="44" t="str">
        <f>'MKT DATA'!B1827</f>
        <v>syn BTCV6/BTCF7/BTCX6/BTCU6/BTCG7</v>
      </c>
      <c r="F144" s="14">
        <f>'MKT DATA'!J1827</f>
        <v>0</v>
      </c>
      <c r="G144" s="9">
        <f>'MKT DATA'!K1827</f>
        <v>0</v>
      </c>
      <c r="H144" s="9">
        <f>'MKT DATA'!L1827</f>
        <v>0</v>
      </c>
      <c r="I144" s="14">
        <f>'MKT DATA'!M1827</f>
        <v>0</v>
      </c>
      <c r="J144" s="44" t="str">
        <f t="shared" si="6"/>
        <v>syn BTCV6/BTCF7/BTCX6/BTCU6/BTCG7</v>
      </c>
      <c r="K144" s="9">
        <f>'MKT DATA'!O1827</f>
        <v>0</v>
      </c>
      <c r="L144" s="9">
        <f>'MKT DATA'!P1827</f>
        <v>0</v>
      </c>
      <c r="M144" s="9">
        <f>'MKT DATA'!Q1827</f>
        <v>0</v>
      </c>
      <c r="N144" s="9">
        <f>'MKT DATA'!R1827</f>
        <v>0</v>
      </c>
      <c r="O144" s="9">
        <f>'MKT DATA'!S1827</f>
        <v>0</v>
      </c>
      <c r="P144" s="9">
        <f>'MKT DATA'!T1827</f>
        <v>0</v>
      </c>
      <c r="Q144" s="44" t="str">
        <f t="shared" si="7"/>
        <v>syn BTCV6/BTCF7/BTCX6/BTCU6/BTCG7</v>
      </c>
      <c r="R144" s="14">
        <f>'MKT DATA'!AB1827</f>
        <v>0</v>
      </c>
    </row>
    <row r="145" spans="5:18" x14ac:dyDescent="0.25">
      <c r="E145" s="44" t="str">
        <f>'MKT DATA'!B1828</f>
        <v>syn BTCV6/BTCF7/BTCX6/BTCZ6/BTCG7</v>
      </c>
      <c r="F145" s="14">
        <f>'MKT DATA'!J1828</f>
        <v>0</v>
      </c>
      <c r="G145" s="9">
        <f>'MKT DATA'!K1828</f>
        <v>0</v>
      </c>
      <c r="H145" s="9">
        <f>'MKT DATA'!L1828</f>
        <v>0</v>
      </c>
      <c r="I145" s="14">
        <f>'MKT DATA'!M1828</f>
        <v>0</v>
      </c>
      <c r="J145" s="44" t="str">
        <f t="shared" si="6"/>
        <v>syn BTCV6/BTCF7/BTCX6/BTCZ6/BTCG7</v>
      </c>
      <c r="K145" s="9">
        <f>'MKT DATA'!O1828</f>
        <v>0</v>
      </c>
      <c r="L145" s="9">
        <f>'MKT DATA'!P1828</f>
        <v>0</v>
      </c>
      <c r="M145" s="9">
        <f>'MKT DATA'!Q1828</f>
        <v>0</v>
      </c>
      <c r="N145" s="9">
        <f>'MKT DATA'!R1828</f>
        <v>0</v>
      </c>
      <c r="O145" s="9">
        <f>'MKT DATA'!S1828</f>
        <v>0</v>
      </c>
      <c r="P145" s="9">
        <f>'MKT DATA'!T1828</f>
        <v>0</v>
      </c>
      <c r="Q145" s="44" t="str">
        <f t="shared" si="7"/>
        <v>syn BTCV6/BTCF7/BTCX6/BTCZ6/BTCG7</v>
      </c>
      <c r="R145" s="14">
        <f>'MKT DATA'!AB1828</f>
        <v>0</v>
      </c>
    </row>
    <row r="146" spans="5:18" x14ac:dyDescent="0.25">
      <c r="E146" s="44" t="str">
        <f>'MKT DATA'!B1829</f>
        <v>syn BTCV6/BTCF7/BTCZ6/BTCU6/BTCG7</v>
      </c>
      <c r="F146" s="14">
        <f>'MKT DATA'!J1829</f>
        <v>0</v>
      </c>
      <c r="G146" s="9">
        <f>'MKT DATA'!K1829</f>
        <v>0</v>
      </c>
      <c r="H146" s="9">
        <f>'MKT DATA'!L1829</f>
        <v>0</v>
      </c>
      <c r="I146" s="14">
        <f>'MKT DATA'!M1829</f>
        <v>0</v>
      </c>
      <c r="J146" s="44" t="str">
        <f t="shared" si="6"/>
        <v>syn BTCV6/BTCF7/BTCZ6/BTCU6/BTCG7</v>
      </c>
      <c r="K146" s="9">
        <f>'MKT DATA'!O1829</f>
        <v>0</v>
      </c>
      <c r="L146" s="9">
        <f>'MKT DATA'!P1829</f>
        <v>0</v>
      </c>
      <c r="M146" s="9">
        <f>'MKT DATA'!Q1829</f>
        <v>0</v>
      </c>
      <c r="N146" s="9">
        <f>'MKT DATA'!R1829</f>
        <v>0</v>
      </c>
      <c r="O146" s="9">
        <f>'MKT DATA'!S1829</f>
        <v>0</v>
      </c>
      <c r="P146" s="9">
        <f>'MKT DATA'!T1829</f>
        <v>0</v>
      </c>
      <c r="Q146" s="44" t="str">
        <f t="shared" si="7"/>
        <v>syn BTCV6/BTCF7/BTCZ6/BTCU6/BTCG7</v>
      </c>
      <c r="R146" s="14">
        <f>'MKT DATA'!AB1829</f>
        <v>0</v>
      </c>
    </row>
    <row r="147" spans="5:18" x14ac:dyDescent="0.25">
      <c r="E147" s="44" t="str">
        <f>'MKT DATA'!B1830</f>
        <v>syn BTCV6/BTCF7/BTCZ6/BTCX6/BTCG7</v>
      </c>
      <c r="F147" s="14">
        <f>'MKT DATA'!J1830</f>
        <v>0</v>
      </c>
      <c r="G147" s="9">
        <f>'MKT DATA'!K1830</f>
        <v>0</v>
      </c>
      <c r="H147" s="9">
        <f>'MKT DATA'!L1830</f>
        <v>0</v>
      </c>
      <c r="I147" s="14">
        <f>'MKT DATA'!M1830</f>
        <v>0</v>
      </c>
      <c r="J147" s="44" t="str">
        <f t="shared" si="6"/>
        <v>syn BTCV6/BTCF7/BTCZ6/BTCX6/BTCG7</v>
      </c>
      <c r="K147" s="9">
        <f>'MKT DATA'!O1830</f>
        <v>0</v>
      </c>
      <c r="L147" s="9">
        <f>'MKT DATA'!P1830</f>
        <v>0</v>
      </c>
      <c r="M147" s="9">
        <f>'MKT DATA'!Q1830</f>
        <v>0</v>
      </c>
      <c r="N147" s="9">
        <f>'MKT DATA'!R1830</f>
        <v>0</v>
      </c>
      <c r="O147" s="9">
        <f>'MKT DATA'!S1830</f>
        <v>0</v>
      </c>
      <c r="P147" s="9">
        <f>'MKT DATA'!T1830</f>
        <v>0</v>
      </c>
      <c r="Q147" s="44" t="str">
        <f t="shared" si="7"/>
        <v>syn BTCV6/BTCF7/BTCZ6/BTCX6/BTCG7</v>
      </c>
      <c r="R147" s="14">
        <f>'MKT DATA'!AB1830</f>
        <v>0</v>
      </c>
    </row>
    <row r="148" spans="5:18" x14ac:dyDescent="0.25">
      <c r="E148" s="44" t="str">
        <f>'MKT DATA'!B1831</f>
        <v>syn BTCX6/BTCU6/BTCV6/BTCZ6/BTCG7</v>
      </c>
      <c r="F148" s="14">
        <f>'MKT DATA'!J1831</f>
        <v>0</v>
      </c>
      <c r="G148" s="9">
        <f>'MKT DATA'!K1831</f>
        <v>0</v>
      </c>
      <c r="H148" s="9">
        <f>'MKT DATA'!L1831</f>
        <v>0</v>
      </c>
      <c r="I148" s="14">
        <f>'MKT DATA'!M1831</f>
        <v>0</v>
      </c>
      <c r="J148" s="44" t="str">
        <f t="shared" si="6"/>
        <v>syn BTCX6/BTCU6/BTCV6/BTCZ6/BTCG7</v>
      </c>
      <c r="K148" s="9">
        <f>'MKT DATA'!O1831</f>
        <v>0</v>
      </c>
      <c r="L148" s="9">
        <f>'MKT DATA'!P1831</f>
        <v>0</v>
      </c>
      <c r="M148" s="9">
        <f>'MKT DATA'!Q1831</f>
        <v>0</v>
      </c>
      <c r="N148" s="9">
        <f>'MKT DATA'!R1831</f>
        <v>0</v>
      </c>
      <c r="O148" s="9">
        <f>'MKT DATA'!S1831</f>
        <v>0</v>
      </c>
      <c r="P148" s="9">
        <f>'MKT DATA'!T1831</f>
        <v>0</v>
      </c>
      <c r="Q148" s="44" t="str">
        <f t="shared" si="7"/>
        <v>syn BTCX6/BTCU6/BTCV6/BTCZ6/BTCG7</v>
      </c>
      <c r="R148" s="14">
        <f>'MKT DATA'!AB1831</f>
        <v>0</v>
      </c>
    </row>
    <row r="149" spans="5:18" x14ac:dyDescent="0.25">
      <c r="E149" s="44" t="str">
        <f>'MKT DATA'!B1832</f>
        <v>syn BTCX6/BTCU6/BTCV6/BTCF7/BTCG7</v>
      </c>
      <c r="F149" s="14">
        <f>'MKT DATA'!J1832</f>
        <v>0</v>
      </c>
      <c r="G149" s="9">
        <f>'MKT DATA'!K1832</f>
        <v>0</v>
      </c>
      <c r="H149" s="9">
        <f>'MKT DATA'!L1832</f>
        <v>0</v>
      </c>
      <c r="I149" s="14">
        <f>'MKT DATA'!M1832</f>
        <v>0</v>
      </c>
      <c r="J149" s="44" t="str">
        <f t="shared" si="6"/>
        <v>syn BTCX6/BTCU6/BTCV6/BTCF7/BTCG7</v>
      </c>
      <c r="K149" s="9">
        <f>'MKT DATA'!O1832</f>
        <v>0</v>
      </c>
      <c r="L149" s="9">
        <f>'MKT DATA'!P1832</f>
        <v>0</v>
      </c>
      <c r="M149" s="9">
        <f>'MKT DATA'!Q1832</f>
        <v>0</v>
      </c>
      <c r="N149" s="9">
        <f>'MKT DATA'!R1832</f>
        <v>0</v>
      </c>
      <c r="O149" s="9">
        <f>'MKT DATA'!S1832</f>
        <v>0</v>
      </c>
      <c r="P149" s="9">
        <f>'MKT DATA'!T1832</f>
        <v>0</v>
      </c>
      <c r="Q149" s="44" t="str">
        <f t="shared" si="7"/>
        <v>syn BTCX6/BTCU6/BTCV6/BTCF7/BTCG7</v>
      </c>
      <c r="R149" s="14">
        <f>'MKT DATA'!AB1832</f>
        <v>0</v>
      </c>
    </row>
    <row r="150" spans="5:18" x14ac:dyDescent="0.25">
      <c r="E150" s="44" t="str">
        <f>'MKT DATA'!B1833</f>
        <v>syn BTCX6/BTCU6/BTCZ6/BTCV6/BTCG7</v>
      </c>
      <c r="F150" s="14">
        <f>'MKT DATA'!J1833</f>
        <v>0</v>
      </c>
      <c r="G150" s="9">
        <f>'MKT DATA'!K1833</f>
        <v>0</v>
      </c>
      <c r="H150" s="9">
        <f>'MKT DATA'!L1833</f>
        <v>0</v>
      </c>
      <c r="I150" s="14">
        <f>'MKT DATA'!M1833</f>
        <v>0</v>
      </c>
      <c r="J150" s="44" t="str">
        <f t="shared" si="6"/>
        <v>syn BTCX6/BTCU6/BTCZ6/BTCV6/BTCG7</v>
      </c>
      <c r="K150" s="9">
        <f>'MKT DATA'!O1833</f>
        <v>0</v>
      </c>
      <c r="L150" s="9">
        <f>'MKT DATA'!P1833</f>
        <v>0</v>
      </c>
      <c r="M150" s="9">
        <f>'MKT DATA'!Q1833</f>
        <v>0</v>
      </c>
      <c r="N150" s="9">
        <f>'MKT DATA'!R1833</f>
        <v>0</v>
      </c>
      <c r="O150" s="9">
        <f>'MKT DATA'!S1833</f>
        <v>0</v>
      </c>
      <c r="P150" s="9">
        <f>'MKT DATA'!T1833</f>
        <v>0</v>
      </c>
      <c r="Q150" s="44" t="str">
        <f t="shared" si="7"/>
        <v>syn BTCX6/BTCU6/BTCZ6/BTCV6/BTCG7</v>
      </c>
      <c r="R150" s="14">
        <f>'MKT DATA'!AB1833</f>
        <v>0</v>
      </c>
    </row>
    <row r="151" spans="5:18" x14ac:dyDescent="0.25">
      <c r="E151" s="44" t="str">
        <f>'MKT DATA'!B1834</f>
        <v>syn BTCX6/BTCU6/BTCZ6/BTCF7/BTCG7</v>
      </c>
      <c r="F151" s="14">
        <f>'MKT DATA'!J1834</f>
        <v>0</v>
      </c>
      <c r="G151" s="9">
        <f>'MKT DATA'!K1834</f>
        <v>0</v>
      </c>
      <c r="H151" s="9">
        <f>'MKT DATA'!L1834</f>
        <v>0</v>
      </c>
      <c r="I151" s="14">
        <f>'MKT DATA'!M1834</f>
        <v>0</v>
      </c>
      <c r="J151" s="44" t="str">
        <f t="shared" si="6"/>
        <v>syn BTCX6/BTCU6/BTCZ6/BTCF7/BTCG7</v>
      </c>
      <c r="K151" s="9">
        <f>'MKT DATA'!O1834</f>
        <v>0</v>
      </c>
      <c r="L151" s="9">
        <f>'MKT DATA'!P1834</f>
        <v>0</v>
      </c>
      <c r="M151" s="9">
        <f>'MKT DATA'!Q1834</f>
        <v>0</v>
      </c>
      <c r="N151" s="9">
        <f>'MKT DATA'!R1834</f>
        <v>0</v>
      </c>
      <c r="O151" s="9">
        <f>'MKT DATA'!S1834</f>
        <v>0</v>
      </c>
      <c r="P151" s="9">
        <f>'MKT DATA'!T1834</f>
        <v>0</v>
      </c>
      <c r="Q151" s="44" t="str">
        <f t="shared" si="7"/>
        <v>syn BTCX6/BTCU6/BTCZ6/BTCF7/BTCG7</v>
      </c>
      <c r="R151" s="14">
        <f>'MKT DATA'!AB1834</f>
        <v>0</v>
      </c>
    </row>
    <row r="152" spans="5:18" x14ac:dyDescent="0.25">
      <c r="E152" s="44" t="str">
        <f>'MKT DATA'!B1835</f>
        <v>syn BTCX6/BTCU6/BTCF7/BTCV6/BTCG7</v>
      </c>
      <c r="F152" s="14">
        <f>'MKT DATA'!J1835</f>
        <v>0</v>
      </c>
      <c r="G152" s="9">
        <f>'MKT DATA'!K1835</f>
        <v>0</v>
      </c>
      <c r="H152" s="9">
        <f>'MKT DATA'!L1835</f>
        <v>0</v>
      </c>
      <c r="I152" s="14">
        <f>'MKT DATA'!M1835</f>
        <v>0</v>
      </c>
      <c r="J152" s="44" t="str">
        <f t="shared" si="6"/>
        <v>syn BTCX6/BTCU6/BTCF7/BTCV6/BTCG7</v>
      </c>
      <c r="K152" s="9">
        <f>'MKT DATA'!O1835</f>
        <v>0</v>
      </c>
      <c r="L152" s="9">
        <f>'MKT DATA'!P1835</f>
        <v>0</v>
      </c>
      <c r="M152" s="9">
        <f>'MKT DATA'!Q1835</f>
        <v>0</v>
      </c>
      <c r="N152" s="9">
        <f>'MKT DATA'!R1835</f>
        <v>0</v>
      </c>
      <c r="O152" s="9">
        <f>'MKT DATA'!S1835</f>
        <v>0</v>
      </c>
      <c r="P152" s="9">
        <f>'MKT DATA'!T1835</f>
        <v>0</v>
      </c>
      <c r="Q152" s="44" t="str">
        <f t="shared" si="7"/>
        <v>syn BTCX6/BTCU6/BTCF7/BTCV6/BTCG7</v>
      </c>
      <c r="R152" s="14">
        <f>'MKT DATA'!AB1835</f>
        <v>0</v>
      </c>
    </row>
    <row r="153" spans="5:18" x14ac:dyDescent="0.25">
      <c r="E153" s="44" t="str">
        <f>'MKT DATA'!B1836</f>
        <v>syn BTCX6/BTCU6/BTCF7/BTCZ6/BTCG7</v>
      </c>
      <c r="F153" s="14">
        <f>'MKT DATA'!J1836</f>
        <v>0</v>
      </c>
      <c r="G153" s="9">
        <f>'MKT DATA'!K1836</f>
        <v>0</v>
      </c>
      <c r="H153" s="9">
        <f>'MKT DATA'!L1836</f>
        <v>0</v>
      </c>
      <c r="I153" s="14">
        <f>'MKT DATA'!M1836</f>
        <v>0</v>
      </c>
      <c r="J153" s="44" t="str">
        <f t="shared" si="6"/>
        <v>syn BTCX6/BTCU6/BTCF7/BTCZ6/BTCG7</v>
      </c>
      <c r="K153" s="9">
        <f>'MKT DATA'!O1836</f>
        <v>0</v>
      </c>
      <c r="L153" s="9">
        <f>'MKT DATA'!P1836</f>
        <v>0</v>
      </c>
      <c r="M153" s="9">
        <f>'MKT DATA'!Q1836</f>
        <v>0</v>
      </c>
      <c r="N153" s="9">
        <f>'MKT DATA'!R1836</f>
        <v>0</v>
      </c>
      <c r="O153" s="9">
        <f>'MKT DATA'!S1836</f>
        <v>0</v>
      </c>
      <c r="P153" s="9">
        <f>'MKT DATA'!T1836</f>
        <v>0</v>
      </c>
      <c r="Q153" s="44" t="str">
        <f t="shared" si="7"/>
        <v>syn BTCX6/BTCU6/BTCF7/BTCZ6/BTCG7</v>
      </c>
      <c r="R153" s="14">
        <f>'MKT DATA'!AB1836</f>
        <v>0</v>
      </c>
    </row>
    <row r="154" spans="5:18" x14ac:dyDescent="0.25">
      <c r="E154" s="44" t="str">
        <f>'MKT DATA'!B1837</f>
        <v>syn BTCX6/BTCV6/BTCU6/BTCZ6/BTCG7</v>
      </c>
      <c r="F154" s="14">
        <f>'MKT DATA'!J1837</f>
        <v>0</v>
      </c>
      <c r="G154" s="9">
        <f>'MKT DATA'!K1837</f>
        <v>0</v>
      </c>
      <c r="H154" s="9">
        <f>'MKT DATA'!L1837</f>
        <v>0</v>
      </c>
      <c r="I154" s="14">
        <f>'MKT DATA'!M1837</f>
        <v>0</v>
      </c>
      <c r="J154" s="44" t="str">
        <f t="shared" si="6"/>
        <v>syn BTCX6/BTCV6/BTCU6/BTCZ6/BTCG7</v>
      </c>
      <c r="K154" s="9">
        <f>'MKT DATA'!O1837</f>
        <v>0</v>
      </c>
      <c r="L154" s="9">
        <f>'MKT DATA'!P1837</f>
        <v>0</v>
      </c>
      <c r="M154" s="9">
        <f>'MKT DATA'!Q1837</f>
        <v>0</v>
      </c>
      <c r="N154" s="9">
        <f>'MKT DATA'!R1837</f>
        <v>0</v>
      </c>
      <c r="O154" s="9">
        <f>'MKT DATA'!S1837</f>
        <v>0</v>
      </c>
      <c r="P154" s="9">
        <f>'MKT DATA'!T1837</f>
        <v>0</v>
      </c>
      <c r="Q154" s="44" t="str">
        <f t="shared" si="7"/>
        <v>syn BTCX6/BTCV6/BTCU6/BTCZ6/BTCG7</v>
      </c>
      <c r="R154" s="14">
        <f>'MKT DATA'!AB1837</f>
        <v>0</v>
      </c>
    </row>
    <row r="155" spans="5:18" x14ac:dyDescent="0.25">
      <c r="E155" s="44" t="str">
        <f>'MKT DATA'!B1838</f>
        <v>syn BTCX6/BTCV6/BTCU6/BTCF7/BTCG7</v>
      </c>
      <c r="F155" s="14">
        <f>'MKT DATA'!J1838</f>
        <v>0</v>
      </c>
      <c r="G155" s="9">
        <f>'MKT DATA'!K1838</f>
        <v>0</v>
      </c>
      <c r="H155" s="9">
        <f>'MKT DATA'!L1838</f>
        <v>0</v>
      </c>
      <c r="I155" s="14">
        <f>'MKT DATA'!M1838</f>
        <v>0</v>
      </c>
      <c r="J155" s="44" t="str">
        <f t="shared" si="6"/>
        <v>syn BTCX6/BTCV6/BTCU6/BTCF7/BTCG7</v>
      </c>
      <c r="K155" s="9">
        <f>'MKT DATA'!O1838</f>
        <v>0</v>
      </c>
      <c r="L155" s="9">
        <f>'MKT DATA'!P1838</f>
        <v>0</v>
      </c>
      <c r="M155" s="9">
        <f>'MKT DATA'!Q1838</f>
        <v>0</v>
      </c>
      <c r="N155" s="9">
        <f>'MKT DATA'!R1838</f>
        <v>0</v>
      </c>
      <c r="O155" s="9">
        <f>'MKT DATA'!S1838</f>
        <v>0</v>
      </c>
      <c r="P155" s="9">
        <f>'MKT DATA'!T1838</f>
        <v>0</v>
      </c>
      <c r="Q155" s="44" t="str">
        <f t="shared" si="7"/>
        <v>syn BTCX6/BTCV6/BTCU6/BTCF7/BTCG7</v>
      </c>
      <c r="R155" s="14">
        <f>'MKT DATA'!AB1838</f>
        <v>0</v>
      </c>
    </row>
    <row r="156" spans="5:18" x14ac:dyDescent="0.25">
      <c r="E156" s="44" t="str">
        <f>'MKT DATA'!B1839</f>
        <v>syn BTCX6/BTCV6/BTCZ6/BTCU6/BTCG7</v>
      </c>
      <c r="F156" s="14">
        <f>'MKT DATA'!J1839</f>
        <v>0</v>
      </c>
      <c r="G156" s="9">
        <f>'MKT DATA'!K1839</f>
        <v>0</v>
      </c>
      <c r="H156" s="9">
        <f>'MKT DATA'!L1839</f>
        <v>0</v>
      </c>
      <c r="I156" s="14">
        <f>'MKT DATA'!M1839</f>
        <v>0</v>
      </c>
      <c r="J156" s="44" t="str">
        <f t="shared" si="6"/>
        <v>syn BTCX6/BTCV6/BTCZ6/BTCU6/BTCG7</v>
      </c>
      <c r="K156" s="9">
        <f>'MKT DATA'!O1839</f>
        <v>0</v>
      </c>
      <c r="L156" s="9">
        <f>'MKT DATA'!P1839</f>
        <v>0</v>
      </c>
      <c r="M156" s="9">
        <f>'MKT DATA'!Q1839</f>
        <v>0</v>
      </c>
      <c r="N156" s="9">
        <f>'MKT DATA'!R1839</f>
        <v>0</v>
      </c>
      <c r="O156" s="9">
        <f>'MKT DATA'!S1839</f>
        <v>0</v>
      </c>
      <c r="P156" s="9">
        <f>'MKT DATA'!T1839</f>
        <v>0</v>
      </c>
      <c r="Q156" s="44" t="str">
        <f t="shared" si="7"/>
        <v>syn BTCX6/BTCV6/BTCZ6/BTCU6/BTCG7</v>
      </c>
      <c r="R156" s="14">
        <f>'MKT DATA'!AB1839</f>
        <v>0</v>
      </c>
    </row>
    <row r="157" spans="5:18" x14ac:dyDescent="0.25">
      <c r="E157" s="44" t="str">
        <f>'MKT DATA'!B1840</f>
        <v>syn BTCX6/BTCV6/BTCZ6/BTCF7/BTCG7</v>
      </c>
      <c r="F157" s="14">
        <f>'MKT DATA'!J1840</f>
        <v>0</v>
      </c>
      <c r="G157" s="9">
        <f>'MKT DATA'!K1840</f>
        <v>0</v>
      </c>
      <c r="H157" s="9">
        <f>'MKT DATA'!L1840</f>
        <v>0</v>
      </c>
      <c r="I157" s="14">
        <f>'MKT DATA'!M1840</f>
        <v>0</v>
      </c>
      <c r="J157" s="44" t="str">
        <f t="shared" si="6"/>
        <v>syn BTCX6/BTCV6/BTCZ6/BTCF7/BTCG7</v>
      </c>
      <c r="K157" s="9">
        <f>'MKT DATA'!O1840</f>
        <v>0</v>
      </c>
      <c r="L157" s="9">
        <f>'MKT DATA'!P1840</f>
        <v>0</v>
      </c>
      <c r="M157" s="9">
        <f>'MKT DATA'!Q1840</f>
        <v>0</v>
      </c>
      <c r="N157" s="9">
        <f>'MKT DATA'!R1840</f>
        <v>0</v>
      </c>
      <c r="O157" s="9">
        <f>'MKT DATA'!S1840</f>
        <v>0</v>
      </c>
      <c r="P157" s="9">
        <f>'MKT DATA'!T1840</f>
        <v>0</v>
      </c>
      <c r="Q157" s="44" t="str">
        <f t="shared" si="7"/>
        <v>syn BTCX6/BTCV6/BTCZ6/BTCF7/BTCG7</v>
      </c>
      <c r="R157" s="14">
        <f>'MKT DATA'!AB1840</f>
        <v>0</v>
      </c>
    </row>
    <row r="158" spans="5:18" x14ac:dyDescent="0.25">
      <c r="E158" s="44" t="str">
        <f>'MKT DATA'!B1841</f>
        <v>syn BTCX6/BTCV6/BTCF7/BTCU6/BTCG7</v>
      </c>
      <c r="F158" s="14">
        <f>'MKT DATA'!J1841</f>
        <v>0</v>
      </c>
      <c r="G158" s="9">
        <f>'MKT DATA'!K1841</f>
        <v>0</v>
      </c>
      <c r="H158" s="9">
        <f>'MKT DATA'!L1841</f>
        <v>0</v>
      </c>
      <c r="I158" s="14">
        <f>'MKT DATA'!M1841</f>
        <v>0</v>
      </c>
      <c r="J158" s="44" t="str">
        <f t="shared" si="6"/>
        <v>syn BTCX6/BTCV6/BTCF7/BTCU6/BTCG7</v>
      </c>
      <c r="K158" s="9">
        <f>'MKT DATA'!O1841</f>
        <v>0</v>
      </c>
      <c r="L158" s="9">
        <f>'MKT DATA'!P1841</f>
        <v>0</v>
      </c>
      <c r="M158" s="9">
        <f>'MKT DATA'!Q1841</f>
        <v>0</v>
      </c>
      <c r="N158" s="9">
        <f>'MKT DATA'!R1841</f>
        <v>0</v>
      </c>
      <c r="O158" s="9">
        <f>'MKT DATA'!S1841</f>
        <v>0</v>
      </c>
      <c r="P158" s="9">
        <f>'MKT DATA'!T1841</f>
        <v>0</v>
      </c>
      <c r="Q158" s="44" t="str">
        <f t="shared" si="7"/>
        <v>syn BTCX6/BTCV6/BTCF7/BTCU6/BTCG7</v>
      </c>
      <c r="R158" s="14">
        <f>'MKT DATA'!AB1841</f>
        <v>0</v>
      </c>
    </row>
    <row r="159" spans="5:18" x14ac:dyDescent="0.25">
      <c r="E159" s="44" t="str">
        <f>'MKT DATA'!B1842</f>
        <v>syn BTCX6/BTCV6/BTCF7/BTCZ6/BTCG7</v>
      </c>
      <c r="F159" s="14">
        <f>'MKT DATA'!J1842</f>
        <v>0</v>
      </c>
      <c r="G159" s="9">
        <f>'MKT DATA'!K1842</f>
        <v>0</v>
      </c>
      <c r="H159" s="9">
        <f>'MKT DATA'!L1842</f>
        <v>0</v>
      </c>
      <c r="I159" s="14">
        <f>'MKT DATA'!M1842</f>
        <v>0</v>
      </c>
      <c r="J159" s="44" t="str">
        <f t="shared" si="6"/>
        <v>syn BTCX6/BTCV6/BTCF7/BTCZ6/BTCG7</v>
      </c>
      <c r="K159" s="9">
        <f>'MKT DATA'!O1842</f>
        <v>0</v>
      </c>
      <c r="L159" s="9">
        <f>'MKT DATA'!P1842</f>
        <v>0</v>
      </c>
      <c r="M159" s="9">
        <f>'MKT DATA'!Q1842</f>
        <v>0</v>
      </c>
      <c r="N159" s="9">
        <f>'MKT DATA'!R1842</f>
        <v>0</v>
      </c>
      <c r="O159" s="9">
        <f>'MKT DATA'!S1842</f>
        <v>0</v>
      </c>
      <c r="P159" s="9">
        <f>'MKT DATA'!T1842</f>
        <v>0</v>
      </c>
      <c r="Q159" s="44" t="str">
        <f t="shared" si="7"/>
        <v>syn BTCX6/BTCV6/BTCF7/BTCZ6/BTCG7</v>
      </c>
      <c r="R159" s="14">
        <f>'MKT DATA'!AB1842</f>
        <v>0</v>
      </c>
    </row>
    <row r="160" spans="5:18" x14ac:dyDescent="0.25">
      <c r="E160" s="44" t="str">
        <f>'MKT DATA'!B1843</f>
        <v>syn BTCX6/BTCZ6/BTCU6/BTCV6/BTCG7</v>
      </c>
      <c r="F160" s="14">
        <f>'MKT DATA'!J1843</f>
        <v>0</v>
      </c>
      <c r="G160" s="9">
        <f>'MKT DATA'!K1843</f>
        <v>0</v>
      </c>
      <c r="H160" s="9">
        <f>'MKT DATA'!L1843</f>
        <v>0</v>
      </c>
      <c r="I160" s="14">
        <f>'MKT DATA'!M1843</f>
        <v>0</v>
      </c>
      <c r="J160" s="44" t="str">
        <f t="shared" si="6"/>
        <v>syn BTCX6/BTCZ6/BTCU6/BTCV6/BTCG7</v>
      </c>
      <c r="K160" s="9">
        <f>'MKT DATA'!O1843</f>
        <v>0</v>
      </c>
      <c r="L160" s="9">
        <f>'MKT DATA'!P1843</f>
        <v>0</v>
      </c>
      <c r="M160" s="9">
        <f>'MKT DATA'!Q1843</f>
        <v>0</v>
      </c>
      <c r="N160" s="9">
        <f>'MKT DATA'!R1843</f>
        <v>0</v>
      </c>
      <c r="O160" s="9">
        <f>'MKT DATA'!S1843</f>
        <v>0</v>
      </c>
      <c r="P160" s="9">
        <f>'MKT DATA'!T1843</f>
        <v>0</v>
      </c>
      <c r="Q160" s="44" t="str">
        <f t="shared" si="7"/>
        <v>syn BTCX6/BTCZ6/BTCU6/BTCV6/BTCG7</v>
      </c>
      <c r="R160" s="14">
        <f>'MKT DATA'!AB1843</f>
        <v>0</v>
      </c>
    </row>
    <row r="161" spans="5:18" x14ac:dyDescent="0.25">
      <c r="E161" s="44" t="str">
        <f>'MKT DATA'!B1844</f>
        <v>syn BTCX6/BTCZ6/BTCU6/BTCF7/BTCG7</v>
      </c>
      <c r="F161" s="14">
        <f>'MKT DATA'!J1844</f>
        <v>0</v>
      </c>
      <c r="G161" s="9">
        <f>'MKT DATA'!K1844</f>
        <v>0</v>
      </c>
      <c r="H161" s="9">
        <f>'MKT DATA'!L1844</f>
        <v>0</v>
      </c>
      <c r="I161" s="14">
        <f>'MKT DATA'!M1844</f>
        <v>0</v>
      </c>
      <c r="J161" s="44" t="str">
        <f t="shared" si="6"/>
        <v>syn BTCX6/BTCZ6/BTCU6/BTCF7/BTCG7</v>
      </c>
      <c r="K161" s="9">
        <f>'MKT DATA'!O1844</f>
        <v>0</v>
      </c>
      <c r="L161" s="9">
        <f>'MKT DATA'!P1844</f>
        <v>0</v>
      </c>
      <c r="M161" s="9">
        <f>'MKT DATA'!Q1844</f>
        <v>0</v>
      </c>
      <c r="N161" s="9">
        <f>'MKT DATA'!R1844</f>
        <v>0</v>
      </c>
      <c r="O161" s="9">
        <f>'MKT DATA'!S1844</f>
        <v>0</v>
      </c>
      <c r="P161" s="9">
        <f>'MKT DATA'!T1844</f>
        <v>0</v>
      </c>
      <c r="Q161" s="44" t="str">
        <f t="shared" si="7"/>
        <v>syn BTCX6/BTCZ6/BTCU6/BTCF7/BTCG7</v>
      </c>
      <c r="R161" s="14">
        <f>'MKT DATA'!AB1844</f>
        <v>0</v>
      </c>
    </row>
    <row r="162" spans="5:18" x14ac:dyDescent="0.25">
      <c r="E162" s="44" t="str">
        <f>'MKT DATA'!B1845</f>
        <v>syn BTCX6/BTCZ6/BTCV6/BTCU6/BTCG7</v>
      </c>
      <c r="F162" s="14">
        <f>'MKT DATA'!J1845</f>
        <v>0</v>
      </c>
      <c r="G162" s="9">
        <f>'MKT DATA'!K1845</f>
        <v>0</v>
      </c>
      <c r="H162" s="9">
        <f>'MKT DATA'!L1845</f>
        <v>0</v>
      </c>
      <c r="I162" s="14">
        <f>'MKT DATA'!M1845</f>
        <v>0</v>
      </c>
      <c r="J162" s="44" t="str">
        <f t="shared" si="6"/>
        <v>syn BTCX6/BTCZ6/BTCV6/BTCU6/BTCG7</v>
      </c>
      <c r="K162" s="9">
        <f>'MKT DATA'!O1845</f>
        <v>0</v>
      </c>
      <c r="L162" s="9">
        <f>'MKT DATA'!P1845</f>
        <v>0</v>
      </c>
      <c r="M162" s="9">
        <f>'MKT DATA'!Q1845</f>
        <v>0</v>
      </c>
      <c r="N162" s="9">
        <f>'MKT DATA'!R1845</f>
        <v>0</v>
      </c>
      <c r="O162" s="9">
        <f>'MKT DATA'!S1845</f>
        <v>0</v>
      </c>
      <c r="P162" s="9">
        <f>'MKT DATA'!T1845</f>
        <v>0</v>
      </c>
      <c r="Q162" s="44" t="str">
        <f t="shared" si="7"/>
        <v>syn BTCX6/BTCZ6/BTCV6/BTCU6/BTCG7</v>
      </c>
      <c r="R162" s="14">
        <f>'MKT DATA'!AB1845</f>
        <v>0</v>
      </c>
    </row>
    <row r="163" spans="5:18" x14ac:dyDescent="0.25">
      <c r="E163" s="44" t="str">
        <f>'MKT DATA'!B1846</f>
        <v>syn BTCX6/BTCZ6/BTCV6/BTCF7/BTCG7</v>
      </c>
      <c r="F163" s="14">
        <f>'MKT DATA'!J1846</f>
        <v>0</v>
      </c>
      <c r="G163" s="9">
        <f>'MKT DATA'!K1846</f>
        <v>0</v>
      </c>
      <c r="H163" s="9">
        <f>'MKT DATA'!L1846</f>
        <v>0</v>
      </c>
      <c r="I163" s="14">
        <f>'MKT DATA'!M1846</f>
        <v>0</v>
      </c>
      <c r="J163" s="44" t="str">
        <f t="shared" si="6"/>
        <v>syn BTCX6/BTCZ6/BTCV6/BTCF7/BTCG7</v>
      </c>
      <c r="K163" s="9">
        <f>'MKT DATA'!O1846</f>
        <v>0</v>
      </c>
      <c r="L163" s="9">
        <f>'MKT DATA'!P1846</f>
        <v>0</v>
      </c>
      <c r="M163" s="9">
        <f>'MKT DATA'!Q1846</f>
        <v>0</v>
      </c>
      <c r="N163" s="9">
        <f>'MKT DATA'!R1846</f>
        <v>0</v>
      </c>
      <c r="O163" s="9">
        <f>'MKT DATA'!S1846</f>
        <v>0</v>
      </c>
      <c r="P163" s="9">
        <f>'MKT DATA'!T1846</f>
        <v>0</v>
      </c>
      <c r="Q163" s="44" t="str">
        <f t="shared" si="7"/>
        <v>syn BTCX6/BTCZ6/BTCV6/BTCF7/BTCG7</v>
      </c>
      <c r="R163" s="14">
        <f>'MKT DATA'!AB1846</f>
        <v>0</v>
      </c>
    </row>
    <row r="164" spans="5:18" x14ac:dyDescent="0.25">
      <c r="E164" s="44" t="str">
        <f>'MKT DATA'!B1847</f>
        <v>syn BTCX6/BTCZ6/BTCF7/BTCU6/BTCG7</v>
      </c>
      <c r="F164" s="14">
        <f>'MKT DATA'!J1847</f>
        <v>0</v>
      </c>
      <c r="G164" s="9">
        <f>'MKT DATA'!K1847</f>
        <v>0</v>
      </c>
      <c r="H164" s="9">
        <f>'MKT DATA'!L1847</f>
        <v>0</v>
      </c>
      <c r="I164" s="14">
        <f>'MKT DATA'!M1847</f>
        <v>0</v>
      </c>
      <c r="J164" s="44" t="str">
        <f t="shared" si="6"/>
        <v>syn BTCX6/BTCZ6/BTCF7/BTCU6/BTCG7</v>
      </c>
      <c r="K164" s="9">
        <f>'MKT DATA'!O1847</f>
        <v>0</v>
      </c>
      <c r="L164" s="9">
        <f>'MKT DATA'!P1847</f>
        <v>0</v>
      </c>
      <c r="M164" s="9">
        <f>'MKT DATA'!Q1847</f>
        <v>0</v>
      </c>
      <c r="N164" s="9">
        <f>'MKT DATA'!R1847</f>
        <v>0</v>
      </c>
      <c r="O164" s="9">
        <f>'MKT DATA'!S1847</f>
        <v>0</v>
      </c>
      <c r="P164" s="9">
        <f>'MKT DATA'!T1847</f>
        <v>0</v>
      </c>
      <c r="Q164" s="44" t="str">
        <f t="shared" si="7"/>
        <v>syn BTCX6/BTCZ6/BTCF7/BTCU6/BTCG7</v>
      </c>
      <c r="R164" s="14">
        <f>'MKT DATA'!AB1847</f>
        <v>0</v>
      </c>
    </row>
    <row r="165" spans="5:18" x14ac:dyDescent="0.25">
      <c r="E165" s="44" t="str">
        <f>'MKT DATA'!B1848</f>
        <v>syn BTCX6/BTCZ6/BTCF7/BTCV6/BTCG7</v>
      </c>
      <c r="F165" s="14">
        <f>'MKT DATA'!J1848</f>
        <v>0</v>
      </c>
      <c r="G165" s="9">
        <f>'MKT DATA'!K1848</f>
        <v>0</v>
      </c>
      <c r="H165" s="9">
        <f>'MKT DATA'!L1848</f>
        <v>0</v>
      </c>
      <c r="I165" s="14">
        <f>'MKT DATA'!M1848</f>
        <v>0</v>
      </c>
      <c r="J165" s="44" t="str">
        <f t="shared" si="6"/>
        <v>syn BTCX6/BTCZ6/BTCF7/BTCV6/BTCG7</v>
      </c>
      <c r="K165" s="9">
        <f>'MKT DATA'!O1848</f>
        <v>0</v>
      </c>
      <c r="L165" s="9">
        <f>'MKT DATA'!P1848</f>
        <v>0</v>
      </c>
      <c r="M165" s="9">
        <f>'MKT DATA'!Q1848</f>
        <v>0</v>
      </c>
      <c r="N165" s="9">
        <f>'MKT DATA'!R1848</f>
        <v>0</v>
      </c>
      <c r="O165" s="9">
        <f>'MKT DATA'!S1848</f>
        <v>0</v>
      </c>
      <c r="P165" s="9">
        <f>'MKT DATA'!T1848</f>
        <v>0</v>
      </c>
      <c r="Q165" s="44" t="str">
        <f t="shared" si="7"/>
        <v>syn BTCX6/BTCZ6/BTCF7/BTCV6/BTCG7</v>
      </c>
      <c r="R165" s="14">
        <f>'MKT DATA'!AB1848</f>
        <v>0</v>
      </c>
    </row>
    <row r="166" spans="5:18" x14ac:dyDescent="0.25">
      <c r="E166" s="44" t="str">
        <f>'MKT DATA'!B1849</f>
        <v>syn BTCX6/BTCF7/BTCU6/BTCV6/BTCG7</v>
      </c>
      <c r="F166" s="14">
        <f>'MKT DATA'!J1849</f>
        <v>0</v>
      </c>
      <c r="G166" s="9">
        <f>'MKT DATA'!K1849</f>
        <v>0</v>
      </c>
      <c r="H166" s="9">
        <f>'MKT DATA'!L1849</f>
        <v>0</v>
      </c>
      <c r="I166" s="14">
        <f>'MKT DATA'!M1849</f>
        <v>0</v>
      </c>
      <c r="J166" s="44" t="str">
        <f t="shared" si="6"/>
        <v>syn BTCX6/BTCF7/BTCU6/BTCV6/BTCG7</v>
      </c>
      <c r="K166" s="9">
        <f>'MKT DATA'!O1849</f>
        <v>0</v>
      </c>
      <c r="L166" s="9">
        <f>'MKT DATA'!P1849</f>
        <v>0</v>
      </c>
      <c r="M166" s="9">
        <f>'MKT DATA'!Q1849</f>
        <v>0</v>
      </c>
      <c r="N166" s="9">
        <f>'MKT DATA'!R1849</f>
        <v>0</v>
      </c>
      <c r="O166" s="9">
        <f>'MKT DATA'!S1849</f>
        <v>0</v>
      </c>
      <c r="P166" s="9">
        <f>'MKT DATA'!T1849</f>
        <v>0</v>
      </c>
      <c r="Q166" s="44" t="str">
        <f t="shared" si="7"/>
        <v>syn BTCX6/BTCF7/BTCU6/BTCV6/BTCG7</v>
      </c>
      <c r="R166" s="14">
        <f>'MKT DATA'!AB1849</f>
        <v>0</v>
      </c>
    </row>
    <row r="167" spans="5:18" x14ac:dyDescent="0.25">
      <c r="E167" s="44" t="str">
        <f>'MKT DATA'!B1850</f>
        <v>syn BTCX6/BTCF7/BTCU6/BTCZ6/BTCG7</v>
      </c>
      <c r="F167" s="14">
        <f>'MKT DATA'!J1850</f>
        <v>0</v>
      </c>
      <c r="G167" s="9">
        <f>'MKT DATA'!K1850</f>
        <v>0</v>
      </c>
      <c r="H167" s="9">
        <f>'MKT DATA'!L1850</f>
        <v>0</v>
      </c>
      <c r="I167" s="14">
        <f>'MKT DATA'!M1850</f>
        <v>0</v>
      </c>
      <c r="J167" s="44" t="str">
        <f t="shared" si="6"/>
        <v>syn BTCX6/BTCF7/BTCU6/BTCZ6/BTCG7</v>
      </c>
      <c r="K167" s="9">
        <f>'MKT DATA'!O1850</f>
        <v>0</v>
      </c>
      <c r="L167" s="9">
        <f>'MKT DATA'!P1850</f>
        <v>0</v>
      </c>
      <c r="M167" s="9">
        <f>'MKT DATA'!Q1850</f>
        <v>0</v>
      </c>
      <c r="N167" s="9">
        <f>'MKT DATA'!R1850</f>
        <v>0</v>
      </c>
      <c r="O167" s="9">
        <f>'MKT DATA'!S1850</f>
        <v>0</v>
      </c>
      <c r="P167" s="9">
        <f>'MKT DATA'!T1850</f>
        <v>0</v>
      </c>
      <c r="Q167" s="44" t="str">
        <f t="shared" si="7"/>
        <v>syn BTCX6/BTCF7/BTCU6/BTCZ6/BTCG7</v>
      </c>
      <c r="R167" s="14">
        <f>'MKT DATA'!AB1850</f>
        <v>0</v>
      </c>
    </row>
    <row r="168" spans="5:18" x14ac:dyDescent="0.25">
      <c r="E168" s="44" t="str">
        <f>'MKT DATA'!B1851</f>
        <v>syn BTCX6/BTCF7/BTCV6/BTCU6/BTCG7</v>
      </c>
      <c r="F168" s="14">
        <f>'MKT DATA'!J1851</f>
        <v>0</v>
      </c>
      <c r="G168" s="9">
        <f>'MKT DATA'!K1851</f>
        <v>0</v>
      </c>
      <c r="H168" s="9">
        <f>'MKT DATA'!L1851</f>
        <v>0</v>
      </c>
      <c r="I168" s="14">
        <f>'MKT DATA'!M1851</f>
        <v>0</v>
      </c>
      <c r="J168" s="44" t="str">
        <f t="shared" si="6"/>
        <v>syn BTCX6/BTCF7/BTCV6/BTCU6/BTCG7</v>
      </c>
      <c r="K168" s="9">
        <f>'MKT DATA'!O1851</f>
        <v>0</v>
      </c>
      <c r="L168" s="9">
        <f>'MKT DATA'!P1851</f>
        <v>0</v>
      </c>
      <c r="M168" s="9">
        <f>'MKT DATA'!Q1851</f>
        <v>0</v>
      </c>
      <c r="N168" s="9">
        <f>'MKT DATA'!R1851</f>
        <v>0</v>
      </c>
      <c r="O168" s="9">
        <f>'MKT DATA'!S1851</f>
        <v>0</v>
      </c>
      <c r="P168" s="9">
        <f>'MKT DATA'!T1851</f>
        <v>0</v>
      </c>
      <c r="Q168" s="44" t="str">
        <f t="shared" si="7"/>
        <v>syn BTCX6/BTCF7/BTCV6/BTCU6/BTCG7</v>
      </c>
      <c r="R168" s="14">
        <f>'MKT DATA'!AB1851</f>
        <v>0</v>
      </c>
    </row>
    <row r="169" spans="5:18" x14ac:dyDescent="0.25">
      <c r="E169" s="44" t="str">
        <f>'MKT DATA'!B1852</f>
        <v>syn BTCX6/BTCF7/BTCV6/BTCZ6/BTCG7</v>
      </c>
      <c r="F169" s="14">
        <f>'MKT DATA'!J1852</f>
        <v>0</v>
      </c>
      <c r="G169" s="9">
        <f>'MKT DATA'!K1852</f>
        <v>0</v>
      </c>
      <c r="H169" s="9">
        <f>'MKT DATA'!L1852</f>
        <v>0</v>
      </c>
      <c r="I169" s="14">
        <f>'MKT DATA'!M1852</f>
        <v>0</v>
      </c>
      <c r="J169" s="44" t="str">
        <f t="shared" si="6"/>
        <v>syn BTCX6/BTCF7/BTCV6/BTCZ6/BTCG7</v>
      </c>
      <c r="K169" s="9">
        <f>'MKT DATA'!O1852</f>
        <v>0</v>
      </c>
      <c r="L169" s="9">
        <f>'MKT DATA'!P1852</f>
        <v>0</v>
      </c>
      <c r="M169" s="9">
        <f>'MKT DATA'!Q1852</f>
        <v>0</v>
      </c>
      <c r="N169" s="9">
        <f>'MKT DATA'!R1852</f>
        <v>0</v>
      </c>
      <c r="O169" s="9">
        <f>'MKT DATA'!S1852</f>
        <v>0</v>
      </c>
      <c r="P169" s="9">
        <f>'MKT DATA'!T1852</f>
        <v>0</v>
      </c>
      <c r="Q169" s="44" t="str">
        <f t="shared" si="7"/>
        <v>syn BTCX6/BTCF7/BTCV6/BTCZ6/BTCG7</v>
      </c>
      <c r="R169" s="14">
        <f>'MKT DATA'!AB1852</f>
        <v>0</v>
      </c>
    </row>
    <row r="170" spans="5:18" x14ac:dyDescent="0.25">
      <c r="E170" s="44" t="str">
        <f>'MKT DATA'!B1853</f>
        <v>syn BTCX6/BTCF7/BTCZ6/BTCU6/BTCG7</v>
      </c>
      <c r="F170" s="14">
        <f>'MKT DATA'!J1853</f>
        <v>0</v>
      </c>
      <c r="G170" s="9">
        <f>'MKT DATA'!K1853</f>
        <v>0</v>
      </c>
      <c r="H170" s="9">
        <f>'MKT DATA'!L1853</f>
        <v>0</v>
      </c>
      <c r="I170" s="14">
        <f>'MKT DATA'!M1853</f>
        <v>0</v>
      </c>
      <c r="J170" s="44" t="str">
        <f t="shared" si="6"/>
        <v>syn BTCX6/BTCF7/BTCZ6/BTCU6/BTCG7</v>
      </c>
      <c r="K170" s="9">
        <f>'MKT DATA'!O1853</f>
        <v>0</v>
      </c>
      <c r="L170" s="9">
        <f>'MKT DATA'!P1853</f>
        <v>0</v>
      </c>
      <c r="M170" s="9">
        <f>'MKT DATA'!Q1853</f>
        <v>0</v>
      </c>
      <c r="N170" s="9">
        <f>'MKT DATA'!R1853</f>
        <v>0</v>
      </c>
      <c r="O170" s="9">
        <f>'MKT DATA'!S1853</f>
        <v>0</v>
      </c>
      <c r="P170" s="9">
        <f>'MKT DATA'!T1853</f>
        <v>0</v>
      </c>
      <c r="Q170" s="44" t="str">
        <f t="shared" si="7"/>
        <v>syn BTCX6/BTCF7/BTCZ6/BTCU6/BTCG7</v>
      </c>
      <c r="R170" s="14">
        <f>'MKT DATA'!AB1853</f>
        <v>0</v>
      </c>
    </row>
    <row r="171" spans="5:18" x14ac:dyDescent="0.25">
      <c r="E171" s="44" t="str">
        <f>'MKT DATA'!B1854</f>
        <v>syn BTCX6/BTCF7/BTCZ6/BTCV6/BTCG7</v>
      </c>
      <c r="F171" s="14">
        <f>'MKT DATA'!J1854</f>
        <v>0</v>
      </c>
      <c r="G171" s="9">
        <f>'MKT DATA'!K1854</f>
        <v>0</v>
      </c>
      <c r="H171" s="9">
        <f>'MKT DATA'!L1854</f>
        <v>0</v>
      </c>
      <c r="I171" s="14">
        <f>'MKT DATA'!M1854</f>
        <v>0</v>
      </c>
      <c r="J171" s="44" t="str">
        <f t="shared" si="6"/>
        <v>syn BTCX6/BTCF7/BTCZ6/BTCV6/BTCG7</v>
      </c>
      <c r="K171" s="9">
        <f>'MKT DATA'!O1854</f>
        <v>0</v>
      </c>
      <c r="L171" s="9">
        <f>'MKT DATA'!P1854</f>
        <v>0</v>
      </c>
      <c r="M171" s="9">
        <f>'MKT DATA'!Q1854</f>
        <v>0</v>
      </c>
      <c r="N171" s="9">
        <f>'MKT DATA'!R1854</f>
        <v>0</v>
      </c>
      <c r="O171" s="9">
        <f>'MKT DATA'!S1854</f>
        <v>0</v>
      </c>
      <c r="P171" s="9">
        <f>'MKT DATA'!T1854</f>
        <v>0</v>
      </c>
      <c r="Q171" s="44" t="str">
        <f t="shared" si="7"/>
        <v>syn BTCX6/BTCF7/BTCZ6/BTCV6/BTCG7</v>
      </c>
      <c r="R171" s="14">
        <f>'MKT DATA'!AB1854</f>
        <v>0</v>
      </c>
    </row>
    <row r="172" spans="5:18" x14ac:dyDescent="0.25">
      <c r="E172" s="44" t="str">
        <f>'MKT DATA'!B1855</f>
        <v>syn BTCZ6/BTCU6/BTCV6/BTCX6/BTCG7</v>
      </c>
      <c r="F172" s="14">
        <f>'MKT DATA'!J1855</f>
        <v>0</v>
      </c>
      <c r="G172" s="9">
        <f>'MKT DATA'!K1855</f>
        <v>0</v>
      </c>
      <c r="H172" s="9">
        <f>'MKT DATA'!L1855</f>
        <v>0</v>
      </c>
      <c r="I172" s="14">
        <f>'MKT DATA'!M1855</f>
        <v>0</v>
      </c>
      <c r="J172" s="44" t="str">
        <f t="shared" si="6"/>
        <v>syn BTCZ6/BTCU6/BTCV6/BTCX6/BTCG7</v>
      </c>
      <c r="K172" s="9">
        <f>'MKT DATA'!O1855</f>
        <v>0</v>
      </c>
      <c r="L172" s="9">
        <f>'MKT DATA'!P1855</f>
        <v>0</v>
      </c>
      <c r="M172" s="9">
        <f>'MKT DATA'!Q1855</f>
        <v>0</v>
      </c>
      <c r="N172" s="9">
        <f>'MKT DATA'!R1855</f>
        <v>0</v>
      </c>
      <c r="O172" s="9">
        <f>'MKT DATA'!S1855</f>
        <v>0</v>
      </c>
      <c r="P172" s="9">
        <f>'MKT DATA'!T1855</f>
        <v>0</v>
      </c>
      <c r="Q172" s="44" t="str">
        <f t="shared" si="7"/>
        <v>syn BTCZ6/BTCU6/BTCV6/BTCX6/BTCG7</v>
      </c>
      <c r="R172" s="14">
        <f>'MKT DATA'!AB1855</f>
        <v>0</v>
      </c>
    </row>
    <row r="173" spans="5:18" x14ac:dyDescent="0.25">
      <c r="E173" s="44" t="str">
        <f>'MKT DATA'!B1856</f>
        <v>syn BTCZ6/BTCU6/BTCV6/BTCF7/BTCG7</v>
      </c>
      <c r="F173" s="14">
        <f>'MKT DATA'!J1856</f>
        <v>0</v>
      </c>
      <c r="G173" s="9">
        <f>'MKT DATA'!K1856</f>
        <v>0</v>
      </c>
      <c r="H173" s="9">
        <f>'MKT DATA'!L1856</f>
        <v>0</v>
      </c>
      <c r="I173" s="14">
        <f>'MKT DATA'!M1856</f>
        <v>0</v>
      </c>
      <c r="J173" s="44" t="str">
        <f t="shared" si="6"/>
        <v>syn BTCZ6/BTCU6/BTCV6/BTCF7/BTCG7</v>
      </c>
      <c r="K173" s="9">
        <f>'MKT DATA'!O1856</f>
        <v>0</v>
      </c>
      <c r="L173" s="9">
        <f>'MKT DATA'!P1856</f>
        <v>0</v>
      </c>
      <c r="M173" s="9">
        <f>'MKT DATA'!Q1856</f>
        <v>0</v>
      </c>
      <c r="N173" s="9">
        <f>'MKT DATA'!R1856</f>
        <v>0</v>
      </c>
      <c r="O173" s="9">
        <f>'MKT DATA'!S1856</f>
        <v>0</v>
      </c>
      <c r="P173" s="9">
        <f>'MKT DATA'!T1856</f>
        <v>0</v>
      </c>
      <c r="Q173" s="44" t="str">
        <f t="shared" si="7"/>
        <v>syn BTCZ6/BTCU6/BTCV6/BTCF7/BTCG7</v>
      </c>
      <c r="R173" s="14">
        <f>'MKT DATA'!AB1856</f>
        <v>0</v>
      </c>
    </row>
    <row r="174" spans="5:18" x14ac:dyDescent="0.25">
      <c r="E174" s="44" t="str">
        <f>'MKT DATA'!B1857</f>
        <v>syn BTCZ6/BTCU6/BTCX6/BTCV6/BTCG7</v>
      </c>
      <c r="F174" s="14">
        <f>'MKT DATA'!J1857</f>
        <v>0</v>
      </c>
      <c r="G174" s="9">
        <f>'MKT DATA'!K1857</f>
        <v>0</v>
      </c>
      <c r="H174" s="9">
        <f>'MKT DATA'!L1857</f>
        <v>0</v>
      </c>
      <c r="I174" s="14">
        <f>'MKT DATA'!M1857</f>
        <v>0</v>
      </c>
      <c r="J174" s="44" t="str">
        <f t="shared" si="6"/>
        <v>syn BTCZ6/BTCU6/BTCX6/BTCV6/BTCG7</v>
      </c>
      <c r="K174" s="9">
        <f>'MKT DATA'!O1857</f>
        <v>0</v>
      </c>
      <c r="L174" s="9">
        <f>'MKT DATA'!P1857</f>
        <v>0</v>
      </c>
      <c r="M174" s="9">
        <f>'MKT DATA'!Q1857</f>
        <v>0</v>
      </c>
      <c r="N174" s="9">
        <f>'MKT DATA'!R1857</f>
        <v>0</v>
      </c>
      <c r="O174" s="9">
        <f>'MKT DATA'!S1857</f>
        <v>0</v>
      </c>
      <c r="P174" s="9">
        <f>'MKT DATA'!T1857</f>
        <v>0</v>
      </c>
      <c r="Q174" s="44" t="str">
        <f t="shared" si="7"/>
        <v>syn BTCZ6/BTCU6/BTCX6/BTCV6/BTCG7</v>
      </c>
      <c r="R174" s="14">
        <f>'MKT DATA'!AB1857</f>
        <v>0</v>
      </c>
    </row>
    <row r="175" spans="5:18" x14ac:dyDescent="0.25">
      <c r="E175" s="44" t="str">
        <f>'MKT DATA'!B1858</f>
        <v>syn BTCZ6/BTCU6/BTCX6/BTCF7/BTCG7</v>
      </c>
      <c r="F175" s="14">
        <f>'MKT DATA'!J1858</f>
        <v>0</v>
      </c>
      <c r="G175" s="9">
        <f>'MKT DATA'!K1858</f>
        <v>0</v>
      </c>
      <c r="H175" s="9">
        <f>'MKT DATA'!L1858</f>
        <v>0</v>
      </c>
      <c r="I175" s="14">
        <f>'MKT DATA'!M1858</f>
        <v>0</v>
      </c>
      <c r="J175" s="44" t="str">
        <f t="shared" si="6"/>
        <v>syn BTCZ6/BTCU6/BTCX6/BTCF7/BTCG7</v>
      </c>
      <c r="K175" s="9">
        <f>'MKT DATA'!O1858</f>
        <v>0</v>
      </c>
      <c r="L175" s="9">
        <f>'MKT DATA'!P1858</f>
        <v>0</v>
      </c>
      <c r="M175" s="9">
        <f>'MKT DATA'!Q1858</f>
        <v>0</v>
      </c>
      <c r="N175" s="9">
        <f>'MKT DATA'!R1858</f>
        <v>0</v>
      </c>
      <c r="O175" s="9">
        <f>'MKT DATA'!S1858</f>
        <v>0</v>
      </c>
      <c r="P175" s="9">
        <f>'MKT DATA'!T1858</f>
        <v>0</v>
      </c>
      <c r="Q175" s="44" t="str">
        <f t="shared" si="7"/>
        <v>syn BTCZ6/BTCU6/BTCX6/BTCF7/BTCG7</v>
      </c>
      <c r="R175" s="14">
        <f>'MKT DATA'!AB1858</f>
        <v>0</v>
      </c>
    </row>
    <row r="176" spans="5:18" x14ac:dyDescent="0.25">
      <c r="E176" s="44" t="str">
        <f>'MKT DATA'!B1859</f>
        <v>syn BTCZ6/BTCU6/BTCF7/BTCV6/BTCG7</v>
      </c>
      <c r="F176" s="14">
        <f>'MKT DATA'!J1859</f>
        <v>0</v>
      </c>
      <c r="G176" s="9">
        <f>'MKT DATA'!K1859</f>
        <v>0</v>
      </c>
      <c r="H176" s="9">
        <f>'MKT DATA'!L1859</f>
        <v>0</v>
      </c>
      <c r="I176" s="14">
        <f>'MKT DATA'!M1859</f>
        <v>0</v>
      </c>
      <c r="J176" s="44" t="str">
        <f t="shared" si="6"/>
        <v>syn BTCZ6/BTCU6/BTCF7/BTCV6/BTCG7</v>
      </c>
      <c r="K176" s="9">
        <f>'MKT DATA'!O1859</f>
        <v>0</v>
      </c>
      <c r="L176" s="9">
        <f>'MKT DATA'!P1859</f>
        <v>0</v>
      </c>
      <c r="M176" s="9">
        <f>'MKT DATA'!Q1859</f>
        <v>0</v>
      </c>
      <c r="N176" s="9">
        <f>'MKT DATA'!R1859</f>
        <v>0</v>
      </c>
      <c r="O176" s="9">
        <f>'MKT DATA'!S1859</f>
        <v>0</v>
      </c>
      <c r="P176" s="9">
        <f>'MKT DATA'!T1859</f>
        <v>0</v>
      </c>
      <c r="Q176" s="44" t="str">
        <f t="shared" si="7"/>
        <v>syn BTCZ6/BTCU6/BTCF7/BTCV6/BTCG7</v>
      </c>
      <c r="R176" s="14">
        <f>'MKT DATA'!AB1859</f>
        <v>0</v>
      </c>
    </row>
    <row r="177" spans="5:18" x14ac:dyDescent="0.25">
      <c r="E177" s="44" t="str">
        <f>'MKT DATA'!B1860</f>
        <v>syn BTCZ6/BTCU6/BTCF7/BTCX6/BTCG7</v>
      </c>
      <c r="F177" s="14">
        <f>'MKT DATA'!J1860</f>
        <v>0</v>
      </c>
      <c r="G177" s="9">
        <f>'MKT DATA'!K1860</f>
        <v>0</v>
      </c>
      <c r="H177" s="9">
        <f>'MKT DATA'!L1860</f>
        <v>0</v>
      </c>
      <c r="I177" s="14">
        <f>'MKT DATA'!M1860</f>
        <v>0</v>
      </c>
      <c r="J177" s="44" t="str">
        <f t="shared" si="6"/>
        <v>syn BTCZ6/BTCU6/BTCF7/BTCX6/BTCG7</v>
      </c>
      <c r="K177" s="9">
        <f>'MKT DATA'!O1860</f>
        <v>0</v>
      </c>
      <c r="L177" s="9">
        <f>'MKT DATA'!P1860</f>
        <v>0</v>
      </c>
      <c r="M177" s="9">
        <f>'MKT DATA'!Q1860</f>
        <v>0</v>
      </c>
      <c r="N177" s="9">
        <f>'MKT DATA'!R1860</f>
        <v>0</v>
      </c>
      <c r="O177" s="9">
        <f>'MKT DATA'!S1860</f>
        <v>0</v>
      </c>
      <c r="P177" s="9">
        <f>'MKT DATA'!T1860</f>
        <v>0</v>
      </c>
      <c r="Q177" s="44" t="str">
        <f t="shared" si="7"/>
        <v>syn BTCZ6/BTCU6/BTCF7/BTCX6/BTCG7</v>
      </c>
      <c r="R177" s="14">
        <f>'MKT DATA'!AB1860</f>
        <v>0</v>
      </c>
    </row>
    <row r="178" spans="5:18" x14ac:dyDescent="0.25">
      <c r="E178" s="44" t="str">
        <f>'MKT DATA'!B1861</f>
        <v>syn BTCZ6/BTCV6/BTCU6/BTCX6/BTCG7</v>
      </c>
      <c r="F178" s="14">
        <f>'MKT DATA'!J1861</f>
        <v>0</v>
      </c>
      <c r="G178" s="9">
        <f>'MKT DATA'!K1861</f>
        <v>0</v>
      </c>
      <c r="H178" s="9">
        <f>'MKT DATA'!L1861</f>
        <v>0</v>
      </c>
      <c r="I178" s="14">
        <f>'MKT DATA'!M1861</f>
        <v>0</v>
      </c>
      <c r="J178" s="44" t="str">
        <f t="shared" si="6"/>
        <v>syn BTCZ6/BTCV6/BTCU6/BTCX6/BTCG7</v>
      </c>
      <c r="K178" s="9">
        <f>'MKT DATA'!O1861</f>
        <v>0</v>
      </c>
      <c r="L178" s="9">
        <f>'MKT DATA'!P1861</f>
        <v>0</v>
      </c>
      <c r="M178" s="9">
        <f>'MKT DATA'!Q1861</f>
        <v>0</v>
      </c>
      <c r="N178" s="9">
        <f>'MKT DATA'!R1861</f>
        <v>0</v>
      </c>
      <c r="O178" s="9">
        <f>'MKT DATA'!S1861</f>
        <v>0</v>
      </c>
      <c r="P178" s="9">
        <f>'MKT DATA'!T1861</f>
        <v>0</v>
      </c>
      <c r="Q178" s="44" t="str">
        <f t="shared" si="7"/>
        <v>syn BTCZ6/BTCV6/BTCU6/BTCX6/BTCG7</v>
      </c>
      <c r="R178" s="14">
        <f>'MKT DATA'!AB1861</f>
        <v>0</v>
      </c>
    </row>
    <row r="179" spans="5:18" x14ac:dyDescent="0.25">
      <c r="E179" s="44" t="str">
        <f>'MKT DATA'!B1862</f>
        <v>syn BTCZ6/BTCV6/BTCU6/BTCF7/BTCG7</v>
      </c>
      <c r="F179" s="14">
        <f>'MKT DATA'!J1862</f>
        <v>0</v>
      </c>
      <c r="G179" s="9">
        <f>'MKT DATA'!K1862</f>
        <v>0</v>
      </c>
      <c r="H179" s="9">
        <f>'MKT DATA'!L1862</f>
        <v>0</v>
      </c>
      <c r="I179" s="14">
        <f>'MKT DATA'!M1862</f>
        <v>0</v>
      </c>
      <c r="J179" s="44" t="str">
        <f t="shared" si="6"/>
        <v>syn BTCZ6/BTCV6/BTCU6/BTCF7/BTCG7</v>
      </c>
      <c r="K179" s="9">
        <f>'MKT DATA'!O1862</f>
        <v>0</v>
      </c>
      <c r="L179" s="9">
        <f>'MKT DATA'!P1862</f>
        <v>0</v>
      </c>
      <c r="M179" s="9">
        <f>'MKT DATA'!Q1862</f>
        <v>0</v>
      </c>
      <c r="N179" s="9">
        <f>'MKT DATA'!R1862</f>
        <v>0</v>
      </c>
      <c r="O179" s="9">
        <f>'MKT DATA'!S1862</f>
        <v>0</v>
      </c>
      <c r="P179" s="9">
        <f>'MKT DATA'!T1862</f>
        <v>0</v>
      </c>
      <c r="Q179" s="44" t="str">
        <f t="shared" si="7"/>
        <v>syn BTCZ6/BTCV6/BTCU6/BTCF7/BTCG7</v>
      </c>
      <c r="R179" s="14">
        <f>'MKT DATA'!AB1862</f>
        <v>0</v>
      </c>
    </row>
    <row r="180" spans="5:18" x14ac:dyDescent="0.25">
      <c r="E180" s="44" t="str">
        <f>'MKT DATA'!B1863</f>
        <v>syn BTCZ6/BTCV6/BTCX6/BTCU6/BTCG7</v>
      </c>
      <c r="F180" s="14">
        <f>'MKT DATA'!J1863</f>
        <v>0</v>
      </c>
      <c r="G180" s="9">
        <f>'MKT DATA'!K1863</f>
        <v>0</v>
      </c>
      <c r="H180" s="9">
        <f>'MKT DATA'!L1863</f>
        <v>0</v>
      </c>
      <c r="I180" s="14">
        <f>'MKT DATA'!M1863</f>
        <v>0</v>
      </c>
      <c r="J180" s="44" t="str">
        <f t="shared" si="6"/>
        <v>syn BTCZ6/BTCV6/BTCX6/BTCU6/BTCG7</v>
      </c>
      <c r="K180" s="9">
        <f>'MKT DATA'!O1863</f>
        <v>0</v>
      </c>
      <c r="L180" s="9">
        <f>'MKT DATA'!P1863</f>
        <v>0</v>
      </c>
      <c r="M180" s="9">
        <f>'MKT DATA'!Q1863</f>
        <v>0</v>
      </c>
      <c r="N180" s="9">
        <f>'MKT DATA'!R1863</f>
        <v>0</v>
      </c>
      <c r="O180" s="9">
        <f>'MKT DATA'!S1863</f>
        <v>0</v>
      </c>
      <c r="P180" s="9">
        <f>'MKT DATA'!T1863</f>
        <v>0</v>
      </c>
      <c r="Q180" s="44" t="str">
        <f t="shared" si="7"/>
        <v>syn BTCZ6/BTCV6/BTCX6/BTCU6/BTCG7</v>
      </c>
      <c r="R180" s="14">
        <f>'MKT DATA'!AB1863</f>
        <v>0</v>
      </c>
    </row>
    <row r="181" spans="5:18" x14ac:dyDescent="0.25">
      <c r="E181" s="44" t="str">
        <f>'MKT DATA'!B1864</f>
        <v>syn BTCZ6/BTCV6/BTCX6/BTCF7/BTCG7</v>
      </c>
      <c r="F181" s="14">
        <f>'MKT DATA'!J1864</f>
        <v>0</v>
      </c>
      <c r="G181" s="9">
        <f>'MKT DATA'!K1864</f>
        <v>0</v>
      </c>
      <c r="H181" s="9">
        <f>'MKT DATA'!L1864</f>
        <v>0</v>
      </c>
      <c r="I181" s="14">
        <f>'MKT DATA'!M1864</f>
        <v>0</v>
      </c>
      <c r="J181" s="44" t="str">
        <f t="shared" si="6"/>
        <v>syn BTCZ6/BTCV6/BTCX6/BTCF7/BTCG7</v>
      </c>
      <c r="K181" s="9">
        <f>'MKT DATA'!O1864</f>
        <v>0</v>
      </c>
      <c r="L181" s="9">
        <f>'MKT DATA'!P1864</f>
        <v>0</v>
      </c>
      <c r="M181" s="9">
        <f>'MKT DATA'!Q1864</f>
        <v>0</v>
      </c>
      <c r="N181" s="9">
        <f>'MKT DATA'!R1864</f>
        <v>0</v>
      </c>
      <c r="O181" s="9">
        <f>'MKT DATA'!S1864</f>
        <v>0</v>
      </c>
      <c r="P181" s="9">
        <f>'MKT DATA'!T1864</f>
        <v>0</v>
      </c>
      <c r="Q181" s="44" t="str">
        <f t="shared" si="7"/>
        <v>syn BTCZ6/BTCV6/BTCX6/BTCF7/BTCG7</v>
      </c>
      <c r="R181" s="14">
        <f>'MKT DATA'!AB1864</f>
        <v>0</v>
      </c>
    </row>
    <row r="182" spans="5:18" x14ac:dyDescent="0.25">
      <c r="E182" s="44" t="str">
        <f>'MKT DATA'!B1865</f>
        <v>syn BTCZ6/BTCV6/BTCF7/BTCU6/BTCG7</v>
      </c>
      <c r="F182" s="14">
        <f>'MKT DATA'!J1865</f>
        <v>0</v>
      </c>
      <c r="G182" s="9">
        <f>'MKT DATA'!K1865</f>
        <v>0</v>
      </c>
      <c r="H182" s="9">
        <f>'MKT DATA'!L1865</f>
        <v>0</v>
      </c>
      <c r="I182" s="14">
        <f>'MKT DATA'!M1865</f>
        <v>0</v>
      </c>
      <c r="J182" s="44" t="str">
        <f t="shared" si="6"/>
        <v>syn BTCZ6/BTCV6/BTCF7/BTCU6/BTCG7</v>
      </c>
      <c r="K182" s="9">
        <f>'MKT DATA'!O1865</f>
        <v>0</v>
      </c>
      <c r="L182" s="9">
        <f>'MKT DATA'!P1865</f>
        <v>0</v>
      </c>
      <c r="M182" s="9">
        <f>'MKT DATA'!Q1865</f>
        <v>0</v>
      </c>
      <c r="N182" s="9">
        <f>'MKT DATA'!R1865</f>
        <v>0</v>
      </c>
      <c r="O182" s="9">
        <f>'MKT DATA'!S1865</f>
        <v>0</v>
      </c>
      <c r="P182" s="9">
        <f>'MKT DATA'!T1865</f>
        <v>0</v>
      </c>
      <c r="Q182" s="44" t="str">
        <f t="shared" si="7"/>
        <v>syn BTCZ6/BTCV6/BTCF7/BTCU6/BTCG7</v>
      </c>
      <c r="R182" s="14">
        <f>'MKT DATA'!AB1865</f>
        <v>0</v>
      </c>
    </row>
    <row r="183" spans="5:18" x14ac:dyDescent="0.25">
      <c r="E183" s="44" t="str">
        <f>'MKT DATA'!B1866</f>
        <v>syn BTCZ6/BTCV6/BTCF7/BTCX6/BTCG7</v>
      </c>
      <c r="F183" s="14">
        <f>'MKT DATA'!J1866</f>
        <v>0</v>
      </c>
      <c r="G183" s="9">
        <f>'MKT DATA'!K1866</f>
        <v>0</v>
      </c>
      <c r="H183" s="9">
        <f>'MKT DATA'!L1866</f>
        <v>0</v>
      </c>
      <c r="I183" s="14">
        <f>'MKT DATA'!M1866</f>
        <v>0</v>
      </c>
      <c r="J183" s="44" t="str">
        <f t="shared" si="6"/>
        <v>syn BTCZ6/BTCV6/BTCF7/BTCX6/BTCG7</v>
      </c>
      <c r="K183" s="9">
        <f>'MKT DATA'!O1866</f>
        <v>0</v>
      </c>
      <c r="L183" s="9">
        <f>'MKT DATA'!P1866</f>
        <v>0</v>
      </c>
      <c r="M183" s="9">
        <f>'MKT DATA'!Q1866</f>
        <v>0</v>
      </c>
      <c r="N183" s="9">
        <f>'MKT DATA'!R1866</f>
        <v>0</v>
      </c>
      <c r="O183" s="9">
        <f>'MKT DATA'!S1866</f>
        <v>0</v>
      </c>
      <c r="P183" s="9">
        <f>'MKT DATA'!T1866</f>
        <v>0</v>
      </c>
      <c r="Q183" s="44" t="str">
        <f t="shared" si="7"/>
        <v>syn BTCZ6/BTCV6/BTCF7/BTCX6/BTCG7</v>
      </c>
      <c r="R183" s="14">
        <f>'MKT DATA'!AB1866</f>
        <v>0</v>
      </c>
    </row>
    <row r="184" spans="5:18" x14ac:dyDescent="0.25">
      <c r="E184" s="44" t="str">
        <f>'MKT DATA'!B1867</f>
        <v>syn BTCZ6/BTCX6/BTCU6/BTCV6/BTCG7</v>
      </c>
      <c r="F184" s="14">
        <f>'MKT DATA'!J1867</f>
        <v>0</v>
      </c>
      <c r="G184" s="9">
        <f>'MKT DATA'!K1867</f>
        <v>0</v>
      </c>
      <c r="H184" s="9">
        <f>'MKT DATA'!L1867</f>
        <v>0</v>
      </c>
      <c r="I184" s="14">
        <f>'MKT DATA'!M1867</f>
        <v>0</v>
      </c>
      <c r="J184" s="44" t="str">
        <f t="shared" si="6"/>
        <v>syn BTCZ6/BTCX6/BTCU6/BTCV6/BTCG7</v>
      </c>
      <c r="K184" s="9">
        <f>'MKT DATA'!O1867</f>
        <v>0</v>
      </c>
      <c r="L184" s="9">
        <f>'MKT DATA'!P1867</f>
        <v>0</v>
      </c>
      <c r="M184" s="9">
        <f>'MKT DATA'!Q1867</f>
        <v>0</v>
      </c>
      <c r="N184" s="9">
        <f>'MKT DATA'!R1867</f>
        <v>0</v>
      </c>
      <c r="O184" s="9">
        <f>'MKT DATA'!S1867</f>
        <v>0</v>
      </c>
      <c r="P184" s="9">
        <f>'MKT DATA'!T1867</f>
        <v>0</v>
      </c>
      <c r="Q184" s="44" t="str">
        <f t="shared" si="7"/>
        <v>syn BTCZ6/BTCX6/BTCU6/BTCV6/BTCG7</v>
      </c>
      <c r="R184" s="14">
        <f>'MKT DATA'!AB1867</f>
        <v>0</v>
      </c>
    </row>
    <row r="185" spans="5:18" x14ac:dyDescent="0.25">
      <c r="E185" s="44" t="str">
        <f>'MKT DATA'!B1868</f>
        <v>syn BTCZ6/BTCX6/BTCU6/BTCF7/BTCG7</v>
      </c>
      <c r="F185" s="14">
        <f>'MKT DATA'!J1868</f>
        <v>0</v>
      </c>
      <c r="G185" s="9">
        <f>'MKT DATA'!K1868</f>
        <v>0</v>
      </c>
      <c r="H185" s="9">
        <f>'MKT DATA'!L1868</f>
        <v>0</v>
      </c>
      <c r="I185" s="14">
        <f>'MKT DATA'!M1868</f>
        <v>0</v>
      </c>
      <c r="J185" s="44" t="str">
        <f t="shared" si="6"/>
        <v>syn BTCZ6/BTCX6/BTCU6/BTCF7/BTCG7</v>
      </c>
      <c r="K185" s="9">
        <f>'MKT DATA'!O1868</f>
        <v>0</v>
      </c>
      <c r="L185" s="9">
        <f>'MKT DATA'!P1868</f>
        <v>0</v>
      </c>
      <c r="M185" s="9">
        <f>'MKT DATA'!Q1868</f>
        <v>0</v>
      </c>
      <c r="N185" s="9">
        <f>'MKT DATA'!R1868</f>
        <v>0</v>
      </c>
      <c r="O185" s="9">
        <f>'MKT DATA'!S1868</f>
        <v>0</v>
      </c>
      <c r="P185" s="9">
        <f>'MKT DATA'!T1868</f>
        <v>0</v>
      </c>
      <c r="Q185" s="44" t="str">
        <f t="shared" si="7"/>
        <v>syn BTCZ6/BTCX6/BTCU6/BTCF7/BTCG7</v>
      </c>
      <c r="R185" s="14">
        <f>'MKT DATA'!AB1868</f>
        <v>0</v>
      </c>
    </row>
    <row r="186" spans="5:18" x14ac:dyDescent="0.25">
      <c r="E186" s="44" t="str">
        <f>'MKT DATA'!B1869</f>
        <v>syn BTCZ6/BTCX6/BTCV6/BTCU6/BTCG7</v>
      </c>
      <c r="F186" s="14">
        <f>'MKT DATA'!J1869</f>
        <v>0</v>
      </c>
      <c r="G186" s="9">
        <f>'MKT DATA'!K1869</f>
        <v>0</v>
      </c>
      <c r="H186" s="9">
        <f>'MKT DATA'!L1869</f>
        <v>0</v>
      </c>
      <c r="I186" s="14">
        <f>'MKT DATA'!M1869</f>
        <v>0</v>
      </c>
      <c r="J186" s="44" t="str">
        <f t="shared" si="6"/>
        <v>syn BTCZ6/BTCX6/BTCV6/BTCU6/BTCG7</v>
      </c>
      <c r="K186" s="9">
        <f>'MKT DATA'!O1869</f>
        <v>0</v>
      </c>
      <c r="L186" s="9">
        <f>'MKT DATA'!P1869</f>
        <v>0</v>
      </c>
      <c r="M186" s="9">
        <f>'MKT DATA'!Q1869</f>
        <v>0</v>
      </c>
      <c r="N186" s="9">
        <f>'MKT DATA'!R1869</f>
        <v>0</v>
      </c>
      <c r="O186" s="9">
        <f>'MKT DATA'!S1869</f>
        <v>0</v>
      </c>
      <c r="P186" s="9">
        <f>'MKT DATA'!T1869</f>
        <v>0</v>
      </c>
      <c r="Q186" s="44" t="str">
        <f t="shared" si="7"/>
        <v>syn BTCZ6/BTCX6/BTCV6/BTCU6/BTCG7</v>
      </c>
      <c r="R186" s="14">
        <f>'MKT DATA'!AB1869</f>
        <v>0</v>
      </c>
    </row>
    <row r="187" spans="5:18" x14ac:dyDescent="0.25">
      <c r="E187" s="44" t="str">
        <f>'MKT DATA'!B1870</f>
        <v>syn BTCZ6/BTCX6/BTCV6/BTCF7/BTCG7</v>
      </c>
      <c r="F187" s="14">
        <f>'MKT DATA'!J1870</f>
        <v>0</v>
      </c>
      <c r="G187" s="9">
        <f>'MKT DATA'!K1870</f>
        <v>0</v>
      </c>
      <c r="H187" s="9">
        <f>'MKT DATA'!L1870</f>
        <v>0</v>
      </c>
      <c r="I187" s="14">
        <f>'MKT DATA'!M1870</f>
        <v>0</v>
      </c>
      <c r="J187" s="44" t="str">
        <f t="shared" si="6"/>
        <v>syn BTCZ6/BTCX6/BTCV6/BTCF7/BTCG7</v>
      </c>
      <c r="K187" s="9">
        <f>'MKT DATA'!O1870</f>
        <v>0</v>
      </c>
      <c r="L187" s="9">
        <f>'MKT DATA'!P1870</f>
        <v>0</v>
      </c>
      <c r="M187" s="9">
        <f>'MKT DATA'!Q1870</f>
        <v>0</v>
      </c>
      <c r="N187" s="9">
        <f>'MKT DATA'!R1870</f>
        <v>0</v>
      </c>
      <c r="O187" s="9">
        <f>'MKT DATA'!S1870</f>
        <v>0</v>
      </c>
      <c r="P187" s="9">
        <f>'MKT DATA'!T1870</f>
        <v>0</v>
      </c>
      <c r="Q187" s="44" t="str">
        <f t="shared" si="7"/>
        <v>syn BTCZ6/BTCX6/BTCV6/BTCF7/BTCG7</v>
      </c>
      <c r="R187" s="14">
        <f>'MKT DATA'!AB1870</f>
        <v>0</v>
      </c>
    </row>
    <row r="188" spans="5:18" x14ac:dyDescent="0.25">
      <c r="E188" s="44" t="str">
        <f>'MKT DATA'!B1871</f>
        <v>syn BTCZ6/BTCX6/BTCF7/BTCU6/BTCG7</v>
      </c>
      <c r="F188" s="14">
        <f>'MKT DATA'!J1871</f>
        <v>0</v>
      </c>
      <c r="G188" s="9">
        <f>'MKT DATA'!K1871</f>
        <v>0</v>
      </c>
      <c r="H188" s="9">
        <f>'MKT DATA'!L1871</f>
        <v>0</v>
      </c>
      <c r="I188" s="14">
        <f>'MKT DATA'!M1871</f>
        <v>0</v>
      </c>
      <c r="J188" s="44" t="str">
        <f t="shared" si="6"/>
        <v>syn BTCZ6/BTCX6/BTCF7/BTCU6/BTCG7</v>
      </c>
      <c r="K188" s="9">
        <f>'MKT DATA'!O1871</f>
        <v>0</v>
      </c>
      <c r="L188" s="9">
        <f>'MKT DATA'!P1871</f>
        <v>0</v>
      </c>
      <c r="M188" s="9">
        <f>'MKT DATA'!Q1871</f>
        <v>0</v>
      </c>
      <c r="N188" s="9">
        <f>'MKT DATA'!R1871</f>
        <v>0</v>
      </c>
      <c r="O188" s="9">
        <f>'MKT DATA'!S1871</f>
        <v>0</v>
      </c>
      <c r="P188" s="9">
        <f>'MKT DATA'!T1871</f>
        <v>0</v>
      </c>
      <c r="Q188" s="44" t="str">
        <f t="shared" si="7"/>
        <v>syn BTCZ6/BTCX6/BTCF7/BTCU6/BTCG7</v>
      </c>
      <c r="R188" s="14">
        <f>'MKT DATA'!AB1871</f>
        <v>0</v>
      </c>
    </row>
    <row r="189" spans="5:18" x14ac:dyDescent="0.25">
      <c r="E189" s="44" t="str">
        <f>'MKT DATA'!B1872</f>
        <v>syn BTCZ6/BTCX6/BTCF7/BTCV6/BTCG7</v>
      </c>
      <c r="F189" s="14">
        <f>'MKT DATA'!J1872</f>
        <v>0</v>
      </c>
      <c r="G189" s="9">
        <f>'MKT DATA'!K1872</f>
        <v>0</v>
      </c>
      <c r="H189" s="9">
        <f>'MKT DATA'!L1872</f>
        <v>0</v>
      </c>
      <c r="I189" s="14">
        <f>'MKT DATA'!M1872</f>
        <v>0</v>
      </c>
      <c r="J189" s="44" t="str">
        <f t="shared" si="6"/>
        <v>syn BTCZ6/BTCX6/BTCF7/BTCV6/BTCG7</v>
      </c>
      <c r="K189" s="9">
        <f>'MKT DATA'!O1872</f>
        <v>0</v>
      </c>
      <c r="L189" s="9">
        <f>'MKT DATA'!P1872</f>
        <v>0</v>
      </c>
      <c r="M189" s="9">
        <f>'MKT DATA'!Q1872</f>
        <v>0</v>
      </c>
      <c r="N189" s="9">
        <f>'MKT DATA'!R1872</f>
        <v>0</v>
      </c>
      <c r="O189" s="9">
        <f>'MKT DATA'!S1872</f>
        <v>0</v>
      </c>
      <c r="P189" s="9">
        <f>'MKT DATA'!T1872</f>
        <v>0</v>
      </c>
      <c r="Q189" s="44" t="str">
        <f t="shared" si="7"/>
        <v>syn BTCZ6/BTCX6/BTCF7/BTCV6/BTCG7</v>
      </c>
      <c r="R189" s="14">
        <f>'MKT DATA'!AB1872</f>
        <v>0</v>
      </c>
    </row>
    <row r="190" spans="5:18" x14ac:dyDescent="0.25">
      <c r="E190" s="44" t="str">
        <f>'MKT DATA'!B1873</f>
        <v>syn BTCZ6/BTCF7/BTCU6/BTCV6/BTCG7</v>
      </c>
      <c r="F190" s="14">
        <f>'MKT DATA'!J1873</f>
        <v>0</v>
      </c>
      <c r="G190" s="9">
        <f>'MKT DATA'!K1873</f>
        <v>0</v>
      </c>
      <c r="H190" s="9">
        <f>'MKT DATA'!L1873</f>
        <v>0</v>
      </c>
      <c r="I190" s="14">
        <f>'MKT DATA'!M1873</f>
        <v>0</v>
      </c>
      <c r="J190" s="44" t="str">
        <f t="shared" si="6"/>
        <v>syn BTCZ6/BTCF7/BTCU6/BTCV6/BTCG7</v>
      </c>
      <c r="K190" s="9">
        <f>'MKT DATA'!O1873</f>
        <v>0</v>
      </c>
      <c r="L190" s="9">
        <f>'MKT DATA'!P1873</f>
        <v>0</v>
      </c>
      <c r="M190" s="9">
        <f>'MKT DATA'!Q1873</f>
        <v>0</v>
      </c>
      <c r="N190" s="9">
        <f>'MKT DATA'!R1873</f>
        <v>0</v>
      </c>
      <c r="O190" s="9">
        <f>'MKT DATA'!S1873</f>
        <v>0</v>
      </c>
      <c r="P190" s="9">
        <f>'MKT DATA'!T1873</f>
        <v>0</v>
      </c>
      <c r="Q190" s="44" t="str">
        <f t="shared" si="7"/>
        <v>syn BTCZ6/BTCF7/BTCU6/BTCV6/BTCG7</v>
      </c>
      <c r="R190" s="14">
        <f>'MKT DATA'!AB1873</f>
        <v>0</v>
      </c>
    </row>
    <row r="191" spans="5:18" x14ac:dyDescent="0.25">
      <c r="E191" s="44" t="str">
        <f>'MKT DATA'!B1874</f>
        <v>syn BTCZ6/BTCF7/BTCU6/BTCX6/BTCG7</v>
      </c>
      <c r="F191" s="14">
        <f>'MKT DATA'!J1874</f>
        <v>0</v>
      </c>
      <c r="G191" s="9">
        <f>'MKT DATA'!K1874</f>
        <v>0</v>
      </c>
      <c r="H191" s="9">
        <f>'MKT DATA'!L1874</f>
        <v>0</v>
      </c>
      <c r="I191" s="14">
        <f>'MKT DATA'!M1874</f>
        <v>0</v>
      </c>
      <c r="J191" s="44" t="str">
        <f t="shared" si="6"/>
        <v>syn BTCZ6/BTCF7/BTCU6/BTCX6/BTCG7</v>
      </c>
      <c r="K191" s="9">
        <f>'MKT DATA'!O1874</f>
        <v>0</v>
      </c>
      <c r="L191" s="9">
        <f>'MKT DATA'!P1874</f>
        <v>0</v>
      </c>
      <c r="M191" s="9">
        <f>'MKT DATA'!Q1874</f>
        <v>0</v>
      </c>
      <c r="N191" s="9">
        <f>'MKT DATA'!R1874</f>
        <v>0</v>
      </c>
      <c r="O191" s="9">
        <f>'MKT DATA'!S1874</f>
        <v>0</v>
      </c>
      <c r="P191" s="9">
        <f>'MKT DATA'!T1874</f>
        <v>0</v>
      </c>
      <c r="Q191" s="44" t="str">
        <f t="shared" si="7"/>
        <v>syn BTCZ6/BTCF7/BTCU6/BTCX6/BTCG7</v>
      </c>
      <c r="R191" s="14">
        <f>'MKT DATA'!AB1874</f>
        <v>0</v>
      </c>
    </row>
    <row r="192" spans="5:18" x14ac:dyDescent="0.25">
      <c r="E192" s="44" t="str">
        <f>'MKT DATA'!B1875</f>
        <v>syn BTCZ6/BTCF7/BTCV6/BTCU6/BTCG7</v>
      </c>
      <c r="F192" s="14">
        <f>'MKT DATA'!J1875</f>
        <v>0</v>
      </c>
      <c r="G192" s="9">
        <f>'MKT DATA'!K1875</f>
        <v>0</v>
      </c>
      <c r="H192" s="9">
        <f>'MKT DATA'!L1875</f>
        <v>0</v>
      </c>
      <c r="I192" s="14">
        <f>'MKT DATA'!M1875</f>
        <v>0</v>
      </c>
      <c r="J192" s="44" t="str">
        <f t="shared" si="6"/>
        <v>syn BTCZ6/BTCF7/BTCV6/BTCU6/BTCG7</v>
      </c>
      <c r="K192" s="9">
        <f>'MKT DATA'!O1875</f>
        <v>0</v>
      </c>
      <c r="L192" s="9">
        <f>'MKT DATA'!P1875</f>
        <v>0</v>
      </c>
      <c r="M192" s="9">
        <f>'MKT DATA'!Q1875</f>
        <v>0</v>
      </c>
      <c r="N192" s="9">
        <f>'MKT DATA'!R1875</f>
        <v>0</v>
      </c>
      <c r="O192" s="9">
        <f>'MKT DATA'!S1875</f>
        <v>0</v>
      </c>
      <c r="P192" s="9">
        <f>'MKT DATA'!T1875</f>
        <v>0</v>
      </c>
      <c r="Q192" s="44" t="str">
        <f t="shared" si="7"/>
        <v>syn BTCZ6/BTCF7/BTCV6/BTCU6/BTCG7</v>
      </c>
      <c r="R192" s="14">
        <f>'MKT DATA'!AB1875</f>
        <v>0</v>
      </c>
    </row>
    <row r="193" spans="5:18" x14ac:dyDescent="0.25">
      <c r="E193" s="44" t="str">
        <f>'MKT DATA'!B1876</f>
        <v>syn BTCZ6/BTCF7/BTCV6/BTCX6/BTCG7</v>
      </c>
      <c r="F193" s="14">
        <f>'MKT DATA'!J1876</f>
        <v>0</v>
      </c>
      <c r="G193" s="9">
        <f>'MKT DATA'!K1876</f>
        <v>0</v>
      </c>
      <c r="H193" s="9">
        <f>'MKT DATA'!L1876</f>
        <v>0</v>
      </c>
      <c r="I193" s="14">
        <f>'MKT DATA'!M1876</f>
        <v>0</v>
      </c>
      <c r="J193" s="44" t="str">
        <f t="shared" si="6"/>
        <v>syn BTCZ6/BTCF7/BTCV6/BTCX6/BTCG7</v>
      </c>
      <c r="K193" s="9">
        <f>'MKT DATA'!O1876</f>
        <v>0</v>
      </c>
      <c r="L193" s="9">
        <f>'MKT DATA'!P1876</f>
        <v>0</v>
      </c>
      <c r="M193" s="9">
        <f>'MKT DATA'!Q1876</f>
        <v>0</v>
      </c>
      <c r="N193" s="9">
        <f>'MKT DATA'!R1876</f>
        <v>0</v>
      </c>
      <c r="O193" s="9">
        <f>'MKT DATA'!S1876</f>
        <v>0</v>
      </c>
      <c r="P193" s="9">
        <f>'MKT DATA'!T1876</f>
        <v>0</v>
      </c>
      <c r="Q193" s="44" t="str">
        <f t="shared" si="7"/>
        <v>syn BTCZ6/BTCF7/BTCV6/BTCX6/BTCG7</v>
      </c>
      <c r="R193" s="14">
        <f>'MKT DATA'!AB1876</f>
        <v>0</v>
      </c>
    </row>
    <row r="194" spans="5:18" x14ac:dyDescent="0.25">
      <c r="E194" s="44" t="str">
        <f>'MKT DATA'!B1877</f>
        <v>syn BTCZ6/BTCF7/BTCX6/BTCU6/BTCG7</v>
      </c>
      <c r="F194" s="14">
        <f>'MKT DATA'!J1877</f>
        <v>0</v>
      </c>
      <c r="G194" s="9">
        <f>'MKT DATA'!K1877</f>
        <v>0</v>
      </c>
      <c r="H194" s="9">
        <f>'MKT DATA'!L1877</f>
        <v>0</v>
      </c>
      <c r="I194" s="14">
        <f>'MKT DATA'!M1877</f>
        <v>0</v>
      </c>
      <c r="J194" s="44" t="str">
        <f t="shared" si="6"/>
        <v>syn BTCZ6/BTCF7/BTCX6/BTCU6/BTCG7</v>
      </c>
      <c r="K194" s="9">
        <f>'MKT DATA'!O1877</f>
        <v>0</v>
      </c>
      <c r="L194" s="9">
        <f>'MKT DATA'!P1877</f>
        <v>0</v>
      </c>
      <c r="M194" s="9">
        <f>'MKT DATA'!Q1877</f>
        <v>0</v>
      </c>
      <c r="N194" s="9">
        <f>'MKT DATA'!R1877</f>
        <v>0</v>
      </c>
      <c r="O194" s="9">
        <f>'MKT DATA'!S1877</f>
        <v>0</v>
      </c>
      <c r="P194" s="9">
        <f>'MKT DATA'!T1877</f>
        <v>0</v>
      </c>
      <c r="Q194" s="44" t="str">
        <f t="shared" si="7"/>
        <v>syn BTCZ6/BTCF7/BTCX6/BTCU6/BTCG7</v>
      </c>
      <c r="R194" s="14">
        <f>'MKT DATA'!AB1877</f>
        <v>0</v>
      </c>
    </row>
    <row r="195" spans="5:18" x14ac:dyDescent="0.25">
      <c r="E195" s="44" t="str">
        <f>'MKT DATA'!B1878</f>
        <v>syn BTCZ6/BTCF7/BTCX6/BTCV6/BTCG7</v>
      </c>
      <c r="F195" s="14">
        <f>'MKT DATA'!J1878</f>
        <v>0</v>
      </c>
      <c r="G195" s="9">
        <f>'MKT DATA'!K1878</f>
        <v>0</v>
      </c>
      <c r="H195" s="9">
        <f>'MKT DATA'!L1878</f>
        <v>0</v>
      </c>
      <c r="I195" s="14">
        <f>'MKT DATA'!M1878</f>
        <v>0</v>
      </c>
      <c r="J195" s="44" t="str">
        <f t="shared" si="6"/>
        <v>syn BTCZ6/BTCF7/BTCX6/BTCV6/BTCG7</v>
      </c>
      <c r="K195" s="9">
        <f>'MKT DATA'!O1878</f>
        <v>0</v>
      </c>
      <c r="L195" s="9">
        <f>'MKT DATA'!P1878</f>
        <v>0</v>
      </c>
      <c r="M195" s="9">
        <f>'MKT DATA'!Q1878</f>
        <v>0</v>
      </c>
      <c r="N195" s="9">
        <f>'MKT DATA'!R1878</f>
        <v>0</v>
      </c>
      <c r="O195" s="9">
        <f>'MKT DATA'!S1878</f>
        <v>0</v>
      </c>
      <c r="P195" s="9">
        <f>'MKT DATA'!T1878</f>
        <v>0</v>
      </c>
      <c r="Q195" s="44" t="str">
        <f t="shared" si="7"/>
        <v>syn BTCZ6/BTCF7/BTCX6/BTCV6/BTCG7</v>
      </c>
      <c r="R195" s="14">
        <f>'MKT DATA'!AB1878</f>
        <v>0</v>
      </c>
    </row>
    <row r="196" spans="5:18" x14ac:dyDescent="0.25">
      <c r="E196" s="44" t="str">
        <f>'MKT DATA'!B1879</f>
        <v>syn BTCF7/BTCU6/BTCV6/BTCX6/BTCG7</v>
      </c>
      <c r="F196" s="14">
        <f>'MKT DATA'!J1879</f>
        <v>0</v>
      </c>
      <c r="G196" s="9">
        <f>'MKT DATA'!K1879</f>
        <v>0</v>
      </c>
      <c r="H196" s="9">
        <f>'MKT DATA'!L1879</f>
        <v>0</v>
      </c>
      <c r="I196" s="14">
        <f>'MKT DATA'!M1879</f>
        <v>0</v>
      </c>
      <c r="J196" s="44" t="str">
        <f t="shared" si="6"/>
        <v>syn BTCF7/BTCU6/BTCV6/BTCX6/BTCG7</v>
      </c>
      <c r="K196" s="9">
        <f>'MKT DATA'!O1879</f>
        <v>0</v>
      </c>
      <c r="L196" s="9">
        <f>'MKT DATA'!P1879</f>
        <v>0</v>
      </c>
      <c r="M196" s="9">
        <f>'MKT DATA'!Q1879</f>
        <v>0</v>
      </c>
      <c r="N196" s="9">
        <f>'MKT DATA'!R1879</f>
        <v>0</v>
      </c>
      <c r="O196" s="9">
        <f>'MKT DATA'!S1879</f>
        <v>0</v>
      </c>
      <c r="P196" s="9">
        <f>'MKT DATA'!T1879</f>
        <v>0</v>
      </c>
      <c r="Q196" s="44" t="str">
        <f t="shared" si="7"/>
        <v>syn BTCF7/BTCU6/BTCV6/BTCX6/BTCG7</v>
      </c>
      <c r="R196" s="14">
        <f>'MKT DATA'!AB1879</f>
        <v>0</v>
      </c>
    </row>
    <row r="197" spans="5:18" x14ac:dyDescent="0.25">
      <c r="E197" s="44" t="str">
        <f>'MKT DATA'!B1880</f>
        <v>syn BTCF7/BTCU6/BTCV6/BTCZ6/BTCG7</v>
      </c>
      <c r="F197" s="14">
        <f>'MKT DATA'!J1880</f>
        <v>0</v>
      </c>
      <c r="G197" s="9">
        <f>'MKT DATA'!K1880</f>
        <v>0</v>
      </c>
      <c r="H197" s="9">
        <f>'MKT DATA'!L1880</f>
        <v>0</v>
      </c>
      <c r="I197" s="14">
        <f>'MKT DATA'!M1880</f>
        <v>0</v>
      </c>
      <c r="J197" s="44" t="str">
        <f t="shared" si="6"/>
        <v>syn BTCF7/BTCU6/BTCV6/BTCZ6/BTCG7</v>
      </c>
      <c r="K197" s="9">
        <f>'MKT DATA'!O1880</f>
        <v>0</v>
      </c>
      <c r="L197" s="9">
        <f>'MKT DATA'!P1880</f>
        <v>0</v>
      </c>
      <c r="M197" s="9">
        <f>'MKT DATA'!Q1880</f>
        <v>0</v>
      </c>
      <c r="N197" s="9">
        <f>'MKT DATA'!R1880</f>
        <v>0</v>
      </c>
      <c r="O197" s="9">
        <f>'MKT DATA'!S1880</f>
        <v>0</v>
      </c>
      <c r="P197" s="9">
        <f>'MKT DATA'!T1880</f>
        <v>0</v>
      </c>
      <c r="Q197" s="44" t="str">
        <f t="shared" si="7"/>
        <v>syn BTCF7/BTCU6/BTCV6/BTCZ6/BTCG7</v>
      </c>
      <c r="R197" s="14">
        <f>'MKT DATA'!AB1880</f>
        <v>0</v>
      </c>
    </row>
    <row r="198" spans="5:18" x14ac:dyDescent="0.25">
      <c r="E198" s="44" t="str">
        <f>'MKT DATA'!B1881</f>
        <v>syn BTCF7/BTCU6/BTCX6/BTCV6/BTCG7</v>
      </c>
      <c r="F198" s="14">
        <f>'MKT DATA'!J1881</f>
        <v>0</v>
      </c>
      <c r="G198" s="9">
        <f>'MKT DATA'!K1881</f>
        <v>0</v>
      </c>
      <c r="H198" s="9">
        <f>'MKT DATA'!L1881</f>
        <v>0</v>
      </c>
      <c r="I198" s="14">
        <f>'MKT DATA'!M1881</f>
        <v>0</v>
      </c>
      <c r="J198" s="44" t="str">
        <f t="shared" si="6"/>
        <v>syn BTCF7/BTCU6/BTCX6/BTCV6/BTCG7</v>
      </c>
      <c r="K198" s="9">
        <f>'MKT DATA'!O1881</f>
        <v>0</v>
      </c>
      <c r="L198" s="9">
        <f>'MKT DATA'!P1881</f>
        <v>0</v>
      </c>
      <c r="M198" s="9">
        <f>'MKT DATA'!Q1881</f>
        <v>0</v>
      </c>
      <c r="N198" s="9">
        <f>'MKT DATA'!R1881</f>
        <v>0</v>
      </c>
      <c r="O198" s="9">
        <f>'MKT DATA'!S1881</f>
        <v>0</v>
      </c>
      <c r="P198" s="9">
        <f>'MKT DATA'!T1881</f>
        <v>0</v>
      </c>
      <c r="Q198" s="44" t="str">
        <f t="shared" si="7"/>
        <v>syn BTCF7/BTCU6/BTCX6/BTCV6/BTCG7</v>
      </c>
      <c r="R198" s="14">
        <f>'MKT DATA'!AB1881</f>
        <v>0</v>
      </c>
    </row>
    <row r="199" spans="5:18" x14ac:dyDescent="0.25">
      <c r="E199" s="44" t="str">
        <f>'MKT DATA'!B1882</f>
        <v>syn BTCF7/BTCU6/BTCX6/BTCZ6/BTCG7</v>
      </c>
      <c r="F199" s="14">
        <f>'MKT DATA'!J1882</f>
        <v>0</v>
      </c>
      <c r="G199" s="9">
        <f>'MKT DATA'!K1882</f>
        <v>0</v>
      </c>
      <c r="H199" s="9">
        <f>'MKT DATA'!L1882</f>
        <v>0</v>
      </c>
      <c r="I199" s="14">
        <f>'MKT DATA'!M1882</f>
        <v>0</v>
      </c>
      <c r="J199" s="44" t="str">
        <f t="shared" si="6"/>
        <v>syn BTCF7/BTCU6/BTCX6/BTCZ6/BTCG7</v>
      </c>
      <c r="K199" s="9">
        <f>'MKT DATA'!O1882</f>
        <v>0</v>
      </c>
      <c r="L199" s="9">
        <f>'MKT DATA'!P1882</f>
        <v>0</v>
      </c>
      <c r="M199" s="9">
        <f>'MKT DATA'!Q1882</f>
        <v>0</v>
      </c>
      <c r="N199" s="9">
        <f>'MKT DATA'!R1882</f>
        <v>0</v>
      </c>
      <c r="O199" s="9">
        <f>'MKT DATA'!S1882</f>
        <v>0</v>
      </c>
      <c r="P199" s="9">
        <f>'MKT DATA'!T1882</f>
        <v>0</v>
      </c>
      <c r="Q199" s="44" t="str">
        <f t="shared" si="7"/>
        <v>syn BTCF7/BTCU6/BTCX6/BTCZ6/BTCG7</v>
      </c>
      <c r="R199" s="14">
        <f>'MKT DATA'!AB1882</f>
        <v>0</v>
      </c>
    </row>
    <row r="200" spans="5:18" x14ac:dyDescent="0.25">
      <c r="E200" s="44" t="str">
        <f>'MKT DATA'!B1883</f>
        <v>syn BTCF7/BTCU6/BTCZ6/BTCV6/BTCG7</v>
      </c>
      <c r="F200" s="14">
        <f>'MKT DATA'!J1883</f>
        <v>0</v>
      </c>
      <c r="G200" s="9">
        <f>'MKT DATA'!K1883</f>
        <v>0</v>
      </c>
      <c r="H200" s="9">
        <f>'MKT DATA'!L1883</f>
        <v>0</v>
      </c>
      <c r="I200" s="14">
        <f>'MKT DATA'!M1883</f>
        <v>0</v>
      </c>
      <c r="J200" s="44" t="str">
        <f t="shared" si="6"/>
        <v>syn BTCF7/BTCU6/BTCZ6/BTCV6/BTCG7</v>
      </c>
      <c r="K200" s="9">
        <f>'MKT DATA'!O1883</f>
        <v>0</v>
      </c>
      <c r="L200" s="9">
        <f>'MKT DATA'!P1883</f>
        <v>0</v>
      </c>
      <c r="M200" s="9">
        <f>'MKT DATA'!Q1883</f>
        <v>0</v>
      </c>
      <c r="N200" s="9">
        <f>'MKT DATA'!R1883</f>
        <v>0</v>
      </c>
      <c r="O200" s="9">
        <f>'MKT DATA'!S1883</f>
        <v>0</v>
      </c>
      <c r="P200" s="9">
        <f>'MKT DATA'!T1883</f>
        <v>0</v>
      </c>
      <c r="Q200" s="44" t="str">
        <f t="shared" si="7"/>
        <v>syn BTCF7/BTCU6/BTCZ6/BTCV6/BTCG7</v>
      </c>
      <c r="R200" s="14">
        <f>'MKT DATA'!AB1883</f>
        <v>0</v>
      </c>
    </row>
    <row r="201" spans="5:18" x14ac:dyDescent="0.25">
      <c r="E201" s="44" t="str">
        <f>'MKT DATA'!B1884</f>
        <v>syn BTCF7/BTCU6/BTCZ6/BTCX6/BTCG7</v>
      </c>
      <c r="F201" s="14">
        <f>'MKT DATA'!J1884</f>
        <v>0</v>
      </c>
      <c r="G201" s="9">
        <f>'MKT DATA'!K1884</f>
        <v>0</v>
      </c>
      <c r="H201" s="9">
        <f>'MKT DATA'!L1884</f>
        <v>0</v>
      </c>
      <c r="I201" s="14">
        <f>'MKT DATA'!M1884</f>
        <v>0</v>
      </c>
      <c r="J201" s="44" t="str">
        <f t="shared" si="6"/>
        <v>syn BTCF7/BTCU6/BTCZ6/BTCX6/BTCG7</v>
      </c>
      <c r="K201" s="9">
        <f>'MKT DATA'!O1884</f>
        <v>0</v>
      </c>
      <c r="L201" s="9">
        <f>'MKT DATA'!P1884</f>
        <v>0</v>
      </c>
      <c r="M201" s="9">
        <f>'MKT DATA'!Q1884</f>
        <v>0</v>
      </c>
      <c r="N201" s="9">
        <f>'MKT DATA'!R1884</f>
        <v>0</v>
      </c>
      <c r="O201" s="9">
        <f>'MKT DATA'!S1884</f>
        <v>0</v>
      </c>
      <c r="P201" s="9">
        <f>'MKT DATA'!T1884</f>
        <v>0</v>
      </c>
      <c r="Q201" s="44" t="str">
        <f t="shared" si="7"/>
        <v>syn BTCF7/BTCU6/BTCZ6/BTCX6/BTCG7</v>
      </c>
      <c r="R201" s="14">
        <f>'MKT DATA'!AB1884</f>
        <v>0</v>
      </c>
    </row>
    <row r="202" spans="5:18" x14ac:dyDescent="0.25">
      <c r="E202" s="44" t="str">
        <f>'MKT DATA'!B1885</f>
        <v>syn BTCF7/BTCV6/BTCU6/BTCX6/BTCG7</v>
      </c>
      <c r="F202" s="14">
        <f>'MKT DATA'!J1885</f>
        <v>0</v>
      </c>
      <c r="G202" s="9">
        <f>'MKT DATA'!K1885</f>
        <v>0</v>
      </c>
      <c r="H202" s="9">
        <f>'MKT DATA'!L1885</f>
        <v>0</v>
      </c>
      <c r="I202" s="14">
        <f>'MKT DATA'!M1885</f>
        <v>0</v>
      </c>
      <c r="J202" s="44" t="str">
        <f t="shared" ref="J202:J265" si="8">E202</f>
        <v>syn BTCF7/BTCV6/BTCU6/BTCX6/BTCG7</v>
      </c>
      <c r="K202" s="9">
        <f>'MKT DATA'!O1885</f>
        <v>0</v>
      </c>
      <c r="L202" s="9">
        <f>'MKT DATA'!P1885</f>
        <v>0</v>
      </c>
      <c r="M202" s="9">
        <f>'MKT DATA'!Q1885</f>
        <v>0</v>
      </c>
      <c r="N202" s="9">
        <f>'MKT DATA'!R1885</f>
        <v>0</v>
      </c>
      <c r="O202" s="9">
        <f>'MKT DATA'!S1885</f>
        <v>0</v>
      </c>
      <c r="P202" s="9">
        <f>'MKT DATA'!T1885</f>
        <v>0</v>
      </c>
      <c r="Q202" s="44" t="str">
        <f t="shared" ref="Q202:Q265" si="9">J202</f>
        <v>syn BTCF7/BTCV6/BTCU6/BTCX6/BTCG7</v>
      </c>
      <c r="R202" s="14">
        <f>'MKT DATA'!AB1885</f>
        <v>0</v>
      </c>
    </row>
    <row r="203" spans="5:18" x14ac:dyDescent="0.25">
      <c r="E203" s="44" t="str">
        <f>'MKT DATA'!B1886</f>
        <v>syn BTCF7/BTCV6/BTCU6/BTCZ6/BTCG7</v>
      </c>
      <c r="F203" s="14">
        <f>'MKT DATA'!J1886</f>
        <v>0</v>
      </c>
      <c r="G203" s="9">
        <f>'MKT DATA'!K1886</f>
        <v>0</v>
      </c>
      <c r="H203" s="9">
        <f>'MKT DATA'!L1886</f>
        <v>0</v>
      </c>
      <c r="I203" s="14">
        <f>'MKT DATA'!M1886</f>
        <v>0</v>
      </c>
      <c r="J203" s="44" t="str">
        <f t="shared" si="8"/>
        <v>syn BTCF7/BTCV6/BTCU6/BTCZ6/BTCG7</v>
      </c>
      <c r="K203" s="9">
        <f>'MKT DATA'!O1886</f>
        <v>0</v>
      </c>
      <c r="L203" s="9">
        <f>'MKT DATA'!P1886</f>
        <v>0</v>
      </c>
      <c r="M203" s="9">
        <f>'MKT DATA'!Q1886</f>
        <v>0</v>
      </c>
      <c r="N203" s="9">
        <f>'MKT DATA'!R1886</f>
        <v>0</v>
      </c>
      <c r="O203" s="9">
        <f>'MKT DATA'!S1886</f>
        <v>0</v>
      </c>
      <c r="P203" s="9">
        <f>'MKT DATA'!T1886</f>
        <v>0</v>
      </c>
      <c r="Q203" s="44" t="str">
        <f t="shared" si="9"/>
        <v>syn BTCF7/BTCV6/BTCU6/BTCZ6/BTCG7</v>
      </c>
      <c r="R203" s="14">
        <f>'MKT DATA'!AB1886</f>
        <v>0</v>
      </c>
    </row>
    <row r="204" spans="5:18" x14ac:dyDescent="0.25">
      <c r="E204" s="44" t="str">
        <f>'MKT DATA'!B1887</f>
        <v>syn BTCF7/BTCV6/BTCX6/BTCU6/BTCG7</v>
      </c>
      <c r="F204" s="14">
        <f>'MKT DATA'!J1887</f>
        <v>0</v>
      </c>
      <c r="G204" s="9">
        <f>'MKT DATA'!K1887</f>
        <v>0</v>
      </c>
      <c r="H204" s="9">
        <f>'MKT DATA'!L1887</f>
        <v>0</v>
      </c>
      <c r="I204" s="14">
        <f>'MKT DATA'!M1887</f>
        <v>0</v>
      </c>
      <c r="J204" s="44" t="str">
        <f t="shared" si="8"/>
        <v>syn BTCF7/BTCV6/BTCX6/BTCU6/BTCG7</v>
      </c>
      <c r="K204" s="9">
        <f>'MKT DATA'!O1887</f>
        <v>0</v>
      </c>
      <c r="L204" s="9">
        <f>'MKT DATA'!P1887</f>
        <v>0</v>
      </c>
      <c r="M204" s="9">
        <f>'MKT DATA'!Q1887</f>
        <v>0</v>
      </c>
      <c r="N204" s="9">
        <f>'MKT DATA'!R1887</f>
        <v>0</v>
      </c>
      <c r="O204" s="9">
        <f>'MKT DATA'!S1887</f>
        <v>0</v>
      </c>
      <c r="P204" s="9">
        <f>'MKT DATA'!T1887</f>
        <v>0</v>
      </c>
      <c r="Q204" s="44" t="str">
        <f t="shared" si="9"/>
        <v>syn BTCF7/BTCV6/BTCX6/BTCU6/BTCG7</v>
      </c>
      <c r="R204" s="14">
        <f>'MKT DATA'!AB1887</f>
        <v>0</v>
      </c>
    </row>
    <row r="205" spans="5:18" x14ac:dyDescent="0.25">
      <c r="E205" s="44" t="str">
        <f>'MKT DATA'!B1888</f>
        <v>syn BTCF7/BTCV6/BTCX6/BTCZ6/BTCG7</v>
      </c>
      <c r="F205" s="14">
        <f>'MKT DATA'!J1888</f>
        <v>0</v>
      </c>
      <c r="G205" s="9">
        <f>'MKT DATA'!K1888</f>
        <v>0</v>
      </c>
      <c r="H205" s="9">
        <f>'MKT DATA'!L1888</f>
        <v>0</v>
      </c>
      <c r="I205" s="14">
        <f>'MKT DATA'!M1888</f>
        <v>0</v>
      </c>
      <c r="J205" s="44" t="str">
        <f t="shared" si="8"/>
        <v>syn BTCF7/BTCV6/BTCX6/BTCZ6/BTCG7</v>
      </c>
      <c r="K205" s="9">
        <f>'MKT DATA'!O1888</f>
        <v>0</v>
      </c>
      <c r="L205" s="9">
        <f>'MKT DATA'!P1888</f>
        <v>0</v>
      </c>
      <c r="M205" s="9">
        <f>'MKT DATA'!Q1888</f>
        <v>0</v>
      </c>
      <c r="N205" s="9">
        <f>'MKT DATA'!R1888</f>
        <v>0</v>
      </c>
      <c r="O205" s="9">
        <f>'MKT DATA'!S1888</f>
        <v>0</v>
      </c>
      <c r="P205" s="9">
        <f>'MKT DATA'!T1888</f>
        <v>0</v>
      </c>
      <c r="Q205" s="44" t="str">
        <f t="shared" si="9"/>
        <v>syn BTCF7/BTCV6/BTCX6/BTCZ6/BTCG7</v>
      </c>
      <c r="R205" s="14">
        <f>'MKT DATA'!AB1888</f>
        <v>0</v>
      </c>
    </row>
    <row r="206" spans="5:18" x14ac:dyDescent="0.25">
      <c r="E206" s="44" t="str">
        <f>'MKT DATA'!B1889</f>
        <v>syn BTCF7/BTCV6/BTCZ6/BTCU6/BTCG7</v>
      </c>
      <c r="F206" s="14">
        <f>'MKT DATA'!J1889</f>
        <v>0</v>
      </c>
      <c r="G206" s="9">
        <f>'MKT DATA'!K1889</f>
        <v>0</v>
      </c>
      <c r="H206" s="9">
        <f>'MKT DATA'!L1889</f>
        <v>0</v>
      </c>
      <c r="I206" s="14">
        <f>'MKT DATA'!M1889</f>
        <v>0</v>
      </c>
      <c r="J206" s="44" t="str">
        <f t="shared" si="8"/>
        <v>syn BTCF7/BTCV6/BTCZ6/BTCU6/BTCG7</v>
      </c>
      <c r="K206" s="9">
        <f>'MKT DATA'!O1889</f>
        <v>0</v>
      </c>
      <c r="L206" s="9">
        <f>'MKT DATA'!P1889</f>
        <v>0</v>
      </c>
      <c r="M206" s="9">
        <f>'MKT DATA'!Q1889</f>
        <v>0</v>
      </c>
      <c r="N206" s="9">
        <f>'MKT DATA'!R1889</f>
        <v>0</v>
      </c>
      <c r="O206" s="9">
        <f>'MKT DATA'!S1889</f>
        <v>0</v>
      </c>
      <c r="P206" s="9">
        <f>'MKT DATA'!T1889</f>
        <v>0</v>
      </c>
      <c r="Q206" s="44" t="str">
        <f t="shared" si="9"/>
        <v>syn BTCF7/BTCV6/BTCZ6/BTCU6/BTCG7</v>
      </c>
      <c r="R206" s="14">
        <f>'MKT DATA'!AB1889</f>
        <v>0</v>
      </c>
    </row>
    <row r="207" spans="5:18" x14ac:dyDescent="0.25">
      <c r="E207" s="44" t="str">
        <f>'MKT DATA'!B1890</f>
        <v>syn BTCF7/BTCV6/BTCZ6/BTCX6/BTCG7</v>
      </c>
      <c r="F207" s="14">
        <f>'MKT DATA'!J1890</f>
        <v>0</v>
      </c>
      <c r="G207" s="9">
        <f>'MKT DATA'!K1890</f>
        <v>0</v>
      </c>
      <c r="H207" s="9">
        <f>'MKT DATA'!L1890</f>
        <v>0</v>
      </c>
      <c r="I207" s="14">
        <f>'MKT DATA'!M1890</f>
        <v>0</v>
      </c>
      <c r="J207" s="44" t="str">
        <f t="shared" si="8"/>
        <v>syn BTCF7/BTCV6/BTCZ6/BTCX6/BTCG7</v>
      </c>
      <c r="K207" s="9">
        <f>'MKT DATA'!O1890</f>
        <v>0</v>
      </c>
      <c r="L207" s="9">
        <f>'MKT DATA'!P1890</f>
        <v>0</v>
      </c>
      <c r="M207" s="9">
        <f>'MKT DATA'!Q1890</f>
        <v>0</v>
      </c>
      <c r="N207" s="9">
        <f>'MKT DATA'!R1890</f>
        <v>0</v>
      </c>
      <c r="O207" s="9">
        <f>'MKT DATA'!S1890</f>
        <v>0</v>
      </c>
      <c r="P207" s="9">
        <f>'MKT DATA'!T1890</f>
        <v>0</v>
      </c>
      <c r="Q207" s="44" t="str">
        <f t="shared" si="9"/>
        <v>syn BTCF7/BTCV6/BTCZ6/BTCX6/BTCG7</v>
      </c>
      <c r="R207" s="14">
        <f>'MKT DATA'!AB1890</f>
        <v>0</v>
      </c>
    </row>
    <row r="208" spans="5:18" x14ac:dyDescent="0.25">
      <c r="E208" s="44" t="str">
        <f>'MKT DATA'!B1891</f>
        <v>syn BTCF7/BTCX6/BTCU6/BTCV6/BTCG7</v>
      </c>
      <c r="F208" s="14">
        <f>'MKT DATA'!J1891</f>
        <v>0</v>
      </c>
      <c r="G208" s="9">
        <f>'MKT DATA'!K1891</f>
        <v>0</v>
      </c>
      <c r="H208" s="9">
        <f>'MKT DATA'!L1891</f>
        <v>0</v>
      </c>
      <c r="I208" s="14">
        <f>'MKT DATA'!M1891</f>
        <v>0</v>
      </c>
      <c r="J208" s="44" t="str">
        <f t="shared" si="8"/>
        <v>syn BTCF7/BTCX6/BTCU6/BTCV6/BTCG7</v>
      </c>
      <c r="K208" s="9">
        <f>'MKT DATA'!O1891</f>
        <v>0</v>
      </c>
      <c r="L208" s="9">
        <f>'MKT DATA'!P1891</f>
        <v>0</v>
      </c>
      <c r="M208" s="9">
        <f>'MKT DATA'!Q1891</f>
        <v>0</v>
      </c>
      <c r="N208" s="9">
        <f>'MKT DATA'!R1891</f>
        <v>0</v>
      </c>
      <c r="O208" s="9">
        <f>'MKT DATA'!S1891</f>
        <v>0</v>
      </c>
      <c r="P208" s="9">
        <f>'MKT DATA'!T1891</f>
        <v>0</v>
      </c>
      <c r="Q208" s="44" t="str">
        <f t="shared" si="9"/>
        <v>syn BTCF7/BTCX6/BTCU6/BTCV6/BTCG7</v>
      </c>
      <c r="R208" s="14">
        <f>'MKT DATA'!AB1891</f>
        <v>0</v>
      </c>
    </row>
    <row r="209" spans="5:18" x14ac:dyDescent="0.25">
      <c r="E209" s="44" t="str">
        <f>'MKT DATA'!B1892</f>
        <v>syn BTCF7/BTCX6/BTCU6/BTCZ6/BTCG7</v>
      </c>
      <c r="F209" s="14">
        <f>'MKT DATA'!J1892</f>
        <v>0</v>
      </c>
      <c r="G209" s="9">
        <f>'MKT DATA'!K1892</f>
        <v>0</v>
      </c>
      <c r="H209" s="9">
        <f>'MKT DATA'!L1892</f>
        <v>0</v>
      </c>
      <c r="I209" s="14">
        <f>'MKT DATA'!M1892</f>
        <v>0</v>
      </c>
      <c r="J209" s="44" t="str">
        <f t="shared" si="8"/>
        <v>syn BTCF7/BTCX6/BTCU6/BTCZ6/BTCG7</v>
      </c>
      <c r="K209" s="9">
        <f>'MKT DATA'!O1892</f>
        <v>0</v>
      </c>
      <c r="L209" s="9">
        <f>'MKT DATA'!P1892</f>
        <v>0</v>
      </c>
      <c r="M209" s="9">
        <f>'MKT DATA'!Q1892</f>
        <v>0</v>
      </c>
      <c r="N209" s="9">
        <f>'MKT DATA'!R1892</f>
        <v>0</v>
      </c>
      <c r="O209" s="9">
        <f>'MKT DATA'!S1892</f>
        <v>0</v>
      </c>
      <c r="P209" s="9">
        <f>'MKT DATA'!T1892</f>
        <v>0</v>
      </c>
      <c r="Q209" s="44" t="str">
        <f t="shared" si="9"/>
        <v>syn BTCF7/BTCX6/BTCU6/BTCZ6/BTCG7</v>
      </c>
      <c r="R209" s="14">
        <f>'MKT DATA'!AB1892</f>
        <v>0</v>
      </c>
    </row>
    <row r="210" spans="5:18" x14ac:dyDescent="0.25">
      <c r="E210" s="44" t="str">
        <f>'MKT DATA'!B1893</f>
        <v>syn BTCF7/BTCX6/BTCV6/BTCU6/BTCG7</v>
      </c>
      <c r="F210" s="14">
        <f>'MKT DATA'!J1893</f>
        <v>0</v>
      </c>
      <c r="G210" s="9">
        <f>'MKT DATA'!K1893</f>
        <v>0</v>
      </c>
      <c r="H210" s="9">
        <f>'MKT DATA'!L1893</f>
        <v>0</v>
      </c>
      <c r="I210" s="14">
        <f>'MKT DATA'!M1893</f>
        <v>0</v>
      </c>
      <c r="J210" s="44" t="str">
        <f t="shared" si="8"/>
        <v>syn BTCF7/BTCX6/BTCV6/BTCU6/BTCG7</v>
      </c>
      <c r="K210" s="9">
        <f>'MKT DATA'!O1893</f>
        <v>0</v>
      </c>
      <c r="L210" s="9">
        <f>'MKT DATA'!P1893</f>
        <v>0</v>
      </c>
      <c r="M210" s="9">
        <f>'MKT DATA'!Q1893</f>
        <v>0</v>
      </c>
      <c r="N210" s="9">
        <f>'MKT DATA'!R1893</f>
        <v>0</v>
      </c>
      <c r="O210" s="9">
        <f>'MKT DATA'!S1893</f>
        <v>0</v>
      </c>
      <c r="P210" s="9">
        <f>'MKT DATA'!T1893</f>
        <v>0</v>
      </c>
      <c r="Q210" s="44" t="str">
        <f t="shared" si="9"/>
        <v>syn BTCF7/BTCX6/BTCV6/BTCU6/BTCG7</v>
      </c>
      <c r="R210" s="14">
        <f>'MKT DATA'!AB1893</f>
        <v>0</v>
      </c>
    </row>
    <row r="211" spans="5:18" x14ac:dyDescent="0.25">
      <c r="E211" s="44" t="str">
        <f>'MKT DATA'!B1894</f>
        <v>syn BTCF7/BTCX6/BTCV6/BTCZ6/BTCG7</v>
      </c>
      <c r="F211" s="14">
        <f>'MKT DATA'!J1894</f>
        <v>0</v>
      </c>
      <c r="G211" s="9">
        <f>'MKT DATA'!K1894</f>
        <v>0</v>
      </c>
      <c r="H211" s="9">
        <f>'MKT DATA'!L1894</f>
        <v>0</v>
      </c>
      <c r="I211" s="14">
        <f>'MKT DATA'!M1894</f>
        <v>0</v>
      </c>
      <c r="J211" s="44" t="str">
        <f t="shared" si="8"/>
        <v>syn BTCF7/BTCX6/BTCV6/BTCZ6/BTCG7</v>
      </c>
      <c r="K211" s="9">
        <f>'MKT DATA'!O1894</f>
        <v>0</v>
      </c>
      <c r="L211" s="9">
        <f>'MKT DATA'!P1894</f>
        <v>0</v>
      </c>
      <c r="M211" s="9">
        <f>'MKT DATA'!Q1894</f>
        <v>0</v>
      </c>
      <c r="N211" s="9">
        <f>'MKT DATA'!R1894</f>
        <v>0</v>
      </c>
      <c r="O211" s="9">
        <f>'MKT DATA'!S1894</f>
        <v>0</v>
      </c>
      <c r="P211" s="9">
        <f>'MKT DATA'!T1894</f>
        <v>0</v>
      </c>
      <c r="Q211" s="44" t="str">
        <f t="shared" si="9"/>
        <v>syn BTCF7/BTCX6/BTCV6/BTCZ6/BTCG7</v>
      </c>
      <c r="R211" s="14">
        <f>'MKT DATA'!AB1894</f>
        <v>0</v>
      </c>
    </row>
    <row r="212" spans="5:18" x14ac:dyDescent="0.25">
      <c r="E212" s="44" t="str">
        <f>'MKT DATA'!B1895</f>
        <v>syn BTCF7/BTCX6/BTCZ6/BTCU6/BTCG7</v>
      </c>
      <c r="F212" s="14">
        <f>'MKT DATA'!J1895</f>
        <v>0</v>
      </c>
      <c r="G212" s="9">
        <f>'MKT DATA'!K1895</f>
        <v>0</v>
      </c>
      <c r="H212" s="9">
        <f>'MKT DATA'!L1895</f>
        <v>0</v>
      </c>
      <c r="I212" s="14">
        <f>'MKT DATA'!M1895</f>
        <v>0</v>
      </c>
      <c r="J212" s="44" t="str">
        <f t="shared" si="8"/>
        <v>syn BTCF7/BTCX6/BTCZ6/BTCU6/BTCG7</v>
      </c>
      <c r="K212" s="9">
        <f>'MKT DATA'!O1895</f>
        <v>0</v>
      </c>
      <c r="L212" s="9">
        <f>'MKT DATA'!P1895</f>
        <v>0</v>
      </c>
      <c r="M212" s="9">
        <f>'MKT DATA'!Q1895</f>
        <v>0</v>
      </c>
      <c r="N212" s="9">
        <f>'MKT DATA'!R1895</f>
        <v>0</v>
      </c>
      <c r="O212" s="9">
        <f>'MKT DATA'!S1895</f>
        <v>0</v>
      </c>
      <c r="P212" s="9">
        <f>'MKT DATA'!T1895</f>
        <v>0</v>
      </c>
      <c r="Q212" s="44" t="str">
        <f t="shared" si="9"/>
        <v>syn BTCF7/BTCX6/BTCZ6/BTCU6/BTCG7</v>
      </c>
      <c r="R212" s="14">
        <f>'MKT DATA'!AB1895</f>
        <v>0</v>
      </c>
    </row>
    <row r="213" spans="5:18" x14ac:dyDescent="0.25">
      <c r="E213" s="44" t="str">
        <f>'MKT DATA'!B1896</f>
        <v>syn BTCF7/BTCX6/BTCZ6/BTCV6/BTCG7</v>
      </c>
      <c r="F213" s="14">
        <f>'MKT DATA'!J1896</f>
        <v>0</v>
      </c>
      <c r="G213" s="9">
        <f>'MKT DATA'!K1896</f>
        <v>0</v>
      </c>
      <c r="H213" s="9">
        <f>'MKT DATA'!L1896</f>
        <v>0</v>
      </c>
      <c r="I213" s="14">
        <f>'MKT DATA'!M1896</f>
        <v>0</v>
      </c>
      <c r="J213" s="44" t="str">
        <f t="shared" si="8"/>
        <v>syn BTCF7/BTCX6/BTCZ6/BTCV6/BTCG7</v>
      </c>
      <c r="K213" s="9">
        <f>'MKT DATA'!O1896</f>
        <v>0</v>
      </c>
      <c r="L213" s="9">
        <f>'MKT DATA'!P1896</f>
        <v>0</v>
      </c>
      <c r="M213" s="9">
        <f>'MKT DATA'!Q1896</f>
        <v>0</v>
      </c>
      <c r="N213" s="9">
        <f>'MKT DATA'!R1896</f>
        <v>0</v>
      </c>
      <c r="O213" s="9">
        <f>'MKT DATA'!S1896</f>
        <v>0</v>
      </c>
      <c r="P213" s="9">
        <f>'MKT DATA'!T1896</f>
        <v>0</v>
      </c>
      <c r="Q213" s="44" t="str">
        <f t="shared" si="9"/>
        <v>syn BTCF7/BTCX6/BTCZ6/BTCV6/BTCG7</v>
      </c>
      <c r="R213" s="14">
        <f>'MKT DATA'!AB1896</f>
        <v>0</v>
      </c>
    </row>
    <row r="214" spans="5:18" x14ac:dyDescent="0.25">
      <c r="E214" s="44" t="str">
        <f>'MKT DATA'!B1897</f>
        <v>syn BTCF7/BTCZ6/BTCU6/BTCV6/BTCG7</v>
      </c>
      <c r="F214" s="14">
        <f>'MKT DATA'!J1897</f>
        <v>0</v>
      </c>
      <c r="G214" s="9">
        <f>'MKT DATA'!K1897</f>
        <v>0</v>
      </c>
      <c r="H214" s="9">
        <f>'MKT DATA'!L1897</f>
        <v>0</v>
      </c>
      <c r="I214" s="14">
        <f>'MKT DATA'!M1897</f>
        <v>0</v>
      </c>
      <c r="J214" s="44" t="str">
        <f t="shared" si="8"/>
        <v>syn BTCF7/BTCZ6/BTCU6/BTCV6/BTCG7</v>
      </c>
      <c r="K214" s="9">
        <f>'MKT DATA'!O1897</f>
        <v>0</v>
      </c>
      <c r="L214" s="9">
        <f>'MKT DATA'!P1897</f>
        <v>0</v>
      </c>
      <c r="M214" s="9">
        <f>'MKT DATA'!Q1897</f>
        <v>0</v>
      </c>
      <c r="N214" s="9">
        <f>'MKT DATA'!R1897</f>
        <v>0</v>
      </c>
      <c r="O214" s="9">
        <f>'MKT DATA'!S1897</f>
        <v>0</v>
      </c>
      <c r="P214" s="9">
        <f>'MKT DATA'!T1897</f>
        <v>0</v>
      </c>
      <c r="Q214" s="44" t="str">
        <f t="shared" si="9"/>
        <v>syn BTCF7/BTCZ6/BTCU6/BTCV6/BTCG7</v>
      </c>
      <c r="R214" s="14">
        <f>'MKT DATA'!AB1897</f>
        <v>0</v>
      </c>
    </row>
    <row r="215" spans="5:18" x14ac:dyDescent="0.25">
      <c r="E215" s="44" t="str">
        <f>'MKT DATA'!B1898</f>
        <v>syn BTCF7/BTCZ6/BTCU6/BTCX6/BTCG7</v>
      </c>
      <c r="F215" s="14">
        <f>'MKT DATA'!J1898</f>
        <v>0</v>
      </c>
      <c r="G215" s="9">
        <f>'MKT DATA'!K1898</f>
        <v>0</v>
      </c>
      <c r="H215" s="9">
        <f>'MKT DATA'!L1898</f>
        <v>0</v>
      </c>
      <c r="I215" s="14">
        <f>'MKT DATA'!M1898</f>
        <v>0</v>
      </c>
      <c r="J215" s="44" t="str">
        <f t="shared" si="8"/>
        <v>syn BTCF7/BTCZ6/BTCU6/BTCX6/BTCG7</v>
      </c>
      <c r="K215" s="9">
        <f>'MKT DATA'!O1898</f>
        <v>0</v>
      </c>
      <c r="L215" s="9">
        <f>'MKT DATA'!P1898</f>
        <v>0</v>
      </c>
      <c r="M215" s="9">
        <f>'MKT DATA'!Q1898</f>
        <v>0</v>
      </c>
      <c r="N215" s="9">
        <f>'MKT DATA'!R1898</f>
        <v>0</v>
      </c>
      <c r="O215" s="9">
        <f>'MKT DATA'!S1898</f>
        <v>0</v>
      </c>
      <c r="P215" s="9">
        <f>'MKT DATA'!T1898</f>
        <v>0</v>
      </c>
      <c r="Q215" s="44" t="str">
        <f t="shared" si="9"/>
        <v>syn BTCF7/BTCZ6/BTCU6/BTCX6/BTCG7</v>
      </c>
      <c r="R215" s="14">
        <f>'MKT DATA'!AB1898</f>
        <v>0</v>
      </c>
    </row>
    <row r="216" spans="5:18" x14ac:dyDescent="0.25">
      <c r="E216" s="44" t="str">
        <f>'MKT DATA'!B1899</f>
        <v>syn BTCF7/BTCZ6/BTCV6/BTCU6/BTCG7</v>
      </c>
      <c r="F216" s="14">
        <f>'MKT DATA'!J1899</f>
        <v>0</v>
      </c>
      <c r="G216" s="9">
        <f>'MKT DATA'!K1899</f>
        <v>0</v>
      </c>
      <c r="H216" s="9">
        <f>'MKT DATA'!L1899</f>
        <v>0</v>
      </c>
      <c r="I216" s="14">
        <f>'MKT DATA'!M1899</f>
        <v>0</v>
      </c>
      <c r="J216" s="44" t="str">
        <f t="shared" si="8"/>
        <v>syn BTCF7/BTCZ6/BTCV6/BTCU6/BTCG7</v>
      </c>
      <c r="K216" s="9">
        <f>'MKT DATA'!O1899</f>
        <v>0</v>
      </c>
      <c r="L216" s="9">
        <f>'MKT DATA'!P1899</f>
        <v>0</v>
      </c>
      <c r="M216" s="9">
        <f>'MKT DATA'!Q1899</f>
        <v>0</v>
      </c>
      <c r="N216" s="9">
        <f>'MKT DATA'!R1899</f>
        <v>0</v>
      </c>
      <c r="O216" s="9">
        <f>'MKT DATA'!S1899</f>
        <v>0</v>
      </c>
      <c r="P216" s="9">
        <f>'MKT DATA'!T1899</f>
        <v>0</v>
      </c>
      <c r="Q216" s="44" t="str">
        <f t="shared" si="9"/>
        <v>syn BTCF7/BTCZ6/BTCV6/BTCU6/BTCG7</v>
      </c>
      <c r="R216" s="14">
        <f>'MKT DATA'!AB1899</f>
        <v>0</v>
      </c>
    </row>
    <row r="217" spans="5:18" x14ac:dyDescent="0.25">
      <c r="E217" s="44" t="str">
        <f>'MKT DATA'!B1900</f>
        <v>syn BTCF7/BTCZ6/BTCV6/BTCX6/BTCG7</v>
      </c>
      <c r="F217" s="14">
        <f>'MKT DATA'!J1900</f>
        <v>0</v>
      </c>
      <c r="G217" s="9">
        <f>'MKT DATA'!K1900</f>
        <v>0</v>
      </c>
      <c r="H217" s="9">
        <f>'MKT DATA'!L1900</f>
        <v>0</v>
      </c>
      <c r="I217" s="14">
        <f>'MKT DATA'!M1900</f>
        <v>0</v>
      </c>
      <c r="J217" s="44" t="str">
        <f t="shared" si="8"/>
        <v>syn BTCF7/BTCZ6/BTCV6/BTCX6/BTCG7</v>
      </c>
      <c r="K217" s="9">
        <f>'MKT DATA'!O1900</f>
        <v>0</v>
      </c>
      <c r="L217" s="9">
        <f>'MKT DATA'!P1900</f>
        <v>0</v>
      </c>
      <c r="M217" s="9">
        <f>'MKT DATA'!Q1900</f>
        <v>0</v>
      </c>
      <c r="N217" s="9">
        <f>'MKT DATA'!R1900</f>
        <v>0</v>
      </c>
      <c r="O217" s="9">
        <f>'MKT DATA'!S1900</f>
        <v>0</v>
      </c>
      <c r="P217" s="9">
        <f>'MKT DATA'!T1900</f>
        <v>0</v>
      </c>
      <c r="Q217" s="44" t="str">
        <f t="shared" si="9"/>
        <v>syn BTCF7/BTCZ6/BTCV6/BTCX6/BTCG7</v>
      </c>
      <c r="R217" s="14">
        <f>'MKT DATA'!AB1900</f>
        <v>0</v>
      </c>
    </row>
    <row r="218" spans="5:18" x14ac:dyDescent="0.25">
      <c r="E218" s="44" t="str">
        <f>'MKT DATA'!B1901</f>
        <v>syn BTCF7/BTCZ6/BTCX6/BTCU6/BTCG7</v>
      </c>
      <c r="F218" s="14">
        <f>'MKT DATA'!J1901</f>
        <v>0</v>
      </c>
      <c r="G218" s="9">
        <f>'MKT DATA'!K1901</f>
        <v>0</v>
      </c>
      <c r="H218" s="9">
        <f>'MKT DATA'!L1901</f>
        <v>0</v>
      </c>
      <c r="I218" s="14">
        <f>'MKT DATA'!M1901</f>
        <v>0</v>
      </c>
      <c r="J218" s="44" t="str">
        <f t="shared" si="8"/>
        <v>syn BTCF7/BTCZ6/BTCX6/BTCU6/BTCG7</v>
      </c>
      <c r="K218" s="9">
        <f>'MKT DATA'!O1901</f>
        <v>0</v>
      </c>
      <c r="L218" s="9">
        <f>'MKT DATA'!P1901</f>
        <v>0</v>
      </c>
      <c r="M218" s="9">
        <f>'MKT DATA'!Q1901</f>
        <v>0</v>
      </c>
      <c r="N218" s="9">
        <f>'MKT DATA'!R1901</f>
        <v>0</v>
      </c>
      <c r="O218" s="9">
        <f>'MKT DATA'!S1901</f>
        <v>0</v>
      </c>
      <c r="P218" s="9">
        <f>'MKT DATA'!T1901</f>
        <v>0</v>
      </c>
      <c r="Q218" s="44" t="str">
        <f t="shared" si="9"/>
        <v>syn BTCF7/BTCZ6/BTCX6/BTCU6/BTCG7</v>
      </c>
      <c r="R218" s="14">
        <f>'MKT DATA'!AB1901</f>
        <v>0</v>
      </c>
    </row>
    <row r="219" spans="5:18" x14ac:dyDescent="0.25">
      <c r="E219" s="44" t="str">
        <f>'MKT DATA'!B1902</f>
        <v>syn BTCF7/BTCZ6/BTCX6/BTCV6/BTCG7</v>
      </c>
      <c r="F219" s="14">
        <f>'MKT DATA'!J1902</f>
        <v>0</v>
      </c>
      <c r="G219" s="9">
        <f>'MKT DATA'!K1902</f>
        <v>0</v>
      </c>
      <c r="H219" s="9">
        <f>'MKT DATA'!L1902</f>
        <v>0</v>
      </c>
      <c r="I219" s="14">
        <f>'MKT DATA'!M1902</f>
        <v>0</v>
      </c>
      <c r="J219" s="44" t="str">
        <f t="shared" si="8"/>
        <v>syn BTCF7/BTCZ6/BTCX6/BTCV6/BTCG7</v>
      </c>
      <c r="K219" s="9">
        <f>'MKT DATA'!O1902</f>
        <v>0</v>
      </c>
      <c r="L219" s="9">
        <f>'MKT DATA'!P1902</f>
        <v>0</v>
      </c>
      <c r="M219" s="9">
        <f>'MKT DATA'!Q1902</f>
        <v>0</v>
      </c>
      <c r="N219" s="9">
        <f>'MKT DATA'!R1902</f>
        <v>0</v>
      </c>
      <c r="O219" s="9">
        <f>'MKT DATA'!S1902</f>
        <v>0</v>
      </c>
      <c r="P219" s="9">
        <f>'MKT DATA'!T1902</f>
        <v>0</v>
      </c>
      <c r="Q219" s="44" t="str">
        <f t="shared" si="9"/>
        <v>syn BTCF7/BTCZ6/BTCX6/BTCV6/BTCG7</v>
      </c>
      <c r="R219" s="14">
        <f>'MKT DATA'!AB1902</f>
        <v>0</v>
      </c>
    </row>
    <row r="220" spans="5:18" x14ac:dyDescent="0.25">
      <c r="E220" s="44" t="str">
        <f>'MKT DATA'!B1903</f>
        <v>syn BTCU6/BTCV6/BTCX6/BTCZ6/BTCF7/BTCG7</v>
      </c>
      <c r="F220" s="14">
        <f>'MKT DATA'!J1903</f>
        <v>0</v>
      </c>
      <c r="G220" s="9">
        <f>'MKT DATA'!K1903</f>
        <v>0</v>
      </c>
      <c r="H220" s="9">
        <f>'MKT DATA'!L1903</f>
        <v>0</v>
      </c>
      <c r="I220" s="14">
        <f>'MKT DATA'!M1903</f>
        <v>0</v>
      </c>
      <c r="J220" s="44" t="str">
        <f t="shared" si="8"/>
        <v>syn BTCU6/BTCV6/BTCX6/BTCZ6/BTCF7/BTCG7</v>
      </c>
      <c r="K220" s="9">
        <f>'MKT DATA'!O1903</f>
        <v>0</v>
      </c>
      <c r="L220" s="9">
        <f>'MKT DATA'!P1903</f>
        <v>0</v>
      </c>
      <c r="M220" s="9">
        <f>'MKT DATA'!Q1903</f>
        <v>0</v>
      </c>
      <c r="N220" s="9">
        <f>'MKT DATA'!R1903</f>
        <v>0</v>
      </c>
      <c r="O220" s="9">
        <f>'MKT DATA'!S1903</f>
        <v>0</v>
      </c>
      <c r="P220" s="9">
        <f>'MKT DATA'!T1903</f>
        <v>0</v>
      </c>
      <c r="Q220" s="44" t="str">
        <f t="shared" si="9"/>
        <v>syn BTCU6/BTCV6/BTCX6/BTCZ6/BTCF7/BTCG7</v>
      </c>
      <c r="R220" s="14">
        <f>'MKT DATA'!AB1903</f>
        <v>0</v>
      </c>
    </row>
    <row r="221" spans="5:18" x14ac:dyDescent="0.25">
      <c r="E221" s="44" t="str">
        <f>'MKT DATA'!B1904</f>
        <v>syn BTCU6/BTCV6/BTCX6/BTCF7/BTCZ6/BTCG7</v>
      </c>
      <c r="F221" s="14">
        <f>'MKT DATA'!J1904</f>
        <v>0</v>
      </c>
      <c r="G221" s="9">
        <f>'MKT DATA'!K1904</f>
        <v>0</v>
      </c>
      <c r="H221" s="9">
        <f>'MKT DATA'!L1904</f>
        <v>0</v>
      </c>
      <c r="I221" s="14">
        <f>'MKT DATA'!M1904</f>
        <v>0</v>
      </c>
      <c r="J221" s="44" t="str">
        <f t="shared" si="8"/>
        <v>syn BTCU6/BTCV6/BTCX6/BTCF7/BTCZ6/BTCG7</v>
      </c>
      <c r="K221" s="9">
        <f>'MKT DATA'!O1904</f>
        <v>0</v>
      </c>
      <c r="L221" s="9">
        <f>'MKT DATA'!P1904</f>
        <v>0</v>
      </c>
      <c r="M221" s="9">
        <f>'MKT DATA'!Q1904</f>
        <v>0</v>
      </c>
      <c r="N221" s="9">
        <f>'MKT DATA'!R1904</f>
        <v>0</v>
      </c>
      <c r="O221" s="9">
        <f>'MKT DATA'!S1904</f>
        <v>0</v>
      </c>
      <c r="P221" s="9">
        <f>'MKT DATA'!T1904</f>
        <v>0</v>
      </c>
      <c r="Q221" s="44" t="str">
        <f t="shared" si="9"/>
        <v>syn BTCU6/BTCV6/BTCX6/BTCF7/BTCZ6/BTCG7</v>
      </c>
      <c r="R221" s="14">
        <f>'MKT DATA'!AB1904</f>
        <v>0</v>
      </c>
    </row>
    <row r="222" spans="5:18" x14ac:dyDescent="0.25">
      <c r="E222" s="44" t="str">
        <f>'MKT DATA'!B1905</f>
        <v>syn BTCU6/BTCV6/BTCZ6/BTCX6/BTCF7/BTCG7</v>
      </c>
      <c r="F222" s="14">
        <f>'MKT DATA'!J1905</f>
        <v>0</v>
      </c>
      <c r="G222" s="9">
        <f>'MKT DATA'!K1905</f>
        <v>0</v>
      </c>
      <c r="H222" s="9">
        <f>'MKT DATA'!L1905</f>
        <v>0</v>
      </c>
      <c r="I222" s="14">
        <f>'MKT DATA'!M1905</f>
        <v>0</v>
      </c>
      <c r="J222" s="44" t="str">
        <f t="shared" si="8"/>
        <v>syn BTCU6/BTCV6/BTCZ6/BTCX6/BTCF7/BTCG7</v>
      </c>
      <c r="K222" s="9">
        <f>'MKT DATA'!O1905</f>
        <v>0</v>
      </c>
      <c r="L222" s="9">
        <f>'MKT DATA'!P1905</f>
        <v>0</v>
      </c>
      <c r="M222" s="9">
        <f>'MKT DATA'!Q1905</f>
        <v>0</v>
      </c>
      <c r="N222" s="9">
        <f>'MKT DATA'!R1905</f>
        <v>0</v>
      </c>
      <c r="O222" s="9">
        <f>'MKT DATA'!S1905</f>
        <v>0</v>
      </c>
      <c r="P222" s="9">
        <f>'MKT DATA'!T1905</f>
        <v>0</v>
      </c>
      <c r="Q222" s="44" t="str">
        <f t="shared" si="9"/>
        <v>syn BTCU6/BTCV6/BTCZ6/BTCX6/BTCF7/BTCG7</v>
      </c>
      <c r="R222" s="14">
        <f>'MKT DATA'!AB1905</f>
        <v>0</v>
      </c>
    </row>
    <row r="223" spans="5:18" x14ac:dyDescent="0.25">
      <c r="E223" s="44" t="str">
        <f>'MKT DATA'!B1906</f>
        <v>syn BTCU6/BTCV6/BTCZ6/BTCF7/BTCX6/BTCG7</v>
      </c>
      <c r="F223" s="14">
        <f>'MKT DATA'!J1906</f>
        <v>0</v>
      </c>
      <c r="G223" s="9">
        <f>'MKT DATA'!K1906</f>
        <v>0</v>
      </c>
      <c r="H223" s="9">
        <f>'MKT DATA'!L1906</f>
        <v>0</v>
      </c>
      <c r="I223" s="14">
        <f>'MKT DATA'!M1906</f>
        <v>0</v>
      </c>
      <c r="J223" s="44" t="str">
        <f t="shared" si="8"/>
        <v>syn BTCU6/BTCV6/BTCZ6/BTCF7/BTCX6/BTCG7</v>
      </c>
      <c r="K223" s="9">
        <f>'MKT DATA'!O1906</f>
        <v>0</v>
      </c>
      <c r="L223" s="9">
        <f>'MKT DATA'!P1906</f>
        <v>0</v>
      </c>
      <c r="M223" s="9">
        <f>'MKT DATA'!Q1906</f>
        <v>0</v>
      </c>
      <c r="N223" s="9">
        <f>'MKT DATA'!R1906</f>
        <v>0</v>
      </c>
      <c r="O223" s="9">
        <f>'MKT DATA'!S1906</f>
        <v>0</v>
      </c>
      <c r="P223" s="9">
        <f>'MKT DATA'!T1906</f>
        <v>0</v>
      </c>
      <c r="Q223" s="44" t="str">
        <f t="shared" si="9"/>
        <v>syn BTCU6/BTCV6/BTCZ6/BTCF7/BTCX6/BTCG7</v>
      </c>
      <c r="R223" s="14">
        <f>'MKT DATA'!AB1906</f>
        <v>0</v>
      </c>
    </row>
    <row r="224" spans="5:18" x14ac:dyDescent="0.25">
      <c r="E224" s="44" t="str">
        <f>'MKT DATA'!B1907</f>
        <v>syn BTCU6/BTCV6/BTCF7/BTCX6/BTCZ6/BTCG7</v>
      </c>
      <c r="F224" s="14">
        <f>'MKT DATA'!J1907</f>
        <v>0</v>
      </c>
      <c r="G224" s="9">
        <f>'MKT DATA'!K1907</f>
        <v>0</v>
      </c>
      <c r="H224" s="9">
        <f>'MKT DATA'!L1907</f>
        <v>0</v>
      </c>
      <c r="I224" s="14">
        <f>'MKT DATA'!M1907</f>
        <v>0</v>
      </c>
      <c r="J224" s="44" t="str">
        <f t="shared" si="8"/>
        <v>syn BTCU6/BTCV6/BTCF7/BTCX6/BTCZ6/BTCG7</v>
      </c>
      <c r="K224" s="9">
        <f>'MKT DATA'!O1907</f>
        <v>0</v>
      </c>
      <c r="L224" s="9">
        <f>'MKT DATA'!P1907</f>
        <v>0</v>
      </c>
      <c r="M224" s="9">
        <f>'MKT DATA'!Q1907</f>
        <v>0</v>
      </c>
      <c r="N224" s="9">
        <f>'MKT DATA'!R1907</f>
        <v>0</v>
      </c>
      <c r="O224" s="9">
        <f>'MKT DATA'!S1907</f>
        <v>0</v>
      </c>
      <c r="P224" s="9">
        <f>'MKT DATA'!T1907</f>
        <v>0</v>
      </c>
      <c r="Q224" s="44" t="str">
        <f t="shared" si="9"/>
        <v>syn BTCU6/BTCV6/BTCF7/BTCX6/BTCZ6/BTCG7</v>
      </c>
      <c r="R224" s="14">
        <f>'MKT DATA'!AB1907</f>
        <v>0</v>
      </c>
    </row>
    <row r="225" spans="5:18" x14ac:dyDescent="0.25">
      <c r="E225" s="44" t="str">
        <f>'MKT DATA'!B1908</f>
        <v>syn BTCU6/BTCV6/BTCF7/BTCZ6/BTCX6/BTCG7</v>
      </c>
      <c r="F225" s="14">
        <f>'MKT DATA'!J1908</f>
        <v>0</v>
      </c>
      <c r="G225" s="9">
        <f>'MKT DATA'!K1908</f>
        <v>0</v>
      </c>
      <c r="H225" s="9">
        <f>'MKT DATA'!L1908</f>
        <v>0</v>
      </c>
      <c r="I225" s="14">
        <f>'MKT DATA'!M1908</f>
        <v>0</v>
      </c>
      <c r="J225" s="44" t="str">
        <f t="shared" si="8"/>
        <v>syn BTCU6/BTCV6/BTCF7/BTCZ6/BTCX6/BTCG7</v>
      </c>
      <c r="K225" s="9">
        <f>'MKT DATA'!O1908</f>
        <v>0</v>
      </c>
      <c r="L225" s="9">
        <f>'MKT DATA'!P1908</f>
        <v>0</v>
      </c>
      <c r="M225" s="9">
        <f>'MKT DATA'!Q1908</f>
        <v>0</v>
      </c>
      <c r="N225" s="9">
        <f>'MKT DATA'!R1908</f>
        <v>0</v>
      </c>
      <c r="O225" s="9">
        <f>'MKT DATA'!S1908</f>
        <v>0</v>
      </c>
      <c r="P225" s="9">
        <f>'MKT DATA'!T1908</f>
        <v>0</v>
      </c>
      <c r="Q225" s="44" t="str">
        <f t="shared" si="9"/>
        <v>syn BTCU6/BTCV6/BTCF7/BTCZ6/BTCX6/BTCG7</v>
      </c>
      <c r="R225" s="14">
        <f>'MKT DATA'!AB1908</f>
        <v>0</v>
      </c>
    </row>
    <row r="226" spans="5:18" x14ac:dyDescent="0.25">
      <c r="E226" s="44" t="str">
        <f>'MKT DATA'!B1909</f>
        <v>syn BTCU6/BTCX6/BTCV6/BTCZ6/BTCF7/BTCG7</v>
      </c>
      <c r="F226" s="14">
        <f>'MKT DATA'!J1909</f>
        <v>0</v>
      </c>
      <c r="G226" s="9">
        <f>'MKT DATA'!K1909</f>
        <v>0</v>
      </c>
      <c r="H226" s="9">
        <f>'MKT DATA'!L1909</f>
        <v>0</v>
      </c>
      <c r="I226" s="14">
        <f>'MKT DATA'!M1909</f>
        <v>0</v>
      </c>
      <c r="J226" s="44" t="str">
        <f t="shared" si="8"/>
        <v>syn BTCU6/BTCX6/BTCV6/BTCZ6/BTCF7/BTCG7</v>
      </c>
      <c r="K226" s="9">
        <f>'MKT DATA'!O1909</f>
        <v>0</v>
      </c>
      <c r="L226" s="9">
        <f>'MKT DATA'!P1909</f>
        <v>0</v>
      </c>
      <c r="M226" s="9">
        <f>'MKT DATA'!Q1909</f>
        <v>0</v>
      </c>
      <c r="N226" s="9">
        <f>'MKT DATA'!R1909</f>
        <v>0</v>
      </c>
      <c r="O226" s="9">
        <f>'MKT DATA'!S1909</f>
        <v>0</v>
      </c>
      <c r="P226" s="9">
        <f>'MKT DATA'!T1909</f>
        <v>0</v>
      </c>
      <c r="Q226" s="44" t="str">
        <f t="shared" si="9"/>
        <v>syn BTCU6/BTCX6/BTCV6/BTCZ6/BTCF7/BTCG7</v>
      </c>
      <c r="R226" s="14">
        <f>'MKT DATA'!AB1909</f>
        <v>0</v>
      </c>
    </row>
    <row r="227" spans="5:18" x14ac:dyDescent="0.25">
      <c r="E227" s="44" t="str">
        <f>'MKT DATA'!B1910</f>
        <v>syn BTCU6/BTCX6/BTCV6/BTCF7/BTCZ6/BTCG7</v>
      </c>
      <c r="F227" s="14">
        <f>'MKT DATA'!J1910</f>
        <v>0</v>
      </c>
      <c r="G227" s="9">
        <f>'MKT DATA'!K1910</f>
        <v>0</v>
      </c>
      <c r="H227" s="9">
        <f>'MKT DATA'!L1910</f>
        <v>0</v>
      </c>
      <c r="I227" s="14">
        <f>'MKT DATA'!M1910</f>
        <v>0</v>
      </c>
      <c r="J227" s="44" t="str">
        <f t="shared" si="8"/>
        <v>syn BTCU6/BTCX6/BTCV6/BTCF7/BTCZ6/BTCG7</v>
      </c>
      <c r="K227" s="9">
        <f>'MKT DATA'!O1910</f>
        <v>0</v>
      </c>
      <c r="L227" s="9">
        <f>'MKT DATA'!P1910</f>
        <v>0</v>
      </c>
      <c r="M227" s="9">
        <f>'MKT DATA'!Q1910</f>
        <v>0</v>
      </c>
      <c r="N227" s="9">
        <f>'MKT DATA'!R1910</f>
        <v>0</v>
      </c>
      <c r="O227" s="9">
        <f>'MKT DATA'!S1910</f>
        <v>0</v>
      </c>
      <c r="P227" s="9">
        <f>'MKT DATA'!T1910</f>
        <v>0</v>
      </c>
      <c r="Q227" s="44" t="str">
        <f t="shared" si="9"/>
        <v>syn BTCU6/BTCX6/BTCV6/BTCF7/BTCZ6/BTCG7</v>
      </c>
      <c r="R227" s="14">
        <f>'MKT DATA'!AB1910</f>
        <v>0</v>
      </c>
    </row>
    <row r="228" spans="5:18" x14ac:dyDescent="0.25">
      <c r="E228" s="44" t="str">
        <f>'MKT DATA'!B1911</f>
        <v>syn BTCU6/BTCX6/BTCZ6/BTCV6/BTCF7/BTCG7</v>
      </c>
      <c r="F228" s="14">
        <f>'MKT DATA'!J1911</f>
        <v>0</v>
      </c>
      <c r="G228" s="9">
        <f>'MKT DATA'!K1911</f>
        <v>0</v>
      </c>
      <c r="H228" s="9">
        <f>'MKT DATA'!L1911</f>
        <v>0</v>
      </c>
      <c r="I228" s="14">
        <f>'MKT DATA'!M1911</f>
        <v>0</v>
      </c>
      <c r="J228" s="44" t="str">
        <f t="shared" si="8"/>
        <v>syn BTCU6/BTCX6/BTCZ6/BTCV6/BTCF7/BTCG7</v>
      </c>
      <c r="K228" s="9">
        <f>'MKT DATA'!O1911</f>
        <v>0</v>
      </c>
      <c r="L228" s="9">
        <f>'MKT DATA'!P1911</f>
        <v>0</v>
      </c>
      <c r="M228" s="9">
        <f>'MKT DATA'!Q1911</f>
        <v>0</v>
      </c>
      <c r="N228" s="9">
        <f>'MKT DATA'!R1911</f>
        <v>0</v>
      </c>
      <c r="O228" s="9">
        <f>'MKT DATA'!S1911</f>
        <v>0</v>
      </c>
      <c r="P228" s="9">
        <f>'MKT DATA'!T1911</f>
        <v>0</v>
      </c>
      <c r="Q228" s="44" t="str">
        <f t="shared" si="9"/>
        <v>syn BTCU6/BTCX6/BTCZ6/BTCV6/BTCF7/BTCG7</v>
      </c>
      <c r="R228" s="14">
        <f>'MKT DATA'!AB1911</f>
        <v>0</v>
      </c>
    </row>
    <row r="229" spans="5:18" x14ac:dyDescent="0.25">
      <c r="E229" s="44" t="str">
        <f>'MKT DATA'!B1912</f>
        <v>syn BTCU6/BTCX6/BTCZ6/BTCF7/BTCV6/BTCG7</v>
      </c>
      <c r="F229" s="14">
        <f>'MKT DATA'!J1912</f>
        <v>0</v>
      </c>
      <c r="G229" s="9">
        <f>'MKT DATA'!K1912</f>
        <v>0</v>
      </c>
      <c r="H229" s="9">
        <f>'MKT DATA'!L1912</f>
        <v>0</v>
      </c>
      <c r="I229" s="14">
        <f>'MKT DATA'!M1912</f>
        <v>0</v>
      </c>
      <c r="J229" s="44" t="str">
        <f t="shared" si="8"/>
        <v>syn BTCU6/BTCX6/BTCZ6/BTCF7/BTCV6/BTCG7</v>
      </c>
      <c r="K229" s="9">
        <f>'MKT DATA'!O1912</f>
        <v>0</v>
      </c>
      <c r="L229" s="9">
        <f>'MKT DATA'!P1912</f>
        <v>0</v>
      </c>
      <c r="M229" s="9">
        <f>'MKT DATA'!Q1912</f>
        <v>0</v>
      </c>
      <c r="N229" s="9">
        <f>'MKT DATA'!R1912</f>
        <v>0</v>
      </c>
      <c r="O229" s="9">
        <f>'MKT DATA'!S1912</f>
        <v>0</v>
      </c>
      <c r="P229" s="9">
        <f>'MKT DATA'!T1912</f>
        <v>0</v>
      </c>
      <c r="Q229" s="44" t="str">
        <f t="shared" si="9"/>
        <v>syn BTCU6/BTCX6/BTCZ6/BTCF7/BTCV6/BTCG7</v>
      </c>
      <c r="R229" s="14">
        <f>'MKT DATA'!AB1912</f>
        <v>0</v>
      </c>
    </row>
    <row r="230" spans="5:18" x14ac:dyDescent="0.25">
      <c r="E230" s="44" t="str">
        <f>'MKT DATA'!B1913</f>
        <v>syn BTCU6/BTCX6/BTCF7/BTCV6/BTCZ6/BTCG7</v>
      </c>
      <c r="F230" s="14">
        <f>'MKT DATA'!J1913</f>
        <v>0</v>
      </c>
      <c r="G230" s="9">
        <f>'MKT DATA'!K1913</f>
        <v>0</v>
      </c>
      <c r="H230" s="9">
        <f>'MKT DATA'!L1913</f>
        <v>0</v>
      </c>
      <c r="I230" s="14">
        <f>'MKT DATA'!M1913</f>
        <v>0</v>
      </c>
      <c r="J230" s="44" t="str">
        <f t="shared" si="8"/>
        <v>syn BTCU6/BTCX6/BTCF7/BTCV6/BTCZ6/BTCG7</v>
      </c>
      <c r="K230" s="9">
        <f>'MKT DATA'!O1913</f>
        <v>0</v>
      </c>
      <c r="L230" s="9">
        <f>'MKT DATA'!P1913</f>
        <v>0</v>
      </c>
      <c r="M230" s="9">
        <f>'MKT DATA'!Q1913</f>
        <v>0</v>
      </c>
      <c r="N230" s="9">
        <f>'MKT DATA'!R1913</f>
        <v>0</v>
      </c>
      <c r="O230" s="9">
        <f>'MKT DATA'!S1913</f>
        <v>0</v>
      </c>
      <c r="P230" s="9">
        <f>'MKT DATA'!T1913</f>
        <v>0</v>
      </c>
      <c r="Q230" s="44" t="str">
        <f t="shared" si="9"/>
        <v>syn BTCU6/BTCX6/BTCF7/BTCV6/BTCZ6/BTCG7</v>
      </c>
      <c r="R230" s="14">
        <f>'MKT DATA'!AB1913</f>
        <v>0</v>
      </c>
    </row>
    <row r="231" spans="5:18" x14ac:dyDescent="0.25">
      <c r="E231" s="44" t="str">
        <f>'MKT DATA'!B1914</f>
        <v>syn BTCU6/BTCX6/BTCF7/BTCZ6/BTCV6/BTCG7</v>
      </c>
      <c r="F231" s="14">
        <f>'MKT DATA'!J1914</f>
        <v>0</v>
      </c>
      <c r="G231" s="9">
        <f>'MKT DATA'!K1914</f>
        <v>0</v>
      </c>
      <c r="H231" s="9">
        <f>'MKT DATA'!L1914</f>
        <v>0</v>
      </c>
      <c r="I231" s="14">
        <f>'MKT DATA'!M1914</f>
        <v>0</v>
      </c>
      <c r="J231" s="44" t="str">
        <f t="shared" si="8"/>
        <v>syn BTCU6/BTCX6/BTCF7/BTCZ6/BTCV6/BTCG7</v>
      </c>
      <c r="K231" s="9">
        <f>'MKT DATA'!O1914</f>
        <v>0</v>
      </c>
      <c r="L231" s="9">
        <f>'MKT DATA'!P1914</f>
        <v>0</v>
      </c>
      <c r="M231" s="9">
        <f>'MKT DATA'!Q1914</f>
        <v>0</v>
      </c>
      <c r="N231" s="9">
        <f>'MKT DATA'!R1914</f>
        <v>0</v>
      </c>
      <c r="O231" s="9">
        <f>'MKT DATA'!S1914</f>
        <v>0</v>
      </c>
      <c r="P231" s="9">
        <f>'MKT DATA'!T1914</f>
        <v>0</v>
      </c>
      <c r="Q231" s="44" t="str">
        <f t="shared" si="9"/>
        <v>syn BTCU6/BTCX6/BTCF7/BTCZ6/BTCV6/BTCG7</v>
      </c>
      <c r="R231" s="14">
        <f>'MKT DATA'!AB1914</f>
        <v>0</v>
      </c>
    </row>
    <row r="232" spans="5:18" x14ac:dyDescent="0.25">
      <c r="E232" s="44" t="str">
        <f>'MKT DATA'!B1915</f>
        <v>syn BTCU6/BTCZ6/BTCV6/BTCX6/BTCF7/BTCG7</v>
      </c>
      <c r="F232" s="14">
        <f>'MKT DATA'!J1915</f>
        <v>0</v>
      </c>
      <c r="G232" s="9">
        <f>'MKT DATA'!K1915</f>
        <v>0</v>
      </c>
      <c r="H232" s="9">
        <f>'MKT DATA'!L1915</f>
        <v>0</v>
      </c>
      <c r="I232" s="14">
        <f>'MKT DATA'!M1915</f>
        <v>0</v>
      </c>
      <c r="J232" s="44" t="str">
        <f t="shared" si="8"/>
        <v>syn BTCU6/BTCZ6/BTCV6/BTCX6/BTCF7/BTCG7</v>
      </c>
      <c r="K232" s="9">
        <f>'MKT DATA'!O1915</f>
        <v>0</v>
      </c>
      <c r="L232" s="9">
        <f>'MKT DATA'!P1915</f>
        <v>0</v>
      </c>
      <c r="M232" s="9">
        <f>'MKT DATA'!Q1915</f>
        <v>0</v>
      </c>
      <c r="N232" s="9">
        <f>'MKT DATA'!R1915</f>
        <v>0</v>
      </c>
      <c r="O232" s="9">
        <f>'MKT DATA'!S1915</f>
        <v>0</v>
      </c>
      <c r="P232" s="9">
        <f>'MKT DATA'!T1915</f>
        <v>0</v>
      </c>
      <c r="Q232" s="44" t="str">
        <f t="shared" si="9"/>
        <v>syn BTCU6/BTCZ6/BTCV6/BTCX6/BTCF7/BTCG7</v>
      </c>
      <c r="R232" s="14">
        <f>'MKT DATA'!AB1915</f>
        <v>0</v>
      </c>
    </row>
    <row r="233" spans="5:18" x14ac:dyDescent="0.25">
      <c r="E233" s="44" t="str">
        <f>'MKT DATA'!B1916</f>
        <v>syn BTCU6/BTCZ6/BTCV6/BTCF7/BTCX6/BTCG7</v>
      </c>
      <c r="F233" s="14">
        <f>'MKT DATA'!J1916</f>
        <v>0</v>
      </c>
      <c r="G233" s="9">
        <f>'MKT DATA'!K1916</f>
        <v>0</v>
      </c>
      <c r="H233" s="9">
        <f>'MKT DATA'!L1916</f>
        <v>0</v>
      </c>
      <c r="I233" s="14">
        <f>'MKT DATA'!M1916</f>
        <v>0</v>
      </c>
      <c r="J233" s="44" t="str">
        <f t="shared" si="8"/>
        <v>syn BTCU6/BTCZ6/BTCV6/BTCF7/BTCX6/BTCG7</v>
      </c>
      <c r="K233" s="9">
        <f>'MKT DATA'!O1916</f>
        <v>0</v>
      </c>
      <c r="L233" s="9">
        <f>'MKT DATA'!P1916</f>
        <v>0</v>
      </c>
      <c r="M233" s="9">
        <f>'MKT DATA'!Q1916</f>
        <v>0</v>
      </c>
      <c r="N233" s="9">
        <f>'MKT DATA'!R1916</f>
        <v>0</v>
      </c>
      <c r="O233" s="9">
        <f>'MKT DATA'!S1916</f>
        <v>0</v>
      </c>
      <c r="P233" s="9">
        <f>'MKT DATA'!T1916</f>
        <v>0</v>
      </c>
      <c r="Q233" s="44" t="str">
        <f t="shared" si="9"/>
        <v>syn BTCU6/BTCZ6/BTCV6/BTCF7/BTCX6/BTCG7</v>
      </c>
      <c r="R233" s="14">
        <f>'MKT DATA'!AB1916</f>
        <v>0</v>
      </c>
    </row>
    <row r="234" spans="5:18" x14ac:dyDescent="0.25">
      <c r="E234" s="44" t="str">
        <f>'MKT DATA'!B1917</f>
        <v>syn BTCU6/BTCZ6/BTCX6/BTCV6/BTCF7/BTCG7</v>
      </c>
      <c r="F234" s="14">
        <f>'MKT DATA'!J1917</f>
        <v>0</v>
      </c>
      <c r="G234" s="9">
        <f>'MKT DATA'!K1917</f>
        <v>0</v>
      </c>
      <c r="H234" s="9">
        <f>'MKT DATA'!L1917</f>
        <v>0</v>
      </c>
      <c r="I234" s="14">
        <f>'MKT DATA'!M1917</f>
        <v>0</v>
      </c>
      <c r="J234" s="44" t="str">
        <f t="shared" si="8"/>
        <v>syn BTCU6/BTCZ6/BTCX6/BTCV6/BTCF7/BTCG7</v>
      </c>
      <c r="K234" s="9">
        <f>'MKT DATA'!O1917</f>
        <v>0</v>
      </c>
      <c r="L234" s="9">
        <f>'MKT DATA'!P1917</f>
        <v>0</v>
      </c>
      <c r="M234" s="9">
        <f>'MKT DATA'!Q1917</f>
        <v>0</v>
      </c>
      <c r="N234" s="9">
        <f>'MKT DATA'!R1917</f>
        <v>0</v>
      </c>
      <c r="O234" s="9">
        <f>'MKT DATA'!S1917</f>
        <v>0</v>
      </c>
      <c r="P234" s="9">
        <f>'MKT DATA'!T1917</f>
        <v>0</v>
      </c>
      <c r="Q234" s="44" t="str">
        <f t="shared" si="9"/>
        <v>syn BTCU6/BTCZ6/BTCX6/BTCV6/BTCF7/BTCG7</v>
      </c>
      <c r="R234" s="14">
        <f>'MKT DATA'!AB1917</f>
        <v>0</v>
      </c>
    </row>
    <row r="235" spans="5:18" x14ac:dyDescent="0.25">
      <c r="E235" s="44" t="str">
        <f>'MKT DATA'!B1918</f>
        <v>syn BTCU6/BTCZ6/BTCX6/BTCF7/BTCV6/BTCG7</v>
      </c>
      <c r="F235" s="14">
        <f>'MKT DATA'!J1918</f>
        <v>0</v>
      </c>
      <c r="G235" s="9">
        <f>'MKT DATA'!K1918</f>
        <v>0</v>
      </c>
      <c r="H235" s="9">
        <f>'MKT DATA'!L1918</f>
        <v>0</v>
      </c>
      <c r="I235" s="14">
        <f>'MKT DATA'!M1918</f>
        <v>0</v>
      </c>
      <c r="J235" s="44" t="str">
        <f t="shared" si="8"/>
        <v>syn BTCU6/BTCZ6/BTCX6/BTCF7/BTCV6/BTCG7</v>
      </c>
      <c r="K235" s="9">
        <f>'MKT DATA'!O1918</f>
        <v>0</v>
      </c>
      <c r="L235" s="9">
        <f>'MKT DATA'!P1918</f>
        <v>0</v>
      </c>
      <c r="M235" s="9">
        <f>'MKT DATA'!Q1918</f>
        <v>0</v>
      </c>
      <c r="N235" s="9">
        <f>'MKT DATA'!R1918</f>
        <v>0</v>
      </c>
      <c r="O235" s="9">
        <f>'MKT DATA'!S1918</f>
        <v>0</v>
      </c>
      <c r="P235" s="9">
        <f>'MKT DATA'!T1918</f>
        <v>0</v>
      </c>
      <c r="Q235" s="44" t="str">
        <f t="shared" si="9"/>
        <v>syn BTCU6/BTCZ6/BTCX6/BTCF7/BTCV6/BTCG7</v>
      </c>
      <c r="R235" s="14">
        <f>'MKT DATA'!AB1918</f>
        <v>0</v>
      </c>
    </row>
    <row r="236" spans="5:18" x14ac:dyDescent="0.25">
      <c r="E236" s="44" t="str">
        <f>'MKT DATA'!B1919</f>
        <v>syn BTCU6/BTCZ6/BTCF7/BTCV6/BTCX6/BTCG7</v>
      </c>
      <c r="F236" s="14">
        <f>'MKT DATA'!J1919</f>
        <v>0</v>
      </c>
      <c r="G236" s="9">
        <f>'MKT DATA'!K1919</f>
        <v>0</v>
      </c>
      <c r="H236" s="9">
        <f>'MKT DATA'!L1919</f>
        <v>0</v>
      </c>
      <c r="I236" s="14">
        <f>'MKT DATA'!M1919</f>
        <v>0</v>
      </c>
      <c r="J236" s="44" t="str">
        <f t="shared" si="8"/>
        <v>syn BTCU6/BTCZ6/BTCF7/BTCV6/BTCX6/BTCG7</v>
      </c>
      <c r="K236" s="9">
        <f>'MKT DATA'!O1919</f>
        <v>0</v>
      </c>
      <c r="L236" s="9">
        <f>'MKT DATA'!P1919</f>
        <v>0</v>
      </c>
      <c r="M236" s="9">
        <f>'MKT DATA'!Q1919</f>
        <v>0</v>
      </c>
      <c r="N236" s="9">
        <f>'MKT DATA'!R1919</f>
        <v>0</v>
      </c>
      <c r="O236" s="9">
        <f>'MKT DATA'!S1919</f>
        <v>0</v>
      </c>
      <c r="P236" s="9">
        <f>'MKT DATA'!T1919</f>
        <v>0</v>
      </c>
      <c r="Q236" s="44" t="str">
        <f t="shared" si="9"/>
        <v>syn BTCU6/BTCZ6/BTCF7/BTCV6/BTCX6/BTCG7</v>
      </c>
      <c r="R236" s="14">
        <f>'MKT DATA'!AB1919</f>
        <v>0</v>
      </c>
    </row>
    <row r="237" spans="5:18" x14ac:dyDescent="0.25">
      <c r="E237" s="44" t="str">
        <f>'MKT DATA'!B1920</f>
        <v>syn BTCU6/BTCZ6/BTCF7/BTCX6/BTCV6/BTCG7</v>
      </c>
      <c r="F237" s="14">
        <f>'MKT DATA'!J1920</f>
        <v>0</v>
      </c>
      <c r="G237" s="9">
        <f>'MKT DATA'!K1920</f>
        <v>0</v>
      </c>
      <c r="H237" s="9">
        <f>'MKT DATA'!L1920</f>
        <v>0</v>
      </c>
      <c r="I237" s="14">
        <f>'MKT DATA'!M1920</f>
        <v>0</v>
      </c>
      <c r="J237" s="44" t="str">
        <f t="shared" si="8"/>
        <v>syn BTCU6/BTCZ6/BTCF7/BTCX6/BTCV6/BTCG7</v>
      </c>
      <c r="K237" s="9">
        <f>'MKT DATA'!O1920</f>
        <v>0</v>
      </c>
      <c r="L237" s="9">
        <f>'MKT DATA'!P1920</f>
        <v>0</v>
      </c>
      <c r="M237" s="9">
        <f>'MKT DATA'!Q1920</f>
        <v>0</v>
      </c>
      <c r="N237" s="9">
        <f>'MKT DATA'!R1920</f>
        <v>0</v>
      </c>
      <c r="O237" s="9">
        <f>'MKT DATA'!S1920</f>
        <v>0</v>
      </c>
      <c r="P237" s="9">
        <f>'MKT DATA'!T1920</f>
        <v>0</v>
      </c>
      <c r="Q237" s="44" t="str">
        <f t="shared" si="9"/>
        <v>syn BTCU6/BTCZ6/BTCF7/BTCX6/BTCV6/BTCG7</v>
      </c>
      <c r="R237" s="14">
        <f>'MKT DATA'!AB1920</f>
        <v>0</v>
      </c>
    </row>
    <row r="238" spans="5:18" x14ac:dyDescent="0.25">
      <c r="E238" s="44" t="str">
        <f>'MKT DATA'!B1921</f>
        <v>syn BTCU6/BTCF7/BTCV6/BTCX6/BTCZ6/BTCG7</v>
      </c>
      <c r="F238" s="14">
        <f>'MKT DATA'!J1921</f>
        <v>0</v>
      </c>
      <c r="G238" s="9">
        <f>'MKT DATA'!K1921</f>
        <v>0</v>
      </c>
      <c r="H238" s="9">
        <f>'MKT DATA'!L1921</f>
        <v>0</v>
      </c>
      <c r="I238" s="14">
        <f>'MKT DATA'!M1921</f>
        <v>0</v>
      </c>
      <c r="J238" s="44" t="str">
        <f t="shared" si="8"/>
        <v>syn BTCU6/BTCF7/BTCV6/BTCX6/BTCZ6/BTCG7</v>
      </c>
      <c r="K238" s="9">
        <f>'MKT DATA'!O1921</f>
        <v>0</v>
      </c>
      <c r="L238" s="9">
        <f>'MKT DATA'!P1921</f>
        <v>0</v>
      </c>
      <c r="M238" s="9">
        <f>'MKT DATA'!Q1921</f>
        <v>0</v>
      </c>
      <c r="N238" s="9">
        <f>'MKT DATA'!R1921</f>
        <v>0</v>
      </c>
      <c r="O238" s="9">
        <f>'MKT DATA'!S1921</f>
        <v>0</v>
      </c>
      <c r="P238" s="9">
        <f>'MKT DATA'!T1921</f>
        <v>0</v>
      </c>
      <c r="Q238" s="44" t="str">
        <f t="shared" si="9"/>
        <v>syn BTCU6/BTCF7/BTCV6/BTCX6/BTCZ6/BTCG7</v>
      </c>
      <c r="R238" s="14">
        <f>'MKT DATA'!AB1921</f>
        <v>0</v>
      </c>
    </row>
    <row r="239" spans="5:18" x14ac:dyDescent="0.25">
      <c r="E239" s="44" t="str">
        <f>'MKT DATA'!B1922</f>
        <v>syn BTCU6/BTCF7/BTCV6/BTCZ6/BTCX6/BTCG7</v>
      </c>
      <c r="F239" s="14">
        <f>'MKT DATA'!J1922</f>
        <v>0</v>
      </c>
      <c r="G239" s="9">
        <f>'MKT DATA'!K1922</f>
        <v>0</v>
      </c>
      <c r="H239" s="9">
        <f>'MKT DATA'!L1922</f>
        <v>0</v>
      </c>
      <c r="I239" s="14">
        <f>'MKT DATA'!M1922</f>
        <v>0</v>
      </c>
      <c r="J239" s="44" t="str">
        <f t="shared" si="8"/>
        <v>syn BTCU6/BTCF7/BTCV6/BTCZ6/BTCX6/BTCG7</v>
      </c>
      <c r="K239" s="9">
        <f>'MKT DATA'!O1922</f>
        <v>0</v>
      </c>
      <c r="L239" s="9">
        <f>'MKT DATA'!P1922</f>
        <v>0</v>
      </c>
      <c r="M239" s="9">
        <f>'MKT DATA'!Q1922</f>
        <v>0</v>
      </c>
      <c r="N239" s="9">
        <f>'MKT DATA'!R1922</f>
        <v>0</v>
      </c>
      <c r="O239" s="9">
        <f>'MKT DATA'!S1922</f>
        <v>0</v>
      </c>
      <c r="P239" s="9">
        <f>'MKT DATA'!T1922</f>
        <v>0</v>
      </c>
      <c r="Q239" s="44" t="str">
        <f t="shared" si="9"/>
        <v>syn BTCU6/BTCF7/BTCV6/BTCZ6/BTCX6/BTCG7</v>
      </c>
      <c r="R239" s="14">
        <f>'MKT DATA'!AB1922</f>
        <v>0</v>
      </c>
    </row>
    <row r="240" spans="5:18" x14ac:dyDescent="0.25">
      <c r="E240" s="44" t="str">
        <f>'MKT DATA'!B1923</f>
        <v>syn BTCU6/BTCF7/BTCX6/BTCV6/BTCZ6/BTCG7</v>
      </c>
      <c r="F240" s="14">
        <f>'MKT DATA'!J1923</f>
        <v>0</v>
      </c>
      <c r="G240" s="9">
        <f>'MKT DATA'!K1923</f>
        <v>0</v>
      </c>
      <c r="H240" s="9">
        <f>'MKT DATA'!L1923</f>
        <v>0</v>
      </c>
      <c r="I240" s="14">
        <f>'MKT DATA'!M1923</f>
        <v>0</v>
      </c>
      <c r="J240" s="44" t="str">
        <f t="shared" si="8"/>
        <v>syn BTCU6/BTCF7/BTCX6/BTCV6/BTCZ6/BTCG7</v>
      </c>
      <c r="K240" s="9">
        <f>'MKT DATA'!O1923</f>
        <v>0</v>
      </c>
      <c r="L240" s="9">
        <f>'MKT DATA'!P1923</f>
        <v>0</v>
      </c>
      <c r="M240" s="9">
        <f>'MKT DATA'!Q1923</f>
        <v>0</v>
      </c>
      <c r="N240" s="9">
        <f>'MKT DATA'!R1923</f>
        <v>0</v>
      </c>
      <c r="O240" s="9">
        <f>'MKT DATA'!S1923</f>
        <v>0</v>
      </c>
      <c r="P240" s="9">
        <f>'MKT DATA'!T1923</f>
        <v>0</v>
      </c>
      <c r="Q240" s="44" t="str">
        <f t="shared" si="9"/>
        <v>syn BTCU6/BTCF7/BTCX6/BTCV6/BTCZ6/BTCG7</v>
      </c>
      <c r="R240" s="14">
        <f>'MKT DATA'!AB1923</f>
        <v>0</v>
      </c>
    </row>
    <row r="241" spans="5:18" x14ac:dyDescent="0.25">
      <c r="E241" s="44" t="str">
        <f>'MKT DATA'!B1924</f>
        <v>syn BTCU6/BTCF7/BTCX6/BTCZ6/BTCV6/BTCG7</v>
      </c>
      <c r="F241" s="14">
        <f>'MKT DATA'!J1924</f>
        <v>0</v>
      </c>
      <c r="G241" s="9">
        <f>'MKT DATA'!K1924</f>
        <v>0</v>
      </c>
      <c r="H241" s="9">
        <f>'MKT DATA'!L1924</f>
        <v>0</v>
      </c>
      <c r="I241" s="14">
        <f>'MKT DATA'!M1924</f>
        <v>0</v>
      </c>
      <c r="J241" s="44" t="str">
        <f t="shared" si="8"/>
        <v>syn BTCU6/BTCF7/BTCX6/BTCZ6/BTCV6/BTCG7</v>
      </c>
      <c r="K241" s="9">
        <f>'MKT DATA'!O1924</f>
        <v>0</v>
      </c>
      <c r="L241" s="9">
        <f>'MKT DATA'!P1924</f>
        <v>0</v>
      </c>
      <c r="M241" s="9">
        <f>'MKT DATA'!Q1924</f>
        <v>0</v>
      </c>
      <c r="N241" s="9">
        <f>'MKT DATA'!R1924</f>
        <v>0</v>
      </c>
      <c r="O241" s="9">
        <f>'MKT DATA'!S1924</f>
        <v>0</v>
      </c>
      <c r="P241" s="9">
        <f>'MKT DATA'!T1924</f>
        <v>0</v>
      </c>
      <c r="Q241" s="44" t="str">
        <f t="shared" si="9"/>
        <v>syn BTCU6/BTCF7/BTCX6/BTCZ6/BTCV6/BTCG7</v>
      </c>
      <c r="R241" s="14">
        <f>'MKT DATA'!AB1924</f>
        <v>0</v>
      </c>
    </row>
    <row r="242" spans="5:18" x14ac:dyDescent="0.25">
      <c r="E242" s="44" t="str">
        <f>'MKT DATA'!B1925</f>
        <v>syn BTCU6/BTCF7/BTCZ6/BTCV6/BTCX6/BTCG7</v>
      </c>
      <c r="F242" s="14">
        <f>'MKT DATA'!J1925</f>
        <v>0</v>
      </c>
      <c r="G242" s="9">
        <f>'MKT DATA'!K1925</f>
        <v>0</v>
      </c>
      <c r="H242" s="9">
        <f>'MKT DATA'!L1925</f>
        <v>0</v>
      </c>
      <c r="I242" s="14">
        <f>'MKT DATA'!M1925</f>
        <v>0</v>
      </c>
      <c r="J242" s="44" t="str">
        <f t="shared" si="8"/>
        <v>syn BTCU6/BTCF7/BTCZ6/BTCV6/BTCX6/BTCG7</v>
      </c>
      <c r="K242" s="9">
        <f>'MKT DATA'!O1925</f>
        <v>0</v>
      </c>
      <c r="L242" s="9">
        <f>'MKT DATA'!P1925</f>
        <v>0</v>
      </c>
      <c r="M242" s="9">
        <f>'MKT DATA'!Q1925</f>
        <v>0</v>
      </c>
      <c r="N242" s="9">
        <f>'MKT DATA'!R1925</f>
        <v>0</v>
      </c>
      <c r="O242" s="9">
        <f>'MKT DATA'!S1925</f>
        <v>0</v>
      </c>
      <c r="P242" s="9">
        <f>'MKT DATA'!T1925</f>
        <v>0</v>
      </c>
      <c r="Q242" s="44" t="str">
        <f t="shared" si="9"/>
        <v>syn BTCU6/BTCF7/BTCZ6/BTCV6/BTCX6/BTCG7</v>
      </c>
      <c r="R242" s="14">
        <f>'MKT DATA'!AB1925</f>
        <v>0</v>
      </c>
    </row>
    <row r="243" spans="5:18" x14ac:dyDescent="0.25">
      <c r="E243" s="44" t="str">
        <f>'MKT DATA'!B1926</f>
        <v>syn BTCU6/BTCF7/BTCZ6/BTCX6/BTCV6/BTCG7</v>
      </c>
      <c r="F243" s="14">
        <f>'MKT DATA'!J1926</f>
        <v>0</v>
      </c>
      <c r="G243" s="9">
        <f>'MKT DATA'!K1926</f>
        <v>0</v>
      </c>
      <c r="H243" s="9">
        <f>'MKT DATA'!L1926</f>
        <v>0</v>
      </c>
      <c r="I243" s="14">
        <f>'MKT DATA'!M1926</f>
        <v>0</v>
      </c>
      <c r="J243" s="44" t="str">
        <f t="shared" si="8"/>
        <v>syn BTCU6/BTCF7/BTCZ6/BTCX6/BTCV6/BTCG7</v>
      </c>
      <c r="K243" s="9">
        <f>'MKT DATA'!O1926</f>
        <v>0</v>
      </c>
      <c r="L243" s="9">
        <f>'MKT DATA'!P1926</f>
        <v>0</v>
      </c>
      <c r="M243" s="9">
        <f>'MKT DATA'!Q1926</f>
        <v>0</v>
      </c>
      <c r="N243" s="9">
        <f>'MKT DATA'!R1926</f>
        <v>0</v>
      </c>
      <c r="O243" s="9">
        <f>'MKT DATA'!S1926</f>
        <v>0</v>
      </c>
      <c r="P243" s="9">
        <f>'MKT DATA'!T1926</f>
        <v>0</v>
      </c>
      <c r="Q243" s="44" t="str">
        <f t="shared" si="9"/>
        <v>syn BTCU6/BTCF7/BTCZ6/BTCX6/BTCV6/BTCG7</v>
      </c>
      <c r="R243" s="14">
        <f>'MKT DATA'!AB1926</f>
        <v>0</v>
      </c>
    </row>
    <row r="244" spans="5:18" x14ac:dyDescent="0.25">
      <c r="E244" s="44" t="str">
        <f>'MKT DATA'!B1927</f>
        <v>syn BTCV6/BTCU6/BTCX6/BTCZ6/BTCF7/BTCG7</v>
      </c>
      <c r="F244" s="14">
        <f>'MKT DATA'!J1927</f>
        <v>0</v>
      </c>
      <c r="G244" s="9">
        <f>'MKT DATA'!K1927</f>
        <v>0</v>
      </c>
      <c r="H244" s="9">
        <f>'MKT DATA'!L1927</f>
        <v>0</v>
      </c>
      <c r="I244" s="14">
        <f>'MKT DATA'!M1927</f>
        <v>0</v>
      </c>
      <c r="J244" s="44" t="str">
        <f t="shared" si="8"/>
        <v>syn BTCV6/BTCU6/BTCX6/BTCZ6/BTCF7/BTCG7</v>
      </c>
      <c r="K244" s="9">
        <f>'MKT DATA'!O1927</f>
        <v>0</v>
      </c>
      <c r="L244" s="9">
        <f>'MKT DATA'!P1927</f>
        <v>0</v>
      </c>
      <c r="M244" s="9">
        <f>'MKT DATA'!Q1927</f>
        <v>0</v>
      </c>
      <c r="N244" s="9">
        <f>'MKT DATA'!R1927</f>
        <v>0</v>
      </c>
      <c r="O244" s="9">
        <f>'MKT DATA'!S1927</f>
        <v>0</v>
      </c>
      <c r="P244" s="9">
        <f>'MKT DATA'!T1927</f>
        <v>0</v>
      </c>
      <c r="Q244" s="44" t="str">
        <f t="shared" si="9"/>
        <v>syn BTCV6/BTCU6/BTCX6/BTCZ6/BTCF7/BTCG7</v>
      </c>
      <c r="R244" s="14">
        <f>'MKT DATA'!AB1927</f>
        <v>0</v>
      </c>
    </row>
    <row r="245" spans="5:18" x14ac:dyDescent="0.25">
      <c r="E245" s="44" t="str">
        <f>'MKT DATA'!B1928</f>
        <v>syn BTCV6/BTCU6/BTCX6/BTCF7/BTCZ6/BTCG7</v>
      </c>
      <c r="F245" s="14">
        <f>'MKT DATA'!J1928</f>
        <v>0</v>
      </c>
      <c r="G245" s="9">
        <f>'MKT DATA'!K1928</f>
        <v>0</v>
      </c>
      <c r="H245" s="9">
        <f>'MKT DATA'!L1928</f>
        <v>0</v>
      </c>
      <c r="I245" s="14">
        <f>'MKT DATA'!M1928</f>
        <v>0</v>
      </c>
      <c r="J245" s="44" t="str">
        <f t="shared" si="8"/>
        <v>syn BTCV6/BTCU6/BTCX6/BTCF7/BTCZ6/BTCG7</v>
      </c>
      <c r="K245" s="9">
        <f>'MKT DATA'!O1928</f>
        <v>0</v>
      </c>
      <c r="L245" s="9">
        <f>'MKT DATA'!P1928</f>
        <v>0</v>
      </c>
      <c r="M245" s="9">
        <f>'MKT DATA'!Q1928</f>
        <v>0</v>
      </c>
      <c r="N245" s="9">
        <f>'MKT DATA'!R1928</f>
        <v>0</v>
      </c>
      <c r="O245" s="9">
        <f>'MKT DATA'!S1928</f>
        <v>0</v>
      </c>
      <c r="P245" s="9">
        <f>'MKT DATA'!T1928</f>
        <v>0</v>
      </c>
      <c r="Q245" s="44" t="str">
        <f t="shared" si="9"/>
        <v>syn BTCV6/BTCU6/BTCX6/BTCF7/BTCZ6/BTCG7</v>
      </c>
      <c r="R245" s="14">
        <f>'MKT DATA'!AB1928</f>
        <v>0</v>
      </c>
    </row>
    <row r="246" spans="5:18" x14ac:dyDescent="0.25">
      <c r="E246" s="44" t="str">
        <f>'MKT DATA'!B1929</f>
        <v>syn BTCV6/BTCU6/BTCZ6/BTCX6/BTCF7/BTCG7</v>
      </c>
      <c r="F246" s="14">
        <f>'MKT DATA'!J1929</f>
        <v>0</v>
      </c>
      <c r="G246" s="9">
        <f>'MKT DATA'!K1929</f>
        <v>0</v>
      </c>
      <c r="H246" s="9">
        <f>'MKT DATA'!L1929</f>
        <v>0</v>
      </c>
      <c r="I246" s="14">
        <f>'MKT DATA'!M1929</f>
        <v>0</v>
      </c>
      <c r="J246" s="44" t="str">
        <f t="shared" si="8"/>
        <v>syn BTCV6/BTCU6/BTCZ6/BTCX6/BTCF7/BTCG7</v>
      </c>
      <c r="K246" s="9">
        <f>'MKT DATA'!O1929</f>
        <v>0</v>
      </c>
      <c r="L246" s="9">
        <f>'MKT DATA'!P1929</f>
        <v>0</v>
      </c>
      <c r="M246" s="9">
        <f>'MKT DATA'!Q1929</f>
        <v>0</v>
      </c>
      <c r="N246" s="9">
        <f>'MKT DATA'!R1929</f>
        <v>0</v>
      </c>
      <c r="O246" s="9">
        <f>'MKT DATA'!S1929</f>
        <v>0</v>
      </c>
      <c r="P246" s="9">
        <f>'MKT DATA'!T1929</f>
        <v>0</v>
      </c>
      <c r="Q246" s="44" t="str">
        <f t="shared" si="9"/>
        <v>syn BTCV6/BTCU6/BTCZ6/BTCX6/BTCF7/BTCG7</v>
      </c>
      <c r="R246" s="14">
        <f>'MKT DATA'!AB1929</f>
        <v>0</v>
      </c>
    </row>
    <row r="247" spans="5:18" x14ac:dyDescent="0.25">
      <c r="E247" s="44" t="str">
        <f>'MKT DATA'!B1930</f>
        <v>syn BTCV6/BTCU6/BTCZ6/BTCF7/BTCX6/BTCG7</v>
      </c>
      <c r="F247" s="14">
        <f>'MKT DATA'!J1930</f>
        <v>0</v>
      </c>
      <c r="G247" s="9">
        <f>'MKT DATA'!K1930</f>
        <v>0</v>
      </c>
      <c r="H247" s="9">
        <f>'MKT DATA'!L1930</f>
        <v>0</v>
      </c>
      <c r="I247" s="14">
        <f>'MKT DATA'!M1930</f>
        <v>0</v>
      </c>
      <c r="J247" s="44" t="str">
        <f t="shared" si="8"/>
        <v>syn BTCV6/BTCU6/BTCZ6/BTCF7/BTCX6/BTCG7</v>
      </c>
      <c r="K247" s="9">
        <f>'MKT DATA'!O1930</f>
        <v>0</v>
      </c>
      <c r="L247" s="9">
        <f>'MKT DATA'!P1930</f>
        <v>0</v>
      </c>
      <c r="M247" s="9">
        <f>'MKT DATA'!Q1930</f>
        <v>0</v>
      </c>
      <c r="N247" s="9">
        <f>'MKT DATA'!R1930</f>
        <v>0</v>
      </c>
      <c r="O247" s="9">
        <f>'MKT DATA'!S1930</f>
        <v>0</v>
      </c>
      <c r="P247" s="9">
        <f>'MKT DATA'!T1930</f>
        <v>0</v>
      </c>
      <c r="Q247" s="44" t="str">
        <f t="shared" si="9"/>
        <v>syn BTCV6/BTCU6/BTCZ6/BTCF7/BTCX6/BTCG7</v>
      </c>
      <c r="R247" s="14">
        <f>'MKT DATA'!AB1930</f>
        <v>0</v>
      </c>
    </row>
    <row r="248" spans="5:18" x14ac:dyDescent="0.25">
      <c r="E248" s="44" t="str">
        <f>'MKT DATA'!B1931</f>
        <v>syn BTCV6/BTCU6/BTCF7/BTCX6/BTCZ6/BTCG7</v>
      </c>
      <c r="F248" s="14">
        <f>'MKT DATA'!J1931</f>
        <v>0</v>
      </c>
      <c r="G248" s="9">
        <f>'MKT DATA'!K1931</f>
        <v>0</v>
      </c>
      <c r="H248" s="9">
        <f>'MKT DATA'!L1931</f>
        <v>0</v>
      </c>
      <c r="I248" s="14">
        <f>'MKT DATA'!M1931</f>
        <v>0</v>
      </c>
      <c r="J248" s="44" t="str">
        <f t="shared" si="8"/>
        <v>syn BTCV6/BTCU6/BTCF7/BTCX6/BTCZ6/BTCG7</v>
      </c>
      <c r="K248" s="9">
        <f>'MKT DATA'!O1931</f>
        <v>0</v>
      </c>
      <c r="L248" s="9">
        <f>'MKT DATA'!P1931</f>
        <v>0</v>
      </c>
      <c r="M248" s="9">
        <f>'MKT DATA'!Q1931</f>
        <v>0</v>
      </c>
      <c r="N248" s="9">
        <f>'MKT DATA'!R1931</f>
        <v>0</v>
      </c>
      <c r="O248" s="9">
        <f>'MKT DATA'!S1931</f>
        <v>0</v>
      </c>
      <c r="P248" s="9">
        <f>'MKT DATA'!T1931</f>
        <v>0</v>
      </c>
      <c r="Q248" s="44" t="str">
        <f t="shared" si="9"/>
        <v>syn BTCV6/BTCU6/BTCF7/BTCX6/BTCZ6/BTCG7</v>
      </c>
      <c r="R248" s="14">
        <f>'MKT DATA'!AB1931</f>
        <v>0</v>
      </c>
    </row>
    <row r="249" spans="5:18" x14ac:dyDescent="0.25">
      <c r="E249" s="44" t="str">
        <f>'MKT DATA'!B1932</f>
        <v>syn BTCV6/BTCU6/BTCF7/BTCZ6/BTCX6/BTCG7</v>
      </c>
      <c r="F249" s="14">
        <f>'MKT DATA'!J1932</f>
        <v>0</v>
      </c>
      <c r="G249" s="9">
        <f>'MKT DATA'!K1932</f>
        <v>0</v>
      </c>
      <c r="H249" s="9">
        <f>'MKT DATA'!L1932</f>
        <v>0</v>
      </c>
      <c r="I249" s="14">
        <f>'MKT DATA'!M1932</f>
        <v>0</v>
      </c>
      <c r="J249" s="44" t="str">
        <f t="shared" si="8"/>
        <v>syn BTCV6/BTCU6/BTCF7/BTCZ6/BTCX6/BTCG7</v>
      </c>
      <c r="K249" s="9">
        <f>'MKT DATA'!O1932</f>
        <v>0</v>
      </c>
      <c r="L249" s="9">
        <f>'MKT DATA'!P1932</f>
        <v>0</v>
      </c>
      <c r="M249" s="9">
        <f>'MKT DATA'!Q1932</f>
        <v>0</v>
      </c>
      <c r="N249" s="9">
        <f>'MKT DATA'!R1932</f>
        <v>0</v>
      </c>
      <c r="O249" s="9">
        <f>'MKT DATA'!S1932</f>
        <v>0</v>
      </c>
      <c r="P249" s="9">
        <f>'MKT DATA'!T1932</f>
        <v>0</v>
      </c>
      <c r="Q249" s="44" t="str">
        <f t="shared" si="9"/>
        <v>syn BTCV6/BTCU6/BTCF7/BTCZ6/BTCX6/BTCG7</v>
      </c>
      <c r="R249" s="14">
        <f>'MKT DATA'!AB1932</f>
        <v>0</v>
      </c>
    </row>
    <row r="250" spans="5:18" x14ac:dyDescent="0.25">
      <c r="E250" s="44" t="str">
        <f>'MKT DATA'!B1933</f>
        <v>syn BTCV6/BTCX6/BTCU6/BTCZ6/BTCF7/BTCG7</v>
      </c>
      <c r="F250" s="14">
        <f>'MKT DATA'!J1933</f>
        <v>0</v>
      </c>
      <c r="G250" s="9">
        <f>'MKT DATA'!K1933</f>
        <v>0</v>
      </c>
      <c r="H250" s="9">
        <f>'MKT DATA'!L1933</f>
        <v>0</v>
      </c>
      <c r="I250" s="14">
        <f>'MKT DATA'!M1933</f>
        <v>0</v>
      </c>
      <c r="J250" s="44" t="str">
        <f t="shared" si="8"/>
        <v>syn BTCV6/BTCX6/BTCU6/BTCZ6/BTCF7/BTCG7</v>
      </c>
      <c r="K250" s="9">
        <f>'MKT DATA'!O1933</f>
        <v>0</v>
      </c>
      <c r="L250" s="9">
        <f>'MKT DATA'!P1933</f>
        <v>0</v>
      </c>
      <c r="M250" s="9">
        <f>'MKT DATA'!Q1933</f>
        <v>0</v>
      </c>
      <c r="N250" s="9">
        <f>'MKT DATA'!R1933</f>
        <v>0</v>
      </c>
      <c r="O250" s="9">
        <f>'MKT DATA'!S1933</f>
        <v>0</v>
      </c>
      <c r="P250" s="9">
        <f>'MKT DATA'!T1933</f>
        <v>0</v>
      </c>
      <c r="Q250" s="44" t="str">
        <f t="shared" si="9"/>
        <v>syn BTCV6/BTCX6/BTCU6/BTCZ6/BTCF7/BTCG7</v>
      </c>
      <c r="R250" s="14">
        <f>'MKT DATA'!AB1933</f>
        <v>0</v>
      </c>
    </row>
    <row r="251" spans="5:18" x14ac:dyDescent="0.25">
      <c r="E251" s="44" t="str">
        <f>'MKT DATA'!B1934</f>
        <v>syn BTCV6/BTCX6/BTCU6/BTCF7/BTCZ6/BTCG7</v>
      </c>
      <c r="F251" s="14">
        <f>'MKT DATA'!J1934</f>
        <v>0</v>
      </c>
      <c r="G251" s="9">
        <f>'MKT DATA'!K1934</f>
        <v>0</v>
      </c>
      <c r="H251" s="9">
        <f>'MKT DATA'!L1934</f>
        <v>0</v>
      </c>
      <c r="I251" s="14">
        <f>'MKT DATA'!M1934</f>
        <v>0</v>
      </c>
      <c r="J251" s="44" t="str">
        <f t="shared" si="8"/>
        <v>syn BTCV6/BTCX6/BTCU6/BTCF7/BTCZ6/BTCG7</v>
      </c>
      <c r="K251" s="9">
        <f>'MKT DATA'!O1934</f>
        <v>0</v>
      </c>
      <c r="L251" s="9">
        <f>'MKT DATA'!P1934</f>
        <v>0</v>
      </c>
      <c r="M251" s="9">
        <f>'MKT DATA'!Q1934</f>
        <v>0</v>
      </c>
      <c r="N251" s="9">
        <f>'MKT DATA'!R1934</f>
        <v>0</v>
      </c>
      <c r="O251" s="9">
        <f>'MKT DATA'!S1934</f>
        <v>0</v>
      </c>
      <c r="P251" s="9">
        <f>'MKT DATA'!T1934</f>
        <v>0</v>
      </c>
      <c r="Q251" s="44" t="str">
        <f t="shared" si="9"/>
        <v>syn BTCV6/BTCX6/BTCU6/BTCF7/BTCZ6/BTCG7</v>
      </c>
      <c r="R251" s="14">
        <f>'MKT DATA'!AB1934</f>
        <v>0</v>
      </c>
    </row>
    <row r="252" spans="5:18" x14ac:dyDescent="0.25">
      <c r="E252" s="44" t="str">
        <f>'MKT DATA'!B1935</f>
        <v>syn BTCV6/BTCX6/BTCZ6/BTCU6/BTCF7/BTCG7</v>
      </c>
      <c r="F252" s="14">
        <f>'MKT DATA'!J1935</f>
        <v>0</v>
      </c>
      <c r="G252" s="9">
        <f>'MKT DATA'!K1935</f>
        <v>0</v>
      </c>
      <c r="H252" s="9">
        <f>'MKT DATA'!L1935</f>
        <v>0</v>
      </c>
      <c r="I252" s="14">
        <f>'MKT DATA'!M1935</f>
        <v>0</v>
      </c>
      <c r="J252" s="44" t="str">
        <f t="shared" si="8"/>
        <v>syn BTCV6/BTCX6/BTCZ6/BTCU6/BTCF7/BTCG7</v>
      </c>
      <c r="K252" s="9">
        <f>'MKT DATA'!O1935</f>
        <v>0</v>
      </c>
      <c r="L252" s="9">
        <f>'MKT DATA'!P1935</f>
        <v>0</v>
      </c>
      <c r="M252" s="9">
        <f>'MKT DATA'!Q1935</f>
        <v>0</v>
      </c>
      <c r="N252" s="9">
        <f>'MKT DATA'!R1935</f>
        <v>0</v>
      </c>
      <c r="O252" s="9">
        <f>'MKT DATA'!S1935</f>
        <v>0</v>
      </c>
      <c r="P252" s="9">
        <f>'MKT DATA'!T1935</f>
        <v>0</v>
      </c>
      <c r="Q252" s="44" t="str">
        <f t="shared" si="9"/>
        <v>syn BTCV6/BTCX6/BTCZ6/BTCU6/BTCF7/BTCG7</v>
      </c>
      <c r="R252" s="14">
        <f>'MKT DATA'!AB1935</f>
        <v>0</v>
      </c>
    </row>
    <row r="253" spans="5:18" x14ac:dyDescent="0.25">
      <c r="E253" s="44" t="str">
        <f>'MKT DATA'!B1936</f>
        <v>syn BTCV6/BTCX6/BTCZ6/BTCF7/BTCU6/BTCG7</v>
      </c>
      <c r="F253" s="14">
        <f>'MKT DATA'!J1936</f>
        <v>0</v>
      </c>
      <c r="G253" s="9">
        <f>'MKT DATA'!K1936</f>
        <v>0</v>
      </c>
      <c r="H253" s="9">
        <f>'MKT DATA'!L1936</f>
        <v>0</v>
      </c>
      <c r="I253" s="14">
        <f>'MKT DATA'!M1936</f>
        <v>0</v>
      </c>
      <c r="J253" s="44" t="str">
        <f t="shared" si="8"/>
        <v>syn BTCV6/BTCX6/BTCZ6/BTCF7/BTCU6/BTCG7</v>
      </c>
      <c r="K253" s="9">
        <f>'MKT DATA'!O1936</f>
        <v>0</v>
      </c>
      <c r="L253" s="9">
        <f>'MKT DATA'!P1936</f>
        <v>0</v>
      </c>
      <c r="M253" s="9">
        <f>'MKT DATA'!Q1936</f>
        <v>0</v>
      </c>
      <c r="N253" s="9">
        <f>'MKT DATA'!R1936</f>
        <v>0</v>
      </c>
      <c r="O253" s="9">
        <f>'MKT DATA'!S1936</f>
        <v>0</v>
      </c>
      <c r="P253" s="9">
        <f>'MKT DATA'!T1936</f>
        <v>0</v>
      </c>
      <c r="Q253" s="44" t="str">
        <f t="shared" si="9"/>
        <v>syn BTCV6/BTCX6/BTCZ6/BTCF7/BTCU6/BTCG7</v>
      </c>
      <c r="R253" s="14">
        <f>'MKT DATA'!AB1936</f>
        <v>0</v>
      </c>
    </row>
    <row r="254" spans="5:18" x14ac:dyDescent="0.25">
      <c r="E254" s="44" t="str">
        <f>'MKT DATA'!B1937</f>
        <v>syn BTCV6/BTCX6/BTCF7/BTCU6/BTCZ6/BTCG7</v>
      </c>
      <c r="F254" s="14">
        <f>'MKT DATA'!J1937</f>
        <v>0</v>
      </c>
      <c r="G254" s="9">
        <f>'MKT DATA'!K1937</f>
        <v>0</v>
      </c>
      <c r="H254" s="9">
        <f>'MKT DATA'!L1937</f>
        <v>0</v>
      </c>
      <c r="I254" s="14">
        <f>'MKT DATA'!M1937</f>
        <v>0</v>
      </c>
      <c r="J254" s="44" t="str">
        <f t="shared" si="8"/>
        <v>syn BTCV6/BTCX6/BTCF7/BTCU6/BTCZ6/BTCG7</v>
      </c>
      <c r="K254" s="9">
        <f>'MKT DATA'!O1937</f>
        <v>0</v>
      </c>
      <c r="L254" s="9">
        <f>'MKT DATA'!P1937</f>
        <v>0</v>
      </c>
      <c r="M254" s="9">
        <f>'MKT DATA'!Q1937</f>
        <v>0</v>
      </c>
      <c r="N254" s="9">
        <f>'MKT DATA'!R1937</f>
        <v>0</v>
      </c>
      <c r="O254" s="9">
        <f>'MKT DATA'!S1937</f>
        <v>0</v>
      </c>
      <c r="P254" s="9">
        <f>'MKT DATA'!T1937</f>
        <v>0</v>
      </c>
      <c r="Q254" s="44" t="str">
        <f t="shared" si="9"/>
        <v>syn BTCV6/BTCX6/BTCF7/BTCU6/BTCZ6/BTCG7</v>
      </c>
      <c r="R254" s="14">
        <f>'MKT DATA'!AB1937</f>
        <v>0</v>
      </c>
    </row>
    <row r="255" spans="5:18" x14ac:dyDescent="0.25">
      <c r="E255" s="44" t="str">
        <f>'MKT DATA'!B1938</f>
        <v>syn BTCV6/BTCX6/BTCF7/BTCZ6/BTCU6/BTCG7</v>
      </c>
      <c r="F255" s="14">
        <f>'MKT DATA'!J1938</f>
        <v>0</v>
      </c>
      <c r="G255" s="9">
        <f>'MKT DATA'!K1938</f>
        <v>0</v>
      </c>
      <c r="H255" s="9">
        <f>'MKT DATA'!L1938</f>
        <v>0</v>
      </c>
      <c r="I255" s="14">
        <f>'MKT DATA'!M1938</f>
        <v>0</v>
      </c>
      <c r="J255" s="44" t="str">
        <f t="shared" si="8"/>
        <v>syn BTCV6/BTCX6/BTCF7/BTCZ6/BTCU6/BTCG7</v>
      </c>
      <c r="K255" s="9">
        <f>'MKT DATA'!O1938</f>
        <v>0</v>
      </c>
      <c r="L255" s="9">
        <f>'MKT DATA'!P1938</f>
        <v>0</v>
      </c>
      <c r="M255" s="9">
        <f>'MKT DATA'!Q1938</f>
        <v>0</v>
      </c>
      <c r="N255" s="9">
        <f>'MKT DATA'!R1938</f>
        <v>0</v>
      </c>
      <c r="O255" s="9">
        <f>'MKT DATA'!S1938</f>
        <v>0</v>
      </c>
      <c r="P255" s="9">
        <f>'MKT DATA'!T1938</f>
        <v>0</v>
      </c>
      <c r="Q255" s="44" t="str">
        <f t="shared" si="9"/>
        <v>syn BTCV6/BTCX6/BTCF7/BTCZ6/BTCU6/BTCG7</v>
      </c>
      <c r="R255" s="14">
        <f>'MKT DATA'!AB1938</f>
        <v>0</v>
      </c>
    </row>
    <row r="256" spans="5:18" x14ac:dyDescent="0.25">
      <c r="E256" s="44" t="str">
        <f>'MKT DATA'!B1939</f>
        <v>syn BTCV6/BTCZ6/BTCU6/BTCX6/BTCF7/BTCG7</v>
      </c>
      <c r="F256" s="14">
        <f>'MKT DATA'!J1939</f>
        <v>0</v>
      </c>
      <c r="G256" s="9">
        <f>'MKT DATA'!K1939</f>
        <v>0</v>
      </c>
      <c r="H256" s="9">
        <f>'MKT DATA'!L1939</f>
        <v>0</v>
      </c>
      <c r="I256" s="14">
        <f>'MKT DATA'!M1939</f>
        <v>0</v>
      </c>
      <c r="J256" s="44" t="str">
        <f t="shared" si="8"/>
        <v>syn BTCV6/BTCZ6/BTCU6/BTCX6/BTCF7/BTCG7</v>
      </c>
      <c r="K256" s="9">
        <f>'MKT DATA'!O1939</f>
        <v>0</v>
      </c>
      <c r="L256" s="9">
        <f>'MKT DATA'!P1939</f>
        <v>0</v>
      </c>
      <c r="M256" s="9">
        <f>'MKT DATA'!Q1939</f>
        <v>0</v>
      </c>
      <c r="N256" s="9">
        <f>'MKT DATA'!R1939</f>
        <v>0</v>
      </c>
      <c r="O256" s="9">
        <f>'MKT DATA'!S1939</f>
        <v>0</v>
      </c>
      <c r="P256" s="9">
        <f>'MKT DATA'!T1939</f>
        <v>0</v>
      </c>
      <c r="Q256" s="44" t="str">
        <f t="shared" si="9"/>
        <v>syn BTCV6/BTCZ6/BTCU6/BTCX6/BTCF7/BTCG7</v>
      </c>
      <c r="R256" s="14">
        <f>'MKT DATA'!AB1939</f>
        <v>0</v>
      </c>
    </row>
    <row r="257" spans="5:18" x14ac:dyDescent="0.25">
      <c r="E257" s="44" t="str">
        <f>'MKT DATA'!B1940</f>
        <v>syn BTCV6/BTCZ6/BTCU6/BTCF7/BTCX6/BTCG7</v>
      </c>
      <c r="F257" s="14">
        <f>'MKT DATA'!J1940</f>
        <v>0</v>
      </c>
      <c r="G257" s="9">
        <f>'MKT DATA'!K1940</f>
        <v>0</v>
      </c>
      <c r="H257" s="9">
        <f>'MKT DATA'!L1940</f>
        <v>0</v>
      </c>
      <c r="I257" s="14">
        <f>'MKT DATA'!M1940</f>
        <v>0</v>
      </c>
      <c r="J257" s="44" t="str">
        <f t="shared" si="8"/>
        <v>syn BTCV6/BTCZ6/BTCU6/BTCF7/BTCX6/BTCG7</v>
      </c>
      <c r="K257" s="9">
        <f>'MKT DATA'!O1940</f>
        <v>0</v>
      </c>
      <c r="L257" s="9">
        <f>'MKT DATA'!P1940</f>
        <v>0</v>
      </c>
      <c r="M257" s="9">
        <f>'MKT DATA'!Q1940</f>
        <v>0</v>
      </c>
      <c r="N257" s="9">
        <f>'MKT DATA'!R1940</f>
        <v>0</v>
      </c>
      <c r="O257" s="9">
        <f>'MKT DATA'!S1940</f>
        <v>0</v>
      </c>
      <c r="P257" s="9">
        <f>'MKT DATA'!T1940</f>
        <v>0</v>
      </c>
      <c r="Q257" s="44" t="str">
        <f t="shared" si="9"/>
        <v>syn BTCV6/BTCZ6/BTCU6/BTCF7/BTCX6/BTCG7</v>
      </c>
      <c r="R257" s="14">
        <f>'MKT DATA'!AB1940</f>
        <v>0</v>
      </c>
    </row>
    <row r="258" spans="5:18" x14ac:dyDescent="0.25">
      <c r="E258" s="44" t="str">
        <f>'MKT DATA'!B1941</f>
        <v>syn BTCV6/BTCZ6/BTCX6/BTCU6/BTCF7/BTCG7</v>
      </c>
      <c r="F258" s="14">
        <f>'MKT DATA'!J1941</f>
        <v>0</v>
      </c>
      <c r="G258" s="9">
        <f>'MKT DATA'!K1941</f>
        <v>0</v>
      </c>
      <c r="H258" s="9">
        <f>'MKT DATA'!L1941</f>
        <v>0</v>
      </c>
      <c r="I258" s="14">
        <f>'MKT DATA'!M1941</f>
        <v>0</v>
      </c>
      <c r="J258" s="44" t="str">
        <f t="shared" si="8"/>
        <v>syn BTCV6/BTCZ6/BTCX6/BTCU6/BTCF7/BTCG7</v>
      </c>
      <c r="K258" s="9">
        <f>'MKT DATA'!O1941</f>
        <v>0</v>
      </c>
      <c r="L258" s="9">
        <f>'MKT DATA'!P1941</f>
        <v>0</v>
      </c>
      <c r="M258" s="9">
        <f>'MKT DATA'!Q1941</f>
        <v>0</v>
      </c>
      <c r="N258" s="9">
        <f>'MKT DATA'!R1941</f>
        <v>0</v>
      </c>
      <c r="O258" s="9">
        <f>'MKT DATA'!S1941</f>
        <v>0</v>
      </c>
      <c r="P258" s="9">
        <f>'MKT DATA'!T1941</f>
        <v>0</v>
      </c>
      <c r="Q258" s="44" t="str">
        <f t="shared" si="9"/>
        <v>syn BTCV6/BTCZ6/BTCX6/BTCU6/BTCF7/BTCG7</v>
      </c>
      <c r="R258" s="14">
        <f>'MKT DATA'!AB1941</f>
        <v>0</v>
      </c>
    </row>
    <row r="259" spans="5:18" x14ac:dyDescent="0.25">
      <c r="E259" s="44" t="str">
        <f>'MKT DATA'!B1942</f>
        <v>syn BTCV6/BTCZ6/BTCX6/BTCF7/BTCU6/BTCG7</v>
      </c>
      <c r="F259" s="14">
        <f>'MKT DATA'!J1942</f>
        <v>0</v>
      </c>
      <c r="G259" s="9">
        <f>'MKT DATA'!K1942</f>
        <v>0</v>
      </c>
      <c r="H259" s="9">
        <f>'MKT DATA'!L1942</f>
        <v>0</v>
      </c>
      <c r="I259" s="14">
        <f>'MKT DATA'!M1942</f>
        <v>0</v>
      </c>
      <c r="J259" s="44" t="str">
        <f t="shared" si="8"/>
        <v>syn BTCV6/BTCZ6/BTCX6/BTCF7/BTCU6/BTCG7</v>
      </c>
      <c r="K259" s="9">
        <f>'MKT DATA'!O1942</f>
        <v>0</v>
      </c>
      <c r="L259" s="9">
        <f>'MKT DATA'!P1942</f>
        <v>0</v>
      </c>
      <c r="M259" s="9">
        <f>'MKT DATA'!Q1942</f>
        <v>0</v>
      </c>
      <c r="N259" s="9">
        <f>'MKT DATA'!R1942</f>
        <v>0</v>
      </c>
      <c r="O259" s="9">
        <f>'MKT DATA'!S1942</f>
        <v>0</v>
      </c>
      <c r="P259" s="9">
        <f>'MKT DATA'!T1942</f>
        <v>0</v>
      </c>
      <c r="Q259" s="44" t="str">
        <f t="shared" si="9"/>
        <v>syn BTCV6/BTCZ6/BTCX6/BTCF7/BTCU6/BTCG7</v>
      </c>
      <c r="R259" s="14">
        <f>'MKT DATA'!AB1942</f>
        <v>0</v>
      </c>
    </row>
    <row r="260" spans="5:18" x14ac:dyDescent="0.25">
      <c r="E260" s="44" t="str">
        <f>'MKT DATA'!B1943</f>
        <v>syn BTCV6/BTCZ6/BTCF7/BTCU6/BTCX6/BTCG7</v>
      </c>
      <c r="F260" s="14">
        <f>'MKT DATA'!J1943</f>
        <v>0</v>
      </c>
      <c r="G260" s="9">
        <f>'MKT DATA'!K1943</f>
        <v>0</v>
      </c>
      <c r="H260" s="9">
        <f>'MKT DATA'!L1943</f>
        <v>0</v>
      </c>
      <c r="I260" s="14">
        <f>'MKT DATA'!M1943</f>
        <v>0</v>
      </c>
      <c r="J260" s="44" t="str">
        <f t="shared" si="8"/>
        <v>syn BTCV6/BTCZ6/BTCF7/BTCU6/BTCX6/BTCG7</v>
      </c>
      <c r="K260" s="9">
        <f>'MKT DATA'!O1943</f>
        <v>0</v>
      </c>
      <c r="L260" s="9">
        <f>'MKT DATA'!P1943</f>
        <v>0</v>
      </c>
      <c r="M260" s="9">
        <f>'MKT DATA'!Q1943</f>
        <v>0</v>
      </c>
      <c r="N260" s="9">
        <f>'MKT DATA'!R1943</f>
        <v>0</v>
      </c>
      <c r="O260" s="9">
        <f>'MKT DATA'!S1943</f>
        <v>0</v>
      </c>
      <c r="P260" s="9">
        <f>'MKT DATA'!T1943</f>
        <v>0</v>
      </c>
      <c r="Q260" s="44" t="str">
        <f t="shared" si="9"/>
        <v>syn BTCV6/BTCZ6/BTCF7/BTCU6/BTCX6/BTCG7</v>
      </c>
      <c r="R260" s="14">
        <f>'MKT DATA'!AB1943</f>
        <v>0</v>
      </c>
    </row>
    <row r="261" spans="5:18" x14ac:dyDescent="0.25">
      <c r="E261" s="44" t="str">
        <f>'MKT DATA'!B1944</f>
        <v>syn BTCV6/BTCZ6/BTCF7/BTCX6/BTCU6/BTCG7</v>
      </c>
      <c r="F261" s="14">
        <f>'MKT DATA'!J1944</f>
        <v>0</v>
      </c>
      <c r="G261" s="9">
        <f>'MKT DATA'!K1944</f>
        <v>0</v>
      </c>
      <c r="H261" s="9">
        <f>'MKT DATA'!L1944</f>
        <v>0</v>
      </c>
      <c r="I261" s="14">
        <f>'MKT DATA'!M1944</f>
        <v>0</v>
      </c>
      <c r="J261" s="44" t="str">
        <f t="shared" si="8"/>
        <v>syn BTCV6/BTCZ6/BTCF7/BTCX6/BTCU6/BTCG7</v>
      </c>
      <c r="K261" s="9">
        <f>'MKT DATA'!O1944</f>
        <v>0</v>
      </c>
      <c r="L261" s="9">
        <f>'MKT DATA'!P1944</f>
        <v>0</v>
      </c>
      <c r="M261" s="9">
        <f>'MKT DATA'!Q1944</f>
        <v>0</v>
      </c>
      <c r="N261" s="9">
        <f>'MKT DATA'!R1944</f>
        <v>0</v>
      </c>
      <c r="O261" s="9">
        <f>'MKT DATA'!S1944</f>
        <v>0</v>
      </c>
      <c r="P261" s="9">
        <f>'MKT DATA'!T1944</f>
        <v>0</v>
      </c>
      <c r="Q261" s="44" t="str">
        <f t="shared" si="9"/>
        <v>syn BTCV6/BTCZ6/BTCF7/BTCX6/BTCU6/BTCG7</v>
      </c>
      <c r="R261" s="14">
        <f>'MKT DATA'!AB1944</f>
        <v>0</v>
      </c>
    </row>
    <row r="262" spans="5:18" x14ac:dyDescent="0.25">
      <c r="E262" s="44" t="str">
        <f>'MKT DATA'!B1945</f>
        <v>syn BTCV6/BTCF7/BTCU6/BTCX6/BTCZ6/BTCG7</v>
      </c>
      <c r="F262" s="14">
        <f>'MKT DATA'!J1945</f>
        <v>0</v>
      </c>
      <c r="G262" s="9">
        <f>'MKT DATA'!K1945</f>
        <v>0</v>
      </c>
      <c r="H262" s="9">
        <f>'MKT DATA'!L1945</f>
        <v>0</v>
      </c>
      <c r="I262" s="14">
        <f>'MKT DATA'!M1945</f>
        <v>0</v>
      </c>
      <c r="J262" s="44" t="str">
        <f t="shared" si="8"/>
        <v>syn BTCV6/BTCF7/BTCU6/BTCX6/BTCZ6/BTCG7</v>
      </c>
      <c r="K262" s="9">
        <f>'MKT DATA'!O1945</f>
        <v>0</v>
      </c>
      <c r="L262" s="9">
        <f>'MKT DATA'!P1945</f>
        <v>0</v>
      </c>
      <c r="M262" s="9">
        <f>'MKT DATA'!Q1945</f>
        <v>0</v>
      </c>
      <c r="N262" s="9">
        <f>'MKT DATA'!R1945</f>
        <v>0</v>
      </c>
      <c r="O262" s="9">
        <f>'MKT DATA'!S1945</f>
        <v>0</v>
      </c>
      <c r="P262" s="9">
        <f>'MKT DATA'!T1945</f>
        <v>0</v>
      </c>
      <c r="Q262" s="44" t="str">
        <f t="shared" si="9"/>
        <v>syn BTCV6/BTCF7/BTCU6/BTCX6/BTCZ6/BTCG7</v>
      </c>
      <c r="R262" s="14">
        <f>'MKT DATA'!AB1945</f>
        <v>0</v>
      </c>
    </row>
    <row r="263" spans="5:18" x14ac:dyDescent="0.25">
      <c r="E263" s="44" t="str">
        <f>'MKT DATA'!B1946</f>
        <v>syn BTCV6/BTCF7/BTCU6/BTCZ6/BTCX6/BTCG7</v>
      </c>
      <c r="F263" s="14">
        <f>'MKT DATA'!J1946</f>
        <v>0</v>
      </c>
      <c r="G263" s="9">
        <f>'MKT DATA'!K1946</f>
        <v>0</v>
      </c>
      <c r="H263" s="9">
        <f>'MKT DATA'!L1946</f>
        <v>0</v>
      </c>
      <c r="I263" s="14">
        <f>'MKT DATA'!M1946</f>
        <v>0</v>
      </c>
      <c r="J263" s="44" t="str">
        <f t="shared" si="8"/>
        <v>syn BTCV6/BTCF7/BTCU6/BTCZ6/BTCX6/BTCG7</v>
      </c>
      <c r="K263" s="9">
        <f>'MKT DATA'!O1946</f>
        <v>0</v>
      </c>
      <c r="L263" s="9">
        <f>'MKT DATA'!P1946</f>
        <v>0</v>
      </c>
      <c r="M263" s="9">
        <f>'MKT DATA'!Q1946</f>
        <v>0</v>
      </c>
      <c r="N263" s="9">
        <f>'MKT DATA'!R1946</f>
        <v>0</v>
      </c>
      <c r="O263" s="9">
        <f>'MKT DATA'!S1946</f>
        <v>0</v>
      </c>
      <c r="P263" s="9">
        <f>'MKT DATA'!T1946</f>
        <v>0</v>
      </c>
      <c r="Q263" s="44" t="str">
        <f t="shared" si="9"/>
        <v>syn BTCV6/BTCF7/BTCU6/BTCZ6/BTCX6/BTCG7</v>
      </c>
      <c r="R263" s="14">
        <f>'MKT DATA'!AB1946</f>
        <v>0</v>
      </c>
    </row>
    <row r="264" spans="5:18" x14ac:dyDescent="0.25">
      <c r="E264" s="44" t="str">
        <f>'MKT DATA'!B1947</f>
        <v>syn BTCV6/BTCF7/BTCX6/BTCU6/BTCZ6/BTCG7</v>
      </c>
      <c r="F264" s="14">
        <f>'MKT DATA'!J1947</f>
        <v>0</v>
      </c>
      <c r="G264" s="9">
        <f>'MKT DATA'!K1947</f>
        <v>0</v>
      </c>
      <c r="H264" s="9">
        <f>'MKT DATA'!L1947</f>
        <v>0</v>
      </c>
      <c r="I264" s="14">
        <f>'MKT DATA'!M1947</f>
        <v>0</v>
      </c>
      <c r="J264" s="44" t="str">
        <f t="shared" si="8"/>
        <v>syn BTCV6/BTCF7/BTCX6/BTCU6/BTCZ6/BTCG7</v>
      </c>
      <c r="K264" s="9">
        <f>'MKT DATA'!O1947</f>
        <v>0</v>
      </c>
      <c r="L264" s="9">
        <f>'MKT DATA'!P1947</f>
        <v>0</v>
      </c>
      <c r="M264" s="9">
        <f>'MKT DATA'!Q1947</f>
        <v>0</v>
      </c>
      <c r="N264" s="9">
        <f>'MKT DATA'!R1947</f>
        <v>0</v>
      </c>
      <c r="O264" s="9">
        <f>'MKT DATA'!S1947</f>
        <v>0</v>
      </c>
      <c r="P264" s="9">
        <f>'MKT DATA'!T1947</f>
        <v>0</v>
      </c>
      <c r="Q264" s="44" t="str">
        <f t="shared" si="9"/>
        <v>syn BTCV6/BTCF7/BTCX6/BTCU6/BTCZ6/BTCG7</v>
      </c>
      <c r="R264" s="14">
        <f>'MKT DATA'!AB1947</f>
        <v>0</v>
      </c>
    </row>
    <row r="265" spans="5:18" x14ac:dyDescent="0.25">
      <c r="E265" s="44" t="str">
        <f>'MKT DATA'!B1948</f>
        <v>syn BTCV6/BTCF7/BTCX6/BTCZ6/BTCU6/BTCG7</v>
      </c>
      <c r="F265" s="14">
        <f>'MKT DATA'!J1948</f>
        <v>0</v>
      </c>
      <c r="G265" s="9">
        <f>'MKT DATA'!K1948</f>
        <v>0</v>
      </c>
      <c r="H265" s="9">
        <f>'MKT DATA'!L1948</f>
        <v>0</v>
      </c>
      <c r="I265" s="14">
        <f>'MKT DATA'!M1948</f>
        <v>0</v>
      </c>
      <c r="J265" s="44" t="str">
        <f t="shared" si="8"/>
        <v>syn BTCV6/BTCF7/BTCX6/BTCZ6/BTCU6/BTCG7</v>
      </c>
      <c r="K265" s="9">
        <f>'MKT DATA'!O1948</f>
        <v>0</v>
      </c>
      <c r="L265" s="9">
        <f>'MKT DATA'!P1948</f>
        <v>0</v>
      </c>
      <c r="M265" s="9">
        <f>'MKT DATA'!Q1948</f>
        <v>0</v>
      </c>
      <c r="N265" s="9">
        <f>'MKT DATA'!R1948</f>
        <v>0</v>
      </c>
      <c r="O265" s="9">
        <f>'MKT DATA'!S1948</f>
        <v>0</v>
      </c>
      <c r="P265" s="9">
        <f>'MKT DATA'!T1948</f>
        <v>0</v>
      </c>
      <c r="Q265" s="44" t="str">
        <f t="shared" si="9"/>
        <v>syn BTCV6/BTCF7/BTCX6/BTCZ6/BTCU6/BTCG7</v>
      </c>
      <c r="R265" s="14">
        <f>'MKT DATA'!AB1948</f>
        <v>0</v>
      </c>
    </row>
    <row r="266" spans="5:18" x14ac:dyDescent="0.25">
      <c r="E266" s="44" t="str">
        <f>'MKT DATA'!B1949</f>
        <v>syn BTCV6/BTCF7/BTCZ6/BTCU6/BTCX6/BTCG7</v>
      </c>
      <c r="F266" s="14">
        <f>'MKT DATA'!J1949</f>
        <v>0</v>
      </c>
      <c r="G266" s="9">
        <f>'MKT DATA'!K1949</f>
        <v>0</v>
      </c>
      <c r="H266" s="9">
        <f>'MKT DATA'!L1949</f>
        <v>0</v>
      </c>
      <c r="I266" s="14">
        <f>'MKT DATA'!M1949</f>
        <v>0</v>
      </c>
      <c r="J266" s="44" t="str">
        <f t="shared" ref="J266:J329" si="10">E266</f>
        <v>syn BTCV6/BTCF7/BTCZ6/BTCU6/BTCX6/BTCG7</v>
      </c>
      <c r="K266" s="9">
        <f>'MKT DATA'!O1949</f>
        <v>0</v>
      </c>
      <c r="L266" s="9">
        <f>'MKT DATA'!P1949</f>
        <v>0</v>
      </c>
      <c r="M266" s="9">
        <f>'MKT DATA'!Q1949</f>
        <v>0</v>
      </c>
      <c r="N266" s="9">
        <f>'MKT DATA'!R1949</f>
        <v>0</v>
      </c>
      <c r="O266" s="9">
        <f>'MKT DATA'!S1949</f>
        <v>0</v>
      </c>
      <c r="P266" s="9">
        <f>'MKT DATA'!T1949</f>
        <v>0</v>
      </c>
      <c r="Q266" s="44" t="str">
        <f t="shared" ref="Q266:Q329" si="11">J266</f>
        <v>syn BTCV6/BTCF7/BTCZ6/BTCU6/BTCX6/BTCG7</v>
      </c>
      <c r="R266" s="14">
        <f>'MKT DATA'!AB1949</f>
        <v>0</v>
      </c>
    </row>
    <row r="267" spans="5:18" x14ac:dyDescent="0.25">
      <c r="E267" s="44" t="str">
        <f>'MKT DATA'!B1950</f>
        <v>syn BTCV6/BTCF7/BTCZ6/BTCX6/BTCU6/BTCG7</v>
      </c>
      <c r="F267" s="14">
        <f>'MKT DATA'!J1950</f>
        <v>0</v>
      </c>
      <c r="G267" s="9">
        <f>'MKT DATA'!K1950</f>
        <v>0</v>
      </c>
      <c r="H267" s="9">
        <f>'MKT DATA'!L1950</f>
        <v>0</v>
      </c>
      <c r="I267" s="14">
        <f>'MKT DATA'!M1950</f>
        <v>0</v>
      </c>
      <c r="J267" s="44" t="str">
        <f t="shared" si="10"/>
        <v>syn BTCV6/BTCF7/BTCZ6/BTCX6/BTCU6/BTCG7</v>
      </c>
      <c r="K267" s="9">
        <f>'MKT DATA'!O1950</f>
        <v>0</v>
      </c>
      <c r="L267" s="9">
        <f>'MKT DATA'!P1950</f>
        <v>0</v>
      </c>
      <c r="M267" s="9">
        <f>'MKT DATA'!Q1950</f>
        <v>0</v>
      </c>
      <c r="N267" s="9">
        <f>'MKT DATA'!R1950</f>
        <v>0</v>
      </c>
      <c r="O267" s="9">
        <f>'MKT DATA'!S1950</f>
        <v>0</v>
      </c>
      <c r="P267" s="9">
        <f>'MKT DATA'!T1950</f>
        <v>0</v>
      </c>
      <c r="Q267" s="44" t="str">
        <f t="shared" si="11"/>
        <v>syn BTCV6/BTCF7/BTCZ6/BTCX6/BTCU6/BTCG7</v>
      </c>
      <c r="R267" s="14">
        <f>'MKT DATA'!AB1950</f>
        <v>0</v>
      </c>
    </row>
    <row r="268" spans="5:18" x14ac:dyDescent="0.25">
      <c r="E268" s="44" t="str">
        <f>'MKT DATA'!B1951</f>
        <v>syn BTCX6/BTCU6/BTCV6/BTCZ6/BTCF7/BTCG7</v>
      </c>
      <c r="F268" s="14">
        <f>'MKT DATA'!J1951</f>
        <v>0</v>
      </c>
      <c r="G268" s="9">
        <f>'MKT DATA'!K1951</f>
        <v>0</v>
      </c>
      <c r="H268" s="9">
        <f>'MKT DATA'!L1951</f>
        <v>0</v>
      </c>
      <c r="I268" s="14">
        <f>'MKT DATA'!M1951</f>
        <v>0</v>
      </c>
      <c r="J268" s="44" t="str">
        <f t="shared" si="10"/>
        <v>syn BTCX6/BTCU6/BTCV6/BTCZ6/BTCF7/BTCG7</v>
      </c>
      <c r="K268" s="9">
        <f>'MKT DATA'!O1951</f>
        <v>0</v>
      </c>
      <c r="L268" s="9">
        <f>'MKT DATA'!P1951</f>
        <v>0</v>
      </c>
      <c r="M268" s="9">
        <f>'MKT DATA'!Q1951</f>
        <v>0</v>
      </c>
      <c r="N268" s="9">
        <f>'MKT DATA'!R1951</f>
        <v>0</v>
      </c>
      <c r="O268" s="9">
        <f>'MKT DATA'!S1951</f>
        <v>0</v>
      </c>
      <c r="P268" s="9">
        <f>'MKT DATA'!T1951</f>
        <v>0</v>
      </c>
      <c r="Q268" s="44" t="str">
        <f t="shared" si="11"/>
        <v>syn BTCX6/BTCU6/BTCV6/BTCZ6/BTCF7/BTCG7</v>
      </c>
      <c r="R268" s="14">
        <f>'MKT DATA'!AB1951</f>
        <v>0</v>
      </c>
    </row>
    <row r="269" spans="5:18" x14ac:dyDescent="0.25">
      <c r="E269" s="44" t="str">
        <f>'MKT DATA'!B1952</f>
        <v>syn BTCX6/BTCU6/BTCV6/BTCF7/BTCZ6/BTCG7</v>
      </c>
      <c r="F269" s="14">
        <f>'MKT DATA'!J1952</f>
        <v>0</v>
      </c>
      <c r="G269" s="9">
        <f>'MKT DATA'!K1952</f>
        <v>0</v>
      </c>
      <c r="H269" s="9">
        <f>'MKT DATA'!L1952</f>
        <v>0</v>
      </c>
      <c r="I269" s="14">
        <f>'MKT DATA'!M1952</f>
        <v>0</v>
      </c>
      <c r="J269" s="44" t="str">
        <f t="shared" si="10"/>
        <v>syn BTCX6/BTCU6/BTCV6/BTCF7/BTCZ6/BTCG7</v>
      </c>
      <c r="K269" s="9">
        <f>'MKT DATA'!O1952</f>
        <v>0</v>
      </c>
      <c r="L269" s="9">
        <f>'MKT DATA'!P1952</f>
        <v>0</v>
      </c>
      <c r="M269" s="9">
        <f>'MKT DATA'!Q1952</f>
        <v>0</v>
      </c>
      <c r="N269" s="9">
        <f>'MKT DATA'!R1952</f>
        <v>0</v>
      </c>
      <c r="O269" s="9">
        <f>'MKT DATA'!S1952</f>
        <v>0</v>
      </c>
      <c r="P269" s="9">
        <f>'MKT DATA'!T1952</f>
        <v>0</v>
      </c>
      <c r="Q269" s="44" t="str">
        <f t="shared" si="11"/>
        <v>syn BTCX6/BTCU6/BTCV6/BTCF7/BTCZ6/BTCG7</v>
      </c>
      <c r="R269" s="14">
        <f>'MKT DATA'!AB1952</f>
        <v>0</v>
      </c>
    </row>
    <row r="270" spans="5:18" x14ac:dyDescent="0.25">
      <c r="E270" s="44" t="str">
        <f>'MKT DATA'!B1953</f>
        <v>syn BTCX6/BTCU6/BTCZ6/BTCV6/BTCF7/BTCG7</v>
      </c>
      <c r="F270" s="14">
        <f>'MKT DATA'!J1953</f>
        <v>0</v>
      </c>
      <c r="G270" s="9">
        <f>'MKT DATA'!K1953</f>
        <v>0</v>
      </c>
      <c r="H270" s="9">
        <f>'MKT DATA'!L1953</f>
        <v>0</v>
      </c>
      <c r="I270" s="14">
        <f>'MKT DATA'!M1953</f>
        <v>0</v>
      </c>
      <c r="J270" s="44" t="str">
        <f t="shared" si="10"/>
        <v>syn BTCX6/BTCU6/BTCZ6/BTCV6/BTCF7/BTCG7</v>
      </c>
      <c r="K270" s="9">
        <f>'MKT DATA'!O1953</f>
        <v>0</v>
      </c>
      <c r="L270" s="9">
        <f>'MKT DATA'!P1953</f>
        <v>0</v>
      </c>
      <c r="M270" s="9">
        <f>'MKT DATA'!Q1953</f>
        <v>0</v>
      </c>
      <c r="N270" s="9">
        <f>'MKT DATA'!R1953</f>
        <v>0</v>
      </c>
      <c r="O270" s="9">
        <f>'MKT DATA'!S1953</f>
        <v>0</v>
      </c>
      <c r="P270" s="9">
        <f>'MKT DATA'!T1953</f>
        <v>0</v>
      </c>
      <c r="Q270" s="44" t="str">
        <f t="shared" si="11"/>
        <v>syn BTCX6/BTCU6/BTCZ6/BTCV6/BTCF7/BTCG7</v>
      </c>
      <c r="R270" s="14">
        <f>'MKT DATA'!AB1953</f>
        <v>0</v>
      </c>
    </row>
    <row r="271" spans="5:18" x14ac:dyDescent="0.25">
      <c r="E271" s="44" t="str">
        <f>'MKT DATA'!B1954</f>
        <v>syn BTCX6/BTCU6/BTCZ6/BTCF7/BTCV6/BTCG7</v>
      </c>
      <c r="F271" s="14">
        <f>'MKT DATA'!J1954</f>
        <v>0</v>
      </c>
      <c r="G271" s="9">
        <f>'MKT DATA'!K1954</f>
        <v>0</v>
      </c>
      <c r="H271" s="9">
        <f>'MKT DATA'!L1954</f>
        <v>0</v>
      </c>
      <c r="I271" s="14">
        <f>'MKT DATA'!M1954</f>
        <v>0</v>
      </c>
      <c r="J271" s="44" t="str">
        <f t="shared" si="10"/>
        <v>syn BTCX6/BTCU6/BTCZ6/BTCF7/BTCV6/BTCG7</v>
      </c>
      <c r="K271" s="9">
        <f>'MKT DATA'!O1954</f>
        <v>0</v>
      </c>
      <c r="L271" s="9">
        <f>'MKT DATA'!P1954</f>
        <v>0</v>
      </c>
      <c r="M271" s="9">
        <f>'MKT DATA'!Q1954</f>
        <v>0</v>
      </c>
      <c r="N271" s="9">
        <f>'MKT DATA'!R1954</f>
        <v>0</v>
      </c>
      <c r="O271" s="9">
        <f>'MKT DATA'!S1954</f>
        <v>0</v>
      </c>
      <c r="P271" s="9">
        <f>'MKT DATA'!T1954</f>
        <v>0</v>
      </c>
      <c r="Q271" s="44" t="str">
        <f t="shared" si="11"/>
        <v>syn BTCX6/BTCU6/BTCZ6/BTCF7/BTCV6/BTCG7</v>
      </c>
      <c r="R271" s="14">
        <f>'MKT DATA'!AB1954</f>
        <v>0</v>
      </c>
    </row>
    <row r="272" spans="5:18" x14ac:dyDescent="0.25">
      <c r="E272" s="44" t="str">
        <f>'MKT DATA'!B1955</f>
        <v>syn BTCX6/BTCU6/BTCF7/BTCV6/BTCZ6/BTCG7</v>
      </c>
      <c r="F272" s="14">
        <f>'MKT DATA'!J1955</f>
        <v>0</v>
      </c>
      <c r="G272" s="9">
        <f>'MKT DATA'!K1955</f>
        <v>0</v>
      </c>
      <c r="H272" s="9">
        <f>'MKT DATA'!L1955</f>
        <v>0</v>
      </c>
      <c r="I272" s="14">
        <f>'MKT DATA'!M1955</f>
        <v>0</v>
      </c>
      <c r="J272" s="44" t="str">
        <f t="shared" si="10"/>
        <v>syn BTCX6/BTCU6/BTCF7/BTCV6/BTCZ6/BTCG7</v>
      </c>
      <c r="K272" s="9">
        <f>'MKT DATA'!O1955</f>
        <v>0</v>
      </c>
      <c r="L272" s="9">
        <f>'MKT DATA'!P1955</f>
        <v>0</v>
      </c>
      <c r="M272" s="9">
        <f>'MKT DATA'!Q1955</f>
        <v>0</v>
      </c>
      <c r="N272" s="9">
        <f>'MKT DATA'!R1955</f>
        <v>0</v>
      </c>
      <c r="O272" s="9">
        <f>'MKT DATA'!S1955</f>
        <v>0</v>
      </c>
      <c r="P272" s="9">
        <f>'MKT DATA'!T1955</f>
        <v>0</v>
      </c>
      <c r="Q272" s="44" t="str">
        <f t="shared" si="11"/>
        <v>syn BTCX6/BTCU6/BTCF7/BTCV6/BTCZ6/BTCG7</v>
      </c>
      <c r="R272" s="14">
        <f>'MKT DATA'!AB1955</f>
        <v>0</v>
      </c>
    </row>
    <row r="273" spans="5:18" x14ac:dyDescent="0.25">
      <c r="E273" s="44" t="str">
        <f>'MKT DATA'!B1956</f>
        <v>syn BTCX6/BTCU6/BTCF7/BTCZ6/BTCV6/BTCG7</v>
      </c>
      <c r="F273" s="14">
        <f>'MKT DATA'!J1956</f>
        <v>0</v>
      </c>
      <c r="G273" s="9">
        <f>'MKT DATA'!K1956</f>
        <v>0</v>
      </c>
      <c r="H273" s="9">
        <f>'MKT DATA'!L1956</f>
        <v>0</v>
      </c>
      <c r="I273" s="14">
        <f>'MKT DATA'!M1956</f>
        <v>0</v>
      </c>
      <c r="J273" s="44" t="str">
        <f t="shared" si="10"/>
        <v>syn BTCX6/BTCU6/BTCF7/BTCZ6/BTCV6/BTCG7</v>
      </c>
      <c r="K273" s="9">
        <f>'MKT DATA'!O1956</f>
        <v>0</v>
      </c>
      <c r="L273" s="9">
        <f>'MKT DATA'!P1956</f>
        <v>0</v>
      </c>
      <c r="M273" s="9">
        <f>'MKT DATA'!Q1956</f>
        <v>0</v>
      </c>
      <c r="N273" s="9">
        <f>'MKT DATA'!R1956</f>
        <v>0</v>
      </c>
      <c r="O273" s="9">
        <f>'MKT DATA'!S1956</f>
        <v>0</v>
      </c>
      <c r="P273" s="9">
        <f>'MKT DATA'!T1956</f>
        <v>0</v>
      </c>
      <c r="Q273" s="44" t="str">
        <f t="shared" si="11"/>
        <v>syn BTCX6/BTCU6/BTCF7/BTCZ6/BTCV6/BTCG7</v>
      </c>
      <c r="R273" s="14">
        <f>'MKT DATA'!AB1956</f>
        <v>0</v>
      </c>
    </row>
    <row r="274" spans="5:18" x14ac:dyDescent="0.25">
      <c r="E274" s="44" t="str">
        <f>'MKT DATA'!B1957</f>
        <v>syn BTCX6/BTCV6/BTCU6/BTCZ6/BTCF7/BTCG7</v>
      </c>
      <c r="F274" s="14">
        <f>'MKT DATA'!J1957</f>
        <v>0</v>
      </c>
      <c r="G274" s="9">
        <f>'MKT DATA'!K1957</f>
        <v>0</v>
      </c>
      <c r="H274" s="9">
        <f>'MKT DATA'!L1957</f>
        <v>0</v>
      </c>
      <c r="I274" s="14">
        <f>'MKT DATA'!M1957</f>
        <v>0</v>
      </c>
      <c r="J274" s="44" t="str">
        <f t="shared" si="10"/>
        <v>syn BTCX6/BTCV6/BTCU6/BTCZ6/BTCF7/BTCG7</v>
      </c>
      <c r="K274" s="9">
        <f>'MKT DATA'!O1957</f>
        <v>0</v>
      </c>
      <c r="L274" s="9">
        <f>'MKT DATA'!P1957</f>
        <v>0</v>
      </c>
      <c r="M274" s="9">
        <f>'MKT DATA'!Q1957</f>
        <v>0</v>
      </c>
      <c r="N274" s="9">
        <f>'MKT DATA'!R1957</f>
        <v>0</v>
      </c>
      <c r="O274" s="9">
        <f>'MKT DATA'!S1957</f>
        <v>0</v>
      </c>
      <c r="P274" s="9">
        <f>'MKT DATA'!T1957</f>
        <v>0</v>
      </c>
      <c r="Q274" s="44" t="str">
        <f t="shared" si="11"/>
        <v>syn BTCX6/BTCV6/BTCU6/BTCZ6/BTCF7/BTCG7</v>
      </c>
      <c r="R274" s="14">
        <f>'MKT DATA'!AB1957</f>
        <v>0</v>
      </c>
    </row>
    <row r="275" spans="5:18" x14ac:dyDescent="0.25">
      <c r="E275" s="44" t="str">
        <f>'MKT DATA'!B1958</f>
        <v>syn BTCX6/BTCV6/BTCU6/BTCF7/BTCZ6/BTCG7</v>
      </c>
      <c r="F275" s="14">
        <f>'MKT DATA'!J1958</f>
        <v>0</v>
      </c>
      <c r="G275" s="9">
        <f>'MKT DATA'!K1958</f>
        <v>0</v>
      </c>
      <c r="H275" s="9">
        <f>'MKT DATA'!L1958</f>
        <v>0</v>
      </c>
      <c r="I275" s="14">
        <f>'MKT DATA'!M1958</f>
        <v>0</v>
      </c>
      <c r="J275" s="44" t="str">
        <f t="shared" si="10"/>
        <v>syn BTCX6/BTCV6/BTCU6/BTCF7/BTCZ6/BTCG7</v>
      </c>
      <c r="K275" s="9">
        <f>'MKT DATA'!O1958</f>
        <v>0</v>
      </c>
      <c r="L275" s="9">
        <f>'MKT DATA'!P1958</f>
        <v>0</v>
      </c>
      <c r="M275" s="9">
        <f>'MKT DATA'!Q1958</f>
        <v>0</v>
      </c>
      <c r="N275" s="9">
        <f>'MKT DATA'!R1958</f>
        <v>0</v>
      </c>
      <c r="O275" s="9">
        <f>'MKT DATA'!S1958</f>
        <v>0</v>
      </c>
      <c r="P275" s="9">
        <f>'MKT DATA'!T1958</f>
        <v>0</v>
      </c>
      <c r="Q275" s="44" t="str">
        <f t="shared" si="11"/>
        <v>syn BTCX6/BTCV6/BTCU6/BTCF7/BTCZ6/BTCG7</v>
      </c>
      <c r="R275" s="14">
        <f>'MKT DATA'!AB1958</f>
        <v>0</v>
      </c>
    </row>
    <row r="276" spans="5:18" x14ac:dyDescent="0.25">
      <c r="E276" s="44" t="str">
        <f>'MKT DATA'!B1959</f>
        <v>syn BTCX6/BTCV6/BTCZ6/BTCU6/BTCF7/BTCG7</v>
      </c>
      <c r="F276" s="14">
        <f>'MKT DATA'!J1959</f>
        <v>0</v>
      </c>
      <c r="G276" s="9">
        <f>'MKT DATA'!K1959</f>
        <v>0</v>
      </c>
      <c r="H276" s="9">
        <f>'MKT DATA'!L1959</f>
        <v>0</v>
      </c>
      <c r="I276" s="14">
        <f>'MKT DATA'!M1959</f>
        <v>0</v>
      </c>
      <c r="J276" s="44" t="str">
        <f t="shared" si="10"/>
        <v>syn BTCX6/BTCV6/BTCZ6/BTCU6/BTCF7/BTCG7</v>
      </c>
      <c r="K276" s="9">
        <f>'MKT DATA'!O1959</f>
        <v>0</v>
      </c>
      <c r="L276" s="9">
        <f>'MKT DATA'!P1959</f>
        <v>0</v>
      </c>
      <c r="M276" s="9">
        <f>'MKT DATA'!Q1959</f>
        <v>0</v>
      </c>
      <c r="N276" s="9">
        <f>'MKT DATA'!R1959</f>
        <v>0</v>
      </c>
      <c r="O276" s="9">
        <f>'MKT DATA'!S1959</f>
        <v>0</v>
      </c>
      <c r="P276" s="9">
        <f>'MKT DATA'!T1959</f>
        <v>0</v>
      </c>
      <c r="Q276" s="44" t="str">
        <f t="shared" si="11"/>
        <v>syn BTCX6/BTCV6/BTCZ6/BTCU6/BTCF7/BTCG7</v>
      </c>
      <c r="R276" s="14">
        <f>'MKT DATA'!AB1959</f>
        <v>0</v>
      </c>
    </row>
    <row r="277" spans="5:18" x14ac:dyDescent="0.25">
      <c r="E277" s="44" t="str">
        <f>'MKT DATA'!B1960</f>
        <v>syn BTCX6/BTCV6/BTCZ6/BTCF7/BTCU6/BTCG7</v>
      </c>
      <c r="F277" s="14">
        <f>'MKT DATA'!J1960</f>
        <v>0</v>
      </c>
      <c r="G277" s="9">
        <f>'MKT DATA'!K1960</f>
        <v>0</v>
      </c>
      <c r="H277" s="9">
        <f>'MKT DATA'!L1960</f>
        <v>0</v>
      </c>
      <c r="I277" s="14">
        <f>'MKT DATA'!M1960</f>
        <v>0</v>
      </c>
      <c r="J277" s="44" t="str">
        <f t="shared" si="10"/>
        <v>syn BTCX6/BTCV6/BTCZ6/BTCF7/BTCU6/BTCG7</v>
      </c>
      <c r="K277" s="9">
        <f>'MKT DATA'!O1960</f>
        <v>0</v>
      </c>
      <c r="L277" s="9">
        <f>'MKT DATA'!P1960</f>
        <v>0</v>
      </c>
      <c r="M277" s="9">
        <f>'MKT DATA'!Q1960</f>
        <v>0</v>
      </c>
      <c r="N277" s="9">
        <f>'MKT DATA'!R1960</f>
        <v>0</v>
      </c>
      <c r="O277" s="9">
        <f>'MKT DATA'!S1960</f>
        <v>0</v>
      </c>
      <c r="P277" s="9">
        <f>'MKT DATA'!T1960</f>
        <v>0</v>
      </c>
      <c r="Q277" s="44" t="str">
        <f t="shared" si="11"/>
        <v>syn BTCX6/BTCV6/BTCZ6/BTCF7/BTCU6/BTCG7</v>
      </c>
      <c r="R277" s="14">
        <f>'MKT DATA'!AB1960</f>
        <v>0</v>
      </c>
    </row>
    <row r="278" spans="5:18" x14ac:dyDescent="0.25">
      <c r="E278" s="44" t="str">
        <f>'MKT DATA'!B1961</f>
        <v>syn BTCX6/BTCV6/BTCF7/BTCU6/BTCZ6/BTCG7</v>
      </c>
      <c r="F278" s="14">
        <f>'MKT DATA'!J1961</f>
        <v>0</v>
      </c>
      <c r="G278" s="9">
        <f>'MKT DATA'!K1961</f>
        <v>0</v>
      </c>
      <c r="H278" s="9">
        <f>'MKT DATA'!L1961</f>
        <v>0</v>
      </c>
      <c r="I278" s="14">
        <f>'MKT DATA'!M1961</f>
        <v>0</v>
      </c>
      <c r="J278" s="44" t="str">
        <f t="shared" si="10"/>
        <v>syn BTCX6/BTCV6/BTCF7/BTCU6/BTCZ6/BTCG7</v>
      </c>
      <c r="K278" s="9">
        <f>'MKT DATA'!O1961</f>
        <v>0</v>
      </c>
      <c r="L278" s="9">
        <f>'MKT DATA'!P1961</f>
        <v>0</v>
      </c>
      <c r="M278" s="9">
        <f>'MKT DATA'!Q1961</f>
        <v>0</v>
      </c>
      <c r="N278" s="9">
        <f>'MKT DATA'!R1961</f>
        <v>0</v>
      </c>
      <c r="O278" s="9">
        <f>'MKT DATA'!S1961</f>
        <v>0</v>
      </c>
      <c r="P278" s="9">
        <f>'MKT DATA'!T1961</f>
        <v>0</v>
      </c>
      <c r="Q278" s="44" t="str">
        <f t="shared" si="11"/>
        <v>syn BTCX6/BTCV6/BTCF7/BTCU6/BTCZ6/BTCG7</v>
      </c>
      <c r="R278" s="14">
        <f>'MKT DATA'!AB1961</f>
        <v>0</v>
      </c>
    </row>
    <row r="279" spans="5:18" x14ac:dyDescent="0.25">
      <c r="E279" s="44" t="str">
        <f>'MKT DATA'!B1962</f>
        <v>syn BTCX6/BTCV6/BTCF7/BTCZ6/BTCU6/BTCG7</v>
      </c>
      <c r="F279" s="14">
        <f>'MKT DATA'!J1962</f>
        <v>0</v>
      </c>
      <c r="G279" s="9">
        <f>'MKT DATA'!K1962</f>
        <v>0</v>
      </c>
      <c r="H279" s="9">
        <f>'MKT DATA'!L1962</f>
        <v>0</v>
      </c>
      <c r="I279" s="14">
        <f>'MKT DATA'!M1962</f>
        <v>0</v>
      </c>
      <c r="J279" s="44" t="str">
        <f t="shared" si="10"/>
        <v>syn BTCX6/BTCV6/BTCF7/BTCZ6/BTCU6/BTCG7</v>
      </c>
      <c r="K279" s="9">
        <f>'MKT DATA'!O1962</f>
        <v>0</v>
      </c>
      <c r="L279" s="9">
        <f>'MKT DATA'!P1962</f>
        <v>0</v>
      </c>
      <c r="M279" s="9">
        <f>'MKT DATA'!Q1962</f>
        <v>0</v>
      </c>
      <c r="N279" s="9">
        <f>'MKT DATA'!R1962</f>
        <v>0</v>
      </c>
      <c r="O279" s="9">
        <f>'MKT DATA'!S1962</f>
        <v>0</v>
      </c>
      <c r="P279" s="9">
        <f>'MKT DATA'!T1962</f>
        <v>0</v>
      </c>
      <c r="Q279" s="44" t="str">
        <f t="shared" si="11"/>
        <v>syn BTCX6/BTCV6/BTCF7/BTCZ6/BTCU6/BTCG7</v>
      </c>
      <c r="R279" s="14">
        <f>'MKT DATA'!AB1962</f>
        <v>0</v>
      </c>
    </row>
    <row r="280" spans="5:18" x14ac:dyDescent="0.25">
      <c r="E280" s="44" t="str">
        <f>'MKT DATA'!B1963</f>
        <v>syn BTCX6/BTCZ6/BTCU6/BTCV6/BTCF7/BTCG7</v>
      </c>
      <c r="F280" s="14">
        <f>'MKT DATA'!J1963</f>
        <v>0</v>
      </c>
      <c r="G280" s="9">
        <f>'MKT DATA'!K1963</f>
        <v>0</v>
      </c>
      <c r="H280" s="9">
        <f>'MKT DATA'!L1963</f>
        <v>0</v>
      </c>
      <c r="I280" s="14">
        <f>'MKT DATA'!M1963</f>
        <v>0</v>
      </c>
      <c r="J280" s="44" t="str">
        <f t="shared" si="10"/>
        <v>syn BTCX6/BTCZ6/BTCU6/BTCV6/BTCF7/BTCG7</v>
      </c>
      <c r="K280" s="9">
        <f>'MKT DATA'!O1963</f>
        <v>0</v>
      </c>
      <c r="L280" s="9">
        <f>'MKT DATA'!P1963</f>
        <v>0</v>
      </c>
      <c r="M280" s="9">
        <f>'MKT DATA'!Q1963</f>
        <v>0</v>
      </c>
      <c r="N280" s="9">
        <f>'MKT DATA'!R1963</f>
        <v>0</v>
      </c>
      <c r="O280" s="9">
        <f>'MKT DATA'!S1963</f>
        <v>0</v>
      </c>
      <c r="P280" s="9">
        <f>'MKT DATA'!T1963</f>
        <v>0</v>
      </c>
      <c r="Q280" s="44" t="str">
        <f t="shared" si="11"/>
        <v>syn BTCX6/BTCZ6/BTCU6/BTCV6/BTCF7/BTCG7</v>
      </c>
      <c r="R280" s="14">
        <f>'MKT DATA'!AB1963</f>
        <v>0</v>
      </c>
    </row>
    <row r="281" spans="5:18" x14ac:dyDescent="0.25">
      <c r="E281" s="44" t="str">
        <f>'MKT DATA'!B1964</f>
        <v>syn BTCX6/BTCZ6/BTCU6/BTCF7/BTCV6/BTCG7</v>
      </c>
      <c r="F281" s="14">
        <f>'MKT DATA'!J1964</f>
        <v>0</v>
      </c>
      <c r="G281" s="9">
        <f>'MKT DATA'!K1964</f>
        <v>0</v>
      </c>
      <c r="H281" s="9">
        <f>'MKT DATA'!L1964</f>
        <v>0</v>
      </c>
      <c r="I281" s="14">
        <f>'MKT DATA'!M1964</f>
        <v>0</v>
      </c>
      <c r="J281" s="44" t="str">
        <f t="shared" si="10"/>
        <v>syn BTCX6/BTCZ6/BTCU6/BTCF7/BTCV6/BTCG7</v>
      </c>
      <c r="K281" s="9">
        <f>'MKT DATA'!O1964</f>
        <v>0</v>
      </c>
      <c r="L281" s="9">
        <f>'MKT DATA'!P1964</f>
        <v>0</v>
      </c>
      <c r="M281" s="9">
        <f>'MKT DATA'!Q1964</f>
        <v>0</v>
      </c>
      <c r="N281" s="9">
        <f>'MKT DATA'!R1964</f>
        <v>0</v>
      </c>
      <c r="O281" s="9">
        <f>'MKT DATA'!S1964</f>
        <v>0</v>
      </c>
      <c r="P281" s="9">
        <f>'MKT DATA'!T1964</f>
        <v>0</v>
      </c>
      <c r="Q281" s="44" t="str">
        <f t="shared" si="11"/>
        <v>syn BTCX6/BTCZ6/BTCU6/BTCF7/BTCV6/BTCG7</v>
      </c>
      <c r="R281" s="14">
        <f>'MKT DATA'!AB1964</f>
        <v>0</v>
      </c>
    </row>
    <row r="282" spans="5:18" x14ac:dyDescent="0.25">
      <c r="E282" s="44" t="str">
        <f>'MKT DATA'!B1965</f>
        <v>syn BTCX6/BTCZ6/BTCV6/BTCU6/BTCF7/BTCG7</v>
      </c>
      <c r="F282" s="14">
        <f>'MKT DATA'!J1965</f>
        <v>0</v>
      </c>
      <c r="G282" s="9">
        <f>'MKT DATA'!K1965</f>
        <v>0</v>
      </c>
      <c r="H282" s="9">
        <f>'MKT DATA'!L1965</f>
        <v>0</v>
      </c>
      <c r="I282" s="14">
        <f>'MKT DATA'!M1965</f>
        <v>0</v>
      </c>
      <c r="J282" s="44" t="str">
        <f t="shared" si="10"/>
        <v>syn BTCX6/BTCZ6/BTCV6/BTCU6/BTCF7/BTCG7</v>
      </c>
      <c r="K282" s="9">
        <f>'MKT DATA'!O1965</f>
        <v>0</v>
      </c>
      <c r="L282" s="9">
        <f>'MKT DATA'!P1965</f>
        <v>0</v>
      </c>
      <c r="M282" s="9">
        <f>'MKT DATA'!Q1965</f>
        <v>0</v>
      </c>
      <c r="N282" s="9">
        <f>'MKT DATA'!R1965</f>
        <v>0</v>
      </c>
      <c r="O282" s="9">
        <f>'MKT DATA'!S1965</f>
        <v>0</v>
      </c>
      <c r="P282" s="9">
        <f>'MKT DATA'!T1965</f>
        <v>0</v>
      </c>
      <c r="Q282" s="44" t="str">
        <f t="shared" si="11"/>
        <v>syn BTCX6/BTCZ6/BTCV6/BTCU6/BTCF7/BTCG7</v>
      </c>
      <c r="R282" s="14">
        <f>'MKT DATA'!AB1965</f>
        <v>0</v>
      </c>
    </row>
    <row r="283" spans="5:18" x14ac:dyDescent="0.25">
      <c r="E283" s="44" t="str">
        <f>'MKT DATA'!B1966</f>
        <v>syn BTCX6/BTCZ6/BTCV6/BTCF7/BTCU6/BTCG7</v>
      </c>
      <c r="F283" s="14">
        <f>'MKT DATA'!J1966</f>
        <v>0</v>
      </c>
      <c r="G283" s="9">
        <f>'MKT DATA'!K1966</f>
        <v>0</v>
      </c>
      <c r="H283" s="9">
        <f>'MKT DATA'!L1966</f>
        <v>0</v>
      </c>
      <c r="I283" s="14">
        <f>'MKT DATA'!M1966</f>
        <v>0</v>
      </c>
      <c r="J283" s="44" t="str">
        <f t="shared" si="10"/>
        <v>syn BTCX6/BTCZ6/BTCV6/BTCF7/BTCU6/BTCG7</v>
      </c>
      <c r="K283" s="9">
        <f>'MKT DATA'!O1966</f>
        <v>0</v>
      </c>
      <c r="L283" s="9">
        <f>'MKT DATA'!P1966</f>
        <v>0</v>
      </c>
      <c r="M283" s="9">
        <f>'MKT DATA'!Q1966</f>
        <v>0</v>
      </c>
      <c r="N283" s="9">
        <f>'MKT DATA'!R1966</f>
        <v>0</v>
      </c>
      <c r="O283" s="9">
        <f>'MKT DATA'!S1966</f>
        <v>0</v>
      </c>
      <c r="P283" s="9">
        <f>'MKT DATA'!T1966</f>
        <v>0</v>
      </c>
      <c r="Q283" s="44" t="str">
        <f t="shared" si="11"/>
        <v>syn BTCX6/BTCZ6/BTCV6/BTCF7/BTCU6/BTCG7</v>
      </c>
      <c r="R283" s="14">
        <f>'MKT DATA'!AB1966</f>
        <v>0</v>
      </c>
    </row>
    <row r="284" spans="5:18" x14ac:dyDescent="0.25">
      <c r="E284" s="44" t="str">
        <f>'MKT DATA'!B1967</f>
        <v>syn BTCX6/BTCZ6/BTCF7/BTCU6/BTCV6/BTCG7</v>
      </c>
      <c r="F284" s="14">
        <f>'MKT DATA'!J1967</f>
        <v>0</v>
      </c>
      <c r="G284" s="9">
        <f>'MKT DATA'!K1967</f>
        <v>0</v>
      </c>
      <c r="H284" s="9">
        <f>'MKT DATA'!L1967</f>
        <v>0</v>
      </c>
      <c r="I284" s="14">
        <f>'MKT DATA'!M1967</f>
        <v>0</v>
      </c>
      <c r="J284" s="44" t="str">
        <f t="shared" si="10"/>
        <v>syn BTCX6/BTCZ6/BTCF7/BTCU6/BTCV6/BTCG7</v>
      </c>
      <c r="K284" s="9">
        <f>'MKT DATA'!O1967</f>
        <v>0</v>
      </c>
      <c r="L284" s="9">
        <f>'MKT DATA'!P1967</f>
        <v>0</v>
      </c>
      <c r="M284" s="9">
        <f>'MKT DATA'!Q1967</f>
        <v>0</v>
      </c>
      <c r="N284" s="9">
        <f>'MKT DATA'!R1967</f>
        <v>0</v>
      </c>
      <c r="O284" s="9">
        <f>'MKT DATA'!S1967</f>
        <v>0</v>
      </c>
      <c r="P284" s="9">
        <f>'MKT DATA'!T1967</f>
        <v>0</v>
      </c>
      <c r="Q284" s="44" t="str">
        <f t="shared" si="11"/>
        <v>syn BTCX6/BTCZ6/BTCF7/BTCU6/BTCV6/BTCG7</v>
      </c>
      <c r="R284" s="14">
        <f>'MKT DATA'!AB1967</f>
        <v>0</v>
      </c>
    </row>
    <row r="285" spans="5:18" x14ac:dyDescent="0.25">
      <c r="E285" s="44" t="str">
        <f>'MKT DATA'!B1968</f>
        <v>syn BTCX6/BTCZ6/BTCF7/BTCV6/BTCU6/BTCG7</v>
      </c>
      <c r="F285" s="14">
        <f>'MKT DATA'!J1968</f>
        <v>0</v>
      </c>
      <c r="G285" s="9">
        <f>'MKT DATA'!K1968</f>
        <v>0</v>
      </c>
      <c r="H285" s="9">
        <f>'MKT DATA'!L1968</f>
        <v>0</v>
      </c>
      <c r="I285" s="14">
        <f>'MKT DATA'!M1968</f>
        <v>0</v>
      </c>
      <c r="J285" s="44" t="str">
        <f t="shared" si="10"/>
        <v>syn BTCX6/BTCZ6/BTCF7/BTCV6/BTCU6/BTCG7</v>
      </c>
      <c r="K285" s="9">
        <f>'MKT DATA'!O1968</f>
        <v>0</v>
      </c>
      <c r="L285" s="9">
        <f>'MKT DATA'!P1968</f>
        <v>0</v>
      </c>
      <c r="M285" s="9">
        <f>'MKT DATA'!Q1968</f>
        <v>0</v>
      </c>
      <c r="N285" s="9">
        <f>'MKT DATA'!R1968</f>
        <v>0</v>
      </c>
      <c r="O285" s="9">
        <f>'MKT DATA'!S1968</f>
        <v>0</v>
      </c>
      <c r="P285" s="9">
        <f>'MKT DATA'!T1968</f>
        <v>0</v>
      </c>
      <c r="Q285" s="44" t="str">
        <f t="shared" si="11"/>
        <v>syn BTCX6/BTCZ6/BTCF7/BTCV6/BTCU6/BTCG7</v>
      </c>
      <c r="R285" s="14">
        <f>'MKT DATA'!AB1968</f>
        <v>0</v>
      </c>
    </row>
    <row r="286" spans="5:18" x14ac:dyDescent="0.25">
      <c r="E286" s="44" t="str">
        <f>'MKT DATA'!B1969</f>
        <v>syn BTCX6/BTCF7/BTCU6/BTCV6/BTCZ6/BTCG7</v>
      </c>
      <c r="F286" s="14">
        <f>'MKT DATA'!J1969</f>
        <v>0</v>
      </c>
      <c r="G286" s="9">
        <f>'MKT DATA'!K1969</f>
        <v>0</v>
      </c>
      <c r="H286" s="9">
        <f>'MKT DATA'!L1969</f>
        <v>0</v>
      </c>
      <c r="I286" s="14">
        <f>'MKT DATA'!M1969</f>
        <v>0</v>
      </c>
      <c r="J286" s="44" t="str">
        <f t="shared" si="10"/>
        <v>syn BTCX6/BTCF7/BTCU6/BTCV6/BTCZ6/BTCG7</v>
      </c>
      <c r="K286" s="9">
        <f>'MKT DATA'!O1969</f>
        <v>0</v>
      </c>
      <c r="L286" s="9">
        <f>'MKT DATA'!P1969</f>
        <v>0</v>
      </c>
      <c r="M286" s="9">
        <f>'MKT DATA'!Q1969</f>
        <v>0</v>
      </c>
      <c r="N286" s="9">
        <f>'MKT DATA'!R1969</f>
        <v>0</v>
      </c>
      <c r="O286" s="9">
        <f>'MKT DATA'!S1969</f>
        <v>0</v>
      </c>
      <c r="P286" s="9">
        <f>'MKT DATA'!T1969</f>
        <v>0</v>
      </c>
      <c r="Q286" s="44" t="str">
        <f t="shared" si="11"/>
        <v>syn BTCX6/BTCF7/BTCU6/BTCV6/BTCZ6/BTCG7</v>
      </c>
      <c r="R286" s="14">
        <f>'MKT DATA'!AB1969</f>
        <v>0</v>
      </c>
    </row>
    <row r="287" spans="5:18" x14ac:dyDescent="0.25">
      <c r="E287" s="44" t="str">
        <f>'MKT DATA'!B1970</f>
        <v>syn BTCX6/BTCF7/BTCU6/BTCZ6/BTCV6/BTCG7</v>
      </c>
      <c r="F287" s="14">
        <f>'MKT DATA'!J1970</f>
        <v>0</v>
      </c>
      <c r="G287" s="9">
        <f>'MKT DATA'!K1970</f>
        <v>0</v>
      </c>
      <c r="H287" s="9">
        <f>'MKT DATA'!L1970</f>
        <v>0</v>
      </c>
      <c r="I287" s="14">
        <f>'MKT DATA'!M1970</f>
        <v>0</v>
      </c>
      <c r="J287" s="44" t="str">
        <f t="shared" si="10"/>
        <v>syn BTCX6/BTCF7/BTCU6/BTCZ6/BTCV6/BTCG7</v>
      </c>
      <c r="K287" s="9">
        <f>'MKT DATA'!O1970</f>
        <v>0</v>
      </c>
      <c r="L287" s="9">
        <f>'MKT DATA'!P1970</f>
        <v>0</v>
      </c>
      <c r="M287" s="9">
        <f>'MKT DATA'!Q1970</f>
        <v>0</v>
      </c>
      <c r="N287" s="9">
        <f>'MKT DATA'!R1970</f>
        <v>0</v>
      </c>
      <c r="O287" s="9">
        <f>'MKT DATA'!S1970</f>
        <v>0</v>
      </c>
      <c r="P287" s="9">
        <f>'MKT DATA'!T1970</f>
        <v>0</v>
      </c>
      <c r="Q287" s="44" t="str">
        <f t="shared" si="11"/>
        <v>syn BTCX6/BTCF7/BTCU6/BTCZ6/BTCV6/BTCG7</v>
      </c>
      <c r="R287" s="14">
        <f>'MKT DATA'!AB1970</f>
        <v>0</v>
      </c>
    </row>
    <row r="288" spans="5:18" x14ac:dyDescent="0.25">
      <c r="E288" s="44" t="str">
        <f>'MKT DATA'!B1971</f>
        <v>syn BTCX6/BTCF7/BTCV6/BTCU6/BTCZ6/BTCG7</v>
      </c>
      <c r="F288" s="14">
        <f>'MKT DATA'!J1971</f>
        <v>0</v>
      </c>
      <c r="G288" s="9">
        <f>'MKT DATA'!K1971</f>
        <v>0</v>
      </c>
      <c r="H288" s="9">
        <f>'MKT DATA'!L1971</f>
        <v>0</v>
      </c>
      <c r="I288" s="14">
        <f>'MKT DATA'!M1971</f>
        <v>0</v>
      </c>
      <c r="J288" s="44" t="str">
        <f t="shared" si="10"/>
        <v>syn BTCX6/BTCF7/BTCV6/BTCU6/BTCZ6/BTCG7</v>
      </c>
      <c r="K288" s="9">
        <f>'MKT DATA'!O1971</f>
        <v>0</v>
      </c>
      <c r="L288" s="9">
        <f>'MKT DATA'!P1971</f>
        <v>0</v>
      </c>
      <c r="M288" s="9">
        <f>'MKT DATA'!Q1971</f>
        <v>0</v>
      </c>
      <c r="N288" s="9">
        <f>'MKT DATA'!R1971</f>
        <v>0</v>
      </c>
      <c r="O288" s="9">
        <f>'MKT DATA'!S1971</f>
        <v>0</v>
      </c>
      <c r="P288" s="9">
        <f>'MKT DATA'!T1971</f>
        <v>0</v>
      </c>
      <c r="Q288" s="44" t="str">
        <f t="shared" si="11"/>
        <v>syn BTCX6/BTCF7/BTCV6/BTCU6/BTCZ6/BTCG7</v>
      </c>
      <c r="R288" s="14">
        <f>'MKT DATA'!AB1971</f>
        <v>0</v>
      </c>
    </row>
    <row r="289" spans="5:18" x14ac:dyDescent="0.25">
      <c r="E289" s="44" t="str">
        <f>'MKT DATA'!B1972</f>
        <v>syn BTCX6/BTCF7/BTCV6/BTCZ6/BTCU6/BTCG7</v>
      </c>
      <c r="F289" s="14">
        <f>'MKT DATA'!J1972</f>
        <v>0</v>
      </c>
      <c r="G289" s="9">
        <f>'MKT DATA'!K1972</f>
        <v>0</v>
      </c>
      <c r="H289" s="9">
        <f>'MKT DATA'!L1972</f>
        <v>0</v>
      </c>
      <c r="I289" s="14">
        <f>'MKT DATA'!M1972</f>
        <v>0</v>
      </c>
      <c r="J289" s="44" t="str">
        <f t="shared" si="10"/>
        <v>syn BTCX6/BTCF7/BTCV6/BTCZ6/BTCU6/BTCG7</v>
      </c>
      <c r="K289" s="9">
        <f>'MKT DATA'!O1972</f>
        <v>0</v>
      </c>
      <c r="L289" s="9">
        <f>'MKT DATA'!P1972</f>
        <v>0</v>
      </c>
      <c r="M289" s="9">
        <f>'MKT DATA'!Q1972</f>
        <v>0</v>
      </c>
      <c r="N289" s="9">
        <f>'MKT DATA'!R1972</f>
        <v>0</v>
      </c>
      <c r="O289" s="9">
        <f>'MKT DATA'!S1972</f>
        <v>0</v>
      </c>
      <c r="P289" s="9">
        <f>'MKT DATA'!T1972</f>
        <v>0</v>
      </c>
      <c r="Q289" s="44" t="str">
        <f t="shared" si="11"/>
        <v>syn BTCX6/BTCF7/BTCV6/BTCZ6/BTCU6/BTCG7</v>
      </c>
      <c r="R289" s="14">
        <f>'MKT DATA'!AB1972</f>
        <v>0</v>
      </c>
    </row>
    <row r="290" spans="5:18" x14ac:dyDescent="0.25">
      <c r="E290" s="44" t="str">
        <f>'MKT DATA'!B1973</f>
        <v>syn BTCX6/BTCF7/BTCZ6/BTCU6/BTCV6/BTCG7</v>
      </c>
      <c r="F290" s="14">
        <f>'MKT DATA'!J1973</f>
        <v>0</v>
      </c>
      <c r="G290" s="9">
        <f>'MKT DATA'!K1973</f>
        <v>0</v>
      </c>
      <c r="H290" s="9">
        <f>'MKT DATA'!L1973</f>
        <v>0</v>
      </c>
      <c r="I290" s="14">
        <f>'MKT DATA'!M1973</f>
        <v>0</v>
      </c>
      <c r="J290" s="44" t="str">
        <f t="shared" si="10"/>
        <v>syn BTCX6/BTCF7/BTCZ6/BTCU6/BTCV6/BTCG7</v>
      </c>
      <c r="K290" s="9">
        <f>'MKT DATA'!O1973</f>
        <v>0</v>
      </c>
      <c r="L290" s="9">
        <f>'MKT DATA'!P1973</f>
        <v>0</v>
      </c>
      <c r="M290" s="9">
        <f>'MKT DATA'!Q1973</f>
        <v>0</v>
      </c>
      <c r="N290" s="9">
        <f>'MKT DATA'!R1973</f>
        <v>0</v>
      </c>
      <c r="O290" s="9">
        <f>'MKT DATA'!S1973</f>
        <v>0</v>
      </c>
      <c r="P290" s="9">
        <f>'MKT DATA'!T1973</f>
        <v>0</v>
      </c>
      <c r="Q290" s="44" t="str">
        <f t="shared" si="11"/>
        <v>syn BTCX6/BTCF7/BTCZ6/BTCU6/BTCV6/BTCG7</v>
      </c>
      <c r="R290" s="14">
        <f>'MKT DATA'!AB1973</f>
        <v>0</v>
      </c>
    </row>
    <row r="291" spans="5:18" x14ac:dyDescent="0.25">
      <c r="E291" s="44" t="str">
        <f>'MKT DATA'!B1974</f>
        <v>syn BTCX6/BTCF7/BTCZ6/BTCV6/BTCU6/BTCG7</v>
      </c>
      <c r="F291" s="14">
        <f>'MKT DATA'!J1974</f>
        <v>0</v>
      </c>
      <c r="G291" s="9">
        <f>'MKT DATA'!K1974</f>
        <v>0</v>
      </c>
      <c r="H291" s="9">
        <f>'MKT DATA'!L1974</f>
        <v>0</v>
      </c>
      <c r="I291" s="14">
        <f>'MKT DATA'!M1974</f>
        <v>0</v>
      </c>
      <c r="J291" s="44" t="str">
        <f t="shared" si="10"/>
        <v>syn BTCX6/BTCF7/BTCZ6/BTCV6/BTCU6/BTCG7</v>
      </c>
      <c r="K291" s="9">
        <f>'MKT DATA'!O1974</f>
        <v>0</v>
      </c>
      <c r="L291" s="9">
        <f>'MKT DATA'!P1974</f>
        <v>0</v>
      </c>
      <c r="M291" s="9">
        <f>'MKT DATA'!Q1974</f>
        <v>0</v>
      </c>
      <c r="N291" s="9">
        <f>'MKT DATA'!R1974</f>
        <v>0</v>
      </c>
      <c r="O291" s="9">
        <f>'MKT DATA'!S1974</f>
        <v>0</v>
      </c>
      <c r="P291" s="9">
        <f>'MKT DATA'!T1974</f>
        <v>0</v>
      </c>
      <c r="Q291" s="44" t="str">
        <f t="shared" si="11"/>
        <v>syn BTCX6/BTCF7/BTCZ6/BTCV6/BTCU6/BTCG7</v>
      </c>
      <c r="R291" s="14">
        <f>'MKT DATA'!AB1974</f>
        <v>0</v>
      </c>
    </row>
    <row r="292" spans="5:18" x14ac:dyDescent="0.25">
      <c r="E292" s="44" t="str">
        <f>'MKT DATA'!B1975</f>
        <v>syn BTCZ6/BTCU6/BTCV6/BTCX6/BTCF7/BTCG7</v>
      </c>
      <c r="F292" s="14">
        <f>'MKT DATA'!J1975</f>
        <v>0</v>
      </c>
      <c r="G292" s="9">
        <f>'MKT DATA'!K1975</f>
        <v>0</v>
      </c>
      <c r="H292" s="9">
        <f>'MKT DATA'!L1975</f>
        <v>0</v>
      </c>
      <c r="I292" s="14">
        <f>'MKT DATA'!M1975</f>
        <v>0</v>
      </c>
      <c r="J292" s="44" t="str">
        <f t="shared" si="10"/>
        <v>syn BTCZ6/BTCU6/BTCV6/BTCX6/BTCF7/BTCG7</v>
      </c>
      <c r="K292" s="9">
        <f>'MKT DATA'!O1975</f>
        <v>0</v>
      </c>
      <c r="L292" s="9">
        <f>'MKT DATA'!P1975</f>
        <v>0</v>
      </c>
      <c r="M292" s="9">
        <f>'MKT DATA'!Q1975</f>
        <v>0</v>
      </c>
      <c r="N292" s="9">
        <f>'MKT DATA'!R1975</f>
        <v>0</v>
      </c>
      <c r="O292" s="9">
        <f>'MKT DATA'!S1975</f>
        <v>0</v>
      </c>
      <c r="P292" s="9">
        <f>'MKT DATA'!T1975</f>
        <v>0</v>
      </c>
      <c r="Q292" s="44" t="str">
        <f t="shared" si="11"/>
        <v>syn BTCZ6/BTCU6/BTCV6/BTCX6/BTCF7/BTCG7</v>
      </c>
      <c r="R292" s="14">
        <f>'MKT DATA'!AB1975</f>
        <v>0</v>
      </c>
    </row>
    <row r="293" spans="5:18" x14ac:dyDescent="0.25">
      <c r="E293" s="44" t="str">
        <f>'MKT DATA'!B1976</f>
        <v>syn BTCZ6/BTCU6/BTCV6/BTCF7/BTCX6/BTCG7</v>
      </c>
      <c r="F293" s="14">
        <f>'MKT DATA'!J1976</f>
        <v>0</v>
      </c>
      <c r="G293" s="9">
        <f>'MKT DATA'!K1976</f>
        <v>0</v>
      </c>
      <c r="H293" s="9">
        <f>'MKT DATA'!L1976</f>
        <v>0</v>
      </c>
      <c r="I293" s="14">
        <f>'MKT DATA'!M1976</f>
        <v>0</v>
      </c>
      <c r="J293" s="44" t="str">
        <f t="shared" si="10"/>
        <v>syn BTCZ6/BTCU6/BTCV6/BTCF7/BTCX6/BTCG7</v>
      </c>
      <c r="K293" s="9">
        <f>'MKT DATA'!O1976</f>
        <v>0</v>
      </c>
      <c r="L293" s="9">
        <f>'MKT DATA'!P1976</f>
        <v>0</v>
      </c>
      <c r="M293" s="9">
        <f>'MKT DATA'!Q1976</f>
        <v>0</v>
      </c>
      <c r="N293" s="9">
        <f>'MKT DATA'!R1976</f>
        <v>0</v>
      </c>
      <c r="O293" s="9">
        <f>'MKT DATA'!S1976</f>
        <v>0</v>
      </c>
      <c r="P293" s="9">
        <f>'MKT DATA'!T1976</f>
        <v>0</v>
      </c>
      <c r="Q293" s="44" t="str">
        <f t="shared" si="11"/>
        <v>syn BTCZ6/BTCU6/BTCV6/BTCF7/BTCX6/BTCG7</v>
      </c>
      <c r="R293" s="14">
        <f>'MKT DATA'!AB1976</f>
        <v>0</v>
      </c>
    </row>
    <row r="294" spans="5:18" x14ac:dyDescent="0.25">
      <c r="E294" s="44" t="str">
        <f>'MKT DATA'!B1977</f>
        <v>syn BTCZ6/BTCU6/BTCX6/BTCV6/BTCF7/BTCG7</v>
      </c>
      <c r="F294" s="14">
        <f>'MKT DATA'!J1977</f>
        <v>0</v>
      </c>
      <c r="G294" s="9">
        <f>'MKT DATA'!K1977</f>
        <v>0</v>
      </c>
      <c r="H294" s="9">
        <f>'MKT DATA'!L1977</f>
        <v>0</v>
      </c>
      <c r="I294" s="14">
        <f>'MKT DATA'!M1977</f>
        <v>0</v>
      </c>
      <c r="J294" s="44" t="str">
        <f t="shared" si="10"/>
        <v>syn BTCZ6/BTCU6/BTCX6/BTCV6/BTCF7/BTCG7</v>
      </c>
      <c r="K294" s="9">
        <f>'MKT DATA'!O1977</f>
        <v>0</v>
      </c>
      <c r="L294" s="9">
        <f>'MKT DATA'!P1977</f>
        <v>0</v>
      </c>
      <c r="M294" s="9">
        <f>'MKT DATA'!Q1977</f>
        <v>0</v>
      </c>
      <c r="N294" s="9">
        <f>'MKT DATA'!R1977</f>
        <v>0</v>
      </c>
      <c r="O294" s="9">
        <f>'MKT DATA'!S1977</f>
        <v>0</v>
      </c>
      <c r="P294" s="9">
        <f>'MKT DATA'!T1977</f>
        <v>0</v>
      </c>
      <c r="Q294" s="44" t="str">
        <f t="shared" si="11"/>
        <v>syn BTCZ6/BTCU6/BTCX6/BTCV6/BTCF7/BTCG7</v>
      </c>
      <c r="R294" s="14">
        <f>'MKT DATA'!AB1977</f>
        <v>0</v>
      </c>
    </row>
    <row r="295" spans="5:18" x14ac:dyDescent="0.25">
      <c r="E295" s="44" t="str">
        <f>'MKT DATA'!B1978</f>
        <v>syn BTCZ6/BTCU6/BTCX6/BTCF7/BTCV6/BTCG7</v>
      </c>
      <c r="F295" s="14">
        <f>'MKT DATA'!J1978</f>
        <v>0</v>
      </c>
      <c r="G295" s="9">
        <f>'MKT DATA'!K1978</f>
        <v>0</v>
      </c>
      <c r="H295" s="9">
        <f>'MKT DATA'!L1978</f>
        <v>0</v>
      </c>
      <c r="I295" s="14">
        <f>'MKT DATA'!M1978</f>
        <v>0</v>
      </c>
      <c r="J295" s="44" t="str">
        <f t="shared" si="10"/>
        <v>syn BTCZ6/BTCU6/BTCX6/BTCF7/BTCV6/BTCG7</v>
      </c>
      <c r="K295" s="9">
        <f>'MKT DATA'!O1978</f>
        <v>0</v>
      </c>
      <c r="L295" s="9">
        <f>'MKT DATA'!P1978</f>
        <v>0</v>
      </c>
      <c r="M295" s="9">
        <f>'MKT DATA'!Q1978</f>
        <v>0</v>
      </c>
      <c r="N295" s="9">
        <f>'MKT DATA'!R1978</f>
        <v>0</v>
      </c>
      <c r="O295" s="9">
        <f>'MKT DATA'!S1978</f>
        <v>0</v>
      </c>
      <c r="P295" s="9">
        <f>'MKT DATA'!T1978</f>
        <v>0</v>
      </c>
      <c r="Q295" s="44" t="str">
        <f t="shared" si="11"/>
        <v>syn BTCZ6/BTCU6/BTCX6/BTCF7/BTCV6/BTCG7</v>
      </c>
      <c r="R295" s="14">
        <f>'MKT DATA'!AB1978</f>
        <v>0</v>
      </c>
    </row>
    <row r="296" spans="5:18" x14ac:dyDescent="0.25">
      <c r="E296" s="44" t="str">
        <f>'MKT DATA'!B1979</f>
        <v>syn BTCZ6/BTCU6/BTCF7/BTCV6/BTCX6/BTCG7</v>
      </c>
      <c r="F296" s="14">
        <f>'MKT DATA'!J1979</f>
        <v>0</v>
      </c>
      <c r="G296" s="9">
        <f>'MKT DATA'!K1979</f>
        <v>0</v>
      </c>
      <c r="H296" s="9">
        <f>'MKT DATA'!L1979</f>
        <v>0</v>
      </c>
      <c r="I296" s="14">
        <f>'MKT DATA'!M1979</f>
        <v>0</v>
      </c>
      <c r="J296" s="44" t="str">
        <f t="shared" si="10"/>
        <v>syn BTCZ6/BTCU6/BTCF7/BTCV6/BTCX6/BTCG7</v>
      </c>
      <c r="K296" s="9">
        <f>'MKT DATA'!O1979</f>
        <v>0</v>
      </c>
      <c r="L296" s="9">
        <f>'MKT DATA'!P1979</f>
        <v>0</v>
      </c>
      <c r="M296" s="9">
        <f>'MKT DATA'!Q1979</f>
        <v>0</v>
      </c>
      <c r="N296" s="9">
        <f>'MKT DATA'!R1979</f>
        <v>0</v>
      </c>
      <c r="O296" s="9">
        <f>'MKT DATA'!S1979</f>
        <v>0</v>
      </c>
      <c r="P296" s="9">
        <f>'MKT DATA'!T1979</f>
        <v>0</v>
      </c>
      <c r="Q296" s="44" t="str">
        <f t="shared" si="11"/>
        <v>syn BTCZ6/BTCU6/BTCF7/BTCV6/BTCX6/BTCG7</v>
      </c>
      <c r="R296" s="14">
        <f>'MKT DATA'!AB1979</f>
        <v>0</v>
      </c>
    </row>
    <row r="297" spans="5:18" x14ac:dyDescent="0.25">
      <c r="E297" s="44" t="str">
        <f>'MKT DATA'!B1980</f>
        <v>syn BTCZ6/BTCU6/BTCF7/BTCX6/BTCV6/BTCG7</v>
      </c>
      <c r="F297" s="14">
        <f>'MKT DATA'!J1980</f>
        <v>0</v>
      </c>
      <c r="G297" s="9">
        <f>'MKT DATA'!K1980</f>
        <v>0</v>
      </c>
      <c r="H297" s="9">
        <f>'MKT DATA'!L1980</f>
        <v>0</v>
      </c>
      <c r="I297" s="14">
        <f>'MKT DATA'!M1980</f>
        <v>0</v>
      </c>
      <c r="J297" s="44" t="str">
        <f t="shared" si="10"/>
        <v>syn BTCZ6/BTCU6/BTCF7/BTCX6/BTCV6/BTCG7</v>
      </c>
      <c r="K297" s="9">
        <f>'MKT DATA'!O1980</f>
        <v>0</v>
      </c>
      <c r="L297" s="9">
        <f>'MKT DATA'!P1980</f>
        <v>0</v>
      </c>
      <c r="M297" s="9">
        <f>'MKT DATA'!Q1980</f>
        <v>0</v>
      </c>
      <c r="N297" s="9">
        <f>'MKT DATA'!R1980</f>
        <v>0</v>
      </c>
      <c r="O297" s="9">
        <f>'MKT DATA'!S1980</f>
        <v>0</v>
      </c>
      <c r="P297" s="9">
        <f>'MKT DATA'!T1980</f>
        <v>0</v>
      </c>
      <c r="Q297" s="44" t="str">
        <f t="shared" si="11"/>
        <v>syn BTCZ6/BTCU6/BTCF7/BTCX6/BTCV6/BTCG7</v>
      </c>
      <c r="R297" s="14">
        <f>'MKT DATA'!AB1980</f>
        <v>0</v>
      </c>
    </row>
    <row r="298" spans="5:18" x14ac:dyDescent="0.25">
      <c r="E298" s="44" t="str">
        <f>'MKT DATA'!B1981</f>
        <v>syn BTCZ6/BTCV6/BTCU6/BTCX6/BTCF7/BTCG7</v>
      </c>
      <c r="F298" s="14">
        <f>'MKT DATA'!J1981</f>
        <v>0</v>
      </c>
      <c r="G298" s="9">
        <f>'MKT DATA'!K1981</f>
        <v>0</v>
      </c>
      <c r="H298" s="9">
        <f>'MKT DATA'!L1981</f>
        <v>0</v>
      </c>
      <c r="I298" s="14">
        <f>'MKT DATA'!M1981</f>
        <v>0</v>
      </c>
      <c r="J298" s="44" t="str">
        <f t="shared" si="10"/>
        <v>syn BTCZ6/BTCV6/BTCU6/BTCX6/BTCF7/BTCG7</v>
      </c>
      <c r="K298" s="9">
        <f>'MKT DATA'!O1981</f>
        <v>0</v>
      </c>
      <c r="L298" s="9">
        <f>'MKT DATA'!P1981</f>
        <v>0</v>
      </c>
      <c r="M298" s="9">
        <f>'MKT DATA'!Q1981</f>
        <v>0</v>
      </c>
      <c r="N298" s="9">
        <f>'MKT DATA'!R1981</f>
        <v>0</v>
      </c>
      <c r="O298" s="9">
        <f>'MKT DATA'!S1981</f>
        <v>0</v>
      </c>
      <c r="P298" s="9">
        <f>'MKT DATA'!T1981</f>
        <v>0</v>
      </c>
      <c r="Q298" s="44" t="str">
        <f t="shared" si="11"/>
        <v>syn BTCZ6/BTCV6/BTCU6/BTCX6/BTCF7/BTCG7</v>
      </c>
      <c r="R298" s="14">
        <f>'MKT DATA'!AB1981</f>
        <v>0</v>
      </c>
    </row>
    <row r="299" spans="5:18" x14ac:dyDescent="0.25">
      <c r="E299" s="44" t="str">
        <f>'MKT DATA'!B1982</f>
        <v>syn BTCZ6/BTCV6/BTCU6/BTCF7/BTCX6/BTCG7</v>
      </c>
      <c r="F299" s="14">
        <f>'MKT DATA'!J1982</f>
        <v>0</v>
      </c>
      <c r="G299" s="9">
        <f>'MKT DATA'!K1982</f>
        <v>0</v>
      </c>
      <c r="H299" s="9">
        <f>'MKT DATA'!L1982</f>
        <v>0</v>
      </c>
      <c r="I299" s="14">
        <f>'MKT DATA'!M1982</f>
        <v>0</v>
      </c>
      <c r="J299" s="44" t="str">
        <f t="shared" si="10"/>
        <v>syn BTCZ6/BTCV6/BTCU6/BTCF7/BTCX6/BTCG7</v>
      </c>
      <c r="K299" s="9">
        <f>'MKT DATA'!O1982</f>
        <v>0</v>
      </c>
      <c r="L299" s="9">
        <f>'MKT DATA'!P1982</f>
        <v>0</v>
      </c>
      <c r="M299" s="9">
        <f>'MKT DATA'!Q1982</f>
        <v>0</v>
      </c>
      <c r="N299" s="9">
        <f>'MKT DATA'!R1982</f>
        <v>0</v>
      </c>
      <c r="O299" s="9">
        <f>'MKT DATA'!S1982</f>
        <v>0</v>
      </c>
      <c r="P299" s="9">
        <f>'MKT DATA'!T1982</f>
        <v>0</v>
      </c>
      <c r="Q299" s="44" t="str">
        <f t="shared" si="11"/>
        <v>syn BTCZ6/BTCV6/BTCU6/BTCF7/BTCX6/BTCG7</v>
      </c>
      <c r="R299" s="14">
        <f>'MKT DATA'!AB1982</f>
        <v>0</v>
      </c>
    </row>
    <row r="300" spans="5:18" x14ac:dyDescent="0.25">
      <c r="E300" s="44" t="str">
        <f>'MKT DATA'!B1983</f>
        <v>syn BTCZ6/BTCV6/BTCX6/BTCU6/BTCF7/BTCG7</v>
      </c>
      <c r="F300" s="14">
        <f>'MKT DATA'!J1983</f>
        <v>0</v>
      </c>
      <c r="G300" s="9">
        <f>'MKT DATA'!K1983</f>
        <v>0</v>
      </c>
      <c r="H300" s="9">
        <f>'MKT DATA'!L1983</f>
        <v>0</v>
      </c>
      <c r="I300" s="14">
        <f>'MKT DATA'!M1983</f>
        <v>0</v>
      </c>
      <c r="J300" s="44" t="str">
        <f t="shared" si="10"/>
        <v>syn BTCZ6/BTCV6/BTCX6/BTCU6/BTCF7/BTCG7</v>
      </c>
      <c r="K300" s="9">
        <f>'MKT DATA'!O1983</f>
        <v>0</v>
      </c>
      <c r="L300" s="9">
        <f>'MKT DATA'!P1983</f>
        <v>0</v>
      </c>
      <c r="M300" s="9">
        <f>'MKT DATA'!Q1983</f>
        <v>0</v>
      </c>
      <c r="N300" s="9">
        <f>'MKT DATA'!R1983</f>
        <v>0</v>
      </c>
      <c r="O300" s="9">
        <f>'MKT DATA'!S1983</f>
        <v>0</v>
      </c>
      <c r="P300" s="9">
        <f>'MKT DATA'!T1983</f>
        <v>0</v>
      </c>
      <c r="Q300" s="44" t="str">
        <f t="shared" si="11"/>
        <v>syn BTCZ6/BTCV6/BTCX6/BTCU6/BTCF7/BTCG7</v>
      </c>
      <c r="R300" s="14">
        <f>'MKT DATA'!AB1983</f>
        <v>0</v>
      </c>
    </row>
    <row r="301" spans="5:18" x14ac:dyDescent="0.25">
      <c r="E301" s="44" t="str">
        <f>'MKT DATA'!B1984</f>
        <v>syn BTCZ6/BTCV6/BTCX6/BTCF7/BTCU6/BTCG7</v>
      </c>
      <c r="F301" s="14">
        <f>'MKT DATA'!J1984</f>
        <v>0</v>
      </c>
      <c r="G301" s="9">
        <f>'MKT DATA'!K1984</f>
        <v>0</v>
      </c>
      <c r="H301" s="9">
        <f>'MKT DATA'!L1984</f>
        <v>0</v>
      </c>
      <c r="I301" s="14">
        <f>'MKT DATA'!M1984</f>
        <v>0</v>
      </c>
      <c r="J301" s="44" t="str">
        <f t="shared" si="10"/>
        <v>syn BTCZ6/BTCV6/BTCX6/BTCF7/BTCU6/BTCG7</v>
      </c>
      <c r="K301" s="9">
        <f>'MKT DATA'!O1984</f>
        <v>0</v>
      </c>
      <c r="L301" s="9">
        <f>'MKT DATA'!P1984</f>
        <v>0</v>
      </c>
      <c r="M301" s="9">
        <f>'MKT DATA'!Q1984</f>
        <v>0</v>
      </c>
      <c r="N301" s="9">
        <f>'MKT DATA'!R1984</f>
        <v>0</v>
      </c>
      <c r="O301" s="9">
        <f>'MKT DATA'!S1984</f>
        <v>0</v>
      </c>
      <c r="P301" s="9">
        <f>'MKT DATA'!T1984</f>
        <v>0</v>
      </c>
      <c r="Q301" s="44" t="str">
        <f t="shared" si="11"/>
        <v>syn BTCZ6/BTCV6/BTCX6/BTCF7/BTCU6/BTCG7</v>
      </c>
      <c r="R301" s="14">
        <f>'MKT DATA'!AB1984</f>
        <v>0</v>
      </c>
    </row>
    <row r="302" spans="5:18" x14ac:dyDescent="0.25">
      <c r="E302" s="44" t="str">
        <f>'MKT DATA'!B1985</f>
        <v>syn BTCZ6/BTCV6/BTCF7/BTCU6/BTCX6/BTCG7</v>
      </c>
      <c r="F302" s="14">
        <f>'MKT DATA'!J1985</f>
        <v>0</v>
      </c>
      <c r="G302" s="9">
        <f>'MKT DATA'!K1985</f>
        <v>0</v>
      </c>
      <c r="H302" s="9">
        <f>'MKT DATA'!L1985</f>
        <v>0</v>
      </c>
      <c r="I302" s="14">
        <f>'MKT DATA'!M1985</f>
        <v>0</v>
      </c>
      <c r="J302" s="44" t="str">
        <f t="shared" si="10"/>
        <v>syn BTCZ6/BTCV6/BTCF7/BTCU6/BTCX6/BTCG7</v>
      </c>
      <c r="K302" s="9">
        <f>'MKT DATA'!O1985</f>
        <v>0</v>
      </c>
      <c r="L302" s="9">
        <f>'MKT DATA'!P1985</f>
        <v>0</v>
      </c>
      <c r="M302" s="9">
        <f>'MKT DATA'!Q1985</f>
        <v>0</v>
      </c>
      <c r="N302" s="9">
        <f>'MKT DATA'!R1985</f>
        <v>0</v>
      </c>
      <c r="O302" s="9">
        <f>'MKT DATA'!S1985</f>
        <v>0</v>
      </c>
      <c r="P302" s="9">
        <f>'MKT DATA'!T1985</f>
        <v>0</v>
      </c>
      <c r="Q302" s="44" t="str">
        <f t="shared" si="11"/>
        <v>syn BTCZ6/BTCV6/BTCF7/BTCU6/BTCX6/BTCG7</v>
      </c>
      <c r="R302" s="14">
        <f>'MKT DATA'!AB1985</f>
        <v>0</v>
      </c>
    </row>
    <row r="303" spans="5:18" x14ac:dyDescent="0.25">
      <c r="E303" s="44" t="str">
        <f>'MKT DATA'!B1986</f>
        <v>syn BTCZ6/BTCV6/BTCF7/BTCX6/BTCU6/BTCG7</v>
      </c>
      <c r="F303" s="14">
        <f>'MKT DATA'!J1986</f>
        <v>0</v>
      </c>
      <c r="G303" s="9">
        <f>'MKT DATA'!K1986</f>
        <v>0</v>
      </c>
      <c r="H303" s="9">
        <f>'MKT DATA'!L1986</f>
        <v>0</v>
      </c>
      <c r="I303" s="14">
        <f>'MKT DATA'!M1986</f>
        <v>0</v>
      </c>
      <c r="J303" s="44" t="str">
        <f t="shared" si="10"/>
        <v>syn BTCZ6/BTCV6/BTCF7/BTCX6/BTCU6/BTCG7</v>
      </c>
      <c r="K303" s="9">
        <f>'MKT DATA'!O1986</f>
        <v>0</v>
      </c>
      <c r="L303" s="9">
        <f>'MKT DATA'!P1986</f>
        <v>0</v>
      </c>
      <c r="M303" s="9">
        <f>'MKT DATA'!Q1986</f>
        <v>0</v>
      </c>
      <c r="N303" s="9">
        <f>'MKT DATA'!R1986</f>
        <v>0</v>
      </c>
      <c r="O303" s="9">
        <f>'MKT DATA'!S1986</f>
        <v>0</v>
      </c>
      <c r="P303" s="9">
        <f>'MKT DATA'!T1986</f>
        <v>0</v>
      </c>
      <c r="Q303" s="44" t="str">
        <f t="shared" si="11"/>
        <v>syn BTCZ6/BTCV6/BTCF7/BTCX6/BTCU6/BTCG7</v>
      </c>
      <c r="R303" s="14">
        <f>'MKT DATA'!AB1986</f>
        <v>0</v>
      </c>
    </row>
    <row r="304" spans="5:18" x14ac:dyDescent="0.25">
      <c r="E304" s="44" t="str">
        <f>'MKT DATA'!B1987</f>
        <v>syn BTCZ6/BTCX6/BTCU6/BTCV6/BTCF7/BTCG7</v>
      </c>
      <c r="F304" s="14">
        <f>'MKT DATA'!J1987</f>
        <v>0</v>
      </c>
      <c r="G304" s="9">
        <f>'MKT DATA'!K1987</f>
        <v>0</v>
      </c>
      <c r="H304" s="9">
        <f>'MKT DATA'!L1987</f>
        <v>0</v>
      </c>
      <c r="I304" s="14">
        <f>'MKT DATA'!M1987</f>
        <v>0</v>
      </c>
      <c r="J304" s="44" t="str">
        <f t="shared" si="10"/>
        <v>syn BTCZ6/BTCX6/BTCU6/BTCV6/BTCF7/BTCG7</v>
      </c>
      <c r="K304" s="9">
        <f>'MKT DATA'!O1987</f>
        <v>0</v>
      </c>
      <c r="L304" s="9">
        <f>'MKT DATA'!P1987</f>
        <v>0</v>
      </c>
      <c r="M304" s="9">
        <f>'MKT DATA'!Q1987</f>
        <v>0</v>
      </c>
      <c r="N304" s="9">
        <f>'MKT DATA'!R1987</f>
        <v>0</v>
      </c>
      <c r="O304" s="9">
        <f>'MKT DATA'!S1987</f>
        <v>0</v>
      </c>
      <c r="P304" s="9">
        <f>'MKT DATA'!T1987</f>
        <v>0</v>
      </c>
      <c r="Q304" s="44" t="str">
        <f t="shared" si="11"/>
        <v>syn BTCZ6/BTCX6/BTCU6/BTCV6/BTCF7/BTCG7</v>
      </c>
      <c r="R304" s="14">
        <f>'MKT DATA'!AB1987</f>
        <v>0</v>
      </c>
    </row>
    <row r="305" spans="5:18" x14ac:dyDescent="0.25">
      <c r="E305" s="44" t="str">
        <f>'MKT DATA'!B1988</f>
        <v>syn BTCZ6/BTCX6/BTCU6/BTCF7/BTCV6/BTCG7</v>
      </c>
      <c r="F305" s="14">
        <f>'MKT DATA'!J1988</f>
        <v>0</v>
      </c>
      <c r="G305" s="9">
        <f>'MKT DATA'!K1988</f>
        <v>0</v>
      </c>
      <c r="H305" s="9">
        <f>'MKT DATA'!L1988</f>
        <v>0</v>
      </c>
      <c r="I305" s="14">
        <f>'MKT DATA'!M1988</f>
        <v>0</v>
      </c>
      <c r="J305" s="44" t="str">
        <f t="shared" si="10"/>
        <v>syn BTCZ6/BTCX6/BTCU6/BTCF7/BTCV6/BTCG7</v>
      </c>
      <c r="K305" s="9">
        <f>'MKT DATA'!O1988</f>
        <v>0</v>
      </c>
      <c r="L305" s="9">
        <f>'MKT DATA'!P1988</f>
        <v>0</v>
      </c>
      <c r="M305" s="9">
        <f>'MKT DATA'!Q1988</f>
        <v>0</v>
      </c>
      <c r="N305" s="9">
        <f>'MKT DATA'!R1988</f>
        <v>0</v>
      </c>
      <c r="O305" s="9">
        <f>'MKT DATA'!S1988</f>
        <v>0</v>
      </c>
      <c r="P305" s="9">
        <f>'MKT DATA'!T1988</f>
        <v>0</v>
      </c>
      <c r="Q305" s="44" t="str">
        <f t="shared" si="11"/>
        <v>syn BTCZ6/BTCX6/BTCU6/BTCF7/BTCV6/BTCG7</v>
      </c>
      <c r="R305" s="14">
        <f>'MKT DATA'!AB1988</f>
        <v>0</v>
      </c>
    </row>
    <row r="306" spans="5:18" x14ac:dyDescent="0.25">
      <c r="E306" s="44" t="str">
        <f>'MKT DATA'!B1989</f>
        <v>syn BTCZ6/BTCX6/BTCV6/BTCU6/BTCF7/BTCG7</v>
      </c>
      <c r="F306" s="14">
        <f>'MKT DATA'!J1989</f>
        <v>0</v>
      </c>
      <c r="G306" s="9">
        <f>'MKT DATA'!K1989</f>
        <v>0</v>
      </c>
      <c r="H306" s="9">
        <f>'MKT DATA'!L1989</f>
        <v>0</v>
      </c>
      <c r="I306" s="14">
        <f>'MKT DATA'!M1989</f>
        <v>0</v>
      </c>
      <c r="J306" s="44" t="str">
        <f t="shared" si="10"/>
        <v>syn BTCZ6/BTCX6/BTCV6/BTCU6/BTCF7/BTCG7</v>
      </c>
      <c r="K306" s="9">
        <f>'MKT DATA'!O1989</f>
        <v>0</v>
      </c>
      <c r="L306" s="9">
        <f>'MKT DATA'!P1989</f>
        <v>0</v>
      </c>
      <c r="M306" s="9">
        <f>'MKT DATA'!Q1989</f>
        <v>0</v>
      </c>
      <c r="N306" s="9">
        <f>'MKT DATA'!R1989</f>
        <v>0</v>
      </c>
      <c r="O306" s="9">
        <f>'MKT DATA'!S1989</f>
        <v>0</v>
      </c>
      <c r="P306" s="9">
        <f>'MKT DATA'!T1989</f>
        <v>0</v>
      </c>
      <c r="Q306" s="44" t="str">
        <f t="shared" si="11"/>
        <v>syn BTCZ6/BTCX6/BTCV6/BTCU6/BTCF7/BTCG7</v>
      </c>
      <c r="R306" s="14">
        <f>'MKT DATA'!AB1989</f>
        <v>0</v>
      </c>
    </row>
    <row r="307" spans="5:18" x14ac:dyDescent="0.25">
      <c r="E307" s="44" t="str">
        <f>'MKT DATA'!B1990</f>
        <v>syn BTCZ6/BTCX6/BTCV6/BTCF7/BTCU6/BTCG7</v>
      </c>
      <c r="F307" s="14">
        <f>'MKT DATA'!J1990</f>
        <v>0</v>
      </c>
      <c r="G307" s="9">
        <f>'MKT DATA'!K1990</f>
        <v>0</v>
      </c>
      <c r="H307" s="9">
        <f>'MKT DATA'!L1990</f>
        <v>0</v>
      </c>
      <c r="I307" s="14">
        <f>'MKT DATA'!M1990</f>
        <v>0</v>
      </c>
      <c r="J307" s="44" t="str">
        <f t="shared" si="10"/>
        <v>syn BTCZ6/BTCX6/BTCV6/BTCF7/BTCU6/BTCG7</v>
      </c>
      <c r="K307" s="9">
        <f>'MKT DATA'!O1990</f>
        <v>0</v>
      </c>
      <c r="L307" s="9">
        <f>'MKT DATA'!P1990</f>
        <v>0</v>
      </c>
      <c r="M307" s="9">
        <f>'MKT DATA'!Q1990</f>
        <v>0</v>
      </c>
      <c r="N307" s="9">
        <f>'MKT DATA'!R1990</f>
        <v>0</v>
      </c>
      <c r="O307" s="9">
        <f>'MKT DATA'!S1990</f>
        <v>0</v>
      </c>
      <c r="P307" s="9">
        <f>'MKT DATA'!T1990</f>
        <v>0</v>
      </c>
      <c r="Q307" s="44" t="str">
        <f t="shared" si="11"/>
        <v>syn BTCZ6/BTCX6/BTCV6/BTCF7/BTCU6/BTCG7</v>
      </c>
      <c r="R307" s="14">
        <f>'MKT DATA'!AB1990</f>
        <v>0</v>
      </c>
    </row>
    <row r="308" spans="5:18" x14ac:dyDescent="0.25">
      <c r="E308" s="44" t="str">
        <f>'MKT DATA'!B1991</f>
        <v>syn BTCZ6/BTCX6/BTCF7/BTCU6/BTCV6/BTCG7</v>
      </c>
      <c r="F308" s="14">
        <f>'MKT DATA'!J1991</f>
        <v>0</v>
      </c>
      <c r="G308" s="9">
        <f>'MKT DATA'!K1991</f>
        <v>0</v>
      </c>
      <c r="H308" s="9">
        <f>'MKT DATA'!L1991</f>
        <v>0</v>
      </c>
      <c r="I308" s="14">
        <f>'MKT DATA'!M1991</f>
        <v>0</v>
      </c>
      <c r="J308" s="44" t="str">
        <f t="shared" si="10"/>
        <v>syn BTCZ6/BTCX6/BTCF7/BTCU6/BTCV6/BTCG7</v>
      </c>
      <c r="K308" s="9">
        <f>'MKT DATA'!O1991</f>
        <v>0</v>
      </c>
      <c r="L308" s="9">
        <f>'MKT DATA'!P1991</f>
        <v>0</v>
      </c>
      <c r="M308" s="9">
        <f>'MKT DATA'!Q1991</f>
        <v>0</v>
      </c>
      <c r="N308" s="9">
        <f>'MKT DATA'!R1991</f>
        <v>0</v>
      </c>
      <c r="O308" s="9">
        <f>'MKT DATA'!S1991</f>
        <v>0</v>
      </c>
      <c r="P308" s="9">
        <f>'MKT DATA'!T1991</f>
        <v>0</v>
      </c>
      <c r="Q308" s="44" t="str">
        <f t="shared" si="11"/>
        <v>syn BTCZ6/BTCX6/BTCF7/BTCU6/BTCV6/BTCG7</v>
      </c>
      <c r="R308" s="14">
        <f>'MKT DATA'!AB1991</f>
        <v>0</v>
      </c>
    </row>
    <row r="309" spans="5:18" x14ac:dyDescent="0.25">
      <c r="E309" s="44" t="str">
        <f>'MKT DATA'!B1992</f>
        <v>syn BTCZ6/BTCX6/BTCF7/BTCV6/BTCU6/BTCG7</v>
      </c>
      <c r="F309" s="14">
        <f>'MKT DATA'!J1992</f>
        <v>0</v>
      </c>
      <c r="G309" s="9">
        <f>'MKT DATA'!K1992</f>
        <v>0</v>
      </c>
      <c r="H309" s="9">
        <f>'MKT DATA'!L1992</f>
        <v>0</v>
      </c>
      <c r="I309" s="14">
        <f>'MKT DATA'!M1992</f>
        <v>0</v>
      </c>
      <c r="J309" s="44" t="str">
        <f t="shared" si="10"/>
        <v>syn BTCZ6/BTCX6/BTCF7/BTCV6/BTCU6/BTCG7</v>
      </c>
      <c r="K309" s="9">
        <f>'MKT DATA'!O1992</f>
        <v>0</v>
      </c>
      <c r="L309" s="9">
        <f>'MKT DATA'!P1992</f>
        <v>0</v>
      </c>
      <c r="M309" s="9">
        <f>'MKT DATA'!Q1992</f>
        <v>0</v>
      </c>
      <c r="N309" s="9">
        <f>'MKT DATA'!R1992</f>
        <v>0</v>
      </c>
      <c r="O309" s="9">
        <f>'MKT DATA'!S1992</f>
        <v>0</v>
      </c>
      <c r="P309" s="9">
        <f>'MKT DATA'!T1992</f>
        <v>0</v>
      </c>
      <c r="Q309" s="44" t="str">
        <f t="shared" si="11"/>
        <v>syn BTCZ6/BTCX6/BTCF7/BTCV6/BTCU6/BTCG7</v>
      </c>
      <c r="R309" s="14">
        <f>'MKT DATA'!AB1992</f>
        <v>0</v>
      </c>
    </row>
    <row r="310" spans="5:18" x14ac:dyDescent="0.25">
      <c r="E310" s="44" t="str">
        <f>'MKT DATA'!B1993</f>
        <v>syn BTCZ6/BTCF7/BTCU6/BTCV6/BTCX6/BTCG7</v>
      </c>
      <c r="F310" s="14">
        <f>'MKT DATA'!J1993</f>
        <v>0</v>
      </c>
      <c r="G310" s="9">
        <f>'MKT DATA'!K1993</f>
        <v>0</v>
      </c>
      <c r="H310" s="9">
        <f>'MKT DATA'!L1993</f>
        <v>0</v>
      </c>
      <c r="I310" s="14">
        <f>'MKT DATA'!M1993</f>
        <v>0</v>
      </c>
      <c r="J310" s="44" t="str">
        <f t="shared" si="10"/>
        <v>syn BTCZ6/BTCF7/BTCU6/BTCV6/BTCX6/BTCG7</v>
      </c>
      <c r="K310" s="9">
        <f>'MKT DATA'!O1993</f>
        <v>0</v>
      </c>
      <c r="L310" s="9">
        <f>'MKT DATA'!P1993</f>
        <v>0</v>
      </c>
      <c r="M310" s="9">
        <f>'MKT DATA'!Q1993</f>
        <v>0</v>
      </c>
      <c r="N310" s="9">
        <f>'MKT DATA'!R1993</f>
        <v>0</v>
      </c>
      <c r="O310" s="9">
        <f>'MKT DATA'!S1993</f>
        <v>0</v>
      </c>
      <c r="P310" s="9">
        <f>'MKT DATA'!T1993</f>
        <v>0</v>
      </c>
      <c r="Q310" s="44" t="str">
        <f t="shared" si="11"/>
        <v>syn BTCZ6/BTCF7/BTCU6/BTCV6/BTCX6/BTCG7</v>
      </c>
      <c r="R310" s="14">
        <f>'MKT DATA'!AB1993</f>
        <v>0</v>
      </c>
    </row>
    <row r="311" spans="5:18" x14ac:dyDescent="0.25">
      <c r="E311" s="44" t="str">
        <f>'MKT DATA'!B1994</f>
        <v>syn BTCZ6/BTCF7/BTCU6/BTCX6/BTCV6/BTCG7</v>
      </c>
      <c r="F311" s="14">
        <f>'MKT DATA'!J1994</f>
        <v>0</v>
      </c>
      <c r="G311" s="9">
        <f>'MKT DATA'!K1994</f>
        <v>0</v>
      </c>
      <c r="H311" s="9">
        <f>'MKT DATA'!L1994</f>
        <v>0</v>
      </c>
      <c r="I311" s="14">
        <f>'MKT DATA'!M1994</f>
        <v>0</v>
      </c>
      <c r="J311" s="44" t="str">
        <f t="shared" si="10"/>
        <v>syn BTCZ6/BTCF7/BTCU6/BTCX6/BTCV6/BTCG7</v>
      </c>
      <c r="K311" s="9">
        <f>'MKT DATA'!O1994</f>
        <v>0</v>
      </c>
      <c r="L311" s="9">
        <f>'MKT DATA'!P1994</f>
        <v>0</v>
      </c>
      <c r="M311" s="9">
        <f>'MKT DATA'!Q1994</f>
        <v>0</v>
      </c>
      <c r="N311" s="9">
        <f>'MKT DATA'!R1994</f>
        <v>0</v>
      </c>
      <c r="O311" s="9">
        <f>'MKT DATA'!S1994</f>
        <v>0</v>
      </c>
      <c r="P311" s="9">
        <f>'MKT DATA'!T1994</f>
        <v>0</v>
      </c>
      <c r="Q311" s="44" t="str">
        <f t="shared" si="11"/>
        <v>syn BTCZ6/BTCF7/BTCU6/BTCX6/BTCV6/BTCG7</v>
      </c>
      <c r="R311" s="14">
        <f>'MKT DATA'!AB1994</f>
        <v>0</v>
      </c>
    </row>
    <row r="312" spans="5:18" x14ac:dyDescent="0.25">
      <c r="E312" s="44" t="str">
        <f>'MKT DATA'!B1995</f>
        <v>syn BTCZ6/BTCF7/BTCV6/BTCU6/BTCX6/BTCG7</v>
      </c>
      <c r="F312" s="14">
        <f>'MKT DATA'!J1995</f>
        <v>0</v>
      </c>
      <c r="G312" s="9">
        <f>'MKT DATA'!K1995</f>
        <v>0</v>
      </c>
      <c r="H312" s="9">
        <f>'MKT DATA'!L1995</f>
        <v>0</v>
      </c>
      <c r="I312" s="14">
        <f>'MKT DATA'!M1995</f>
        <v>0</v>
      </c>
      <c r="J312" s="44" t="str">
        <f t="shared" si="10"/>
        <v>syn BTCZ6/BTCF7/BTCV6/BTCU6/BTCX6/BTCG7</v>
      </c>
      <c r="K312" s="9">
        <f>'MKT DATA'!O1995</f>
        <v>0</v>
      </c>
      <c r="L312" s="9">
        <f>'MKT DATA'!P1995</f>
        <v>0</v>
      </c>
      <c r="M312" s="9">
        <f>'MKT DATA'!Q1995</f>
        <v>0</v>
      </c>
      <c r="N312" s="9">
        <f>'MKT DATA'!R1995</f>
        <v>0</v>
      </c>
      <c r="O312" s="9">
        <f>'MKT DATA'!S1995</f>
        <v>0</v>
      </c>
      <c r="P312" s="9">
        <f>'MKT DATA'!T1995</f>
        <v>0</v>
      </c>
      <c r="Q312" s="44" t="str">
        <f t="shared" si="11"/>
        <v>syn BTCZ6/BTCF7/BTCV6/BTCU6/BTCX6/BTCG7</v>
      </c>
      <c r="R312" s="14">
        <f>'MKT DATA'!AB1995</f>
        <v>0</v>
      </c>
    </row>
    <row r="313" spans="5:18" x14ac:dyDescent="0.25">
      <c r="E313" s="44" t="str">
        <f>'MKT DATA'!B1996</f>
        <v>syn BTCZ6/BTCF7/BTCV6/BTCX6/BTCU6/BTCG7</v>
      </c>
      <c r="F313" s="14">
        <f>'MKT DATA'!J1996</f>
        <v>0</v>
      </c>
      <c r="G313" s="9">
        <f>'MKT DATA'!K1996</f>
        <v>0</v>
      </c>
      <c r="H313" s="9">
        <f>'MKT DATA'!L1996</f>
        <v>0</v>
      </c>
      <c r="I313" s="14">
        <f>'MKT DATA'!M1996</f>
        <v>0</v>
      </c>
      <c r="J313" s="44" t="str">
        <f t="shared" si="10"/>
        <v>syn BTCZ6/BTCF7/BTCV6/BTCX6/BTCU6/BTCG7</v>
      </c>
      <c r="K313" s="9">
        <f>'MKT DATA'!O1996</f>
        <v>0</v>
      </c>
      <c r="L313" s="9">
        <f>'MKT DATA'!P1996</f>
        <v>0</v>
      </c>
      <c r="M313" s="9">
        <f>'MKT DATA'!Q1996</f>
        <v>0</v>
      </c>
      <c r="N313" s="9">
        <f>'MKT DATA'!R1996</f>
        <v>0</v>
      </c>
      <c r="O313" s="9">
        <f>'MKT DATA'!S1996</f>
        <v>0</v>
      </c>
      <c r="P313" s="9">
        <f>'MKT DATA'!T1996</f>
        <v>0</v>
      </c>
      <c r="Q313" s="44" t="str">
        <f t="shared" si="11"/>
        <v>syn BTCZ6/BTCF7/BTCV6/BTCX6/BTCU6/BTCG7</v>
      </c>
      <c r="R313" s="14">
        <f>'MKT DATA'!AB1996</f>
        <v>0</v>
      </c>
    </row>
    <row r="314" spans="5:18" x14ac:dyDescent="0.25">
      <c r="E314" s="44" t="str">
        <f>'MKT DATA'!B1997</f>
        <v>syn BTCZ6/BTCF7/BTCX6/BTCU6/BTCV6/BTCG7</v>
      </c>
      <c r="F314" s="14">
        <f>'MKT DATA'!J1997</f>
        <v>0</v>
      </c>
      <c r="G314" s="9">
        <f>'MKT DATA'!K1997</f>
        <v>0</v>
      </c>
      <c r="H314" s="9">
        <f>'MKT DATA'!L1997</f>
        <v>0</v>
      </c>
      <c r="I314" s="14">
        <f>'MKT DATA'!M1997</f>
        <v>0</v>
      </c>
      <c r="J314" s="44" t="str">
        <f t="shared" si="10"/>
        <v>syn BTCZ6/BTCF7/BTCX6/BTCU6/BTCV6/BTCG7</v>
      </c>
      <c r="K314" s="9">
        <f>'MKT DATA'!O1997</f>
        <v>0</v>
      </c>
      <c r="L314" s="9">
        <f>'MKT DATA'!P1997</f>
        <v>0</v>
      </c>
      <c r="M314" s="9">
        <f>'MKT DATA'!Q1997</f>
        <v>0</v>
      </c>
      <c r="N314" s="9">
        <f>'MKT DATA'!R1997</f>
        <v>0</v>
      </c>
      <c r="O314" s="9">
        <f>'MKT DATA'!S1997</f>
        <v>0</v>
      </c>
      <c r="P314" s="9">
        <f>'MKT DATA'!T1997</f>
        <v>0</v>
      </c>
      <c r="Q314" s="44" t="str">
        <f t="shared" si="11"/>
        <v>syn BTCZ6/BTCF7/BTCX6/BTCU6/BTCV6/BTCG7</v>
      </c>
      <c r="R314" s="14">
        <f>'MKT DATA'!AB1997</f>
        <v>0</v>
      </c>
    </row>
    <row r="315" spans="5:18" x14ac:dyDescent="0.25">
      <c r="E315" s="44" t="str">
        <f>'MKT DATA'!B1998</f>
        <v>syn BTCZ6/BTCF7/BTCX6/BTCV6/BTCU6/BTCG7</v>
      </c>
      <c r="F315" s="14">
        <f>'MKT DATA'!J1998</f>
        <v>0</v>
      </c>
      <c r="G315" s="9">
        <f>'MKT DATA'!K1998</f>
        <v>0</v>
      </c>
      <c r="H315" s="9">
        <f>'MKT DATA'!L1998</f>
        <v>0</v>
      </c>
      <c r="I315" s="14">
        <f>'MKT DATA'!M1998</f>
        <v>0</v>
      </c>
      <c r="J315" s="44" t="str">
        <f t="shared" si="10"/>
        <v>syn BTCZ6/BTCF7/BTCX6/BTCV6/BTCU6/BTCG7</v>
      </c>
      <c r="K315" s="9">
        <f>'MKT DATA'!O1998</f>
        <v>0</v>
      </c>
      <c r="L315" s="9">
        <f>'MKT DATA'!P1998</f>
        <v>0</v>
      </c>
      <c r="M315" s="9">
        <f>'MKT DATA'!Q1998</f>
        <v>0</v>
      </c>
      <c r="N315" s="9">
        <f>'MKT DATA'!R1998</f>
        <v>0</v>
      </c>
      <c r="O315" s="9">
        <f>'MKT DATA'!S1998</f>
        <v>0</v>
      </c>
      <c r="P315" s="9">
        <f>'MKT DATA'!T1998</f>
        <v>0</v>
      </c>
      <c r="Q315" s="44" t="str">
        <f t="shared" si="11"/>
        <v>syn BTCZ6/BTCF7/BTCX6/BTCV6/BTCU6/BTCG7</v>
      </c>
      <c r="R315" s="14">
        <f>'MKT DATA'!AB1998</f>
        <v>0</v>
      </c>
    </row>
    <row r="316" spans="5:18" x14ac:dyDescent="0.25">
      <c r="E316" s="44" t="str">
        <f>'MKT DATA'!B1999</f>
        <v>syn BTCF7/BTCU6/BTCV6/BTCX6/BTCZ6/BTCG7</v>
      </c>
      <c r="F316" s="14">
        <f>'MKT DATA'!J1999</f>
        <v>0</v>
      </c>
      <c r="G316" s="9">
        <f>'MKT DATA'!K1999</f>
        <v>0</v>
      </c>
      <c r="H316" s="9">
        <f>'MKT DATA'!L1999</f>
        <v>0</v>
      </c>
      <c r="I316" s="14">
        <f>'MKT DATA'!M1999</f>
        <v>0</v>
      </c>
      <c r="J316" s="44" t="str">
        <f t="shared" si="10"/>
        <v>syn BTCF7/BTCU6/BTCV6/BTCX6/BTCZ6/BTCG7</v>
      </c>
      <c r="K316" s="9">
        <f>'MKT DATA'!O1999</f>
        <v>0</v>
      </c>
      <c r="L316" s="9">
        <f>'MKT DATA'!P1999</f>
        <v>0</v>
      </c>
      <c r="M316" s="9">
        <f>'MKT DATA'!Q1999</f>
        <v>0</v>
      </c>
      <c r="N316" s="9">
        <f>'MKT DATA'!R1999</f>
        <v>0</v>
      </c>
      <c r="O316" s="9">
        <f>'MKT DATA'!S1999</f>
        <v>0</v>
      </c>
      <c r="P316" s="9">
        <f>'MKT DATA'!T1999</f>
        <v>0</v>
      </c>
      <c r="Q316" s="44" t="str">
        <f t="shared" si="11"/>
        <v>syn BTCF7/BTCU6/BTCV6/BTCX6/BTCZ6/BTCG7</v>
      </c>
      <c r="R316" s="14">
        <f>'MKT DATA'!AB1999</f>
        <v>0</v>
      </c>
    </row>
    <row r="317" spans="5:18" x14ac:dyDescent="0.25">
      <c r="E317" s="44" t="str">
        <f>'MKT DATA'!B2000</f>
        <v>syn BTCF7/BTCU6/BTCV6/BTCZ6/BTCX6/BTCG7</v>
      </c>
      <c r="F317" s="14">
        <f>'MKT DATA'!J2000</f>
        <v>0</v>
      </c>
      <c r="G317" s="9">
        <f>'MKT DATA'!K2000</f>
        <v>0</v>
      </c>
      <c r="H317" s="9">
        <f>'MKT DATA'!L2000</f>
        <v>0</v>
      </c>
      <c r="I317" s="14">
        <f>'MKT DATA'!M2000</f>
        <v>0</v>
      </c>
      <c r="J317" s="44" t="str">
        <f t="shared" si="10"/>
        <v>syn BTCF7/BTCU6/BTCV6/BTCZ6/BTCX6/BTCG7</v>
      </c>
      <c r="K317" s="9">
        <f>'MKT DATA'!O2000</f>
        <v>0</v>
      </c>
      <c r="L317" s="9">
        <f>'MKT DATA'!P2000</f>
        <v>0</v>
      </c>
      <c r="M317" s="9">
        <f>'MKT DATA'!Q2000</f>
        <v>0</v>
      </c>
      <c r="N317" s="9">
        <f>'MKT DATA'!R2000</f>
        <v>0</v>
      </c>
      <c r="O317" s="9">
        <f>'MKT DATA'!S2000</f>
        <v>0</v>
      </c>
      <c r="P317" s="9">
        <f>'MKT DATA'!T2000</f>
        <v>0</v>
      </c>
      <c r="Q317" s="44" t="str">
        <f t="shared" si="11"/>
        <v>syn BTCF7/BTCU6/BTCV6/BTCZ6/BTCX6/BTCG7</v>
      </c>
      <c r="R317" s="14">
        <f>'MKT DATA'!AB2000</f>
        <v>0</v>
      </c>
    </row>
    <row r="318" spans="5:18" x14ac:dyDescent="0.25">
      <c r="E318" s="44" t="str">
        <f>'MKT DATA'!B2001</f>
        <v>syn BTCF7/BTCU6/BTCX6/BTCV6/BTCZ6/BTCG7</v>
      </c>
      <c r="F318" s="14">
        <f>'MKT DATA'!J2001</f>
        <v>0</v>
      </c>
      <c r="G318" s="9">
        <f>'MKT DATA'!K2001</f>
        <v>0</v>
      </c>
      <c r="H318" s="9">
        <f>'MKT DATA'!L2001</f>
        <v>0</v>
      </c>
      <c r="I318" s="14">
        <f>'MKT DATA'!M2001</f>
        <v>0</v>
      </c>
      <c r="J318" s="44" t="str">
        <f t="shared" si="10"/>
        <v>syn BTCF7/BTCU6/BTCX6/BTCV6/BTCZ6/BTCG7</v>
      </c>
      <c r="K318" s="9">
        <f>'MKT DATA'!O2001</f>
        <v>0</v>
      </c>
      <c r="L318" s="9">
        <f>'MKT DATA'!P2001</f>
        <v>0</v>
      </c>
      <c r="M318" s="9">
        <f>'MKT DATA'!Q2001</f>
        <v>0</v>
      </c>
      <c r="N318" s="9">
        <f>'MKT DATA'!R2001</f>
        <v>0</v>
      </c>
      <c r="O318" s="9">
        <f>'MKT DATA'!S2001</f>
        <v>0</v>
      </c>
      <c r="P318" s="9">
        <f>'MKT DATA'!T2001</f>
        <v>0</v>
      </c>
      <c r="Q318" s="44" t="str">
        <f t="shared" si="11"/>
        <v>syn BTCF7/BTCU6/BTCX6/BTCV6/BTCZ6/BTCG7</v>
      </c>
      <c r="R318" s="14">
        <f>'MKT DATA'!AB2001</f>
        <v>0</v>
      </c>
    </row>
    <row r="319" spans="5:18" x14ac:dyDescent="0.25">
      <c r="E319" s="44" t="str">
        <f>'MKT DATA'!B2002</f>
        <v>syn BTCF7/BTCU6/BTCX6/BTCZ6/BTCV6/BTCG7</v>
      </c>
      <c r="F319" s="14">
        <f>'MKT DATA'!J2002</f>
        <v>0</v>
      </c>
      <c r="G319" s="9">
        <f>'MKT DATA'!K2002</f>
        <v>0</v>
      </c>
      <c r="H319" s="9">
        <f>'MKT DATA'!L2002</f>
        <v>0</v>
      </c>
      <c r="I319" s="14">
        <f>'MKT DATA'!M2002</f>
        <v>0</v>
      </c>
      <c r="J319" s="44" t="str">
        <f t="shared" si="10"/>
        <v>syn BTCF7/BTCU6/BTCX6/BTCZ6/BTCV6/BTCG7</v>
      </c>
      <c r="K319" s="9">
        <f>'MKT DATA'!O2002</f>
        <v>0</v>
      </c>
      <c r="L319" s="9">
        <f>'MKT DATA'!P2002</f>
        <v>0</v>
      </c>
      <c r="M319" s="9">
        <f>'MKT DATA'!Q2002</f>
        <v>0</v>
      </c>
      <c r="N319" s="9">
        <f>'MKT DATA'!R2002</f>
        <v>0</v>
      </c>
      <c r="O319" s="9">
        <f>'MKT DATA'!S2002</f>
        <v>0</v>
      </c>
      <c r="P319" s="9">
        <f>'MKT DATA'!T2002</f>
        <v>0</v>
      </c>
      <c r="Q319" s="44" t="str">
        <f t="shared" si="11"/>
        <v>syn BTCF7/BTCU6/BTCX6/BTCZ6/BTCV6/BTCG7</v>
      </c>
      <c r="R319" s="14">
        <f>'MKT DATA'!AB2002</f>
        <v>0</v>
      </c>
    </row>
    <row r="320" spans="5:18" x14ac:dyDescent="0.25">
      <c r="E320" s="44" t="str">
        <f>'MKT DATA'!B2003</f>
        <v>syn BTCF7/BTCU6/BTCZ6/BTCV6/BTCX6/BTCG7</v>
      </c>
      <c r="F320" s="14">
        <f>'MKT DATA'!J2003</f>
        <v>0</v>
      </c>
      <c r="G320" s="9">
        <f>'MKT DATA'!K2003</f>
        <v>0</v>
      </c>
      <c r="H320" s="9">
        <f>'MKT DATA'!L2003</f>
        <v>0</v>
      </c>
      <c r="I320" s="14">
        <f>'MKT DATA'!M2003</f>
        <v>0</v>
      </c>
      <c r="J320" s="44" t="str">
        <f t="shared" si="10"/>
        <v>syn BTCF7/BTCU6/BTCZ6/BTCV6/BTCX6/BTCG7</v>
      </c>
      <c r="K320" s="9">
        <f>'MKT DATA'!O2003</f>
        <v>0</v>
      </c>
      <c r="L320" s="9">
        <f>'MKT DATA'!P2003</f>
        <v>0</v>
      </c>
      <c r="M320" s="9">
        <f>'MKT DATA'!Q2003</f>
        <v>0</v>
      </c>
      <c r="N320" s="9">
        <f>'MKT DATA'!R2003</f>
        <v>0</v>
      </c>
      <c r="O320" s="9">
        <f>'MKT DATA'!S2003</f>
        <v>0</v>
      </c>
      <c r="P320" s="9">
        <f>'MKT DATA'!T2003</f>
        <v>0</v>
      </c>
      <c r="Q320" s="44" t="str">
        <f t="shared" si="11"/>
        <v>syn BTCF7/BTCU6/BTCZ6/BTCV6/BTCX6/BTCG7</v>
      </c>
      <c r="R320" s="14">
        <f>'MKT DATA'!AB2003</f>
        <v>0</v>
      </c>
    </row>
    <row r="321" spans="5:18" x14ac:dyDescent="0.25">
      <c r="E321" s="44" t="str">
        <f>'MKT DATA'!B2004</f>
        <v>syn BTCF7/BTCU6/BTCZ6/BTCX6/BTCV6/BTCG7</v>
      </c>
      <c r="F321" s="14">
        <f>'MKT DATA'!J2004</f>
        <v>0</v>
      </c>
      <c r="G321" s="9">
        <f>'MKT DATA'!K2004</f>
        <v>0</v>
      </c>
      <c r="H321" s="9">
        <f>'MKT DATA'!L2004</f>
        <v>0</v>
      </c>
      <c r="I321" s="14">
        <f>'MKT DATA'!M2004</f>
        <v>0</v>
      </c>
      <c r="J321" s="44" t="str">
        <f t="shared" si="10"/>
        <v>syn BTCF7/BTCU6/BTCZ6/BTCX6/BTCV6/BTCG7</v>
      </c>
      <c r="K321" s="9">
        <f>'MKT DATA'!O2004</f>
        <v>0</v>
      </c>
      <c r="L321" s="9">
        <f>'MKT DATA'!P2004</f>
        <v>0</v>
      </c>
      <c r="M321" s="9">
        <f>'MKT DATA'!Q2004</f>
        <v>0</v>
      </c>
      <c r="N321" s="9">
        <f>'MKT DATA'!R2004</f>
        <v>0</v>
      </c>
      <c r="O321" s="9">
        <f>'MKT DATA'!S2004</f>
        <v>0</v>
      </c>
      <c r="P321" s="9">
        <f>'MKT DATA'!T2004</f>
        <v>0</v>
      </c>
      <c r="Q321" s="44" t="str">
        <f t="shared" si="11"/>
        <v>syn BTCF7/BTCU6/BTCZ6/BTCX6/BTCV6/BTCG7</v>
      </c>
      <c r="R321" s="14">
        <f>'MKT DATA'!AB2004</f>
        <v>0</v>
      </c>
    </row>
    <row r="322" spans="5:18" x14ac:dyDescent="0.25">
      <c r="E322" s="44" t="str">
        <f>'MKT DATA'!B2005</f>
        <v>syn BTCF7/BTCV6/BTCU6/BTCX6/BTCZ6/BTCG7</v>
      </c>
      <c r="F322" s="14">
        <f>'MKT DATA'!J2005</f>
        <v>0</v>
      </c>
      <c r="G322" s="9">
        <f>'MKT DATA'!K2005</f>
        <v>0</v>
      </c>
      <c r="H322" s="9">
        <f>'MKT DATA'!L2005</f>
        <v>0</v>
      </c>
      <c r="I322" s="14">
        <f>'MKT DATA'!M2005</f>
        <v>0</v>
      </c>
      <c r="J322" s="44" t="str">
        <f t="shared" si="10"/>
        <v>syn BTCF7/BTCV6/BTCU6/BTCX6/BTCZ6/BTCG7</v>
      </c>
      <c r="K322" s="9">
        <f>'MKT DATA'!O2005</f>
        <v>0</v>
      </c>
      <c r="L322" s="9">
        <f>'MKT DATA'!P2005</f>
        <v>0</v>
      </c>
      <c r="M322" s="9">
        <f>'MKT DATA'!Q2005</f>
        <v>0</v>
      </c>
      <c r="N322" s="9">
        <f>'MKT DATA'!R2005</f>
        <v>0</v>
      </c>
      <c r="O322" s="9">
        <f>'MKT DATA'!S2005</f>
        <v>0</v>
      </c>
      <c r="P322" s="9">
        <f>'MKT DATA'!T2005</f>
        <v>0</v>
      </c>
      <c r="Q322" s="44" t="str">
        <f t="shared" si="11"/>
        <v>syn BTCF7/BTCV6/BTCU6/BTCX6/BTCZ6/BTCG7</v>
      </c>
      <c r="R322" s="14">
        <f>'MKT DATA'!AB2005</f>
        <v>0</v>
      </c>
    </row>
    <row r="323" spans="5:18" x14ac:dyDescent="0.25">
      <c r="E323" s="44" t="str">
        <f>'MKT DATA'!B2006</f>
        <v>syn BTCF7/BTCV6/BTCU6/BTCZ6/BTCX6/BTCG7</v>
      </c>
      <c r="F323" s="14">
        <f>'MKT DATA'!J2006</f>
        <v>0</v>
      </c>
      <c r="G323" s="9">
        <f>'MKT DATA'!K2006</f>
        <v>0</v>
      </c>
      <c r="H323" s="9">
        <f>'MKT DATA'!L2006</f>
        <v>0</v>
      </c>
      <c r="I323" s="14">
        <f>'MKT DATA'!M2006</f>
        <v>0</v>
      </c>
      <c r="J323" s="44" t="str">
        <f t="shared" si="10"/>
        <v>syn BTCF7/BTCV6/BTCU6/BTCZ6/BTCX6/BTCG7</v>
      </c>
      <c r="K323" s="9">
        <f>'MKT DATA'!O2006</f>
        <v>0</v>
      </c>
      <c r="L323" s="9">
        <f>'MKT DATA'!P2006</f>
        <v>0</v>
      </c>
      <c r="M323" s="9">
        <f>'MKT DATA'!Q2006</f>
        <v>0</v>
      </c>
      <c r="N323" s="9">
        <f>'MKT DATA'!R2006</f>
        <v>0</v>
      </c>
      <c r="O323" s="9">
        <f>'MKT DATA'!S2006</f>
        <v>0</v>
      </c>
      <c r="P323" s="9">
        <f>'MKT DATA'!T2006</f>
        <v>0</v>
      </c>
      <c r="Q323" s="44" t="str">
        <f t="shared" si="11"/>
        <v>syn BTCF7/BTCV6/BTCU6/BTCZ6/BTCX6/BTCG7</v>
      </c>
      <c r="R323" s="14">
        <f>'MKT DATA'!AB2006</f>
        <v>0</v>
      </c>
    </row>
    <row r="324" spans="5:18" x14ac:dyDescent="0.25">
      <c r="E324" s="44" t="str">
        <f>'MKT DATA'!B2007</f>
        <v>syn BTCF7/BTCV6/BTCX6/BTCU6/BTCZ6/BTCG7</v>
      </c>
      <c r="F324" s="14">
        <f>'MKT DATA'!J2007</f>
        <v>0</v>
      </c>
      <c r="G324" s="9">
        <f>'MKT DATA'!K2007</f>
        <v>0</v>
      </c>
      <c r="H324" s="9">
        <f>'MKT DATA'!L2007</f>
        <v>0</v>
      </c>
      <c r="I324" s="14">
        <f>'MKT DATA'!M2007</f>
        <v>0</v>
      </c>
      <c r="J324" s="44" t="str">
        <f t="shared" si="10"/>
        <v>syn BTCF7/BTCV6/BTCX6/BTCU6/BTCZ6/BTCG7</v>
      </c>
      <c r="K324" s="9">
        <f>'MKT DATA'!O2007</f>
        <v>0</v>
      </c>
      <c r="L324" s="9">
        <f>'MKT DATA'!P2007</f>
        <v>0</v>
      </c>
      <c r="M324" s="9">
        <f>'MKT DATA'!Q2007</f>
        <v>0</v>
      </c>
      <c r="N324" s="9">
        <f>'MKT DATA'!R2007</f>
        <v>0</v>
      </c>
      <c r="O324" s="9">
        <f>'MKT DATA'!S2007</f>
        <v>0</v>
      </c>
      <c r="P324" s="9">
        <f>'MKT DATA'!T2007</f>
        <v>0</v>
      </c>
      <c r="Q324" s="44" t="str">
        <f t="shared" si="11"/>
        <v>syn BTCF7/BTCV6/BTCX6/BTCU6/BTCZ6/BTCG7</v>
      </c>
      <c r="R324" s="14">
        <f>'MKT DATA'!AB2007</f>
        <v>0</v>
      </c>
    </row>
    <row r="325" spans="5:18" x14ac:dyDescent="0.25">
      <c r="E325" s="44" t="str">
        <f>'MKT DATA'!B2008</f>
        <v>syn BTCF7/BTCV6/BTCX6/BTCZ6/BTCU6/BTCG7</v>
      </c>
      <c r="F325" s="14">
        <f>'MKT DATA'!J2008</f>
        <v>0</v>
      </c>
      <c r="G325" s="9">
        <f>'MKT DATA'!K2008</f>
        <v>0</v>
      </c>
      <c r="H325" s="9">
        <f>'MKT DATA'!L2008</f>
        <v>0</v>
      </c>
      <c r="I325" s="14">
        <f>'MKT DATA'!M2008</f>
        <v>0</v>
      </c>
      <c r="J325" s="44" t="str">
        <f t="shared" si="10"/>
        <v>syn BTCF7/BTCV6/BTCX6/BTCZ6/BTCU6/BTCG7</v>
      </c>
      <c r="K325" s="9">
        <f>'MKT DATA'!O2008</f>
        <v>0</v>
      </c>
      <c r="L325" s="9">
        <f>'MKT DATA'!P2008</f>
        <v>0</v>
      </c>
      <c r="M325" s="9">
        <f>'MKT DATA'!Q2008</f>
        <v>0</v>
      </c>
      <c r="N325" s="9">
        <f>'MKT DATA'!R2008</f>
        <v>0</v>
      </c>
      <c r="O325" s="9">
        <f>'MKT DATA'!S2008</f>
        <v>0</v>
      </c>
      <c r="P325" s="9">
        <f>'MKT DATA'!T2008</f>
        <v>0</v>
      </c>
      <c r="Q325" s="44" t="str">
        <f t="shared" si="11"/>
        <v>syn BTCF7/BTCV6/BTCX6/BTCZ6/BTCU6/BTCG7</v>
      </c>
      <c r="R325" s="14">
        <f>'MKT DATA'!AB2008</f>
        <v>0</v>
      </c>
    </row>
    <row r="326" spans="5:18" x14ac:dyDescent="0.25">
      <c r="E326" s="44" t="str">
        <f>'MKT DATA'!B2009</f>
        <v>syn BTCF7/BTCV6/BTCZ6/BTCU6/BTCX6/BTCG7</v>
      </c>
      <c r="F326" s="14">
        <f>'MKT DATA'!J2009</f>
        <v>0</v>
      </c>
      <c r="G326" s="9">
        <f>'MKT DATA'!K2009</f>
        <v>0</v>
      </c>
      <c r="H326" s="9">
        <f>'MKT DATA'!L2009</f>
        <v>0</v>
      </c>
      <c r="I326" s="14">
        <f>'MKT DATA'!M2009</f>
        <v>0</v>
      </c>
      <c r="J326" s="44" t="str">
        <f t="shared" si="10"/>
        <v>syn BTCF7/BTCV6/BTCZ6/BTCU6/BTCX6/BTCG7</v>
      </c>
      <c r="K326" s="9">
        <f>'MKT DATA'!O2009</f>
        <v>0</v>
      </c>
      <c r="L326" s="9">
        <f>'MKT DATA'!P2009</f>
        <v>0</v>
      </c>
      <c r="M326" s="9">
        <f>'MKT DATA'!Q2009</f>
        <v>0</v>
      </c>
      <c r="N326" s="9">
        <f>'MKT DATA'!R2009</f>
        <v>0</v>
      </c>
      <c r="O326" s="9">
        <f>'MKT DATA'!S2009</f>
        <v>0</v>
      </c>
      <c r="P326" s="9">
        <f>'MKT DATA'!T2009</f>
        <v>0</v>
      </c>
      <c r="Q326" s="44" t="str">
        <f t="shared" si="11"/>
        <v>syn BTCF7/BTCV6/BTCZ6/BTCU6/BTCX6/BTCG7</v>
      </c>
      <c r="R326" s="14">
        <f>'MKT DATA'!AB2009</f>
        <v>0</v>
      </c>
    </row>
    <row r="327" spans="5:18" x14ac:dyDescent="0.25">
      <c r="E327" s="44" t="str">
        <f>'MKT DATA'!B2010</f>
        <v>syn BTCF7/BTCV6/BTCZ6/BTCX6/BTCU6/BTCG7</v>
      </c>
      <c r="F327" s="14">
        <f>'MKT DATA'!J2010</f>
        <v>0</v>
      </c>
      <c r="G327" s="9">
        <f>'MKT DATA'!K2010</f>
        <v>0</v>
      </c>
      <c r="H327" s="9">
        <f>'MKT DATA'!L2010</f>
        <v>0</v>
      </c>
      <c r="I327" s="14">
        <f>'MKT DATA'!M2010</f>
        <v>0</v>
      </c>
      <c r="J327" s="44" t="str">
        <f t="shared" si="10"/>
        <v>syn BTCF7/BTCV6/BTCZ6/BTCX6/BTCU6/BTCG7</v>
      </c>
      <c r="K327" s="9">
        <f>'MKT DATA'!O2010</f>
        <v>0</v>
      </c>
      <c r="L327" s="9">
        <f>'MKT DATA'!P2010</f>
        <v>0</v>
      </c>
      <c r="M327" s="9">
        <f>'MKT DATA'!Q2010</f>
        <v>0</v>
      </c>
      <c r="N327" s="9">
        <f>'MKT DATA'!R2010</f>
        <v>0</v>
      </c>
      <c r="O327" s="9">
        <f>'MKT DATA'!S2010</f>
        <v>0</v>
      </c>
      <c r="P327" s="9">
        <f>'MKT DATA'!T2010</f>
        <v>0</v>
      </c>
      <c r="Q327" s="44" t="str">
        <f t="shared" si="11"/>
        <v>syn BTCF7/BTCV6/BTCZ6/BTCX6/BTCU6/BTCG7</v>
      </c>
      <c r="R327" s="14">
        <f>'MKT DATA'!AB2010</f>
        <v>0</v>
      </c>
    </row>
    <row r="328" spans="5:18" x14ac:dyDescent="0.25">
      <c r="E328" s="44" t="str">
        <f>'MKT DATA'!B2011</f>
        <v>syn BTCF7/BTCX6/BTCU6/BTCV6/BTCZ6/BTCG7</v>
      </c>
      <c r="F328" s="14">
        <f>'MKT DATA'!J2011</f>
        <v>0</v>
      </c>
      <c r="G328" s="9">
        <f>'MKT DATA'!K2011</f>
        <v>0</v>
      </c>
      <c r="H328" s="9">
        <f>'MKT DATA'!L2011</f>
        <v>0</v>
      </c>
      <c r="I328" s="14">
        <f>'MKT DATA'!M2011</f>
        <v>0</v>
      </c>
      <c r="J328" s="44" t="str">
        <f t="shared" si="10"/>
        <v>syn BTCF7/BTCX6/BTCU6/BTCV6/BTCZ6/BTCG7</v>
      </c>
      <c r="K328" s="9">
        <f>'MKT DATA'!O2011</f>
        <v>0</v>
      </c>
      <c r="L328" s="9">
        <f>'MKT DATA'!P2011</f>
        <v>0</v>
      </c>
      <c r="M328" s="9">
        <f>'MKT DATA'!Q2011</f>
        <v>0</v>
      </c>
      <c r="N328" s="9">
        <f>'MKT DATA'!R2011</f>
        <v>0</v>
      </c>
      <c r="O328" s="9">
        <f>'MKT DATA'!S2011</f>
        <v>0</v>
      </c>
      <c r="P328" s="9">
        <f>'MKT DATA'!T2011</f>
        <v>0</v>
      </c>
      <c r="Q328" s="44" t="str">
        <f t="shared" si="11"/>
        <v>syn BTCF7/BTCX6/BTCU6/BTCV6/BTCZ6/BTCG7</v>
      </c>
      <c r="R328" s="14">
        <f>'MKT DATA'!AB2011</f>
        <v>0</v>
      </c>
    </row>
    <row r="329" spans="5:18" x14ac:dyDescent="0.25">
      <c r="E329" s="44" t="str">
        <f>'MKT DATA'!B2012</f>
        <v>syn BTCF7/BTCX6/BTCU6/BTCZ6/BTCV6/BTCG7</v>
      </c>
      <c r="F329" s="14">
        <f>'MKT DATA'!J2012</f>
        <v>0</v>
      </c>
      <c r="G329" s="9">
        <f>'MKT DATA'!K2012</f>
        <v>0</v>
      </c>
      <c r="H329" s="9">
        <f>'MKT DATA'!L2012</f>
        <v>0</v>
      </c>
      <c r="I329" s="14">
        <f>'MKT DATA'!M2012</f>
        <v>0</v>
      </c>
      <c r="J329" s="44" t="str">
        <f t="shared" si="10"/>
        <v>syn BTCF7/BTCX6/BTCU6/BTCZ6/BTCV6/BTCG7</v>
      </c>
      <c r="K329" s="9">
        <f>'MKT DATA'!O2012</f>
        <v>0</v>
      </c>
      <c r="L329" s="9">
        <f>'MKT DATA'!P2012</f>
        <v>0</v>
      </c>
      <c r="M329" s="9">
        <f>'MKT DATA'!Q2012</f>
        <v>0</v>
      </c>
      <c r="N329" s="9">
        <f>'MKT DATA'!R2012</f>
        <v>0</v>
      </c>
      <c r="O329" s="9">
        <f>'MKT DATA'!S2012</f>
        <v>0</v>
      </c>
      <c r="P329" s="9">
        <f>'MKT DATA'!T2012</f>
        <v>0</v>
      </c>
      <c r="Q329" s="44" t="str">
        <f t="shared" si="11"/>
        <v>syn BTCF7/BTCX6/BTCU6/BTCZ6/BTCV6/BTCG7</v>
      </c>
      <c r="R329" s="14">
        <f>'MKT DATA'!AB2012</f>
        <v>0</v>
      </c>
    </row>
    <row r="330" spans="5:18" x14ac:dyDescent="0.25">
      <c r="E330" s="44" t="str">
        <f>'MKT DATA'!B2013</f>
        <v>syn BTCF7/BTCX6/BTCV6/BTCU6/BTCZ6/BTCG7</v>
      </c>
      <c r="F330" s="14">
        <f>'MKT DATA'!J2013</f>
        <v>0</v>
      </c>
      <c r="G330" s="9">
        <f>'MKT DATA'!K2013</f>
        <v>0</v>
      </c>
      <c r="H330" s="9">
        <f>'MKT DATA'!L2013</f>
        <v>0</v>
      </c>
      <c r="I330" s="14">
        <f>'MKT DATA'!M2013</f>
        <v>0</v>
      </c>
      <c r="J330" s="44" t="str">
        <f t="shared" ref="J330:J333" si="12">E330</f>
        <v>syn BTCF7/BTCX6/BTCV6/BTCU6/BTCZ6/BTCG7</v>
      </c>
      <c r="K330" s="9">
        <f>'MKT DATA'!O2013</f>
        <v>0</v>
      </c>
      <c r="L330" s="9">
        <f>'MKT DATA'!P2013</f>
        <v>0</v>
      </c>
      <c r="M330" s="9">
        <f>'MKT DATA'!Q2013</f>
        <v>0</v>
      </c>
      <c r="N330" s="9">
        <f>'MKT DATA'!R2013</f>
        <v>0</v>
      </c>
      <c r="O330" s="9">
        <f>'MKT DATA'!S2013</f>
        <v>0</v>
      </c>
      <c r="P330" s="9">
        <f>'MKT DATA'!T2013</f>
        <v>0</v>
      </c>
      <c r="Q330" s="44" t="str">
        <f t="shared" ref="Q330:Q333" si="13">J330</f>
        <v>syn BTCF7/BTCX6/BTCV6/BTCU6/BTCZ6/BTCG7</v>
      </c>
      <c r="R330" s="14">
        <f>'MKT DATA'!AB2013</f>
        <v>0</v>
      </c>
    </row>
    <row r="331" spans="5:18" x14ac:dyDescent="0.25">
      <c r="E331" s="44" t="str">
        <f>'MKT DATA'!B2014</f>
        <v>syn BTCF7/BTCX6/BTCV6/BTCZ6/BTCU6/BTCG7</v>
      </c>
      <c r="F331" s="14">
        <f>'MKT DATA'!J2014</f>
        <v>0</v>
      </c>
      <c r="G331" s="9">
        <f>'MKT DATA'!K2014</f>
        <v>0</v>
      </c>
      <c r="H331" s="9">
        <f>'MKT DATA'!L2014</f>
        <v>0</v>
      </c>
      <c r="I331" s="14">
        <f>'MKT DATA'!M2014</f>
        <v>0</v>
      </c>
      <c r="J331" s="44" t="str">
        <f t="shared" si="12"/>
        <v>syn BTCF7/BTCX6/BTCV6/BTCZ6/BTCU6/BTCG7</v>
      </c>
      <c r="K331" s="9">
        <f>'MKT DATA'!O2014</f>
        <v>0</v>
      </c>
      <c r="L331" s="9">
        <f>'MKT DATA'!P2014</f>
        <v>0</v>
      </c>
      <c r="M331" s="9">
        <f>'MKT DATA'!Q2014</f>
        <v>0</v>
      </c>
      <c r="N331" s="9">
        <f>'MKT DATA'!R2014</f>
        <v>0</v>
      </c>
      <c r="O331" s="9">
        <f>'MKT DATA'!S2014</f>
        <v>0</v>
      </c>
      <c r="P331" s="9">
        <f>'MKT DATA'!T2014</f>
        <v>0</v>
      </c>
      <c r="Q331" s="44" t="str">
        <f t="shared" si="13"/>
        <v>syn BTCF7/BTCX6/BTCV6/BTCZ6/BTCU6/BTCG7</v>
      </c>
      <c r="R331" s="14">
        <f>'MKT DATA'!AB2014</f>
        <v>0</v>
      </c>
    </row>
    <row r="332" spans="5:18" x14ac:dyDescent="0.25">
      <c r="E332" s="44" t="str">
        <f>'MKT DATA'!B2015</f>
        <v>syn BTCF7/BTCX6/BTCZ6/BTCU6/BTCV6/BTCG7</v>
      </c>
      <c r="F332" s="14">
        <f>'MKT DATA'!J2015</f>
        <v>0</v>
      </c>
      <c r="G332" s="9">
        <f>'MKT DATA'!K2015</f>
        <v>0</v>
      </c>
      <c r="H332" s="9">
        <f>'MKT DATA'!L2015</f>
        <v>0</v>
      </c>
      <c r="I332" s="14">
        <f>'MKT DATA'!M2015</f>
        <v>0</v>
      </c>
      <c r="J332" s="44" t="str">
        <f t="shared" si="12"/>
        <v>syn BTCF7/BTCX6/BTCZ6/BTCU6/BTCV6/BTCG7</v>
      </c>
      <c r="K332" s="9">
        <f>'MKT DATA'!O2015</f>
        <v>0</v>
      </c>
      <c r="L332" s="9">
        <f>'MKT DATA'!P2015</f>
        <v>0</v>
      </c>
      <c r="M332" s="9">
        <f>'MKT DATA'!Q2015</f>
        <v>0</v>
      </c>
      <c r="N332" s="9">
        <f>'MKT DATA'!R2015</f>
        <v>0</v>
      </c>
      <c r="O332" s="9">
        <f>'MKT DATA'!S2015</f>
        <v>0</v>
      </c>
      <c r="P332" s="9">
        <f>'MKT DATA'!T2015</f>
        <v>0</v>
      </c>
      <c r="Q332" s="44" t="str">
        <f t="shared" si="13"/>
        <v>syn BTCF7/BTCX6/BTCZ6/BTCU6/BTCV6/BTCG7</v>
      </c>
      <c r="R332" s="14">
        <f>'MKT DATA'!AB2015</f>
        <v>0</v>
      </c>
    </row>
    <row r="333" spans="5:18" x14ac:dyDescent="0.25">
      <c r="E333" s="44" t="str">
        <f>'MKT DATA'!B2016</f>
        <v>syn BTCF7/BTCX6/BTCZ6/BTCV6/BTCU6/BTCG7</v>
      </c>
      <c r="F333" s="14">
        <f>'MKT DATA'!J2016</f>
        <v>0</v>
      </c>
      <c r="G333" s="9">
        <f>'MKT DATA'!K2016</f>
        <v>0</v>
      </c>
      <c r="H333" s="9">
        <f>'MKT DATA'!L2016</f>
        <v>0</v>
      </c>
      <c r="I333" s="14">
        <f>'MKT DATA'!M2016</f>
        <v>0</v>
      </c>
      <c r="J333" s="44" t="str">
        <f t="shared" si="12"/>
        <v>syn BTCF7/BTCX6/BTCZ6/BTCV6/BTCU6/BTCG7</v>
      </c>
      <c r="K333" s="9">
        <f>'MKT DATA'!O2016</f>
        <v>0</v>
      </c>
      <c r="L333" s="9">
        <f>'MKT DATA'!P2016</f>
        <v>0</v>
      </c>
      <c r="M333" s="9">
        <f>'MKT DATA'!Q2016</f>
        <v>0</v>
      </c>
      <c r="N333" s="9">
        <f>'MKT DATA'!R2016</f>
        <v>0</v>
      </c>
      <c r="O333" s="9">
        <f>'MKT DATA'!S2016</f>
        <v>0</v>
      </c>
      <c r="P333" s="9">
        <f>'MKT DATA'!T2016</f>
        <v>0</v>
      </c>
      <c r="Q333" s="44" t="str">
        <f t="shared" si="13"/>
        <v>syn BTCF7/BTCX6/BTCZ6/BTCV6/BTCU6/BTCG7</v>
      </c>
      <c r="R333" s="14">
        <f>'MKT DATA'!AB2016</f>
        <v>0</v>
      </c>
    </row>
    <row r="334" spans="5:18" x14ac:dyDescent="0.25">
      <c r="E334" s="44" t="str">
        <f>'MKT DATA'!B2017</f>
        <v>syn BTCF7/BTCZ6/BTCU6/BTCV6/BTCX6/BTCG7</v>
      </c>
      <c r="F334" s="14">
        <f>'MKT DATA'!J2017</f>
        <v>0</v>
      </c>
      <c r="G334" s="9">
        <f>'MKT DATA'!K2017</f>
        <v>0</v>
      </c>
      <c r="H334" s="9">
        <f>'MKT DATA'!L2017</f>
        <v>0</v>
      </c>
      <c r="I334" s="14">
        <f>'MKT DATA'!M2017</f>
        <v>0</v>
      </c>
      <c r="J334" s="44" t="str">
        <f t="shared" ref="J334:J339" si="14">E334</f>
        <v>syn BTCF7/BTCZ6/BTCU6/BTCV6/BTCX6/BTCG7</v>
      </c>
      <c r="K334" s="9">
        <f>'MKT DATA'!O2017</f>
        <v>0</v>
      </c>
      <c r="L334" s="9">
        <f>'MKT DATA'!P2017</f>
        <v>0</v>
      </c>
      <c r="M334" s="9">
        <f>'MKT DATA'!Q2017</f>
        <v>0</v>
      </c>
      <c r="N334" s="9">
        <f>'MKT DATA'!R2017</f>
        <v>0</v>
      </c>
      <c r="O334" s="9">
        <f>'MKT DATA'!S2017</f>
        <v>0</v>
      </c>
      <c r="P334" s="9">
        <f>'MKT DATA'!T2017</f>
        <v>0</v>
      </c>
      <c r="Q334" s="44" t="str">
        <f t="shared" ref="Q334:Q339" si="15">J334</f>
        <v>syn BTCF7/BTCZ6/BTCU6/BTCV6/BTCX6/BTCG7</v>
      </c>
      <c r="R334" s="14">
        <f>'MKT DATA'!AB2017</f>
        <v>0</v>
      </c>
    </row>
    <row r="335" spans="5:18" x14ac:dyDescent="0.25">
      <c r="E335" s="44" t="str">
        <f>'MKT DATA'!B2018</f>
        <v>syn BTCF7/BTCZ6/BTCU6/BTCX6/BTCV6/BTCG7</v>
      </c>
      <c r="F335" s="14">
        <f>'MKT DATA'!J2018</f>
        <v>0</v>
      </c>
      <c r="G335" s="9">
        <f>'MKT DATA'!K2018</f>
        <v>0</v>
      </c>
      <c r="H335" s="9">
        <f>'MKT DATA'!L2018</f>
        <v>0</v>
      </c>
      <c r="I335" s="14">
        <f>'MKT DATA'!M2018</f>
        <v>0</v>
      </c>
      <c r="J335" s="44" t="str">
        <f t="shared" si="14"/>
        <v>syn BTCF7/BTCZ6/BTCU6/BTCX6/BTCV6/BTCG7</v>
      </c>
      <c r="K335" s="9">
        <f>'MKT DATA'!O2018</f>
        <v>0</v>
      </c>
      <c r="L335" s="9">
        <f>'MKT DATA'!P2018</f>
        <v>0</v>
      </c>
      <c r="M335" s="9">
        <f>'MKT DATA'!Q2018</f>
        <v>0</v>
      </c>
      <c r="N335" s="9">
        <f>'MKT DATA'!R2018</f>
        <v>0</v>
      </c>
      <c r="O335" s="9">
        <f>'MKT DATA'!S2018</f>
        <v>0</v>
      </c>
      <c r="P335" s="9">
        <f>'MKT DATA'!T2018</f>
        <v>0</v>
      </c>
      <c r="Q335" s="44" t="str">
        <f t="shared" si="15"/>
        <v>syn BTCF7/BTCZ6/BTCU6/BTCX6/BTCV6/BTCG7</v>
      </c>
      <c r="R335" s="14">
        <f>'MKT DATA'!AB2018</f>
        <v>0</v>
      </c>
    </row>
    <row r="336" spans="5:18" x14ac:dyDescent="0.25">
      <c r="E336" s="44" t="str">
        <f>'MKT DATA'!B2019</f>
        <v>syn BTCF7/BTCZ6/BTCV6/BTCU6/BTCX6/BTCG7</v>
      </c>
      <c r="F336" s="14">
        <f>'MKT DATA'!J2019</f>
        <v>0</v>
      </c>
      <c r="G336" s="9">
        <f>'MKT DATA'!K2019</f>
        <v>0</v>
      </c>
      <c r="H336" s="9">
        <f>'MKT DATA'!L2019</f>
        <v>0</v>
      </c>
      <c r="I336" s="14">
        <f>'MKT DATA'!M2019</f>
        <v>0</v>
      </c>
      <c r="J336" s="44" t="str">
        <f t="shared" si="14"/>
        <v>syn BTCF7/BTCZ6/BTCV6/BTCU6/BTCX6/BTCG7</v>
      </c>
      <c r="K336" s="9">
        <f>'MKT DATA'!O2019</f>
        <v>0</v>
      </c>
      <c r="L336" s="9">
        <f>'MKT DATA'!P2019</f>
        <v>0</v>
      </c>
      <c r="M336" s="9">
        <f>'MKT DATA'!Q2019</f>
        <v>0</v>
      </c>
      <c r="N336" s="9">
        <f>'MKT DATA'!R2019</f>
        <v>0</v>
      </c>
      <c r="O336" s="9">
        <f>'MKT DATA'!S2019</f>
        <v>0</v>
      </c>
      <c r="P336" s="9">
        <f>'MKT DATA'!T2019</f>
        <v>0</v>
      </c>
      <c r="Q336" s="44" t="str">
        <f t="shared" si="15"/>
        <v>syn BTCF7/BTCZ6/BTCV6/BTCU6/BTCX6/BTCG7</v>
      </c>
      <c r="R336" s="14">
        <f>'MKT DATA'!AB2019</f>
        <v>0</v>
      </c>
    </row>
    <row r="337" spans="5:18" x14ac:dyDescent="0.25">
      <c r="E337" s="44" t="str">
        <f>'MKT DATA'!B2020</f>
        <v>syn BTCF7/BTCZ6/BTCV6/BTCX6/BTCU6/BTCG7</v>
      </c>
      <c r="F337" s="14">
        <f>'MKT DATA'!J2020</f>
        <v>0</v>
      </c>
      <c r="G337" s="9">
        <f>'MKT DATA'!K2020</f>
        <v>0</v>
      </c>
      <c r="H337" s="9">
        <f>'MKT DATA'!L2020</f>
        <v>0</v>
      </c>
      <c r="I337" s="14">
        <f>'MKT DATA'!M2020</f>
        <v>0</v>
      </c>
      <c r="J337" s="44" t="str">
        <f t="shared" si="14"/>
        <v>syn BTCF7/BTCZ6/BTCV6/BTCX6/BTCU6/BTCG7</v>
      </c>
      <c r="K337" s="9">
        <f>'MKT DATA'!O2020</f>
        <v>0</v>
      </c>
      <c r="L337" s="9">
        <f>'MKT DATA'!P2020</f>
        <v>0</v>
      </c>
      <c r="M337" s="9">
        <f>'MKT DATA'!Q2020</f>
        <v>0</v>
      </c>
      <c r="N337" s="9">
        <f>'MKT DATA'!R2020</f>
        <v>0</v>
      </c>
      <c r="O337" s="9">
        <f>'MKT DATA'!S2020</f>
        <v>0</v>
      </c>
      <c r="P337" s="9">
        <f>'MKT DATA'!T2020</f>
        <v>0</v>
      </c>
      <c r="Q337" s="44" t="str">
        <f t="shared" si="15"/>
        <v>syn BTCF7/BTCZ6/BTCV6/BTCX6/BTCU6/BTCG7</v>
      </c>
      <c r="R337" s="14">
        <f>'MKT DATA'!AB2020</f>
        <v>0</v>
      </c>
    </row>
    <row r="338" spans="5:18" x14ac:dyDescent="0.25">
      <c r="E338" s="44" t="str">
        <f>'MKT DATA'!B2021</f>
        <v>syn BTCF7/BTCZ6/BTCX6/BTCU6/BTCV6/BTCG7</v>
      </c>
      <c r="F338" s="14">
        <f>'MKT DATA'!J2021</f>
        <v>0</v>
      </c>
      <c r="G338" s="9">
        <f>'MKT DATA'!K2021</f>
        <v>0</v>
      </c>
      <c r="H338" s="9">
        <f>'MKT DATA'!L2021</f>
        <v>0</v>
      </c>
      <c r="I338" s="14">
        <f>'MKT DATA'!M2021</f>
        <v>0</v>
      </c>
      <c r="J338" s="44" t="str">
        <f t="shared" si="14"/>
        <v>syn BTCF7/BTCZ6/BTCX6/BTCU6/BTCV6/BTCG7</v>
      </c>
      <c r="K338" s="9">
        <f>'MKT DATA'!O2021</f>
        <v>0</v>
      </c>
      <c r="L338" s="9">
        <f>'MKT DATA'!P2021</f>
        <v>0</v>
      </c>
      <c r="M338" s="9">
        <f>'MKT DATA'!Q2021</f>
        <v>0</v>
      </c>
      <c r="N338" s="9">
        <f>'MKT DATA'!R2021</f>
        <v>0</v>
      </c>
      <c r="O338" s="9">
        <f>'MKT DATA'!S2021</f>
        <v>0</v>
      </c>
      <c r="P338" s="9">
        <f>'MKT DATA'!T2021</f>
        <v>0</v>
      </c>
      <c r="Q338" s="44" t="str">
        <f t="shared" si="15"/>
        <v>syn BTCF7/BTCZ6/BTCX6/BTCU6/BTCV6/BTCG7</v>
      </c>
      <c r="R338" s="14">
        <f>'MKT DATA'!AB2021</f>
        <v>0</v>
      </c>
    </row>
    <row r="339" spans="5:18" x14ac:dyDescent="0.25">
      <c r="E339" s="44" t="str">
        <f>'MKT DATA'!B2022</f>
        <v>syn BTCF7/BTCZ6/BTCX6/BTCV6/BTCU6/BTCG7</v>
      </c>
      <c r="F339" s="14">
        <f>'MKT DATA'!J2022</f>
        <v>0</v>
      </c>
      <c r="G339" s="9">
        <f>'MKT DATA'!K2022</f>
        <v>0</v>
      </c>
      <c r="H339" s="9">
        <f>'MKT DATA'!L2022</f>
        <v>0</v>
      </c>
      <c r="I339" s="14">
        <f>'MKT DATA'!M2022</f>
        <v>0</v>
      </c>
      <c r="J339" s="44" t="str">
        <f t="shared" si="14"/>
        <v>syn BTCF7/BTCZ6/BTCX6/BTCV6/BTCU6/BTCG7</v>
      </c>
      <c r="K339" s="9">
        <f>'MKT DATA'!O2022</f>
        <v>0</v>
      </c>
      <c r="L339" s="9">
        <f>'MKT DATA'!P2022</f>
        <v>0</v>
      </c>
      <c r="M339" s="9">
        <f>'MKT DATA'!Q2022</f>
        <v>0</v>
      </c>
      <c r="N339" s="9">
        <f>'MKT DATA'!R2022</f>
        <v>0</v>
      </c>
      <c r="O339" s="9">
        <f>'MKT DATA'!S2022</f>
        <v>0</v>
      </c>
      <c r="P339" s="9">
        <f>'MKT DATA'!T2022</f>
        <v>0</v>
      </c>
      <c r="Q339" s="44" t="str">
        <f t="shared" si="15"/>
        <v>syn BTCF7/BTCZ6/BTCX6/BTCV6/BTCU6/BTCG7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2026-08-30T19:56:17Z</dcterms:modified>
</cp:coreProperties>
</file>