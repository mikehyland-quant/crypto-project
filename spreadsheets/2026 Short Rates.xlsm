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1DB5EF85-7EA5-49C8-9935-F2A8E7EFE43A}" xr6:coauthVersionLast="47" xr6:coauthVersionMax="47" xr10:uidLastSave="{00000000-0000-0000-0000-000000000000}"/>
  <bookViews>
    <workbookView xWindow="2610" yWindow="4665" windowWidth="31845" windowHeight="8505" tabRatio="628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1" i="1"/>
  <c r="A2465" i="1"/>
  <c r="A2462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67" i="1"/>
  <c r="N2442" i="1"/>
  <c r="C68" i="10" s="1"/>
  <c r="N2439" i="1"/>
  <c r="C65" i="10" s="1"/>
  <c r="B2466" i="1"/>
  <c r="N2441" i="1"/>
  <c r="C67" i="10" s="1"/>
  <c r="B2461" i="1"/>
  <c r="N2444" i="1"/>
  <c r="C70" i="10" s="1"/>
  <c r="B2464" i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<sst xmlns="http://schemas.openxmlformats.org/spreadsheetml/2006/main" count="2474" uniqueCount="260">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</sst>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1">
                  <c:v>434.84000000000003</c:v>
                </c:pt>
                <c:pt idx="12">
                  <c:v>434.84000000000003</c:v>
                </c:pt>
                <c:pt idx="13">
                  <c:v>434.84000000000003</c:v>
                </c:pt>
                <c:pt idx="14">
                  <c:v>434.84000000000003</c:v>
                </c:pt>
                <c:pt idx="15">
                  <c:v>434.84000000000003</c:v>
                </c:pt>
                <c:pt idx="16">
                  <c:v>434.84000000000003</c:v>
                </c:pt>
                <c:pt idx="17">
                  <c:v>434.84000000000003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  <c:pt idx="68">
                  <c:v>101</c:v>
                </c:pt>
                <c:pt idx="69">
                  <c:v>101</c:v>
                </c:pt>
                <c:pt idx="70">
                  <c:v>101</c:v>
                </c:pt>
                <c:pt idx="71">
                  <c:v>101</c:v>
                </c:pt>
                <c:pt idx="72">
                  <c:v>101</c:v>
                </c:pt>
                <c:pt idx="73">
                  <c:v>101</c:v>
                </c:pt>
                <c:pt idx="74">
                  <c:v>101</c:v>
                </c:pt>
                <c:pt idx="75">
                  <c:v>101</c:v>
                </c:pt>
                <c:pt idx="76">
                  <c:v>101</c:v>
                </c:pt>
                <c:pt idx="77">
                  <c:v>101</c:v>
                </c:pt>
                <c:pt idx="78">
                  <c:v>101</c:v>
                </c:pt>
                <c:pt idx="79">
                  <c:v>101</c:v>
                </c:pt>
                <c:pt idx="80">
                  <c:v>101</c:v>
                </c:pt>
                <c:pt idx="81">
                  <c:v>101</c:v>
                </c:pt>
                <c:pt idx="82">
                  <c:v>101</c:v>
                </c:pt>
                <c:pt idx="83">
                  <c:v>101</c:v>
                </c:pt>
                <c:pt idx="84">
                  <c:v>101</c:v>
                </c:pt>
                <c:pt idx="85">
                  <c:v>101</c:v>
                </c:pt>
                <c:pt idx="86">
                  <c:v>101</c:v>
                </c:pt>
                <c:pt idx="87">
                  <c:v>101</c:v>
                </c:pt>
                <c:pt idx="88">
                  <c:v>101</c:v>
                </c:pt>
                <c:pt idx="89">
                  <c:v>101</c:v>
                </c:pt>
                <c:pt idx="90">
                  <c:v>101</c:v>
                </c:pt>
                <c:pt idx="91">
                  <c:v>101</c:v>
                </c:pt>
                <c:pt idx="92">
                  <c:v>101</c:v>
                </c:pt>
                <c:pt idx="93">
                  <c:v>101</c:v>
                </c:pt>
                <c:pt idx="94">
                  <c:v>101</c:v>
                </c:pt>
                <c:pt idx="95">
                  <c:v>101</c:v>
                </c:pt>
                <c:pt idx="96">
                  <c:v>101</c:v>
                </c:pt>
                <c:pt idx="97">
                  <c:v>101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101</c:v>
                </c:pt>
                <c:pt idx="102">
                  <c:v>101</c:v>
                </c:pt>
                <c:pt idx="103">
                  <c:v>101</c:v>
                </c:pt>
                <c:pt idx="104">
                  <c:v>101</c:v>
                </c:pt>
                <c:pt idx="105">
                  <c:v>101</c:v>
                </c:pt>
                <c:pt idx="106">
                  <c:v>101</c:v>
                </c:pt>
                <c:pt idx="107">
                  <c:v>101</c:v>
                </c:pt>
                <c:pt idx="108">
                  <c:v>101</c:v>
                </c:pt>
                <c:pt idx="109">
                  <c:v>101</c:v>
                </c:pt>
                <c:pt idx="110">
                  <c:v>101</c:v>
                </c:pt>
                <c:pt idx="111">
                  <c:v>101</c:v>
                </c:pt>
                <c:pt idx="112">
                  <c:v>101</c:v>
                </c:pt>
                <c:pt idx="113">
                  <c:v>101</c:v>
                </c:pt>
                <c:pt idx="114">
                  <c:v>101</c:v>
                </c:pt>
                <c:pt idx="115">
                  <c:v>101</c:v>
                </c:pt>
                <c:pt idx="116">
                  <c:v>101</c:v>
                </c:pt>
                <c:pt idx="117">
                  <c:v>101</c:v>
                </c:pt>
                <c:pt idx="118">
                  <c:v>101</c:v>
                </c:pt>
                <c:pt idx="119">
                  <c:v>101</c:v>
                </c:pt>
                <c:pt idx="120">
                  <c:v>101</c:v>
                </c:pt>
                <c:pt idx="121">
                  <c:v>101</c:v>
                </c:pt>
                <c:pt idx="122">
                  <c:v>101</c:v>
                </c:pt>
                <c:pt idx="123">
                  <c:v>101</c:v>
                </c:pt>
                <c:pt idx="124">
                  <c:v>101</c:v>
                </c:pt>
                <c:pt idx="125">
                  <c:v>101</c:v>
                </c:pt>
                <c:pt idx="126">
                  <c:v>101</c:v>
                </c:pt>
                <c:pt idx="127">
                  <c:v>101</c:v>
                </c:pt>
                <c:pt idx="128">
                  <c:v>101</c:v>
                </c:pt>
                <c:pt idx="129">
                  <c:v>101</c:v>
                </c:pt>
                <c:pt idx="130">
                  <c:v>101</c:v>
                </c:pt>
                <c:pt idx="131">
                  <c:v>101</c:v>
                </c:pt>
                <c:pt idx="132">
                  <c:v>101</c:v>
                </c:pt>
                <c:pt idx="133">
                  <c:v>101</c:v>
                </c:pt>
                <c:pt idx="134">
                  <c:v>101</c:v>
                </c:pt>
                <c:pt idx="135">
                  <c:v>101</c:v>
                </c:pt>
                <c:pt idx="136">
                  <c:v>101</c:v>
                </c:pt>
                <c:pt idx="137">
                  <c:v>101</c:v>
                </c:pt>
                <c:pt idx="138">
                  <c:v>101</c:v>
                </c:pt>
                <c:pt idx="139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1">
                  <c:v>434.81285714285713</c:v>
                </c:pt>
                <c:pt idx="12">
                  <c:v>434.81285714285713</c:v>
                </c:pt>
                <c:pt idx="13">
                  <c:v>434.81285714285713</c:v>
                </c:pt>
                <c:pt idx="14">
                  <c:v>434.81285714285713</c:v>
                </c:pt>
                <c:pt idx="15">
                  <c:v>434.81285714285713</c:v>
                </c:pt>
                <c:pt idx="16">
                  <c:v>434.81285714285713</c:v>
                </c:pt>
                <c:pt idx="17">
                  <c:v>434.81285714285713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  <c:pt idx="68">
                  <c:v>101</c:v>
                </c:pt>
                <c:pt idx="69">
                  <c:v>101</c:v>
                </c:pt>
                <c:pt idx="70">
                  <c:v>101</c:v>
                </c:pt>
                <c:pt idx="71">
                  <c:v>101</c:v>
                </c:pt>
                <c:pt idx="72">
                  <c:v>101</c:v>
                </c:pt>
                <c:pt idx="73">
                  <c:v>101</c:v>
                </c:pt>
                <c:pt idx="74">
                  <c:v>101</c:v>
                </c:pt>
                <c:pt idx="75">
                  <c:v>101</c:v>
                </c:pt>
                <c:pt idx="76">
                  <c:v>101</c:v>
                </c:pt>
                <c:pt idx="77">
                  <c:v>101</c:v>
                </c:pt>
                <c:pt idx="78">
                  <c:v>101</c:v>
                </c:pt>
                <c:pt idx="79">
                  <c:v>101</c:v>
                </c:pt>
                <c:pt idx="80">
                  <c:v>101</c:v>
                </c:pt>
                <c:pt idx="81">
                  <c:v>101</c:v>
                </c:pt>
                <c:pt idx="82">
                  <c:v>101</c:v>
                </c:pt>
                <c:pt idx="83">
                  <c:v>101</c:v>
                </c:pt>
                <c:pt idx="84">
                  <c:v>101</c:v>
                </c:pt>
                <c:pt idx="85">
                  <c:v>101</c:v>
                </c:pt>
                <c:pt idx="86">
                  <c:v>101</c:v>
                </c:pt>
                <c:pt idx="87">
                  <c:v>101</c:v>
                </c:pt>
                <c:pt idx="88">
                  <c:v>101</c:v>
                </c:pt>
                <c:pt idx="89">
                  <c:v>101</c:v>
                </c:pt>
                <c:pt idx="90">
                  <c:v>101</c:v>
                </c:pt>
                <c:pt idx="91">
                  <c:v>101</c:v>
                </c:pt>
                <c:pt idx="92">
                  <c:v>101</c:v>
                </c:pt>
                <c:pt idx="93">
                  <c:v>101</c:v>
                </c:pt>
                <c:pt idx="94">
                  <c:v>101</c:v>
                </c:pt>
                <c:pt idx="95">
                  <c:v>101</c:v>
                </c:pt>
                <c:pt idx="96">
                  <c:v>101</c:v>
                </c:pt>
                <c:pt idx="97">
                  <c:v>101</c:v>
                </c:pt>
                <c:pt idx="98">
                  <c:v>101</c:v>
                </c:pt>
                <c:pt idx="99">
                  <c:v>101</c:v>
                </c:pt>
                <c:pt idx="100">
                  <c:v>101</c:v>
                </c:pt>
                <c:pt idx="101">
                  <c:v>101</c:v>
                </c:pt>
                <c:pt idx="102">
                  <c:v>101</c:v>
                </c:pt>
                <c:pt idx="103">
                  <c:v>101</c:v>
                </c:pt>
                <c:pt idx="104">
                  <c:v>101</c:v>
                </c:pt>
                <c:pt idx="105">
                  <c:v>101</c:v>
                </c:pt>
                <c:pt idx="106">
                  <c:v>101</c:v>
                </c:pt>
                <c:pt idx="107">
                  <c:v>101</c:v>
                </c:pt>
                <c:pt idx="108">
                  <c:v>101</c:v>
                </c:pt>
                <c:pt idx="109">
                  <c:v>101</c:v>
                </c:pt>
                <c:pt idx="110">
                  <c:v>101</c:v>
                </c:pt>
                <c:pt idx="111">
                  <c:v>101</c:v>
                </c:pt>
                <c:pt idx="112">
                  <c:v>101</c:v>
                </c:pt>
                <c:pt idx="113">
                  <c:v>101</c:v>
                </c:pt>
                <c:pt idx="114">
                  <c:v>101</c:v>
                </c:pt>
                <c:pt idx="115">
                  <c:v>101</c:v>
                </c:pt>
                <c:pt idx="116">
                  <c:v>101</c:v>
                </c:pt>
                <c:pt idx="117">
                  <c:v>101</c:v>
                </c:pt>
                <c:pt idx="118">
                  <c:v>101</c:v>
                </c:pt>
                <c:pt idx="119">
                  <c:v>101</c:v>
                </c:pt>
                <c:pt idx="120">
                  <c:v>101</c:v>
                </c:pt>
                <c:pt idx="121">
                  <c:v>101</c:v>
                </c:pt>
                <c:pt idx="122">
                  <c:v>101</c:v>
                </c:pt>
                <c:pt idx="123">
                  <c:v>101</c:v>
                </c:pt>
                <c:pt idx="124">
                  <c:v>101</c:v>
                </c:pt>
                <c:pt idx="125">
                  <c:v>101</c:v>
                </c:pt>
                <c:pt idx="126">
                  <c:v>101</c:v>
                </c:pt>
                <c:pt idx="127">
                  <c:v>101</c:v>
                </c:pt>
                <c:pt idx="128">
                  <c:v>101</c:v>
                </c:pt>
                <c:pt idx="129">
                  <c:v>101</c:v>
                </c:pt>
                <c:pt idx="130">
                  <c:v>101</c:v>
                </c:pt>
                <c:pt idx="131">
                  <c:v>101</c:v>
                </c:pt>
                <c:pt idx="132">
                  <c:v>101</c:v>
                </c:pt>
                <c:pt idx="133">
                  <c:v>101</c:v>
                </c:pt>
                <c:pt idx="134">
                  <c:v>101</c:v>
                </c:pt>
                <c:pt idx="135">
                  <c:v>101</c:v>
                </c:pt>
                <c:pt idx="136">
                  <c:v>101</c:v>
                </c:pt>
                <c:pt idx="137">
                  <c:v>101</c:v>
                </c:pt>
                <c:pt idx="138">
                  <c:v>101</c:v>
                </c:pt>
                <c:pt idx="139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8.6988850008775917E-2</c:v>
                </c:pt>
                <c:pt idx="85">
                  <c:v>0.13700605397637936</c:v>
                </c:pt>
                <c:pt idx="86">
                  <c:v>0.18649569226133336</c:v>
                </c:pt>
                <c:pt idx="87">
                  <c:v>0.33764799942090939</c:v>
                </c:pt>
                <c:pt idx="88">
                  <c:v>0.33389635498289927</c:v>
                </c:pt>
                <c:pt idx="89">
                  <c:v>0.3302271642688015</c:v>
                </c:pt>
                <c:pt idx="90">
                  <c:v>0.37784518032759529</c:v>
                </c:pt>
                <c:pt idx="91">
                  <c:v>0.38569121106947407</c:v>
                </c:pt>
                <c:pt idx="92">
                  <c:v>0.39340336058102082</c:v>
                </c:pt>
                <c:pt idx="93">
                  <c:v>0.40098594845366348</c:v>
                </c:pt>
                <c:pt idx="94">
                  <c:v>0.44334542373066582</c:v>
                </c:pt>
                <c:pt idx="95">
                  <c:v>0.4387748523519992</c:v>
                </c:pt>
                <c:pt idx="96">
                  <c:v>0.43429755794024411</c:v>
                </c:pt>
                <c:pt idx="97">
                  <c:v>0.42991071392064567</c:v>
                </c:pt>
                <c:pt idx="98">
                  <c:v>0.43690568378935324</c:v>
                </c:pt>
                <c:pt idx="99">
                  <c:v>0.44379351183936833</c:v>
                </c:pt>
                <c:pt idx="100">
                  <c:v>0.45057743645485143</c:v>
                </c:pt>
                <c:pt idx="101">
                  <c:v>0.47937591502515892</c:v>
                </c:pt>
                <c:pt idx="102">
                  <c:v>0.47476653122684009</c:v>
                </c:pt>
                <c:pt idx="103">
                  <c:v>0.47024494521515592</c:v>
                </c:pt>
                <c:pt idx="104">
                  <c:v>0.47664382614184869</c:v>
                </c:pt>
                <c:pt idx="105">
                  <c:v>0.4829532163447478</c:v>
                </c:pt>
                <c:pt idx="106">
                  <c:v>0.48917568538297501</c:v>
                </c:pt>
                <c:pt idx="107">
                  <c:v>0.4953137087525904</c:v>
                </c:pt>
                <c:pt idx="108">
                  <c:v>0.52248730277882249</c:v>
                </c:pt>
                <c:pt idx="109">
                  <c:v>0.51778020996099527</c:v>
                </c:pt>
                <c:pt idx="110">
                  <c:v>0.51315717237205782</c:v>
                </c:pt>
                <c:pt idx="111">
                  <c:v>0.5189809618825002</c:v>
                </c:pt>
                <c:pt idx="112">
                  <c:v>0.52473140415593911</c:v>
                </c:pt>
                <c:pt idx="113">
                  <c:v>0.53041049276411223</c:v>
                </c:pt>
                <c:pt idx="114">
                  <c:v>0.53602015275787329</c:v>
                </c:pt>
                <c:pt idx="115">
                  <c:v>0.56180916292640393</c:v>
                </c:pt>
                <c:pt idx="116">
                  <c:v>0.55704806832533271</c:v>
                </c:pt>
                <c:pt idx="117">
                  <c:v>0.55236699212091822</c:v>
                </c:pt>
                <c:pt idx="118">
                  <c:v>0.55771738266766513</c:v>
                </c:pt>
                <c:pt idx="119">
                  <c:v>0.56300703117590534</c:v>
                </c:pt>
                <c:pt idx="120">
                  <c:v>0.56823750836298814</c:v>
                </c:pt>
                <c:pt idx="121">
                  <c:v>0.57341033408046371</c:v>
                </c:pt>
                <c:pt idx="122">
                  <c:v>0.59800882371172459</c:v>
                </c:pt>
                <c:pt idx="123">
                  <c:v>0.59322475312203082</c:v>
                </c:pt>
                <c:pt idx="124">
                  <c:v>0.58851662016074491</c:v>
                </c:pt>
                <c:pt idx="125">
                  <c:v>0.59347350209039862</c:v>
                </c:pt>
                <c:pt idx="126">
                  <c:v>0.59837963024492502</c:v>
                </c:pt>
                <c:pt idx="127">
                  <c:v>0.60323625926537894</c:v>
                </c:pt>
                <c:pt idx="128">
                  <c:v>0.60804460539538208</c:v>
                </c:pt>
                <c:pt idx="129">
                  <c:v>0.64101426122259419</c:v>
                </c:pt>
                <c:pt idx="130">
                  <c:v>0.63615809257696843</c:v>
                </c:pt>
                <c:pt idx="131">
                  <c:v>0.63137494902375824</c:v>
                </c:pt>
                <c:pt idx="132">
                  <c:v>0.62666319567283457</c:v>
                </c:pt>
                <c:pt idx="133">
                  <c:v>0.6312478427193392</c:v>
                </c:pt>
                <c:pt idx="134">
                  <c:v>0.63579076387897593</c:v>
                </c:pt>
                <c:pt idx="135">
                  <c:v>0.64029294442094631</c:v>
                </c:pt>
                <c:pt idx="136">
                  <c:v>0.66295974281400272</c:v>
                </c:pt>
                <c:pt idx="137">
                  <c:v>0.65819024826138406</c:v>
                </c:pt>
                <c:pt idx="138">
                  <c:v>0.65348888934523131</c:v>
                </c:pt>
                <c:pt idx="139">
                  <c:v>0.65783773349001329</c:v>
                </c:pt>
                <c:pt idx="140">
                  <c:v>0.6621503525739314</c:v>
                </c:pt>
                <c:pt idx="141">
                  <c:v>0.66642757628487792</c:v>
                </c:pt>
                <c:pt idx="142">
                  <c:v>0.67067021145810812</c:v>
                </c:pt>
                <c:pt idx="143">
                  <c:v>0.69254732928451634</c:v>
                </c:pt>
                <c:pt idx="144">
                  <c:v>0.68780385442640313</c:v>
                </c:pt>
                <c:pt idx="145">
                  <c:v>0.68312491664118957</c:v>
                </c:pt>
                <c:pt idx="146">
                  <c:v>0.68723712734657416</c:v>
                </c:pt>
                <c:pt idx="147">
                  <c:v>0.69131846291613031</c:v>
                </c:pt>
                <c:pt idx="148">
                  <c:v>0.69536960863528652</c:v>
                </c:pt>
                <c:pt idx="149">
                  <c:v>0.69939123182512364</c:v>
                </c:pt>
                <c:pt idx="150">
                  <c:v>0.72057199985947895</c:v>
                </c:pt>
                <c:pt idx="151">
                  <c:v>0.71586237894536475</c:v>
                </c:pt>
                <c:pt idx="152">
                  <c:v>0.71121392193922595</c:v>
                </c:pt>
                <c:pt idx="153">
                  <c:v>0.71512405099872933</c:v>
                </c:pt>
                <c:pt idx="154">
                  <c:v>0.71900774066796536</c:v>
                </c:pt>
                <c:pt idx="155">
                  <c:v>0.7228655621997977</c:v>
                </c:pt>
                <c:pt idx="156">
                  <c:v>0.72669807256910302</c:v>
                </c:pt>
                <c:pt idx="157">
                  <c:v>0.74726215588735712</c:v>
                </c:pt>
                <c:pt idx="158">
                  <c:v>0.74259176741306121</c:v>
                </c:pt>
                <c:pt idx="159">
                  <c:v>0.73797939618689312</c:v>
                </c:pt>
                <c:pt idx="160">
                  <c:v>0.74171619740408534</c:v>
                </c:pt>
                <c:pt idx="161">
                  <c:v>0.75369474848406182</c:v>
                </c:pt>
                <c:pt idx="162">
                  <c:v>0.74909904879818334</c:v>
                </c:pt>
                <c:pt idx="163">
                  <c:v>0.75276916847622322</c:v>
                </c:pt>
                <c:pt idx="164">
                  <c:v>0.77278506615239895</c:v>
                </c:pt>
                <c:pt idx="165">
                  <c:v>0.76815761066645649</c:v>
                </c:pt>
                <c:pt idx="166">
                  <c:v>0.76358524393629901</c:v>
                </c:pt>
                <c:pt idx="167">
                  <c:v>0.7671729240213423</c:v>
                </c:pt>
                <c:pt idx="168">
                  <c:v>0.77074100398463485</c:v>
                </c:pt>
                <c:pt idx="169">
                  <c:v>0.77428989074470134</c:v>
                </c:pt>
                <c:pt idx="170">
                  <c:v>0.77781998193272484</c:v>
                </c:pt>
                <c:pt idx="171">
                  <c:v>0.79734717313838133</c:v>
                </c:pt>
                <c:pt idx="172">
                  <c:v>0.79276471812034466</c:v>
                </c:pt>
                <c:pt idx="173">
                  <c:v>0.78823463401679983</c:v>
                </c:pt>
                <c:pt idx="174">
                  <c:v>0.79169353558429389</c:v>
                </c:pt>
                <c:pt idx="175">
                  <c:v>0.79513549682213314</c:v>
                </c:pt>
                <c:pt idx="176">
                  <c:v>0.80645328656429616</c:v>
                </c:pt>
                <c:pt idx="177">
                  <c:v>0.80194796094103193</c:v>
                </c:pt>
                <c:pt idx="178">
                  <c:v>0.82103825800332864</c:v>
                </c:pt>
                <c:pt idx="179">
                  <c:v>0.81650213503093449</c:v>
                </c:pt>
                <c:pt idx="180">
                  <c:v>0.81201585956373157</c:v>
                </c:pt>
                <c:pt idx="181">
                  <c:v>0.81536344678082417</c:v>
                </c:pt>
                <c:pt idx="182">
                  <c:v>0.81869636926010259</c:v>
                </c:pt>
                <c:pt idx="183">
                  <c:v>0.82201492542120846</c:v>
                </c:pt>
                <c:pt idx="184">
                  <c:v>0.82531940743529608</c:v>
                </c:pt>
                <c:pt idx="185">
                  <c:v>0.84401843484120342</c:v>
                </c:pt>
                <c:pt idx="186">
                  <c:v>0.83952897508140978</c:v>
                </c:pt>
                <c:pt idx="187">
                  <c:v>0.83508702283230185</c:v>
                </c:pt>
                <c:pt idx="188">
                  <c:v>0.83833816952190432</c:v>
                </c:pt>
                <c:pt idx="189">
                  <c:v>0.84157661271130757</c:v>
                </c:pt>
                <c:pt idx="190">
                  <c:v>0.84480261045120997</c:v>
                </c:pt>
                <c:pt idx="191">
                  <c:v>0.84801641561033847</c:v>
                </c:pt>
                <c:pt idx="192">
                  <c:v>0.86636443408206021</c:v>
                </c:pt>
                <c:pt idx="193">
                  <c:v>0.86192153954830608</c:v>
                </c:pt>
                <c:pt idx="194">
                  <c:v>0.85752398067305968</c:v>
                </c:pt>
                <c:pt idx="195">
                  <c:v>0.86069158944592661</c:v>
                </c:pt>
                <c:pt idx="196">
                  <c:v>0.86384819485209263</c:v>
                </c:pt>
                <c:pt idx="197">
                  <c:v>0.8669940213716314</c:v>
                </c:pt>
                <c:pt idx="198">
                  <c:v>0.87012928915859922</c:v>
                </c:pt>
                <c:pt idx="199">
                  <c:v>0.88816206700731448</c:v>
                </c:pt>
                <c:pt idx="200">
                  <c:v>0.88376522509143673</c:v>
                </c:pt>
                <c:pt idx="201">
                  <c:v>0.87941170181512418</c:v>
                </c:pt>
                <c:pt idx="202">
                  <c:v>0.88250698461155241</c:v>
                </c:pt>
                <c:pt idx="203">
                  <c:v>0.88559274646316766</c:v>
                </c:pt>
                <c:pt idx="204">
                  <c:v>0.88866918375319548</c:v>
                </c:pt>
                <c:pt idx="205">
                  <c:v>0.91381766919784957</c:v>
                </c:pt>
                <c:pt idx="206">
                  <c:v>0.90942431501901377</c:v>
                </c:pt>
                <c:pt idx="207">
                  <c:v>0.9050730025069611</c:v>
                </c:pt>
                <c:pt idx="208">
                  <c:v>0.90076313106645178</c:v>
                </c:pt>
                <c:pt idx="209">
                  <c:v>0.90379600538076521</c:v>
                </c:pt>
                <c:pt idx="210">
                  <c:v>0.90682065691076541</c:v>
                </c:pt>
                <c:pt idx="211">
                  <c:v>0.90983725840489493</c:v>
                </c:pt>
                <c:pt idx="212">
                  <c:v>0.93462687087344165</c:v>
                </c:pt>
                <c:pt idx="213">
                  <c:v>0.9302797691484489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zoomScale="75" zoomScaleNormal="75" workbookViewId="0">
      <selection activeCell="J7" sqref="J7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46259.711460300925</v>
      </c>
      <c r="B1" s="469" t="s">
        <v>26</v>
      </c>
      <c r="C1" s="470"/>
      <c r="D1" s="22" t="s">
        <v>128</v>
      </c>
      <c r="E1" s="469" t="s">
        <v>27</v>
      </c>
      <c r="F1" s="470"/>
      <c r="G1" s="22" t="s">
        <v>78</v>
      </c>
      <c r="H1" s="469" t="s">
        <v>30</v>
      </c>
      <c r="I1" s="470"/>
      <c r="K1" s="380" t="s">
        <v>91</v>
      </c>
      <c r="L1" s="381"/>
      <c r="M1" s="381"/>
      <c r="N1" s="381"/>
      <c r="O1" s="382"/>
      <c r="P1" s="471" t="str">
        <f>B1</f>
        <v>FED FUNDS</v>
      </c>
      <c r="Q1" s="472"/>
      <c r="R1" s="472"/>
      <c r="S1" s="472"/>
      <c r="T1" s="473"/>
      <c r="U1" s="345" t="str">
        <f>PYTHON!A15</f>
        <v>cd git-crypto/crypto-project/apps</v>
      </c>
    </row>
    <row r="2" spans="1:24" s="31" customFormat="1" ht="15.75" thickBot="1">
      <c r="A2" s="317">
        <f ca="1">NOW()</f>
        <v>46259.711460300925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44.942523628163585</v>
      </c>
      <c r="H3" s="33">
        <f>INPUT!H37</f>
        <v>-1</v>
      </c>
      <c r="I3" s="34">
        <f t="shared" ref="I3:I9" si="0">100-H3</f>
        <v>101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7.1012130963344191</v>
      </c>
      <c r="H4" s="44">
        <f>INPUT!H38</f>
        <v>-1</v>
      </c>
      <c r="I4" s="45">
        <f t="shared" si="0"/>
        <v>101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-1</v>
      </c>
      <c r="C5" s="45">
        <f t="shared" ref="C5:C9" si="3">100-B5</f>
        <v>101</v>
      </c>
      <c r="D5" s="145">
        <f t="shared" ref="D5:D9" si="4">B5-E5</f>
        <v>0</v>
      </c>
      <c r="E5" s="44">
        <f>INPUT!H19</f>
        <v>-1</v>
      </c>
      <c r="F5" s="45">
        <f t="shared" ref="F5:F9" si="5">100-E5</f>
        <v>101</v>
      </c>
      <c r="G5" s="326">
        <f ca="1">'3M SOFR CALCS'!F38</f>
        <v>-38.709160555378133</v>
      </c>
      <c r="H5" s="44">
        <f>INPUT!H39</f>
        <v>-1</v>
      </c>
      <c r="I5" s="45">
        <f>100-H5</f>
        <v>101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101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-1</v>
      </c>
      <c r="C6" s="34">
        <f t="shared" si="3"/>
        <v>101</v>
      </c>
      <c r="D6" s="286">
        <f t="shared" si="4"/>
        <v>0</v>
      </c>
      <c r="E6" s="33">
        <f>INPUT!H20</f>
        <v>-1</v>
      </c>
      <c r="F6" s="34">
        <f t="shared" si="5"/>
        <v>101</v>
      </c>
      <c r="G6" s="325">
        <f ca="1">'3M SOFR CALCS'!F39</f>
        <v>-13.705969151166272</v>
      </c>
      <c r="H6" s="33">
        <f>INPUT!H40</f>
        <v>-1</v>
      </c>
      <c r="I6" s="34">
        <f>100-H6</f>
        <v>101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101</v>
      </c>
      <c r="Q6" s="414"/>
      <c r="R6" s="409">
        <f ca="1">'DAILY EXTRAPOLATION'!K2477</f>
        <v>101</v>
      </c>
      <c r="S6" s="36">
        <f ca="1">R6-Q5</f>
        <v>0</v>
      </c>
      <c r="T6" s="37">
        <f t="shared" ca="1" si="6"/>
        <v>0</v>
      </c>
      <c r="U6" s="40">
        <v>0.21196428571408532</v>
      </c>
      <c r="V6" s="40">
        <f t="shared" ca="1" si="2"/>
        <v>0.21196428571408532</v>
      </c>
      <c r="W6" s="18"/>
    </row>
    <row r="7" spans="1:24">
      <c r="A7" s="38">
        <v>46296</v>
      </c>
      <c r="B7" s="44">
        <f>INPUT!H4</f>
        <v>-1</v>
      </c>
      <c r="C7" s="45">
        <f>100-B7</f>
        <v>101</v>
      </c>
      <c r="D7" s="145">
        <f>B7-E7</f>
        <v>0</v>
      </c>
      <c r="E7" s="44">
        <f>INPUT!H21</f>
        <v>-1</v>
      </c>
      <c r="F7" s="45">
        <f>100-E7</f>
        <v>101</v>
      </c>
      <c r="G7" s="391">
        <v>2027</v>
      </c>
      <c r="H7" s="44">
        <f>INPUT!H41</f>
        <v>-1</v>
      </c>
      <c r="I7" s="45">
        <f t="shared" si="0"/>
        <v>101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101</v>
      </c>
      <c r="Q7" s="40"/>
      <c r="R7" s="372">
        <f>'DAILY EXTRAPOLATION'!K2507</f>
        <v>101</v>
      </c>
      <c r="S7" s="40">
        <f ca="1">R7-P7</f>
        <v>0</v>
      </c>
      <c r="T7" s="41">
        <f t="shared" ca="1" si="6"/>
        <v>0</v>
      </c>
      <c r="U7" s="40">
        <v>0.29499999999980275</v>
      </c>
      <c r="V7" s="40">
        <f t="shared" ca="1" si="2"/>
        <v>0.29499999999980275</v>
      </c>
      <c r="W7" s="18"/>
    </row>
    <row r="8" spans="1:24">
      <c r="A8" s="38">
        <v>46327</v>
      </c>
      <c r="B8" s="44">
        <f>INPUT!H5</f>
        <v>-1</v>
      </c>
      <c r="C8" s="45">
        <f>100-B8</f>
        <v>101</v>
      </c>
      <c r="D8" s="145">
        <f>B8-E8</f>
        <v>0</v>
      </c>
      <c r="E8" s="44">
        <f>INPUT!H22</f>
        <v>-1</v>
      </c>
      <c r="F8" s="45">
        <f>100-E8</f>
        <v>101</v>
      </c>
      <c r="G8" s="391">
        <v>2027</v>
      </c>
      <c r="H8" s="44">
        <f>INPUT!H42</f>
        <v>-1</v>
      </c>
      <c r="I8" s="45">
        <f t="shared" ref="I8" si="7">100-H8</f>
        <v>101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101</v>
      </c>
      <c r="R8" s="40"/>
      <c r="S8" s="40"/>
      <c r="T8" s="41">
        <f t="shared" ca="1" si="6"/>
        <v>0</v>
      </c>
      <c r="U8" s="40">
        <v>0.29499999999980275</v>
      </c>
      <c r="V8" s="40">
        <f t="shared" ca="1" si="2"/>
        <v>0.29499999999980275</v>
      </c>
    </row>
    <row r="9" spans="1:24" ht="15.75" thickBot="1">
      <c r="A9" s="43">
        <v>46357</v>
      </c>
      <c r="B9" s="50">
        <f>INPUT!H6</f>
        <v>-1</v>
      </c>
      <c r="C9" s="51">
        <f t="shared" si="3"/>
        <v>101</v>
      </c>
      <c r="D9" s="399">
        <f t="shared" si="4"/>
        <v>0</v>
      </c>
      <c r="E9" s="50">
        <f>INPUT!H23</f>
        <v>-1</v>
      </c>
      <c r="F9" s="51">
        <f t="shared" si="5"/>
        <v>101</v>
      </c>
      <c r="G9" s="392">
        <v>2027</v>
      </c>
      <c r="H9" s="50">
        <f>INPUT!H43</f>
        <v>-1</v>
      </c>
      <c r="I9" s="51">
        <f t="shared" si="0"/>
        <v>101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101</v>
      </c>
      <c r="Q9" s="410"/>
      <c r="R9" s="410">
        <f ca="1">'DAILY EXTRAPOLATION'!K2586</f>
        <v>101</v>
      </c>
      <c r="S9" s="47">
        <f ca="1">R9-P9</f>
        <v>0</v>
      </c>
      <c r="T9" s="48">
        <f t="shared" ca="1" si="6"/>
        <v>0</v>
      </c>
      <c r="U9" s="40">
        <v>0.38659090909070848</v>
      </c>
      <c r="V9" s="40">
        <f t="shared" ca="1" si="2"/>
        <v>0.38659090909070848</v>
      </c>
    </row>
    <row r="10" spans="1:24">
      <c r="R10" s="177" t="s">
        <v>246</v>
      </c>
      <c r="S10" s="420">
        <v>0.25</v>
      </c>
      <c r="T10" s="423">
        <f ca="1">T9/S10</f>
        <v>0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18" priority="3249" bottom="1" rank="1"/>
    <cfRule type="top10" dxfId="17" priority="3250" rank="1"/>
  </conditionalFormatting>
  <conditionalFormatting sqref="F3:F9">
    <cfRule type="top10" dxfId="16" priority="3251" bottom="1" rank="1"/>
    <cfRule type="top10" dxfId="15" priority="3252" rank="1"/>
  </conditionalFormatting>
  <conditionalFormatting sqref="O3:O9">
    <cfRule type="top10" dxfId="14" priority="3253" bottom="1" rank="1"/>
    <cfRule type="top10" dxfId="13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tabSelected="1" zoomScale="75" zoomScaleNormal="75" workbookViewId="0">
      <pane ySplit="1" topLeftCell="A2446" activePane="bottomLeft" state="frozen"/>
      <selection pane="bottomLeft" activeCell="I2450" sqref="I2450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67" t="s">
        <v>43</v>
      </c>
      <c r="N1" s="468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101</v>
      </c>
      <c r="L2446" s="194">
        <f>L2448</f>
        <v>101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46258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101</v>
      </c>
      <c r="L2448" s="180">
        <f>OUTPUT!F5</f>
        <v>101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46258</v>
      </c>
      <c r="R2448" s="466">
        <v>3.65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3131</v>
      </c>
      <c r="L2450" s="178">
        <f>L2448*L2438</f>
        <v>3131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3131</v>
      </c>
      <c r="L2452" s="192">
        <f>L2450</f>
        <v>3131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87.11999999999999</v>
      </c>
      <c r="L2453" s="192">
        <f ca="1">SUM(INDIRECT(L2442))</f>
        <v>87.310000000000016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3043.88</v>
      </c>
      <c r="L2455" s="201">
        <f ca="1">L2450-L2453-L2454</f>
        <v>3043.69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24</v>
      </c>
      <c r="L2458" s="179">
        <f ca="1">COUNTA(INDIRECT(L2442))</f>
        <v>24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7</v>
      </c>
      <c r="L2460" s="202">
        <f ca="1">L2457-L2458-L2459</f>
        <v>7</v>
      </c>
      <c r="M2460" s="113">
        <f t="shared" si="225"/>
        <v>1</v>
      </c>
      <c r="N2460" s="64">
        <f t="shared" si="226"/>
        <v>1.000101388888889</v>
      </c>
    </row>
    <row r="2461" spans="1:14">
      <c r="A2461" s="84">
        <f t="shared" ref="A2461:A2467" ca="1" si="227">K$2464</f>
        <v>434.84000000000003</v>
      </c>
      <c r="B2461" s="228">
        <f t="shared" ref="B2461:B2467" ca="1" si="228">L$2464</f>
        <v>434.81285714285713</v>
      </c>
      <c r="C2461" s="103">
        <f t="shared" si="224"/>
        <v>46259</v>
      </c>
      <c r="E2461" s="170"/>
      <c r="F2461" s="58" t="str">
        <f>VLOOKUP(MOD(C2461,7),'CALENDAR INFO'!$I$2:$J$8,2)</f>
        <v>TUE</v>
      </c>
      <c r="I2461" s="457">
        <f t="shared" si="223"/>
        <v>0</v>
      </c>
      <c r="K2461" s="178"/>
      <c r="L2461" s="192"/>
      <c r="M2461" s="113">
        <f t="shared" si="225"/>
        <v>1</v>
      </c>
      <c r="N2461" s="64">
        <f t="shared" ca="1" si="226"/>
        <v>1.0120781349206349</v>
      </c>
    </row>
    <row r="2462" spans="1:14">
      <c r="A2462" s="84">
        <f t="shared" ca="1" si="227"/>
        <v>434.84000000000003</v>
      </c>
      <c r="B2462" s="228">
        <f t="shared" ca="1" si="228"/>
        <v>434.81285714285713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3043.88</v>
      </c>
      <c r="L2462" s="192">
        <f ca="1">L2455</f>
        <v>3043.69</v>
      </c>
      <c r="M2462" s="113">
        <f t="shared" si="225"/>
        <v>1</v>
      </c>
      <c r="N2462" s="64">
        <f t="shared" ca="1" si="226"/>
        <v>1.0120781349206349</v>
      </c>
    </row>
    <row r="2463" spans="1:14">
      <c r="A2463" s="84">
        <f t="shared" ca="1" si="227"/>
        <v>434.84000000000003</v>
      </c>
      <c r="B2463" s="228">
        <f t="shared" ca="1" si="228"/>
        <v>434.81285714285713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7</v>
      </c>
      <c r="L2463" s="223">
        <f ca="1">L2460</f>
        <v>7</v>
      </c>
      <c r="M2463" s="113">
        <f t="shared" si="225"/>
        <v>1</v>
      </c>
      <c r="N2463" s="64">
        <f t="shared" ca="1" si="226"/>
        <v>1.0120781349206349</v>
      </c>
    </row>
    <row r="2464" spans="1:14">
      <c r="A2464" s="84">
        <f t="shared" ca="1" si="227"/>
        <v>434.84000000000003</v>
      </c>
      <c r="B2464" s="228">
        <f t="shared" ca="1" si="228"/>
        <v>434.81285714285713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434.84000000000003</v>
      </c>
      <c r="L2464" s="192">
        <f ca="1">L2462/L2463</f>
        <v>434.81285714285713</v>
      </c>
      <c r="M2464" s="113">
        <f t="shared" si="225"/>
        <v>3</v>
      </c>
      <c r="N2464" s="64">
        <f t="shared" ca="1" si="226"/>
        <v>1.0362344047619048</v>
      </c>
    </row>
    <row r="2465" spans="1:14">
      <c r="A2465" s="84">
        <f t="shared" ca="1" si="227"/>
        <v>434.84000000000003</v>
      </c>
      <c r="B2465" s="228">
        <f t="shared" ca="1" si="228"/>
        <v>434.81285714285713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434.84000000000003</v>
      </c>
      <c r="B2466" s="228">
        <f t="shared" ca="1" si="228"/>
        <v>434.81285714285713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434.84000000000003</v>
      </c>
      <c r="B2467" s="408">
        <f t="shared" ca="1" si="228"/>
        <v>434.81285714285713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1.0120781349206349</v>
      </c>
    </row>
    <row r="2468" spans="1:14">
      <c r="A2468" s="39">
        <f ca="1">K$2495</f>
        <v>101</v>
      </c>
      <c r="B2468" s="41">
        <f t="shared" ref="B2468:B2483" ca="1" si="229">L$2495</f>
        <v>101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1.0028055555555555</v>
      </c>
    </row>
    <row r="2469" spans="1:14">
      <c r="A2469" s="39">
        <f t="shared" ref="A2469:A2483" ca="1" si="230">K$2495</f>
        <v>101</v>
      </c>
      <c r="B2469" s="41">
        <f t="shared" ca="1" si="229"/>
        <v>101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1.0028055555555555</v>
      </c>
    </row>
    <row r="2470" spans="1:14">
      <c r="A2470" s="39">
        <f t="shared" ca="1" si="230"/>
        <v>101</v>
      </c>
      <c r="B2470" s="41">
        <f t="shared" ca="1" si="229"/>
        <v>101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1.0028055555555555</v>
      </c>
    </row>
    <row r="2471" spans="1:14">
      <c r="A2471" s="39">
        <f t="shared" ca="1" si="230"/>
        <v>101</v>
      </c>
      <c r="B2471" s="41">
        <f t="shared" ca="1" si="229"/>
        <v>101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1.0112222222222222</v>
      </c>
    </row>
    <row r="2472" spans="1:14">
      <c r="A2472" s="39">
        <f t="shared" ca="1" si="230"/>
        <v>101</v>
      </c>
      <c r="B2472" s="41">
        <f t="shared" ca="1" si="229"/>
        <v>101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101</v>
      </c>
      <c r="B2473" s="41">
        <f t="shared" ca="1" si="229"/>
        <v>101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101</v>
      </c>
      <c r="B2474" s="41">
        <f t="shared" ca="1" si="229"/>
        <v>101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101</v>
      </c>
      <c r="B2475" s="41">
        <f t="shared" ca="1" si="229"/>
        <v>101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1.0028055555555555</v>
      </c>
    </row>
    <row r="2476" spans="1:14">
      <c r="A2476" s="39">
        <f t="shared" ca="1" si="230"/>
        <v>101</v>
      </c>
      <c r="B2476" s="41">
        <f t="shared" ca="1" si="229"/>
        <v>101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1.0028055555555555</v>
      </c>
    </row>
    <row r="2477" spans="1:14">
      <c r="A2477" s="39">
        <f t="shared" ca="1" si="230"/>
        <v>101</v>
      </c>
      <c r="B2477" s="41">
        <f t="shared" ca="1" si="229"/>
        <v>101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101</v>
      </c>
      <c r="L2477" s="194">
        <f ca="1">B2499+H2499</f>
        <v>101</v>
      </c>
      <c r="M2477" s="113">
        <f t="shared" si="231"/>
        <v>1</v>
      </c>
      <c r="N2477" s="64">
        <f t="shared" ca="1" si="226"/>
        <v>1.0028055555555555</v>
      </c>
    </row>
    <row r="2478" spans="1:14">
      <c r="A2478" s="39">
        <f t="shared" ca="1" si="230"/>
        <v>101</v>
      </c>
      <c r="B2478" s="41">
        <f t="shared" ca="1" si="229"/>
        <v>101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1.0084166666666667</v>
      </c>
    </row>
    <row r="2479" spans="1:14">
      <c r="A2479" s="39">
        <f t="shared" ca="1" si="230"/>
        <v>101</v>
      </c>
      <c r="B2479" s="41">
        <f t="shared" ca="1" si="229"/>
        <v>101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101</v>
      </c>
      <c r="L2479" s="193">
        <f>OUTPUT!F6</f>
        <v>101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101</v>
      </c>
      <c r="B2480" s="41">
        <f t="shared" ca="1" si="229"/>
        <v>101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101</v>
      </c>
      <c r="B2481" s="41">
        <f t="shared" ca="1" si="229"/>
        <v>101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3030</v>
      </c>
      <c r="L2481" s="192">
        <f>L2479*L2469</f>
        <v>3030</v>
      </c>
      <c r="M2481" s="113">
        <f t="shared" si="231"/>
        <v>1</v>
      </c>
      <c r="N2481" s="64">
        <f t="shared" ca="1" si="226"/>
        <v>1.0028055555555555</v>
      </c>
    </row>
    <row r="2482" spans="1:14">
      <c r="A2482" s="39">
        <f t="shared" ca="1" si="230"/>
        <v>101</v>
      </c>
      <c r="B2482" s="41">
        <f t="shared" ca="1" si="229"/>
        <v>101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1.0028055555555555</v>
      </c>
    </row>
    <row r="2483" spans="1:14">
      <c r="A2483" s="39">
        <f t="shared" ca="1" si="230"/>
        <v>101</v>
      </c>
      <c r="B2483" s="41">
        <f t="shared" ca="1" si="229"/>
        <v>101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3030</v>
      </c>
      <c r="L2483" s="192">
        <f>L2481</f>
        <v>3030</v>
      </c>
      <c r="M2483" s="113">
        <f t="shared" si="231"/>
        <v>1</v>
      </c>
      <c r="N2483" s="64">
        <f t="shared" ca="1" si="226"/>
        <v>1.0028055555555555</v>
      </c>
    </row>
    <row r="2484" spans="1:14">
      <c r="A2484" s="304">
        <f ca="1">K$2477</f>
        <v>101</v>
      </c>
      <c r="B2484" s="305">
        <f t="shared" ref="B2484:B2497" ca="1" si="232">L$2477</f>
        <v>101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1.0028055555555555</v>
      </c>
    </row>
    <row r="2485" spans="1:14">
      <c r="A2485" s="304">
        <f t="shared" ref="A2485:A2497" ca="1" si="233">K$2477</f>
        <v>101</v>
      </c>
      <c r="B2485" s="305">
        <f t="shared" ca="1" si="232"/>
        <v>101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1414</v>
      </c>
      <c r="L2485" s="401">
        <f ca="1">SUM(INDIRECT(L2475))</f>
        <v>1414</v>
      </c>
      <c r="M2485" s="113">
        <f t="shared" si="231"/>
        <v>3</v>
      </c>
      <c r="N2485" s="64">
        <f t="shared" ca="1" si="226"/>
        <v>1.0084166666666667</v>
      </c>
    </row>
    <row r="2486" spans="1:14">
      <c r="A2486" s="304">
        <f t="shared" ca="1" si="233"/>
        <v>101</v>
      </c>
      <c r="B2486" s="305">
        <f t="shared" ca="1" si="232"/>
        <v>101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1616</v>
      </c>
      <c r="L2486" s="201">
        <f ca="1">L2481-L2484-L2485</f>
        <v>1616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101</v>
      </c>
      <c r="B2487" s="305">
        <f t="shared" ca="1" si="232"/>
        <v>101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101</v>
      </c>
      <c r="B2488" s="305">
        <f t="shared" ca="1" si="232"/>
        <v>101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1.0028055555555555</v>
      </c>
    </row>
    <row r="2489" spans="1:14">
      <c r="A2489" s="304">
        <f t="shared" ca="1" si="233"/>
        <v>101</v>
      </c>
      <c r="B2489" s="305">
        <f t="shared" ca="1" si="232"/>
        <v>101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1.0028055555555555</v>
      </c>
    </row>
    <row r="2490" spans="1:14">
      <c r="A2490" s="304">
        <f t="shared" ca="1" si="233"/>
        <v>101</v>
      </c>
      <c r="B2490" s="305">
        <f t="shared" ca="1" si="232"/>
        <v>101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1.0028055555555555</v>
      </c>
    </row>
    <row r="2491" spans="1:14">
      <c r="A2491" s="304">
        <f t="shared" ca="1" si="233"/>
        <v>101</v>
      </c>
      <c r="B2491" s="305">
        <f t="shared" ca="1" si="232"/>
        <v>101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1.0028055555555555</v>
      </c>
    </row>
    <row r="2492" spans="1:14">
      <c r="A2492" s="304">
        <f t="shared" ca="1" si="233"/>
        <v>101</v>
      </c>
      <c r="B2492" s="305">
        <f t="shared" ca="1" si="232"/>
        <v>101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1.0084166666666667</v>
      </c>
    </row>
    <row r="2493" spans="1:14">
      <c r="A2493" s="304">
        <f t="shared" ca="1" si="233"/>
        <v>101</v>
      </c>
      <c r="B2493" s="305">
        <f t="shared" ca="1" si="232"/>
        <v>101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1616</v>
      </c>
      <c r="L2493" s="192">
        <f ca="1">L2486</f>
        <v>1616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101</v>
      </c>
      <c r="B2494" s="305">
        <f t="shared" ca="1" si="232"/>
        <v>101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101</v>
      </c>
      <c r="B2495" s="305">
        <f t="shared" ca="1" si="232"/>
        <v>101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101</v>
      </c>
      <c r="L2495" s="192">
        <f ca="1">L2493/L2494</f>
        <v>101</v>
      </c>
      <c r="M2495" s="113">
        <f t="shared" si="231"/>
        <v>1</v>
      </c>
      <c r="N2495" s="64">
        <f t="shared" ca="1" si="226"/>
        <v>1.0028055555555555</v>
      </c>
    </row>
    <row r="2496" spans="1:14">
      <c r="A2496" s="304">
        <f t="shared" ca="1" si="233"/>
        <v>101</v>
      </c>
      <c r="B2496" s="305">
        <f t="shared" ca="1" si="232"/>
        <v>101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1.0028055555555555</v>
      </c>
    </row>
    <row r="2497" spans="1:14" ht="15.75" thickBot="1">
      <c r="A2497" s="405">
        <f t="shared" ca="1" si="233"/>
        <v>101</v>
      </c>
      <c r="B2497" s="406">
        <f t="shared" ca="1" si="232"/>
        <v>101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1.0028055555555555</v>
      </c>
    </row>
    <row r="2498" spans="1:14">
      <c r="A2498" s="39">
        <f t="shared" ref="A2498:A2524" ca="1" si="234">K$2525</f>
        <v>101</v>
      </c>
      <c r="B2498" s="41">
        <f t="shared" ref="B2498:B2525" ca="1" si="235">L$2525</f>
        <v>101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1.0028055555555555</v>
      </c>
    </row>
    <row r="2499" spans="1:14">
      <c r="A2499" s="39">
        <f t="shared" ca="1" si="234"/>
        <v>101</v>
      </c>
      <c r="B2499" s="41">
        <f t="shared" ca="1" si="235"/>
        <v>101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1.0084166666666667</v>
      </c>
    </row>
    <row r="2500" spans="1:14">
      <c r="A2500" s="39">
        <f t="shared" ca="1" si="234"/>
        <v>101</v>
      </c>
      <c r="B2500" s="41">
        <f t="shared" ca="1" si="235"/>
        <v>101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101</v>
      </c>
      <c r="B2501" s="41">
        <f t="shared" ca="1" si="235"/>
        <v>101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101</v>
      </c>
      <c r="B2502" s="41">
        <f t="shared" ca="1" si="235"/>
        <v>101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1.0028055555555555</v>
      </c>
    </row>
    <row r="2503" spans="1:14">
      <c r="A2503" s="39">
        <f t="shared" ca="1" si="234"/>
        <v>101</v>
      </c>
      <c r="B2503" s="41">
        <f t="shared" ca="1" si="235"/>
        <v>101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1.0028055555555555</v>
      </c>
    </row>
    <row r="2504" spans="1:14">
      <c r="A2504" s="39">
        <f t="shared" ca="1" si="234"/>
        <v>101</v>
      </c>
      <c r="B2504" s="41">
        <f t="shared" ca="1" si="235"/>
        <v>101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1.0028055555555555</v>
      </c>
    </row>
    <row r="2505" spans="1:14">
      <c r="A2505" s="39">
        <f t="shared" ca="1" si="234"/>
        <v>101</v>
      </c>
      <c r="B2505" s="41">
        <f t="shared" ca="1" si="235"/>
        <v>101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1.0028055555555555</v>
      </c>
    </row>
    <row r="2506" spans="1:14">
      <c r="A2506" s="39">
        <f t="shared" ca="1" si="234"/>
        <v>101</v>
      </c>
      <c r="B2506" s="41">
        <f t="shared" ca="1" si="235"/>
        <v>101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1.0112222222222222</v>
      </c>
    </row>
    <row r="2507" spans="1:14">
      <c r="A2507" s="39">
        <f t="shared" ca="1" si="234"/>
        <v>101</v>
      </c>
      <c r="B2507" s="41">
        <f t="shared" ca="1" si="235"/>
        <v>101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101</v>
      </c>
      <c r="L2507" s="194">
        <f>B2529+H2529</f>
        <v>101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101</v>
      </c>
      <c r="B2508" s="41">
        <f t="shared" ca="1" si="235"/>
        <v>101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101</v>
      </c>
      <c r="B2509" s="41">
        <f t="shared" ca="1" si="235"/>
        <v>101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101</v>
      </c>
      <c r="L2509" s="180">
        <f>OUTPUT!F7</f>
        <v>101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101</v>
      </c>
      <c r="B2510" s="41">
        <f t="shared" ca="1" si="235"/>
        <v>101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1.0028055555555555</v>
      </c>
    </row>
    <row r="2511" spans="1:14">
      <c r="A2511" s="39">
        <f t="shared" ca="1" si="234"/>
        <v>101</v>
      </c>
      <c r="B2511" s="41">
        <f t="shared" ca="1" si="235"/>
        <v>101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3131</v>
      </c>
      <c r="L2511" s="178">
        <f>L2509*L2499</f>
        <v>3131</v>
      </c>
      <c r="M2511" s="113">
        <f t="shared" si="238"/>
        <v>1</v>
      </c>
      <c r="N2511" s="64">
        <f t="shared" ca="1" si="226"/>
        <v>1.0028055555555555</v>
      </c>
    </row>
    <row r="2512" spans="1:14">
      <c r="A2512" s="39">
        <f t="shared" ca="1" si="234"/>
        <v>101</v>
      </c>
      <c r="B2512" s="41">
        <f t="shared" ca="1" si="235"/>
        <v>101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1.0028055555555555</v>
      </c>
    </row>
    <row r="2513" spans="1:14">
      <c r="A2513" s="39">
        <f t="shared" ca="1" si="234"/>
        <v>101</v>
      </c>
      <c r="B2513" s="41">
        <f t="shared" ca="1" si="235"/>
        <v>101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3131</v>
      </c>
      <c r="L2513" s="192">
        <f>L2511</f>
        <v>3131</v>
      </c>
      <c r="M2513" s="113">
        <f t="shared" si="238"/>
        <v>3</v>
      </c>
      <c r="N2513" s="64">
        <f t="shared" ca="1" si="226"/>
        <v>1.0084166666666667</v>
      </c>
    </row>
    <row r="2514" spans="1:14">
      <c r="A2514" s="39">
        <f t="shared" ca="1" si="234"/>
        <v>101</v>
      </c>
      <c r="B2514" s="41">
        <f t="shared" ca="1" si="235"/>
        <v>101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101</v>
      </c>
      <c r="B2515" s="41">
        <f t="shared" ca="1" si="235"/>
        <v>101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303</v>
      </c>
      <c r="L2515" s="401">
        <f ca="1">SUM(INDIRECT(L2505))</f>
        <v>303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101</v>
      </c>
      <c r="B2516" s="41">
        <f t="shared" ca="1" si="235"/>
        <v>101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2828</v>
      </c>
      <c r="L2516" s="201">
        <f ca="1">L2511-L2514-L2515</f>
        <v>2828</v>
      </c>
      <c r="M2516" s="113">
        <f t="shared" si="238"/>
        <v>1</v>
      </c>
      <c r="N2516" s="64">
        <f t="shared" ca="1" si="239"/>
        <v>1.0028055555555555</v>
      </c>
    </row>
    <row r="2517" spans="1:14">
      <c r="A2517" s="39">
        <f t="shared" ca="1" si="234"/>
        <v>101</v>
      </c>
      <c r="B2517" s="41">
        <f t="shared" ca="1" si="235"/>
        <v>101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1.0028055555555555</v>
      </c>
    </row>
    <row r="2518" spans="1:14">
      <c r="A2518" s="39">
        <f t="shared" ca="1" si="234"/>
        <v>101</v>
      </c>
      <c r="B2518" s="41">
        <f t="shared" ca="1" si="235"/>
        <v>101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1.0028055555555555</v>
      </c>
    </row>
    <row r="2519" spans="1:14">
      <c r="A2519" s="39">
        <f t="shared" ca="1" si="234"/>
        <v>101</v>
      </c>
      <c r="B2519" s="41">
        <f t="shared" ca="1" si="235"/>
        <v>101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1.0028055555555555</v>
      </c>
    </row>
    <row r="2520" spans="1:14">
      <c r="A2520" s="39">
        <f t="shared" ca="1" si="234"/>
        <v>101</v>
      </c>
      <c r="B2520" s="41">
        <f t="shared" ca="1" si="235"/>
        <v>101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1.0084166666666667</v>
      </c>
    </row>
    <row r="2521" spans="1:14">
      <c r="A2521" s="39">
        <f t="shared" ca="1" si="234"/>
        <v>101</v>
      </c>
      <c r="B2521" s="41">
        <f t="shared" ca="1" si="235"/>
        <v>101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101</v>
      </c>
      <c r="B2522" s="41">
        <f t="shared" ca="1" si="235"/>
        <v>101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101</v>
      </c>
      <c r="B2523" s="41">
        <f t="shared" ca="1" si="235"/>
        <v>101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2828</v>
      </c>
      <c r="L2523" s="192">
        <f ca="1">L2516</f>
        <v>2828</v>
      </c>
      <c r="M2523" s="113">
        <f t="shared" si="238"/>
        <v>1</v>
      </c>
      <c r="N2523" s="64">
        <f t="shared" ca="1" si="239"/>
        <v>1.0028055555555555</v>
      </c>
    </row>
    <row r="2524" spans="1:14">
      <c r="A2524" s="39">
        <f t="shared" ca="1" si="234"/>
        <v>101</v>
      </c>
      <c r="B2524" s="41">
        <f t="shared" ca="1" si="235"/>
        <v>101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1.0028055555555555</v>
      </c>
    </row>
    <row r="2525" spans="1:14">
      <c r="A2525" s="39">
        <f ca="1">K$2525</f>
        <v>101</v>
      </c>
      <c r="B2525" s="41">
        <f t="shared" ca="1" si="235"/>
        <v>101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101</v>
      </c>
      <c r="L2525" s="192">
        <f ca="1">L2523/L2524</f>
        <v>101</v>
      </c>
      <c r="M2525" s="113">
        <f t="shared" si="238"/>
        <v>1</v>
      </c>
      <c r="N2525" s="64">
        <f t="shared" ca="1" si="239"/>
        <v>1.0028055555555555</v>
      </c>
    </row>
    <row r="2526" spans="1:14">
      <c r="A2526" s="304">
        <f t="shared" ref="A2526:B2528" si="240">K$2507</f>
        <v>101</v>
      </c>
      <c r="B2526" s="305">
        <f t="shared" si="240"/>
        <v>101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1.0028055555555555</v>
      </c>
    </row>
    <row r="2527" spans="1:14">
      <c r="A2527" s="304">
        <f t="shared" si="240"/>
        <v>101</v>
      </c>
      <c r="B2527" s="305">
        <f t="shared" si="240"/>
        <v>101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1.0084166666666667</v>
      </c>
    </row>
    <row r="2528" spans="1:14" ht="15.75" thickBot="1">
      <c r="A2528" s="405">
        <f t="shared" si="240"/>
        <v>101</v>
      </c>
      <c r="B2528" s="406">
        <f t="shared" si="240"/>
        <v>101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101</v>
      </c>
      <c r="B2529" s="305">
        <f>L2538</f>
        <v>101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101</v>
      </c>
      <c r="B2530" s="41">
        <f t="shared" ref="B2530:B2558" ca="1" si="241">L$2556</f>
        <v>101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1.0028055555555555</v>
      </c>
    </row>
    <row r="2531" spans="1:14">
      <c r="A2531" s="39">
        <f t="shared" ref="A2531:A2558" ca="1" si="242">K$2556</f>
        <v>101</v>
      </c>
      <c r="B2531" s="41">
        <f t="shared" ca="1" si="241"/>
        <v>101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1.0028055555555555</v>
      </c>
    </row>
    <row r="2532" spans="1:14">
      <c r="A2532" s="39">
        <f t="shared" ca="1" si="242"/>
        <v>101</v>
      </c>
      <c r="B2532" s="41">
        <f t="shared" ca="1" si="241"/>
        <v>101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1.0028055555555555</v>
      </c>
    </row>
    <row r="2533" spans="1:14">
      <c r="A2533" s="39">
        <f t="shared" ca="1" si="242"/>
        <v>101</v>
      </c>
      <c r="B2533" s="41">
        <f t="shared" ca="1" si="241"/>
        <v>101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1.0028055555555555</v>
      </c>
    </row>
    <row r="2534" spans="1:14">
      <c r="A2534" s="39">
        <f t="shared" ca="1" si="242"/>
        <v>101</v>
      </c>
      <c r="B2534" s="41">
        <f t="shared" ca="1" si="241"/>
        <v>101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1.0084166666666667</v>
      </c>
    </row>
    <row r="2535" spans="1:14">
      <c r="A2535" s="39">
        <f t="shared" ca="1" si="242"/>
        <v>101</v>
      </c>
      <c r="B2535" s="41">
        <f t="shared" ca="1" si="241"/>
        <v>101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101</v>
      </c>
      <c r="B2536" s="41">
        <f t="shared" ca="1" si="241"/>
        <v>101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101</v>
      </c>
      <c r="B2537" s="41">
        <f t="shared" ca="1" si="241"/>
        <v>101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1.0028055555555555</v>
      </c>
    </row>
    <row r="2538" spans="1:14">
      <c r="A2538" s="39">
        <f t="shared" ca="1" si="242"/>
        <v>101</v>
      </c>
      <c r="B2538" s="41">
        <f t="shared" ca="1" si="241"/>
        <v>101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101</v>
      </c>
      <c r="L2538" s="194">
        <f>L2540</f>
        <v>101</v>
      </c>
      <c r="M2538" s="117">
        <v>2</v>
      </c>
      <c r="N2538" s="64">
        <f t="shared" ca="1" si="239"/>
        <v>1.005611111111111</v>
      </c>
    </row>
    <row r="2539" spans="1:14">
      <c r="A2539" s="39">
        <f t="shared" ca="1" si="242"/>
        <v>101</v>
      </c>
      <c r="B2539" s="41">
        <f t="shared" ca="1" si="241"/>
        <v>101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101</v>
      </c>
      <c r="B2540" s="41">
        <f t="shared" ca="1" si="241"/>
        <v>101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101</v>
      </c>
      <c r="L2540" s="193">
        <f>OUTPUT!F8</f>
        <v>101</v>
      </c>
      <c r="M2540" s="113">
        <f t="shared" ref="M2540:M2552" si="243">IF(MOD(C2540,7)&lt;2,0,IF(MOD(C2540,7)=6,3,1))</f>
        <v>1</v>
      </c>
      <c r="N2540" s="64">
        <f t="shared" ca="1" si="239"/>
        <v>1.0028055555555555</v>
      </c>
    </row>
    <row r="2541" spans="1:14">
      <c r="A2541" s="39">
        <f t="shared" ca="1" si="242"/>
        <v>101</v>
      </c>
      <c r="B2541" s="41">
        <f t="shared" ca="1" si="241"/>
        <v>101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1.0084166666666667</v>
      </c>
    </row>
    <row r="2542" spans="1:14">
      <c r="A2542" s="39">
        <f t="shared" ca="1" si="242"/>
        <v>101</v>
      </c>
      <c r="B2542" s="41">
        <f t="shared" ca="1" si="241"/>
        <v>101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3030</v>
      </c>
      <c r="L2542" s="192">
        <f>L2540*L2530</f>
        <v>3030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101</v>
      </c>
      <c r="B2543" s="41">
        <f t="shared" ca="1" si="241"/>
        <v>101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101</v>
      </c>
      <c r="B2544" s="41">
        <f t="shared" ca="1" si="241"/>
        <v>101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3030</v>
      </c>
      <c r="L2544" s="192">
        <f>L2542</f>
        <v>3030</v>
      </c>
      <c r="M2544" s="113">
        <f t="shared" si="243"/>
        <v>1</v>
      </c>
      <c r="N2544" s="64">
        <f t="shared" ca="1" si="239"/>
        <v>1.0028055555555555</v>
      </c>
    </row>
    <row r="2545" spans="1:14">
      <c r="A2545" s="39">
        <f t="shared" ca="1" si="242"/>
        <v>101</v>
      </c>
      <c r="B2545" s="41">
        <f t="shared" ca="1" si="241"/>
        <v>101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1.0028055555555555</v>
      </c>
    </row>
    <row r="2546" spans="1:14">
      <c r="A2546" s="39">
        <f t="shared" ca="1" si="242"/>
        <v>101</v>
      </c>
      <c r="B2546" s="41">
        <f t="shared" ca="1" si="241"/>
        <v>101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101</v>
      </c>
      <c r="L2546" s="401">
        <f ca="1">SUM(INDIRECT(L2535))</f>
        <v>101</v>
      </c>
      <c r="M2546" s="113">
        <f t="shared" si="243"/>
        <v>1</v>
      </c>
      <c r="N2546" s="64">
        <f t="shared" ca="1" si="239"/>
        <v>1.0028055555555555</v>
      </c>
    </row>
    <row r="2547" spans="1:14">
      <c r="A2547" s="39">
        <f t="shared" ca="1" si="242"/>
        <v>101</v>
      </c>
      <c r="B2547" s="41">
        <f t="shared" ca="1" si="241"/>
        <v>101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2929</v>
      </c>
      <c r="L2547" s="201">
        <f ca="1">L2542-L2545-L2546</f>
        <v>2929</v>
      </c>
      <c r="M2547" s="113">
        <f t="shared" si="243"/>
        <v>1</v>
      </c>
      <c r="N2547" s="64">
        <f t="shared" ca="1" si="239"/>
        <v>1.0028055555555555</v>
      </c>
    </row>
    <row r="2548" spans="1:14">
      <c r="A2548" s="39">
        <f t="shared" ca="1" si="242"/>
        <v>101</v>
      </c>
      <c r="B2548" s="41">
        <f t="shared" ca="1" si="241"/>
        <v>101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1.0084166666666667</v>
      </c>
    </row>
    <row r="2549" spans="1:14">
      <c r="A2549" s="39">
        <f t="shared" ca="1" si="242"/>
        <v>101</v>
      </c>
      <c r="B2549" s="41">
        <f t="shared" ca="1" si="241"/>
        <v>101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101</v>
      </c>
      <c r="B2550" s="41">
        <f t="shared" ca="1" si="241"/>
        <v>101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101</v>
      </c>
      <c r="B2551" s="41">
        <f t="shared" ca="1" si="241"/>
        <v>101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1.0028055555555555</v>
      </c>
    </row>
    <row r="2552" spans="1:14">
      <c r="A2552" s="39">
        <f t="shared" ca="1" si="242"/>
        <v>101</v>
      </c>
      <c r="B2552" s="41">
        <f t="shared" ca="1" si="241"/>
        <v>101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1.0028055555555555</v>
      </c>
    </row>
    <row r="2553" spans="1:14">
      <c r="A2553" s="39">
        <f t="shared" ca="1" si="242"/>
        <v>101</v>
      </c>
      <c r="B2553" s="41">
        <f t="shared" ca="1" si="241"/>
        <v>101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1.005611111111111</v>
      </c>
    </row>
    <row r="2554" spans="1:14">
      <c r="A2554" s="39">
        <f t="shared" ca="1" si="242"/>
        <v>101</v>
      </c>
      <c r="B2554" s="41">
        <f t="shared" ca="1" si="241"/>
        <v>101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2929</v>
      </c>
      <c r="L2554" s="192">
        <f ca="1">L2547</f>
        <v>2929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101</v>
      </c>
      <c r="B2555" s="41">
        <f t="shared" ca="1" si="241"/>
        <v>101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1.0084166666666667</v>
      </c>
    </row>
    <row r="2556" spans="1:14">
      <c r="A2556" s="39">
        <f t="shared" ca="1" si="242"/>
        <v>101</v>
      </c>
      <c r="B2556" s="41">
        <f t="shared" ca="1" si="241"/>
        <v>101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101</v>
      </c>
      <c r="L2556" s="192">
        <f ca="1">L2554/L2555</f>
        <v>101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101</v>
      </c>
      <c r="B2557" s="41">
        <f t="shared" ca="1" si="241"/>
        <v>101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101</v>
      </c>
      <c r="B2558" s="230">
        <f t="shared" ca="1" si="241"/>
        <v>101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1.0028055555555555</v>
      </c>
    </row>
    <row r="2559" spans="1:14">
      <c r="A2559" s="304">
        <f ca="1">K$2568</f>
        <v>101</v>
      </c>
      <c r="B2559" s="305">
        <f t="shared" ref="B2559:B2567" ca="1" si="245">L$2568</f>
        <v>101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1.0028055555555555</v>
      </c>
    </row>
    <row r="2560" spans="1:14">
      <c r="A2560" s="304">
        <f t="shared" ref="A2560:A2567" ca="1" si="246">K$2568</f>
        <v>101</v>
      </c>
      <c r="B2560" s="305">
        <f t="shared" ca="1" si="245"/>
        <v>101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1.0028055555555555</v>
      </c>
    </row>
    <row r="2561" spans="1:14">
      <c r="A2561" s="304">
        <f t="shared" ca="1" si="246"/>
        <v>101</v>
      </c>
      <c r="B2561" s="305">
        <f t="shared" ca="1" si="245"/>
        <v>101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1.0028055555555555</v>
      </c>
    </row>
    <row r="2562" spans="1:14">
      <c r="A2562" s="304">
        <f t="shared" ca="1" si="246"/>
        <v>101</v>
      </c>
      <c r="B2562" s="305">
        <f t="shared" ca="1" si="245"/>
        <v>101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1.0084166666666667</v>
      </c>
    </row>
    <row r="2563" spans="1:14">
      <c r="A2563" s="304">
        <f t="shared" ca="1" si="246"/>
        <v>101</v>
      </c>
      <c r="B2563" s="305">
        <f t="shared" ca="1" si="245"/>
        <v>101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101</v>
      </c>
      <c r="B2564" s="305">
        <f t="shared" ca="1" si="245"/>
        <v>101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101</v>
      </c>
      <c r="B2565" s="305">
        <f t="shared" ca="1" si="245"/>
        <v>101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1.0028055555555555</v>
      </c>
    </row>
    <row r="2566" spans="1:14">
      <c r="A2566" s="304">
        <f t="shared" ca="1" si="246"/>
        <v>101</v>
      </c>
      <c r="B2566" s="305">
        <f t="shared" ca="1" si="245"/>
        <v>101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1.0028055555555555</v>
      </c>
    </row>
    <row r="2567" spans="1:14">
      <c r="A2567" s="304">
        <f t="shared" ca="1" si="246"/>
        <v>101</v>
      </c>
      <c r="B2567" s="305">
        <f t="shared" ca="1" si="245"/>
        <v>101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1.0028055555555555</v>
      </c>
    </row>
    <row r="2568" spans="1:14">
      <c r="A2568" s="39">
        <f ca="1">K$2586</f>
        <v>101</v>
      </c>
      <c r="B2568" s="41">
        <f t="shared" ref="B2568:B2589" ca="1" si="249">L$2586</f>
        <v>101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101</v>
      </c>
      <c r="L2568" s="194">
        <f ca="1">B2558+H2558</f>
        <v>101</v>
      </c>
      <c r="M2568" s="113">
        <f t="shared" si="244"/>
        <v>1</v>
      </c>
      <c r="N2568" s="64">
        <f t="shared" ca="1" si="239"/>
        <v>1.0028055555555555</v>
      </c>
    </row>
    <row r="2569" spans="1:14">
      <c r="A2569" s="39">
        <f t="shared" ref="A2569:A2589" ca="1" si="250">K$2586</f>
        <v>101</v>
      </c>
      <c r="B2569" s="41">
        <f t="shared" ca="1" si="249"/>
        <v>101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1.0084166666666667</v>
      </c>
    </row>
    <row r="2570" spans="1:14">
      <c r="A2570" s="39">
        <f t="shared" ca="1" si="250"/>
        <v>101</v>
      </c>
      <c r="B2570" s="41">
        <f t="shared" ca="1" si="249"/>
        <v>101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101</v>
      </c>
      <c r="L2570" s="180">
        <f>OUTPUT!F9</f>
        <v>101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101</v>
      </c>
      <c r="B2571" s="41">
        <f t="shared" ca="1" si="249"/>
        <v>101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101</v>
      </c>
      <c r="B2572" s="41">
        <f t="shared" ca="1" si="249"/>
        <v>101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3131</v>
      </c>
      <c r="L2572" s="178">
        <f>L2570*L2560</f>
        <v>3131</v>
      </c>
      <c r="M2572" s="113">
        <f t="shared" si="244"/>
        <v>1</v>
      </c>
      <c r="N2572" s="64">
        <f t="shared" ca="1" si="239"/>
        <v>1.0028055555555555</v>
      </c>
    </row>
    <row r="2573" spans="1:14">
      <c r="A2573" s="39">
        <f t="shared" ca="1" si="250"/>
        <v>101</v>
      </c>
      <c r="B2573" s="41">
        <f t="shared" ca="1" si="249"/>
        <v>101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1.0028055555555555</v>
      </c>
    </row>
    <row r="2574" spans="1:14">
      <c r="A2574" s="39">
        <f t="shared" ca="1" si="250"/>
        <v>101</v>
      </c>
      <c r="B2574" s="41">
        <f t="shared" ca="1" si="249"/>
        <v>101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3131</v>
      </c>
      <c r="L2574" s="192">
        <f>L2572</f>
        <v>3131</v>
      </c>
      <c r="M2574" s="113">
        <f t="shared" si="244"/>
        <v>1</v>
      </c>
      <c r="N2574" s="64">
        <f t="shared" ca="1" si="239"/>
        <v>1.0028055555555555</v>
      </c>
    </row>
    <row r="2575" spans="1:14">
      <c r="A2575" s="39">
        <f t="shared" ca="1" si="250"/>
        <v>101</v>
      </c>
      <c r="B2575" s="41">
        <f t="shared" ca="1" si="249"/>
        <v>101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1.0028055555555555</v>
      </c>
    </row>
    <row r="2576" spans="1:14">
      <c r="A2576" s="39">
        <f t="shared" ca="1" si="250"/>
        <v>101</v>
      </c>
      <c r="B2576" s="41">
        <f t="shared" ca="1" si="249"/>
        <v>101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909</v>
      </c>
      <c r="L2576" s="401">
        <f ca="1">SUM(INDIRECT(L2565))</f>
        <v>909</v>
      </c>
      <c r="M2576" s="113">
        <f t="shared" si="244"/>
        <v>3</v>
      </c>
      <c r="N2576" s="64">
        <f t="shared" ca="1" si="239"/>
        <v>1.0084166666666667</v>
      </c>
    </row>
    <row r="2577" spans="1:14">
      <c r="A2577" s="39">
        <f t="shared" ca="1" si="250"/>
        <v>101</v>
      </c>
      <c r="B2577" s="41">
        <f t="shared" ca="1" si="249"/>
        <v>101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2222</v>
      </c>
      <c r="L2577" s="201">
        <f ca="1">L2572-L2575-L2576</f>
        <v>2222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101</v>
      </c>
      <c r="B2578" s="41">
        <f t="shared" ca="1" si="249"/>
        <v>101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101</v>
      </c>
      <c r="B2579" s="41">
        <f t="shared" ca="1" si="249"/>
        <v>101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1.0028055555555555</v>
      </c>
    </row>
    <row r="2580" spans="1:14">
      <c r="A2580" s="39">
        <f t="shared" ca="1" si="250"/>
        <v>101</v>
      </c>
      <c r="B2580" s="41">
        <f t="shared" ca="1" si="249"/>
        <v>101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1.0028055555555555</v>
      </c>
    </row>
    <row r="2581" spans="1:14">
      <c r="A2581" s="39">
        <f t="shared" ca="1" si="250"/>
        <v>101</v>
      </c>
      <c r="B2581" s="41">
        <f t="shared" ca="1" si="249"/>
        <v>101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1.0028055555555555</v>
      </c>
    </row>
    <row r="2582" spans="1:14">
      <c r="A2582" s="39">
        <f t="shared" ca="1" si="250"/>
        <v>101</v>
      </c>
      <c r="B2582" s="41">
        <f t="shared" ca="1" si="249"/>
        <v>101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1.0112222222222222</v>
      </c>
    </row>
    <row r="2583" spans="1:14">
      <c r="A2583" s="39">
        <f t="shared" ca="1" si="250"/>
        <v>101</v>
      </c>
      <c r="B2583" s="41">
        <f t="shared" ca="1" si="249"/>
        <v>101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101</v>
      </c>
      <c r="B2584" s="41">
        <f t="shared" ca="1" si="249"/>
        <v>101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2222</v>
      </c>
      <c r="L2584" s="192">
        <f ca="1">L2577</f>
        <v>2222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101</v>
      </c>
      <c r="B2585" s="41">
        <f t="shared" ca="1" si="249"/>
        <v>101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101</v>
      </c>
      <c r="B2586" s="41">
        <f t="shared" ca="1" si="249"/>
        <v>101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101</v>
      </c>
      <c r="L2586" s="192">
        <f ca="1">L2584/L2585</f>
        <v>101</v>
      </c>
      <c r="M2586" s="113">
        <f>IF(MOD(C2586,7)&lt;2,0,IF(MOD(C2586,7)=6,3,1))</f>
        <v>1</v>
      </c>
      <c r="N2586" s="64">
        <f t="shared" ca="1" si="251"/>
        <v>1.0028055555555555</v>
      </c>
    </row>
    <row r="2587" spans="1:14">
      <c r="A2587" s="39">
        <f t="shared" ca="1" si="250"/>
        <v>101</v>
      </c>
      <c r="B2587" s="41">
        <f t="shared" ca="1" si="249"/>
        <v>101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1.0028055555555555</v>
      </c>
    </row>
    <row r="2588" spans="1:14">
      <c r="A2588" s="39">
        <f t="shared" ca="1" si="250"/>
        <v>101</v>
      </c>
      <c r="B2588" s="41">
        <f t="shared" ca="1" si="249"/>
        <v>101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1.0028055555555555</v>
      </c>
    </row>
    <row r="2589" spans="1:14" ht="15.75" thickBot="1">
      <c r="A2589" s="98">
        <f t="shared" ca="1" si="250"/>
        <v>101</v>
      </c>
      <c r="B2589" s="230">
        <f t="shared" ca="1" si="249"/>
        <v>101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1.0112222222222222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83" priority="1511" operator="equal">
      <formula>"SUN"</formula>
    </cfRule>
    <cfRule type="cellIs" dxfId="682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81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80" priority="2211">
      <formula>ISODD(MONTH($C1))</formula>
    </cfRule>
    <cfRule type="expression" dxfId="679" priority="2212">
      <formula>ISEVEN(MONTH($C1))</formula>
    </cfRule>
  </conditionalFormatting>
  <conditionalFormatting sqref="K1409 K1470 K1532 K1592 K1653 K1714 K1778:K1780 K1839:K1841">
    <cfRule type="expression" dxfId="678" priority="2237">
      <formula>ISODD(MONTH($C1415))</formula>
    </cfRule>
    <cfRule type="expression" dxfId="677" priority="2238">
      <formula>ISEVEN(MONTH($C1415))</formula>
    </cfRule>
  </conditionalFormatting>
  <conditionalFormatting sqref="K1410:K1412 K1471:K1473 K1533:K1535 K1593:K1595 K1654:K1656 K1715:K1717">
    <cfRule type="expression" dxfId="676" priority="2241">
      <formula>ISODD(MONTH($C1418))</formula>
    </cfRule>
    <cfRule type="expression" dxfId="675" priority="2242">
      <formula>ISEVEN(MONTH($C1418))</formula>
    </cfRule>
  </conditionalFormatting>
  <conditionalFormatting sqref="K1414:K1416 K1475:K1477 K1537:K1539 K1597:K1599 K1658:K1660 K1719:K1721">
    <cfRule type="expression" dxfId="674" priority="2245">
      <formula>ISODD(MONTH($C1409))</formula>
    </cfRule>
    <cfRule type="expression" dxfId="673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72" priority="2247">
      <formula>ISODD(MONTH($C1410))</formula>
    </cfRule>
    <cfRule type="expression" dxfId="671" priority="2248">
      <formula>ISEVEN(MONTH($C1410))</formula>
    </cfRule>
  </conditionalFormatting>
  <conditionalFormatting sqref="K1434:K1438 K1495:K1499 K1555:K1559 K1616:K1620 K1677:K1681 K1739:K1743 K1800:K1804">
    <cfRule type="expression" dxfId="670" priority="2253">
      <formula>ISODD(MONTH($C1433))</formula>
    </cfRule>
    <cfRule type="expression" dxfId="669" priority="2254">
      <formula>ISEVEN(MONTH($C1433))</formula>
    </cfRule>
    <cfRule type="expression" dxfId="668" priority="2255">
      <formula>ISODD(MONTH($C1460))</formula>
    </cfRule>
    <cfRule type="expression" dxfId="667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6" priority="2257">
      <formula>ISODD(MONTH($C1433))</formula>
    </cfRule>
    <cfRule type="expression" dxfId="665" priority="2258">
      <formula>ISEVEN(MONTH($C1433))</formula>
    </cfRule>
  </conditionalFormatting>
  <conditionalFormatting sqref="K1440:K1442 K1501:K1503 K1561:K1563 K1622:K1624 K1683:K1685 K2091:K2096">
    <cfRule type="expression" dxfId="664" priority="2279">
      <formula>ISODD(MONTH($C1436))</formula>
    </cfRule>
    <cfRule type="expression" dxfId="663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62" priority="2283">
      <formula>ISODD(MONTH($C1443))</formula>
    </cfRule>
    <cfRule type="expression" dxfId="661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60" priority="2293">
      <formula>ISODD(MONTH($C1444))</formula>
    </cfRule>
    <cfRule type="expression" dxfId="659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8" priority="2409">
      <formula>ISODD(MONTH($C1733))</formula>
    </cfRule>
    <cfRule type="expression" dxfId="657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6" priority="2490">
      <formula>ISEVEN(MONTH($C1742))</formula>
    </cfRule>
  </conditionalFormatting>
  <conditionalFormatting sqref="K1758:K1762 K1819:K1823 K2087:K2090">
    <cfRule type="expression" dxfId="655" priority="2495">
      <formula>ISODD(MONTH($C1748))</formula>
    </cfRule>
    <cfRule type="expression" dxfId="654" priority="2496">
      <formula>ISEVEN(MONTH($C1748))</formula>
    </cfRule>
  </conditionalFormatting>
  <conditionalFormatting sqref="K1760:K1762 K1821:K1823">
    <cfRule type="expression" dxfId="653" priority="2497">
      <formula>ISODD(MONTH($C1749))</formula>
    </cfRule>
    <cfRule type="expression" dxfId="652" priority="2498">
      <formula>ISEVEN(MONTH($C1749))</formula>
    </cfRule>
  </conditionalFormatting>
  <conditionalFormatting sqref="K1777 K1838">
    <cfRule type="expression" dxfId="651" priority="2503">
      <formula>ISODD(MONTH($C1781))</formula>
    </cfRule>
    <cfRule type="expression" dxfId="650" priority="2504">
      <formula>ISEVEN(MONTH($C1781))</formula>
    </cfRule>
  </conditionalFormatting>
  <conditionalFormatting sqref="K1781 K1842 K1888 K2008 K2069 K2100">
    <cfRule type="expression" dxfId="649" priority="2507">
      <formula>ISODD(MONTH($C1779))</formula>
    </cfRule>
    <cfRule type="expression" dxfId="648" priority="2508">
      <formula>ISEVEN(MONTH($C1779))</formula>
    </cfRule>
  </conditionalFormatting>
  <conditionalFormatting sqref="K2072">
    <cfRule type="expression" dxfId="647" priority="599">
      <formula>ISODD(MONTH($C2072))</formula>
    </cfRule>
    <cfRule type="expression" dxfId="646" priority="600">
      <formula>ISEVEN(MONTH($C2072))</formula>
    </cfRule>
  </conditionalFormatting>
  <conditionalFormatting sqref="K2074:K2076">
    <cfRule type="expression" dxfId="645" priority="639">
      <formula>ISODD(MONTH($C2072))</formula>
    </cfRule>
    <cfRule type="expression" dxfId="644" priority="640">
      <formula>ISEVEN(MONTH($C2072))</formula>
    </cfRule>
  </conditionalFormatting>
  <conditionalFormatting sqref="K2075:K2076">
    <cfRule type="expression" dxfId="643" priority="3073">
      <formula>ISODD(MONTH($C2076))</formula>
    </cfRule>
    <cfRule type="expression" dxfId="642" priority="3074">
      <formula>ISEVEN(MONTH($C2076))</formula>
    </cfRule>
  </conditionalFormatting>
  <conditionalFormatting sqref="K2080">
    <cfRule type="expression" dxfId="641" priority="627">
      <formula>ISODD(MONTH($C2074))</formula>
    </cfRule>
    <cfRule type="expression" dxfId="640" priority="628">
      <formula>ISEVEN(MONTH($C2074))</formula>
    </cfRule>
  </conditionalFormatting>
  <conditionalFormatting sqref="K2081:K2082">
    <cfRule type="expression" dxfId="639" priority="615">
      <formula>ISODD(MONTH($C2073))</formula>
    </cfRule>
    <cfRule type="expression" dxfId="638" priority="616">
      <formula>ISEVEN(MONTH($C2073))</formula>
    </cfRule>
  </conditionalFormatting>
  <conditionalFormatting sqref="K2083">
    <cfRule type="expression" dxfId="637" priority="3055">
      <formula>ISODD(MONTH($C2086))</formula>
    </cfRule>
    <cfRule type="expression" dxfId="636" priority="3056">
      <formula>ISEVEN(MONTH($C2086))</formula>
    </cfRule>
  </conditionalFormatting>
  <conditionalFormatting sqref="K2084">
    <cfRule type="expression" dxfId="635" priority="623">
      <formula>ISODD(MONTH($C2078))</formula>
    </cfRule>
    <cfRule type="expression" dxfId="634" priority="624">
      <formula>ISEVEN(MONTH($C2078))</formula>
    </cfRule>
  </conditionalFormatting>
  <conditionalFormatting sqref="K2085">
    <cfRule type="expression" dxfId="633" priority="619">
      <formula>ISODD(MONTH($C2088))</formula>
    </cfRule>
    <cfRule type="expression" dxfId="632" priority="620">
      <formula>ISEVEN(MONTH($C2088))</formula>
    </cfRule>
  </conditionalFormatting>
  <conditionalFormatting sqref="K2086">
    <cfRule type="expression" dxfId="631" priority="603">
      <formula>ISODD(MONTH($C2078))</formula>
    </cfRule>
    <cfRule type="expression" dxfId="630" priority="604">
      <formula>ISEVEN(MONTH($C2078))</formula>
    </cfRule>
  </conditionalFormatting>
  <conditionalFormatting sqref="K2089:K2090">
    <cfRule type="expression" dxfId="629" priority="3117">
      <formula>ISODD(MONTH($C2093))</formula>
    </cfRule>
    <cfRule type="expression" dxfId="628" priority="3118">
      <formula>ISEVEN(MONTH($C2093))</formula>
    </cfRule>
  </conditionalFormatting>
  <conditionalFormatting sqref="K2097">
    <cfRule type="expression" dxfId="627" priority="613">
      <formula>ISODD(MONTH($C2087))</formula>
    </cfRule>
    <cfRule type="expression" dxfId="626" priority="614">
      <formula>ISEVEN(MONTH($C2087))</formula>
    </cfRule>
  </conditionalFormatting>
  <conditionalFormatting sqref="K2098">
    <cfRule type="expression" dxfId="625" priority="611">
      <formula>ISODD(MONTH($C2094))</formula>
    </cfRule>
    <cfRule type="expression" dxfId="624" priority="612">
      <formula>ISEVEN(MONTH($C2094))</formula>
    </cfRule>
  </conditionalFormatting>
  <conditionalFormatting sqref="K2099">
    <cfRule type="expression" dxfId="623" priority="3143">
      <formula>ISODD(MONTH($C2084))</formula>
    </cfRule>
    <cfRule type="expression" dxfId="622" priority="3144">
      <formula>ISEVEN(MONTH($C2084))</formula>
    </cfRule>
  </conditionalFormatting>
  <conditionalFormatting sqref="K2133">
    <cfRule type="expression" dxfId="621" priority="529">
      <formula>ISODD(MONTH($C2133))</formula>
    </cfRule>
    <cfRule type="expression" dxfId="620" priority="530">
      <formula>ISEVEN(MONTH($C2133))</formula>
    </cfRule>
  </conditionalFormatting>
  <conditionalFormatting sqref="K2135:K2137">
    <cfRule type="expression" dxfId="619" priority="559">
      <formula>ISODD(MONTH($C2133))</formula>
    </cfRule>
    <cfRule type="expression" dxfId="618" priority="560">
      <formula>ISEVEN(MONTH($C2133))</formula>
    </cfRule>
  </conditionalFormatting>
  <conditionalFormatting sqref="K2136:K2137">
    <cfRule type="expression" dxfId="617" priority="573">
      <formula>ISODD(MONTH($C2137))</formula>
    </cfRule>
    <cfRule type="expression" dxfId="616" priority="574">
      <formula>ISEVEN(MONTH($C2137))</formula>
    </cfRule>
  </conditionalFormatting>
  <conditionalFormatting sqref="K2141">
    <cfRule type="expression" dxfId="615" priority="555">
      <formula>ISODD(MONTH($C2135))</formula>
    </cfRule>
    <cfRule type="expression" dxfId="614" priority="556">
      <formula>ISEVEN(MONTH($C2135))</formula>
    </cfRule>
  </conditionalFormatting>
  <conditionalFormatting sqref="K2142:K2143">
    <cfRule type="expression" dxfId="613" priority="543">
      <formula>ISODD(MONTH($C2134))</formula>
    </cfRule>
    <cfRule type="expression" dxfId="612" priority="544">
      <formula>ISEVEN(MONTH($C2134))</formula>
    </cfRule>
  </conditionalFormatting>
  <conditionalFormatting sqref="K2144">
    <cfRule type="expression" dxfId="611" priority="569">
      <formula>ISODD(MONTH($C2147))</formula>
    </cfRule>
    <cfRule type="expression" dxfId="610" priority="570">
      <formula>ISEVEN(MONTH($C2147))</formula>
    </cfRule>
  </conditionalFormatting>
  <conditionalFormatting sqref="K2145">
    <cfRule type="expression" dxfId="609" priority="551">
      <formula>ISODD(MONTH($C2139))</formula>
    </cfRule>
    <cfRule type="expression" dxfId="608" priority="552">
      <formula>ISEVEN(MONTH($C2139))</formula>
    </cfRule>
  </conditionalFormatting>
  <conditionalFormatting sqref="K2146">
    <cfRule type="expression" dxfId="607" priority="547">
      <formula>ISODD(MONTH($C2149))</formula>
    </cfRule>
    <cfRule type="expression" dxfId="606" priority="548">
      <formula>ISEVEN(MONTH($C2149))</formula>
    </cfRule>
  </conditionalFormatting>
  <conditionalFormatting sqref="K2147">
    <cfRule type="expression" dxfId="605" priority="533">
      <formula>ISODD(MONTH($C2139))</formula>
    </cfRule>
    <cfRule type="expression" dxfId="604" priority="534">
      <formula>ISEVEN(MONTH($C2139))</formula>
    </cfRule>
  </conditionalFormatting>
  <conditionalFormatting sqref="K2148:K2151">
    <cfRule type="expression" dxfId="603" priority="563">
      <formula>ISODD(MONTH($C2138))</formula>
    </cfRule>
    <cfRule type="expression" dxfId="602" priority="564">
      <formula>ISEVEN(MONTH($C2138))</formula>
    </cfRule>
  </conditionalFormatting>
  <conditionalFormatting sqref="K2150:K2151">
    <cfRule type="expression" dxfId="601" priority="577">
      <formula>ISODD(MONTH($C2154))</formula>
    </cfRule>
    <cfRule type="expression" dxfId="600" priority="578">
      <formula>ISEVEN(MONTH($C2154))</formula>
    </cfRule>
  </conditionalFormatting>
  <conditionalFormatting sqref="K2152:K2157">
    <cfRule type="expression" dxfId="599" priority="561">
      <formula>ISODD(MONTH($C2148))</formula>
    </cfRule>
    <cfRule type="expression" dxfId="598" priority="562">
      <formula>ISEVEN(MONTH($C2148))</formula>
    </cfRule>
  </conditionalFormatting>
  <conditionalFormatting sqref="K2158">
    <cfRule type="expression" dxfId="597" priority="541">
      <formula>ISODD(MONTH($C2148))</formula>
    </cfRule>
    <cfRule type="expression" dxfId="596" priority="542">
      <formula>ISEVEN(MONTH($C2148))</formula>
    </cfRule>
  </conditionalFormatting>
  <conditionalFormatting sqref="K2159">
    <cfRule type="expression" dxfId="595" priority="539">
      <formula>ISODD(MONTH($C2155))</formula>
    </cfRule>
    <cfRule type="expression" dxfId="594" priority="540">
      <formula>ISEVEN(MONTH($C2155))</formula>
    </cfRule>
  </conditionalFormatting>
  <conditionalFormatting sqref="K2160">
    <cfRule type="expression" dxfId="593" priority="581">
      <formula>ISODD(MONTH($C2145))</formula>
    </cfRule>
    <cfRule type="expression" dxfId="592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91" priority="2489">
      <formula>ISODD(MONTH($C1742))</formula>
    </cfRule>
  </conditionalFormatting>
  <conditionalFormatting sqref="K2194">
    <cfRule type="expression" dxfId="590" priority="471">
      <formula>ISODD(MONTH($C2194))</formula>
    </cfRule>
    <cfRule type="expression" dxfId="589" priority="472">
      <formula>ISEVEN(MONTH($C2194))</formula>
    </cfRule>
  </conditionalFormatting>
  <conditionalFormatting sqref="K2196:K2198">
    <cfRule type="expression" dxfId="588" priority="501">
      <formula>ISODD(MONTH($C2194))</formula>
    </cfRule>
    <cfRule type="expression" dxfId="587" priority="502">
      <formula>ISEVEN(MONTH($C2194))</formula>
    </cfRule>
  </conditionalFormatting>
  <conditionalFormatting sqref="K2197:K2198">
    <cfRule type="expression" dxfId="586" priority="515">
      <formula>ISODD(MONTH($C2198))</formula>
    </cfRule>
    <cfRule type="expression" dxfId="585" priority="516">
      <formula>ISEVEN(MONTH($C2198))</formula>
    </cfRule>
  </conditionalFormatting>
  <conditionalFormatting sqref="K2202">
    <cfRule type="expression" dxfId="584" priority="497">
      <formula>ISODD(MONTH($C2196))</formula>
    </cfRule>
    <cfRule type="expression" dxfId="583" priority="498">
      <formula>ISEVEN(MONTH($C2196))</formula>
    </cfRule>
  </conditionalFormatting>
  <conditionalFormatting sqref="K2203:K2204">
    <cfRule type="expression" dxfId="582" priority="485">
      <formula>ISODD(MONTH($C2195))</formula>
    </cfRule>
    <cfRule type="expression" dxfId="581" priority="486">
      <formula>ISEVEN(MONTH($C2195))</formula>
    </cfRule>
  </conditionalFormatting>
  <conditionalFormatting sqref="K2205">
    <cfRule type="expression" dxfId="580" priority="511">
      <formula>ISODD(MONTH($C2208))</formula>
    </cfRule>
    <cfRule type="expression" dxfId="579" priority="512">
      <formula>ISEVEN(MONTH($C2208))</formula>
    </cfRule>
  </conditionalFormatting>
  <conditionalFormatting sqref="K2206">
    <cfRule type="expression" dxfId="578" priority="493">
      <formula>ISODD(MONTH($C2200))</formula>
    </cfRule>
    <cfRule type="expression" dxfId="577" priority="494">
      <formula>ISEVEN(MONTH($C2200))</formula>
    </cfRule>
  </conditionalFormatting>
  <conditionalFormatting sqref="K2207">
    <cfRule type="expression" dxfId="576" priority="489">
      <formula>ISODD(MONTH($C2210))</formula>
    </cfRule>
    <cfRule type="expression" dxfId="575" priority="490">
      <formula>ISEVEN(MONTH($C2210))</formula>
    </cfRule>
  </conditionalFormatting>
  <conditionalFormatting sqref="K2208">
    <cfRule type="expression" dxfId="574" priority="475">
      <formula>ISODD(MONTH($C2200))</formula>
    </cfRule>
    <cfRule type="expression" dxfId="573" priority="476">
      <formula>ISEVEN(MONTH($C2200))</formula>
    </cfRule>
  </conditionalFormatting>
  <conditionalFormatting sqref="K2209:K2212">
    <cfRule type="expression" dxfId="572" priority="505">
      <formula>ISODD(MONTH($C2199))</formula>
    </cfRule>
    <cfRule type="expression" dxfId="571" priority="506">
      <formula>ISEVEN(MONTH($C2199))</formula>
    </cfRule>
  </conditionalFormatting>
  <conditionalFormatting sqref="K2211:K2212">
    <cfRule type="expression" dxfId="570" priority="519">
      <formula>ISODD(MONTH($C2215))</formula>
    </cfRule>
    <cfRule type="expression" dxfId="569" priority="520">
      <formula>ISEVEN(MONTH($C2215))</formula>
    </cfRule>
  </conditionalFormatting>
  <conditionalFormatting sqref="K2213:K2218">
    <cfRule type="expression" dxfId="568" priority="503">
      <formula>ISODD(MONTH($C2209))</formula>
    </cfRule>
    <cfRule type="expression" dxfId="567" priority="504">
      <formula>ISEVEN(MONTH($C2209))</formula>
    </cfRule>
  </conditionalFormatting>
  <conditionalFormatting sqref="K2219">
    <cfRule type="expression" dxfId="566" priority="483">
      <formula>ISODD(MONTH($C2209))</formula>
    </cfRule>
    <cfRule type="expression" dxfId="565" priority="484">
      <formula>ISEVEN(MONTH($C2209))</formula>
    </cfRule>
  </conditionalFormatting>
  <conditionalFormatting sqref="K2220">
    <cfRule type="expression" dxfId="564" priority="481">
      <formula>ISODD(MONTH($C2216))</formula>
    </cfRule>
    <cfRule type="expression" dxfId="563" priority="482">
      <formula>ISEVEN(MONTH($C2216))</formula>
    </cfRule>
  </conditionalFormatting>
  <conditionalFormatting sqref="K2221">
    <cfRule type="expression" dxfId="562" priority="523">
      <formula>ISODD(MONTH($C2206))</formula>
    </cfRule>
    <cfRule type="expression" dxfId="561" priority="524">
      <formula>ISEVEN(MONTH($C2206))</formula>
    </cfRule>
  </conditionalFormatting>
  <conditionalFormatting sqref="K2232:K2252">
    <cfRule type="expression" dxfId="560" priority="467">
      <formula>ISODD(MONTH($C2229))</formula>
    </cfRule>
    <cfRule type="expression" dxfId="559" priority="468">
      <formula>ISEVEN(MONTH($C2229))</formula>
    </cfRule>
  </conditionalFormatting>
  <conditionalFormatting sqref="K2253:K2256">
    <cfRule type="expression" dxfId="558" priority="403">
      <formula>ISODD(MONTH($C2253))</formula>
    </cfRule>
    <cfRule type="expression" dxfId="557" priority="404">
      <formula>ISEVEN(MONTH($C2253))</formula>
    </cfRule>
  </conditionalFormatting>
  <conditionalFormatting sqref="K2257 K2261:K2263">
    <cfRule type="expression" dxfId="556" priority="461">
      <formula>ISODD(MONTH($C2256))</formula>
    </cfRule>
    <cfRule type="expression" dxfId="555" priority="462">
      <formula>ISEVEN(MONTH($C2256))</formula>
    </cfRule>
  </conditionalFormatting>
  <conditionalFormatting sqref="K2258:K2260">
    <cfRule type="expression" dxfId="554" priority="433">
      <formula>ISODD(MONTH($C2256))</formula>
    </cfRule>
    <cfRule type="expression" dxfId="553" priority="434">
      <formula>ISEVEN(MONTH($C2256))</formula>
    </cfRule>
  </conditionalFormatting>
  <conditionalFormatting sqref="K2259:K2260">
    <cfRule type="expression" dxfId="552" priority="447">
      <formula>ISODD(MONTH($C2260))</formula>
    </cfRule>
    <cfRule type="expression" dxfId="551" priority="448">
      <formula>ISEVEN(MONTH($C2260))</formula>
    </cfRule>
  </conditionalFormatting>
  <conditionalFormatting sqref="K2264">
    <cfRule type="expression" dxfId="550" priority="429">
      <formula>ISODD(MONTH($C2258))</formula>
    </cfRule>
    <cfRule type="expression" dxfId="549" priority="430">
      <formula>ISEVEN(MONTH($C2258))</formula>
    </cfRule>
  </conditionalFormatting>
  <conditionalFormatting sqref="K2265:K2266">
    <cfRule type="expression" dxfId="548" priority="417">
      <formula>ISODD(MONTH($C2257))</formula>
    </cfRule>
    <cfRule type="expression" dxfId="547" priority="418">
      <formula>ISEVEN(MONTH($C2257))</formula>
    </cfRule>
  </conditionalFormatting>
  <conditionalFormatting sqref="K2267">
    <cfRule type="expression" dxfId="546" priority="443">
      <formula>ISODD(MONTH($C2270))</formula>
    </cfRule>
    <cfRule type="expression" dxfId="545" priority="444">
      <formula>ISEVEN(MONTH($C2270))</formula>
    </cfRule>
  </conditionalFormatting>
  <conditionalFormatting sqref="K2268">
    <cfRule type="expression" dxfId="544" priority="425">
      <formula>ISODD(MONTH($C2262))</formula>
    </cfRule>
    <cfRule type="expression" dxfId="543" priority="426">
      <formula>ISEVEN(MONTH($C2262))</formula>
    </cfRule>
  </conditionalFormatting>
  <conditionalFormatting sqref="K2269">
    <cfRule type="expression" dxfId="542" priority="421">
      <formula>ISODD(MONTH($C2272))</formula>
    </cfRule>
    <cfRule type="expression" dxfId="541" priority="422">
      <formula>ISEVEN(MONTH($C2272))</formula>
    </cfRule>
  </conditionalFormatting>
  <conditionalFormatting sqref="K2270">
    <cfRule type="expression" dxfId="540" priority="407">
      <formula>ISODD(MONTH($C2262))</formula>
    </cfRule>
    <cfRule type="expression" dxfId="539" priority="408">
      <formula>ISEVEN(MONTH($C2262))</formula>
    </cfRule>
  </conditionalFormatting>
  <conditionalFormatting sqref="K2271:K2274">
    <cfRule type="expression" dxfId="538" priority="437">
      <formula>ISODD(MONTH($C2261))</formula>
    </cfRule>
    <cfRule type="expression" dxfId="537" priority="438">
      <formula>ISEVEN(MONTH($C2261))</formula>
    </cfRule>
  </conditionalFormatting>
  <conditionalFormatting sqref="K2273:K2274">
    <cfRule type="expression" dxfId="536" priority="451">
      <formula>ISODD(MONTH($C2277))</formula>
    </cfRule>
    <cfRule type="expression" dxfId="535" priority="452">
      <formula>ISEVEN(MONTH($C2277))</formula>
    </cfRule>
  </conditionalFormatting>
  <conditionalFormatting sqref="K2275:K2280">
    <cfRule type="expression" dxfId="534" priority="435">
      <formula>ISODD(MONTH($C2271))</formula>
    </cfRule>
    <cfRule type="expression" dxfId="533" priority="436">
      <formula>ISEVEN(MONTH($C2271))</formula>
    </cfRule>
  </conditionalFormatting>
  <conditionalFormatting sqref="K2281">
    <cfRule type="expression" dxfId="532" priority="415">
      <formula>ISODD(MONTH($C2271))</formula>
    </cfRule>
    <cfRule type="expression" dxfId="531" priority="416">
      <formula>ISEVEN(MONTH($C2271))</formula>
    </cfRule>
  </conditionalFormatting>
  <conditionalFormatting sqref="K2282">
    <cfRule type="expression" dxfId="530" priority="413">
      <formula>ISODD(MONTH($C2278))</formula>
    </cfRule>
    <cfRule type="expression" dxfId="529" priority="414">
      <formula>ISEVEN(MONTH($C2278))</formula>
    </cfRule>
  </conditionalFormatting>
  <conditionalFormatting sqref="K2283">
    <cfRule type="expression" dxfId="528" priority="455">
      <formula>ISODD(MONTH($C2268))</formula>
    </cfRule>
    <cfRule type="expression" dxfId="527" priority="456">
      <formula>ISEVEN(MONTH($C2268))</formula>
    </cfRule>
    <cfRule type="expression" dxfId="526" priority="463">
      <formula>ISODD(MONTH($C2280))</formula>
    </cfRule>
    <cfRule type="expression" dxfId="525" priority="464">
      <formula>ISEVEN(MONTH($C2280))</formula>
    </cfRule>
  </conditionalFormatting>
  <conditionalFormatting sqref="K2285:K2290">
    <cfRule type="expression" dxfId="524" priority="39">
      <formula>ISODD(MONTH($C2284))</formula>
    </cfRule>
    <cfRule type="expression" dxfId="523" priority="40">
      <formula>ISEVEN(MONTH($C2284))</formula>
    </cfRule>
  </conditionalFormatting>
  <conditionalFormatting sqref="K2291:K2311">
    <cfRule type="expression" dxfId="522" priority="35">
      <formula>ISODD(MONTH($C2288))</formula>
    </cfRule>
    <cfRule type="expression" dxfId="521" priority="36">
      <formula>ISEVEN(MONTH($C2288))</formula>
    </cfRule>
  </conditionalFormatting>
  <conditionalFormatting sqref="K2312:K2315">
    <cfRule type="expression" dxfId="520" priority="299">
      <formula>ISODD(MONTH($C2312))</formula>
    </cfRule>
    <cfRule type="expression" dxfId="519" priority="300">
      <formula>ISEVEN(MONTH($C2312))</formula>
    </cfRule>
  </conditionalFormatting>
  <conditionalFormatting sqref="K2316 K2320:K2322">
    <cfRule type="expression" dxfId="518" priority="357">
      <formula>ISODD(MONTH($C2315))</formula>
    </cfRule>
    <cfRule type="expression" dxfId="517" priority="358">
      <formula>ISEVEN(MONTH($C2315))</formula>
    </cfRule>
  </conditionalFormatting>
  <conditionalFormatting sqref="K2317:K2319">
    <cfRule type="expression" dxfId="516" priority="329">
      <formula>ISODD(MONTH($C2315))</formula>
    </cfRule>
    <cfRule type="expression" dxfId="515" priority="330">
      <formula>ISEVEN(MONTH($C2315))</formula>
    </cfRule>
  </conditionalFormatting>
  <conditionalFormatting sqref="K2318:K2319">
    <cfRule type="expression" dxfId="514" priority="343">
      <formula>ISODD(MONTH($C2319))</formula>
    </cfRule>
    <cfRule type="expression" dxfId="513" priority="344">
      <formula>ISEVEN(MONTH($C2319))</formula>
    </cfRule>
  </conditionalFormatting>
  <conditionalFormatting sqref="K2323">
    <cfRule type="expression" dxfId="512" priority="325">
      <formula>ISODD(MONTH($C2317))</formula>
    </cfRule>
    <cfRule type="expression" dxfId="511" priority="326">
      <formula>ISEVEN(MONTH($C2317))</formula>
    </cfRule>
  </conditionalFormatting>
  <conditionalFormatting sqref="K2324:K2325">
    <cfRule type="expression" dxfId="510" priority="313">
      <formula>ISODD(MONTH($C2316))</formula>
    </cfRule>
    <cfRule type="expression" dxfId="509" priority="314">
      <formula>ISEVEN(MONTH($C2316))</formula>
    </cfRule>
  </conditionalFormatting>
  <conditionalFormatting sqref="K2326">
    <cfRule type="expression" dxfId="508" priority="339">
      <formula>ISODD(MONTH($C2329))</formula>
    </cfRule>
    <cfRule type="expression" dxfId="507" priority="340">
      <formula>ISEVEN(MONTH($C2329))</formula>
    </cfRule>
  </conditionalFormatting>
  <conditionalFormatting sqref="K2327">
    <cfRule type="expression" dxfId="506" priority="321">
      <formula>ISODD(MONTH($C2321))</formula>
    </cfRule>
    <cfRule type="expression" dxfId="505" priority="322">
      <formula>ISEVEN(MONTH($C2321))</formula>
    </cfRule>
  </conditionalFormatting>
  <conditionalFormatting sqref="K2328">
    <cfRule type="expression" dxfId="504" priority="317">
      <formula>ISODD(MONTH($C2331))</formula>
    </cfRule>
    <cfRule type="expression" dxfId="503" priority="318">
      <formula>ISEVEN(MONTH($C2331))</formula>
    </cfRule>
  </conditionalFormatting>
  <conditionalFormatting sqref="K2329">
    <cfRule type="expression" dxfId="502" priority="303">
      <formula>ISODD(MONTH($C2321))</formula>
    </cfRule>
    <cfRule type="expression" dxfId="501" priority="304">
      <formula>ISEVEN(MONTH($C2321))</formula>
    </cfRule>
  </conditionalFormatting>
  <conditionalFormatting sqref="K2330:K2333">
    <cfRule type="expression" dxfId="500" priority="333">
      <formula>ISODD(MONTH($C2320))</formula>
    </cfRule>
    <cfRule type="expression" dxfId="499" priority="334">
      <formula>ISEVEN(MONTH($C2320))</formula>
    </cfRule>
  </conditionalFormatting>
  <conditionalFormatting sqref="K2332:K2333">
    <cfRule type="expression" dxfId="498" priority="347">
      <formula>ISODD(MONTH($C2336))</formula>
    </cfRule>
    <cfRule type="expression" dxfId="497" priority="348">
      <formula>ISEVEN(MONTH($C2336))</formula>
    </cfRule>
  </conditionalFormatting>
  <conditionalFormatting sqref="K2334:K2339">
    <cfRule type="expression" dxfId="496" priority="331">
      <formula>ISODD(MONTH($C2330))</formula>
    </cfRule>
    <cfRule type="expression" dxfId="495" priority="332">
      <formula>ISEVEN(MONTH($C2330))</formula>
    </cfRule>
  </conditionalFormatting>
  <conditionalFormatting sqref="K2340">
    <cfRule type="expression" dxfId="494" priority="311">
      <formula>ISODD(MONTH($C2330))</formula>
    </cfRule>
    <cfRule type="expression" dxfId="493" priority="312">
      <formula>ISEVEN(MONTH($C2330))</formula>
    </cfRule>
  </conditionalFormatting>
  <conditionalFormatting sqref="K2341">
    <cfRule type="expression" dxfId="492" priority="309">
      <formula>ISODD(MONTH($C2337))</formula>
    </cfRule>
    <cfRule type="expression" dxfId="491" priority="310">
      <formula>ISEVEN(MONTH($C2337))</formula>
    </cfRule>
  </conditionalFormatting>
  <conditionalFormatting sqref="K2342">
    <cfRule type="expression" dxfId="490" priority="351">
      <formula>ISODD(MONTH($C2327))</formula>
    </cfRule>
    <cfRule type="expression" dxfId="489" priority="352">
      <formula>ISEVEN(MONTH($C2327))</formula>
    </cfRule>
    <cfRule type="expression" dxfId="488" priority="359">
      <formula>ISODD(MONTH($C2339))</formula>
    </cfRule>
    <cfRule type="expression" dxfId="487" priority="360">
      <formula>ISEVEN(MONTH($C2339))</formula>
    </cfRule>
  </conditionalFormatting>
  <conditionalFormatting sqref="K2346:K2351">
    <cfRule type="expression" dxfId="486" priority="31">
      <formula>ISODD(MONTH($C2345))</formula>
    </cfRule>
    <cfRule type="expression" dxfId="485" priority="32">
      <formula>ISEVEN(MONTH($C2345))</formula>
    </cfRule>
  </conditionalFormatting>
  <conditionalFormatting sqref="K2352:K2372">
    <cfRule type="expression" dxfId="484" priority="27">
      <formula>ISODD(MONTH($C2349))</formula>
    </cfRule>
    <cfRule type="expression" dxfId="483" priority="28">
      <formula>ISEVEN(MONTH($C2349))</formula>
    </cfRule>
  </conditionalFormatting>
  <conditionalFormatting sqref="K2373:K2376">
    <cfRule type="expression" dxfId="482" priority="235">
      <formula>ISODD(MONTH($C2373))</formula>
    </cfRule>
    <cfRule type="expression" dxfId="481" priority="236">
      <formula>ISEVEN(MONTH($C2373))</formula>
    </cfRule>
  </conditionalFormatting>
  <conditionalFormatting sqref="K2377 K2381:K2383">
    <cfRule type="expression" dxfId="480" priority="293">
      <formula>ISODD(MONTH($C2376))</formula>
    </cfRule>
    <cfRule type="expression" dxfId="479" priority="294">
      <formula>ISEVEN(MONTH($C2376))</formula>
    </cfRule>
  </conditionalFormatting>
  <conditionalFormatting sqref="K2378:K2380">
    <cfRule type="expression" dxfId="478" priority="265">
      <formula>ISODD(MONTH($C2376))</formula>
    </cfRule>
    <cfRule type="expression" dxfId="477" priority="266">
      <formula>ISEVEN(MONTH($C2376))</formula>
    </cfRule>
  </conditionalFormatting>
  <conditionalFormatting sqref="K2379:K2380">
    <cfRule type="expression" dxfId="476" priority="279">
      <formula>ISODD(MONTH($C2380))</formula>
    </cfRule>
    <cfRule type="expression" dxfId="475" priority="280">
      <formula>ISEVEN(MONTH($C2380))</formula>
    </cfRule>
  </conditionalFormatting>
  <conditionalFormatting sqref="K2384">
    <cfRule type="expression" dxfId="474" priority="261">
      <formula>ISODD(MONTH($C2378))</formula>
    </cfRule>
    <cfRule type="expression" dxfId="473" priority="262">
      <formula>ISEVEN(MONTH($C2378))</formula>
    </cfRule>
  </conditionalFormatting>
  <conditionalFormatting sqref="K2385:K2386">
    <cfRule type="expression" dxfId="472" priority="249">
      <formula>ISODD(MONTH($C2377))</formula>
    </cfRule>
    <cfRule type="expression" dxfId="471" priority="250">
      <formula>ISEVEN(MONTH($C2377))</formula>
    </cfRule>
  </conditionalFormatting>
  <conditionalFormatting sqref="K2387">
    <cfRule type="expression" dxfId="470" priority="275">
      <formula>ISODD(MONTH($C2390))</formula>
    </cfRule>
    <cfRule type="expression" dxfId="469" priority="276">
      <formula>ISEVEN(MONTH($C2390))</formula>
    </cfRule>
  </conditionalFormatting>
  <conditionalFormatting sqref="K2388">
    <cfRule type="expression" dxfId="468" priority="257">
      <formula>ISODD(MONTH($C2382))</formula>
    </cfRule>
    <cfRule type="expression" dxfId="467" priority="258">
      <formula>ISEVEN(MONTH($C2382))</formula>
    </cfRule>
  </conditionalFormatting>
  <conditionalFormatting sqref="K2389">
    <cfRule type="expression" dxfId="466" priority="253">
      <formula>ISODD(MONTH($C2392))</formula>
    </cfRule>
    <cfRule type="expression" dxfId="465" priority="254">
      <formula>ISEVEN(MONTH($C2392))</formula>
    </cfRule>
  </conditionalFormatting>
  <conditionalFormatting sqref="K2390">
    <cfRule type="expression" dxfId="464" priority="239">
      <formula>ISODD(MONTH($C2382))</formula>
    </cfRule>
    <cfRule type="expression" dxfId="463" priority="240">
      <formula>ISEVEN(MONTH($C2382))</formula>
    </cfRule>
  </conditionalFormatting>
  <conditionalFormatting sqref="K2391:K2394">
    <cfRule type="expression" dxfId="462" priority="269">
      <formula>ISODD(MONTH($C2381))</formula>
    </cfRule>
    <cfRule type="expression" dxfId="461" priority="270">
      <formula>ISEVEN(MONTH($C2381))</formula>
    </cfRule>
  </conditionalFormatting>
  <conditionalFormatting sqref="K2393:K2394">
    <cfRule type="expression" dxfId="460" priority="283">
      <formula>ISODD(MONTH($C2397))</formula>
    </cfRule>
    <cfRule type="expression" dxfId="459" priority="284">
      <formula>ISEVEN(MONTH($C2397))</formula>
    </cfRule>
  </conditionalFormatting>
  <conditionalFormatting sqref="K2395:K2400">
    <cfRule type="expression" dxfId="458" priority="267">
      <formula>ISODD(MONTH($C2391))</formula>
    </cfRule>
    <cfRule type="expression" dxfId="457" priority="268">
      <formula>ISEVEN(MONTH($C2391))</formula>
    </cfRule>
  </conditionalFormatting>
  <conditionalFormatting sqref="K2401">
    <cfRule type="expression" dxfId="456" priority="247">
      <formula>ISODD(MONTH($C2391))</formula>
    </cfRule>
    <cfRule type="expression" dxfId="455" priority="248">
      <formula>ISEVEN(MONTH($C2391))</formula>
    </cfRule>
  </conditionalFormatting>
  <conditionalFormatting sqref="K2402">
    <cfRule type="expression" dxfId="454" priority="245">
      <formula>ISODD(MONTH($C2398))</formula>
    </cfRule>
    <cfRule type="expression" dxfId="453" priority="246">
      <formula>ISEVEN(MONTH($C2398))</formula>
    </cfRule>
  </conditionalFormatting>
  <conditionalFormatting sqref="K2403">
    <cfRule type="expression" dxfId="452" priority="287">
      <formula>ISODD(MONTH($C2388))</formula>
    </cfRule>
    <cfRule type="expression" dxfId="451" priority="288">
      <formula>ISEVEN(MONTH($C2388))</formula>
    </cfRule>
    <cfRule type="expression" dxfId="450" priority="295">
      <formula>ISODD(MONTH($C2400))</formula>
    </cfRule>
    <cfRule type="expression" dxfId="449" priority="296">
      <formula>ISEVEN(MONTH($C2400))</formula>
    </cfRule>
  </conditionalFormatting>
  <conditionalFormatting sqref="K2407:K2412">
    <cfRule type="expression" dxfId="448" priority="23">
      <formula>ISODD(MONTH($C2406))</formula>
    </cfRule>
    <cfRule type="expression" dxfId="447" priority="24">
      <formula>ISEVEN(MONTH($C2406))</formula>
    </cfRule>
  </conditionalFormatting>
  <conditionalFormatting sqref="K2413:K2433">
    <cfRule type="expression" dxfId="446" priority="19">
      <formula>ISODD(MONTH($C2410))</formula>
    </cfRule>
    <cfRule type="expression" dxfId="445" priority="20">
      <formula>ISEVEN(MONTH($C2410))</formula>
    </cfRule>
  </conditionalFormatting>
  <conditionalFormatting sqref="K2434:K2437">
    <cfRule type="expression" dxfId="444" priority="171">
      <formula>ISODD(MONTH($C2434))</formula>
    </cfRule>
    <cfRule type="expression" dxfId="443" priority="172">
      <formula>ISEVEN(MONTH($C2434))</formula>
    </cfRule>
  </conditionalFormatting>
  <conditionalFormatting sqref="K2438 K2442:K2444">
    <cfRule type="expression" dxfId="442" priority="229">
      <formula>ISODD(MONTH($C2437))</formula>
    </cfRule>
    <cfRule type="expression" dxfId="441" priority="230">
      <formula>ISEVEN(MONTH($C2437))</formula>
    </cfRule>
  </conditionalFormatting>
  <conditionalFormatting sqref="K2439:K2441">
    <cfRule type="expression" dxfId="440" priority="201">
      <formula>ISODD(MONTH($C2437))</formula>
    </cfRule>
    <cfRule type="expression" dxfId="439" priority="202">
      <formula>ISEVEN(MONTH($C2437))</formula>
    </cfRule>
  </conditionalFormatting>
  <conditionalFormatting sqref="K2440:K2441">
    <cfRule type="expression" dxfId="438" priority="215">
      <formula>ISODD(MONTH($C2441))</formula>
    </cfRule>
    <cfRule type="expression" dxfId="437" priority="216">
      <formula>ISEVEN(MONTH($C2441))</formula>
    </cfRule>
  </conditionalFormatting>
  <conditionalFormatting sqref="K2445">
    <cfRule type="expression" dxfId="436" priority="197">
      <formula>ISODD(MONTH($C2439))</formula>
    </cfRule>
    <cfRule type="expression" dxfId="435" priority="198">
      <formula>ISEVEN(MONTH($C2439))</formula>
    </cfRule>
  </conditionalFormatting>
  <conditionalFormatting sqref="K2446:K2447">
    <cfRule type="expression" dxfId="434" priority="185">
      <formula>ISODD(MONTH($C2438))</formula>
    </cfRule>
    <cfRule type="expression" dxfId="433" priority="186">
      <formula>ISEVEN(MONTH($C2438))</formula>
    </cfRule>
  </conditionalFormatting>
  <conditionalFormatting sqref="K2448">
    <cfRule type="expression" dxfId="432" priority="211">
      <formula>ISODD(MONTH($C2451))</formula>
    </cfRule>
    <cfRule type="expression" dxfId="431" priority="212">
      <formula>ISEVEN(MONTH($C2451))</formula>
    </cfRule>
  </conditionalFormatting>
  <conditionalFormatting sqref="K2449">
    <cfRule type="expression" dxfId="430" priority="193">
      <formula>ISODD(MONTH($C2443))</formula>
    </cfRule>
    <cfRule type="expression" dxfId="429" priority="194">
      <formula>ISEVEN(MONTH($C2443))</formula>
    </cfRule>
  </conditionalFormatting>
  <conditionalFormatting sqref="K2450">
    <cfRule type="expression" dxfId="428" priority="189">
      <formula>ISODD(MONTH($C2453))</formula>
    </cfRule>
    <cfRule type="expression" dxfId="427" priority="190">
      <formula>ISEVEN(MONTH($C2453))</formula>
    </cfRule>
  </conditionalFormatting>
  <conditionalFormatting sqref="K2451">
    <cfRule type="expression" dxfId="426" priority="175">
      <formula>ISODD(MONTH($C2443))</formula>
    </cfRule>
    <cfRule type="expression" dxfId="425" priority="176">
      <formula>ISEVEN(MONTH($C2443))</formula>
    </cfRule>
  </conditionalFormatting>
  <conditionalFormatting sqref="K2452:K2455">
    <cfRule type="expression" dxfId="424" priority="205">
      <formula>ISODD(MONTH($C2442))</formula>
    </cfRule>
    <cfRule type="expression" dxfId="423" priority="206">
      <formula>ISEVEN(MONTH($C2442))</formula>
    </cfRule>
  </conditionalFormatting>
  <conditionalFormatting sqref="K2454:K2455">
    <cfRule type="expression" dxfId="422" priority="219">
      <formula>ISODD(MONTH($C2458))</formula>
    </cfRule>
    <cfRule type="expression" dxfId="421" priority="220">
      <formula>ISEVEN(MONTH($C2458))</formula>
    </cfRule>
  </conditionalFormatting>
  <conditionalFormatting sqref="K2456:K2461">
    <cfRule type="expression" dxfId="420" priority="203">
      <formula>ISODD(MONTH($C2452))</formula>
    </cfRule>
    <cfRule type="expression" dxfId="419" priority="204">
      <formula>ISEVEN(MONTH($C2452))</formula>
    </cfRule>
  </conditionalFormatting>
  <conditionalFormatting sqref="K2462">
    <cfRule type="expression" dxfId="418" priority="183">
      <formula>ISODD(MONTH($C2452))</formula>
    </cfRule>
    <cfRule type="expression" dxfId="417" priority="184">
      <formula>ISEVEN(MONTH($C2452))</formula>
    </cfRule>
  </conditionalFormatting>
  <conditionalFormatting sqref="K2463">
    <cfRule type="expression" dxfId="416" priority="181">
      <formula>ISODD(MONTH($C2459))</formula>
    </cfRule>
    <cfRule type="expression" dxfId="415" priority="182">
      <formula>ISEVEN(MONTH($C2459))</formula>
    </cfRule>
  </conditionalFormatting>
  <conditionalFormatting sqref="K2464">
    <cfRule type="expression" dxfId="414" priority="223">
      <formula>ISODD(MONTH($C2449))</formula>
    </cfRule>
    <cfRule type="expression" dxfId="413" priority="224">
      <formula>ISEVEN(MONTH($C2449))</formula>
    </cfRule>
    <cfRule type="expression" dxfId="412" priority="231">
      <formula>ISODD(MONTH($C2461))</formula>
    </cfRule>
    <cfRule type="expression" dxfId="411" priority="232">
      <formula>ISEVEN(MONTH($C2461))</formula>
    </cfRule>
  </conditionalFormatting>
  <conditionalFormatting sqref="K2469:K2474">
    <cfRule type="expression" dxfId="410" priority="15">
      <formula>ISODD(MONTH($C2468))</formula>
    </cfRule>
    <cfRule type="expression" dxfId="409" priority="16">
      <formula>ISEVEN(MONTH($C2468))</formula>
    </cfRule>
  </conditionalFormatting>
  <conditionalFormatting sqref="K2475:K2495">
    <cfRule type="expression" dxfId="408" priority="11">
      <formula>ISODD(MONTH($C2472))</formula>
    </cfRule>
    <cfRule type="expression" dxfId="407" priority="12">
      <formula>ISEVEN(MONTH($C2472))</formula>
    </cfRule>
  </conditionalFormatting>
  <conditionalFormatting sqref="K2496:K2498">
    <cfRule type="expression" dxfId="406" priority="107">
      <formula>ISODD(MONTH($C2496))</formula>
    </cfRule>
    <cfRule type="expression" dxfId="405" priority="108">
      <formula>ISEVEN(MONTH($C2496))</formula>
    </cfRule>
  </conditionalFormatting>
  <conditionalFormatting sqref="K2499 K2503:K2505">
    <cfRule type="expression" dxfId="404" priority="165">
      <formula>ISODD(MONTH($C2498))</formula>
    </cfRule>
    <cfRule type="expression" dxfId="403" priority="166">
      <formula>ISEVEN(MONTH($C2498))</formula>
    </cfRule>
  </conditionalFormatting>
  <conditionalFormatting sqref="K2500:K2502">
    <cfRule type="expression" dxfId="402" priority="137">
      <formula>ISODD(MONTH($C2498))</formula>
    </cfRule>
    <cfRule type="expression" dxfId="401" priority="138">
      <formula>ISEVEN(MONTH($C2498))</formula>
    </cfRule>
  </conditionalFormatting>
  <conditionalFormatting sqref="K2501:K2502">
    <cfRule type="expression" dxfId="400" priority="151">
      <formula>ISODD(MONTH($C2502))</formula>
    </cfRule>
    <cfRule type="expression" dxfId="399" priority="152">
      <formula>ISEVEN(MONTH($C2502))</formula>
    </cfRule>
  </conditionalFormatting>
  <conditionalFormatting sqref="K2506">
    <cfRule type="expression" dxfId="398" priority="133">
      <formula>ISODD(MONTH($C2500))</formula>
    </cfRule>
    <cfRule type="expression" dxfId="397" priority="134">
      <formula>ISEVEN(MONTH($C2500))</formula>
    </cfRule>
  </conditionalFormatting>
  <conditionalFormatting sqref="K2507:K2508">
    <cfRule type="expression" dxfId="396" priority="121">
      <formula>ISODD(MONTH($C2499))</formula>
    </cfRule>
    <cfRule type="expression" dxfId="395" priority="122">
      <formula>ISEVEN(MONTH($C2499))</formula>
    </cfRule>
  </conditionalFormatting>
  <conditionalFormatting sqref="K2509">
    <cfRule type="expression" dxfId="394" priority="147">
      <formula>ISODD(MONTH($C2512))</formula>
    </cfRule>
    <cfRule type="expression" dxfId="393" priority="148">
      <formula>ISEVEN(MONTH($C2512))</formula>
    </cfRule>
  </conditionalFormatting>
  <conditionalFormatting sqref="K2510">
    <cfRule type="expression" dxfId="392" priority="129">
      <formula>ISODD(MONTH($C2504))</formula>
    </cfRule>
    <cfRule type="expression" dxfId="391" priority="130">
      <formula>ISEVEN(MONTH($C2504))</formula>
    </cfRule>
  </conditionalFormatting>
  <conditionalFormatting sqref="K2511">
    <cfRule type="expression" dxfId="390" priority="125">
      <formula>ISODD(MONTH($C2514))</formula>
    </cfRule>
    <cfRule type="expression" dxfId="389" priority="126">
      <formula>ISEVEN(MONTH($C2514))</formula>
    </cfRule>
  </conditionalFormatting>
  <conditionalFormatting sqref="K2512">
    <cfRule type="expression" dxfId="388" priority="111">
      <formula>ISODD(MONTH($C2504))</formula>
    </cfRule>
    <cfRule type="expression" dxfId="387" priority="112">
      <formula>ISEVEN(MONTH($C2504))</formula>
    </cfRule>
  </conditionalFormatting>
  <conditionalFormatting sqref="K2513:K2516">
    <cfRule type="expression" dxfId="386" priority="141">
      <formula>ISODD(MONTH($C2503))</formula>
    </cfRule>
    <cfRule type="expression" dxfId="385" priority="142">
      <formula>ISEVEN(MONTH($C2503))</formula>
    </cfRule>
  </conditionalFormatting>
  <conditionalFormatting sqref="K2515:K2516">
    <cfRule type="expression" dxfId="384" priority="155">
      <formula>ISODD(MONTH($C2519))</formula>
    </cfRule>
    <cfRule type="expression" dxfId="383" priority="156">
      <formula>ISEVEN(MONTH($C2519))</formula>
    </cfRule>
  </conditionalFormatting>
  <conditionalFormatting sqref="K2517:K2522">
    <cfRule type="expression" dxfId="382" priority="139">
      <formula>ISODD(MONTH($C2513))</formula>
    </cfRule>
    <cfRule type="expression" dxfId="381" priority="140">
      <formula>ISEVEN(MONTH($C2513))</formula>
    </cfRule>
  </conditionalFormatting>
  <conditionalFormatting sqref="K2523">
    <cfRule type="expression" dxfId="380" priority="119">
      <formula>ISODD(MONTH($C2513))</formula>
    </cfRule>
    <cfRule type="expression" dxfId="379" priority="120">
      <formula>ISEVEN(MONTH($C2513))</formula>
    </cfRule>
  </conditionalFormatting>
  <conditionalFormatting sqref="K2524">
    <cfRule type="expression" dxfId="378" priority="117">
      <formula>ISODD(MONTH($C2520))</formula>
    </cfRule>
    <cfRule type="expression" dxfId="377" priority="118">
      <formula>ISEVEN(MONTH($C2520))</formula>
    </cfRule>
  </conditionalFormatting>
  <conditionalFormatting sqref="K2525">
    <cfRule type="expression" dxfId="376" priority="159">
      <formula>ISODD(MONTH($C2510))</formula>
    </cfRule>
    <cfRule type="expression" dxfId="375" priority="160">
      <formula>ISEVEN(MONTH($C2510))</formula>
    </cfRule>
    <cfRule type="expression" dxfId="374" priority="167">
      <formula>ISODD(MONTH($C2522))</formula>
    </cfRule>
    <cfRule type="expression" dxfId="373" priority="168">
      <formula>ISEVEN(MONTH($C2522))</formula>
    </cfRule>
  </conditionalFormatting>
  <conditionalFormatting sqref="K2530:K2535">
    <cfRule type="expression" dxfId="372" priority="7">
      <formula>ISODD(MONTH($C2529))</formula>
    </cfRule>
    <cfRule type="expression" dxfId="371" priority="8">
      <formula>ISEVEN(MONTH($C2529))</formula>
    </cfRule>
  </conditionalFormatting>
  <conditionalFormatting sqref="K2536:K2556">
    <cfRule type="expression" dxfId="370" priority="3">
      <formula>ISODD(MONTH($C2533))</formula>
    </cfRule>
    <cfRule type="expression" dxfId="369" priority="4">
      <formula>ISEVEN(MONTH($C2533))</formula>
    </cfRule>
  </conditionalFormatting>
  <conditionalFormatting sqref="K2557:K2559">
    <cfRule type="expression" dxfId="368" priority="43">
      <formula>ISODD(MONTH($C2557))</formula>
    </cfRule>
    <cfRule type="expression" dxfId="367" priority="44">
      <formula>ISEVEN(MONTH($C2557))</formula>
    </cfRule>
  </conditionalFormatting>
  <conditionalFormatting sqref="K2560 K2564:K2566">
    <cfRule type="expression" dxfId="366" priority="101">
      <formula>ISODD(MONTH($C2559))</formula>
    </cfRule>
    <cfRule type="expression" dxfId="365" priority="102">
      <formula>ISEVEN(MONTH($C2559))</formula>
    </cfRule>
  </conditionalFormatting>
  <conditionalFormatting sqref="K2561:K2563">
    <cfRule type="expression" dxfId="364" priority="73">
      <formula>ISODD(MONTH($C2559))</formula>
    </cfRule>
    <cfRule type="expression" dxfId="363" priority="74">
      <formula>ISEVEN(MONTH($C2559))</formula>
    </cfRule>
  </conditionalFormatting>
  <conditionalFormatting sqref="K2562:K2563">
    <cfRule type="expression" dxfId="362" priority="87">
      <formula>ISODD(MONTH($C2563))</formula>
    </cfRule>
    <cfRule type="expression" dxfId="361" priority="88">
      <formula>ISEVEN(MONTH($C2563))</formula>
    </cfRule>
  </conditionalFormatting>
  <conditionalFormatting sqref="K2567">
    <cfRule type="expression" dxfId="360" priority="69">
      <formula>ISODD(MONTH($C2561))</formula>
    </cfRule>
    <cfRule type="expression" dxfId="359" priority="70">
      <formula>ISEVEN(MONTH($C2561))</formula>
    </cfRule>
  </conditionalFormatting>
  <conditionalFormatting sqref="K2568:K2569">
    <cfRule type="expression" dxfId="358" priority="57">
      <formula>ISODD(MONTH($C2560))</formula>
    </cfRule>
    <cfRule type="expression" dxfId="357" priority="58">
      <formula>ISEVEN(MONTH($C2560))</formula>
    </cfRule>
  </conditionalFormatting>
  <conditionalFormatting sqref="K2570">
    <cfRule type="expression" dxfId="356" priority="83">
      <formula>ISODD(MONTH($C2573))</formula>
    </cfRule>
    <cfRule type="expression" dxfId="355" priority="84">
      <formula>ISEVEN(MONTH($C2573))</formula>
    </cfRule>
  </conditionalFormatting>
  <conditionalFormatting sqref="K2571">
    <cfRule type="expression" dxfId="354" priority="65">
      <formula>ISODD(MONTH($C2565))</formula>
    </cfRule>
    <cfRule type="expression" dxfId="353" priority="66">
      <formula>ISEVEN(MONTH($C2565))</formula>
    </cfRule>
  </conditionalFormatting>
  <conditionalFormatting sqref="K2572">
    <cfRule type="expression" dxfId="352" priority="61">
      <formula>ISODD(MONTH($C2575))</formula>
    </cfRule>
    <cfRule type="expression" dxfId="351" priority="62">
      <formula>ISEVEN(MONTH($C2575))</formula>
    </cfRule>
  </conditionalFormatting>
  <conditionalFormatting sqref="K2573">
    <cfRule type="expression" dxfId="350" priority="47">
      <formula>ISODD(MONTH($C2565))</formula>
    </cfRule>
    <cfRule type="expression" dxfId="349" priority="48">
      <formula>ISEVEN(MONTH($C2565))</formula>
    </cfRule>
  </conditionalFormatting>
  <conditionalFormatting sqref="K2574:K2577">
    <cfRule type="expression" dxfId="348" priority="77">
      <formula>ISODD(MONTH($C2564))</formula>
    </cfRule>
    <cfRule type="expression" dxfId="347" priority="78">
      <formula>ISEVEN(MONTH($C2564))</formula>
    </cfRule>
  </conditionalFormatting>
  <conditionalFormatting sqref="K2576:K2577">
    <cfRule type="expression" dxfId="346" priority="91">
      <formula>ISODD(MONTH($C2580))</formula>
    </cfRule>
    <cfRule type="expression" dxfId="345" priority="92">
      <formula>ISEVEN(MONTH($C2580))</formula>
    </cfRule>
  </conditionalFormatting>
  <conditionalFormatting sqref="K2578:K2583">
    <cfRule type="expression" dxfId="344" priority="75">
      <formula>ISODD(MONTH($C2574))</formula>
    </cfRule>
    <cfRule type="expression" dxfId="343" priority="76">
      <formula>ISEVEN(MONTH($C2574))</formula>
    </cfRule>
  </conditionalFormatting>
  <conditionalFormatting sqref="K2584">
    <cfRule type="expression" dxfId="342" priority="55">
      <formula>ISODD(MONTH($C2574))</formula>
    </cfRule>
    <cfRule type="expression" dxfId="341" priority="56">
      <formula>ISEVEN(MONTH($C2574))</formula>
    </cfRule>
  </conditionalFormatting>
  <conditionalFormatting sqref="K2585">
    <cfRule type="expression" dxfId="340" priority="53">
      <formula>ISODD(MONTH($C2581))</formula>
    </cfRule>
    <cfRule type="expression" dxfId="339" priority="54">
      <formula>ISEVEN(MONTH($C2581))</formula>
    </cfRule>
  </conditionalFormatting>
  <conditionalFormatting sqref="K2586">
    <cfRule type="expression" dxfId="338" priority="95">
      <formula>ISODD(MONTH($C2571))</formula>
    </cfRule>
    <cfRule type="expression" dxfId="337" priority="96">
      <formula>ISEVEN(MONTH($C2571))</formula>
    </cfRule>
    <cfRule type="expression" dxfId="336" priority="103">
      <formula>ISODD(MONTH($C2583))</formula>
    </cfRule>
    <cfRule type="expression" dxfId="335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34" priority="2613">
      <formula>ISODD(MONTH($C1))</formula>
    </cfRule>
    <cfRule type="expression" dxfId="333" priority="2614">
      <formula>ISEVEN(MONTH($C1))</formula>
    </cfRule>
  </conditionalFormatting>
  <conditionalFormatting sqref="L1409 L1470 L1532 L1592 L1653 L1714">
    <cfRule type="expression" dxfId="332" priority="2639">
      <formula>ISODD(MONTH($C1415))</formula>
    </cfRule>
    <cfRule type="expression" dxfId="331" priority="2640">
      <formula>ISEVEN(MONTH($C1415))</formula>
    </cfRule>
  </conditionalFormatting>
  <conditionalFormatting sqref="L1410:L1412 L1473 L1535 L1595 L1656 L1717">
    <cfRule type="expression" dxfId="330" priority="2641">
      <formula>ISODD(MONTH($C1418))</formula>
    </cfRule>
    <cfRule type="expression" dxfId="329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8" priority="2645">
      <formula>ISODD(MONTH($C1409))</formula>
    </cfRule>
    <cfRule type="expression" dxfId="327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6" priority="2647">
      <formula>ISODD(MONTH($C1410))</formula>
    </cfRule>
    <cfRule type="expression" dxfId="325" priority="2648">
      <formula>ISEVEN(MONTH($C1410))</formula>
    </cfRule>
  </conditionalFormatting>
  <conditionalFormatting sqref="L1434:L1438 L1495:L1499 L1555:L1559 L1616:L1620 L1677:L1681 L1739:L1743 L1800:L1804">
    <cfRule type="expression" dxfId="324" priority="2653">
      <formula>ISODD(MONTH($C1433))</formula>
    </cfRule>
    <cfRule type="expression" dxfId="323" priority="2654">
      <formula>ISEVEN(MONTH($C1433))</formula>
    </cfRule>
    <cfRule type="expression" dxfId="322" priority="2655">
      <formula>ISODD(MONTH($C1460))</formula>
    </cfRule>
    <cfRule type="expression" dxfId="321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20" priority="2657">
      <formula>ISODD(MONTH($C1433))</formula>
    </cfRule>
    <cfRule type="expression" dxfId="319" priority="2658">
      <formula>ISEVEN(MONTH($C1433))</formula>
    </cfRule>
  </conditionalFormatting>
  <conditionalFormatting sqref="L1440 L1501 L1561 L1622 L1683 L2077:L2079 L2091:L2096 L2098:L2099">
    <cfRule type="expression" dxfId="318" priority="2659">
      <formula>ISODD(MONTH($C1436))</formula>
    </cfRule>
    <cfRule type="expression" dxfId="317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6" priority="2661">
      <formula>ISODD(MONTH($C1438))</formula>
    </cfRule>
    <cfRule type="expression" dxfId="315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14" priority="2671">
      <formula>ISODD(MONTH($C1443))</formula>
    </cfRule>
    <cfRule type="expression" dxfId="313" priority="2672">
      <formula>ISEVEN(MONTH($C1443))</formula>
    </cfRule>
  </conditionalFormatting>
  <conditionalFormatting sqref="L1453 L1514 L1574 L1635 L1696 L1755:L1757 L1785:L1795 L1816:L1818 L1846:L1856">
    <cfRule type="expression" dxfId="312" priority="2673">
      <formula>ISODD(MONTH($C1444))</formula>
    </cfRule>
    <cfRule type="expression" dxfId="311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10" priority="2841">
      <formula>ISODD(MONTH($C1733))</formula>
    </cfRule>
    <cfRule type="expression" dxfId="309" priority="2842">
      <formula>ISEVEN(MONTH($C1733))</formula>
    </cfRule>
  </conditionalFormatting>
  <conditionalFormatting sqref="L1753 L1781 L1814 L1842 L1888 L2008 L2069 L2100">
    <cfRule type="expression" dxfId="308" priority="2917">
      <formula>ISODD(MONTH($C1751))</formula>
    </cfRule>
    <cfRule type="expression" dxfId="307" priority="2918">
      <formula>ISEVEN(MONTH($C1751))</formula>
    </cfRule>
  </conditionalFormatting>
  <conditionalFormatting sqref="L1758:L1762 L1819:L1823 L2087:L2090">
    <cfRule type="expression" dxfId="306" priority="2929">
      <formula>ISODD(MONTH($C1748))</formula>
    </cfRule>
    <cfRule type="expression" dxfId="305" priority="2930">
      <formula>ISEVEN(MONTH($C1748))</formula>
    </cfRule>
  </conditionalFormatting>
  <conditionalFormatting sqref="L1760 L1821">
    <cfRule type="expression" dxfId="304" priority="2931">
      <formula>ISODD(MONTH($C1749))</formula>
    </cfRule>
    <cfRule type="expression" dxfId="303" priority="2932">
      <formula>ISEVEN(MONTH($C1749))</formula>
    </cfRule>
  </conditionalFormatting>
  <conditionalFormatting sqref="L1777 L1838">
    <cfRule type="expression" dxfId="302" priority="2939">
      <formula>ISODD(MONTH($C1781))</formula>
    </cfRule>
    <cfRule type="expression" dxfId="301" priority="2940">
      <formula>ISEVEN(MONTH($C1781))</formula>
    </cfRule>
  </conditionalFormatting>
  <conditionalFormatting sqref="L2072">
    <cfRule type="expression" dxfId="300" priority="601">
      <formula>ISODD(MONTH($C2072))</formula>
    </cfRule>
    <cfRule type="expression" dxfId="299" priority="602">
      <formula>ISEVEN(MONTH($C2072))</formula>
    </cfRule>
  </conditionalFormatting>
  <conditionalFormatting sqref="L2074">
    <cfRule type="expression" dxfId="298" priority="3083">
      <formula>ISODD(MONTH($C2076))</formula>
    </cfRule>
    <cfRule type="expression" dxfId="297" priority="3084">
      <formula>ISEVEN(MONTH($C2076))</formula>
    </cfRule>
  </conditionalFormatting>
  <conditionalFormatting sqref="L2075:L2076">
    <cfRule type="expression" dxfId="296" priority="3159">
      <formula>ISODD(MONTH($C2075))</formula>
    </cfRule>
    <cfRule type="expression" dxfId="295" priority="3160">
      <formula>ISEVEN(MONTH($C2075))</formula>
    </cfRule>
  </conditionalFormatting>
  <conditionalFormatting sqref="L2080">
    <cfRule type="expression" dxfId="294" priority="629">
      <formula>ISODD(MONTH($C2074))</formula>
    </cfRule>
    <cfRule type="expression" dxfId="293" priority="630">
      <formula>ISEVEN(MONTH($C2074))</formula>
    </cfRule>
  </conditionalFormatting>
  <conditionalFormatting sqref="L2081:L2082">
    <cfRule type="expression" dxfId="292" priority="617">
      <formula>ISODD(MONTH($C2073))</formula>
    </cfRule>
    <cfRule type="expression" dxfId="291" priority="618">
      <formula>ISEVEN(MONTH($C2073))</formula>
    </cfRule>
  </conditionalFormatting>
  <conditionalFormatting sqref="L2083">
    <cfRule type="expression" dxfId="290" priority="3065">
      <formula>ISODD(MONTH($C2086))</formula>
    </cfRule>
    <cfRule type="expression" dxfId="289" priority="3066">
      <formula>ISEVEN(MONTH($C2086))</formula>
    </cfRule>
  </conditionalFormatting>
  <conditionalFormatting sqref="L2084">
    <cfRule type="expression" dxfId="288" priority="625">
      <formula>ISODD(MONTH($C2078))</formula>
    </cfRule>
    <cfRule type="expression" dxfId="287" priority="626">
      <formula>ISEVEN(MONTH($C2078))</formula>
    </cfRule>
  </conditionalFormatting>
  <conditionalFormatting sqref="L2085">
    <cfRule type="expression" dxfId="286" priority="621">
      <formula>ISODD(MONTH($C2088))</formula>
    </cfRule>
    <cfRule type="expression" dxfId="285" priority="622">
      <formula>ISEVEN(MONTH($C2088))</formula>
    </cfRule>
  </conditionalFormatting>
  <conditionalFormatting sqref="L2086">
    <cfRule type="expression" dxfId="284" priority="605">
      <formula>ISODD(MONTH($C2078))</formula>
    </cfRule>
    <cfRule type="expression" dxfId="283" priority="606">
      <formula>ISEVEN(MONTH($C2078))</formula>
    </cfRule>
  </conditionalFormatting>
  <conditionalFormatting sqref="L2089:L2090">
    <cfRule type="expression" dxfId="282" priority="3127">
      <formula>ISODD(MONTH($C2093))</formula>
    </cfRule>
    <cfRule type="expression" dxfId="281" priority="3128">
      <formula>ISEVEN(MONTH($C2093))</formula>
    </cfRule>
  </conditionalFormatting>
  <conditionalFormatting sqref="L2097">
    <cfRule type="expression" dxfId="280" priority="609">
      <formula>ISODD(MONTH($C2087))</formula>
    </cfRule>
    <cfRule type="expression" dxfId="279" priority="610">
      <formula>ISEVEN(MONTH($C2087))</formula>
    </cfRule>
  </conditionalFormatting>
  <conditionalFormatting sqref="L2099">
    <cfRule type="expression" dxfId="278" priority="3191">
      <formula>ISODD(MONTH($C2083))</formula>
    </cfRule>
    <cfRule type="expression" dxfId="277" priority="3192">
      <formula>ISEVEN(MONTH($C2083))</formula>
    </cfRule>
  </conditionalFormatting>
  <conditionalFormatting sqref="L2133">
    <cfRule type="expression" dxfId="276" priority="531">
      <formula>ISODD(MONTH($C2133))</formula>
    </cfRule>
    <cfRule type="expression" dxfId="275" priority="532">
      <formula>ISEVEN(MONTH($C2133))</formula>
    </cfRule>
  </conditionalFormatting>
  <conditionalFormatting sqref="L2135">
    <cfRule type="expression" dxfId="274" priority="575">
      <formula>ISODD(MONTH($C2137))</formula>
    </cfRule>
    <cfRule type="expression" dxfId="273" priority="576">
      <formula>ISEVEN(MONTH($C2137))</formula>
    </cfRule>
  </conditionalFormatting>
  <conditionalFormatting sqref="L2136:L2137">
    <cfRule type="expression" dxfId="272" priority="583">
      <formula>ISODD(MONTH($C2136))</formula>
    </cfRule>
    <cfRule type="expression" dxfId="271" priority="584">
      <formula>ISEVEN(MONTH($C2136))</formula>
    </cfRule>
  </conditionalFormatting>
  <conditionalFormatting sqref="L2138:L2140 L2152:L2157 L2159:L2160">
    <cfRule type="expression" dxfId="270" priority="565">
      <formula>ISODD(MONTH($C2134))</formula>
    </cfRule>
    <cfRule type="expression" dxfId="269" priority="566">
      <formula>ISEVEN(MONTH($C2134))</formula>
    </cfRule>
  </conditionalFormatting>
  <conditionalFormatting sqref="L2141">
    <cfRule type="expression" dxfId="268" priority="557">
      <formula>ISODD(MONTH($C2135))</formula>
    </cfRule>
    <cfRule type="expression" dxfId="267" priority="558">
      <formula>ISEVEN(MONTH($C2135))</formula>
    </cfRule>
  </conditionalFormatting>
  <conditionalFormatting sqref="L2142:L2143">
    <cfRule type="expression" dxfId="266" priority="545">
      <formula>ISODD(MONTH($C2134))</formula>
    </cfRule>
    <cfRule type="expression" dxfId="265" priority="546">
      <formula>ISEVEN(MONTH($C2134))</formula>
    </cfRule>
  </conditionalFormatting>
  <conditionalFormatting sqref="L2144">
    <cfRule type="expression" dxfId="264" priority="571">
      <formula>ISODD(MONTH($C2147))</formula>
    </cfRule>
    <cfRule type="expression" dxfId="263" priority="572">
      <formula>ISEVEN(MONTH($C2147))</formula>
    </cfRule>
  </conditionalFormatting>
  <conditionalFormatting sqref="L2145">
    <cfRule type="expression" dxfId="262" priority="553">
      <formula>ISODD(MONTH($C2139))</formula>
    </cfRule>
    <cfRule type="expression" dxfId="261" priority="554">
      <formula>ISEVEN(MONTH($C2139))</formula>
    </cfRule>
  </conditionalFormatting>
  <conditionalFormatting sqref="L2146">
    <cfRule type="expression" dxfId="260" priority="549">
      <formula>ISODD(MONTH($C2149))</formula>
    </cfRule>
    <cfRule type="expression" dxfId="259" priority="550">
      <formula>ISEVEN(MONTH($C2149))</formula>
    </cfRule>
  </conditionalFormatting>
  <conditionalFormatting sqref="L2147">
    <cfRule type="expression" dxfId="258" priority="535">
      <formula>ISODD(MONTH($C2139))</formula>
    </cfRule>
    <cfRule type="expression" dxfId="257" priority="536">
      <formula>ISEVEN(MONTH($C2139))</formula>
    </cfRule>
  </conditionalFormatting>
  <conditionalFormatting sqref="L2148:L2151">
    <cfRule type="expression" dxfId="256" priority="567">
      <formula>ISODD(MONTH($C2138))</formula>
    </cfRule>
    <cfRule type="expression" dxfId="255" priority="568">
      <formula>ISEVEN(MONTH($C2138))</formula>
    </cfRule>
  </conditionalFormatting>
  <conditionalFormatting sqref="L2150:L2151">
    <cfRule type="expression" dxfId="254" priority="579">
      <formula>ISODD(MONTH($C2154))</formula>
    </cfRule>
    <cfRule type="expression" dxfId="253" priority="580">
      <formula>ISEVEN(MONTH($C2154))</formula>
    </cfRule>
  </conditionalFormatting>
  <conditionalFormatting sqref="L2158">
    <cfRule type="expression" dxfId="252" priority="537">
      <formula>ISODD(MONTH($C2148))</formula>
    </cfRule>
    <cfRule type="expression" dxfId="251" priority="538">
      <formula>ISEVEN(MONTH($C2148))</formula>
    </cfRule>
  </conditionalFormatting>
  <conditionalFormatting sqref="L2160">
    <cfRule type="expression" dxfId="250" priority="585">
      <formula>ISODD(MONTH($C2144))</formula>
    </cfRule>
    <cfRule type="expression" dxfId="249" priority="586">
      <formula>ISEVEN(MONTH($C2144))</formula>
    </cfRule>
  </conditionalFormatting>
  <conditionalFormatting sqref="L2194">
    <cfRule type="expression" dxfId="248" priority="473">
      <formula>ISODD(MONTH($C2194))</formula>
    </cfRule>
    <cfRule type="expression" dxfId="247" priority="474">
      <formula>ISEVEN(MONTH($C2194))</formula>
    </cfRule>
  </conditionalFormatting>
  <conditionalFormatting sqref="L2196">
    <cfRule type="expression" dxfId="246" priority="517">
      <formula>ISODD(MONTH($C2198))</formula>
    </cfRule>
    <cfRule type="expression" dxfId="245" priority="518">
      <formula>ISEVEN(MONTH($C2198))</formula>
    </cfRule>
  </conditionalFormatting>
  <conditionalFormatting sqref="L2197:L2198">
    <cfRule type="expression" dxfId="244" priority="525">
      <formula>ISODD(MONTH($C2197))</formula>
    </cfRule>
    <cfRule type="expression" dxfId="243" priority="526">
      <formula>ISEVEN(MONTH($C2197))</formula>
    </cfRule>
  </conditionalFormatting>
  <conditionalFormatting sqref="L2199:L2201 L2213:L2218 L2220:L2221">
    <cfRule type="expression" dxfId="242" priority="507">
      <formula>ISODD(MONTH($C2195))</formula>
    </cfRule>
    <cfRule type="expression" dxfId="241" priority="508">
      <formula>ISEVEN(MONTH($C2195))</formula>
    </cfRule>
  </conditionalFormatting>
  <conditionalFormatting sqref="L2202">
    <cfRule type="expression" dxfId="240" priority="499">
      <formula>ISODD(MONTH($C2196))</formula>
    </cfRule>
    <cfRule type="expression" dxfId="239" priority="500">
      <formula>ISEVEN(MONTH($C2196))</formula>
    </cfRule>
  </conditionalFormatting>
  <conditionalFormatting sqref="L2203:L2204">
    <cfRule type="expression" dxfId="238" priority="487">
      <formula>ISODD(MONTH($C2195))</formula>
    </cfRule>
    <cfRule type="expression" dxfId="237" priority="488">
      <formula>ISEVEN(MONTH($C2195))</formula>
    </cfRule>
  </conditionalFormatting>
  <conditionalFormatting sqref="L2205">
    <cfRule type="expression" dxfId="236" priority="513">
      <formula>ISODD(MONTH($C2208))</formula>
    </cfRule>
    <cfRule type="expression" dxfId="235" priority="514">
      <formula>ISEVEN(MONTH($C2208))</formula>
    </cfRule>
  </conditionalFormatting>
  <conditionalFormatting sqref="L2206">
    <cfRule type="expression" dxfId="234" priority="495">
      <formula>ISODD(MONTH($C2200))</formula>
    </cfRule>
    <cfRule type="expression" dxfId="233" priority="496">
      <formula>ISEVEN(MONTH($C2200))</formula>
    </cfRule>
  </conditionalFormatting>
  <conditionalFormatting sqref="L2207">
    <cfRule type="expression" dxfId="232" priority="491">
      <formula>ISODD(MONTH($C2210))</formula>
    </cfRule>
    <cfRule type="expression" dxfId="231" priority="492">
      <formula>ISEVEN(MONTH($C2210))</formula>
    </cfRule>
  </conditionalFormatting>
  <conditionalFormatting sqref="L2208">
    <cfRule type="expression" dxfId="230" priority="477">
      <formula>ISODD(MONTH($C2200))</formula>
    </cfRule>
    <cfRule type="expression" dxfId="229" priority="478">
      <formula>ISEVEN(MONTH($C2200))</formula>
    </cfRule>
  </conditionalFormatting>
  <conditionalFormatting sqref="L2209:L2212">
    <cfRule type="expression" dxfId="228" priority="509">
      <formula>ISODD(MONTH($C2199))</formula>
    </cfRule>
    <cfRule type="expression" dxfId="227" priority="510">
      <formula>ISEVEN(MONTH($C2199))</formula>
    </cfRule>
  </conditionalFormatting>
  <conditionalFormatting sqref="L2211:L2212">
    <cfRule type="expression" dxfId="226" priority="521">
      <formula>ISODD(MONTH($C2215))</formula>
    </cfRule>
    <cfRule type="expression" dxfId="225" priority="522">
      <formula>ISEVEN(MONTH($C2215))</formula>
    </cfRule>
  </conditionalFormatting>
  <conditionalFormatting sqref="L2219">
    <cfRule type="expression" dxfId="224" priority="479">
      <formula>ISODD(MONTH($C2209))</formula>
    </cfRule>
    <cfRule type="expression" dxfId="223" priority="480">
      <formula>ISEVEN(MONTH($C2209))</formula>
    </cfRule>
  </conditionalFormatting>
  <conditionalFormatting sqref="L2221">
    <cfRule type="expression" dxfId="222" priority="527">
      <formula>ISODD(MONTH($C2205))</formula>
    </cfRule>
    <cfRule type="expression" dxfId="221" priority="528">
      <formula>ISEVEN(MONTH($C2205))</formula>
    </cfRule>
  </conditionalFormatting>
  <conditionalFormatting sqref="L2232:L2252">
    <cfRule type="expression" dxfId="220" priority="469">
      <formula>ISODD(MONTH($C2229))</formula>
    </cfRule>
    <cfRule type="expression" dxfId="219" priority="470">
      <formula>ISEVEN(MONTH($C2229))</formula>
    </cfRule>
  </conditionalFormatting>
  <conditionalFormatting sqref="L2253:L2256">
    <cfRule type="expression" dxfId="218" priority="405">
      <formula>ISODD(MONTH($C2253))</formula>
    </cfRule>
    <cfRule type="expression" dxfId="217" priority="406">
      <formula>ISEVEN(MONTH($C2253))</formula>
    </cfRule>
  </conditionalFormatting>
  <conditionalFormatting sqref="L2257">
    <cfRule type="expression" dxfId="216" priority="465">
      <formula>ISODD(MONTH($C2256))</formula>
    </cfRule>
    <cfRule type="expression" dxfId="215" priority="466">
      <formula>ISEVEN(MONTH($C2256))</formula>
    </cfRule>
  </conditionalFormatting>
  <conditionalFormatting sqref="L2258">
    <cfRule type="expression" dxfId="214" priority="449">
      <formula>ISODD(MONTH($C2260))</formula>
    </cfRule>
    <cfRule type="expression" dxfId="213" priority="450">
      <formula>ISEVEN(MONTH($C2260))</formula>
    </cfRule>
  </conditionalFormatting>
  <conditionalFormatting sqref="L2259:L2260">
    <cfRule type="expression" dxfId="212" priority="457">
      <formula>ISODD(MONTH($C2259))</formula>
    </cfRule>
    <cfRule type="expression" dxfId="211" priority="458">
      <formula>ISEVEN(MONTH($C2259))</formula>
    </cfRule>
  </conditionalFormatting>
  <conditionalFormatting sqref="L2261:L2263 L2275:L2280 L2282:L2283">
    <cfRule type="expression" dxfId="210" priority="439">
      <formula>ISODD(MONTH($C2257))</formula>
    </cfRule>
    <cfRule type="expression" dxfId="209" priority="440">
      <formula>ISEVEN(MONTH($C2257))</formula>
    </cfRule>
  </conditionalFormatting>
  <conditionalFormatting sqref="L2264">
    <cfRule type="expression" dxfId="208" priority="431">
      <formula>ISODD(MONTH($C2258))</formula>
    </cfRule>
    <cfRule type="expression" dxfId="207" priority="432">
      <formula>ISEVEN(MONTH($C2258))</formula>
    </cfRule>
  </conditionalFormatting>
  <conditionalFormatting sqref="L2265:L2266">
    <cfRule type="expression" dxfId="206" priority="419">
      <formula>ISODD(MONTH($C2257))</formula>
    </cfRule>
    <cfRule type="expression" dxfId="205" priority="420">
      <formula>ISEVEN(MONTH($C2257))</formula>
    </cfRule>
  </conditionalFormatting>
  <conditionalFormatting sqref="L2267">
    <cfRule type="expression" dxfId="204" priority="445">
      <formula>ISODD(MONTH($C2270))</formula>
    </cfRule>
    <cfRule type="expression" dxfId="203" priority="446">
      <formula>ISEVEN(MONTH($C2270))</formula>
    </cfRule>
  </conditionalFormatting>
  <conditionalFormatting sqref="L2268">
    <cfRule type="expression" dxfId="202" priority="427">
      <formula>ISODD(MONTH($C2262))</formula>
    </cfRule>
    <cfRule type="expression" dxfId="201" priority="428">
      <formula>ISEVEN(MONTH($C2262))</formula>
    </cfRule>
  </conditionalFormatting>
  <conditionalFormatting sqref="L2269">
    <cfRule type="expression" dxfId="200" priority="423">
      <formula>ISODD(MONTH($C2272))</formula>
    </cfRule>
    <cfRule type="expression" dxfId="199" priority="424">
      <formula>ISEVEN(MONTH($C2272))</formula>
    </cfRule>
  </conditionalFormatting>
  <conditionalFormatting sqref="L2270">
    <cfRule type="expression" dxfId="198" priority="409">
      <formula>ISODD(MONTH($C2262))</formula>
    </cfRule>
    <cfRule type="expression" dxfId="197" priority="410">
      <formula>ISEVEN(MONTH($C2262))</formula>
    </cfRule>
  </conditionalFormatting>
  <conditionalFormatting sqref="L2271:L2274">
    <cfRule type="expression" dxfId="196" priority="441">
      <formula>ISODD(MONTH($C2261))</formula>
    </cfRule>
    <cfRule type="expression" dxfId="195" priority="442">
      <formula>ISEVEN(MONTH($C2261))</formula>
    </cfRule>
  </conditionalFormatting>
  <conditionalFormatting sqref="L2273:L2274">
    <cfRule type="expression" dxfId="194" priority="453">
      <formula>ISODD(MONTH($C2277))</formula>
    </cfRule>
    <cfRule type="expression" dxfId="193" priority="454">
      <formula>ISEVEN(MONTH($C2277))</formula>
    </cfRule>
  </conditionalFormatting>
  <conditionalFormatting sqref="L2281">
    <cfRule type="expression" dxfId="192" priority="411">
      <formula>ISODD(MONTH($C2271))</formula>
    </cfRule>
    <cfRule type="expression" dxfId="191" priority="412">
      <formula>ISEVEN(MONTH($C2271))</formula>
    </cfRule>
  </conditionalFormatting>
  <conditionalFormatting sqref="L2283">
    <cfRule type="expression" dxfId="190" priority="459">
      <formula>ISODD(MONTH($C2267))</formula>
    </cfRule>
    <cfRule type="expression" dxfId="189" priority="460">
      <formula>ISEVEN(MONTH($C2267))</formula>
    </cfRule>
  </conditionalFormatting>
  <conditionalFormatting sqref="L2285:L2290">
    <cfRule type="expression" dxfId="188" priority="41">
      <formula>ISODD(MONTH($C2284))</formula>
    </cfRule>
    <cfRule type="expression" dxfId="187" priority="42">
      <formula>ISEVEN(MONTH($C2284))</formula>
    </cfRule>
  </conditionalFormatting>
  <conditionalFormatting sqref="L2291:L2312">
    <cfRule type="expression" dxfId="186" priority="37">
      <formula>ISODD(MONTH($C2288))</formula>
    </cfRule>
    <cfRule type="expression" dxfId="185" priority="38">
      <formula>ISEVEN(MONTH($C2288))</formula>
    </cfRule>
  </conditionalFormatting>
  <conditionalFormatting sqref="L2313:L2315">
    <cfRule type="expression" dxfId="184" priority="301">
      <formula>ISODD(MONTH($C2313))</formula>
    </cfRule>
    <cfRule type="expression" dxfId="183" priority="302">
      <formula>ISEVEN(MONTH($C2313))</formula>
    </cfRule>
  </conditionalFormatting>
  <conditionalFormatting sqref="L2316">
    <cfRule type="expression" dxfId="182" priority="361">
      <formula>ISODD(MONTH($C2315))</formula>
    </cfRule>
    <cfRule type="expression" dxfId="181" priority="362">
      <formula>ISEVEN(MONTH($C2315))</formula>
    </cfRule>
  </conditionalFormatting>
  <conditionalFormatting sqref="L2317">
    <cfRule type="expression" dxfId="180" priority="345">
      <formula>ISODD(MONTH($C2319))</formula>
    </cfRule>
    <cfRule type="expression" dxfId="179" priority="346">
      <formula>ISEVEN(MONTH($C2319))</formula>
    </cfRule>
  </conditionalFormatting>
  <conditionalFormatting sqref="L2318:L2319">
    <cfRule type="expression" dxfId="178" priority="353">
      <formula>ISODD(MONTH($C2318))</formula>
    </cfRule>
    <cfRule type="expression" dxfId="177" priority="354">
      <formula>ISEVEN(MONTH($C2318))</formula>
    </cfRule>
  </conditionalFormatting>
  <conditionalFormatting sqref="L2320:L2322 L2334:L2339 L2341:L2342">
    <cfRule type="expression" dxfId="176" priority="335">
      <formula>ISODD(MONTH($C2316))</formula>
    </cfRule>
    <cfRule type="expression" dxfId="175" priority="336">
      <formula>ISEVEN(MONTH($C2316))</formula>
    </cfRule>
  </conditionalFormatting>
  <conditionalFormatting sqref="L2323">
    <cfRule type="expression" dxfId="174" priority="327">
      <formula>ISODD(MONTH($C2317))</formula>
    </cfRule>
    <cfRule type="expression" dxfId="173" priority="328">
      <formula>ISEVEN(MONTH($C2317))</formula>
    </cfRule>
  </conditionalFormatting>
  <conditionalFormatting sqref="L2324:L2325">
    <cfRule type="expression" dxfId="172" priority="315">
      <formula>ISODD(MONTH($C2316))</formula>
    </cfRule>
    <cfRule type="expression" dxfId="171" priority="316">
      <formula>ISEVEN(MONTH($C2316))</formula>
    </cfRule>
  </conditionalFormatting>
  <conditionalFormatting sqref="L2326">
    <cfRule type="expression" dxfId="170" priority="341">
      <formula>ISODD(MONTH($C2329))</formula>
    </cfRule>
    <cfRule type="expression" dxfId="169" priority="342">
      <formula>ISEVEN(MONTH($C2329))</formula>
    </cfRule>
  </conditionalFormatting>
  <conditionalFormatting sqref="L2327">
    <cfRule type="expression" dxfId="168" priority="323">
      <formula>ISODD(MONTH($C2321))</formula>
    </cfRule>
    <cfRule type="expression" dxfId="167" priority="324">
      <formula>ISEVEN(MONTH($C2321))</formula>
    </cfRule>
  </conditionalFormatting>
  <conditionalFormatting sqref="L2328">
    <cfRule type="expression" dxfId="166" priority="319">
      <formula>ISODD(MONTH($C2331))</formula>
    </cfRule>
    <cfRule type="expression" dxfId="165" priority="320">
      <formula>ISEVEN(MONTH($C2331))</formula>
    </cfRule>
  </conditionalFormatting>
  <conditionalFormatting sqref="L2329">
    <cfRule type="expression" dxfId="164" priority="305">
      <formula>ISODD(MONTH($C2321))</formula>
    </cfRule>
    <cfRule type="expression" dxfId="163" priority="306">
      <formula>ISEVEN(MONTH($C2321))</formula>
    </cfRule>
  </conditionalFormatting>
  <conditionalFormatting sqref="L2330:L2333">
    <cfRule type="expression" dxfId="162" priority="337">
      <formula>ISODD(MONTH($C2320))</formula>
    </cfRule>
    <cfRule type="expression" dxfId="161" priority="338">
      <formula>ISEVEN(MONTH($C2320))</formula>
    </cfRule>
  </conditionalFormatting>
  <conditionalFormatting sqref="L2332:L2333">
    <cfRule type="expression" dxfId="160" priority="349">
      <formula>ISODD(MONTH($C2336))</formula>
    </cfRule>
    <cfRule type="expression" dxfId="159" priority="350">
      <formula>ISEVEN(MONTH($C2336))</formula>
    </cfRule>
  </conditionalFormatting>
  <conditionalFormatting sqref="L2340">
    <cfRule type="expression" dxfId="158" priority="307">
      <formula>ISODD(MONTH($C2330))</formula>
    </cfRule>
    <cfRule type="expression" dxfId="157" priority="308">
      <formula>ISEVEN(MONTH($C2330))</formula>
    </cfRule>
  </conditionalFormatting>
  <conditionalFormatting sqref="L2342">
    <cfRule type="expression" dxfId="156" priority="355">
      <formula>ISODD(MONTH($C2326))</formula>
    </cfRule>
    <cfRule type="expression" dxfId="155" priority="356">
      <formula>ISEVEN(MONTH($C2326))</formula>
    </cfRule>
  </conditionalFormatting>
  <conditionalFormatting sqref="L2346:L2351">
    <cfRule type="expression" dxfId="154" priority="33">
      <formula>ISODD(MONTH($C2345))</formula>
    </cfRule>
    <cfRule type="expression" dxfId="153" priority="34">
      <formula>ISEVEN(MONTH($C2345))</formula>
    </cfRule>
  </conditionalFormatting>
  <conditionalFormatting sqref="L2352:L2372">
    <cfRule type="expression" dxfId="152" priority="29">
      <formula>ISODD(MONTH($C2349))</formula>
    </cfRule>
    <cfRule type="expression" dxfId="151" priority="30">
      <formula>ISEVEN(MONTH($C2349))</formula>
    </cfRule>
  </conditionalFormatting>
  <conditionalFormatting sqref="L2373:L2376">
    <cfRule type="expression" dxfId="150" priority="237">
      <formula>ISODD(MONTH($C2373))</formula>
    </cfRule>
    <cfRule type="expression" dxfId="149" priority="238">
      <formula>ISEVEN(MONTH($C2373))</formula>
    </cfRule>
  </conditionalFormatting>
  <conditionalFormatting sqref="L2377">
    <cfRule type="expression" dxfId="148" priority="297">
      <formula>ISODD(MONTH($C2376))</formula>
    </cfRule>
    <cfRule type="expression" dxfId="147" priority="298">
      <formula>ISEVEN(MONTH($C2376))</formula>
    </cfRule>
  </conditionalFormatting>
  <conditionalFormatting sqref="L2378">
    <cfRule type="expression" dxfId="146" priority="281">
      <formula>ISODD(MONTH($C2380))</formula>
    </cfRule>
    <cfRule type="expression" dxfId="145" priority="282">
      <formula>ISEVEN(MONTH($C2380))</formula>
    </cfRule>
  </conditionalFormatting>
  <conditionalFormatting sqref="L2379:L2380">
    <cfRule type="expression" dxfId="144" priority="289">
      <formula>ISODD(MONTH($C2379))</formula>
    </cfRule>
    <cfRule type="expression" dxfId="143" priority="290">
      <formula>ISEVEN(MONTH($C2379))</formula>
    </cfRule>
  </conditionalFormatting>
  <conditionalFormatting sqref="L2381:L2383 L2395:L2400 L2402:L2403">
    <cfRule type="expression" dxfId="142" priority="271">
      <formula>ISODD(MONTH($C2377))</formula>
    </cfRule>
    <cfRule type="expression" dxfId="141" priority="272">
      <formula>ISEVEN(MONTH($C2377))</formula>
    </cfRule>
  </conditionalFormatting>
  <conditionalFormatting sqref="L2384">
    <cfRule type="expression" dxfId="140" priority="263">
      <formula>ISODD(MONTH($C2378))</formula>
    </cfRule>
    <cfRule type="expression" dxfId="139" priority="264">
      <formula>ISEVEN(MONTH($C2378))</formula>
    </cfRule>
  </conditionalFormatting>
  <conditionalFormatting sqref="L2385:L2386">
    <cfRule type="expression" dxfId="138" priority="251">
      <formula>ISODD(MONTH($C2377))</formula>
    </cfRule>
    <cfRule type="expression" dxfId="137" priority="252">
      <formula>ISEVEN(MONTH($C2377))</formula>
    </cfRule>
  </conditionalFormatting>
  <conditionalFormatting sqref="L2387">
    <cfRule type="expression" dxfId="136" priority="277">
      <formula>ISODD(MONTH($C2390))</formula>
    </cfRule>
    <cfRule type="expression" dxfId="135" priority="278">
      <formula>ISEVEN(MONTH($C2390))</formula>
    </cfRule>
  </conditionalFormatting>
  <conditionalFormatting sqref="L2388">
    <cfRule type="expression" dxfId="134" priority="259">
      <formula>ISODD(MONTH($C2382))</formula>
    </cfRule>
    <cfRule type="expression" dxfId="133" priority="260">
      <formula>ISEVEN(MONTH($C2382))</formula>
    </cfRule>
  </conditionalFormatting>
  <conditionalFormatting sqref="L2389">
    <cfRule type="expression" dxfId="132" priority="255">
      <formula>ISODD(MONTH($C2392))</formula>
    </cfRule>
    <cfRule type="expression" dxfId="131" priority="256">
      <formula>ISEVEN(MONTH($C2392))</formula>
    </cfRule>
  </conditionalFormatting>
  <conditionalFormatting sqref="L2390">
    <cfRule type="expression" dxfId="130" priority="241">
      <formula>ISODD(MONTH($C2382))</formula>
    </cfRule>
    <cfRule type="expression" dxfId="129" priority="242">
      <formula>ISEVEN(MONTH($C2382))</formula>
    </cfRule>
  </conditionalFormatting>
  <conditionalFormatting sqref="L2391:L2394">
    <cfRule type="expression" dxfId="128" priority="273">
      <formula>ISODD(MONTH($C2381))</formula>
    </cfRule>
    <cfRule type="expression" dxfId="127" priority="274">
      <formula>ISEVEN(MONTH($C2381))</formula>
    </cfRule>
  </conditionalFormatting>
  <conditionalFormatting sqref="L2393:L2394">
    <cfRule type="expression" dxfId="126" priority="285">
      <formula>ISODD(MONTH($C2397))</formula>
    </cfRule>
    <cfRule type="expression" dxfId="125" priority="286">
      <formula>ISEVEN(MONTH($C2397))</formula>
    </cfRule>
  </conditionalFormatting>
  <conditionalFormatting sqref="L2401">
    <cfRule type="expression" dxfId="124" priority="243">
      <formula>ISODD(MONTH($C2391))</formula>
    </cfRule>
    <cfRule type="expression" dxfId="123" priority="244">
      <formula>ISEVEN(MONTH($C2391))</formula>
    </cfRule>
  </conditionalFormatting>
  <conditionalFormatting sqref="L2403">
    <cfRule type="expression" dxfId="122" priority="291">
      <formula>ISODD(MONTH($C2387))</formula>
    </cfRule>
    <cfRule type="expression" dxfId="121" priority="292">
      <formula>ISEVEN(MONTH($C2387))</formula>
    </cfRule>
  </conditionalFormatting>
  <conditionalFormatting sqref="L2407:L2412">
    <cfRule type="expression" dxfId="120" priority="25">
      <formula>ISODD(MONTH($C2406))</formula>
    </cfRule>
    <cfRule type="expression" dxfId="119" priority="26">
      <formula>ISEVEN(MONTH($C2406))</formula>
    </cfRule>
  </conditionalFormatting>
  <conditionalFormatting sqref="L2413:L2433">
    <cfRule type="expression" dxfId="118" priority="21">
      <formula>ISODD(MONTH($C2410))</formula>
    </cfRule>
    <cfRule type="expression" dxfId="117" priority="22">
      <formula>ISEVEN(MONTH($C2410))</formula>
    </cfRule>
  </conditionalFormatting>
  <conditionalFormatting sqref="L2434:L2437">
    <cfRule type="expression" dxfId="116" priority="173">
      <formula>ISODD(MONTH($C2434))</formula>
    </cfRule>
    <cfRule type="expression" dxfId="115" priority="174">
      <formula>ISEVEN(MONTH($C2434))</formula>
    </cfRule>
  </conditionalFormatting>
  <conditionalFormatting sqref="L2438">
    <cfRule type="expression" dxfId="114" priority="233">
      <formula>ISODD(MONTH($C2437))</formula>
    </cfRule>
    <cfRule type="expression" dxfId="113" priority="234">
      <formula>ISEVEN(MONTH($C2437))</formula>
    </cfRule>
  </conditionalFormatting>
  <conditionalFormatting sqref="L2439">
    <cfRule type="expression" dxfId="112" priority="217">
      <formula>ISODD(MONTH($C2441))</formula>
    </cfRule>
    <cfRule type="expression" dxfId="111" priority="218">
      <formula>ISEVEN(MONTH($C2441))</formula>
    </cfRule>
  </conditionalFormatting>
  <conditionalFormatting sqref="L2440:L2441">
    <cfRule type="expression" dxfId="110" priority="225">
      <formula>ISODD(MONTH($C2440))</formula>
    </cfRule>
    <cfRule type="expression" dxfId="109" priority="226">
      <formula>ISEVEN(MONTH($C2440))</formula>
    </cfRule>
  </conditionalFormatting>
  <conditionalFormatting sqref="L2442:L2444 L2456:L2461 L2463:L2464">
    <cfRule type="expression" dxfId="108" priority="207">
      <formula>ISODD(MONTH($C2438))</formula>
    </cfRule>
    <cfRule type="expression" dxfId="107" priority="208">
      <formula>ISEVEN(MONTH($C2438))</formula>
    </cfRule>
  </conditionalFormatting>
  <conditionalFormatting sqref="L2445">
    <cfRule type="expression" dxfId="106" priority="199">
      <formula>ISODD(MONTH($C2439))</formula>
    </cfRule>
    <cfRule type="expression" dxfId="105" priority="200">
      <formula>ISEVEN(MONTH($C2439))</formula>
    </cfRule>
  </conditionalFormatting>
  <conditionalFormatting sqref="L2446:L2447">
    <cfRule type="expression" dxfId="104" priority="187">
      <formula>ISODD(MONTH($C2438))</formula>
    </cfRule>
    <cfRule type="expression" dxfId="103" priority="188">
      <formula>ISEVEN(MONTH($C2438))</formula>
    </cfRule>
  </conditionalFormatting>
  <conditionalFormatting sqref="L2448">
    <cfRule type="expression" dxfId="102" priority="213">
      <formula>ISODD(MONTH($C2451))</formula>
    </cfRule>
    <cfRule type="expression" dxfId="101" priority="214">
      <formula>ISEVEN(MONTH($C2451))</formula>
    </cfRule>
  </conditionalFormatting>
  <conditionalFormatting sqref="L2449">
    <cfRule type="expression" dxfId="100" priority="195">
      <formula>ISODD(MONTH($C2443))</formula>
    </cfRule>
    <cfRule type="expression" dxfId="99" priority="196">
      <formula>ISEVEN(MONTH($C2443))</formula>
    </cfRule>
  </conditionalFormatting>
  <conditionalFormatting sqref="L2450">
    <cfRule type="expression" dxfId="98" priority="191">
      <formula>ISODD(MONTH($C2453))</formula>
    </cfRule>
    <cfRule type="expression" dxfId="97" priority="192">
      <formula>ISEVEN(MONTH($C2453))</formula>
    </cfRule>
  </conditionalFormatting>
  <conditionalFormatting sqref="L2451">
    <cfRule type="expression" dxfId="96" priority="177">
      <formula>ISODD(MONTH($C2443))</formula>
    </cfRule>
    <cfRule type="expression" dxfId="95" priority="178">
      <formula>ISEVEN(MONTH($C2443))</formula>
    </cfRule>
  </conditionalFormatting>
  <conditionalFormatting sqref="L2452:L2455">
    <cfRule type="expression" dxfId="94" priority="209">
      <formula>ISODD(MONTH($C2442))</formula>
    </cfRule>
    <cfRule type="expression" dxfId="93" priority="210">
      <formula>ISEVEN(MONTH($C2442))</formula>
    </cfRule>
  </conditionalFormatting>
  <conditionalFormatting sqref="L2454:L2455">
    <cfRule type="expression" dxfId="92" priority="221">
      <formula>ISODD(MONTH($C2458))</formula>
    </cfRule>
    <cfRule type="expression" dxfId="91" priority="222">
      <formula>ISEVEN(MONTH($C2458))</formula>
    </cfRule>
  </conditionalFormatting>
  <conditionalFormatting sqref="L2462">
    <cfRule type="expression" dxfId="90" priority="179">
      <formula>ISODD(MONTH($C2452))</formula>
    </cfRule>
    <cfRule type="expression" dxfId="89" priority="180">
      <formula>ISEVEN(MONTH($C2452))</formula>
    </cfRule>
  </conditionalFormatting>
  <conditionalFormatting sqref="L2464">
    <cfRule type="expression" dxfId="88" priority="227">
      <formula>ISODD(MONTH($C2448))</formula>
    </cfRule>
    <cfRule type="expression" dxfId="87" priority="228">
      <formula>ISEVEN(MONTH($C2448))</formula>
    </cfRule>
  </conditionalFormatting>
  <conditionalFormatting sqref="L2469:L2474">
    <cfRule type="expression" dxfId="86" priority="17">
      <formula>ISODD(MONTH($C2468))</formula>
    </cfRule>
    <cfRule type="expression" dxfId="85" priority="18">
      <formula>ISEVEN(MONTH($C2468))</formula>
    </cfRule>
  </conditionalFormatting>
  <conditionalFormatting sqref="L2475:L2495">
    <cfRule type="expression" dxfId="84" priority="13">
      <formula>ISODD(MONTH($C2472))</formula>
    </cfRule>
    <cfRule type="expression" dxfId="83" priority="14">
      <formula>ISEVEN(MONTH($C2472))</formula>
    </cfRule>
  </conditionalFormatting>
  <conditionalFormatting sqref="L2496:L2498">
    <cfRule type="expression" dxfId="82" priority="109">
      <formula>ISODD(MONTH($C2496))</formula>
    </cfRule>
    <cfRule type="expression" dxfId="81" priority="110">
      <formula>ISEVEN(MONTH($C2496))</formula>
    </cfRule>
  </conditionalFormatting>
  <conditionalFormatting sqref="L2499">
    <cfRule type="expression" dxfId="80" priority="169">
      <formula>ISODD(MONTH($C2498))</formula>
    </cfRule>
    <cfRule type="expression" dxfId="79" priority="170">
      <formula>ISEVEN(MONTH($C2498))</formula>
    </cfRule>
  </conditionalFormatting>
  <conditionalFormatting sqref="L2500">
    <cfRule type="expression" dxfId="78" priority="153">
      <formula>ISODD(MONTH($C2502))</formula>
    </cfRule>
    <cfRule type="expression" dxfId="77" priority="154">
      <formula>ISEVEN(MONTH($C2502))</formula>
    </cfRule>
  </conditionalFormatting>
  <conditionalFormatting sqref="L2501:L2502">
    <cfRule type="expression" dxfId="76" priority="161">
      <formula>ISODD(MONTH($C2501))</formula>
    </cfRule>
    <cfRule type="expression" dxfId="75" priority="162">
      <formula>ISEVEN(MONTH($C2501))</formula>
    </cfRule>
  </conditionalFormatting>
  <conditionalFormatting sqref="L2503:L2505 L2517:L2522 L2524:L2525">
    <cfRule type="expression" dxfId="74" priority="143">
      <formula>ISODD(MONTH($C2499))</formula>
    </cfRule>
    <cfRule type="expression" dxfId="73" priority="144">
      <formula>ISEVEN(MONTH($C2499))</formula>
    </cfRule>
  </conditionalFormatting>
  <conditionalFormatting sqref="L2506">
    <cfRule type="expression" dxfId="72" priority="135">
      <formula>ISODD(MONTH($C2500))</formula>
    </cfRule>
    <cfRule type="expression" dxfId="71" priority="136">
      <formula>ISEVEN(MONTH($C2500))</formula>
    </cfRule>
  </conditionalFormatting>
  <conditionalFormatting sqref="L2507:L2508">
    <cfRule type="expression" dxfId="70" priority="123">
      <formula>ISODD(MONTH($C2499))</formula>
    </cfRule>
    <cfRule type="expression" dxfId="69" priority="124">
      <formula>ISEVEN(MONTH($C2499))</formula>
    </cfRule>
  </conditionalFormatting>
  <conditionalFormatting sqref="L2509">
    <cfRule type="expression" dxfId="68" priority="149">
      <formula>ISODD(MONTH($C2512))</formula>
    </cfRule>
    <cfRule type="expression" dxfId="67" priority="150">
      <formula>ISEVEN(MONTH($C2512))</formula>
    </cfRule>
  </conditionalFormatting>
  <conditionalFormatting sqref="L2510">
    <cfRule type="expression" dxfId="66" priority="131">
      <formula>ISODD(MONTH($C2504))</formula>
    </cfRule>
    <cfRule type="expression" dxfId="65" priority="132">
      <formula>ISEVEN(MONTH($C2504))</formula>
    </cfRule>
  </conditionalFormatting>
  <conditionalFormatting sqref="L2511">
    <cfRule type="expression" dxfId="64" priority="127">
      <formula>ISODD(MONTH($C2514))</formula>
    </cfRule>
    <cfRule type="expression" dxfId="63" priority="128">
      <formula>ISEVEN(MONTH($C2514))</formula>
    </cfRule>
  </conditionalFormatting>
  <conditionalFormatting sqref="L2512">
    <cfRule type="expression" dxfId="62" priority="113">
      <formula>ISODD(MONTH($C2504))</formula>
    </cfRule>
    <cfRule type="expression" dxfId="61" priority="114">
      <formula>ISEVEN(MONTH($C2504))</formula>
    </cfRule>
  </conditionalFormatting>
  <conditionalFormatting sqref="L2513:L2516">
    <cfRule type="expression" dxfId="60" priority="145">
      <formula>ISODD(MONTH($C2503))</formula>
    </cfRule>
    <cfRule type="expression" dxfId="59" priority="146">
      <formula>ISEVEN(MONTH($C2503))</formula>
    </cfRule>
  </conditionalFormatting>
  <conditionalFormatting sqref="L2515:L2516">
    <cfRule type="expression" dxfId="58" priority="157">
      <formula>ISODD(MONTH($C2519))</formula>
    </cfRule>
    <cfRule type="expression" dxfId="57" priority="158">
      <formula>ISEVEN(MONTH($C2519))</formula>
    </cfRule>
  </conditionalFormatting>
  <conditionalFormatting sqref="L2523">
    <cfRule type="expression" dxfId="56" priority="115">
      <formula>ISODD(MONTH($C2513))</formula>
    </cfRule>
    <cfRule type="expression" dxfId="55" priority="116">
      <formula>ISEVEN(MONTH($C2513))</formula>
    </cfRule>
  </conditionalFormatting>
  <conditionalFormatting sqref="L2525">
    <cfRule type="expression" dxfId="54" priority="163">
      <formula>ISODD(MONTH($C2509))</formula>
    </cfRule>
    <cfRule type="expression" dxfId="53" priority="164">
      <formula>ISEVEN(MONTH($C2509))</formula>
    </cfRule>
  </conditionalFormatting>
  <conditionalFormatting sqref="L2530:L2535">
    <cfRule type="expression" dxfId="52" priority="9">
      <formula>ISODD(MONTH($C2529))</formula>
    </cfRule>
    <cfRule type="expression" dxfId="51" priority="10">
      <formula>ISEVEN(MONTH($C2529))</formula>
    </cfRule>
  </conditionalFormatting>
  <conditionalFormatting sqref="L2536:L2556">
    <cfRule type="expression" dxfId="50" priority="5">
      <formula>ISODD(MONTH($C2533))</formula>
    </cfRule>
    <cfRule type="expression" dxfId="49" priority="6">
      <formula>ISEVEN(MONTH($C2533))</formula>
    </cfRule>
  </conditionalFormatting>
  <conditionalFormatting sqref="L2557:L2559">
    <cfRule type="expression" dxfId="48" priority="45">
      <formula>ISODD(MONTH($C2557))</formula>
    </cfRule>
    <cfRule type="expression" dxfId="47" priority="46">
      <formula>ISEVEN(MONTH($C2557))</formula>
    </cfRule>
  </conditionalFormatting>
  <conditionalFormatting sqref="L2560">
    <cfRule type="expression" dxfId="46" priority="105">
      <formula>ISODD(MONTH($C2559))</formula>
    </cfRule>
    <cfRule type="expression" dxfId="45" priority="106">
      <formula>ISEVEN(MONTH($C2559))</formula>
    </cfRule>
  </conditionalFormatting>
  <conditionalFormatting sqref="L2561">
    <cfRule type="expression" dxfId="44" priority="89">
      <formula>ISODD(MONTH($C2563))</formula>
    </cfRule>
    <cfRule type="expression" dxfId="43" priority="90">
      <formula>ISEVEN(MONTH($C2563))</formula>
    </cfRule>
  </conditionalFormatting>
  <conditionalFormatting sqref="L2562:L2563">
    <cfRule type="expression" dxfId="42" priority="97">
      <formula>ISODD(MONTH($C2562))</formula>
    </cfRule>
    <cfRule type="expression" dxfId="41" priority="98">
      <formula>ISEVEN(MONTH($C2562))</formula>
    </cfRule>
  </conditionalFormatting>
  <conditionalFormatting sqref="L2564:L2566 L2578:L2583 L2585:L2586">
    <cfRule type="expression" dxfId="40" priority="79">
      <formula>ISODD(MONTH($C2560))</formula>
    </cfRule>
    <cfRule type="expression" dxfId="39" priority="80">
      <formula>ISEVEN(MONTH($C2560))</formula>
    </cfRule>
  </conditionalFormatting>
  <conditionalFormatting sqref="L2567">
    <cfRule type="expression" dxfId="38" priority="71">
      <formula>ISODD(MONTH($C2561))</formula>
    </cfRule>
    <cfRule type="expression" dxfId="37" priority="72">
      <formula>ISEVEN(MONTH($C2561))</formula>
    </cfRule>
  </conditionalFormatting>
  <conditionalFormatting sqref="L2568:L2569">
    <cfRule type="expression" dxfId="36" priority="59">
      <formula>ISODD(MONTH($C2560))</formula>
    </cfRule>
    <cfRule type="expression" dxfId="35" priority="60">
      <formula>ISEVEN(MONTH($C2560))</formula>
    </cfRule>
  </conditionalFormatting>
  <conditionalFormatting sqref="L2570">
    <cfRule type="expression" dxfId="34" priority="85">
      <formula>ISODD(MONTH($C2573))</formula>
    </cfRule>
    <cfRule type="expression" dxfId="33" priority="86">
      <formula>ISEVEN(MONTH($C2573))</formula>
    </cfRule>
  </conditionalFormatting>
  <conditionalFormatting sqref="L2571">
    <cfRule type="expression" dxfId="32" priority="67">
      <formula>ISODD(MONTH($C2565))</formula>
    </cfRule>
    <cfRule type="expression" dxfId="31" priority="68">
      <formula>ISEVEN(MONTH($C2565))</formula>
    </cfRule>
  </conditionalFormatting>
  <conditionalFormatting sqref="L2572">
    <cfRule type="expression" dxfId="30" priority="63">
      <formula>ISODD(MONTH($C2575))</formula>
    </cfRule>
    <cfRule type="expression" dxfId="29" priority="64">
      <formula>ISEVEN(MONTH($C2575))</formula>
    </cfRule>
  </conditionalFormatting>
  <conditionalFormatting sqref="L2573">
    <cfRule type="expression" dxfId="28" priority="49">
      <formula>ISODD(MONTH($C2565))</formula>
    </cfRule>
    <cfRule type="expression" dxfId="27" priority="50">
      <formula>ISEVEN(MONTH($C2565))</formula>
    </cfRule>
  </conditionalFormatting>
  <conditionalFormatting sqref="L2574:L2577">
    <cfRule type="expression" dxfId="26" priority="81">
      <formula>ISODD(MONTH($C2564))</formula>
    </cfRule>
    <cfRule type="expression" dxfId="25" priority="82">
      <formula>ISEVEN(MONTH($C2564))</formula>
    </cfRule>
  </conditionalFormatting>
  <conditionalFormatting sqref="L2576:L2577">
    <cfRule type="expression" dxfId="24" priority="93">
      <formula>ISODD(MONTH($C2580))</formula>
    </cfRule>
    <cfRule type="expression" dxfId="23" priority="94">
      <formula>ISEVEN(MONTH($C2580))</formula>
    </cfRule>
  </conditionalFormatting>
  <conditionalFormatting sqref="L2584">
    <cfRule type="expression" dxfId="22" priority="51">
      <formula>ISODD(MONTH($C2574))</formula>
    </cfRule>
    <cfRule type="expression" dxfId="21" priority="52">
      <formula>ISEVEN(MONTH($C2574))</formula>
    </cfRule>
  </conditionalFormatting>
  <conditionalFormatting sqref="L2586">
    <cfRule type="expression" dxfId="20" priority="99">
      <formula>ISODD(MONTH($C2570))</formula>
    </cfRule>
    <cfRule type="expression" dxfId="19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9" t="s">
        <v>176</v>
      </c>
      <c r="C1" s="470"/>
      <c r="D1" s="469" t="s">
        <v>173</v>
      </c>
      <c r="E1" s="470"/>
      <c r="F1" s="22" t="s">
        <v>177</v>
      </c>
      <c r="G1" s="469" t="s">
        <v>167</v>
      </c>
      <c r="H1" s="470"/>
      <c r="I1" s="22" t="s">
        <v>171</v>
      </c>
      <c r="J1" s="469" t="s">
        <v>169</v>
      </c>
      <c r="K1" s="470"/>
      <c r="L1" s="469" t="s">
        <v>170</v>
      </c>
      <c r="M1" s="470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-1</v>
      </c>
      <c r="C36" s="34">
        <f>OUTPUT!I3</f>
        <v>101</v>
      </c>
      <c r="D36" s="33">
        <f t="shared" ca="1" si="13"/>
        <v>43.942523628163585</v>
      </c>
      <c r="E36" s="34">
        <f t="shared" ca="1" si="14"/>
        <v>56.057476371836415</v>
      </c>
      <c r="F36" s="319">
        <f t="shared" ca="1" si="15"/>
        <v>44.942523628163585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1.1417008430510309</v>
      </c>
    </row>
    <row r="37" spans="1:13">
      <c r="A37" s="38">
        <f>+OUTPUT!A4</f>
        <v>46204</v>
      </c>
      <c r="B37" s="40">
        <f>OUTPUT!H4</f>
        <v>-1</v>
      </c>
      <c r="C37" s="41">
        <f>OUTPUT!I4</f>
        <v>101</v>
      </c>
      <c r="D37" s="44">
        <f t="shared" ca="1" si="13"/>
        <v>6.1012130963344191</v>
      </c>
      <c r="E37" s="45">
        <f t="shared" ca="1" si="14"/>
        <v>93.898786903665581</v>
      </c>
      <c r="F37" s="318">
        <f t="shared" ca="1" si="15"/>
        <v>7.1012130963344191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1.2556133643488674</v>
      </c>
    </row>
    <row r="38" spans="1:13">
      <c r="A38" s="38">
        <f>+OUTPUT!A5</f>
        <v>46235</v>
      </c>
      <c r="B38" s="40">
        <f>OUTPUT!H5</f>
        <v>-1</v>
      </c>
      <c r="C38" s="41">
        <f>OUTPUT!I5</f>
        <v>101</v>
      </c>
      <c r="D38" s="44">
        <f t="shared" ca="1" si="13"/>
        <v>-39.709160555378133</v>
      </c>
      <c r="E38" s="45">
        <f t="shared" ca="1" si="14"/>
        <v>139.70916055537813</v>
      </c>
      <c r="F38" s="318">
        <f t="shared" ca="1" si="15"/>
        <v>-38.709160555378133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1.3531537114038725</v>
      </c>
    </row>
    <row r="39" spans="1:13">
      <c r="A39" s="32">
        <f>+OUTPUT!A6</f>
        <v>46266</v>
      </c>
      <c r="B39" s="33">
        <f>OUTPUT!H6</f>
        <v>-1</v>
      </c>
      <c r="C39" s="34">
        <f>OUTPUT!I6</f>
        <v>101</v>
      </c>
      <c r="D39" s="33">
        <f t="shared" ca="1" si="13"/>
        <v>-14.705969151166272</v>
      </c>
      <c r="E39" s="34">
        <f t="shared" ca="1" si="14"/>
        <v>114.70596915116627</v>
      </c>
      <c r="F39" s="319">
        <f t="shared" ca="1" si="15"/>
        <v>-13.705969151166272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1.2899511997987814</v>
      </c>
    </row>
    <row r="40" spans="1:13">
      <c r="A40" s="38">
        <f>+OUTPUT!A7</f>
        <v>46296</v>
      </c>
      <c r="B40" s="40">
        <f>OUTPUT!H7</f>
        <v>-1</v>
      </c>
      <c r="C40" s="41">
        <f>OUTPUT!I7</f>
        <v>101</v>
      </c>
      <c r="D40" s="44">
        <f t="shared" ca="1" si="13"/>
        <v>7.6526170610377733</v>
      </c>
      <c r="E40" s="45">
        <f t="shared" ca="1" si="14"/>
        <v>92.347382938962227</v>
      </c>
      <c r="F40" s="318">
        <f t="shared" ca="1" si="15"/>
        <v>8.6526170610377733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1.2334336624290434</v>
      </c>
    </row>
    <row r="41" spans="1:13">
      <c r="A41" s="38">
        <f>+OUTPUT!A8</f>
        <v>46327</v>
      </c>
      <c r="B41" s="40">
        <f>OUTPUT!H8</f>
        <v>-1</v>
      </c>
      <c r="C41" s="41">
        <f>OUTPUT!I8</f>
        <v>101</v>
      </c>
      <c r="D41" s="44">
        <f t="shared" ca="1" si="13"/>
        <v>44.421585940367414</v>
      </c>
      <c r="E41" s="45">
        <f t="shared" ca="1" si="14"/>
        <v>55.578414059632586</v>
      </c>
      <c r="F41" s="323">
        <f t="shared" ca="1" si="15"/>
        <v>45.421585940367414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1.1404898799840713</v>
      </c>
    </row>
    <row r="42" spans="1:13">
      <c r="A42" s="43">
        <f>+OUTPUT!A9</f>
        <v>46357</v>
      </c>
      <c r="B42" s="50">
        <f>OUTPUT!H9</f>
        <v>-1</v>
      </c>
      <c r="C42" s="51">
        <f>OUTPUT!I9</f>
        <v>101</v>
      </c>
      <c r="D42" s="50">
        <f t="shared" ca="1" si="13"/>
        <v>78.419877199697552</v>
      </c>
      <c r="E42" s="51">
        <f t="shared" ca="1" si="14"/>
        <v>21.580122800302448</v>
      </c>
      <c r="F42" s="320">
        <f t="shared" ca="1" si="15"/>
        <v>79.419877199697552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1.0545497548563201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-1</v>
      </c>
      <c r="F2" s="150">
        <v>-1</v>
      </c>
      <c r="G2" s="151">
        <v>96.37</v>
      </c>
      <c r="H2" s="417">
        <f t="shared" ref="H2:H6" si="0">IF(F2&lt;G2,F2,IF(E2&gt;G2,E2,G2))</f>
        <v>-1</v>
      </c>
      <c r="I2" s="148">
        <f t="shared" ref="I2:I5" si="1">100-H2</f>
        <v>101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-1</v>
      </c>
      <c r="F3" s="150">
        <v>-1</v>
      </c>
      <c r="G3" s="151">
        <v>96.325000000000003</v>
      </c>
      <c r="H3" s="417">
        <f t="shared" si="0"/>
        <v>-1</v>
      </c>
      <c r="I3" s="148">
        <f t="shared" si="1"/>
        <v>101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-1</v>
      </c>
      <c r="F4" s="150">
        <v>-1</v>
      </c>
      <c r="G4" s="151">
        <v>96.27</v>
      </c>
      <c r="H4" s="417">
        <f t="shared" si="0"/>
        <v>-1</v>
      </c>
      <c r="I4" s="148">
        <f t="shared" si="1"/>
        <v>101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-1</v>
      </c>
      <c r="F5" s="150">
        <v>-1</v>
      </c>
      <c r="G5" s="151">
        <v>96.22</v>
      </c>
      <c r="H5" s="417">
        <f t="shared" si="0"/>
        <v>-1</v>
      </c>
      <c r="I5" s="148">
        <f t="shared" si="1"/>
        <v>101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-1</v>
      </c>
      <c r="F6" s="150">
        <v>-1</v>
      </c>
      <c r="G6" s="151">
        <v>96.15</v>
      </c>
      <c r="H6" s="417">
        <f t="shared" si="0"/>
        <v>-1</v>
      </c>
      <c r="I6" s="148">
        <f>100-H6</f>
        <v>101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-1</v>
      </c>
      <c r="F7" s="150">
        <v>-1</v>
      </c>
      <c r="G7" s="151">
        <v>96.125</v>
      </c>
      <c r="H7" s="417">
        <f t="shared" ref="H7:H18" si="2">IF(F7&lt;G7,F7,IF(E7&gt;G7,E7,G7))</f>
        <v>-1</v>
      </c>
      <c r="I7" s="148">
        <f t="shared" ref="I7:I18" si="3">100-H7</f>
        <v>101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-1</v>
      </c>
      <c r="F8" s="150">
        <v>-1</v>
      </c>
      <c r="G8" s="151">
        <v>96.09</v>
      </c>
      <c r="H8" s="417">
        <f t="shared" si="2"/>
        <v>-1</v>
      </c>
      <c r="I8" s="148">
        <f t="shared" si="3"/>
        <v>101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-1</v>
      </c>
      <c r="F9" s="150">
        <v>-1</v>
      </c>
      <c r="G9" s="151">
        <v>96.055000000000007</v>
      </c>
      <c r="H9" s="417">
        <f t="shared" si="2"/>
        <v>-1</v>
      </c>
      <c r="I9" s="148">
        <f t="shared" si="3"/>
        <v>101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-1</v>
      </c>
      <c r="F10" s="150">
        <v>-1</v>
      </c>
      <c r="G10" s="151">
        <v>96.025000000000006</v>
      </c>
      <c r="H10" s="417">
        <f t="shared" si="2"/>
        <v>-1</v>
      </c>
      <c r="I10" s="148">
        <f t="shared" si="3"/>
        <v>101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-1</v>
      </c>
      <c r="F11" s="150">
        <v>-1</v>
      </c>
      <c r="G11" s="151">
        <v>96.004999999999995</v>
      </c>
      <c r="H11" s="417">
        <f t="shared" si="2"/>
        <v>-1</v>
      </c>
      <c r="I11" s="148">
        <f t="shared" si="3"/>
        <v>101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-1</v>
      </c>
      <c r="F12" s="150">
        <v>-1</v>
      </c>
      <c r="G12" s="151">
        <v>95.99</v>
      </c>
      <c r="H12" s="417">
        <f t="shared" si="2"/>
        <v>-1</v>
      </c>
      <c r="I12" s="148">
        <f t="shared" si="3"/>
        <v>101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-1</v>
      </c>
      <c r="F13" s="150">
        <v>-1</v>
      </c>
      <c r="G13" s="151">
        <v>95.984999999999999</v>
      </c>
      <c r="H13" s="417">
        <f t="shared" si="2"/>
        <v>-1</v>
      </c>
      <c r="I13" s="148">
        <f t="shared" si="3"/>
        <v>101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-1</v>
      </c>
      <c r="F14" s="150">
        <v>-1</v>
      </c>
      <c r="G14" s="151">
        <v>95.984999999999999</v>
      </c>
      <c r="H14" s="417">
        <f t="shared" si="2"/>
        <v>-1</v>
      </c>
      <c r="I14" s="148">
        <f t="shared" si="3"/>
        <v>101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-1</v>
      </c>
      <c r="F15" s="150">
        <v>-1</v>
      </c>
      <c r="G15" s="151">
        <v>95.984999999999999</v>
      </c>
      <c r="H15" s="417">
        <f t="shared" si="2"/>
        <v>-1</v>
      </c>
      <c r="I15" s="148">
        <f t="shared" si="3"/>
        <v>101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-1</v>
      </c>
      <c r="F16" s="150">
        <v>-1</v>
      </c>
      <c r="G16" s="151">
        <v>95.98</v>
      </c>
      <c r="H16" s="417">
        <f t="shared" si="2"/>
        <v>-1</v>
      </c>
      <c r="I16" s="148">
        <f t="shared" si="3"/>
        <v>101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-1</v>
      </c>
      <c r="F17" s="150">
        <v>-1</v>
      </c>
      <c r="G17" s="151">
        <v>95.99</v>
      </c>
      <c r="H17" s="417">
        <f t="shared" si="2"/>
        <v>-1</v>
      </c>
      <c r="I17" s="148">
        <f t="shared" si="3"/>
        <v>101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-1</v>
      </c>
      <c r="F18" s="150">
        <v>-1</v>
      </c>
      <c r="G18" s="151">
        <v>96</v>
      </c>
      <c r="H18" s="417">
        <f t="shared" si="2"/>
        <v>-1</v>
      </c>
      <c r="I18" s="148">
        <f t="shared" si="3"/>
        <v>101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-1</v>
      </c>
      <c r="F19" s="397">
        <v>-1</v>
      </c>
      <c r="G19" s="398">
        <v>96.36</v>
      </c>
      <c r="H19" s="418">
        <f t="shared" ref="H19:H22" si="4">IF(F19&lt;G19,F19,IF(E19&gt;G19,E19,G19))</f>
        <v>-1</v>
      </c>
      <c r="I19" s="353">
        <f t="shared" ref="I19:I22" si="5">100-H19</f>
        <v>101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-1</v>
      </c>
      <c r="F20" s="397">
        <v>-1</v>
      </c>
      <c r="G20" s="398">
        <v>96.31</v>
      </c>
      <c r="H20" s="418">
        <f t="shared" si="4"/>
        <v>-1</v>
      </c>
      <c r="I20" s="353">
        <f t="shared" si="5"/>
        <v>101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-1</v>
      </c>
      <c r="F21" s="397">
        <v>-1</v>
      </c>
      <c r="G21" s="398">
        <v>96.25</v>
      </c>
      <c r="H21" s="418">
        <f t="shared" si="4"/>
        <v>-1</v>
      </c>
      <c r="I21" s="353">
        <f t="shared" si="5"/>
        <v>101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-1</v>
      </c>
      <c r="F22" s="397">
        <v>-1</v>
      </c>
      <c r="G22" s="398">
        <v>96.2</v>
      </c>
      <c r="H22" s="418">
        <f t="shared" si="4"/>
        <v>-1</v>
      </c>
      <c r="I22" s="353">
        <f t="shared" si="5"/>
        <v>101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-1</v>
      </c>
      <c r="F23" s="397">
        <v>-1</v>
      </c>
      <c r="G23" s="398">
        <v>96.11</v>
      </c>
      <c r="H23" s="418">
        <f t="shared" ref="H23:H35" si="6">IF(F23&lt;G23,F23,IF(E23&gt;G23,E23,G23))</f>
        <v>-1</v>
      </c>
      <c r="I23" s="353">
        <f t="shared" ref="I23:I35" si="7">100-H23</f>
        <v>101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-1</v>
      </c>
      <c r="F24" s="397">
        <v>-1</v>
      </c>
      <c r="G24" s="398">
        <v>96.09</v>
      </c>
      <c r="H24" s="418">
        <f t="shared" si="6"/>
        <v>-1</v>
      </c>
      <c r="I24" s="353">
        <f t="shared" si="7"/>
        <v>101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-1</v>
      </c>
      <c r="F25" s="397">
        <v>-1</v>
      </c>
      <c r="G25" s="398">
        <v>96.064999999999998</v>
      </c>
      <c r="H25" s="418">
        <f t="shared" si="6"/>
        <v>-1</v>
      </c>
      <c r="I25" s="353">
        <f t="shared" si="7"/>
        <v>101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-1</v>
      </c>
      <c r="F26" s="397">
        <v>-1</v>
      </c>
      <c r="G26" s="398">
        <v>96.034999999999997</v>
      </c>
      <c r="H26" s="418">
        <f t="shared" si="6"/>
        <v>-1</v>
      </c>
      <c r="I26" s="353">
        <f t="shared" si="7"/>
        <v>101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-1</v>
      </c>
      <c r="F27" s="397">
        <v>-1</v>
      </c>
      <c r="G27" s="398">
        <v>96.004999999999995</v>
      </c>
      <c r="H27" s="418">
        <f t="shared" si="6"/>
        <v>-1</v>
      </c>
      <c r="I27" s="353">
        <f t="shared" si="7"/>
        <v>101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-1</v>
      </c>
      <c r="F28" s="397">
        <v>-1</v>
      </c>
      <c r="G28" s="398">
        <v>95.984999999999999</v>
      </c>
      <c r="H28" s="418">
        <f t="shared" si="6"/>
        <v>-1</v>
      </c>
      <c r="I28" s="353">
        <f t="shared" si="7"/>
        <v>101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-1</v>
      </c>
      <c r="F29" s="397">
        <v>-1</v>
      </c>
      <c r="G29" s="398">
        <v>95.96</v>
      </c>
      <c r="H29" s="418">
        <f t="shared" si="6"/>
        <v>-1</v>
      </c>
      <c r="I29" s="353">
        <f t="shared" si="7"/>
        <v>101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-1</v>
      </c>
      <c r="F30" s="397">
        <v>-1</v>
      </c>
      <c r="G30" s="398">
        <v>95.954999999999998</v>
      </c>
      <c r="H30" s="418">
        <f t="shared" si="6"/>
        <v>-1</v>
      </c>
      <c r="I30" s="353">
        <f t="shared" si="7"/>
        <v>101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-1</v>
      </c>
      <c r="F31" s="397">
        <v>-1</v>
      </c>
      <c r="G31" s="398">
        <v>95.965000000000003</v>
      </c>
      <c r="H31" s="418">
        <f t="shared" si="6"/>
        <v>-1</v>
      </c>
      <c r="I31" s="353">
        <f t="shared" si="7"/>
        <v>101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-1</v>
      </c>
      <c r="F32" s="397">
        <v>-1</v>
      </c>
      <c r="G32" s="398" t="s">
        <v>231</v>
      </c>
      <c r="H32" s="418">
        <f t="shared" si="6"/>
        <v>-1</v>
      </c>
      <c r="I32" s="353">
        <f t="shared" si="7"/>
        <v>101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-1</v>
      </c>
      <c r="F34" s="397">
        <v>-1</v>
      </c>
      <c r="G34" s="398" t="s">
        <v>231</v>
      </c>
      <c r="H34" s="418">
        <f t="shared" si="6"/>
        <v>-1</v>
      </c>
      <c r="I34" s="353">
        <f t="shared" si="7"/>
        <v>101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-1</v>
      </c>
      <c r="F35" s="397">
        <v>-1</v>
      </c>
      <c r="G35" s="398" t="s">
        <v>231</v>
      </c>
      <c r="H35" s="418">
        <f t="shared" si="6"/>
        <v>-1</v>
      </c>
      <c r="I35" s="353">
        <f t="shared" si="7"/>
        <v>101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-1</v>
      </c>
      <c r="F37" s="143">
        <v>-1</v>
      </c>
      <c r="G37" s="144">
        <v>96.355000000000004</v>
      </c>
      <c r="H37" s="419">
        <f t="shared" si="8"/>
        <v>-1</v>
      </c>
      <c r="I37" s="145">
        <f t="shared" si="9"/>
        <v>101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-1</v>
      </c>
      <c r="F38" s="143">
        <v>-1</v>
      </c>
      <c r="G38" s="144">
        <v>96.31</v>
      </c>
      <c r="H38" s="419">
        <f t="shared" si="8"/>
        <v>-1</v>
      </c>
      <c r="I38" s="145">
        <f t="shared" si="9"/>
        <v>101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-1</v>
      </c>
      <c r="F39" s="143">
        <v>-1</v>
      </c>
      <c r="G39" s="144">
        <v>96.262500000000003</v>
      </c>
      <c r="H39" s="419">
        <f t="shared" si="8"/>
        <v>-1</v>
      </c>
      <c r="I39" s="145">
        <f t="shared" si="9"/>
        <v>101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-1</v>
      </c>
      <c r="F40" s="143">
        <v>-1</v>
      </c>
      <c r="G40" s="144">
        <v>96.204999999999998</v>
      </c>
      <c r="H40" s="419">
        <f t="shared" si="8"/>
        <v>-1</v>
      </c>
      <c r="I40" s="145">
        <f t="shared" si="9"/>
        <v>101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-1</v>
      </c>
      <c r="F41" s="143">
        <v>-1</v>
      </c>
      <c r="G41" s="144">
        <v>96.135000000000005</v>
      </c>
      <c r="H41" s="419">
        <f t="shared" si="8"/>
        <v>-1</v>
      </c>
      <c r="I41" s="145">
        <f t="shared" si="9"/>
        <v>101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-1</v>
      </c>
      <c r="F42" s="143">
        <v>-1</v>
      </c>
      <c r="G42" s="144" t="s">
        <v>231</v>
      </c>
      <c r="H42" s="419">
        <f t="shared" si="8"/>
        <v>-1</v>
      </c>
      <c r="I42" s="145">
        <f t="shared" si="9"/>
        <v>101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-1</v>
      </c>
      <c r="F43" s="143">
        <v>-1</v>
      </c>
      <c r="G43" s="144">
        <v>96.064999999999998</v>
      </c>
      <c r="H43" s="419">
        <f>IF(F43&lt;G43,F43,IF(E43&gt;G43,E43,G43))</f>
        <v>-1</v>
      </c>
      <c r="I43" s="145">
        <f>100-H43</f>
        <v>101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-1</v>
      </c>
      <c r="F44" s="143">
        <v>-1</v>
      </c>
      <c r="G44" s="144" t="s">
        <v>231</v>
      </c>
      <c r="H44" s="419">
        <f t="shared" ref="H44:H52" si="10">IF(F44&lt;G44,F44,IF(E44&gt;G44,E44,G44))</f>
        <v>-1</v>
      </c>
      <c r="I44" s="145">
        <f t="shared" ref="I44:I52" si="11">100-H44</f>
        <v>101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-1</v>
      </c>
      <c r="F45" s="143">
        <v>-1</v>
      </c>
      <c r="G45" s="144" t="s">
        <v>231</v>
      </c>
      <c r="H45" s="419">
        <f t="shared" si="10"/>
        <v>-1</v>
      </c>
      <c r="I45" s="145">
        <f t="shared" si="11"/>
        <v>101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-1</v>
      </c>
      <c r="F46" s="143">
        <v>-1</v>
      </c>
      <c r="G46" s="144">
        <v>95.98</v>
      </c>
      <c r="H46" s="419">
        <f t="shared" si="10"/>
        <v>-1</v>
      </c>
      <c r="I46" s="145">
        <f t="shared" si="11"/>
        <v>101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-1</v>
      </c>
      <c r="F49" s="143">
        <v>-1</v>
      </c>
      <c r="G49" s="144">
        <v>95.94</v>
      </c>
      <c r="H49" s="419">
        <f t="shared" si="10"/>
        <v>-1</v>
      </c>
      <c r="I49" s="145">
        <f t="shared" si="11"/>
        <v>101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-1</v>
      </c>
      <c r="F52" s="143">
        <v>-1</v>
      </c>
      <c r="G52" s="144">
        <v>95.944999999999993</v>
      </c>
      <c r="H52" s="419">
        <f t="shared" si="10"/>
        <v>-1</v>
      </c>
      <c r="I52" s="145">
        <f t="shared" si="11"/>
        <v>101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 ca="1">'DAILY EXTRAPOLATION'!N2461</f>
        <v>1.0120781349206349</v>
      </c>
      <c r="D87" s="454">
        <f t="shared" ca="1" si="4"/>
        <v>1.0207806697243187</v>
      </c>
      <c r="E87" s="450">
        <f t="shared" ca="1" si="5"/>
        <v>8.6988850008775917E-2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1.0120781349206349</v>
      </c>
      <c r="D88" s="454">
        <f t="shared" ca="1" si="4"/>
        <v>1.033109796377625</v>
      </c>
      <c r="E88" s="450">
        <f t="shared" ca="1" si="5"/>
        <v>0.13700605397637936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1.0120781349206349</v>
      </c>
      <c r="D89" s="454">
        <f t="shared" ca="1" si="4"/>
        <v>1.0455878358861037</v>
      </c>
      <c r="E89" s="450">
        <f t="shared" ca="1" si="5"/>
        <v>0.18649569226133336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1.0362344047619048</v>
      </c>
      <c r="D90" s="454">
        <f t="shared" ca="1" si="4"/>
        <v>1.0834740887457248</v>
      </c>
      <c r="E90" s="450">
        <f t="shared" ca="1" si="5"/>
        <v>0.33764799942090939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1.0834740887457248</v>
      </c>
      <c r="E91" s="450">
        <f t="shared" ca="1" si="5"/>
        <v>0.33389635498289927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1.0834740887457248</v>
      </c>
      <c r="E92" s="450">
        <f t="shared" ca="1" si="5"/>
        <v>0.3302271642688015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1.0120781349206349</v>
      </c>
      <c r="D93" s="454">
        <f t="shared" ca="1" si="4"/>
        <v>1.0965604349726077</v>
      </c>
      <c r="E93" s="450">
        <f t="shared" ca="1" si="5"/>
        <v>0.37784518032759529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1.0028055555555555</v>
      </c>
      <c r="D94" s="454">
        <f t="shared" ca="1" si="4"/>
        <v>1.0996368961929475</v>
      </c>
      <c r="E94" s="450">
        <f t="shared" ca="1" si="5"/>
        <v>0.38569121106947407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1.0028055555555555</v>
      </c>
      <c r="D95" s="454">
        <f t="shared" ca="1" si="4"/>
        <v>1.1027219885961554</v>
      </c>
      <c r="E95" s="450">
        <f t="shared" ca="1" si="5"/>
        <v>0.39340336058102082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1.0028055555555555</v>
      </c>
      <c r="D96" s="454">
        <f t="shared" ca="1" si="4"/>
        <v>1.1058157363974945</v>
      </c>
      <c r="E96" s="450">
        <f t="shared" ca="1" si="5"/>
        <v>0.40098594845366348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1.0112222222222222</v>
      </c>
      <c r="D97" s="454">
        <f t="shared" ca="1" si="4"/>
        <v>1.1182254463281776</v>
      </c>
      <c r="E97" s="450">
        <f t="shared" ca="1" si="5"/>
        <v>0.44334542373066582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1.1182254463281776</v>
      </c>
      <c r="E98" s="450">
        <f t="shared" ca="1" si="5"/>
        <v>0.4387748523519992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1.1182254463281776</v>
      </c>
      <c r="E99" s="450">
        <f t="shared" ca="1" si="5"/>
        <v>0.43429755794024411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1.1182254463281776</v>
      </c>
      <c r="E100" s="450">
        <f t="shared" ca="1" si="5"/>
        <v>0.42991071392064567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1.0028055555555555</v>
      </c>
      <c r="D101" s="454">
        <f t="shared" ca="1" si="4"/>
        <v>1.121362689941487</v>
      </c>
      <c r="E101" s="450">
        <f t="shared" ca="1" si="5"/>
        <v>0.43690568378935324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1.0028055555555555</v>
      </c>
      <c r="D102" s="454">
        <f t="shared" ca="1" si="4"/>
        <v>1.124508735266045</v>
      </c>
      <c r="E102" s="450">
        <f t="shared" ca="1" si="5"/>
        <v>0.44379351183936833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1.0028055555555555</v>
      </c>
      <c r="D103" s="454">
        <f t="shared" ca="1" si="4"/>
        <v>1.1276636069955412</v>
      </c>
      <c r="E103" s="450">
        <f t="shared" ca="1" si="5"/>
        <v>0.45057743645485143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1.0084166666666667</v>
      </c>
      <c r="D104" s="454">
        <f t="shared" ca="1" si="4"/>
        <v>1.1371547756877538</v>
      </c>
      <c r="E104" s="450">
        <f t="shared" ca="1" si="5"/>
        <v>0.47937591502515892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1.1371547756877538</v>
      </c>
      <c r="E105" s="450">
        <f t="shared" ca="1" si="5"/>
        <v>0.47476653122684009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1.1371547756877538</v>
      </c>
      <c r="E106" s="450">
        <f t="shared" ca="1" si="5"/>
        <v>0.47024494521515592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1.0028055555555555</v>
      </c>
      <c r="D107" s="454">
        <f t="shared" ca="1" si="4"/>
        <v>1.140345126586211</v>
      </c>
      <c r="E107" s="450">
        <f t="shared" ca="1" si="5"/>
        <v>0.47664382614184869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1.0028055555555555</v>
      </c>
      <c r="D108" s="454">
        <f t="shared" ca="1" si="4"/>
        <v>1.1435444281913556</v>
      </c>
      <c r="E108" s="450">
        <f t="shared" ca="1" si="5"/>
        <v>0.4829532163447478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1.0028055555555555</v>
      </c>
      <c r="D109" s="454">
        <f t="shared" ca="1" si="4"/>
        <v>1.1467527056148925</v>
      </c>
      <c r="E109" s="450">
        <f t="shared" ca="1" si="5"/>
        <v>0.48917568538297501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1.0028055555555555</v>
      </c>
      <c r="D110" s="454">
        <f t="shared" ca="1" si="4"/>
        <v>1.1499699840389788</v>
      </c>
      <c r="E110" s="450">
        <f t="shared" ca="1" si="5"/>
        <v>0.4953137087525904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1.0084166666666667</v>
      </c>
      <c r="D111" s="454">
        <f t="shared" ca="1" si="4"/>
        <v>1.1596488980713069</v>
      </c>
      <c r="E111" s="450">
        <f t="shared" ca="1" si="5"/>
        <v>0.52248730277882249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1.1596488980713069</v>
      </c>
      <c r="E112" s="450">
        <f t="shared" ca="1" si="5"/>
        <v>0.51778020996099527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1.1596488980713069</v>
      </c>
      <c r="E113" s="450">
        <f t="shared" ca="1" si="5"/>
        <v>0.51315717237205782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1.0028055555555555</v>
      </c>
      <c r="D114" s="454">
        <f t="shared" ca="1" si="4"/>
        <v>1.1629023574797848</v>
      </c>
      <c r="E114" s="450">
        <f t="shared" ca="1" si="5"/>
        <v>0.5189809618825002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1.0028055555555555</v>
      </c>
      <c r="D115" s="454">
        <f t="shared" ca="1" si="4"/>
        <v>1.1661649446493807</v>
      </c>
      <c r="E115" s="450">
        <f t="shared" ca="1" si="5"/>
        <v>0.52473140415593911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1.0028055555555555</v>
      </c>
      <c r="D116" s="454">
        <f t="shared" ca="1" si="4"/>
        <v>1.1694366851885358</v>
      </c>
      <c r="E116" s="450">
        <f t="shared" ca="1" si="5"/>
        <v>0.53041049276411223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1.0028055555555555</v>
      </c>
      <c r="D117" s="454">
        <f t="shared" ca="1" si="4"/>
        <v>1.1727176047775369</v>
      </c>
      <c r="E117" s="450">
        <f t="shared" ca="1" si="5"/>
        <v>0.53602015275787329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1.0084166666666667</v>
      </c>
      <c r="D118" s="454">
        <f t="shared" ca="1" si="4"/>
        <v>1.1825879779510813</v>
      </c>
      <c r="E118" s="450">
        <f t="shared" ca="1" si="5"/>
        <v>0.56180916292640393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1.1825879779510813</v>
      </c>
      <c r="E119" s="450">
        <f t="shared" ca="1" si="5"/>
        <v>0.55704806832533271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1.1825879779510813</v>
      </c>
      <c r="E120" s="450">
        <f t="shared" ca="1" si="5"/>
        <v>0.55236699212091822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1.0028055555555555</v>
      </c>
      <c r="D121" s="454">
        <f t="shared" ca="1" si="4"/>
        <v>1.185905794222555</v>
      </c>
      <c r="E121" s="450">
        <f t="shared" ca="1" si="5"/>
        <v>0.55771738266766513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1.0028055555555555</v>
      </c>
      <c r="D122" s="454">
        <f t="shared" ca="1" si="4"/>
        <v>1.1892329188119015</v>
      </c>
      <c r="E122" s="450">
        <f t="shared" ca="1" si="5"/>
        <v>0.56300703117590534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1.0028055555555555</v>
      </c>
      <c r="D123" s="454">
        <f t="shared" ca="1" si="4"/>
        <v>1.1925693778341238</v>
      </c>
      <c r="E123" s="450">
        <f t="shared" ca="1" si="5"/>
        <v>0.56823750836298814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1.0028055555555555</v>
      </c>
      <c r="D124" s="454">
        <f t="shared" ca="1" si="4"/>
        <v>1.1959151974774918</v>
      </c>
      <c r="E124" s="450">
        <f t="shared" ca="1" si="5"/>
        <v>0.57341033408046371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1.0084166666666667</v>
      </c>
      <c r="D125" s="454">
        <f t="shared" ca="1" si="4"/>
        <v>1.2059808170562607</v>
      </c>
      <c r="E125" s="450">
        <f t="shared" ca="1" si="5"/>
        <v>0.59800882371172459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1.2059808170562607</v>
      </c>
      <c r="E126" s="450">
        <f t="shared" ca="1" si="5"/>
        <v>0.59322475312203082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1.2059808170562607</v>
      </c>
      <c r="E127" s="450">
        <f t="shared" ca="1" si="5"/>
        <v>0.58851662016074491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1.0028055555555555</v>
      </c>
      <c r="D128" s="454">
        <f t="shared" ca="1" si="4"/>
        <v>1.2093642632374462</v>
      </c>
      <c r="E128" s="450">
        <f t="shared" ca="1" si="5"/>
        <v>0.59347350209039862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1.0028055555555555</v>
      </c>
      <c r="D129" s="454">
        <f t="shared" ca="1" si="4"/>
        <v>1.2127572018648622</v>
      </c>
      <c r="E129" s="450">
        <f t="shared" ca="1" si="5"/>
        <v>0.59837963024492502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1.0028055555555555</v>
      </c>
      <c r="D130" s="454">
        <f t="shared" ca="1" si="4"/>
        <v>1.2161596595700941</v>
      </c>
      <c r="E130" s="450">
        <f t="shared" ca="1" si="5"/>
        <v>0.60323625926537894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1.0028055555555555</v>
      </c>
      <c r="D131" s="454">
        <f t="shared" ca="1" si="4"/>
        <v>1.2195716630594435</v>
      </c>
      <c r="E131" s="450">
        <f t="shared" ca="1" si="5"/>
        <v>0.60804460539538208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1.0112222222222222</v>
      </c>
      <c r="D132" s="454">
        <f t="shared" ref="D132:D195" ca="1" si="7">D131*C132</f>
        <v>1.2332579672782218</v>
      </c>
      <c r="E132" s="450">
        <f t="shared" ref="E132:E195" ca="1" si="8">(D132/1-1)*360/(B132-A$2)</f>
        <v>0.64101426122259419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1.2332579672782218</v>
      </c>
      <c r="E133" s="450">
        <f t="shared" ca="1" si="8"/>
        <v>0.63615809257696843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1.2332579672782218</v>
      </c>
      <c r="E134" s="450">
        <f t="shared" ca="1" si="8"/>
        <v>0.63137494902375824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1.2332579672782218</v>
      </c>
      <c r="E135" s="450">
        <f t="shared" ca="1" si="8"/>
        <v>0.62666319567283457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1.0028055555555555</v>
      </c>
      <c r="D136" s="454">
        <f t="shared" ca="1" si="7"/>
        <v>1.2367179410197522</v>
      </c>
      <c r="E136" s="450">
        <f t="shared" ca="1" si="8"/>
        <v>0.6312478427193392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1.0028055555555555</v>
      </c>
      <c r="D137" s="454">
        <f t="shared" ca="1" si="7"/>
        <v>1.2401876219098353</v>
      </c>
      <c r="E137" s="450">
        <f t="shared" ca="1" si="8"/>
        <v>0.63579076387897593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1.0028055555555555</v>
      </c>
      <c r="D138" s="454">
        <f t="shared" ca="1" si="7"/>
        <v>1.2436670371824157</v>
      </c>
      <c r="E138" s="450">
        <f t="shared" ca="1" si="8"/>
        <v>0.64029294442094631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1.0084166666666667</v>
      </c>
      <c r="D139" s="454">
        <f t="shared" ca="1" si="7"/>
        <v>1.2541345680787011</v>
      </c>
      <c r="E139" s="450">
        <f t="shared" ca="1" si="8"/>
        <v>0.66295974281400272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1.2541345680787011</v>
      </c>
      <c r="E140" s="450">
        <f t="shared" ca="1" si="8"/>
        <v>0.65819024826138406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1.2541345680787011</v>
      </c>
      <c r="E141" s="450">
        <f t="shared" ca="1" si="8"/>
        <v>0.65348888934523131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1.0028055555555555</v>
      </c>
      <c r="D142" s="454">
        <f t="shared" ca="1" si="7"/>
        <v>1.2576531122835886</v>
      </c>
      <c r="E142" s="450">
        <f t="shared" ca="1" si="8"/>
        <v>0.65783773349001329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1.0028055555555555</v>
      </c>
      <c r="D143" s="454">
        <f t="shared" ca="1" si="7"/>
        <v>1.2611815279597174</v>
      </c>
      <c r="E143" s="450">
        <f t="shared" ca="1" si="8"/>
        <v>0.6621503525739314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1.0028055555555555</v>
      </c>
      <c r="D144" s="454">
        <f t="shared" ca="1" si="7"/>
        <v>1.2647198428020487</v>
      </c>
      <c r="E144" s="450">
        <f t="shared" ca="1" si="8"/>
        <v>0.66642757628487792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1.0028055555555555</v>
      </c>
      <c r="D145" s="454">
        <f t="shared" ca="1" si="7"/>
        <v>1.2682680845832432</v>
      </c>
      <c r="E145" s="450">
        <f t="shared" ca="1" si="8"/>
        <v>0.67067021145810812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1.0084166666666667</v>
      </c>
      <c r="D146" s="454">
        <f t="shared" ca="1" si="7"/>
        <v>1.2789426742951524</v>
      </c>
      <c r="E146" s="450">
        <f t="shared" ca="1" si="8"/>
        <v>0.69254732928451634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1.2789426742951524</v>
      </c>
      <c r="E147" s="450">
        <f t="shared" ca="1" si="8"/>
        <v>0.68780385442640313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1.2789426742951524</v>
      </c>
      <c r="E148" s="450">
        <f t="shared" ca="1" si="8"/>
        <v>0.68312491664118957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1.0028055555555555</v>
      </c>
      <c r="D149" s="454">
        <f t="shared" ca="1" si="7"/>
        <v>1.2825308190202582</v>
      </c>
      <c r="E149" s="450">
        <f t="shared" ca="1" si="8"/>
        <v>0.68723712734657416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1.0028055555555555</v>
      </c>
      <c r="D150" s="454">
        <f t="shared" ca="1" si="7"/>
        <v>1.2861290304847317</v>
      </c>
      <c r="E150" s="450">
        <f t="shared" ca="1" si="8"/>
        <v>0.69131846291613031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1.0028055555555555</v>
      </c>
      <c r="D151" s="454">
        <f t="shared" ca="1" si="7"/>
        <v>1.2897373369313694</v>
      </c>
      <c r="E151" s="450">
        <f t="shared" ca="1" si="8"/>
        <v>0.69536960863528652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1.0028055555555555</v>
      </c>
      <c r="D152" s="454">
        <f t="shared" ca="1" si="7"/>
        <v>1.2933557666822046</v>
      </c>
      <c r="E152" s="450">
        <f t="shared" ca="1" si="8"/>
        <v>0.69939123182512364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1.0084166666666667</v>
      </c>
      <c r="D153" s="454">
        <f t="shared" ca="1" si="7"/>
        <v>1.30424151105178</v>
      </c>
      <c r="E153" s="450">
        <f t="shared" ca="1" si="8"/>
        <v>0.72057199985947895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1.30424151105178</v>
      </c>
      <c r="E154" s="450">
        <f t="shared" ca="1" si="8"/>
        <v>0.71586237894536475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1.30424151105178</v>
      </c>
      <c r="E155" s="450">
        <f t="shared" ca="1" si="8"/>
        <v>0.71121392193922595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1.0028055555555555</v>
      </c>
      <c r="D156" s="454">
        <f t="shared" ca="1" si="7"/>
        <v>1.3079006330688974</v>
      </c>
      <c r="E156" s="450">
        <f t="shared" ca="1" si="8"/>
        <v>0.71512405099872933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1.0028055555555555</v>
      </c>
      <c r="D157" s="454">
        <f t="shared" ca="1" si="7"/>
        <v>1.3115700209561183</v>
      </c>
      <c r="E157" s="450">
        <f t="shared" ca="1" si="8"/>
        <v>0.71900774066796536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1.0028055555555555</v>
      </c>
      <c r="D158" s="454">
        <f t="shared" ca="1" si="7"/>
        <v>1.3152497035149118</v>
      </c>
      <c r="E158" s="450">
        <f t="shared" ca="1" si="8"/>
        <v>0.7228655621997977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1.0028055555555555</v>
      </c>
      <c r="D159" s="454">
        <f t="shared" ca="1" si="7"/>
        <v>1.3189397096275508</v>
      </c>
      <c r="E159" s="450">
        <f t="shared" ca="1" si="8"/>
        <v>0.72669807256910302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1.0084166666666667</v>
      </c>
      <c r="D160" s="454">
        <f t="shared" ca="1" si="7"/>
        <v>1.3300407855169161</v>
      </c>
      <c r="E160" s="450">
        <f t="shared" ca="1" si="8"/>
        <v>0.74726215588735712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1.3300407855169161</v>
      </c>
      <c r="E161" s="450">
        <f t="shared" ca="1" si="8"/>
        <v>0.74259176741306121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1.3300407855169161</v>
      </c>
      <c r="E162" s="450">
        <f t="shared" ca="1" si="8"/>
        <v>0.73797939618689312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1.0028055555555555</v>
      </c>
      <c r="D163" s="454">
        <f t="shared" ca="1" si="7"/>
        <v>1.3337722888318384</v>
      </c>
      <c r="E163" s="450">
        <f t="shared" ca="1" si="8"/>
        <v>0.74171619740408534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1.005611111111111</v>
      </c>
      <c r="D164" s="454">
        <f t="shared" ca="1" si="7"/>
        <v>1.3412562333413947</v>
      </c>
      <c r="E164" s="450">
        <f t="shared" ca="1" si="8"/>
        <v>0.75369474848406182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1.3412562333413947</v>
      </c>
      <c r="E165" s="450">
        <f t="shared" ca="1" si="8"/>
        <v>0.74909904879818334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1.0028055555555555</v>
      </c>
      <c r="D166" s="454">
        <f t="shared" ca="1" si="7"/>
        <v>1.345019202218269</v>
      </c>
      <c r="E166" s="450">
        <f t="shared" ca="1" si="8"/>
        <v>0.75276916847622322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1.0084166666666667</v>
      </c>
      <c r="D167" s="454">
        <f t="shared" ca="1" si="7"/>
        <v>1.3563397805036062</v>
      </c>
      <c r="E167" s="450">
        <f t="shared" ca="1" si="8"/>
        <v>0.77278506615239895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1.3563397805036062</v>
      </c>
      <c r="E168" s="450">
        <f t="shared" ca="1" si="8"/>
        <v>0.76815761066645649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1.3563397805036062</v>
      </c>
      <c r="E169" s="450">
        <f t="shared" ca="1" si="8"/>
        <v>0.76358524393629901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1.0028055555555555</v>
      </c>
      <c r="D170" s="454">
        <f t="shared" ca="1" si="7"/>
        <v>1.360145067110019</v>
      </c>
      <c r="E170" s="450">
        <f t="shared" ca="1" si="8"/>
        <v>0.7671729240213423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1.0028055555555555</v>
      </c>
      <c r="D171" s="454">
        <f t="shared" ca="1" si="7"/>
        <v>1.3639610296594109</v>
      </c>
      <c r="E171" s="450">
        <f t="shared" ca="1" si="8"/>
        <v>0.77074100398463485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1.0028055555555555</v>
      </c>
      <c r="D172" s="454">
        <f t="shared" ca="1" si="7"/>
        <v>1.3677876981037331</v>
      </c>
      <c r="E172" s="450">
        <f t="shared" ca="1" si="8"/>
        <v>0.77428989074470134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1.0028055555555555</v>
      </c>
      <c r="D173" s="454">
        <f t="shared" ca="1" si="7"/>
        <v>1.3716251024789685</v>
      </c>
      <c r="E173" s="450">
        <f t="shared" ca="1" si="8"/>
        <v>0.77781998193272484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1.0084166666666667</v>
      </c>
      <c r="D174" s="454">
        <f t="shared" ca="1" si="7"/>
        <v>1.3831696137581666</v>
      </c>
      <c r="E174" s="450">
        <f t="shared" ca="1" si="8"/>
        <v>0.79734717313838133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1.3831696137581666</v>
      </c>
      <c r="E175" s="450">
        <f t="shared" ca="1" si="8"/>
        <v>0.79276471812034466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1.3831696137581666</v>
      </c>
      <c r="E176" s="450">
        <f t="shared" ca="1" si="8"/>
        <v>0.78823463401679983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1.0028055555555555</v>
      </c>
      <c r="D177" s="454">
        <f t="shared" ca="1" si="7"/>
        <v>1.3870501729523215</v>
      </c>
      <c r="E177" s="450">
        <f t="shared" ca="1" si="8"/>
        <v>0.79169353558429389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1.0028055555555555</v>
      </c>
      <c r="D178" s="454">
        <f t="shared" ca="1" si="7"/>
        <v>1.3909416192708821</v>
      </c>
      <c r="E178" s="450">
        <f t="shared" ca="1" si="8"/>
        <v>0.79513549682213314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1.005611111111111</v>
      </c>
      <c r="D179" s="454">
        <f t="shared" ca="1" si="7"/>
        <v>1.3987463472456798</v>
      </c>
      <c r="E179" s="450">
        <f t="shared" ca="1" si="8"/>
        <v>0.80645328656429616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1.3987463472456798</v>
      </c>
      <c r="E180" s="450">
        <f ca="1">(D180/1-1)*360/(B180-A$2)</f>
        <v>0.80194796094103193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1.0084166666666667</v>
      </c>
      <c r="D181" s="454">
        <f t="shared" ca="1" si="7"/>
        <v>1.4105191290016643</v>
      </c>
      <c r="E181" s="450">
        <f t="shared" ca="1" si="8"/>
        <v>0.82103825800332864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1.4105191290016643</v>
      </c>
      <c r="E182" s="450">
        <f t="shared" ca="1" si="8"/>
        <v>0.81650213503093449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1.4105191290016643</v>
      </c>
      <c r="E183" s="450">
        <f t="shared" ca="1" si="8"/>
        <v>0.81201585956373157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1.0028055555555555</v>
      </c>
      <c r="D184" s="454">
        <f t="shared" ca="1" si="7"/>
        <v>1.4144764187802523</v>
      </c>
      <c r="E184" s="450">
        <f t="shared" ca="1" si="8"/>
        <v>0.81536344678082417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1.0028055555555555</v>
      </c>
      <c r="D185" s="454">
        <f t="shared" ca="1" si="7"/>
        <v>1.4184448109551635</v>
      </c>
      <c r="E185" s="450">
        <f t="shared" ca="1" si="8"/>
        <v>0.81869636926010259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1.0028055555555555</v>
      </c>
      <c r="D186" s="454">
        <f t="shared" ca="1" si="7"/>
        <v>1.4224243366747877</v>
      </c>
      <c r="E186" s="450">
        <f t="shared" ca="1" si="8"/>
        <v>0.82201492542120846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1.0028055555555555</v>
      </c>
      <c r="D187" s="454">
        <f t="shared" ca="1" si="7"/>
        <v>1.426415027174903</v>
      </c>
      <c r="E187" s="450">
        <f t="shared" ca="1" si="8"/>
        <v>0.82531940743529608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1.0084166666666667</v>
      </c>
      <c r="D188" s="454">
        <f t="shared" ca="1" si="7"/>
        <v>1.4384206869869585</v>
      </c>
      <c r="E188" s="450">
        <f t="shared" ca="1" si="8"/>
        <v>0.84401843484120342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1.4384206869869585</v>
      </c>
      <c r="E189" s="450">
        <f t="shared" ca="1" si="8"/>
        <v>0.83952897508140978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1.4384206869869585</v>
      </c>
      <c r="E190" s="450">
        <f t="shared" ca="1" si="8"/>
        <v>0.83508702283230185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1.0028055555555555</v>
      </c>
      <c r="D191" s="454">
        <f t="shared" ca="1" si="7"/>
        <v>1.4424562561365606</v>
      </c>
      <c r="E191" s="450">
        <f t="shared" ca="1" si="8"/>
        <v>0.83833816952190432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1.0028055555555555</v>
      </c>
      <c r="D192" s="454">
        <f t="shared" ca="1" si="7"/>
        <v>1.4465031472996104</v>
      </c>
      <c r="E192" s="450">
        <f t="shared" ca="1" si="8"/>
        <v>0.84157661271130757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1.0028055555555555</v>
      </c>
      <c r="D193" s="454">
        <f t="shared" ca="1" si="7"/>
        <v>1.4505613922406453</v>
      </c>
      <c r="E193" s="450">
        <f t="shared" ca="1" si="8"/>
        <v>0.84480261045120997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1.0028055555555555</v>
      </c>
      <c r="D194" s="454">
        <f t="shared" ca="1" si="7"/>
        <v>1.4546310228133204</v>
      </c>
      <c r="E194" s="450">
        <f t="shared" ca="1" si="8"/>
        <v>0.84801641561033847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1.0084166666666667</v>
      </c>
      <c r="D195" s="454">
        <f t="shared" ca="1" si="7"/>
        <v>1.4668741672553325</v>
      </c>
      <c r="E195" s="450">
        <f t="shared" ca="1" si="8"/>
        <v>0.86636443408206021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1.4668741672553325</v>
      </c>
      <c r="E196" s="450">
        <f t="shared" ref="E196:E216" ca="1" si="11">(D196/1-1)*360/(B196-A$2)</f>
        <v>0.86192153954830608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1.4668741672553325</v>
      </c>
      <c r="E197" s="450">
        <f t="shared" ca="1" si="11"/>
        <v>0.85752398067305968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1.0028055555555555</v>
      </c>
      <c r="D198" s="454">
        <f t="shared" ca="1" si="10"/>
        <v>1.4709895642245765</v>
      </c>
      <c r="E198" s="450">
        <f t="shared" ca="1" si="11"/>
        <v>0.86069158944592661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1.0028055555555555</v>
      </c>
      <c r="D199" s="454">
        <f t="shared" ca="1" si="10"/>
        <v>1.4751165071686509</v>
      </c>
      <c r="E199" s="450">
        <f t="shared" ca="1" si="11"/>
        <v>0.86384819485209263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1.0028055555555555</v>
      </c>
      <c r="D200" s="454">
        <f t="shared" ca="1" si="10"/>
        <v>1.4792550284804296</v>
      </c>
      <c r="E200" s="450">
        <f t="shared" ca="1" si="11"/>
        <v>0.8669940213716314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1.0028055555555555</v>
      </c>
      <c r="D201" s="454">
        <f t="shared" ca="1" si="10"/>
        <v>1.4834051606436662</v>
      </c>
      <c r="E201" s="450">
        <f t="shared" ca="1" si="11"/>
        <v>0.87012928915859922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1.0084166666666667</v>
      </c>
      <c r="D202" s="454">
        <f t="shared" ca="1" si="10"/>
        <v>1.4958904874124173</v>
      </c>
      <c r="E202" s="450">
        <f t="shared" ca="1" si="11"/>
        <v>0.88816206700731448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1.4958904874124173</v>
      </c>
      <c r="E203" s="450">
        <f t="shared" ca="1" si="11"/>
        <v>0.88376522509143673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1.4958904874124173</v>
      </c>
      <c r="E204" s="450">
        <f t="shared" ca="1" si="11"/>
        <v>0.87941170181512418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1.0028055555555555</v>
      </c>
      <c r="D205" s="454">
        <f t="shared" ca="1" si="10"/>
        <v>1.5000872912798797</v>
      </c>
      <c r="E205" s="450">
        <f t="shared" ca="1" si="11"/>
        <v>0.88250698461155241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1.0028055555555555</v>
      </c>
      <c r="D206" s="454">
        <f t="shared" ca="1" si="10"/>
        <v>1.5042958695137483</v>
      </c>
      <c r="E206" s="450">
        <f t="shared" ca="1" si="11"/>
        <v>0.88559274646316766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1.0028055555555555</v>
      </c>
      <c r="D207" s="454">
        <f t="shared" ca="1" si="10"/>
        <v>1.5085162551476619</v>
      </c>
      <c r="E207" s="450">
        <f t="shared" ca="1" si="11"/>
        <v>0.88866918375319548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1.0112222222222222</v>
      </c>
      <c r="D208" s="454">
        <f t="shared" ca="1" si="10"/>
        <v>1.5254451597887635</v>
      </c>
      <c r="E208" s="450">
        <f t="shared" ca="1" si="11"/>
        <v>0.91381766919784957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1.5254451597887635</v>
      </c>
      <c r="E209" s="450">
        <f t="shared" ca="1" si="11"/>
        <v>0.90942431501901377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1.5254451597887635</v>
      </c>
      <c r="E210" s="450">
        <f t="shared" ca="1" si="11"/>
        <v>0.9050730025069611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1.5254451597887635</v>
      </c>
      <c r="E211" s="450">
        <f t="shared" ca="1" si="11"/>
        <v>0.90076313106645178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1.0028055555555555</v>
      </c>
      <c r="D212" s="454">
        <f t="shared" ca="1" si="10"/>
        <v>1.529724880931504</v>
      </c>
      <c r="E212" s="450">
        <f t="shared" ca="1" si="11"/>
        <v>0.90379600538076521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1.0028055555555555</v>
      </c>
      <c r="D213" s="454">
        <f t="shared" ca="1" si="10"/>
        <v>1.534016609069673</v>
      </c>
      <c r="E213" s="450">
        <f t="shared" ca="1" si="11"/>
        <v>0.90682065691076541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1.0028055555555555</v>
      </c>
      <c r="D214" s="454">
        <f t="shared" ca="1" si="10"/>
        <v>1.5383203778895629</v>
      </c>
      <c r="E214" s="450">
        <f t="shared" ca="1" si="11"/>
        <v>0.90983725840489493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1.0112222222222222</v>
      </c>
      <c r="D215" s="454">
        <f t="shared" ca="1" si="10"/>
        <v>1.5555837510192125</v>
      </c>
      <c r="E215" s="450">
        <f t="shared" ca="1" si="11"/>
        <v>0.93462687087344165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1.5555837510192125</v>
      </c>
      <c r="E216" s="450">
        <f t="shared" ca="1" si="11"/>
        <v>0.9302797691484489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2026-08-25T21:04:32Z</dcterms:modified>
</cp:coreProperties>
</file>