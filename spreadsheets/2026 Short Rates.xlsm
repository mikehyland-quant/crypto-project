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2F14A619-494D-43DE-9AFD-E6F1EF033EA5}" xr6:coauthVersionLast="47" xr6:coauthVersionMax="47" xr10:uidLastSave="{00000000-0000-0000-0000-000000000000}"/>
  <bookViews>
    <workbookView xWindow="36105" yWindow="1110" windowWidth="20340" windowHeight="8505" tabRatio="628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1" i="1"/>
  <c r="A2460" i="1"/>
  <c r="A2465" i="1"/>
  <c r="A2462" i="1"/>
  <c r="A2459" i="1"/>
  <c r="A2457" i="1"/>
  <c r="A2466" i="1"/>
  <c r="A2467" i="1"/>
  <c r="A2458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59" i="1"/>
  <c r="B2467" i="1"/>
  <c r="N2442" i="1"/>
  <c r="C68" i="10" s="1"/>
  <c r="B2458" i="1"/>
  <c r="N2439" i="1"/>
  <c r="C65" i="10" s="1"/>
  <c r="B2466" i="1"/>
  <c r="N2441" i="1"/>
  <c r="C67" i="10" s="1"/>
  <c r="B2461" i="1"/>
  <c r="B2457" i="1"/>
  <c r="N2444" i="1"/>
  <c r="C70" i="10" s="1"/>
  <c r="B2464" i="1"/>
  <c r="N2440" i="1"/>
  <c r="C66" i="10" s="1"/>
  <c r="B2460" i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<sst xmlns="http://schemas.openxmlformats.org/spreadsheetml/2006/main" count="2473" uniqueCount="260">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</sst>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7">
                  <c:v>3.6370454545454347</c:v>
                </c:pt>
                <c:pt idx="8">
                  <c:v>3.6370454545454347</c:v>
                </c:pt>
                <c:pt idx="9">
                  <c:v>3.6370454545454347</c:v>
                </c:pt>
                <c:pt idx="10">
                  <c:v>3.6370454545454347</c:v>
                </c:pt>
                <c:pt idx="11">
                  <c:v>3.6370454545454347</c:v>
                </c:pt>
                <c:pt idx="12">
                  <c:v>3.6370454545454347</c:v>
                </c:pt>
                <c:pt idx="13">
                  <c:v>3.6370454545454347</c:v>
                </c:pt>
                <c:pt idx="14">
                  <c:v>3.6370454545454347</c:v>
                </c:pt>
                <c:pt idx="15">
                  <c:v>3.6370454545454347</c:v>
                </c:pt>
                <c:pt idx="16">
                  <c:v>3.6370454545454347</c:v>
                </c:pt>
                <c:pt idx="17">
                  <c:v>3.6370454545454347</c:v>
                </c:pt>
                <c:pt idx="18">
                  <c:v>3.6354687500000011</c:v>
                </c:pt>
                <c:pt idx="19">
                  <c:v>3.6354687500000011</c:v>
                </c:pt>
                <c:pt idx="20">
                  <c:v>3.6354687500000011</c:v>
                </c:pt>
                <c:pt idx="21">
                  <c:v>3.6354687500000011</c:v>
                </c:pt>
                <c:pt idx="22">
                  <c:v>3.6354687500000011</c:v>
                </c:pt>
                <c:pt idx="23">
                  <c:v>3.6354687500000011</c:v>
                </c:pt>
                <c:pt idx="24">
                  <c:v>3.6354687500000011</c:v>
                </c:pt>
                <c:pt idx="25">
                  <c:v>3.6354687500000011</c:v>
                </c:pt>
                <c:pt idx="26">
                  <c:v>3.6354687500000011</c:v>
                </c:pt>
                <c:pt idx="27">
                  <c:v>3.6354687500000011</c:v>
                </c:pt>
                <c:pt idx="28">
                  <c:v>3.6354687500000011</c:v>
                </c:pt>
                <c:pt idx="29">
                  <c:v>3.6354687500000011</c:v>
                </c:pt>
                <c:pt idx="30">
                  <c:v>3.6354687500000011</c:v>
                </c:pt>
                <c:pt idx="31">
                  <c:v>3.6354687500000011</c:v>
                </c:pt>
                <c:pt idx="32">
                  <c:v>3.6354687500000011</c:v>
                </c:pt>
                <c:pt idx="33">
                  <c:v>3.6354687500000011</c:v>
                </c:pt>
                <c:pt idx="34">
                  <c:v>3.7201785714285656</c:v>
                </c:pt>
                <c:pt idx="35">
                  <c:v>3.7201785714285656</c:v>
                </c:pt>
                <c:pt idx="36">
                  <c:v>3.7201785714285656</c:v>
                </c:pt>
                <c:pt idx="37">
                  <c:v>3.7201785714285656</c:v>
                </c:pt>
                <c:pt idx="38">
                  <c:v>3.7201785714285656</c:v>
                </c:pt>
                <c:pt idx="39">
                  <c:v>3.7201785714285656</c:v>
                </c:pt>
                <c:pt idx="40">
                  <c:v>3.7201785714285656</c:v>
                </c:pt>
                <c:pt idx="41">
                  <c:v>3.7201785714285656</c:v>
                </c:pt>
                <c:pt idx="42">
                  <c:v>3.7201785714285656</c:v>
                </c:pt>
                <c:pt idx="43">
                  <c:v>3.7201785714285656</c:v>
                </c:pt>
                <c:pt idx="44">
                  <c:v>3.7201785714285656</c:v>
                </c:pt>
                <c:pt idx="45">
                  <c:v>3.7201785714285656</c:v>
                </c:pt>
                <c:pt idx="46">
                  <c:v>3.7201785714285656</c:v>
                </c:pt>
                <c:pt idx="47">
                  <c:v>3.7201785714285656</c:v>
                </c:pt>
                <c:pt idx="48">
                  <c:v>3.7201785714285656</c:v>
                </c:pt>
                <c:pt idx="49">
                  <c:v>3.7201785714285656</c:v>
                </c:pt>
                <c:pt idx="50">
                  <c:v>3.7201785714285656</c:v>
                </c:pt>
                <c:pt idx="51">
                  <c:v>3.7201785714285656</c:v>
                </c:pt>
                <c:pt idx="52">
                  <c:v>3.7201785714285656</c:v>
                </c:pt>
                <c:pt idx="53">
                  <c:v>3.7201785714285656</c:v>
                </c:pt>
                <c:pt idx="54">
                  <c:v>3.7201785714285656</c:v>
                </c:pt>
                <c:pt idx="55">
                  <c:v>3.7201785714285656</c:v>
                </c:pt>
                <c:pt idx="56">
                  <c:v>3.7201785714285656</c:v>
                </c:pt>
                <c:pt idx="57">
                  <c:v>3.7201785714285656</c:v>
                </c:pt>
                <c:pt idx="58">
                  <c:v>3.7201785714285656</c:v>
                </c:pt>
                <c:pt idx="59">
                  <c:v>3.7201785714285656</c:v>
                </c:pt>
                <c:pt idx="60">
                  <c:v>3.7201785714285656</c:v>
                </c:pt>
                <c:pt idx="61">
                  <c:v>3.7201785714285656</c:v>
                </c:pt>
                <c:pt idx="62">
                  <c:v>3.7201785714285656</c:v>
                </c:pt>
                <c:pt idx="63">
                  <c:v>3.7201785714285656</c:v>
                </c:pt>
                <c:pt idx="64">
                  <c:v>3.7201785714285656</c:v>
                </c:pt>
                <c:pt idx="65">
                  <c:v>3.7201785714285656</c:v>
                </c:pt>
                <c:pt idx="66">
                  <c:v>3.7201785714285656</c:v>
                </c:pt>
                <c:pt idx="67">
                  <c:v>3.7201785714285656</c:v>
                </c:pt>
                <c:pt idx="68">
                  <c:v>3.7201785714285656</c:v>
                </c:pt>
                <c:pt idx="69">
                  <c:v>3.7201785714285656</c:v>
                </c:pt>
                <c:pt idx="70">
                  <c:v>3.7201785714285656</c:v>
                </c:pt>
                <c:pt idx="71">
                  <c:v>3.7201785714285656</c:v>
                </c:pt>
                <c:pt idx="72">
                  <c:v>3.7201785714285656</c:v>
                </c:pt>
                <c:pt idx="73">
                  <c:v>3.7201785714285656</c:v>
                </c:pt>
                <c:pt idx="74">
                  <c:v>3.7201785714285656</c:v>
                </c:pt>
                <c:pt idx="75">
                  <c:v>3.7201785714285656</c:v>
                </c:pt>
                <c:pt idx="76">
                  <c:v>3.769999999999996</c:v>
                </c:pt>
                <c:pt idx="77">
                  <c:v>3.769999999999996</c:v>
                </c:pt>
                <c:pt idx="78">
                  <c:v>3.769999999999996</c:v>
                </c:pt>
                <c:pt idx="79">
                  <c:v>3.769999999999996</c:v>
                </c:pt>
                <c:pt idx="80">
                  <c:v>3.769999999999996</c:v>
                </c:pt>
                <c:pt idx="81">
                  <c:v>3.769999999999996</c:v>
                </c:pt>
                <c:pt idx="82">
                  <c:v>3.769999999999996</c:v>
                </c:pt>
                <c:pt idx="83">
                  <c:v>3.769999999999996</c:v>
                </c:pt>
                <c:pt idx="84">
                  <c:v>3.769999999999996</c:v>
                </c:pt>
                <c:pt idx="85">
                  <c:v>3.769999999999996</c:v>
                </c:pt>
                <c:pt idx="86">
                  <c:v>3.769999999999996</c:v>
                </c:pt>
                <c:pt idx="87">
                  <c:v>3.769999999999996</c:v>
                </c:pt>
                <c:pt idx="88">
                  <c:v>3.769999999999996</c:v>
                </c:pt>
                <c:pt idx="89">
                  <c:v>3.769999999999996</c:v>
                </c:pt>
                <c:pt idx="90">
                  <c:v>3.769999999999996</c:v>
                </c:pt>
                <c:pt idx="91">
                  <c:v>3.769999999999996</c:v>
                </c:pt>
                <c:pt idx="92">
                  <c:v>3.769999999999996</c:v>
                </c:pt>
                <c:pt idx="93">
                  <c:v>3.769999999999996</c:v>
                </c:pt>
                <c:pt idx="94">
                  <c:v>3.769999999999996</c:v>
                </c:pt>
                <c:pt idx="95">
                  <c:v>3.769999999999996</c:v>
                </c:pt>
                <c:pt idx="96">
                  <c:v>3.769999999999996</c:v>
                </c:pt>
                <c:pt idx="97">
                  <c:v>3.769999999999996</c:v>
                </c:pt>
                <c:pt idx="98">
                  <c:v>3.769999999999996</c:v>
                </c:pt>
                <c:pt idx="99">
                  <c:v>3.769999999999996</c:v>
                </c:pt>
                <c:pt idx="100">
                  <c:v>3.769999999999996</c:v>
                </c:pt>
                <c:pt idx="101">
                  <c:v>3.769999999999996</c:v>
                </c:pt>
                <c:pt idx="102">
                  <c:v>3.769999999999996</c:v>
                </c:pt>
                <c:pt idx="103">
                  <c:v>3.769999999999996</c:v>
                </c:pt>
                <c:pt idx="104">
                  <c:v>3.769999999999996</c:v>
                </c:pt>
                <c:pt idx="105">
                  <c:v>3.769999999999996</c:v>
                </c:pt>
                <c:pt idx="106">
                  <c:v>3.769999999999996</c:v>
                </c:pt>
                <c:pt idx="107">
                  <c:v>3.769999999999996</c:v>
                </c:pt>
                <c:pt idx="108">
                  <c:v>3.769999999999996</c:v>
                </c:pt>
                <c:pt idx="109">
                  <c:v>3.769999999999996</c:v>
                </c:pt>
                <c:pt idx="110">
                  <c:v>3.769999999999996</c:v>
                </c:pt>
                <c:pt idx="111">
                  <c:v>3.769999999999996</c:v>
                </c:pt>
                <c:pt idx="112">
                  <c:v>3.769999999999996</c:v>
                </c:pt>
                <c:pt idx="113">
                  <c:v>3.769999999999996</c:v>
                </c:pt>
                <c:pt idx="114">
                  <c:v>3.769999999999996</c:v>
                </c:pt>
                <c:pt idx="115">
                  <c:v>3.769999999999996</c:v>
                </c:pt>
                <c:pt idx="116">
                  <c:v>3.769999999999996</c:v>
                </c:pt>
                <c:pt idx="117">
                  <c:v>3.769999999999996</c:v>
                </c:pt>
                <c:pt idx="118">
                  <c:v>3.8686363636363699</c:v>
                </c:pt>
                <c:pt idx="119">
                  <c:v>3.8686363636363699</c:v>
                </c:pt>
                <c:pt idx="120">
                  <c:v>3.8686363636363699</c:v>
                </c:pt>
                <c:pt idx="121">
                  <c:v>3.8686363636363699</c:v>
                </c:pt>
                <c:pt idx="122">
                  <c:v>3.8686363636363699</c:v>
                </c:pt>
                <c:pt idx="123">
                  <c:v>3.8686363636363699</c:v>
                </c:pt>
                <c:pt idx="124">
                  <c:v>3.8686363636363699</c:v>
                </c:pt>
                <c:pt idx="125">
                  <c:v>3.8686363636363699</c:v>
                </c:pt>
                <c:pt idx="126">
                  <c:v>3.8686363636363699</c:v>
                </c:pt>
                <c:pt idx="127">
                  <c:v>3.8686363636363699</c:v>
                </c:pt>
                <c:pt idx="128">
                  <c:v>3.8686363636363699</c:v>
                </c:pt>
                <c:pt idx="129">
                  <c:v>3.8686363636363699</c:v>
                </c:pt>
                <c:pt idx="130">
                  <c:v>3.8686363636363699</c:v>
                </c:pt>
                <c:pt idx="131">
                  <c:v>3.8686363636363699</c:v>
                </c:pt>
                <c:pt idx="132">
                  <c:v>3.8686363636363699</c:v>
                </c:pt>
                <c:pt idx="133">
                  <c:v>3.8686363636363699</c:v>
                </c:pt>
                <c:pt idx="134">
                  <c:v>3.8686363636363699</c:v>
                </c:pt>
                <c:pt idx="135">
                  <c:v>3.8686363636363699</c:v>
                </c:pt>
                <c:pt idx="136">
                  <c:v>3.8686363636363699</c:v>
                </c:pt>
                <c:pt idx="137">
                  <c:v>3.8686363636363699</c:v>
                </c:pt>
                <c:pt idx="138">
                  <c:v>3.8686363636363699</c:v>
                </c:pt>
                <c:pt idx="139">
                  <c:v>3.8686363636363699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7">
                  <c:v>3.6481818181818202</c:v>
                </c:pt>
                <c:pt idx="8">
                  <c:v>3.6481818181818202</c:v>
                </c:pt>
                <c:pt idx="9">
                  <c:v>3.6481818181818202</c:v>
                </c:pt>
                <c:pt idx="10">
                  <c:v>3.6481818181818202</c:v>
                </c:pt>
                <c:pt idx="11">
                  <c:v>3.6481818181818202</c:v>
                </c:pt>
                <c:pt idx="12">
                  <c:v>3.6481818181818202</c:v>
                </c:pt>
                <c:pt idx="13">
                  <c:v>3.6481818181818202</c:v>
                </c:pt>
                <c:pt idx="14">
                  <c:v>3.6481818181818202</c:v>
                </c:pt>
                <c:pt idx="15">
                  <c:v>3.6481818181818202</c:v>
                </c:pt>
                <c:pt idx="16">
                  <c:v>3.6481818181818202</c:v>
                </c:pt>
                <c:pt idx="17">
                  <c:v>3.6481818181818202</c:v>
                </c:pt>
                <c:pt idx="18">
                  <c:v>3.6273437500000103</c:v>
                </c:pt>
                <c:pt idx="19">
                  <c:v>3.6273437500000103</c:v>
                </c:pt>
                <c:pt idx="20">
                  <c:v>3.6273437500000103</c:v>
                </c:pt>
                <c:pt idx="21">
                  <c:v>3.6273437500000103</c:v>
                </c:pt>
                <c:pt idx="22">
                  <c:v>3.6273437500000103</c:v>
                </c:pt>
                <c:pt idx="23">
                  <c:v>3.6273437500000103</c:v>
                </c:pt>
                <c:pt idx="24">
                  <c:v>3.6273437500000103</c:v>
                </c:pt>
                <c:pt idx="25">
                  <c:v>3.6273437500000103</c:v>
                </c:pt>
                <c:pt idx="26">
                  <c:v>3.6273437500000103</c:v>
                </c:pt>
                <c:pt idx="27">
                  <c:v>3.6273437500000103</c:v>
                </c:pt>
                <c:pt idx="28">
                  <c:v>3.6273437500000103</c:v>
                </c:pt>
                <c:pt idx="29">
                  <c:v>3.6273437500000103</c:v>
                </c:pt>
                <c:pt idx="30">
                  <c:v>3.6273437500000103</c:v>
                </c:pt>
                <c:pt idx="31">
                  <c:v>3.6273437500000103</c:v>
                </c:pt>
                <c:pt idx="32">
                  <c:v>3.6273437500000103</c:v>
                </c:pt>
                <c:pt idx="33">
                  <c:v>3.6273437500000103</c:v>
                </c:pt>
                <c:pt idx="34">
                  <c:v>3.7401785714285758</c:v>
                </c:pt>
                <c:pt idx="35">
                  <c:v>3.7401785714285758</c:v>
                </c:pt>
                <c:pt idx="36">
                  <c:v>3.7401785714285758</c:v>
                </c:pt>
                <c:pt idx="37">
                  <c:v>3.7401785714285758</c:v>
                </c:pt>
                <c:pt idx="38">
                  <c:v>3.7401785714285758</c:v>
                </c:pt>
                <c:pt idx="39">
                  <c:v>3.7401785714285758</c:v>
                </c:pt>
                <c:pt idx="40">
                  <c:v>3.7401785714285758</c:v>
                </c:pt>
                <c:pt idx="41">
                  <c:v>3.7401785714285758</c:v>
                </c:pt>
                <c:pt idx="42">
                  <c:v>3.7401785714285758</c:v>
                </c:pt>
                <c:pt idx="43">
                  <c:v>3.7401785714285758</c:v>
                </c:pt>
                <c:pt idx="44">
                  <c:v>3.7401785714285758</c:v>
                </c:pt>
                <c:pt idx="45">
                  <c:v>3.7401785714285758</c:v>
                </c:pt>
                <c:pt idx="46">
                  <c:v>3.7401785714285758</c:v>
                </c:pt>
                <c:pt idx="47">
                  <c:v>3.7401785714285758</c:v>
                </c:pt>
                <c:pt idx="48">
                  <c:v>3.7401785714285758</c:v>
                </c:pt>
                <c:pt idx="49">
                  <c:v>3.7401785714285758</c:v>
                </c:pt>
                <c:pt idx="50">
                  <c:v>3.7401785714285758</c:v>
                </c:pt>
                <c:pt idx="51">
                  <c:v>3.7401785714285758</c:v>
                </c:pt>
                <c:pt idx="52">
                  <c:v>3.7401785714285758</c:v>
                </c:pt>
                <c:pt idx="53">
                  <c:v>3.7401785714285758</c:v>
                </c:pt>
                <c:pt idx="54">
                  <c:v>3.7401785714285758</c:v>
                </c:pt>
                <c:pt idx="55">
                  <c:v>3.7401785714285758</c:v>
                </c:pt>
                <c:pt idx="56">
                  <c:v>3.7401785714285758</c:v>
                </c:pt>
                <c:pt idx="57">
                  <c:v>3.7401785714285758</c:v>
                </c:pt>
                <c:pt idx="58">
                  <c:v>3.7401785714285758</c:v>
                </c:pt>
                <c:pt idx="59">
                  <c:v>3.7401785714285758</c:v>
                </c:pt>
                <c:pt idx="60">
                  <c:v>3.7401785714285758</c:v>
                </c:pt>
                <c:pt idx="61">
                  <c:v>3.7401785714285758</c:v>
                </c:pt>
                <c:pt idx="62">
                  <c:v>3.7401785714285758</c:v>
                </c:pt>
                <c:pt idx="63">
                  <c:v>3.7401785714285758</c:v>
                </c:pt>
                <c:pt idx="64">
                  <c:v>3.7401785714285758</c:v>
                </c:pt>
                <c:pt idx="65">
                  <c:v>3.7401785714285758</c:v>
                </c:pt>
                <c:pt idx="66">
                  <c:v>3.7401785714285758</c:v>
                </c:pt>
                <c:pt idx="67">
                  <c:v>3.7401785714285758</c:v>
                </c:pt>
                <c:pt idx="68">
                  <c:v>3.7401785714285758</c:v>
                </c:pt>
                <c:pt idx="69">
                  <c:v>3.7401785714285758</c:v>
                </c:pt>
                <c:pt idx="70">
                  <c:v>3.7401785714285758</c:v>
                </c:pt>
                <c:pt idx="71">
                  <c:v>3.7401785714285758</c:v>
                </c:pt>
                <c:pt idx="72">
                  <c:v>3.7401785714285758</c:v>
                </c:pt>
                <c:pt idx="73">
                  <c:v>3.7401785714285758</c:v>
                </c:pt>
                <c:pt idx="74">
                  <c:v>3.7401785714285758</c:v>
                </c:pt>
                <c:pt idx="75">
                  <c:v>3.7401785714285758</c:v>
                </c:pt>
                <c:pt idx="76">
                  <c:v>3.7900000000000063</c:v>
                </c:pt>
                <c:pt idx="77">
                  <c:v>3.7900000000000063</c:v>
                </c:pt>
                <c:pt idx="78">
                  <c:v>3.7900000000000063</c:v>
                </c:pt>
                <c:pt idx="79">
                  <c:v>3.7900000000000063</c:v>
                </c:pt>
                <c:pt idx="80">
                  <c:v>3.7900000000000063</c:v>
                </c:pt>
                <c:pt idx="81">
                  <c:v>3.7900000000000063</c:v>
                </c:pt>
                <c:pt idx="82">
                  <c:v>3.7900000000000063</c:v>
                </c:pt>
                <c:pt idx="83">
                  <c:v>3.7900000000000063</c:v>
                </c:pt>
                <c:pt idx="84">
                  <c:v>3.7900000000000063</c:v>
                </c:pt>
                <c:pt idx="85">
                  <c:v>3.7900000000000063</c:v>
                </c:pt>
                <c:pt idx="86">
                  <c:v>3.7900000000000063</c:v>
                </c:pt>
                <c:pt idx="87">
                  <c:v>3.7900000000000063</c:v>
                </c:pt>
                <c:pt idx="88">
                  <c:v>3.7900000000000063</c:v>
                </c:pt>
                <c:pt idx="89">
                  <c:v>3.7900000000000063</c:v>
                </c:pt>
                <c:pt idx="90">
                  <c:v>3.7900000000000063</c:v>
                </c:pt>
                <c:pt idx="91">
                  <c:v>3.7900000000000063</c:v>
                </c:pt>
                <c:pt idx="92">
                  <c:v>3.7900000000000063</c:v>
                </c:pt>
                <c:pt idx="93">
                  <c:v>3.7900000000000063</c:v>
                </c:pt>
                <c:pt idx="94">
                  <c:v>3.7900000000000063</c:v>
                </c:pt>
                <c:pt idx="95">
                  <c:v>3.7900000000000063</c:v>
                </c:pt>
                <c:pt idx="96">
                  <c:v>3.7900000000000063</c:v>
                </c:pt>
                <c:pt idx="97">
                  <c:v>3.7900000000000063</c:v>
                </c:pt>
                <c:pt idx="98">
                  <c:v>3.7900000000000063</c:v>
                </c:pt>
                <c:pt idx="99">
                  <c:v>3.7900000000000063</c:v>
                </c:pt>
                <c:pt idx="100">
                  <c:v>3.7900000000000063</c:v>
                </c:pt>
                <c:pt idx="101">
                  <c:v>3.7900000000000063</c:v>
                </c:pt>
                <c:pt idx="102">
                  <c:v>3.7900000000000063</c:v>
                </c:pt>
                <c:pt idx="103">
                  <c:v>3.7900000000000063</c:v>
                </c:pt>
                <c:pt idx="104">
                  <c:v>3.7900000000000063</c:v>
                </c:pt>
                <c:pt idx="105">
                  <c:v>3.7900000000000063</c:v>
                </c:pt>
                <c:pt idx="106">
                  <c:v>3.7900000000000063</c:v>
                </c:pt>
                <c:pt idx="107">
                  <c:v>3.7900000000000063</c:v>
                </c:pt>
                <c:pt idx="108">
                  <c:v>3.7900000000000063</c:v>
                </c:pt>
                <c:pt idx="109">
                  <c:v>3.7900000000000063</c:v>
                </c:pt>
                <c:pt idx="110">
                  <c:v>3.7900000000000063</c:v>
                </c:pt>
                <c:pt idx="111">
                  <c:v>3.7900000000000063</c:v>
                </c:pt>
                <c:pt idx="112">
                  <c:v>3.7900000000000063</c:v>
                </c:pt>
                <c:pt idx="113">
                  <c:v>3.7900000000000063</c:v>
                </c:pt>
                <c:pt idx="114">
                  <c:v>3.7900000000000063</c:v>
                </c:pt>
                <c:pt idx="115">
                  <c:v>3.7900000000000063</c:v>
                </c:pt>
                <c:pt idx="116">
                  <c:v>3.7900000000000063</c:v>
                </c:pt>
                <c:pt idx="117">
                  <c:v>3.7900000000000063</c:v>
                </c:pt>
                <c:pt idx="118">
                  <c:v>3.9027272727272764</c:v>
                </c:pt>
                <c:pt idx="119">
                  <c:v>3.9027272727272764</c:v>
                </c:pt>
                <c:pt idx="120">
                  <c:v>3.9027272727272764</c:v>
                </c:pt>
                <c:pt idx="121">
                  <c:v>3.9027272727272764</c:v>
                </c:pt>
                <c:pt idx="122">
                  <c:v>3.9027272727272764</c:v>
                </c:pt>
                <c:pt idx="123">
                  <c:v>3.9027272727272764</c:v>
                </c:pt>
                <c:pt idx="124">
                  <c:v>3.9027272727272764</c:v>
                </c:pt>
                <c:pt idx="125">
                  <c:v>3.9027272727272764</c:v>
                </c:pt>
                <c:pt idx="126">
                  <c:v>3.9027272727272764</c:v>
                </c:pt>
                <c:pt idx="127">
                  <c:v>3.9027272727272764</c:v>
                </c:pt>
                <c:pt idx="128">
                  <c:v>3.9027272727272764</c:v>
                </c:pt>
                <c:pt idx="129">
                  <c:v>3.9027272727272764</c:v>
                </c:pt>
                <c:pt idx="130">
                  <c:v>3.9027272727272764</c:v>
                </c:pt>
                <c:pt idx="131">
                  <c:v>3.9027272727272764</c:v>
                </c:pt>
                <c:pt idx="132">
                  <c:v>3.9027272727272764</c:v>
                </c:pt>
                <c:pt idx="133">
                  <c:v>3.9027272727272764</c:v>
                </c:pt>
                <c:pt idx="134">
                  <c:v>3.9027272727272764</c:v>
                </c:pt>
                <c:pt idx="135">
                  <c:v>3.9027272727272764</c:v>
                </c:pt>
                <c:pt idx="136">
                  <c:v>3.9027272727272764</c:v>
                </c:pt>
                <c:pt idx="137">
                  <c:v>3.9027272727272764</c:v>
                </c:pt>
                <c:pt idx="138">
                  <c:v>3.9027272727272764</c:v>
                </c:pt>
                <c:pt idx="139">
                  <c:v>3.9027272727272764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3.7300722640812231E-2</c:v>
                </c:pt>
                <c:pt idx="81">
                  <c:v>3.685131634393498E-2</c:v>
                </c:pt>
                <c:pt idx="82">
                  <c:v>3.6412610196983372E-2</c:v>
                </c:pt>
                <c:pt idx="83">
                  <c:v>3.6417070991931644E-2</c:v>
                </c:pt>
                <c:pt idx="84">
                  <c:v>3.6421471401175687E-2</c:v>
                </c:pt>
                <c:pt idx="85">
                  <c:v>3.6425813511323443E-2</c:v>
                </c:pt>
                <c:pt idx="86">
                  <c:v>3.6430099314137945E-2</c:v>
                </c:pt>
                <c:pt idx="87">
                  <c:v>3.7261447424493679E-2</c:v>
                </c:pt>
                <c:pt idx="88">
                  <c:v>3.6847431341999304E-2</c:v>
                </c:pt>
                <c:pt idx="89">
                  <c:v>3.6442514514065244E-2</c:v>
                </c:pt>
                <c:pt idx="90">
                  <c:v>3.6446594611787564E-2</c:v>
                </c:pt>
                <c:pt idx="91">
                  <c:v>3.6448365562228267E-2</c:v>
                </c:pt>
                <c:pt idx="92">
                  <c:v>3.6450138076887205E-2</c:v>
                </c:pt>
                <c:pt idx="93">
                  <c:v>3.645191211027983E-2</c:v>
                </c:pt>
                <c:pt idx="94">
                  <c:v>3.7598136397879733E-2</c:v>
                </c:pt>
                <c:pt idx="95">
                  <c:v>3.7210526744293343E-2</c:v>
                </c:pt>
                <c:pt idx="96">
                  <c:v>3.6830827491800555E-2</c:v>
                </c:pt>
                <c:pt idx="97">
                  <c:v>3.645879893127732E-2</c:v>
                </c:pt>
                <c:pt idx="98">
                  <c:v>3.6460582153366158E-2</c:v>
                </c:pt>
                <c:pt idx="99">
                  <c:v>3.6462366614025465E-2</c:v>
                </c:pt>
                <c:pt idx="100">
                  <c:v>3.6464152280473956E-2</c:v>
                </c:pt>
                <c:pt idx="101">
                  <c:v>3.7177554594512378E-2</c:v>
                </c:pt>
                <c:pt idx="102">
                  <c:v>3.6820078108026684E-2</c:v>
                </c:pt>
                <c:pt idx="103">
                  <c:v>3.6469410697474051E-2</c:v>
                </c:pt>
                <c:pt idx="104">
                  <c:v>3.6471201868656315E-2</c:v>
                </c:pt>
                <c:pt idx="105">
                  <c:v>3.6472994081237116E-2</c:v>
                </c:pt>
                <c:pt idx="106">
                  <c:v>3.6474787309734115E-2</c:v>
                </c:pt>
                <c:pt idx="107">
                  <c:v>3.6487046622195166E-2</c:v>
                </c:pt>
                <c:pt idx="108">
                  <c:v>3.7186663853913178E-2</c:v>
                </c:pt>
                <c:pt idx="109">
                  <c:v>3.6851648864238286E-2</c:v>
                </c:pt>
                <c:pt idx="110">
                  <c:v>3.6522616285093297E-2</c:v>
                </c:pt>
                <c:pt idx="111">
                  <c:v>3.6534157441291376E-2</c:v>
                </c:pt>
                <c:pt idx="112">
                  <c:v>3.6545530594472207E-2</c:v>
                </c:pt>
                <c:pt idx="113">
                  <c:v>3.6556740130873067E-2</c:v>
                </c:pt>
                <c:pt idx="114">
                  <c:v>3.6567790285483022E-2</c:v>
                </c:pt>
                <c:pt idx="115">
                  <c:v>3.7225565306780069E-2</c:v>
                </c:pt>
                <c:pt idx="116">
                  <c:v>3.6910094414349726E-2</c:v>
                </c:pt>
                <c:pt idx="117">
                  <c:v>3.6599925553724939E-2</c:v>
                </c:pt>
                <c:pt idx="118">
                  <c:v>3.6610378541316324E-2</c:v>
                </c:pt>
                <c:pt idx="119">
                  <c:v>3.6620691254958627E-2</c:v>
                </c:pt>
                <c:pt idx="120">
                  <c:v>3.6630867147359393E-2</c:v>
                </c:pt>
                <c:pt idx="121">
                  <c:v>3.6640909558944945E-2</c:v>
                </c:pt>
                <c:pt idx="122">
                  <c:v>3.7261628461507615E-2</c:v>
                </c:pt>
                <c:pt idx="123">
                  <c:v>3.6963535433815552E-2</c:v>
                </c:pt>
                <c:pt idx="124">
                  <c:v>3.6670174041483684E-2</c:v>
                </c:pt>
                <c:pt idx="125">
                  <c:v>3.6679714570380141E-2</c:v>
                </c:pt>
                <c:pt idx="126">
                  <c:v>3.6689136776077089E-2</c:v>
                </c:pt>
                <c:pt idx="127">
                  <c:v>3.6698443413446392E-2</c:v>
                </c:pt>
                <c:pt idx="128">
                  <c:v>3.6707637152594647E-2</c:v>
                </c:pt>
                <c:pt idx="129">
                  <c:v>3.7584603782506221E-2</c:v>
                </c:pt>
                <c:pt idx="130">
                  <c:v>3.7299871935669054E-2</c:v>
                </c:pt>
                <c:pt idx="131">
                  <c:v>3.7019421770739212E-2</c:v>
                </c:pt>
                <c:pt idx="132">
                  <c:v>3.6743157429166527E-2</c:v>
                </c:pt>
                <c:pt idx="133">
                  <c:v>3.6751825268313588E-2</c:v>
                </c:pt>
                <c:pt idx="134">
                  <c:v>3.6760394602181119E-2</c:v>
                </c:pt>
                <c:pt idx="135">
                  <c:v>3.6768867590806428E-2</c:v>
                </c:pt>
                <c:pt idx="136">
                  <c:v>3.7326885952234316E-2</c:v>
                </c:pt>
                <c:pt idx="137">
                  <c:v>3.7058347204376514E-2</c:v>
                </c:pt>
                <c:pt idx="138">
                  <c:v>3.6793644724345258E-2</c:v>
                </c:pt>
                <c:pt idx="139">
                  <c:v>3.6801753303513297E-2</c:v>
                </c:pt>
                <c:pt idx="140">
                  <c:v>3.6809775433793289E-2</c:v>
                </c:pt>
                <c:pt idx="141">
                  <c:v>3.6817712931661438E-2</c:v>
                </c:pt>
                <c:pt idx="142">
                  <c:v>3.6825567563137374E-2</c:v>
                </c:pt>
                <c:pt idx="143">
                  <c:v>3.735682687323285E-2</c:v>
                </c:pt>
                <c:pt idx="144">
                  <c:v>3.7100958196018927E-2</c:v>
                </c:pt>
                <c:pt idx="145">
                  <c:v>3.6848570725297708E-2</c:v>
                </c:pt>
                <c:pt idx="146">
                  <c:v>3.6856111137101751E-2</c:v>
                </c:pt>
                <c:pt idx="147">
                  <c:v>3.6863576807025601E-2</c:v>
                </c:pt>
                <c:pt idx="148">
                  <c:v>3.6870969232638016E-2</c:v>
                </c:pt>
                <c:pt idx="149">
                  <c:v>3.6881639993055902E-2</c:v>
                </c:pt>
                <c:pt idx="150">
                  <c:v>3.7398595757219467E-2</c:v>
                </c:pt>
                <c:pt idx="151">
                  <c:v>3.7154160490832415E-2</c:v>
                </c:pt>
                <c:pt idx="152">
                  <c:v>3.6912899708424415E-2</c:v>
                </c:pt>
                <c:pt idx="153">
                  <c:v>3.6923129133789756E-2</c:v>
                </c:pt>
                <c:pt idx="154">
                  <c:v>3.6933253393652915E-2</c:v>
                </c:pt>
                <c:pt idx="155">
                  <c:v>3.6943274500263606E-2</c:v>
                </c:pt>
                <c:pt idx="156">
                  <c:v>3.695319441492851E-2</c:v>
                </c:pt>
                <c:pt idx="157">
                  <c:v>3.7447476374519971E-2</c:v>
                </c:pt>
                <c:pt idx="158">
                  <c:v>3.7213429647179219E-2</c:v>
                </c:pt>
                <c:pt idx="159">
                  <c:v>3.6982290332600469E-2</c:v>
                </c:pt>
                <c:pt idx="160">
                  <c:v>3.6991824587017968E-2</c:v>
                </c:pt>
                <c:pt idx="161">
                  <c:v>3.7237652602660265E-2</c:v>
                </c:pt>
                <c:pt idx="162">
                  <c:v>3.7010593745326975E-2</c:v>
                </c:pt>
                <c:pt idx="163">
                  <c:v>3.7019856864824584E-2</c:v>
                </c:pt>
                <c:pt idx="164">
                  <c:v>3.7493407108354936E-2</c:v>
                </c:pt>
                <c:pt idx="165">
                  <c:v>3.7268895688544426E-2</c:v>
                </c:pt>
                <c:pt idx="166">
                  <c:v>3.7047057023731664E-2</c:v>
                </c:pt>
                <c:pt idx="167">
                  <c:v>3.7055981177132706E-2</c:v>
                </c:pt>
                <c:pt idx="168">
                  <c:v>3.7064824217022722E-2</c:v>
                </c:pt>
                <c:pt idx="169">
                  <c:v>3.7073587568944355E-2</c:v>
                </c:pt>
                <c:pt idx="170">
                  <c:v>3.7082272625288557E-2</c:v>
                </c:pt>
                <c:pt idx="171">
                  <c:v>3.7536793781538846E-2</c:v>
                </c:pt>
                <c:pt idx="172">
                  <c:v>3.7321065081644948E-2</c:v>
                </c:pt>
                <c:pt idx="173">
                  <c:v>3.7107801852606974E-2</c:v>
                </c:pt>
                <c:pt idx="174">
                  <c:v>3.7116187408617683E-2</c:v>
                </c:pt>
                <c:pt idx="175">
                  <c:v>3.7124501161746544E-2</c:v>
                </c:pt>
                <c:pt idx="176">
                  <c:v>3.7349552100636271E-2</c:v>
                </c:pt>
                <c:pt idx="177">
                  <c:v>3.7140895384990262E-2</c:v>
                </c:pt>
                <c:pt idx="178">
                  <c:v>3.757788890823921E-2</c:v>
                </c:pt>
                <c:pt idx="179">
                  <c:v>3.7370276262337333E-2</c:v>
                </c:pt>
                <c:pt idx="180">
                  <c:v>3.7164945074082738E-2</c:v>
                </c:pt>
                <c:pt idx="181">
                  <c:v>3.7172853029933534E-2</c:v>
                </c:pt>
                <c:pt idx="182">
                  <c:v>3.718069712211302E-2</c:v>
                </c:pt>
                <c:pt idx="183">
                  <c:v>3.7188478388561687E-2</c:v>
                </c:pt>
                <c:pt idx="184">
                  <c:v>3.7196197844898728E-2</c:v>
                </c:pt>
                <c:pt idx="185">
                  <c:v>3.7616994063067247E-2</c:v>
                </c:pt>
                <c:pt idx="186">
                  <c:v>3.7416903669114758E-2</c:v>
                </c:pt>
                <c:pt idx="187">
                  <c:v>3.7218930633828438E-2</c:v>
                </c:pt>
                <c:pt idx="188">
                  <c:v>3.7226412912978152E-2</c:v>
                </c:pt>
                <c:pt idx="189">
                  <c:v>3.7233838142045998E-2</c:v>
                </c:pt>
                <c:pt idx="190">
                  <c:v>3.7241207214670224E-2</c:v>
                </c:pt>
                <c:pt idx="191">
                  <c:v>3.7254477806965405E-2</c:v>
                </c:pt>
                <c:pt idx="192">
                  <c:v>3.7678012660636119E-2</c:v>
                </c:pt>
                <c:pt idx="193">
                  <c:v>3.7484792082889268E-2</c:v>
                </c:pt>
                <c:pt idx="194">
                  <c:v>3.7293543143690849E-2</c:v>
                </c:pt>
                <c:pt idx="195">
                  <c:v>3.7306366237949688E-2</c:v>
                </c:pt>
                <c:pt idx="196">
                  <c:v>3.7319081608108255E-2</c:v>
                </c:pt>
                <c:pt idx="197">
                  <c:v>3.7331690880499847E-2</c:v>
                </c:pt>
                <c:pt idx="198">
                  <c:v>3.73441956489311E-2</c:v>
                </c:pt>
                <c:pt idx="199">
                  <c:v>3.7752985164918484E-2</c:v>
                </c:pt>
                <c:pt idx="200">
                  <c:v>3.7566089198755523E-2</c:v>
                </c:pt>
                <c:pt idx="201">
                  <c:v>3.7381034572160667E-2</c:v>
                </c:pt>
                <c:pt idx="202">
                  <c:v>3.739313694609258E-2</c:v>
                </c:pt>
                <c:pt idx="203">
                  <c:v>3.7405142321710438E-2</c:v>
                </c:pt>
                <c:pt idx="204">
                  <c:v>3.7417052113884575E-2</c:v>
                </c:pt>
                <c:pt idx="205">
                  <c:v>3.8006590616517719E-2</c:v>
                </c:pt>
                <c:pt idx="206">
                  <c:v>3.782386662316907E-2</c:v>
                </c:pt>
                <c:pt idx="207">
                  <c:v>3.7642891184780702E-2</c:v>
                </c:pt>
                <c:pt idx="208">
                  <c:v>3.7463639321996034E-2</c:v>
                </c:pt>
                <c:pt idx="209">
                  <c:v>3.7475092057599427E-2</c:v>
                </c:pt>
                <c:pt idx="210">
                  <c:v>3.748645714179439E-2</c:v>
                </c:pt>
                <c:pt idx="211">
                  <c:v>3.7497735811308108E-2</c:v>
                </c:pt>
                <c:pt idx="212">
                  <c:v>3.8068178878698761E-2</c:v>
                </c:pt>
                <c:pt idx="213">
                  <c:v>3.7891117581588536E-2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zoomScale="75" zoomScaleNormal="75" workbookViewId="0">
      <selection activeCell="AA26" sqref="AA2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46255.49260902778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46255.49260902778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3.6116351964494697E-3</v>
      </c>
      <c r="H3" s="33">
        <f>INPUT!H37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-5.7625515781580816E-3</v>
      </c>
      <c r="H4" s="44">
        <f>INPUT!H38</f>
        <v>96.317499999999995</v>
      </c>
      <c r="I4" s="45">
        <f t="shared" si="0"/>
        <v>3.6825000000000045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96.367500000000007</v>
      </c>
      <c r="C5" s="45">
        <f t="shared" ref="C5:C9" si="3">100-B5</f>
        <v>3.6324999999999932</v>
      </c>
      <c r="D5" s="145">
        <f t="shared" ref="D5:D9" si="4">B5-E5</f>
        <v>7.5000000000073896E-3</v>
      </c>
      <c r="E5" s="44">
        <f>INPUT!H19</f>
        <v>96.36</v>
      </c>
      <c r="F5" s="45">
        <f t="shared" ref="F5:F9" si="5">100-E5</f>
        <v>3.6400000000000006</v>
      </c>
      <c r="G5" s="326">
        <f ca="1">'3M SOFR CALCS'!F38</f>
        <v>-2.2705770173416795E-3</v>
      </c>
      <c r="H5" s="44">
        <f>INPUT!H39</f>
        <v>96.267499999999998</v>
      </c>
      <c r="I5" s="45">
        <f>100-H5</f>
        <v>3.7325000000000017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3.6324999999999932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96.325000000000003</v>
      </c>
      <c r="C6" s="34">
        <f t="shared" si="3"/>
        <v>3.6749999999999972</v>
      </c>
      <c r="D6" s="286">
        <f t="shared" si="4"/>
        <v>5.0000000000096634E-3</v>
      </c>
      <c r="E6" s="33">
        <f>INPUT!H20</f>
        <v>96.32</v>
      </c>
      <c r="F6" s="34">
        <f t="shared" si="5"/>
        <v>3.6800000000000068</v>
      </c>
      <c r="G6" s="325">
        <f ca="1">'3M SOFR CALCS'!F39</f>
        <v>-2.8040667513948847E-3</v>
      </c>
      <c r="H6" s="33">
        <f>INPUT!H40</f>
        <v>96.212500000000006</v>
      </c>
      <c r="I6" s="34">
        <f>100-H6</f>
        <v>3.7874999999999943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3.6354687500000011</v>
      </c>
      <c r="Q6" s="414"/>
      <c r="R6" s="409">
        <f ca="1">'DAILY EXTRAPOLATION'!K2477</f>
        <v>3.7201785714285656</v>
      </c>
      <c r="S6" s="36">
        <f ca="1">R6-Q5</f>
        <v>8.7678571428572383E-2</v>
      </c>
      <c r="T6" s="37">
        <f t="shared" ca="1" si="6"/>
        <v>8.7678571428572383E-2</v>
      </c>
      <c r="U6" s="40">
        <v>0.21196428571408532</v>
      </c>
      <c r="V6" s="40">
        <f t="shared" ca="1" si="2"/>
        <v>0.12428571428551294</v>
      </c>
      <c r="W6" s="18"/>
    </row>
    <row r="7" spans="1:24">
      <c r="A7" s="38">
        <v>46296</v>
      </c>
      <c r="B7" s="44">
        <f>INPUT!H4</f>
        <v>96.275000000000006</v>
      </c>
      <c r="C7" s="45">
        <f>100-B7</f>
        <v>3.7249999999999943</v>
      </c>
      <c r="D7" s="145">
        <f>B7-E7</f>
        <v>2.0000000000010232E-2</v>
      </c>
      <c r="E7" s="44">
        <f>INPUT!H21</f>
        <v>96.254999999999995</v>
      </c>
      <c r="F7" s="45">
        <f>100-E7</f>
        <v>3.7450000000000045</v>
      </c>
      <c r="G7" s="391">
        <v>2027</v>
      </c>
      <c r="H7" s="44">
        <f>INPUT!H41</f>
        <v>96.15</v>
      </c>
      <c r="I7" s="45">
        <f t="shared" si="0"/>
        <v>3.8499999999999943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3.7201785714285656</v>
      </c>
      <c r="Q7" s="40"/>
      <c r="R7" s="372">
        <f>'DAILY EXTRAPOLATION'!K2507</f>
        <v>3.769999999999996</v>
      </c>
      <c r="S7" s="40">
        <f ca="1">R7-P7</f>
        <v>4.9821428571430459E-2</v>
      </c>
      <c r="T7" s="41">
        <f t="shared" ca="1" si="6"/>
        <v>0.13750000000000284</v>
      </c>
      <c r="U7" s="40">
        <v>0.29499999999980275</v>
      </c>
      <c r="V7" s="40">
        <f t="shared" ca="1" si="2"/>
        <v>0.15749999999979991</v>
      </c>
      <c r="W7" s="18"/>
    </row>
    <row r="8" spans="1:24">
      <c r="A8" s="38">
        <v>46327</v>
      </c>
      <c r="B8" s="44">
        <f>INPUT!H5</f>
        <v>96.23</v>
      </c>
      <c r="C8" s="45">
        <f>100-B8</f>
        <v>3.769999999999996</v>
      </c>
      <c r="D8" s="145">
        <f>B8-E8</f>
        <v>2.0000000000010232E-2</v>
      </c>
      <c r="E8" s="44">
        <f>INPUT!H22</f>
        <v>96.21</v>
      </c>
      <c r="F8" s="45">
        <f>100-E8</f>
        <v>3.7900000000000063</v>
      </c>
      <c r="G8" s="391">
        <v>2027</v>
      </c>
      <c r="H8" s="44">
        <f>INPUT!H42</f>
        <v>96.11</v>
      </c>
      <c r="I8" s="45">
        <f t="shared" ref="I8" si="7">100-H8</f>
        <v>3.8900000000000006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3.769999999999996</v>
      </c>
      <c r="R8" s="40"/>
      <c r="S8" s="40"/>
      <c r="T8" s="41">
        <f t="shared" ca="1" si="6"/>
        <v>0.13750000000000284</v>
      </c>
      <c r="U8" s="40">
        <v>0.29499999999980275</v>
      </c>
      <c r="V8" s="40">
        <f t="shared" ca="1" si="2"/>
        <v>0.15749999999979991</v>
      </c>
    </row>
    <row r="9" spans="1:24" ht="15.75" thickBot="1">
      <c r="A9" s="43">
        <v>46357</v>
      </c>
      <c r="B9" s="50">
        <f>INPUT!H6</f>
        <v>96.16</v>
      </c>
      <c r="C9" s="51">
        <f t="shared" si="3"/>
        <v>3.8400000000000034</v>
      </c>
      <c r="D9" s="399">
        <f t="shared" si="4"/>
        <v>3.0000000000001137E-2</v>
      </c>
      <c r="E9" s="50">
        <f>INPUT!H23</f>
        <v>96.13</v>
      </c>
      <c r="F9" s="51">
        <f t="shared" si="5"/>
        <v>3.8700000000000045</v>
      </c>
      <c r="G9" s="392">
        <v>2027</v>
      </c>
      <c r="H9" s="50">
        <f>INPUT!H43</f>
        <v>96.07</v>
      </c>
      <c r="I9" s="51">
        <f t="shared" si="0"/>
        <v>3.9300000000000068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3.769999999999996</v>
      </c>
      <c r="Q9" s="410"/>
      <c r="R9" s="410">
        <f ca="1">'DAILY EXTRAPOLATION'!K2586</f>
        <v>3.8686363636363699</v>
      </c>
      <c r="S9" s="47">
        <f ca="1">R9-P9</f>
        <v>9.8636363636373847E-2</v>
      </c>
      <c r="T9" s="48">
        <f t="shared" ca="1" si="6"/>
        <v>0.23613636363637669</v>
      </c>
      <c r="U9" s="40">
        <v>0.38659090909070848</v>
      </c>
      <c r="V9" s="40">
        <f t="shared" ca="1" si="2"/>
        <v>0.15045454545433179</v>
      </c>
    </row>
    <row r="10" spans="1:24">
      <c r="R10" s="177" t="s">
        <v>246</v>
      </c>
      <c r="S10" s="420">
        <v>0.25</v>
      </c>
      <c r="T10" s="423">
        <f ca="1">T9/S10</f>
        <v>0.94454545454550676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tabSelected="1" zoomScale="75" zoomScaleNormal="75" workbookViewId="0">
      <pane ySplit="1" topLeftCell="A2444" activePane="bottomLeft" state="frozen"/>
      <selection pane="bottomLeft" activeCell="B2452" sqref="B2452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3.6324999999999932</v>
      </c>
      <c r="L2446" s="194">
        <f>L2448</f>
        <v>3.6400000000000006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46254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3.6324999999999932</v>
      </c>
      <c r="L2448" s="180">
        <f>OUTPUT!F5</f>
        <v>3.6400000000000006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46254</v>
      </c>
      <c r="R2448" s="466">
        <v>3.63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112.60749999999979</v>
      </c>
      <c r="L2450" s="178">
        <f>L2448*L2438</f>
        <v>112.84000000000002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112.60749999999979</v>
      </c>
      <c r="L2452" s="192">
        <f>L2450</f>
        <v>112.84000000000002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72.600000000000009</v>
      </c>
      <c r="L2453" s="192">
        <f ca="1">SUM(INDIRECT(L2442))</f>
        <v>72.709999999999994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40.00749999999978</v>
      </c>
      <c r="L2455" s="201">
        <f ca="1">L2450-L2453-L2454</f>
        <v>40.130000000000024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>
        <f t="shared" ref="A2456:A2467" ca="1" si="227">K$2464</f>
        <v>3.6370454545454347</v>
      </c>
      <c r="B2457" s="228">
        <f t="shared" ref="B2456:B2467" ca="1" si="228">L$2464</f>
        <v>3.6481818181818202</v>
      </c>
      <c r="C2457" s="103">
        <f t="shared" si="224"/>
        <v>46255</v>
      </c>
      <c r="E2457" s="170"/>
      <c r="F2457" s="58" t="str">
        <f>VLOOKUP(MOD(C2457,7),'CALENDAR INFO'!$I$2:$J$8,2)</f>
        <v>FRI</v>
      </c>
      <c r="I2457" s="457">
        <f t="shared" si="223"/>
        <v>0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ca="1" si="226"/>
        <v>1.0003040151515152</v>
      </c>
    </row>
    <row r="2458" spans="1:14">
      <c r="A2458" s="84">
        <f t="shared" ca="1" si="227"/>
        <v>3.6370454545454347</v>
      </c>
      <c r="B2458" s="228">
        <f t="shared" ca="1" si="228"/>
        <v>3.6481818181818202</v>
      </c>
      <c r="C2458" s="103">
        <f t="shared" si="224"/>
        <v>46256</v>
      </c>
      <c r="E2458" s="170"/>
      <c r="F2458" s="58" t="str">
        <f>VLOOKUP(MOD(C2458,7),'CALENDAR INFO'!$I$2:$J$8,2)</f>
        <v>SAT</v>
      </c>
      <c r="I2458" s="457">
        <f t="shared" si="223"/>
        <v>0</v>
      </c>
      <c r="J2458" s="15" t="s">
        <v>194</v>
      </c>
      <c r="K2458" s="15">
        <f ca="1">COUNTA(INDIRECT(K2442))</f>
        <v>20</v>
      </c>
      <c r="L2458" s="179">
        <f ca="1">COUNTA(INDIRECT(L2442))</f>
        <v>20</v>
      </c>
      <c r="M2458" s="113">
        <f t="shared" si="225"/>
        <v>0</v>
      </c>
      <c r="N2458" s="64">
        <f t="shared" ca="1" si="226"/>
        <v>1</v>
      </c>
    </row>
    <row r="2459" spans="1:14">
      <c r="A2459" s="84">
        <f t="shared" ca="1" si="227"/>
        <v>3.6370454545454347</v>
      </c>
      <c r="B2459" s="228">
        <f t="shared" ca="1" si="228"/>
        <v>3.6481818181818202</v>
      </c>
      <c r="C2459" s="103">
        <f t="shared" si="224"/>
        <v>46257</v>
      </c>
      <c r="E2459" s="170"/>
      <c r="F2459" s="58" t="str">
        <f>VLOOKUP(MOD(C2459,7),'CALENDAR INFO'!$I$2:$J$8,2)</f>
        <v>SUN</v>
      </c>
      <c r="I2459" s="457">
        <f t="shared" si="223"/>
        <v>0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ca="1" si="226"/>
        <v>1</v>
      </c>
    </row>
    <row r="2460" spans="1:14">
      <c r="A2460" s="84">
        <f t="shared" ca="1" si="227"/>
        <v>3.6370454545454347</v>
      </c>
      <c r="B2460" s="228">
        <f t="shared" ca="1" si="228"/>
        <v>3.6481818181818202</v>
      </c>
      <c r="C2460" s="103">
        <f t="shared" si="224"/>
        <v>46258</v>
      </c>
      <c r="E2460" s="170"/>
      <c r="F2460" s="58" t="str">
        <f>VLOOKUP(MOD(C2460,7),'CALENDAR INFO'!$I$2:$J$8,2)</f>
        <v>MON</v>
      </c>
      <c r="I2460" s="457">
        <f t="shared" si="223"/>
        <v>0</v>
      </c>
      <c r="J2460" s="15" t="s">
        <v>239</v>
      </c>
      <c r="K2460" s="152">
        <f ca="1">K2457-K2458-K2459</f>
        <v>11</v>
      </c>
      <c r="L2460" s="202">
        <f ca="1">L2457-L2458-L2459</f>
        <v>11</v>
      </c>
      <c r="M2460" s="113">
        <f t="shared" si="225"/>
        <v>1</v>
      </c>
      <c r="N2460" s="64">
        <f t="shared" ca="1" si="226"/>
        <v>1.0001013383838384</v>
      </c>
    </row>
    <row r="2461" spans="1:14">
      <c r="A2461" s="84">
        <f t="shared" ca="1" si="227"/>
        <v>3.6370454545454347</v>
      </c>
      <c r="B2461" s="228">
        <f t="shared" ca="1" si="228"/>
        <v>3.6481818181818202</v>
      </c>
      <c r="C2461" s="103">
        <f t="shared" si="224"/>
        <v>46259</v>
      </c>
      <c r="E2461" s="170"/>
      <c r="F2461" s="58" t="str">
        <f>VLOOKUP(MOD(C2461,7),'CALENDAR INFO'!$I$2:$J$8,2)</f>
        <v>TUE</v>
      </c>
      <c r="I2461" s="457">
        <f t="shared" si="223"/>
        <v>0</v>
      </c>
      <c r="K2461" s="178"/>
      <c r="L2461" s="192"/>
      <c r="M2461" s="113">
        <f t="shared" si="225"/>
        <v>1</v>
      </c>
      <c r="N2461" s="64">
        <f t="shared" ca="1" si="226"/>
        <v>1.0001013383838384</v>
      </c>
    </row>
    <row r="2462" spans="1:14">
      <c r="A2462" s="84">
        <f t="shared" ca="1" si="227"/>
        <v>3.6370454545454347</v>
      </c>
      <c r="B2462" s="228">
        <f t="shared" ca="1" si="228"/>
        <v>3.6481818181818202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40.00749999999978</v>
      </c>
      <c r="L2462" s="192">
        <f ca="1">L2455</f>
        <v>40.130000000000024</v>
      </c>
      <c r="M2462" s="113">
        <f t="shared" si="225"/>
        <v>1</v>
      </c>
      <c r="N2462" s="64">
        <f t="shared" ca="1" si="226"/>
        <v>1.0001013383838384</v>
      </c>
    </row>
    <row r="2463" spans="1:14">
      <c r="A2463" s="84">
        <f t="shared" ca="1" si="227"/>
        <v>3.6370454545454347</v>
      </c>
      <c r="B2463" s="228">
        <f t="shared" ca="1" si="228"/>
        <v>3.6481818181818202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11</v>
      </c>
      <c r="L2463" s="223">
        <f ca="1">L2460</f>
        <v>11</v>
      </c>
      <c r="M2463" s="113">
        <f t="shared" si="225"/>
        <v>1</v>
      </c>
      <c r="N2463" s="64">
        <f t="shared" ca="1" si="226"/>
        <v>1.0001013383838384</v>
      </c>
    </row>
    <row r="2464" spans="1:14">
      <c r="A2464" s="84">
        <f t="shared" ca="1" si="227"/>
        <v>3.6370454545454347</v>
      </c>
      <c r="B2464" s="228">
        <f t="shared" ca="1" si="228"/>
        <v>3.6481818181818202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3.6370454545454347</v>
      </c>
      <c r="L2464" s="192">
        <f ca="1">L2462/L2463</f>
        <v>3.6481818181818202</v>
      </c>
      <c r="M2464" s="113">
        <f t="shared" si="225"/>
        <v>3</v>
      </c>
      <c r="N2464" s="64">
        <f t="shared" ca="1" si="226"/>
        <v>1.0003040151515152</v>
      </c>
    </row>
    <row r="2465" spans="1:14">
      <c r="A2465" s="84">
        <f t="shared" ca="1" si="227"/>
        <v>3.6370454545454347</v>
      </c>
      <c r="B2465" s="228">
        <f t="shared" ca="1" si="228"/>
        <v>3.6481818181818202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3.6370454545454347</v>
      </c>
      <c r="B2466" s="228">
        <f t="shared" ca="1" si="228"/>
        <v>3.6481818181818202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3.6370454545454347</v>
      </c>
      <c r="B2467" s="408">
        <f t="shared" ca="1" si="228"/>
        <v>3.6481818181818202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1.0001013383838384</v>
      </c>
    </row>
    <row r="2468" spans="1:14">
      <c r="A2468" s="39">
        <f ca="1">K$2495</f>
        <v>3.6354687500000011</v>
      </c>
      <c r="B2468" s="41">
        <f t="shared" ref="B2468:B2483" ca="1" si="229">L$2495</f>
        <v>3.6273437500000103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1.0001007595486111</v>
      </c>
    </row>
    <row r="2469" spans="1:14">
      <c r="A2469" s="39">
        <f t="shared" ref="A2469:A2483" ca="1" si="230">K$2495</f>
        <v>3.6354687500000011</v>
      </c>
      <c r="B2469" s="41">
        <f t="shared" ca="1" si="229"/>
        <v>3.6273437500000103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1.0001007595486111</v>
      </c>
    </row>
    <row r="2470" spans="1:14">
      <c r="A2470" s="39">
        <f t="shared" ca="1" si="230"/>
        <v>3.6354687500000011</v>
      </c>
      <c r="B2470" s="41">
        <f t="shared" ca="1" si="229"/>
        <v>3.6273437500000103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1.0001007595486111</v>
      </c>
    </row>
    <row r="2471" spans="1:14">
      <c r="A2471" s="39">
        <f t="shared" ca="1" si="230"/>
        <v>3.6354687500000011</v>
      </c>
      <c r="B2471" s="41">
        <f t="shared" ca="1" si="229"/>
        <v>3.6273437500000103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1.0004030381944444</v>
      </c>
    </row>
    <row r="2472" spans="1:14">
      <c r="A2472" s="39">
        <f t="shared" ca="1" si="230"/>
        <v>3.6354687500000011</v>
      </c>
      <c r="B2472" s="41">
        <f t="shared" ca="1" si="229"/>
        <v>3.6273437500000103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3.6354687500000011</v>
      </c>
      <c r="B2473" s="41">
        <f t="shared" ca="1" si="229"/>
        <v>3.6273437500000103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3.6354687500000011</v>
      </c>
      <c r="B2474" s="41">
        <f t="shared" ca="1" si="229"/>
        <v>3.6273437500000103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3.6354687500000011</v>
      </c>
      <c r="B2475" s="41">
        <f t="shared" ca="1" si="229"/>
        <v>3.6273437500000103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1.0001007595486111</v>
      </c>
    </row>
    <row r="2476" spans="1:14">
      <c r="A2476" s="39">
        <f t="shared" ca="1" si="230"/>
        <v>3.6354687500000011</v>
      </c>
      <c r="B2476" s="41">
        <f t="shared" ca="1" si="229"/>
        <v>3.6273437500000103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1.0001007595486111</v>
      </c>
    </row>
    <row r="2477" spans="1:14">
      <c r="A2477" s="39">
        <f t="shared" ca="1" si="230"/>
        <v>3.6354687500000011</v>
      </c>
      <c r="B2477" s="41">
        <f t="shared" ca="1" si="229"/>
        <v>3.6273437500000103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3.7201785714285656</v>
      </c>
      <c r="L2477" s="194">
        <f ca="1">B2499+H2499</f>
        <v>3.7401785714285758</v>
      </c>
      <c r="M2477" s="113">
        <f t="shared" si="231"/>
        <v>1</v>
      </c>
      <c r="N2477" s="64">
        <f t="shared" ca="1" si="226"/>
        <v>1.0001007595486111</v>
      </c>
    </row>
    <row r="2478" spans="1:14">
      <c r="A2478" s="39">
        <f t="shared" ca="1" si="230"/>
        <v>3.6354687500000011</v>
      </c>
      <c r="B2478" s="41">
        <f t="shared" ca="1" si="229"/>
        <v>3.6273437500000103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1.0003022786458333</v>
      </c>
    </row>
    <row r="2479" spans="1:14">
      <c r="A2479" s="39">
        <f t="shared" ca="1" si="230"/>
        <v>3.6354687500000011</v>
      </c>
      <c r="B2479" s="41">
        <f t="shared" ca="1" si="229"/>
        <v>3.6273437500000103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3.6749999999999972</v>
      </c>
      <c r="L2479" s="193">
        <f>OUTPUT!F6</f>
        <v>3.6800000000000068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3.6354687500000011</v>
      </c>
      <c r="B2480" s="41">
        <f t="shared" ca="1" si="229"/>
        <v>3.6273437500000103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3.6354687500000011</v>
      </c>
      <c r="B2481" s="41">
        <f t="shared" ca="1" si="229"/>
        <v>3.6273437500000103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110.24999999999991</v>
      </c>
      <c r="L2481" s="192">
        <f>L2479*L2469</f>
        <v>110.4000000000002</v>
      </c>
      <c r="M2481" s="113">
        <f t="shared" si="231"/>
        <v>1</v>
      </c>
      <c r="N2481" s="64">
        <f t="shared" ca="1" si="226"/>
        <v>1.0001007595486111</v>
      </c>
    </row>
    <row r="2482" spans="1:14">
      <c r="A2482" s="39">
        <f t="shared" ca="1" si="230"/>
        <v>3.6354687500000011</v>
      </c>
      <c r="B2482" s="41">
        <f t="shared" ca="1" si="229"/>
        <v>3.6273437500000103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1.0001007595486111</v>
      </c>
    </row>
    <row r="2483" spans="1:14">
      <c r="A2483" s="39">
        <f t="shared" ca="1" si="230"/>
        <v>3.6354687500000011</v>
      </c>
      <c r="B2483" s="41">
        <f t="shared" ca="1" si="229"/>
        <v>3.6273437500000103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110.24999999999991</v>
      </c>
      <c r="L2483" s="192">
        <f>L2481</f>
        <v>110.4000000000002</v>
      </c>
      <c r="M2483" s="113">
        <f t="shared" si="231"/>
        <v>1</v>
      </c>
      <c r="N2483" s="64">
        <f t="shared" ca="1" si="226"/>
        <v>1.0001007595486111</v>
      </c>
    </row>
    <row r="2484" spans="1:14">
      <c r="A2484" s="304">
        <f ca="1">K$2477</f>
        <v>3.7201785714285656</v>
      </c>
      <c r="B2484" s="305">
        <f t="shared" ref="B2484:B2497" ca="1" si="232">L$2477</f>
        <v>3.7401785714285758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1.0001038938492064</v>
      </c>
    </row>
    <row r="2485" spans="1:14">
      <c r="A2485" s="304">
        <f t="shared" ref="A2485:A2497" ca="1" si="233">K$2477</f>
        <v>3.7201785714285656</v>
      </c>
      <c r="B2485" s="305">
        <f t="shared" ca="1" si="232"/>
        <v>3.7401785714285758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52.082499999999897</v>
      </c>
      <c r="L2485" s="401">
        <f ca="1">SUM(INDIRECT(L2475))</f>
        <v>52.36250000000004</v>
      </c>
      <c r="M2485" s="113">
        <f t="shared" si="231"/>
        <v>3</v>
      </c>
      <c r="N2485" s="64">
        <f t="shared" ca="1" si="226"/>
        <v>1.000311681547619</v>
      </c>
    </row>
    <row r="2486" spans="1:14">
      <c r="A2486" s="304">
        <f t="shared" ca="1" si="233"/>
        <v>3.7201785714285656</v>
      </c>
      <c r="B2486" s="305">
        <f t="shared" ca="1" si="232"/>
        <v>3.7401785714285758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58.167500000000018</v>
      </c>
      <c r="L2486" s="201">
        <f ca="1">L2481-L2484-L2485</f>
        <v>58.037500000000165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3.7201785714285656</v>
      </c>
      <c r="B2487" s="305">
        <f t="shared" ca="1" si="232"/>
        <v>3.7401785714285758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3.7201785714285656</v>
      </c>
      <c r="B2488" s="305">
        <f t="shared" ca="1" si="232"/>
        <v>3.7401785714285758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1.0001038938492064</v>
      </c>
    </row>
    <row r="2489" spans="1:14">
      <c r="A2489" s="304">
        <f t="shared" ca="1" si="233"/>
        <v>3.7201785714285656</v>
      </c>
      <c r="B2489" s="305">
        <f t="shared" ca="1" si="232"/>
        <v>3.7401785714285758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1.0001038938492064</v>
      </c>
    </row>
    <row r="2490" spans="1:14">
      <c r="A2490" s="304">
        <f t="shared" ca="1" si="233"/>
        <v>3.7201785714285656</v>
      </c>
      <c r="B2490" s="305">
        <f t="shared" ca="1" si="232"/>
        <v>3.7401785714285758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1.0001038938492064</v>
      </c>
    </row>
    <row r="2491" spans="1:14">
      <c r="A2491" s="304">
        <f t="shared" ca="1" si="233"/>
        <v>3.7201785714285656</v>
      </c>
      <c r="B2491" s="305">
        <f t="shared" ca="1" si="232"/>
        <v>3.7401785714285758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1.0001038938492064</v>
      </c>
    </row>
    <row r="2492" spans="1:14">
      <c r="A2492" s="304">
        <f t="shared" ca="1" si="233"/>
        <v>3.7201785714285656</v>
      </c>
      <c r="B2492" s="305">
        <f t="shared" ca="1" si="232"/>
        <v>3.7401785714285758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1.000311681547619</v>
      </c>
    </row>
    <row r="2493" spans="1:14">
      <c r="A2493" s="304">
        <f t="shared" ca="1" si="233"/>
        <v>3.7201785714285656</v>
      </c>
      <c r="B2493" s="305">
        <f t="shared" ca="1" si="232"/>
        <v>3.7401785714285758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58.167500000000018</v>
      </c>
      <c r="L2493" s="192">
        <f ca="1">L2486</f>
        <v>58.037500000000165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3.7201785714285656</v>
      </c>
      <c r="B2494" s="305">
        <f t="shared" ca="1" si="232"/>
        <v>3.7401785714285758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3.7201785714285656</v>
      </c>
      <c r="B2495" s="305">
        <f t="shared" ca="1" si="232"/>
        <v>3.7401785714285758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3.6354687500000011</v>
      </c>
      <c r="L2495" s="192">
        <f ca="1">L2493/L2494</f>
        <v>3.6273437500000103</v>
      </c>
      <c r="M2495" s="113">
        <f t="shared" si="231"/>
        <v>1</v>
      </c>
      <c r="N2495" s="64">
        <f t="shared" ca="1" si="226"/>
        <v>1.0001038938492064</v>
      </c>
    </row>
    <row r="2496" spans="1:14">
      <c r="A2496" s="304">
        <f t="shared" ca="1" si="233"/>
        <v>3.7201785714285656</v>
      </c>
      <c r="B2496" s="305">
        <f t="shared" ca="1" si="232"/>
        <v>3.7401785714285758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1.0001038938492064</v>
      </c>
    </row>
    <row r="2497" spans="1:14" ht="15.75" thickBot="1">
      <c r="A2497" s="405">
        <f t="shared" ca="1" si="233"/>
        <v>3.7201785714285656</v>
      </c>
      <c r="B2497" s="406">
        <f t="shared" ca="1" si="232"/>
        <v>3.7401785714285758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1.0001038938492064</v>
      </c>
    </row>
    <row r="2498" spans="1:14">
      <c r="A2498" s="39">
        <f t="shared" ref="A2498:A2524" ca="1" si="234">K$2525</f>
        <v>3.7201785714285656</v>
      </c>
      <c r="B2498" s="41">
        <f t="shared" ref="B2498:B2525" ca="1" si="235">L$2525</f>
        <v>3.7401785714285758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1.0001038938492064</v>
      </c>
    </row>
    <row r="2499" spans="1:14">
      <c r="A2499" s="39">
        <f t="shared" ca="1" si="234"/>
        <v>3.7201785714285656</v>
      </c>
      <c r="B2499" s="41">
        <f t="shared" ca="1" si="235"/>
        <v>3.7401785714285758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1.000311681547619</v>
      </c>
    </row>
    <row r="2500" spans="1:14">
      <c r="A2500" s="39">
        <f t="shared" ca="1" si="234"/>
        <v>3.7201785714285656</v>
      </c>
      <c r="B2500" s="41">
        <f t="shared" ca="1" si="235"/>
        <v>3.7401785714285758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3.7201785714285656</v>
      </c>
      <c r="B2501" s="41">
        <f t="shared" ca="1" si="235"/>
        <v>3.7401785714285758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3.7201785714285656</v>
      </c>
      <c r="B2502" s="41">
        <f t="shared" ca="1" si="235"/>
        <v>3.7401785714285758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1.0001038938492064</v>
      </c>
    </row>
    <row r="2503" spans="1:14">
      <c r="A2503" s="39">
        <f t="shared" ca="1" si="234"/>
        <v>3.7201785714285656</v>
      </c>
      <c r="B2503" s="41">
        <f t="shared" ca="1" si="235"/>
        <v>3.7401785714285758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1.0001038938492064</v>
      </c>
    </row>
    <row r="2504" spans="1:14">
      <c r="A2504" s="39">
        <f t="shared" ca="1" si="234"/>
        <v>3.7201785714285656</v>
      </c>
      <c r="B2504" s="41">
        <f t="shared" ca="1" si="235"/>
        <v>3.7401785714285758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1.0001038938492064</v>
      </c>
    </row>
    <row r="2505" spans="1:14">
      <c r="A2505" s="39">
        <f t="shared" ca="1" si="234"/>
        <v>3.7201785714285656</v>
      </c>
      <c r="B2505" s="41">
        <f t="shared" ca="1" si="235"/>
        <v>3.7401785714285758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1.0001038938492064</v>
      </c>
    </row>
    <row r="2506" spans="1:14">
      <c r="A2506" s="39">
        <f t="shared" ca="1" si="234"/>
        <v>3.7201785714285656</v>
      </c>
      <c r="B2506" s="41">
        <f t="shared" ca="1" si="235"/>
        <v>3.7401785714285758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1.0004155753968254</v>
      </c>
    </row>
    <row r="2507" spans="1:14">
      <c r="A2507" s="39">
        <f t="shared" ca="1" si="234"/>
        <v>3.7201785714285656</v>
      </c>
      <c r="B2507" s="41">
        <f t="shared" ca="1" si="235"/>
        <v>3.7401785714285758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3.769999999999996</v>
      </c>
      <c r="L2507" s="194">
        <f>B2529+H2529</f>
        <v>3.7900000000000063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3.7201785714285656</v>
      </c>
      <c r="B2508" s="41">
        <f t="shared" ca="1" si="235"/>
        <v>3.7401785714285758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3.7201785714285656</v>
      </c>
      <c r="B2509" s="41">
        <f t="shared" ca="1" si="235"/>
        <v>3.7401785714285758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3.7249999999999943</v>
      </c>
      <c r="L2509" s="180">
        <f>OUTPUT!F7</f>
        <v>3.7450000000000045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3.7201785714285656</v>
      </c>
      <c r="B2510" s="41">
        <f t="shared" ca="1" si="235"/>
        <v>3.7401785714285758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1.0001038938492064</v>
      </c>
    </row>
    <row r="2511" spans="1:14">
      <c r="A2511" s="39">
        <f t="shared" ca="1" si="234"/>
        <v>3.7201785714285656</v>
      </c>
      <c r="B2511" s="41">
        <f t="shared" ca="1" si="235"/>
        <v>3.7401785714285758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115.47499999999982</v>
      </c>
      <c r="L2511" s="178">
        <f>L2509*L2499</f>
        <v>116.09500000000014</v>
      </c>
      <c r="M2511" s="113">
        <f t="shared" si="238"/>
        <v>1</v>
      </c>
      <c r="N2511" s="64">
        <f t="shared" ca="1" si="226"/>
        <v>1.0001038938492064</v>
      </c>
    </row>
    <row r="2512" spans="1:14">
      <c r="A2512" s="39">
        <f t="shared" ca="1" si="234"/>
        <v>3.7201785714285656</v>
      </c>
      <c r="B2512" s="41">
        <f t="shared" ca="1" si="235"/>
        <v>3.7401785714285758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1.0001038938492064</v>
      </c>
    </row>
    <row r="2513" spans="1:14">
      <c r="A2513" s="39">
        <f t="shared" ca="1" si="234"/>
        <v>3.7201785714285656</v>
      </c>
      <c r="B2513" s="41">
        <f t="shared" ca="1" si="235"/>
        <v>3.7401785714285758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115.47499999999982</v>
      </c>
      <c r="L2513" s="192">
        <f>L2511</f>
        <v>116.09500000000014</v>
      </c>
      <c r="M2513" s="113">
        <f t="shared" si="238"/>
        <v>3</v>
      </c>
      <c r="N2513" s="64">
        <f t="shared" ca="1" si="226"/>
        <v>1.000311681547619</v>
      </c>
    </row>
    <row r="2514" spans="1:14">
      <c r="A2514" s="39">
        <f t="shared" ca="1" si="234"/>
        <v>3.7201785714285656</v>
      </c>
      <c r="B2514" s="41">
        <f t="shared" ca="1" si="235"/>
        <v>3.7401785714285758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3.7201785714285656</v>
      </c>
      <c r="B2515" s="41">
        <f t="shared" ca="1" si="235"/>
        <v>3.7401785714285758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11.309999999999988</v>
      </c>
      <c r="L2515" s="401">
        <f ca="1">SUM(INDIRECT(L2505))</f>
        <v>11.370000000000019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3.7201785714285656</v>
      </c>
      <c r="B2516" s="41">
        <f t="shared" ca="1" si="235"/>
        <v>3.7401785714285758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104.16499999999984</v>
      </c>
      <c r="L2516" s="201">
        <f ca="1">L2511-L2514-L2515</f>
        <v>104.72500000000012</v>
      </c>
      <c r="M2516" s="113">
        <f t="shared" si="238"/>
        <v>1</v>
      </c>
      <c r="N2516" s="64">
        <f t="shared" ca="1" si="239"/>
        <v>1.0001038938492064</v>
      </c>
    </row>
    <row r="2517" spans="1:14">
      <c r="A2517" s="39">
        <f t="shared" ca="1" si="234"/>
        <v>3.7201785714285656</v>
      </c>
      <c r="B2517" s="41">
        <f t="shared" ca="1" si="235"/>
        <v>3.7401785714285758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1.0001038938492064</v>
      </c>
    </row>
    <row r="2518" spans="1:14">
      <c r="A2518" s="39">
        <f t="shared" ca="1" si="234"/>
        <v>3.7201785714285656</v>
      </c>
      <c r="B2518" s="41">
        <f t="shared" ca="1" si="235"/>
        <v>3.7401785714285758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1.0001038938492064</v>
      </c>
    </row>
    <row r="2519" spans="1:14">
      <c r="A2519" s="39">
        <f t="shared" ca="1" si="234"/>
        <v>3.7201785714285656</v>
      </c>
      <c r="B2519" s="41">
        <f t="shared" ca="1" si="235"/>
        <v>3.7401785714285758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1.0001038938492064</v>
      </c>
    </row>
    <row r="2520" spans="1:14">
      <c r="A2520" s="39">
        <f t="shared" ca="1" si="234"/>
        <v>3.7201785714285656</v>
      </c>
      <c r="B2520" s="41">
        <f t="shared" ca="1" si="235"/>
        <v>3.7401785714285758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1.000311681547619</v>
      </c>
    </row>
    <row r="2521" spans="1:14">
      <c r="A2521" s="39">
        <f t="shared" ca="1" si="234"/>
        <v>3.7201785714285656</v>
      </c>
      <c r="B2521" s="41">
        <f t="shared" ca="1" si="235"/>
        <v>3.7401785714285758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3.7201785714285656</v>
      </c>
      <c r="B2522" s="41">
        <f t="shared" ca="1" si="235"/>
        <v>3.7401785714285758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3.7201785714285656</v>
      </c>
      <c r="B2523" s="41">
        <f t="shared" ca="1" si="235"/>
        <v>3.7401785714285758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104.16499999999984</v>
      </c>
      <c r="L2523" s="192">
        <f ca="1">L2516</f>
        <v>104.72500000000012</v>
      </c>
      <c r="M2523" s="113">
        <f t="shared" si="238"/>
        <v>1</v>
      </c>
      <c r="N2523" s="64">
        <f t="shared" ca="1" si="239"/>
        <v>1.0001038938492064</v>
      </c>
    </row>
    <row r="2524" spans="1:14">
      <c r="A2524" s="39">
        <f t="shared" ca="1" si="234"/>
        <v>3.7201785714285656</v>
      </c>
      <c r="B2524" s="41">
        <f t="shared" ca="1" si="235"/>
        <v>3.7401785714285758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1.0001038938492064</v>
      </c>
    </row>
    <row r="2525" spans="1:14">
      <c r="A2525" s="39">
        <f ca="1">K$2525</f>
        <v>3.7201785714285656</v>
      </c>
      <c r="B2525" s="41">
        <f t="shared" ca="1" si="235"/>
        <v>3.7401785714285758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3.7201785714285656</v>
      </c>
      <c r="L2525" s="192">
        <f ca="1">L2523/L2524</f>
        <v>3.7401785714285758</v>
      </c>
      <c r="M2525" s="113">
        <f t="shared" si="238"/>
        <v>1</v>
      </c>
      <c r="N2525" s="64">
        <f t="shared" ca="1" si="239"/>
        <v>1.0001038938492064</v>
      </c>
    </row>
    <row r="2526" spans="1:14">
      <c r="A2526" s="304">
        <f t="shared" ref="A2526:B2528" si="240">K$2507</f>
        <v>3.769999999999996</v>
      </c>
      <c r="B2526" s="305">
        <f t="shared" si="240"/>
        <v>3.7900000000000063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1.0001052777777777</v>
      </c>
    </row>
    <row r="2527" spans="1:14">
      <c r="A2527" s="304">
        <f t="shared" si="240"/>
        <v>3.769999999999996</v>
      </c>
      <c r="B2527" s="305">
        <f t="shared" si="240"/>
        <v>3.7900000000000063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1.0003158333333333</v>
      </c>
    </row>
    <row r="2528" spans="1:14" ht="15.75" thickBot="1">
      <c r="A2528" s="405">
        <f t="shared" si="240"/>
        <v>3.769999999999996</v>
      </c>
      <c r="B2528" s="406">
        <f t="shared" si="240"/>
        <v>3.7900000000000063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3.769999999999996</v>
      </c>
      <c r="B2529" s="305">
        <f>L2538</f>
        <v>3.7900000000000063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3.769999999999996</v>
      </c>
      <c r="B2530" s="41">
        <f t="shared" ref="B2530:B2558" ca="1" si="241">L$2556</f>
        <v>3.7900000000000063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1.0001052777777777</v>
      </c>
    </row>
    <row r="2531" spans="1:14">
      <c r="A2531" s="39">
        <f t="shared" ref="A2531:A2558" ca="1" si="242">K$2556</f>
        <v>3.769999999999996</v>
      </c>
      <c r="B2531" s="41">
        <f t="shared" ca="1" si="241"/>
        <v>3.7900000000000063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1.0001052777777777</v>
      </c>
    </row>
    <row r="2532" spans="1:14">
      <c r="A2532" s="39">
        <f t="shared" ca="1" si="242"/>
        <v>3.769999999999996</v>
      </c>
      <c r="B2532" s="41">
        <f t="shared" ca="1" si="241"/>
        <v>3.7900000000000063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1.0001052777777777</v>
      </c>
    </row>
    <row r="2533" spans="1:14">
      <c r="A2533" s="39">
        <f t="shared" ca="1" si="242"/>
        <v>3.769999999999996</v>
      </c>
      <c r="B2533" s="41">
        <f t="shared" ca="1" si="241"/>
        <v>3.7900000000000063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1.0001052777777777</v>
      </c>
    </row>
    <row r="2534" spans="1:14">
      <c r="A2534" s="39">
        <f t="shared" ca="1" si="242"/>
        <v>3.769999999999996</v>
      </c>
      <c r="B2534" s="41">
        <f t="shared" ca="1" si="241"/>
        <v>3.7900000000000063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1.0003158333333333</v>
      </c>
    </row>
    <row r="2535" spans="1:14">
      <c r="A2535" s="39">
        <f t="shared" ca="1" si="242"/>
        <v>3.769999999999996</v>
      </c>
      <c r="B2535" s="41">
        <f t="shared" ca="1" si="241"/>
        <v>3.7900000000000063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3.769999999999996</v>
      </c>
      <c r="B2536" s="41">
        <f t="shared" ca="1" si="241"/>
        <v>3.7900000000000063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3.769999999999996</v>
      </c>
      <c r="B2537" s="41">
        <f t="shared" ca="1" si="241"/>
        <v>3.7900000000000063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1.0001052777777777</v>
      </c>
    </row>
    <row r="2538" spans="1:14">
      <c r="A2538" s="39">
        <f t="shared" ca="1" si="242"/>
        <v>3.769999999999996</v>
      </c>
      <c r="B2538" s="41">
        <f t="shared" ca="1" si="241"/>
        <v>3.7900000000000063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3.769999999999996</v>
      </c>
      <c r="L2538" s="194">
        <f>L2540</f>
        <v>3.7900000000000063</v>
      </c>
      <c r="M2538" s="117">
        <v>2</v>
      </c>
      <c r="N2538" s="64">
        <f t="shared" ca="1" si="239"/>
        <v>1.0002105555555556</v>
      </c>
    </row>
    <row r="2539" spans="1:14">
      <c r="A2539" s="39">
        <f t="shared" ca="1" si="242"/>
        <v>3.769999999999996</v>
      </c>
      <c r="B2539" s="41">
        <f t="shared" ca="1" si="241"/>
        <v>3.7900000000000063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3.769999999999996</v>
      </c>
      <c r="B2540" s="41">
        <f t="shared" ca="1" si="241"/>
        <v>3.7900000000000063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3.769999999999996</v>
      </c>
      <c r="L2540" s="193">
        <f>OUTPUT!F8</f>
        <v>3.7900000000000063</v>
      </c>
      <c r="M2540" s="113">
        <f t="shared" ref="M2540:M2552" si="243">IF(MOD(C2540,7)&lt;2,0,IF(MOD(C2540,7)=6,3,1))</f>
        <v>1</v>
      </c>
      <c r="N2540" s="64">
        <f t="shared" ca="1" si="239"/>
        <v>1.0001052777777777</v>
      </c>
    </row>
    <row r="2541" spans="1:14">
      <c r="A2541" s="39">
        <f t="shared" ca="1" si="242"/>
        <v>3.769999999999996</v>
      </c>
      <c r="B2541" s="41">
        <f t="shared" ca="1" si="241"/>
        <v>3.7900000000000063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1.0003158333333333</v>
      </c>
    </row>
    <row r="2542" spans="1:14">
      <c r="A2542" s="39">
        <f t="shared" ca="1" si="242"/>
        <v>3.769999999999996</v>
      </c>
      <c r="B2542" s="41">
        <f t="shared" ca="1" si="241"/>
        <v>3.7900000000000063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113.09999999999988</v>
      </c>
      <c r="L2542" s="192">
        <f>L2540*L2530</f>
        <v>113.70000000000019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3.769999999999996</v>
      </c>
      <c r="B2543" s="41">
        <f t="shared" ca="1" si="241"/>
        <v>3.7900000000000063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3.769999999999996</v>
      </c>
      <c r="B2544" s="41">
        <f t="shared" ca="1" si="241"/>
        <v>3.7900000000000063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113.09999999999988</v>
      </c>
      <c r="L2544" s="192">
        <f>L2542</f>
        <v>113.70000000000019</v>
      </c>
      <c r="M2544" s="113">
        <f t="shared" si="243"/>
        <v>1</v>
      </c>
      <c r="N2544" s="64">
        <f t="shared" ca="1" si="239"/>
        <v>1.0001052777777777</v>
      </c>
    </row>
    <row r="2545" spans="1:14">
      <c r="A2545" s="39">
        <f t="shared" ca="1" si="242"/>
        <v>3.769999999999996</v>
      </c>
      <c r="B2545" s="41">
        <f t="shared" ca="1" si="241"/>
        <v>3.7900000000000063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1.0001052777777777</v>
      </c>
    </row>
    <row r="2546" spans="1:14">
      <c r="A2546" s="39">
        <f t="shared" ca="1" si="242"/>
        <v>3.769999999999996</v>
      </c>
      <c r="B2546" s="41">
        <f t="shared" ca="1" si="241"/>
        <v>3.7900000000000063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3.769999999999996</v>
      </c>
      <c r="L2546" s="401">
        <f ca="1">SUM(INDIRECT(L2535))</f>
        <v>3.7900000000000063</v>
      </c>
      <c r="M2546" s="113">
        <f t="shared" si="243"/>
        <v>1</v>
      </c>
      <c r="N2546" s="64">
        <f t="shared" ca="1" si="239"/>
        <v>1.0001052777777777</v>
      </c>
    </row>
    <row r="2547" spans="1:14">
      <c r="A2547" s="39">
        <f t="shared" ca="1" si="242"/>
        <v>3.769999999999996</v>
      </c>
      <c r="B2547" s="41">
        <f t="shared" ca="1" si="241"/>
        <v>3.7900000000000063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109.32999999999988</v>
      </c>
      <c r="L2547" s="201">
        <f ca="1">L2542-L2545-L2546</f>
        <v>109.91000000000018</v>
      </c>
      <c r="M2547" s="113">
        <f t="shared" si="243"/>
        <v>1</v>
      </c>
      <c r="N2547" s="64">
        <f t="shared" ca="1" si="239"/>
        <v>1.0001052777777777</v>
      </c>
    </row>
    <row r="2548" spans="1:14">
      <c r="A2548" s="39">
        <f t="shared" ca="1" si="242"/>
        <v>3.769999999999996</v>
      </c>
      <c r="B2548" s="41">
        <f t="shared" ca="1" si="241"/>
        <v>3.7900000000000063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1.0003158333333333</v>
      </c>
    </row>
    <row r="2549" spans="1:14">
      <c r="A2549" s="39">
        <f t="shared" ca="1" si="242"/>
        <v>3.769999999999996</v>
      </c>
      <c r="B2549" s="41">
        <f t="shared" ca="1" si="241"/>
        <v>3.7900000000000063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3.769999999999996</v>
      </c>
      <c r="B2550" s="41">
        <f t="shared" ca="1" si="241"/>
        <v>3.7900000000000063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3.769999999999996</v>
      </c>
      <c r="B2551" s="41">
        <f t="shared" ca="1" si="241"/>
        <v>3.7900000000000063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1.0001052777777777</v>
      </c>
    </row>
    <row r="2552" spans="1:14">
      <c r="A2552" s="39">
        <f t="shared" ca="1" si="242"/>
        <v>3.769999999999996</v>
      </c>
      <c r="B2552" s="41">
        <f t="shared" ca="1" si="241"/>
        <v>3.7900000000000063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1.0001052777777777</v>
      </c>
    </row>
    <row r="2553" spans="1:14">
      <c r="A2553" s="39">
        <f t="shared" ca="1" si="242"/>
        <v>3.769999999999996</v>
      </c>
      <c r="B2553" s="41">
        <f t="shared" ca="1" si="241"/>
        <v>3.7900000000000063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1.0002105555555556</v>
      </c>
    </row>
    <row r="2554" spans="1:14">
      <c r="A2554" s="39">
        <f t="shared" ca="1" si="242"/>
        <v>3.769999999999996</v>
      </c>
      <c r="B2554" s="41">
        <f t="shared" ca="1" si="241"/>
        <v>3.7900000000000063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109.32999999999988</v>
      </c>
      <c r="L2554" s="192">
        <f ca="1">L2547</f>
        <v>109.91000000000018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3.769999999999996</v>
      </c>
      <c r="B2555" s="41">
        <f t="shared" ca="1" si="241"/>
        <v>3.7900000000000063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1.0003158333333333</v>
      </c>
    </row>
    <row r="2556" spans="1:14">
      <c r="A2556" s="39">
        <f t="shared" ca="1" si="242"/>
        <v>3.769999999999996</v>
      </c>
      <c r="B2556" s="41">
        <f t="shared" ca="1" si="241"/>
        <v>3.7900000000000063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3.769999999999996</v>
      </c>
      <c r="L2556" s="192">
        <f ca="1">L2554/L2555</f>
        <v>3.7900000000000063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3.769999999999996</v>
      </c>
      <c r="B2557" s="41">
        <f t="shared" ca="1" si="241"/>
        <v>3.7900000000000063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3.769999999999996</v>
      </c>
      <c r="B2558" s="230">
        <f t="shared" ca="1" si="241"/>
        <v>3.7900000000000063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1.0001052777777777</v>
      </c>
    </row>
    <row r="2559" spans="1:14">
      <c r="A2559" s="304">
        <f ca="1">K$2568</f>
        <v>3.769999999999996</v>
      </c>
      <c r="B2559" s="305">
        <f t="shared" ref="B2559:B2567" ca="1" si="245">L$2568</f>
        <v>3.7900000000000063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1.0001052777777777</v>
      </c>
    </row>
    <row r="2560" spans="1:14">
      <c r="A2560" s="304">
        <f t="shared" ref="A2560:A2567" ca="1" si="246">K$2568</f>
        <v>3.769999999999996</v>
      </c>
      <c r="B2560" s="305">
        <f t="shared" ca="1" si="245"/>
        <v>3.7900000000000063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1.0001052777777777</v>
      </c>
    </row>
    <row r="2561" spans="1:14">
      <c r="A2561" s="304">
        <f t="shared" ca="1" si="246"/>
        <v>3.769999999999996</v>
      </c>
      <c r="B2561" s="305">
        <f t="shared" ca="1" si="245"/>
        <v>3.7900000000000063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1.0001052777777777</v>
      </c>
    </row>
    <row r="2562" spans="1:14">
      <c r="A2562" s="304">
        <f t="shared" ca="1" si="246"/>
        <v>3.769999999999996</v>
      </c>
      <c r="B2562" s="305">
        <f t="shared" ca="1" si="245"/>
        <v>3.7900000000000063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1.0003158333333333</v>
      </c>
    </row>
    <row r="2563" spans="1:14">
      <c r="A2563" s="304">
        <f t="shared" ca="1" si="246"/>
        <v>3.769999999999996</v>
      </c>
      <c r="B2563" s="305">
        <f t="shared" ca="1" si="245"/>
        <v>3.7900000000000063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3.769999999999996</v>
      </c>
      <c r="B2564" s="305">
        <f t="shared" ca="1" si="245"/>
        <v>3.7900000000000063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3.769999999999996</v>
      </c>
      <c r="B2565" s="305">
        <f t="shared" ca="1" si="245"/>
        <v>3.7900000000000063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1.0001052777777777</v>
      </c>
    </row>
    <row r="2566" spans="1:14">
      <c r="A2566" s="304">
        <f t="shared" ca="1" si="246"/>
        <v>3.769999999999996</v>
      </c>
      <c r="B2566" s="305">
        <f t="shared" ca="1" si="245"/>
        <v>3.7900000000000063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1.0001052777777777</v>
      </c>
    </row>
    <row r="2567" spans="1:14">
      <c r="A2567" s="304">
        <f t="shared" ca="1" si="246"/>
        <v>3.769999999999996</v>
      </c>
      <c r="B2567" s="305">
        <f t="shared" ca="1" si="245"/>
        <v>3.7900000000000063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1.0001052777777777</v>
      </c>
    </row>
    <row r="2568" spans="1:14">
      <c r="A2568" s="39">
        <f ca="1">K$2586</f>
        <v>3.8686363636363699</v>
      </c>
      <c r="B2568" s="41">
        <f t="shared" ref="B2568:B2589" ca="1" si="249">L$2586</f>
        <v>3.9027272727272764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3.769999999999996</v>
      </c>
      <c r="L2568" s="194">
        <f ca="1">B2558+H2558</f>
        <v>3.7900000000000063</v>
      </c>
      <c r="M2568" s="113">
        <f t="shared" si="244"/>
        <v>1</v>
      </c>
      <c r="N2568" s="64">
        <f t="shared" ca="1" si="239"/>
        <v>1.0001084090909091</v>
      </c>
    </row>
    <row r="2569" spans="1:14">
      <c r="A2569" s="39">
        <f t="shared" ref="A2569:A2589" ca="1" si="250">K$2586</f>
        <v>3.8686363636363699</v>
      </c>
      <c r="B2569" s="41">
        <f t="shared" ca="1" si="249"/>
        <v>3.9027272727272764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1.0003252272727272</v>
      </c>
    </row>
    <row r="2570" spans="1:14">
      <c r="A2570" s="39">
        <f t="shared" ca="1" si="250"/>
        <v>3.8686363636363699</v>
      </c>
      <c r="B2570" s="41">
        <f t="shared" ca="1" si="249"/>
        <v>3.9027272727272764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3.8400000000000034</v>
      </c>
      <c r="L2570" s="180">
        <f>OUTPUT!F9</f>
        <v>3.8700000000000045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3.8686363636363699</v>
      </c>
      <c r="B2571" s="41">
        <f t="shared" ca="1" si="249"/>
        <v>3.9027272727272764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3.8686363636363699</v>
      </c>
      <c r="B2572" s="41">
        <f t="shared" ca="1" si="249"/>
        <v>3.9027272727272764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119.04000000000011</v>
      </c>
      <c r="L2572" s="178">
        <f>L2570*L2560</f>
        <v>119.97000000000014</v>
      </c>
      <c r="M2572" s="113">
        <f t="shared" si="244"/>
        <v>1</v>
      </c>
      <c r="N2572" s="64">
        <f t="shared" ca="1" si="239"/>
        <v>1.0001084090909091</v>
      </c>
    </row>
    <row r="2573" spans="1:14">
      <c r="A2573" s="39">
        <f t="shared" ca="1" si="250"/>
        <v>3.8686363636363699</v>
      </c>
      <c r="B2573" s="41">
        <f t="shared" ca="1" si="249"/>
        <v>3.9027272727272764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1.0001084090909091</v>
      </c>
    </row>
    <row r="2574" spans="1:14">
      <c r="A2574" s="39">
        <f t="shared" ca="1" si="250"/>
        <v>3.8686363636363699</v>
      </c>
      <c r="B2574" s="41">
        <f t="shared" ca="1" si="249"/>
        <v>3.9027272727272764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119.04000000000011</v>
      </c>
      <c r="L2574" s="192">
        <f>L2572</f>
        <v>119.97000000000014</v>
      </c>
      <c r="M2574" s="113">
        <f t="shared" si="244"/>
        <v>1</v>
      </c>
      <c r="N2574" s="64">
        <f t="shared" ca="1" si="239"/>
        <v>1.0001084090909091</v>
      </c>
    </row>
    <row r="2575" spans="1:14">
      <c r="A2575" s="39">
        <f t="shared" ca="1" si="250"/>
        <v>3.8686363636363699</v>
      </c>
      <c r="B2575" s="41">
        <f t="shared" ca="1" si="249"/>
        <v>3.9027272727272764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1.0001084090909091</v>
      </c>
    </row>
    <row r="2576" spans="1:14">
      <c r="A2576" s="39">
        <f t="shared" ca="1" si="250"/>
        <v>3.8686363636363699</v>
      </c>
      <c r="B2576" s="41">
        <f t="shared" ca="1" si="249"/>
        <v>3.9027272727272764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33.929999999999964</v>
      </c>
      <c r="L2576" s="401">
        <f ca="1">SUM(INDIRECT(L2565))</f>
        <v>34.110000000000056</v>
      </c>
      <c r="M2576" s="113">
        <f t="shared" si="244"/>
        <v>3</v>
      </c>
      <c r="N2576" s="64">
        <f t="shared" ca="1" si="239"/>
        <v>1.0003252272727272</v>
      </c>
    </row>
    <row r="2577" spans="1:14">
      <c r="A2577" s="39">
        <f t="shared" ca="1" si="250"/>
        <v>3.8686363636363699</v>
      </c>
      <c r="B2577" s="41">
        <f t="shared" ca="1" si="249"/>
        <v>3.9027272727272764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85.110000000000142</v>
      </c>
      <c r="L2577" s="201">
        <f ca="1">L2572-L2575-L2576</f>
        <v>85.860000000000085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3.8686363636363699</v>
      </c>
      <c r="B2578" s="41">
        <f t="shared" ca="1" si="249"/>
        <v>3.9027272727272764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3.8686363636363699</v>
      </c>
      <c r="B2579" s="41">
        <f t="shared" ca="1" si="249"/>
        <v>3.9027272727272764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1.0001084090909091</v>
      </c>
    </row>
    <row r="2580" spans="1:14">
      <c r="A2580" s="39">
        <f t="shared" ca="1" si="250"/>
        <v>3.8686363636363699</v>
      </c>
      <c r="B2580" s="41">
        <f t="shared" ca="1" si="249"/>
        <v>3.9027272727272764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1.0001084090909091</v>
      </c>
    </row>
    <row r="2581" spans="1:14">
      <c r="A2581" s="39">
        <f t="shared" ca="1" si="250"/>
        <v>3.8686363636363699</v>
      </c>
      <c r="B2581" s="41">
        <f t="shared" ca="1" si="249"/>
        <v>3.9027272727272764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1.0001084090909091</v>
      </c>
    </row>
    <row r="2582" spans="1:14">
      <c r="A2582" s="39">
        <f t="shared" ca="1" si="250"/>
        <v>3.8686363636363699</v>
      </c>
      <c r="B2582" s="41">
        <f t="shared" ca="1" si="249"/>
        <v>3.9027272727272764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1.0004336363636364</v>
      </c>
    </row>
    <row r="2583" spans="1:14">
      <c r="A2583" s="39">
        <f t="shared" ca="1" si="250"/>
        <v>3.8686363636363699</v>
      </c>
      <c r="B2583" s="41">
        <f t="shared" ca="1" si="249"/>
        <v>3.9027272727272764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3.8686363636363699</v>
      </c>
      <c r="B2584" s="41">
        <f t="shared" ca="1" si="249"/>
        <v>3.9027272727272764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85.110000000000142</v>
      </c>
      <c r="L2584" s="192">
        <f ca="1">L2577</f>
        <v>85.860000000000085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3.8686363636363699</v>
      </c>
      <c r="B2585" s="41">
        <f t="shared" ca="1" si="249"/>
        <v>3.9027272727272764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3.8686363636363699</v>
      </c>
      <c r="B2586" s="41">
        <f t="shared" ca="1" si="249"/>
        <v>3.9027272727272764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3.8686363636363699</v>
      </c>
      <c r="L2586" s="192">
        <f ca="1">L2584/L2585</f>
        <v>3.9027272727272764</v>
      </c>
      <c r="M2586" s="113">
        <f>IF(MOD(C2586,7)&lt;2,0,IF(MOD(C2586,7)=6,3,1))</f>
        <v>1</v>
      </c>
      <c r="N2586" s="64">
        <f t="shared" ca="1" si="251"/>
        <v>1.0001084090909091</v>
      </c>
    </row>
    <row r="2587" spans="1:14">
      <c r="A2587" s="39">
        <f t="shared" ca="1" si="250"/>
        <v>3.8686363636363699</v>
      </c>
      <c r="B2587" s="41">
        <f t="shared" ca="1" si="249"/>
        <v>3.9027272727272764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1.0001084090909091</v>
      </c>
    </row>
    <row r="2588" spans="1:14">
      <c r="A2588" s="39">
        <f t="shared" ca="1" si="250"/>
        <v>3.8686363636363699</v>
      </c>
      <c r="B2588" s="41">
        <f t="shared" ca="1" si="249"/>
        <v>3.9027272727272764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1.0001084090909091</v>
      </c>
    </row>
    <row r="2589" spans="1:14" ht="15.75" thickBot="1">
      <c r="A2589" s="98">
        <f t="shared" ca="1" si="250"/>
        <v>3.8686363636363699</v>
      </c>
      <c r="B2589" s="230">
        <f t="shared" ca="1" si="249"/>
        <v>3.9027272727272764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1.0004336363636364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96.356111635196456</v>
      </c>
      <c r="E36" s="34">
        <f t="shared" ca="1" si="14"/>
        <v>3.6438883648035434</v>
      </c>
      <c r="F36" s="319">
        <f t="shared" ca="1" si="15"/>
        <v>3.6116351964494697E-3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1.0092109400332534</v>
      </c>
    </row>
    <row r="37" spans="1:13">
      <c r="A37" s="38">
        <f>+OUTPUT!A4</f>
        <v>46204</v>
      </c>
      <c r="B37" s="40">
        <f>OUTPUT!H4</f>
        <v>96.317499999999995</v>
      </c>
      <c r="C37" s="41">
        <f>OUTPUT!I4</f>
        <v>3.6825000000000045</v>
      </c>
      <c r="D37" s="44">
        <f t="shared" ca="1" si="13"/>
        <v>96.311737448421837</v>
      </c>
      <c r="E37" s="45">
        <f t="shared" ca="1" si="14"/>
        <v>3.6882625515781609</v>
      </c>
      <c r="F37" s="318">
        <f t="shared" ca="1" si="15"/>
        <v>-5.7625515781580816E-3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1.0100402702792961</v>
      </c>
    </row>
    <row r="38" spans="1:13">
      <c r="A38" s="38">
        <f>+OUTPUT!A5</f>
        <v>46235</v>
      </c>
      <c r="B38" s="40">
        <f>OUTPUT!H5</f>
        <v>96.267499999999998</v>
      </c>
      <c r="C38" s="41">
        <f>OUTPUT!I5</f>
        <v>3.7325000000000017</v>
      </c>
      <c r="D38" s="44">
        <f t="shared" ca="1" si="13"/>
        <v>96.265229422982657</v>
      </c>
      <c r="E38" s="45">
        <f t="shared" ca="1" si="14"/>
        <v>3.7347705770173496</v>
      </c>
      <c r="F38" s="318">
        <f t="shared" ca="1" si="15"/>
        <v>-2.2705770173416795E-3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1.0094406700696827</v>
      </c>
    </row>
    <row r="39" spans="1:13">
      <c r="A39" s="32">
        <f>+OUTPUT!A6</f>
        <v>46266</v>
      </c>
      <c r="B39" s="33">
        <f>OUTPUT!H6</f>
        <v>96.212500000000006</v>
      </c>
      <c r="C39" s="34">
        <f>OUTPUT!I6</f>
        <v>3.7874999999999943</v>
      </c>
      <c r="D39" s="33">
        <f t="shared" ca="1" si="13"/>
        <v>96.209695933248611</v>
      </c>
      <c r="E39" s="34">
        <f t="shared" ca="1" si="14"/>
        <v>3.7903040667513959</v>
      </c>
      <c r="F39" s="319">
        <f t="shared" ca="1" si="15"/>
        <v>-2.8040667513948847E-3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1.0095810463909549</v>
      </c>
    </row>
    <row r="40" spans="1:13">
      <c r="A40" s="38">
        <f>+OUTPUT!A7</f>
        <v>46296</v>
      </c>
      <c r="B40" s="40">
        <f>OUTPUT!H7</f>
        <v>96.15</v>
      </c>
      <c r="C40" s="41">
        <f>OUTPUT!I7</f>
        <v>3.8499999999999943</v>
      </c>
      <c r="D40" s="44">
        <f t="shared" ca="1" si="13"/>
        <v>96.83756269703926</v>
      </c>
      <c r="E40" s="45">
        <f t="shared" ca="1" si="14"/>
        <v>3.162437302960746</v>
      </c>
      <c r="F40" s="318">
        <f t="shared" ca="1" si="15"/>
        <v>0.68756269703925454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1.0079939387380397</v>
      </c>
    </row>
    <row r="41" spans="1:13">
      <c r="A41" s="38">
        <f>+OUTPUT!A8</f>
        <v>46327</v>
      </c>
      <c r="B41" s="40">
        <f>OUTPUT!H8</f>
        <v>96.11</v>
      </c>
      <c r="C41" s="41">
        <f>OUTPUT!I8</f>
        <v>3.8900000000000006</v>
      </c>
      <c r="D41" s="44">
        <f t="shared" ca="1" si="13"/>
        <v>98.006787781523471</v>
      </c>
      <c r="E41" s="45">
        <f t="shared" ca="1" si="14"/>
        <v>1.9932122184765229</v>
      </c>
      <c r="F41" s="323">
        <f t="shared" ca="1" si="15"/>
        <v>1.8967877815234715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1.0050383975522601</v>
      </c>
    </row>
    <row r="42" spans="1:13">
      <c r="A42" s="43">
        <f>+OUTPUT!A9</f>
        <v>46357</v>
      </c>
      <c r="B42" s="50">
        <f>OUTPUT!H9</f>
        <v>96.07</v>
      </c>
      <c r="C42" s="51">
        <f>OUTPUT!I9</f>
        <v>3.9300000000000068</v>
      </c>
      <c r="D42" s="50">
        <f t="shared" ca="1" si="13"/>
        <v>99.18441918701798</v>
      </c>
      <c r="E42" s="51">
        <f t="shared" ca="1" si="14"/>
        <v>0.81558081298202001</v>
      </c>
      <c r="F42" s="320">
        <f t="shared" ca="1" si="15"/>
        <v>3.1144191870179867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1.0020616070550379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96.367500000000007</v>
      </c>
      <c r="H2" s="417">
        <f t="shared" ref="H2:H6" si="0">IF(F2&lt;G2,F2,IF(E2&gt;G2,E2,G2))</f>
        <v>96.367500000000007</v>
      </c>
      <c r="I2" s="148">
        <f t="shared" ref="I2:I5" si="1">100-H2</f>
        <v>3.6324999999999932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96.325000000000003</v>
      </c>
      <c r="F3" s="150">
        <v>96.33</v>
      </c>
      <c r="G3" s="151">
        <v>96.325000000000003</v>
      </c>
      <c r="H3" s="417">
        <f t="shared" si="0"/>
        <v>96.325000000000003</v>
      </c>
      <c r="I3" s="148">
        <f t="shared" si="1"/>
        <v>3.6749999999999972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96.27</v>
      </c>
      <c r="F4" s="150">
        <v>96.275000000000006</v>
      </c>
      <c r="G4" s="151">
        <v>96.275000000000006</v>
      </c>
      <c r="H4" s="417">
        <f t="shared" si="0"/>
        <v>96.275000000000006</v>
      </c>
      <c r="I4" s="148">
        <f t="shared" si="1"/>
        <v>3.7249999999999943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96.23</v>
      </c>
      <c r="F5" s="150">
        <v>96.234999999999999</v>
      </c>
      <c r="G5" s="151">
        <v>96.23</v>
      </c>
      <c r="H5" s="417">
        <f t="shared" si="0"/>
        <v>96.23</v>
      </c>
      <c r="I5" s="148">
        <f t="shared" si="1"/>
        <v>3.769999999999996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96.16</v>
      </c>
      <c r="F6" s="150">
        <v>96.165000000000006</v>
      </c>
      <c r="G6" s="151">
        <v>96.16</v>
      </c>
      <c r="H6" s="417">
        <f t="shared" si="0"/>
        <v>96.16</v>
      </c>
      <c r="I6" s="148">
        <f>100-H6</f>
        <v>3.8400000000000034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96.13</v>
      </c>
      <c r="F7" s="150">
        <v>96.135000000000005</v>
      </c>
      <c r="G7" s="151">
        <v>96.13</v>
      </c>
      <c r="H7" s="417">
        <f t="shared" ref="H7:H18" si="2">IF(F7&lt;G7,F7,IF(E7&gt;G7,E7,G7))</f>
        <v>96.13</v>
      </c>
      <c r="I7" s="148">
        <f t="shared" ref="I7:I18" si="3">100-H7</f>
        <v>3.8700000000000045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96.09</v>
      </c>
      <c r="F8" s="150">
        <v>96.1</v>
      </c>
      <c r="G8" s="151">
        <v>96.094999999999999</v>
      </c>
      <c r="H8" s="417">
        <f t="shared" si="2"/>
        <v>96.094999999999999</v>
      </c>
      <c r="I8" s="148">
        <f t="shared" si="3"/>
        <v>3.9050000000000011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96.06</v>
      </c>
      <c r="F9" s="150">
        <v>96.064999999999998</v>
      </c>
      <c r="G9" s="151">
        <v>96.064999999999998</v>
      </c>
      <c r="H9" s="417">
        <f t="shared" si="2"/>
        <v>96.064999999999998</v>
      </c>
      <c r="I9" s="148">
        <f t="shared" si="3"/>
        <v>3.9350000000000023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96.025000000000006</v>
      </c>
      <c r="F10" s="150">
        <v>96.034999999999997</v>
      </c>
      <c r="G10" s="151">
        <v>96.03</v>
      </c>
      <c r="H10" s="417">
        <f t="shared" si="2"/>
        <v>96.03</v>
      </c>
      <c r="I10" s="148">
        <f t="shared" si="3"/>
        <v>3.9699999999999989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96.004999999999995</v>
      </c>
      <c r="F11" s="150">
        <v>96.01</v>
      </c>
      <c r="G11" s="151">
        <v>96.01</v>
      </c>
      <c r="H11" s="417">
        <f t="shared" si="2"/>
        <v>96.01</v>
      </c>
      <c r="I11" s="148">
        <f t="shared" si="3"/>
        <v>3.9899999999999949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95.984999999999999</v>
      </c>
      <c r="F12" s="150">
        <v>95.99</v>
      </c>
      <c r="G12" s="151">
        <v>95.99</v>
      </c>
      <c r="H12" s="417">
        <f t="shared" si="2"/>
        <v>95.99</v>
      </c>
      <c r="I12" s="148">
        <f t="shared" si="3"/>
        <v>4.0100000000000051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95.974999999999994</v>
      </c>
      <c r="F13" s="150">
        <v>95.984999999999999</v>
      </c>
      <c r="G13" s="151">
        <v>95.98</v>
      </c>
      <c r="H13" s="417">
        <f t="shared" si="2"/>
        <v>95.98</v>
      </c>
      <c r="I13" s="148">
        <f t="shared" si="3"/>
        <v>4.019999999999996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95.97</v>
      </c>
      <c r="F14" s="150">
        <v>95.98</v>
      </c>
      <c r="G14" s="151">
        <v>95.974999999999994</v>
      </c>
      <c r="H14" s="417">
        <f t="shared" si="2"/>
        <v>95.974999999999994</v>
      </c>
      <c r="I14" s="148">
        <f t="shared" si="3"/>
        <v>4.0250000000000057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95.97</v>
      </c>
      <c r="F15" s="150">
        <v>95.974999999999994</v>
      </c>
      <c r="G15" s="151">
        <v>95.974999999999994</v>
      </c>
      <c r="H15" s="417">
        <f t="shared" si="2"/>
        <v>95.974999999999994</v>
      </c>
      <c r="I15" s="148">
        <f t="shared" si="3"/>
        <v>4.0250000000000057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95.965000000000003</v>
      </c>
      <c r="F16" s="150">
        <v>95.98</v>
      </c>
      <c r="G16" s="151">
        <v>95.965000000000003</v>
      </c>
      <c r="H16" s="417">
        <f t="shared" si="2"/>
        <v>95.965000000000003</v>
      </c>
      <c r="I16" s="148">
        <f t="shared" si="3"/>
        <v>4.0349999999999966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95.965000000000003</v>
      </c>
      <c r="F17" s="150">
        <v>95.98</v>
      </c>
      <c r="G17" s="151">
        <v>95.965000000000003</v>
      </c>
      <c r="H17" s="417">
        <f t="shared" si="2"/>
        <v>95.965000000000003</v>
      </c>
      <c r="I17" s="148">
        <f t="shared" si="3"/>
        <v>4.0349999999999966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95.97</v>
      </c>
      <c r="F18" s="150">
        <v>95.99</v>
      </c>
      <c r="G18" s="151" t="s">
        <v>231</v>
      </c>
      <c r="H18" s="417">
        <f t="shared" si="2"/>
        <v>95.99</v>
      </c>
      <c r="I18" s="148">
        <f t="shared" si="3"/>
        <v>4.0100000000000051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96.36</v>
      </c>
      <c r="F19" s="397">
        <v>96.362499999999997</v>
      </c>
      <c r="G19" s="398">
        <v>96.36</v>
      </c>
      <c r="H19" s="418">
        <f t="shared" ref="H19:H22" si="4">IF(F19&lt;G19,F19,IF(E19&gt;G19,E19,G19))</f>
        <v>96.36</v>
      </c>
      <c r="I19" s="353">
        <f t="shared" ref="I19:I22" si="5">100-H19</f>
        <v>3.6400000000000006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96.314999999999998</v>
      </c>
      <c r="F20" s="397">
        <v>96.32</v>
      </c>
      <c r="G20" s="398">
        <v>96.32</v>
      </c>
      <c r="H20" s="418">
        <f t="shared" si="4"/>
        <v>96.32</v>
      </c>
      <c r="I20" s="353">
        <f t="shared" si="5"/>
        <v>3.6800000000000068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96.25</v>
      </c>
      <c r="F21" s="397">
        <v>96.254999999999995</v>
      </c>
      <c r="G21" s="398">
        <v>96.254999999999995</v>
      </c>
      <c r="H21" s="418">
        <f t="shared" si="4"/>
        <v>96.254999999999995</v>
      </c>
      <c r="I21" s="353">
        <f t="shared" si="5"/>
        <v>3.7450000000000045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96.204999999999998</v>
      </c>
      <c r="F22" s="397">
        <v>96.21</v>
      </c>
      <c r="G22" s="398">
        <v>96.21</v>
      </c>
      <c r="H22" s="418">
        <f t="shared" si="4"/>
        <v>96.21</v>
      </c>
      <c r="I22" s="353">
        <f t="shared" si="5"/>
        <v>3.7900000000000063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96.125</v>
      </c>
      <c r="F23" s="397">
        <v>96.13</v>
      </c>
      <c r="G23" s="398">
        <v>96.13</v>
      </c>
      <c r="H23" s="418">
        <f t="shared" ref="H23:H35" si="6">IF(F23&lt;G23,F23,IF(E23&gt;G23,E23,G23))</f>
        <v>96.13</v>
      </c>
      <c r="I23" s="353">
        <f t="shared" ref="I23:I35" si="7">100-H23</f>
        <v>3.8700000000000045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96.1</v>
      </c>
      <c r="F24" s="397">
        <v>96.105000000000004</v>
      </c>
      <c r="G24" s="398">
        <v>96.1</v>
      </c>
      <c r="H24" s="418">
        <f t="shared" si="6"/>
        <v>96.1</v>
      </c>
      <c r="I24" s="353">
        <f t="shared" si="7"/>
        <v>3.9000000000000057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96.075000000000003</v>
      </c>
      <c r="F25" s="397">
        <v>96.08</v>
      </c>
      <c r="G25" s="398">
        <v>96.08</v>
      </c>
      <c r="H25" s="418">
        <f t="shared" si="6"/>
        <v>96.08</v>
      </c>
      <c r="I25" s="353">
        <f t="shared" si="7"/>
        <v>3.9200000000000017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96.04</v>
      </c>
      <c r="F26" s="397">
        <v>96.045000000000002</v>
      </c>
      <c r="G26" s="398">
        <v>96.045000000000002</v>
      </c>
      <c r="H26" s="418">
        <f t="shared" si="6"/>
        <v>96.045000000000002</v>
      </c>
      <c r="I26" s="353">
        <f t="shared" si="7"/>
        <v>3.9549999999999983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96.01</v>
      </c>
      <c r="F27" s="397">
        <v>96.015000000000001</v>
      </c>
      <c r="G27" s="398">
        <v>96.015000000000001</v>
      </c>
      <c r="H27" s="418">
        <f t="shared" si="6"/>
        <v>96.015000000000001</v>
      </c>
      <c r="I27" s="353">
        <f t="shared" si="7"/>
        <v>3.9849999999999994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95.984999999999999</v>
      </c>
      <c r="F28" s="397">
        <v>95.99</v>
      </c>
      <c r="G28" s="398">
        <v>95.984999999999999</v>
      </c>
      <c r="H28" s="418">
        <f t="shared" si="6"/>
        <v>95.984999999999999</v>
      </c>
      <c r="I28" s="353">
        <f t="shared" si="7"/>
        <v>4.0150000000000006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95.954999999999998</v>
      </c>
      <c r="F29" s="397">
        <v>95.965000000000003</v>
      </c>
      <c r="G29" s="398">
        <v>95.965000000000003</v>
      </c>
      <c r="H29" s="418">
        <f t="shared" si="6"/>
        <v>95.965000000000003</v>
      </c>
      <c r="I29" s="353">
        <f t="shared" si="7"/>
        <v>4.0349999999999966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95.95</v>
      </c>
      <c r="F30" s="397">
        <v>95.96</v>
      </c>
      <c r="G30" s="398">
        <v>95.954999999999998</v>
      </c>
      <c r="H30" s="418">
        <f t="shared" si="6"/>
        <v>95.954999999999998</v>
      </c>
      <c r="I30" s="353">
        <f t="shared" si="7"/>
        <v>4.0450000000000017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95.94</v>
      </c>
      <c r="F31" s="397">
        <v>95.954999999999998</v>
      </c>
      <c r="G31" s="398">
        <v>95.944999999999993</v>
      </c>
      <c r="H31" s="418">
        <f t="shared" si="6"/>
        <v>95.944999999999993</v>
      </c>
      <c r="I31" s="353">
        <f t="shared" si="7"/>
        <v>4.0550000000000068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95.93</v>
      </c>
      <c r="F32" s="397">
        <v>95.95</v>
      </c>
      <c r="G32" s="398" t="s">
        <v>231</v>
      </c>
      <c r="H32" s="418">
        <f t="shared" si="6"/>
        <v>95.95</v>
      </c>
      <c r="I32" s="353">
        <f t="shared" si="7"/>
        <v>4.0499999999999972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95.924999999999997</v>
      </c>
      <c r="F33" s="397">
        <v>95.95</v>
      </c>
      <c r="G33" s="398" t="s">
        <v>231</v>
      </c>
      <c r="H33" s="418">
        <f t="shared" si="6"/>
        <v>95.95</v>
      </c>
      <c r="I33" s="353">
        <f t="shared" si="7"/>
        <v>4.0499999999999972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95.81</v>
      </c>
      <c r="F34" s="397">
        <v>95.95</v>
      </c>
      <c r="G34" s="398" t="s">
        <v>231</v>
      </c>
      <c r="H34" s="418">
        <f t="shared" si="6"/>
        <v>95.95</v>
      </c>
      <c r="I34" s="353">
        <f t="shared" si="7"/>
        <v>4.0499999999999972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95.9</v>
      </c>
      <c r="F35" s="397">
        <v>95.97</v>
      </c>
      <c r="G35" s="398" t="s">
        <v>231</v>
      </c>
      <c r="H35" s="418">
        <f t="shared" si="6"/>
        <v>95.97</v>
      </c>
      <c r="I35" s="353">
        <f t="shared" si="7"/>
        <v>4.0300000000000011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>
        <v>-1</v>
      </c>
      <c r="F36" s="143">
        <v>-1</v>
      </c>
      <c r="G36" s="144" t="s">
        <v>231</v>
      </c>
      <c r="H36" s="419">
        <f t="shared" ref="H36:H42" si="8">IF(F36&lt;G36,F36,IF(E36&gt;G36,E36,G36))</f>
        <v>-1</v>
      </c>
      <c r="I36" s="145">
        <f t="shared" ref="I36:I42" si="9">100-H36</f>
        <v>101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96.352500000000006</v>
      </c>
      <c r="H37" s="419">
        <f t="shared" si="8"/>
        <v>96.352500000000006</v>
      </c>
      <c r="I37" s="145">
        <f t="shared" si="9"/>
        <v>3.6474999999999937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96.31</v>
      </c>
      <c r="F38" s="143">
        <v>96.317499999999995</v>
      </c>
      <c r="G38" s="144">
        <v>96.32</v>
      </c>
      <c r="H38" s="419">
        <f t="shared" si="8"/>
        <v>96.317499999999995</v>
      </c>
      <c r="I38" s="145">
        <f t="shared" si="9"/>
        <v>3.6825000000000045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96.26</v>
      </c>
      <c r="F39" s="143">
        <v>96.267499999999998</v>
      </c>
      <c r="G39" s="144">
        <v>96.272499999999994</v>
      </c>
      <c r="H39" s="419">
        <f t="shared" si="8"/>
        <v>96.267499999999998</v>
      </c>
      <c r="I39" s="145">
        <f t="shared" si="9"/>
        <v>3.7325000000000017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96.21</v>
      </c>
      <c r="F40" s="143">
        <v>96.212500000000006</v>
      </c>
      <c r="G40" s="144">
        <v>96.212500000000006</v>
      </c>
      <c r="H40" s="419">
        <f t="shared" si="8"/>
        <v>96.212500000000006</v>
      </c>
      <c r="I40" s="145">
        <f t="shared" si="9"/>
        <v>3.7874999999999943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96.14</v>
      </c>
      <c r="F41" s="143">
        <v>96.15</v>
      </c>
      <c r="G41" s="144">
        <v>96.16</v>
      </c>
      <c r="H41" s="419">
        <f t="shared" si="8"/>
        <v>96.15</v>
      </c>
      <c r="I41" s="145">
        <f t="shared" si="9"/>
        <v>3.8499999999999943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96.1</v>
      </c>
      <c r="F42" s="143">
        <v>96.11</v>
      </c>
      <c r="G42" s="144" t="s">
        <v>231</v>
      </c>
      <c r="H42" s="419">
        <f t="shared" si="8"/>
        <v>96.11</v>
      </c>
      <c r="I42" s="145">
        <f t="shared" si="9"/>
        <v>3.8900000000000006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96.064999999999998</v>
      </c>
      <c r="F43" s="143">
        <v>96.07</v>
      </c>
      <c r="G43" s="144">
        <v>96.07</v>
      </c>
      <c r="H43" s="419">
        <f>IF(F43&lt;G43,F43,IF(E43&gt;G43,E43,G43))</f>
        <v>96.07</v>
      </c>
      <c r="I43" s="145">
        <f>100-H43</f>
        <v>3.9300000000000068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96.03</v>
      </c>
      <c r="F44" s="143">
        <v>96.04</v>
      </c>
      <c r="G44" s="144" t="s">
        <v>231</v>
      </c>
      <c r="H44" s="419">
        <f t="shared" ref="H44:H52" si="10">IF(F44&lt;G44,F44,IF(E44&gt;G44,E44,G44))</f>
        <v>96.04</v>
      </c>
      <c r="I44" s="145">
        <f t="shared" ref="I44:I52" si="11">100-H44</f>
        <v>3.9599999999999937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96.004999999999995</v>
      </c>
      <c r="F45" s="143">
        <v>96.015000000000001</v>
      </c>
      <c r="G45" s="144" t="s">
        <v>231</v>
      </c>
      <c r="H45" s="419">
        <f t="shared" si="10"/>
        <v>96.015000000000001</v>
      </c>
      <c r="I45" s="145">
        <f t="shared" si="11"/>
        <v>3.9849999999999994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95.98</v>
      </c>
      <c r="F46" s="143">
        <v>95.984999999999999</v>
      </c>
      <c r="G46" s="144">
        <v>95.98</v>
      </c>
      <c r="H46" s="419">
        <f t="shared" si="10"/>
        <v>95.98</v>
      </c>
      <c r="I46" s="145">
        <f t="shared" si="11"/>
        <v>4.019999999999996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95.93</v>
      </c>
      <c r="F49" s="143">
        <v>95.935000000000002</v>
      </c>
      <c r="G49" s="144">
        <v>95.935000000000002</v>
      </c>
      <c r="H49" s="419">
        <f t="shared" si="10"/>
        <v>95.935000000000002</v>
      </c>
      <c r="I49" s="145">
        <f t="shared" si="11"/>
        <v>4.0649999999999977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95.92</v>
      </c>
      <c r="F52" s="143">
        <v>95.924999999999997</v>
      </c>
      <c r="G52" s="144">
        <v>95.92</v>
      </c>
      <c r="H52" s="419">
        <f t="shared" si="10"/>
        <v>95.92</v>
      </c>
      <c r="I52" s="145">
        <f t="shared" si="11"/>
        <v>4.0799999999999983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 ca="1">'DAILY EXTRAPOLATION'!N2457</f>
        <v>1.0003040151515152</v>
      </c>
      <c r="D83" s="454">
        <f t="shared" ca="1" si="4"/>
        <v>1.0084962757126295</v>
      </c>
      <c r="E83" s="450">
        <f t="shared" ca="1" si="5"/>
        <v>3.7300722640812231E-2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 ca="1">'DAILY EXTRAPOLATION'!N2458</f>
        <v>1</v>
      </c>
      <c r="D84" s="454">
        <f t="shared" ca="1" si="4"/>
        <v>1.0084962757126295</v>
      </c>
      <c r="E84" s="450">
        <f t="shared" ca="1" si="5"/>
        <v>3.685131634393498E-2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 ca="1">'DAILY EXTRAPOLATION'!N2459</f>
        <v>1</v>
      </c>
      <c r="D85" s="454">
        <f t="shared" ca="1" si="4"/>
        <v>1.0084962757126295</v>
      </c>
      <c r="E85" s="450">
        <f t="shared" ca="1" si="5"/>
        <v>3.6412610196983372E-2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 ca="1">'DAILY EXTRAPOLATION'!N2460</f>
        <v>1.0001013383838384</v>
      </c>
      <c r="D86" s="454">
        <f t="shared" ca="1" si="4"/>
        <v>1.0085984750953172</v>
      </c>
      <c r="E86" s="450">
        <f t="shared" ca="1" si="5"/>
        <v>3.6417070991931644E-2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 ca="1">'DAILY EXTRAPOLATION'!N2461</f>
        <v>1.0001013383838384</v>
      </c>
      <c r="D87" s="454">
        <f t="shared" ca="1" si="4"/>
        <v>1.0087006848347253</v>
      </c>
      <c r="E87" s="450">
        <f t="shared" ca="1" si="5"/>
        <v>3.6421471401175687E-2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1.0001013383838384</v>
      </c>
      <c r="D88" s="454">
        <f t="shared" ca="1" si="4"/>
        <v>1.0088029049319032</v>
      </c>
      <c r="E88" s="450">
        <f t="shared" ca="1" si="5"/>
        <v>3.6425813511323443E-2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1.0001013383838384</v>
      </c>
      <c r="D89" s="454">
        <f t="shared" ca="1" si="4"/>
        <v>1.0089051353879004</v>
      </c>
      <c r="E89" s="450">
        <f t="shared" ca="1" si="5"/>
        <v>3.6430099314137945E-2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1.0003040151515152</v>
      </c>
      <c r="D90" s="454">
        <f t="shared" ca="1" si="4"/>
        <v>1.0092118578354998</v>
      </c>
      <c r="E90" s="450">
        <f t="shared" ca="1" si="5"/>
        <v>3.7261447424493679E-2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1.0092118578354998</v>
      </c>
      <c r="E91" s="450">
        <f t="shared" ca="1" si="5"/>
        <v>3.6847431341999304E-2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1.0092118578354998</v>
      </c>
      <c r="E92" s="450">
        <f t="shared" ca="1" si="5"/>
        <v>3.6442514514065244E-2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1.0001013383838384</v>
      </c>
      <c r="D93" s="454">
        <f t="shared" ca="1" si="4"/>
        <v>1.0093141297341235</v>
      </c>
      <c r="E93" s="450">
        <f t="shared" ca="1" si="5"/>
        <v>3.6446594611787564E-2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1.0001007595486111</v>
      </c>
      <c r="D94" s="454">
        <f t="shared" ca="1" si="4"/>
        <v>1.0094158277702423</v>
      </c>
      <c r="E94" s="450">
        <f t="shared" ca="1" si="5"/>
        <v>3.6448365562228267E-2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1.0001007595486111</v>
      </c>
      <c r="D95" s="454">
        <f t="shared" ca="1" si="4"/>
        <v>1.0095175360534094</v>
      </c>
      <c r="E95" s="450">
        <f t="shared" ca="1" si="5"/>
        <v>3.6450138076887205E-2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1.0001007595486111</v>
      </c>
      <c r="D96" s="454">
        <f t="shared" ca="1" si="4"/>
        <v>1.0096192545846572</v>
      </c>
      <c r="E96" s="450">
        <f t="shared" ca="1" si="5"/>
        <v>3.645191211027983E-2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1.0004030381944444</v>
      </c>
      <c r="D97" s="454">
        <f t="shared" ca="1" si="4"/>
        <v>1.0100261697061013</v>
      </c>
      <c r="E97" s="450">
        <f t="shared" ca="1" si="5"/>
        <v>3.7598136397879733E-2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1.0100261697061013</v>
      </c>
      <c r="E98" s="450">
        <f t="shared" ca="1" si="5"/>
        <v>3.7210526744293343E-2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1.0100261697061013</v>
      </c>
      <c r="E99" s="450">
        <f t="shared" ca="1" si="5"/>
        <v>3.6830827491800555E-2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1.0100261697061013</v>
      </c>
      <c r="E100" s="450">
        <f t="shared" ca="1" si="5"/>
        <v>3.645879893127732E-2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1.0001007595486111</v>
      </c>
      <c r="D101" s="454">
        <f t="shared" ca="1" si="4"/>
        <v>1.0101279394870462</v>
      </c>
      <c r="E101" s="450">
        <f t="shared" ca="1" si="5"/>
        <v>3.6460582153366158E-2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1.0001007595486111</v>
      </c>
      <c r="D102" s="454">
        <f t="shared" ca="1" si="4"/>
        <v>1.0102297195222683</v>
      </c>
      <c r="E102" s="450">
        <f t="shared" ca="1" si="5"/>
        <v>3.6462366614025465E-2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1.0001007595486111</v>
      </c>
      <c r="D103" s="454">
        <f t="shared" ca="1" si="4"/>
        <v>1.010331509812801</v>
      </c>
      <c r="E103" s="450">
        <f t="shared" ca="1" si="5"/>
        <v>3.6464152280473956E-2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1.0003022786458333</v>
      </c>
      <c r="D104" s="454">
        <f t="shared" ca="1" si="4"/>
        <v>1.0106369114534299</v>
      </c>
      <c r="E104" s="450">
        <f t="shared" ca="1" si="5"/>
        <v>3.7177554594512378E-2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1.0106369114534299</v>
      </c>
      <c r="E105" s="450">
        <f t="shared" ca="1" si="5"/>
        <v>3.6820078108026684E-2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1.0106369114534299</v>
      </c>
      <c r="E106" s="450">
        <f t="shared" ca="1" si="5"/>
        <v>3.6469410697474051E-2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1.0001007595486111</v>
      </c>
      <c r="D107" s="454">
        <f t="shared" ca="1" si="4"/>
        <v>1.0107387427724377</v>
      </c>
      <c r="E107" s="450">
        <f t="shared" ca="1" si="5"/>
        <v>3.6471201868656315E-2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1.0001007595486111</v>
      </c>
      <c r="D108" s="454">
        <f t="shared" ca="1" si="4"/>
        <v>1.0108405843519233</v>
      </c>
      <c r="E108" s="450">
        <f t="shared" ca="1" si="5"/>
        <v>3.6472994081237116E-2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1.0001007595486111</v>
      </c>
      <c r="D109" s="454">
        <f t="shared" ca="1" si="4"/>
        <v>1.0109424361929202</v>
      </c>
      <c r="E109" s="450">
        <f t="shared" ca="1" si="5"/>
        <v>3.6474787309734115E-2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1.0001038938492064</v>
      </c>
      <c r="D110" s="454">
        <f t="shared" ca="1" si="4"/>
        <v>1.0110474668939424</v>
      </c>
      <c r="E110" s="450">
        <f t="shared" ca="1" si="5"/>
        <v>3.6487046622195166E-2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1.000311681547619</v>
      </c>
      <c r="D111" s="454">
        <f t="shared" ca="1" si="4"/>
        <v>1.0113625917331401</v>
      </c>
      <c r="E111" s="450">
        <f t="shared" ca="1" si="5"/>
        <v>3.7186663853913178E-2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1.0113625917331401</v>
      </c>
      <c r="E112" s="450">
        <f t="shared" ca="1" si="5"/>
        <v>3.6851648864238286E-2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1.0113625917331401</v>
      </c>
      <c r="E113" s="450">
        <f t="shared" ca="1" si="5"/>
        <v>3.6522616285093297E-2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1.0001038938492064</v>
      </c>
      <c r="D114" s="454">
        <f t="shared" ca="1" si="4"/>
        <v>1.0114676660857387</v>
      </c>
      <c r="E114" s="450">
        <f t="shared" ca="1" si="5"/>
        <v>3.6534157441291376E-2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1.0001038938492064</v>
      </c>
      <c r="D115" s="454">
        <f t="shared" ca="1" si="4"/>
        <v>1.0115727513549162</v>
      </c>
      <c r="E115" s="450">
        <f t="shared" ca="1" si="5"/>
        <v>3.6545530594472207E-2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1.0001038938492064</v>
      </c>
      <c r="D116" s="454">
        <f t="shared" ca="1" si="4"/>
        <v>1.0116778475418067</v>
      </c>
      <c r="E116" s="450">
        <f t="shared" ca="1" si="5"/>
        <v>3.6556740130873067E-2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1.0001038938492064</v>
      </c>
      <c r="D117" s="454">
        <f t="shared" ca="1" si="4"/>
        <v>1.0117829546475445</v>
      </c>
      <c r="E117" s="450">
        <f t="shared" ca="1" si="5"/>
        <v>3.6567790285483022E-2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1.000311681547619</v>
      </c>
      <c r="D118" s="454">
        <f t="shared" ca="1" si="4"/>
        <v>1.0120983087247035</v>
      </c>
      <c r="E118" s="450">
        <f t="shared" ca="1" si="5"/>
        <v>3.7225565306780069E-2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1.0120983087247035</v>
      </c>
      <c r="E119" s="450">
        <f t="shared" ca="1" si="5"/>
        <v>3.6910094414349726E-2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1.0120983087247035</v>
      </c>
      <c r="E120" s="450">
        <f t="shared" ca="1" si="5"/>
        <v>3.6599925553724939E-2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1.0001038938492064</v>
      </c>
      <c r="D121" s="454">
        <f t="shared" ca="1" si="4"/>
        <v>1.0122034595137721</v>
      </c>
      <c r="E121" s="450">
        <f t="shared" ca="1" si="5"/>
        <v>3.6610378541316324E-2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1.0001038938492064</v>
      </c>
      <c r="D122" s="454">
        <f t="shared" ca="1" si="4"/>
        <v>1.0123086212273611</v>
      </c>
      <c r="E122" s="450">
        <f t="shared" ca="1" si="5"/>
        <v>3.6620691254958627E-2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1.0001038938492064</v>
      </c>
      <c r="D123" s="454">
        <f t="shared" ca="1" si="4"/>
        <v>1.0124137938666051</v>
      </c>
      <c r="E123" s="450">
        <f t="shared" ca="1" si="5"/>
        <v>3.6630867147359393E-2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1.0001038938492064</v>
      </c>
      <c r="D124" s="454">
        <f t="shared" ca="1" si="4"/>
        <v>1.0125189774326395</v>
      </c>
      <c r="E124" s="450">
        <f t="shared" ca="1" si="5"/>
        <v>3.6640909558944945E-2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1.000311681547619</v>
      </c>
      <c r="D125" s="454">
        <f t="shared" ca="1" si="4"/>
        <v>1.0128345609145193</v>
      </c>
      <c r="E125" s="450">
        <f t="shared" ca="1" si="5"/>
        <v>3.7261628461507615E-2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1.0128345609145193</v>
      </c>
      <c r="E126" s="450">
        <f t="shared" ca="1" si="5"/>
        <v>3.6963535433815552E-2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1.0128345609145193</v>
      </c>
      <c r="E127" s="450">
        <f t="shared" ca="1" si="5"/>
        <v>3.6670174041483684E-2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1.0001038938492064</v>
      </c>
      <c r="D128" s="454">
        <f t="shared" ca="1" si="4"/>
        <v>1.0129397881956619</v>
      </c>
      <c r="E128" s="450">
        <f t="shared" ca="1" si="5"/>
        <v>3.6679714570380141E-2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1.0001038938492064</v>
      </c>
      <c r="D129" s="454">
        <f t="shared" ca="1" si="4"/>
        <v>1.0130450264092719</v>
      </c>
      <c r="E129" s="450">
        <f t="shared" ca="1" si="5"/>
        <v>3.6689136776077089E-2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1.0001038938492064</v>
      </c>
      <c r="D130" s="454">
        <f t="shared" ca="1" si="4"/>
        <v>1.013150275556485</v>
      </c>
      <c r="E130" s="450">
        <f t="shared" ca="1" si="5"/>
        <v>3.6698443413446392E-2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1.0001038938492064</v>
      </c>
      <c r="D131" s="454">
        <f t="shared" ca="1" si="4"/>
        <v>1.013255535638437</v>
      </c>
      <c r="E131" s="450">
        <f t="shared" ca="1" si="5"/>
        <v>3.6707637152594647E-2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1.0004155753968254</v>
      </c>
      <c r="D132" s="454">
        <f t="shared" ref="D132:D195" ca="1" si="7">D131*C132</f>
        <v>1.0136766197097453</v>
      </c>
      <c r="E132" s="450">
        <f t="shared" ref="E132:E195" ca="1" si="8">(D132/1-1)*360/(B132-A$2)</f>
        <v>3.7584603782506221E-2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1.0136766197097453</v>
      </c>
      <c r="E133" s="450">
        <f t="shared" ca="1" si="8"/>
        <v>3.7299871935669054E-2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1.0136766197097453</v>
      </c>
      <c r="E134" s="450">
        <f t="shared" ca="1" si="8"/>
        <v>3.7019421770739212E-2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1.0136766197097453</v>
      </c>
      <c r="E135" s="450">
        <f t="shared" ca="1" si="8"/>
        <v>3.6743157429166527E-2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1.0001038938492064</v>
      </c>
      <c r="D136" s="454">
        <f t="shared" ca="1" si="7"/>
        <v>1.0137819344756176</v>
      </c>
      <c r="E136" s="450">
        <f t="shared" ca="1" si="8"/>
        <v>3.6751825268313588E-2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1.0001038938492064</v>
      </c>
      <c r="D137" s="454">
        <f t="shared" ca="1" si="7"/>
        <v>1.0138872601830462</v>
      </c>
      <c r="E137" s="450">
        <f t="shared" ca="1" si="8"/>
        <v>3.6760394602181119E-2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1.0001038938492064</v>
      </c>
      <c r="D138" s="454">
        <f t="shared" ca="1" si="7"/>
        <v>1.013992596833168</v>
      </c>
      <c r="E138" s="450">
        <f t="shared" ca="1" si="8"/>
        <v>3.6768867590806428E-2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1.000311681547619</v>
      </c>
      <c r="D139" s="454">
        <f t="shared" ca="1" si="7"/>
        <v>1.0143086396150232</v>
      </c>
      <c r="E139" s="450">
        <f t="shared" ca="1" si="8"/>
        <v>3.7326885952234316E-2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1.0143086396150232</v>
      </c>
      <c r="E140" s="450">
        <f t="shared" ca="1" si="8"/>
        <v>3.7058347204376514E-2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1.0143086396150232</v>
      </c>
      <c r="E141" s="450">
        <f t="shared" ca="1" si="8"/>
        <v>3.6793644724345258E-2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1.0001038938492064</v>
      </c>
      <c r="D142" s="454">
        <f t="shared" ca="1" si="7"/>
        <v>1.014414020043876</v>
      </c>
      <c r="E142" s="450">
        <f t="shared" ca="1" si="8"/>
        <v>3.6801753303513297E-2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1.0001038938492064</v>
      </c>
      <c r="D143" s="454">
        <f t="shared" ca="1" si="7"/>
        <v>1.0145194114211074</v>
      </c>
      <c r="E143" s="450">
        <f t="shared" ca="1" si="8"/>
        <v>3.6809775433793289E-2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1.0001038938492064</v>
      </c>
      <c r="D144" s="454">
        <f t="shared" ca="1" si="7"/>
        <v>1.0146248137478544</v>
      </c>
      <c r="E144" s="450">
        <f t="shared" ca="1" si="8"/>
        <v>3.6817712931661438E-2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1.0001038938492064</v>
      </c>
      <c r="D145" s="454">
        <f t="shared" ca="1" si="7"/>
        <v>1.0147302270252549</v>
      </c>
      <c r="E145" s="450">
        <f t="shared" ca="1" si="8"/>
        <v>3.6825567563137374E-2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1.000311681547619</v>
      </c>
      <c r="D146" s="454">
        <f t="shared" ca="1" si="7"/>
        <v>1.0150464997128299</v>
      </c>
      <c r="E146" s="450">
        <f t="shared" ca="1" si="8"/>
        <v>3.735682687323285E-2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1.0150464997128299</v>
      </c>
      <c r="E147" s="450">
        <f t="shared" ca="1" si="8"/>
        <v>3.7100958196018927E-2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1.0150464997128299</v>
      </c>
      <c r="E148" s="450">
        <f t="shared" ca="1" si="8"/>
        <v>3.6848570725297708E-2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1.0001038938492064</v>
      </c>
      <c r="D149" s="454">
        <f t="shared" ca="1" si="7"/>
        <v>1.0151519568008085</v>
      </c>
      <c r="E149" s="450">
        <f t="shared" ca="1" si="8"/>
        <v>3.6856111137101751E-2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1.0001038938492064</v>
      </c>
      <c r="D150" s="454">
        <f t="shared" ca="1" si="7"/>
        <v>1.01525742484513</v>
      </c>
      <c r="E150" s="450">
        <f t="shared" ca="1" si="8"/>
        <v>3.6863576807025601E-2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1.0001038938492064</v>
      </c>
      <c r="D151" s="454">
        <f t="shared" ca="1" si="7"/>
        <v>1.0153629038469325</v>
      </c>
      <c r="E151" s="450">
        <f t="shared" ca="1" si="8"/>
        <v>3.6870969232638016E-2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1.0001052777777777</v>
      </c>
      <c r="D152" s="454">
        <f t="shared" ca="1" si="7"/>
        <v>1.0154697989970873</v>
      </c>
      <c r="E152" s="450">
        <f t="shared" ca="1" si="8"/>
        <v>3.6881639993055902E-2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1.0003158333333333</v>
      </c>
      <c r="D153" s="454">
        <f t="shared" ca="1" si="7"/>
        <v>1.0157905182086038</v>
      </c>
      <c r="E153" s="450">
        <f t="shared" ca="1" si="8"/>
        <v>3.7398595757219467E-2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1.0157905182086038</v>
      </c>
      <c r="E154" s="450">
        <f t="shared" ca="1" si="8"/>
        <v>3.7154160490832415E-2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1.0157905182086038</v>
      </c>
      <c r="E155" s="450">
        <f t="shared" ca="1" si="8"/>
        <v>3.6912899708424415E-2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1.0001052777777777</v>
      </c>
      <c r="D156" s="454">
        <f t="shared" ca="1" si="7"/>
        <v>1.0158974583770484</v>
      </c>
      <c r="E156" s="450">
        <f t="shared" ca="1" si="8"/>
        <v>3.6923129133789756E-2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1.0001052777777777</v>
      </c>
      <c r="D157" s="454">
        <f t="shared" ca="1" si="7"/>
        <v>1.0160044098039163</v>
      </c>
      <c r="E157" s="450">
        <f t="shared" ca="1" si="8"/>
        <v>3.6933253393652915E-2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1.0001052777777777</v>
      </c>
      <c r="D158" s="454">
        <f t="shared" ca="1" si="7"/>
        <v>1.0161113724903927</v>
      </c>
      <c r="E158" s="450">
        <f t="shared" ca="1" si="8"/>
        <v>3.6943274500263606E-2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1.0001052777777777</v>
      </c>
      <c r="D159" s="454">
        <f t="shared" ca="1" si="7"/>
        <v>1.0162183464376631</v>
      </c>
      <c r="E159" s="450">
        <f t="shared" ca="1" si="8"/>
        <v>3.695319441492851E-2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1.0003158333333333</v>
      </c>
      <c r="D160" s="454">
        <f t="shared" ca="1" si="7"/>
        <v>1.016539302065413</v>
      </c>
      <c r="E160" s="450">
        <f t="shared" ca="1" si="8"/>
        <v>3.7447476374519971E-2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1.016539302065413</v>
      </c>
      <c r="E161" s="450">
        <f t="shared" ca="1" si="8"/>
        <v>3.7213429647179219E-2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1.016539302065413</v>
      </c>
      <c r="E162" s="450">
        <f t="shared" ca="1" si="8"/>
        <v>3.6982290332600469E-2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1.0001052777777777</v>
      </c>
      <c r="D163" s="454">
        <f t="shared" ca="1" si="7"/>
        <v>1.0166463210641581</v>
      </c>
      <c r="E163" s="450">
        <f t="shared" ca="1" si="8"/>
        <v>3.6991824587017968E-2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1.0002105555555556</v>
      </c>
      <c r="D164" s="454">
        <f t="shared" ca="1" si="7"/>
        <v>1.0168603815950934</v>
      </c>
      <c r="E164" s="450">
        <f t="shared" ca="1" si="8"/>
        <v>3.7237652602660265E-2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1.0168603815950934</v>
      </c>
      <c r="E165" s="450">
        <f t="shared" ca="1" si="8"/>
        <v>3.7010593745326975E-2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1.0001052777777777</v>
      </c>
      <c r="D166" s="454">
        <f t="shared" ca="1" si="7"/>
        <v>1.0169674343963779</v>
      </c>
      <c r="E166" s="450">
        <f t="shared" ca="1" si="8"/>
        <v>3.7019856864824584E-2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1.0003158333333333</v>
      </c>
      <c r="D167" s="454">
        <f t="shared" ca="1" si="7"/>
        <v>1.0172886266110748</v>
      </c>
      <c r="E167" s="450">
        <f t="shared" ca="1" si="8"/>
        <v>3.7493407108354936E-2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1.0172886266110748</v>
      </c>
      <c r="E168" s="450">
        <f t="shared" ca="1" si="8"/>
        <v>3.7268895688544426E-2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1.0172886266110748</v>
      </c>
      <c r="E169" s="450">
        <f t="shared" ca="1" si="8"/>
        <v>3.7047057023731664E-2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1.0001052777777777</v>
      </c>
      <c r="D170" s="454">
        <f t="shared" ca="1" si="7"/>
        <v>1.0173957244970429</v>
      </c>
      <c r="E170" s="450">
        <f t="shared" ca="1" si="8"/>
        <v>3.7055981177132706E-2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1.0001052777777777</v>
      </c>
      <c r="D171" s="454">
        <f t="shared" ca="1" si="7"/>
        <v>1.0175028336580385</v>
      </c>
      <c r="E171" s="450">
        <f t="shared" ca="1" si="8"/>
        <v>3.7064824217022722E-2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1.0001052777777777</v>
      </c>
      <c r="D172" s="454">
        <f t="shared" ca="1" si="7"/>
        <v>1.0176099540952486</v>
      </c>
      <c r="E172" s="450">
        <f t="shared" ca="1" si="8"/>
        <v>3.7073587568944355E-2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1.0001052777777777</v>
      </c>
      <c r="D173" s="454">
        <f t="shared" ca="1" si="7"/>
        <v>1.0177170858098601</v>
      </c>
      <c r="E173" s="450">
        <f t="shared" ca="1" si="8"/>
        <v>3.7082272625288557E-2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1.0003158333333333</v>
      </c>
      <c r="D174" s="454">
        <f t="shared" ca="1" si="7"/>
        <v>1.0180385147894617</v>
      </c>
      <c r="E174" s="450">
        <f t="shared" ca="1" si="8"/>
        <v>3.7536793781538846E-2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1.0180385147894617</v>
      </c>
      <c r="E175" s="450">
        <f t="shared" ca="1" si="8"/>
        <v>3.7321065081644948E-2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1.0180385147894617</v>
      </c>
      <c r="E176" s="450">
        <f t="shared" ca="1" si="8"/>
        <v>3.7107801852606974E-2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1.0001052777777777</v>
      </c>
      <c r="D177" s="454">
        <f t="shared" ca="1" si="7"/>
        <v>1.0181456916219909</v>
      </c>
      <c r="E177" s="450">
        <f t="shared" ca="1" si="8"/>
        <v>3.7116187408617683E-2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1.0001052777777777</v>
      </c>
      <c r="D178" s="454">
        <f t="shared" ca="1" si="7"/>
        <v>1.0182528797378587</v>
      </c>
      <c r="E178" s="450">
        <f t="shared" ca="1" si="8"/>
        <v>3.7124501161746544E-2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1.0002105555555556</v>
      </c>
      <c r="D179" s="454">
        <f t="shared" ca="1" si="7"/>
        <v>1.0184672785386479</v>
      </c>
      <c r="E179" s="450">
        <f t="shared" ca="1" si="8"/>
        <v>3.7349552100636271E-2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1.0184672785386479</v>
      </c>
      <c r="E180" s="450">
        <f ca="1">(D180/1-1)*360/(B180-A$2)</f>
        <v>3.7140895384990262E-2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1.0003158333333333</v>
      </c>
      <c r="D181" s="454">
        <f t="shared" ca="1" si="7"/>
        <v>1.0187889444541196</v>
      </c>
      <c r="E181" s="450">
        <f t="shared" ca="1" si="8"/>
        <v>3.757788890823921E-2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1.0187889444541196</v>
      </c>
      <c r="E182" s="450">
        <f t="shared" ca="1" si="8"/>
        <v>3.7370276262337333E-2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1.0187889444541196</v>
      </c>
      <c r="E183" s="450">
        <f t="shared" ca="1" si="8"/>
        <v>3.7164945074082738E-2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1.0001052777777777</v>
      </c>
      <c r="D184" s="454">
        <f t="shared" ca="1" si="7"/>
        <v>1.0188962002902162</v>
      </c>
      <c r="E184" s="450">
        <f t="shared" ca="1" si="8"/>
        <v>3.7172853029933534E-2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1.0001052777777777</v>
      </c>
      <c r="D185" s="454">
        <f t="shared" ca="1" si="7"/>
        <v>1.0190034674179689</v>
      </c>
      <c r="E185" s="450">
        <f t="shared" ca="1" si="8"/>
        <v>3.718069712211302E-2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1.0001052777777777</v>
      </c>
      <c r="D186" s="454">
        <f t="shared" ca="1" si="7"/>
        <v>1.0191107458385664</v>
      </c>
      <c r="E186" s="450">
        <f t="shared" ca="1" si="8"/>
        <v>3.7188478388561687E-2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1.0001052777777777</v>
      </c>
      <c r="D187" s="454">
        <f t="shared" ca="1" si="7"/>
        <v>1.0192180355531977</v>
      </c>
      <c r="E187" s="450">
        <f t="shared" ca="1" si="8"/>
        <v>3.7196197844898728E-2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1.0003158333333333</v>
      </c>
      <c r="D188" s="454">
        <f t="shared" ca="1" si="7"/>
        <v>1.0195399385827599</v>
      </c>
      <c r="E188" s="450">
        <f t="shared" ca="1" si="8"/>
        <v>3.7616994063067247E-2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1.0195399385827599</v>
      </c>
      <c r="E189" s="450">
        <f t="shared" ca="1" si="8"/>
        <v>3.7416903669114758E-2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1.0195399385827599</v>
      </c>
      <c r="E190" s="450">
        <f t="shared" ca="1" si="8"/>
        <v>3.7218930633828438E-2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1.0001052777777777</v>
      </c>
      <c r="D191" s="454">
        <f t="shared" ca="1" si="7"/>
        <v>1.0196472734818496</v>
      </c>
      <c r="E191" s="450">
        <f t="shared" ca="1" si="8"/>
        <v>3.7226412912978152E-2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1.0001052777777777</v>
      </c>
      <c r="D192" s="454">
        <f t="shared" ca="1" si="7"/>
        <v>1.0197546196809189</v>
      </c>
      <c r="E192" s="450">
        <f t="shared" ca="1" si="8"/>
        <v>3.7233838142045998E-2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1.0001052777777777</v>
      </c>
      <c r="D193" s="454">
        <f t="shared" ca="1" si="7"/>
        <v>1.0198619771811575</v>
      </c>
      <c r="E193" s="450">
        <f t="shared" ca="1" si="8"/>
        <v>3.7241207214670224E-2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1.0001084090909091</v>
      </c>
      <c r="D194" s="454">
        <f t="shared" ca="1" si="7"/>
        <v>1.0199725394909565</v>
      </c>
      <c r="E194" s="450">
        <f t="shared" ca="1" si="8"/>
        <v>3.7254477806965405E-2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1.0003252272727272</v>
      </c>
      <c r="D195" s="454">
        <f t="shared" ca="1" si="7"/>
        <v>1.0203042623782317</v>
      </c>
      <c r="E195" s="450">
        <f t="shared" ca="1" si="8"/>
        <v>3.7678012660636119E-2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1.0203042623782317</v>
      </c>
      <c r="E196" s="450">
        <f t="shared" ref="E196:E216" ca="1" si="11">(D196/1-1)*360/(B196-A$2)</f>
        <v>3.7484792082889268E-2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1.0203042623782317</v>
      </c>
      <c r="E197" s="450">
        <f t="shared" ca="1" si="11"/>
        <v>3.7293543143690849E-2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1.0001084090909091</v>
      </c>
      <c r="D198" s="454">
        <f t="shared" ca="1" si="10"/>
        <v>1.0204148726357669</v>
      </c>
      <c r="E198" s="450">
        <f t="shared" ca="1" si="11"/>
        <v>3.7306366237949688E-2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1.0001084090909091</v>
      </c>
      <c r="D199" s="454">
        <f t="shared" ca="1" si="10"/>
        <v>1.0205254948844595</v>
      </c>
      <c r="E199" s="450">
        <f t="shared" ca="1" si="11"/>
        <v>3.7319081608108255E-2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1.0001084090909091</v>
      </c>
      <c r="D200" s="454">
        <f t="shared" ca="1" si="10"/>
        <v>1.0206361291256096</v>
      </c>
      <c r="E200" s="450">
        <f t="shared" ca="1" si="11"/>
        <v>3.7331690880499847E-2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1.0001084090909091</v>
      </c>
      <c r="D201" s="454">
        <f t="shared" ca="1" si="10"/>
        <v>1.0207467753605173</v>
      </c>
      <c r="E201" s="450">
        <f t="shared" ca="1" si="11"/>
        <v>3.73441956489311E-2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1.0003252272727272</v>
      </c>
      <c r="D202" s="454">
        <f t="shared" ca="1" si="10"/>
        <v>1.0210787500504128</v>
      </c>
      <c r="E202" s="450">
        <f t="shared" ca="1" si="11"/>
        <v>3.7752985164918484E-2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1.0210787500504128</v>
      </c>
      <c r="E203" s="450">
        <f t="shared" ca="1" si="11"/>
        <v>3.7566089198755523E-2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1.0210787500504128</v>
      </c>
      <c r="E204" s="450">
        <f t="shared" ca="1" si="11"/>
        <v>3.7381034572160667E-2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1.0001084090909091</v>
      </c>
      <c r="D205" s="454">
        <f t="shared" ca="1" si="10"/>
        <v>1.0211894442694525</v>
      </c>
      <c r="E205" s="450">
        <f t="shared" ca="1" si="11"/>
        <v>3.739313694609258E-2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1.0001084090909091</v>
      </c>
      <c r="D206" s="454">
        <f t="shared" ca="1" si="10"/>
        <v>1.0213001504887518</v>
      </c>
      <c r="E206" s="450">
        <f t="shared" ca="1" si="11"/>
        <v>3.7405142321710438E-2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1.0001084090909091</v>
      </c>
      <c r="D207" s="454">
        <f t="shared" ca="1" si="10"/>
        <v>1.0214108687096117</v>
      </c>
      <c r="E207" s="450">
        <f t="shared" ca="1" si="11"/>
        <v>3.7417052113884575E-2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1.0004336363636364</v>
      </c>
      <c r="D208" s="454">
        <f t="shared" ca="1" si="10"/>
        <v>1.0218537896044977</v>
      </c>
      <c r="E208" s="450">
        <f t="shared" ca="1" si="11"/>
        <v>3.8006590616517719E-2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1.0218537896044977</v>
      </c>
      <c r="E209" s="450">
        <f t="shared" ca="1" si="11"/>
        <v>3.782386662316907E-2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1.0218537896044977</v>
      </c>
      <c r="E210" s="450">
        <f t="shared" ca="1" si="11"/>
        <v>3.7642891184780702E-2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1.0218537896044977</v>
      </c>
      <c r="E211" s="450">
        <f t="shared" ca="1" si="11"/>
        <v>3.7463639321996034E-2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1.0001084090909091</v>
      </c>
      <c r="D212" s="454">
        <f t="shared" ca="1" si="10"/>
        <v>1.0219645678448708</v>
      </c>
      <c r="E212" s="450">
        <f t="shared" ca="1" si="11"/>
        <v>3.7475092057599427E-2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1.0001084090909091</v>
      </c>
      <c r="D213" s="454">
        <f t="shared" ca="1" si="10"/>
        <v>1.0220753580946123</v>
      </c>
      <c r="E213" s="450">
        <f t="shared" ca="1" si="11"/>
        <v>3.748645714179439E-2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1.0001084090909091</v>
      </c>
      <c r="D214" s="454">
        <f t="shared" ca="1" si="10"/>
        <v>1.022186160355024</v>
      </c>
      <c r="E214" s="450">
        <f t="shared" ca="1" si="11"/>
        <v>3.7497735811308108E-2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1.0004336363636364</v>
      </c>
      <c r="D215" s="454">
        <f t="shared" ca="1" si="10"/>
        <v>1.0226294174445598</v>
      </c>
      <c r="E215" s="450">
        <f t="shared" ca="1" si="11"/>
        <v>3.8068178878698761E-2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1.0226294174445598</v>
      </c>
      <c r="E216" s="450">
        <f t="shared" ca="1" si="11"/>
        <v>3.7891117581588536E-2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2026-08-21T15:49:24Z</dcterms:modified>
</cp:coreProperties>
</file>