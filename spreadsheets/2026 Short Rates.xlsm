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C77A02F4-5A79-4BF0-867A-8EE635182A2E}" xr6:coauthVersionLast="47" xr6:coauthVersionMax="47" xr10:uidLastSave="{00000000-0000-0000-0000-000000000000}"/>
  <bookViews>
    <workbookView xWindow="0" yWindow="360" windowWidth="29040" windowHeight="15720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" i="5" l="1"/>
  <c r="H52" i="6"/>
  <c r="I52" i="6" s="1"/>
  <c r="H51" i="6"/>
  <c r="I51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34" i="6"/>
  <c r="I34" i="6" s="1"/>
  <c r="H35" i="6"/>
  <c r="I35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H18" i="6"/>
  <c r="I18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G37" i="9"/>
  <c r="G35" i="9"/>
  <c r="G34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G36" i="9"/>
  <c r="I36" i="9" s="1"/>
  <c r="A36" i="9"/>
  <c r="I35" i="9"/>
  <c r="I34" i="9"/>
  <c r="G33" i="9"/>
  <c r="G32" i="9"/>
  <c r="G31" i="9"/>
  <c r="I31" i="9" s="1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K2094" i="1" l="1"/>
  <c r="L2072" i="1"/>
  <c r="L2565" i="1"/>
  <c r="L2443" i="1"/>
  <c r="L2321" i="1"/>
  <c r="L2139" i="1"/>
  <c r="K2089" i="1"/>
  <c r="J9" i="5" l="1"/>
  <c r="J8" i="5"/>
  <c r="J7" i="5"/>
  <c r="J6" i="5"/>
  <c r="J5" i="5"/>
  <c r="J4" i="5"/>
  <c r="J3" i="5"/>
  <c r="H36" i="6" l="1"/>
  <c r="H37" i="6"/>
  <c r="H3" i="5" s="1"/>
  <c r="H38" i="6"/>
  <c r="H4" i="5" s="1"/>
  <c r="H39" i="6"/>
  <c r="H5" i="5" s="1"/>
  <c r="H40" i="6"/>
  <c r="H41" i="6"/>
  <c r="H7" i="5" s="1"/>
  <c r="H42" i="6"/>
  <c r="H8" i="5" s="1"/>
  <c r="H19" i="6"/>
  <c r="H20" i="6"/>
  <c r="H21" i="6"/>
  <c r="E7" i="5" s="1"/>
  <c r="F7" i="5" s="1"/>
  <c r="L2509" i="1" s="1"/>
  <c r="H22" i="6"/>
  <c r="E8" i="5" s="1"/>
  <c r="F8" i="5" s="1"/>
  <c r="L2540" i="1" s="1"/>
  <c r="H2" i="6"/>
  <c r="H3" i="6"/>
  <c r="H4" i="6"/>
  <c r="B7" i="5" s="1"/>
  <c r="H5" i="6"/>
  <c r="B8" i="5" s="1"/>
  <c r="H6" i="6"/>
  <c r="I6" i="6" s="1"/>
  <c r="B5" i="7" a="1"/>
  <c r="B41" i="9" l="1"/>
  <c r="I8" i="5"/>
  <c r="C41" i="9" s="1"/>
  <c r="I5" i="5"/>
  <c r="C38" i="9" s="1"/>
  <c r="B38" i="9"/>
  <c r="I7" i="5"/>
  <c r="C40" i="9" s="1"/>
  <c r="B40" i="9"/>
  <c r="I4" i="5"/>
  <c r="C37" i="9" s="1"/>
  <c r="B37" i="9"/>
  <c r="D8" i="5"/>
  <c r="C8" i="5"/>
  <c r="K2540" i="1" s="1"/>
  <c r="Q8" i="5" s="1"/>
  <c r="L2538" i="1"/>
  <c r="B2529" i="1" s="1"/>
  <c r="L2507" i="1" s="1"/>
  <c r="D7" i="5"/>
  <c r="C7" i="5"/>
  <c r="K2509" i="1" s="1"/>
  <c r="I20" i="6"/>
  <c r="E6" i="5"/>
  <c r="F6" i="5" s="1"/>
  <c r="L2479" i="1" s="1"/>
  <c r="L2236" i="1"/>
  <c r="B9" i="5"/>
  <c r="I2" i="6"/>
  <c r="B5" i="5"/>
  <c r="E9" i="5"/>
  <c r="F9" i="5" s="1"/>
  <c r="L2570" i="1" s="1"/>
  <c r="I19" i="6"/>
  <c r="E5" i="5"/>
  <c r="F5" i="5" s="1"/>
  <c r="L2448" i="1" s="1"/>
  <c r="L2326" i="1"/>
  <c r="I42" i="6"/>
  <c r="I38" i="6"/>
  <c r="I4" i="6"/>
  <c r="I21" i="6"/>
  <c r="I3" i="6"/>
  <c r="B6" i="5"/>
  <c r="L2356" i="1"/>
  <c r="I39" i="6"/>
  <c r="I5" i="6"/>
  <c r="I22" i="6"/>
  <c r="L2417" i="1"/>
  <c r="L2295" i="1"/>
  <c r="I41" i="6"/>
  <c r="I37" i="6"/>
  <c r="L2387" i="1"/>
  <c r="L2267" i="1"/>
  <c r="I40" i="6"/>
  <c r="H6" i="5"/>
  <c r="I6" i="5" s="1"/>
  <c r="I36" i="6"/>
  <c r="L2546" i="1"/>
  <c r="L2551" i="1"/>
  <c r="I3" i="5" l="1"/>
  <c r="C36" i="9" s="1"/>
  <c r="B36" i="9"/>
  <c r="C39" i="9"/>
  <c r="B39" i="9"/>
  <c r="B2528" i="1"/>
  <c r="B2526" i="1"/>
  <c r="B2527" i="1"/>
  <c r="K2538" i="1"/>
  <c r="A2529" i="1" s="1"/>
  <c r="K2507" i="1" s="1"/>
  <c r="R7" i="5" s="1"/>
  <c r="L2446" i="1"/>
  <c r="L2354" i="1"/>
  <c r="L2265" i="1"/>
  <c r="C6" i="5"/>
  <c r="K2479" i="1" s="1"/>
  <c r="D6" i="5"/>
  <c r="C5" i="5"/>
  <c r="K2448" i="1" s="1"/>
  <c r="Q5" i="5" s="1"/>
  <c r="D5" i="5"/>
  <c r="K2417" i="1"/>
  <c r="K2387" i="1"/>
  <c r="C9" i="5"/>
  <c r="K2570" i="1" s="1"/>
  <c r="D9" i="5"/>
  <c r="K2356" i="1"/>
  <c r="L2362" i="1"/>
  <c r="L2273" i="1"/>
  <c r="K2546" i="1"/>
  <c r="L2278" i="1"/>
  <c r="K2551" i="1"/>
  <c r="L2367" i="1"/>
  <c r="L2459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G30" i="9"/>
  <c r="I30" i="9" s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L2089" i="1" l="1"/>
  <c r="I26" i="9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3" i="6"/>
  <c r="H9" i="5" s="1"/>
  <c r="L1038" i="1"/>
  <c r="L1008" i="1"/>
  <c r="L977" i="1"/>
  <c r="L946" i="1"/>
  <c r="L916" i="1"/>
  <c r="L885" i="1"/>
  <c r="L855" i="1"/>
  <c r="L824" i="1"/>
  <c r="L765" i="1"/>
  <c r="L3" i="1"/>
  <c r="I9" i="5" l="1"/>
  <c r="C42" i="9" s="1"/>
  <c r="B42" i="9"/>
  <c r="K1877" i="1"/>
  <c r="K2" i="1"/>
  <c r="K4" i="1" s="1"/>
  <c r="L4" i="1" s="1"/>
  <c r="L7" i="1" s="1"/>
  <c r="I43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L9" i="1" l="1"/>
  <c r="K9" i="1"/>
  <c r="K1882" i="1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L1882" i="1" l="1"/>
  <c r="K1890" i="1"/>
  <c r="C1868" i="1"/>
  <c r="M1868" i="1" s="1"/>
  <c r="F1867" i="1"/>
  <c r="L1873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K1904" i="1" l="1"/>
  <c r="L1902" i="1"/>
  <c r="L1900" i="1"/>
  <c r="C1895" i="1"/>
  <c r="M1895" i="1" s="1"/>
  <c r="F1894" i="1"/>
  <c r="M26" i="1"/>
  <c r="N26" i="1" s="1"/>
  <c r="C27" i="1"/>
  <c r="F26" i="1"/>
  <c r="K1913" i="1"/>
  <c r="L1904" i="1" l="1"/>
  <c r="K1916" i="1"/>
  <c r="C1896" i="1"/>
  <c r="M1896" i="1" s="1"/>
  <c r="F1895" i="1"/>
  <c r="M27" i="1"/>
  <c r="N27" i="1" s="1"/>
  <c r="C28" i="1"/>
  <c r="F27" i="1"/>
  <c r="L1913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L10" i="1"/>
  <c r="K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K40" i="1" l="1"/>
  <c r="C1904" i="1"/>
  <c r="F1903" i="1"/>
  <c r="L37" i="1"/>
  <c r="L38" i="1"/>
  <c r="M35" i="1"/>
  <c r="N35" i="1" s="1"/>
  <c r="C36" i="1"/>
  <c r="F35" i="1"/>
  <c r="L40" i="1" l="1"/>
  <c r="C1905" i="1"/>
  <c r="M1905" i="1" s="1"/>
  <c r="F1904" i="1"/>
  <c r="M36" i="1"/>
  <c r="N36" i="1" s="1"/>
  <c r="C37" i="1"/>
  <c r="F36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K1941" i="1" l="1"/>
  <c r="L1930" i="1"/>
  <c r="L1928" i="1"/>
  <c r="C1923" i="1"/>
  <c r="M1923" i="1" s="1"/>
  <c r="F1922" i="1"/>
  <c r="M54" i="1"/>
  <c r="N54" i="1" s="1"/>
  <c r="C55" i="1"/>
  <c r="F54" i="1"/>
  <c r="K1932" i="1"/>
  <c r="L1941" i="1" l="1"/>
  <c r="K1949" i="1"/>
  <c r="C1924" i="1"/>
  <c r="M1924" i="1" s="1"/>
  <c r="F1923" i="1"/>
  <c r="M55" i="1"/>
  <c r="N55" i="1" s="1"/>
  <c r="C56" i="1"/>
  <c r="F55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L41" i="1"/>
  <c r="K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K71" i="1" l="1"/>
  <c r="C1935" i="1"/>
  <c r="M1935" i="1" s="1"/>
  <c r="F1934" i="1"/>
  <c r="L68" i="1"/>
  <c r="L69" i="1"/>
  <c r="M66" i="1"/>
  <c r="N66" i="1" s="1"/>
  <c r="C67" i="1"/>
  <c r="F66" i="1"/>
  <c r="L71" i="1" l="1"/>
  <c r="C1936" i="1"/>
  <c r="M1936" i="1" s="1"/>
  <c r="F1935" i="1"/>
  <c r="M67" i="1"/>
  <c r="N67" i="1" s="1"/>
  <c r="F67" i="1"/>
  <c r="C68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K1972" i="1" l="1"/>
  <c r="L1959" i="1"/>
  <c r="L1961" i="1"/>
  <c r="C1954" i="1"/>
  <c r="M1954" i="1" s="1"/>
  <c r="F1953" i="1"/>
  <c r="M85" i="1"/>
  <c r="N85" i="1" s="1"/>
  <c r="F85" i="1"/>
  <c r="C86" i="1"/>
  <c r="K1963" i="1"/>
  <c r="L1963" i="1" l="1"/>
  <c r="K1979" i="1"/>
  <c r="C1955" i="1"/>
  <c r="M1955" i="1" s="1"/>
  <c r="F1954" i="1"/>
  <c r="M86" i="1"/>
  <c r="N86" i="1" s="1"/>
  <c r="C87" i="1"/>
  <c r="F86" i="1"/>
  <c r="L1972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K100" i="1" l="1"/>
  <c r="C1964" i="1"/>
  <c r="M1964" i="1" s="1"/>
  <c r="F1963" i="1"/>
  <c r="L97" i="1"/>
  <c r="L98" i="1"/>
  <c r="M95" i="1"/>
  <c r="N95" i="1" s="1"/>
  <c r="F95" i="1"/>
  <c r="C96" i="1"/>
  <c r="L100" i="1" l="1"/>
  <c r="C1965" i="1"/>
  <c r="M1965" i="1" s="1"/>
  <c r="F1964" i="1"/>
  <c r="M96" i="1"/>
  <c r="N96" i="1" s="1"/>
  <c r="C97" i="1"/>
  <c r="F96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K2002" i="1" l="1"/>
  <c r="L1991" i="1"/>
  <c r="L1989" i="1"/>
  <c r="C1984" i="1"/>
  <c r="M1984" i="1" s="1"/>
  <c r="F1983" i="1"/>
  <c r="M115" i="1"/>
  <c r="N115" i="1" s="1"/>
  <c r="F115" i="1"/>
  <c r="C116" i="1"/>
  <c r="K1993" i="1"/>
  <c r="L1993" i="1" l="1"/>
  <c r="K2010" i="1"/>
  <c r="C1985" i="1"/>
  <c r="M1985" i="1" s="1"/>
  <c r="F1984" i="1"/>
  <c r="M116" i="1"/>
  <c r="N116" i="1" s="1"/>
  <c r="C117" i="1"/>
  <c r="F116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K131" i="1" l="1"/>
  <c r="C1995" i="1"/>
  <c r="M1995" i="1" s="1"/>
  <c r="F1994" i="1"/>
  <c r="L128" i="1"/>
  <c r="L129" i="1"/>
  <c r="M126" i="1"/>
  <c r="N126" i="1" s="1"/>
  <c r="C127" i="1"/>
  <c r="F126" i="1"/>
  <c r="L131" i="1" l="1"/>
  <c r="C1996" i="1"/>
  <c r="M1996" i="1" s="1"/>
  <c r="F1995" i="1"/>
  <c r="M127" i="1"/>
  <c r="N127" i="1" s="1"/>
  <c r="F127" i="1"/>
  <c r="C128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K2024" i="1" l="1"/>
  <c r="L2022" i="1"/>
  <c r="L2020" i="1"/>
  <c r="C2015" i="1"/>
  <c r="M2015" i="1" s="1"/>
  <c r="F2014" i="1"/>
  <c r="M146" i="1"/>
  <c r="N146" i="1" s="1"/>
  <c r="F146" i="1"/>
  <c r="C147" i="1"/>
  <c r="K2033" i="1"/>
  <c r="L2033" i="1" l="1"/>
  <c r="K2040" i="1"/>
  <c r="C2016" i="1"/>
  <c r="M2016" i="1" s="1"/>
  <c r="F2015" i="1"/>
  <c r="M147" i="1"/>
  <c r="N147" i="1" s="1"/>
  <c r="F147" i="1"/>
  <c r="C148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K161" i="1" l="1"/>
  <c r="C2025" i="1"/>
  <c r="M2025" i="1" s="1"/>
  <c r="F2024" i="1"/>
  <c r="L158" i="1"/>
  <c r="L159" i="1"/>
  <c r="M156" i="1"/>
  <c r="N156" i="1" s="1"/>
  <c r="C157" i="1"/>
  <c r="F156" i="1"/>
  <c r="L161" i="1" l="1"/>
  <c r="C2026" i="1"/>
  <c r="M2026" i="1" s="1"/>
  <c r="F2025" i="1"/>
  <c r="M157" i="1"/>
  <c r="N157" i="1" s="1"/>
  <c r="F157" i="1"/>
  <c r="C158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K2054" i="1" l="1"/>
  <c r="L2052" i="1"/>
  <c r="L2050" i="1"/>
  <c r="F2044" i="1"/>
  <c r="C2045" i="1"/>
  <c r="M176" i="1"/>
  <c r="N176" i="1" s="1"/>
  <c r="C177" i="1"/>
  <c r="F176" i="1"/>
  <c r="K2063" i="1"/>
  <c r="L2063" i="1" l="1"/>
  <c r="K2071" i="1"/>
  <c r="C2046" i="1"/>
  <c r="F2045" i="1"/>
  <c r="M177" i="1"/>
  <c r="N177" i="1" s="1"/>
  <c r="C178" i="1"/>
  <c r="F177" i="1"/>
  <c r="L2054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K192" i="1" l="1"/>
  <c r="C2056" i="1"/>
  <c r="M2056" i="1" s="1"/>
  <c r="F2055" i="1"/>
  <c r="L190" i="1"/>
  <c r="L189" i="1"/>
  <c r="M187" i="1"/>
  <c r="N187" i="1" s="1"/>
  <c r="C188" i="1"/>
  <c r="F187" i="1"/>
  <c r="L192" i="1" l="1"/>
  <c r="C2057" i="1"/>
  <c r="M2057" i="1" s="1"/>
  <c r="F2056" i="1"/>
  <c r="M188" i="1"/>
  <c r="N188" i="1" s="1"/>
  <c r="C189" i="1"/>
  <c r="F188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K2093" i="1" l="1"/>
  <c r="L2077" i="1"/>
  <c r="L2079" i="1"/>
  <c r="L2087" i="1"/>
  <c r="C2076" i="1"/>
  <c r="M2076" i="1" s="1"/>
  <c r="F2075" i="1"/>
  <c r="M207" i="1"/>
  <c r="N207" i="1" s="1"/>
  <c r="F207" i="1"/>
  <c r="C208" i="1"/>
  <c r="L2093" i="1" l="1"/>
  <c r="C2077" i="1"/>
  <c r="M2077" i="1" s="1"/>
  <c r="F2076" i="1"/>
  <c r="M208" i="1"/>
  <c r="N208" i="1" s="1"/>
  <c r="C209" i="1"/>
  <c r="F208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0" i="1"/>
  <c r="L2125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L193" i="1"/>
  <c r="K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K222" i="1" l="1"/>
  <c r="C2086" i="1"/>
  <c r="M2086" i="1" s="1"/>
  <c r="F2085" i="1"/>
  <c r="L219" i="1"/>
  <c r="L220" i="1"/>
  <c r="M217" i="1"/>
  <c r="N217" i="1" s="1"/>
  <c r="F217" i="1"/>
  <c r="C218" i="1"/>
  <c r="L222" i="1" l="1"/>
  <c r="C2087" i="1"/>
  <c r="M2087" i="1" s="1"/>
  <c r="F2086" i="1"/>
  <c r="M218" i="1"/>
  <c r="N218" i="1" s="1"/>
  <c r="C219" i="1"/>
  <c r="F218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K2119" i="1" l="1"/>
  <c r="L2110" i="1"/>
  <c r="L2108" i="1"/>
  <c r="C2106" i="1"/>
  <c r="M2106" i="1" s="1"/>
  <c r="F2105" i="1"/>
  <c r="M237" i="1"/>
  <c r="N237" i="1" s="1"/>
  <c r="C238" i="1"/>
  <c r="F237" i="1"/>
  <c r="K2124" i="1"/>
  <c r="L2119" i="1" l="1"/>
  <c r="C2107" i="1"/>
  <c r="M2107" i="1" s="1"/>
  <c r="F2106" i="1"/>
  <c r="M238" i="1"/>
  <c r="N238" i="1" s="1"/>
  <c r="F238" i="1"/>
  <c r="C239" i="1"/>
  <c r="L2124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K253" i="1" l="1"/>
  <c r="C2117" i="1"/>
  <c r="M2117" i="1" s="1"/>
  <c r="F2116" i="1"/>
  <c r="L250" i="1"/>
  <c r="L251" i="1"/>
  <c r="M248" i="1"/>
  <c r="N248" i="1" s="1"/>
  <c r="C249" i="1"/>
  <c r="F248" i="1"/>
  <c r="L253" i="1" l="1"/>
  <c r="C2118" i="1"/>
  <c r="M2118" i="1" s="1"/>
  <c r="F2117" i="1"/>
  <c r="M249" i="1"/>
  <c r="N249" i="1" s="1"/>
  <c r="F249" i="1"/>
  <c r="C250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K2149" i="1" l="1"/>
  <c r="K2155" i="1"/>
  <c r="L2140" i="1"/>
  <c r="L2138" i="1"/>
  <c r="C2136" i="1"/>
  <c r="M2136" i="1" s="1"/>
  <c r="F2135" i="1"/>
  <c r="M267" i="1"/>
  <c r="N267" i="1" s="1"/>
  <c r="F267" i="1"/>
  <c r="C268" i="1"/>
  <c r="K2154" i="1"/>
  <c r="K2150" i="1"/>
  <c r="L2150" i="1" l="1"/>
  <c r="L2154" i="1"/>
  <c r="C2137" i="1"/>
  <c r="M2137" i="1" s="1"/>
  <c r="F2136" i="1"/>
  <c r="M268" i="1"/>
  <c r="N268" i="1" s="1"/>
  <c r="C269" i="1"/>
  <c r="F268" i="1"/>
  <c r="L2149" i="1"/>
  <c r="L2155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K254" i="1"/>
  <c r="L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K284" i="1" l="1"/>
  <c r="C2148" i="1"/>
  <c r="M2148" i="1" s="1"/>
  <c r="F2147" i="1"/>
  <c r="L281" i="1"/>
  <c r="L282" i="1"/>
  <c r="M279" i="1"/>
  <c r="N279" i="1" s="1"/>
  <c r="C280" i="1"/>
  <c r="F279" i="1"/>
  <c r="L284" i="1" l="1"/>
  <c r="C2149" i="1"/>
  <c r="M2149" i="1" s="1"/>
  <c r="F2148" i="1"/>
  <c r="M280" i="1"/>
  <c r="N280" i="1" s="1"/>
  <c r="C281" i="1"/>
  <c r="F280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K2180" i="1" l="1"/>
  <c r="L2169" i="1"/>
  <c r="L2171" i="1"/>
  <c r="C2167" i="1"/>
  <c r="M2167" i="1" s="1"/>
  <c r="F2166" i="1"/>
  <c r="M298" i="1"/>
  <c r="N298" i="1" s="1"/>
  <c r="C299" i="1"/>
  <c r="F298" i="1"/>
  <c r="K2185" i="1"/>
  <c r="L2185" i="1" l="1"/>
  <c r="K2182" i="1"/>
  <c r="K2189" i="1" s="1"/>
  <c r="C2168" i="1"/>
  <c r="M2168" i="1" s="1"/>
  <c r="F2167" i="1"/>
  <c r="M299" i="1"/>
  <c r="N299" i="1" s="1"/>
  <c r="F299" i="1"/>
  <c r="C300" i="1"/>
  <c r="L2180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L285" i="1"/>
  <c r="K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K314" i="1" l="1"/>
  <c r="C2178" i="1"/>
  <c r="M2178" i="1" s="1"/>
  <c r="F2177" i="1"/>
  <c r="L311" i="1"/>
  <c r="L312" i="1"/>
  <c r="M309" i="1"/>
  <c r="N309" i="1" s="1"/>
  <c r="F309" i="1"/>
  <c r="C310" i="1"/>
  <c r="L314" i="1" l="1"/>
  <c r="C2179" i="1"/>
  <c r="M2179" i="1" s="1"/>
  <c r="F2178" i="1"/>
  <c r="M310" i="1"/>
  <c r="N310" i="1" s="1"/>
  <c r="F310" i="1"/>
  <c r="C311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K2215" i="1" l="1"/>
  <c r="L2199" i="1"/>
  <c r="L2201" i="1"/>
  <c r="C2197" i="1"/>
  <c r="M2197" i="1" s="1"/>
  <c r="F2196" i="1"/>
  <c r="M328" i="1"/>
  <c r="N328" i="1" s="1"/>
  <c r="F328" i="1"/>
  <c r="C329" i="1"/>
  <c r="K2210" i="1"/>
  <c r="L2210" i="1" l="1"/>
  <c r="C2198" i="1"/>
  <c r="M2198" i="1" s="1"/>
  <c r="F2197" i="1"/>
  <c r="M329" i="1"/>
  <c r="N329" i="1" s="1"/>
  <c r="F329" i="1"/>
  <c r="C33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K345" i="1" l="1"/>
  <c r="M2208" i="1"/>
  <c r="C2209" i="1"/>
  <c r="M2209" i="1" s="1"/>
  <c r="F2208" i="1"/>
  <c r="L342" i="1"/>
  <c r="L343" i="1"/>
  <c r="M340" i="1"/>
  <c r="N340" i="1" s="1"/>
  <c r="C341" i="1"/>
  <c r="F340" i="1"/>
  <c r="L345" i="1" l="1"/>
  <c r="C2210" i="1"/>
  <c r="M2210" i="1" s="1"/>
  <c r="F2209" i="1"/>
  <c r="M341" i="1"/>
  <c r="N341" i="1" s="1"/>
  <c r="F341" i="1"/>
  <c r="C342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K2247" i="1" l="1"/>
  <c r="K2246" i="1"/>
  <c r="L2230" i="1"/>
  <c r="L2232" i="1"/>
  <c r="F2227" i="1"/>
  <c r="M2227" i="1"/>
  <c r="N2227" i="1" s="1"/>
  <c r="C2228" i="1"/>
  <c r="M359" i="1"/>
  <c r="N359" i="1" s="1"/>
  <c r="F359" i="1"/>
  <c r="C360" i="1"/>
  <c r="K2241" i="1"/>
  <c r="K2242" i="1"/>
  <c r="L2241" i="1" l="1"/>
  <c r="L2242" i="1"/>
  <c r="K2243" i="1"/>
  <c r="K2250" i="1" s="1"/>
  <c r="C2229" i="1"/>
  <c r="M2228" i="1"/>
  <c r="N2228" i="1" s="1"/>
  <c r="F2228" i="1"/>
  <c r="M360" i="1"/>
  <c r="N360" i="1" s="1"/>
  <c r="C361" i="1"/>
  <c r="F360" i="1"/>
  <c r="L2247" i="1"/>
  <c r="L2246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K375" i="1" l="1"/>
  <c r="M2238" i="1"/>
  <c r="N2238" i="1" s="1"/>
  <c r="C2239" i="1"/>
  <c r="F2238" i="1"/>
  <c r="L372" i="1"/>
  <c r="L373" i="1"/>
  <c r="M370" i="1"/>
  <c r="N370" i="1" s="1"/>
  <c r="C371" i="1"/>
  <c r="F370" i="1"/>
  <c r="L375" i="1" l="1"/>
  <c r="M2239" i="1"/>
  <c r="N2239" i="1" s="1"/>
  <c r="C2240" i="1"/>
  <c r="F2239" i="1"/>
  <c r="M371" i="1"/>
  <c r="N371" i="1" s="1"/>
  <c r="F371" i="1"/>
  <c r="C372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K2277" i="1" l="1"/>
  <c r="L2261" i="1"/>
  <c r="L2263" i="1"/>
  <c r="M2258" i="1"/>
  <c r="N2258" i="1" s="1"/>
  <c r="C2259" i="1"/>
  <c r="F2258" i="1"/>
  <c r="M390" i="1"/>
  <c r="N390" i="1" s="1"/>
  <c r="C391" i="1"/>
  <c r="F390" i="1"/>
  <c r="K2272" i="1"/>
  <c r="L2277" i="1" l="1"/>
  <c r="K2274" i="1"/>
  <c r="K2281" i="1" s="1"/>
  <c r="M2259" i="1"/>
  <c r="N2259" i="1" s="1"/>
  <c r="C2260" i="1"/>
  <c r="F2259" i="1"/>
  <c r="F391" i="1"/>
  <c r="C392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L376" i="1"/>
  <c r="K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K406" i="1" l="1"/>
  <c r="M2269" i="1"/>
  <c r="N2269" i="1" s="1"/>
  <c r="F2269" i="1"/>
  <c r="C2270" i="1"/>
  <c r="L403" i="1"/>
  <c r="L404" i="1"/>
  <c r="F401" i="1"/>
  <c r="M401" i="1"/>
  <c r="N401" i="1" s="1"/>
  <c r="C402" i="1"/>
  <c r="L406" i="1" l="1"/>
  <c r="M2270" i="1"/>
  <c r="N2270" i="1" s="1"/>
  <c r="C2271" i="1"/>
  <c r="F2270" i="1"/>
  <c r="F402" i="1"/>
  <c r="M402" i="1"/>
  <c r="N402" i="1" s="1"/>
  <c r="C403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L2300" i="1" l="1"/>
  <c r="K2300" i="1"/>
  <c r="N2286" i="1"/>
  <c r="M2287" i="1"/>
  <c r="C2288" i="1"/>
  <c r="F2287" i="1"/>
  <c r="M419" i="1"/>
  <c r="N419" i="1" s="1"/>
  <c r="F419" i="1"/>
  <c r="C420" i="1"/>
  <c r="L2305" i="1"/>
  <c r="K2305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K437" i="1" l="1"/>
  <c r="M2300" i="1"/>
  <c r="C2301" i="1"/>
  <c r="F2300" i="1"/>
  <c r="L435" i="1"/>
  <c r="L434" i="1"/>
  <c r="M432" i="1"/>
  <c r="N432" i="1" s="1"/>
  <c r="F432" i="1"/>
  <c r="C433" i="1"/>
  <c r="L437" i="1" l="1"/>
  <c r="M2301" i="1"/>
  <c r="F2301" i="1"/>
  <c r="C2302" i="1"/>
  <c r="M433" i="1"/>
  <c r="N433" i="1" s="1"/>
  <c r="F433" i="1"/>
  <c r="C434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32" i="1" l="1"/>
  <c r="K2320" i="1"/>
  <c r="L2317" i="1"/>
  <c r="L2320" i="1" s="1"/>
  <c r="F2317" i="1"/>
  <c r="C2318" i="1"/>
  <c r="M449" i="1"/>
  <c r="N449" i="1" s="1"/>
  <c r="F449" i="1"/>
  <c r="C450" i="1"/>
  <c r="K2337" i="1"/>
  <c r="L2331" i="1" l="1"/>
  <c r="K2331" i="1"/>
  <c r="L2322" i="1"/>
  <c r="M2318" i="1"/>
  <c r="F2318" i="1"/>
  <c r="C2319" i="1"/>
  <c r="M450" i="1"/>
  <c r="N450" i="1" s="1"/>
  <c r="F450" i="1"/>
  <c r="C451" i="1"/>
  <c r="K2336" i="1"/>
  <c r="L2336" i="1"/>
  <c r="K2333" i="1" l="1"/>
  <c r="L2337" i="1"/>
  <c r="M2319" i="1"/>
  <c r="C2320" i="1"/>
  <c r="F2319" i="1"/>
  <c r="M451" i="1"/>
  <c r="N451" i="1" s="1"/>
  <c r="F451" i="1"/>
  <c r="C452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1" i="1"/>
  <c r="K2306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K465" i="1" l="1"/>
  <c r="N2327" i="1"/>
  <c r="M2328" i="1"/>
  <c r="C2329" i="1"/>
  <c r="F2328" i="1"/>
  <c r="L462" i="1"/>
  <c r="L463" i="1"/>
  <c r="M460" i="1"/>
  <c r="N460" i="1" s="1"/>
  <c r="F460" i="1"/>
  <c r="C461" i="1"/>
  <c r="L465" i="1" l="1"/>
  <c r="N2328" i="1"/>
  <c r="M2329" i="1"/>
  <c r="C2330" i="1"/>
  <c r="F2329" i="1"/>
  <c r="M461" i="1"/>
  <c r="N461" i="1" s="1"/>
  <c r="F461" i="1"/>
  <c r="C462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K2361" i="1" l="1"/>
  <c r="L2350" i="1"/>
  <c r="L2352" i="1"/>
  <c r="M2347" i="1"/>
  <c r="C2348" i="1"/>
  <c r="F2347" i="1"/>
  <c r="M480" i="1"/>
  <c r="N480" i="1" s="1"/>
  <c r="F480" i="1"/>
  <c r="C481" i="1"/>
  <c r="K2366" i="1"/>
  <c r="K2363" i="1" l="1"/>
  <c r="L2366" i="1"/>
  <c r="M2348" i="1"/>
  <c r="C2349" i="1"/>
  <c r="F2348" i="1"/>
  <c r="M481" i="1"/>
  <c r="N481" i="1" s="1"/>
  <c r="F481" i="1"/>
  <c r="C482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K496" i="1" l="1"/>
  <c r="N2357" i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L496" i="1" l="1"/>
  <c r="N2358" i="1"/>
  <c r="M2359" i="1"/>
  <c r="F2359" i="1"/>
  <c r="C2360" i="1"/>
  <c r="C494" i="1"/>
  <c r="M493" i="1"/>
  <c r="N493" i="1" s="1"/>
  <c r="F493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97" i="1" l="1"/>
  <c r="K2392" i="1"/>
  <c r="L2383" i="1"/>
  <c r="M2379" i="1"/>
  <c r="F2379" i="1"/>
  <c r="C2380" i="1"/>
  <c r="A6" i="10" s="1"/>
  <c r="B5" i="10" s="1"/>
  <c r="C514" i="1"/>
  <c r="M513" i="1"/>
  <c r="N513" i="1" s="1"/>
  <c r="F513" i="1"/>
  <c r="K2397" i="1"/>
  <c r="L2392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K497" i="1"/>
  <c r="L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K526" i="1" l="1"/>
  <c r="M2387" i="1"/>
  <c r="F2387" i="1"/>
  <c r="C2388" i="1"/>
  <c r="A14" i="10" s="1"/>
  <c r="B13" i="10" s="1"/>
  <c r="L524" i="1"/>
  <c r="L523" i="1"/>
  <c r="C522" i="1"/>
  <c r="M521" i="1"/>
  <c r="N521" i="1" s="1"/>
  <c r="F521" i="1"/>
  <c r="L526" i="1" l="1"/>
  <c r="M2388" i="1"/>
  <c r="C2389" i="1"/>
  <c r="A15" i="10" s="1"/>
  <c r="B14" i="10" s="1"/>
  <c r="F2388" i="1"/>
  <c r="C523" i="1"/>
  <c r="M522" i="1"/>
  <c r="N522" i="1" s="1"/>
  <c r="F522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K2422" i="1" l="1"/>
  <c r="K2423" i="1"/>
  <c r="L2427" i="1"/>
  <c r="L2428" i="1"/>
  <c r="M2409" i="1"/>
  <c r="F2409" i="1"/>
  <c r="C2410" i="1"/>
  <c r="A36" i="10" s="1"/>
  <c r="B35" i="10" s="1"/>
  <c r="C544" i="1"/>
  <c r="M543" i="1"/>
  <c r="N543" i="1" s="1"/>
  <c r="F543" i="1"/>
  <c r="L2422" i="1"/>
  <c r="L2423" i="1"/>
  <c r="K2427" i="1"/>
  <c r="K2428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K557" i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E3" i="10" l="1"/>
  <c r="D4" i="10"/>
  <c r="C13" i="10"/>
  <c r="L557" i="1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58" i="1"/>
  <c r="K2444" i="1"/>
  <c r="M2439" i="1"/>
  <c r="F2439" i="1"/>
  <c r="C2440" i="1"/>
  <c r="A66" i="10" s="1"/>
  <c r="B65" i="10" s="1"/>
  <c r="C574" i="1"/>
  <c r="M573" i="1"/>
  <c r="N573" i="1" s="1"/>
  <c r="F573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L2453" i="1"/>
  <c r="L2458" i="1"/>
  <c r="M2441" i="1"/>
  <c r="F2441" i="1"/>
  <c r="C2442" i="1"/>
  <c r="A68" i="10" s="1"/>
  <c r="B67" i="10" s="1"/>
  <c r="C576" i="1"/>
  <c r="M575" i="1"/>
  <c r="N575" i="1" s="1"/>
  <c r="F575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A2465" i="1"/>
  <c r="A2466" i="1"/>
  <c r="A2467" i="1"/>
  <c r="A2464" i="1"/>
  <c r="A2463" i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B2463" i="1"/>
  <c r="B2465" i="1"/>
  <c r="B2467" i="1"/>
  <c r="N2442" i="1"/>
  <c r="C68" i="10" s="1"/>
  <c r="N2439" i="1"/>
  <c r="C65" i="10" s="1"/>
  <c r="B2466" i="1"/>
  <c r="N2441" i="1"/>
  <c r="C67" i="10" s="1"/>
  <c r="N2444" i="1"/>
  <c r="C70" i="10" s="1"/>
  <c r="B2464" i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K587" i="1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D34" i="10" l="1"/>
  <c r="E33" i="10"/>
  <c r="L587" i="1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K2484" i="1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D56" i="10" l="1"/>
  <c r="E55" i="10"/>
  <c r="L2484" i="1"/>
  <c r="F2471" i="1"/>
  <c r="C2472" i="1"/>
  <c r="A98" i="10" s="1"/>
  <c r="B97" i="10" s="1"/>
  <c r="C606" i="1"/>
  <c r="M605" i="1"/>
  <c r="N605" i="1" s="1"/>
  <c r="F605" i="1"/>
  <c r="L2489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K618" i="1"/>
  <c r="M2479" i="1"/>
  <c r="C2480" i="1"/>
  <c r="A106" i="10" s="1"/>
  <c r="B105" i="10" s="1"/>
  <c r="F2479" i="1"/>
  <c r="L615" i="1"/>
  <c r="L616" i="1"/>
  <c r="C614" i="1"/>
  <c r="M613" i="1"/>
  <c r="N613" i="1" s="1"/>
  <c r="F613" i="1"/>
  <c r="D65" i="10" l="1"/>
  <c r="E64" i="10"/>
  <c r="L618" i="1"/>
  <c r="M2480" i="1"/>
  <c r="C2481" i="1"/>
  <c r="A107" i="10" s="1"/>
  <c r="B106" i="10" s="1"/>
  <c r="F2480" i="1"/>
  <c r="C615" i="1"/>
  <c r="M614" i="1"/>
  <c r="N614" i="1" s="1"/>
  <c r="F614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K2519" i="1"/>
  <c r="K2515" i="1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4" i="1"/>
  <c r="K2520" i="1"/>
  <c r="D86" i="10" l="1"/>
  <c r="E85" i="10"/>
  <c r="L2514" i="1"/>
  <c r="L2520" i="1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9" i="1"/>
  <c r="L2515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7" i="5"/>
  <c r="S7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6" i="5"/>
  <c r="S6" i="5" s="1"/>
  <c r="A2485" i="1"/>
  <c r="A2484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85" i="1"/>
  <c r="K2490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84" i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K619" i="1"/>
  <c r="L2485" i="1"/>
  <c r="L619" i="1"/>
  <c r="L2490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B2483" i="1" s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K649" i="1" l="1"/>
  <c r="B2472" i="1"/>
  <c r="N2472" i="1" s="1"/>
  <c r="C98" i="10" s="1"/>
  <c r="B2480" i="1"/>
  <c r="N2480" i="1" s="1"/>
  <c r="C106" i="10" s="1"/>
  <c r="B2476" i="1"/>
  <c r="N2476" i="1" s="1"/>
  <c r="C102" i="10" s="1"/>
  <c r="B2482" i="1"/>
  <c r="N2482" i="1" s="1"/>
  <c r="C108" i="10" s="1"/>
  <c r="B2477" i="1"/>
  <c r="N2477" i="1" s="1"/>
  <c r="C103" i="10" s="1"/>
  <c r="B2469" i="1"/>
  <c r="N2469" i="1" s="1"/>
  <c r="C95" i="10" s="1"/>
  <c r="B2468" i="1"/>
  <c r="N2468" i="1" s="1"/>
  <c r="B2478" i="1"/>
  <c r="N2478" i="1" s="1"/>
  <c r="C104" i="10" s="1"/>
  <c r="B2481" i="1"/>
  <c r="N2481" i="1" s="1"/>
  <c r="C107" i="10" s="1"/>
  <c r="B2475" i="1"/>
  <c r="N2475" i="1" s="1"/>
  <c r="C101" i="10" s="1"/>
  <c r="B2479" i="1"/>
  <c r="N2479" i="1" s="1"/>
  <c r="C105" i="10" s="1"/>
  <c r="B2473" i="1"/>
  <c r="N2473" i="1" s="1"/>
  <c r="C99" i="10" s="1"/>
  <c r="B2471" i="1"/>
  <c r="N2471" i="1" s="1"/>
  <c r="C97" i="10" s="1"/>
  <c r="B2474" i="1"/>
  <c r="N2474" i="1" s="1"/>
  <c r="C100" i="10" s="1"/>
  <c r="B2470" i="1"/>
  <c r="N2470" i="1" s="1"/>
  <c r="C96" i="10" s="1"/>
  <c r="M2510" i="1"/>
  <c r="C2511" i="1"/>
  <c r="A137" i="10" s="1"/>
  <c r="B136" i="10" s="1"/>
  <c r="F2510" i="1"/>
  <c r="L646" i="1"/>
  <c r="L647" i="1"/>
  <c r="C645" i="1"/>
  <c r="F644" i="1"/>
  <c r="D93" i="10" l="1"/>
  <c r="E93" i="10" s="1"/>
  <c r="C94" i="10"/>
  <c r="L649" i="1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K2550" i="1" l="1"/>
  <c r="K2545" i="1"/>
  <c r="D114" i="10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47" i="1" l="1"/>
  <c r="K2554" i="1" s="1"/>
  <c r="L2550" i="1"/>
  <c r="D115" i="10"/>
  <c r="E115" i="10" s="1"/>
  <c r="L2545" i="1"/>
  <c r="M2533" i="1"/>
  <c r="F2533" i="1"/>
  <c r="C2534" i="1"/>
  <c r="A160" i="10" s="1"/>
  <c r="B159" i="10" s="1"/>
  <c r="C668" i="1"/>
  <c r="M667" i="1"/>
  <c r="N667" i="1" s="1"/>
  <c r="F667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9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2576" i="1"/>
  <c r="L650" i="1"/>
  <c r="K2581" i="1"/>
  <c r="K650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K679" i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D123" i="10" l="1"/>
  <c r="E123" i="10" s="1"/>
  <c r="L679" i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J30" i="9"/>
  <c r="K30" i="9"/>
  <c r="C695" i="1"/>
  <c r="M694" i="1"/>
  <c r="N694" i="1" s="1"/>
  <c r="F694" i="1"/>
  <c r="L33" i="9" l="1"/>
  <c r="D143" i="10"/>
  <c r="E143" i="10" s="1"/>
  <c r="K2564" i="1"/>
  <c r="K2566" i="1"/>
  <c r="L31" i="9"/>
  <c r="L37" i="9"/>
  <c r="L27" i="9"/>
  <c r="L32" i="9"/>
  <c r="L36" i="9"/>
  <c r="L35" i="9"/>
  <c r="L30" i="9"/>
  <c r="L34" i="9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D144" i="10" l="1"/>
  <c r="E144" i="10" s="1"/>
  <c r="K2575" i="1"/>
  <c r="K2580" i="1"/>
  <c r="L2575" i="1"/>
  <c r="M34" i="9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9" i="5"/>
  <c r="S9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L680" i="1"/>
  <c r="K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K710" i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E153" i="10" l="1"/>
  <c r="D154" i="10"/>
  <c r="L710" i="1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L39" i="9"/>
  <c r="L42" i="9"/>
  <c r="N2592" i="1"/>
  <c r="C728" i="1"/>
  <c r="F727" i="1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K711" i="1"/>
  <c r="L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K740" i="1"/>
  <c r="L738" i="1"/>
  <c r="L737" i="1"/>
  <c r="C736" i="1"/>
  <c r="M735" i="1"/>
  <c r="N735" i="1" s="1"/>
  <c r="F735" i="1"/>
  <c r="D184" i="10" l="1"/>
  <c r="E184" i="10" s="1"/>
  <c r="L740" i="1"/>
  <c r="C737" i="1"/>
  <c r="M736" i="1"/>
  <c r="N736" i="1" s="1"/>
  <c r="F736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K771" i="1"/>
  <c r="L769" i="1"/>
  <c r="L768" i="1"/>
  <c r="M766" i="1"/>
  <c r="N766" i="1" s="1"/>
  <c r="C767" i="1"/>
  <c r="F766" i="1"/>
  <c r="D215" i="10" l="1"/>
  <c r="E215" i="10" s="1"/>
  <c r="L771" i="1"/>
  <c r="M767" i="1"/>
  <c r="N767" i="1" s="1"/>
  <c r="C768" i="1"/>
  <c r="F767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L772" i="1"/>
  <c r="K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K802" i="1" l="1"/>
  <c r="L799" i="1"/>
  <c r="L800" i="1"/>
  <c r="M797" i="1"/>
  <c r="N797" i="1" s="1"/>
  <c r="C798" i="1"/>
  <c r="F797" i="1"/>
  <c r="L802" i="1" l="1"/>
  <c r="M798" i="1"/>
  <c r="N798" i="1" s="1"/>
  <c r="C799" i="1"/>
  <c r="F798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K803" i="1"/>
  <c r="L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K830" i="1" l="1"/>
  <c r="L827" i="1"/>
  <c r="L828" i="1"/>
  <c r="M825" i="1"/>
  <c r="N825" i="1" s="1"/>
  <c r="C826" i="1"/>
  <c r="F825" i="1"/>
  <c r="L830" i="1" l="1"/>
  <c r="M826" i="1"/>
  <c r="N826" i="1" s="1"/>
  <c r="C827" i="1"/>
  <c r="F826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L831" i="1"/>
  <c r="K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K861" i="1" l="1"/>
  <c r="L859" i="1"/>
  <c r="L858" i="1"/>
  <c r="M856" i="1"/>
  <c r="N856" i="1" s="1"/>
  <c r="C857" i="1"/>
  <c r="F856" i="1"/>
  <c r="L861" i="1" l="1"/>
  <c r="M857" i="1"/>
  <c r="N857" i="1" s="1"/>
  <c r="C858" i="1"/>
  <c r="F857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K891" i="1" l="1"/>
  <c r="L888" i="1"/>
  <c r="L889" i="1"/>
  <c r="M886" i="1"/>
  <c r="N886" i="1" s="1"/>
  <c r="C887" i="1"/>
  <c r="F886" i="1"/>
  <c r="L891" i="1" l="1"/>
  <c r="M887" i="1"/>
  <c r="N887" i="1" s="1"/>
  <c r="C888" i="1"/>
  <c r="F887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K922" i="1" l="1"/>
  <c r="L920" i="1"/>
  <c r="L919" i="1"/>
  <c r="M917" i="1"/>
  <c r="N917" i="1" s="1"/>
  <c r="C918" i="1"/>
  <c r="F917" i="1"/>
  <c r="L922" i="1" l="1"/>
  <c r="M918" i="1"/>
  <c r="N918" i="1" s="1"/>
  <c r="C919" i="1"/>
  <c r="F918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K923" i="1"/>
  <c r="L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K952" i="1" l="1"/>
  <c r="L949" i="1"/>
  <c r="L950" i="1"/>
  <c r="M947" i="1"/>
  <c r="N947" i="1" s="1"/>
  <c r="C948" i="1"/>
  <c r="F947" i="1"/>
  <c r="L952" i="1" l="1"/>
  <c r="C949" i="1"/>
  <c r="F948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L953" i="1"/>
  <c r="K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K983" i="1" l="1"/>
  <c r="L980" i="1"/>
  <c r="L981" i="1"/>
  <c r="M978" i="1"/>
  <c r="N978" i="1" s="1"/>
  <c r="C979" i="1"/>
  <c r="F978" i="1"/>
  <c r="L983" i="1" l="1"/>
  <c r="M979" i="1"/>
  <c r="N979" i="1" s="1"/>
  <c r="C980" i="1"/>
  <c r="F979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K984" i="1"/>
  <c r="L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K1014" i="1" l="1"/>
  <c r="L1011" i="1"/>
  <c r="L1012" i="1"/>
  <c r="M1009" i="1"/>
  <c r="N1009" i="1" s="1"/>
  <c r="C1010" i="1"/>
  <c r="F1009" i="1"/>
  <c r="L1014" i="1" l="1"/>
  <c r="M1010" i="1"/>
  <c r="N1010" i="1" s="1"/>
  <c r="C1011" i="1"/>
  <c r="F1010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L40" i="9" l="1"/>
  <c r="L38" i="9"/>
  <c r="L29" i="9"/>
  <c r="L25" i="9"/>
  <c r="L28" i="9"/>
  <c r="L26" i="9"/>
  <c r="M1025" i="1"/>
  <c r="N1025" i="1" s="1"/>
  <c r="C1026" i="1"/>
  <c r="F1025" i="1"/>
  <c r="L41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L1044" i="1" l="1"/>
  <c r="M1040" i="1"/>
  <c r="C1041" i="1"/>
  <c r="F1040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L1075" i="1" l="1"/>
  <c r="M1071" i="1"/>
  <c r="C1072" i="1"/>
  <c r="F1071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L1105" i="1" l="1"/>
  <c r="M1101" i="1"/>
  <c r="N1101" i="1" s="1"/>
  <c r="C1102" i="1"/>
  <c r="F1101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L1136" i="1" l="1"/>
  <c r="C1134" i="1"/>
  <c r="M1134" i="1" s="1"/>
  <c r="F1133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L1167" i="1" l="1"/>
  <c r="C1165" i="1"/>
  <c r="M1165" i="1" s="1"/>
  <c r="F1164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L1195" i="1" l="1"/>
  <c r="F1192" i="1"/>
  <c r="C1193" i="1"/>
  <c r="M1193" i="1" s="1"/>
  <c r="N1193" i="1" s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L1226" i="1" l="1"/>
  <c r="F1223" i="1"/>
  <c r="C1224" i="1"/>
  <c r="M1224" i="1" s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L1256" i="1" l="1"/>
  <c r="C1254" i="1"/>
  <c r="M1254" i="1" s="1"/>
  <c r="F1253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L1287" i="1" l="1"/>
  <c r="F1284" i="1"/>
  <c r="C1285" i="1"/>
  <c r="M1285" i="1" s="1"/>
  <c r="N1285" i="1" s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L1317" i="1" l="1"/>
  <c r="C1315" i="1"/>
  <c r="M1315" i="1" s="1"/>
  <c r="N1315" i="1" s="1"/>
  <c r="F1314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K1348" i="1" l="1"/>
  <c r="L1345" i="1"/>
  <c r="L1346" i="1"/>
  <c r="F1344" i="1"/>
  <c r="C1345" i="1"/>
  <c r="M1345" i="1" s="1"/>
  <c r="L1348" i="1" l="1"/>
  <c r="F1345" i="1"/>
  <c r="C1346" i="1"/>
  <c r="M1346" i="1" s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K1379" i="1" l="1"/>
  <c r="L1377" i="1"/>
  <c r="L1376" i="1"/>
  <c r="C1375" i="1"/>
  <c r="F1374" i="1"/>
  <c r="L1379" i="1" l="1"/>
  <c r="F1375" i="1"/>
  <c r="C1376" i="1"/>
  <c r="M1376" i="1" s="1"/>
  <c r="N1376" i="1" s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L1380" i="1"/>
  <c r="K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K1413" i="1" l="1"/>
  <c r="L1411" i="1"/>
  <c r="L1409" i="1"/>
  <c r="F1404" i="1"/>
  <c r="C1405" i="1"/>
  <c r="M1405" i="1" s="1"/>
  <c r="K1422" i="1"/>
  <c r="L1422" i="1" l="1"/>
  <c r="F1405" i="1"/>
  <c r="C1406" i="1"/>
  <c r="M1406" i="1" s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K1444" i="1" l="1"/>
  <c r="L1440" i="1"/>
  <c r="C1437" i="1"/>
  <c r="M1437" i="1" s="1"/>
  <c r="F1436" i="1"/>
  <c r="K1453" i="1"/>
  <c r="L1453" i="1" l="1"/>
  <c r="K1460" i="1"/>
  <c r="C1438" i="1"/>
  <c r="M1438" i="1" s="1"/>
  <c r="F1437" i="1"/>
  <c r="L1444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K1474" i="1" l="1"/>
  <c r="L1470" i="1"/>
  <c r="C1466" i="1"/>
  <c r="M1466" i="1" s="1"/>
  <c r="F1465" i="1"/>
  <c r="K1483" i="1"/>
  <c r="L1483" i="1" l="1"/>
  <c r="K1490" i="1"/>
  <c r="C1467" i="1"/>
  <c r="M1467" i="1" s="1"/>
  <c r="F1466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K1514" i="1" l="1"/>
  <c r="L1501" i="1"/>
  <c r="F1496" i="1"/>
  <c r="C1497" i="1"/>
  <c r="M1496" i="1"/>
  <c r="K1016" i="1"/>
  <c r="K1018" i="1" s="1"/>
  <c r="K1019" i="1" s="1"/>
  <c r="K1044" i="1"/>
  <c r="K1505" i="1"/>
  <c r="L1514" i="1" l="1"/>
  <c r="C1498" i="1"/>
  <c r="F1497" i="1"/>
  <c r="M1497" i="1"/>
  <c r="K1045" i="1"/>
  <c r="L150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L3" i="9" l="1"/>
  <c r="L4" i="9"/>
  <c r="C1538" i="1"/>
  <c r="M1537" i="1"/>
  <c r="F1537" i="1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K1565" i="1" l="1"/>
  <c r="L1561" i="1"/>
  <c r="F1556" i="1"/>
  <c r="M1556" i="1"/>
  <c r="C1557" i="1"/>
  <c r="K1574" i="1"/>
  <c r="L1565" i="1" l="1"/>
  <c r="K1583" i="1"/>
  <c r="C1558" i="1"/>
  <c r="M1557" i="1"/>
  <c r="F1557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K1596" i="1" l="1"/>
  <c r="L1592" i="1"/>
  <c r="C1588" i="1"/>
  <c r="F1587" i="1"/>
  <c r="M1587" i="1"/>
  <c r="K1605" i="1"/>
  <c r="L1596" i="1" l="1"/>
  <c r="K1613" i="1"/>
  <c r="M1588" i="1"/>
  <c r="F1588" i="1"/>
  <c r="C1589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K1635" i="1" l="1"/>
  <c r="L1622" i="1"/>
  <c r="M1617" i="1"/>
  <c r="C1618" i="1"/>
  <c r="F1617" i="1"/>
  <c r="K1626" i="1"/>
  <c r="K1644" i="1" l="1"/>
  <c r="L1626" i="1"/>
  <c r="F1618" i="1"/>
  <c r="M1618" i="1"/>
  <c r="C1619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K1657" i="1" l="1"/>
  <c r="L1653" i="1"/>
  <c r="C1649" i="1"/>
  <c r="F1648" i="1"/>
  <c r="M1648" i="1"/>
  <c r="K1666" i="1"/>
  <c r="L1657" i="1" l="1"/>
  <c r="K1674" i="1"/>
  <c r="C1650" i="1"/>
  <c r="M1649" i="1"/>
  <c r="F1649" i="1"/>
  <c r="L1666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K1687" i="1" l="1"/>
  <c r="L1683" i="1"/>
  <c r="F1678" i="1"/>
  <c r="C1679" i="1"/>
  <c r="K1696" i="1"/>
  <c r="L1696" i="1" l="1"/>
  <c r="K1705" i="1"/>
  <c r="C1680" i="1"/>
  <c r="F1679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K1727" i="1" l="1"/>
  <c r="L1714" i="1"/>
  <c r="F1709" i="1"/>
  <c r="C1710" i="1"/>
  <c r="M1709" i="1"/>
  <c r="K1718" i="1"/>
  <c r="L1727" i="1" l="1"/>
  <c r="K1736" i="1"/>
  <c r="M1710" i="1"/>
  <c r="C1711" i="1"/>
  <c r="F1710" i="1"/>
  <c r="L1718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K1760" i="1" l="1"/>
  <c r="L1747" i="1"/>
  <c r="C1741" i="1"/>
  <c r="F1740" i="1"/>
  <c r="K1751" i="1"/>
  <c r="L1751" i="1" l="1"/>
  <c r="K1767" i="1"/>
  <c r="C1742" i="1"/>
  <c r="M1741" i="1"/>
  <c r="F174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K1790" i="1" l="1"/>
  <c r="L1777" i="1"/>
  <c r="C1771" i="1"/>
  <c r="F1770" i="1"/>
  <c r="M1770" i="1"/>
  <c r="K1781" i="1"/>
  <c r="K1798" i="1" l="1"/>
  <c r="L1790" i="1"/>
  <c r="C1772" i="1"/>
  <c r="M1772" i="1" s="1"/>
  <c r="M1771" i="1"/>
  <c r="F1771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L24" i="9" l="1"/>
  <c r="L23" i="9"/>
  <c r="L22" i="9"/>
  <c r="L21" i="9"/>
  <c r="C1794" i="1"/>
  <c r="F1793" i="1"/>
  <c r="M1793" i="1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K1821" i="1" l="1"/>
  <c r="L1808" i="1"/>
  <c r="C1802" i="1"/>
  <c r="M1802" i="1" s="1"/>
  <c r="F1801" i="1"/>
  <c r="M1801" i="1"/>
  <c r="K1812" i="1"/>
  <c r="K1828" i="1" l="1"/>
  <c r="L1821" i="1"/>
  <c r="C1803" i="1"/>
  <c r="M1803" i="1" s="1"/>
  <c r="F1802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K1851" i="1" l="1"/>
  <c r="L1838" i="1"/>
  <c r="F1831" i="1"/>
  <c r="C1832" i="1"/>
  <c r="M1831" i="1"/>
  <c r="K1842" i="1"/>
  <c r="L1851" i="1" l="1"/>
  <c r="K1859" i="1"/>
  <c r="C1833" i="1"/>
  <c r="F1832" i="1"/>
  <c r="M1832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L16" i="9" l="1"/>
  <c r="L20" i="9"/>
  <c r="L19" i="9"/>
  <c r="L17" i="9"/>
  <c r="L18" i="9"/>
  <c r="C1858" i="1"/>
  <c r="F1857" i="1"/>
  <c r="M1857" i="1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L10" i="9" l="1"/>
  <c r="L9" i="9"/>
  <c r="L14" i="9"/>
  <c r="L6" i="9"/>
  <c r="L13" i="9"/>
  <c r="L5" i="9"/>
  <c r="L8" i="9"/>
  <c r="L7" i="9"/>
  <c r="L15" i="9"/>
  <c r="L11" i="9"/>
  <c r="L12" i="9"/>
  <c r="K1450" i="1"/>
  <c r="K1452" i="1" s="1"/>
  <c r="L1450" i="1" l="1"/>
  <c r="L1452" i="1" s="1"/>
  <c r="N1431" i="1" l="1"/>
  <c r="K1423" i="1"/>
  <c r="L1423" i="1"/>
  <c r="L1424" i="1" l="1"/>
  <c r="K1424" i="1"/>
  <c r="L1415" i="1"/>
  <c r="L1414" i="1"/>
  <c r="K1414" i="1"/>
  <c r="K1415" i="1"/>
  <c r="K1426" i="1" l="1"/>
  <c r="K1427" i="1" s="1"/>
  <c r="L1426" i="1"/>
  <c r="L1427" i="1" s="1"/>
  <c r="K1454" i="1"/>
  <c r="L1454" i="1"/>
  <c r="L1445" i="1"/>
  <c r="K1445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L1475" i="1"/>
  <c r="K151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L1506" i="1"/>
  <c r="K1507" i="1"/>
  <c r="K1537" i="1"/>
  <c r="K1546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K1688" i="1"/>
  <c r="L165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0" i="9"/>
  <c r="M11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K1538" i="1" l="1"/>
  <c r="K1536" i="1"/>
  <c r="L1534" i="1"/>
  <c r="L1532" i="1"/>
  <c r="K1545" i="1"/>
  <c r="L1538" i="1" l="1"/>
  <c r="K1549" i="1"/>
  <c r="L1536" i="1"/>
  <c r="K1552" i="1"/>
  <c r="K1547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82" i="1"/>
  <c r="K1791" i="1"/>
  <c r="K1794" i="1" l="1"/>
  <c r="K1792" i="1"/>
  <c r="K1795" i="1" l="1"/>
  <c r="K1822" i="1"/>
  <c r="K1813" i="1"/>
  <c r="K1783" i="1"/>
  <c r="K1825" i="1" l="1"/>
  <c r="K1823" i="1"/>
  <c r="K1826" i="1" l="1"/>
  <c r="K1843" i="1"/>
  <c r="K1852" i="1"/>
  <c r="K1814" i="1"/>
  <c r="K1853" i="1" l="1"/>
  <c r="K1855" i="1"/>
  <c r="K1856" i="1" l="1"/>
  <c r="K1844" i="1"/>
  <c r="K1884" i="1"/>
  <c r="K1875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K1874" i="1"/>
  <c r="L1874" i="1"/>
  <c r="K1918" i="1" l="1"/>
  <c r="N1860" i="1"/>
  <c r="M16" i="9"/>
  <c r="M17" i="9"/>
  <c r="E16" i="9" l="1"/>
  <c r="D16" i="9" s="1"/>
  <c r="F16" i="9" s="1"/>
  <c r="E17" i="9"/>
  <c r="D17" i="9" s="1"/>
  <c r="F17" i="9" s="1"/>
  <c r="K1964" i="1"/>
  <c r="K1943" i="1"/>
  <c r="K1934" i="1"/>
  <c r="K1906" i="1"/>
  <c r="K1973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L1973" i="1"/>
  <c r="K2026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1994" i="1"/>
  <c r="L2003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9" i="9"/>
  <c r="M18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36" i="9"/>
  <c r="M24" i="9"/>
  <c r="K2130" i="1" l="1"/>
  <c r="E36" i="9"/>
  <c r="D36" i="9" s="1"/>
  <c r="F36" i="9" s="1"/>
  <c r="G3" i="5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38" i="9"/>
  <c r="M32" i="9"/>
  <c r="M37" i="9"/>
  <c r="M39" i="9"/>
  <c r="M31" i="9"/>
  <c r="M40" i="9"/>
  <c r="M28" i="9"/>
  <c r="M26" i="9"/>
  <c r="M27" i="9"/>
  <c r="M33" i="9"/>
  <c r="E40" i="9" l="1"/>
  <c r="D40" i="9" s="1"/>
  <c r="F40" i="9" s="1"/>
  <c r="E39" i="9"/>
  <c r="D39" i="9" s="1"/>
  <c r="F39" i="9" s="1"/>
  <c r="G6" i="5" s="1"/>
  <c r="E38" i="9"/>
  <c r="D38" i="9" s="1"/>
  <c r="F38" i="9" s="1"/>
  <c r="G5" i="5" s="1"/>
  <c r="E33" i="9"/>
  <c r="D33" i="9" s="1"/>
  <c r="F33" i="9" s="1"/>
  <c r="E31" i="9"/>
  <c r="D31" i="9" s="1"/>
  <c r="F31" i="9" s="1"/>
  <c r="E37" i="9"/>
  <c r="D37" i="9" s="1"/>
  <c r="F37" i="9" s="1"/>
  <c r="G4" i="5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P6" i="5" s="1"/>
  <c r="A2468" i="1" l="1"/>
  <c r="A2480" i="1"/>
  <c r="A2476" i="1"/>
  <c r="A2472" i="1"/>
  <c r="A2483" i="1"/>
  <c r="A2481" i="1"/>
  <c r="A2479" i="1"/>
  <c r="A2477" i="1"/>
  <c r="A2475" i="1"/>
  <c r="A2473" i="1"/>
  <c r="A2471" i="1"/>
  <c r="A2469" i="1"/>
  <c r="A2482" i="1"/>
  <c r="A2478" i="1"/>
  <c r="A2474" i="1"/>
  <c r="A2470" i="1"/>
  <c r="T5" i="5" l="1"/>
  <c r="V4" i="5"/>
  <c r="V5" i="5" l="1"/>
  <c r="T6" i="5"/>
  <c r="T7" i="5" l="1"/>
  <c r="V6" i="5"/>
  <c r="T8" i="5" l="1"/>
  <c r="V7" i="5"/>
  <c r="T9" i="5" l="1"/>
  <c r="T10" i="5" s="1"/>
  <c r="V8" i="5"/>
  <c r="V9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<sst xmlns="http://schemas.openxmlformats.org/spreadsheetml/2006/main" count="2475" uniqueCount="260">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</sst>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5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16" fontId="10" fillId="0" borderId="0" xfId="0" applyNumberFormat="1" applyFont="1" applyAlignment="1">
      <alignment horizontal="left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EXTRAPOLATION'!$A$2450:$A$2589</c:f>
              <c:numCache>
                <c:formatCode>0.0000</c:formatCode>
                <c:ptCount val="140"/>
                <c:pt idx="13">
                  <c:v>3.6299999999999755</c:v>
                </c:pt>
                <c:pt idx="14">
                  <c:v>3.6299999999999755</c:v>
                </c:pt>
                <c:pt idx="15">
                  <c:v>3.6299999999999755</c:v>
                </c:pt>
                <c:pt idx="16">
                  <c:v>3.6299999999999755</c:v>
                </c:pt>
                <c:pt idx="17">
                  <c:v>3.6299999999999755</c:v>
                </c:pt>
                <c:pt idx="18">
                  <c:v>3.6274999999999995</c:v>
                </c:pt>
                <c:pt idx="19">
                  <c:v>3.6274999999999995</c:v>
                </c:pt>
                <c:pt idx="20">
                  <c:v>3.6274999999999995</c:v>
                </c:pt>
                <c:pt idx="21">
                  <c:v>3.6274999999999995</c:v>
                </c:pt>
                <c:pt idx="22">
                  <c:v>3.6274999999999995</c:v>
                </c:pt>
                <c:pt idx="23">
                  <c:v>3.6274999999999995</c:v>
                </c:pt>
                <c:pt idx="24">
                  <c:v>3.6274999999999995</c:v>
                </c:pt>
                <c:pt idx="25">
                  <c:v>3.6274999999999995</c:v>
                </c:pt>
                <c:pt idx="26">
                  <c:v>3.6274999999999995</c:v>
                </c:pt>
                <c:pt idx="27">
                  <c:v>3.6274999999999995</c:v>
                </c:pt>
                <c:pt idx="28">
                  <c:v>3.6274999999999995</c:v>
                </c:pt>
                <c:pt idx="29">
                  <c:v>3.6274999999999995</c:v>
                </c:pt>
                <c:pt idx="30">
                  <c:v>3.6274999999999995</c:v>
                </c:pt>
                <c:pt idx="31">
                  <c:v>3.6274999999999995</c:v>
                </c:pt>
                <c:pt idx="32">
                  <c:v>3.6274999999999995</c:v>
                </c:pt>
                <c:pt idx="33">
                  <c:v>3.6274999999999995</c:v>
                </c:pt>
                <c:pt idx="34">
                  <c:v>3.7935714285714255</c:v>
                </c:pt>
                <c:pt idx="35">
                  <c:v>3.7935714285714255</c:v>
                </c:pt>
                <c:pt idx="36">
                  <c:v>3.7935714285714255</c:v>
                </c:pt>
                <c:pt idx="37">
                  <c:v>3.7935714285714255</c:v>
                </c:pt>
                <c:pt idx="38">
                  <c:v>3.7935714285714255</c:v>
                </c:pt>
                <c:pt idx="39">
                  <c:v>3.7935714285714255</c:v>
                </c:pt>
                <c:pt idx="40">
                  <c:v>3.7935714285714255</c:v>
                </c:pt>
                <c:pt idx="41">
                  <c:v>3.7935714285714255</c:v>
                </c:pt>
                <c:pt idx="42">
                  <c:v>3.7935714285714255</c:v>
                </c:pt>
                <c:pt idx="43">
                  <c:v>3.7935714285714255</c:v>
                </c:pt>
                <c:pt idx="44">
                  <c:v>3.7935714285714255</c:v>
                </c:pt>
                <c:pt idx="45">
                  <c:v>3.7935714285714255</c:v>
                </c:pt>
                <c:pt idx="46">
                  <c:v>3.7935714285714255</c:v>
                </c:pt>
                <c:pt idx="47">
                  <c:v>3.7935714285714255</c:v>
                </c:pt>
                <c:pt idx="48">
                  <c:v>3.7935714285714255</c:v>
                </c:pt>
                <c:pt idx="49">
                  <c:v>3.7935714285714255</c:v>
                </c:pt>
                <c:pt idx="50">
                  <c:v>3.7935714285714255</c:v>
                </c:pt>
                <c:pt idx="51">
                  <c:v>3.7935714285714255</c:v>
                </c:pt>
                <c:pt idx="52">
                  <c:v>3.7935714285714255</c:v>
                </c:pt>
                <c:pt idx="53">
                  <c:v>3.7935714285714255</c:v>
                </c:pt>
                <c:pt idx="54">
                  <c:v>3.7935714285714255</c:v>
                </c:pt>
                <c:pt idx="55">
                  <c:v>3.7935714285714255</c:v>
                </c:pt>
                <c:pt idx="56">
                  <c:v>3.7935714285714255</c:v>
                </c:pt>
                <c:pt idx="57">
                  <c:v>3.7935714285714255</c:v>
                </c:pt>
                <c:pt idx="58">
                  <c:v>3.7935714285714255</c:v>
                </c:pt>
                <c:pt idx="59">
                  <c:v>3.7935714285714255</c:v>
                </c:pt>
                <c:pt idx="60">
                  <c:v>3.7935714285714255</c:v>
                </c:pt>
                <c:pt idx="61">
                  <c:v>3.7935714285714255</c:v>
                </c:pt>
                <c:pt idx="62">
                  <c:v>3.7935714285714255</c:v>
                </c:pt>
                <c:pt idx="63">
                  <c:v>3.7935714285714255</c:v>
                </c:pt>
                <c:pt idx="64">
                  <c:v>3.7935714285714255</c:v>
                </c:pt>
                <c:pt idx="65">
                  <c:v>3.7935714285714255</c:v>
                </c:pt>
                <c:pt idx="66">
                  <c:v>3.7935714285714255</c:v>
                </c:pt>
                <c:pt idx="67">
                  <c:v>3.7935714285714255</c:v>
                </c:pt>
                <c:pt idx="68">
                  <c:v>3.7935714285714255</c:v>
                </c:pt>
                <c:pt idx="69">
                  <c:v>3.7935714285714255</c:v>
                </c:pt>
                <c:pt idx="70">
                  <c:v>3.7935714285714255</c:v>
                </c:pt>
                <c:pt idx="71">
                  <c:v>3.7935714285714255</c:v>
                </c:pt>
                <c:pt idx="72">
                  <c:v>3.7935714285714255</c:v>
                </c:pt>
                <c:pt idx="73">
                  <c:v>3.7935714285714255</c:v>
                </c:pt>
                <c:pt idx="74">
                  <c:v>3.7935714285714255</c:v>
                </c:pt>
                <c:pt idx="75">
                  <c:v>3.7935714285714255</c:v>
                </c:pt>
                <c:pt idx="76">
                  <c:v>3.8599999999999994</c:v>
                </c:pt>
                <c:pt idx="77">
                  <c:v>3.8599999999999994</c:v>
                </c:pt>
                <c:pt idx="78">
                  <c:v>3.8599999999999994</c:v>
                </c:pt>
                <c:pt idx="79">
                  <c:v>3.8599999999999994</c:v>
                </c:pt>
                <c:pt idx="80">
                  <c:v>3.8599999999999994</c:v>
                </c:pt>
                <c:pt idx="81">
                  <c:v>3.8599999999999994</c:v>
                </c:pt>
                <c:pt idx="82">
                  <c:v>3.8599999999999994</c:v>
                </c:pt>
                <c:pt idx="83">
                  <c:v>3.8599999999999994</c:v>
                </c:pt>
                <c:pt idx="84">
                  <c:v>3.8599999999999994</c:v>
                </c:pt>
                <c:pt idx="85">
                  <c:v>3.8599999999999994</c:v>
                </c:pt>
                <c:pt idx="86">
                  <c:v>3.8599999999999994</c:v>
                </c:pt>
                <c:pt idx="87">
                  <c:v>3.8599999999999994</c:v>
                </c:pt>
                <c:pt idx="88">
                  <c:v>3.8599999999999994</c:v>
                </c:pt>
                <c:pt idx="89">
                  <c:v>3.8599999999999994</c:v>
                </c:pt>
                <c:pt idx="90">
                  <c:v>3.8599999999999994</c:v>
                </c:pt>
                <c:pt idx="91">
                  <c:v>3.8599999999999994</c:v>
                </c:pt>
                <c:pt idx="92">
                  <c:v>3.8599999999999994</c:v>
                </c:pt>
                <c:pt idx="93">
                  <c:v>3.8599999999999994</c:v>
                </c:pt>
                <c:pt idx="94">
                  <c:v>3.8599999999999994</c:v>
                </c:pt>
                <c:pt idx="95">
                  <c:v>3.8599999999999994</c:v>
                </c:pt>
                <c:pt idx="96">
                  <c:v>3.8599999999999994</c:v>
                </c:pt>
                <c:pt idx="97">
                  <c:v>3.8599999999999994</c:v>
                </c:pt>
                <c:pt idx="98">
                  <c:v>3.8599999999999994</c:v>
                </c:pt>
                <c:pt idx="99">
                  <c:v>3.8599999999999994</c:v>
                </c:pt>
                <c:pt idx="100">
                  <c:v>3.8599999999999994</c:v>
                </c:pt>
                <c:pt idx="101">
                  <c:v>3.8599999999999994</c:v>
                </c:pt>
                <c:pt idx="102">
                  <c:v>3.8599999999999994</c:v>
                </c:pt>
                <c:pt idx="103">
                  <c:v>3.8599999999999994</c:v>
                </c:pt>
                <c:pt idx="104">
                  <c:v>3.8599999999999994</c:v>
                </c:pt>
                <c:pt idx="105">
                  <c:v>3.8599999999999994</c:v>
                </c:pt>
                <c:pt idx="106">
                  <c:v>3.8599999999999994</c:v>
                </c:pt>
                <c:pt idx="107">
                  <c:v>3.8599999999999994</c:v>
                </c:pt>
                <c:pt idx="108">
                  <c:v>3.8599999999999994</c:v>
                </c:pt>
                <c:pt idx="109">
                  <c:v>3.8599999999999994</c:v>
                </c:pt>
                <c:pt idx="110">
                  <c:v>3.8599999999999994</c:v>
                </c:pt>
                <c:pt idx="111">
                  <c:v>3.8599999999999994</c:v>
                </c:pt>
                <c:pt idx="112">
                  <c:v>3.8599999999999994</c:v>
                </c:pt>
                <c:pt idx="113">
                  <c:v>3.8599999999999994</c:v>
                </c:pt>
                <c:pt idx="114">
                  <c:v>3.8599999999999994</c:v>
                </c:pt>
                <c:pt idx="115">
                  <c:v>3.8599999999999994</c:v>
                </c:pt>
                <c:pt idx="116">
                  <c:v>3.8599999999999994</c:v>
                </c:pt>
                <c:pt idx="117">
                  <c:v>3.8599999999999994</c:v>
                </c:pt>
                <c:pt idx="118">
                  <c:v>4.0009090909090821</c:v>
                </c:pt>
                <c:pt idx="119">
                  <c:v>4.0009090909090821</c:v>
                </c:pt>
                <c:pt idx="120">
                  <c:v>4.0009090909090821</c:v>
                </c:pt>
                <c:pt idx="121">
                  <c:v>4.0009090909090821</c:v>
                </c:pt>
                <c:pt idx="122">
                  <c:v>4.0009090909090821</c:v>
                </c:pt>
                <c:pt idx="123">
                  <c:v>4.0009090909090821</c:v>
                </c:pt>
                <c:pt idx="124">
                  <c:v>4.0009090909090821</c:v>
                </c:pt>
                <c:pt idx="125">
                  <c:v>4.0009090909090821</c:v>
                </c:pt>
                <c:pt idx="126">
                  <c:v>4.0009090909090821</c:v>
                </c:pt>
                <c:pt idx="127">
                  <c:v>4.0009090909090821</c:v>
                </c:pt>
                <c:pt idx="128">
                  <c:v>4.0009090909090821</c:v>
                </c:pt>
                <c:pt idx="129">
                  <c:v>4.0009090909090821</c:v>
                </c:pt>
                <c:pt idx="130">
                  <c:v>4.0009090909090821</c:v>
                </c:pt>
                <c:pt idx="131">
                  <c:v>4.0009090909090821</c:v>
                </c:pt>
                <c:pt idx="132">
                  <c:v>4.0009090909090821</c:v>
                </c:pt>
                <c:pt idx="133">
                  <c:v>4.0009090909090821</c:v>
                </c:pt>
                <c:pt idx="134">
                  <c:v>4.0009090909090821</c:v>
                </c:pt>
                <c:pt idx="135">
                  <c:v>4.0009090909090821</c:v>
                </c:pt>
                <c:pt idx="136">
                  <c:v>4.0009090909090821</c:v>
                </c:pt>
                <c:pt idx="137">
                  <c:v>4.0009090909090821</c:v>
                </c:pt>
                <c:pt idx="138">
                  <c:v>4.0009090909090821</c:v>
                </c:pt>
                <c:pt idx="139">
                  <c:v>4.0009090909090821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EXTRAPOLATION'!$B$2450:$B$2589</c:f>
              <c:numCache>
                <c:formatCode>0.0000</c:formatCode>
                <c:ptCount val="140"/>
                <c:pt idx="13">
                  <c:v>3.6460000000000008</c:v>
                </c:pt>
                <c:pt idx="14">
                  <c:v>3.6460000000000008</c:v>
                </c:pt>
                <c:pt idx="15">
                  <c:v>3.6460000000000008</c:v>
                </c:pt>
                <c:pt idx="16">
                  <c:v>3.6460000000000008</c:v>
                </c:pt>
                <c:pt idx="17">
                  <c:v>3.6460000000000008</c:v>
                </c:pt>
                <c:pt idx="18">
                  <c:v>3.6193749999999945</c:v>
                </c:pt>
                <c:pt idx="19">
                  <c:v>3.6193749999999945</c:v>
                </c:pt>
                <c:pt idx="20">
                  <c:v>3.6193749999999945</c:v>
                </c:pt>
                <c:pt idx="21">
                  <c:v>3.6193749999999945</c:v>
                </c:pt>
                <c:pt idx="22">
                  <c:v>3.6193749999999945</c:v>
                </c:pt>
                <c:pt idx="23">
                  <c:v>3.6193749999999945</c:v>
                </c:pt>
                <c:pt idx="24">
                  <c:v>3.6193749999999945</c:v>
                </c:pt>
                <c:pt idx="25">
                  <c:v>3.6193749999999945</c:v>
                </c:pt>
                <c:pt idx="26">
                  <c:v>3.6193749999999945</c:v>
                </c:pt>
                <c:pt idx="27">
                  <c:v>3.6193749999999945</c:v>
                </c:pt>
                <c:pt idx="28">
                  <c:v>3.6193749999999945</c:v>
                </c:pt>
                <c:pt idx="29">
                  <c:v>3.6193749999999945</c:v>
                </c:pt>
                <c:pt idx="30">
                  <c:v>3.6193749999999945</c:v>
                </c:pt>
                <c:pt idx="31">
                  <c:v>3.6193749999999945</c:v>
                </c:pt>
                <c:pt idx="32">
                  <c:v>3.6193749999999945</c:v>
                </c:pt>
                <c:pt idx="33">
                  <c:v>3.6193749999999945</c:v>
                </c:pt>
                <c:pt idx="34">
                  <c:v>3.8135714285714215</c:v>
                </c:pt>
                <c:pt idx="35">
                  <c:v>3.8135714285714215</c:v>
                </c:pt>
                <c:pt idx="36">
                  <c:v>3.8135714285714215</c:v>
                </c:pt>
                <c:pt idx="37">
                  <c:v>3.8135714285714215</c:v>
                </c:pt>
                <c:pt idx="38">
                  <c:v>3.8135714285714215</c:v>
                </c:pt>
                <c:pt idx="39">
                  <c:v>3.8135714285714215</c:v>
                </c:pt>
                <c:pt idx="40">
                  <c:v>3.8135714285714215</c:v>
                </c:pt>
                <c:pt idx="41">
                  <c:v>3.8135714285714215</c:v>
                </c:pt>
                <c:pt idx="42">
                  <c:v>3.8135714285714215</c:v>
                </c:pt>
                <c:pt idx="43">
                  <c:v>3.8135714285714215</c:v>
                </c:pt>
                <c:pt idx="44">
                  <c:v>3.8135714285714215</c:v>
                </c:pt>
                <c:pt idx="45">
                  <c:v>3.8135714285714215</c:v>
                </c:pt>
                <c:pt idx="46">
                  <c:v>3.8135714285714215</c:v>
                </c:pt>
                <c:pt idx="47">
                  <c:v>3.8135714285714215</c:v>
                </c:pt>
                <c:pt idx="48">
                  <c:v>3.8135714285714215</c:v>
                </c:pt>
                <c:pt idx="49">
                  <c:v>3.8135714285714215</c:v>
                </c:pt>
                <c:pt idx="50">
                  <c:v>3.8135714285714215</c:v>
                </c:pt>
                <c:pt idx="51">
                  <c:v>3.8135714285714215</c:v>
                </c:pt>
                <c:pt idx="52">
                  <c:v>3.8135714285714215</c:v>
                </c:pt>
                <c:pt idx="53">
                  <c:v>3.8135714285714215</c:v>
                </c:pt>
                <c:pt idx="54">
                  <c:v>3.8135714285714215</c:v>
                </c:pt>
                <c:pt idx="55">
                  <c:v>3.8135714285714215</c:v>
                </c:pt>
                <c:pt idx="56">
                  <c:v>3.8135714285714215</c:v>
                </c:pt>
                <c:pt idx="57">
                  <c:v>3.8135714285714215</c:v>
                </c:pt>
                <c:pt idx="58">
                  <c:v>3.8135714285714215</c:v>
                </c:pt>
                <c:pt idx="59">
                  <c:v>3.8135714285714215</c:v>
                </c:pt>
                <c:pt idx="60">
                  <c:v>3.8135714285714215</c:v>
                </c:pt>
                <c:pt idx="61">
                  <c:v>3.8135714285714215</c:v>
                </c:pt>
                <c:pt idx="62">
                  <c:v>3.8135714285714215</c:v>
                </c:pt>
                <c:pt idx="63">
                  <c:v>3.8135714285714215</c:v>
                </c:pt>
                <c:pt idx="64">
                  <c:v>3.8135714285714215</c:v>
                </c:pt>
                <c:pt idx="65">
                  <c:v>3.8135714285714215</c:v>
                </c:pt>
                <c:pt idx="66">
                  <c:v>3.8135714285714215</c:v>
                </c:pt>
                <c:pt idx="67">
                  <c:v>3.8135714285714215</c:v>
                </c:pt>
                <c:pt idx="68">
                  <c:v>3.8135714285714215</c:v>
                </c:pt>
                <c:pt idx="69">
                  <c:v>3.8135714285714215</c:v>
                </c:pt>
                <c:pt idx="70">
                  <c:v>3.8135714285714215</c:v>
                </c:pt>
                <c:pt idx="71">
                  <c:v>3.8135714285714215</c:v>
                </c:pt>
                <c:pt idx="72">
                  <c:v>3.8135714285714215</c:v>
                </c:pt>
                <c:pt idx="73">
                  <c:v>3.8135714285714215</c:v>
                </c:pt>
                <c:pt idx="74">
                  <c:v>3.8135714285714215</c:v>
                </c:pt>
                <c:pt idx="75">
                  <c:v>3.8135714285714215</c:v>
                </c:pt>
                <c:pt idx="76">
                  <c:v>3.8799999999999955</c:v>
                </c:pt>
                <c:pt idx="77">
                  <c:v>3.8799999999999955</c:v>
                </c:pt>
                <c:pt idx="78">
                  <c:v>3.8799999999999955</c:v>
                </c:pt>
                <c:pt idx="79">
                  <c:v>3.8799999999999955</c:v>
                </c:pt>
                <c:pt idx="80">
                  <c:v>3.8799999999999955</c:v>
                </c:pt>
                <c:pt idx="81">
                  <c:v>3.8799999999999955</c:v>
                </c:pt>
                <c:pt idx="82">
                  <c:v>3.8799999999999955</c:v>
                </c:pt>
                <c:pt idx="83">
                  <c:v>3.8799999999999955</c:v>
                </c:pt>
                <c:pt idx="84">
                  <c:v>3.8799999999999955</c:v>
                </c:pt>
                <c:pt idx="85">
                  <c:v>3.8799999999999955</c:v>
                </c:pt>
                <c:pt idx="86">
                  <c:v>3.8799999999999955</c:v>
                </c:pt>
                <c:pt idx="87">
                  <c:v>3.8799999999999955</c:v>
                </c:pt>
                <c:pt idx="88">
                  <c:v>3.8799999999999955</c:v>
                </c:pt>
                <c:pt idx="89">
                  <c:v>3.8799999999999955</c:v>
                </c:pt>
                <c:pt idx="90">
                  <c:v>3.8799999999999955</c:v>
                </c:pt>
                <c:pt idx="91">
                  <c:v>3.8799999999999955</c:v>
                </c:pt>
                <c:pt idx="92">
                  <c:v>3.8799999999999955</c:v>
                </c:pt>
                <c:pt idx="93">
                  <c:v>3.8799999999999955</c:v>
                </c:pt>
                <c:pt idx="94">
                  <c:v>3.8799999999999955</c:v>
                </c:pt>
                <c:pt idx="95">
                  <c:v>3.8799999999999955</c:v>
                </c:pt>
                <c:pt idx="96">
                  <c:v>3.8799999999999955</c:v>
                </c:pt>
                <c:pt idx="97">
                  <c:v>3.8799999999999955</c:v>
                </c:pt>
                <c:pt idx="98">
                  <c:v>3.8799999999999955</c:v>
                </c:pt>
                <c:pt idx="99">
                  <c:v>3.8799999999999955</c:v>
                </c:pt>
                <c:pt idx="100">
                  <c:v>3.8799999999999955</c:v>
                </c:pt>
                <c:pt idx="101">
                  <c:v>3.8799999999999955</c:v>
                </c:pt>
                <c:pt idx="102">
                  <c:v>3.8799999999999955</c:v>
                </c:pt>
                <c:pt idx="103">
                  <c:v>3.8799999999999955</c:v>
                </c:pt>
                <c:pt idx="104">
                  <c:v>3.8799999999999955</c:v>
                </c:pt>
                <c:pt idx="105">
                  <c:v>3.8799999999999955</c:v>
                </c:pt>
                <c:pt idx="106">
                  <c:v>3.8799999999999955</c:v>
                </c:pt>
                <c:pt idx="107">
                  <c:v>3.8799999999999955</c:v>
                </c:pt>
                <c:pt idx="108">
                  <c:v>3.8799999999999955</c:v>
                </c:pt>
                <c:pt idx="109">
                  <c:v>3.8799999999999955</c:v>
                </c:pt>
                <c:pt idx="110">
                  <c:v>3.8799999999999955</c:v>
                </c:pt>
                <c:pt idx="111">
                  <c:v>3.8799999999999955</c:v>
                </c:pt>
                <c:pt idx="112">
                  <c:v>3.8799999999999955</c:v>
                </c:pt>
                <c:pt idx="113">
                  <c:v>3.8799999999999955</c:v>
                </c:pt>
                <c:pt idx="114">
                  <c:v>3.8799999999999955</c:v>
                </c:pt>
                <c:pt idx="115">
                  <c:v>3.8799999999999955</c:v>
                </c:pt>
                <c:pt idx="116">
                  <c:v>3.8799999999999955</c:v>
                </c:pt>
                <c:pt idx="117">
                  <c:v>3.8799999999999955</c:v>
                </c:pt>
                <c:pt idx="118">
                  <c:v>4.0420454545454625</c:v>
                </c:pt>
                <c:pt idx="119">
                  <c:v>4.0420454545454625</c:v>
                </c:pt>
                <c:pt idx="120">
                  <c:v>4.0420454545454625</c:v>
                </c:pt>
                <c:pt idx="121">
                  <c:v>4.0420454545454625</c:v>
                </c:pt>
                <c:pt idx="122">
                  <c:v>4.0420454545454625</c:v>
                </c:pt>
                <c:pt idx="123">
                  <c:v>4.0420454545454625</c:v>
                </c:pt>
                <c:pt idx="124">
                  <c:v>4.0420454545454625</c:v>
                </c:pt>
                <c:pt idx="125">
                  <c:v>4.0420454545454625</c:v>
                </c:pt>
                <c:pt idx="126">
                  <c:v>4.0420454545454625</c:v>
                </c:pt>
                <c:pt idx="127">
                  <c:v>4.0420454545454625</c:v>
                </c:pt>
                <c:pt idx="128">
                  <c:v>4.0420454545454625</c:v>
                </c:pt>
                <c:pt idx="129">
                  <c:v>4.0420454545454625</c:v>
                </c:pt>
                <c:pt idx="130">
                  <c:v>4.0420454545454625</c:v>
                </c:pt>
                <c:pt idx="131">
                  <c:v>4.0420454545454625</c:v>
                </c:pt>
                <c:pt idx="132">
                  <c:v>4.0420454545454625</c:v>
                </c:pt>
                <c:pt idx="133">
                  <c:v>4.0420454545454625</c:v>
                </c:pt>
                <c:pt idx="134">
                  <c:v>4.0420454545454625</c:v>
                </c:pt>
                <c:pt idx="135">
                  <c:v>4.0420454545454625</c:v>
                </c:pt>
                <c:pt idx="136">
                  <c:v>4.0420454545454625</c:v>
                </c:pt>
                <c:pt idx="137">
                  <c:v>4.0420454545454625</c:v>
                </c:pt>
                <c:pt idx="138">
                  <c:v>4.0420454545454625</c:v>
                </c:pt>
                <c:pt idx="139">
                  <c:v>4.0420454545454625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3.6431099652867067E-2</c:v>
                </c:pt>
                <c:pt idx="87">
                  <c:v>3.7261694830420432E-2</c:v>
                </c:pt>
                <c:pt idx="88">
                  <c:v>3.6847675998971319E-2</c:v>
                </c:pt>
                <c:pt idx="89">
                  <c:v>3.644275648249911E-2</c:v>
                </c:pt>
                <c:pt idx="90">
                  <c:v>3.6446594635588525E-2</c:v>
                </c:pt>
                <c:pt idx="91">
                  <c:v>3.6447500750080353E-2</c:v>
                </c:pt>
                <c:pt idx="92">
                  <c:v>3.6448426657317741E-2</c:v>
                </c:pt>
                <c:pt idx="93">
                  <c:v>3.6449371736153195E-2</c:v>
                </c:pt>
                <c:pt idx="94">
                  <c:v>3.7592269223575836E-2</c:v>
                </c:pt>
                <c:pt idx="95">
                  <c:v>3.7204720056322478E-2</c:v>
                </c:pt>
                <c:pt idx="96">
                  <c:v>3.6825080055747757E-2</c:v>
                </c:pt>
                <c:pt idx="97">
                  <c:v>3.6453109550134144E-2</c:v>
                </c:pt>
                <c:pt idx="98">
                  <c:v>3.645414423515083E-2</c:v>
                </c:pt>
                <c:pt idx="99">
                  <c:v>3.6455194820784596E-2</c:v>
                </c:pt>
                <c:pt idx="100">
                  <c:v>3.6456260842993221E-2</c:v>
                </c:pt>
                <c:pt idx="101">
                  <c:v>3.7167392441335954E-2</c:v>
                </c:pt>
                <c:pt idx="102">
                  <c:v>3.6810013667861567E-2</c:v>
                </c:pt>
                <c:pt idx="103">
                  <c:v>3.6459442109120034E-2</c:v>
                </c:pt>
                <c:pt idx="104">
                  <c:v>3.6460566565453677E-2</c:v>
                </c:pt>
                <c:pt idx="105">
                  <c:v>3.6461704373536831E-2</c:v>
                </c:pt>
                <c:pt idx="106">
                  <c:v>3.6462855165910746E-2</c:v>
                </c:pt>
                <c:pt idx="107">
                  <c:v>3.6482029663413545E-2</c:v>
                </c:pt>
                <c:pt idx="108">
                  <c:v>3.7201928286410807E-2</c:v>
                </c:pt>
                <c:pt idx="109">
                  <c:v>3.6866775779326025E-2</c:v>
                </c:pt>
                <c:pt idx="110">
                  <c:v>3.653760813843919E-2</c:v>
                </c:pt>
                <c:pt idx="111">
                  <c:v>3.6555586939936345E-2</c:v>
                </c:pt>
                <c:pt idx="112">
                  <c:v>3.6573286163640834E-2</c:v>
                </c:pt>
                <c:pt idx="113">
                  <c:v>3.6590713106650324E-2</c:v>
                </c:pt>
                <c:pt idx="114">
                  <c:v>3.6607874814438432E-2</c:v>
                </c:pt>
                <c:pt idx="115">
                  <c:v>3.7284360283801075E-2</c:v>
                </c:pt>
                <c:pt idx="116">
                  <c:v>3.6968391128853612E-2</c:v>
                </c:pt>
                <c:pt idx="117">
                  <c:v>3.6657732379871646E-2</c:v>
                </c:pt>
                <c:pt idx="118">
                  <c:v>3.6673899782055042E-2</c:v>
                </c:pt>
                <c:pt idx="119">
                  <c:v>3.6689833745897939E-2</c:v>
                </c:pt>
                <c:pt idx="120">
                  <c:v>3.6705540015237348E-2</c:v>
                </c:pt>
                <c:pt idx="121">
                  <c:v>3.672102414712012E-2</c:v>
                </c:pt>
                <c:pt idx="122">
                  <c:v>3.7359100846775913E-2</c:v>
                </c:pt>
                <c:pt idx="123">
                  <c:v>3.7060228040001704E-2</c:v>
                </c:pt>
                <c:pt idx="124">
                  <c:v>3.6766099246033433E-2</c:v>
                </c:pt>
                <c:pt idx="125">
                  <c:v>3.6780747675556065E-2</c:v>
                </c:pt>
                <c:pt idx="126">
                  <c:v>3.6795199190538808E-2</c:v>
                </c:pt>
                <c:pt idx="127">
                  <c:v>3.6809458373749368E-2</c:v>
                </c:pt>
                <c:pt idx="128">
                  <c:v>3.6823529666948435E-2</c:v>
                </c:pt>
                <c:pt idx="129">
                  <c:v>3.7722367443171069E-2</c:v>
                </c:pt>
                <c:pt idx="130">
                  <c:v>3.7436591932237959E-2</c:v>
                </c:pt>
                <c:pt idx="131">
                  <c:v>3.7155113797409101E-2</c:v>
                </c:pt>
                <c:pt idx="132">
                  <c:v>3.6877836828771722E-2</c:v>
                </c:pt>
                <c:pt idx="133">
                  <c:v>3.6891032064974162E-2</c:v>
                </c:pt>
                <c:pt idx="134">
                  <c:v>3.6904063365839852E-2</c:v>
                </c:pt>
                <c:pt idx="135">
                  <c:v>3.6916934324359607E-2</c:v>
                </c:pt>
                <c:pt idx="136">
                  <c:v>3.7490104673110591E-2</c:v>
                </c:pt>
                <c:pt idx="137">
                  <c:v>3.72203916898508E-2</c:v>
                </c:pt>
                <c:pt idx="138">
                  <c:v>3.6954531749209006E-2</c:v>
                </c:pt>
                <c:pt idx="139">
                  <c:v>3.6966795853979814E-2</c:v>
                </c:pt>
                <c:pt idx="140">
                  <c:v>3.6978916083120345E-2</c:v>
                </c:pt>
                <c:pt idx="141">
                  <c:v>3.6990895458036369E-2</c:v>
                </c:pt>
                <c:pt idx="142">
                  <c:v>3.7002736916205703E-2</c:v>
                </c:pt>
                <c:pt idx="143">
                  <c:v>3.7548238687959493E-2</c:v>
                </c:pt>
                <c:pt idx="144">
                  <c:v>3.7291058970918681E-2</c:v>
                </c:pt>
                <c:pt idx="145">
                  <c:v>3.7037378297647125E-2</c:v>
                </c:pt>
                <c:pt idx="146">
                  <c:v>3.7048696440413455E-2</c:v>
                </c:pt>
                <c:pt idx="147">
                  <c:v>3.7059890184683135E-2</c:v>
                </c:pt>
                <c:pt idx="148">
                  <c:v>3.707096202132245E-2</c:v>
                </c:pt>
                <c:pt idx="149">
                  <c:v>3.70863815700955E-2</c:v>
                </c:pt>
                <c:pt idx="150">
                  <c:v>3.762009406482858E-2</c:v>
                </c:pt>
                <c:pt idx="151">
                  <c:v>3.7374211097084602E-2</c:v>
                </c:pt>
                <c:pt idx="152">
                  <c:v>3.7131521414636E-2</c:v>
                </c:pt>
                <c:pt idx="153">
                  <c:v>3.7146261926419094E-2</c:v>
                </c:pt>
                <c:pt idx="154">
                  <c:v>3.716084068934157E-2</c:v>
                </c:pt>
                <c:pt idx="155">
                  <c:v>3.7175260797062397E-2</c:v>
                </c:pt>
                <c:pt idx="156">
                  <c:v>3.7189525264920031E-2</c:v>
                </c:pt>
                <c:pt idx="157">
                  <c:v>3.7699653337975009E-2</c:v>
                </c:pt>
                <c:pt idx="158">
                  <c:v>3.7464030504612666E-2</c:v>
                </c:pt>
                <c:pt idx="159">
                  <c:v>3.7231334662969108E-2</c:v>
                </c:pt>
                <c:pt idx="160">
                  <c:v>3.724500572302928E-2</c:v>
                </c:pt>
                <c:pt idx="161">
                  <c:v>3.7500561489144969E-2</c:v>
                </c:pt>
                <c:pt idx="162">
                  <c:v>3.7271899528845305E-2</c:v>
                </c:pt>
                <c:pt idx="163">
                  <c:v>3.7285153480372202E-2</c:v>
                </c:pt>
                <c:pt idx="164">
                  <c:v>3.7773731850599887E-2</c:v>
                </c:pt>
                <c:pt idx="165">
                  <c:v>3.7547541839518452E-2</c:v>
                </c:pt>
                <c:pt idx="166">
                  <c:v>3.7324044566664175E-2</c:v>
                </c:pt>
                <c:pt idx="167">
                  <c:v>3.733677693037403E-2</c:v>
                </c:pt>
                <c:pt idx="168">
                  <c:v>3.7349384528719887E-2</c:v>
                </c:pt>
                <c:pt idx="169">
                  <c:v>3.736186955324914E-2</c:v>
                </c:pt>
                <c:pt idx="170">
                  <c:v>3.7374234144543439E-2</c:v>
                </c:pt>
                <c:pt idx="171">
                  <c:v>3.7843044963022862E-2</c:v>
                </c:pt>
                <c:pt idx="172">
                  <c:v>3.7625556198867559E-2</c:v>
                </c:pt>
                <c:pt idx="173">
                  <c:v>3.7410553020588315E-2</c:v>
                </c:pt>
                <c:pt idx="174">
                  <c:v>3.7422456722728412E-2</c:v>
                </c:pt>
                <c:pt idx="175">
                  <c:v>3.7434249975275578E-2</c:v>
                </c:pt>
                <c:pt idx="176">
                  <c:v>3.7667924084501009E-2</c:v>
                </c:pt>
                <c:pt idx="177">
                  <c:v>3.7457488754419996E-2</c:v>
                </c:pt>
                <c:pt idx="178">
                  <c:v>3.7908102231288598E-2</c:v>
                </c:pt>
                <c:pt idx="179">
                  <c:v>3.7698665202386454E-2</c:v>
                </c:pt>
                <c:pt idx="180">
                  <c:v>3.7491529679296413E-2</c:v>
                </c:pt>
                <c:pt idx="181">
                  <c:v>3.7502698463471436E-2</c:v>
                </c:pt>
                <c:pt idx="182">
                  <c:v>3.751376900564108E-2</c:v>
                </c:pt>
                <c:pt idx="183">
                  <c:v>3.7524742901401731E-2</c:v>
                </c:pt>
                <c:pt idx="184">
                  <c:v>3.7535621712035845E-2</c:v>
                </c:pt>
                <c:pt idx="185">
                  <c:v>3.7969427971809439E-2</c:v>
                </c:pt>
                <c:pt idx="186">
                  <c:v>3.7767462929406199E-2</c:v>
                </c:pt>
                <c:pt idx="187">
                  <c:v>3.7567635083218864E-2</c:v>
                </c:pt>
                <c:pt idx="188">
                  <c:v>3.7578148860289505E-2</c:v>
                </c:pt>
                <c:pt idx="189">
                  <c:v>3.7588574871396212E-2</c:v>
                </c:pt>
                <c:pt idx="190">
                  <c:v>3.7598914490275664E-2</c:v>
                </c:pt>
                <c:pt idx="191">
                  <c:v>3.7617733565419323E-2</c:v>
                </c:pt>
                <c:pt idx="192">
                  <c:v>3.8061492032138468E-2</c:v>
                </c:pt>
                <c:pt idx="193">
                  <c:v>3.7866304893512122E-2</c:v>
                </c:pt>
                <c:pt idx="194">
                  <c:v>3.7673109460381958E-2</c:v>
                </c:pt>
                <c:pt idx="195">
                  <c:v>3.769126380352196E-2</c:v>
                </c:pt>
                <c:pt idx="196">
                  <c:v>3.7709258160650544E-2</c:v>
                </c:pt>
                <c:pt idx="197">
                  <c:v>3.7727094946229715E-2</c:v>
                </c:pt>
                <c:pt idx="198">
                  <c:v>3.7744776526433418E-2</c:v>
                </c:pt>
                <c:pt idx="199">
                  <c:v>3.8172932523861842E-2</c:v>
                </c:pt>
                <c:pt idx="200">
                  <c:v>3.7983957610377379E-2</c:v>
                </c:pt>
                <c:pt idx="201">
                  <c:v>3.7796844518700641E-2</c:v>
                </c:pt>
                <c:pt idx="202">
                  <c:v>3.7813928342688999E-2</c:v>
                </c:pt>
                <c:pt idx="203">
                  <c:v>3.7830868105453601E-2</c:v>
                </c:pt>
                <c:pt idx="204">
                  <c:v>3.7847665907499953E-2</c:v>
                </c:pt>
                <c:pt idx="205">
                  <c:v>3.8462814409687011E-2</c:v>
                </c:pt>
                <c:pt idx="206">
                  <c:v>3.8277897032717362E-2</c:v>
                </c:pt>
                <c:pt idx="207">
                  <c:v>3.8094749200024931E-2</c:v>
                </c:pt>
                <c:pt idx="208">
                  <c:v>3.7913345632405768E-2</c:v>
                </c:pt>
                <c:pt idx="209">
                  <c:v>3.7929464364476563E-2</c:v>
                </c:pt>
                <c:pt idx="210">
                  <c:v>3.7945452913890988E-2</c:v>
                </c:pt>
                <c:pt idx="211">
                  <c:v>3.796131311665258E-2</c:v>
                </c:pt>
                <c:pt idx="212">
                  <c:v>3.855641568872107E-2</c:v>
                </c:pt>
                <c:pt idx="213">
                  <c:v>3.8377083522727021E-2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10</xdr:row>
      <xdr:rowOff>41251</xdr:rowOff>
    </xdr:from>
    <xdr:to>
      <xdr:col>22</xdr:col>
      <xdr:colOff>609600</xdr:colOff>
      <xdr:row>22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2433</xdr:row>
          <xdr:rowOff>0</xdr:rowOff>
        </xdr:from>
        <xdr:to>
          <xdr:col>16</xdr:col>
          <xdr:colOff>295275</xdr:colOff>
          <xdr:row>2436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52" totalsRowShown="0" headerRowDxfId="12" tableBorderDxfId="11">
  <autoFilter ref="A1:G52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www.cmegroup.com/trading/interest-rates/settlements.htm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X27"/>
  <sheetViews>
    <sheetView tabSelected="1" zoomScale="75" zoomScaleNormal="75" workbookViewId="0">
      <selection activeCell="J38" sqref="J38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16384" width="10.875" style="17"/>
  </cols>
  <sheetData>
    <row r="1" spans="1:24" ht="15.75" thickBot="1">
      <c r="A1" s="316">
        <f ca="1">NOW()</f>
        <v>46265.887232175926</v>
      </c>
      <c r="B1" s="467" t="s">
        <v>26</v>
      </c>
      <c r="C1" s="468"/>
      <c r="D1" s="22" t="s">
        <v>128</v>
      </c>
      <c r="E1" s="467" t="s">
        <v>27</v>
      </c>
      <c r="F1" s="468"/>
      <c r="G1" s="22" t="s">
        <v>78</v>
      </c>
      <c r="H1" s="467" t="s">
        <v>30</v>
      </c>
      <c r="I1" s="468"/>
      <c r="K1" s="380" t="s">
        <v>91</v>
      </c>
      <c r="L1" s="381"/>
      <c r="M1" s="381"/>
      <c r="N1" s="381"/>
      <c r="O1" s="382"/>
      <c r="P1" s="469" t="str">
        <f>B1</f>
        <v>FED FUNDS</v>
      </c>
      <c r="Q1" s="470"/>
      <c r="R1" s="470"/>
      <c r="S1" s="470"/>
      <c r="T1" s="471"/>
      <c r="U1" s="345" t="str">
        <f>PYTHON!A15</f>
        <v>cd git-crypto/crypto-project/apps</v>
      </c>
    </row>
    <row r="2" spans="1:24" s="31" customFormat="1" ht="15.75" thickBot="1">
      <c r="A2" s="317">
        <f ca="1">NOW()</f>
        <v>46265.887232175926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4">
      <c r="A3" s="38">
        <v>46174</v>
      </c>
      <c r="B3" s="95"/>
      <c r="C3" s="34"/>
      <c r="D3" s="286"/>
      <c r="E3" s="33"/>
      <c r="F3" s="34"/>
      <c r="G3" s="325">
        <f ca="1">'3M SOFR CALCS'!F36</f>
        <v>2.4369662157965877E-3</v>
      </c>
      <c r="H3" s="33">
        <f>INPUT!H37</f>
        <v>96.355000000000004</v>
      </c>
      <c r="I3" s="34">
        <f t="shared" ref="I3:I9" si="0">100-H3</f>
        <v>3.644999999999996</v>
      </c>
      <c r="J3" s="32">
        <f t="shared" ref="J3:J9" si="1">A3</f>
        <v>46174</v>
      </c>
      <c r="K3" s="35"/>
      <c r="L3" s="36"/>
      <c r="M3" s="252"/>
      <c r="N3" s="36"/>
      <c r="O3" s="37"/>
      <c r="P3" s="413"/>
      <c r="Q3" s="414"/>
      <c r="R3" s="409"/>
      <c r="S3" s="36"/>
      <c r="T3" s="37"/>
      <c r="U3" s="40"/>
      <c r="V3" s="40"/>
      <c r="W3" s="386"/>
      <c r="X3" s="379"/>
    </row>
    <row r="4" spans="1:24">
      <c r="A4" s="38">
        <v>46204</v>
      </c>
      <c r="B4" s="44"/>
      <c r="C4" s="45"/>
      <c r="D4" s="145"/>
      <c r="E4" s="44"/>
      <c r="F4" s="45"/>
      <c r="G4" s="326">
        <f ca="1">'3M SOFR CALCS'!F37</f>
        <v>-7.6624821486319661E-3</v>
      </c>
      <c r="H4" s="44">
        <f>INPUT!H38</f>
        <v>96.295000000000002</v>
      </c>
      <c r="I4" s="45">
        <f t="shared" si="0"/>
        <v>3.7049999999999983</v>
      </c>
      <c r="J4" s="38">
        <f t="shared" si="1"/>
        <v>46204</v>
      </c>
      <c r="K4" s="39"/>
      <c r="L4" s="40"/>
      <c r="M4" s="295"/>
      <c r="N4" s="40"/>
      <c r="O4" s="41"/>
      <c r="P4" s="373"/>
      <c r="Q4" s="40"/>
      <c r="R4" s="372"/>
      <c r="S4" s="40"/>
      <c r="T4" s="41">
        <f>T3+S4</f>
        <v>0</v>
      </c>
      <c r="U4" s="40">
        <v>3.9999999999807301E-2</v>
      </c>
      <c r="V4" s="40">
        <f t="shared" ref="V4:V9" si="2">U4-T4</f>
        <v>3.9999999999807301E-2</v>
      </c>
      <c r="W4" s="18"/>
    </row>
    <row r="5" spans="1:24">
      <c r="A5" s="38">
        <v>46235</v>
      </c>
      <c r="B5" s="44">
        <f>INPUT!H2</f>
        <v>96.37</v>
      </c>
      <c r="C5" s="45">
        <f t="shared" ref="C5:C9" si="3">100-B5</f>
        <v>3.6299999999999955</v>
      </c>
      <c r="D5" s="145">
        <f t="shared" ref="D5:D9" si="4">B5-E5</f>
        <v>1.0000000000005116E-2</v>
      </c>
      <c r="E5" s="44">
        <f>INPUT!H19</f>
        <v>96.36</v>
      </c>
      <c r="F5" s="45">
        <f t="shared" ref="F5:F9" si="5">100-E5</f>
        <v>3.6400000000000006</v>
      </c>
      <c r="G5" s="326">
        <f ca="1">'3M SOFR CALCS'!F38</f>
        <v>-8.986498443164237E-6</v>
      </c>
      <c r="H5" s="44">
        <f>INPUT!H39</f>
        <v>96.212500000000006</v>
      </c>
      <c r="I5" s="45">
        <f>100-H5</f>
        <v>3.7874999999999943</v>
      </c>
      <c r="J5" s="38">
        <f t="shared" si="1"/>
        <v>46235</v>
      </c>
      <c r="K5" s="39"/>
      <c r="L5" s="40"/>
      <c r="M5" s="295"/>
      <c r="N5" s="40"/>
      <c r="O5" s="41"/>
      <c r="P5" s="411"/>
      <c r="Q5" s="412">
        <f>'DAILY EXTRAPOLATION'!K2448</f>
        <v>3.6299999999999955</v>
      </c>
      <c r="R5" s="40"/>
      <c r="S5" s="40"/>
      <c r="T5" s="41">
        <f t="shared" ref="T5:T9" si="6">T4+S5</f>
        <v>0</v>
      </c>
      <c r="U5" s="40">
        <v>3.9999999999807301E-2</v>
      </c>
      <c r="V5" s="40">
        <f t="shared" si="2"/>
        <v>3.9999999999807301E-2</v>
      </c>
      <c r="W5" s="18"/>
      <c r="X5" s="40"/>
    </row>
    <row r="6" spans="1:24">
      <c r="A6" s="32">
        <v>46266</v>
      </c>
      <c r="B6" s="95">
        <f>INPUT!H3</f>
        <v>96.295000000000002</v>
      </c>
      <c r="C6" s="34">
        <f t="shared" si="3"/>
        <v>3.7049999999999983</v>
      </c>
      <c r="D6" s="286">
        <f t="shared" si="4"/>
        <v>4.9999999999954525E-3</v>
      </c>
      <c r="E6" s="33">
        <f>INPUT!H20</f>
        <v>96.29</v>
      </c>
      <c r="F6" s="34">
        <f t="shared" si="5"/>
        <v>3.7099999999999937</v>
      </c>
      <c r="G6" s="325">
        <f ca="1">'3M SOFR CALCS'!F39</f>
        <v>-5.6152769216026854E-3</v>
      </c>
      <c r="H6" s="33">
        <f>INPUT!H40</f>
        <v>96.13</v>
      </c>
      <c r="I6" s="34">
        <f>100-H6</f>
        <v>3.8700000000000045</v>
      </c>
      <c r="J6" s="32">
        <f t="shared" si="1"/>
        <v>46266</v>
      </c>
      <c r="K6" s="35"/>
      <c r="L6" s="36"/>
      <c r="M6" s="252" t="s">
        <v>133</v>
      </c>
      <c r="N6" s="36"/>
      <c r="O6" s="37"/>
      <c r="P6" s="413">
        <f ca="1">'DAILY EXTRAPOLATION'!K2495</f>
        <v>3.6274999999999995</v>
      </c>
      <c r="Q6" s="414"/>
      <c r="R6" s="409">
        <f ca="1">'DAILY EXTRAPOLATION'!K2477</f>
        <v>3.7935714285714255</v>
      </c>
      <c r="S6" s="36">
        <f ca="1">R6-Q5</f>
        <v>0.16357142857143003</v>
      </c>
      <c r="T6" s="37">
        <f t="shared" ca="1" si="6"/>
        <v>0.16357142857143003</v>
      </c>
      <c r="U6" s="40">
        <v>0.21196428571408532</v>
      </c>
      <c r="V6" s="40">
        <f t="shared" ca="1" si="2"/>
        <v>4.8392857142655288E-2</v>
      </c>
      <c r="W6" s="18"/>
    </row>
    <row r="7" spans="1:24">
      <c r="A7" s="38">
        <v>46296</v>
      </c>
      <c r="B7" s="44">
        <f>INPUT!H4</f>
        <v>96.2</v>
      </c>
      <c r="C7" s="45">
        <f>100-B7</f>
        <v>3.7999999999999972</v>
      </c>
      <c r="D7" s="145">
        <f>B7-E7</f>
        <v>1.9999999999996021E-2</v>
      </c>
      <c r="E7" s="44">
        <f>INPUT!H21</f>
        <v>96.18</v>
      </c>
      <c r="F7" s="45">
        <f>100-E7</f>
        <v>3.8199999999999932</v>
      </c>
      <c r="G7" s="391">
        <v>2027</v>
      </c>
      <c r="H7" s="44">
        <f>INPUT!H41</f>
        <v>96.045000000000002</v>
      </c>
      <c r="I7" s="45">
        <f t="shared" si="0"/>
        <v>3.9549999999999983</v>
      </c>
      <c r="J7" s="38">
        <f t="shared" si="1"/>
        <v>46296</v>
      </c>
      <c r="K7" s="39"/>
      <c r="L7" s="40"/>
      <c r="M7" s="295" t="s">
        <v>132</v>
      </c>
      <c r="N7" s="40"/>
      <c r="O7" s="41"/>
      <c r="P7" s="373">
        <f ca="1">'DAILY EXTRAPOLATION'!K2525</f>
        <v>3.7935714285714255</v>
      </c>
      <c r="Q7" s="40"/>
      <c r="R7" s="372">
        <f>'DAILY EXTRAPOLATION'!K2507</f>
        <v>3.8599999999999994</v>
      </c>
      <c r="S7" s="40">
        <f ca="1">R7-P7</f>
        <v>6.6428571428573946E-2</v>
      </c>
      <c r="T7" s="41">
        <f t="shared" ca="1" si="6"/>
        <v>0.23000000000000398</v>
      </c>
      <c r="U7" s="40">
        <v>0.29499999999980275</v>
      </c>
      <c r="V7" s="40">
        <f t="shared" ca="1" si="2"/>
        <v>6.4999999999798774E-2</v>
      </c>
      <c r="W7" s="18"/>
    </row>
    <row r="8" spans="1:24">
      <c r="A8" s="38">
        <v>46327</v>
      </c>
      <c r="B8" s="44">
        <f>INPUT!H5</f>
        <v>96.14</v>
      </c>
      <c r="C8" s="45">
        <f>100-B8</f>
        <v>3.8599999999999994</v>
      </c>
      <c r="D8" s="145">
        <f>B8-E8</f>
        <v>1.9999999999996021E-2</v>
      </c>
      <c r="E8" s="44">
        <f>INPUT!H22</f>
        <v>96.12</v>
      </c>
      <c r="F8" s="45">
        <f>100-E8</f>
        <v>3.8799999999999955</v>
      </c>
      <c r="G8" s="391">
        <v>2027</v>
      </c>
      <c r="H8" s="44">
        <f>INPUT!H42</f>
        <v>95.98</v>
      </c>
      <c r="I8" s="45">
        <f t="shared" ref="I8" si="7">100-H8</f>
        <v>4.019999999999996</v>
      </c>
      <c r="J8" s="38">
        <f t="shared" si="1"/>
        <v>46327</v>
      </c>
      <c r="K8" s="39"/>
      <c r="L8" s="40"/>
      <c r="M8" s="295"/>
      <c r="N8" s="40"/>
      <c r="O8" s="41"/>
      <c r="P8" s="39"/>
      <c r="Q8" s="372">
        <f>'DAILY EXTRAPOLATION'!K2540</f>
        <v>3.8599999999999994</v>
      </c>
      <c r="R8" s="40"/>
      <c r="S8" s="40"/>
      <c r="T8" s="41">
        <f t="shared" ca="1" si="6"/>
        <v>0.23000000000000398</v>
      </c>
      <c r="U8" s="40">
        <v>0.29499999999980275</v>
      </c>
      <c r="V8" s="40">
        <f t="shared" ca="1" si="2"/>
        <v>6.4999999999798774E-2</v>
      </c>
    </row>
    <row r="9" spans="1:24" ht="15.75" thickBot="1">
      <c r="A9" s="43">
        <v>46357</v>
      </c>
      <c r="B9" s="50">
        <f>INPUT!H6</f>
        <v>96.04</v>
      </c>
      <c r="C9" s="51">
        <f t="shared" si="3"/>
        <v>3.9599999999999937</v>
      </c>
      <c r="D9" s="399">
        <f t="shared" si="4"/>
        <v>3.50000000000108E-2</v>
      </c>
      <c r="E9" s="50">
        <f>INPUT!H23</f>
        <v>96.004999999999995</v>
      </c>
      <c r="F9" s="51">
        <f t="shared" si="5"/>
        <v>3.9950000000000045</v>
      </c>
      <c r="G9" s="392">
        <v>2027</v>
      </c>
      <c r="H9" s="50">
        <f>INPUT!H43</f>
        <v>95.924999999999997</v>
      </c>
      <c r="I9" s="51">
        <f t="shared" si="0"/>
        <v>4.0750000000000028</v>
      </c>
      <c r="J9" s="43">
        <f t="shared" si="1"/>
        <v>46357</v>
      </c>
      <c r="K9" s="46"/>
      <c r="L9" s="47"/>
      <c r="M9" s="253" t="s">
        <v>212</v>
      </c>
      <c r="N9" s="47"/>
      <c r="O9" s="48"/>
      <c r="P9" s="374">
        <f ca="1">'DAILY EXTRAPOLATION'!K2568</f>
        <v>3.8599999999999994</v>
      </c>
      <c r="Q9" s="410"/>
      <c r="R9" s="410">
        <f ca="1">'DAILY EXTRAPOLATION'!K2586</f>
        <v>4.0009090909090821</v>
      </c>
      <c r="S9" s="47">
        <f ca="1">R9-P9</f>
        <v>0.14090909090908266</v>
      </c>
      <c r="T9" s="48">
        <f t="shared" ca="1" si="6"/>
        <v>0.37090909090908664</v>
      </c>
      <c r="U9" s="40">
        <v>0.38659090909070848</v>
      </c>
      <c r="V9" s="40">
        <f t="shared" ca="1" si="2"/>
        <v>1.5681818181621843E-2</v>
      </c>
    </row>
    <row r="10" spans="1:24">
      <c r="R10" s="177" t="s">
        <v>246</v>
      </c>
      <c r="S10" s="420">
        <v>0.25</v>
      </c>
      <c r="T10" s="423">
        <f ca="1">T9/S10</f>
        <v>1.4836363636363465</v>
      </c>
      <c r="U10" s="21" t="s">
        <v>250</v>
      </c>
      <c r="V10" s="40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  <row r="27" spans="10:10">
      <c r="J27" s="17"/>
    </row>
  </sheetData>
  <mergeCells count="4">
    <mergeCell ref="B1:C1"/>
    <mergeCell ref="E1:F1"/>
    <mergeCell ref="H1:I1"/>
    <mergeCell ref="P1:T1"/>
  </mergeCells>
  <conditionalFormatting sqref="C3:C9">
    <cfRule type="top10" dxfId="683" priority="3249" bottom="1" rank="1"/>
    <cfRule type="top10" dxfId="682" priority="3250" rank="1"/>
  </conditionalFormatting>
  <conditionalFormatting sqref="F3:F9">
    <cfRule type="top10" dxfId="681" priority="3251" bottom="1" rank="1"/>
    <cfRule type="top10" dxfId="680" priority="3252" rank="1"/>
  </conditionalFormatting>
  <conditionalFormatting sqref="O3:O9">
    <cfRule type="top10" dxfId="679" priority="3253" bottom="1" rank="1"/>
    <cfRule type="top10" dxfId="678" priority="3254" rank="1"/>
  </conditionalFormatting>
  <pageMargins left="0.7" right="0.7" top="0.75" bottom="0.75" header="0.3" footer="0.3"/>
  <pageSetup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34" activePane="bottomLeft" state="frozen"/>
      <selection pane="bottomLeft" activeCell="D2460" sqref="D2460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5" customWidth="1"/>
    <col min="9" max="9" width="14.25" style="457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4" t="s">
        <v>28</v>
      </c>
      <c r="I1" s="455" t="s">
        <v>247</v>
      </c>
      <c r="J1" s="55" t="s">
        <v>160</v>
      </c>
      <c r="K1" s="55" t="s">
        <v>161</v>
      </c>
      <c r="L1" s="53" t="s">
        <v>162</v>
      </c>
      <c r="M1" s="472" t="s">
        <v>43</v>
      </c>
      <c r="N1" s="473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6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6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6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6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6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6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6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6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6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6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6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6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6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6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6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6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6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6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6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6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6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6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6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6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6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6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5">
        <v>1.53</v>
      </c>
      <c r="I28" s="457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5">
        <v>1.53</v>
      </c>
      <c r="I29" s="457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5">
        <v>1.53</v>
      </c>
      <c r="I30" s="457">
        <f t="shared" si="0"/>
        <v>-2.0000000000000018E-2</v>
      </c>
      <c r="J30" s="433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5">
        <v>1.54</v>
      </c>
      <c r="I31" s="457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6">
        <v>1.55</v>
      </c>
      <c r="I32" s="458">
        <f t="shared" si="0"/>
        <v>0</v>
      </c>
      <c r="J32" s="434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6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6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6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6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6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6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6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6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6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6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6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6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6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6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6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6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6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6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6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6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6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6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6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6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6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6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6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6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6">
        <f t="shared" si="0"/>
        <v>-2.0000000000000018E-2</v>
      </c>
      <c r="J61" s="433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6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6">
        <v>1.6</v>
      </c>
      <c r="I63" s="458">
        <f t="shared" si="0"/>
        <v>1.0000000000000009E-2</v>
      </c>
      <c r="J63" s="434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5">
        <v>1.6</v>
      </c>
      <c r="I64" s="457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5">
        <v>1.6</v>
      </c>
      <c r="I65" s="457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5">
        <v>1.59</v>
      </c>
      <c r="I66" s="457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5">
        <v>1.6</v>
      </c>
      <c r="I67" s="457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5">
        <v>1.59</v>
      </c>
      <c r="I68" s="457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5">
        <v>1.59</v>
      </c>
      <c r="I69" s="457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5">
        <v>1.58</v>
      </c>
      <c r="I70" s="457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5">
        <v>1.58</v>
      </c>
      <c r="I71" s="457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5">
        <v>1.58</v>
      </c>
      <c r="I72" s="457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5">
        <v>1.58</v>
      </c>
      <c r="I73" s="457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5">
        <v>1.58</v>
      </c>
      <c r="I74" s="457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5">
        <v>1.57</v>
      </c>
      <c r="I75" s="457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5">
        <v>1.57</v>
      </c>
      <c r="I76" s="457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5">
        <v>1.58</v>
      </c>
      <c r="I77" s="457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5">
        <v>1.58</v>
      </c>
      <c r="I78" s="457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5">
        <v>1.58</v>
      </c>
      <c r="I79" s="457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5">
        <v>1.58</v>
      </c>
      <c r="I80" s="457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5">
        <v>1.6</v>
      </c>
      <c r="I81" s="457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5">
        <v>1.59</v>
      </c>
      <c r="I82" s="457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5">
        <v>1.6</v>
      </c>
      <c r="I83" s="457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5">
        <v>1.58</v>
      </c>
      <c r="I84" s="457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5">
        <v>1.58</v>
      </c>
      <c r="I85" s="457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5">
        <v>1.58</v>
      </c>
      <c r="I86" s="457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5">
        <v>1.58</v>
      </c>
      <c r="I87" s="457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5">
        <v>1.59</v>
      </c>
      <c r="I88" s="457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5">
        <v>1.58</v>
      </c>
      <c r="I89" s="457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5">
        <v>1.58</v>
      </c>
      <c r="I90" s="457">
        <f t="shared" si="9"/>
        <v>0</v>
      </c>
      <c r="J90" s="433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5">
        <v>1.6</v>
      </c>
      <c r="I91" s="457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6">
        <v>1.6</v>
      </c>
      <c r="I92" s="458">
        <f t="shared" si="9"/>
        <v>2.0000000000000018E-2</v>
      </c>
      <c r="J92" s="434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5">
        <v>1.6</v>
      </c>
      <c r="I93" s="457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6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7">
        <v>1.64</v>
      </c>
      <c r="I95" s="459">
        <f t="shared" si="9"/>
        <v>4.9999999999999822E-2</v>
      </c>
      <c r="J95" s="435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6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6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5">
        <v>1.1000000000000001</v>
      </c>
      <c r="I98" s="457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5">
        <v>1.1000000000000001</v>
      </c>
      <c r="I99" s="457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5">
        <v>1.1000000000000001</v>
      </c>
      <c r="I100" s="457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6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6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6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8">
        <v>1.2</v>
      </c>
      <c r="I104" s="457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5">
        <v>1.1000000000000001</v>
      </c>
      <c r="I105" s="457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5">
        <v>1.1000000000000001</v>
      </c>
      <c r="I106" s="457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5">
        <v>1.1000000000000001</v>
      </c>
      <c r="I107" s="457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5">
        <v>0.26</v>
      </c>
      <c r="I108" s="457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5">
        <v>0.54</v>
      </c>
      <c r="I109" s="457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5">
        <v>0.1</v>
      </c>
      <c r="I110" s="457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5">
        <v>0.06</v>
      </c>
      <c r="I111" s="457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5">
        <v>0.04</v>
      </c>
      <c r="I112" s="457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5">
        <v>0.04</v>
      </c>
      <c r="I113" s="457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5">
        <v>0.04</v>
      </c>
      <c r="I114" s="457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5">
        <v>0.02</v>
      </c>
      <c r="I115" s="457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5">
        <v>0.01</v>
      </c>
      <c r="I116" s="457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5">
        <v>0.01</v>
      </c>
      <c r="I117" s="457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5">
        <v>0.01</v>
      </c>
      <c r="I118" s="457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5">
        <v>0.01</v>
      </c>
      <c r="I119" s="457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5">
        <v>0.01</v>
      </c>
      <c r="I120" s="457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5">
        <v>0.01</v>
      </c>
      <c r="I121" s="457">
        <f t="shared" si="9"/>
        <v>-9.0000000000000011E-2</v>
      </c>
      <c r="J121" s="433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5">
        <v>0.01</v>
      </c>
      <c r="I122" s="457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9">
        <v>0.01</v>
      </c>
      <c r="I123" s="460">
        <f t="shared" si="9"/>
        <v>-7.0000000000000007E-2</v>
      </c>
      <c r="J123" s="434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6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6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6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6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6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6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6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6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6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6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6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6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6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6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6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6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6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6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6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6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6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6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6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6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6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6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6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6">
        <f t="shared" si="14"/>
        <v>-0.03</v>
      </c>
      <c r="J151" s="433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6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9">
        <v>0.04</v>
      </c>
      <c r="I153" s="460">
        <f t="shared" si="14"/>
        <v>-1.0000000000000002E-2</v>
      </c>
      <c r="J153" s="434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6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6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6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6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6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6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6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6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6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6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6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6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6">
        <f t="shared" si="14"/>
        <v>-1.0000000000000002E-2</v>
      </c>
      <c r="J166" s="433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6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6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6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6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6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6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6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6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6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6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6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6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6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6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6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6">
        <f t="shared" si="14"/>
        <v>9.999999999999995E-3</v>
      </c>
      <c r="J182" s="433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6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9">
        <v>0.06</v>
      </c>
      <c r="I184" s="460">
        <f t="shared" si="14"/>
        <v>9.999999999999995E-3</v>
      </c>
      <c r="J184" s="434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5">
        <v>0.06</v>
      </c>
      <c r="I185" s="457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5">
        <v>7.0000000000000007E-2</v>
      </c>
      <c r="I186" s="457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5">
        <v>0.06</v>
      </c>
      <c r="I187" s="457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5">
        <v>7.0000000000000007E-2</v>
      </c>
      <c r="I188" s="457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5">
        <v>7.0000000000000007E-2</v>
      </c>
      <c r="I189" s="457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5">
        <v>7.0000000000000007E-2</v>
      </c>
      <c r="I190" s="457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5">
        <v>7.0000000000000007E-2</v>
      </c>
      <c r="I191" s="457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5">
        <v>7.0000000000000007E-2</v>
      </c>
      <c r="I192" s="457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5">
        <v>0.08</v>
      </c>
      <c r="I193" s="457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5">
        <v>7.0000000000000007E-2</v>
      </c>
      <c r="I194" s="457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5">
        <v>0.08</v>
      </c>
      <c r="I195" s="457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5">
        <v>0.08</v>
      </c>
      <c r="I196" s="457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5">
        <v>0.08</v>
      </c>
      <c r="I197" s="457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5">
        <v>0.08</v>
      </c>
      <c r="I198" s="457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5">
        <v>0.09</v>
      </c>
      <c r="I199" s="457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5">
        <v>0.09</v>
      </c>
      <c r="I200" s="457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5">
        <v>0.09</v>
      </c>
      <c r="I201" s="457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5">
        <v>0.09</v>
      </c>
      <c r="I202" s="457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5">
        <v>0.09</v>
      </c>
      <c r="I203" s="457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5">
        <v>0.09</v>
      </c>
      <c r="I204" s="457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5">
        <v>0.09</v>
      </c>
      <c r="I205" s="457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5">
        <v>0.08</v>
      </c>
      <c r="I206" s="457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5">
        <v>7.0000000000000007E-2</v>
      </c>
      <c r="I207" s="457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5">
        <v>0.08</v>
      </c>
      <c r="I208" s="457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5">
        <v>0.09</v>
      </c>
      <c r="I209" s="457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5">
        <v>0.08</v>
      </c>
      <c r="I210" s="457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5">
        <v>0.08</v>
      </c>
      <c r="I211" s="457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5">
        <v>0.08</v>
      </c>
      <c r="I212" s="457">
        <f t="shared" si="19"/>
        <v>0</v>
      </c>
      <c r="J212" s="433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5">
        <v>0.08</v>
      </c>
      <c r="I213" s="457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6">
        <v>0.1</v>
      </c>
      <c r="I214" s="458">
        <f t="shared" si="19"/>
        <v>2.0000000000000004E-2</v>
      </c>
      <c r="J214" s="434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5">
        <v>0.11</v>
      </c>
      <c r="I215" s="457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5">
        <v>0.11</v>
      </c>
      <c r="I216" s="457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5">
        <v>0.11</v>
      </c>
      <c r="I217" s="457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5">
        <v>0.11</v>
      </c>
      <c r="I218" s="457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5">
        <v>0.11</v>
      </c>
      <c r="I219" s="457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5">
        <v>0.1</v>
      </c>
      <c r="I220" s="457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5">
        <v>0.1</v>
      </c>
      <c r="I221" s="457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5">
        <v>0.1</v>
      </c>
      <c r="I222" s="457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5">
        <v>0.1</v>
      </c>
      <c r="I223" s="457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5">
        <v>0.1</v>
      </c>
      <c r="I224" s="457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5">
        <v>0.1</v>
      </c>
      <c r="I225" s="457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5">
        <v>0.1</v>
      </c>
      <c r="I226" s="457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5">
        <v>0.1</v>
      </c>
      <c r="I227" s="457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5">
        <v>0.11</v>
      </c>
      <c r="I228" s="457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5">
        <v>0.13</v>
      </c>
      <c r="I229" s="457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5">
        <v>0.12</v>
      </c>
      <c r="I230" s="457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5">
        <v>0.12</v>
      </c>
      <c r="I231" s="457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5">
        <v>0.12</v>
      </c>
      <c r="I232" s="457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5">
        <v>0.12</v>
      </c>
      <c r="I233" s="457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5">
        <v>0.12</v>
      </c>
      <c r="I234" s="457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5">
        <v>0.11</v>
      </c>
      <c r="I235" s="457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5">
        <v>0.1</v>
      </c>
      <c r="I236" s="457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5">
        <v>0.1</v>
      </c>
      <c r="I237" s="457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5">
        <v>0.1</v>
      </c>
      <c r="I238" s="457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5">
        <v>0.1</v>
      </c>
      <c r="I239" s="457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5">
        <v>0.1</v>
      </c>
      <c r="I240" s="457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5">
        <v>0.1</v>
      </c>
      <c r="I241" s="457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5">
        <v>0.1</v>
      </c>
      <c r="I242" s="457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5">
        <v>0.09</v>
      </c>
      <c r="I243" s="457">
        <f t="shared" si="19"/>
        <v>-1.0000000000000009E-2</v>
      </c>
      <c r="J243" s="433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5">
        <v>0.1</v>
      </c>
      <c r="I244" s="457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6">
        <v>0.1</v>
      </c>
      <c r="I245" s="458">
        <f t="shared" si="19"/>
        <v>0</v>
      </c>
      <c r="J245" s="434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5">
        <v>0.1</v>
      </c>
      <c r="I246" s="457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5">
        <v>0.1</v>
      </c>
      <c r="I247" s="457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5">
        <v>0.1</v>
      </c>
      <c r="I248" s="457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5">
        <v>0.09</v>
      </c>
      <c r="I249" s="457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5">
        <v>0.09</v>
      </c>
      <c r="I250" s="457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5">
        <v>0.09</v>
      </c>
      <c r="I251" s="457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5">
        <v>0.09</v>
      </c>
      <c r="I252" s="457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5">
        <v>0.09</v>
      </c>
      <c r="I253" s="457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5">
        <v>0.09</v>
      </c>
      <c r="I254" s="457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5">
        <v>0.09</v>
      </c>
      <c r="I255" s="457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5">
        <v>0.1</v>
      </c>
      <c r="I256" s="457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5">
        <v>0.09</v>
      </c>
      <c r="I257" s="457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5">
        <v>0.09</v>
      </c>
      <c r="I258" s="457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5">
        <v>0.09</v>
      </c>
      <c r="I259" s="457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5">
        <v>0.09</v>
      </c>
      <c r="I260" s="457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5">
        <v>0.09</v>
      </c>
      <c r="I261" s="457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5">
        <v>0.1</v>
      </c>
      <c r="I262" s="457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5">
        <v>0.09</v>
      </c>
      <c r="I263" s="457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5">
        <v>0.09</v>
      </c>
      <c r="I264" s="457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5">
        <v>7.0000000000000007E-2</v>
      </c>
      <c r="I265" s="457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5">
        <v>7.0000000000000007E-2</v>
      </c>
      <c r="I266" s="457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5">
        <v>7.0000000000000007E-2</v>
      </c>
      <c r="I267" s="457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5">
        <v>7.0000000000000007E-2</v>
      </c>
      <c r="I268" s="457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5">
        <v>0.08</v>
      </c>
      <c r="I269" s="457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5">
        <v>0.08</v>
      </c>
      <c r="I270" s="457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5">
        <v>7.0000000000000007E-2</v>
      </c>
      <c r="I271" s="457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5">
        <v>7.0000000000000007E-2</v>
      </c>
      <c r="I272" s="457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5">
        <v>7.0000000000000007E-2</v>
      </c>
      <c r="I273" s="457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5">
        <v>7.0000000000000007E-2</v>
      </c>
      <c r="I274" s="457">
        <f t="shared" si="24"/>
        <v>-1.999999999999999E-2</v>
      </c>
      <c r="J274" s="433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5">
        <v>7.0000000000000007E-2</v>
      </c>
      <c r="I275" s="457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6">
        <v>0.09</v>
      </c>
      <c r="I276" s="458">
        <f t="shared" si="24"/>
        <v>0</v>
      </c>
      <c r="J276" s="434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5">
        <v>0.09</v>
      </c>
      <c r="I277" s="457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5">
        <v>0.09</v>
      </c>
      <c r="I278" s="457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5">
        <v>0.1</v>
      </c>
      <c r="I279" s="457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5">
        <v>0.09</v>
      </c>
      <c r="I280" s="457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5">
        <v>0.09</v>
      </c>
      <c r="I281" s="457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5">
        <v>0.09</v>
      </c>
      <c r="I282" s="457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5">
        <v>0.09</v>
      </c>
      <c r="I283" s="457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5">
        <v>0.09</v>
      </c>
      <c r="I284" s="457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5">
        <v>0.09</v>
      </c>
      <c r="I285" s="457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5">
        <v>0.09</v>
      </c>
      <c r="I286" s="457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5">
        <v>0.09</v>
      </c>
      <c r="I287" s="457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5">
        <v>0.09</v>
      </c>
      <c r="I288" s="457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5">
        <v>0.09</v>
      </c>
      <c r="I289" s="457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5">
        <v>0.09</v>
      </c>
      <c r="I290" s="457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5">
        <v>0.1</v>
      </c>
      <c r="I291" s="457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5">
        <v>0.1</v>
      </c>
      <c r="I292" s="457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5">
        <v>0.1</v>
      </c>
      <c r="I293" s="457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5">
        <v>0.09</v>
      </c>
      <c r="I294" s="457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5">
        <v>0.09</v>
      </c>
      <c r="I295" s="457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5">
        <v>0.09</v>
      </c>
      <c r="I296" s="457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5">
        <v>0.08</v>
      </c>
      <c r="I297" s="457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5">
        <v>7.0000000000000007E-2</v>
      </c>
      <c r="I298" s="457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5">
        <v>0.06</v>
      </c>
      <c r="I299" s="457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5">
        <v>7.0000000000000007E-2</v>
      </c>
      <c r="I300" s="457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5">
        <v>0.08</v>
      </c>
      <c r="I301" s="457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5">
        <v>0.08</v>
      </c>
      <c r="I302" s="457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5">
        <v>0.08</v>
      </c>
      <c r="I303" s="457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5">
        <v>0.08</v>
      </c>
      <c r="I304" s="457">
        <f t="shared" si="24"/>
        <v>-9.999999999999995E-3</v>
      </c>
      <c r="J304" s="433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5">
        <v>7.0000000000000007E-2</v>
      </c>
      <c r="I305" s="457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6">
        <v>0.08</v>
      </c>
      <c r="I306" s="458">
        <f t="shared" si="24"/>
        <v>-9.999999999999995E-3</v>
      </c>
      <c r="J306" s="434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5">
        <v>0.08</v>
      </c>
      <c r="I307" s="457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5">
        <v>0.1</v>
      </c>
      <c r="I308" s="457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5">
        <v>0.1</v>
      </c>
      <c r="I309" s="457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5">
        <v>0.1</v>
      </c>
      <c r="I310" s="457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5">
        <v>0.09</v>
      </c>
      <c r="I311" s="457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5">
        <v>0.1</v>
      </c>
      <c r="I312" s="457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5">
        <v>0.09</v>
      </c>
      <c r="I313" s="457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5">
        <v>0.08</v>
      </c>
      <c r="I314" s="457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5">
        <v>0.09</v>
      </c>
      <c r="I315" s="457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5">
        <v>0.09</v>
      </c>
      <c r="I316" s="457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5">
        <v>0.09</v>
      </c>
      <c r="I317" s="457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5">
        <v>0.09</v>
      </c>
      <c r="I318" s="457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5">
        <v>0.09</v>
      </c>
      <c r="I319" s="457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5">
        <v>0.09</v>
      </c>
      <c r="I320" s="457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5">
        <v>0.1</v>
      </c>
      <c r="I321" s="457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5">
        <v>0.09</v>
      </c>
      <c r="I322" s="457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5">
        <v>0.09</v>
      </c>
      <c r="I323" s="457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5">
        <v>0.09</v>
      </c>
      <c r="I324" s="457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5">
        <v>0.09</v>
      </c>
      <c r="I325" s="457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5">
        <v>0.08</v>
      </c>
      <c r="I326" s="457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5">
        <v>7.0000000000000007E-2</v>
      </c>
      <c r="I327" s="457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5">
        <v>7.0000000000000007E-2</v>
      </c>
      <c r="I328" s="457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5">
        <v>0.08</v>
      </c>
      <c r="I329" s="457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5">
        <v>0.08</v>
      </c>
      <c r="I330" s="457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5">
        <v>0.08</v>
      </c>
      <c r="I331" s="457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5">
        <v>0.09</v>
      </c>
      <c r="I332" s="457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5">
        <v>0.09</v>
      </c>
      <c r="I333" s="457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5">
        <v>0.08</v>
      </c>
      <c r="I334" s="457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5">
        <v>0.09</v>
      </c>
      <c r="I335" s="457">
        <f t="shared" si="29"/>
        <v>0</v>
      </c>
      <c r="J335" s="433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5">
        <v>0.09</v>
      </c>
      <c r="I336" s="457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6">
        <v>0.09</v>
      </c>
      <c r="I337" s="458">
        <f t="shared" si="29"/>
        <v>0</v>
      </c>
      <c r="J337" s="434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5">
        <v>0.09</v>
      </c>
      <c r="I338" s="457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5">
        <v>0.11</v>
      </c>
      <c r="I339" s="457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5">
        <v>0.1</v>
      </c>
      <c r="I340" s="457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5">
        <v>0.1</v>
      </c>
      <c r="I341" s="457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5">
        <v>0.11</v>
      </c>
      <c r="I342" s="457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5">
        <v>0.1</v>
      </c>
      <c r="I343" s="457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5">
        <v>0.1</v>
      </c>
      <c r="I344" s="457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5">
        <v>0.1</v>
      </c>
      <c r="I345" s="457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5">
        <v>0.1</v>
      </c>
      <c r="I346" s="457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5">
        <v>0.1</v>
      </c>
      <c r="I347" s="457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5">
        <v>0.1</v>
      </c>
      <c r="I348" s="457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5">
        <v>0.09</v>
      </c>
      <c r="I349" s="457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5">
        <v>0.09</v>
      </c>
      <c r="I350" s="457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5">
        <v>0.09</v>
      </c>
      <c r="I351" s="457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5">
        <v>0.09</v>
      </c>
      <c r="I352" s="457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5">
        <v>0.1</v>
      </c>
      <c r="I353" s="457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5">
        <v>0.09</v>
      </c>
      <c r="I354" s="457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5">
        <v>7.0000000000000007E-2</v>
      </c>
      <c r="I355" s="457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5">
        <v>0.06</v>
      </c>
      <c r="I356" s="457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5">
        <v>0.05</v>
      </c>
      <c r="I357" s="457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5">
        <v>0.05</v>
      </c>
      <c r="I358" s="457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5">
        <v>0.05</v>
      </c>
      <c r="I359" s="457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5">
        <v>0.05</v>
      </c>
      <c r="I360" s="457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5">
        <v>7.0000000000000007E-2</v>
      </c>
      <c r="I361" s="457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5">
        <v>0.08</v>
      </c>
      <c r="I362" s="457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5">
        <v>0.08</v>
      </c>
      <c r="I363" s="457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5">
        <v>0.08</v>
      </c>
      <c r="I364" s="457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5">
        <v>0.08</v>
      </c>
      <c r="I365" s="457">
        <f t="shared" si="29"/>
        <v>0</v>
      </c>
      <c r="J365" s="433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5">
        <v>0.08</v>
      </c>
      <c r="I366" s="457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6">
        <v>0.09</v>
      </c>
      <c r="I367" s="458">
        <f t="shared" si="29"/>
        <v>0</v>
      </c>
      <c r="J367" s="434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5">
        <v>0.08</v>
      </c>
      <c r="I368" s="457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5">
        <v>0.08</v>
      </c>
      <c r="I369" s="457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5">
        <v>0.08</v>
      </c>
      <c r="I370" s="457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5">
        <v>0.09</v>
      </c>
      <c r="I371" s="457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5">
        <v>0.09</v>
      </c>
      <c r="I372" s="457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5">
        <v>0.09</v>
      </c>
      <c r="I373" s="457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5">
        <v>0.08</v>
      </c>
      <c r="I374" s="457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5">
        <v>7.0000000000000007E-2</v>
      </c>
      <c r="I375" s="457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5">
        <v>0.08</v>
      </c>
      <c r="I376" s="457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5">
        <v>0.08</v>
      </c>
      <c r="I377" s="457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5">
        <v>0.08</v>
      </c>
      <c r="I378" s="457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5">
        <v>0.08</v>
      </c>
      <c r="I379" s="457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5">
        <v>0.08</v>
      </c>
      <c r="I380" s="457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5">
        <v>0.08</v>
      </c>
      <c r="I381" s="457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5">
        <v>0.09</v>
      </c>
      <c r="I382" s="457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5">
        <v>0.09</v>
      </c>
      <c r="I383" s="457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5">
        <v>0.09</v>
      </c>
      <c r="I384" s="457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5">
        <v>0.09</v>
      </c>
      <c r="I385" s="457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5">
        <v>0.09</v>
      </c>
      <c r="I386" s="457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5">
        <v>0.09</v>
      </c>
      <c r="I387" s="457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5">
        <v>0.09</v>
      </c>
      <c r="I388" s="457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5">
        <v>7.0000000000000007E-2</v>
      </c>
      <c r="I389" s="457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5">
        <v>0.06</v>
      </c>
      <c r="I390" s="457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5">
        <v>0.08</v>
      </c>
      <c r="I391" s="457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5">
        <v>0.08</v>
      </c>
      <c r="I392" s="457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5">
        <v>0.08</v>
      </c>
      <c r="I393" s="457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5">
        <v>0.08</v>
      </c>
      <c r="I394" s="457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5">
        <v>0.09</v>
      </c>
      <c r="I395" s="457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5">
        <v>0.1</v>
      </c>
      <c r="I396" s="457">
        <f t="shared" si="35"/>
        <v>1.0000000000000009E-2</v>
      </c>
      <c r="J396" s="433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5">
        <v>0.09</v>
      </c>
      <c r="I397" s="457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6">
        <v>7.0000000000000007E-2</v>
      </c>
      <c r="I398" s="458">
        <f t="shared" si="35"/>
        <v>-1.999999999999999E-2</v>
      </c>
      <c r="J398" s="434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30">
        <v>7.0000000000000007E-2</v>
      </c>
      <c r="I399" s="461">
        <f t="shared" si="35"/>
        <v>-1.999999999999999E-2</v>
      </c>
      <c r="J399" s="436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5">
        <v>7.0000000000000007E-2</v>
      </c>
      <c r="I400" s="457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5">
        <v>7.0000000000000007E-2</v>
      </c>
      <c r="I401" s="457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5">
        <v>0.1</v>
      </c>
      <c r="I402" s="457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5">
        <v>0.11</v>
      </c>
      <c r="I403" s="457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5">
        <v>0.1</v>
      </c>
      <c r="I404" s="457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5">
        <v>0.1</v>
      </c>
      <c r="I405" s="457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5">
        <v>0.09</v>
      </c>
      <c r="I406" s="457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5">
        <v>0.09</v>
      </c>
      <c r="I407" s="457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5">
        <v>0.09</v>
      </c>
      <c r="I408" s="457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5">
        <v>0.09</v>
      </c>
      <c r="I409" s="457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5">
        <v>0.08</v>
      </c>
      <c r="I410" s="457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5">
        <v>0.08</v>
      </c>
      <c r="I411" s="457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5">
        <v>0.08</v>
      </c>
      <c r="I412" s="457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5">
        <v>0.08</v>
      </c>
      <c r="I413" s="457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5">
        <v>0.08</v>
      </c>
      <c r="I414" s="457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5">
        <v>0.08</v>
      </c>
      <c r="I415" s="457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5">
        <v>0.08</v>
      </c>
      <c r="I416" s="457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5">
        <v>7.0000000000000007E-2</v>
      </c>
      <c r="I417" s="457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5">
        <v>0.06</v>
      </c>
      <c r="I418" s="457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5">
        <v>0.04</v>
      </c>
      <c r="I419" s="457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5">
        <v>0.05</v>
      </c>
      <c r="I420" s="457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5">
        <v>0.05</v>
      </c>
      <c r="I421" s="457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5">
        <v>0.05</v>
      </c>
      <c r="I422" s="457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5">
        <v>0.06</v>
      </c>
      <c r="I423" s="457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5">
        <v>0.03</v>
      </c>
      <c r="I424" s="457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5">
        <v>0.03</v>
      </c>
      <c r="I425" s="457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5">
        <v>0.04</v>
      </c>
      <c r="I426" s="457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5">
        <v>0.06</v>
      </c>
      <c r="I427" s="457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5">
        <v>0.06</v>
      </c>
      <c r="I428" s="457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6">
        <v>0.06</v>
      </c>
      <c r="I429" s="458">
        <f t="shared" si="35"/>
        <v>-1.0000000000000009E-2</v>
      </c>
      <c r="J429" s="437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5">
        <v>7.0000000000000007E-2</v>
      </c>
      <c r="I430" s="457">
        <f t="shared" si="35"/>
        <v>-9.999999999999995E-3</v>
      </c>
      <c r="J430" s="436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5">
        <v>7.0000000000000007E-2</v>
      </c>
      <c r="I431" s="457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5">
        <v>7.0000000000000007E-2</v>
      </c>
      <c r="I432" s="457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5">
        <v>0.05</v>
      </c>
      <c r="I433" s="457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5">
        <v>0.02</v>
      </c>
      <c r="I434" s="457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5">
        <v>0.02</v>
      </c>
      <c r="I435" s="457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5">
        <v>0.02</v>
      </c>
      <c r="I436" s="457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5">
        <v>0.02</v>
      </c>
      <c r="I437" s="457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5">
        <v>0.05</v>
      </c>
      <c r="I438" s="457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5">
        <v>0.06</v>
      </c>
      <c r="I439" s="457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5">
        <v>0.06</v>
      </c>
      <c r="I440" s="457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5">
        <v>0.05</v>
      </c>
      <c r="I441" s="457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5">
        <v>0.05</v>
      </c>
      <c r="I442" s="457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5">
        <v>0.05</v>
      </c>
      <c r="I443" s="457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5">
        <v>0.05</v>
      </c>
      <c r="I444" s="457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5">
        <v>0.06</v>
      </c>
      <c r="I445" s="457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5">
        <v>0.06</v>
      </c>
      <c r="I446" s="457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5">
        <v>0.03</v>
      </c>
      <c r="I447" s="457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5">
        <v>0.02</v>
      </c>
      <c r="I448" s="457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5">
        <v>0.02</v>
      </c>
      <c r="I449" s="457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5">
        <v>0.02</v>
      </c>
      <c r="I450" s="457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5">
        <v>0.03</v>
      </c>
      <c r="I451" s="457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5">
        <v>0.01</v>
      </c>
      <c r="I452" s="457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5">
        <v>0.02</v>
      </c>
      <c r="I453" s="457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5">
        <v>0.03</v>
      </c>
      <c r="I454" s="457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5">
        <v>0.01</v>
      </c>
      <c r="I455" s="457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5">
        <v>0.01</v>
      </c>
      <c r="I456" s="457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6">
        <v>0.01</v>
      </c>
      <c r="I457" s="458">
        <f t="shared" si="41"/>
        <v>-6.0000000000000005E-2</v>
      </c>
      <c r="J457" s="437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5">
        <v>0.02</v>
      </c>
      <c r="I458" s="457">
        <f t="shared" si="41"/>
        <v>-0.05</v>
      </c>
      <c r="J458" s="436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5">
        <v>0.04</v>
      </c>
      <c r="I459" s="457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5">
        <v>0.04</v>
      </c>
      <c r="I460" s="457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5">
        <v>0.02</v>
      </c>
      <c r="I461" s="457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5">
        <v>0.02</v>
      </c>
      <c r="I462" s="457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5">
        <v>0.02</v>
      </c>
      <c r="I463" s="457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5">
        <v>0.02</v>
      </c>
      <c r="I464" s="457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5">
        <v>0.02</v>
      </c>
      <c r="I465" s="457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5">
        <v>0.02</v>
      </c>
      <c r="I466" s="457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5">
        <v>0.02</v>
      </c>
      <c r="I467" s="457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5">
        <v>0.01</v>
      </c>
      <c r="I468" s="457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5">
        <v>0.01</v>
      </c>
      <c r="I469" s="457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5">
        <v>0.01</v>
      </c>
      <c r="I470" s="457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5">
        <v>0.01</v>
      </c>
      <c r="I471" s="457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5">
        <v>0.01</v>
      </c>
      <c r="I472" s="457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5">
        <v>0.01</v>
      </c>
      <c r="I473" s="457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5">
        <v>0.01</v>
      </c>
      <c r="I474" s="457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5">
        <v>0.01</v>
      </c>
      <c r="I475" s="457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5">
        <v>0.01</v>
      </c>
      <c r="I476" s="457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5">
        <v>0.01</v>
      </c>
      <c r="I477" s="457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5">
        <v>0.01</v>
      </c>
      <c r="I478" s="457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5">
        <v>0.01</v>
      </c>
      <c r="I479" s="457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5">
        <v>0.01</v>
      </c>
      <c r="I480" s="457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5">
        <v>0.01</v>
      </c>
      <c r="I481" s="457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5">
        <v>0.01</v>
      </c>
      <c r="I482" s="457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5">
        <v>0.01</v>
      </c>
      <c r="I483" s="457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5">
        <v>0.01</v>
      </c>
      <c r="I484" s="457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5">
        <v>0.01</v>
      </c>
      <c r="I485" s="457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5">
        <v>0.01</v>
      </c>
      <c r="I486" s="457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5">
        <v>0.01</v>
      </c>
      <c r="I487" s="457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6">
        <v>0.01</v>
      </c>
      <c r="I488" s="458">
        <f t="shared" si="41"/>
        <v>-4.9999999999999996E-2</v>
      </c>
      <c r="J488" s="437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5">
        <v>0.01</v>
      </c>
      <c r="I489" s="457">
        <f t="shared" si="41"/>
        <v>-6.0000000000000005E-2</v>
      </c>
      <c r="J489" s="436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5">
        <v>0.01</v>
      </c>
      <c r="I490" s="457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5">
        <v>0.01</v>
      </c>
      <c r="I491" s="457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5">
        <v>0.01</v>
      </c>
      <c r="I492" s="457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5">
        <v>0.01</v>
      </c>
      <c r="I493" s="457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5">
        <v>0.01</v>
      </c>
      <c r="I494" s="457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5">
        <v>0.01</v>
      </c>
      <c r="I495" s="457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5">
        <v>0.01</v>
      </c>
      <c r="I496" s="457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5">
        <v>0.01</v>
      </c>
      <c r="I497" s="457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5">
        <v>0.01</v>
      </c>
      <c r="I498" s="457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5">
        <v>0.01</v>
      </c>
      <c r="I499" s="457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5">
        <v>0.01</v>
      </c>
      <c r="I500" s="457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5">
        <v>0.01</v>
      </c>
      <c r="I501" s="457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5">
        <v>0.01</v>
      </c>
      <c r="I502" s="457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5">
        <v>0.01</v>
      </c>
      <c r="I503" s="457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5">
        <v>0.01</v>
      </c>
      <c r="I504" s="457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5">
        <v>0.01</v>
      </c>
      <c r="I505" s="457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5">
        <v>0.01</v>
      </c>
      <c r="I506" s="457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5">
        <v>0.01</v>
      </c>
      <c r="I507" s="457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5">
        <v>0.01</v>
      </c>
      <c r="I508" s="457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5">
        <v>0.01</v>
      </c>
      <c r="I509" s="457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5">
        <v>0.01</v>
      </c>
      <c r="I510" s="457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5">
        <v>0.01</v>
      </c>
      <c r="I511" s="457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5">
        <v>0.01</v>
      </c>
      <c r="I512" s="457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5">
        <v>0.01</v>
      </c>
      <c r="I513" s="457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5">
        <v>0.01</v>
      </c>
      <c r="I514" s="457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5">
        <v>0.01</v>
      </c>
      <c r="I515" s="457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5">
        <v>0.01</v>
      </c>
      <c r="I516" s="457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5">
        <v>0.01</v>
      </c>
      <c r="I517" s="457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6">
        <v>0.01</v>
      </c>
      <c r="I518" s="458">
        <f t="shared" si="45"/>
        <v>-0.04</v>
      </c>
      <c r="J518" s="437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30">
        <v>0.01</v>
      </c>
      <c r="I519" s="461">
        <f t="shared" si="45"/>
        <v>-0.04</v>
      </c>
      <c r="J519" s="436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5">
        <v>0.01</v>
      </c>
      <c r="I520" s="457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5">
        <v>0.01</v>
      </c>
      <c r="I521" s="457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5">
        <v>0.01</v>
      </c>
      <c r="I522" s="457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5">
        <v>0.01</v>
      </c>
      <c r="I523" s="457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5">
        <v>0.01</v>
      </c>
      <c r="I524" s="457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5">
        <v>0.01</v>
      </c>
      <c r="I525" s="457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5">
        <v>0.01</v>
      </c>
      <c r="I526" s="457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5">
        <v>0.01</v>
      </c>
      <c r="I527" s="457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5">
        <v>0.01</v>
      </c>
      <c r="I528" s="457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5">
        <v>0.01</v>
      </c>
      <c r="I529" s="457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5">
        <v>0.01</v>
      </c>
      <c r="I530" s="457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5">
        <v>0.01</v>
      </c>
      <c r="I531" s="457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5">
        <v>0.01</v>
      </c>
      <c r="I532" s="457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5">
        <v>0.01</v>
      </c>
      <c r="I533" s="457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5">
        <v>0.01</v>
      </c>
      <c r="I534" s="457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5">
        <v>0.01</v>
      </c>
      <c r="I535" s="457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5">
        <v>0.01</v>
      </c>
      <c r="I536" s="457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5">
        <v>0.01</v>
      </c>
      <c r="I537" s="457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5">
        <v>0.01</v>
      </c>
      <c r="I538" s="457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5">
        <v>0.01</v>
      </c>
      <c r="I539" s="457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5">
        <v>0.01</v>
      </c>
      <c r="I540" s="457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5">
        <v>0.01</v>
      </c>
      <c r="I541" s="457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5">
        <v>0.01</v>
      </c>
      <c r="I542" s="457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5">
        <v>0.01</v>
      </c>
      <c r="I543" s="457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5">
        <v>0.01</v>
      </c>
      <c r="I544" s="457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5">
        <v>0.01</v>
      </c>
      <c r="I545" s="457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5">
        <v>0.01</v>
      </c>
      <c r="I546" s="457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5">
        <v>0.01</v>
      </c>
      <c r="I547" s="457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5">
        <v>0.01</v>
      </c>
      <c r="I548" s="457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6">
        <v>0.01</v>
      </c>
      <c r="I549" s="458">
        <f t="shared" si="45"/>
        <v>-0.04</v>
      </c>
      <c r="J549" s="437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30">
        <v>0.01</v>
      </c>
      <c r="I550" s="461">
        <f t="shared" si="45"/>
        <v>-4.9999999999999996E-2</v>
      </c>
      <c r="J550" s="436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5">
        <v>0.01</v>
      </c>
      <c r="I551" s="457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5">
        <v>0.01</v>
      </c>
      <c r="I552" s="457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5">
        <v>0.01</v>
      </c>
      <c r="I553" s="457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5">
        <v>0.01</v>
      </c>
      <c r="I554" s="457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5">
        <v>0.01</v>
      </c>
      <c r="I555" s="457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5">
        <v>0.01</v>
      </c>
      <c r="I556" s="457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5">
        <v>0.01</v>
      </c>
      <c r="I557" s="457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5">
        <v>0.01</v>
      </c>
      <c r="I558" s="457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5">
        <v>0.01</v>
      </c>
      <c r="I559" s="457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5">
        <v>0.01</v>
      </c>
      <c r="I560" s="457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5">
        <v>0.01</v>
      </c>
      <c r="I561" s="457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5">
        <v>0.01</v>
      </c>
      <c r="I562" s="457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5">
        <v>0.01</v>
      </c>
      <c r="I563" s="457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5">
        <v>0.01</v>
      </c>
      <c r="I564" s="457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31">
        <v>0.01</v>
      </c>
      <c r="I565" s="457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31">
        <v>0.05</v>
      </c>
      <c r="I566" s="457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5">
        <v>0.05</v>
      </c>
      <c r="I567" s="457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5">
        <v>0.05</v>
      </c>
      <c r="I568" s="457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5">
        <v>0.05</v>
      </c>
      <c r="I569" s="457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5">
        <v>0.05</v>
      </c>
      <c r="I570" s="457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5">
        <v>0.05</v>
      </c>
      <c r="I571" s="457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5">
        <v>0.05</v>
      </c>
      <c r="I572" s="457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5">
        <v>0.05</v>
      </c>
      <c r="I573" s="457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5">
        <v>0.05</v>
      </c>
      <c r="I574" s="457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5">
        <v>0.05</v>
      </c>
      <c r="I575" s="457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5">
        <v>0.05</v>
      </c>
      <c r="I576" s="457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5">
        <v>0.05</v>
      </c>
      <c r="I577" s="457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5">
        <v>0.05</v>
      </c>
      <c r="I578" s="457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6">
        <v>0.05</v>
      </c>
      <c r="I579" s="458">
        <f t="shared" ref="I579:I642" si="50">H579-G579</f>
        <v>-0.03</v>
      </c>
      <c r="J579" s="437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30">
        <v>0.05</v>
      </c>
      <c r="I580" s="461">
        <f t="shared" si="50"/>
        <v>-0.05</v>
      </c>
      <c r="J580" s="436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5">
        <v>0.05</v>
      </c>
      <c r="I581" s="457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5">
        <v>0.05</v>
      </c>
      <c r="I582" s="457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5">
        <v>0.05</v>
      </c>
      <c r="I583" s="457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5">
        <v>0.05</v>
      </c>
      <c r="I584" s="457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5">
        <v>0.05</v>
      </c>
      <c r="I585" s="457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5">
        <v>0.05</v>
      </c>
      <c r="I586" s="457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5">
        <v>0.05</v>
      </c>
      <c r="I587" s="457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5">
        <v>0.05</v>
      </c>
      <c r="I588" s="457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5">
        <v>0.05</v>
      </c>
      <c r="I589" s="457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5">
        <v>0.05</v>
      </c>
      <c r="I590" s="457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5">
        <v>0.05</v>
      </c>
      <c r="I591" s="457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5">
        <v>0.05</v>
      </c>
      <c r="I592" s="457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5">
        <v>0.05</v>
      </c>
      <c r="I593" s="457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5">
        <v>0.05</v>
      </c>
      <c r="I594" s="457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5">
        <v>0.05</v>
      </c>
      <c r="I595" s="457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5">
        <v>0.05</v>
      </c>
      <c r="I596" s="457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5">
        <v>0.05</v>
      </c>
      <c r="I597" s="457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5">
        <v>0.05</v>
      </c>
      <c r="I598" s="457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5">
        <v>0.05</v>
      </c>
      <c r="I599" s="457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5">
        <v>0.05</v>
      </c>
      <c r="I600" s="457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5">
        <v>0.05</v>
      </c>
      <c r="I601" s="457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5">
        <v>0.05</v>
      </c>
      <c r="I602" s="457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5">
        <v>0.05</v>
      </c>
      <c r="I603" s="457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5">
        <v>0.05</v>
      </c>
      <c r="I604" s="457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5">
        <v>0.05</v>
      </c>
      <c r="I605" s="457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5">
        <v>0.05</v>
      </c>
      <c r="I606" s="457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5">
        <v>0.05</v>
      </c>
      <c r="I607" s="457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5">
        <v>0.05</v>
      </c>
      <c r="I608" s="457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5">
        <v>0.05</v>
      </c>
      <c r="I609" s="457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6">
        <v>0.05</v>
      </c>
      <c r="I610" s="458">
        <f t="shared" si="50"/>
        <v>-2.0000000000000004E-2</v>
      </c>
      <c r="J610" s="437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30">
        <v>0.05</v>
      </c>
      <c r="I611" s="461">
        <f t="shared" si="50"/>
        <v>-2.0000000000000004E-2</v>
      </c>
      <c r="J611" s="436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5">
        <v>0.05</v>
      </c>
      <c r="I612" s="457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5">
        <v>0.05</v>
      </c>
      <c r="I613" s="457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5">
        <v>0.05</v>
      </c>
      <c r="I614" s="457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5">
        <v>0.05</v>
      </c>
      <c r="I615" s="457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5">
        <v>0.05</v>
      </c>
      <c r="I616" s="457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5">
        <v>0.05</v>
      </c>
      <c r="I617" s="457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5">
        <v>0.05</v>
      </c>
      <c r="I618" s="457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5">
        <v>0.05</v>
      </c>
      <c r="I619" s="457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5">
        <v>0.05</v>
      </c>
      <c r="I620" s="457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5">
        <v>0.05</v>
      </c>
      <c r="I621" s="457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5">
        <v>0.05</v>
      </c>
      <c r="I622" s="457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5">
        <v>0.05</v>
      </c>
      <c r="I623" s="457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5">
        <v>0.05</v>
      </c>
      <c r="I624" s="457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5">
        <v>0.05</v>
      </c>
      <c r="I625" s="457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5">
        <v>0.05</v>
      </c>
      <c r="I626" s="457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5">
        <v>0.05</v>
      </c>
      <c r="I627" s="457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5">
        <v>0.05</v>
      </c>
      <c r="I628" s="457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5">
        <v>0.05</v>
      </c>
      <c r="I629" s="457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5">
        <v>0.05</v>
      </c>
      <c r="I630" s="457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5">
        <v>0.05</v>
      </c>
      <c r="I631" s="457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5">
        <v>0.05</v>
      </c>
      <c r="I632" s="457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5">
        <v>0.05</v>
      </c>
      <c r="I633" s="457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5">
        <v>0.05</v>
      </c>
      <c r="I634" s="457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5">
        <v>0.05</v>
      </c>
      <c r="I635" s="457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5">
        <v>0.05</v>
      </c>
      <c r="I636" s="457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5">
        <v>0.05</v>
      </c>
      <c r="I637" s="457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5">
        <v>0.05</v>
      </c>
      <c r="I638" s="457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5">
        <v>0.05</v>
      </c>
      <c r="I639" s="457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5">
        <v>0.05</v>
      </c>
      <c r="I640" s="457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6">
        <v>0.05</v>
      </c>
      <c r="I641" s="458">
        <f t="shared" si="50"/>
        <v>-9.999999999999995E-3</v>
      </c>
      <c r="J641" s="437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30">
        <v>0.05</v>
      </c>
      <c r="I642" s="461">
        <f t="shared" si="50"/>
        <v>-0.03</v>
      </c>
      <c r="J642" s="436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5">
        <v>0.05</v>
      </c>
      <c r="I643" s="457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5">
        <v>0.05</v>
      </c>
      <c r="I644" s="457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5">
        <v>0.05</v>
      </c>
      <c r="I645" s="457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5">
        <v>0.05</v>
      </c>
      <c r="I646" s="457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5">
        <v>0.05</v>
      </c>
      <c r="I647" s="457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5">
        <v>0.05</v>
      </c>
      <c r="I648" s="457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5">
        <v>0.05</v>
      </c>
      <c r="I649" s="457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5">
        <v>0.05</v>
      </c>
      <c r="I650" s="457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5">
        <v>0.05</v>
      </c>
      <c r="I651" s="457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5">
        <v>0.05</v>
      </c>
      <c r="I652" s="457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5">
        <v>0.05</v>
      </c>
      <c r="I653" s="457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5">
        <v>0.05</v>
      </c>
      <c r="I654" s="457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5">
        <v>0.05</v>
      </c>
      <c r="I655" s="457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5">
        <v>0.05</v>
      </c>
      <c r="I656" s="457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5">
        <v>0.05</v>
      </c>
      <c r="I657" s="457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5">
        <v>0.05</v>
      </c>
      <c r="I658" s="457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5">
        <v>0.05</v>
      </c>
      <c r="I659" s="457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5">
        <v>0.05</v>
      </c>
      <c r="I660" s="457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5">
        <v>0.05</v>
      </c>
      <c r="I661" s="457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5">
        <v>0.05</v>
      </c>
      <c r="I662" s="457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5">
        <v>0.05</v>
      </c>
      <c r="I663" s="457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5">
        <v>0.05</v>
      </c>
      <c r="I664" s="457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5">
        <v>0.05</v>
      </c>
      <c r="I665" s="457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5">
        <v>0.05</v>
      </c>
      <c r="I666" s="457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5">
        <v>0.05</v>
      </c>
      <c r="I667" s="457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5">
        <v>0.05</v>
      </c>
      <c r="I668" s="457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5">
        <v>0.05</v>
      </c>
      <c r="I669" s="457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5">
        <v>0.05</v>
      </c>
      <c r="I670" s="457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6">
        <v>0.05</v>
      </c>
      <c r="I671" s="458">
        <f t="shared" si="55"/>
        <v>-9.999999999999995E-3</v>
      </c>
      <c r="J671" s="437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30">
        <v>0.05</v>
      </c>
      <c r="I672" s="461">
        <f t="shared" si="55"/>
        <v>-0.03</v>
      </c>
      <c r="J672" s="436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5">
        <v>0.05</v>
      </c>
      <c r="I673" s="457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5">
        <v>0.05</v>
      </c>
      <c r="I674" s="457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5">
        <v>0.05</v>
      </c>
      <c r="I675" s="457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5">
        <v>0.05</v>
      </c>
      <c r="I676" s="457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5">
        <v>0.05</v>
      </c>
      <c r="I677" s="457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5">
        <v>0.05</v>
      </c>
      <c r="I678" s="457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5">
        <v>0.05</v>
      </c>
      <c r="I679" s="457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5">
        <v>0.05</v>
      </c>
      <c r="I680" s="457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5">
        <v>0.05</v>
      </c>
      <c r="I681" s="457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5">
        <v>0.05</v>
      </c>
      <c r="I682" s="457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5">
        <v>0.05</v>
      </c>
      <c r="I683" s="457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5">
        <v>0.05</v>
      </c>
      <c r="I684" s="457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5">
        <v>0.05</v>
      </c>
      <c r="I685" s="457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5">
        <v>0.05</v>
      </c>
      <c r="I686" s="457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5">
        <v>0.05</v>
      </c>
      <c r="I687" s="457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5">
        <v>0.05</v>
      </c>
      <c r="I688" s="457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5">
        <v>0.05</v>
      </c>
      <c r="I689" s="457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5">
        <v>0.03</v>
      </c>
      <c r="I690" s="457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5">
        <v>0.03</v>
      </c>
      <c r="I691" s="457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5">
        <v>0.03</v>
      </c>
      <c r="I692" s="457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5">
        <v>0.05</v>
      </c>
      <c r="I693" s="457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5">
        <v>0.05</v>
      </c>
      <c r="I694" s="457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5">
        <v>0.05</v>
      </c>
      <c r="I695" s="457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5">
        <v>0.04</v>
      </c>
      <c r="I696" s="457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5">
        <v>0.05</v>
      </c>
      <c r="I697" s="457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5">
        <v>0.05</v>
      </c>
      <c r="I698" s="457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5">
        <v>0.05</v>
      </c>
      <c r="I699" s="457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5">
        <v>0.05</v>
      </c>
      <c r="I700" s="457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5">
        <v>0.05</v>
      </c>
      <c r="I701" s="457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6">
        <v>0.05</v>
      </c>
      <c r="I702" s="458">
        <f t="shared" si="55"/>
        <v>-2.0000000000000004E-2</v>
      </c>
      <c r="J702" s="437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30">
        <v>0.05</v>
      </c>
      <c r="I703" s="461">
        <f t="shared" si="55"/>
        <v>-0.03</v>
      </c>
      <c r="J703" s="436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5">
        <v>0.05</v>
      </c>
      <c r="I704" s="457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5">
        <v>0.05</v>
      </c>
      <c r="I705" s="457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5">
        <v>0.05</v>
      </c>
      <c r="I706" s="457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5">
        <v>0.05</v>
      </c>
      <c r="I707" s="457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5">
        <v>0.05</v>
      </c>
      <c r="I708" s="457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5">
        <v>0.05</v>
      </c>
      <c r="I709" s="457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5">
        <v>0.05</v>
      </c>
      <c r="I710" s="457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5">
        <v>0.05</v>
      </c>
      <c r="I711" s="457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5">
        <v>0.05</v>
      </c>
      <c r="I712" s="457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5">
        <v>0.05</v>
      </c>
      <c r="I713" s="457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5">
        <v>0.05</v>
      </c>
      <c r="I714" s="457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5">
        <v>0.05</v>
      </c>
      <c r="I715" s="457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5">
        <v>0.05</v>
      </c>
      <c r="I716" s="457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5">
        <v>0.05</v>
      </c>
      <c r="I717" s="457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5">
        <v>0.05</v>
      </c>
      <c r="I718" s="457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5">
        <v>0.05</v>
      </c>
      <c r="I719" s="457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5">
        <v>0.05</v>
      </c>
      <c r="I720" s="457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5">
        <v>0.05</v>
      </c>
      <c r="I721" s="457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5">
        <v>0.05</v>
      </c>
      <c r="I722" s="457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5">
        <v>0.05</v>
      </c>
      <c r="I723" s="457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5">
        <v>0.05</v>
      </c>
      <c r="I724" s="457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5">
        <v>0.05</v>
      </c>
      <c r="I725" s="457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5">
        <v>0.05</v>
      </c>
      <c r="I726" s="457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5">
        <v>0.05</v>
      </c>
      <c r="I727" s="457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5">
        <v>0.05</v>
      </c>
      <c r="I728" s="457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5">
        <v>0.05</v>
      </c>
      <c r="I729" s="457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5">
        <v>0.05</v>
      </c>
      <c r="I730" s="457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5">
        <v>0.05</v>
      </c>
      <c r="I731" s="457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6">
        <v>0.05</v>
      </c>
      <c r="I732" s="458">
        <f t="shared" si="60"/>
        <v>-2.0000000000000004E-2</v>
      </c>
      <c r="J732" s="437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30">
        <v>0.05</v>
      </c>
      <c r="I733" s="461">
        <f t="shared" si="60"/>
        <v>-0.03</v>
      </c>
      <c r="J733" s="436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5">
        <v>0.05</v>
      </c>
      <c r="I734" s="457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5">
        <v>0.05</v>
      </c>
      <c r="I735" s="457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5">
        <v>0.05</v>
      </c>
      <c r="I736" s="457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5">
        <v>0.05</v>
      </c>
      <c r="I737" s="457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5">
        <v>0.05</v>
      </c>
      <c r="I738" s="457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5">
        <v>0.05</v>
      </c>
      <c r="I739" s="457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5">
        <v>0.05</v>
      </c>
      <c r="I740" s="457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5">
        <v>0.05</v>
      </c>
      <c r="I741" s="457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5">
        <v>0.05</v>
      </c>
      <c r="I742" s="457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5">
        <v>0.05</v>
      </c>
      <c r="I743" s="457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5">
        <v>0.05</v>
      </c>
      <c r="I744" s="457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5">
        <v>0.05</v>
      </c>
      <c r="I745" s="457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5">
        <v>0.05</v>
      </c>
      <c r="I746" s="457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5">
        <v>0.05</v>
      </c>
      <c r="I747" s="457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5">
        <v>0.05</v>
      </c>
      <c r="I748" s="457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5">
        <v>0.05</v>
      </c>
      <c r="I749" s="457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5">
        <v>0.05</v>
      </c>
      <c r="I750" s="457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5">
        <v>0.05</v>
      </c>
      <c r="I751" s="457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5">
        <v>0.04</v>
      </c>
      <c r="I752" s="457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5">
        <v>0.05</v>
      </c>
      <c r="I753" s="457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5">
        <v>0.05</v>
      </c>
      <c r="I754" s="457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5">
        <v>0.05</v>
      </c>
      <c r="I755" s="457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5">
        <v>0.05</v>
      </c>
      <c r="I756" s="457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5">
        <v>0.05</v>
      </c>
      <c r="I757" s="457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5">
        <v>0.05</v>
      </c>
      <c r="I758" s="457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5">
        <v>0.05</v>
      </c>
      <c r="I759" s="457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5">
        <v>0.05</v>
      </c>
      <c r="I760" s="457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5">
        <v>0.05</v>
      </c>
      <c r="I761" s="457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5">
        <v>0.05</v>
      </c>
      <c r="I762" s="457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6">
        <v>0.05</v>
      </c>
      <c r="I763" s="458">
        <f t="shared" si="60"/>
        <v>-2.0000000000000004E-2</v>
      </c>
      <c r="J763" s="437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30">
        <v>0.05</v>
      </c>
      <c r="I764" s="461">
        <f t="shared" si="60"/>
        <v>-2.0000000000000004E-2</v>
      </c>
      <c r="J764" s="436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5">
        <v>0.05</v>
      </c>
      <c r="I765" s="457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5">
        <v>0.05</v>
      </c>
      <c r="I766" s="457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5">
        <v>0.05</v>
      </c>
      <c r="I767" s="457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5">
        <v>0.05</v>
      </c>
      <c r="I768" s="457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5">
        <v>0.05</v>
      </c>
      <c r="I769" s="457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5">
        <v>0.05</v>
      </c>
      <c r="I770" s="457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5">
        <v>0.05</v>
      </c>
      <c r="I771" s="457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5">
        <v>0.05</v>
      </c>
      <c r="I772" s="457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5">
        <v>0.05</v>
      </c>
      <c r="I773" s="457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5">
        <v>0.05</v>
      </c>
      <c r="I774" s="457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5">
        <v>0.05</v>
      </c>
      <c r="I775" s="457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5">
        <v>0.05</v>
      </c>
      <c r="I776" s="457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5">
        <v>0.05</v>
      </c>
      <c r="I777" s="457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5">
        <v>0.05</v>
      </c>
      <c r="I778" s="457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5">
        <v>0.05</v>
      </c>
      <c r="I779" s="457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5">
        <v>0.05</v>
      </c>
      <c r="I780" s="457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5">
        <v>0.05</v>
      </c>
      <c r="I781" s="457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5">
        <v>0.05</v>
      </c>
      <c r="I782" s="457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5">
        <v>0.04</v>
      </c>
      <c r="I783" s="457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5">
        <v>0.05</v>
      </c>
      <c r="I784" s="457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5">
        <v>0.05</v>
      </c>
      <c r="I785" s="457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5">
        <v>0.05</v>
      </c>
      <c r="I786" s="457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5">
        <v>0.04</v>
      </c>
      <c r="I787" s="457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5">
        <v>0.05</v>
      </c>
      <c r="I788" s="457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5">
        <v>0.04</v>
      </c>
      <c r="I789" s="457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5">
        <v>0.04</v>
      </c>
      <c r="I790" s="457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5">
        <v>0.05</v>
      </c>
      <c r="I791" s="457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5">
        <v>0.05</v>
      </c>
      <c r="I792" s="457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5">
        <v>0.05</v>
      </c>
      <c r="I793" s="457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6">
        <v>0.05</v>
      </c>
      <c r="I794" s="458">
        <f t="shared" si="66"/>
        <v>-0.03</v>
      </c>
      <c r="J794" s="437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5">
        <v>0.05</v>
      </c>
      <c r="I795" s="457">
        <f t="shared" si="66"/>
        <v>-0.03</v>
      </c>
      <c r="J795" s="436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5">
        <v>0.05</v>
      </c>
      <c r="I796" s="457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5">
        <v>0.05</v>
      </c>
      <c r="I797" s="457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5">
        <v>0.05</v>
      </c>
      <c r="I798" s="457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5">
        <v>0.05</v>
      </c>
      <c r="I799" s="457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5">
        <v>0.05</v>
      </c>
      <c r="I800" s="457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5">
        <v>0.05</v>
      </c>
      <c r="I801" s="457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5">
        <v>0.05</v>
      </c>
      <c r="I802" s="457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5">
        <v>0.04</v>
      </c>
      <c r="I803" s="457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5">
        <v>0.05</v>
      </c>
      <c r="I804" s="457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5">
        <v>0.05</v>
      </c>
      <c r="I805" s="457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5">
        <v>0.05</v>
      </c>
      <c r="I806" s="457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5">
        <v>0.05</v>
      </c>
      <c r="I807" s="457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5">
        <v>0.05</v>
      </c>
      <c r="I808" s="457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5">
        <v>0.05</v>
      </c>
      <c r="I809" s="457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5">
        <v>0.05</v>
      </c>
      <c r="I810" s="457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5">
        <v>0.05</v>
      </c>
      <c r="I811" s="457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5">
        <v>0.05</v>
      </c>
      <c r="I812" s="457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5">
        <v>0.05</v>
      </c>
      <c r="I813" s="457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5">
        <v>0.05</v>
      </c>
      <c r="I814" s="457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5">
        <v>0.05</v>
      </c>
      <c r="I815" s="457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5">
        <v>0.05</v>
      </c>
      <c r="I816" s="457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5">
        <v>0.05</v>
      </c>
      <c r="I817" s="457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5">
        <v>0.05</v>
      </c>
      <c r="I818" s="457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5">
        <v>0.05</v>
      </c>
      <c r="I819" s="457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5">
        <v>0.05</v>
      </c>
      <c r="I820" s="457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5">
        <v>0.05</v>
      </c>
      <c r="I821" s="457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6">
        <v>0.05</v>
      </c>
      <c r="I822" s="458">
        <f t="shared" si="66"/>
        <v>-0.03</v>
      </c>
      <c r="J822" s="437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5">
        <v>0.05</v>
      </c>
      <c r="I823" s="457">
        <f t="shared" si="66"/>
        <v>-0.03</v>
      </c>
      <c r="J823" s="436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5">
        <v>0.05</v>
      </c>
      <c r="I824" s="457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5">
        <v>0.05</v>
      </c>
      <c r="I825" s="457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5">
        <v>0.05</v>
      </c>
      <c r="I826" s="457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5">
        <v>0.05</v>
      </c>
      <c r="I827" s="457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5">
        <v>0.05</v>
      </c>
      <c r="I828" s="457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5">
        <v>0.05</v>
      </c>
      <c r="I829" s="457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5">
        <v>0.05</v>
      </c>
      <c r="I830" s="457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5">
        <v>0.05</v>
      </c>
      <c r="I831" s="457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5">
        <v>0.05</v>
      </c>
      <c r="I832" s="457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5">
        <v>0.05</v>
      </c>
      <c r="I833" s="457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5">
        <v>0.05</v>
      </c>
      <c r="I834" s="457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5">
        <v>0.05</v>
      </c>
      <c r="I835" s="457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5">
        <v>0.05</v>
      </c>
      <c r="I836" s="457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5">
        <v>0.05</v>
      </c>
      <c r="I837" s="457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5">
        <v>0.05</v>
      </c>
      <c r="I838" s="457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2">
        <v>0.3</v>
      </c>
      <c r="I839" s="457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5">
        <v>0.3</v>
      </c>
      <c r="I840" s="457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5">
        <v>0.3</v>
      </c>
      <c r="I841" s="457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5">
        <v>0.3</v>
      </c>
      <c r="I842" s="457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5">
        <v>0.28999999999999998</v>
      </c>
      <c r="I843" s="457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5">
        <v>0.28000000000000003</v>
      </c>
      <c r="I844" s="457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5">
        <v>0.27</v>
      </c>
      <c r="I845" s="457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5">
        <v>0.27</v>
      </c>
      <c r="I846" s="457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5">
        <v>0.28000000000000003</v>
      </c>
      <c r="I847" s="457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5">
        <v>0.28000000000000003</v>
      </c>
      <c r="I848" s="457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5">
        <v>0.28000000000000003</v>
      </c>
      <c r="I849" s="457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5">
        <v>0.28000000000000003</v>
      </c>
      <c r="I850" s="457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5">
        <v>0.28000000000000003</v>
      </c>
      <c r="I851" s="457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5">
        <v>0.27</v>
      </c>
      <c r="I852" s="457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6">
        <v>0.28999999999999998</v>
      </c>
      <c r="I853" s="458">
        <f t="shared" si="71"/>
        <v>-4.0000000000000036E-2</v>
      </c>
      <c r="J853" s="437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5">
        <v>0.3</v>
      </c>
      <c r="I854" s="457">
        <f t="shared" si="71"/>
        <v>-3.0000000000000027E-2</v>
      </c>
      <c r="J854" s="436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5">
        <v>0.3</v>
      </c>
      <c r="I855" s="457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5">
        <v>0.3</v>
      </c>
      <c r="I856" s="457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5">
        <v>0.3</v>
      </c>
      <c r="I857" s="457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5">
        <v>0.3</v>
      </c>
      <c r="I858" s="457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5">
        <v>0.3</v>
      </c>
      <c r="I859" s="457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5">
        <v>0.3</v>
      </c>
      <c r="I860" s="457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5">
        <v>0.3</v>
      </c>
      <c r="I861" s="457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5">
        <v>0.3</v>
      </c>
      <c r="I862" s="457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5">
        <v>0.3</v>
      </c>
      <c r="I863" s="457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5">
        <v>0.3</v>
      </c>
      <c r="I864" s="457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5">
        <v>0.28999999999999998</v>
      </c>
      <c r="I865" s="457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5">
        <v>0.28999999999999998</v>
      </c>
      <c r="I866" s="457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5">
        <v>0.28999999999999998</v>
      </c>
      <c r="I867" s="457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5">
        <v>0.28999999999999998</v>
      </c>
      <c r="I868" s="457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5">
        <v>0.28999999999999998</v>
      </c>
      <c r="I869" s="457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5">
        <v>0.28999999999999998</v>
      </c>
      <c r="I870" s="457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5">
        <v>0.28999999999999998</v>
      </c>
      <c r="I871" s="457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5">
        <v>0.28000000000000003</v>
      </c>
      <c r="I872" s="457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5">
        <v>0.27</v>
      </c>
      <c r="I873" s="457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5">
        <v>0.26</v>
      </c>
      <c r="I874" s="457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5">
        <v>0.27</v>
      </c>
      <c r="I875" s="457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5">
        <v>0.27</v>
      </c>
      <c r="I876" s="457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5">
        <v>0.27</v>
      </c>
      <c r="I877" s="457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5">
        <v>0.27</v>
      </c>
      <c r="I878" s="457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5">
        <v>0.27</v>
      </c>
      <c r="I879" s="457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5">
        <v>0.28000000000000003</v>
      </c>
      <c r="I880" s="457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5">
        <v>0.28000000000000003</v>
      </c>
      <c r="I881" s="457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5">
        <v>0.28000000000000003</v>
      </c>
      <c r="I882" s="457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6">
        <v>0.28000000000000003</v>
      </c>
      <c r="I883" s="458">
        <f t="shared" si="71"/>
        <v>-4.9999999999999989E-2</v>
      </c>
      <c r="J883" s="437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5">
        <v>0.28000000000000003</v>
      </c>
      <c r="I884" s="457">
        <f t="shared" si="71"/>
        <v>-4.9999999999999989E-2</v>
      </c>
      <c r="J884" s="436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5">
        <v>0.3</v>
      </c>
      <c r="I885" s="457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5">
        <v>0.3</v>
      </c>
      <c r="I886" s="457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5">
        <v>0.3</v>
      </c>
      <c r="I887" s="457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2">
        <v>0.79</v>
      </c>
      <c r="I888" s="457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5">
        <v>0.78</v>
      </c>
      <c r="I889" s="457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5">
        <v>0.78</v>
      </c>
      <c r="I890" s="457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5">
        <v>0.78</v>
      </c>
      <c r="I891" s="457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5">
        <v>0.78</v>
      </c>
      <c r="I892" s="457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5">
        <v>0.78</v>
      </c>
      <c r="I893" s="457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5">
        <v>0.78</v>
      </c>
      <c r="I894" s="457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5">
        <v>0.79</v>
      </c>
      <c r="I895" s="457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5">
        <v>0.79</v>
      </c>
      <c r="I896" s="457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5">
        <v>0.79</v>
      </c>
      <c r="I897" s="457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5">
        <v>0.79</v>
      </c>
      <c r="I898" s="457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5">
        <v>0.8</v>
      </c>
      <c r="I899" s="457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5">
        <v>0.8</v>
      </c>
      <c r="I900" s="457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5">
        <v>0.79</v>
      </c>
      <c r="I901" s="457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5">
        <v>0.79</v>
      </c>
      <c r="I902" s="457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5">
        <v>0.78</v>
      </c>
      <c r="I903" s="457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5">
        <v>0.78</v>
      </c>
      <c r="I904" s="457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5">
        <v>0.78</v>
      </c>
      <c r="I905" s="457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5">
        <v>0.78</v>
      </c>
      <c r="I906" s="457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5">
        <v>0.78</v>
      </c>
      <c r="I907" s="457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5">
        <v>0.78</v>
      </c>
      <c r="I908" s="457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5">
        <v>0.78</v>
      </c>
      <c r="I909" s="457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5">
        <v>0.78</v>
      </c>
      <c r="I910" s="457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5">
        <v>0.78</v>
      </c>
      <c r="I911" s="457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5">
        <v>0.78</v>
      </c>
      <c r="I912" s="457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5">
        <v>0.78</v>
      </c>
      <c r="I913" s="457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6">
        <v>0.79</v>
      </c>
      <c r="I914" s="458">
        <f t="shared" si="76"/>
        <v>-3.9999999999999925E-2</v>
      </c>
      <c r="J914" s="437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5">
        <v>0.8</v>
      </c>
      <c r="I915" s="457">
        <f t="shared" si="76"/>
        <v>-2.9999999999999916E-2</v>
      </c>
      <c r="J915" s="436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5">
        <v>0.79</v>
      </c>
      <c r="I916" s="457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5">
        <v>0.78</v>
      </c>
      <c r="I917" s="457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5">
        <v>0.78</v>
      </c>
      <c r="I918" s="457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5">
        <v>0.78</v>
      </c>
      <c r="I919" s="457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5">
        <v>0.78</v>
      </c>
      <c r="I920" s="457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5">
        <v>0.77</v>
      </c>
      <c r="I921" s="457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5">
        <v>0.76</v>
      </c>
      <c r="I922" s="457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5">
        <v>0.75</v>
      </c>
      <c r="I923" s="457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5">
        <v>0.75</v>
      </c>
      <c r="I924" s="457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5">
        <v>0.75</v>
      </c>
      <c r="I925" s="457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5">
        <v>0.75</v>
      </c>
      <c r="I926" s="457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5">
        <v>0.73</v>
      </c>
      <c r="I927" s="457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5">
        <v>0.69</v>
      </c>
      <c r="I928" s="457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5">
        <v>0.7</v>
      </c>
      <c r="I929" s="457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2">
        <v>1.45</v>
      </c>
      <c r="I930" s="457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5">
        <v>1.45</v>
      </c>
      <c r="I931" s="457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5">
        <v>1.45</v>
      </c>
      <c r="I932" s="457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5">
        <v>1.45</v>
      </c>
      <c r="I933" s="457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5">
        <v>1.45</v>
      </c>
      <c r="I934" s="457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5">
        <v>1.45</v>
      </c>
      <c r="I935" s="457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5">
        <v>1.45</v>
      </c>
      <c r="I936" s="457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5">
        <v>1.44</v>
      </c>
      <c r="I937" s="457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5">
        <v>1.46</v>
      </c>
      <c r="I938" s="457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5">
        <v>1.46</v>
      </c>
      <c r="I939" s="457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5">
        <v>1.46</v>
      </c>
      <c r="I940" s="457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5">
        <v>1.5</v>
      </c>
      <c r="I941" s="457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5">
        <v>1.52</v>
      </c>
      <c r="I942" s="457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5">
        <v>1.51</v>
      </c>
      <c r="I943" s="457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6">
        <v>1.5</v>
      </c>
      <c r="I944" s="458">
        <f t="shared" si="76"/>
        <v>-8.0000000000000071E-2</v>
      </c>
      <c r="J944" s="437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5">
        <v>1.52</v>
      </c>
      <c r="I945" s="457">
        <f t="shared" si="76"/>
        <v>-6.0000000000000053E-2</v>
      </c>
      <c r="J945" s="436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5">
        <v>1.52</v>
      </c>
      <c r="I946" s="457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5">
        <v>1.52</v>
      </c>
      <c r="I947" s="457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5">
        <v>1.52</v>
      </c>
      <c r="I948" s="457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5">
        <v>1.54</v>
      </c>
      <c r="I949" s="457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5">
        <v>1.54</v>
      </c>
      <c r="I950" s="457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5">
        <v>1.54</v>
      </c>
      <c r="I951" s="457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5">
        <v>1.53</v>
      </c>
      <c r="I952" s="457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5">
        <v>1.53</v>
      </c>
      <c r="I953" s="457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5">
        <v>1.53</v>
      </c>
      <c r="I954" s="457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5">
        <v>1.53</v>
      </c>
      <c r="I955" s="457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5">
        <v>1.54</v>
      </c>
      <c r="I956" s="457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5">
        <v>1.53</v>
      </c>
      <c r="I957" s="457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5">
        <v>1.53</v>
      </c>
      <c r="I958" s="457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5">
        <v>1.54</v>
      </c>
      <c r="I959" s="457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5">
        <v>1.54</v>
      </c>
      <c r="I960" s="457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5">
        <v>1.54</v>
      </c>
      <c r="I961" s="457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5">
        <v>1.54</v>
      </c>
      <c r="I962" s="457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5">
        <v>1.54</v>
      </c>
      <c r="I963" s="457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5">
        <v>1.53</v>
      </c>
      <c r="I964" s="457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5">
        <v>1.53</v>
      </c>
      <c r="I965" s="457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5">
        <v>1.52</v>
      </c>
      <c r="I966" s="457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5">
        <v>1.52</v>
      </c>
      <c r="I967" s="457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5">
        <v>1.52</v>
      </c>
      <c r="I968" s="457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5">
        <v>1.53</v>
      </c>
      <c r="I969" s="457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5">
        <v>1.53</v>
      </c>
      <c r="I970" s="457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5">
        <v>1.53</v>
      </c>
      <c r="I971" s="457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2">
        <v>2.2799999999999998</v>
      </c>
      <c r="I972" s="457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5">
        <v>2.27</v>
      </c>
      <c r="I973" s="457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5">
        <v>2.27</v>
      </c>
      <c r="I974" s="457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6">
        <v>2.27</v>
      </c>
      <c r="I975" s="458">
        <f t="shared" si="82"/>
        <v>-4.9999999999999822E-2</v>
      </c>
      <c r="J975" s="437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5">
        <v>2.2799999999999998</v>
      </c>
      <c r="I976" s="457">
        <f t="shared" si="82"/>
        <v>-5.0000000000000266E-2</v>
      </c>
      <c r="J976" s="436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5">
        <v>2.2999999999999998</v>
      </c>
      <c r="I977" s="457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5">
        <v>2.29</v>
      </c>
      <c r="I978" s="457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5">
        <v>2.29</v>
      </c>
      <c r="I979" s="457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5">
        <v>2.2799999999999998</v>
      </c>
      <c r="I980" s="457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5">
        <v>2.2799999999999998</v>
      </c>
      <c r="I981" s="457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5">
        <v>2.2799999999999998</v>
      </c>
      <c r="I982" s="457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5">
        <v>2.2799999999999998</v>
      </c>
      <c r="I983" s="457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5">
        <v>2.29</v>
      </c>
      <c r="I984" s="457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5">
        <v>2.2799999999999998</v>
      </c>
      <c r="I985" s="457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5">
        <v>2.2799999999999998</v>
      </c>
      <c r="I986" s="457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5">
        <v>2.2799999999999998</v>
      </c>
      <c r="I987" s="457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5">
        <v>2.2799999999999998</v>
      </c>
      <c r="I988" s="457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5">
        <v>2.2799999999999998</v>
      </c>
      <c r="I989" s="457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5">
        <v>2.29</v>
      </c>
      <c r="I990" s="457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5">
        <v>2.29</v>
      </c>
      <c r="I991" s="457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5">
        <v>2.29</v>
      </c>
      <c r="I992" s="457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5">
        <v>2.2799999999999998</v>
      </c>
      <c r="I993" s="457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5">
        <v>2.2799999999999998</v>
      </c>
      <c r="I994" s="457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5">
        <v>2.2799999999999998</v>
      </c>
      <c r="I995" s="457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5">
        <v>2.2799999999999998</v>
      </c>
      <c r="I996" s="457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5">
        <v>2.2799999999999998</v>
      </c>
      <c r="I997" s="457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5">
        <v>2.27</v>
      </c>
      <c r="I998" s="457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5">
        <v>2.27</v>
      </c>
      <c r="I999" s="457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5">
        <v>2.2799999999999998</v>
      </c>
      <c r="I1000" s="457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5">
        <v>2.2799999999999998</v>
      </c>
      <c r="I1001" s="457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5">
        <v>2.2799999999999998</v>
      </c>
      <c r="I1002" s="457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5">
        <v>2.2799999999999998</v>
      </c>
      <c r="I1003" s="457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5">
        <v>2.2799999999999998</v>
      </c>
      <c r="I1004" s="457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5">
        <v>2.29</v>
      </c>
      <c r="I1005" s="457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6">
        <v>2.29</v>
      </c>
      <c r="I1006" s="458">
        <f t="shared" si="82"/>
        <v>-4.0000000000000036E-2</v>
      </c>
      <c r="J1006" s="437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5">
        <v>2.29</v>
      </c>
      <c r="I1007" s="457">
        <f t="shared" si="82"/>
        <v>-4.0000000000000036E-2</v>
      </c>
      <c r="J1007" s="436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5">
        <v>2.29</v>
      </c>
      <c r="I1008" s="457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5">
        <v>2.29</v>
      </c>
      <c r="I1009" s="457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5">
        <v>2.29</v>
      </c>
      <c r="I1010" s="457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5">
        <v>2.29</v>
      </c>
      <c r="I1011" s="457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5">
        <v>2.29</v>
      </c>
      <c r="I1012" s="457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5">
        <v>2.2799999999999998</v>
      </c>
      <c r="I1013" s="457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5">
        <v>2.2799999999999998</v>
      </c>
      <c r="I1014" s="457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5">
        <v>2.2799999999999998</v>
      </c>
      <c r="I1015" s="457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5">
        <v>2.2799999999999998</v>
      </c>
      <c r="I1016" s="457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5">
        <v>2.2799999999999998</v>
      </c>
      <c r="I1017" s="457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5">
        <v>2.2799999999999998</v>
      </c>
      <c r="I1018" s="457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5">
        <v>2.2799999999999998</v>
      </c>
      <c r="I1019" s="457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5">
        <v>2.27</v>
      </c>
      <c r="I1020" s="457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5">
        <v>2.2799999999999998</v>
      </c>
      <c r="I1021" s="457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5">
        <v>2.27</v>
      </c>
      <c r="I1022" s="457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5">
        <v>2.27</v>
      </c>
      <c r="I1023" s="457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5">
        <v>2.27</v>
      </c>
      <c r="I1024" s="457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5">
        <v>2.27</v>
      </c>
      <c r="I1025" s="457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5">
        <v>2.2599999999999998</v>
      </c>
      <c r="I1026" s="457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5">
        <v>2.25</v>
      </c>
      <c r="I1027" s="457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2">
        <v>2.99</v>
      </c>
      <c r="I1028" s="457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5">
        <v>2.99</v>
      </c>
      <c r="I1029" s="457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5">
        <v>2.99</v>
      </c>
      <c r="I1030" s="457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5">
        <v>2.99</v>
      </c>
      <c r="I1031" s="457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5">
        <v>2.99</v>
      </c>
      <c r="I1032" s="457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5">
        <v>2.98</v>
      </c>
      <c r="I1033" s="457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5">
        <v>2.98</v>
      </c>
      <c r="I1034" s="457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5">
        <v>2.96</v>
      </c>
      <c r="I1035" s="457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6">
        <v>2.98</v>
      </c>
      <c r="I1036" s="458">
        <f t="shared" si="87"/>
        <v>-0.10000000000000009</v>
      </c>
      <c r="J1036" s="437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5">
        <v>2.98</v>
      </c>
      <c r="I1037" s="457">
        <f t="shared" si="87"/>
        <v>-0.10000000000000009</v>
      </c>
      <c r="J1037" s="436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5">
        <v>2.98</v>
      </c>
      <c r="I1038" s="457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5">
        <v>3</v>
      </c>
      <c r="I1039" s="457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5">
        <v>3.04</v>
      </c>
      <c r="I1040" s="457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5">
        <v>3.04</v>
      </c>
      <c r="I1041" s="457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5">
        <v>3.05</v>
      </c>
      <c r="I1042" s="457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5">
        <v>3.05</v>
      </c>
      <c r="I1043" s="457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5">
        <v>3.05</v>
      </c>
      <c r="I1044" s="457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5">
        <v>3.05</v>
      </c>
      <c r="I1045" s="457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5">
        <v>3.05</v>
      </c>
      <c r="I1046" s="457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5">
        <v>3.05</v>
      </c>
      <c r="I1047" s="457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5">
        <v>3.04</v>
      </c>
      <c r="I1048" s="457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5">
        <v>3.04</v>
      </c>
      <c r="I1049" s="457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5">
        <v>3.04</v>
      </c>
      <c r="I1050" s="457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5">
        <v>3.04</v>
      </c>
      <c r="I1051" s="457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5">
        <v>3.04</v>
      </c>
      <c r="I1052" s="457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5">
        <v>3.05</v>
      </c>
      <c r="I1053" s="457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5">
        <v>3.04</v>
      </c>
      <c r="I1054" s="457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5">
        <v>3.04</v>
      </c>
      <c r="I1055" s="457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5">
        <v>3.03</v>
      </c>
      <c r="I1056" s="457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5">
        <v>3.02</v>
      </c>
      <c r="I1057" s="457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5">
        <v>3.02</v>
      </c>
      <c r="I1058" s="457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5">
        <v>3.02</v>
      </c>
      <c r="I1059" s="457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5">
        <v>3.01</v>
      </c>
      <c r="I1060" s="457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5">
        <v>3.02</v>
      </c>
      <c r="I1061" s="457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5">
        <v>3.03</v>
      </c>
      <c r="I1062" s="457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5">
        <v>3.04</v>
      </c>
      <c r="I1063" s="457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5">
        <v>3.05</v>
      </c>
      <c r="I1064" s="457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5">
        <v>3.05</v>
      </c>
      <c r="I1065" s="457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5">
        <v>3.05</v>
      </c>
      <c r="I1066" s="457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6">
        <v>3.05</v>
      </c>
      <c r="I1067" s="458">
        <f t="shared" si="87"/>
        <v>-3.0000000000000249E-2</v>
      </c>
      <c r="J1067" s="437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5">
        <v>3.05</v>
      </c>
      <c r="I1068" s="457">
        <f t="shared" si="87"/>
        <v>-3.0000000000000249E-2</v>
      </c>
      <c r="J1068" s="436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5">
        <v>3.05</v>
      </c>
      <c r="I1069" s="457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5">
        <v>3.8</v>
      </c>
      <c r="I1070" s="457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5">
        <v>3.8</v>
      </c>
      <c r="I1071" s="457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5">
        <v>3.8</v>
      </c>
      <c r="I1072" s="457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5">
        <v>3.8</v>
      </c>
      <c r="I1073" s="457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5">
        <v>3.78</v>
      </c>
      <c r="I1074" s="457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5">
        <v>3.78</v>
      </c>
      <c r="I1075" s="457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5">
        <v>3.78</v>
      </c>
      <c r="I1076" s="457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5">
        <v>3.78</v>
      </c>
      <c r="I1077" s="457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5">
        <v>3.78</v>
      </c>
      <c r="I1078" s="457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5">
        <v>3.78</v>
      </c>
      <c r="I1079" s="457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5">
        <v>3.78</v>
      </c>
      <c r="I1080" s="457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5">
        <v>3.79</v>
      </c>
      <c r="I1081" s="457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5">
        <v>3.8</v>
      </c>
      <c r="I1082" s="457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5">
        <v>3.81</v>
      </c>
      <c r="I1083" s="457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5">
        <v>3.8</v>
      </c>
      <c r="I1084" s="457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5">
        <v>3.8</v>
      </c>
      <c r="I1085" s="457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5">
        <v>3.8</v>
      </c>
      <c r="I1086" s="457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5">
        <v>3.8</v>
      </c>
      <c r="I1087" s="457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5">
        <v>3.8</v>
      </c>
      <c r="I1088" s="457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5">
        <v>3.8</v>
      </c>
      <c r="I1089" s="457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5">
        <v>3.79</v>
      </c>
      <c r="I1090" s="457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5">
        <v>3.79</v>
      </c>
      <c r="I1091" s="457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5">
        <v>3.8</v>
      </c>
      <c r="I1092" s="457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5">
        <v>3.8</v>
      </c>
      <c r="I1093" s="457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5">
        <v>3.8</v>
      </c>
      <c r="I1094" s="457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5">
        <v>3.8</v>
      </c>
      <c r="I1095" s="457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5">
        <v>3.81</v>
      </c>
      <c r="I1096" s="457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6">
        <v>3.82</v>
      </c>
      <c r="I1097" s="458">
        <f t="shared" si="92"/>
        <v>-1.0000000000000231E-2</v>
      </c>
      <c r="J1097" s="437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5">
        <v>3.82</v>
      </c>
      <c r="I1098" s="457">
        <f t="shared" si="92"/>
        <v>-1.0000000000000231E-2</v>
      </c>
      <c r="J1098" s="436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5">
        <v>3.81</v>
      </c>
      <c r="I1099" s="457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5">
        <v>3.81</v>
      </c>
      <c r="I1100" s="457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5">
        <v>3.81</v>
      </c>
      <c r="I1101" s="457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5">
        <v>3.81</v>
      </c>
      <c r="I1102" s="457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5">
        <v>3.8</v>
      </c>
      <c r="I1103" s="457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5">
        <v>3.8</v>
      </c>
      <c r="I1104" s="457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5">
        <v>3.8</v>
      </c>
      <c r="I1105" s="457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5">
        <v>3.8</v>
      </c>
      <c r="I1106" s="457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5">
        <v>3.8</v>
      </c>
      <c r="I1107" s="457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5">
        <v>3.8</v>
      </c>
      <c r="I1108" s="457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5">
        <v>3.8</v>
      </c>
      <c r="I1109" s="457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5">
        <v>3.8</v>
      </c>
      <c r="I1110" s="457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5">
        <v>3.8</v>
      </c>
      <c r="I1111" s="457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5">
        <v>4.32</v>
      </c>
      <c r="I1112" s="457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5">
        <v>4.32</v>
      </c>
      <c r="I1113" s="457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5">
        <v>4.32</v>
      </c>
      <c r="I1114" s="457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5">
        <v>4.32</v>
      </c>
      <c r="I1115" s="457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5">
        <v>4.3</v>
      </c>
      <c r="I1116" s="457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5">
        <v>4.3</v>
      </c>
      <c r="I1117" s="457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5">
        <v>4.3</v>
      </c>
      <c r="I1118" s="457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5">
        <v>4.3</v>
      </c>
      <c r="I1119" s="457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5">
        <v>4.3</v>
      </c>
      <c r="I1120" s="457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5">
        <v>4.3</v>
      </c>
      <c r="I1121" s="457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5">
        <v>4.3</v>
      </c>
      <c r="I1122" s="457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5">
        <v>4.3</v>
      </c>
      <c r="I1123" s="457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5">
        <v>4.3</v>
      </c>
      <c r="I1124" s="457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5">
        <v>4.3</v>
      </c>
      <c r="I1125" s="457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5">
        <v>4.3</v>
      </c>
      <c r="I1126" s="457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5">
        <v>4.3</v>
      </c>
      <c r="I1127" s="457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6">
        <v>4.3</v>
      </c>
      <c r="I1128" s="458">
        <f t="shared" si="92"/>
        <v>-3.0000000000000249E-2</v>
      </c>
      <c r="J1128" s="437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5">
        <v>4.3</v>
      </c>
      <c r="I1129" s="457">
        <f t="shared" si="92"/>
        <v>-3.0000000000000249E-2</v>
      </c>
      <c r="J1129" s="436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5">
        <v>4.3</v>
      </c>
      <c r="I1130" s="457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5">
        <v>4.3099999999999996</v>
      </c>
      <c r="I1131" s="457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5">
        <v>4.3</v>
      </c>
      <c r="I1132" s="457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5">
        <v>4.3099999999999996</v>
      </c>
      <c r="I1133" s="457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5">
        <v>4.3099999999999996</v>
      </c>
      <c r="I1134" s="457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5">
        <v>4.3099999999999996</v>
      </c>
      <c r="I1135" s="457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5">
        <v>4.3099999999999996</v>
      </c>
      <c r="I1136" s="457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5">
        <v>4.3099999999999996</v>
      </c>
      <c r="I1137" s="457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5">
        <v>4.3099999999999996</v>
      </c>
      <c r="I1138" s="457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5">
        <v>4.3</v>
      </c>
      <c r="I1139" s="457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5">
        <v>4.3</v>
      </c>
      <c r="I1140" s="457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5">
        <v>4.3</v>
      </c>
      <c r="I1141" s="457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5">
        <v>4.3</v>
      </c>
      <c r="I1142" s="457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5">
        <v>4.3</v>
      </c>
      <c r="I1143" s="457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5">
        <v>4.3</v>
      </c>
      <c r="I1144" s="457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5">
        <v>4.3099999999999996</v>
      </c>
      <c r="I1145" s="457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5">
        <v>4.3</v>
      </c>
      <c r="I1146" s="457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5">
        <v>4.3099999999999996</v>
      </c>
      <c r="I1147" s="457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5">
        <v>4.3</v>
      </c>
      <c r="I1148" s="457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5">
        <v>4.3</v>
      </c>
      <c r="I1149" s="457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5">
        <v>4.3</v>
      </c>
      <c r="I1150" s="457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5">
        <v>4.3</v>
      </c>
      <c r="I1151" s="457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5">
        <v>4.3</v>
      </c>
      <c r="I1152" s="457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5">
        <v>4.3099999999999996</v>
      </c>
      <c r="I1153" s="457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5">
        <v>4.3</v>
      </c>
      <c r="I1154" s="457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5">
        <v>4.3</v>
      </c>
      <c r="I1155" s="457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5">
        <v>4.3</v>
      </c>
      <c r="I1156" s="457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5">
        <v>4.3</v>
      </c>
      <c r="I1157" s="457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5">
        <v>4.3</v>
      </c>
      <c r="I1158" s="457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6">
        <v>4.3099999999999996</v>
      </c>
      <c r="I1159" s="458">
        <f t="shared" si="98"/>
        <v>-2.0000000000000462E-2</v>
      </c>
      <c r="J1159" s="437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5">
        <v>4.3099999999999996</v>
      </c>
      <c r="I1160" s="457">
        <f t="shared" si="98"/>
        <v>-2.0000000000000462E-2</v>
      </c>
      <c r="J1160" s="436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5">
        <v>4.5599999999999996</v>
      </c>
      <c r="I1161" s="457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5">
        <v>4.55</v>
      </c>
      <c r="I1162" s="457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5">
        <v>4.55</v>
      </c>
      <c r="I1163" s="457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5">
        <v>4.55</v>
      </c>
      <c r="I1164" s="457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5">
        <v>4.55</v>
      </c>
      <c r="I1165" s="457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5">
        <v>4.55</v>
      </c>
      <c r="I1166" s="457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5">
        <v>4.55</v>
      </c>
      <c r="I1167" s="457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5">
        <v>4.55</v>
      </c>
      <c r="I1168" s="457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5">
        <v>4.55</v>
      </c>
      <c r="I1169" s="457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5">
        <v>4.55</v>
      </c>
      <c r="I1170" s="457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5">
        <v>4.55</v>
      </c>
      <c r="I1171" s="457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5">
        <v>4.55</v>
      </c>
      <c r="I1172" s="457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5">
        <v>4.55</v>
      </c>
      <c r="I1173" s="457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5">
        <v>4.55</v>
      </c>
      <c r="I1174" s="457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5">
        <v>4.55</v>
      </c>
      <c r="I1175" s="457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5">
        <v>4.55</v>
      </c>
      <c r="I1176" s="457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5">
        <v>4.55</v>
      </c>
      <c r="I1177" s="457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5">
        <v>4.55</v>
      </c>
      <c r="I1178" s="457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5">
        <v>4.55</v>
      </c>
      <c r="I1179" s="457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5">
        <v>4.55</v>
      </c>
      <c r="I1180" s="457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5">
        <v>4.55</v>
      </c>
      <c r="I1181" s="457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5">
        <v>4.55</v>
      </c>
      <c r="I1182" s="457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5">
        <v>4.55</v>
      </c>
      <c r="I1183" s="457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5">
        <v>4.55</v>
      </c>
      <c r="I1184" s="457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5">
        <v>4.55</v>
      </c>
      <c r="I1185" s="457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5">
        <v>4.55</v>
      </c>
      <c r="I1186" s="457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6">
        <v>4.55</v>
      </c>
      <c r="I1187" s="458">
        <f t="shared" si="98"/>
        <v>-2.0000000000000462E-2</v>
      </c>
      <c r="J1187" s="437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5">
        <v>4.55</v>
      </c>
      <c r="I1188" s="457">
        <f t="shared" si="98"/>
        <v>-3.0000000000000249E-2</v>
      </c>
      <c r="J1188" s="436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5">
        <v>4.55</v>
      </c>
      <c r="I1189" s="457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5">
        <v>4.55</v>
      </c>
      <c r="I1190" s="457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5">
        <v>4.55</v>
      </c>
      <c r="I1191" s="457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5">
        <v>4.55</v>
      </c>
      <c r="I1192" s="457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5">
        <v>4.55</v>
      </c>
      <c r="I1193" s="457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5">
        <v>4.55</v>
      </c>
      <c r="I1194" s="457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5">
        <v>4.55</v>
      </c>
      <c r="I1195" s="457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5">
        <v>4.55</v>
      </c>
      <c r="I1196" s="457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5">
        <v>4.55</v>
      </c>
      <c r="I1197" s="457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5">
        <v>4.55</v>
      </c>
      <c r="I1198" s="457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5">
        <v>4.55</v>
      </c>
      <c r="I1199" s="457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5">
        <v>4.55</v>
      </c>
      <c r="I1200" s="457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5">
        <v>4.55</v>
      </c>
      <c r="I1201" s="457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5">
        <v>4.58</v>
      </c>
      <c r="I1202" s="457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5">
        <v>4.57</v>
      </c>
      <c r="I1203" s="457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5">
        <v>4.55</v>
      </c>
      <c r="I1204" s="457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5">
        <v>4.55</v>
      </c>
      <c r="I1205" s="457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5">
        <v>4.55</v>
      </c>
      <c r="I1206" s="457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5">
        <v>4.55</v>
      </c>
      <c r="I1207" s="457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5">
        <v>4.55</v>
      </c>
      <c r="I1208" s="457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5">
        <v>4.55</v>
      </c>
      <c r="I1209" s="457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5">
        <v>4.8</v>
      </c>
      <c r="I1210" s="457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5">
        <v>4.8</v>
      </c>
      <c r="I1211" s="457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5">
        <v>4.8</v>
      </c>
      <c r="I1212" s="457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5">
        <v>4.8</v>
      </c>
      <c r="I1213" s="457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5">
        <v>4.8099999999999996</v>
      </c>
      <c r="I1214" s="457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5">
        <v>4.84</v>
      </c>
      <c r="I1215" s="457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5">
        <v>4.83</v>
      </c>
      <c r="I1216" s="457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5">
        <v>4.82</v>
      </c>
      <c r="I1217" s="457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6">
        <v>4.87</v>
      </c>
      <c r="I1218" s="458">
        <f t="shared" si="98"/>
        <v>4.0000000000000036E-2</v>
      </c>
      <c r="J1218" s="437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5">
        <v>4.87</v>
      </c>
      <c r="I1219" s="457">
        <f t="shared" ref="I1219:I1282" si="103">H1219-G1219</f>
        <v>4.0000000000000036E-2</v>
      </c>
      <c r="J1219" s="436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5">
        <v>4.87</v>
      </c>
      <c r="I1220" s="457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5">
        <v>4.84</v>
      </c>
      <c r="I1221" s="457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5">
        <v>4.83</v>
      </c>
      <c r="I1222" s="457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5">
        <v>4.8099999999999996</v>
      </c>
      <c r="I1223" s="457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5">
        <v>4.8099999999999996</v>
      </c>
      <c r="I1224" s="457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5">
        <v>4.8099999999999996</v>
      </c>
      <c r="I1225" s="457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5">
        <v>4.8099999999999996</v>
      </c>
      <c r="I1226" s="457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5">
        <v>4.8099999999999996</v>
      </c>
      <c r="I1227" s="457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5">
        <v>4.8099999999999996</v>
      </c>
      <c r="I1228" s="457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5">
        <v>4.8</v>
      </c>
      <c r="I1229" s="457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5">
        <v>4.8</v>
      </c>
      <c r="I1230" s="457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5">
        <v>4.8</v>
      </c>
      <c r="I1231" s="457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5">
        <v>4.8</v>
      </c>
      <c r="I1232" s="457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5">
        <v>4.8</v>
      </c>
      <c r="I1233" s="457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5">
        <v>4.8</v>
      </c>
      <c r="I1234" s="457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5">
        <v>4.8</v>
      </c>
      <c r="I1235" s="457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5">
        <v>4.8</v>
      </c>
      <c r="I1236" s="457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5">
        <v>4.8</v>
      </c>
      <c r="I1237" s="457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5">
        <v>4.8</v>
      </c>
      <c r="I1238" s="457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5">
        <v>4.8</v>
      </c>
      <c r="I1239" s="457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5">
        <v>4.8</v>
      </c>
      <c r="I1240" s="457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5">
        <v>4.8</v>
      </c>
      <c r="I1241" s="457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5">
        <v>4.8</v>
      </c>
      <c r="I1242" s="457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5">
        <v>4.8</v>
      </c>
      <c r="I1243" s="457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5">
        <v>4.8</v>
      </c>
      <c r="I1244" s="457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5">
        <v>4.8099999999999996</v>
      </c>
      <c r="I1245" s="457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5">
        <v>4.8099999999999996</v>
      </c>
      <c r="I1246" s="457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5">
        <v>4.8099999999999996</v>
      </c>
      <c r="I1247" s="457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6">
        <v>4.8099999999999996</v>
      </c>
      <c r="I1248" s="458">
        <f t="shared" si="103"/>
        <v>-2.0000000000000462E-2</v>
      </c>
      <c r="J1248" s="437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30">
        <v>4.8099999999999996</v>
      </c>
      <c r="I1249" s="461">
        <f t="shared" si="103"/>
        <v>-2.0000000000000462E-2</v>
      </c>
      <c r="J1249" s="436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5">
        <v>4.8099999999999996</v>
      </c>
      <c r="I1250" s="457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5">
        <v>4.8099999999999996</v>
      </c>
      <c r="I1251" s="457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5">
        <v>5.0599999999999996</v>
      </c>
      <c r="I1252" s="457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5">
        <v>5.0599999999999996</v>
      </c>
      <c r="I1253" s="457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5">
        <v>5.0599999999999996</v>
      </c>
      <c r="I1254" s="457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5">
        <v>5.0599999999999996</v>
      </c>
      <c r="I1255" s="457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5">
        <v>5.0599999999999996</v>
      </c>
      <c r="I1256" s="457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5">
        <v>5.0599999999999996</v>
      </c>
      <c r="I1257" s="457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5">
        <v>5.0599999999999996</v>
      </c>
      <c r="I1258" s="457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5">
        <v>5.05</v>
      </c>
      <c r="I1259" s="457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5">
        <v>5.05</v>
      </c>
      <c r="I1260" s="457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5">
        <v>5.05</v>
      </c>
      <c r="I1261" s="457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5">
        <v>5.05</v>
      </c>
      <c r="I1262" s="457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5">
        <v>5.0599999999999996</v>
      </c>
      <c r="I1263" s="457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5">
        <v>5.05</v>
      </c>
      <c r="I1264" s="457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5">
        <v>5.05</v>
      </c>
      <c r="I1265" s="457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5">
        <v>5.05</v>
      </c>
      <c r="I1266" s="457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5">
        <v>5.05</v>
      </c>
      <c r="I1267" s="457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5">
        <v>5.05</v>
      </c>
      <c r="I1268" s="457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5">
        <v>5.05</v>
      </c>
      <c r="I1269" s="457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5">
        <v>5.05</v>
      </c>
      <c r="I1270" s="457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5">
        <v>5.05</v>
      </c>
      <c r="I1271" s="457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5">
        <v>5.05</v>
      </c>
      <c r="I1272" s="457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5">
        <v>5.0599999999999996</v>
      </c>
      <c r="I1273" s="457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5">
        <v>5.0599999999999996</v>
      </c>
      <c r="I1274" s="457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5">
        <v>5.0599999999999996</v>
      </c>
      <c r="I1275" s="457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5">
        <v>5.0599999999999996</v>
      </c>
      <c r="I1276" s="457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5">
        <v>5.0599999999999996</v>
      </c>
      <c r="I1277" s="457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5">
        <v>5.0599999999999996</v>
      </c>
      <c r="I1278" s="457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6">
        <v>5.08</v>
      </c>
      <c r="I1279" s="458">
        <f t="shared" si="103"/>
        <v>0</v>
      </c>
      <c r="J1279" s="437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30">
        <v>5.08</v>
      </c>
      <c r="I1280" s="461">
        <f t="shared" si="103"/>
        <v>0</v>
      </c>
      <c r="J1280" s="436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5">
        <v>5.07</v>
      </c>
      <c r="I1281" s="457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5">
        <v>5.07</v>
      </c>
      <c r="I1282" s="457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5">
        <v>5.07</v>
      </c>
      <c r="I1283" s="457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5">
        <v>5.0599999999999996</v>
      </c>
      <c r="I1284" s="457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5">
        <v>5.05</v>
      </c>
      <c r="I1285" s="457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5">
        <v>5.05</v>
      </c>
      <c r="I1286" s="457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5">
        <v>5.05</v>
      </c>
      <c r="I1287" s="457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5">
        <v>5.05</v>
      </c>
      <c r="I1288" s="457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5">
        <v>5.05</v>
      </c>
      <c r="I1289" s="457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5">
        <v>5.05</v>
      </c>
      <c r="I1290" s="457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5">
        <v>5.05</v>
      </c>
      <c r="I1291" s="457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5">
        <v>5.05</v>
      </c>
      <c r="I1292" s="457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5">
        <v>5.05</v>
      </c>
      <c r="I1293" s="457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5">
        <v>5.0599999999999996</v>
      </c>
      <c r="I1294" s="457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31">
        <v>5.05</v>
      </c>
      <c r="I1295" s="457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31">
        <v>5.05</v>
      </c>
      <c r="I1296" s="457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5">
        <v>5.05</v>
      </c>
      <c r="I1297" s="457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5">
        <v>5.05</v>
      </c>
      <c r="I1298" s="457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5">
        <v>5.05</v>
      </c>
      <c r="I1299" s="457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5">
        <v>5.05</v>
      </c>
      <c r="I1300" s="457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5">
        <v>5.05</v>
      </c>
      <c r="I1301" s="457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5">
        <v>5.05</v>
      </c>
      <c r="I1302" s="457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5">
        <v>5.05</v>
      </c>
      <c r="I1303" s="457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5">
        <v>5.05</v>
      </c>
      <c r="I1304" s="457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5">
        <v>5.05</v>
      </c>
      <c r="I1305" s="457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5">
        <v>5.05</v>
      </c>
      <c r="I1306" s="457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5">
        <v>5.0599999999999996</v>
      </c>
      <c r="I1307" s="457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5">
        <v>5.0599999999999996</v>
      </c>
      <c r="I1308" s="457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6">
        <v>5.09</v>
      </c>
      <c r="I1309" s="458">
        <f t="shared" si="108"/>
        <v>9.9999999999997868E-3</v>
      </c>
      <c r="J1309" s="437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5">
        <v>5.09</v>
      </c>
      <c r="I1310" s="457">
        <f t="shared" si="108"/>
        <v>9.9999999999997868E-3</v>
      </c>
      <c r="J1310" s="436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5">
        <v>5.09</v>
      </c>
      <c r="I1311" s="457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5">
        <v>5.0599999999999996</v>
      </c>
      <c r="I1312" s="457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5">
        <v>5.0599999999999996</v>
      </c>
      <c r="I1313" s="457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5">
        <v>5.0599999999999996</v>
      </c>
      <c r="I1314" s="457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5">
        <v>5.0599999999999996</v>
      </c>
      <c r="I1315" s="457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5">
        <v>5.0599999999999996</v>
      </c>
      <c r="I1316" s="457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5">
        <v>5.0599999999999996</v>
      </c>
      <c r="I1317" s="457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5">
        <v>5.0599999999999996</v>
      </c>
      <c r="I1318" s="457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5">
        <v>5.0599999999999996</v>
      </c>
      <c r="I1319" s="457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5">
        <v>5.0599999999999996</v>
      </c>
      <c r="I1320" s="457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5">
        <v>5.05</v>
      </c>
      <c r="I1321" s="457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5">
        <v>5.0599999999999996</v>
      </c>
      <c r="I1322" s="457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5">
        <v>5.05</v>
      </c>
      <c r="I1323" s="457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5">
        <v>5.05</v>
      </c>
      <c r="I1324" s="457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5">
        <v>5.05</v>
      </c>
      <c r="I1325" s="457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5">
        <v>5.0599999999999996</v>
      </c>
      <c r="I1326" s="457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5">
        <v>5.0599999999999996</v>
      </c>
      <c r="I1327" s="457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5">
        <v>5.05</v>
      </c>
      <c r="I1328" s="457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5">
        <v>5.0599999999999996</v>
      </c>
      <c r="I1329" s="457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5">
        <v>5.05</v>
      </c>
      <c r="I1330" s="457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5">
        <v>5.05</v>
      </c>
      <c r="I1331" s="457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5">
        <v>5.05</v>
      </c>
      <c r="I1332" s="457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5">
        <v>5.05</v>
      </c>
      <c r="I1333" s="457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5">
        <v>5.0599999999999996</v>
      </c>
      <c r="I1334" s="457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5">
        <v>5.0599999999999996</v>
      </c>
      <c r="I1335" s="457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5">
        <v>5.31</v>
      </c>
      <c r="I1336" s="457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5">
        <v>5.3</v>
      </c>
      <c r="I1337" s="457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5">
        <v>5.3</v>
      </c>
      <c r="I1338" s="457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5">
        <v>5.3</v>
      </c>
      <c r="I1339" s="457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6">
        <v>5.31</v>
      </c>
      <c r="I1340" s="458">
        <f t="shared" si="108"/>
        <v>-2.0000000000000462E-2</v>
      </c>
      <c r="J1340" s="437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30">
        <v>5.31</v>
      </c>
      <c r="I1341" s="461">
        <f t="shared" si="108"/>
        <v>-2.0000000000000462E-2</v>
      </c>
      <c r="J1341" s="436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5">
        <v>5.3</v>
      </c>
      <c r="I1342" s="457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5">
        <v>5.3</v>
      </c>
      <c r="I1343" s="457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5">
        <v>5.3</v>
      </c>
      <c r="I1344" s="457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5">
        <v>5.3</v>
      </c>
      <c r="I1345" s="457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5">
        <v>5.3</v>
      </c>
      <c r="I1346" s="457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5">
        <v>5.3</v>
      </c>
      <c r="I1347" s="457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5">
        <v>5.3</v>
      </c>
      <c r="I1348" s="457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5">
        <v>5.3</v>
      </c>
      <c r="I1349" s="457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5">
        <v>5.3</v>
      </c>
      <c r="I1350" s="457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5">
        <v>5.3</v>
      </c>
      <c r="I1351" s="457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5">
        <v>5.3</v>
      </c>
      <c r="I1352" s="457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5">
        <v>5.3</v>
      </c>
      <c r="I1353" s="457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5">
        <v>5.3</v>
      </c>
      <c r="I1354" s="457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5">
        <v>5.3</v>
      </c>
      <c r="I1355" s="457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5">
        <v>5.3</v>
      </c>
      <c r="I1356" s="457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5">
        <v>5.3</v>
      </c>
      <c r="I1357" s="457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5">
        <v>5.3</v>
      </c>
      <c r="I1358" s="457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5">
        <v>5.3</v>
      </c>
      <c r="I1359" s="457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5">
        <v>5.3</v>
      </c>
      <c r="I1360" s="457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5">
        <v>5.3</v>
      </c>
      <c r="I1361" s="457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5">
        <v>5.3</v>
      </c>
      <c r="I1362" s="457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5">
        <v>5.3</v>
      </c>
      <c r="I1363" s="457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5">
        <v>5.3</v>
      </c>
      <c r="I1364" s="457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5">
        <v>5.3</v>
      </c>
      <c r="I1365" s="457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5">
        <v>5.3</v>
      </c>
      <c r="I1366" s="457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5">
        <v>5.3</v>
      </c>
      <c r="I1367" s="457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5">
        <v>5.3</v>
      </c>
      <c r="I1368" s="457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5">
        <v>5.3</v>
      </c>
      <c r="I1369" s="457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5">
        <v>5.3</v>
      </c>
      <c r="I1370" s="457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6">
        <v>5.31</v>
      </c>
      <c r="I1371" s="458">
        <f t="shared" si="114"/>
        <v>-2.0000000000000462E-2</v>
      </c>
      <c r="J1371" s="437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30">
        <v>5.31</v>
      </c>
      <c r="I1372" s="461">
        <f t="shared" si="114"/>
        <v>-2.0000000000000462E-2</v>
      </c>
      <c r="J1372" s="436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5">
        <v>5.31</v>
      </c>
      <c r="I1373" s="457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5">
        <v>5.31</v>
      </c>
      <c r="I1374" s="457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5">
        <v>5.31</v>
      </c>
      <c r="I1375" s="457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5">
        <v>5.31</v>
      </c>
      <c r="I1376" s="457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5">
        <v>5.3</v>
      </c>
      <c r="I1377" s="457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5">
        <v>5.31</v>
      </c>
      <c r="I1378" s="457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5">
        <v>5.3</v>
      </c>
      <c r="I1379" s="457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5">
        <v>5.3</v>
      </c>
      <c r="I1380" s="457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5">
        <v>5.3</v>
      </c>
      <c r="I1381" s="457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5">
        <v>5.3</v>
      </c>
      <c r="I1382" s="457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5">
        <v>5.3</v>
      </c>
      <c r="I1383" s="457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5">
        <v>5.3</v>
      </c>
      <c r="I1384" s="457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5">
        <v>5.3</v>
      </c>
      <c r="I1385" s="457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5">
        <v>5.31</v>
      </c>
      <c r="I1386" s="457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5">
        <v>5.31</v>
      </c>
      <c r="I1387" s="457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5">
        <v>5.31</v>
      </c>
      <c r="I1388" s="457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5">
        <v>5.31</v>
      </c>
      <c r="I1389" s="457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5">
        <v>5.31</v>
      </c>
      <c r="I1390" s="457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5">
        <v>5.3</v>
      </c>
      <c r="I1391" s="457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5">
        <v>5.3</v>
      </c>
      <c r="I1392" s="457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5">
        <v>5.3</v>
      </c>
      <c r="I1393" s="457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5">
        <v>5.3</v>
      </c>
      <c r="I1394" s="457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5">
        <v>5.3</v>
      </c>
      <c r="I1395" s="457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5">
        <v>5.31</v>
      </c>
      <c r="I1396" s="457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5">
        <v>5.31</v>
      </c>
      <c r="I1397" s="457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5">
        <v>5.32</v>
      </c>
      <c r="I1398" s="457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5">
        <v>5.31</v>
      </c>
      <c r="I1399" s="457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5">
        <v>5.31</v>
      </c>
      <c r="I1400" s="457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6">
        <v>5.31</v>
      </c>
      <c r="I1401" s="458">
        <f t="shared" si="114"/>
        <v>-2.0000000000000462E-2</v>
      </c>
      <c r="J1401" s="437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31">
        <v>5.31</v>
      </c>
      <c r="I1402" s="457">
        <f t="shared" si="114"/>
        <v>-2.0000000000000462E-2</v>
      </c>
      <c r="J1402" s="436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5">
        <v>5.32</v>
      </c>
      <c r="I1403" s="457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5">
        <v>5.33</v>
      </c>
      <c r="I1404" s="457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5">
        <v>5.32</v>
      </c>
      <c r="I1405" s="457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5">
        <v>5.32</v>
      </c>
      <c r="I1406" s="457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5">
        <v>5.31</v>
      </c>
      <c r="I1407" s="457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5">
        <v>5.31</v>
      </c>
      <c r="I1408" s="457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5">
        <v>5.31</v>
      </c>
      <c r="I1409" s="457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5">
        <v>5.31</v>
      </c>
      <c r="I1410" s="457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5">
        <v>5.31</v>
      </c>
      <c r="I1411" s="457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5">
        <v>5.31</v>
      </c>
      <c r="I1412" s="457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5">
        <v>5.31</v>
      </c>
      <c r="I1413" s="457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5">
        <v>5.31</v>
      </c>
      <c r="I1414" s="457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5">
        <v>5.31</v>
      </c>
      <c r="I1415" s="457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5">
        <v>5.31</v>
      </c>
      <c r="I1416" s="457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5">
        <v>5.31</v>
      </c>
      <c r="I1417" s="457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5">
        <v>5.31</v>
      </c>
      <c r="I1418" s="457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5">
        <v>5.3</v>
      </c>
      <c r="I1419" s="457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5">
        <v>5.3</v>
      </c>
      <c r="I1420" s="457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5">
        <v>5.3</v>
      </c>
      <c r="I1421" s="457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5">
        <v>5.3</v>
      </c>
      <c r="I1422" s="457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5">
        <v>5.3</v>
      </c>
      <c r="I1423" s="457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5">
        <v>5.3</v>
      </c>
      <c r="I1424" s="457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5">
        <v>5.3</v>
      </c>
      <c r="I1425" s="457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5">
        <v>5.3</v>
      </c>
      <c r="I1426" s="457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5">
        <v>5.31</v>
      </c>
      <c r="I1427" s="457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5">
        <v>5.31</v>
      </c>
      <c r="I1428" s="457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5">
        <v>5.31</v>
      </c>
      <c r="I1429" s="457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5">
        <v>5.31</v>
      </c>
      <c r="I1430" s="457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5">
        <v>5.31</v>
      </c>
      <c r="I1431" s="457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6">
        <v>5.35</v>
      </c>
      <c r="I1432" s="458">
        <f t="shared" si="118"/>
        <v>1.9999999999999574E-2</v>
      </c>
      <c r="J1432" s="437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30">
        <v>5.32</v>
      </c>
      <c r="I1433" s="461">
        <f t="shared" si="118"/>
        <v>-9.9999999999997868E-3</v>
      </c>
      <c r="J1433" s="438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5">
        <v>5.33</v>
      </c>
      <c r="I1434" s="457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5">
        <v>5.32</v>
      </c>
      <c r="I1435" s="457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5">
        <v>5.32</v>
      </c>
      <c r="I1436" s="457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5">
        <v>5.32</v>
      </c>
      <c r="I1437" s="457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5">
        <v>5.32</v>
      </c>
      <c r="I1438" s="457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5">
        <v>5.32</v>
      </c>
      <c r="I1439" s="457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5">
        <v>5.32</v>
      </c>
      <c r="I1440" s="457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5">
        <v>5.32</v>
      </c>
      <c r="I1441" s="457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5">
        <v>5.32</v>
      </c>
      <c r="I1442" s="457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5">
        <v>5.32</v>
      </c>
      <c r="I1443" s="457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5">
        <v>5.32</v>
      </c>
      <c r="I1444" s="457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5">
        <v>5.32</v>
      </c>
      <c r="I1445" s="457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5">
        <v>5.32</v>
      </c>
      <c r="I1446" s="457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5">
        <v>5.32</v>
      </c>
      <c r="I1447" s="457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5">
        <v>5.32</v>
      </c>
      <c r="I1448" s="457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5">
        <v>5.32</v>
      </c>
      <c r="I1449" s="457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5">
        <v>5.32</v>
      </c>
      <c r="I1450" s="457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5">
        <v>5.32</v>
      </c>
      <c r="I1451" s="457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5">
        <v>5.31</v>
      </c>
      <c r="I1452" s="457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5">
        <v>5.31</v>
      </c>
      <c r="I1453" s="457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5">
        <v>5.31</v>
      </c>
      <c r="I1454" s="457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5">
        <v>5.31</v>
      </c>
      <c r="I1455" s="457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5">
        <v>5.32</v>
      </c>
      <c r="I1456" s="457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5">
        <v>5.32</v>
      </c>
      <c r="I1457" s="457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5">
        <v>5.32</v>
      </c>
      <c r="I1458" s="457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5">
        <v>5.32</v>
      </c>
      <c r="I1459" s="457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5">
        <v>5.32</v>
      </c>
      <c r="I1460" s="457">
        <f t="shared" si="118"/>
        <v>-9.9999999999997868E-3</v>
      </c>
      <c r="J1460" s="439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5">
        <v>5.31</v>
      </c>
      <c r="I1461" s="457">
        <f t="shared" si="118"/>
        <v>-2.0000000000000462E-2</v>
      </c>
      <c r="J1461" s="440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6">
        <v>5.33</v>
      </c>
      <c r="I1462" s="458">
        <f t="shared" si="118"/>
        <v>0</v>
      </c>
      <c r="J1462" s="437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30">
        <v>5.39</v>
      </c>
      <c r="I1463" s="461">
        <f t="shared" si="118"/>
        <v>5.9999999999999609E-2</v>
      </c>
      <c r="J1463" s="436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5">
        <v>5.39</v>
      </c>
      <c r="I1464" s="457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5">
        <v>5.39</v>
      </c>
      <c r="I1465" s="457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5">
        <v>5.37</v>
      </c>
      <c r="I1466" s="457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5">
        <v>5.33</v>
      </c>
      <c r="I1467" s="457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5">
        <v>5.32</v>
      </c>
      <c r="I1468" s="457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5">
        <v>5.32</v>
      </c>
      <c r="I1469" s="457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5">
        <v>5.32</v>
      </c>
      <c r="I1470" s="457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5">
        <v>5.32</v>
      </c>
      <c r="I1471" s="457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5">
        <v>5.32</v>
      </c>
      <c r="I1472" s="457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5">
        <v>5.32</v>
      </c>
      <c r="I1473" s="457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5">
        <v>5.31</v>
      </c>
      <c r="I1474" s="457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5">
        <v>5.31</v>
      </c>
      <c r="I1475" s="457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5">
        <v>5.31</v>
      </c>
      <c r="I1476" s="457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5">
        <v>5.32</v>
      </c>
      <c r="I1477" s="457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5">
        <v>5.32</v>
      </c>
      <c r="I1478" s="457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5">
        <v>5.32</v>
      </c>
      <c r="I1479" s="457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5">
        <v>5.32</v>
      </c>
      <c r="I1480" s="457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5">
        <v>5.31</v>
      </c>
      <c r="I1481" s="457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5">
        <v>5.31</v>
      </c>
      <c r="I1482" s="457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5">
        <v>5.31</v>
      </c>
      <c r="I1483" s="457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5">
        <v>5.32</v>
      </c>
      <c r="I1484" s="457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5">
        <v>5.32</v>
      </c>
      <c r="I1485" s="457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5">
        <v>5.32</v>
      </c>
      <c r="I1486" s="457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5">
        <v>5.32</v>
      </c>
      <c r="I1487" s="457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5">
        <v>5.35</v>
      </c>
      <c r="I1488" s="457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5">
        <v>5.39</v>
      </c>
      <c r="I1489" s="457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5">
        <v>5.4</v>
      </c>
      <c r="I1490" s="457">
        <f t="shared" si="126"/>
        <v>7.0000000000000284E-2</v>
      </c>
      <c r="J1490" s="439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5">
        <v>5.38</v>
      </c>
      <c r="I1491" s="457">
        <f t="shared" si="126"/>
        <v>4.9999999999999822E-2</v>
      </c>
      <c r="J1491" s="440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5">
        <v>5.38</v>
      </c>
      <c r="I1492" s="457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6">
        <v>5.38</v>
      </c>
      <c r="I1493" s="458">
        <f t="shared" si="126"/>
        <v>4.9999999999999822E-2</v>
      </c>
      <c r="J1493" s="437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5">
        <v>5.38</v>
      </c>
      <c r="I1494" s="457">
        <f t="shared" si="126"/>
        <v>4.9999999999999822E-2</v>
      </c>
      <c r="J1494" s="438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5">
        <v>5.4</v>
      </c>
      <c r="I1495" s="457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5">
        <v>5.39</v>
      </c>
      <c r="I1496" s="457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5">
        <v>5.32</v>
      </c>
      <c r="I1497" s="457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5">
        <v>5.31</v>
      </c>
      <c r="I1498" s="457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5">
        <v>5.31</v>
      </c>
      <c r="I1499" s="457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5">
        <v>5.31</v>
      </c>
      <c r="I1500" s="457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5">
        <v>5.31</v>
      </c>
      <c r="I1501" s="457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5">
        <v>5.31</v>
      </c>
      <c r="I1502" s="457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5">
        <v>5.31</v>
      </c>
      <c r="I1503" s="457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5">
        <v>5.31</v>
      </c>
      <c r="I1504" s="457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5">
        <v>5.31</v>
      </c>
      <c r="I1505" s="457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5">
        <v>5.31</v>
      </c>
      <c r="I1506" s="457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5">
        <v>5.31</v>
      </c>
      <c r="I1507" s="457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5">
        <v>5.31</v>
      </c>
      <c r="I1508" s="457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5">
        <v>5.32</v>
      </c>
      <c r="I1509" s="457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5">
        <v>5.32</v>
      </c>
      <c r="I1510" s="457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5">
        <v>5.31</v>
      </c>
      <c r="I1511" s="457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5">
        <v>5.31</v>
      </c>
      <c r="I1512" s="457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5">
        <v>5.31</v>
      </c>
      <c r="I1513" s="457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5">
        <v>5.31</v>
      </c>
      <c r="I1514" s="457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5">
        <v>5.31</v>
      </c>
      <c r="I1515" s="457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5">
        <v>5.31</v>
      </c>
      <c r="I1516" s="457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5">
        <v>5.31</v>
      </c>
      <c r="I1517" s="457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5">
        <v>5.32</v>
      </c>
      <c r="I1518" s="457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5">
        <v>5.32</v>
      </c>
      <c r="I1519" s="457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5">
        <v>5.32</v>
      </c>
      <c r="I1520" s="457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5">
        <v>5.32</v>
      </c>
      <c r="I1521" s="457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5">
        <v>5.31</v>
      </c>
      <c r="I1522" s="457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5">
        <v>5.31</v>
      </c>
      <c r="I1523" s="457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6">
        <v>5.32</v>
      </c>
      <c r="I1524" s="458">
        <f t="shared" si="126"/>
        <v>-9.9999999999997868E-3</v>
      </c>
      <c r="J1524" s="437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5">
        <v>5.32</v>
      </c>
      <c r="I1525" s="457">
        <f t="shared" si="126"/>
        <v>-9.9999999999997868E-3</v>
      </c>
      <c r="J1525" s="436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5">
        <v>5.32</v>
      </c>
      <c r="I1526" s="457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5">
        <v>5.32</v>
      </c>
      <c r="I1527" s="457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5">
        <v>5.32</v>
      </c>
      <c r="I1528" s="457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5">
        <v>5.31</v>
      </c>
      <c r="I1529" s="457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5">
        <v>5.31</v>
      </c>
      <c r="I1530" s="457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5">
        <v>5.31</v>
      </c>
      <c r="I1531" s="457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5">
        <v>5.31</v>
      </c>
      <c r="I1532" s="457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5">
        <v>5.31</v>
      </c>
      <c r="I1533" s="457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5">
        <v>5.31</v>
      </c>
      <c r="I1534" s="457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5">
        <v>5.31</v>
      </c>
      <c r="I1535" s="457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5">
        <v>5.31</v>
      </c>
      <c r="I1536" s="457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5">
        <v>5.31</v>
      </c>
      <c r="I1537" s="457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5">
        <v>5.3</v>
      </c>
      <c r="I1538" s="457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5">
        <v>5.31</v>
      </c>
      <c r="I1539" s="457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5">
        <v>5.3</v>
      </c>
      <c r="I1540" s="457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5">
        <v>5.3</v>
      </c>
      <c r="I1541" s="457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5">
        <v>5.3</v>
      </c>
      <c r="I1542" s="457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5">
        <v>5.3</v>
      </c>
      <c r="I1543" s="457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5">
        <v>5.3</v>
      </c>
      <c r="I1544" s="457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5">
        <v>5.3</v>
      </c>
      <c r="I1545" s="457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5">
        <v>5.3</v>
      </c>
      <c r="I1546" s="457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5">
        <v>5.31</v>
      </c>
      <c r="I1547" s="457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5">
        <v>5.31</v>
      </c>
      <c r="I1548" s="457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5">
        <v>5.31</v>
      </c>
      <c r="I1549" s="457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5">
        <v>5.31</v>
      </c>
      <c r="I1550" s="457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5">
        <v>5.31</v>
      </c>
      <c r="I1551" s="457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5">
        <v>5.31</v>
      </c>
      <c r="I1552" s="457">
        <f t="shared" si="133"/>
        <v>-2.0000000000000462E-2</v>
      </c>
      <c r="J1552" s="439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6">
        <v>5.31</v>
      </c>
      <c r="I1553" s="457">
        <f t="shared" si="133"/>
        <v>-2.0000000000000462E-2</v>
      </c>
      <c r="J1553" s="440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5">
        <v>5.31</v>
      </c>
      <c r="I1554" s="457">
        <f t="shared" si="133"/>
        <v>-2.0000000000000462E-2</v>
      </c>
      <c r="J1554" s="438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5">
        <v>5.31</v>
      </c>
      <c r="I1555" s="457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5">
        <v>5.31</v>
      </c>
      <c r="I1556" s="457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5">
        <v>5.31</v>
      </c>
      <c r="I1557" s="457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5">
        <v>5.31</v>
      </c>
      <c r="I1558" s="457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5">
        <v>5.31</v>
      </c>
      <c r="I1559" s="457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31">
        <v>5.31</v>
      </c>
      <c r="I1560" s="457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31">
        <v>5.31</v>
      </c>
      <c r="I1561" s="457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31">
        <v>5.31</v>
      </c>
      <c r="I1562" s="457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31">
        <v>5.31</v>
      </c>
      <c r="I1563" s="457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31">
        <v>5.31</v>
      </c>
      <c r="I1564" s="457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31">
        <v>5.31</v>
      </c>
      <c r="I1565" s="457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31">
        <v>5.31</v>
      </c>
      <c r="I1566" s="457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31">
        <v>5.31</v>
      </c>
      <c r="I1567" s="457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31">
        <v>5.31</v>
      </c>
      <c r="I1568" s="457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31">
        <v>5.31</v>
      </c>
      <c r="I1569" s="457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31">
        <v>5.31</v>
      </c>
      <c r="I1570" s="457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31">
        <v>5.31</v>
      </c>
      <c r="I1571" s="457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31">
        <v>5.31</v>
      </c>
      <c r="I1572" s="457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31">
        <v>5.31</v>
      </c>
      <c r="I1573" s="457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31">
        <v>5.31</v>
      </c>
      <c r="I1574" s="457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31">
        <v>5.31</v>
      </c>
      <c r="I1575" s="457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31">
        <v>5.31</v>
      </c>
      <c r="I1576" s="457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31">
        <v>5.31</v>
      </c>
      <c r="I1577" s="457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31">
        <v>5.31</v>
      </c>
      <c r="I1578" s="457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5">
        <v>5.32</v>
      </c>
      <c r="I1579" s="457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5">
        <v>5.33</v>
      </c>
      <c r="I1580" s="457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5">
        <v>5.34</v>
      </c>
      <c r="I1581" s="457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5">
        <v>5.34</v>
      </c>
      <c r="I1582" s="457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5">
        <v>5.34</v>
      </c>
      <c r="I1583" s="457">
        <f t="shared" si="133"/>
        <v>9.9999999999997868E-3</v>
      </c>
      <c r="J1583" s="439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6">
        <v>5.34</v>
      </c>
      <c r="I1584" s="457">
        <f t="shared" si="133"/>
        <v>9.9999999999997868E-3</v>
      </c>
      <c r="J1584" s="440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5">
        <v>5.35</v>
      </c>
      <c r="I1585" s="457">
        <f t="shared" si="133"/>
        <v>1.9999999999999574E-2</v>
      </c>
      <c r="J1585" s="436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5">
        <v>5.34</v>
      </c>
      <c r="I1586" s="457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5">
        <v>5.32</v>
      </c>
      <c r="I1587" s="457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5">
        <v>5.32</v>
      </c>
      <c r="I1588" s="457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5">
        <v>5.32</v>
      </c>
      <c r="I1589" s="457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5">
        <v>5.32</v>
      </c>
      <c r="I1590" s="457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5">
        <v>5.32</v>
      </c>
      <c r="I1591" s="457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5">
        <v>5.31</v>
      </c>
      <c r="I1592" s="457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5">
        <v>5.31</v>
      </c>
      <c r="I1593" s="457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5">
        <v>5.31</v>
      </c>
      <c r="I1594" s="457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5">
        <v>5.31</v>
      </c>
      <c r="I1595" s="457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5">
        <v>5.31</v>
      </c>
      <c r="I1596" s="457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5">
        <v>5.31</v>
      </c>
      <c r="I1597" s="457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5">
        <v>5.31</v>
      </c>
      <c r="I1598" s="457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5">
        <v>5.32</v>
      </c>
      <c r="I1599" s="457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5">
        <v>5.31</v>
      </c>
      <c r="I1600" s="457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5">
        <v>5.31</v>
      </c>
      <c r="I1601" s="457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5">
        <v>5.3</v>
      </c>
      <c r="I1602" s="457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5">
        <v>5.31</v>
      </c>
      <c r="I1603" s="457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5">
        <v>5.31</v>
      </c>
      <c r="I1604" s="457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5">
        <v>5.31</v>
      </c>
      <c r="I1605" s="457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5">
        <v>5.31</v>
      </c>
      <c r="I1606" s="457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5">
        <v>5.31</v>
      </c>
      <c r="I1607" s="457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5">
        <v>5.31</v>
      </c>
      <c r="I1608" s="457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5">
        <v>5.31</v>
      </c>
      <c r="I1609" s="457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5">
        <v>5.32</v>
      </c>
      <c r="I1610" s="457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5">
        <v>5.32</v>
      </c>
      <c r="I1611" s="457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5">
        <v>5.32</v>
      </c>
      <c r="I1612" s="457">
        <f t="shared" si="140"/>
        <v>-9.9999999999997868E-3</v>
      </c>
      <c r="J1612" s="433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5">
        <v>5.32</v>
      </c>
      <c r="I1613" s="457">
        <f t="shared" si="140"/>
        <v>-9.9999999999997868E-3</v>
      </c>
      <c r="J1613" s="433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6">
        <v>5.34</v>
      </c>
      <c r="I1614" s="458">
        <f t="shared" si="140"/>
        <v>9.9999999999997868E-3</v>
      </c>
      <c r="J1614" s="424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5">
        <v>5.32</v>
      </c>
      <c r="I1615" s="457">
        <f t="shared" si="140"/>
        <v>-9.9999999999997868E-3</v>
      </c>
      <c r="J1615" s="438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5">
        <v>5.31</v>
      </c>
      <c r="I1616" s="457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5">
        <v>5.31</v>
      </c>
      <c r="I1617" s="457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5">
        <v>5.31</v>
      </c>
      <c r="I1618" s="457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5">
        <v>5.31</v>
      </c>
      <c r="I1619" s="457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5">
        <v>5.31</v>
      </c>
      <c r="I1620" s="457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5">
        <v>5.31</v>
      </c>
      <c r="I1621" s="457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5">
        <v>5.31</v>
      </c>
      <c r="I1622" s="457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5">
        <v>5.31</v>
      </c>
      <c r="I1623" s="457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5">
        <v>5.31</v>
      </c>
      <c r="I1624" s="457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5">
        <v>5.31</v>
      </c>
      <c r="I1625" s="457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5">
        <v>5.31</v>
      </c>
      <c r="I1626" s="457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5">
        <v>5.31</v>
      </c>
      <c r="I1627" s="457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5">
        <v>5.31</v>
      </c>
      <c r="I1628" s="457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5">
        <v>5.31</v>
      </c>
      <c r="I1629" s="457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5">
        <v>5.31</v>
      </c>
      <c r="I1630" s="457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5">
        <v>5.31</v>
      </c>
      <c r="I1631" s="457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5">
        <v>5.31</v>
      </c>
      <c r="I1632" s="457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5">
        <v>5.31</v>
      </c>
      <c r="I1633" s="457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5">
        <v>5.31</v>
      </c>
      <c r="I1634" s="457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5">
        <v>5.31</v>
      </c>
      <c r="I1635" s="457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5">
        <v>5.31</v>
      </c>
      <c r="I1636" s="457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5">
        <v>5.31</v>
      </c>
      <c r="I1637" s="457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5">
        <v>5.32</v>
      </c>
      <c r="I1638" s="457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5">
        <v>5.32</v>
      </c>
      <c r="I1639" s="457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5">
        <v>5.32</v>
      </c>
      <c r="I1640" s="457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5">
        <v>5.32</v>
      </c>
      <c r="I1641" s="457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5">
        <v>5.32</v>
      </c>
      <c r="I1642" s="457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5">
        <v>5.33</v>
      </c>
      <c r="I1643" s="457">
        <f t="shared" si="140"/>
        <v>0</v>
      </c>
      <c r="J1643" s="433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5">
        <v>5.33</v>
      </c>
      <c r="I1644" s="457">
        <f t="shared" si="140"/>
        <v>0</v>
      </c>
      <c r="J1644" s="433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6">
        <v>5.34</v>
      </c>
      <c r="I1645" s="458">
        <f t="shared" si="140"/>
        <v>9.9999999999997868E-3</v>
      </c>
      <c r="J1645" s="424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5">
        <v>5.34</v>
      </c>
      <c r="I1646" s="457">
        <f t="shared" si="140"/>
        <v>9.9999999999997868E-3</v>
      </c>
      <c r="J1646" s="436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5">
        <v>5.34</v>
      </c>
      <c r="I1647" s="457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5">
        <v>5.35</v>
      </c>
      <c r="I1648" s="457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5">
        <v>5.33</v>
      </c>
      <c r="I1649" s="457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5">
        <v>5.33</v>
      </c>
      <c r="I1650" s="457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5">
        <v>5.33</v>
      </c>
      <c r="I1651" s="457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5">
        <v>5.33</v>
      </c>
      <c r="I1652" s="457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5">
        <v>5.33</v>
      </c>
      <c r="I1653" s="457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5">
        <v>5.33</v>
      </c>
      <c r="I1654" s="457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5">
        <v>5.32</v>
      </c>
      <c r="I1655" s="457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5">
        <v>5.32</v>
      </c>
      <c r="I1656" s="457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5">
        <v>5.31</v>
      </c>
      <c r="I1657" s="457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5">
        <v>5.31</v>
      </c>
      <c r="I1658" s="457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5">
        <v>5.31</v>
      </c>
      <c r="I1659" s="457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5">
        <v>5.31</v>
      </c>
      <c r="I1660" s="457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5">
        <v>5.31</v>
      </c>
      <c r="I1661" s="457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5">
        <v>5.33</v>
      </c>
      <c r="I1662" s="457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5">
        <v>5.33</v>
      </c>
      <c r="I1663" s="457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5">
        <v>5.33</v>
      </c>
      <c r="I1664" s="457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5">
        <v>5.32</v>
      </c>
      <c r="I1665" s="457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5">
        <v>5.31</v>
      </c>
      <c r="I1666" s="457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5">
        <v>5.31</v>
      </c>
      <c r="I1667" s="457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5">
        <v>5.31</v>
      </c>
      <c r="I1668" s="457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5">
        <v>5.31</v>
      </c>
      <c r="I1669" s="457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5">
        <v>5.33</v>
      </c>
      <c r="I1670" s="457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5">
        <v>5.34</v>
      </c>
      <c r="I1671" s="457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5">
        <v>5.34</v>
      </c>
      <c r="I1672" s="457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5">
        <v>5.33</v>
      </c>
      <c r="I1673" s="457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5">
        <v>5.33</v>
      </c>
      <c r="I1674" s="457">
        <f t="shared" si="148"/>
        <v>0</v>
      </c>
      <c r="J1674" s="433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6">
        <v>5.33</v>
      </c>
      <c r="I1675" s="458">
        <f t="shared" si="148"/>
        <v>0</v>
      </c>
      <c r="J1675" s="424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5">
        <v>5.4</v>
      </c>
      <c r="I1676" s="457">
        <f t="shared" si="148"/>
        <v>7.0000000000000284E-2</v>
      </c>
      <c r="J1676" s="438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5">
        <v>5.35</v>
      </c>
      <c r="I1677" s="457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5">
        <v>5.33</v>
      </c>
      <c r="I1678" s="457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5">
        <v>5.33</v>
      </c>
      <c r="I1679" s="457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5">
        <v>5.32</v>
      </c>
      <c r="I1680" s="457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5">
        <v>5.32</v>
      </c>
      <c r="I1681" s="457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5">
        <v>5.32</v>
      </c>
      <c r="I1682" s="457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5">
        <v>5.32</v>
      </c>
      <c r="I1683" s="457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5">
        <v>5.34</v>
      </c>
      <c r="I1684" s="457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5">
        <v>5.34</v>
      </c>
      <c r="I1685" s="457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5">
        <v>5.34</v>
      </c>
      <c r="I1686" s="457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5">
        <v>5.34</v>
      </c>
      <c r="I1687" s="457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5">
        <v>5.34</v>
      </c>
      <c r="I1688" s="457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5">
        <v>5.34</v>
      </c>
      <c r="I1689" s="457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5">
        <v>5.34</v>
      </c>
      <c r="I1690" s="457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5">
        <v>5.35</v>
      </c>
      <c r="I1691" s="457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5">
        <v>5.35</v>
      </c>
      <c r="I1692" s="457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5">
        <v>5.34</v>
      </c>
      <c r="I1693" s="457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5">
        <v>5.34</v>
      </c>
      <c r="I1694" s="457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5">
        <v>5.34</v>
      </c>
      <c r="I1695" s="457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5">
        <v>5.34</v>
      </c>
      <c r="I1696" s="457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5">
        <v>5.33</v>
      </c>
      <c r="I1697" s="457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5">
        <v>5.34</v>
      </c>
      <c r="I1698" s="457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5">
        <v>5.34</v>
      </c>
      <c r="I1699" s="457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5">
        <v>5.35</v>
      </c>
      <c r="I1700" s="457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5">
        <v>5.35</v>
      </c>
      <c r="I1701" s="457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5">
        <v>5.35</v>
      </c>
      <c r="I1702" s="457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5">
        <v>5.35</v>
      </c>
      <c r="I1703" s="457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5">
        <v>5.33</v>
      </c>
      <c r="I1704" s="457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5">
        <v>5.33</v>
      </c>
      <c r="I1705" s="457">
        <f t="shared" si="148"/>
        <v>0</v>
      </c>
      <c r="J1705" s="433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6">
        <v>5.38</v>
      </c>
      <c r="I1706" s="458">
        <f t="shared" si="148"/>
        <v>4.9999999999999822E-2</v>
      </c>
      <c r="J1706" s="424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5">
        <v>5.35</v>
      </c>
      <c r="I1707" s="457">
        <f t="shared" si="148"/>
        <v>1.9999999999999574E-2</v>
      </c>
      <c r="J1707" s="436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5">
        <v>5.35</v>
      </c>
      <c r="I1708" s="457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5">
        <v>5.35</v>
      </c>
      <c r="I1709" s="457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5">
        <v>5.35</v>
      </c>
      <c r="I1710" s="457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5">
        <v>5.32</v>
      </c>
      <c r="I1711" s="457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5">
        <v>5.33</v>
      </c>
      <c r="I1712" s="457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5">
        <v>5.33</v>
      </c>
      <c r="I1713" s="457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5">
        <v>5.34</v>
      </c>
      <c r="I1714" s="457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5">
        <v>5.34</v>
      </c>
      <c r="I1715" s="457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5">
        <v>5.34</v>
      </c>
      <c r="I1716" s="457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5">
        <v>5.34</v>
      </c>
      <c r="I1717" s="457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5">
        <v>5.34</v>
      </c>
      <c r="I1718" s="457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5">
        <v>5.34</v>
      </c>
      <c r="I1719" s="457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5">
        <v>5.33</v>
      </c>
      <c r="I1720" s="457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5">
        <v>5.35</v>
      </c>
      <c r="I1721" s="457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5">
        <v>5.32</v>
      </c>
      <c r="I1722" s="457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5">
        <v>5.32</v>
      </c>
      <c r="I1723" s="457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5">
        <v>5.32</v>
      </c>
      <c r="I1724" s="457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5">
        <v>5.32</v>
      </c>
      <c r="I1725" s="457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5">
        <v>5.32</v>
      </c>
      <c r="I1726" s="457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5">
        <v>5.31</v>
      </c>
      <c r="I1727" s="457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5">
        <v>5.31</v>
      </c>
      <c r="I1728" s="457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5">
        <v>5.33</v>
      </c>
      <c r="I1729" s="457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5">
        <v>5.33</v>
      </c>
      <c r="I1730" s="457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5">
        <v>5.33</v>
      </c>
      <c r="I1731" s="457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5">
        <v>5.34</v>
      </c>
      <c r="I1732" s="457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5">
        <v>5.35</v>
      </c>
      <c r="I1733" s="457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5">
        <v>5.35</v>
      </c>
      <c r="I1734" s="457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5">
        <v>5.33</v>
      </c>
      <c r="I1735" s="457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5">
        <v>5.32</v>
      </c>
      <c r="I1736" s="457">
        <f t="shared" si="155"/>
        <v>-9.9999999999997868E-3</v>
      </c>
      <c r="J1736" s="433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6">
        <v>5.32</v>
      </c>
      <c r="I1737" s="458">
        <f t="shared" si="155"/>
        <v>-9.9999999999997868E-3</v>
      </c>
      <c r="J1737" s="424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5">
        <v>5.32</v>
      </c>
      <c r="I1738" s="457">
        <f t="shared" si="155"/>
        <v>-9.9999999999997868E-3</v>
      </c>
      <c r="J1738" s="438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5">
        <v>5.32</v>
      </c>
      <c r="I1739" s="457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5">
        <v>5.34</v>
      </c>
      <c r="I1740" s="457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5">
        <v>5.35</v>
      </c>
      <c r="I1741" s="457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5">
        <v>5.35</v>
      </c>
      <c r="I1742" s="457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5">
        <v>5.34</v>
      </c>
      <c r="I1743" s="457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5">
        <v>5.34</v>
      </c>
      <c r="I1744" s="457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5">
        <v>5.34</v>
      </c>
      <c r="I1745" s="457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5">
        <v>5.34</v>
      </c>
      <c r="I1746" s="457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5">
        <v>5.33</v>
      </c>
      <c r="I1747" s="457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5">
        <v>5.32</v>
      </c>
      <c r="I1748" s="457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5">
        <v>5.33</v>
      </c>
      <c r="I1749" s="457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5">
        <v>5.33</v>
      </c>
      <c r="I1750" s="457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5">
        <v>5.33</v>
      </c>
      <c r="I1751" s="457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5">
        <v>5.33</v>
      </c>
      <c r="I1752" s="457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5">
        <v>5.38</v>
      </c>
      <c r="I1753" s="457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5">
        <v>5.38</v>
      </c>
      <c r="I1754" s="457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5">
        <v>5.33</v>
      </c>
      <c r="I1755" s="457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5">
        <v>4.82</v>
      </c>
      <c r="I1756" s="457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5">
        <v>4.83</v>
      </c>
      <c r="I1757" s="457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5">
        <v>4.83</v>
      </c>
      <c r="I1758" s="457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5">
        <v>4.83</v>
      </c>
      <c r="I1759" s="457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5">
        <v>4.83</v>
      </c>
      <c r="I1760" s="457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5">
        <v>4.84</v>
      </c>
      <c r="I1761" s="457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5">
        <v>4.84</v>
      </c>
      <c r="I1762" s="457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5">
        <v>4.83</v>
      </c>
      <c r="I1763" s="457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5">
        <v>4.84</v>
      </c>
      <c r="I1764" s="457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5">
        <v>4.84</v>
      </c>
      <c r="I1765" s="457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5">
        <v>4.84</v>
      </c>
      <c r="I1766" s="457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6">
        <v>4.96</v>
      </c>
      <c r="I1767" s="458">
        <f t="shared" si="155"/>
        <v>0.12999999999999989</v>
      </c>
      <c r="J1767" s="424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5">
        <v>5.05</v>
      </c>
      <c r="I1768" s="457">
        <f t="shared" si="155"/>
        <v>0.21999999999999975</v>
      </c>
      <c r="J1768" s="436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5">
        <v>4.92</v>
      </c>
      <c r="I1769" s="457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5">
        <v>4.8499999999999996</v>
      </c>
      <c r="I1770" s="457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5">
        <v>4.83</v>
      </c>
      <c r="I1771" s="457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5">
        <v>4.83</v>
      </c>
      <c r="I1772" s="457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5">
        <v>4.83</v>
      </c>
      <c r="I1773" s="457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5">
        <v>4.83</v>
      </c>
      <c r="I1774" s="457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5">
        <v>4.84</v>
      </c>
      <c r="I1775" s="457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5">
        <v>4.83</v>
      </c>
      <c r="I1776" s="457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5">
        <v>4.82</v>
      </c>
      <c r="I1777" s="457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5">
        <v>4.8099999999999996</v>
      </c>
      <c r="I1778" s="457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5">
        <v>4.8099999999999996</v>
      </c>
      <c r="I1779" s="457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5">
        <v>4.8099999999999996</v>
      </c>
      <c r="I1780" s="457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5">
        <v>4.8099999999999996</v>
      </c>
      <c r="I1781" s="457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5">
        <v>4.8600000000000003</v>
      </c>
      <c r="I1782" s="457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5">
        <v>4.8600000000000003</v>
      </c>
      <c r="I1783" s="457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5">
        <v>4.8499999999999996</v>
      </c>
      <c r="I1784" s="457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5">
        <v>4.84</v>
      </c>
      <c r="I1785" s="457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5">
        <v>4.84</v>
      </c>
      <c r="I1786" s="457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5">
        <v>4.84</v>
      </c>
      <c r="I1787" s="457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5">
        <v>4.82</v>
      </c>
      <c r="I1788" s="457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5">
        <v>4.83</v>
      </c>
      <c r="I1789" s="457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5">
        <v>4.83</v>
      </c>
      <c r="I1790" s="457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5">
        <v>4.83</v>
      </c>
      <c r="I1791" s="457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5">
        <v>4.83</v>
      </c>
      <c r="I1792" s="457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5">
        <v>4.83</v>
      </c>
      <c r="I1793" s="457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5">
        <v>4.83</v>
      </c>
      <c r="I1794" s="457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5">
        <v>4.82</v>
      </c>
      <c r="I1795" s="457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5">
        <v>4.82</v>
      </c>
      <c r="I1796" s="457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5">
        <v>4.8099999999999996</v>
      </c>
      <c r="I1797" s="457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6">
        <v>4.9000000000000004</v>
      </c>
      <c r="I1798" s="458">
        <f t="shared" si="162"/>
        <v>7.0000000000000284E-2</v>
      </c>
      <c r="J1798" s="424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5">
        <v>4.8600000000000003</v>
      </c>
      <c r="I1799" s="457">
        <f t="shared" si="162"/>
        <v>3.0000000000000249E-2</v>
      </c>
      <c r="J1799" s="438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5">
        <v>4.8600000000000003</v>
      </c>
      <c r="I1800" s="457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5">
        <v>4.8600000000000003</v>
      </c>
      <c r="I1801" s="457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5">
        <v>4.82</v>
      </c>
      <c r="I1802" s="457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5">
        <v>4.82</v>
      </c>
      <c r="I1803" s="457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5">
        <v>4.8099999999999996</v>
      </c>
      <c r="I1804" s="457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5">
        <v>4.82</v>
      </c>
      <c r="I1805" s="457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5">
        <v>4.5999999999999996</v>
      </c>
      <c r="I1806" s="457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5">
        <v>4.5999999999999996</v>
      </c>
      <c r="I1807" s="457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5">
        <v>4.5999999999999996</v>
      </c>
      <c r="I1808" s="457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5">
        <v>4.5999999999999996</v>
      </c>
      <c r="I1809" s="457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5">
        <v>4.5999999999999996</v>
      </c>
      <c r="I1810" s="457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5">
        <v>4.59</v>
      </c>
      <c r="I1811" s="457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5">
        <v>4.58</v>
      </c>
      <c r="I1812" s="457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5">
        <v>4.57</v>
      </c>
      <c r="I1813" s="457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5">
        <v>4.57</v>
      </c>
      <c r="I1814" s="457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5">
        <v>4.57</v>
      </c>
      <c r="I1815" s="457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5">
        <v>4.57</v>
      </c>
      <c r="I1816" s="457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5">
        <v>4.57</v>
      </c>
      <c r="I1817" s="457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5">
        <v>4.5599999999999996</v>
      </c>
      <c r="I1818" s="457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5">
        <v>4.57</v>
      </c>
      <c r="I1819" s="457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5">
        <v>4.57</v>
      </c>
      <c r="I1820" s="457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5">
        <v>4.57</v>
      </c>
      <c r="I1821" s="457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5">
        <v>4.57</v>
      </c>
      <c r="I1822" s="457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5">
        <v>4.58</v>
      </c>
      <c r="I1823" s="457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5">
        <v>4.58</v>
      </c>
      <c r="I1824" s="457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5">
        <v>4.57</v>
      </c>
      <c r="I1825" s="457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5">
        <v>4.57</v>
      </c>
      <c r="I1826" s="457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5">
        <v>4.59</v>
      </c>
      <c r="I1827" s="457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6">
        <v>4.59</v>
      </c>
      <c r="I1828" s="458">
        <f t="shared" si="162"/>
        <v>9.9999999999997868E-3</v>
      </c>
      <c r="J1828" s="424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5">
        <v>4.59</v>
      </c>
      <c r="I1829" s="457">
        <f t="shared" si="162"/>
        <v>9.9999999999997868E-3</v>
      </c>
      <c r="J1829" s="436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5">
        <v>4.6399999999999997</v>
      </c>
      <c r="I1830" s="457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5">
        <v>4.6399999999999997</v>
      </c>
      <c r="I1831" s="457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5">
        <v>4.59</v>
      </c>
      <c r="I1832" s="457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5">
        <v>4.59</v>
      </c>
      <c r="I1833" s="457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5">
        <v>4.5999999999999996</v>
      </c>
      <c r="I1834" s="457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5">
        <v>4.5999999999999996</v>
      </c>
      <c r="I1835" s="457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5">
        <v>4.5999999999999996</v>
      </c>
      <c r="I1836" s="457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5">
        <v>4.63</v>
      </c>
      <c r="I1837" s="457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5">
        <v>4.6399999999999997</v>
      </c>
      <c r="I1838" s="457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5">
        <v>4.62</v>
      </c>
      <c r="I1839" s="457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5">
        <v>4.62</v>
      </c>
      <c r="I1840" s="457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5">
        <v>4.5999999999999996</v>
      </c>
      <c r="I1841" s="457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5">
        <v>4.5999999999999996</v>
      </c>
      <c r="I1842" s="457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5">
        <v>4.5999999999999996</v>
      </c>
      <c r="I1843" s="457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5">
        <v>4.6500000000000004</v>
      </c>
      <c r="I1844" s="457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5">
        <v>4.62</v>
      </c>
      <c r="I1845" s="457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5">
        <v>4.57</v>
      </c>
      <c r="I1846" s="457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5">
        <v>4.3</v>
      </c>
      <c r="I1847" s="457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5">
        <v>4.3</v>
      </c>
      <c r="I1848" s="457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5">
        <v>4.3</v>
      </c>
      <c r="I1849" s="457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5">
        <v>4.3</v>
      </c>
      <c r="I1850" s="457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5">
        <v>4.3099999999999996</v>
      </c>
      <c r="I1851" s="457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5">
        <v>4.4000000000000004</v>
      </c>
      <c r="I1852" s="457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5">
        <v>4.4000000000000004</v>
      </c>
      <c r="I1853" s="457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5">
        <v>4.53</v>
      </c>
      <c r="I1854" s="457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5">
        <v>4.46</v>
      </c>
      <c r="I1855" s="457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5">
        <v>4.46</v>
      </c>
      <c r="I1856" s="457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5">
        <v>4.46</v>
      </c>
      <c r="I1857" s="457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5">
        <v>4.37</v>
      </c>
      <c r="I1858" s="457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6">
        <v>4.49</v>
      </c>
      <c r="I1859" s="458">
        <f t="shared" ref="I1859:I1922" si="169">H1859-G1859</f>
        <v>0.16000000000000014</v>
      </c>
      <c r="J1859" s="424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5">
        <v>4.49</v>
      </c>
      <c r="I1860" s="457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5">
        <v>4.4000000000000004</v>
      </c>
      <c r="I1861" s="457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5">
        <v>4.3099999999999996</v>
      </c>
      <c r="I1862" s="457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5">
        <v>4.3099999999999996</v>
      </c>
      <c r="I1863" s="457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5">
        <v>4.3099999999999996</v>
      </c>
      <c r="I1864" s="457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5">
        <v>4.2699999999999996</v>
      </c>
      <c r="I1865" s="457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5">
        <v>4.2699999999999996</v>
      </c>
      <c r="I1866" s="457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5">
        <v>4.29</v>
      </c>
      <c r="I1867" s="457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5">
        <v>4.3</v>
      </c>
      <c r="I1868" s="457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5">
        <v>4.3</v>
      </c>
      <c r="I1869" s="457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5">
        <v>4.3</v>
      </c>
      <c r="I1870" s="457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5">
        <v>4.3</v>
      </c>
      <c r="I1871" s="457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5">
        <v>4.29</v>
      </c>
      <c r="I1872" s="457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5">
        <v>4.28</v>
      </c>
      <c r="I1873" s="457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5">
        <v>4.28</v>
      </c>
      <c r="I1874" s="457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5">
        <v>4.29</v>
      </c>
      <c r="I1875" s="457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5">
        <v>4.29</v>
      </c>
      <c r="I1876" s="457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5">
        <v>4.29</v>
      </c>
      <c r="I1877" s="457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5">
        <v>4.29</v>
      </c>
      <c r="I1878" s="457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5">
        <v>4.29</v>
      </c>
      <c r="I1879" s="457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5">
        <v>4.29</v>
      </c>
      <c r="I1880" s="457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5">
        <v>4.3</v>
      </c>
      <c r="I1881" s="457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5">
        <v>4.3499999999999996</v>
      </c>
      <c r="I1882" s="457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5">
        <v>4.34</v>
      </c>
      <c r="I1883" s="457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5">
        <v>4.34</v>
      </c>
      <c r="I1884" s="457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5">
        <v>4.34</v>
      </c>
      <c r="I1885" s="457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5">
        <v>4.34</v>
      </c>
      <c r="I1886" s="457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5">
        <v>4.3499999999999996</v>
      </c>
      <c r="I1887" s="457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5">
        <v>4.3499999999999996</v>
      </c>
      <c r="I1888" s="457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5">
        <v>4.3600000000000003</v>
      </c>
      <c r="I1889" s="457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6">
        <v>4.38</v>
      </c>
      <c r="I1890" s="458">
        <f t="shared" si="169"/>
        <v>4.9999999999999822E-2</v>
      </c>
      <c r="J1890" s="424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5">
        <v>4.38</v>
      </c>
      <c r="I1891" s="457">
        <f t="shared" si="169"/>
        <v>4.9999999999999822E-2</v>
      </c>
      <c r="J1891" s="438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5">
        <v>4.38</v>
      </c>
      <c r="I1892" s="457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5">
        <v>4.3499999999999996</v>
      </c>
      <c r="I1893" s="457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5">
        <v>4.33</v>
      </c>
      <c r="I1894" s="457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5">
        <v>4.33</v>
      </c>
      <c r="I1895" s="457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5">
        <v>4.3600000000000003</v>
      </c>
      <c r="I1896" s="457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5">
        <v>4.3499999999999996</v>
      </c>
      <c r="I1897" s="457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5">
        <v>4.3499999999999996</v>
      </c>
      <c r="I1898" s="457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5">
        <v>4.3499999999999996</v>
      </c>
      <c r="I1899" s="457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5">
        <v>4.3499999999999996</v>
      </c>
      <c r="I1900" s="457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5">
        <v>4.34</v>
      </c>
      <c r="I1901" s="457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5">
        <v>4.32</v>
      </c>
      <c r="I1902" s="457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5">
        <v>4.33</v>
      </c>
      <c r="I1903" s="457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5">
        <v>4.33</v>
      </c>
      <c r="I1904" s="457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5">
        <v>4.33</v>
      </c>
      <c r="I1905" s="457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5">
        <v>4.33</v>
      </c>
      <c r="I1906" s="457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5">
        <v>4.33</v>
      </c>
      <c r="I1907" s="457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5">
        <v>4.37</v>
      </c>
      <c r="I1908" s="457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5">
        <v>4.3499999999999996</v>
      </c>
      <c r="I1909" s="457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5">
        <v>4.33</v>
      </c>
      <c r="I1910" s="457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5">
        <v>4.34</v>
      </c>
      <c r="I1911" s="457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5">
        <v>4.34</v>
      </c>
      <c r="I1912" s="457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5">
        <v>4.34</v>
      </c>
      <c r="I1913" s="457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5">
        <v>4.34</v>
      </c>
      <c r="I1914" s="457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5">
        <v>4.33</v>
      </c>
      <c r="I1915" s="457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5">
        <v>4.33</v>
      </c>
      <c r="I1916" s="457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5">
        <v>4.3600000000000003</v>
      </c>
      <c r="I1917" s="457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6">
        <v>4.3899999999999997</v>
      </c>
      <c r="I1918" s="457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5">
        <v>4.3899999999999997</v>
      </c>
      <c r="I1919" s="457">
        <f t="shared" si="169"/>
        <v>5.9999999999999609E-2</v>
      </c>
      <c r="J1919" s="438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5">
        <v>4.3899999999999997</v>
      </c>
      <c r="I1920" s="457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5">
        <v>4.33</v>
      </c>
      <c r="I1921" s="457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5">
        <v>4.33</v>
      </c>
      <c r="I1922" s="457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5">
        <v>4.34</v>
      </c>
      <c r="I1923" s="457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5">
        <v>4.3499999999999996</v>
      </c>
      <c r="I1924" s="457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5">
        <v>4.34</v>
      </c>
      <c r="I1925" s="457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5">
        <v>4.34</v>
      </c>
      <c r="I1926" s="457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5">
        <v>4.34</v>
      </c>
      <c r="I1927" s="457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5">
        <v>4.33</v>
      </c>
      <c r="I1928" s="457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5">
        <v>4.32</v>
      </c>
      <c r="I1929" s="457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5">
        <v>4.3099999999999996</v>
      </c>
      <c r="I1930" s="457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5">
        <v>4.3</v>
      </c>
      <c r="I1931" s="457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5">
        <v>4.3</v>
      </c>
      <c r="I1932" s="457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5">
        <v>4.3</v>
      </c>
      <c r="I1933" s="457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5">
        <v>4.3</v>
      </c>
      <c r="I1934" s="457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5">
        <v>4.32</v>
      </c>
      <c r="I1935" s="457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5">
        <v>4.3099999999999996</v>
      </c>
      <c r="I1936" s="457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5">
        <v>4.29</v>
      </c>
      <c r="I1937" s="457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5">
        <v>4.29</v>
      </c>
      <c r="I1938" s="457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5">
        <v>4.3</v>
      </c>
      <c r="I1939" s="457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5">
        <v>4.3</v>
      </c>
      <c r="I1940" s="457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5">
        <v>4.3</v>
      </c>
      <c r="I1941" s="457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5">
        <v>4.3099999999999996</v>
      </c>
      <c r="I1942" s="457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5">
        <v>4.33</v>
      </c>
      <c r="I1943" s="457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5">
        <v>4.3499999999999996</v>
      </c>
      <c r="I1944" s="457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5">
        <v>4.3600000000000003</v>
      </c>
      <c r="I1945" s="457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5">
        <v>4.34</v>
      </c>
      <c r="I1946" s="457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5">
        <v>4.34</v>
      </c>
      <c r="I1947" s="457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5">
        <v>4.34</v>
      </c>
      <c r="I1948" s="457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6">
        <v>4.41</v>
      </c>
      <c r="I1949" s="458">
        <f t="shared" si="177"/>
        <v>8.0000000000000071E-2</v>
      </c>
      <c r="J1949" s="424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5">
        <v>4.3899999999999997</v>
      </c>
      <c r="I1950" s="457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5">
        <v>4.37</v>
      </c>
      <c r="I1951" s="457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5">
        <v>4.3899999999999997</v>
      </c>
      <c r="I1952" s="457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5">
        <v>4.3499999999999996</v>
      </c>
      <c r="I1953" s="457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5">
        <v>4.3499999999999996</v>
      </c>
      <c r="I1954" s="457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5">
        <v>4.3499999999999996</v>
      </c>
      <c r="I1955" s="457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5">
        <v>4.33</v>
      </c>
      <c r="I1956" s="457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5">
        <v>4.4000000000000004</v>
      </c>
      <c r="I1957" s="457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5">
        <v>4.42</v>
      </c>
      <c r="I1958" s="457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5">
        <v>4.37</v>
      </c>
      <c r="I1959" s="457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5">
        <v>4.33</v>
      </c>
      <c r="I1960" s="457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5">
        <v>4.33</v>
      </c>
      <c r="I1961" s="457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5">
        <v>4.33</v>
      </c>
      <c r="I1962" s="457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5">
        <v>4.33</v>
      </c>
      <c r="I1963" s="457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5">
        <v>4.3600000000000003</v>
      </c>
      <c r="I1964" s="457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5">
        <v>4.3099999999999996</v>
      </c>
      <c r="I1965" s="457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5">
        <v>4.32</v>
      </c>
      <c r="I1966" s="457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5">
        <v>4.32</v>
      </c>
      <c r="I1967" s="457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5">
        <v>4.32</v>
      </c>
      <c r="I1968" s="457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5">
        <v>4.32</v>
      </c>
      <c r="I1969" s="457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5">
        <v>4.32</v>
      </c>
      <c r="I1970" s="457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5">
        <v>4.3</v>
      </c>
      <c r="I1971" s="457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5">
        <v>4.28</v>
      </c>
      <c r="I1972" s="457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5">
        <v>4.29</v>
      </c>
      <c r="I1973" s="457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5">
        <v>4.33</v>
      </c>
      <c r="I1974" s="457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5">
        <v>4.33</v>
      </c>
      <c r="I1975" s="457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5">
        <v>4.33</v>
      </c>
      <c r="I1976" s="457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5">
        <v>4.3600000000000003</v>
      </c>
      <c r="I1977" s="457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5">
        <v>4.3600000000000003</v>
      </c>
      <c r="I1978" s="457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6">
        <v>4.41</v>
      </c>
      <c r="I1979" s="458">
        <f t="shared" si="177"/>
        <v>8.0000000000000071E-2</v>
      </c>
      <c r="J1979" s="441" t="s">
        <v>202</v>
      </c>
      <c r="K1979" s="389" t="e">
        <f ca="1">100-K1972/K1963</f>
        <v>#DIV/0!</v>
      </c>
      <c r="L1979" s="390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5">
        <v>4.3899999999999997</v>
      </c>
      <c r="I1980" s="457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5">
        <v>4.3600000000000003</v>
      </c>
      <c r="I1981" s="457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5">
        <v>4.3600000000000003</v>
      </c>
      <c r="I1982" s="457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5">
        <v>4.3600000000000003</v>
      </c>
      <c r="I1983" s="457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5">
        <v>4.33</v>
      </c>
      <c r="I1984" s="457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5">
        <v>4.32</v>
      </c>
      <c r="I1985" s="457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5">
        <v>4.3</v>
      </c>
      <c r="I1986" s="457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5">
        <v>4.29</v>
      </c>
      <c r="I1987" s="457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5">
        <v>4.28</v>
      </c>
      <c r="I1988" s="457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5">
        <v>4.28</v>
      </c>
      <c r="I1989" s="457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5">
        <v>4.28</v>
      </c>
      <c r="I1990" s="457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5">
        <v>4.28</v>
      </c>
      <c r="I1991" s="457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5">
        <v>4.3</v>
      </c>
      <c r="I1992" s="457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5">
        <v>4.29</v>
      </c>
      <c r="I1993" s="457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5">
        <v>4.3099999999999996</v>
      </c>
      <c r="I1994" s="457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5">
        <v>4.3</v>
      </c>
      <c r="I1995" s="457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5">
        <v>4.3</v>
      </c>
      <c r="I1996" s="457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5">
        <v>4.3</v>
      </c>
      <c r="I1997" s="457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5">
        <v>4.29</v>
      </c>
      <c r="I1998" s="457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5">
        <v>4.2699999999999996</v>
      </c>
      <c r="I1999" s="457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5">
        <v>4.26</v>
      </c>
      <c r="I2000" s="457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5">
        <v>4.26</v>
      </c>
      <c r="I2001" s="457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5">
        <v>4.26</v>
      </c>
      <c r="I2002" s="457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5">
        <v>4.26</v>
      </c>
      <c r="I2003" s="457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5">
        <v>4.26</v>
      </c>
      <c r="I2004" s="457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5">
        <v>4.26</v>
      </c>
      <c r="I2005" s="457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5">
        <v>4.3099999999999996</v>
      </c>
      <c r="I2006" s="457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5">
        <v>4.33</v>
      </c>
      <c r="I2007" s="457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3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5">
        <v>4.33</v>
      </c>
      <c r="I2008" s="457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3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5">
        <v>4.3499999999999996</v>
      </c>
      <c r="I2009" s="457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4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6">
        <v>4.3499999999999996</v>
      </c>
      <c r="I2010" s="458">
        <f t="shared" si="184"/>
        <v>1.9999999999999574E-2</v>
      </c>
      <c r="J2010" s="424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3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5">
        <v>4.3499999999999996</v>
      </c>
      <c r="I2011" s="457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3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5">
        <v>4.3499999999999996</v>
      </c>
      <c r="I2012" s="457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3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5">
        <v>4.32</v>
      </c>
      <c r="I2013" s="457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3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5">
        <v>4.28</v>
      </c>
      <c r="I2014" s="457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3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5">
        <v>4.29</v>
      </c>
      <c r="I2015" s="457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3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5">
        <v>4.29</v>
      </c>
      <c r="I2016" s="457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3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5">
        <v>4.29</v>
      </c>
      <c r="I2017" s="457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3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5">
        <v>4.29</v>
      </c>
      <c r="I2018" s="457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5">
        <v>4.29</v>
      </c>
      <c r="I2019" s="457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5">
        <v>4.28</v>
      </c>
      <c r="I2020" s="457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5">
        <v>4.28</v>
      </c>
      <c r="I2021" s="457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5">
        <v>4.28</v>
      </c>
      <c r="I2022" s="457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5">
        <v>4.28</v>
      </c>
      <c r="I2023" s="457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5">
        <v>4.28</v>
      </c>
      <c r="I2024" s="457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5">
        <v>4.28</v>
      </c>
      <c r="I2025" s="457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5">
        <v>4.32</v>
      </c>
      <c r="I2026" s="457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5">
        <v>4.3099999999999996</v>
      </c>
      <c r="I2027" s="457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5">
        <v>4.28</v>
      </c>
      <c r="I2028" s="457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5">
        <v>4.28</v>
      </c>
      <c r="I2029" s="457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5">
        <v>4.29</v>
      </c>
      <c r="I2030" s="457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5">
        <v>4.29</v>
      </c>
      <c r="I2031" s="457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5">
        <v>4.29</v>
      </c>
      <c r="I2032" s="457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5">
        <v>4.29</v>
      </c>
      <c r="I2033" s="457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5">
        <v>4.3</v>
      </c>
      <c r="I2034" s="457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5">
        <v>4.3600000000000003</v>
      </c>
      <c r="I2035" s="457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5">
        <v>4.4000000000000004</v>
      </c>
      <c r="I2036" s="457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5">
        <v>4.3899999999999997</v>
      </c>
      <c r="I2037" s="457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5">
        <v>4.3899999999999997</v>
      </c>
      <c r="I2038" s="457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5">
        <v>4.3899999999999997</v>
      </c>
      <c r="I2039" s="457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6">
        <v>4.45</v>
      </c>
      <c r="I2040" s="458">
        <f t="shared" si="184"/>
        <v>0.12000000000000011</v>
      </c>
      <c r="J2040" s="424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5">
        <v>4.4400000000000004</v>
      </c>
      <c r="I2041" s="457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5">
        <v>4.4000000000000004</v>
      </c>
      <c r="I2042" s="457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5">
        <v>4.3499999999999996</v>
      </c>
      <c r="I2043" s="457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5">
        <v>4.3499999999999996</v>
      </c>
      <c r="I2044" s="457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5">
        <v>4.3499999999999996</v>
      </c>
      <c r="I2045" s="457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5">
        <v>4.3499999999999996</v>
      </c>
      <c r="I2046" s="457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5">
        <v>4.33</v>
      </c>
      <c r="I2047" s="457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5">
        <v>4.34</v>
      </c>
      <c r="I2048" s="457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5">
        <v>4.32</v>
      </c>
      <c r="I2049" s="457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5">
        <v>4.3099999999999996</v>
      </c>
      <c r="I2050" s="457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5">
        <v>4.3099999999999996</v>
      </c>
      <c r="I2051" s="457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5">
        <v>4.3099999999999996</v>
      </c>
      <c r="I2052" s="457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5">
        <v>4.3099999999999996</v>
      </c>
      <c r="I2053" s="457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5">
        <v>4.33</v>
      </c>
      <c r="I2054" s="457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5">
        <v>4.37</v>
      </c>
      <c r="I2055" s="457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5">
        <v>4.34</v>
      </c>
      <c r="I2056" s="457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5">
        <v>4.34</v>
      </c>
      <c r="I2057" s="457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5">
        <v>4.3</v>
      </c>
      <c r="I2058" s="457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5">
        <v>4.3</v>
      </c>
      <c r="I2059" s="457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5">
        <v>4.3</v>
      </c>
      <c r="I2060" s="457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5">
        <v>4.28</v>
      </c>
      <c r="I2061" s="457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5">
        <v>4.28</v>
      </c>
      <c r="I2062" s="457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5">
        <v>4.28</v>
      </c>
      <c r="I2063" s="457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5">
        <v>4.3</v>
      </c>
      <c r="I2064" s="457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5">
        <v>4.3600000000000003</v>
      </c>
      <c r="I2065" s="457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5">
        <v>4.3600000000000003</v>
      </c>
      <c r="I2066" s="457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5">
        <v>4.3600000000000003</v>
      </c>
      <c r="I2067" s="457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5">
        <v>4.3600000000000003</v>
      </c>
      <c r="I2068" s="457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5">
        <v>4.3600000000000003</v>
      </c>
      <c r="I2069" s="457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5">
        <v>4.32</v>
      </c>
      <c r="I2070" s="457">
        <f t="shared" si="192"/>
        <v>-9.9999999999997868E-3</v>
      </c>
      <c r="K2070" s="189">
        <f>100-AVERAGE(G2041:G2071)</f>
        <v>95.67</v>
      </c>
      <c r="L2070" s="415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6">
        <v>4.3899999999999997</v>
      </c>
      <c r="I2071" s="458">
        <f t="shared" si="192"/>
        <v>5.9999999999999609E-2</v>
      </c>
      <c r="J2071" s="424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5">
        <v>4.34</v>
      </c>
      <c r="I2072" s="457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5">
        <v>4.34</v>
      </c>
      <c r="I2073" s="457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5">
        <v>4.34</v>
      </c>
      <c r="I2074" s="457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5">
        <v>4.33</v>
      </c>
      <c r="I2075" s="457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5">
        <v>4.34</v>
      </c>
      <c r="I2076" s="457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5">
        <v>4.34</v>
      </c>
      <c r="I2077" s="457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5">
        <v>4.3499999999999996</v>
      </c>
      <c r="I2078" s="457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5">
        <v>4.3499999999999996</v>
      </c>
      <c r="I2079" s="457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5">
        <v>4.3499999999999996</v>
      </c>
      <c r="I2080" s="457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5">
        <v>4.3499999999999996</v>
      </c>
      <c r="I2081" s="457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5">
        <v>4.34</v>
      </c>
      <c r="I2082" s="457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5">
        <v>4.3600000000000003</v>
      </c>
      <c r="I2083" s="457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5">
        <v>4.33</v>
      </c>
      <c r="I2084" s="457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5">
        <v>4.34</v>
      </c>
      <c r="I2085" s="457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5">
        <v>4.3600000000000003</v>
      </c>
      <c r="I2086" s="457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5">
        <v>4.3600000000000003</v>
      </c>
      <c r="I2087" s="457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5">
        <v>4.3600000000000003</v>
      </c>
      <c r="I2088" s="457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5">
        <v>4.34</v>
      </c>
      <c r="I2089" s="457">
        <f t="shared" si="192"/>
        <v>9.9999999999997868E-3</v>
      </c>
      <c r="J2089" s="15" t="s">
        <v>237</v>
      </c>
      <c r="K2089" s="400">
        <f ca="1">SUM(INDIRECT(K2078))</f>
        <v>0</v>
      </c>
      <c r="L2089" s="401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5">
        <v>4.33</v>
      </c>
      <c r="I2090" s="457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5">
        <v>4.3099999999999996</v>
      </c>
      <c r="I2091" s="457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5">
        <v>4.32</v>
      </c>
      <c r="I2092" s="457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5">
        <v>4.3600000000000003</v>
      </c>
      <c r="I2093" s="457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5">
        <v>4.3600000000000003</v>
      </c>
      <c r="I2094" s="457">
        <f t="shared" si="192"/>
        <v>3.0000000000000249E-2</v>
      </c>
      <c r="J2094" s="15" t="s">
        <v>243</v>
      </c>
      <c r="K2094" s="402">
        <f ca="1">COUNTA(INDIRECT(K2078))</f>
        <v>0</v>
      </c>
      <c r="L2094" s="403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5">
        <v>4.3600000000000003</v>
      </c>
      <c r="I2095" s="457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5">
        <v>4.37</v>
      </c>
      <c r="I2096" s="457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5">
        <v>4.38</v>
      </c>
      <c r="I2097" s="457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5">
        <v>4.3600000000000003</v>
      </c>
      <c r="I2098" s="457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5">
        <v>4.34</v>
      </c>
      <c r="I2099" s="457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5">
        <v>4.34</v>
      </c>
      <c r="I2100" s="457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5">
        <v>4.34</v>
      </c>
      <c r="I2101" s="457">
        <f t="shared" si="192"/>
        <v>9.9999999999997868E-3</v>
      </c>
      <c r="K2101" s="189">
        <f>100-AVERAGE(G2072:G2102)</f>
        <v>95.67</v>
      </c>
      <c r="L2101" s="415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6">
        <v>4.34</v>
      </c>
      <c r="I2102" s="458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5">
        <v>4.34</v>
      </c>
      <c r="I2103" s="457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5">
        <v>4.3899999999999997</v>
      </c>
      <c r="I2104" s="457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5">
        <v>4.3899999999999997</v>
      </c>
      <c r="I2105" s="457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5">
        <v>4.41</v>
      </c>
      <c r="I2106" s="457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5">
        <v>4.42</v>
      </c>
      <c r="I2107" s="457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5">
        <v>4.42</v>
      </c>
      <c r="I2108" s="457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5">
        <v>4.42</v>
      </c>
      <c r="I2109" s="457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5">
        <v>4.4000000000000004</v>
      </c>
      <c r="I2110" s="457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5">
        <v>4.4000000000000004</v>
      </c>
      <c r="I2111" s="457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5">
        <v>4.3899999999999997</v>
      </c>
      <c r="I2112" s="457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5">
        <v>4.41</v>
      </c>
      <c r="I2113" s="457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5">
        <v>4.42</v>
      </c>
      <c r="I2114" s="457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5">
        <v>4.42</v>
      </c>
      <c r="I2115" s="457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5">
        <v>4.42</v>
      </c>
      <c r="I2116" s="457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5">
        <v>4.51</v>
      </c>
      <c r="I2117" s="457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5">
        <v>4.3899999999999997</v>
      </c>
      <c r="I2118" s="457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5">
        <v>4.38</v>
      </c>
      <c r="I2119" s="457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5">
        <v>4.1399999999999997</v>
      </c>
      <c r="I2120" s="457">
        <f t="shared" si="198"/>
        <v>5.9999999999999609E-2</v>
      </c>
      <c r="J2120" s="15" t="s">
        <v>237</v>
      </c>
      <c r="K2120" s="400">
        <f ca="1">SUM(INDIRECT(K2109))</f>
        <v>0</v>
      </c>
      <c r="L2120" s="401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5">
        <v>4.1399999999999997</v>
      </c>
      <c r="I2121" s="457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5">
        <v>4.1399999999999997</v>
      </c>
      <c r="I2122" s="457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5">
        <v>4.1399999999999997</v>
      </c>
      <c r="I2123" s="457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5">
        <v>4.1399999999999997</v>
      </c>
      <c r="I2124" s="457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5">
        <v>4.12</v>
      </c>
      <c r="I2125" s="457">
        <f t="shared" si="198"/>
        <v>3.0000000000000249E-2</v>
      </c>
      <c r="J2125" s="15" t="s">
        <v>243</v>
      </c>
      <c r="K2125" s="402">
        <f ca="1">COUNTA(INDIRECT(K2109))</f>
        <v>0</v>
      </c>
      <c r="L2125" s="403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5">
        <v>4.13</v>
      </c>
      <c r="I2126" s="457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5">
        <v>4.18</v>
      </c>
      <c r="I2127" s="457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5">
        <v>4.16</v>
      </c>
      <c r="I2128" s="457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5">
        <v>4.16</v>
      </c>
      <c r="I2129" s="457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5">
        <v>4.16</v>
      </c>
      <c r="I2130" s="457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5">
        <v>4.13</v>
      </c>
      <c r="I2131" s="457">
        <f t="shared" si="198"/>
        <v>4.0000000000000036E-2</v>
      </c>
      <c r="K2131" s="189">
        <f>100-AVERAGE(G2103:G2132)</f>
        <v>95.775333333333336</v>
      </c>
      <c r="L2131" s="415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6">
        <v>4.24</v>
      </c>
      <c r="I2132" s="458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4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5">
        <v>4.2</v>
      </c>
      <c r="I2133" s="457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5">
        <v>4.2</v>
      </c>
      <c r="I2134" s="457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5">
        <v>4.18</v>
      </c>
      <c r="I2135" s="457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5">
        <v>4.18</v>
      </c>
      <c r="I2136" s="457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5">
        <v>4.18</v>
      </c>
      <c r="I2137" s="457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5">
        <v>4.1500000000000004</v>
      </c>
      <c r="I2138" s="457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5">
        <v>4.1399999999999997</v>
      </c>
      <c r="I2139" s="457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5">
        <v>4.12</v>
      </c>
      <c r="I2140" s="457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5">
        <v>4.13</v>
      </c>
      <c r="I2141" s="457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5">
        <v>4.1500000000000004</v>
      </c>
      <c r="I2142" s="457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5">
        <v>4.1500000000000004</v>
      </c>
      <c r="I2143" s="457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5">
        <v>4.1500000000000004</v>
      </c>
      <c r="I2144" s="457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5">
        <v>4.1500000000000004</v>
      </c>
      <c r="I2145" s="457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5">
        <v>4.1900000000000004</v>
      </c>
      <c r="I2146" s="457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5">
        <v>4.29</v>
      </c>
      <c r="I2147" s="457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5">
        <v>4.3</v>
      </c>
      <c r="I2148" s="457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5">
        <v>4.18</v>
      </c>
      <c r="I2149" s="457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5">
        <v>4.18</v>
      </c>
      <c r="I2150" s="457">
        <f t="shared" si="198"/>
        <v>6.9999999999999396E-2</v>
      </c>
      <c r="J2150" s="15" t="s">
        <v>237</v>
      </c>
      <c r="K2150" s="400">
        <f ca="1">SUM(INDIRECT(K2140))</f>
        <v>0</v>
      </c>
      <c r="L2150" s="401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5">
        <v>4.18</v>
      </c>
      <c r="I2151" s="457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5">
        <v>4.16</v>
      </c>
      <c r="I2152" s="457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5">
        <v>4.2300000000000004</v>
      </c>
      <c r="I2153" s="457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5">
        <v>4.21</v>
      </c>
      <c r="I2154" s="457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5">
        <v>4.24</v>
      </c>
      <c r="I2155" s="457">
        <f t="shared" si="198"/>
        <v>0.12999999999999989</v>
      </c>
      <c r="J2155" s="15" t="s">
        <v>243</v>
      </c>
      <c r="K2155" s="402">
        <f ca="1">COUNTA(INDIRECT(K2140))</f>
        <v>0</v>
      </c>
      <c r="L2155" s="403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5">
        <v>4.24</v>
      </c>
      <c r="I2156" s="457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5">
        <v>4.24</v>
      </c>
      <c r="I2157" s="457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5">
        <v>4.24</v>
      </c>
      <c r="I2158" s="457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5">
        <v>4.2699999999999996</v>
      </c>
      <c r="I2159" s="457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5">
        <v>4.3099999999999996</v>
      </c>
      <c r="I2160" s="457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5">
        <v>4.2699999999999996</v>
      </c>
      <c r="I2161" s="457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5">
        <v>4.04</v>
      </c>
      <c r="I2162" s="457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5"/>
      <c r="B2163" s="406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6">
        <v>4.22</v>
      </c>
      <c r="I2163" s="458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5">
        <v>4.22</v>
      </c>
      <c r="I2164" s="457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5">
        <v>4.22</v>
      </c>
      <c r="I2165" s="457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5">
        <v>4.13</v>
      </c>
      <c r="I2166" s="457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5">
        <v>4</v>
      </c>
      <c r="I2167" s="457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5">
        <v>3.91</v>
      </c>
      <c r="I2168" s="457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5">
        <v>3.92</v>
      </c>
      <c r="I2169" s="457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5">
        <v>3.93</v>
      </c>
      <c r="I2170" s="457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5">
        <v>3.93</v>
      </c>
      <c r="I2171" s="457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5">
        <v>3.93</v>
      </c>
      <c r="I2172" s="457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5">
        <v>3.95</v>
      </c>
      <c r="I2173" s="457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5">
        <v>3.95</v>
      </c>
      <c r="I2174" s="457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5">
        <v>3.98</v>
      </c>
      <c r="I2175" s="457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5">
        <v>4</v>
      </c>
      <c r="I2176" s="457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5">
        <v>3.95</v>
      </c>
      <c r="I2177" s="457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5">
        <v>3.95</v>
      </c>
      <c r="I2178" s="457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5">
        <v>3.95</v>
      </c>
      <c r="I2179" s="457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5">
        <v>4</v>
      </c>
      <c r="I2180" s="457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5">
        <v>3.94</v>
      </c>
      <c r="I2181" s="457">
        <f t="shared" si="203"/>
        <v>6.0000000000000053E-2</v>
      </c>
      <c r="J2181" s="15" t="s">
        <v>237</v>
      </c>
      <c r="K2181" s="400">
        <f ca="1">SUM(INDIRECT(K2170))</f>
        <v>0</v>
      </c>
      <c r="L2181" s="401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5">
        <v>3.91</v>
      </c>
      <c r="I2182" s="457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5">
        <v>3.91</v>
      </c>
      <c r="I2183" s="457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5">
        <v>3.93</v>
      </c>
      <c r="I2184" s="457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5">
        <v>3.93</v>
      </c>
      <c r="I2185" s="457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5">
        <v>3.93</v>
      </c>
      <c r="I2186" s="457">
        <f t="shared" si="203"/>
        <v>5.0000000000000266E-2</v>
      </c>
      <c r="J2186" s="15" t="s">
        <v>243</v>
      </c>
      <c r="K2186" s="402">
        <f ca="1">COUNTA(INDIRECT(K2170))</f>
        <v>0</v>
      </c>
      <c r="L2186" s="403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5">
        <v>3.96</v>
      </c>
      <c r="I2187" s="457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5">
        <v>4.01</v>
      </c>
      <c r="I2188" s="457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5">
        <v>4.05</v>
      </c>
      <c r="I2189" s="457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5">
        <v>4.05</v>
      </c>
      <c r="I2190" s="457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5">
        <v>4.12</v>
      </c>
      <c r="I2191" s="457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5">
        <v>4.12</v>
      </c>
      <c r="I2192" s="457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6">
        <v>4.12</v>
      </c>
      <c r="I2193" s="458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5">
        <v>4.12</v>
      </c>
      <c r="I2194" s="457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5">
        <v>4.01</v>
      </c>
      <c r="I2195" s="457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5">
        <v>3.95</v>
      </c>
      <c r="I2196" s="457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5">
        <v>3.92</v>
      </c>
      <c r="I2197" s="457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5">
        <v>3.93</v>
      </c>
      <c r="I2198" s="457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5">
        <v>3.93</v>
      </c>
      <c r="I2199" s="457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5">
        <v>3.93</v>
      </c>
      <c r="I2200" s="457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5">
        <v>3.95</v>
      </c>
      <c r="I2201" s="457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5">
        <v>3.93</v>
      </c>
      <c r="I2202" s="457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5">
        <v>3.9</v>
      </c>
      <c r="I2203" s="457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5">
        <v>3.66</v>
      </c>
      <c r="I2204" s="457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5">
        <v>3.67</v>
      </c>
      <c r="I2205" s="457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5">
        <v>3.67</v>
      </c>
      <c r="I2206" s="457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5">
        <v>3.67</v>
      </c>
      <c r="I2207" s="457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5">
        <v>3.75</v>
      </c>
      <c r="I2208" s="457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5">
        <v>3.69</v>
      </c>
      <c r="I2209" s="457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5">
        <v>3.69</v>
      </c>
      <c r="I2210" s="457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5">
        <v>3.66</v>
      </c>
      <c r="I2211" s="457">
        <f t="shared" si="203"/>
        <v>2.0000000000000018E-2</v>
      </c>
      <c r="J2211" s="15" t="s">
        <v>237</v>
      </c>
      <c r="K2211" s="400">
        <f ca="1">SUM(INDIRECT(K2200))</f>
        <v>0</v>
      </c>
      <c r="L2211" s="401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5">
        <v>3.66</v>
      </c>
      <c r="I2212" s="457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5">
        <v>3.66</v>
      </c>
      <c r="I2213" s="457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5">
        <v>3.66</v>
      </c>
      <c r="I2214" s="457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5">
        <v>3.68</v>
      </c>
      <c r="I2215" s="457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5">
        <v>3.66</v>
      </c>
      <c r="I2216" s="457">
        <f t="shared" si="203"/>
        <v>2.0000000000000018E-2</v>
      </c>
      <c r="J2216" s="15" t="s">
        <v>243</v>
      </c>
      <c r="K2216" s="402">
        <f ca="1">COUNTA(INDIRECT(K2200))</f>
        <v>0</v>
      </c>
      <c r="L2216" s="403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5">
        <v>3.66</v>
      </c>
      <c r="I2217" s="457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5">
        <v>3.66</v>
      </c>
      <c r="I2218" s="457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5">
        <v>3.76</v>
      </c>
      <c r="I2219" s="457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5">
        <v>3.76</v>
      </c>
      <c r="I2220" s="457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5">
        <v>3.76</v>
      </c>
      <c r="I2221" s="457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5">
        <v>3.77</v>
      </c>
      <c r="I2222" s="457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5">
        <v>3.71</v>
      </c>
      <c r="I2223" s="457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7"/>
      <c r="B2224" s="408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6">
        <v>3.87</v>
      </c>
      <c r="I2224" s="458">
        <f t="shared" si="203"/>
        <v>0.22999999999999998</v>
      </c>
      <c r="J2224" s="348"/>
      <c r="K2224" s="421">
        <f>100-AVERAGE(G2194:G2224)</f>
        <v>96.279354838709679</v>
      </c>
      <c r="L2224" s="422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5">
        <v>3.87</v>
      </c>
      <c r="I2225" s="457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5">
        <v>3.75</v>
      </c>
      <c r="I2226" s="457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5">
        <v>3.75</v>
      </c>
      <c r="I2227" s="457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5">
        <v>3.75</v>
      </c>
      <c r="I2228" s="457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5">
        <v>3.7</v>
      </c>
      <c r="I2229" s="457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5">
        <v>3.66</v>
      </c>
      <c r="I2230" s="457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5">
        <v>3.65</v>
      </c>
      <c r="I2231" s="457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5">
        <v>3.64</v>
      </c>
      <c r="I2232" s="457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5">
        <v>3.64</v>
      </c>
      <c r="I2233" s="457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5">
        <v>3.64</v>
      </c>
      <c r="I2234" s="457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5">
        <v>3.64</v>
      </c>
      <c r="I2235" s="457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5">
        <v>3.64</v>
      </c>
      <c r="I2236" s="457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5">
        <v>3.65</v>
      </c>
      <c r="I2237" s="457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5">
        <v>3.64</v>
      </c>
      <c r="I2238" s="457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5">
        <v>3.66</v>
      </c>
      <c r="I2239" s="457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5">
        <v>3.66</v>
      </c>
      <c r="I2240" s="457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5">
        <v>3.66</v>
      </c>
      <c r="I2241" s="457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5">
        <v>3.66</v>
      </c>
      <c r="I2242" s="457">
        <f t="shared" si="203"/>
        <v>2.0000000000000018E-2</v>
      </c>
      <c r="J2242" s="15" t="s">
        <v>237</v>
      </c>
      <c r="K2242" s="400">
        <f ca="1">SUM(INDIRECT(K2232))</f>
        <v>0</v>
      </c>
      <c r="L2242" s="401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5">
        <v>3.66</v>
      </c>
      <c r="I2243" s="457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5">
        <v>3.64</v>
      </c>
      <c r="I2244" s="457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5">
        <v>3.63</v>
      </c>
      <c r="I2245" s="457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64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5">
        <v>3.64</v>
      </c>
      <c r="I2246" s="457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64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5">
        <v>3.65</v>
      </c>
      <c r="I2247" s="457">
        <f t="shared" si="208"/>
        <v>9.9999999999997868E-3</v>
      </c>
      <c r="J2247" s="15" t="s">
        <v>243</v>
      </c>
      <c r="K2247" s="402">
        <f ca="1">COUNTA(INDIRECT(K2232))</f>
        <v>0</v>
      </c>
      <c r="L2247" s="403">
        <f ca="1">COUNTA(INDIRECT(L2232))</f>
        <v>0</v>
      </c>
      <c r="M2247" s="113">
        <f t="shared" si="210"/>
        <v>3</v>
      </c>
      <c r="N2247" s="64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5">
        <v>3.65</v>
      </c>
      <c r="I2248" s="457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64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5">
        <v>3.65</v>
      </c>
      <c r="I2249" s="457">
        <f t="shared" si="208"/>
        <v>9.9999999999997868E-3</v>
      </c>
      <c r="K2249" s="178"/>
      <c r="L2249" s="192"/>
      <c r="M2249" s="113">
        <f t="shared" si="210"/>
        <v>0</v>
      </c>
      <c r="N2249" s="64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5">
        <v>3.66</v>
      </c>
      <c r="I2250" s="457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64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5">
        <v>3.66</v>
      </c>
      <c r="I2251" s="457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64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5">
        <v>3.64</v>
      </c>
      <c r="I2252" s="457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64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5">
        <v>3.65</v>
      </c>
      <c r="I2253" s="457">
        <f t="shared" si="208"/>
        <v>9.9999999999997868E-3</v>
      </c>
      <c r="M2253" s="113">
        <f t="shared" si="210"/>
        <v>1</v>
      </c>
      <c r="N2253" s="64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5">
        <v>3.68</v>
      </c>
      <c r="I2254" s="457">
        <f t="shared" si="208"/>
        <v>4.0000000000000036E-2</v>
      </c>
      <c r="M2254" s="113">
        <f t="shared" si="210"/>
        <v>3</v>
      </c>
      <c r="N2254" s="64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5">
        <v>3.68</v>
      </c>
      <c r="I2255" s="457">
        <f t="shared" si="208"/>
        <v>4.0000000000000036E-2</v>
      </c>
      <c r="M2255" s="113">
        <f t="shared" si="210"/>
        <v>0</v>
      </c>
      <c r="N2255" s="64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30">
        <v>3.68</v>
      </c>
      <c r="I2256" s="461">
        <f t="shared" si="208"/>
        <v>4.0000000000000036E-2</v>
      </c>
      <c r="J2256" s="438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294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5">
        <v>3.69</v>
      </c>
      <c r="I2257" s="457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64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5">
        <v>3.69</v>
      </c>
      <c r="I2258" s="457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64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5">
        <v>3.65</v>
      </c>
      <c r="I2259" s="457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64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5">
        <v>3.65</v>
      </c>
      <c r="I2260" s="457">
        <f t="shared" si="208"/>
        <v>9.9999999999997868E-3</v>
      </c>
      <c r="K2260" s="311"/>
      <c r="L2260" s="15"/>
      <c r="M2260" s="113">
        <f t="shared" si="210"/>
        <v>1</v>
      </c>
      <c r="N2260" s="64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5">
        <v>3.64</v>
      </c>
      <c r="I2261" s="457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64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5">
        <v>3.64</v>
      </c>
      <c r="I2262" s="457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64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5">
        <v>3.64</v>
      </c>
      <c r="I2263" s="457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64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5">
        <v>3.63</v>
      </c>
      <c r="I2264" s="457">
        <f t="shared" si="208"/>
        <v>-1.0000000000000231E-2</v>
      </c>
      <c r="M2264" s="113">
        <f t="shared" si="210"/>
        <v>1</v>
      </c>
      <c r="N2264" s="64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5">
        <v>3.65</v>
      </c>
      <c r="I2265" s="457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64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5">
        <v>3.65</v>
      </c>
      <c r="I2266" s="457">
        <f t="shared" si="208"/>
        <v>9.9999999999997868E-3</v>
      </c>
      <c r="K2266" s="178"/>
      <c r="L2266" s="192"/>
      <c r="M2266" s="113">
        <f t="shared" si="210"/>
        <v>1</v>
      </c>
      <c r="N2266" s="64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5">
        <v>3.65</v>
      </c>
      <c r="I2267" s="457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64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5">
        <v>3.66</v>
      </c>
      <c r="I2268" s="457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64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5">
        <v>3.66</v>
      </c>
      <c r="I2269" s="457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64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5">
        <v>3.66</v>
      </c>
      <c r="I2270" s="457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64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5">
        <v>3.66</v>
      </c>
      <c r="I2271" s="457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64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5">
        <v>3.71</v>
      </c>
      <c r="I2272" s="457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64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5">
        <v>3.73</v>
      </c>
      <c r="I2273" s="457">
        <f t="shared" si="208"/>
        <v>8.9999999999999858E-2</v>
      </c>
      <c r="J2273" s="15" t="s">
        <v>237</v>
      </c>
      <c r="K2273" s="400">
        <f ca="1">SUM(INDIRECT(K2262))</f>
        <v>0</v>
      </c>
      <c r="L2273" s="401">
        <f ca="1">SUM(INDIRECT(L2262))</f>
        <v>0</v>
      </c>
      <c r="M2273" s="113">
        <f t="shared" si="212"/>
        <v>1</v>
      </c>
      <c r="N2273" s="64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5">
        <v>3.67</v>
      </c>
      <c r="I2274" s="457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64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5">
        <v>3.66</v>
      </c>
      <c r="I2275" s="457">
        <f t="shared" si="208"/>
        <v>2.0000000000000018E-2</v>
      </c>
      <c r="M2275" s="113">
        <f t="shared" si="212"/>
        <v>3</v>
      </c>
      <c r="N2275" s="64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5">
        <v>3.66</v>
      </c>
      <c r="I2276" s="457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64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5">
        <v>3.66</v>
      </c>
      <c r="I2277" s="457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64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5">
        <v>3.66</v>
      </c>
      <c r="I2278" s="457">
        <f t="shared" si="208"/>
        <v>2.0000000000000018E-2</v>
      </c>
      <c r="J2278" s="15" t="s">
        <v>243</v>
      </c>
      <c r="K2278" s="402">
        <f ca="1">COUNTA(INDIRECT(K2262))</f>
        <v>0</v>
      </c>
      <c r="L2278" s="403">
        <f ca="1">COUNTA(INDIRECT(L2262))</f>
        <v>0</v>
      </c>
      <c r="M2278" s="113">
        <f t="shared" si="212"/>
        <v>1</v>
      </c>
      <c r="N2278" s="64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5">
        <v>3.67</v>
      </c>
      <c r="I2279" s="457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64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5">
        <v>3.67</v>
      </c>
      <c r="I2280" s="457">
        <f t="shared" si="208"/>
        <v>2.9999999999999805E-2</v>
      </c>
      <c r="K2280" s="178"/>
      <c r="L2280" s="192"/>
      <c r="M2280" s="113">
        <f t="shared" si="212"/>
        <v>1</v>
      </c>
      <c r="N2280" s="64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5">
        <v>3.67</v>
      </c>
      <c r="I2281" s="457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64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5">
        <v>3.68</v>
      </c>
      <c r="I2282" s="457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64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5">
        <v>3.68</v>
      </c>
      <c r="I2283" s="458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64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30">
        <v>3.68</v>
      </c>
      <c r="I2284" s="457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294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5">
        <v>3.71</v>
      </c>
      <c r="I2285" s="457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64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5">
        <v>3.7</v>
      </c>
      <c r="I2286" s="457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64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5">
        <v>3.67</v>
      </c>
      <c r="I2287" s="457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64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5">
        <v>3.66</v>
      </c>
      <c r="I2288" s="457">
        <f t="shared" si="208"/>
        <v>2.0000000000000018E-2</v>
      </c>
      <c r="K2288" s="176"/>
      <c r="M2288" s="113">
        <f t="shared" si="212"/>
        <v>1</v>
      </c>
      <c r="N2288" s="64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5">
        <v>3.65</v>
      </c>
      <c r="I2289" s="457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64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5">
        <v>3.65</v>
      </c>
      <c r="I2290" s="457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64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5">
        <v>3.65</v>
      </c>
      <c r="I2291" s="457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64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5">
        <v>3.65</v>
      </c>
      <c r="I2292" s="457">
        <f t="shared" si="208"/>
        <v>9.9999999999997868E-3</v>
      </c>
      <c r="M2292" s="113">
        <f t="shared" si="212"/>
        <v>1</v>
      </c>
      <c r="N2292" s="64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5">
        <v>3.64</v>
      </c>
      <c r="I2293" s="457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64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5">
        <v>3.64</v>
      </c>
      <c r="I2294" s="457">
        <f t="shared" si="208"/>
        <v>0</v>
      </c>
      <c r="M2294" s="113">
        <f t="shared" si="212"/>
        <v>1</v>
      </c>
      <c r="N2294" s="64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5">
        <v>3.65</v>
      </c>
      <c r="I2295" s="457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64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5">
        <v>3.65</v>
      </c>
      <c r="I2296" s="457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64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5">
        <v>3.65</v>
      </c>
      <c r="I2297" s="457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64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5">
        <v>3.65</v>
      </c>
      <c r="I2298" s="457">
        <f t="shared" si="208"/>
        <v>9.9999999999997868E-3</v>
      </c>
      <c r="M2298" s="113">
        <f t="shared" si="212"/>
        <v>0</v>
      </c>
      <c r="N2298" s="64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5">
        <v>3.7</v>
      </c>
      <c r="I2299" s="457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64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5">
        <v>3.65</v>
      </c>
      <c r="I2300" s="457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64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5">
        <v>3.62</v>
      </c>
      <c r="I2301" s="457">
        <f t="shared" si="208"/>
        <v>-2.0000000000000018E-2</v>
      </c>
      <c r="J2301" s="15" t="s">
        <v>237</v>
      </c>
      <c r="K2301" s="400">
        <f ca="1">SUM(INDIRECT(K2291))</f>
        <v>0</v>
      </c>
      <c r="L2301" s="401">
        <f ca="1">SUM(INDIRECT(L2291))</f>
        <v>0</v>
      </c>
      <c r="M2301" s="113">
        <f t="shared" si="212"/>
        <v>1</v>
      </c>
      <c r="N2301" s="64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5">
        <v>3.62</v>
      </c>
      <c r="I2302" s="457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64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5">
        <v>3.62</v>
      </c>
      <c r="I2303" s="457">
        <f t="shared" si="208"/>
        <v>-2.0000000000000018E-2</v>
      </c>
      <c r="K2303" s="178"/>
      <c r="L2303" s="192"/>
      <c r="M2303" s="113">
        <f t="shared" si="212"/>
        <v>3</v>
      </c>
      <c r="N2303" s="64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5">
        <v>3.62</v>
      </c>
      <c r="I2304" s="457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64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5">
        <v>3.62</v>
      </c>
      <c r="I2305" s="457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64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5">
        <v>3.62</v>
      </c>
      <c r="I2306" s="457">
        <f t="shared" si="208"/>
        <v>-2.0000000000000018E-2</v>
      </c>
      <c r="J2306" s="15" t="s">
        <v>243</v>
      </c>
      <c r="K2306" s="402">
        <f ca="1">COUNTA(INDIRECT(K2291))</f>
        <v>0</v>
      </c>
      <c r="L2306" s="403">
        <f ca="1">COUNTA(INDIRECT(L2291))</f>
        <v>0</v>
      </c>
      <c r="M2306" s="113">
        <f t="shared" si="212"/>
        <v>1</v>
      </c>
      <c r="N2306" s="64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5">
        <v>3.63</v>
      </c>
      <c r="I2307" s="457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64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5">
        <v>3.64</v>
      </c>
      <c r="I2308" s="457">
        <f t="shared" si="213"/>
        <v>0</v>
      </c>
      <c r="K2308" s="178"/>
      <c r="L2308" s="192"/>
      <c r="M2308" s="113">
        <f t="shared" si="212"/>
        <v>1</v>
      </c>
      <c r="N2308" s="64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5">
        <v>3.65</v>
      </c>
      <c r="I2309" s="457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64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5">
        <v>3.63</v>
      </c>
      <c r="I2310" s="457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64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5">
        <v>3.63</v>
      </c>
      <c r="I2311" s="457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64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5">
        <v>3.63</v>
      </c>
      <c r="I2312" s="457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64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5">
        <v>3.63</v>
      </c>
      <c r="I2313" s="457">
        <f t="shared" si="213"/>
        <v>-1.0000000000000231E-2</v>
      </c>
      <c r="K2313" s="189">
        <f ca="1">100-K2312</f>
        <v>96.36</v>
      </c>
      <c r="L2313" s="415">
        <f ca="1">100-L2312</f>
        <v>96.351935483870975</v>
      </c>
      <c r="M2313" s="113">
        <f t="shared" si="212"/>
        <v>1</v>
      </c>
      <c r="N2313" s="64">
        <f t="shared" si="211"/>
        <v>1.0001008333333334</v>
      </c>
    </row>
    <row r="2314" spans="1:14" ht="15.75" thickBot="1">
      <c r="A2314" s="405"/>
      <c r="B2314" s="406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6">
        <v>3.68</v>
      </c>
      <c r="I2314" s="458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292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5">
        <v>3.65</v>
      </c>
      <c r="I2315" s="457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64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5">
        <v>3.66</v>
      </c>
      <c r="I2316" s="457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64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5">
        <v>3.66</v>
      </c>
      <c r="I2317" s="457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64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5">
        <v>3.66</v>
      </c>
      <c r="I2318" s="457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64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5">
        <v>3.66</v>
      </c>
      <c r="I2319" s="457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64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5">
        <v>3.65</v>
      </c>
      <c r="I2320" s="457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64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5">
        <v>3.62</v>
      </c>
      <c r="I2321" s="457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64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5">
        <v>3.59</v>
      </c>
      <c r="I2322" s="457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64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5">
        <v>3.57</v>
      </c>
      <c r="I2323" s="457">
        <f t="shared" si="213"/>
        <v>-7.0000000000000284E-2</v>
      </c>
      <c r="M2323" s="113">
        <f t="shared" si="215"/>
        <v>1</v>
      </c>
      <c r="N2323" s="64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5">
        <v>3.61</v>
      </c>
      <c r="I2324" s="457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64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5">
        <v>3.61</v>
      </c>
      <c r="I2325" s="457">
        <f t="shared" si="213"/>
        <v>-3.0000000000000249E-2</v>
      </c>
      <c r="K2325" s="178"/>
      <c r="L2325" s="192"/>
      <c r="M2325" s="113">
        <f t="shared" si="215"/>
        <v>0</v>
      </c>
      <c r="N2325" s="64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5">
        <v>3.61</v>
      </c>
      <c r="I2326" s="457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64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5">
        <v>3.63</v>
      </c>
      <c r="I2327" s="457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64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5">
        <v>3.66</v>
      </c>
      <c r="I2328" s="457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64">
        <f t="shared" si="216"/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5">
        <v>3.72</v>
      </c>
      <c r="I2329" s="457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5">
        <v>3.67</v>
      </c>
      <c r="I2330" s="457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5">
        <v>3.65</v>
      </c>
      <c r="I2331" s="457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5">
        <v>3.65</v>
      </c>
      <c r="I2332" s="457">
        <f t="shared" si="213"/>
        <v>9.9999999999997868E-3</v>
      </c>
      <c r="J2332" s="15" t="s">
        <v>237</v>
      </c>
      <c r="K2332" s="400">
        <f ca="1">SUM(INDIRECT(K2322))</f>
        <v>0</v>
      </c>
      <c r="L2332" s="401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5">
        <v>3.65</v>
      </c>
      <c r="I2333" s="457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5">
        <v>3.63</v>
      </c>
      <c r="I2334" s="457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5">
        <v>3.63</v>
      </c>
      <c r="I2335" s="457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5">
        <v>3.64</v>
      </c>
      <c r="I2336" s="457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5">
        <v>3.65</v>
      </c>
      <c r="I2337" s="457">
        <f t="shared" si="213"/>
        <v>9.9999999999997868E-3</v>
      </c>
      <c r="J2337" s="15" t="s">
        <v>243</v>
      </c>
      <c r="K2337" s="402">
        <f ca="1">COUNTA(INDIRECT(K2322))</f>
        <v>0</v>
      </c>
      <c r="L2337" s="403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5">
        <v>3.66</v>
      </c>
      <c r="I2338" s="457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5">
        <v>3.66</v>
      </c>
      <c r="I2339" s="457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5">
        <v>3.66</v>
      </c>
      <c r="I2340" s="457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5">
        <v>3.66</v>
      </c>
      <c r="I2341" s="457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5">
        <v>3.64</v>
      </c>
      <c r="I2342" s="457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5">
        <v>3.63</v>
      </c>
      <c r="I2343" s="457">
        <f t="shared" si="213"/>
        <v>-1.0000000000000231E-2</v>
      </c>
      <c r="K2343" s="15" t="e">
        <f ca="1">+K2333/K2327</f>
        <v>#REF!</v>
      </c>
      <c r="L2343" s="415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5"/>
      <c r="B2344" s="406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6">
        <v>3.66</v>
      </c>
      <c r="I2344" s="458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5">
        <v>3.64</v>
      </c>
      <c r="I2345" s="457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5">
        <v>3.64</v>
      </c>
      <c r="I2346" s="457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5">
        <v>3.64</v>
      </c>
      <c r="I2347" s="457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5">
        <v>3.63</v>
      </c>
      <c r="I2348" s="457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5">
        <v>3.62</v>
      </c>
      <c r="I2349" s="457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5">
        <v>3.61</v>
      </c>
      <c r="I2350" s="457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5">
        <v>3.6</v>
      </c>
      <c r="I2351" s="457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5">
        <v>3.6</v>
      </c>
      <c r="I2352" s="457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5">
        <v>3.6</v>
      </c>
      <c r="I2353" s="457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5">
        <v>3.6</v>
      </c>
      <c r="I2354" s="457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5">
        <v>3.6</v>
      </c>
      <c r="I2355" s="457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5">
        <v>3.6</v>
      </c>
      <c r="I2356" s="457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5">
        <v>3.59</v>
      </c>
      <c r="I2357" s="457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5">
        <v>3.56</v>
      </c>
      <c r="I2358" s="457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5">
        <v>3.55</v>
      </c>
      <c r="I2359" s="457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5">
        <v>3.55</v>
      </c>
      <c r="I2360" s="457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5">
        <v>3.55</v>
      </c>
      <c r="I2361" s="457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5">
        <v>3.53</v>
      </c>
      <c r="I2362" s="457">
        <f t="shared" si="213"/>
        <v>-0.10000000000000009</v>
      </c>
      <c r="J2362" s="15" t="s">
        <v>237</v>
      </c>
      <c r="K2362" s="400">
        <f ca="1">SUM(INDIRECT(K2351))</f>
        <v>0</v>
      </c>
      <c r="L2362" s="401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5">
        <v>3.51</v>
      </c>
      <c r="I2363" s="457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5">
        <v>3.5</v>
      </c>
      <c r="I2364" s="457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5">
        <v>3.51</v>
      </c>
      <c r="I2365" s="457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5">
        <v>3.55</v>
      </c>
      <c r="I2366" s="457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5">
        <v>3.55</v>
      </c>
      <c r="I2367" s="457">
        <f t="shared" si="213"/>
        <v>-7.0000000000000284E-2</v>
      </c>
      <c r="J2367" s="15" t="s">
        <v>243</v>
      </c>
      <c r="K2367" s="402">
        <f ca="1">COUNTA(INDIRECT(K2351))</f>
        <v>0</v>
      </c>
      <c r="L2367" s="403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5">
        <v>3.55</v>
      </c>
      <c r="I2368" s="457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5">
        <v>3.55</v>
      </c>
      <c r="I2369" s="457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5">
        <v>3.63</v>
      </c>
      <c r="I2370" s="457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5">
        <v>3.63</v>
      </c>
      <c r="I2371" s="457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5">
        <v>3.62</v>
      </c>
      <c r="I2372" s="457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5">
        <v>3.63</v>
      </c>
      <c r="I2373" s="457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5">
        <v>3.63</v>
      </c>
      <c r="I2374" s="457">
        <f t="shared" si="218"/>
        <v>9.9999999999997868E-3</v>
      </c>
      <c r="K2374" s="189">
        <f ca="1">100-K2361/K2357</f>
        <v>96.372258064516132</v>
      </c>
      <c r="L2374" s="415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7"/>
      <c r="B2375" s="408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6">
        <v>3.63</v>
      </c>
      <c r="I2375" s="458">
        <f t="shared" si="218"/>
        <v>9.9999999999997868E-3</v>
      </c>
      <c r="J2375" s="348"/>
      <c r="K2375" s="434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5">
        <v>3.65</v>
      </c>
      <c r="I2376" s="457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5">
        <v>3.63</v>
      </c>
      <c r="I2377" s="457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5">
        <v>3.61</v>
      </c>
      <c r="I2378" s="457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5">
        <v>3.62</v>
      </c>
      <c r="I2379" s="457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5">
        <v>3.63</v>
      </c>
      <c r="I2380" s="457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5">
        <v>3.63</v>
      </c>
      <c r="I2381" s="457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5">
        <v>3.63</v>
      </c>
      <c r="I2382" s="457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5">
        <v>3.63</v>
      </c>
      <c r="I2383" s="457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5">
        <v>3.6</v>
      </c>
      <c r="I2384" s="457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5">
        <v>3.59</v>
      </c>
      <c r="I2385" s="457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5">
        <v>3.6</v>
      </c>
      <c r="I2386" s="457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5">
        <v>3.65</v>
      </c>
      <c r="I2387" s="457">
        <f t="shared" si="218"/>
        <v>2.9999999999999805E-2</v>
      </c>
      <c r="J2387" s="15" t="s">
        <v>197</v>
      </c>
      <c r="K2387" s="180">
        <f>OUTPUT!C3</f>
        <v>0</v>
      </c>
      <c r="L2387" s="180">
        <f>OUTPUT!F3</f>
        <v>0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5">
        <v>3.65</v>
      </c>
      <c r="I2388" s="457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5">
        <v>3.65</v>
      </c>
      <c r="I2389" s="457">
        <f t="shared" si="218"/>
        <v>2.9999999999999805E-2</v>
      </c>
      <c r="J2389" s="15" t="s">
        <v>234</v>
      </c>
      <c r="K2389" s="178">
        <f>K2387*K2377</f>
        <v>0</v>
      </c>
      <c r="L2389" s="178">
        <f>L2387*L2377</f>
        <v>0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5">
        <v>3.69</v>
      </c>
      <c r="I2390" s="457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5">
        <v>3.63</v>
      </c>
      <c r="I2391" s="457">
        <f t="shared" si="218"/>
        <v>0</v>
      </c>
      <c r="J2391" s="15" t="str">
        <f>J2389</f>
        <v>monthly target</v>
      </c>
      <c r="K2391" s="178">
        <f>K2389</f>
        <v>0</v>
      </c>
      <c r="L2391" s="192">
        <f>L2389</f>
        <v>0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5">
        <v>3.63</v>
      </c>
      <c r="I2392" s="457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5">
        <v>3.62</v>
      </c>
      <c r="I2393" s="457">
        <f t="shared" si="218"/>
        <v>-9.9999999999997868E-3</v>
      </c>
      <c r="J2393" s="15" t="s">
        <v>237</v>
      </c>
      <c r="K2393" s="400">
        <f ca="1">SUM(INDIRECT(K2383))</f>
        <v>0</v>
      </c>
      <c r="L2393" s="401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5">
        <v>3.62</v>
      </c>
      <c r="I2394" s="457">
        <f t="shared" si="218"/>
        <v>-9.9999999999997868E-3</v>
      </c>
      <c r="J2394" s="15" t="s">
        <v>238</v>
      </c>
      <c r="K2394" s="182">
        <f ca="1">K2389-K2392-K2393</f>
        <v>-108.75999999999995</v>
      </c>
      <c r="L2394" s="201">
        <f ca="1">L2389-L2392-L2393</f>
        <v>-108.85000000000005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5">
        <v>3.62</v>
      </c>
      <c r="I2395" s="457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5">
        <v>3.62</v>
      </c>
      <c r="I2396" s="457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5">
        <v>3.61</v>
      </c>
      <c r="I2397" s="457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5">
        <v>3.62</v>
      </c>
      <c r="I2398" s="457">
        <f t="shared" si="218"/>
        <v>-9.9999999999997868E-3</v>
      </c>
      <c r="J2398" s="15" t="s">
        <v>243</v>
      </c>
      <c r="K2398" s="402">
        <f ca="1">COUNTA(INDIRECT(K2383))</f>
        <v>0</v>
      </c>
      <c r="L2398" s="403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5">
        <v>3.62</v>
      </c>
      <c r="I2399" s="457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5">
        <v>3.64</v>
      </c>
      <c r="I2400" s="457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5">
        <v>3.62</v>
      </c>
      <c r="I2401" s="457">
        <f t="shared" si="218"/>
        <v>-9.9999999999997868E-3</v>
      </c>
      <c r="J2401" s="15" t="s">
        <v>238</v>
      </c>
      <c r="K2401" s="178">
        <f ca="1">K2394</f>
        <v>-108.75999999999995</v>
      </c>
      <c r="L2401" s="192">
        <f ca="1">L2394</f>
        <v>-108.85000000000005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5">
        <v>3.62</v>
      </c>
      <c r="I2402" s="457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5">
        <v>3.62</v>
      </c>
      <c r="I2403" s="457">
        <f t="shared" si="218"/>
        <v>-9.9999999999997868E-3</v>
      </c>
      <c r="J2403" s="15" t="s">
        <v>240</v>
      </c>
      <c r="K2403" s="178" t="e">
        <f ca="1">K2401/K2402</f>
        <v>#DIV/0!</v>
      </c>
      <c r="L2403" s="192" t="e">
        <f ca="1">L2401/L2402</f>
        <v>#DIV/0!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5">
        <v>3.62</v>
      </c>
      <c r="I2404" s="457">
        <f t="shared" si="218"/>
        <v>-9.9999999999997868E-3</v>
      </c>
      <c r="K2404" s="189">
        <f ca="1">100-K2405</f>
        <v>96.37466666666667</v>
      </c>
      <c r="L2404" s="415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5"/>
      <c r="B2405" s="406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6">
        <v>3.68</v>
      </c>
      <c r="I2405" s="458">
        <f t="shared" si="218"/>
        <v>5.0000000000000266E-2</v>
      </c>
      <c r="J2405" s="348"/>
      <c r="K2405" s="421">
        <f ca="1">+K2392/K2388</f>
        <v>3.6253333333333315</v>
      </c>
      <c r="L2405" s="422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5">
        <v>3.66</v>
      </c>
      <c r="I2406" s="457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5">
        <v>3.64</v>
      </c>
      <c r="I2407" s="457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5">
        <v>3.64</v>
      </c>
      <c r="I2408" s="457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5">
        <v>3.64</v>
      </c>
      <c r="I2409" s="457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5">
        <v>3.64</v>
      </c>
      <c r="I2410" s="457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5">
        <v>3.63</v>
      </c>
      <c r="I2411" s="457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5">
        <v>3.62</v>
      </c>
      <c r="I2412" s="457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5">
        <v>3.58</v>
      </c>
      <c r="I2413" s="457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5">
        <v>3.53</v>
      </c>
      <c r="I2414" s="457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5">
        <v>3.55</v>
      </c>
      <c r="I2415" s="457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5">
        <v>3.55</v>
      </c>
      <c r="I2416" s="457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5">
        <v>3.55</v>
      </c>
      <c r="I2417" s="457">
        <f t="shared" si="218"/>
        <v>-7.0000000000000284E-2</v>
      </c>
      <c r="J2417" s="15" t="s">
        <v>197</v>
      </c>
      <c r="K2417" s="180">
        <f>OUTPUT!C4</f>
        <v>0</v>
      </c>
      <c r="L2417" s="193">
        <f>OUTPUT!F4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5">
        <v>3.6</v>
      </c>
      <c r="I2418" s="457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5">
        <v>3.63</v>
      </c>
      <c r="I2419" s="457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5">
        <v>3.64</v>
      </c>
      <c r="I2420" s="457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5">
        <v>3.62</v>
      </c>
      <c r="I2421" s="457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5">
        <v>3.59</v>
      </c>
      <c r="I2422" s="457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5">
        <v>3.59</v>
      </c>
      <c r="I2423" s="457">
        <f t="shared" si="218"/>
        <v>-4.0000000000000036E-2</v>
      </c>
      <c r="J2423" s="15" t="s">
        <v>237</v>
      </c>
      <c r="K2423" s="400">
        <f ca="1">SUM(INDIRECT(K2413))</f>
        <v>0</v>
      </c>
      <c r="L2423" s="401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5">
        <v>3.59</v>
      </c>
      <c r="I2424" s="457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5">
        <v>3.57</v>
      </c>
      <c r="I2425" s="457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5">
        <v>3.61</v>
      </c>
      <c r="I2426" s="457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5">
        <v>3.62</v>
      </c>
      <c r="I2427" s="457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5">
        <v>3.64</v>
      </c>
      <c r="I2428" s="457">
        <f t="shared" si="218"/>
        <v>1.0000000000000231E-2</v>
      </c>
      <c r="J2428" s="15" t="s">
        <v>243</v>
      </c>
      <c r="K2428" s="402">
        <f ca="1">COUNTA(INDIRECT(K2413))</f>
        <v>0</v>
      </c>
      <c r="L2428" s="403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5">
        <v>3.64</v>
      </c>
      <c r="I2429" s="457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5">
        <v>3.64</v>
      </c>
      <c r="I2430" s="457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5">
        <v>3.64</v>
      </c>
      <c r="I2431" s="457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5">
        <v>3.64</v>
      </c>
      <c r="I2432" s="457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8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5">
        <v>3.65</v>
      </c>
      <c r="I2433" s="457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8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5">
        <v>3.65</v>
      </c>
      <c r="I2434" s="457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8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5">
        <v>3.65</v>
      </c>
      <c r="I2435" s="457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8" ht="15.75" thickBot="1">
      <c r="A2436" s="405"/>
      <c r="B2436" s="406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6">
        <v>3.66</v>
      </c>
      <c r="I2436" s="458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8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5">
        <v>3.66</v>
      </c>
      <c r="I2437" s="457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8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5">
        <v>3.66</v>
      </c>
      <c r="I2438" s="457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8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5">
        <v>3.65</v>
      </c>
      <c r="I2439" s="457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8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5">
        <v>3.66</v>
      </c>
      <c r="I2440" s="457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8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5">
        <v>3.64</v>
      </c>
      <c r="I2441" s="457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8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5">
        <v>3.65</v>
      </c>
      <c r="I2442" s="457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8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5">
        <v>3.62</v>
      </c>
      <c r="I2443" s="457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8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5">
        <v>3.62</v>
      </c>
      <c r="I2444" s="457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8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5">
        <v>3.62</v>
      </c>
      <c r="I2445" s="457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8" ht="15.75" thickBot="1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5">
        <v>3.63</v>
      </c>
      <c r="I2446" s="457">
        <f t="shared" si="223"/>
        <v>0</v>
      </c>
      <c r="J2446" s="15" t="s">
        <v>241</v>
      </c>
      <c r="K2446" s="186">
        <f>K2448</f>
        <v>3.6299999999999955</v>
      </c>
      <c r="L2446" s="194">
        <f>L2448</f>
        <v>3.6400000000000006</v>
      </c>
      <c r="M2446" s="113">
        <f t="shared" si="225"/>
        <v>1</v>
      </c>
      <c r="N2446" s="64">
        <f t="shared" si="220"/>
        <v>1.0001008333333334</v>
      </c>
    </row>
    <row r="2447" spans="1:18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5">
        <v>3.64</v>
      </c>
      <c r="I2447" s="457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  <c r="P2447" s="125" t="s">
        <v>161</v>
      </c>
      <c r="Q2447" s="463">
        <v>46260</v>
      </c>
      <c r="R2447" s="464">
        <v>3.63</v>
      </c>
    </row>
    <row r="2448" spans="1:18" ht="15.75" thickBot="1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5">
        <v>3.62</v>
      </c>
      <c r="I2448" s="457">
        <f t="shared" si="223"/>
        <v>-9.9999999999997868E-3</v>
      </c>
      <c r="J2448" s="15" t="s">
        <v>197</v>
      </c>
      <c r="K2448" s="180">
        <f>OUTPUT!C5</f>
        <v>3.6299999999999955</v>
      </c>
      <c r="L2448" s="180">
        <f>OUTPUT!F5</f>
        <v>3.6400000000000006</v>
      </c>
      <c r="M2448" s="113">
        <f t="shared" si="225"/>
        <v>1</v>
      </c>
      <c r="N2448" s="64">
        <f t="shared" si="220"/>
        <v>1.0001005555555555</v>
      </c>
      <c r="P2448" s="130" t="s">
        <v>162</v>
      </c>
      <c r="Q2448" s="465">
        <v>46260</v>
      </c>
      <c r="R2448" s="466">
        <v>3.64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5">
        <v>3.62</v>
      </c>
      <c r="I2449" s="457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5">
        <v>3.62</v>
      </c>
      <c r="I2450" s="457">
        <f t="shared" si="223"/>
        <v>-9.9999999999997868E-3</v>
      </c>
      <c r="J2450" s="15" t="s">
        <v>234</v>
      </c>
      <c r="K2450" s="178">
        <f>K2448*K2438</f>
        <v>112.52999999999986</v>
      </c>
      <c r="L2450" s="178">
        <f>L2448*L2438</f>
        <v>112.84000000000002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5">
        <v>3.62</v>
      </c>
      <c r="I2451" s="457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514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5">
        <v>3.62</v>
      </c>
      <c r="I2452" s="457">
        <f t="shared" si="223"/>
        <v>-9.9999999999997868E-3</v>
      </c>
      <c r="J2452" s="15" t="str">
        <f>J2450</f>
        <v>monthly target</v>
      </c>
      <c r="K2452" s="178">
        <f>K2450</f>
        <v>112.52999999999986</v>
      </c>
      <c r="L2452" s="192">
        <f>L2450</f>
        <v>112.84000000000002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5">
        <v>3.66</v>
      </c>
      <c r="I2453" s="457">
        <f t="shared" si="223"/>
        <v>3.0000000000000249E-2</v>
      </c>
      <c r="J2453" s="15" t="s">
        <v>155</v>
      </c>
      <c r="K2453" s="178">
        <f ca="1">SUM(INDIRECT(K2442))</f>
        <v>94.379999999999981</v>
      </c>
      <c r="L2453" s="192">
        <f ca="1">SUM(INDIRECT(L2442))</f>
        <v>94.610000000000014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5">
        <v>3.65</v>
      </c>
      <c r="I2454" s="457">
        <f t="shared" si="223"/>
        <v>2.0000000000000018E-2</v>
      </c>
      <c r="J2454" s="15" t="s">
        <v>237</v>
      </c>
      <c r="K2454" s="400">
        <f ca="1">SUM(INDIRECT(K2443))</f>
        <v>0</v>
      </c>
      <c r="L2454" s="401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5">
        <v>3.62</v>
      </c>
      <c r="I2455" s="457">
        <f t="shared" si="223"/>
        <v>-9.9999999999997868E-3</v>
      </c>
      <c r="J2455" s="15" t="s">
        <v>238</v>
      </c>
      <c r="K2455" s="182">
        <f ca="1">K2450-K2453-K2454</f>
        <v>18.149999999999878</v>
      </c>
      <c r="L2455" s="201">
        <f ca="1">L2450-L2453-L2454</f>
        <v>18.230000000000004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G2456" s="214">
        <v>3.63</v>
      </c>
      <c r="H2456" s="425">
        <v>3.63</v>
      </c>
      <c r="I2456" s="457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INFO'!$I$2:$J$8,2)</f>
        <v>FRI</v>
      </c>
      <c r="G2457" s="214">
        <v>3.63</v>
      </c>
      <c r="H2457" s="425">
        <v>3.65</v>
      </c>
      <c r="I2457" s="457">
        <f t="shared" si="223"/>
        <v>2.0000000000000018E-2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INFO'!$I$2:$J$8,2)</f>
        <v>SAT</v>
      </c>
      <c r="G2458" s="214">
        <v>3.63</v>
      </c>
      <c r="H2458" s="425">
        <v>3.65</v>
      </c>
      <c r="I2458" s="457">
        <f t="shared" si="223"/>
        <v>2.0000000000000018E-2</v>
      </c>
      <c r="J2458" s="15" t="s">
        <v>194</v>
      </c>
      <c r="K2458" s="15">
        <f ca="1">COUNTA(INDIRECT(K2442))</f>
        <v>26</v>
      </c>
      <c r="L2458" s="179">
        <f ca="1">COUNTA(INDIRECT(L2442))</f>
        <v>26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INFO'!$I$2:$J$8,2)</f>
        <v>SUN</v>
      </c>
      <c r="G2459" s="214">
        <v>3.63</v>
      </c>
      <c r="H2459" s="425">
        <v>3.65</v>
      </c>
      <c r="I2459" s="457">
        <f t="shared" si="223"/>
        <v>2.0000000000000018E-2</v>
      </c>
      <c r="J2459" s="15" t="s">
        <v>243</v>
      </c>
      <c r="K2459" s="402">
        <f ca="1">COUNTA(INDIRECT(K2443))</f>
        <v>0</v>
      </c>
      <c r="L2459" s="403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INFO'!$I$2:$J$8,2)</f>
        <v>MON</v>
      </c>
      <c r="G2460" s="214">
        <v>3.63</v>
      </c>
      <c r="H2460" s="425">
        <v>3.65</v>
      </c>
      <c r="I2460" s="457">
        <f t="shared" si="223"/>
        <v>2.0000000000000018E-2</v>
      </c>
      <c r="J2460" s="15" t="s">
        <v>239</v>
      </c>
      <c r="K2460" s="152">
        <f ca="1">K2457-K2458-K2459</f>
        <v>5</v>
      </c>
      <c r="L2460" s="202">
        <f ca="1">L2457-L2458-L2459</f>
        <v>5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INFO'!$I$2:$J$8,2)</f>
        <v>TUE</v>
      </c>
      <c r="G2461" s="214">
        <v>3.63</v>
      </c>
      <c r="H2461" s="425">
        <v>3.66</v>
      </c>
      <c r="I2461" s="457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INFO'!$I$2:$J$8,2)</f>
        <v>WED</v>
      </c>
      <c r="G2462" s="214">
        <v>3.63</v>
      </c>
      <c r="H2462" s="425">
        <v>3.64</v>
      </c>
      <c r="I2462" s="457">
        <f t="shared" si="223"/>
        <v>1.0000000000000231E-2</v>
      </c>
      <c r="J2462" s="15" t="s">
        <v>238</v>
      </c>
      <c r="K2462" s="178">
        <f ca="1">K2455</f>
        <v>18.149999999999878</v>
      </c>
      <c r="L2462" s="192">
        <f ca="1">L2455</f>
        <v>18.230000000000004</v>
      </c>
      <c r="M2462" s="113">
        <f t="shared" si="225"/>
        <v>1</v>
      </c>
      <c r="N2462" s="64">
        <f t="shared" si="226"/>
        <v>1.0001011111111111</v>
      </c>
    </row>
    <row r="2463" spans="1:14">
      <c r="A2463" s="84">
        <f t="shared" ref="A2463:A2467" ca="1" si="227">K$2464</f>
        <v>3.6299999999999755</v>
      </c>
      <c r="B2463" s="228">
        <f t="shared" ref="B2463:B2467" ca="1" si="228">L$2464</f>
        <v>3.6460000000000008</v>
      </c>
      <c r="C2463" s="103">
        <f t="shared" si="224"/>
        <v>46261</v>
      </c>
      <c r="E2463" s="170"/>
      <c r="F2463" s="58" t="str">
        <f>VLOOKUP(MOD(C2463,7),'CALENDAR INFO'!$I$2:$J$8,2)</f>
        <v>THU</v>
      </c>
      <c r="I2463" s="457">
        <f t="shared" si="223"/>
        <v>0</v>
      </c>
      <c r="J2463" s="15" t="s">
        <v>239</v>
      </c>
      <c r="K2463" s="221">
        <f ca="1">K2460</f>
        <v>5</v>
      </c>
      <c r="L2463" s="223">
        <f ca="1">L2460</f>
        <v>5</v>
      </c>
      <c r="M2463" s="113">
        <f t="shared" si="225"/>
        <v>1</v>
      </c>
      <c r="N2463" s="64">
        <f t="shared" ca="1" si="226"/>
        <v>1.0001012777777778</v>
      </c>
    </row>
    <row r="2464" spans="1:14">
      <c r="A2464" s="84">
        <f t="shared" ca="1" si="227"/>
        <v>3.6299999999999755</v>
      </c>
      <c r="B2464" s="228">
        <f t="shared" ca="1" si="228"/>
        <v>3.6460000000000008</v>
      </c>
      <c r="C2464" s="103">
        <f t="shared" si="224"/>
        <v>46262</v>
      </c>
      <c r="E2464" s="170"/>
      <c r="F2464" s="58" t="str">
        <f>VLOOKUP(MOD(C2464,7),'CALENDAR INFO'!$I$2:$J$8,2)</f>
        <v>FRI</v>
      </c>
      <c r="I2464" s="457">
        <f t="shared" si="223"/>
        <v>0</v>
      </c>
      <c r="J2464" s="15" t="s">
        <v>240</v>
      </c>
      <c r="K2464" s="178">
        <f ca="1">K2462/K2463</f>
        <v>3.6299999999999755</v>
      </c>
      <c r="L2464" s="192">
        <f ca="1">L2462/L2463</f>
        <v>3.6460000000000008</v>
      </c>
      <c r="M2464" s="113">
        <f t="shared" si="225"/>
        <v>3</v>
      </c>
      <c r="N2464" s="64">
        <f t="shared" ca="1" si="226"/>
        <v>1.0003038333333334</v>
      </c>
    </row>
    <row r="2465" spans="1:14">
      <c r="A2465" s="84">
        <f t="shared" ca="1" si="227"/>
        <v>3.6299999999999755</v>
      </c>
      <c r="B2465" s="228">
        <f t="shared" ca="1" si="228"/>
        <v>3.6460000000000008</v>
      </c>
      <c r="C2465" s="103">
        <f t="shared" si="224"/>
        <v>46263</v>
      </c>
      <c r="E2465" s="170"/>
      <c r="F2465" s="58" t="str">
        <f>VLOOKUP(MOD(C2465,7),'CALENDAR INFO'!$I$2:$J$8,2)</f>
        <v>SAT</v>
      </c>
      <c r="I2465" s="457">
        <f t="shared" si="223"/>
        <v>0</v>
      </c>
      <c r="M2465" s="113">
        <f t="shared" si="225"/>
        <v>0</v>
      </c>
      <c r="N2465" s="64">
        <f t="shared" ca="1" si="226"/>
        <v>1</v>
      </c>
    </row>
    <row r="2466" spans="1:14">
      <c r="A2466" s="84">
        <f t="shared" ca="1" si="227"/>
        <v>3.6299999999999755</v>
      </c>
      <c r="B2466" s="228">
        <f t="shared" ca="1" si="228"/>
        <v>3.6460000000000008</v>
      </c>
      <c r="C2466" s="103">
        <f t="shared" si="224"/>
        <v>46264</v>
      </c>
      <c r="E2466" s="170"/>
      <c r="F2466" s="58" t="str">
        <f>VLOOKUP(MOD(C2466,7),'CALENDAR INFO'!$I$2:$J$8,2)</f>
        <v>SUN</v>
      </c>
      <c r="I2466" s="457">
        <f t="shared" si="223"/>
        <v>0</v>
      </c>
      <c r="M2466" s="113">
        <f t="shared" si="225"/>
        <v>0</v>
      </c>
      <c r="N2466" s="64">
        <f t="shared" ca="1" si="226"/>
        <v>1</v>
      </c>
    </row>
    <row r="2467" spans="1:14" ht="15.75" thickBot="1">
      <c r="A2467" s="407">
        <f t="shared" ca="1" si="227"/>
        <v>3.6299999999999755</v>
      </c>
      <c r="B2467" s="408">
        <f t="shared" ca="1" si="228"/>
        <v>3.6460000000000008</v>
      </c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/>
      <c r="H2467" s="426"/>
      <c r="I2467" s="458">
        <f t="shared" si="223"/>
        <v>0</v>
      </c>
      <c r="J2467" s="348"/>
      <c r="K2467" s="348"/>
      <c r="L2467" s="349"/>
      <c r="M2467" s="114">
        <f t="shared" si="225"/>
        <v>1</v>
      </c>
      <c r="N2467" s="292">
        <f t="shared" ca="1" si="226"/>
        <v>1.0001012777777778</v>
      </c>
    </row>
    <row r="2468" spans="1:14">
      <c r="A2468" s="39">
        <f ca="1">K$2495</f>
        <v>3.6274999999999995</v>
      </c>
      <c r="B2468" s="41">
        <f t="shared" ref="B2468:B2483" ca="1" si="229">L$2495</f>
        <v>3.6193749999999945</v>
      </c>
      <c r="C2468" s="103">
        <f t="shared" si="224"/>
        <v>46266</v>
      </c>
      <c r="E2468" s="170"/>
      <c r="F2468" s="58" t="str">
        <f>VLOOKUP(MOD(C2468,7),'CALENDAR INFO'!$I$2:$J$8,2)</f>
        <v>TUE</v>
      </c>
      <c r="I2468" s="457">
        <f t="shared" si="223"/>
        <v>0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ca="1" si="226"/>
        <v>1.0001005381944446</v>
      </c>
    </row>
    <row r="2469" spans="1:14">
      <c r="A2469" s="39">
        <f t="shared" ref="A2469:A2483" ca="1" si="230">K$2495</f>
        <v>3.6274999999999995</v>
      </c>
      <c r="B2469" s="41">
        <f t="shared" ca="1" si="229"/>
        <v>3.6193749999999945</v>
      </c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I2469" s="457">
        <f t="shared" si="223"/>
        <v>0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ca="1" si="226"/>
        <v>1.0001005381944446</v>
      </c>
    </row>
    <row r="2470" spans="1:14">
      <c r="A2470" s="39">
        <f t="shared" ca="1" si="230"/>
        <v>3.6274999999999995</v>
      </c>
      <c r="B2470" s="41">
        <f t="shared" ca="1" si="229"/>
        <v>3.6193749999999945</v>
      </c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I2470" s="457">
        <f t="shared" si="223"/>
        <v>0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ca="1" si="226"/>
        <v>1.0001005381944446</v>
      </c>
    </row>
    <row r="2471" spans="1:14">
      <c r="A2471" s="39">
        <f t="shared" ca="1" si="230"/>
        <v>3.6274999999999995</v>
      </c>
      <c r="B2471" s="41">
        <f t="shared" ca="1" si="229"/>
        <v>3.6193749999999945</v>
      </c>
      <c r="C2471" s="103">
        <f t="shared" si="224"/>
        <v>46269</v>
      </c>
      <c r="E2471" s="167"/>
      <c r="F2471" s="58" t="str">
        <f>VLOOKUP(MOD(C2471,7),'CALENDAR INFO'!$I$2:$J$8,2)</f>
        <v>FRI</v>
      </c>
      <c r="I2471" s="457">
        <f t="shared" si="223"/>
        <v>0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ca="1" si="226"/>
        <v>1.0004021527777778</v>
      </c>
    </row>
    <row r="2472" spans="1:14">
      <c r="A2472" s="39">
        <f t="shared" ca="1" si="230"/>
        <v>3.6274999999999995</v>
      </c>
      <c r="B2472" s="41">
        <f t="shared" ca="1" si="229"/>
        <v>3.6193749999999945</v>
      </c>
      <c r="C2472" s="103">
        <f t="shared" si="224"/>
        <v>46270</v>
      </c>
      <c r="E2472" s="167"/>
      <c r="F2472" s="58" t="str">
        <f>VLOOKUP(MOD(C2472,7),'CALENDAR INFO'!$I$2:$J$8,2)</f>
        <v>SAT</v>
      </c>
      <c r="I2472" s="457">
        <f t="shared" si="223"/>
        <v>0</v>
      </c>
      <c r="K2472" s="176"/>
      <c r="M2472" s="113">
        <f>IF(MOD(C2472,7)&lt;2,0,IF(MOD(C2472,7)=6,3,1))</f>
        <v>0</v>
      </c>
      <c r="N2472" s="64">
        <f t="shared" ca="1" si="226"/>
        <v>1</v>
      </c>
    </row>
    <row r="2473" spans="1:14">
      <c r="A2473" s="39">
        <f t="shared" ca="1" si="230"/>
        <v>3.6274999999999995</v>
      </c>
      <c r="B2473" s="41">
        <f t="shared" ca="1" si="229"/>
        <v>3.6193749999999945</v>
      </c>
      <c r="C2473" s="103">
        <f t="shared" si="224"/>
        <v>46271</v>
      </c>
      <c r="E2473" s="167"/>
      <c r="F2473" s="58" t="str">
        <f>VLOOKUP(MOD(C2473,7),'CALENDAR INFO'!$I$2:$J$8,2)</f>
        <v>SUN</v>
      </c>
      <c r="I2473" s="457">
        <f t="shared" si="223"/>
        <v>0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ca="1" si="226"/>
        <v>1</v>
      </c>
    </row>
    <row r="2474" spans="1:14">
      <c r="A2474" s="39">
        <f t="shared" ca="1" si="230"/>
        <v>3.6274999999999995</v>
      </c>
      <c r="B2474" s="41">
        <f t="shared" ca="1" si="229"/>
        <v>3.6193749999999945</v>
      </c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I2474" s="457">
        <f t="shared" si="223"/>
        <v>0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ca="1" si="226"/>
        <v>1</v>
      </c>
    </row>
    <row r="2475" spans="1:14">
      <c r="A2475" s="39">
        <f t="shared" ca="1" si="230"/>
        <v>3.6274999999999995</v>
      </c>
      <c r="B2475" s="41">
        <f t="shared" ca="1" si="229"/>
        <v>3.6193749999999945</v>
      </c>
      <c r="C2475" s="103">
        <f t="shared" si="224"/>
        <v>46273</v>
      </c>
      <c r="E2475" s="167"/>
      <c r="F2475" s="58" t="str">
        <f>VLOOKUP(MOD(C2475,7),'CALENDAR INFO'!$I$2:$J$8,2)</f>
        <v>TUE</v>
      </c>
      <c r="I2475" s="457">
        <f t="shared" si="223"/>
        <v>0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31">IF(MOD(C2475,7)&lt;2,0,IF(MOD(C2475,7)=6,3,1))</f>
        <v>1</v>
      </c>
      <c r="N2475" s="64">
        <f t="shared" ca="1" si="226"/>
        <v>1.0001005381944446</v>
      </c>
    </row>
    <row r="2476" spans="1:14">
      <c r="A2476" s="39">
        <f t="shared" ca="1" si="230"/>
        <v>3.6274999999999995</v>
      </c>
      <c r="B2476" s="41">
        <f t="shared" ca="1" si="229"/>
        <v>3.6193749999999945</v>
      </c>
      <c r="C2476" s="103">
        <f t="shared" si="224"/>
        <v>46274</v>
      </c>
      <c r="E2476" s="167"/>
      <c r="F2476" s="58" t="str">
        <f>VLOOKUP(MOD(C2476,7),'CALENDAR INFO'!$I$2:$J$8,2)</f>
        <v>WED</v>
      </c>
      <c r="I2476" s="457">
        <f t="shared" si="223"/>
        <v>0</v>
      </c>
      <c r="M2476" s="113">
        <f t="shared" si="231"/>
        <v>1</v>
      </c>
      <c r="N2476" s="64">
        <f t="shared" ca="1" si="226"/>
        <v>1.0001005381944446</v>
      </c>
    </row>
    <row r="2477" spans="1:14">
      <c r="A2477" s="39">
        <f t="shared" ca="1" si="230"/>
        <v>3.6274999999999995</v>
      </c>
      <c r="B2477" s="41">
        <f t="shared" ca="1" si="229"/>
        <v>3.6193749999999945</v>
      </c>
      <c r="C2477" s="103">
        <f t="shared" si="224"/>
        <v>46275</v>
      </c>
      <c r="E2477" s="167"/>
      <c r="F2477" s="58" t="str">
        <f>VLOOKUP(MOD(C2477,7),'CALENDAR INFO'!$I$2:$J$8,2)</f>
        <v>THU</v>
      </c>
      <c r="I2477" s="457">
        <f t="shared" si="223"/>
        <v>0</v>
      </c>
      <c r="J2477" s="15" t="s">
        <v>241</v>
      </c>
      <c r="K2477" s="186">
        <f ca="1">A2499+G2499</f>
        <v>3.7935714285714255</v>
      </c>
      <c r="L2477" s="194">
        <f ca="1">B2499+H2499</f>
        <v>3.8135714285714215</v>
      </c>
      <c r="M2477" s="113">
        <f t="shared" si="231"/>
        <v>1</v>
      </c>
      <c r="N2477" s="64">
        <f t="shared" ca="1" si="226"/>
        <v>1.0001005381944446</v>
      </c>
    </row>
    <row r="2478" spans="1:14">
      <c r="A2478" s="39">
        <f t="shared" ca="1" si="230"/>
        <v>3.6274999999999995</v>
      </c>
      <c r="B2478" s="41">
        <f t="shared" ca="1" si="229"/>
        <v>3.6193749999999945</v>
      </c>
      <c r="C2478" s="103">
        <f t="shared" si="224"/>
        <v>46276</v>
      </c>
      <c r="E2478" s="167"/>
      <c r="F2478" s="58" t="str">
        <f>VLOOKUP(MOD(C2478,7),'CALENDAR INFO'!$I$2:$J$8,2)</f>
        <v>FRI</v>
      </c>
      <c r="I2478" s="457">
        <f t="shared" si="223"/>
        <v>0</v>
      </c>
      <c r="M2478" s="113">
        <f t="shared" si="231"/>
        <v>3</v>
      </c>
      <c r="N2478" s="64">
        <f t="shared" ca="1" si="226"/>
        <v>1.0003016145833334</v>
      </c>
    </row>
    <row r="2479" spans="1:14">
      <c r="A2479" s="39">
        <f t="shared" ca="1" si="230"/>
        <v>3.6274999999999995</v>
      </c>
      <c r="B2479" s="41">
        <f t="shared" ca="1" si="229"/>
        <v>3.6193749999999945</v>
      </c>
      <c r="C2479" s="103">
        <f t="shared" si="224"/>
        <v>46277</v>
      </c>
      <c r="E2479" s="167"/>
      <c r="F2479" s="58" t="str">
        <f>VLOOKUP(MOD(C2479,7),'CALENDAR INFO'!$I$2:$J$8,2)</f>
        <v>SAT</v>
      </c>
      <c r="I2479" s="457">
        <f t="shared" si="223"/>
        <v>0</v>
      </c>
      <c r="J2479" s="15" t="s">
        <v>197</v>
      </c>
      <c r="K2479" s="180">
        <f>OUTPUT!C6</f>
        <v>3.7049999999999983</v>
      </c>
      <c r="L2479" s="193">
        <f>OUTPUT!F6</f>
        <v>3.7099999999999937</v>
      </c>
      <c r="M2479" s="113">
        <f t="shared" si="231"/>
        <v>0</v>
      </c>
      <c r="N2479" s="64">
        <f t="shared" ca="1" si="226"/>
        <v>1</v>
      </c>
    </row>
    <row r="2480" spans="1:14">
      <c r="A2480" s="39">
        <f t="shared" ca="1" si="230"/>
        <v>3.6274999999999995</v>
      </c>
      <c r="B2480" s="41">
        <f t="shared" ca="1" si="229"/>
        <v>3.6193749999999945</v>
      </c>
      <c r="C2480" s="103">
        <f t="shared" si="224"/>
        <v>46278</v>
      </c>
      <c r="E2480" s="167"/>
      <c r="F2480" s="58" t="str">
        <f>VLOOKUP(MOD(C2480,7),'CALENDAR INFO'!$I$2:$J$8,2)</f>
        <v>SUN</v>
      </c>
      <c r="I2480" s="457">
        <f t="shared" si="223"/>
        <v>0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31"/>
        <v>0</v>
      </c>
      <c r="N2480" s="64">
        <f t="shared" ca="1" si="226"/>
        <v>1</v>
      </c>
    </row>
    <row r="2481" spans="1:14">
      <c r="A2481" s="39">
        <f t="shared" ca="1" si="230"/>
        <v>3.6274999999999995</v>
      </c>
      <c r="B2481" s="41">
        <f t="shared" ca="1" si="229"/>
        <v>3.6193749999999945</v>
      </c>
      <c r="C2481" s="103">
        <f t="shared" si="224"/>
        <v>46279</v>
      </c>
      <c r="E2481" s="167"/>
      <c r="F2481" s="58" t="str">
        <f>VLOOKUP(MOD(C2481,7),'CALENDAR INFO'!$I$2:$J$8,2)</f>
        <v>MON</v>
      </c>
      <c r="I2481" s="457">
        <f t="shared" si="223"/>
        <v>0</v>
      </c>
      <c r="J2481" s="15" t="s">
        <v>234</v>
      </c>
      <c r="K2481" s="178">
        <f>K2479*K2469</f>
        <v>111.14999999999995</v>
      </c>
      <c r="L2481" s="192">
        <f>L2479*L2469</f>
        <v>111.29999999999981</v>
      </c>
      <c r="M2481" s="113">
        <f t="shared" si="231"/>
        <v>1</v>
      </c>
      <c r="N2481" s="64">
        <f t="shared" ca="1" si="226"/>
        <v>1.0001005381944446</v>
      </c>
    </row>
    <row r="2482" spans="1:14">
      <c r="A2482" s="39">
        <f t="shared" ca="1" si="230"/>
        <v>3.6274999999999995</v>
      </c>
      <c r="B2482" s="41">
        <f t="shared" ca="1" si="229"/>
        <v>3.6193749999999945</v>
      </c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I2482" s="457">
        <f t="shared" si="223"/>
        <v>0</v>
      </c>
      <c r="M2482" s="113">
        <f t="shared" si="231"/>
        <v>1</v>
      </c>
      <c r="N2482" s="64">
        <f t="shared" ca="1" si="226"/>
        <v>1.0001005381944446</v>
      </c>
    </row>
    <row r="2483" spans="1:14">
      <c r="A2483" s="39">
        <f t="shared" ca="1" si="230"/>
        <v>3.6274999999999995</v>
      </c>
      <c r="B2483" s="41">
        <f t="shared" ca="1" si="229"/>
        <v>3.6193749999999945</v>
      </c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I2483" s="457">
        <f t="shared" si="223"/>
        <v>0</v>
      </c>
      <c r="J2483" s="15" t="str">
        <f>J2481</f>
        <v>monthly target</v>
      </c>
      <c r="K2483" s="178">
        <f>K2481</f>
        <v>111.14999999999995</v>
      </c>
      <c r="L2483" s="192">
        <f>L2481</f>
        <v>111.29999999999981</v>
      </c>
      <c r="M2483" s="113">
        <f t="shared" si="231"/>
        <v>1</v>
      </c>
      <c r="N2483" s="64">
        <f t="shared" ca="1" si="226"/>
        <v>1.0001005381944446</v>
      </c>
    </row>
    <row r="2484" spans="1:14">
      <c r="A2484" s="304">
        <f ca="1">K$2477</f>
        <v>3.7935714285714255</v>
      </c>
      <c r="B2484" s="305">
        <f t="shared" ref="B2484:B2497" ca="1" si="232">L$2477</f>
        <v>3.8135714285714215</v>
      </c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I2484" s="457">
        <f t="shared" si="223"/>
        <v>0</v>
      </c>
      <c r="J2484" s="15" t="s">
        <v>155</v>
      </c>
      <c r="K2484" s="178">
        <f ca="1">SUM(INDIRECT(K2473))</f>
        <v>0</v>
      </c>
      <c r="L2484" s="192">
        <f ca="1">SUM(INDIRECT(L2473))</f>
        <v>0</v>
      </c>
      <c r="M2484" s="113">
        <f t="shared" si="231"/>
        <v>1</v>
      </c>
      <c r="N2484" s="64">
        <f t="shared" ca="1" si="226"/>
        <v>1.0001059325396826</v>
      </c>
    </row>
    <row r="2485" spans="1:14">
      <c r="A2485" s="304">
        <f t="shared" ref="A2485:A2497" ca="1" si="233">K$2477</f>
        <v>3.7935714285714255</v>
      </c>
      <c r="B2485" s="305">
        <f t="shared" ca="1" si="232"/>
        <v>3.8135714285714215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7">
        <f t="shared" si="223"/>
        <v>0</v>
      </c>
      <c r="J2485" s="15" t="s">
        <v>237</v>
      </c>
      <c r="K2485" s="400">
        <f ca="1">SUM(INDIRECT(K2475))</f>
        <v>53.109999999999957</v>
      </c>
      <c r="L2485" s="401">
        <f ca="1">SUM(INDIRECT(L2475))</f>
        <v>53.389999999999901</v>
      </c>
      <c r="M2485" s="113">
        <f t="shared" si="231"/>
        <v>3</v>
      </c>
      <c r="N2485" s="64">
        <f t="shared" ca="1" si="226"/>
        <v>1.0003177976190476</v>
      </c>
    </row>
    <row r="2486" spans="1:14">
      <c r="A2486" s="304">
        <f t="shared" ca="1" si="233"/>
        <v>3.7935714285714255</v>
      </c>
      <c r="B2486" s="305">
        <f t="shared" ca="1" si="232"/>
        <v>3.8135714285714215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7">
        <f t="shared" si="223"/>
        <v>0</v>
      </c>
      <c r="J2486" s="15" t="s">
        <v>238</v>
      </c>
      <c r="K2486" s="182">
        <f ca="1">K2481-K2484-K2485</f>
        <v>58.039999999999992</v>
      </c>
      <c r="L2486" s="201">
        <f ca="1">L2481-L2484-L2485</f>
        <v>57.909999999999911</v>
      </c>
      <c r="M2486" s="113">
        <f t="shared" si="231"/>
        <v>0</v>
      </c>
      <c r="N2486" s="64">
        <f t="shared" ca="1" si="226"/>
        <v>1</v>
      </c>
    </row>
    <row r="2487" spans="1:14">
      <c r="A2487" s="304">
        <f t="shared" ca="1" si="233"/>
        <v>3.7935714285714255</v>
      </c>
      <c r="B2487" s="305">
        <f t="shared" ca="1" si="232"/>
        <v>3.8135714285714215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7">
        <f t="shared" si="223"/>
        <v>0</v>
      </c>
      <c r="K2487" s="178"/>
      <c r="L2487" s="192"/>
      <c r="M2487" s="113">
        <f t="shared" si="231"/>
        <v>0</v>
      </c>
      <c r="N2487" s="64">
        <f t="shared" ca="1" si="226"/>
        <v>1</v>
      </c>
    </row>
    <row r="2488" spans="1:14">
      <c r="A2488" s="304">
        <f t="shared" ca="1" si="233"/>
        <v>3.7935714285714255</v>
      </c>
      <c r="B2488" s="305">
        <f t="shared" ca="1" si="232"/>
        <v>3.8135714285714215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7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31"/>
        <v>1</v>
      </c>
      <c r="N2488" s="64">
        <f t="shared" ca="1" si="226"/>
        <v>1.0001059325396826</v>
      </c>
    </row>
    <row r="2489" spans="1:14">
      <c r="A2489" s="304">
        <f t="shared" ca="1" si="233"/>
        <v>3.7935714285714255</v>
      </c>
      <c r="B2489" s="305">
        <f t="shared" ca="1" si="232"/>
        <v>3.8135714285714215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7">
        <f t="shared" si="223"/>
        <v>0</v>
      </c>
      <c r="J2489" s="15" t="s">
        <v>194</v>
      </c>
      <c r="K2489" s="15">
        <f ca="1">COUNTA(INDIRECT(K2473))</f>
        <v>0</v>
      </c>
      <c r="L2489" s="179">
        <f ca="1">COUNTA(INDIRECT(L2473))</f>
        <v>0</v>
      </c>
      <c r="M2489" s="113">
        <f t="shared" si="231"/>
        <v>1</v>
      </c>
      <c r="N2489" s="64">
        <f t="shared" ca="1" si="226"/>
        <v>1.0001059325396826</v>
      </c>
    </row>
    <row r="2490" spans="1:14">
      <c r="A2490" s="304">
        <f t="shared" ca="1" si="233"/>
        <v>3.7935714285714255</v>
      </c>
      <c r="B2490" s="305">
        <f t="shared" ca="1" si="232"/>
        <v>3.8135714285714215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7">
        <f t="shared" si="223"/>
        <v>0</v>
      </c>
      <c r="J2490" s="15" t="s">
        <v>243</v>
      </c>
      <c r="K2490" s="402">
        <f ca="1">COUNTA(INDIRECT(K2475))</f>
        <v>14</v>
      </c>
      <c r="L2490" s="403">
        <f ca="1">COUNTA(INDIRECT(L2475))</f>
        <v>14</v>
      </c>
      <c r="M2490" s="113">
        <f t="shared" si="231"/>
        <v>1</v>
      </c>
      <c r="N2490" s="64">
        <f t="shared" ca="1" si="226"/>
        <v>1.0001059325396826</v>
      </c>
    </row>
    <row r="2491" spans="1:14">
      <c r="A2491" s="304">
        <f t="shared" ca="1" si="233"/>
        <v>3.7935714285714255</v>
      </c>
      <c r="B2491" s="305">
        <f t="shared" ca="1" si="232"/>
        <v>3.8135714285714215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7">
        <f t="shared" si="223"/>
        <v>0</v>
      </c>
      <c r="J2491" s="15" t="s">
        <v>239</v>
      </c>
      <c r="K2491" s="152">
        <f ca="1">K2488-K2489-K2490</f>
        <v>16</v>
      </c>
      <c r="L2491" s="202">
        <f ca="1">L2488-L2489-L2490</f>
        <v>16</v>
      </c>
      <c r="M2491" s="113">
        <f t="shared" si="231"/>
        <v>1</v>
      </c>
      <c r="N2491" s="64">
        <f t="shared" ca="1" si="226"/>
        <v>1.0001059325396826</v>
      </c>
    </row>
    <row r="2492" spans="1:14">
      <c r="A2492" s="304">
        <f t="shared" ca="1" si="233"/>
        <v>3.7935714285714255</v>
      </c>
      <c r="B2492" s="305">
        <f t="shared" ca="1" si="232"/>
        <v>3.8135714285714215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7">
        <f t="shared" si="223"/>
        <v>0</v>
      </c>
      <c r="K2492" s="178"/>
      <c r="L2492" s="192"/>
      <c r="M2492" s="113">
        <f t="shared" si="231"/>
        <v>3</v>
      </c>
      <c r="N2492" s="64">
        <f t="shared" ca="1" si="226"/>
        <v>1.0003177976190476</v>
      </c>
    </row>
    <row r="2493" spans="1:14">
      <c r="A2493" s="304">
        <f t="shared" ca="1" si="233"/>
        <v>3.7935714285714255</v>
      </c>
      <c r="B2493" s="305">
        <f t="shared" ca="1" si="232"/>
        <v>3.8135714285714215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7">
        <f t="shared" si="223"/>
        <v>0</v>
      </c>
      <c r="J2493" s="15" t="s">
        <v>238</v>
      </c>
      <c r="K2493" s="178">
        <f ca="1">K2486</f>
        <v>58.039999999999992</v>
      </c>
      <c r="L2493" s="192">
        <f ca="1">L2486</f>
        <v>57.909999999999911</v>
      </c>
      <c r="M2493" s="113">
        <f t="shared" si="231"/>
        <v>0</v>
      </c>
      <c r="N2493" s="64">
        <f t="shared" ca="1" si="226"/>
        <v>1</v>
      </c>
    </row>
    <row r="2494" spans="1:14">
      <c r="A2494" s="304">
        <f t="shared" ca="1" si="233"/>
        <v>3.7935714285714255</v>
      </c>
      <c r="B2494" s="305">
        <f t="shared" ca="1" si="232"/>
        <v>3.8135714285714215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7">
        <f t="shared" si="223"/>
        <v>0</v>
      </c>
      <c r="J2494" s="15" t="s">
        <v>239</v>
      </c>
      <c r="K2494" s="221">
        <f ca="1">K2491</f>
        <v>16</v>
      </c>
      <c r="L2494" s="223">
        <f ca="1">L2491</f>
        <v>16</v>
      </c>
      <c r="M2494" s="113">
        <f t="shared" si="231"/>
        <v>0</v>
      </c>
      <c r="N2494" s="64">
        <f t="shared" ca="1" si="226"/>
        <v>1</v>
      </c>
    </row>
    <row r="2495" spans="1:14">
      <c r="A2495" s="304">
        <f t="shared" ca="1" si="233"/>
        <v>3.7935714285714255</v>
      </c>
      <c r="B2495" s="305">
        <f t="shared" ca="1" si="232"/>
        <v>3.8135714285714215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7">
        <f t="shared" si="223"/>
        <v>0</v>
      </c>
      <c r="J2495" s="15" t="s">
        <v>240</v>
      </c>
      <c r="K2495" s="178">
        <f ca="1">K2493/K2494</f>
        <v>3.6274999999999995</v>
      </c>
      <c r="L2495" s="192">
        <f ca="1">L2493/L2494</f>
        <v>3.6193749999999945</v>
      </c>
      <c r="M2495" s="113">
        <f t="shared" si="231"/>
        <v>1</v>
      </c>
      <c r="N2495" s="64">
        <f t="shared" ca="1" si="226"/>
        <v>1.0001059325396826</v>
      </c>
    </row>
    <row r="2496" spans="1:14">
      <c r="A2496" s="304">
        <f t="shared" ca="1" si="233"/>
        <v>3.7935714285714255</v>
      </c>
      <c r="B2496" s="305">
        <f t="shared" ca="1" si="232"/>
        <v>3.8135714285714215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7">
        <f t="shared" si="223"/>
        <v>0</v>
      </c>
      <c r="M2496" s="113">
        <f t="shared" si="231"/>
        <v>1</v>
      </c>
      <c r="N2496" s="64">
        <f t="shared" ca="1" si="226"/>
        <v>1.0001059325396826</v>
      </c>
    </row>
    <row r="2497" spans="1:14" ht="15.75" thickBot="1">
      <c r="A2497" s="405">
        <f t="shared" ca="1" si="233"/>
        <v>3.7935714285714255</v>
      </c>
      <c r="B2497" s="406">
        <f t="shared" ca="1" si="232"/>
        <v>3.8135714285714215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6"/>
      <c r="I2497" s="458">
        <f t="shared" si="223"/>
        <v>0</v>
      </c>
      <c r="J2497" s="348"/>
      <c r="K2497" s="348"/>
      <c r="L2497" s="349"/>
      <c r="M2497" s="114">
        <f t="shared" si="231"/>
        <v>1</v>
      </c>
      <c r="N2497" s="292">
        <f t="shared" ca="1" si="226"/>
        <v>1.0001059325396826</v>
      </c>
    </row>
    <row r="2498" spans="1:14">
      <c r="A2498" s="39">
        <f t="shared" ref="A2498:A2524" ca="1" si="234">K$2525</f>
        <v>3.7935714285714255</v>
      </c>
      <c r="B2498" s="41">
        <f t="shared" ref="B2498:B2525" ca="1" si="235">L$2525</f>
        <v>3.8135714285714215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7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31"/>
        <v>1</v>
      </c>
      <c r="N2498" s="64">
        <f t="shared" ca="1" si="226"/>
        <v>1.0001059325396826</v>
      </c>
    </row>
    <row r="2499" spans="1:14">
      <c r="A2499" s="39">
        <f t="shared" ca="1" si="234"/>
        <v>3.7935714285714255</v>
      </c>
      <c r="B2499" s="41">
        <f t="shared" ca="1" si="235"/>
        <v>3.8135714285714215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7">
        <f t="shared" ref="I2499:I2562" si="236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31"/>
        <v>3</v>
      </c>
      <c r="N2499" s="64">
        <f t="shared" ca="1" si="226"/>
        <v>1.0003177976190476</v>
      </c>
    </row>
    <row r="2500" spans="1:14">
      <c r="A2500" s="39">
        <f t="shared" ca="1" si="234"/>
        <v>3.7935714285714255</v>
      </c>
      <c r="B2500" s="41">
        <f t="shared" ca="1" si="235"/>
        <v>3.8135714285714215</v>
      </c>
      <c r="C2500" s="103">
        <f t="shared" ref="C2500:C2563" si="237">C2499+1</f>
        <v>46298</v>
      </c>
      <c r="E2500" s="167"/>
      <c r="F2500" s="58" t="str">
        <f>VLOOKUP(MOD(C2500,7),'CALENDAR INFO'!$I$2:$J$8,2)</f>
        <v>SAT</v>
      </c>
      <c r="I2500" s="457">
        <f t="shared" si="236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31"/>
        <v>0</v>
      </c>
      <c r="N2500" s="64">
        <f t="shared" ca="1" si="226"/>
        <v>1</v>
      </c>
    </row>
    <row r="2501" spans="1:14">
      <c r="A2501" s="39">
        <f t="shared" ca="1" si="234"/>
        <v>3.7935714285714255</v>
      </c>
      <c r="B2501" s="41">
        <f t="shared" ca="1" si="235"/>
        <v>3.8135714285714215</v>
      </c>
      <c r="C2501" s="103">
        <f t="shared" si="237"/>
        <v>46299</v>
      </c>
      <c r="E2501" s="167"/>
      <c r="F2501" s="58" t="str">
        <f>VLOOKUP(MOD(C2501,7),'CALENDAR INFO'!$I$2:$J$8,2)</f>
        <v>SUN</v>
      </c>
      <c r="I2501" s="457">
        <f t="shared" si="236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31"/>
        <v>0</v>
      </c>
      <c r="N2501" s="64">
        <f t="shared" ca="1" si="226"/>
        <v>1</v>
      </c>
    </row>
    <row r="2502" spans="1:14">
      <c r="A2502" s="39">
        <f t="shared" ca="1" si="234"/>
        <v>3.7935714285714255</v>
      </c>
      <c r="B2502" s="41">
        <f t="shared" ca="1" si="235"/>
        <v>3.8135714285714215</v>
      </c>
      <c r="C2502" s="103">
        <f t="shared" si="237"/>
        <v>46300</v>
      </c>
      <c r="E2502" s="167"/>
      <c r="F2502" s="58" t="str">
        <f>VLOOKUP(MOD(C2502,7),'CALENDAR INFO'!$I$2:$J$8,2)</f>
        <v>MON</v>
      </c>
      <c r="I2502" s="457">
        <f t="shared" si="236"/>
        <v>0</v>
      </c>
      <c r="K2502" s="311"/>
      <c r="L2502" s="15"/>
      <c r="M2502" s="113">
        <f t="shared" si="231"/>
        <v>1</v>
      </c>
      <c r="N2502" s="64">
        <f t="shared" ca="1" si="226"/>
        <v>1.0001059325396826</v>
      </c>
    </row>
    <row r="2503" spans="1:14">
      <c r="A2503" s="39">
        <f t="shared" ca="1" si="234"/>
        <v>3.7935714285714255</v>
      </c>
      <c r="B2503" s="41">
        <f t="shared" ca="1" si="235"/>
        <v>3.8135714285714215</v>
      </c>
      <c r="C2503" s="103">
        <f t="shared" si="237"/>
        <v>46301</v>
      </c>
      <c r="E2503" s="167"/>
      <c r="F2503" s="58" t="str">
        <f>VLOOKUP(MOD(C2503,7),'CALENDAR INFO'!$I$2:$J$8,2)</f>
        <v>TUE</v>
      </c>
      <c r="I2503" s="457">
        <f t="shared" si="236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31"/>
        <v>1</v>
      </c>
      <c r="N2503" s="64">
        <f t="shared" ca="1" si="226"/>
        <v>1.0001059325396826</v>
      </c>
    </row>
    <row r="2504" spans="1:14">
      <c r="A2504" s="39">
        <f t="shared" ca="1" si="234"/>
        <v>3.7935714285714255</v>
      </c>
      <c r="B2504" s="41">
        <f t="shared" ca="1" si="235"/>
        <v>3.8135714285714215</v>
      </c>
      <c r="C2504" s="103">
        <f t="shared" si="237"/>
        <v>46302</v>
      </c>
      <c r="E2504" s="167"/>
      <c r="F2504" s="58" t="str">
        <f>VLOOKUP(MOD(C2504,7),'CALENDAR INFO'!$I$2:$J$8,2)</f>
        <v>WED</v>
      </c>
      <c r="I2504" s="457">
        <f t="shared" si="236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31"/>
        <v>1</v>
      </c>
      <c r="N2504" s="64">
        <f t="shared" ca="1" si="226"/>
        <v>1.0001059325396826</v>
      </c>
    </row>
    <row r="2505" spans="1:14">
      <c r="A2505" s="39">
        <f t="shared" ca="1" si="234"/>
        <v>3.7935714285714255</v>
      </c>
      <c r="B2505" s="41">
        <f t="shared" ca="1" si="235"/>
        <v>3.8135714285714215</v>
      </c>
      <c r="C2505" s="103">
        <f t="shared" si="237"/>
        <v>46303</v>
      </c>
      <c r="E2505" s="167"/>
      <c r="F2505" s="58" t="str">
        <f>VLOOKUP(MOD(C2505,7),'CALENDAR INFO'!$I$2:$J$8,2)</f>
        <v>THU</v>
      </c>
      <c r="I2505" s="457">
        <f t="shared" si="236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31"/>
        <v>1</v>
      </c>
      <c r="N2505" s="64">
        <f t="shared" ca="1" si="226"/>
        <v>1.0001059325396826</v>
      </c>
    </row>
    <row r="2506" spans="1:14">
      <c r="A2506" s="39">
        <f t="shared" ca="1" si="234"/>
        <v>3.7935714285714255</v>
      </c>
      <c r="B2506" s="41">
        <f t="shared" ca="1" si="235"/>
        <v>3.8135714285714215</v>
      </c>
      <c r="C2506" s="103">
        <f t="shared" si="237"/>
        <v>46304</v>
      </c>
      <c r="E2506" s="167"/>
      <c r="F2506" s="58" t="str">
        <f>VLOOKUP(MOD(C2506,7),'CALENDAR INFO'!$I$2:$J$8,2)</f>
        <v>FRI</v>
      </c>
      <c r="I2506" s="457">
        <f t="shared" si="236"/>
        <v>0</v>
      </c>
      <c r="M2506" s="117">
        <v>4</v>
      </c>
      <c r="N2506" s="64">
        <f t="shared" ca="1" si="226"/>
        <v>1.0004237301587302</v>
      </c>
    </row>
    <row r="2507" spans="1:14">
      <c r="A2507" s="39">
        <f t="shared" ca="1" si="234"/>
        <v>3.7935714285714255</v>
      </c>
      <c r="B2507" s="41">
        <f t="shared" ca="1" si="235"/>
        <v>3.8135714285714215</v>
      </c>
      <c r="C2507" s="103">
        <f t="shared" si="237"/>
        <v>46305</v>
      </c>
      <c r="E2507" s="167"/>
      <c r="F2507" s="58" t="str">
        <f>VLOOKUP(MOD(C2507,7),'CALENDAR INFO'!$I$2:$J$8,2)</f>
        <v>SAT</v>
      </c>
      <c r="I2507" s="457">
        <f t="shared" si="236"/>
        <v>0</v>
      </c>
      <c r="J2507" s="15" t="s">
        <v>241</v>
      </c>
      <c r="K2507" s="186">
        <f>A2529+G2529</f>
        <v>3.8599999999999994</v>
      </c>
      <c r="L2507" s="194">
        <f>B2529+H2529</f>
        <v>3.8799999999999955</v>
      </c>
      <c r="M2507" s="113">
        <f>IF(MOD(C2507,7)&lt;2,0,IF(MOD(C2507,7)=6,3,1))</f>
        <v>0</v>
      </c>
      <c r="N2507" s="64">
        <f t="shared" ca="1" si="226"/>
        <v>1</v>
      </c>
    </row>
    <row r="2508" spans="1:14">
      <c r="A2508" s="39">
        <f t="shared" ca="1" si="234"/>
        <v>3.7935714285714255</v>
      </c>
      <c r="B2508" s="41">
        <f t="shared" ca="1" si="235"/>
        <v>3.8135714285714215</v>
      </c>
      <c r="C2508" s="103">
        <f t="shared" si="237"/>
        <v>46306</v>
      </c>
      <c r="E2508" s="167"/>
      <c r="F2508" s="58" t="str">
        <f>VLOOKUP(MOD(C2508,7),'CALENDAR INFO'!$I$2:$J$8,2)</f>
        <v>SUN</v>
      </c>
      <c r="I2508" s="457">
        <f t="shared" si="236"/>
        <v>0</v>
      </c>
      <c r="K2508" s="178"/>
      <c r="L2508" s="192"/>
      <c r="M2508" s="113">
        <f>IF(MOD(C2508,7)&lt;2,0,IF(MOD(C2508,7)=6,3,1))</f>
        <v>0</v>
      </c>
      <c r="N2508" s="64">
        <f t="shared" ca="1" si="226"/>
        <v>1</v>
      </c>
    </row>
    <row r="2509" spans="1:14">
      <c r="A2509" s="39">
        <f t="shared" ca="1" si="234"/>
        <v>3.7935714285714255</v>
      </c>
      <c r="B2509" s="41">
        <f t="shared" ca="1" si="235"/>
        <v>3.8135714285714215</v>
      </c>
      <c r="C2509" s="103">
        <f t="shared" si="237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7">
        <f t="shared" si="236"/>
        <v>0</v>
      </c>
      <c r="J2509" s="15" t="s">
        <v>197</v>
      </c>
      <c r="K2509" s="180">
        <f>OUTPUT!C7</f>
        <v>3.7999999999999972</v>
      </c>
      <c r="L2509" s="180">
        <f>OUTPUT!F7</f>
        <v>3.8199999999999932</v>
      </c>
      <c r="M2509" s="117">
        <v>0</v>
      </c>
      <c r="N2509" s="64">
        <f t="shared" ca="1" si="226"/>
        <v>1</v>
      </c>
    </row>
    <row r="2510" spans="1:14">
      <c r="A2510" s="39">
        <f t="shared" ca="1" si="234"/>
        <v>3.7935714285714255</v>
      </c>
      <c r="B2510" s="41">
        <f t="shared" ca="1" si="235"/>
        <v>3.8135714285714215</v>
      </c>
      <c r="C2510" s="103">
        <f t="shared" si="237"/>
        <v>46308</v>
      </c>
      <c r="E2510" s="167"/>
      <c r="F2510" s="58" t="str">
        <f>VLOOKUP(MOD(C2510,7),'CALENDAR INFO'!$I$2:$J$8,2)</f>
        <v>TUE</v>
      </c>
      <c r="I2510" s="457">
        <f t="shared" si="236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8">IF(MOD(C2510,7)&lt;2,0,IF(MOD(C2510,7)=6,3,1))</f>
        <v>1</v>
      </c>
      <c r="N2510" s="64">
        <f t="shared" ca="1" si="226"/>
        <v>1.0001059325396826</v>
      </c>
    </row>
    <row r="2511" spans="1:14">
      <c r="A2511" s="39">
        <f t="shared" ca="1" si="234"/>
        <v>3.7935714285714255</v>
      </c>
      <c r="B2511" s="41">
        <f t="shared" ca="1" si="235"/>
        <v>3.8135714285714215</v>
      </c>
      <c r="C2511" s="103">
        <f t="shared" si="237"/>
        <v>46309</v>
      </c>
      <c r="E2511" s="167" t="s">
        <v>19</v>
      </c>
      <c r="F2511" s="58" t="str">
        <f>VLOOKUP(MOD(C2511,7),'CALENDAR INFO'!$I$2:$J$8,2)</f>
        <v>WED</v>
      </c>
      <c r="I2511" s="457">
        <f t="shared" si="236"/>
        <v>0</v>
      </c>
      <c r="J2511" s="15" t="s">
        <v>234</v>
      </c>
      <c r="K2511" s="178">
        <f>K2509*K2499</f>
        <v>117.79999999999991</v>
      </c>
      <c r="L2511" s="178">
        <f>L2509*L2499</f>
        <v>118.41999999999979</v>
      </c>
      <c r="M2511" s="113">
        <f t="shared" si="238"/>
        <v>1</v>
      </c>
      <c r="N2511" s="64">
        <f t="shared" ca="1" si="226"/>
        <v>1.0001059325396826</v>
      </c>
    </row>
    <row r="2512" spans="1:14">
      <c r="A2512" s="39">
        <f t="shared" ca="1" si="234"/>
        <v>3.7935714285714255</v>
      </c>
      <c r="B2512" s="41">
        <f t="shared" ca="1" si="235"/>
        <v>3.8135714285714215</v>
      </c>
      <c r="C2512" s="103">
        <f t="shared" si="237"/>
        <v>46310</v>
      </c>
      <c r="E2512" s="170" t="s">
        <v>18</v>
      </c>
      <c r="F2512" s="58" t="str">
        <f>VLOOKUP(MOD(C2512,7),'CALENDAR INFO'!$I$2:$J$8,2)</f>
        <v>THU</v>
      </c>
      <c r="I2512" s="457">
        <f t="shared" si="236"/>
        <v>0</v>
      </c>
      <c r="K2512" s="178"/>
      <c r="L2512" s="192"/>
      <c r="M2512" s="113">
        <f t="shared" si="238"/>
        <v>1</v>
      </c>
      <c r="N2512" s="64">
        <f t="shared" ca="1" si="226"/>
        <v>1.0001059325396826</v>
      </c>
    </row>
    <row r="2513" spans="1:14">
      <c r="A2513" s="39">
        <f t="shared" ca="1" si="234"/>
        <v>3.7935714285714255</v>
      </c>
      <c r="B2513" s="41">
        <f t="shared" ca="1" si="235"/>
        <v>3.8135714285714215</v>
      </c>
      <c r="C2513" s="103">
        <f t="shared" si="237"/>
        <v>46311</v>
      </c>
      <c r="E2513" s="170"/>
      <c r="F2513" s="58" t="str">
        <f>VLOOKUP(MOD(C2513,7),'CALENDAR INFO'!$I$2:$J$8,2)</f>
        <v>FRI</v>
      </c>
      <c r="I2513" s="457">
        <f t="shared" si="236"/>
        <v>0</v>
      </c>
      <c r="J2513" s="15" t="str">
        <f>J2511</f>
        <v>monthly target</v>
      </c>
      <c r="K2513" s="178">
        <f>K2511</f>
        <v>117.79999999999991</v>
      </c>
      <c r="L2513" s="192">
        <f>L2511</f>
        <v>118.41999999999979</v>
      </c>
      <c r="M2513" s="113">
        <f t="shared" si="238"/>
        <v>3</v>
      </c>
      <c r="N2513" s="64">
        <f t="shared" ca="1" si="226"/>
        <v>1.0003177976190476</v>
      </c>
    </row>
    <row r="2514" spans="1:14">
      <c r="A2514" s="39">
        <f t="shared" ca="1" si="234"/>
        <v>3.7935714285714255</v>
      </c>
      <c r="B2514" s="41">
        <f t="shared" ca="1" si="235"/>
        <v>3.8135714285714215</v>
      </c>
      <c r="C2514" s="103">
        <f t="shared" si="237"/>
        <v>46312</v>
      </c>
      <c r="E2514" s="170"/>
      <c r="F2514" s="58" t="str">
        <f>VLOOKUP(MOD(C2514,7),'CALENDAR INFO'!$I$2:$J$8,2)</f>
        <v>SAT</v>
      </c>
      <c r="I2514" s="457">
        <f t="shared" si="236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8"/>
        <v>0</v>
      </c>
      <c r="N2514" s="64">
        <f t="shared" ca="1" si="226"/>
        <v>1</v>
      </c>
    </row>
    <row r="2515" spans="1:14">
      <c r="A2515" s="39">
        <f t="shared" ca="1" si="234"/>
        <v>3.7935714285714255</v>
      </c>
      <c r="B2515" s="41">
        <f t="shared" ca="1" si="235"/>
        <v>3.8135714285714215</v>
      </c>
      <c r="C2515" s="103">
        <f t="shared" si="237"/>
        <v>46313</v>
      </c>
      <c r="E2515" s="170"/>
      <c r="F2515" s="58" t="str">
        <f>VLOOKUP(MOD(C2515,7),'CALENDAR INFO'!$I$2:$J$8,2)</f>
        <v>SUN</v>
      </c>
      <c r="I2515" s="457">
        <f t="shared" si="236"/>
        <v>0</v>
      </c>
      <c r="J2515" s="15" t="s">
        <v>237</v>
      </c>
      <c r="K2515" s="400">
        <f ca="1">SUM(INDIRECT(K2505))</f>
        <v>11.579999999999998</v>
      </c>
      <c r="L2515" s="401">
        <f ca="1">SUM(INDIRECT(L2505))</f>
        <v>11.639999999999986</v>
      </c>
      <c r="M2515" s="113">
        <f t="shared" si="238"/>
        <v>0</v>
      </c>
      <c r="N2515" s="64">
        <f t="shared" ref="N2515:N2578" ca="1" si="239">1+(M2515/360)*(MAX(H2515,B2515)/100)</f>
        <v>1</v>
      </c>
    </row>
    <row r="2516" spans="1:14">
      <c r="A2516" s="39">
        <f t="shared" ca="1" si="234"/>
        <v>3.7935714285714255</v>
      </c>
      <c r="B2516" s="41">
        <f t="shared" ca="1" si="235"/>
        <v>3.8135714285714215</v>
      </c>
      <c r="C2516" s="103">
        <f t="shared" si="237"/>
        <v>46314</v>
      </c>
      <c r="E2516" s="170"/>
      <c r="F2516" s="58" t="str">
        <f>VLOOKUP(MOD(C2516,7),'CALENDAR INFO'!$I$2:$J$8,2)</f>
        <v>MON</v>
      </c>
      <c r="I2516" s="457">
        <f t="shared" si="236"/>
        <v>0</v>
      </c>
      <c r="J2516" s="15" t="s">
        <v>238</v>
      </c>
      <c r="K2516" s="182">
        <f ca="1">K2511-K2514-K2515</f>
        <v>106.21999999999991</v>
      </c>
      <c r="L2516" s="201">
        <f ca="1">L2511-L2514-L2515</f>
        <v>106.7799999999998</v>
      </c>
      <c r="M2516" s="113">
        <f t="shared" si="238"/>
        <v>1</v>
      </c>
      <c r="N2516" s="64">
        <f t="shared" ca="1" si="239"/>
        <v>1.0001059325396826</v>
      </c>
    </row>
    <row r="2517" spans="1:14">
      <c r="A2517" s="39">
        <f t="shared" ca="1" si="234"/>
        <v>3.7935714285714255</v>
      </c>
      <c r="B2517" s="41">
        <f t="shared" ca="1" si="235"/>
        <v>3.8135714285714215</v>
      </c>
      <c r="C2517" s="103">
        <f t="shared" si="237"/>
        <v>46315</v>
      </c>
      <c r="E2517" s="170"/>
      <c r="F2517" s="58" t="str">
        <f>VLOOKUP(MOD(C2517,7),'CALENDAR INFO'!$I$2:$J$8,2)</f>
        <v>TUE</v>
      </c>
      <c r="I2517" s="457">
        <f t="shared" si="236"/>
        <v>0</v>
      </c>
      <c r="M2517" s="113">
        <f t="shared" si="238"/>
        <v>1</v>
      </c>
      <c r="N2517" s="64">
        <f t="shared" ca="1" si="239"/>
        <v>1.0001059325396826</v>
      </c>
    </row>
    <row r="2518" spans="1:14">
      <c r="A2518" s="39">
        <f t="shared" ca="1" si="234"/>
        <v>3.7935714285714255</v>
      </c>
      <c r="B2518" s="41">
        <f t="shared" ca="1" si="235"/>
        <v>3.8135714285714215</v>
      </c>
      <c r="C2518" s="103">
        <f t="shared" si="237"/>
        <v>46316</v>
      </c>
      <c r="E2518" s="170"/>
      <c r="F2518" s="58" t="str">
        <f>VLOOKUP(MOD(C2518,7),'CALENDAR INFO'!$I$2:$J$8,2)</f>
        <v>WED</v>
      </c>
      <c r="I2518" s="457">
        <f t="shared" si="236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8"/>
        <v>1</v>
      </c>
      <c r="N2518" s="64">
        <f t="shared" ca="1" si="239"/>
        <v>1.0001059325396826</v>
      </c>
    </row>
    <row r="2519" spans="1:14">
      <c r="A2519" s="39">
        <f t="shared" ca="1" si="234"/>
        <v>3.7935714285714255</v>
      </c>
      <c r="B2519" s="41">
        <f t="shared" ca="1" si="235"/>
        <v>3.8135714285714215</v>
      </c>
      <c r="C2519" s="103">
        <f t="shared" si="237"/>
        <v>46317</v>
      </c>
      <c r="E2519" s="170"/>
      <c r="F2519" s="58" t="str">
        <f>VLOOKUP(MOD(C2519,7),'CALENDAR INFO'!$I$2:$J$8,2)</f>
        <v>THU</v>
      </c>
      <c r="I2519" s="457">
        <f t="shared" si="236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8"/>
        <v>1</v>
      </c>
      <c r="N2519" s="64">
        <f t="shared" ca="1" si="239"/>
        <v>1.0001059325396826</v>
      </c>
    </row>
    <row r="2520" spans="1:14">
      <c r="A2520" s="39">
        <f t="shared" ca="1" si="234"/>
        <v>3.7935714285714255</v>
      </c>
      <c r="B2520" s="41">
        <f t="shared" ca="1" si="235"/>
        <v>3.8135714285714215</v>
      </c>
      <c r="C2520" s="103">
        <f t="shared" si="237"/>
        <v>46318</v>
      </c>
      <c r="E2520" s="170"/>
      <c r="F2520" s="58" t="str">
        <f>VLOOKUP(MOD(C2520,7),'CALENDAR INFO'!$I$2:$J$8,2)</f>
        <v>FRI</v>
      </c>
      <c r="I2520" s="457">
        <f t="shared" si="236"/>
        <v>0</v>
      </c>
      <c r="J2520" s="15" t="s">
        <v>243</v>
      </c>
      <c r="K2520" s="402">
        <f ca="1">COUNTA(INDIRECT(K2505))</f>
        <v>3</v>
      </c>
      <c r="L2520" s="403">
        <f ca="1">COUNTA(INDIRECT(L2505))</f>
        <v>3</v>
      </c>
      <c r="M2520" s="113">
        <f t="shared" si="238"/>
        <v>3</v>
      </c>
      <c r="N2520" s="64">
        <f t="shared" ca="1" si="239"/>
        <v>1.0003177976190476</v>
      </c>
    </row>
    <row r="2521" spans="1:14">
      <c r="A2521" s="39">
        <f t="shared" ca="1" si="234"/>
        <v>3.7935714285714255</v>
      </c>
      <c r="B2521" s="41">
        <f t="shared" ca="1" si="235"/>
        <v>3.8135714285714215</v>
      </c>
      <c r="C2521" s="103">
        <f t="shared" si="237"/>
        <v>46319</v>
      </c>
      <c r="E2521" s="170"/>
      <c r="F2521" s="58" t="str">
        <f>VLOOKUP(MOD(C2521,7),'CALENDAR INFO'!$I$2:$J$8,2)</f>
        <v>SAT</v>
      </c>
      <c r="I2521" s="457">
        <f t="shared" si="236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8"/>
        <v>0</v>
      </c>
      <c r="N2521" s="64">
        <f t="shared" ca="1" si="239"/>
        <v>1</v>
      </c>
    </row>
    <row r="2522" spans="1:14">
      <c r="A2522" s="39">
        <f t="shared" ca="1" si="234"/>
        <v>3.7935714285714255</v>
      </c>
      <c r="B2522" s="41">
        <f t="shared" ca="1" si="235"/>
        <v>3.8135714285714215</v>
      </c>
      <c r="C2522" s="103">
        <f t="shared" si="237"/>
        <v>46320</v>
      </c>
      <c r="E2522" s="170"/>
      <c r="F2522" s="58" t="str">
        <f>VLOOKUP(MOD(C2522,7),'CALENDAR INFO'!$I$2:$J$8,2)</f>
        <v>SUN</v>
      </c>
      <c r="I2522" s="457">
        <f t="shared" si="236"/>
        <v>0</v>
      </c>
      <c r="K2522" s="178"/>
      <c r="L2522" s="192"/>
      <c r="M2522" s="113">
        <f t="shared" si="238"/>
        <v>0</v>
      </c>
      <c r="N2522" s="64">
        <f t="shared" ca="1" si="239"/>
        <v>1</v>
      </c>
    </row>
    <row r="2523" spans="1:14">
      <c r="A2523" s="39">
        <f t="shared" ca="1" si="234"/>
        <v>3.7935714285714255</v>
      </c>
      <c r="B2523" s="41">
        <f t="shared" ca="1" si="235"/>
        <v>3.8135714285714215</v>
      </c>
      <c r="C2523" s="103">
        <f t="shared" si="237"/>
        <v>46321</v>
      </c>
      <c r="E2523" s="170"/>
      <c r="F2523" s="58" t="str">
        <f>VLOOKUP(MOD(C2523,7),'CALENDAR INFO'!$I$2:$J$8,2)</f>
        <v>MON</v>
      </c>
      <c r="I2523" s="457">
        <f t="shared" si="236"/>
        <v>0</v>
      </c>
      <c r="J2523" s="15" t="s">
        <v>238</v>
      </c>
      <c r="K2523" s="178">
        <f ca="1">K2516</f>
        <v>106.21999999999991</v>
      </c>
      <c r="L2523" s="192">
        <f ca="1">L2516</f>
        <v>106.7799999999998</v>
      </c>
      <c r="M2523" s="113">
        <f t="shared" si="238"/>
        <v>1</v>
      </c>
      <c r="N2523" s="64">
        <f t="shared" ca="1" si="239"/>
        <v>1.0001059325396826</v>
      </c>
    </row>
    <row r="2524" spans="1:14">
      <c r="A2524" s="39">
        <f t="shared" ca="1" si="234"/>
        <v>3.7935714285714255</v>
      </c>
      <c r="B2524" s="41">
        <f t="shared" ca="1" si="235"/>
        <v>3.8135714285714215</v>
      </c>
      <c r="C2524" s="103">
        <f t="shared" si="237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7">
        <f t="shared" si="236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8"/>
        <v>1</v>
      </c>
      <c r="N2524" s="64">
        <f t="shared" ca="1" si="239"/>
        <v>1.0001059325396826</v>
      </c>
    </row>
    <row r="2525" spans="1:14">
      <c r="A2525" s="39">
        <f ca="1">K$2525</f>
        <v>3.7935714285714255</v>
      </c>
      <c r="B2525" s="41">
        <f t="shared" ca="1" si="235"/>
        <v>3.8135714285714215</v>
      </c>
      <c r="C2525" s="103">
        <f t="shared" si="237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7">
        <f t="shared" si="236"/>
        <v>0</v>
      </c>
      <c r="J2525" s="15" t="s">
        <v>240</v>
      </c>
      <c r="K2525" s="178">
        <f ca="1">K2523/K2524</f>
        <v>3.7935714285714255</v>
      </c>
      <c r="L2525" s="192">
        <f ca="1">L2523/L2524</f>
        <v>3.8135714285714215</v>
      </c>
      <c r="M2525" s="113">
        <f t="shared" si="238"/>
        <v>1</v>
      </c>
      <c r="N2525" s="64">
        <f t="shared" ca="1" si="239"/>
        <v>1.0001059325396826</v>
      </c>
    </row>
    <row r="2526" spans="1:14">
      <c r="A2526" s="304">
        <f t="shared" ref="A2526:B2528" si="240">K$2507</f>
        <v>3.8599999999999994</v>
      </c>
      <c r="B2526" s="305">
        <f t="shared" si="240"/>
        <v>3.8799999999999955</v>
      </c>
      <c r="C2526" s="103">
        <f t="shared" si="237"/>
        <v>46324</v>
      </c>
      <c r="E2526" s="167" t="s">
        <v>18</v>
      </c>
      <c r="F2526" s="58" t="str">
        <f>VLOOKUP(MOD(C2526,7),'CALENDAR INFO'!$I$2:$J$8,2)</f>
        <v>THU</v>
      </c>
      <c r="I2526" s="457">
        <f t="shared" si="236"/>
        <v>0</v>
      </c>
      <c r="M2526" s="113">
        <f t="shared" si="238"/>
        <v>1</v>
      </c>
      <c r="N2526" s="64">
        <f t="shared" si="239"/>
        <v>1.0001077777777778</v>
      </c>
    </row>
    <row r="2527" spans="1:14">
      <c r="A2527" s="304">
        <f t="shared" si="240"/>
        <v>3.8599999999999994</v>
      </c>
      <c r="B2527" s="305">
        <f t="shared" si="240"/>
        <v>3.8799999999999955</v>
      </c>
      <c r="C2527" s="103">
        <f t="shared" si="237"/>
        <v>46325</v>
      </c>
      <c r="E2527" s="167"/>
      <c r="F2527" s="58" t="str">
        <f>VLOOKUP(MOD(C2527,7),'CALENDAR INFO'!$I$2:$J$8,2)</f>
        <v>FRI</v>
      </c>
      <c r="I2527" s="457">
        <f t="shared" si="236"/>
        <v>0</v>
      </c>
      <c r="M2527" s="113">
        <f t="shared" si="238"/>
        <v>3</v>
      </c>
      <c r="N2527" s="64">
        <f t="shared" si="239"/>
        <v>1.0003233333333332</v>
      </c>
    </row>
    <row r="2528" spans="1:14" ht="15.75" thickBot="1">
      <c r="A2528" s="405">
        <f t="shared" si="240"/>
        <v>3.8599999999999994</v>
      </c>
      <c r="B2528" s="406">
        <f t="shared" si="240"/>
        <v>3.8799999999999955</v>
      </c>
      <c r="C2528" s="104">
        <f t="shared" si="237"/>
        <v>46326</v>
      </c>
      <c r="D2528" s="112"/>
      <c r="E2528" s="92"/>
      <c r="F2528" s="71" t="str">
        <f>VLOOKUP(MOD(C2528,7),'CALENDAR INFO'!$I$2:$J$8,2)</f>
        <v>SAT</v>
      </c>
      <c r="G2528" s="215"/>
      <c r="H2528" s="426"/>
      <c r="I2528" s="458">
        <f t="shared" si="236"/>
        <v>0</v>
      </c>
      <c r="J2528" s="348"/>
      <c r="K2528" s="348"/>
      <c r="L2528" s="349"/>
      <c r="M2528" s="114">
        <f t="shared" si="238"/>
        <v>0</v>
      </c>
      <c r="N2528" s="292">
        <f t="shared" si="239"/>
        <v>1</v>
      </c>
    </row>
    <row r="2529" spans="1:14">
      <c r="A2529" s="304">
        <f>K2538</f>
        <v>3.8599999999999994</v>
      </c>
      <c r="B2529" s="305">
        <f>L2538</f>
        <v>3.8799999999999955</v>
      </c>
      <c r="C2529" s="103">
        <f t="shared" si="237"/>
        <v>46327</v>
      </c>
      <c r="E2529" s="167"/>
      <c r="F2529" s="58" t="str">
        <f>VLOOKUP(MOD(C2529,7),'CALENDAR INFO'!$I$2:$J$8,2)</f>
        <v>SUN</v>
      </c>
      <c r="I2529" s="457">
        <f t="shared" si="236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8"/>
        <v>0</v>
      </c>
      <c r="N2529" s="64">
        <f t="shared" si="239"/>
        <v>1</v>
      </c>
    </row>
    <row r="2530" spans="1:14">
      <c r="A2530" s="39">
        <f ca="1">K$2556</f>
        <v>3.8599999999999994</v>
      </c>
      <c r="B2530" s="41">
        <f t="shared" ref="B2530:B2558" ca="1" si="241">L$2556</f>
        <v>3.8799999999999955</v>
      </c>
      <c r="C2530" s="103">
        <f t="shared" si="237"/>
        <v>46328</v>
      </c>
      <c r="E2530" s="167"/>
      <c r="F2530" s="58" t="str">
        <f>VLOOKUP(MOD(C2530,7),'CALENDAR INFO'!$I$2:$J$8,2)</f>
        <v>MON</v>
      </c>
      <c r="I2530" s="457">
        <f t="shared" si="236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8"/>
        <v>1</v>
      </c>
      <c r="N2530" s="64">
        <f t="shared" ca="1" si="239"/>
        <v>1.0001077777777778</v>
      </c>
    </row>
    <row r="2531" spans="1:14">
      <c r="A2531" s="39">
        <f t="shared" ref="A2531:A2558" ca="1" si="242">K$2556</f>
        <v>3.8599999999999994</v>
      </c>
      <c r="B2531" s="41">
        <f t="shared" ca="1" si="241"/>
        <v>3.8799999999999955</v>
      </c>
      <c r="C2531" s="103">
        <f t="shared" si="237"/>
        <v>46329</v>
      </c>
      <c r="E2531" s="167"/>
      <c r="F2531" s="58" t="str">
        <f>VLOOKUP(MOD(C2531,7),'CALENDAR INFO'!$I$2:$J$8,2)</f>
        <v>TUE</v>
      </c>
      <c r="I2531" s="457">
        <f t="shared" si="236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8"/>
        <v>1</v>
      </c>
      <c r="N2531" s="64">
        <f t="shared" ca="1" si="239"/>
        <v>1.0001077777777778</v>
      </c>
    </row>
    <row r="2532" spans="1:14">
      <c r="A2532" s="39">
        <f t="shared" ca="1" si="242"/>
        <v>3.8599999999999994</v>
      </c>
      <c r="B2532" s="41">
        <f t="shared" ca="1" si="241"/>
        <v>3.8799999999999955</v>
      </c>
      <c r="C2532" s="103">
        <f t="shared" si="237"/>
        <v>46330</v>
      </c>
      <c r="E2532" s="167"/>
      <c r="F2532" s="58" t="str">
        <f>VLOOKUP(MOD(C2532,7),'CALENDAR INFO'!$I$2:$J$8,2)</f>
        <v>WED</v>
      </c>
      <c r="I2532" s="457">
        <f t="shared" si="236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8"/>
        <v>1</v>
      </c>
      <c r="N2532" s="64">
        <f t="shared" ca="1" si="239"/>
        <v>1.0001077777777778</v>
      </c>
    </row>
    <row r="2533" spans="1:14">
      <c r="A2533" s="39">
        <f t="shared" ca="1" si="242"/>
        <v>3.8599999999999994</v>
      </c>
      <c r="B2533" s="41">
        <f t="shared" ca="1" si="241"/>
        <v>3.8799999999999955</v>
      </c>
      <c r="C2533" s="103">
        <f t="shared" si="237"/>
        <v>46331</v>
      </c>
      <c r="E2533" s="167"/>
      <c r="F2533" s="58" t="str">
        <f>VLOOKUP(MOD(C2533,7),'CALENDAR INFO'!$I$2:$J$8,2)</f>
        <v>THU</v>
      </c>
      <c r="I2533" s="457">
        <f t="shared" si="236"/>
        <v>0</v>
      </c>
      <c r="K2533" s="176"/>
      <c r="M2533" s="113">
        <f t="shared" si="238"/>
        <v>1</v>
      </c>
      <c r="N2533" s="64">
        <f t="shared" ca="1" si="239"/>
        <v>1.0001077777777778</v>
      </c>
    </row>
    <row r="2534" spans="1:14">
      <c r="A2534" s="39">
        <f t="shared" ca="1" si="242"/>
        <v>3.8599999999999994</v>
      </c>
      <c r="B2534" s="41">
        <f t="shared" ca="1" si="241"/>
        <v>3.8799999999999955</v>
      </c>
      <c r="C2534" s="103">
        <f t="shared" si="237"/>
        <v>46332</v>
      </c>
      <c r="E2534" s="167"/>
      <c r="F2534" s="58" t="str">
        <f>VLOOKUP(MOD(C2534,7),'CALENDAR INFO'!$I$2:$J$8,2)</f>
        <v>FRI</v>
      </c>
      <c r="I2534" s="457">
        <f t="shared" si="236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8"/>
        <v>3</v>
      </c>
      <c r="N2534" s="64">
        <f t="shared" ca="1" si="239"/>
        <v>1.0003233333333332</v>
      </c>
    </row>
    <row r="2535" spans="1:14">
      <c r="A2535" s="39">
        <f t="shared" ca="1" si="242"/>
        <v>3.8599999999999994</v>
      </c>
      <c r="B2535" s="41">
        <f t="shared" ca="1" si="241"/>
        <v>3.8799999999999955</v>
      </c>
      <c r="C2535" s="103">
        <f t="shared" si="237"/>
        <v>46333</v>
      </c>
      <c r="E2535" s="167"/>
      <c r="F2535" s="58" t="str">
        <f>VLOOKUP(MOD(C2535,7),'CALENDAR INFO'!$I$2:$J$8,2)</f>
        <v>SAT</v>
      </c>
      <c r="I2535" s="457">
        <f t="shared" si="236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8"/>
        <v>0</v>
      </c>
      <c r="N2535" s="64">
        <f t="shared" ca="1" si="239"/>
        <v>1</v>
      </c>
    </row>
    <row r="2536" spans="1:14">
      <c r="A2536" s="39">
        <f t="shared" ca="1" si="242"/>
        <v>3.8599999999999994</v>
      </c>
      <c r="B2536" s="41">
        <f t="shared" ca="1" si="241"/>
        <v>3.8799999999999955</v>
      </c>
      <c r="C2536" s="103">
        <f t="shared" si="237"/>
        <v>46334</v>
      </c>
      <c r="E2536" s="167"/>
      <c r="F2536" s="58" t="str">
        <f>VLOOKUP(MOD(C2536,7),'CALENDAR INFO'!$I$2:$J$8,2)</f>
        <v>SUN</v>
      </c>
      <c r="I2536" s="457">
        <f t="shared" si="236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8"/>
        <v>0</v>
      </c>
      <c r="N2536" s="64">
        <f t="shared" ca="1" si="239"/>
        <v>1</v>
      </c>
    </row>
    <row r="2537" spans="1:14">
      <c r="A2537" s="39">
        <f t="shared" ca="1" si="242"/>
        <v>3.8599999999999994</v>
      </c>
      <c r="B2537" s="41">
        <f t="shared" ca="1" si="241"/>
        <v>3.8799999999999955</v>
      </c>
      <c r="C2537" s="103">
        <f t="shared" si="237"/>
        <v>46335</v>
      </c>
      <c r="E2537" s="167"/>
      <c r="F2537" s="58" t="str">
        <f>VLOOKUP(MOD(C2537,7),'CALENDAR INFO'!$I$2:$J$8,2)</f>
        <v>MON</v>
      </c>
      <c r="I2537" s="457">
        <f t="shared" si="236"/>
        <v>0</v>
      </c>
      <c r="M2537" s="113">
        <f t="shared" si="238"/>
        <v>1</v>
      </c>
      <c r="N2537" s="64">
        <f t="shared" ca="1" si="239"/>
        <v>1.0001077777777778</v>
      </c>
    </row>
    <row r="2538" spans="1:14">
      <c r="A2538" s="39">
        <f t="shared" ca="1" si="242"/>
        <v>3.8599999999999994</v>
      </c>
      <c r="B2538" s="41">
        <f t="shared" ca="1" si="241"/>
        <v>3.8799999999999955</v>
      </c>
      <c r="C2538" s="103">
        <f t="shared" si="237"/>
        <v>46336</v>
      </c>
      <c r="E2538" s="167"/>
      <c r="F2538" s="58" t="str">
        <f>VLOOKUP(MOD(C2538,7),'CALENDAR INFO'!$I$2:$J$8,2)</f>
        <v>TUE</v>
      </c>
      <c r="I2538" s="457">
        <f t="shared" si="236"/>
        <v>0</v>
      </c>
      <c r="J2538" s="15" t="s">
        <v>241</v>
      </c>
      <c r="K2538" s="186">
        <f>K2540</f>
        <v>3.8599999999999994</v>
      </c>
      <c r="L2538" s="194">
        <f>L2540</f>
        <v>3.8799999999999955</v>
      </c>
      <c r="M2538" s="117">
        <v>2</v>
      </c>
      <c r="N2538" s="64">
        <f t="shared" ca="1" si="239"/>
        <v>1.0002155555555556</v>
      </c>
    </row>
    <row r="2539" spans="1:14">
      <c r="A2539" s="39">
        <f t="shared" ca="1" si="242"/>
        <v>3.8599999999999994</v>
      </c>
      <c r="B2539" s="41">
        <f t="shared" ca="1" si="241"/>
        <v>3.8799999999999955</v>
      </c>
      <c r="C2539" s="103">
        <f t="shared" si="237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7">
        <f t="shared" si="236"/>
        <v>0</v>
      </c>
      <c r="M2539" s="117">
        <v>0</v>
      </c>
      <c r="N2539" s="64">
        <f t="shared" ca="1" si="239"/>
        <v>1</v>
      </c>
    </row>
    <row r="2540" spans="1:14">
      <c r="A2540" s="39">
        <f t="shared" ca="1" si="242"/>
        <v>3.8599999999999994</v>
      </c>
      <c r="B2540" s="41">
        <f t="shared" ca="1" si="241"/>
        <v>3.8799999999999955</v>
      </c>
      <c r="C2540" s="103">
        <f t="shared" si="237"/>
        <v>46338</v>
      </c>
      <c r="E2540" s="170" t="s">
        <v>18</v>
      </c>
      <c r="F2540" s="58" t="str">
        <f>VLOOKUP(MOD(C2540,7),'CALENDAR INFO'!$I$2:$J$8,2)</f>
        <v>THU</v>
      </c>
      <c r="I2540" s="457">
        <f t="shared" si="236"/>
        <v>0</v>
      </c>
      <c r="J2540" s="15" t="s">
        <v>197</v>
      </c>
      <c r="K2540" s="180">
        <f>OUTPUT!C8</f>
        <v>3.8599999999999994</v>
      </c>
      <c r="L2540" s="193">
        <f>OUTPUT!F8</f>
        <v>3.8799999999999955</v>
      </c>
      <c r="M2540" s="113">
        <f t="shared" ref="M2540:M2552" si="243">IF(MOD(C2540,7)&lt;2,0,IF(MOD(C2540,7)=6,3,1))</f>
        <v>1</v>
      </c>
      <c r="N2540" s="64">
        <f t="shared" ca="1" si="239"/>
        <v>1.0001077777777778</v>
      </c>
    </row>
    <row r="2541" spans="1:14">
      <c r="A2541" s="39">
        <f t="shared" ca="1" si="242"/>
        <v>3.8599999999999994</v>
      </c>
      <c r="B2541" s="41">
        <f t="shared" ca="1" si="241"/>
        <v>3.8799999999999955</v>
      </c>
      <c r="C2541" s="103">
        <f t="shared" si="237"/>
        <v>46339</v>
      </c>
      <c r="E2541" s="170"/>
      <c r="F2541" s="58" t="str">
        <f>VLOOKUP(MOD(C2541,7),'CALENDAR INFO'!$I$2:$J$8,2)</f>
        <v>FRI</v>
      </c>
      <c r="I2541" s="457">
        <f t="shared" si="236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3"/>
        <v>3</v>
      </c>
      <c r="N2541" s="64">
        <f t="shared" ca="1" si="239"/>
        <v>1.0003233333333332</v>
      </c>
    </row>
    <row r="2542" spans="1:14">
      <c r="A2542" s="39">
        <f t="shared" ca="1" si="242"/>
        <v>3.8599999999999994</v>
      </c>
      <c r="B2542" s="41">
        <f t="shared" ca="1" si="241"/>
        <v>3.8799999999999955</v>
      </c>
      <c r="C2542" s="103">
        <f t="shared" si="237"/>
        <v>46340</v>
      </c>
      <c r="E2542" s="170"/>
      <c r="F2542" s="58" t="str">
        <f>VLOOKUP(MOD(C2542,7),'CALENDAR INFO'!$I$2:$J$8,2)</f>
        <v>SAT</v>
      </c>
      <c r="I2542" s="457">
        <f t="shared" si="236"/>
        <v>0</v>
      </c>
      <c r="J2542" s="15" t="s">
        <v>234</v>
      </c>
      <c r="K2542" s="178">
        <f>K2540*K2530</f>
        <v>115.79999999999998</v>
      </c>
      <c r="L2542" s="192">
        <f>L2540*L2530</f>
        <v>116.39999999999986</v>
      </c>
      <c r="M2542" s="113">
        <f t="shared" si="243"/>
        <v>0</v>
      </c>
      <c r="N2542" s="64">
        <f t="shared" ca="1" si="239"/>
        <v>1</v>
      </c>
    </row>
    <row r="2543" spans="1:14">
      <c r="A2543" s="39">
        <f t="shared" ca="1" si="242"/>
        <v>3.8599999999999994</v>
      </c>
      <c r="B2543" s="41">
        <f t="shared" ca="1" si="241"/>
        <v>3.8799999999999955</v>
      </c>
      <c r="C2543" s="103">
        <f t="shared" si="237"/>
        <v>46341</v>
      </c>
      <c r="E2543" s="170"/>
      <c r="F2543" s="58" t="str">
        <f>VLOOKUP(MOD(C2543,7),'CALENDAR INFO'!$I$2:$J$8,2)</f>
        <v>SUN</v>
      </c>
      <c r="I2543" s="457">
        <f t="shared" si="236"/>
        <v>0</v>
      </c>
      <c r="M2543" s="113">
        <f t="shared" si="243"/>
        <v>0</v>
      </c>
      <c r="N2543" s="64">
        <f t="shared" ca="1" si="239"/>
        <v>1</v>
      </c>
    </row>
    <row r="2544" spans="1:14">
      <c r="A2544" s="39">
        <f t="shared" ca="1" si="242"/>
        <v>3.8599999999999994</v>
      </c>
      <c r="B2544" s="41">
        <f t="shared" ca="1" si="241"/>
        <v>3.8799999999999955</v>
      </c>
      <c r="C2544" s="103">
        <f t="shared" si="237"/>
        <v>46342</v>
      </c>
      <c r="E2544" s="170"/>
      <c r="F2544" s="58" t="str">
        <f>VLOOKUP(MOD(C2544,7),'CALENDAR INFO'!$I$2:$J$8,2)</f>
        <v>MON</v>
      </c>
      <c r="I2544" s="457">
        <f t="shared" si="236"/>
        <v>0</v>
      </c>
      <c r="J2544" s="15" t="str">
        <f>J2542</f>
        <v>monthly target</v>
      </c>
      <c r="K2544" s="178">
        <f>K2542</f>
        <v>115.79999999999998</v>
      </c>
      <c r="L2544" s="192">
        <f>L2542</f>
        <v>116.39999999999986</v>
      </c>
      <c r="M2544" s="113">
        <f t="shared" si="243"/>
        <v>1</v>
      </c>
      <c r="N2544" s="64">
        <f t="shared" ca="1" si="239"/>
        <v>1.0001077777777778</v>
      </c>
    </row>
    <row r="2545" spans="1:14">
      <c r="A2545" s="39">
        <f t="shared" ca="1" si="242"/>
        <v>3.8599999999999994</v>
      </c>
      <c r="B2545" s="41">
        <f t="shared" ca="1" si="241"/>
        <v>3.8799999999999955</v>
      </c>
      <c r="C2545" s="103">
        <f t="shared" si="237"/>
        <v>46343</v>
      </c>
      <c r="E2545" s="170"/>
      <c r="F2545" s="58" t="str">
        <f>VLOOKUP(MOD(C2545,7),'CALENDAR INFO'!$I$2:$J$8,2)</f>
        <v>TUE</v>
      </c>
      <c r="I2545" s="457">
        <f t="shared" si="236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3"/>
        <v>1</v>
      </c>
      <c r="N2545" s="64">
        <f t="shared" ca="1" si="239"/>
        <v>1.0001077777777778</v>
      </c>
    </row>
    <row r="2546" spans="1:14">
      <c r="A2546" s="39">
        <f t="shared" ca="1" si="242"/>
        <v>3.8599999999999994</v>
      </c>
      <c r="B2546" s="41">
        <f t="shared" ca="1" si="241"/>
        <v>3.8799999999999955</v>
      </c>
      <c r="C2546" s="103">
        <f t="shared" si="237"/>
        <v>46344</v>
      </c>
      <c r="E2546" s="170"/>
      <c r="F2546" s="58" t="str">
        <f>VLOOKUP(MOD(C2546,7),'CALENDAR INFO'!$I$2:$J$8,2)</f>
        <v>WED</v>
      </c>
      <c r="I2546" s="457">
        <f t="shared" si="236"/>
        <v>0</v>
      </c>
      <c r="J2546" s="15" t="s">
        <v>237</v>
      </c>
      <c r="K2546" s="400">
        <f ca="1">SUM(INDIRECT(K2535))</f>
        <v>3.8599999999999994</v>
      </c>
      <c r="L2546" s="401">
        <f ca="1">SUM(INDIRECT(L2535))</f>
        <v>3.8799999999999955</v>
      </c>
      <c r="M2546" s="113">
        <f t="shared" si="243"/>
        <v>1</v>
      </c>
      <c r="N2546" s="64">
        <f t="shared" ca="1" si="239"/>
        <v>1.0001077777777778</v>
      </c>
    </row>
    <row r="2547" spans="1:14">
      <c r="A2547" s="39">
        <f t="shared" ca="1" si="242"/>
        <v>3.8599999999999994</v>
      </c>
      <c r="B2547" s="41">
        <f t="shared" ca="1" si="241"/>
        <v>3.8799999999999955</v>
      </c>
      <c r="C2547" s="103">
        <f t="shared" si="237"/>
        <v>46345</v>
      </c>
      <c r="E2547" s="170"/>
      <c r="F2547" s="58" t="str">
        <f>VLOOKUP(MOD(C2547,7),'CALENDAR INFO'!$I$2:$J$8,2)</f>
        <v>THU</v>
      </c>
      <c r="I2547" s="457">
        <f t="shared" si="236"/>
        <v>0</v>
      </c>
      <c r="J2547" s="15" t="s">
        <v>238</v>
      </c>
      <c r="K2547" s="182">
        <f ca="1">K2542-K2545-K2546</f>
        <v>111.93999999999998</v>
      </c>
      <c r="L2547" s="201">
        <f ca="1">L2542-L2545-L2546</f>
        <v>112.51999999999987</v>
      </c>
      <c r="M2547" s="113">
        <f t="shared" si="243"/>
        <v>1</v>
      </c>
      <c r="N2547" s="64">
        <f t="shared" ca="1" si="239"/>
        <v>1.0001077777777778</v>
      </c>
    </row>
    <row r="2548" spans="1:14">
      <c r="A2548" s="39">
        <f t="shared" ca="1" si="242"/>
        <v>3.8599999999999994</v>
      </c>
      <c r="B2548" s="41">
        <f t="shared" ca="1" si="241"/>
        <v>3.8799999999999955</v>
      </c>
      <c r="C2548" s="103">
        <f t="shared" si="237"/>
        <v>46346</v>
      </c>
      <c r="E2548" s="170"/>
      <c r="F2548" s="58" t="str">
        <f>VLOOKUP(MOD(C2548,7),'CALENDAR INFO'!$I$2:$J$8,2)</f>
        <v>FRI</v>
      </c>
      <c r="I2548" s="457">
        <f t="shared" si="236"/>
        <v>0</v>
      </c>
      <c r="K2548" s="178"/>
      <c r="L2548" s="192"/>
      <c r="M2548" s="113">
        <f t="shared" si="243"/>
        <v>3</v>
      </c>
      <c r="N2548" s="64">
        <f t="shared" ca="1" si="239"/>
        <v>1.0003233333333332</v>
      </c>
    </row>
    <row r="2549" spans="1:14">
      <c r="A2549" s="39">
        <f t="shared" ca="1" si="242"/>
        <v>3.8599999999999994</v>
      </c>
      <c r="B2549" s="41">
        <f t="shared" ca="1" si="241"/>
        <v>3.8799999999999955</v>
      </c>
      <c r="C2549" s="103">
        <f t="shared" si="237"/>
        <v>46347</v>
      </c>
      <c r="E2549" s="170"/>
      <c r="F2549" s="58" t="str">
        <f>VLOOKUP(MOD(C2549,7),'CALENDAR INFO'!$I$2:$J$8,2)</f>
        <v>SAT</v>
      </c>
      <c r="I2549" s="457">
        <f t="shared" si="236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3"/>
        <v>0</v>
      </c>
      <c r="N2549" s="64">
        <f t="shared" ca="1" si="239"/>
        <v>1</v>
      </c>
    </row>
    <row r="2550" spans="1:14">
      <c r="A2550" s="39">
        <f t="shared" ca="1" si="242"/>
        <v>3.8599999999999994</v>
      </c>
      <c r="B2550" s="41">
        <f t="shared" ca="1" si="241"/>
        <v>3.8799999999999955</v>
      </c>
      <c r="C2550" s="103">
        <f t="shared" si="237"/>
        <v>46348</v>
      </c>
      <c r="E2550" s="170"/>
      <c r="F2550" s="58" t="str">
        <f>VLOOKUP(MOD(C2550,7),'CALENDAR INFO'!$I$2:$J$8,2)</f>
        <v>SUN</v>
      </c>
      <c r="I2550" s="457">
        <f t="shared" si="236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3"/>
        <v>0</v>
      </c>
      <c r="N2550" s="64">
        <f t="shared" ca="1" si="239"/>
        <v>1</v>
      </c>
    </row>
    <row r="2551" spans="1:14">
      <c r="A2551" s="39">
        <f t="shared" ca="1" si="242"/>
        <v>3.8599999999999994</v>
      </c>
      <c r="B2551" s="41">
        <f t="shared" ca="1" si="241"/>
        <v>3.8799999999999955</v>
      </c>
      <c r="C2551" s="103">
        <f t="shared" si="237"/>
        <v>46349</v>
      </c>
      <c r="E2551" s="170"/>
      <c r="F2551" s="58" t="str">
        <f>VLOOKUP(MOD(C2551,7),'CALENDAR INFO'!$I$2:$J$8,2)</f>
        <v>MON</v>
      </c>
      <c r="I2551" s="457">
        <f t="shared" si="236"/>
        <v>0</v>
      </c>
      <c r="J2551" s="15" t="s">
        <v>243</v>
      </c>
      <c r="K2551" s="402">
        <f ca="1">COUNTA(INDIRECT(K2535))</f>
        <v>1</v>
      </c>
      <c r="L2551" s="403">
        <f ca="1">COUNTA(INDIRECT(L2535))</f>
        <v>1</v>
      </c>
      <c r="M2551" s="113">
        <f t="shared" si="243"/>
        <v>1</v>
      </c>
      <c r="N2551" s="64">
        <f t="shared" ca="1" si="239"/>
        <v>1.0001077777777778</v>
      </c>
    </row>
    <row r="2552" spans="1:14">
      <c r="A2552" s="39">
        <f t="shared" ca="1" si="242"/>
        <v>3.8599999999999994</v>
      </c>
      <c r="B2552" s="41">
        <f t="shared" ca="1" si="241"/>
        <v>3.8799999999999955</v>
      </c>
      <c r="C2552" s="103">
        <f t="shared" si="237"/>
        <v>46350</v>
      </c>
      <c r="E2552" s="170"/>
      <c r="F2552" s="58" t="str">
        <f>VLOOKUP(MOD(C2552,7),'CALENDAR INFO'!$I$2:$J$8,2)</f>
        <v>TUE</v>
      </c>
      <c r="I2552" s="457">
        <f t="shared" si="236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3"/>
        <v>1</v>
      </c>
      <c r="N2552" s="64">
        <f t="shared" ca="1" si="239"/>
        <v>1.0001077777777778</v>
      </c>
    </row>
    <row r="2553" spans="1:14">
      <c r="A2553" s="39">
        <f t="shared" ca="1" si="242"/>
        <v>3.8599999999999994</v>
      </c>
      <c r="B2553" s="41">
        <f t="shared" ca="1" si="241"/>
        <v>3.8799999999999955</v>
      </c>
      <c r="C2553" s="103">
        <f t="shared" si="237"/>
        <v>46351</v>
      </c>
      <c r="E2553" s="170" t="s">
        <v>19</v>
      </c>
      <c r="F2553" s="58" t="str">
        <f>VLOOKUP(MOD(C2553,7),'CALENDAR INFO'!$I$2:$J$8,2)</f>
        <v>WED</v>
      </c>
      <c r="I2553" s="457">
        <f t="shared" si="236"/>
        <v>0</v>
      </c>
      <c r="K2553" s="178"/>
      <c r="L2553" s="192"/>
      <c r="M2553" s="117">
        <v>2</v>
      </c>
      <c r="N2553" s="64">
        <f t="shared" ca="1" si="239"/>
        <v>1.0002155555555556</v>
      </c>
    </row>
    <row r="2554" spans="1:14">
      <c r="A2554" s="39">
        <f t="shared" ca="1" si="242"/>
        <v>3.8599999999999994</v>
      </c>
      <c r="B2554" s="41">
        <f t="shared" ca="1" si="241"/>
        <v>3.8799999999999955</v>
      </c>
      <c r="C2554" s="103">
        <f t="shared" si="237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7">
        <f t="shared" si="236"/>
        <v>0</v>
      </c>
      <c r="J2554" s="15" t="s">
        <v>238</v>
      </c>
      <c r="K2554" s="178">
        <f ca="1">K2547</f>
        <v>111.93999999999998</v>
      </c>
      <c r="L2554" s="192">
        <f ca="1">L2547</f>
        <v>112.51999999999987</v>
      </c>
      <c r="M2554" s="117">
        <v>0</v>
      </c>
      <c r="N2554" s="64">
        <f t="shared" ca="1" si="239"/>
        <v>1</v>
      </c>
    </row>
    <row r="2555" spans="1:14">
      <c r="A2555" s="39">
        <f t="shared" ca="1" si="242"/>
        <v>3.8599999999999994</v>
      </c>
      <c r="B2555" s="41">
        <f t="shared" ca="1" si="241"/>
        <v>3.8799999999999955</v>
      </c>
      <c r="C2555" s="103">
        <f t="shared" si="237"/>
        <v>46353</v>
      </c>
      <c r="E2555" s="167"/>
      <c r="F2555" s="58" t="str">
        <f>VLOOKUP(MOD(C2555,7),'CALENDAR INFO'!$I$2:$J$8,2)</f>
        <v>FRI</v>
      </c>
      <c r="I2555" s="457">
        <f t="shared" si="236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4">IF(MOD(C2555,7)&lt;2,0,IF(MOD(C2555,7)=6,3,1))</f>
        <v>3</v>
      </c>
      <c r="N2555" s="64">
        <f t="shared" ca="1" si="239"/>
        <v>1.0003233333333332</v>
      </c>
    </row>
    <row r="2556" spans="1:14">
      <c r="A2556" s="39">
        <f t="shared" ca="1" si="242"/>
        <v>3.8599999999999994</v>
      </c>
      <c r="B2556" s="41">
        <f t="shared" ca="1" si="241"/>
        <v>3.8799999999999955</v>
      </c>
      <c r="C2556" s="103">
        <f t="shared" si="237"/>
        <v>46354</v>
      </c>
      <c r="E2556" s="167"/>
      <c r="F2556" s="58" t="str">
        <f>VLOOKUP(MOD(C2556,7),'CALENDAR INFO'!$I$2:$J$8,2)</f>
        <v>SAT</v>
      </c>
      <c r="I2556" s="457">
        <f t="shared" si="236"/>
        <v>0</v>
      </c>
      <c r="J2556" s="15" t="s">
        <v>240</v>
      </c>
      <c r="K2556" s="178">
        <f ca="1">K2554/K2555</f>
        <v>3.8599999999999994</v>
      </c>
      <c r="L2556" s="192">
        <f ca="1">L2554/L2555</f>
        <v>3.8799999999999955</v>
      </c>
      <c r="M2556" s="113">
        <f t="shared" si="244"/>
        <v>0</v>
      </c>
      <c r="N2556" s="64">
        <f t="shared" ca="1" si="239"/>
        <v>1</v>
      </c>
    </row>
    <row r="2557" spans="1:14">
      <c r="A2557" s="39">
        <f t="shared" ca="1" si="242"/>
        <v>3.8599999999999994</v>
      </c>
      <c r="B2557" s="41">
        <f t="shared" ca="1" si="241"/>
        <v>3.8799999999999955</v>
      </c>
      <c r="C2557" s="103">
        <f t="shared" si="237"/>
        <v>46355</v>
      </c>
      <c r="E2557" s="167"/>
      <c r="F2557" s="58" t="str">
        <f>VLOOKUP(MOD(C2557,7),'CALENDAR INFO'!$I$2:$J$8,2)</f>
        <v>SUN</v>
      </c>
      <c r="I2557" s="457">
        <f t="shared" si="236"/>
        <v>0</v>
      </c>
      <c r="M2557" s="113">
        <f t="shared" si="244"/>
        <v>0</v>
      </c>
      <c r="N2557" s="64">
        <f t="shared" ca="1" si="239"/>
        <v>1</v>
      </c>
    </row>
    <row r="2558" spans="1:14" ht="15.75" thickBot="1">
      <c r="A2558" s="98">
        <f t="shared" ca="1" si="242"/>
        <v>3.8599999999999994</v>
      </c>
      <c r="B2558" s="230">
        <f t="shared" ca="1" si="241"/>
        <v>3.8799999999999955</v>
      </c>
      <c r="C2558" s="104">
        <f t="shared" si="237"/>
        <v>46356</v>
      </c>
      <c r="D2558" s="112"/>
      <c r="E2558" s="92"/>
      <c r="F2558" s="71" t="str">
        <f>VLOOKUP(MOD(C2558,7),'CALENDAR INFO'!$I$2:$J$8,2)</f>
        <v>MON</v>
      </c>
      <c r="G2558" s="215"/>
      <c r="H2558" s="426"/>
      <c r="I2558" s="458">
        <f t="shared" si="236"/>
        <v>0</v>
      </c>
      <c r="J2558" s="348"/>
      <c r="K2558" s="348"/>
      <c r="L2558" s="349"/>
      <c r="M2558" s="114">
        <f t="shared" si="244"/>
        <v>1</v>
      </c>
      <c r="N2558" s="292">
        <f t="shared" ca="1" si="239"/>
        <v>1.0001077777777778</v>
      </c>
    </row>
    <row r="2559" spans="1:14">
      <c r="A2559" s="304">
        <f ca="1">K$2568</f>
        <v>3.8599999999999994</v>
      </c>
      <c r="B2559" s="305">
        <f t="shared" ref="B2559:B2567" ca="1" si="245">L$2568</f>
        <v>3.8799999999999955</v>
      </c>
      <c r="C2559" s="103">
        <f t="shared" si="237"/>
        <v>46357</v>
      </c>
      <c r="E2559" s="167"/>
      <c r="F2559" s="58" t="str">
        <f>VLOOKUP(MOD(C2559,7),'CALENDAR INFO'!$I$2:$J$8,2)</f>
        <v>TUE</v>
      </c>
      <c r="I2559" s="457">
        <f t="shared" si="236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4"/>
        <v>1</v>
      </c>
      <c r="N2559" s="64">
        <f t="shared" ca="1" si="239"/>
        <v>1.0001077777777778</v>
      </c>
    </row>
    <row r="2560" spans="1:14">
      <c r="A2560" s="304">
        <f t="shared" ref="A2560:A2567" ca="1" si="246">K$2568</f>
        <v>3.8599999999999994</v>
      </c>
      <c r="B2560" s="305">
        <f t="shared" ca="1" si="245"/>
        <v>3.8799999999999955</v>
      </c>
      <c r="C2560" s="103">
        <f t="shared" si="237"/>
        <v>46358</v>
      </c>
      <c r="E2560" s="167"/>
      <c r="F2560" s="58" t="str">
        <f>VLOOKUP(MOD(C2560,7),'CALENDAR INFO'!$I$2:$J$8,2)</f>
        <v>WED</v>
      </c>
      <c r="I2560" s="457">
        <f t="shared" si="236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4"/>
        <v>1</v>
      </c>
      <c r="N2560" s="64">
        <f t="shared" ca="1" si="239"/>
        <v>1.0001077777777778</v>
      </c>
    </row>
    <row r="2561" spans="1:14">
      <c r="A2561" s="304">
        <f t="shared" ca="1" si="246"/>
        <v>3.8599999999999994</v>
      </c>
      <c r="B2561" s="305">
        <f t="shared" ca="1" si="245"/>
        <v>3.8799999999999955</v>
      </c>
      <c r="C2561" s="103">
        <f t="shared" si="237"/>
        <v>46359</v>
      </c>
      <c r="E2561" s="167"/>
      <c r="F2561" s="58" t="str">
        <f>VLOOKUP(MOD(C2561,7),'CALENDAR INFO'!$I$2:$J$8,2)</f>
        <v>THU</v>
      </c>
      <c r="I2561" s="457">
        <f t="shared" si="236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4"/>
        <v>1</v>
      </c>
      <c r="N2561" s="64">
        <f t="shared" ca="1" si="239"/>
        <v>1.0001077777777778</v>
      </c>
    </row>
    <row r="2562" spans="1:14">
      <c r="A2562" s="304">
        <f t="shared" ca="1" si="246"/>
        <v>3.8599999999999994</v>
      </c>
      <c r="B2562" s="305">
        <f t="shared" ca="1" si="245"/>
        <v>3.8799999999999955</v>
      </c>
      <c r="C2562" s="103">
        <f t="shared" si="237"/>
        <v>46360</v>
      </c>
      <c r="E2562" s="167"/>
      <c r="F2562" s="58" t="str">
        <f>VLOOKUP(MOD(C2562,7),'CALENDAR INFO'!$I$2:$J$8,2)</f>
        <v>FRI</v>
      </c>
      <c r="I2562" s="457">
        <f t="shared" si="236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4"/>
        <v>3</v>
      </c>
      <c r="N2562" s="64">
        <f t="shared" ca="1" si="239"/>
        <v>1.0003233333333332</v>
      </c>
    </row>
    <row r="2563" spans="1:14">
      <c r="A2563" s="304">
        <f t="shared" ca="1" si="246"/>
        <v>3.8599999999999994</v>
      </c>
      <c r="B2563" s="305">
        <f t="shared" ca="1" si="245"/>
        <v>3.8799999999999955</v>
      </c>
      <c r="C2563" s="103">
        <f t="shared" si="237"/>
        <v>46361</v>
      </c>
      <c r="E2563" s="167"/>
      <c r="F2563" s="58" t="str">
        <f>VLOOKUP(MOD(C2563,7),'CALENDAR INFO'!$I$2:$J$8,2)</f>
        <v>SAT</v>
      </c>
      <c r="I2563" s="457">
        <f t="shared" ref="I2563:I2592" si="247">H2563-G2563</f>
        <v>0</v>
      </c>
      <c r="K2563" s="311"/>
      <c r="L2563" s="15"/>
      <c r="M2563" s="113">
        <f t="shared" si="244"/>
        <v>0</v>
      </c>
      <c r="N2563" s="64">
        <f t="shared" ca="1" si="239"/>
        <v>1</v>
      </c>
    </row>
    <row r="2564" spans="1:14">
      <c r="A2564" s="304">
        <f t="shared" ca="1" si="246"/>
        <v>3.8599999999999994</v>
      </c>
      <c r="B2564" s="305">
        <f t="shared" ca="1" si="245"/>
        <v>3.8799999999999955</v>
      </c>
      <c r="C2564" s="103">
        <f t="shared" ref="C2564:C2592" si="248">C2563+1</f>
        <v>46362</v>
      </c>
      <c r="E2564" s="167"/>
      <c r="F2564" s="58" t="str">
        <f>VLOOKUP(MOD(C2564,7),'CALENDAR INFO'!$I$2:$J$8,2)</f>
        <v>SUN</v>
      </c>
      <c r="I2564" s="457">
        <f t="shared" si="247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4"/>
        <v>0</v>
      </c>
      <c r="N2564" s="64">
        <f t="shared" ca="1" si="239"/>
        <v>1</v>
      </c>
    </row>
    <row r="2565" spans="1:14">
      <c r="A2565" s="304">
        <f t="shared" ca="1" si="246"/>
        <v>3.8599999999999994</v>
      </c>
      <c r="B2565" s="305">
        <f t="shared" ca="1" si="245"/>
        <v>3.8799999999999955</v>
      </c>
      <c r="C2565" s="103">
        <f t="shared" si="248"/>
        <v>46363</v>
      </c>
      <c r="E2565" s="167"/>
      <c r="F2565" s="58" t="str">
        <f>VLOOKUP(MOD(C2565,7),'CALENDAR INFO'!$I$2:$J$8,2)</f>
        <v>MON</v>
      </c>
      <c r="I2565" s="457">
        <f t="shared" si="247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4"/>
        <v>1</v>
      </c>
      <c r="N2565" s="64">
        <f t="shared" ca="1" si="239"/>
        <v>1.0001077777777778</v>
      </c>
    </row>
    <row r="2566" spans="1:14">
      <c r="A2566" s="304">
        <f t="shared" ca="1" si="246"/>
        <v>3.8599999999999994</v>
      </c>
      <c r="B2566" s="305">
        <f t="shared" ca="1" si="245"/>
        <v>3.8799999999999955</v>
      </c>
      <c r="C2566" s="103">
        <f t="shared" si="248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7">
        <f t="shared" si="247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4"/>
        <v>1</v>
      </c>
      <c r="N2566" s="64">
        <f t="shared" ca="1" si="239"/>
        <v>1.0001077777777778</v>
      </c>
    </row>
    <row r="2567" spans="1:14">
      <c r="A2567" s="304">
        <f t="shared" ca="1" si="246"/>
        <v>3.8599999999999994</v>
      </c>
      <c r="B2567" s="305">
        <f t="shared" ca="1" si="245"/>
        <v>3.8799999999999955</v>
      </c>
      <c r="C2567" s="103">
        <f t="shared" si="248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7">
        <f t="shared" si="247"/>
        <v>0</v>
      </c>
      <c r="M2567" s="113">
        <f t="shared" si="244"/>
        <v>1</v>
      </c>
      <c r="N2567" s="64">
        <f t="shared" ca="1" si="239"/>
        <v>1.0001077777777778</v>
      </c>
    </row>
    <row r="2568" spans="1:14">
      <c r="A2568" s="39">
        <f ca="1">K$2586</f>
        <v>4.0009090909090821</v>
      </c>
      <c r="B2568" s="41">
        <f t="shared" ref="B2568:B2589" ca="1" si="249">L$2586</f>
        <v>4.0420454545454625</v>
      </c>
      <c r="C2568" s="103">
        <f t="shared" si="248"/>
        <v>46366</v>
      </c>
      <c r="E2568" s="170" t="s">
        <v>18</v>
      </c>
      <c r="F2568" s="58" t="str">
        <f>VLOOKUP(MOD(C2568,7),'CALENDAR INFO'!$I$2:$J$8,2)</f>
        <v>THU</v>
      </c>
      <c r="I2568" s="457">
        <f t="shared" si="247"/>
        <v>0</v>
      </c>
      <c r="J2568" s="15" t="s">
        <v>241</v>
      </c>
      <c r="K2568" s="186">
        <f ca="1">A2558+G2558</f>
        <v>3.8599999999999994</v>
      </c>
      <c r="L2568" s="194">
        <f ca="1">B2558+H2558</f>
        <v>3.8799999999999955</v>
      </c>
      <c r="M2568" s="113">
        <f t="shared" si="244"/>
        <v>1</v>
      </c>
      <c r="N2568" s="64">
        <f t="shared" ca="1" si="239"/>
        <v>1.000112279040404</v>
      </c>
    </row>
    <row r="2569" spans="1:14">
      <c r="A2569" s="39">
        <f t="shared" ref="A2569:A2589" ca="1" si="250">K$2586</f>
        <v>4.0009090909090821</v>
      </c>
      <c r="B2569" s="41">
        <f t="shared" ca="1" si="249"/>
        <v>4.0420454545454625</v>
      </c>
      <c r="C2569" s="103">
        <f t="shared" si="248"/>
        <v>46367</v>
      </c>
      <c r="E2569" s="170"/>
      <c r="F2569" s="58" t="str">
        <f>VLOOKUP(MOD(C2569,7),'CALENDAR INFO'!$I$2:$J$8,2)</f>
        <v>FRI</v>
      </c>
      <c r="I2569" s="457">
        <f t="shared" si="247"/>
        <v>0</v>
      </c>
      <c r="K2569" s="178"/>
      <c r="L2569" s="192"/>
      <c r="M2569" s="113">
        <f t="shared" si="244"/>
        <v>3</v>
      </c>
      <c r="N2569" s="64">
        <f t="shared" ca="1" si="239"/>
        <v>1.000336837121212</v>
      </c>
    </row>
    <row r="2570" spans="1:14">
      <c r="A2570" s="39">
        <f t="shared" ca="1" si="250"/>
        <v>4.0009090909090821</v>
      </c>
      <c r="B2570" s="41">
        <f t="shared" ca="1" si="249"/>
        <v>4.0420454545454625</v>
      </c>
      <c r="C2570" s="103">
        <f t="shared" si="248"/>
        <v>46368</v>
      </c>
      <c r="E2570" s="170"/>
      <c r="F2570" s="58" t="str">
        <f>VLOOKUP(MOD(C2570,7),'CALENDAR INFO'!$I$2:$J$8,2)</f>
        <v>SAT</v>
      </c>
      <c r="I2570" s="457">
        <f t="shared" si="247"/>
        <v>0</v>
      </c>
      <c r="J2570" s="15" t="s">
        <v>197</v>
      </c>
      <c r="K2570" s="180">
        <f>OUTPUT!C9</f>
        <v>3.9599999999999937</v>
      </c>
      <c r="L2570" s="180">
        <f>OUTPUT!F9</f>
        <v>3.9950000000000045</v>
      </c>
      <c r="M2570" s="113">
        <f t="shared" si="244"/>
        <v>0</v>
      </c>
      <c r="N2570" s="64">
        <f t="shared" ca="1" si="239"/>
        <v>1</v>
      </c>
    </row>
    <row r="2571" spans="1:14">
      <c r="A2571" s="39">
        <f t="shared" ca="1" si="250"/>
        <v>4.0009090909090821</v>
      </c>
      <c r="B2571" s="41">
        <f t="shared" ca="1" si="249"/>
        <v>4.0420454545454625</v>
      </c>
      <c r="C2571" s="103">
        <f t="shared" si="248"/>
        <v>46369</v>
      </c>
      <c r="E2571" s="170"/>
      <c r="F2571" s="58" t="str">
        <f>VLOOKUP(MOD(C2571,7),'CALENDAR INFO'!$I$2:$J$8,2)</f>
        <v>SUN</v>
      </c>
      <c r="I2571" s="457">
        <f t="shared" si="247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4"/>
        <v>0</v>
      </c>
      <c r="N2571" s="64">
        <f t="shared" ca="1" si="239"/>
        <v>1</v>
      </c>
    </row>
    <row r="2572" spans="1:14">
      <c r="A2572" s="39">
        <f t="shared" ca="1" si="250"/>
        <v>4.0009090909090821</v>
      </c>
      <c r="B2572" s="41">
        <f t="shared" ca="1" si="249"/>
        <v>4.0420454545454625</v>
      </c>
      <c r="C2572" s="103">
        <f t="shared" si="248"/>
        <v>46370</v>
      </c>
      <c r="E2572" s="170"/>
      <c r="F2572" s="58" t="str">
        <f>VLOOKUP(MOD(C2572,7),'CALENDAR INFO'!$I$2:$J$8,2)</f>
        <v>MON</v>
      </c>
      <c r="I2572" s="457">
        <f t="shared" si="247"/>
        <v>0</v>
      </c>
      <c r="J2572" s="15" t="s">
        <v>234</v>
      </c>
      <c r="K2572" s="178">
        <f>K2570*K2560</f>
        <v>122.75999999999981</v>
      </c>
      <c r="L2572" s="178">
        <f>L2570*L2560</f>
        <v>123.84500000000014</v>
      </c>
      <c r="M2572" s="113">
        <f t="shared" si="244"/>
        <v>1</v>
      </c>
      <c r="N2572" s="64">
        <f t="shared" ca="1" si="239"/>
        <v>1.000112279040404</v>
      </c>
    </row>
    <row r="2573" spans="1:14">
      <c r="A2573" s="39">
        <f t="shared" ca="1" si="250"/>
        <v>4.0009090909090821</v>
      </c>
      <c r="B2573" s="41">
        <f t="shared" ca="1" si="249"/>
        <v>4.0420454545454625</v>
      </c>
      <c r="C2573" s="103">
        <f t="shared" si="248"/>
        <v>46371</v>
      </c>
      <c r="E2573" s="170"/>
      <c r="F2573" s="58" t="str">
        <f>VLOOKUP(MOD(C2573,7),'CALENDAR INFO'!$I$2:$J$8,2)</f>
        <v>TUE</v>
      </c>
      <c r="I2573" s="457">
        <f t="shared" si="247"/>
        <v>0</v>
      </c>
      <c r="K2573" s="178"/>
      <c r="L2573" s="192"/>
      <c r="M2573" s="113">
        <f t="shared" si="244"/>
        <v>1</v>
      </c>
      <c r="N2573" s="64">
        <f t="shared" ca="1" si="239"/>
        <v>1.000112279040404</v>
      </c>
    </row>
    <row r="2574" spans="1:14">
      <c r="A2574" s="39">
        <f t="shared" ca="1" si="250"/>
        <v>4.0009090909090821</v>
      </c>
      <c r="B2574" s="41">
        <f t="shared" ca="1" si="249"/>
        <v>4.0420454545454625</v>
      </c>
      <c r="C2574" s="103">
        <f t="shared" si="248"/>
        <v>46372</v>
      </c>
      <c r="E2574" s="170"/>
      <c r="F2574" s="58" t="str">
        <f>VLOOKUP(MOD(C2574,7),'CALENDAR INFO'!$I$2:$J$8,2)</f>
        <v>WED</v>
      </c>
      <c r="I2574" s="457">
        <f t="shared" si="247"/>
        <v>0</v>
      </c>
      <c r="J2574" s="15" t="str">
        <f>J2572</f>
        <v>monthly target</v>
      </c>
      <c r="K2574" s="178">
        <f>K2572</f>
        <v>122.75999999999981</v>
      </c>
      <c r="L2574" s="192">
        <f>L2572</f>
        <v>123.84500000000014</v>
      </c>
      <c r="M2574" s="113">
        <f t="shared" si="244"/>
        <v>1</v>
      </c>
      <c r="N2574" s="64">
        <f t="shared" ca="1" si="239"/>
        <v>1.000112279040404</v>
      </c>
    </row>
    <row r="2575" spans="1:14">
      <c r="A2575" s="39">
        <f t="shared" ca="1" si="250"/>
        <v>4.0009090909090821</v>
      </c>
      <c r="B2575" s="41">
        <f t="shared" ca="1" si="249"/>
        <v>4.0420454545454625</v>
      </c>
      <c r="C2575" s="103">
        <f t="shared" si="248"/>
        <v>46373</v>
      </c>
      <c r="E2575" s="170"/>
      <c r="F2575" s="58" t="str">
        <f>VLOOKUP(MOD(C2575,7),'CALENDAR INFO'!$I$2:$J$8,2)</f>
        <v>THU</v>
      </c>
      <c r="I2575" s="457">
        <f t="shared" si="247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4"/>
        <v>1</v>
      </c>
      <c r="N2575" s="64">
        <f t="shared" ca="1" si="239"/>
        <v>1.000112279040404</v>
      </c>
    </row>
    <row r="2576" spans="1:14">
      <c r="A2576" s="39">
        <f t="shared" ca="1" si="250"/>
        <v>4.0009090909090821</v>
      </c>
      <c r="B2576" s="41">
        <f t="shared" ca="1" si="249"/>
        <v>4.0420454545454625</v>
      </c>
      <c r="C2576" s="103">
        <f t="shared" si="248"/>
        <v>46374</v>
      </c>
      <c r="E2576" s="170"/>
      <c r="F2576" s="58" t="str">
        <f>VLOOKUP(MOD(C2576,7),'CALENDAR INFO'!$I$2:$J$8,2)</f>
        <v>FRI</v>
      </c>
      <c r="I2576" s="457">
        <f t="shared" si="247"/>
        <v>0</v>
      </c>
      <c r="J2576" s="15" t="s">
        <v>237</v>
      </c>
      <c r="K2576" s="400">
        <f ca="1">SUM(INDIRECT(K2565))</f>
        <v>34.739999999999995</v>
      </c>
      <c r="L2576" s="401">
        <f ca="1">SUM(INDIRECT(L2565))</f>
        <v>34.919999999999959</v>
      </c>
      <c r="M2576" s="113">
        <f t="shared" si="244"/>
        <v>3</v>
      </c>
      <c r="N2576" s="64">
        <f t="shared" ca="1" si="239"/>
        <v>1.000336837121212</v>
      </c>
    </row>
    <row r="2577" spans="1:14">
      <c r="A2577" s="39">
        <f t="shared" ca="1" si="250"/>
        <v>4.0009090909090821</v>
      </c>
      <c r="B2577" s="41">
        <f t="shared" ca="1" si="249"/>
        <v>4.0420454545454625</v>
      </c>
      <c r="C2577" s="103">
        <f t="shared" si="248"/>
        <v>46375</v>
      </c>
      <c r="E2577" s="170"/>
      <c r="F2577" s="58" t="str">
        <f>VLOOKUP(MOD(C2577,7),'CALENDAR INFO'!$I$2:$J$8,2)</f>
        <v>SAT</v>
      </c>
      <c r="I2577" s="457">
        <f t="shared" si="247"/>
        <v>0</v>
      </c>
      <c r="J2577" s="15" t="s">
        <v>238</v>
      </c>
      <c r="K2577" s="182">
        <f ca="1">K2572-K2575-K2576</f>
        <v>88.019999999999811</v>
      </c>
      <c r="L2577" s="201">
        <f ca="1">L2572-L2575-L2576</f>
        <v>88.925000000000182</v>
      </c>
      <c r="M2577" s="113">
        <f t="shared" si="244"/>
        <v>0</v>
      </c>
      <c r="N2577" s="64">
        <f t="shared" ca="1" si="239"/>
        <v>1</v>
      </c>
    </row>
    <row r="2578" spans="1:14">
      <c r="A2578" s="39">
        <f t="shared" ca="1" si="250"/>
        <v>4.0009090909090821</v>
      </c>
      <c r="B2578" s="41">
        <f t="shared" ca="1" si="249"/>
        <v>4.0420454545454625</v>
      </c>
      <c r="C2578" s="103">
        <f t="shared" si="248"/>
        <v>46376</v>
      </c>
      <c r="E2578" s="170"/>
      <c r="F2578" s="58" t="str">
        <f>VLOOKUP(MOD(C2578,7),'CALENDAR INFO'!$I$2:$J$8,2)</f>
        <v>SUN</v>
      </c>
      <c r="I2578" s="457">
        <f t="shared" si="247"/>
        <v>0</v>
      </c>
      <c r="M2578" s="113">
        <f t="shared" si="244"/>
        <v>0</v>
      </c>
      <c r="N2578" s="64">
        <f t="shared" ca="1" si="239"/>
        <v>1</v>
      </c>
    </row>
    <row r="2579" spans="1:14">
      <c r="A2579" s="39">
        <f t="shared" ca="1" si="250"/>
        <v>4.0009090909090821</v>
      </c>
      <c r="B2579" s="41">
        <f t="shared" ca="1" si="249"/>
        <v>4.0420454545454625</v>
      </c>
      <c r="C2579" s="103">
        <f t="shared" si="248"/>
        <v>46377</v>
      </c>
      <c r="E2579" s="170"/>
      <c r="F2579" s="58" t="str">
        <f>VLOOKUP(MOD(C2579,7),'CALENDAR INFO'!$I$2:$J$8,2)</f>
        <v>MON</v>
      </c>
      <c r="I2579" s="457">
        <f t="shared" si="247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4"/>
        <v>1</v>
      </c>
      <c r="N2579" s="64">
        <f t="shared" ref="N2579:N2592" ca="1" si="251">1+(M2579/360)*(MAX(H2579,B2579)/100)</f>
        <v>1.000112279040404</v>
      </c>
    </row>
    <row r="2580" spans="1:14">
      <c r="A2580" s="39">
        <f t="shared" ca="1" si="250"/>
        <v>4.0009090909090821</v>
      </c>
      <c r="B2580" s="41">
        <f t="shared" ca="1" si="249"/>
        <v>4.0420454545454625</v>
      </c>
      <c r="C2580" s="103">
        <f t="shared" si="248"/>
        <v>46378</v>
      </c>
      <c r="E2580" s="170"/>
      <c r="F2580" s="58" t="str">
        <f>VLOOKUP(MOD(C2580,7),'CALENDAR INFO'!$I$2:$J$8,2)</f>
        <v>TUE</v>
      </c>
      <c r="I2580" s="457">
        <f t="shared" si="247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4"/>
        <v>1</v>
      </c>
      <c r="N2580" s="64">
        <f t="shared" ca="1" si="251"/>
        <v>1.000112279040404</v>
      </c>
    </row>
    <row r="2581" spans="1:14">
      <c r="A2581" s="39">
        <f t="shared" ca="1" si="250"/>
        <v>4.0009090909090821</v>
      </c>
      <c r="B2581" s="41">
        <f t="shared" ca="1" si="249"/>
        <v>4.0420454545454625</v>
      </c>
      <c r="C2581" s="103">
        <f t="shared" si="248"/>
        <v>46379</v>
      </c>
      <c r="E2581" s="170" t="s">
        <v>19</v>
      </c>
      <c r="F2581" s="58" t="str">
        <f>VLOOKUP(MOD(C2581,7),'CALENDAR INFO'!$I$2:$J$8,2)</f>
        <v>WED</v>
      </c>
      <c r="I2581" s="457">
        <f t="shared" si="247"/>
        <v>0</v>
      </c>
      <c r="J2581" s="15" t="s">
        <v>243</v>
      </c>
      <c r="K2581" s="402">
        <f ca="1">COUNTA(INDIRECT(K2565))</f>
        <v>9</v>
      </c>
      <c r="L2581" s="403">
        <f ca="1">COUNTA(INDIRECT(L2565))</f>
        <v>9</v>
      </c>
      <c r="M2581" s="113">
        <f t="shared" si="244"/>
        <v>1</v>
      </c>
      <c r="N2581" s="64">
        <f t="shared" ca="1" si="251"/>
        <v>1.000112279040404</v>
      </c>
    </row>
    <row r="2582" spans="1:14">
      <c r="A2582" s="39">
        <f t="shared" ca="1" si="250"/>
        <v>4.0009090909090821</v>
      </c>
      <c r="B2582" s="41">
        <f t="shared" ca="1" si="249"/>
        <v>4.0420454545454625</v>
      </c>
      <c r="C2582" s="103">
        <f t="shared" si="248"/>
        <v>46380</v>
      </c>
      <c r="E2582" s="167" t="s">
        <v>18</v>
      </c>
      <c r="F2582" s="58" t="str">
        <f>VLOOKUP(MOD(C2582,7),'CALENDAR INFO'!$I$2:$J$8,2)</f>
        <v>THU</v>
      </c>
      <c r="I2582" s="457">
        <f t="shared" si="247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51"/>
        <v>1.0004491161616162</v>
      </c>
    </row>
    <row r="2583" spans="1:14">
      <c r="A2583" s="39">
        <f t="shared" ca="1" si="250"/>
        <v>4.0009090909090821</v>
      </c>
      <c r="B2583" s="41">
        <f t="shared" ca="1" si="249"/>
        <v>4.0420454545454625</v>
      </c>
      <c r="C2583" s="103">
        <f t="shared" si="248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7">
        <f t="shared" si="247"/>
        <v>0</v>
      </c>
      <c r="K2583" s="178"/>
      <c r="L2583" s="192"/>
      <c r="M2583" s="117">
        <v>0</v>
      </c>
      <c r="N2583" s="64">
        <f t="shared" ca="1" si="251"/>
        <v>1</v>
      </c>
    </row>
    <row r="2584" spans="1:14">
      <c r="A2584" s="39">
        <f t="shared" ca="1" si="250"/>
        <v>4.0009090909090821</v>
      </c>
      <c r="B2584" s="41">
        <f t="shared" ca="1" si="249"/>
        <v>4.0420454545454625</v>
      </c>
      <c r="C2584" s="103">
        <f t="shared" si="248"/>
        <v>46382</v>
      </c>
      <c r="E2584" s="167"/>
      <c r="F2584" s="58" t="str">
        <f>VLOOKUP(MOD(C2584,7),'CALENDAR INFO'!$I$2:$J$8,2)</f>
        <v>SAT</v>
      </c>
      <c r="I2584" s="457">
        <f t="shared" si="247"/>
        <v>0</v>
      </c>
      <c r="J2584" s="15" t="s">
        <v>238</v>
      </c>
      <c r="K2584" s="178">
        <f ca="1">K2577</f>
        <v>88.019999999999811</v>
      </c>
      <c r="L2584" s="192">
        <f ca="1">L2577</f>
        <v>88.925000000000182</v>
      </c>
      <c r="M2584" s="113">
        <f>IF(MOD(C2584,7)&lt;2,0,IF(MOD(C2584,7)=6,3,1))</f>
        <v>0</v>
      </c>
      <c r="N2584" s="64">
        <f t="shared" ca="1" si="251"/>
        <v>1</v>
      </c>
    </row>
    <row r="2585" spans="1:14">
      <c r="A2585" s="39">
        <f t="shared" ca="1" si="250"/>
        <v>4.0009090909090821</v>
      </c>
      <c r="B2585" s="41">
        <f t="shared" ca="1" si="249"/>
        <v>4.0420454545454625</v>
      </c>
      <c r="C2585" s="103">
        <f t="shared" si="248"/>
        <v>46383</v>
      </c>
      <c r="E2585" s="167"/>
      <c r="F2585" s="58" t="str">
        <f>VLOOKUP(MOD(C2585,7),'CALENDAR INFO'!$I$2:$J$8,2)</f>
        <v>SUN</v>
      </c>
      <c r="I2585" s="457">
        <f t="shared" si="247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51"/>
        <v>1</v>
      </c>
    </row>
    <row r="2586" spans="1:14">
      <c r="A2586" s="39">
        <f t="shared" ca="1" si="250"/>
        <v>4.0009090909090821</v>
      </c>
      <c r="B2586" s="41">
        <f t="shared" ca="1" si="249"/>
        <v>4.0420454545454625</v>
      </c>
      <c r="C2586" s="103">
        <f t="shared" si="248"/>
        <v>46384</v>
      </c>
      <c r="E2586" s="167"/>
      <c r="F2586" s="58" t="str">
        <f>VLOOKUP(MOD(C2586,7),'CALENDAR INFO'!$I$2:$J$8,2)</f>
        <v>MON</v>
      </c>
      <c r="I2586" s="457">
        <f t="shared" si="247"/>
        <v>0</v>
      </c>
      <c r="J2586" s="15" t="s">
        <v>240</v>
      </c>
      <c r="K2586" s="178">
        <f ca="1">K2584/K2585</f>
        <v>4.0009090909090821</v>
      </c>
      <c r="L2586" s="192">
        <f ca="1">L2584/L2585</f>
        <v>4.0420454545454625</v>
      </c>
      <c r="M2586" s="113">
        <f>IF(MOD(C2586,7)&lt;2,0,IF(MOD(C2586,7)=6,3,1))</f>
        <v>1</v>
      </c>
      <c r="N2586" s="64">
        <f t="shared" ca="1" si="251"/>
        <v>1.000112279040404</v>
      </c>
    </row>
    <row r="2587" spans="1:14">
      <c r="A2587" s="39">
        <f t="shared" ca="1" si="250"/>
        <v>4.0009090909090821</v>
      </c>
      <c r="B2587" s="41">
        <f t="shared" ca="1" si="249"/>
        <v>4.0420454545454625</v>
      </c>
      <c r="C2587" s="103">
        <f t="shared" si="248"/>
        <v>46385</v>
      </c>
      <c r="E2587" s="167"/>
      <c r="F2587" s="58" t="str">
        <f>VLOOKUP(MOD(C2587,7),'CALENDAR INFO'!$I$2:$J$8,2)</f>
        <v>TUE</v>
      </c>
      <c r="I2587" s="457">
        <f t="shared" si="247"/>
        <v>0</v>
      </c>
      <c r="M2587" s="113">
        <f>IF(MOD(C2587,7)&lt;2,0,IF(MOD(C2587,7)=6,3,1))</f>
        <v>1</v>
      </c>
      <c r="N2587" s="64">
        <f t="shared" ca="1" si="251"/>
        <v>1.000112279040404</v>
      </c>
    </row>
    <row r="2588" spans="1:14">
      <c r="A2588" s="39">
        <f t="shared" ca="1" si="250"/>
        <v>4.0009090909090821</v>
      </c>
      <c r="B2588" s="41">
        <f t="shared" ca="1" si="249"/>
        <v>4.0420454545454625</v>
      </c>
      <c r="C2588" s="103">
        <f t="shared" si="248"/>
        <v>46386</v>
      </c>
      <c r="E2588" s="167"/>
      <c r="F2588" s="58" t="str">
        <f>VLOOKUP(MOD(C2588,7),'CALENDAR INFO'!$I$2:$J$8,2)</f>
        <v>WED</v>
      </c>
      <c r="I2588" s="457">
        <f t="shared" si="247"/>
        <v>0</v>
      </c>
      <c r="M2588" s="113">
        <f>IF(MOD(C2588,7)&lt;2,0,IF(MOD(C2588,7)=6,3,1))</f>
        <v>1</v>
      </c>
      <c r="N2588" s="64">
        <f t="shared" ca="1" si="251"/>
        <v>1.000112279040404</v>
      </c>
    </row>
    <row r="2589" spans="1:14" ht="15.75" thickBot="1">
      <c r="A2589" s="98">
        <f t="shared" ca="1" si="250"/>
        <v>4.0009090909090821</v>
      </c>
      <c r="B2589" s="230">
        <f t="shared" ca="1" si="249"/>
        <v>4.0420454545454625</v>
      </c>
      <c r="C2589" s="104">
        <f t="shared" si="248"/>
        <v>46387</v>
      </c>
      <c r="D2589" s="112"/>
      <c r="E2589" s="92"/>
      <c r="F2589" s="71" t="str">
        <f>VLOOKUP(MOD(C2589,7),'CALENDAR INFO'!$I$2:$J$8,2)</f>
        <v>THU</v>
      </c>
      <c r="G2589" s="215"/>
      <c r="H2589" s="426"/>
      <c r="I2589" s="458">
        <f t="shared" si="247"/>
        <v>0</v>
      </c>
      <c r="J2589" s="348"/>
      <c r="K2589" s="348"/>
      <c r="L2589" s="349"/>
      <c r="M2589" s="281">
        <v>4</v>
      </c>
      <c r="N2589" s="292">
        <f t="shared" ca="1" si="251"/>
        <v>1.0004491161616162</v>
      </c>
    </row>
    <row r="2590" spans="1:14">
      <c r="C2590" s="103">
        <f t="shared" si="248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7">
        <f t="shared" si="247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si="251"/>
        <v>1</v>
      </c>
    </row>
    <row r="2591" spans="1:14">
      <c r="C2591" s="103">
        <f t="shared" si="248"/>
        <v>46389</v>
      </c>
      <c r="E2591" s="167"/>
      <c r="F2591" s="58" t="str">
        <f>VLOOKUP(MOD(C2591,7),'CALENDAR INFO'!$I$2:$J$8,2)</f>
        <v>SAT</v>
      </c>
      <c r="I2591" s="457">
        <f t="shared" si="247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51"/>
        <v>1</v>
      </c>
    </row>
    <row r="2592" spans="1:14">
      <c r="C2592" s="103">
        <f t="shared" si="248"/>
        <v>46390</v>
      </c>
      <c r="E2592" s="167"/>
      <c r="F2592" s="58" t="str">
        <f>VLOOKUP(MOD(C2592,7),'CALENDAR INFO'!$I$2:$J$8,2)</f>
        <v>SUN</v>
      </c>
      <c r="I2592" s="457">
        <f t="shared" si="247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51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A1:A1048576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B1:B1048576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2" name="Button 1">
              <controlPr defaultSize="0" print="0" autoFill="0" autoPict="0" macro="[0]!UpdateShortRates">
                <anchor moveWithCells="1" sizeWithCells="1">
                  <from>
                    <xdr:col>15</xdr:col>
                    <xdr:colOff>66675</xdr:colOff>
                    <xdr:row>2433</xdr:row>
                    <xdr:rowOff>0</xdr:rowOff>
                  </from>
                  <to>
                    <xdr:col>16</xdr:col>
                    <xdr:colOff>295275</xdr:colOff>
                    <xdr:row>2436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F35" sqref="F35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6.625" bestFit="1" customWidth="1"/>
    <col min="11" max="11" width="8" customWidth="1"/>
    <col min="12" max="12" width="41.875" bestFit="1" customWidth="1"/>
  </cols>
  <sheetData>
    <row r="1" spans="1:14">
      <c r="A1" s="269"/>
      <c r="B1" s="467" t="s">
        <v>176</v>
      </c>
      <c r="C1" s="468"/>
      <c r="D1" s="467" t="s">
        <v>173</v>
      </c>
      <c r="E1" s="468"/>
      <c r="F1" s="22" t="s">
        <v>177</v>
      </c>
      <c r="G1" s="467" t="s">
        <v>167</v>
      </c>
      <c r="H1" s="468"/>
      <c r="I1" s="22" t="s">
        <v>171</v>
      </c>
      <c r="J1" s="467" t="s">
        <v>169</v>
      </c>
      <c r="K1" s="468"/>
      <c r="L1" s="467" t="s">
        <v>170</v>
      </c>
      <c r="M1" s="468"/>
      <c r="N1" s="376" t="s">
        <v>92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>
      <c r="A3" s="383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4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4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5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4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4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3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>
      <c r="A10" s="384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4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3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>
      <c r="A13" s="384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4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3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4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4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0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5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4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4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3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4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4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3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4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4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4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2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>H28</f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>H29</f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ref="G33:G42" si="18">H30</f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8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8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f>+OUTPUT!A3</f>
        <v>46174</v>
      </c>
      <c r="B36" s="33">
        <f>OUTPUT!H3</f>
        <v>96.355000000000004</v>
      </c>
      <c r="C36" s="34">
        <f>OUTPUT!I3</f>
        <v>3.644999999999996</v>
      </c>
      <c r="D36" s="33">
        <f t="shared" ca="1" si="13"/>
        <v>96.357436966215801</v>
      </c>
      <c r="E36" s="34">
        <f t="shared" ca="1" si="14"/>
        <v>3.642563033784195</v>
      </c>
      <c r="F36" s="319">
        <f t="shared" ca="1" si="15"/>
        <v>2.4369662157965877E-3</v>
      </c>
      <c r="G36" s="258">
        <f t="shared" si="18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1.0092075898909545</v>
      </c>
    </row>
    <row r="37" spans="1:13">
      <c r="A37" s="38">
        <f>+OUTPUT!A4</f>
        <v>46204</v>
      </c>
      <c r="B37" s="40">
        <f>OUTPUT!H4</f>
        <v>96.295000000000002</v>
      </c>
      <c r="C37" s="41">
        <f>OUTPUT!I4</f>
        <v>3.7049999999999983</v>
      </c>
      <c r="D37" s="44">
        <f t="shared" ca="1" si="13"/>
        <v>96.28733751785137</v>
      </c>
      <c r="E37" s="45">
        <f t="shared" ca="1" si="14"/>
        <v>3.712662482148628</v>
      </c>
      <c r="F37" s="318">
        <f t="shared" ca="1" si="15"/>
        <v>-7.6624821486319661E-3</v>
      </c>
      <c r="G37" s="257">
        <f t="shared" si="18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1.0101066923125157</v>
      </c>
    </row>
    <row r="38" spans="1:13">
      <c r="A38" s="38">
        <f>+OUTPUT!A5</f>
        <v>46235</v>
      </c>
      <c r="B38" s="40">
        <f>OUTPUT!H5</f>
        <v>96.212500000000006</v>
      </c>
      <c r="C38" s="41">
        <f>OUTPUT!I5</f>
        <v>3.7874999999999943</v>
      </c>
      <c r="D38" s="44">
        <f t="shared" ca="1" si="13"/>
        <v>96.212491013501563</v>
      </c>
      <c r="E38" s="45">
        <f t="shared" ca="1" si="14"/>
        <v>3.7875089864984326</v>
      </c>
      <c r="F38" s="318">
        <f t="shared" ca="1" si="15"/>
        <v>-8.986498443164237E-6</v>
      </c>
      <c r="G38" s="257">
        <f t="shared" si="18"/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1.0095739810492044</v>
      </c>
    </row>
    <row r="39" spans="1:13">
      <c r="A39" s="32">
        <f>+OUTPUT!A6</f>
        <v>46266</v>
      </c>
      <c r="B39" s="33">
        <f>OUTPUT!H6</f>
        <v>96.13</v>
      </c>
      <c r="C39" s="34">
        <f>OUTPUT!I6</f>
        <v>3.8700000000000045</v>
      </c>
      <c r="D39" s="33">
        <f t="shared" ca="1" si="13"/>
        <v>96.124384723078393</v>
      </c>
      <c r="E39" s="34">
        <f t="shared" ca="1" si="14"/>
        <v>3.8756152769216095</v>
      </c>
      <c r="F39" s="319">
        <f t="shared" ca="1" si="15"/>
        <v>-5.6152769216026854E-3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1.0097966941722185</v>
      </c>
    </row>
    <row r="40" spans="1:13">
      <c r="A40" s="38">
        <f>+OUTPUT!A7</f>
        <v>46296</v>
      </c>
      <c r="B40" s="40">
        <f>OUTPUT!H7</f>
        <v>96.045000000000002</v>
      </c>
      <c r="C40" s="41">
        <f>OUTPUT!I7</f>
        <v>3.9549999999999983</v>
      </c>
      <c r="D40" s="44">
        <f t="shared" ca="1" si="13"/>
        <v>96.750619101582487</v>
      </c>
      <c r="E40" s="45">
        <f t="shared" ca="1" si="14"/>
        <v>3.2493808984175065</v>
      </c>
      <c r="F40" s="318">
        <f t="shared" ca="1" si="15"/>
        <v>0.70561910158248509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1.0082137128265554</v>
      </c>
    </row>
    <row r="41" spans="1:13">
      <c r="A41" s="38">
        <f>+OUTPUT!A8</f>
        <v>46327</v>
      </c>
      <c r="B41" s="40">
        <f>OUTPUT!H8</f>
        <v>95.98</v>
      </c>
      <c r="C41" s="41">
        <f>OUTPUT!I8</f>
        <v>4.019999999999996</v>
      </c>
      <c r="D41" s="44">
        <f t="shared" ca="1" si="13"/>
        <v>97.946463070099099</v>
      </c>
      <c r="E41" s="45">
        <f t="shared" ca="1" si="14"/>
        <v>2.0535369299009067</v>
      </c>
      <c r="F41" s="323">
        <f t="shared" ca="1" si="15"/>
        <v>1.9664630700990955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1.0051908850172495</v>
      </c>
    </row>
    <row r="42" spans="1:13">
      <c r="A42" s="43">
        <f>+OUTPUT!A9</f>
        <v>46357</v>
      </c>
      <c r="B42" s="50">
        <f>OUTPUT!H9</f>
        <v>95.924999999999997</v>
      </c>
      <c r="C42" s="51">
        <f>OUTPUT!I9</f>
        <v>4.0750000000000028</v>
      </c>
      <c r="D42" s="50">
        <f t="shared" ca="1" si="13"/>
        <v>99.155278027268082</v>
      </c>
      <c r="E42" s="51">
        <f t="shared" ca="1" si="14"/>
        <v>0.84472197273191463</v>
      </c>
      <c r="F42" s="320">
        <f t="shared" ca="1" si="15"/>
        <v>3.2302780272680849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1.0021352694310723</v>
      </c>
    </row>
    <row r="45" spans="1:13">
      <c r="G45" s="21" t="s">
        <v>130</v>
      </c>
      <c r="H45" s="17"/>
      <c r="I45" s="17"/>
      <c r="J45" s="17"/>
      <c r="K45" s="17"/>
    </row>
    <row r="46" spans="1:13" ht="30" customHeight="1">
      <c r="G46" s="474" t="s">
        <v>129</v>
      </c>
      <c r="H46" s="474"/>
      <c r="I46" s="474"/>
      <c r="J46" s="474"/>
      <c r="K46" s="474"/>
    </row>
    <row r="47" spans="1:13" ht="30" customHeight="1">
      <c r="G47" s="474"/>
      <c r="H47" s="474"/>
      <c r="I47" s="474"/>
      <c r="J47" s="474"/>
      <c r="K47" s="474"/>
    </row>
    <row r="48" spans="1:13" ht="30" customHeight="1">
      <c r="G48" s="474"/>
      <c r="H48" s="474"/>
      <c r="I48" s="474"/>
      <c r="J48" s="474"/>
      <c r="K48" s="474"/>
    </row>
    <row r="49" spans="7:11" ht="30" customHeight="1">
      <c r="G49" s="474"/>
      <c r="H49" s="474"/>
      <c r="I49" s="474"/>
      <c r="J49" s="474"/>
      <c r="K49" s="474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7" width="13.25" style="17" bestFit="1" customWidth="1"/>
    <col min="8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6.5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 ht="15.75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8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8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8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.75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8">
      <c r="A9" s="21" t="s">
        <v>229</v>
      </c>
      <c r="B9" s="157">
        <v>44288</v>
      </c>
      <c r="C9" s="157">
        <v>44666</v>
      </c>
      <c r="D9" s="387">
        <v>45023</v>
      </c>
      <c r="E9" s="387">
        <v>45380</v>
      </c>
      <c r="F9" s="387">
        <v>45765</v>
      </c>
      <c r="G9" s="387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.75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.75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8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8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8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8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8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8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8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8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25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 ht="15.75">
      <c r="M24" s="235"/>
    </row>
    <row r="25" spans="1:19" ht="15.75">
      <c r="M25"/>
    </row>
    <row r="26" spans="1:19" ht="15.75">
      <c r="M26"/>
    </row>
    <row r="27" spans="1:19" ht="15.75">
      <c r="M27" s="235"/>
    </row>
    <row r="28" spans="1:19" ht="15.75">
      <c r="M28" s="236"/>
    </row>
    <row r="29" spans="1:19" ht="15.75">
      <c r="M29"/>
    </row>
    <row r="30" spans="1:19" ht="15.75">
      <c r="M30" s="235"/>
    </row>
    <row r="31" spans="1:19" ht="15.75">
      <c r="M31"/>
    </row>
    <row r="32" spans="1:19" ht="15.75">
      <c r="M32"/>
    </row>
    <row r="33" spans="13:13" ht="15.75">
      <c r="M33" s="235"/>
    </row>
    <row r="34" spans="13:13" ht="15.75">
      <c r="M34"/>
    </row>
    <row r="35" spans="13:13" ht="15.75">
      <c r="M35"/>
    </row>
    <row r="36" spans="13:13" ht="15.75">
      <c r="M36" s="235"/>
    </row>
    <row r="37" spans="13:13" ht="15.75">
      <c r="M37"/>
    </row>
    <row r="38" spans="13:13" ht="15.75">
      <c r="M38"/>
    </row>
    <row r="39" spans="13:13" ht="15.75">
      <c r="M39" s="235"/>
    </row>
    <row r="40" spans="13:13" ht="15.75">
      <c r="M40"/>
    </row>
    <row r="41" spans="13:13" ht="15.75">
      <c r="M41"/>
    </row>
    <row r="42" spans="13:13" ht="20.25">
      <c r="M42" s="237"/>
    </row>
    <row r="43" spans="13:13" ht="20.25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5"/>
  <sheetViews>
    <sheetView workbookViewId="0">
      <selection activeCell="G43" sqref="G4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5" customFormat="1">
      <c r="A1" s="442" t="s">
        <v>66</v>
      </c>
      <c r="B1" s="442" t="s">
        <v>72</v>
      </c>
      <c r="C1" s="442" t="s">
        <v>75</v>
      </c>
      <c r="D1" s="443" t="s">
        <v>67</v>
      </c>
      <c r="E1" s="443" t="s">
        <v>68</v>
      </c>
      <c r="F1" s="443" t="s">
        <v>69</v>
      </c>
      <c r="G1" s="444" t="s">
        <v>70</v>
      </c>
      <c r="H1" s="416" t="s">
        <v>73</v>
      </c>
      <c r="I1" s="416" t="s">
        <v>74</v>
      </c>
      <c r="L1" s="152"/>
      <c r="M1" s="446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202608</v>
      </c>
      <c r="E2" s="150">
        <v>96.367500000000007</v>
      </c>
      <c r="F2" s="150">
        <v>96.37</v>
      </c>
      <c r="G2" s="151">
        <v>96.37</v>
      </c>
      <c r="H2" s="417">
        <f t="shared" ref="H2:H6" si="0">IF(F2&lt;G2,F2,IF(E2&gt;G2,E2,G2))</f>
        <v>96.37</v>
      </c>
      <c r="I2" s="148">
        <f t="shared" ref="I2:I5" si="1">100-H2</f>
        <v>3.6299999999999955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202609</v>
      </c>
      <c r="E3" s="150">
        <v>96.292500000000004</v>
      </c>
      <c r="F3" s="150">
        <v>96.295000000000002</v>
      </c>
      <c r="G3" s="151">
        <v>96.295000000000002</v>
      </c>
      <c r="H3" s="417">
        <f t="shared" si="0"/>
        <v>96.295000000000002</v>
      </c>
      <c r="I3" s="148">
        <f t="shared" si="1"/>
        <v>3.7049999999999983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202610</v>
      </c>
      <c r="E4" s="150">
        <v>96.194999999999993</v>
      </c>
      <c r="F4" s="150">
        <v>96.2</v>
      </c>
      <c r="G4" s="151">
        <v>96.2</v>
      </c>
      <c r="H4" s="417">
        <f t="shared" si="0"/>
        <v>96.2</v>
      </c>
      <c r="I4" s="148">
        <f t="shared" si="1"/>
        <v>3.7999999999999972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202611</v>
      </c>
      <c r="E5" s="150">
        <v>96.14</v>
      </c>
      <c r="F5" s="150">
        <v>96.144999999999996</v>
      </c>
      <c r="G5" s="151">
        <v>96.14</v>
      </c>
      <c r="H5" s="417">
        <f t="shared" si="0"/>
        <v>96.14</v>
      </c>
      <c r="I5" s="148">
        <f t="shared" si="1"/>
        <v>3.8599999999999994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202612</v>
      </c>
      <c r="E6" s="150">
        <v>96.04</v>
      </c>
      <c r="F6" s="150">
        <v>96.045000000000002</v>
      </c>
      <c r="G6" s="151">
        <v>96.04</v>
      </c>
      <c r="H6" s="417">
        <f t="shared" si="0"/>
        <v>96.04</v>
      </c>
      <c r="I6" s="148">
        <f>100-H6</f>
        <v>3.9599999999999937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202701</v>
      </c>
      <c r="E7" s="150">
        <v>95.99</v>
      </c>
      <c r="F7" s="150">
        <v>95.995000000000005</v>
      </c>
      <c r="G7" s="151">
        <v>95.995000000000005</v>
      </c>
      <c r="H7" s="417">
        <f t="shared" ref="H7:H18" si="2">IF(F7&lt;G7,F7,IF(E7&gt;G7,E7,G7))</f>
        <v>95.995000000000005</v>
      </c>
      <c r="I7" s="148">
        <f t="shared" ref="I7:I18" si="3">100-H7</f>
        <v>4.0049999999999955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202702</v>
      </c>
      <c r="E8" s="150">
        <v>95.94</v>
      </c>
      <c r="F8" s="150">
        <v>95.944999999999993</v>
      </c>
      <c r="G8" s="151">
        <v>95.94</v>
      </c>
      <c r="H8" s="417">
        <f t="shared" si="2"/>
        <v>95.94</v>
      </c>
      <c r="I8" s="148">
        <f t="shared" si="3"/>
        <v>4.0600000000000023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202703</v>
      </c>
      <c r="E9" s="150">
        <v>95.894999999999996</v>
      </c>
      <c r="F9" s="150">
        <v>95.9</v>
      </c>
      <c r="G9" s="151">
        <v>95.894999999999996</v>
      </c>
      <c r="H9" s="417">
        <f t="shared" si="2"/>
        <v>95.894999999999996</v>
      </c>
      <c r="I9" s="148">
        <f t="shared" si="3"/>
        <v>4.105000000000004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202704</v>
      </c>
      <c r="E10" s="150">
        <v>95.844999999999999</v>
      </c>
      <c r="F10" s="150">
        <v>95.85</v>
      </c>
      <c r="G10" s="151">
        <v>95.85</v>
      </c>
      <c r="H10" s="417">
        <f t="shared" si="2"/>
        <v>95.85</v>
      </c>
      <c r="I10" s="148">
        <f t="shared" si="3"/>
        <v>4.1500000000000057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202705</v>
      </c>
      <c r="E11" s="150">
        <v>95.814999999999998</v>
      </c>
      <c r="F11" s="150">
        <v>95.82</v>
      </c>
      <c r="G11" s="151">
        <v>95.82</v>
      </c>
      <c r="H11" s="417">
        <f t="shared" si="2"/>
        <v>95.82</v>
      </c>
      <c r="I11" s="148">
        <f t="shared" si="3"/>
        <v>4.1800000000000068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202706</v>
      </c>
      <c r="E12" s="150">
        <v>95.795000000000002</v>
      </c>
      <c r="F12" s="150">
        <v>95.8</v>
      </c>
      <c r="G12" s="151">
        <v>95.795000000000002</v>
      </c>
      <c r="H12" s="417">
        <f t="shared" si="2"/>
        <v>95.795000000000002</v>
      </c>
      <c r="I12" s="148">
        <f t="shared" si="3"/>
        <v>4.2049999999999983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202707</v>
      </c>
      <c r="E13" s="150">
        <v>95.78</v>
      </c>
      <c r="F13" s="150">
        <v>95.79</v>
      </c>
      <c r="G13" s="151">
        <v>95.784999999999997</v>
      </c>
      <c r="H13" s="417">
        <f t="shared" si="2"/>
        <v>95.784999999999997</v>
      </c>
      <c r="I13" s="148">
        <f t="shared" si="3"/>
        <v>4.2150000000000034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202708</v>
      </c>
      <c r="E14" s="150">
        <v>95.78</v>
      </c>
      <c r="F14" s="150">
        <v>95.79</v>
      </c>
      <c r="G14" s="151">
        <v>95.784999999999997</v>
      </c>
      <c r="H14" s="417">
        <f t="shared" si="2"/>
        <v>95.784999999999997</v>
      </c>
      <c r="I14" s="148">
        <f t="shared" si="3"/>
        <v>4.2150000000000034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202709</v>
      </c>
      <c r="E15" s="150">
        <v>95.78</v>
      </c>
      <c r="F15" s="150">
        <v>95.79</v>
      </c>
      <c r="G15" s="151">
        <v>95.784999999999997</v>
      </c>
      <c r="H15" s="417">
        <f t="shared" si="2"/>
        <v>95.784999999999997</v>
      </c>
      <c r="I15" s="148">
        <f t="shared" si="3"/>
        <v>4.2150000000000034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202710</v>
      </c>
      <c r="E16" s="150">
        <v>95.784999999999997</v>
      </c>
      <c r="F16" s="150">
        <v>95.79</v>
      </c>
      <c r="G16" s="151">
        <v>95.79</v>
      </c>
      <c r="H16" s="417">
        <f t="shared" si="2"/>
        <v>95.79</v>
      </c>
      <c r="I16" s="148">
        <f t="shared" si="3"/>
        <v>4.2099999999999937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202711</v>
      </c>
      <c r="E17" s="150">
        <v>95.795000000000002</v>
      </c>
      <c r="F17" s="150">
        <v>95.805000000000007</v>
      </c>
      <c r="G17" s="151" t="s">
        <v>231</v>
      </c>
      <c r="H17" s="417">
        <f t="shared" si="2"/>
        <v>95.805000000000007</v>
      </c>
      <c r="I17" s="148">
        <f t="shared" si="3"/>
        <v>4.1949999999999932</v>
      </c>
      <c r="L17" s="152"/>
      <c r="M17" s="153"/>
    </row>
    <row r="18" spans="1:19" s="149" customFormat="1">
      <c r="A18" s="19" t="s">
        <v>65</v>
      </c>
      <c r="B18" s="20" t="s">
        <v>71</v>
      </c>
      <c r="C18" s="20" t="s">
        <v>182</v>
      </c>
      <c r="D18" s="302">
        <v>202712</v>
      </c>
      <c r="E18" s="150">
        <v>95.81</v>
      </c>
      <c r="F18" s="150">
        <v>95.86</v>
      </c>
      <c r="G18" s="151" t="s">
        <v>231</v>
      </c>
      <c r="H18" s="417">
        <f t="shared" si="2"/>
        <v>95.86</v>
      </c>
      <c r="I18" s="148">
        <f t="shared" si="3"/>
        <v>4.1400000000000006</v>
      </c>
      <c r="L18" s="152"/>
      <c r="M18" s="153"/>
    </row>
    <row r="19" spans="1:19" s="147" customFormat="1">
      <c r="A19" s="395" t="s">
        <v>76</v>
      </c>
      <c r="B19" s="357" t="s">
        <v>71</v>
      </c>
      <c r="C19" s="357" t="s">
        <v>183</v>
      </c>
      <c r="D19" s="396">
        <v>202608</v>
      </c>
      <c r="E19" s="397">
        <v>96.357500000000002</v>
      </c>
      <c r="F19" s="397">
        <v>96.36</v>
      </c>
      <c r="G19" s="398">
        <v>96.36</v>
      </c>
      <c r="H19" s="418">
        <f t="shared" ref="H19:H22" si="4">IF(F19&lt;G19,F19,IF(E19&gt;G19,E19,G19))</f>
        <v>96.36</v>
      </c>
      <c r="I19" s="353">
        <f t="shared" ref="I19:I22" si="5">100-H19</f>
        <v>3.6400000000000006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5" t="s">
        <v>76</v>
      </c>
      <c r="B20" s="357" t="s">
        <v>71</v>
      </c>
      <c r="C20" s="357" t="s">
        <v>183</v>
      </c>
      <c r="D20" s="396">
        <v>202609</v>
      </c>
      <c r="E20" s="397">
        <v>96.284999999999997</v>
      </c>
      <c r="F20" s="397">
        <v>96.29</v>
      </c>
      <c r="G20" s="398">
        <v>96.29</v>
      </c>
      <c r="H20" s="418">
        <f t="shared" si="4"/>
        <v>96.29</v>
      </c>
      <c r="I20" s="353">
        <f t="shared" si="5"/>
        <v>3.7099999999999937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5" t="s">
        <v>76</v>
      </c>
      <c r="B21" s="357" t="s">
        <v>71</v>
      </c>
      <c r="C21" s="357" t="s">
        <v>183</v>
      </c>
      <c r="D21" s="396">
        <v>202610</v>
      </c>
      <c r="E21" s="397">
        <v>96.18</v>
      </c>
      <c r="F21" s="397">
        <v>96.185000000000002</v>
      </c>
      <c r="G21" s="398">
        <v>96.18</v>
      </c>
      <c r="H21" s="418">
        <f t="shared" si="4"/>
        <v>96.18</v>
      </c>
      <c r="I21" s="353">
        <f t="shared" si="5"/>
        <v>3.8199999999999932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5" t="s">
        <v>76</v>
      </c>
      <c r="B22" s="357" t="s">
        <v>71</v>
      </c>
      <c r="C22" s="357" t="s">
        <v>183</v>
      </c>
      <c r="D22" s="396">
        <v>202611</v>
      </c>
      <c r="E22" s="397">
        <v>96.12</v>
      </c>
      <c r="F22" s="397">
        <v>96.125</v>
      </c>
      <c r="G22" s="398">
        <v>96.114999999999995</v>
      </c>
      <c r="H22" s="418">
        <f t="shared" si="4"/>
        <v>96.12</v>
      </c>
      <c r="I22" s="353">
        <f t="shared" si="5"/>
        <v>3.8799999999999955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5" t="s">
        <v>76</v>
      </c>
      <c r="B23" s="357" t="s">
        <v>71</v>
      </c>
      <c r="C23" s="357" t="s">
        <v>183</v>
      </c>
      <c r="D23" s="396">
        <v>202612</v>
      </c>
      <c r="E23" s="397">
        <v>96</v>
      </c>
      <c r="F23" s="397">
        <v>96.01</v>
      </c>
      <c r="G23" s="398">
        <v>96.004999999999995</v>
      </c>
      <c r="H23" s="418">
        <f t="shared" ref="H23:H35" si="6">IF(F23&lt;G23,F23,IF(E23&gt;G23,E23,G23))</f>
        <v>96.004999999999995</v>
      </c>
      <c r="I23" s="353">
        <f t="shared" ref="I23:I35" si="7">100-H23</f>
        <v>3.9950000000000045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5" t="s">
        <v>76</v>
      </c>
      <c r="B24" s="357" t="s">
        <v>71</v>
      </c>
      <c r="C24" s="357" t="s">
        <v>183</v>
      </c>
      <c r="D24" s="396">
        <v>202701</v>
      </c>
      <c r="E24" s="397">
        <v>95.96</v>
      </c>
      <c r="F24" s="397">
        <v>95.965000000000003</v>
      </c>
      <c r="G24" s="398">
        <v>95.96</v>
      </c>
      <c r="H24" s="418">
        <f t="shared" si="6"/>
        <v>95.96</v>
      </c>
      <c r="I24" s="353">
        <f t="shared" si="7"/>
        <v>4.0400000000000063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5" t="s">
        <v>76</v>
      </c>
      <c r="B25" s="357" t="s">
        <v>71</v>
      </c>
      <c r="C25" s="357" t="s">
        <v>183</v>
      </c>
      <c r="D25" s="396">
        <v>202702</v>
      </c>
      <c r="E25" s="397">
        <v>95.92</v>
      </c>
      <c r="F25" s="397">
        <v>95.924999999999997</v>
      </c>
      <c r="G25" s="398">
        <v>95.924999999999997</v>
      </c>
      <c r="H25" s="418">
        <f t="shared" si="6"/>
        <v>95.924999999999997</v>
      </c>
      <c r="I25" s="353">
        <f t="shared" si="7"/>
        <v>4.0750000000000028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5" t="s">
        <v>76</v>
      </c>
      <c r="B26" s="357" t="s">
        <v>71</v>
      </c>
      <c r="C26" s="357" t="s">
        <v>183</v>
      </c>
      <c r="D26" s="396">
        <v>202703</v>
      </c>
      <c r="E26" s="397">
        <v>95.87</v>
      </c>
      <c r="F26" s="397">
        <v>95.88</v>
      </c>
      <c r="G26" s="398">
        <v>95.875</v>
      </c>
      <c r="H26" s="418">
        <f t="shared" si="6"/>
        <v>95.875</v>
      </c>
      <c r="I26" s="353">
        <f t="shared" si="7"/>
        <v>4.125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5" t="s">
        <v>76</v>
      </c>
      <c r="B27" s="357" t="s">
        <v>71</v>
      </c>
      <c r="C27" s="357" t="s">
        <v>183</v>
      </c>
      <c r="D27" s="396">
        <v>202704</v>
      </c>
      <c r="E27" s="397">
        <v>95.825000000000003</v>
      </c>
      <c r="F27" s="397">
        <v>95.83</v>
      </c>
      <c r="G27" s="398">
        <v>95.83</v>
      </c>
      <c r="H27" s="418">
        <f t="shared" si="6"/>
        <v>95.83</v>
      </c>
      <c r="I27" s="353">
        <f t="shared" si="7"/>
        <v>4.1700000000000017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5" t="s">
        <v>76</v>
      </c>
      <c r="B28" s="357" t="s">
        <v>71</v>
      </c>
      <c r="C28" s="357" t="s">
        <v>183</v>
      </c>
      <c r="D28" s="396">
        <v>202705</v>
      </c>
      <c r="E28" s="397">
        <v>95.795000000000002</v>
      </c>
      <c r="F28" s="397">
        <v>95.8</v>
      </c>
      <c r="G28" s="398">
        <v>95.8</v>
      </c>
      <c r="H28" s="418">
        <f t="shared" si="6"/>
        <v>95.8</v>
      </c>
      <c r="I28" s="353">
        <f t="shared" si="7"/>
        <v>4.2000000000000028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5" t="s">
        <v>76</v>
      </c>
      <c r="B29" s="357" t="s">
        <v>71</v>
      </c>
      <c r="C29" s="357" t="s">
        <v>183</v>
      </c>
      <c r="D29" s="396">
        <v>202706</v>
      </c>
      <c r="E29" s="397">
        <v>95.765000000000001</v>
      </c>
      <c r="F29" s="397">
        <v>95.77</v>
      </c>
      <c r="G29" s="398">
        <v>95.77</v>
      </c>
      <c r="H29" s="418">
        <f t="shared" si="6"/>
        <v>95.77</v>
      </c>
      <c r="I29" s="353">
        <f t="shared" si="7"/>
        <v>4.230000000000004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5" t="s">
        <v>76</v>
      </c>
      <c r="B30" s="357" t="s">
        <v>71</v>
      </c>
      <c r="C30" s="357" t="s">
        <v>183</v>
      </c>
      <c r="D30" s="396">
        <v>202707</v>
      </c>
      <c r="E30" s="397">
        <v>95.754999999999995</v>
      </c>
      <c r="F30" s="397">
        <v>95.76</v>
      </c>
      <c r="G30" s="398">
        <v>95.76</v>
      </c>
      <c r="H30" s="418">
        <f t="shared" si="6"/>
        <v>95.76</v>
      </c>
      <c r="I30" s="353">
        <f t="shared" si="7"/>
        <v>4.2399999999999949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5" t="s">
        <v>76</v>
      </c>
      <c r="B31" s="357" t="s">
        <v>71</v>
      </c>
      <c r="C31" s="357" t="s">
        <v>183</v>
      </c>
      <c r="D31" s="396">
        <v>202708</v>
      </c>
      <c r="E31" s="397">
        <v>95.75</v>
      </c>
      <c r="F31" s="397">
        <v>95.76</v>
      </c>
      <c r="G31" s="398">
        <v>95.754999999999995</v>
      </c>
      <c r="H31" s="418">
        <f t="shared" si="6"/>
        <v>95.754999999999995</v>
      </c>
      <c r="I31" s="353">
        <f t="shared" si="7"/>
        <v>4.2450000000000045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5" t="s">
        <v>76</v>
      </c>
      <c r="B32" s="357" t="s">
        <v>71</v>
      </c>
      <c r="C32" s="357" t="s">
        <v>183</v>
      </c>
      <c r="D32" s="396">
        <v>202709</v>
      </c>
      <c r="E32" s="397">
        <v>95.745000000000005</v>
      </c>
      <c r="F32" s="397">
        <v>95.76</v>
      </c>
      <c r="G32" s="398">
        <v>95.754999999999995</v>
      </c>
      <c r="H32" s="418">
        <f t="shared" si="6"/>
        <v>95.754999999999995</v>
      </c>
      <c r="I32" s="353">
        <f t="shared" si="7"/>
        <v>4.2450000000000045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5" t="s">
        <v>76</v>
      </c>
      <c r="B33" s="357" t="s">
        <v>71</v>
      </c>
      <c r="C33" s="357" t="s">
        <v>183</v>
      </c>
      <c r="D33" s="396">
        <v>202710</v>
      </c>
      <c r="E33" s="397">
        <v>95.75</v>
      </c>
      <c r="F33" s="397">
        <v>95.76</v>
      </c>
      <c r="G33" s="398" t="s">
        <v>231</v>
      </c>
      <c r="H33" s="418">
        <f t="shared" si="6"/>
        <v>95.76</v>
      </c>
      <c r="I33" s="353">
        <f t="shared" si="7"/>
        <v>4.2399999999999949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47" customFormat="1">
      <c r="A34" s="395" t="s">
        <v>76</v>
      </c>
      <c r="B34" s="357" t="s">
        <v>71</v>
      </c>
      <c r="C34" s="357" t="s">
        <v>183</v>
      </c>
      <c r="D34" s="396">
        <v>202711</v>
      </c>
      <c r="E34" s="397">
        <v>95.754999999999995</v>
      </c>
      <c r="F34" s="397">
        <v>95.93</v>
      </c>
      <c r="G34" s="398" t="s">
        <v>231</v>
      </c>
      <c r="H34" s="418">
        <f t="shared" si="6"/>
        <v>95.93</v>
      </c>
      <c r="I34" s="353">
        <f t="shared" si="7"/>
        <v>4.0699999999999932</v>
      </c>
      <c r="J34" s="353"/>
      <c r="K34" s="354"/>
      <c r="L34" s="355"/>
      <c r="M34" s="356"/>
      <c r="N34" s="356"/>
      <c r="O34" s="356"/>
      <c r="P34" s="355"/>
      <c r="Q34" s="356"/>
      <c r="R34" s="356"/>
      <c r="S34" s="355"/>
    </row>
    <row r="35" spans="1:19" s="147" customFormat="1">
      <c r="A35" s="395" t="s">
        <v>76</v>
      </c>
      <c r="B35" s="357" t="s">
        <v>71</v>
      </c>
      <c r="C35" s="357" t="s">
        <v>183</v>
      </c>
      <c r="D35" s="396">
        <v>202712</v>
      </c>
      <c r="E35" s="397">
        <v>95.594999999999999</v>
      </c>
      <c r="F35" s="397">
        <v>95.984999999999999</v>
      </c>
      <c r="G35" s="398" t="s">
        <v>231</v>
      </c>
      <c r="H35" s="418">
        <f t="shared" si="6"/>
        <v>95.984999999999999</v>
      </c>
      <c r="I35" s="353">
        <f t="shared" si="7"/>
        <v>4.0150000000000006</v>
      </c>
      <c r="J35" s="353"/>
      <c r="K35" s="354"/>
      <c r="L35" s="355"/>
      <c r="M35" s="356"/>
      <c r="N35" s="356"/>
      <c r="O35" s="356"/>
      <c r="P35" s="355"/>
      <c r="Q35" s="356"/>
      <c r="R35" s="356"/>
      <c r="S35" s="355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202605</v>
      </c>
      <c r="E36" s="143" t="s">
        <v>231</v>
      </c>
      <c r="F36" s="143" t="s">
        <v>231</v>
      </c>
      <c r="G36" s="144" t="s">
        <v>231</v>
      </c>
      <c r="H36" s="419" t="str">
        <f t="shared" ref="H36:H42" si="8">IF(F36&lt;G36,F36,IF(E36&gt;G36,E36,G36))</f>
        <v>-</v>
      </c>
      <c r="I36" s="145" t="e">
        <f t="shared" ref="I36:I42" si="9">100-H36</f>
        <v>#VALUE!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202606</v>
      </c>
      <c r="E37" s="143">
        <v>96.352500000000006</v>
      </c>
      <c r="F37" s="143">
        <v>96.355000000000004</v>
      </c>
      <c r="G37" s="144">
        <v>96.355000000000004</v>
      </c>
      <c r="H37" s="419">
        <f t="shared" si="8"/>
        <v>96.355000000000004</v>
      </c>
      <c r="I37" s="145">
        <f t="shared" si="9"/>
        <v>3.644999999999996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202607</v>
      </c>
      <c r="E38" s="143">
        <v>96.287499999999994</v>
      </c>
      <c r="F38" s="143">
        <v>96.295000000000002</v>
      </c>
      <c r="G38" s="144">
        <v>96.295000000000002</v>
      </c>
      <c r="H38" s="419">
        <f t="shared" si="8"/>
        <v>96.295000000000002</v>
      </c>
      <c r="I38" s="145">
        <f t="shared" si="9"/>
        <v>3.7049999999999983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202608</v>
      </c>
      <c r="E39" s="143">
        <v>96.21</v>
      </c>
      <c r="F39" s="143">
        <v>96.217500000000001</v>
      </c>
      <c r="G39" s="144">
        <v>96.212500000000006</v>
      </c>
      <c r="H39" s="419">
        <f t="shared" si="8"/>
        <v>96.212500000000006</v>
      </c>
      <c r="I39" s="145">
        <f t="shared" si="9"/>
        <v>3.7874999999999943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202609</v>
      </c>
      <c r="E40" s="143">
        <v>96.127499999999998</v>
      </c>
      <c r="F40" s="143">
        <v>96.13</v>
      </c>
      <c r="G40" s="144">
        <v>96.13</v>
      </c>
      <c r="H40" s="419">
        <f t="shared" si="8"/>
        <v>96.13</v>
      </c>
      <c r="I40" s="145">
        <f t="shared" si="9"/>
        <v>3.8700000000000045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202610</v>
      </c>
      <c r="E41" s="143">
        <v>96.034999999999997</v>
      </c>
      <c r="F41" s="143">
        <v>96.045000000000002</v>
      </c>
      <c r="G41" s="144" t="s">
        <v>231</v>
      </c>
      <c r="H41" s="419">
        <f t="shared" si="8"/>
        <v>96.045000000000002</v>
      </c>
      <c r="I41" s="145">
        <f t="shared" si="9"/>
        <v>3.9549999999999983</v>
      </c>
      <c r="K41" s="147"/>
    </row>
    <row r="42" spans="1:19" s="154" customFormat="1">
      <c r="A42" s="141" t="s">
        <v>77</v>
      </c>
      <c r="B42" s="142" t="s">
        <v>71</v>
      </c>
      <c r="C42" s="142" t="s">
        <v>183</v>
      </c>
      <c r="D42" s="303">
        <v>202611</v>
      </c>
      <c r="E42" s="143">
        <v>95.97</v>
      </c>
      <c r="F42" s="143">
        <v>95.98</v>
      </c>
      <c r="G42" s="144" t="s">
        <v>231</v>
      </c>
      <c r="H42" s="419">
        <f t="shared" si="8"/>
        <v>95.98</v>
      </c>
      <c r="I42" s="145">
        <f t="shared" si="9"/>
        <v>4.019999999999996</v>
      </c>
      <c r="K42" s="147"/>
    </row>
    <row r="43" spans="1:19" s="154" customFormat="1">
      <c r="A43" s="141" t="s">
        <v>77</v>
      </c>
      <c r="B43" s="142" t="s">
        <v>71</v>
      </c>
      <c r="C43" s="142" t="s">
        <v>183</v>
      </c>
      <c r="D43" s="303">
        <v>202612</v>
      </c>
      <c r="E43" s="143">
        <v>95.92</v>
      </c>
      <c r="F43" s="143">
        <v>95.924999999999997</v>
      </c>
      <c r="G43" s="144">
        <v>95.924999999999997</v>
      </c>
      <c r="H43" s="419">
        <f>IF(F43&lt;G43,F43,IF(E43&gt;G43,E43,G43))</f>
        <v>95.924999999999997</v>
      </c>
      <c r="I43" s="145">
        <f>100-H43</f>
        <v>4.0750000000000028</v>
      </c>
      <c r="K43" s="147"/>
    </row>
    <row r="44" spans="1:19" s="154" customFormat="1">
      <c r="A44" s="141" t="s">
        <v>77</v>
      </c>
      <c r="B44" s="142" t="s">
        <v>71</v>
      </c>
      <c r="C44" s="142" t="s">
        <v>183</v>
      </c>
      <c r="D44" s="303">
        <v>202701</v>
      </c>
      <c r="E44" s="143">
        <v>95.864999999999995</v>
      </c>
      <c r="F44" s="143">
        <v>95.875</v>
      </c>
      <c r="G44" s="144">
        <v>95.86</v>
      </c>
      <c r="H44" s="419">
        <f t="shared" ref="H44:H52" si="10">IF(F44&lt;G44,F44,IF(E44&gt;G44,E44,G44))</f>
        <v>95.864999999999995</v>
      </c>
      <c r="I44" s="145">
        <f t="shared" ref="I44:I52" si="11">100-H44</f>
        <v>4.1350000000000051</v>
      </c>
      <c r="K44" s="147"/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202702</v>
      </c>
      <c r="E45" s="143">
        <v>95.825000000000003</v>
      </c>
      <c r="F45" s="143">
        <v>95.84</v>
      </c>
      <c r="G45" s="144" t="s">
        <v>231</v>
      </c>
      <c r="H45" s="419">
        <f t="shared" si="10"/>
        <v>95.84</v>
      </c>
      <c r="I45" s="145">
        <f t="shared" si="11"/>
        <v>4.1599999999999966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202703</v>
      </c>
      <c r="E46" s="143">
        <v>95.79</v>
      </c>
      <c r="F46" s="143">
        <v>95.795000000000002</v>
      </c>
      <c r="G46" s="144">
        <v>95.795000000000002</v>
      </c>
      <c r="H46" s="419">
        <f t="shared" si="10"/>
        <v>95.795000000000002</v>
      </c>
      <c r="I46" s="145">
        <f t="shared" si="11"/>
        <v>4.2049999999999983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202704</v>
      </c>
      <c r="E47" s="143" t="s">
        <v>231</v>
      </c>
      <c r="F47" s="143" t="s">
        <v>231</v>
      </c>
      <c r="G47" s="144" t="s">
        <v>231</v>
      </c>
      <c r="H47" s="419" t="str">
        <f t="shared" si="10"/>
        <v>-</v>
      </c>
      <c r="I47" s="145" t="e">
        <f t="shared" si="11"/>
        <v>#VALUE!</v>
      </c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202705</v>
      </c>
      <c r="E48" s="143" t="s">
        <v>231</v>
      </c>
      <c r="F48" s="143" t="s">
        <v>231</v>
      </c>
      <c r="G48" s="144" t="s">
        <v>231</v>
      </c>
      <c r="H48" s="419" t="str">
        <f t="shared" si="10"/>
        <v>-</v>
      </c>
      <c r="I48" s="145" t="e">
        <f t="shared" si="11"/>
        <v>#VALUE!</v>
      </c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202706</v>
      </c>
      <c r="E49" s="143">
        <v>95.734999999999999</v>
      </c>
      <c r="F49" s="143">
        <v>95.74</v>
      </c>
      <c r="G49" s="144">
        <v>95.74</v>
      </c>
      <c r="H49" s="419">
        <f t="shared" si="10"/>
        <v>95.74</v>
      </c>
      <c r="I49" s="145">
        <f t="shared" si="11"/>
        <v>4.2600000000000051</v>
      </c>
    </row>
    <row r="50" spans="1:12" s="149" customFormat="1">
      <c r="A50" s="141" t="s">
        <v>77</v>
      </c>
      <c r="B50" s="142" t="s">
        <v>71</v>
      </c>
      <c r="C50" s="142" t="s">
        <v>183</v>
      </c>
      <c r="D50" s="303">
        <v>202707</v>
      </c>
      <c r="E50" s="143" t="s">
        <v>231</v>
      </c>
      <c r="F50" s="143" t="s">
        <v>231</v>
      </c>
      <c r="G50" s="144" t="s">
        <v>231</v>
      </c>
      <c r="H50" s="419" t="str">
        <f t="shared" si="10"/>
        <v>-</v>
      </c>
      <c r="I50" s="145" t="e">
        <f t="shared" si="11"/>
        <v>#VALUE!</v>
      </c>
      <c r="K50" s="147"/>
    </row>
    <row r="51" spans="1:12" s="149" customFormat="1">
      <c r="A51" s="141" t="s">
        <v>77</v>
      </c>
      <c r="B51" s="142" t="s">
        <v>71</v>
      </c>
      <c r="C51" s="142" t="s">
        <v>183</v>
      </c>
      <c r="D51" s="303">
        <v>202708</v>
      </c>
      <c r="E51" s="143" t="s">
        <v>231</v>
      </c>
      <c r="F51" s="143" t="s">
        <v>231</v>
      </c>
      <c r="G51" s="144" t="s">
        <v>231</v>
      </c>
      <c r="H51" s="419" t="str">
        <f t="shared" si="10"/>
        <v>-</v>
      </c>
      <c r="I51" s="145" t="e">
        <f t="shared" si="11"/>
        <v>#VALUE!</v>
      </c>
      <c r="K51" s="147"/>
    </row>
    <row r="52" spans="1:12" s="149" customFormat="1">
      <c r="A52" s="141" t="s">
        <v>77</v>
      </c>
      <c r="B52" s="142" t="s">
        <v>71</v>
      </c>
      <c r="C52" s="142" t="s">
        <v>183</v>
      </c>
      <c r="D52" s="303">
        <v>202709</v>
      </c>
      <c r="E52" s="143">
        <v>95.74</v>
      </c>
      <c r="F52" s="143">
        <v>95.745000000000005</v>
      </c>
      <c r="G52" s="144">
        <v>95.74</v>
      </c>
      <c r="H52" s="419">
        <f t="shared" si="10"/>
        <v>95.74</v>
      </c>
      <c r="I52" s="145">
        <f t="shared" si="11"/>
        <v>4.2600000000000051</v>
      </c>
      <c r="K52" s="147"/>
    </row>
    <row r="53" spans="1:12" s="149" customFormat="1">
      <c r="H53" s="146"/>
      <c r="K53" s="147"/>
    </row>
    <row r="54" spans="1:12" s="149" customFormat="1">
      <c r="A54" s="21"/>
      <c r="B54" s="17"/>
      <c r="C54" s="17"/>
      <c r="D54" s="21"/>
      <c r="E54" s="17"/>
      <c r="F54" s="17"/>
      <c r="G54" s="18"/>
      <c r="H54" s="363"/>
      <c r="I54" s="17"/>
      <c r="J54" s="17"/>
      <c r="K54" s="147"/>
    </row>
    <row r="55" spans="1:12">
      <c r="L55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52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7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5" thickBot="1"/>
    <row r="15" spans="1:8">
      <c r="A15" s="298" t="s">
        <v>256</v>
      </c>
      <c r="B15" s="300"/>
    </row>
    <row r="16" spans="1:8" ht="16.5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50" bestFit="1" customWidth="1"/>
  </cols>
  <sheetData>
    <row r="1" spans="1:5" s="235" customFormat="1">
      <c r="A1" s="449" t="s">
        <v>252</v>
      </c>
      <c r="B1" s="449" t="s">
        <v>253</v>
      </c>
      <c r="C1" s="449" t="s">
        <v>251</v>
      </c>
      <c r="D1" s="449" t="s">
        <v>254</v>
      </c>
      <c r="E1" s="449" t="s">
        <v>255</v>
      </c>
    </row>
    <row r="2" spans="1:5">
      <c r="A2" s="452">
        <f>'DAILY EXTRAPOLATION'!C2376</f>
        <v>46174</v>
      </c>
      <c r="B2" s="451">
        <f>A3</f>
        <v>46175</v>
      </c>
      <c r="C2" s="448">
        <f>'DAILY EXTRAPOLATION'!N2376</f>
        <v>1.000101388888889</v>
      </c>
      <c r="D2" s="453">
        <f>1*C2</f>
        <v>1.000101388888889</v>
      </c>
      <c r="E2" s="450">
        <f>(D2/1-1)*360/(B2-A$2)</f>
        <v>3.6500000000039279E-2</v>
      </c>
    </row>
    <row r="3" spans="1:5">
      <c r="A3" s="452">
        <f>'DAILY EXTRAPOLATION'!C2377</f>
        <v>46175</v>
      </c>
      <c r="B3" s="451">
        <f t="shared" ref="B3:B66" si="0">A4</f>
        <v>46176</v>
      </c>
      <c r="C3" s="448">
        <f>'DAILY EXTRAPOLATION'!N2377</f>
        <v>1.0001008333333334</v>
      </c>
      <c r="D3" s="454">
        <f>D2*C3</f>
        <v>1.0002022324456021</v>
      </c>
      <c r="E3" s="450">
        <f>(D3/1-1)*360/(B3-A$2)</f>
        <v>3.6401840208384328E-2</v>
      </c>
    </row>
    <row r="4" spans="1:5">
      <c r="A4" s="452">
        <f>'DAILY EXTRAPOLATION'!C2378</f>
        <v>46176</v>
      </c>
      <c r="B4" s="451">
        <f t="shared" si="0"/>
        <v>46177</v>
      </c>
      <c r="C4" s="448">
        <f>'DAILY EXTRAPOLATION'!N2378</f>
        <v>1.0001002777777779</v>
      </c>
      <c r="D4" s="454">
        <f t="shared" ref="D4:D67" si="1">D3*C4</f>
        <v>1.0003025305028002</v>
      </c>
      <c r="E4" s="450">
        <f t="shared" ref="E4:E67" si="2">(D4/1-1)*360/(B4-A$2)</f>
        <v>3.630366033601895E-2</v>
      </c>
    </row>
    <row r="5" spans="1:5">
      <c r="A5" s="452">
        <f>'DAILY EXTRAPOLATION'!C2379</f>
        <v>46177</v>
      </c>
      <c r="B5" s="451">
        <f t="shared" si="0"/>
        <v>46178</v>
      </c>
      <c r="C5" s="448">
        <f>'DAILY EXTRAPOLATION'!N2379</f>
        <v>1.0001005555555555</v>
      </c>
      <c r="D5" s="454">
        <f t="shared" si="1"/>
        <v>1.0004031164794784</v>
      </c>
      <c r="E5" s="450">
        <f t="shared" si="2"/>
        <v>3.6280483153059429E-2</v>
      </c>
    </row>
    <row r="6" spans="1:5">
      <c r="A6" s="452">
        <f>'DAILY EXTRAPOLATION'!C2380</f>
        <v>46178</v>
      </c>
      <c r="B6" s="451">
        <f t="shared" si="0"/>
        <v>46179</v>
      </c>
      <c r="C6" s="448">
        <f>'DAILY EXTRAPOLATION'!N2380</f>
        <v>1.0003025000000001</v>
      </c>
      <c r="D6" s="454">
        <f t="shared" si="1"/>
        <v>1.0007057384222136</v>
      </c>
      <c r="E6" s="450">
        <f t="shared" si="2"/>
        <v>5.0813166399375831E-2</v>
      </c>
    </row>
    <row r="7" spans="1:5">
      <c r="A7" s="452">
        <f>'DAILY EXTRAPOLATION'!C2381</f>
        <v>46179</v>
      </c>
      <c r="B7" s="451">
        <f t="shared" si="0"/>
        <v>46180</v>
      </c>
      <c r="C7" s="448">
        <f>'DAILY EXTRAPOLATION'!N2381</f>
        <v>1</v>
      </c>
      <c r="D7" s="454">
        <f t="shared" si="1"/>
        <v>1.0007057384222136</v>
      </c>
      <c r="E7" s="450">
        <f t="shared" si="2"/>
        <v>4.2344305332813192E-2</v>
      </c>
    </row>
    <row r="8" spans="1:5">
      <c r="A8" s="452">
        <f>'DAILY EXTRAPOLATION'!C2382</f>
        <v>46180</v>
      </c>
      <c r="B8" s="451">
        <f t="shared" si="0"/>
        <v>46181</v>
      </c>
      <c r="C8" s="448">
        <f>'DAILY EXTRAPOLATION'!N2382</f>
        <v>1</v>
      </c>
      <c r="D8" s="454">
        <f t="shared" si="1"/>
        <v>1.0007057384222136</v>
      </c>
      <c r="E8" s="450">
        <f t="shared" si="2"/>
        <v>3.629511885669702E-2</v>
      </c>
    </row>
    <row r="9" spans="1:5">
      <c r="A9" s="452">
        <f>'DAILY EXTRAPOLATION'!C2383</f>
        <v>46181</v>
      </c>
      <c r="B9" s="451">
        <f t="shared" si="0"/>
        <v>46182</v>
      </c>
      <c r="C9" s="448">
        <f>'DAILY EXTRAPOLATION'!N2383</f>
        <v>1.0001008333333334</v>
      </c>
      <c r="D9" s="454">
        <f t="shared" si="1"/>
        <v>1.0008066429175047</v>
      </c>
      <c r="E9" s="450">
        <f t="shared" si="2"/>
        <v>3.6298931287709335E-2</v>
      </c>
    </row>
    <row r="10" spans="1:5">
      <c r="A10" s="452">
        <f>'DAILY EXTRAPOLATION'!C2384</f>
        <v>46182</v>
      </c>
      <c r="B10" s="451">
        <f t="shared" si="0"/>
        <v>46183</v>
      </c>
      <c r="C10" s="448">
        <f>'DAILY EXTRAPOLATION'!N2384</f>
        <v>1.0001</v>
      </c>
      <c r="D10" s="454">
        <f t="shared" si="1"/>
        <v>1.0009067235817963</v>
      </c>
      <c r="E10" s="450">
        <f t="shared" si="2"/>
        <v>3.626894327185326E-2</v>
      </c>
    </row>
    <row r="11" spans="1:5">
      <c r="A11" s="452">
        <f>'DAILY EXTRAPOLATION'!C2385</f>
        <v>46183</v>
      </c>
      <c r="B11" s="451">
        <f t="shared" si="0"/>
        <v>46184</v>
      </c>
      <c r="C11" s="448">
        <f>'DAILY EXTRAPOLATION'!N2385</f>
        <v>1.0000997222222223</v>
      </c>
      <c r="D11" s="454">
        <f t="shared" si="1"/>
        <v>1.0010065362245091</v>
      </c>
      <c r="E11" s="450">
        <f t="shared" si="2"/>
        <v>3.6235304082326891E-2</v>
      </c>
    </row>
    <row r="12" spans="1:5">
      <c r="A12" s="452">
        <f>'DAILY EXTRAPOLATION'!C2386</f>
        <v>46184</v>
      </c>
      <c r="B12" s="451">
        <f t="shared" si="0"/>
        <v>46185</v>
      </c>
      <c r="C12" s="448">
        <f>'DAILY EXTRAPOLATION'!N2386</f>
        <v>1.0001</v>
      </c>
      <c r="D12" s="454">
        <f t="shared" si="1"/>
        <v>1.0011066368781316</v>
      </c>
      <c r="E12" s="450">
        <f t="shared" si="2"/>
        <v>3.6217206920671104E-2</v>
      </c>
    </row>
    <row r="13" spans="1:5">
      <c r="A13" s="452">
        <f>'DAILY EXTRAPOLATION'!C2387</f>
        <v>46185</v>
      </c>
      <c r="B13" s="451">
        <f t="shared" si="0"/>
        <v>46186</v>
      </c>
      <c r="C13" s="448">
        <f>'DAILY EXTRAPOLATION'!N2387</f>
        <v>1.0003041666666668</v>
      </c>
      <c r="D13" s="454">
        <f t="shared" si="1"/>
        <v>1.0014111401468488</v>
      </c>
      <c r="E13" s="450">
        <f t="shared" si="2"/>
        <v>4.2334204405465314E-2</v>
      </c>
    </row>
    <row r="14" spans="1:5">
      <c r="A14" s="452">
        <f>'DAILY EXTRAPOLATION'!C2388</f>
        <v>46186</v>
      </c>
      <c r="B14" s="451">
        <f t="shared" si="0"/>
        <v>46187</v>
      </c>
      <c r="C14" s="448">
        <f>'DAILY EXTRAPOLATION'!N2388</f>
        <v>1</v>
      </c>
      <c r="D14" s="454">
        <f t="shared" si="1"/>
        <v>1.0014111401468488</v>
      </c>
      <c r="E14" s="450">
        <f t="shared" si="2"/>
        <v>3.9077727143506442E-2</v>
      </c>
    </row>
    <row r="15" spans="1:5">
      <c r="A15" s="452">
        <f>'DAILY EXTRAPOLATION'!C2389</f>
        <v>46187</v>
      </c>
      <c r="B15" s="451">
        <f t="shared" si="0"/>
        <v>46188</v>
      </c>
      <c r="C15" s="448">
        <f>'DAILY EXTRAPOLATION'!N2389</f>
        <v>1</v>
      </c>
      <c r="D15" s="454">
        <f t="shared" si="1"/>
        <v>1.0014111401468488</v>
      </c>
      <c r="E15" s="450">
        <f t="shared" si="2"/>
        <v>3.6286460918970267E-2</v>
      </c>
    </row>
    <row r="16" spans="1:5">
      <c r="A16" s="452">
        <f>'DAILY EXTRAPOLATION'!C2390</f>
        <v>46188</v>
      </c>
      <c r="B16" s="451">
        <f t="shared" si="0"/>
        <v>46189</v>
      </c>
      <c r="C16" s="448">
        <f>'DAILY EXTRAPOLATION'!N2390</f>
        <v>1.0001024999999999</v>
      </c>
      <c r="D16" s="454">
        <f t="shared" si="1"/>
        <v>1.0015137847887139</v>
      </c>
      <c r="E16" s="450">
        <f t="shared" si="2"/>
        <v>3.633083492913336E-2</v>
      </c>
    </row>
    <row r="17" spans="1:5">
      <c r="A17" s="452">
        <f>'DAILY EXTRAPOLATION'!C2391</f>
        <v>46189</v>
      </c>
      <c r="B17" s="451">
        <f t="shared" si="0"/>
        <v>46190</v>
      </c>
      <c r="C17" s="448">
        <f>'DAILY EXTRAPOLATION'!N2391</f>
        <v>1.0001008333333334</v>
      </c>
      <c r="D17" s="454">
        <f t="shared" si="1"/>
        <v>1.0016147707620136</v>
      </c>
      <c r="E17" s="450">
        <f t="shared" si="2"/>
        <v>3.6332342145304897E-2</v>
      </c>
    </row>
    <row r="18" spans="1:5">
      <c r="A18" s="452">
        <f>'DAILY EXTRAPOLATION'!C2392</f>
        <v>46190</v>
      </c>
      <c r="B18" s="451">
        <f t="shared" si="0"/>
        <v>46191</v>
      </c>
      <c r="C18" s="448">
        <f>'DAILY EXTRAPOLATION'!N2392</f>
        <v>1.0001008333333334</v>
      </c>
      <c r="D18" s="454">
        <f t="shared" si="1"/>
        <v>1.0017157669180654</v>
      </c>
      <c r="E18" s="450">
        <f t="shared" si="2"/>
        <v>3.633388767667925E-2</v>
      </c>
    </row>
    <row r="19" spans="1:5">
      <c r="A19" s="452">
        <f>'DAILY EXTRAPOLATION'!C2393</f>
        <v>46191</v>
      </c>
      <c r="B19" s="451">
        <f t="shared" si="0"/>
        <v>46192</v>
      </c>
      <c r="C19" s="448">
        <f>'DAILY EXTRAPOLATION'!N2393</f>
        <v>1.0004022222222222</v>
      </c>
      <c r="D19" s="454">
        <f t="shared" si="1"/>
        <v>1.0021186792598702</v>
      </c>
      <c r="E19" s="450">
        <f t="shared" si="2"/>
        <v>4.2373585197403862E-2</v>
      </c>
    </row>
    <row r="20" spans="1:5">
      <c r="A20" s="452">
        <f>'DAILY EXTRAPOLATION'!C2394</f>
        <v>46192</v>
      </c>
      <c r="B20" s="451">
        <f t="shared" si="0"/>
        <v>46193</v>
      </c>
      <c r="C20" s="448">
        <f>'DAILY EXTRAPOLATION'!N2394</f>
        <v>1</v>
      </c>
      <c r="D20" s="454">
        <f t="shared" si="1"/>
        <v>1.0021186792598702</v>
      </c>
      <c r="E20" s="450">
        <f t="shared" si="2"/>
        <v>4.0143396502803658E-2</v>
      </c>
    </row>
    <row r="21" spans="1:5">
      <c r="A21" s="452">
        <f>'DAILY EXTRAPOLATION'!C2395</f>
        <v>46193</v>
      </c>
      <c r="B21" s="451">
        <f t="shared" si="0"/>
        <v>46194</v>
      </c>
      <c r="C21" s="448">
        <f>'DAILY EXTRAPOLATION'!N2395</f>
        <v>1</v>
      </c>
      <c r="D21" s="454">
        <f t="shared" si="1"/>
        <v>1.0021186792598702</v>
      </c>
      <c r="E21" s="450">
        <f t="shared" si="2"/>
        <v>3.8136226677663476E-2</v>
      </c>
    </row>
    <row r="22" spans="1:5">
      <c r="A22" s="452">
        <f>'DAILY EXTRAPOLATION'!C2396</f>
        <v>46194</v>
      </c>
      <c r="B22" s="451">
        <f t="shared" si="0"/>
        <v>46195</v>
      </c>
      <c r="C22" s="448">
        <f>'DAILY EXTRAPOLATION'!N2396</f>
        <v>1</v>
      </c>
      <c r="D22" s="454">
        <f t="shared" si="1"/>
        <v>1.0021186792598702</v>
      </c>
      <c r="E22" s="450">
        <f t="shared" si="2"/>
        <v>3.6320215883489028E-2</v>
      </c>
    </row>
    <row r="23" spans="1:5">
      <c r="A23" s="452">
        <f>'DAILY EXTRAPOLATION'!C2397</f>
        <v>46195</v>
      </c>
      <c r="B23" s="451">
        <f t="shared" si="0"/>
        <v>46196</v>
      </c>
      <c r="C23" s="448">
        <f>'DAILY EXTRAPOLATION'!N2397</f>
        <v>1.0001002777777779</v>
      </c>
      <c r="D23" s="454">
        <f t="shared" si="1"/>
        <v>1.0022191694940961</v>
      </c>
      <c r="E23" s="450">
        <f t="shared" si="2"/>
        <v>3.6313682630662841E-2</v>
      </c>
    </row>
    <row r="24" spans="1:5">
      <c r="A24" s="452">
        <f>'DAILY EXTRAPOLATION'!C2398</f>
        <v>46196</v>
      </c>
      <c r="B24" s="451">
        <f t="shared" si="0"/>
        <v>46197</v>
      </c>
      <c r="C24" s="448">
        <f>'DAILY EXTRAPOLATION'!N2398</f>
        <v>1.0001005555555555</v>
      </c>
      <c r="D24" s="454">
        <f t="shared" si="1"/>
        <v>1.0023199481994729</v>
      </c>
      <c r="E24" s="450">
        <f t="shared" si="2"/>
        <v>3.6312232687401892E-2</v>
      </c>
    </row>
    <row r="25" spans="1:5">
      <c r="A25" s="452">
        <f>'DAILY EXTRAPOLATION'!C2399</f>
        <v>46197</v>
      </c>
      <c r="B25" s="451">
        <f t="shared" si="0"/>
        <v>46198</v>
      </c>
      <c r="C25" s="448">
        <f>'DAILY EXTRAPOLATION'!N2399</f>
        <v>1.0001005555555555</v>
      </c>
      <c r="D25" s="454">
        <f t="shared" si="1"/>
        <v>1.0024207370387086</v>
      </c>
      <c r="E25" s="450">
        <f t="shared" si="2"/>
        <v>3.631105558062897E-2</v>
      </c>
    </row>
    <row r="26" spans="1:5">
      <c r="A26" s="452">
        <f>'DAILY EXTRAPOLATION'!C2400</f>
        <v>46198</v>
      </c>
      <c r="B26" s="451">
        <f t="shared" si="0"/>
        <v>46199</v>
      </c>
      <c r="C26" s="448">
        <f>'DAILY EXTRAPOLATION'!N2400</f>
        <v>1.0001011111111111</v>
      </c>
      <c r="D26" s="454">
        <f t="shared" si="1"/>
        <v>1.0025220929132315</v>
      </c>
      <c r="E26" s="450">
        <f t="shared" si="2"/>
        <v>3.6318137950533111E-2</v>
      </c>
    </row>
    <row r="27" spans="1:5">
      <c r="A27" s="452">
        <f>'DAILY EXTRAPOLATION'!C2401</f>
        <v>46199</v>
      </c>
      <c r="B27" s="451">
        <f t="shared" si="0"/>
        <v>46200</v>
      </c>
      <c r="C27" s="448">
        <f>'DAILY EXTRAPOLATION'!N2401</f>
        <v>1.0003016666666666</v>
      </c>
      <c r="D27" s="454">
        <f t="shared" si="1"/>
        <v>1.0028245204112602</v>
      </c>
      <c r="E27" s="450">
        <f t="shared" si="2"/>
        <v>3.9108744155911083E-2</v>
      </c>
    </row>
    <row r="28" spans="1:5">
      <c r="A28" s="452">
        <f>'DAILY EXTRAPOLATION'!C2402</f>
        <v>46200</v>
      </c>
      <c r="B28" s="451">
        <f t="shared" si="0"/>
        <v>46201</v>
      </c>
      <c r="C28" s="448">
        <f>'DAILY EXTRAPOLATION'!N2402</f>
        <v>1</v>
      </c>
      <c r="D28" s="454">
        <f t="shared" si="1"/>
        <v>1.0028245204112602</v>
      </c>
      <c r="E28" s="450">
        <f t="shared" si="2"/>
        <v>3.7660272150136599E-2</v>
      </c>
    </row>
    <row r="29" spans="1:5">
      <c r="A29" s="452">
        <f>'DAILY EXTRAPOLATION'!C2403</f>
        <v>46201</v>
      </c>
      <c r="B29" s="451">
        <f t="shared" si="0"/>
        <v>46202</v>
      </c>
      <c r="C29" s="448">
        <f>'DAILY EXTRAPOLATION'!N2403</f>
        <v>1</v>
      </c>
      <c r="D29" s="454">
        <f t="shared" si="1"/>
        <v>1.0028245204112602</v>
      </c>
      <c r="E29" s="450">
        <f t="shared" si="2"/>
        <v>3.6315262430488868E-2</v>
      </c>
    </row>
    <row r="30" spans="1:5">
      <c r="A30" s="452">
        <f>'DAILY EXTRAPOLATION'!C2404</f>
        <v>46202</v>
      </c>
      <c r="B30" s="451">
        <f t="shared" si="0"/>
        <v>46203</v>
      </c>
      <c r="C30" s="448">
        <f>'DAILY EXTRAPOLATION'!N2404</f>
        <v>1.0001005555555555</v>
      </c>
      <c r="D30" s="454">
        <f t="shared" si="1"/>
        <v>1.002925359988035</v>
      </c>
      <c r="E30" s="450">
        <f t="shared" si="2"/>
        <v>3.6314813644572459E-2</v>
      </c>
    </row>
    <row r="31" spans="1:5">
      <c r="A31" s="452">
        <f>'DAILY EXTRAPOLATION'!C2405</f>
        <v>46203</v>
      </c>
      <c r="B31" s="451">
        <f t="shared" si="0"/>
        <v>46204</v>
      </c>
      <c r="C31" s="448">
        <f>'DAILY EXTRAPOLATION'!N2405</f>
        <v>1.0001022222222222</v>
      </c>
      <c r="D31" s="454">
        <f t="shared" si="1"/>
        <v>1.0030278812470561</v>
      </c>
      <c r="E31" s="450">
        <f t="shared" si="2"/>
        <v>3.6334574964673294E-2</v>
      </c>
    </row>
    <row r="32" spans="1:5">
      <c r="A32" s="452">
        <f>'DAILY EXTRAPOLATION'!C2406</f>
        <v>46204</v>
      </c>
      <c r="B32" s="451">
        <f t="shared" si="0"/>
        <v>46205</v>
      </c>
      <c r="C32" s="448">
        <f>'DAILY EXTRAPOLATION'!N2406</f>
        <v>1.0001016666666667</v>
      </c>
      <c r="D32" s="454">
        <f t="shared" si="1"/>
        <v>1.0031298557483161</v>
      </c>
      <c r="E32" s="450">
        <f t="shared" si="2"/>
        <v>3.634671191592944E-2</v>
      </c>
    </row>
    <row r="33" spans="1:5">
      <c r="A33" s="452">
        <f>'DAILY EXTRAPOLATION'!C2407</f>
        <v>46205</v>
      </c>
      <c r="B33" s="451">
        <f t="shared" si="0"/>
        <v>46206</v>
      </c>
      <c r="C33" s="448">
        <f>'DAILY EXTRAPOLATION'!N2407</f>
        <v>1.0004044444444444</v>
      </c>
      <c r="D33" s="454">
        <f t="shared" si="1"/>
        <v>1.0035355660455298</v>
      </c>
      <c r="E33" s="450">
        <f t="shared" si="2"/>
        <v>3.9775118012210786E-2</v>
      </c>
    </row>
    <row r="34" spans="1:5">
      <c r="A34" s="452">
        <f>'DAILY EXTRAPOLATION'!C2408</f>
        <v>46206</v>
      </c>
      <c r="B34" s="451">
        <f t="shared" si="0"/>
        <v>46207</v>
      </c>
      <c r="C34" s="448">
        <f>'DAILY EXTRAPOLATION'!N2408</f>
        <v>1</v>
      </c>
      <c r="D34" s="454">
        <f t="shared" si="1"/>
        <v>1.0035355660455298</v>
      </c>
      <c r="E34" s="450">
        <f t="shared" si="2"/>
        <v>3.8569811405780155E-2</v>
      </c>
    </row>
    <row r="35" spans="1:5">
      <c r="A35" s="452">
        <f>'DAILY EXTRAPOLATION'!C2409</f>
        <v>46207</v>
      </c>
      <c r="B35" s="451">
        <f t="shared" si="0"/>
        <v>46208</v>
      </c>
      <c r="C35" s="448">
        <f>'DAILY EXTRAPOLATION'!N2409</f>
        <v>1</v>
      </c>
      <c r="D35" s="454">
        <f t="shared" si="1"/>
        <v>1.0035355660455298</v>
      </c>
      <c r="E35" s="450">
        <f t="shared" si="2"/>
        <v>3.7435405187963094E-2</v>
      </c>
    </row>
    <row r="36" spans="1:5">
      <c r="A36" s="452">
        <f>'DAILY EXTRAPOLATION'!C2410</f>
        <v>46208</v>
      </c>
      <c r="B36" s="451">
        <f t="shared" si="0"/>
        <v>46209</v>
      </c>
      <c r="C36" s="448">
        <f>'DAILY EXTRAPOLATION'!N2410</f>
        <v>1</v>
      </c>
      <c r="D36" s="454">
        <f t="shared" si="1"/>
        <v>1.0035355660455298</v>
      </c>
      <c r="E36" s="450">
        <f t="shared" si="2"/>
        <v>3.6365822182592718E-2</v>
      </c>
    </row>
    <row r="37" spans="1:5">
      <c r="A37" s="452">
        <f>'DAILY EXTRAPOLATION'!C2411</f>
        <v>46209</v>
      </c>
      <c r="B37" s="451">
        <f t="shared" si="0"/>
        <v>46210</v>
      </c>
      <c r="C37" s="448">
        <f>'DAILY EXTRAPOLATION'!N2411</f>
        <v>1.0001008333333334</v>
      </c>
      <c r="D37" s="454">
        <f t="shared" si="1"/>
        <v>1.0036367558817729</v>
      </c>
      <c r="E37" s="450">
        <f t="shared" si="2"/>
        <v>3.636755881772924E-2</v>
      </c>
    </row>
    <row r="38" spans="1:5">
      <c r="A38" s="452">
        <f>'DAILY EXTRAPOLATION'!C2412</f>
        <v>46210</v>
      </c>
      <c r="B38" s="451">
        <f t="shared" si="0"/>
        <v>46211</v>
      </c>
      <c r="C38" s="448">
        <f>'DAILY EXTRAPOLATION'!N2412</f>
        <v>1.0001005555555555</v>
      </c>
      <c r="D38" s="454">
        <f t="shared" si="1"/>
        <v>1.0037376771333366</v>
      </c>
      <c r="E38" s="450">
        <f t="shared" si="2"/>
        <v>3.6366588324356248E-2</v>
      </c>
    </row>
    <row r="39" spans="1:5">
      <c r="A39" s="452">
        <f>'DAILY EXTRAPOLATION'!C2413</f>
        <v>46211</v>
      </c>
      <c r="B39" s="451">
        <f t="shared" si="0"/>
        <v>46212</v>
      </c>
      <c r="C39" s="448">
        <f>'DAILY EXTRAPOLATION'!N2413</f>
        <v>1.0000994444444444</v>
      </c>
      <c r="D39" s="454">
        <f t="shared" si="1"/>
        <v>1.0038374932690071</v>
      </c>
      <c r="E39" s="450">
        <f t="shared" si="2"/>
        <v>3.6355199390593236E-2</v>
      </c>
    </row>
    <row r="40" spans="1:5">
      <c r="A40" s="452">
        <f>'DAILY EXTRAPOLATION'!C2414</f>
        <v>46212</v>
      </c>
      <c r="B40" s="451">
        <f t="shared" si="0"/>
        <v>46213</v>
      </c>
      <c r="C40" s="448">
        <f>'DAILY EXTRAPOLATION'!N2414</f>
        <v>1.0000980555555556</v>
      </c>
      <c r="D40" s="454">
        <f t="shared" si="1"/>
        <v>1.0039359251120972</v>
      </c>
      <c r="E40" s="450">
        <f t="shared" si="2"/>
        <v>3.633161641935851E-2</v>
      </c>
    </row>
    <row r="41" spans="1:5">
      <c r="A41" s="452">
        <f>'DAILY EXTRAPOLATION'!C2415</f>
        <v>46213</v>
      </c>
      <c r="B41" s="451">
        <f t="shared" si="0"/>
        <v>46214</v>
      </c>
      <c r="C41" s="448">
        <f>'DAILY EXTRAPOLATION'!N2415</f>
        <v>1.0002958333333334</v>
      </c>
      <c r="D41" s="454">
        <f t="shared" si="1"/>
        <v>1.0042329228232763</v>
      </c>
      <c r="E41" s="450">
        <f t="shared" si="2"/>
        <v>3.8096305409486275E-2</v>
      </c>
    </row>
    <row r="42" spans="1:5">
      <c r="A42" s="452">
        <f>'DAILY EXTRAPOLATION'!C2416</f>
        <v>46214</v>
      </c>
      <c r="B42" s="451">
        <f t="shared" si="0"/>
        <v>46215</v>
      </c>
      <c r="C42" s="448">
        <f>'DAILY EXTRAPOLATION'!N2416</f>
        <v>1</v>
      </c>
      <c r="D42" s="454">
        <f t="shared" si="1"/>
        <v>1.0042329228232763</v>
      </c>
      <c r="E42" s="450">
        <f t="shared" si="2"/>
        <v>3.7167127228767097E-2</v>
      </c>
    </row>
    <row r="43" spans="1:5">
      <c r="A43" s="452">
        <f>'DAILY EXTRAPOLATION'!C2417</f>
        <v>46215</v>
      </c>
      <c r="B43" s="451">
        <f t="shared" si="0"/>
        <v>46216</v>
      </c>
      <c r="C43" s="448">
        <f>'DAILY EXTRAPOLATION'!N2417</f>
        <v>1</v>
      </c>
      <c r="D43" s="454">
        <f t="shared" si="1"/>
        <v>1.0042329228232763</v>
      </c>
      <c r="E43" s="450">
        <f t="shared" si="2"/>
        <v>3.6282195628082166E-2</v>
      </c>
    </row>
    <row r="44" spans="1:5">
      <c r="A44" s="452">
        <f>'DAILY EXTRAPOLATION'!C2418</f>
        <v>46216</v>
      </c>
      <c r="B44" s="451">
        <f t="shared" si="0"/>
        <v>46217</v>
      </c>
      <c r="C44" s="448">
        <f>'DAILY EXTRAPOLATION'!N2418</f>
        <v>1.0001</v>
      </c>
      <c r="D44" s="454">
        <f t="shared" si="1"/>
        <v>1.0043333461155586</v>
      </c>
      <c r="E44" s="450">
        <f t="shared" si="2"/>
        <v>3.6279176781420654E-2</v>
      </c>
    </row>
    <row r="45" spans="1:5">
      <c r="A45" s="452">
        <f>'DAILY EXTRAPOLATION'!C2419</f>
        <v>46217</v>
      </c>
      <c r="B45" s="451">
        <f t="shared" si="0"/>
        <v>46218</v>
      </c>
      <c r="C45" s="448">
        <f>'DAILY EXTRAPOLATION'!N2419</f>
        <v>1.0001008333333334</v>
      </c>
      <c r="D45" s="454">
        <f t="shared" si="1"/>
        <v>1.0044346163946254</v>
      </c>
      <c r="E45" s="450">
        <f t="shared" si="2"/>
        <v>3.6283225046935014E-2</v>
      </c>
    </row>
    <row r="46" spans="1:5">
      <c r="A46" s="452">
        <f>'DAILY EXTRAPOLATION'!C2420</f>
        <v>46218</v>
      </c>
      <c r="B46" s="451">
        <f t="shared" si="0"/>
        <v>46219</v>
      </c>
      <c r="C46" s="448">
        <f>'DAILY EXTRAPOLATION'!N2420</f>
        <v>1.0001011111111111</v>
      </c>
      <c r="D46" s="454">
        <f t="shared" si="1"/>
        <v>1.0045361758947275</v>
      </c>
      <c r="E46" s="450">
        <f t="shared" si="2"/>
        <v>3.6289407157820364E-2</v>
      </c>
    </row>
    <row r="47" spans="1:5">
      <c r="A47" s="452">
        <f>'DAILY EXTRAPOLATION'!C2421</f>
        <v>46219</v>
      </c>
      <c r="B47" s="451">
        <f t="shared" si="0"/>
        <v>46220</v>
      </c>
      <c r="C47" s="448">
        <f>'DAILY EXTRAPOLATION'!N2421</f>
        <v>1.0001005555555555</v>
      </c>
      <c r="D47" s="454">
        <f t="shared" si="1"/>
        <v>1.0046371875879703</v>
      </c>
      <c r="E47" s="450">
        <f t="shared" si="2"/>
        <v>3.6291033297158638E-2</v>
      </c>
    </row>
    <row r="48" spans="1:5">
      <c r="A48" s="452">
        <f>'DAILY EXTRAPOLATION'!C2422</f>
        <v>46220</v>
      </c>
      <c r="B48" s="451">
        <f t="shared" si="0"/>
        <v>46221</v>
      </c>
      <c r="C48" s="448">
        <f>'DAILY EXTRAPOLATION'!N2422</f>
        <v>1.0002991666666667</v>
      </c>
      <c r="D48" s="454">
        <f t="shared" si="1"/>
        <v>1.0049377415465903</v>
      </c>
      <c r="E48" s="450">
        <f t="shared" si="2"/>
        <v>3.7820999080266308E-2</v>
      </c>
    </row>
    <row r="49" spans="1:5">
      <c r="A49" s="452">
        <f>'DAILY EXTRAPOLATION'!C2423</f>
        <v>46221</v>
      </c>
      <c r="B49" s="451">
        <f t="shared" si="0"/>
        <v>46222</v>
      </c>
      <c r="C49" s="448">
        <f>'DAILY EXTRAPOLATION'!N2423</f>
        <v>1</v>
      </c>
      <c r="D49" s="454">
        <f t="shared" si="1"/>
        <v>1.0049377415465903</v>
      </c>
      <c r="E49" s="450">
        <f t="shared" si="2"/>
        <v>3.703306159942743E-2</v>
      </c>
    </row>
    <row r="50" spans="1:5">
      <c r="A50" s="452">
        <f>'DAILY EXTRAPOLATION'!C2424</f>
        <v>46222</v>
      </c>
      <c r="B50" s="451">
        <f t="shared" si="0"/>
        <v>46223</v>
      </c>
      <c r="C50" s="448">
        <f>'DAILY EXTRAPOLATION'!N2424</f>
        <v>1</v>
      </c>
      <c r="D50" s="454">
        <f t="shared" si="1"/>
        <v>1.0049377415465903</v>
      </c>
      <c r="E50" s="450">
        <f t="shared" si="2"/>
        <v>3.627728483209218E-2</v>
      </c>
    </row>
    <row r="51" spans="1:5">
      <c r="A51" s="452">
        <f>'DAILY EXTRAPOLATION'!C2425</f>
        <v>46223</v>
      </c>
      <c r="B51" s="451">
        <f t="shared" si="0"/>
        <v>46224</v>
      </c>
      <c r="C51" s="448">
        <f>'DAILY EXTRAPOLATION'!N2425</f>
        <v>1.0000991666666668</v>
      </c>
      <c r="D51" s="454">
        <f t="shared" si="1"/>
        <v>1.005037397872627</v>
      </c>
      <c r="E51" s="450">
        <f t="shared" si="2"/>
        <v>3.6269264682914581E-2</v>
      </c>
    </row>
    <row r="52" spans="1:5">
      <c r="A52" s="452">
        <f>'DAILY EXTRAPOLATION'!C2426</f>
        <v>46224</v>
      </c>
      <c r="B52" s="451">
        <f t="shared" si="0"/>
        <v>46225</v>
      </c>
      <c r="C52" s="448">
        <f>'DAILY EXTRAPOLATION'!N2426</f>
        <v>1.0001002777777779</v>
      </c>
      <c r="D52" s="454">
        <f t="shared" si="1"/>
        <v>1.0051381807894693</v>
      </c>
      <c r="E52" s="450">
        <f t="shared" si="2"/>
        <v>3.6269511455077126E-2</v>
      </c>
    </row>
    <row r="53" spans="1:5">
      <c r="A53" s="452">
        <f>'DAILY EXTRAPOLATION'!C2427</f>
        <v>46225</v>
      </c>
      <c r="B53" s="451">
        <f t="shared" si="0"/>
        <v>46226</v>
      </c>
      <c r="C53" s="448">
        <f>'DAILY EXTRAPOLATION'!N2427</f>
        <v>1.0001005555555555</v>
      </c>
      <c r="D53" s="454">
        <f t="shared" si="1"/>
        <v>1.0052392530176486</v>
      </c>
      <c r="E53" s="450">
        <f t="shared" si="2"/>
        <v>3.6271751660644183E-2</v>
      </c>
    </row>
    <row r="54" spans="1:5">
      <c r="A54" s="452">
        <f>'DAILY EXTRAPOLATION'!C2428</f>
        <v>46226</v>
      </c>
      <c r="B54" s="451">
        <f t="shared" si="0"/>
        <v>46227</v>
      </c>
      <c r="C54" s="448">
        <f>'DAILY EXTRAPOLATION'!N2428</f>
        <v>1.0001011111111111</v>
      </c>
      <c r="D54" s="454">
        <f t="shared" si="1"/>
        <v>1.0053408938754538</v>
      </c>
      <c r="E54" s="450">
        <f t="shared" si="2"/>
        <v>3.6277769720063399E-2</v>
      </c>
    </row>
    <row r="55" spans="1:5">
      <c r="A55" s="452">
        <f>'DAILY EXTRAPOLATION'!C2429</f>
        <v>46227</v>
      </c>
      <c r="B55" s="451">
        <f t="shared" si="0"/>
        <v>46228</v>
      </c>
      <c r="C55" s="448">
        <f>'DAILY EXTRAPOLATION'!N2429</f>
        <v>1.0003033333333333</v>
      </c>
      <c r="D55" s="454">
        <f t="shared" si="1"/>
        <v>1.0056458472799292</v>
      </c>
      <c r="E55" s="450">
        <f t="shared" si="2"/>
        <v>3.7638981866194854E-2</v>
      </c>
    </row>
    <row r="56" spans="1:5">
      <c r="A56" s="452">
        <f>'DAILY EXTRAPOLATION'!C2430</f>
        <v>46228</v>
      </c>
      <c r="B56" s="451">
        <f t="shared" si="0"/>
        <v>46229</v>
      </c>
      <c r="C56" s="448">
        <f>'DAILY EXTRAPOLATION'!N2430</f>
        <v>1</v>
      </c>
      <c r="D56" s="454">
        <f t="shared" si="1"/>
        <v>1.0056458472799292</v>
      </c>
      <c r="E56" s="450">
        <f t="shared" si="2"/>
        <v>3.6954636741354949E-2</v>
      </c>
    </row>
    <row r="57" spans="1:5">
      <c r="A57" s="452">
        <f>'DAILY EXTRAPOLATION'!C2431</f>
        <v>46229</v>
      </c>
      <c r="B57" s="451">
        <f t="shared" si="0"/>
        <v>46230</v>
      </c>
      <c r="C57" s="448">
        <f>'DAILY EXTRAPOLATION'!N2431</f>
        <v>1</v>
      </c>
      <c r="D57" s="454">
        <f t="shared" si="1"/>
        <v>1.0056458472799292</v>
      </c>
      <c r="E57" s="450">
        <f t="shared" si="2"/>
        <v>3.6294732513830752E-2</v>
      </c>
    </row>
    <row r="58" spans="1:5">
      <c r="A58" s="452">
        <f>'DAILY EXTRAPOLATION'!C2432</f>
        <v>46230</v>
      </c>
      <c r="B58" s="451">
        <f t="shared" si="0"/>
        <v>46231</v>
      </c>
      <c r="C58" s="448">
        <f>'DAILY EXTRAPOLATION'!N2432</f>
        <v>1.0001011111111111</v>
      </c>
      <c r="D58" s="454">
        <f t="shared" si="1"/>
        <v>1.005747529248932</v>
      </c>
      <c r="E58" s="450">
        <f t="shared" si="2"/>
        <v>3.6300184730096587E-2</v>
      </c>
    </row>
    <row r="59" spans="1:5">
      <c r="A59" s="452">
        <f>'DAILY EXTRAPOLATION'!C2433</f>
        <v>46231</v>
      </c>
      <c r="B59" s="451">
        <f t="shared" si="0"/>
        <v>46232</v>
      </c>
      <c r="C59" s="448">
        <f>'DAILY EXTRAPOLATION'!N2433</f>
        <v>1.000101388888889</v>
      </c>
      <c r="D59" s="454">
        <f t="shared" si="1"/>
        <v>1.0058495008734254</v>
      </c>
      <c r="E59" s="450">
        <f t="shared" si="2"/>
        <v>3.6307246800571416E-2</v>
      </c>
    </row>
    <row r="60" spans="1:5">
      <c r="A60" s="452">
        <f>'DAILY EXTRAPOLATION'!C2434</f>
        <v>46232</v>
      </c>
      <c r="B60" s="451">
        <f t="shared" si="0"/>
        <v>46233</v>
      </c>
      <c r="C60" s="448">
        <f>'DAILY EXTRAPOLATION'!N2434</f>
        <v>1.000101388888889</v>
      </c>
      <c r="D60" s="454">
        <f t="shared" si="1"/>
        <v>1.0059514828367084</v>
      </c>
      <c r="E60" s="450">
        <f t="shared" si="2"/>
        <v>3.6314132562966707E-2</v>
      </c>
    </row>
    <row r="61" spans="1:5">
      <c r="A61" s="452">
        <f>'DAILY EXTRAPOLATION'!C2435</f>
        <v>46233</v>
      </c>
      <c r="B61" s="451">
        <f t="shared" si="0"/>
        <v>46234</v>
      </c>
      <c r="C61" s="448">
        <f>'DAILY EXTRAPOLATION'!N2435</f>
        <v>1.000101388888889</v>
      </c>
      <c r="D61" s="454">
        <f t="shared" si="1"/>
        <v>1.0060534751398296</v>
      </c>
      <c r="E61" s="450">
        <f t="shared" si="2"/>
        <v>3.6320850838977403E-2</v>
      </c>
    </row>
    <row r="62" spans="1:5">
      <c r="A62" s="452">
        <f>'DAILY EXTRAPOLATION'!C2436</f>
        <v>46234</v>
      </c>
      <c r="B62" s="451">
        <f t="shared" si="0"/>
        <v>46235</v>
      </c>
      <c r="C62" s="448">
        <f>'DAILY EXTRAPOLATION'!N2436</f>
        <v>1.000305</v>
      </c>
      <c r="D62" s="454">
        <f t="shared" si="1"/>
        <v>1.0063603214497472</v>
      </c>
      <c r="E62" s="450">
        <f t="shared" si="2"/>
        <v>3.7536323309983397E-2</v>
      </c>
    </row>
    <row r="63" spans="1:5">
      <c r="A63" s="452">
        <f>'DAILY EXTRAPOLATION'!C2437</f>
        <v>46235</v>
      </c>
      <c r="B63" s="451">
        <f t="shared" si="0"/>
        <v>46236</v>
      </c>
      <c r="C63" s="448">
        <f>'DAILY EXTRAPOLATION'!N2437</f>
        <v>1</v>
      </c>
      <c r="D63" s="454">
        <f t="shared" si="1"/>
        <v>1.0063603214497472</v>
      </c>
      <c r="E63" s="450">
        <f t="shared" si="2"/>
        <v>3.6930898740467531E-2</v>
      </c>
    </row>
    <row r="64" spans="1:5">
      <c r="A64" s="452">
        <f>'DAILY EXTRAPOLATION'!C2438</f>
        <v>46236</v>
      </c>
      <c r="B64" s="451">
        <f t="shared" si="0"/>
        <v>46237</v>
      </c>
      <c r="C64" s="448">
        <f>'DAILY EXTRAPOLATION'!N2438</f>
        <v>1</v>
      </c>
      <c r="D64" s="454">
        <f t="shared" si="1"/>
        <v>1.0063603214497472</v>
      </c>
      <c r="E64" s="450">
        <f t="shared" si="2"/>
        <v>3.6344693998555347E-2</v>
      </c>
    </row>
    <row r="65" spans="1:5">
      <c r="A65" s="452">
        <f>'DAILY EXTRAPOLATION'!C2439</f>
        <v>46237</v>
      </c>
      <c r="B65" s="451">
        <f t="shared" si="0"/>
        <v>46238</v>
      </c>
      <c r="C65" s="448">
        <f>'DAILY EXTRAPOLATION'!N2439</f>
        <v>1.000101388888889</v>
      </c>
      <c r="D65" s="454">
        <f t="shared" si="1"/>
        <v>1.0064623552045608</v>
      </c>
      <c r="E65" s="450">
        <f t="shared" si="2"/>
        <v>3.6350748025654744E-2</v>
      </c>
    </row>
    <row r="66" spans="1:5">
      <c r="A66" s="452">
        <f>'DAILY EXTRAPOLATION'!C2440</f>
        <v>46238</v>
      </c>
      <c r="B66" s="451">
        <f t="shared" si="0"/>
        <v>46239</v>
      </c>
      <c r="C66" s="448">
        <f>'DAILY EXTRAPOLATION'!N2440</f>
        <v>1.0001016666666667</v>
      </c>
      <c r="D66" s="454">
        <f t="shared" si="1"/>
        <v>1.0065646788773399</v>
      </c>
      <c r="E66" s="450">
        <f t="shared" si="2"/>
        <v>3.6358221474497979E-2</v>
      </c>
    </row>
    <row r="67" spans="1:5">
      <c r="A67" s="452">
        <f>'DAILY EXTRAPOLATION'!C2441</f>
        <v>46239</v>
      </c>
      <c r="B67" s="451">
        <f t="shared" ref="B67:B130" si="3">A68</f>
        <v>46240</v>
      </c>
      <c r="C67" s="448">
        <f>'DAILY EXTRAPOLATION'!N2441</f>
        <v>1.0001011111111111</v>
      </c>
      <c r="D67" s="454">
        <f t="shared" si="1"/>
        <v>1.0066664537504264</v>
      </c>
      <c r="E67" s="450">
        <f t="shared" si="2"/>
        <v>3.6362475002325839E-2</v>
      </c>
    </row>
    <row r="68" spans="1:5">
      <c r="A68" s="452">
        <f>'DAILY EXTRAPOLATION'!C2442</f>
        <v>46240</v>
      </c>
      <c r="B68" s="451">
        <f t="shared" si="3"/>
        <v>46241</v>
      </c>
      <c r="C68" s="448">
        <f>'DAILY EXTRAPOLATION'!N2442</f>
        <v>1.000101388888889</v>
      </c>
      <c r="D68" s="454">
        <f t="shared" ref="D68:D131" si="4">D67*C68</f>
        <v>1.0067685185436539</v>
      </c>
      <c r="E68" s="450">
        <f t="shared" ref="E68:E131" si="5">(D68/1-1)*360/(B68-A$2)</f>
        <v>3.6368159339035887E-2</v>
      </c>
    </row>
    <row r="69" spans="1:5">
      <c r="A69" s="452">
        <f>'DAILY EXTRAPOLATION'!C2443</f>
        <v>46241</v>
      </c>
      <c r="B69" s="451">
        <f t="shared" si="3"/>
        <v>46242</v>
      </c>
      <c r="C69" s="448">
        <f>'DAILY EXTRAPOLATION'!N2443</f>
        <v>1.0003016666666666</v>
      </c>
      <c r="D69" s="454">
        <f t="shared" si="4"/>
        <v>1.0070722270467478</v>
      </c>
      <c r="E69" s="450">
        <f t="shared" si="5"/>
        <v>3.7441202012194308E-2</v>
      </c>
    </row>
    <row r="70" spans="1:5">
      <c r="A70" s="452">
        <f>'DAILY EXTRAPOLATION'!C2444</f>
        <v>46242</v>
      </c>
      <c r="B70" s="451">
        <f t="shared" si="3"/>
        <v>46243</v>
      </c>
      <c r="C70" s="448">
        <f>'DAILY EXTRAPOLATION'!N2444</f>
        <v>1</v>
      </c>
      <c r="D70" s="454">
        <f t="shared" si="4"/>
        <v>1.0070722270467478</v>
      </c>
      <c r="E70" s="450">
        <f t="shared" si="5"/>
        <v>3.689857589607555E-2</v>
      </c>
    </row>
    <row r="71" spans="1:5">
      <c r="A71" s="452">
        <f>'DAILY EXTRAPOLATION'!C2445</f>
        <v>46243</v>
      </c>
      <c r="B71" s="451">
        <f t="shared" si="3"/>
        <v>46244</v>
      </c>
      <c r="C71" s="448">
        <f>'DAILY EXTRAPOLATION'!N2445</f>
        <v>1</v>
      </c>
      <c r="D71" s="454">
        <f t="shared" si="4"/>
        <v>1.0070722270467478</v>
      </c>
      <c r="E71" s="450">
        <f t="shared" si="5"/>
        <v>3.6371453383274473E-2</v>
      </c>
    </row>
    <row r="72" spans="1:5">
      <c r="A72" s="452">
        <f>'DAILY EXTRAPOLATION'!C2446</f>
        <v>46244</v>
      </c>
      <c r="B72" s="451">
        <f t="shared" si="3"/>
        <v>46245</v>
      </c>
      <c r="C72" s="448">
        <f>'DAILY EXTRAPOLATION'!N2446</f>
        <v>1.0001008333333334</v>
      </c>
      <c r="D72" s="454">
        <f t="shared" si="4"/>
        <v>1.0071737734963084</v>
      </c>
      <c r="E72" s="450">
        <f t="shared" si="5"/>
        <v>3.6374062798183608E-2</v>
      </c>
    </row>
    <row r="73" spans="1:5">
      <c r="A73" s="452">
        <f>'DAILY EXTRAPOLATION'!C2447</f>
        <v>46245</v>
      </c>
      <c r="B73" s="451">
        <f t="shared" si="3"/>
        <v>46246</v>
      </c>
      <c r="C73" s="448">
        <f>'DAILY EXTRAPOLATION'!N2447</f>
        <v>1.0001011111111111</v>
      </c>
      <c r="D73" s="454">
        <f t="shared" si="4"/>
        <v>1.0072756099556286</v>
      </c>
      <c r="E73" s="450">
        <f t="shared" si="5"/>
        <v>3.6378049778142962E-2</v>
      </c>
    </row>
    <row r="74" spans="1:5">
      <c r="A74" s="452">
        <f>'DAILY EXTRAPOLATION'!C2448</f>
        <v>46246</v>
      </c>
      <c r="B74" s="451">
        <f t="shared" si="3"/>
        <v>46247</v>
      </c>
      <c r="C74" s="448">
        <f>'DAILY EXTRAPOLATION'!N2448</f>
        <v>1.0001005555555555</v>
      </c>
      <c r="D74" s="454">
        <f t="shared" si="4"/>
        <v>1.0073768971141852</v>
      </c>
      <c r="E74" s="450">
        <f t="shared" si="5"/>
        <v>3.6379218645296925E-2</v>
      </c>
    </row>
    <row r="75" spans="1:5">
      <c r="A75" s="452">
        <f>'DAILY EXTRAPOLATION'!C2449</f>
        <v>46247</v>
      </c>
      <c r="B75" s="451">
        <f t="shared" si="3"/>
        <v>46248</v>
      </c>
      <c r="C75" s="448">
        <f>'DAILY EXTRAPOLATION'!N2449</f>
        <v>1.0001005555555555</v>
      </c>
      <c r="D75" s="454">
        <f t="shared" si="4"/>
        <v>1.0074781944577285</v>
      </c>
      <c r="E75" s="450">
        <f t="shared" si="5"/>
        <v>3.6380405470030346E-2</v>
      </c>
    </row>
    <row r="76" spans="1:5">
      <c r="A76" s="452">
        <f>'DAILY EXTRAPOLATION'!C2450</f>
        <v>46248</v>
      </c>
      <c r="B76" s="451">
        <f t="shared" si="3"/>
        <v>46249</v>
      </c>
      <c r="C76" s="448">
        <f>'DAILY EXTRAPOLATION'!N2450</f>
        <v>1.0003016666666666</v>
      </c>
      <c r="D76" s="454">
        <f t="shared" si="4"/>
        <v>1.0077821170463899</v>
      </c>
      <c r="E76" s="450">
        <f t="shared" si="5"/>
        <v>3.7354161822671372E-2</v>
      </c>
    </row>
    <row r="77" spans="1:5">
      <c r="A77" s="452">
        <f>'DAILY EXTRAPOLATION'!C2451</f>
        <v>46249</v>
      </c>
      <c r="B77" s="451">
        <f t="shared" si="3"/>
        <v>46250</v>
      </c>
      <c r="C77" s="448">
        <f>'DAILY EXTRAPOLATION'!N2451</f>
        <v>1</v>
      </c>
      <c r="D77" s="454">
        <f t="shared" si="4"/>
        <v>1.0077821170463899</v>
      </c>
      <c r="E77" s="450">
        <f t="shared" si="5"/>
        <v>3.6862659693425698E-2</v>
      </c>
    </row>
    <row r="78" spans="1:5">
      <c r="A78" s="452">
        <f>'DAILY EXTRAPOLATION'!C2452</f>
        <v>46250</v>
      </c>
      <c r="B78" s="451">
        <f t="shared" si="3"/>
        <v>46251</v>
      </c>
      <c r="C78" s="448">
        <f>'DAILY EXTRAPOLATION'!N2452</f>
        <v>1</v>
      </c>
      <c r="D78" s="454">
        <f t="shared" si="4"/>
        <v>1.0077821170463899</v>
      </c>
      <c r="E78" s="450">
        <f t="shared" si="5"/>
        <v>3.6383923853251336E-2</v>
      </c>
    </row>
    <row r="79" spans="1:5">
      <c r="A79" s="452">
        <f>'DAILY EXTRAPOLATION'!C2453</f>
        <v>46251</v>
      </c>
      <c r="B79" s="451">
        <f t="shared" si="3"/>
        <v>46252</v>
      </c>
      <c r="C79" s="448">
        <f>'DAILY EXTRAPOLATION'!N2453</f>
        <v>1.0001016666666667</v>
      </c>
      <c r="D79" s="454">
        <f t="shared" si="4"/>
        <v>1.0078845748949563</v>
      </c>
      <c r="E79" s="450">
        <f t="shared" si="5"/>
        <v>3.6390345669029114E-2</v>
      </c>
    </row>
    <row r="80" spans="1:5">
      <c r="A80" s="452">
        <f>'DAILY EXTRAPOLATION'!C2454</f>
        <v>46252</v>
      </c>
      <c r="B80" s="451">
        <f t="shared" si="3"/>
        <v>46253</v>
      </c>
      <c r="C80" s="448">
        <f>'DAILY EXTRAPOLATION'!N2454</f>
        <v>1.000101388888889</v>
      </c>
      <c r="D80" s="454">
        <f t="shared" si="4"/>
        <v>1.0079867631921333</v>
      </c>
      <c r="E80" s="450">
        <f t="shared" si="5"/>
        <v>3.6395376571746761E-2</v>
      </c>
    </row>
    <row r="81" spans="1:5">
      <c r="A81" s="452">
        <f>'DAILY EXTRAPOLATION'!C2455</f>
        <v>46253</v>
      </c>
      <c r="B81" s="451">
        <f t="shared" si="3"/>
        <v>46254</v>
      </c>
      <c r="C81" s="448">
        <f>'DAILY EXTRAPOLATION'!N2455</f>
        <v>1.0001005555555555</v>
      </c>
      <c r="D81" s="454">
        <f t="shared" si="4"/>
        <v>1.0080881218610986</v>
      </c>
      <c r="E81" s="450">
        <f t="shared" si="5"/>
        <v>3.6396548374943882E-2</v>
      </c>
    </row>
    <row r="82" spans="1:5">
      <c r="A82" s="452">
        <f>'DAILY EXTRAPOLATION'!C2456</f>
        <v>46254</v>
      </c>
      <c r="B82" s="451">
        <f t="shared" si="3"/>
        <v>46255</v>
      </c>
      <c r="C82" s="448">
        <f>'DAILY EXTRAPOLATION'!N2456</f>
        <v>1.0001008333333334</v>
      </c>
      <c r="D82" s="454">
        <f t="shared" si="4"/>
        <v>1.0081897707467198</v>
      </c>
      <c r="E82" s="450">
        <f t="shared" si="5"/>
        <v>3.6398981096532362E-2</v>
      </c>
    </row>
    <row r="83" spans="1:5">
      <c r="A83" s="452">
        <f>'DAILY EXTRAPOLATION'!C2457</f>
        <v>46255</v>
      </c>
      <c r="B83" s="451">
        <f t="shared" si="3"/>
        <v>46256</v>
      </c>
      <c r="C83" s="448">
        <f>'DAILY EXTRAPOLATION'!N2457</f>
        <v>1.0003041666666668</v>
      </c>
      <c r="D83" s="454">
        <f t="shared" si="4"/>
        <v>1.0084964284686553</v>
      </c>
      <c r="E83" s="450">
        <f t="shared" si="5"/>
        <v>3.7301393277023184E-2</v>
      </c>
    </row>
    <row r="84" spans="1:5">
      <c r="A84" s="452">
        <f>'DAILY EXTRAPOLATION'!C2458</f>
        <v>46256</v>
      </c>
      <c r="B84" s="451">
        <f t="shared" si="3"/>
        <v>46257</v>
      </c>
      <c r="C84" s="448">
        <f>'DAILY EXTRAPOLATION'!N2458</f>
        <v>1</v>
      </c>
      <c r="D84" s="454">
        <f t="shared" si="4"/>
        <v>1.0084964284686553</v>
      </c>
      <c r="E84" s="450">
        <f t="shared" si="5"/>
        <v>3.6851978900191582E-2</v>
      </c>
    </row>
    <row r="85" spans="1:5">
      <c r="A85" s="452">
        <f>'DAILY EXTRAPOLATION'!C2459</f>
        <v>46257</v>
      </c>
      <c r="B85" s="451">
        <f t="shared" si="3"/>
        <v>46258</v>
      </c>
      <c r="C85" s="448">
        <f>'DAILY EXTRAPOLATION'!N2459</f>
        <v>1</v>
      </c>
      <c r="D85" s="454">
        <f t="shared" si="4"/>
        <v>1.0084964284686553</v>
      </c>
      <c r="E85" s="450">
        <f t="shared" si="5"/>
        <v>3.6413264865665491E-2</v>
      </c>
    </row>
    <row r="86" spans="1:5">
      <c r="A86" s="452">
        <f>'DAILY EXTRAPOLATION'!C2460</f>
        <v>46258</v>
      </c>
      <c r="B86" s="451">
        <f t="shared" si="3"/>
        <v>46259</v>
      </c>
      <c r="C86" s="448">
        <f>'DAILY EXTRAPOLATION'!N2460</f>
        <v>1.000101388888889</v>
      </c>
      <c r="D86" s="454">
        <f t="shared" si="4"/>
        <v>1.0085986788009862</v>
      </c>
      <c r="E86" s="450">
        <f t="shared" si="5"/>
        <v>3.6417933745353286E-2</v>
      </c>
    </row>
    <row r="87" spans="1:5">
      <c r="A87" s="452">
        <f>'DAILY EXTRAPOLATION'!C2461</f>
        <v>46259</v>
      </c>
      <c r="B87" s="451">
        <f t="shared" si="3"/>
        <v>46260</v>
      </c>
      <c r="C87" s="448">
        <f>'DAILY EXTRAPOLATION'!N2461</f>
        <v>1.0001016666666667</v>
      </c>
      <c r="D87" s="454">
        <f t="shared" si="4"/>
        <v>1.0087012196666643</v>
      </c>
      <c r="E87" s="450">
        <f t="shared" si="5"/>
        <v>3.6423710232548069E-2</v>
      </c>
    </row>
    <row r="88" spans="1:5">
      <c r="A88" s="452">
        <f>'DAILY EXTRAPOLATION'!C2462</f>
        <v>46260</v>
      </c>
      <c r="B88" s="451">
        <f t="shared" si="3"/>
        <v>46261</v>
      </c>
      <c r="C88" s="448">
        <f>'DAILY EXTRAPOLATION'!N2462</f>
        <v>1.0001011111111111</v>
      </c>
      <c r="D88" s="454">
        <f t="shared" si="4"/>
        <v>1.0088032105677638</v>
      </c>
      <c r="E88" s="450">
        <f t="shared" si="5"/>
        <v>3.6427078211436356E-2</v>
      </c>
    </row>
    <row r="89" spans="1:5">
      <c r="A89" s="452">
        <f>'DAILY EXTRAPOLATION'!C2463</f>
        <v>46261</v>
      </c>
      <c r="B89" s="451">
        <f t="shared" si="3"/>
        <v>46262</v>
      </c>
      <c r="C89" s="448">
        <f ca="1">'DAILY EXTRAPOLATION'!N2463</f>
        <v>1.0001012777777778</v>
      </c>
      <c r="D89" s="454">
        <f t="shared" ca="1" si="4"/>
        <v>1.0089053799151453</v>
      </c>
      <c r="E89" s="450">
        <f t="shared" ca="1" si="5"/>
        <v>3.6431099652867067E-2</v>
      </c>
    </row>
    <row r="90" spans="1:5">
      <c r="A90" s="452">
        <f>'DAILY EXTRAPOLATION'!C2464</f>
        <v>46262</v>
      </c>
      <c r="B90" s="451">
        <f t="shared" si="3"/>
        <v>46263</v>
      </c>
      <c r="C90" s="448">
        <f ca="1">'DAILY EXTRAPOLATION'!N2464</f>
        <v>1.0003038333333334</v>
      </c>
      <c r="D90" s="454">
        <f t="shared" ca="1" si="4"/>
        <v>1.0092119189997428</v>
      </c>
      <c r="E90" s="450">
        <f t="shared" ca="1" si="5"/>
        <v>3.7261694830420432E-2</v>
      </c>
    </row>
    <row r="91" spans="1:5">
      <c r="A91" s="452">
        <f>'DAILY EXTRAPOLATION'!C2465</f>
        <v>46263</v>
      </c>
      <c r="B91" s="451">
        <f t="shared" si="3"/>
        <v>46264</v>
      </c>
      <c r="C91" s="448">
        <f ca="1">'DAILY EXTRAPOLATION'!N2465</f>
        <v>1</v>
      </c>
      <c r="D91" s="454">
        <f t="shared" ca="1" si="4"/>
        <v>1.0092119189997428</v>
      </c>
      <c r="E91" s="450">
        <f t="shared" ca="1" si="5"/>
        <v>3.6847675998971319E-2</v>
      </c>
    </row>
    <row r="92" spans="1:5">
      <c r="A92" s="452">
        <f>'DAILY EXTRAPOLATION'!C2466</f>
        <v>46264</v>
      </c>
      <c r="B92" s="451">
        <f t="shared" si="3"/>
        <v>46265</v>
      </c>
      <c r="C92" s="448">
        <f ca="1">'DAILY EXTRAPOLATION'!N2466</f>
        <v>1</v>
      </c>
      <c r="D92" s="454">
        <f t="shared" ca="1" si="4"/>
        <v>1.0092119189997428</v>
      </c>
      <c r="E92" s="450">
        <f t="shared" ca="1" si="5"/>
        <v>3.644275648249911E-2</v>
      </c>
    </row>
    <row r="93" spans="1:5">
      <c r="A93" s="452">
        <f>'DAILY EXTRAPOLATION'!C2467</f>
        <v>46265</v>
      </c>
      <c r="B93" s="451">
        <f t="shared" si="3"/>
        <v>46266</v>
      </c>
      <c r="C93" s="448">
        <f ca="1">'DAILY EXTRAPOLATION'!N2467</f>
        <v>1.0001012777777778</v>
      </c>
      <c r="D93" s="454">
        <f t="shared" ca="1" si="4"/>
        <v>1.009314129740206</v>
      </c>
      <c r="E93" s="450">
        <f t="shared" ca="1" si="5"/>
        <v>3.6446594635588525E-2</v>
      </c>
    </row>
    <row r="94" spans="1:5">
      <c r="A94" s="452">
        <f>'DAILY EXTRAPOLATION'!C2468</f>
        <v>46266</v>
      </c>
      <c r="B94" s="451">
        <f t="shared" si="3"/>
        <v>46267</v>
      </c>
      <c r="C94" s="448">
        <f ca="1">'DAILY EXTRAPOLATION'!N2468</f>
        <v>1.0001005381944446</v>
      </c>
      <c r="D94" s="454">
        <f t="shared" ca="1" si="4"/>
        <v>1.0094156043604374</v>
      </c>
      <c r="E94" s="450">
        <f t="shared" ca="1" si="5"/>
        <v>3.6447500750080353E-2</v>
      </c>
    </row>
    <row r="95" spans="1:5">
      <c r="A95" s="452">
        <f>'DAILY EXTRAPOLATION'!C2469</f>
        <v>46267</v>
      </c>
      <c r="B95" s="451">
        <f t="shared" si="3"/>
        <v>46268</v>
      </c>
      <c r="C95" s="448">
        <f ca="1">'DAILY EXTRAPOLATION'!N2469</f>
        <v>1.0001005381944446</v>
      </c>
      <c r="D95" s="454">
        <f t="shared" ca="1" si="4"/>
        <v>1.0095170891827441</v>
      </c>
      <c r="E95" s="450">
        <f t="shared" ca="1" si="5"/>
        <v>3.6448426657317741E-2</v>
      </c>
    </row>
    <row r="96" spans="1:5">
      <c r="A96" s="452">
        <f>'DAILY EXTRAPOLATION'!C2470</f>
        <v>46268</v>
      </c>
      <c r="B96" s="451">
        <f t="shared" si="3"/>
        <v>46269</v>
      </c>
      <c r="C96" s="448">
        <f ca="1">'DAILY EXTRAPOLATION'!N2470</f>
        <v>1.0001005381944446</v>
      </c>
      <c r="D96" s="454">
        <f t="shared" ca="1" si="4"/>
        <v>1.0096185842081515</v>
      </c>
      <c r="E96" s="450">
        <f t="shared" ca="1" si="5"/>
        <v>3.6449371736153195E-2</v>
      </c>
    </row>
    <row r="97" spans="1:5">
      <c r="A97" s="452">
        <f>'DAILY EXTRAPOLATION'!C2471</f>
        <v>46269</v>
      </c>
      <c r="B97" s="451">
        <f t="shared" si="3"/>
        <v>46270</v>
      </c>
      <c r="C97" s="448">
        <f ca="1">'DAILY EXTRAPOLATION'!N2471</f>
        <v>1.0004021527777778</v>
      </c>
      <c r="D97" s="454">
        <f t="shared" ca="1" si="4"/>
        <v>1.0100246051262869</v>
      </c>
      <c r="E97" s="450">
        <f t="shared" ca="1" si="5"/>
        <v>3.7592269223575836E-2</v>
      </c>
    </row>
    <row r="98" spans="1:5">
      <c r="A98" s="452">
        <f>'DAILY EXTRAPOLATION'!C2472</f>
        <v>46270</v>
      </c>
      <c r="B98" s="451">
        <f t="shared" si="3"/>
        <v>46271</v>
      </c>
      <c r="C98" s="448">
        <f ca="1">'DAILY EXTRAPOLATION'!N2472</f>
        <v>1</v>
      </c>
      <c r="D98" s="454">
        <f t="shared" ca="1" si="4"/>
        <v>1.0100246051262869</v>
      </c>
      <c r="E98" s="450">
        <f t="shared" ca="1" si="5"/>
        <v>3.7204720056322478E-2</v>
      </c>
    </row>
    <row r="99" spans="1:5">
      <c r="A99" s="452">
        <f>'DAILY EXTRAPOLATION'!C2473</f>
        <v>46271</v>
      </c>
      <c r="B99" s="451">
        <f t="shared" si="3"/>
        <v>46272</v>
      </c>
      <c r="C99" s="448">
        <f ca="1">'DAILY EXTRAPOLATION'!N2473</f>
        <v>1</v>
      </c>
      <c r="D99" s="454">
        <f t="shared" ca="1" si="4"/>
        <v>1.0100246051262869</v>
      </c>
      <c r="E99" s="450">
        <f t="shared" ca="1" si="5"/>
        <v>3.6825080055747757E-2</v>
      </c>
    </row>
    <row r="100" spans="1:5">
      <c r="A100" s="452">
        <f>'DAILY EXTRAPOLATION'!C2474</f>
        <v>46272</v>
      </c>
      <c r="B100" s="451">
        <f t="shared" si="3"/>
        <v>46273</v>
      </c>
      <c r="C100" s="448">
        <f ca="1">'DAILY EXTRAPOLATION'!N2474</f>
        <v>1</v>
      </c>
      <c r="D100" s="454">
        <f t="shared" ca="1" si="4"/>
        <v>1.0100246051262869</v>
      </c>
      <c r="E100" s="450">
        <f t="shared" ca="1" si="5"/>
        <v>3.6453109550134144E-2</v>
      </c>
    </row>
    <row r="101" spans="1:5">
      <c r="A101" s="452">
        <f>'DAILY EXTRAPOLATION'!C2475</f>
        <v>46273</v>
      </c>
      <c r="B101" s="451">
        <f t="shared" si="3"/>
        <v>46274</v>
      </c>
      <c r="C101" s="448">
        <f ca="1">'DAILY EXTRAPOLATION'!N2475</f>
        <v>1.0001005381944446</v>
      </c>
      <c r="D101" s="454">
        <f t="shared" ca="1" si="4"/>
        <v>1.0101261511764308</v>
      </c>
      <c r="E101" s="450">
        <f t="shared" ca="1" si="5"/>
        <v>3.645414423515083E-2</v>
      </c>
    </row>
    <row r="102" spans="1:5">
      <c r="A102" s="452">
        <f>'DAILY EXTRAPOLATION'!C2476</f>
        <v>46274</v>
      </c>
      <c r="B102" s="451">
        <f t="shared" si="3"/>
        <v>46275</v>
      </c>
      <c r="C102" s="448">
        <f ca="1">'DAILY EXTRAPOLATION'!N2476</f>
        <v>1.0001005381944446</v>
      </c>
      <c r="D102" s="454">
        <f t="shared" ca="1" si="4"/>
        <v>1.0102277074358312</v>
      </c>
      <c r="E102" s="450">
        <f t="shared" ca="1" si="5"/>
        <v>3.6455194820784596E-2</v>
      </c>
    </row>
    <row r="103" spans="1:5">
      <c r="A103" s="452">
        <f>'DAILY EXTRAPOLATION'!C2477</f>
        <v>46275</v>
      </c>
      <c r="B103" s="451">
        <f t="shared" si="3"/>
        <v>46276</v>
      </c>
      <c r="C103" s="448">
        <f ca="1">'DAILY EXTRAPOLATION'!N2477</f>
        <v>1.0001005381944446</v>
      </c>
      <c r="D103" s="454">
        <f t="shared" ca="1" si="4"/>
        <v>1.0103292739055147</v>
      </c>
      <c r="E103" s="450">
        <f t="shared" ca="1" si="5"/>
        <v>3.6456260842993221E-2</v>
      </c>
    </row>
    <row r="104" spans="1:5">
      <c r="A104" s="452">
        <f>'DAILY EXTRAPOLATION'!C2478</f>
        <v>46276</v>
      </c>
      <c r="B104" s="451">
        <f t="shared" si="3"/>
        <v>46277</v>
      </c>
      <c r="C104" s="448">
        <f ca="1">'DAILY EXTRAPOLATION'!N2478</f>
        <v>1.0003016145833334</v>
      </c>
      <c r="D104" s="454">
        <f t="shared" ca="1" si="4"/>
        <v>1.0106340039484933</v>
      </c>
      <c r="E104" s="450">
        <f t="shared" ca="1" si="5"/>
        <v>3.7167392441335954E-2</v>
      </c>
    </row>
    <row r="105" spans="1:5">
      <c r="A105" s="452">
        <f>'DAILY EXTRAPOLATION'!C2479</f>
        <v>46277</v>
      </c>
      <c r="B105" s="451">
        <f t="shared" si="3"/>
        <v>46278</v>
      </c>
      <c r="C105" s="448">
        <f ca="1">'DAILY EXTRAPOLATION'!N2479</f>
        <v>1</v>
      </c>
      <c r="D105" s="454">
        <f t="shared" ca="1" si="4"/>
        <v>1.0106340039484933</v>
      </c>
      <c r="E105" s="450">
        <f t="shared" ca="1" si="5"/>
        <v>3.6810013667861567E-2</v>
      </c>
    </row>
    <row r="106" spans="1:5">
      <c r="A106" s="452">
        <f>'DAILY EXTRAPOLATION'!C2480</f>
        <v>46278</v>
      </c>
      <c r="B106" s="451">
        <f t="shared" si="3"/>
        <v>46279</v>
      </c>
      <c r="C106" s="448">
        <f ca="1">'DAILY EXTRAPOLATION'!N2480</f>
        <v>1</v>
      </c>
      <c r="D106" s="454">
        <f t="shared" ca="1" si="4"/>
        <v>1.0106340039484933</v>
      </c>
      <c r="E106" s="450">
        <f t="shared" ca="1" si="5"/>
        <v>3.6459442109120034E-2</v>
      </c>
    </row>
    <row r="107" spans="1:5">
      <c r="A107" s="452">
        <f>'DAILY EXTRAPOLATION'!C2481</f>
        <v>46279</v>
      </c>
      <c r="B107" s="451">
        <f t="shared" si="3"/>
        <v>46280</v>
      </c>
      <c r="C107" s="448">
        <f ca="1">'DAILY EXTRAPOLATION'!N2481</f>
        <v>1.0001005381944446</v>
      </c>
      <c r="D107" s="454">
        <f t="shared" ca="1" si="4"/>
        <v>1.0107356112664947</v>
      </c>
      <c r="E107" s="450">
        <f t="shared" ca="1" si="5"/>
        <v>3.6460566565453677E-2</v>
      </c>
    </row>
    <row r="108" spans="1:5">
      <c r="A108" s="452">
        <f>'DAILY EXTRAPOLATION'!C2482</f>
        <v>46280</v>
      </c>
      <c r="B108" s="451">
        <f t="shared" si="3"/>
        <v>46281</v>
      </c>
      <c r="C108" s="448">
        <f ca="1">'DAILY EXTRAPOLATION'!N2482</f>
        <v>1.0001005381944446</v>
      </c>
      <c r="D108" s="454">
        <f t="shared" ca="1" si="4"/>
        <v>1.0108372287999123</v>
      </c>
      <c r="E108" s="450">
        <f t="shared" ca="1" si="5"/>
        <v>3.6461704373536831E-2</v>
      </c>
    </row>
    <row r="109" spans="1:5">
      <c r="A109" s="452">
        <f>'DAILY EXTRAPOLATION'!C2483</f>
        <v>46281</v>
      </c>
      <c r="B109" s="451">
        <f t="shared" si="3"/>
        <v>46282</v>
      </c>
      <c r="C109" s="448">
        <f ca="1">'DAILY EXTRAPOLATION'!N2483</f>
        <v>1.0001005381944446</v>
      </c>
      <c r="D109" s="454">
        <f t="shared" ca="1" si="4"/>
        <v>1.0109388565497732</v>
      </c>
      <c r="E109" s="450">
        <f t="shared" ca="1" si="5"/>
        <v>3.6462855165910746E-2</v>
      </c>
    </row>
    <row r="110" spans="1:5">
      <c r="A110" s="452">
        <f>'DAILY EXTRAPOLATION'!C2484</f>
        <v>46282</v>
      </c>
      <c r="B110" s="451">
        <f t="shared" si="3"/>
        <v>46283</v>
      </c>
      <c r="C110" s="448">
        <f ca="1">'DAILY EXTRAPOLATION'!N2484</f>
        <v>1.0001059325396826</v>
      </c>
      <c r="D110" s="454">
        <f t="shared" ca="1" si="4"/>
        <v>1.0110459478703113</v>
      </c>
      <c r="E110" s="450">
        <f t="shared" ca="1" si="5"/>
        <v>3.6482029663413545E-2</v>
      </c>
    </row>
    <row r="111" spans="1:5">
      <c r="A111" s="452">
        <f>'DAILY EXTRAPOLATION'!C2485</f>
        <v>46283</v>
      </c>
      <c r="B111" s="451">
        <f t="shared" si="3"/>
        <v>46284</v>
      </c>
      <c r="C111" s="448">
        <f ca="1">'DAILY EXTRAPOLATION'!N2485</f>
        <v>1.0003177976190476</v>
      </c>
      <c r="D111" s="454">
        <f t="shared" ca="1" si="4"/>
        <v>1.0113672558652922</v>
      </c>
      <c r="E111" s="450">
        <f t="shared" ca="1" si="5"/>
        <v>3.7201928286410807E-2</v>
      </c>
    </row>
    <row r="112" spans="1:5">
      <c r="A112" s="452">
        <f>'DAILY EXTRAPOLATION'!C2486</f>
        <v>46284</v>
      </c>
      <c r="B112" s="451">
        <f t="shared" si="3"/>
        <v>46285</v>
      </c>
      <c r="C112" s="448">
        <f ca="1">'DAILY EXTRAPOLATION'!N2486</f>
        <v>1</v>
      </c>
      <c r="D112" s="454">
        <f t="shared" ca="1" si="4"/>
        <v>1.0113672558652922</v>
      </c>
      <c r="E112" s="450">
        <f t="shared" ca="1" si="5"/>
        <v>3.6866775779326025E-2</v>
      </c>
    </row>
    <row r="113" spans="1:5">
      <c r="A113" s="452">
        <f>'DAILY EXTRAPOLATION'!C2487</f>
        <v>46285</v>
      </c>
      <c r="B113" s="451">
        <f t="shared" si="3"/>
        <v>46286</v>
      </c>
      <c r="C113" s="448">
        <f ca="1">'DAILY EXTRAPOLATION'!N2487</f>
        <v>1</v>
      </c>
      <c r="D113" s="454">
        <f t="shared" ca="1" si="4"/>
        <v>1.0113672558652922</v>
      </c>
      <c r="E113" s="450">
        <f t="shared" ca="1" si="5"/>
        <v>3.653760813843919E-2</v>
      </c>
    </row>
    <row r="114" spans="1:5">
      <c r="A114" s="452">
        <f>'DAILY EXTRAPOLATION'!C2488</f>
        <v>46286</v>
      </c>
      <c r="B114" s="451">
        <f t="shared" si="3"/>
        <v>46287</v>
      </c>
      <c r="C114" s="448">
        <f ca="1">'DAILY EXTRAPOLATION'!N2488</f>
        <v>1.0001059325396826</v>
      </c>
      <c r="D114" s="454">
        <f t="shared" ca="1" si="4"/>
        <v>1.0114743925672578</v>
      </c>
      <c r="E114" s="450">
        <f t="shared" ca="1" si="5"/>
        <v>3.6555586939936345E-2</v>
      </c>
    </row>
    <row r="115" spans="1:5">
      <c r="A115" s="452">
        <f>'DAILY EXTRAPOLATION'!C2489</f>
        <v>46287</v>
      </c>
      <c r="B115" s="451">
        <f t="shared" si="3"/>
        <v>46288</v>
      </c>
      <c r="C115" s="448">
        <f ca="1">'DAILY EXTRAPOLATION'!N2489</f>
        <v>1.0001059325396826</v>
      </c>
      <c r="D115" s="454">
        <f t="shared" ca="1" si="4"/>
        <v>1.0115815406184863</v>
      </c>
      <c r="E115" s="450">
        <f t="shared" ca="1" si="5"/>
        <v>3.6573286163640834E-2</v>
      </c>
    </row>
    <row r="116" spans="1:5">
      <c r="A116" s="452">
        <f>'DAILY EXTRAPOLATION'!C2490</f>
        <v>46288</v>
      </c>
      <c r="B116" s="451">
        <f t="shared" si="3"/>
        <v>46289</v>
      </c>
      <c r="C116" s="448">
        <f ca="1">'DAILY EXTRAPOLATION'!N2490</f>
        <v>1.0001059325396826</v>
      </c>
      <c r="D116" s="454">
        <f t="shared" ca="1" si="4"/>
        <v>1.01168870002018</v>
      </c>
      <c r="E116" s="450">
        <f t="shared" ca="1" si="5"/>
        <v>3.6590713106650324E-2</v>
      </c>
    </row>
    <row r="117" spans="1:5">
      <c r="A117" s="452">
        <f>'DAILY EXTRAPOLATION'!C2491</f>
        <v>46289</v>
      </c>
      <c r="B117" s="451">
        <f t="shared" si="3"/>
        <v>46290</v>
      </c>
      <c r="C117" s="448">
        <f ca="1">'DAILY EXTRAPOLATION'!N2491</f>
        <v>1.0001059325396826</v>
      </c>
      <c r="D117" s="454">
        <f t="shared" ca="1" si="4"/>
        <v>1.0117958707735413</v>
      </c>
      <c r="E117" s="450">
        <f t="shared" ca="1" si="5"/>
        <v>3.6607874814438432E-2</v>
      </c>
    </row>
    <row r="118" spans="1:5">
      <c r="A118" s="452">
        <f>'DAILY EXTRAPOLATION'!C2492</f>
        <v>46290</v>
      </c>
      <c r="B118" s="451">
        <f t="shared" si="3"/>
        <v>46291</v>
      </c>
      <c r="C118" s="448">
        <f ca="1">'DAILY EXTRAPOLATION'!N2492</f>
        <v>1.0003177976190476</v>
      </c>
      <c r="D118" s="454">
        <f t="shared" ca="1" si="4"/>
        <v>1.0121174170922353</v>
      </c>
      <c r="E118" s="450">
        <f t="shared" ca="1" si="5"/>
        <v>3.7284360283801075E-2</v>
      </c>
    </row>
    <row r="119" spans="1:5">
      <c r="A119" s="452">
        <f>'DAILY EXTRAPOLATION'!C2493</f>
        <v>46291</v>
      </c>
      <c r="B119" s="451">
        <f t="shared" si="3"/>
        <v>46292</v>
      </c>
      <c r="C119" s="448">
        <f ca="1">'DAILY EXTRAPOLATION'!N2493</f>
        <v>1</v>
      </c>
      <c r="D119" s="454">
        <f t="shared" ca="1" si="4"/>
        <v>1.0121174170922353</v>
      </c>
      <c r="E119" s="450">
        <f t="shared" ca="1" si="5"/>
        <v>3.6968391128853612E-2</v>
      </c>
    </row>
    <row r="120" spans="1:5">
      <c r="A120" s="452">
        <f>'DAILY EXTRAPOLATION'!C2494</f>
        <v>46292</v>
      </c>
      <c r="B120" s="451">
        <f t="shared" si="3"/>
        <v>46293</v>
      </c>
      <c r="C120" s="448">
        <f ca="1">'DAILY EXTRAPOLATION'!N2494</f>
        <v>1</v>
      </c>
      <c r="D120" s="454">
        <f t="shared" ca="1" si="4"/>
        <v>1.0121174170922353</v>
      </c>
      <c r="E120" s="450">
        <f t="shared" ca="1" si="5"/>
        <v>3.6657732379871646E-2</v>
      </c>
    </row>
    <row r="121" spans="1:5">
      <c r="A121" s="452">
        <f>'DAILY EXTRAPOLATION'!C2495</f>
        <v>46293</v>
      </c>
      <c r="B121" s="451">
        <f t="shared" si="3"/>
        <v>46294</v>
      </c>
      <c r="C121" s="448">
        <f ca="1">'DAILY EXTRAPOLATION'!N2495</f>
        <v>1.0001059325396826</v>
      </c>
      <c r="D121" s="454">
        <f t="shared" ca="1" si="4"/>
        <v>1.012224633260685</v>
      </c>
      <c r="E121" s="450">
        <f t="shared" ca="1" si="5"/>
        <v>3.6673899782055042E-2</v>
      </c>
    </row>
    <row r="122" spans="1:5">
      <c r="A122" s="452">
        <f>'DAILY EXTRAPOLATION'!C2496</f>
        <v>46294</v>
      </c>
      <c r="B122" s="451">
        <f t="shared" si="3"/>
        <v>46295</v>
      </c>
      <c r="C122" s="448">
        <f ca="1">'DAILY EXTRAPOLATION'!N2496</f>
        <v>1.0001059325396826</v>
      </c>
      <c r="D122" s="454">
        <f t="shared" ca="1" si="4"/>
        <v>1.0123318607868157</v>
      </c>
      <c r="E122" s="450">
        <f t="shared" ca="1" si="5"/>
        <v>3.6689833745897939E-2</v>
      </c>
    </row>
    <row r="123" spans="1:5">
      <c r="A123" s="452">
        <f>'DAILY EXTRAPOLATION'!C2497</f>
        <v>46295</v>
      </c>
      <c r="B123" s="451">
        <f t="shared" si="3"/>
        <v>46296</v>
      </c>
      <c r="C123" s="448">
        <f ca="1">'DAILY EXTRAPOLATION'!N2497</f>
        <v>1.0001059325396826</v>
      </c>
      <c r="D123" s="454">
        <f t="shared" ca="1" si="4"/>
        <v>1.0124390996718304</v>
      </c>
      <c r="E123" s="450">
        <f t="shared" ca="1" si="5"/>
        <v>3.6705540015237348E-2</v>
      </c>
    </row>
    <row r="124" spans="1:5">
      <c r="A124" s="452">
        <f>'DAILY EXTRAPOLATION'!C2498</f>
        <v>46296</v>
      </c>
      <c r="B124" s="451">
        <f t="shared" si="3"/>
        <v>46297</v>
      </c>
      <c r="C124" s="448">
        <f ca="1">'DAILY EXTRAPOLATION'!N2498</f>
        <v>1.0001059325396826</v>
      </c>
      <c r="D124" s="454">
        <f t="shared" ca="1" si="4"/>
        <v>1.0125463499169327</v>
      </c>
      <c r="E124" s="450">
        <f t="shared" ca="1" si="5"/>
        <v>3.672102414712012E-2</v>
      </c>
    </row>
    <row r="125" spans="1:5">
      <c r="A125" s="452">
        <f>'DAILY EXTRAPOLATION'!C2499</f>
        <v>46297</v>
      </c>
      <c r="B125" s="451">
        <f t="shared" si="3"/>
        <v>46298</v>
      </c>
      <c r="C125" s="448">
        <f ca="1">'DAILY EXTRAPOLATION'!N2499</f>
        <v>1.0003177976190476</v>
      </c>
      <c r="D125" s="454">
        <f t="shared" ca="1" si="4"/>
        <v>1.0128681347361117</v>
      </c>
      <c r="E125" s="450">
        <f t="shared" ca="1" si="5"/>
        <v>3.7359100846775913E-2</v>
      </c>
    </row>
    <row r="126" spans="1:5">
      <c r="A126" s="452">
        <f>'DAILY EXTRAPOLATION'!C2500</f>
        <v>46298</v>
      </c>
      <c r="B126" s="451">
        <f t="shared" si="3"/>
        <v>46299</v>
      </c>
      <c r="C126" s="448">
        <f ca="1">'DAILY EXTRAPOLATION'!N2500</f>
        <v>1</v>
      </c>
      <c r="D126" s="454">
        <f t="shared" ca="1" si="4"/>
        <v>1.0128681347361117</v>
      </c>
      <c r="E126" s="450">
        <f t="shared" ca="1" si="5"/>
        <v>3.7060228040001704E-2</v>
      </c>
    </row>
    <row r="127" spans="1:5">
      <c r="A127" s="452">
        <f>'DAILY EXTRAPOLATION'!C2501</f>
        <v>46299</v>
      </c>
      <c r="B127" s="451">
        <f t="shared" si="3"/>
        <v>46300</v>
      </c>
      <c r="C127" s="448">
        <f ca="1">'DAILY EXTRAPOLATION'!N2501</f>
        <v>1</v>
      </c>
      <c r="D127" s="454">
        <f t="shared" ca="1" si="4"/>
        <v>1.0128681347361117</v>
      </c>
      <c r="E127" s="450">
        <f t="shared" ca="1" si="5"/>
        <v>3.6766099246033433E-2</v>
      </c>
    </row>
    <row r="128" spans="1:5">
      <c r="A128" s="452">
        <f>'DAILY EXTRAPOLATION'!C2502</f>
        <v>46300</v>
      </c>
      <c r="B128" s="451">
        <f t="shared" si="3"/>
        <v>46301</v>
      </c>
      <c r="C128" s="448">
        <f ca="1">'DAILY EXTRAPOLATION'!N2502</f>
        <v>1.0001059325396826</v>
      </c>
      <c r="D128" s="454">
        <f t="shared" ca="1" si="4"/>
        <v>1.0129754304299878</v>
      </c>
      <c r="E128" s="450">
        <f t="shared" ca="1" si="5"/>
        <v>3.6780747675556065E-2</v>
      </c>
    </row>
    <row r="129" spans="1:5">
      <c r="A129" s="452">
        <f>'DAILY EXTRAPOLATION'!C2503</f>
        <v>46301</v>
      </c>
      <c r="B129" s="451">
        <f t="shared" si="3"/>
        <v>46302</v>
      </c>
      <c r="C129" s="448">
        <f ca="1">'DAILY EXTRAPOLATION'!N2503</f>
        <v>1.0001059325396826</v>
      </c>
      <c r="D129" s="454">
        <f t="shared" ca="1" si="4"/>
        <v>1.0130827374899694</v>
      </c>
      <c r="E129" s="450">
        <f t="shared" ca="1" si="5"/>
        <v>3.6795199190538808E-2</v>
      </c>
    </row>
    <row r="130" spans="1:5">
      <c r="A130" s="452">
        <f>'DAILY EXTRAPOLATION'!C2504</f>
        <v>46302</v>
      </c>
      <c r="B130" s="451">
        <f t="shared" si="3"/>
        <v>46303</v>
      </c>
      <c r="C130" s="448">
        <f ca="1">'DAILY EXTRAPOLATION'!N2504</f>
        <v>1.0001059325396826</v>
      </c>
      <c r="D130" s="454">
        <f t="shared" ca="1" si="4"/>
        <v>1.0131900559172602</v>
      </c>
      <c r="E130" s="450">
        <f t="shared" ca="1" si="5"/>
        <v>3.6809458373749368E-2</v>
      </c>
    </row>
    <row r="131" spans="1:5">
      <c r="A131" s="452">
        <f>'DAILY EXTRAPOLATION'!C2505</f>
        <v>46303</v>
      </c>
      <c r="B131" s="451">
        <f t="shared" ref="B131:B194" si="6">A132</f>
        <v>46304</v>
      </c>
      <c r="C131" s="448">
        <f ca="1">'DAILY EXTRAPOLATION'!N2505</f>
        <v>1.0001059325396826</v>
      </c>
      <c r="D131" s="454">
        <f t="shared" ca="1" si="4"/>
        <v>1.0132973857130647</v>
      </c>
      <c r="E131" s="450">
        <f t="shared" ca="1" si="5"/>
        <v>3.6823529666948435E-2</v>
      </c>
    </row>
    <row r="132" spans="1:5">
      <c r="A132" s="452">
        <f>'DAILY EXTRAPOLATION'!C2506</f>
        <v>46304</v>
      </c>
      <c r="B132" s="451">
        <f t="shared" si="6"/>
        <v>46305</v>
      </c>
      <c r="C132" s="448">
        <f ca="1">'DAILY EXTRAPOLATION'!N2506</f>
        <v>1.0004237301587302</v>
      </c>
      <c r="D132" s="454">
        <f t="shared" ref="D132:D195" ca="1" si="7">D131*C132</f>
        <v>1.0137267503751539</v>
      </c>
      <c r="E132" s="450">
        <f t="shared" ref="E132:E195" ca="1" si="8">(D132/1-1)*360/(B132-A$2)</f>
        <v>3.7722367443171069E-2</v>
      </c>
    </row>
    <row r="133" spans="1:5">
      <c r="A133" s="452">
        <f>'DAILY EXTRAPOLATION'!C2507</f>
        <v>46305</v>
      </c>
      <c r="B133" s="451">
        <f t="shared" si="6"/>
        <v>46306</v>
      </c>
      <c r="C133" s="448">
        <f ca="1">'DAILY EXTRAPOLATION'!N2507</f>
        <v>1</v>
      </c>
      <c r="D133" s="454">
        <f t="shared" ca="1" si="7"/>
        <v>1.0137267503751539</v>
      </c>
      <c r="E133" s="450">
        <f t="shared" ca="1" si="8"/>
        <v>3.7436591932237959E-2</v>
      </c>
    </row>
    <row r="134" spans="1:5">
      <c r="A134" s="452">
        <f>'DAILY EXTRAPOLATION'!C2508</f>
        <v>46306</v>
      </c>
      <c r="B134" s="451">
        <f t="shared" si="6"/>
        <v>46307</v>
      </c>
      <c r="C134" s="448">
        <f ca="1">'DAILY EXTRAPOLATION'!N2508</f>
        <v>1</v>
      </c>
      <c r="D134" s="454">
        <f t="shared" ca="1" si="7"/>
        <v>1.0137267503751539</v>
      </c>
      <c r="E134" s="450">
        <f t="shared" ca="1" si="8"/>
        <v>3.7155113797409101E-2</v>
      </c>
    </row>
    <row r="135" spans="1:5">
      <c r="A135" s="452">
        <f>'DAILY EXTRAPOLATION'!C2509</f>
        <v>46307</v>
      </c>
      <c r="B135" s="451">
        <f t="shared" si="6"/>
        <v>46308</v>
      </c>
      <c r="C135" s="448">
        <f ca="1">'DAILY EXTRAPOLATION'!N2509</f>
        <v>1</v>
      </c>
      <c r="D135" s="454">
        <f t="shared" ca="1" si="7"/>
        <v>1.0137267503751539</v>
      </c>
      <c r="E135" s="450">
        <f t="shared" ca="1" si="8"/>
        <v>3.6877836828771722E-2</v>
      </c>
    </row>
    <row r="136" spans="1:5">
      <c r="A136" s="452">
        <f>'DAILY EXTRAPOLATION'!C2510</f>
        <v>46308</v>
      </c>
      <c r="B136" s="451">
        <f t="shared" si="6"/>
        <v>46309</v>
      </c>
      <c r="C136" s="448">
        <f ca="1">'DAILY EXTRAPOLATION'!N2510</f>
        <v>1.0001059325396826</v>
      </c>
      <c r="D136" s="454">
        <f t="shared" ca="1" si="7"/>
        <v>1.0138341370243653</v>
      </c>
      <c r="E136" s="450">
        <f t="shared" ca="1" si="8"/>
        <v>3.6891032064974162E-2</v>
      </c>
    </row>
    <row r="137" spans="1:5">
      <c r="A137" s="452">
        <f>'DAILY EXTRAPOLATION'!C2511</f>
        <v>46309</v>
      </c>
      <c r="B137" s="451">
        <f t="shared" si="6"/>
        <v>46310</v>
      </c>
      <c r="C137" s="448">
        <f ca="1">'DAILY EXTRAPOLATION'!N2511</f>
        <v>1.0001059325396826</v>
      </c>
      <c r="D137" s="454">
        <f t="shared" ca="1" si="7"/>
        <v>1.0139415350493173</v>
      </c>
      <c r="E137" s="450">
        <f t="shared" ca="1" si="8"/>
        <v>3.6904063365839852E-2</v>
      </c>
    </row>
    <row r="138" spans="1:5">
      <c r="A138" s="452">
        <f>'DAILY EXTRAPOLATION'!C2512</f>
        <v>46310</v>
      </c>
      <c r="B138" s="451">
        <f t="shared" si="6"/>
        <v>46311</v>
      </c>
      <c r="C138" s="448">
        <f ca="1">'DAILY EXTRAPOLATION'!N2512</f>
        <v>1.0001059325396826</v>
      </c>
      <c r="D138" s="454">
        <f t="shared" ca="1" si="7"/>
        <v>1.0140489444512146</v>
      </c>
      <c r="E138" s="450">
        <f t="shared" ca="1" si="8"/>
        <v>3.6916934324359607E-2</v>
      </c>
    </row>
    <row r="139" spans="1:5">
      <c r="A139" s="452">
        <f>'DAILY EXTRAPOLATION'!C2513</f>
        <v>46311</v>
      </c>
      <c r="B139" s="451">
        <f t="shared" si="6"/>
        <v>46312</v>
      </c>
      <c r="C139" s="448">
        <f ca="1">'DAILY EXTRAPOLATION'!N2513</f>
        <v>1.0003177976190476</v>
      </c>
      <c r="D139" s="454">
        <f t="shared" ca="1" si="7"/>
        <v>1.0143712067913591</v>
      </c>
      <c r="E139" s="450">
        <f t="shared" ca="1" si="8"/>
        <v>3.7490104673110591E-2</v>
      </c>
    </row>
    <row r="140" spans="1:5">
      <c r="A140" s="452">
        <f>'DAILY EXTRAPOLATION'!C2514</f>
        <v>46312</v>
      </c>
      <c r="B140" s="451">
        <f t="shared" si="6"/>
        <v>46313</v>
      </c>
      <c r="C140" s="448">
        <f ca="1">'DAILY EXTRAPOLATION'!N2514</f>
        <v>1</v>
      </c>
      <c r="D140" s="454">
        <f t="shared" ca="1" si="7"/>
        <v>1.0143712067913591</v>
      </c>
      <c r="E140" s="450">
        <f t="shared" ca="1" si="8"/>
        <v>3.72203916898508E-2</v>
      </c>
    </row>
    <row r="141" spans="1:5">
      <c r="A141" s="452">
        <f>'DAILY EXTRAPOLATION'!C2515</f>
        <v>46313</v>
      </c>
      <c r="B141" s="451">
        <f t="shared" si="6"/>
        <v>46314</v>
      </c>
      <c r="C141" s="448">
        <f ca="1">'DAILY EXTRAPOLATION'!N2515</f>
        <v>1</v>
      </c>
      <c r="D141" s="454">
        <f t="shared" ca="1" si="7"/>
        <v>1.0143712067913591</v>
      </c>
      <c r="E141" s="450">
        <f t="shared" ca="1" si="8"/>
        <v>3.6954531749209006E-2</v>
      </c>
    </row>
    <row r="142" spans="1:5">
      <c r="A142" s="452">
        <f>'DAILY EXTRAPOLATION'!C2516</f>
        <v>46314</v>
      </c>
      <c r="B142" s="451">
        <f t="shared" si="6"/>
        <v>46315</v>
      </c>
      <c r="C142" s="448">
        <f ca="1">'DAILY EXTRAPOLATION'!N2516</f>
        <v>1.0001059325396826</v>
      </c>
      <c r="D142" s="454">
        <f t="shared" ca="1" si="7"/>
        <v>1.0144786617094754</v>
      </c>
      <c r="E142" s="450">
        <f t="shared" ca="1" si="8"/>
        <v>3.6966795853979814E-2</v>
      </c>
    </row>
    <row r="143" spans="1:5">
      <c r="A143" s="452">
        <f>'DAILY EXTRAPOLATION'!C2517</f>
        <v>46315</v>
      </c>
      <c r="B143" s="451">
        <f t="shared" si="6"/>
        <v>46316</v>
      </c>
      <c r="C143" s="448">
        <f ca="1">'DAILY EXTRAPOLATION'!N2517</f>
        <v>1.0001059325396826</v>
      </c>
      <c r="D143" s="454">
        <f t="shared" ca="1" si="7"/>
        <v>1.0145861280105641</v>
      </c>
      <c r="E143" s="450">
        <f t="shared" ca="1" si="8"/>
        <v>3.6978916083120345E-2</v>
      </c>
    </row>
    <row r="144" spans="1:5">
      <c r="A144" s="452">
        <f>'DAILY EXTRAPOLATION'!C2518</f>
        <v>46316</v>
      </c>
      <c r="B144" s="451">
        <f t="shared" si="6"/>
        <v>46317</v>
      </c>
      <c r="C144" s="448">
        <f ca="1">'DAILY EXTRAPOLATION'!N2518</f>
        <v>1.0001059325396826</v>
      </c>
      <c r="D144" s="454">
        <f t="shared" ca="1" si="7"/>
        <v>1.0146936056958311</v>
      </c>
      <c r="E144" s="450">
        <f t="shared" ca="1" si="8"/>
        <v>3.6990895458036369E-2</v>
      </c>
    </row>
    <row r="145" spans="1:5">
      <c r="A145" s="452">
        <f>'DAILY EXTRAPOLATION'!C2519</f>
        <v>46317</v>
      </c>
      <c r="B145" s="451">
        <f t="shared" si="6"/>
        <v>46318</v>
      </c>
      <c r="C145" s="448">
        <f ca="1">'DAILY EXTRAPOLATION'!N2519</f>
        <v>1.0001059325396826</v>
      </c>
      <c r="D145" s="454">
        <f t="shared" ca="1" si="7"/>
        <v>1.0148010947664823</v>
      </c>
      <c r="E145" s="450">
        <f t="shared" ca="1" si="8"/>
        <v>3.7002736916205703E-2</v>
      </c>
    </row>
    <row r="146" spans="1:5">
      <c r="A146" s="452">
        <f>'DAILY EXTRAPOLATION'!C2520</f>
        <v>46318</v>
      </c>
      <c r="B146" s="451">
        <f t="shared" si="6"/>
        <v>46319</v>
      </c>
      <c r="C146" s="448">
        <f ca="1">'DAILY EXTRAPOLATION'!N2520</f>
        <v>1.0003177976190476</v>
      </c>
      <c r="D146" s="454">
        <f t="shared" ca="1" si="7"/>
        <v>1.0151235961382059</v>
      </c>
      <c r="E146" s="450">
        <f t="shared" ca="1" si="8"/>
        <v>3.7548238687959493E-2</v>
      </c>
    </row>
    <row r="147" spans="1:5">
      <c r="A147" s="452">
        <f>'DAILY EXTRAPOLATION'!C2521</f>
        <v>46319</v>
      </c>
      <c r="B147" s="451">
        <f t="shared" si="6"/>
        <v>46320</v>
      </c>
      <c r="C147" s="448">
        <f ca="1">'DAILY EXTRAPOLATION'!N2521</f>
        <v>1</v>
      </c>
      <c r="D147" s="454">
        <f t="shared" ca="1" si="7"/>
        <v>1.0151235961382059</v>
      </c>
      <c r="E147" s="450">
        <f t="shared" ca="1" si="8"/>
        <v>3.7291058970918681E-2</v>
      </c>
    </row>
    <row r="148" spans="1:5">
      <c r="A148" s="452">
        <f>'DAILY EXTRAPOLATION'!C2522</f>
        <v>46320</v>
      </c>
      <c r="B148" s="451">
        <f t="shared" si="6"/>
        <v>46321</v>
      </c>
      <c r="C148" s="448">
        <f ca="1">'DAILY EXTRAPOLATION'!N2522</f>
        <v>1</v>
      </c>
      <c r="D148" s="454">
        <f t="shared" ca="1" si="7"/>
        <v>1.0151235961382059</v>
      </c>
      <c r="E148" s="450">
        <f t="shared" ca="1" si="8"/>
        <v>3.7037378297647125E-2</v>
      </c>
    </row>
    <row r="149" spans="1:5">
      <c r="A149" s="452">
        <f>'DAILY EXTRAPOLATION'!C2523</f>
        <v>46321</v>
      </c>
      <c r="B149" s="451">
        <f t="shared" si="6"/>
        <v>46322</v>
      </c>
      <c r="C149" s="448">
        <f ca="1">'DAILY EXTRAPOLATION'!N2523</f>
        <v>1.0001059325396826</v>
      </c>
      <c r="D149" s="454">
        <f t="shared" ca="1" si="7"/>
        <v>1.0152311307588366</v>
      </c>
      <c r="E149" s="450">
        <f t="shared" ca="1" si="8"/>
        <v>3.7048696440413455E-2</v>
      </c>
    </row>
    <row r="150" spans="1:5">
      <c r="A150" s="452">
        <f>'DAILY EXTRAPOLATION'!C2524</f>
        <v>46322</v>
      </c>
      <c r="B150" s="451">
        <f t="shared" si="6"/>
        <v>46323</v>
      </c>
      <c r="C150" s="448">
        <f ca="1">'DAILY EXTRAPOLATION'!N2524</f>
        <v>1.0001059325396826</v>
      </c>
      <c r="D150" s="454">
        <f t="shared" ca="1" si="7"/>
        <v>1.0153386767708827</v>
      </c>
      <c r="E150" s="450">
        <f t="shared" ca="1" si="8"/>
        <v>3.7059890184683135E-2</v>
      </c>
    </row>
    <row r="151" spans="1:5">
      <c r="A151" s="452">
        <f>'DAILY EXTRAPOLATION'!C2525</f>
        <v>46323</v>
      </c>
      <c r="B151" s="451">
        <f t="shared" si="6"/>
        <v>46324</v>
      </c>
      <c r="C151" s="448">
        <f ca="1">'DAILY EXTRAPOLATION'!N2525</f>
        <v>1.0001059325396826</v>
      </c>
      <c r="D151" s="454">
        <f t="shared" ca="1" si="7"/>
        <v>1.015446234175551</v>
      </c>
      <c r="E151" s="450">
        <f t="shared" ca="1" si="8"/>
        <v>3.707096202132245E-2</v>
      </c>
    </row>
    <row r="152" spans="1:5">
      <c r="A152" s="452">
        <f>'DAILY EXTRAPOLATION'!C2526</f>
        <v>46324</v>
      </c>
      <c r="B152" s="451">
        <f t="shared" si="6"/>
        <v>46325</v>
      </c>
      <c r="C152" s="448">
        <f>'DAILY EXTRAPOLATION'!N2526</f>
        <v>1.0001077777777778</v>
      </c>
      <c r="D152" s="454">
        <f t="shared" ca="1" si="7"/>
        <v>1.0155556767141234</v>
      </c>
      <c r="E152" s="450">
        <f t="shared" ca="1" si="8"/>
        <v>3.70863815700955E-2</v>
      </c>
    </row>
    <row r="153" spans="1:5">
      <c r="A153" s="452">
        <f>'DAILY EXTRAPOLATION'!C2527</f>
        <v>46325</v>
      </c>
      <c r="B153" s="451">
        <f t="shared" si="6"/>
        <v>46326</v>
      </c>
      <c r="C153" s="448">
        <f>'DAILY EXTRAPOLATION'!N2527</f>
        <v>1.0003233333333332</v>
      </c>
      <c r="D153" s="454">
        <f t="shared" ca="1" si="7"/>
        <v>1.015884039716261</v>
      </c>
      <c r="E153" s="450">
        <f t="shared" ca="1" si="8"/>
        <v>3.762009406482858E-2</v>
      </c>
    </row>
    <row r="154" spans="1:5">
      <c r="A154" s="452">
        <f>'DAILY EXTRAPOLATION'!C2528</f>
        <v>46326</v>
      </c>
      <c r="B154" s="451">
        <f t="shared" si="6"/>
        <v>46327</v>
      </c>
      <c r="C154" s="448">
        <f>'DAILY EXTRAPOLATION'!N2528</f>
        <v>1</v>
      </c>
      <c r="D154" s="454">
        <f t="shared" ca="1" si="7"/>
        <v>1.015884039716261</v>
      </c>
      <c r="E154" s="450">
        <f t="shared" ca="1" si="8"/>
        <v>3.7374211097084602E-2</v>
      </c>
    </row>
    <row r="155" spans="1:5">
      <c r="A155" s="452">
        <f>'DAILY EXTRAPOLATION'!C2529</f>
        <v>46327</v>
      </c>
      <c r="B155" s="451">
        <f t="shared" si="6"/>
        <v>46328</v>
      </c>
      <c r="C155" s="448">
        <f>'DAILY EXTRAPOLATION'!N2529</f>
        <v>1</v>
      </c>
      <c r="D155" s="454">
        <f t="shared" ca="1" si="7"/>
        <v>1.015884039716261</v>
      </c>
      <c r="E155" s="450">
        <f t="shared" ca="1" si="8"/>
        <v>3.7131521414636E-2</v>
      </c>
    </row>
    <row r="156" spans="1:5">
      <c r="A156" s="452">
        <f>'DAILY EXTRAPOLATION'!C2530</f>
        <v>46328</v>
      </c>
      <c r="B156" s="451">
        <f t="shared" si="6"/>
        <v>46329</v>
      </c>
      <c r="C156" s="448">
        <f ca="1">'DAILY EXTRAPOLATION'!N2530</f>
        <v>1.0001077777777778</v>
      </c>
      <c r="D156" s="454">
        <f t="shared" ca="1" si="7"/>
        <v>1.0159935294405416</v>
      </c>
      <c r="E156" s="450">
        <f t="shared" ca="1" si="8"/>
        <v>3.7146261926419094E-2</v>
      </c>
    </row>
    <row r="157" spans="1:5">
      <c r="A157" s="452">
        <f>'DAILY EXTRAPOLATION'!C2531</f>
        <v>46329</v>
      </c>
      <c r="B157" s="451">
        <f t="shared" si="6"/>
        <v>46330</v>
      </c>
      <c r="C157" s="448">
        <f ca="1">'DAILY EXTRAPOLATION'!N2531</f>
        <v>1.0001077777777778</v>
      </c>
      <c r="D157" s="454">
        <f t="shared" ca="1" si="7"/>
        <v>1.0161030309653813</v>
      </c>
      <c r="E157" s="450">
        <f t="shared" ca="1" si="8"/>
        <v>3.716084068934157E-2</v>
      </c>
    </row>
    <row r="158" spans="1:5">
      <c r="A158" s="452">
        <f>'DAILY EXTRAPOLATION'!C2532</f>
        <v>46330</v>
      </c>
      <c r="B158" s="451">
        <f t="shared" si="6"/>
        <v>46331</v>
      </c>
      <c r="C158" s="448">
        <f ca="1">'DAILY EXTRAPOLATION'!N2532</f>
        <v>1.0001077777777778</v>
      </c>
      <c r="D158" s="454">
        <f t="shared" ca="1" si="7"/>
        <v>1.0162125442920522</v>
      </c>
      <c r="E158" s="450">
        <f t="shared" ca="1" si="8"/>
        <v>3.7175260797062397E-2</v>
      </c>
    </row>
    <row r="159" spans="1:5">
      <c r="A159" s="452">
        <f>'DAILY EXTRAPOLATION'!C2533</f>
        <v>46331</v>
      </c>
      <c r="B159" s="451">
        <f t="shared" si="6"/>
        <v>46332</v>
      </c>
      <c r="C159" s="448">
        <f ca="1">'DAILY EXTRAPOLATION'!N2533</f>
        <v>1.0001077777777778</v>
      </c>
      <c r="D159" s="454">
        <f t="shared" ca="1" si="7"/>
        <v>1.016322069421826</v>
      </c>
      <c r="E159" s="450">
        <f t="shared" ca="1" si="8"/>
        <v>3.7189525264920031E-2</v>
      </c>
    </row>
    <row r="160" spans="1:5">
      <c r="A160" s="452">
        <f>'DAILY EXTRAPOLATION'!C2534</f>
        <v>46332</v>
      </c>
      <c r="B160" s="451">
        <f t="shared" si="6"/>
        <v>46333</v>
      </c>
      <c r="C160" s="448">
        <f ca="1">'DAILY EXTRAPOLATION'!N2534</f>
        <v>1.0003233333333332</v>
      </c>
      <c r="D160" s="454">
        <f t="shared" ca="1" si="7"/>
        <v>1.0166506802242723</v>
      </c>
      <c r="E160" s="450">
        <f t="shared" ca="1" si="8"/>
        <v>3.7699653337975009E-2</v>
      </c>
    </row>
    <row r="161" spans="1:5">
      <c r="A161" s="452">
        <f>'DAILY EXTRAPOLATION'!C2535</f>
        <v>46333</v>
      </c>
      <c r="B161" s="451">
        <f t="shared" si="6"/>
        <v>46334</v>
      </c>
      <c r="C161" s="448">
        <f ca="1">'DAILY EXTRAPOLATION'!N2535</f>
        <v>1</v>
      </c>
      <c r="D161" s="454">
        <f t="shared" ca="1" si="7"/>
        <v>1.0166506802242723</v>
      </c>
      <c r="E161" s="450">
        <f t="shared" ca="1" si="8"/>
        <v>3.7464030504612666E-2</v>
      </c>
    </row>
    <row r="162" spans="1:5">
      <c r="A162" s="452">
        <f>'DAILY EXTRAPOLATION'!C2536</f>
        <v>46334</v>
      </c>
      <c r="B162" s="451">
        <f t="shared" si="6"/>
        <v>46335</v>
      </c>
      <c r="C162" s="448">
        <f ca="1">'DAILY EXTRAPOLATION'!N2536</f>
        <v>1</v>
      </c>
      <c r="D162" s="454">
        <f t="shared" ca="1" si="7"/>
        <v>1.0166506802242723</v>
      </c>
      <c r="E162" s="450">
        <f t="shared" ca="1" si="8"/>
        <v>3.7231334662969108E-2</v>
      </c>
    </row>
    <row r="163" spans="1:5">
      <c r="A163" s="452">
        <f>'DAILY EXTRAPOLATION'!C2537</f>
        <v>46335</v>
      </c>
      <c r="B163" s="451">
        <f t="shared" si="6"/>
        <v>46336</v>
      </c>
      <c r="C163" s="448">
        <f ca="1">'DAILY EXTRAPOLATION'!N2537</f>
        <v>1.0001077777777778</v>
      </c>
      <c r="D163" s="454">
        <f t="shared" ca="1" si="7"/>
        <v>1.0167602525753632</v>
      </c>
      <c r="E163" s="450">
        <f t="shared" ca="1" si="8"/>
        <v>3.724500572302928E-2</v>
      </c>
    </row>
    <row r="164" spans="1:5">
      <c r="A164" s="452">
        <f>'DAILY EXTRAPOLATION'!C2538</f>
        <v>46336</v>
      </c>
      <c r="B164" s="451">
        <f t="shared" si="6"/>
        <v>46337</v>
      </c>
      <c r="C164" s="448">
        <f ca="1">'DAILY EXTRAPOLATION'!N2538</f>
        <v>1.0002155555555556</v>
      </c>
      <c r="D164" s="454">
        <f t="shared" ca="1" si="7"/>
        <v>1.016979420896474</v>
      </c>
      <c r="E164" s="450">
        <f t="shared" ca="1" si="8"/>
        <v>3.7500561489144969E-2</v>
      </c>
    </row>
    <row r="165" spans="1:5">
      <c r="A165" s="452">
        <f>'DAILY EXTRAPOLATION'!C2539</f>
        <v>46337</v>
      </c>
      <c r="B165" s="451">
        <f t="shared" si="6"/>
        <v>46338</v>
      </c>
      <c r="C165" s="448">
        <f ca="1">'DAILY EXTRAPOLATION'!N2539</f>
        <v>1</v>
      </c>
      <c r="D165" s="454">
        <f t="shared" ca="1" si="7"/>
        <v>1.016979420896474</v>
      </c>
      <c r="E165" s="450">
        <f t="shared" ca="1" si="8"/>
        <v>3.7271899528845305E-2</v>
      </c>
    </row>
    <row r="166" spans="1:5">
      <c r="A166" s="452">
        <f>'DAILY EXTRAPOLATION'!C2540</f>
        <v>46338</v>
      </c>
      <c r="B166" s="451">
        <f t="shared" si="6"/>
        <v>46339</v>
      </c>
      <c r="C166" s="448">
        <f ca="1">'DAILY EXTRAPOLATION'!N2540</f>
        <v>1.0001077777777778</v>
      </c>
      <c r="D166" s="454">
        <f t="shared" ca="1" si="7"/>
        <v>1.0170890286785039</v>
      </c>
      <c r="E166" s="450">
        <f t="shared" ca="1" si="8"/>
        <v>3.7285153480372202E-2</v>
      </c>
    </row>
    <row r="167" spans="1:5">
      <c r="A167" s="452">
        <f>'DAILY EXTRAPOLATION'!C2541</f>
        <v>46339</v>
      </c>
      <c r="B167" s="451">
        <f t="shared" si="6"/>
        <v>46340</v>
      </c>
      <c r="C167" s="448">
        <f ca="1">'DAILY EXTRAPOLATION'!N2541</f>
        <v>1.0003233333333332</v>
      </c>
      <c r="D167" s="454">
        <f t="shared" ca="1" si="7"/>
        <v>1.0174178874644433</v>
      </c>
      <c r="E167" s="450">
        <f t="shared" ca="1" si="8"/>
        <v>3.7773731850599887E-2</v>
      </c>
    </row>
    <row r="168" spans="1:5">
      <c r="A168" s="452">
        <f>'DAILY EXTRAPOLATION'!C2542</f>
        <v>46340</v>
      </c>
      <c r="B168" s="451">
        <f t="shared" si="6"/>
        <v>46341</v>
      </c>
      <c r="C168" s="448">
        <f ca="1">'DAILY EXTRAPOLATION'!N2542</f>
        <v>1</v>
      </c>
      <c r="D168" s="454">
        <f t="shared" ca="1" si="7"/>
        <v>1.0174178874644433</v>
      </c>
      <c r="E168" s="450">
        <f t="shared" ca="1" si="8"/>
        <v>3.7547541839518452E-2</v>
      </c>
    </row>
    <row r="169" spans="1:5">
      <c r="A169" s="452">
        <f>'DAILY EXTRAPOLATION'!C2543</f>
        <v>46341</v>
      </c>
      <c r="B169" s="451">
        <f t="shared" si="6"/>
        <v>46342</v>
      </c>
      <c r="C169" s="448">
        <f ca="1">'DAILY EXTRAPOLATION'!N2543</f>
        <v>1</v>
      </c>
      <c r="D169" s="454">
        <f t="shared" ca="1" si="7"/>
        <v>1.0174178874644433</v>
      </c>
      <c r="E169" s="450">
        <f t="shared" ca="1" si="8"/>
        <v>3.7324044566664175E-2</v>
      </c>
    </row>
    <row r="170" spans="1:5">
      <c r="A170" s="452">
        <f>'DAILY EXTRAPOLATION'!C2544</f>
        <v>46342</v>
      </c>
      <c r="B170" s="451">
        <f t="shared" si="6"/>
        <v>46343</v>
      </c>
      <c r="C170" s="448">
        <f ca="1">'DAILY EXTRAPOLATION'!N2544</f>
        <v>1.0001077777777778</v>
      </c>
      <c r="D170" s="454">
        <f t="shared" ca="1" si="7"/>
        <v>1.0175275425034256</v>
      </c>
      <c r="E170" s="450">
        <f t="shared" ca="1" si="8"/>
        <v>3.733677693037403E-2</v>
      </c>
    </row>
    <row r="171" spans="1:5">
      <c r="A171" s="452">
        <f>'DAILY EXTRAPOLATION'!C2545</f>
        <v>46343</v>
      </c>
      <c r="B171" s="451">
        <f t="shared" si="6"/>
        <v>46344</v>
      </c>
      <c r="C171" s="448">
        <f ca="1">'DAILY EXTRAPOLATION'!N2545</f>
        <v>1.0001077777777778</v>
      </c>
      <c r="D171" s="454">
        <f t="shared" ca="1" si="7"/>
        <v>1.0176372093607844</v>
      </c>
      <c r="E171" s="450">
        <f t="shared" ca="1" si="8"/>
        <v>3.7349384528719887E-2</v>
      </c>
    </row>
    <row r="172" spans="1:5">
      <c r="A172" s="452">
        <f>'DAILY EXTRAPOLATION'!C2546</f>
        <v>46344</v>
      </c>
      <c r="B172" s="451">
        <f t="shared" si="6"/>
        <v>46345</v>
      </c>
      <c r="C172" s="448">
        <f ca="1">'DAILY EXTRAPOLATION'!N2546</f>
        <v>1.0001077777777778</v>
      </c>
      <c r="D172" s="454">
        <f t="shared" ca="1" si="7"/>
        <v>1.0177468880377933</v>
      </c>
      <c r="E172" s="450">
        <f t="shared" ca="1" si="8"/>
        <v>3.736186955324914E-2</v>
      </c>
    </row>
    <row r="173" spans="1:5">
      <c r="A173" s="452">
        <f>'DAILY EXTRAPOLATION'!C2547</f>
        <v>46345</v>
      </c>
      <c r="B173" s="451">
        <f t="shared" si="6"/>
        <v>46346</v>
      </c>
      <c r="C173" s="448">
        <f ca="1">'DAILY EXTRAPOLATION'!N2547</f>
        <v>1.0001077777777778</v>
      </c>
      <c r="D173" s="454">
        <f t="shared" ca="1" si="7"/>
        <v>1.0178565785357263</v>
      </c>
      <c r="E173" s="450">
        <f t="shared" ca="1" si="8"/>
        <v>3.7374234144543439E-2</v>
      </c>
    </row>
    <row r="174" spans="1:5">
      <c r="A174" s="452">
        <f>'DAILY EXTRAPOLATION'!C2548</f>
        <v>46346</v>
      </c>
      <c r="B174" s="451">
        <f t="shared" si="6"/>
        <v>46347</v>
      </c>
      <c r="C174" s="448">
        <f ca="1">'DAILY EXTRAPOLATION'!N2548</f>
        <v>1.0003233333333332</v>
      </c>
      <c r="D174" s="454">
        <f t="shared" ca="1" si="7"/>
        <v>1.0181856854961193</v>
      </c>
      <c r="E174" s="450">
        <f t="shared" ca="1" si="8"/>
        <v>3.7843044963022862E-2</v>
      </c>
    </row>
    <row r="175" spans="1:5">
      <c r="A175" s="452">
        <f>'DAILY EXTRAPOLATION'!C2549</f>
        <v>46347</v>
      </c>
      <c r="B175" s="451">
        <f t="shared" si="6"/>
        <v>46348</v>
      </c>
      <c r="C175" s="448">
        <f ca="1">'DAILY EXTRAPOLATION'!N2549</f>
        <v>1</v>
      </c>
      <c r="D175" s="454">
        <f t="shared" ca="1" si="7"/>
        <v>1.0181856854961193</v>
      </c>
      <c r="E175" s="450">
        <f t="shared" ca="1" si="8"/>
        <v>3.7625556198867559E-2</v>
      </c>
    </row>
    <row r="176" spans="1:5">
      <c r="A176" s="452">
        <f>'DAILY EXTRAPOLATION'!C2550</f>
        <v>46348</v>
      </c>
      <c r="B176" s="451">
        <f t="shared" si="6"/>
        <v>46349</v>
      </c>
      <c r="C176" s="448">
        <f ca="1">'DAILY EXTRAPOLATION'!N2550</f>
        <v>1</v>
      </c>
      <c r="D176" s="454">
        <f t="shared" ca="1" si="7"/>
        <v>1.0181856854961193</v>
      </c>
      <c r="E176" s="450">
        <f t="shared" ca="1" si="8"/>
        <v>3.7410553020588315E-2</v>
      </c>
    </row>
    <row r="177" spans="1:5">
      <c r="A177" s="452">
        <f>'DAILY EXTRAPOLATION'!C2551</f>
        <v>46349</v>
      </c>
      <c r="B177" s="451">
        <f t="shared" si="6"/>
        <v>46350</v>
      </c>
      <c r="C177" s="448">
        <f ca="1">'DAILY EXTRAPOLATION'!N2551</f>
        <v>1.0001077777777778</v>
      </c>
      <c r="D177" s="454">
        <f t="shared" ca="1" si="7"/>
        <v>1.0182954232866672</v>
      </c>
      <c r="E177" s="450">
        <f t="shared" ca="1" si="8"/>
        <v>3.7422456722728412E-2</v>
      </c>
    </row>
    <row r="178" spans="1:5">
      <c r="A178" s="452">
        <f>'DAILY EXTRAPOLATION'!C2552</f>
        <v>46350</v>
      </c>
      <c r="B178" s="451">
        <f t="shared" si="6"/>
        <v>46351</v>
      </c>
      <c r="C178" s="448">
        <f ca="1">'DAILY EXTRAPOLATION'!N2552</f>
        <v>1.0001077777777778</v>
      </c>
      <c r="D178" s="454">
        <f t="shared" ca="1" si="7"/>
        <v>1.0184051729045105</v>
      </c>
      <c r="E178" s="450">
        <f t="shared" ca="1" si="8"/>
        <v>3.7434249975275578E-2</v>
      </c>
    </row>
    <row r="179" spans="1:5">
      <c r="A179" s="452">
        <f>'DAILY EXTRAPOLATION'!C2553</f>
        <v>46351</v>
      </c>
      <c r="B179" s="451">
        <f t="shared" si="6"/>
        <v>46352</v>
      </c>
      <c r="C179" s="448">
        <f ca="1">'DAILY EXTRAPOLATION'!N2553</f>
        <v>1.0002155555555556</v>
      </c>
      <c r="D179" s="454">
        <f t="shared" ca="1" si="7"/>
        <v>1.0186246957973366</v>
      </c>
      <c r="E179" s="450">
        <f t="shared" ca="1" si="8"/>
        <v>3.7667924084501009E-2</v>
      </c>
    </row>
    <row r="180" spans="1:5">
      <c r="A180" s="452">
        <f>'DAILY EXTRAPOLATION'!C2554</f>
        <v>46352</v>
      </c>
      <c r="B180" s="451">
        <f t="shared" si="6"/>
        <v>46353</v>
      </c>
      <c r="C180" s="448">
        <f ca="1">'DAILY EXTRAPOLATION'!N2554</f>
        <v>1</v>
      </c>
      <c r="D180" s="454">
        <f t="shared" ca="1" si="7"/>
        <v>1.0186246957973366</v>
      </c>
      <c r="E180" s="450">
        <f ca="1">(D180/1-1)*360/(B180-A$2)</f>
        <v>3.7457488754419996E-2</v>
      </c>
    </row>
    <row r="181" spans="1:5">
      <c r="A181" s="452">
        <f>'DAILY EXTRAPOLATION'!C2555</f>
        <v>46353</v>
      </c>
      <c r="B181" s="451">
        <f t="shared" si="6"/>
        <v>46354</v>
      </c>
      <c r="C181" s="448">
        <f ca="1">'DAILY EXTRAPOLATION'!N2555</f>
        <v>1.0003233333333332</v>
      </c>
      <c r="D181" s="454">
        <f t="shared" ca="1" si="7"/>
        <v>1.0189540511156443</v>
      </c>
      <c r="E181" s="450">
        <f t="shared" ca="1" si="8"/>
        <v>3.7908102231288598E-2</v>
      </c>
    </row>
    <row r="182" spans="1:5">
      <c r="A182" s="452">
        <f>'DAILY EXTRAPOLATION'!C2556</f>
        <v>46354</v>
      </c>
      <c r="B182" s="451">
        <f t="shared" si="6"/>
        <v>46355</v>
      </c>
      <c r="C182" s="448">
        <f ca="1">'DAILY EXTRAPOLATION'!N2556</f>
        <v>1</v>
      </c>
      <c r="D182" s="454">
        <f t="shared" ca="1" si="7"/>
        <v>1.0189540511156443</v>
      </c>
      <c r="E182" s="450">
        <f t="shared" ca="1" si="8"/>
        <v>3.7698665202386454E-2</v>
      </c>
    </row>
    <row r="183" spans="1:5">
      <c r="A183" s="452">
        <f>'DAILY EXTRAPOLATION'!C2557</f>
        <v>46355</v>
      </c>
      <c r="B183" s="451">
        <f t="shared" si="6"/>
        <v>46356</v>
      </c>
      <c r="C183" s="448">
        <f ca="1">'DAILY EXTRAPOLATION'!N2557</f>
        <v>1</v>
      </c>
      <c r="D183" s="454">
        <f t="shared" ca="1" si="7"/>
        <v>1.0189540511156443</v>
      </c>
      <c r="E183" s="450">
        <f t="shared" ca="1" si="8"/>
        <v>3.7491529679296413E-2</v>
      </c>
    </row>
    <row r="184" spans="1:5">
      <c r="A184" s="452">
        <f>'DAILY EXTRAPOLATION'!C2558</f>
        <v>46356</v>
      </c>
      <c r="B184" s="451">
        <f t="shared" si="6"/>
        <v>46357</v>
      </c>
      <c r="C184" s="448">
        <f ca="1">'DAILY EXTRAPOLATION'!N2558</f>
        <v>1.0001077777777778</v>
      </c>
      <c r="D184" s="454">
        <f t="shared" ca="1" si="7"/>
        <v>1.0190638717189313</v>
      </c>
      <c r="E184" s="450">
        <f t="shared" ca="1" si="8"/>
        <v>3.7502698463471436E-2</v>
      </c>
    </row>
    <row r="185" spans="1:5">
      <c r="A185" s="452">
        <f>'DAILY EXTRAPOLATION'!C2559</f>
        <v>46357</v>
      </c>
      <c r="B185" s="451">
        <f t="shared" si="6"/>
        <v>46358</v>
      </c>
      <c r="C185" s="448">
        <f ca="1">'DAILY EXTRAPOLATION'!N2559</f>
        <v>1.0001077777777778</v>
      </c>
      <c r="D185" s="454">
        <f t="shared" ca="1" si="7"/>
        <v>1.0191737041584388</v>
      </c>
      <c r="E185" s="450">
        <f t="shared" ca="1" si="8"/>
        <v>3.751376900564108E-2</v>
      </c>
    </row>
    <row r="186" spans="1:5">
      <c r="A186" s="452">
        <f>'DAILY EXTRAPOLATION'!C2560</f>
        <v>46358</v>
      </c>
      <c r="B186" s="451">
        <f t="shared" si="6"/>
        <v>46359</v>
      </c>
      <c r="C186" s="448">
        <f ca="1">'DAILY EXTRAPOLATION'!N2560</f>
        <v>1.0001077777777778</v>
      </c>
      <c r="D186" s="454">
        <f t="shared" ca="1" si="7"/>
        <v>1.0192835484354426</v>
      </c>
      <c r="E186" s="450">
        <f t="shared" ca="1" si="8"/>
        <v>3.7524742901401731E-2</v>
      </c>
    </row>
    <row r="187" spans="1:5">
      <c r="A187" s="452">
        <f>'DAILY EXTRAPOLATION'!C2561</f>
        <v>46359</v>
      </c>
      <c r="B187" s="451">
        <f t="shared" si="6"/>
        <v>46360</v>
      </c>
      <c r="C187" s="448">
        <f ca="1">'DAILY EXTRAPOLATION'!N2561</f>
        <v>1.0001077777777778</v>
      </c>
      <c r="D187" s="454">
        <f t="shared" ca="1" si="7"/>
        <v>1.0193934045512185</v>
      </c>
      <c r="E187" s="450">
        <f t="shared" ca="1" si="8"/>
        <v>3.7535621712035845E-2</v>
      </c>
    </row>
    <row r="188" spans="1:5">
      <c r="A188" s="452">
        <f>'DAILY EXTRAPOLATION'!C2562</f>
        <v>46360</v>
      </c>
      <c r="B188" s="451">
        <f t="shared" si="6"/>
        <v>46361</v>
      </c>
      <c r="C188" s="448">
        <f ca="1">'DAILY EXTRAPOLATION'!N2562</f>
        <v>1.0003233333333332</v>
      </c>
      <c r="D188" s="454">
        <f t="shared" ca="1" si="7"/>
        <v>1.0197230084186899</v>
      </c>
      <c r="E188" s="450">
        <f t="shared" ca="1" si="8"/>
        <v>3.7969427971809439E-2</v>
      </c>
    </row>
    <row r="189" spans="1:5">
      <c r="A189" s="452">
        <f>'DAILY EXTRAPOLATION'!C2563</f>
        <v>46361</v>
      </c>
      <c r="B189" s="451">
        <f t="shared" si="6"/>
        <v>46362</v>
      </c>
      <c r="C189" s="448">
        <f ca="1">'DAILY EXTRAPOLATION'!N2563</f>
        <v>1</v>
      </c>
      <c r="D189" s="454">
        <f t="shared" ca="1" si="7"/>
        <v>1.0197230084186899</v>
      </c>
      <c r="E189" s="450">
        <f t="shared" ca="1" si="8"/>
        <v>3.7767462929406199E-2</v>
      </c>
    </row>
    <row r="190" spans="1:5">
      <c r="A190" s="452">
        <f>'DAILY EXTRAPOLATION'!C2564</f>
        <v>46362</v>
      </c>
      <c r="B190" s="451">
        <f t="shared" si="6"/>
        <v>46363</v>
      </c>
      <c r="C190" s="448">
        <f ca="1">'DAILY EXTRAPOLATION'!N2564</f>
        <v>1</v>
      </c>
      <c r="D190" s="454">
        <f t="shared" ca="1" si="7"/>
        <v>1.0197230084186899</v>
      </c>
      <c r="E190" s="450">
        <f t="shared" ca="1" si="8"/>
        <v>3.7567635083218864E-2</v>
      </c>
    </row>
    <row r="191" spans="1:5">
      <c r="A191" s="452">
        <f>'DAILY EXTRAPOLATION'!C2565</f>
        <v>46363</v>
      </c>
      <c r="B191" s="451">
        <f t="shared" si="6"/>
        <v>46364</v>
      </c>
      <c r="C191" s="448">
        <f ca="1">'DAILY EXTRAPOLATION'!N2565</f>
        <v>1.0001077777777778</v>
      </c>
      <c r="D191" s="454">
        <f t="shared" ca="1" si="7"/>
        <v>1.0198329118984861</v>
      </c>
      <c r="E191" s="450">
        <f t="shared" ca="1" si="8"/>
        <v>3.7578148860289505E-2</v>
      </c>
    </row>
    <row r="192" spans="1:5">
      <c r="A192" s="452">
        <f>'DAILY EXTRAPOLATION'!C2566</f>
        <v>46364</v>
      </c>
      <c r="B192" s="451">
        <f t="shared" si="6"/>
        <v>46365</v>
      </c>
      <c r="C192" s="448">
        <f ca="1">'DAILY EXTRAPOLATION'!N2566</f>
        <v>1.0001077777777778</v>
      </c>
      <c r="D192" s="454">
        <f t="shared" ca="1" si="7"/>
        <v>1.0199428272234352</v>
      </c>
      <c r="E192" s="450">
        <f t="shared" ca="1" si="8"/>
        <v>3.7588574871396212E-2</v>
      </c>
    </row>
    <row r="193" spans="1:5">
      <c r="A193" s="452">
        <f>'DAILY EXTRAPOLATION'!C2567</f>
        <v>46365</v>
      </c>
      <c r="B193" s="451">
        <f t="shared" si="6"/>
        <v>46366</v>
      </c>
      <c r="C193" s="448">
        <f ca="1">'DAILY EXTRAPOLATION'!N2567</f>
        <v>1.0001077777777778</v>
      </c>
      <c r="D193" s="454">
        <f t="shared" ca="1" si="7"/>
        <v>1.0200527543948137</v>
      </c>
      <c r="E193" s="450">
        <f t="shared" ca="1" si="8"/>
        <v>3.7598914490275664E-2</v>
      </c>
    </row>
    <row r="194" spans="1:5">
      <c r="A194" s="452">
        <f>'DAILY EXTRAPOLATION'!C2568</f>
        <v>46366</v>
      </c>
      <c r="B194" s="451">
        <f t="shared" si="6"/>
        <v>46367</v>
      </c>
      <c r="C194" s="448">
        <f ca="1">'DAILY EXTRAPOLATION'!N2568</f>
        <v>1.000112279040404</v>
      </c>
      <c r="D194" s="454">
        <f t="shared" ca="1" si="7"/>
        <v>1.0201672849392387</v>
      </c>
      <c r="E194" s="450">
        <f t="shared" ca="1" si="8"/>
        <v>3.7617733565419323E-2</v>
      </c>
    </row>
    <row r="195" spans="1:5">
      <c r="A195" s="452">
        <f>'DAILY EXTRAPOLATION'!C2569</f>
        <v>46367</v>
      </c>
      <c r="B195" s="451">
        <f t="shared" ref="B195:B216" si="9">A196</f>
        <v>46368</v>
      </c>
      <c r="C195" s="448">
        <f ca="1">'DAILY EXTRAPOLATION'!N2569</f>
        <v>1.000336837121212</v>
      </c>
      <c r="D195" s="454">
        <f t="shared" ca="1" si="7"/>
        <v>1.0205109151506524</v>
      </c>
      <c r="E195" s="450">
        <f t="shared" ca="1" si="8"/>
        <v>3.8061492032138468E-2</v>
      </c>
    </row>
    <row r="196" spans="1:5">
      <c r="A196" s="452">
        <f>'DAILY EXTRAPOLATION'!C2570</f>
        <v>46368</v>
      </c>
      <c r="B196" s="451">
        <f t="shared" si="9"/>
        <v>46369</v>
      </c>
      <c r="C196" s="448">
        <f ca="1">'DAILY EXTRAPOLATION'!N2570</f>
        <v>1</v>
      </c>
      <c r="D196" s="454">
        <f t="shared" ref="D196:D216" ca="1" si="10">D195*C196</f>
        <v>1.0205109151506524</v>
      </c>
      <c r="E196" s="450">
        <f t="shared" ref="E196:E216" ca="1" si="11">(D196/1-1)*360/(B196-A$2)</f>
        <v>3.7866304893512122E-2</v>
      </c>
    </row>
    <row r="197" spans="1:5">
      <c r="A197" s="452">
        <f>'DAILY EXTRAPOLATION'!C2571</f>
        <v>46369</v>
      </c>
      <c r="B197" s="451">
        <f t="shared" si="9"/>
        <v>46370</v>
      </c>
      <c r="C197" s="448">
        <f ca="1">'DAILY EXTRAPOLATION'!N2571</f>
        <v>1</v>
      </c>
      <c r="D197" s="454">
        <f t="shared" ca="1" si="10"/>
        <v>1.0205109151506524</v>
      </c>
      <c r="E197" s="450">
        <f t="shared" ca="1" si="11"/>
        <v>3.7673109460381958E-2</v>
      </c>
    </row>
    <row r="198" spans="1:5">
      <c r="A198" s="452">
        <f>'DAILY EXTRAPOLATION'!C2572</f>
        <v>46370</v>
      </c>
      <c r="B198" s="451">
        <f t="shared" si="9"/>
        <v>46371</v>
      </c>
      <c r="C198" s="448">
        <f ca="1">'DAILY EXTRAPOLATION'!N2572</f>
        <v>1.000112279040404</v>
      </c>
      <c r="D198" s="454">
        <f t="shared" ca="1" si="10"/>
        <v>1.0206254971369273</v>
      </c>
      <c r="E198" s="450">
        <f t="shared" ca="1" si="11"/>
        <v>3.769126380352196E-2</v>
      </c>
    </row>
    <row r="199" spans="1:5">
      <c r="A199" s="452">
        <f>'DAILY EXTRAPOLATION'!C2573</f>
        <v>46371</v>
      </c>
      <c r="B199" s="451">
        <f t="shared" si="9"/>
        <v>46372</v>
      </c>
      <c r="C199" s="448">
        <f ca="1">'DAILY EXTRAPOLATION'!N2573</f>
        <v>1.000112279040404</v>
      </c>
      <c r="D199" s="454">
        <f t="shared" ca="1" si="10"/>
        <v>1.0207400919883578</v>
      </c>
      <c r="E199" s="450">
        <f t="shared" ca="1" si="11"/>
        <v>3.7709258160650544E-2</v>
      </c>
    </row>
    <row r="200" spans="1:5">
      <c r="A200" s="452">
        <f>'DAILY EXTRAPOLATION'!C2574</f>
        <v>46372</v>
      </c>
      <c r="B200" s="451">
        <f t="shared" si="9"/>
        <v>46373</v>
      </c>
      <c r="C200" s="448">
        <f ca="1">'DAILY EXTRAPOLATION'!N2574</f>
        <v>1.000112279040404</v>
      </c>
      <c r="D200" s="454">
        <f t="shared" ca="1" si="10"/>
        <v>1.0208546997063881</v>
      </c>
      <c r="E200" s="450">
        <f t="shared" ca="1" si="11"/>
        <v>3.7727094946229715E-2</v>
      </c>
    </row>
    <row r="201" spans="1:5">
      <c r="A201" s="452">
        <f>'DAILY EXTRAPOLATION'!C2575</f>
        <v>46373</v>
      </c>
      <c r="B201" s="451">
        <f t="shared" si="9"/>
        <v>46374</v>
      </c>
      <c r="C201" s="448">
        <f ca="1">'DAILY EXTRAPOLATION'!N2575</f>
        <v>1.000112279040404</v>
      </c>
      <c r="D201" s="454">
        <f t="shared" ca="1" si="10"/>
        <v>1.020969320292463</v>
      </c>
      <c r="E201" s="450">
        <f t="shared" ca="1" si="11"/>
        <v>3.7744776526433418E-2</v>
      </c>
    </row>
    <row r="202" spans="1:5">
      <c r="A202" s="452">
        <f>'DAILY EXTRAPOLATION'!C2576</f>
        <v>46374</v>
      </c>
      <c r="B202" s="451">
        <f t="shared" si="9"/>
        <v>46375</v>
      </c>
      <c r="C202" s="448">
        <f ca="1">'DAILY EXTRAPOLATION'!N2576</f>
        <v>1.000336837121212</v>
      </c>
      <c r="D202" s="454">
        <f t="shared" ca="1" si="10"/>
        <v>1.0213132206591562</v>
      </c>
      <c r="E202" s="450">
        <f t="shared" ca="1" si="11"/>
        <v>3.8172932523861842E-2</v>
      </c>
    </row>
    <row r="203" spans="1:5">
      <c r="A203" s="452">
        <f>'DAILY EXTRAPOLATION'!C2577</f>
        <v>46375</v>
      </c>
      <c r="B203" s="451">
        <f t="shared" si="9"/>
        <v>46376</v>
      </c>
      <c r="C203" s="448">
        <f ca="1">'DAILY EXTRAPOLATION'!N2577</f>
        <v>1</v>
      </c>
      <c r="D203" s="454">
        <f t="shared" ca="1" si="10"/>
        <v>1.0213132206591562</v>
      </c>
      <c r="E203" s="450">
        <f t="shared" ca="1" si="11"/>
        <v>3.7983957610377379E-2</v>
      </c>
    </row>
    <row r="204" spans="1:5">
      <c r="A204" s="452">
        <f>'DAILY EXTRAPOLATION'!C2578</f>
        <v>46376</v>
      </c>
      <c r="B204" s="451">
        <f t="shared" si="9"/>
        <v>46377</v>
      </c>
      <c r="C204" s="448">
        <f ca="1">'DAILY EXTRAPOLATION'!N2578</f>
        <v>1</v>
      </c>
      <c r="D204" s="454">
        <f t="shared" ca="1" si="10"/>
        <v>1.0213132206591562</v>
      </c>
      <c r="E204" s="450">
        <f t="shared" ca="1" si="11"/>
        <v>3.7796844518700641E-2</v>
      </c>
    </row>
    <row r="205" spans="1:5">
      <c r="A205" s="452">
        <f>'DAILY EXTRAPOLATION'!C2579</f>
        <v>46377</v>
      </c>
      <c r="B205" s="451">
        <f t="shared" si="9"/>
        <v>46378</v>
      </c>
      <c r="C205" s="448">
        <f ca="1">'DAILY EXTRAPOLATION'!N2579</f>
        <v>1.000112279040404</v>
      </c>
      <c r="D205" s="454">
        <f t="shared" ca="1" si="10"/>
        <v>1.0214278927275238</v>
      </c>
      <c r="E205" s="450">
        <f t="shared" ca="1" si="11"/>
        <v>3.7813928342688999E-2</v>
      </c>
    </row>
    <row r="206" spans="1:5">
      <c r="A206" s="452">
        <f>'DAILY EXTRAPOLATION'!C2580</f>
        <v>46378</v>
      </c>
      <c r="B206" s="451">
        <f t="shared" si="9"/>
        <v>46379</v>
      </c>
      <c r="C206" s="448">
        <f ca="1">'DAILY EXTRAPOLATION'!N2580</f>
        <v>1.000112279040404</v>
      </c>
      <c r="D206" s="454">
        <f t="shared" ca="1" si="10"/>
        <v>1.0215425776711611</v>
      </c>
      <c r="E206" s="450">
        <f t="shared" ca="1" si="11"/>
        <v>3.7830868105453601E-2</v>
      </c>
    </row>
    <row r="207" spans="1:5">
      <c r="A207" s="452">
        <f>'DAILY EXTRAPOLATION'!C2581</f>
        <v>46379</v>
      </c>
      <c r="B207" s="451">
        <f t="shared" si="9"/>
        <v>46380</v>
      </c>
      <c r="C207" s="448">
        <f ca="1">'DAILY EXTRAPOLATION'!N2581</f>
        <v>1.000112279040404</v>
      </c>
      <c r="D207" s="454">
        <f t="shared" ca="1" si="10"/>
        <v>1.0216572754915139</v>
      </c>
      <c r="E207" s="450">
        <f t="shared" ca="1" si="11"/>
        <v>3.7847665907499953E-2</v>
      </c>
    </row>
    <row r="208" spans="1:5">
      <c r="A208" s="452">
        <f>'DAILY EXTRAPOLATION'!C2582</f>
        <v>46380</v>
      </c>
      <c r="B208" s="451">
        <f t="shared" si="9"/>
        <v>46381</v>
      </c>
      <c r="C208" s="448">
        <f ca="1">'DAILY EXTRAPOLATION'!N2582</f>
        <v>1.0004491161616162</v>
      </c>
      <c r="D208" s="454">
        <f t="shared" ca="1" si="10"/>
        <v>1.02211611828557</v>
      </c>
      <c r="E208" s="450">
        <f t="shared" ca="1" si="11"/>
        <v>3.8462814409687011E-2</v>
      </c>
    </row>
    <row r="209" spans="1:5">
      <c r="A209" s="452">
        <f>'DAILY EXTRAPOLATION'!C2583</f>
        <v>46381</v>
      </c>
      <c r="B209" s="451">
        <f t="shared" si="9"/>
        <v>46382</v>
      </c>
      <c r="C209" s="448">
        <f ca="1">'DAILY EXTRAPOLATION'!N2583</f>
        <v>1</v>
      </c>
      <c r="D209" s="454">
        <f t="shared" ca="1" si="10"/>
        <v>1.02211611828557</v>
      </c>
      <c r="E209" s="450">
        <f t="shared" ca="1" si="11"/>
        <v>3.8277897032717362E-2</v>
      </c>
    </row>
    <row r="210" spans="1:5">
      <c r="A210" s="452">
        <f>'DAILY EXTRAPOLATION'!C2584</f>
        <v>46382</v>
      </c>
      <c r="B210" s="451">
        <f t="shared" si="9"/>
        <v>46383</v>
      </c>
      <c r="C210" s="448">
        <f ca="1">'DAILY EXTRAPOLATION'!N2584</f>
        <v>1</v>
      </c>
      <c r="D210" s="454">
        <f t="shared" ca="1" si="10"/>
        <v>1.02211611828557</v>
      </c>
      <c r="E210" s="450">
        <f t="shared" ca="1" si="11"/>
        <v>3.8094749200024931E-2</v>
      </c>
    </row>
    <row r="211" spans="1:5">
      <c r="A211" s="452">
        <f>'DAILY EXTRAPOLATION'!C2585</f>
        <v>46383</v>
      </c>
      <c r="B211" s="451">
        <f t="shared" si="9"/>
        <v>46384</v>
      </c>
      <c r="C211" s="448">
        <f ca="1">'DAILY EXTRAPOLATION'!N2585</f>
        <v>1</v>
      </c>
      <c r="D211" s="454">
        <f t="shared" ca="1" si="10"/>
        <v>1.02211611828557</v>
      </c>
      <c r="E211" s="450">
        <f t="shared" ca="1" si="11"/>
        <v>3.7913345632405768E-2</v>
      </c>
    </row>
    <row r="212" spans="1:5">
      <c r="A212" s="452">
        <f>'DAILY EXTRAPOLATION'!C2586</f>
        <v>46384</v>
      </c>
      <c r="B212" s="451">
        <f t="shared" si="9"/>
        <v>46385</v>
      </c>
      <c r="C212" s="448">
        <f ca="1">'DAILY EXTRAPOLATION'!N2586</f>
        <v>1.000112279040404</v>
      </c>
      <c r="D212" s="454">
        <f t="shared" ca="1" si="10"/>
        <v>1.0222308805025127</v>
      </c>
      <c r="E212" s="450">
        <f t="shared" ca="1" si="11"/>
        <v>3.7929464364476563E-2</v>
      </c>
    </row>
    <row r="213" spans="1:5">
      <c r="A213" s="452">
        <f>'DAILY EXTRAPOLATION'!C2587</f>
        <v>46385</v>
      </c>
      <c r="B213" s="451">
        <f t="shared" si="9"/>
        <v>46386</v>
      </c>
      <c r="C213" s="448">
        <f ca="1">'DAILY EXTRAPOLATION'!N2587</f>
        <v>1.000112279040404</v>
      </c>
      <c r="D213" s="454">
        <f t="shared" ca="1" si="10"/>
        <v>1.0223456556048469</v>
      </c>
      <c r="E213" s="450">
        <f t="shared" ca="1" si="11"/>
        <v>3.7945452913890988E-2</v>
      </c>
    </row>
    <row r="214" spans="1:5">
      <c r="A214" s="452">
        <f>'DAILY EXTRAPOLATION'!C2588</f>
        <v>46386</v>
      </c>
      <c r="B214" s="451">
        <f t="shared" si="9"/>
        <v>46387</v>
      </c>
      <c r="C214" s="448">
        <f ca="1">'DAILY EXTRAPOLATION'!N2588</f>
        <v>1.000112279040404</v>
      </c>
      <c r="D214" s="454">
        <f t="shared" ca="1" si="10"/>
        <v>1.0224604435940194</v>
      </c>
      <c r="E214" s="450">
        <f t="shared" ca="1" si="11"/>
        <v>3.796131311665258E-2</v>
      </c>
    </row>
    <row r="215" spans="1:5">
      <c r="A215" s="452">
        <f>'DAILY EXTRAPOLATION'!C2589</f>
        <v>46387</v>
      </c>
      <c r="B215" s="451">
        <f t="shared" si="9"/>
        <v>46388</v>
      </c>
      <c r="C215" s="448">
        <f ca="1">'DAILY EXTRAPOLATION'!N2589</f>
        <v>1.0004491161616162</v>
      </c>
      <c r="D215" s="454">
        <f t="shared" ca="1" si="10"/>
        <v>1.0229196471038509</v>
      </c>
      <c r="E215" s="450">
        <f t="shared" ca="1" si="11"/>
        <v>3.855641568872107E-2</v>
      </c>
    </row>
    <row r="216" spans="1:5">
      <c r="A216" s="452">
        <f>'DAILY EXTRAPOLATION'!C2590</f>
        <v>46388</v>
      </c>
      <c r="B216" s="451">
        <f t="shared" si="9"/>
        <v>46389</v>
      </c>
      <c r="C216" s="448">
        <f>'DAILY EXTRAPOLATION'!N2590</f>
        <v>1</v>
      </c>
      <c r="D216" s="454">
        <f t="shared" ca="1" si="10"/>
        <v>1.0229196471038509</v>
      </c>
      <c r="E216" s="450">
        <f t="shared" ca="1" si="11"/>
        <v>3.8377083522727021E-2</v>
      </c>
    </row>
    <row r="217" spans="1:5">
      <c r="A217" s="452">
        <f>'DAILY EXTRAPOLATION'!C2591</f>
        <v>46389</v>
      </c>
      <c r="B217" s="451"/>
      <c r="C217" s="448"/>
      <c r="D217" s="454"/>
    </row>
    <row r="218" spans="1:5">
      <c r="A218" s="452"/>
      <c r="B218" s="451"/>
      <c r="C218" s="448"/>
      <c r="D218" s="454"/>
    </row>
    <row r="219" spans="1:5">
      <c r="A219" s="452"/>
      <c r="B219" s="451"/>
      <c r="C219" s="448"/>
      <c r="D219" s="454"/>
    </row>
    <row r="220" spans="1:5">
      <c r="A220" s="452"/>
      <c r="B220" s="451"/>
      <c r="C220" s="448"/>
      <c r="D220" s="454"/>
    </row>
    <row r="221" spans="1:5">
      <c r="A221" s="452"/>
      <c r="B221" s="451"/>
      <c r="C221" s="448"/>
      <c r="D221" s="454"/>
    </row>
    <row r="222" spans="1:5">
      <c r="A222" s="452"/>
      <c r="B222" s="451"/>
      <c r="C222" s="448"/>
      <c r="D222" s="454"/>
    </row>
    <row r="223" spans="1:5">
      <c r="A223" s="452"/>
      <c r="B223" s="451"/>
      <c r="C223" s="448"/>
      <c r="D223" s="454"/>
    </row>
    <row r="224" spans="1:5">
      <c r="A224" s="452"/>
      <c r="B224" s="451"/>
      <c r="C224" s="448"/>
      <c r="D224" s="454"/>
    </row>
    <row r="225" spans="1:4">
      <c r="A225" s="452"/>
      <c r="B225" s="451"/>
      <c r="C225" s="448"/>
      <c r="D225" s="454"/>
    </row>
    <row r="226" spans="1:4">
      <c r="A226" s="452"/>
      <c r="B226" s="451"/>
      <c r="C226" s="448"/>
      <c r="D226" s="454"/>
    </row>
    <row r="227" spans="1:4">
      <c r="A227" s="452"/>
      <c r="B227" s="451"/>
      <c r="C227" s="448"/>
      <c r="D227" s="454"/>
    </row>
    <row r="228" spans="1:4">
      <c r="A228" s="452"/>
      <c r="B228" s="451"/>
      <c r="C228" s="448"/>
      <c r="D228" s="454"/>
    </row>
    <row r="229" spans="1:4">
      <c r="A229" s="452"/>
      <c r="B229" s="451"/>
      <c r="C229" s="448"/>
      <c r="D229" s="454"/>
    </row>
    <row r="230" spans="1:4">
      <c r="A230" s="452"/>
      <c r="B230" s="451"/>
      <c r="C230" s="448"/>
      <c r="D230" s="454"/>
    </row>
    <row r="231" spans="1:4">
      <c r="A231" s="452"/>
      <c r="B231" s="451"/>
      <c r="C231" s="448"/>
      <c r="D231" s="454"/>
    </row>
    <row r="232" spans="1:4">
      <c r="A232" s="452"/>
      <c r="B232" s="451"/>
      <c r="C232" s="448"/>
      <c r="D232" s="454"/>
    </row>
    <row r="233" spans="1:4">
      <c r="A233" s="452"/>
      <c r="B233" s="451"/>
      <c r="C233" s="448"/>
      <c r="D233" s="454"/>
    </row>
    <row r="234" spans="1:4">
      <c r="A234" s="452"/>
      <c r="B234" s="451"/>
      <c r="C234" s="448"/>
      <c r="D234" s="454"/>
    </row>
    <row r="235" spans="1:4">
      <c r="A235" s="452"/>
      <c r="B235" s="451"/>
      <c r="C235" s="448"/>
      <c r="D235" s="454"/>
    </row>
    <row r="236" spans="1:4">
      <c r="A236" s="452"/>
      <c r="B236" s="451"/>
      <c r="C236" s="448"/>
      <c r="D236" s="454"/>
    </row>
    <row r="237" spans="1:4">
      <c r="A237" s="452"/>
      <c r="B237" s="451"/>
      <c r="C237" s="448"/>
      <c r="D237" s="454"/>
    </row>
    <row r="238" spans="1:4">
      <c r="A238" s="452"/>
      <c r="B238" s="451"/>
      <c r="C238" s="448"/>
      <c r="D238" s="454"/>
    </row>
    <row r="239" spans="1:4">
      <c r="A239" s="452"/>
      <c r="B239" s="451"/>
      <c r="C239" s="448"/>
      <c r="D239" s="454"/>
    </row>
    <row r="240" spans="1:4">
      <c r="A240" s="452"/>
      <c r="B240" s="451"/>
      <c r="C240" s="448"/>
      <c r="D240" s="454"/>
    </row>
    <row r="241" spans="1:4">
      <c r="A241" s="452"/>
      <c r="B241" s="451"/>
      <c r="C241" s="448"/>
      <c r="D241" s="454"/>
    </row>
    <row r="242" spans="1:4">
      <c r="A242" s="452"/>
      <c r="B242" s="451"/>
      <c r="C242" s="448"/>
      <c r="D242" s="454"/>
    </row>
    <row r="243" spans="1:4">
      <c r="A243" s="452"/>
      <c r="B243" s="451"/>
      <c r="C243" s="448"/>
      <c r="D243" s="454"/>
    </row>
    <row r="244" spans="1:4">
      <c r="A244" s="452"/>
      <c r="B244" s="451"/>
      <c r="C244" s="448"/>
      <c r="D244" s="454"/>
    </row>
    <row r="245" spans="1:4">
      <c r="A245" s="452"/>
      <c r="B245" s="451"/>
      <c r="C245" s="448"/>
      <c r="D245" s="454"/>
    </row>
    <row r="246" spans="1:4">
      <c r="A246" s="452"/>
      <c r="B246" s="451"/>
      <c r="C246" s="448"/>
      <c r="D246" s="454"/>
    </row>
    <row r="247" spans="1:4">
      <c r="A247" s="452"/>
      <c r="B247" s="451"/>
      <c r="C247" s="448"/>
      <c r="D247" s="454"/>
    </row>
    <row r="248" spans="1:4">
      <c r="A248" s="452"/>
      <c r="B248" s="451"/>
      <c r="C248" s="448"/>
      <c r="D248" s="454"/>
    </row>
    <row r="249" spans="1:4">
      <c r="A249" s="452"/>
      <c r="B249" s="451"/>
      <c r="C249" s="448"/>
      <c r="D249" s="454"/>
    </row>
    <row r="250" spans="1:4">
      <c r="A250" s="452"/>
      <c r="B250" s="451"/>
      <c r="C250" s="448"/>
      <c r="D250" s="454"/>
    </row>
    <row r="251" spans="1:4">
      <c r="A251" s="452"/>
      <c r="B251" s="451"/>
      <c r="C251" s="448"/>
      <c r="D251" s="454"/>
    </row>
    <row r="252" spans="1:4">
      <c r="A252" s="452"/>
      <c r="B252" s="451"/>
      <c r="C252" s="448"/>
      <c r="D252" s="454"/>
    </row>
    <row r="253" spans="1:4">
      <c r="A253" s="452"/>
      <c r="B253" s="451"/>
      <c r="C253" s="448"/>
      <c r="D253" s="454"/>
    </row>
    <row r="254" spans="1:4">
      <c r="A254" s="452"/>
      <c r="B254" s="451"/>
      <c r="C254" s="448"/>
      <c r="D254" s="454"/>
    </row>
    <row r="255" spans="1:4">
      <c r="A255" s="452"/>
      <c r="B255" s="451"/>
      <c r="C255" s="448"/>
      <c r="D255" s="454"/>
    </row>
    <row r="256" spans="1:4">
      <c r="A256" s="452"/>
      <c r="B256" s="451"/>
      <c r="C256" s="448"/>
      <c r="D256" s="454"/>
    </row>
    <row r="257" spans="1:4">
      <c r="A257" s="452"/>
      <c r="B257" s="451"/>
      <c r="C257" s="448"/>
      <c r="D257" s="454"/>
    </row>
    <row r="258" spans="1:4">
      <c r="A258" s="452"/>
      <c r="B258" s="451"/>
      <c r="C258" s="448"/>
      <c r="D258" s="454"/>
    </row>
    <row r="259" spans="1:4">
      <c r="A259" s="452"/>
      <c r="B259" s="451"/>
      <c r="C259" s="448"/>
      <c r="D259" s="454"/>
    </row>
    <row r="260" spans="1:4">
      <c r="A260" s="452"/>
      <c r="B260" s="451"/>
      <c r="C260" s="448"/>
      <c r="D260" s="454"/>
    </row>
    <row r="261" spans="1:4">
      <c r="A261" s="452"/>
      <c r="B261" s="451"/>
      <c r="C261" s="448"/>
      <c r="D261" s="454"/>
    </row>
    <row r="262" spans="1:4">
      <c r="A262" s="452"/>
      <c r="B262" s="451"/>
      <c r="C262" s="448"/>
      <c r="D262" s="454"/>
    </row>
    <row r="263" spans="1:4">
      <c r="A263" s="452"/>
      <c r="B263" s="451"/>
      <c r="C263" s="448"/>
      <c r="D263" s="454"/>
    </row>
    <row r="264" spans="1:4">
      <c r="A264" s="452"/>
      <c r="B264" s="451"/>
      <c r="C264" s="448"/>
      <c r="D264" s="454"/>
    </row>
    <row r="265" spans="1:4">
      <c r="A265" s="452"/>
      <c r="B265" s="451"/>
      <c r="C265" s="448"/>
      <c r="D265" s="454"/>
    </row>
    <row r="266" spans="1:4">
      <c r="A266" s="452"/>
      <c r="B266" s="451"/>
      <c r="C266" s="448"/>
      <c r="D266" s="454"/>
    </row>
    <row r="267" spans="1:4">
      <c r="A267" s="452"/>
      <c r="B267" s="451"/>
      <c r="C267" s="448"/>
      <c r="D267" s="454"/>
    </row>
    <row r="268" spans="1:4">
      <c r="A268" s="452"/>
      <c r="B268" s="451"/>
      <c r="C268" s="448"/>
      <c r="D268" s="454"/>
    </row>
    <row r="269" spans="1:4">
      <c r="A269" s="452"/>
      <c r="B269" s="451"/>
      <c r="C269" s="448"/>
      <c r="D269" s="454"/>
    </row>
    <row r="270" spans="1:4">
      <c r="A270" s="452"/>
      <c r="B270" s="451"/>
      <c r="C270" s="448"/>
      <c r="D270" s="454"/>
    </row>
    <row r="271" spans="1:4">
      <c r="A271" s="452"/>
      <c r="B271" s="451"/>
      <c r="C271" s="448"/>
      <c r="D271" s="454"/>
    </row>
    <row r="272" spans="1:4">
      <c r="A272" s="452"/>
      <c r="B272" s="451"/>
      <c r="C272" s="448"/>
      <c r="D272" s="454"/>
    </row>
    <row r="273" spans="1:4">
      <c r="A273" s="452"/>
      <c r="B273" s="451"/>
      <c r="C273" s="448"/>
      <c r="D273" s="454"/>
    </row>
    <row r="274" spans="1:4">
      <c r="A274" s="452"/>
      <c r="B274" s="451"/>
      <c r="C274" s="448"/>
      <c r="D274" s="454"/>
    </row>
    <row r="275" spans="1:4">
      <c r="A275" s="452"/>
      <c r="B275" s="451"/>
      <c r="C275" s="448"/>
      <c r="D275" s="454"/>
    </row>
    <row r="276" spans="1:4">
      <c r="A276" s="452"/>
      <c r="B276" s="451"/>
      <c r="C276" s="448"/>
      <c r="D276" s="454"/>
    </row>
    <row r="277" spans="1:4">
      <c r="A277" s="452"/>
      <c r="B277" s="451"/>
      <c r="C277" s="448"/>
      <c r="D277" s="454"/>
    </row>
    <row r="278" spans="1:4">
      <c r="A278" s="452"/>
      <c r="B278" s="451"/>
      <c r="C278" s="448"/>
      <c r="D278" s="454"/>
    </row>
    <row r="279" spans="1:4">
      <c r="A279" s="452"/>
      <c r="B279" s="451"/>
      <c r="C279" s="448"/>
      <c r="D279" s="454"/>
    </row>
    <row r="280" spans="1:4">
      <c r="A280" s="452"/>
      <c r="B280" s="451"/>
      <c r="C280" s="448"/>
      <c r="D280" s="454"/>
    </row>
    <row r="281" spans="1:4">
      <c r="A281" s="452"/>
      <c r="B281" s="451"/>
      <c r="C281" s="448"/>
      <c r="D281" s="454"/>
    </row>
    <row r="282" spans="1:4">
      <c r="A282" s="452"/>
      <c r="B282" s="451"/>
      <c r="C282" s="448"/>
      <c r="D282" s="454"/>
    </row>
    <row r="283" spans="1:4">
      <c r="A283" s="452"/>
      <c r="B283" s="451"/>
      <c r="C283" s="448"/>
      <c r="D283" s="454"/>
    </row>
    <row r="284" spans="1:4">
      <c r="A284" s="452"/>
      <c r="B284" s="451"/>
      <c r="C284" s="448"/>
      <c r="D284" s="454"/>
    </row>
    <row r="285" spans="1:4">
      <c r="A285" s="452"/>
      <c r="B285" s="451"/>
      <c r="C285" s="448"/>
      <c r="D285" s="454"/>
    </row>
    <row r="286" spans="1:4">
      <c r="A286" s="452"/>
      <c r="B286" s="451"/>
      <c r="C286" s="448"/>
      <c r="D286" s="454"/>
    </row>
    <row r="287" spans="1:4">
      <c r="A287" s="452"/>
      <c r="B287" s="451"/>
      <c r="C287" s="448"/>
      <c r="D287" s="454"/>
    </row>
    <row r="288" spans="1:4">
      <c r="A288" s="452"/>
      <c r="B288" s="451"/>
      <c r="C288" s="448"/>
      <c r="D288" s="454"/>
    </row>
    <row r="289" spans="1:4">
      <c r="A289" s="452"/>
      <c r="B289" s="451"/>
      <c r="C289" s="448"/>
      <c r="D289" s="454"/>
    </row>
    <row r="290" spans="1:4">
      <c r="A290" s="452"/>
      <c r="B290" s="451"/>
      <c r="C290" s="448"/>
      <c r="D290" s="454"/>
    </row>
    <row r="291" spans="1:4">
      <c r="A291" s="452"/>
      <c r="B291" s="451"/>
      <c r="C291" s="448"/>
      <c r="D291" s="454"/>
    </row>
    <row r="292" spans="1:4">
      <c r="A292" s="452"/>
      <c r="B292" s="451"/>
      <c r="C292" s="448"/>
      <c r="D292" s="454"/>
    </row>
    <row r="293" spans="1:4">
      <c r="A293" s="452"/>
      <c r="B293" s="451"/>
      <c r="C293" s="448"/>
      <c r="D293" s="454"/>
    </row>
    <row r="294" spans="1:4">
      <c r="A294" s="452"/>
      <c r="B294" s="451"/>
      <c r="C294" s="448"/>
      <c r="D294" s="454"/>
    </row>
    <row r="295" spans="1:4">
      <c r="A295" s="452"/>
      <c r="B295" s="451"/>
      <c r="C295" s="448"/>
      <c r="D295" s="454"/>
    </row>
    <row r="296" spans="1:4">
      <c r="A296" s="452"/>
      <c r="B296" s="451"/>
      <c r="C296" s="448"/>
      <c r="D296" s="454"/>
    </row>
    <row r="297" spans="1:4">
      <c r="A297" s="452"/>
      <c r="B297" s="451"/>
      <c r="C297" s="448"/>
      <c r="D297" s="454"/>
    </row>
    <row r="298" spans="1:4">
      <c r="A298" s="452"/>
      <c r="B298" s="451"/>
      <c r="C298" s="448"/>
      <c r="D298" s="454"/>
    </row>
    <row r="299" spans="1:4">
      <c r="A299" s="452"/>
      <c r="B299" s="451"/>
      <c r="C299" s="448"/>
      <c r="D299" s="454"/>
    </row>
    <row r="300" spans="1:4">
      <c r="A300" s="452"/>
      <c r="B300" s="451"/>
      <c r="C300" s="448"/>
      <c r="D300" s="454"/>
    </row>
    <row r="301" spans="1:4">
      <c r="A301" s="452"/>
      <c r="B301" s="451"/>
      <c r="C301" s="448"/>
      <c r="D301" s="454"/>
    </row>
    <row r="302" spans="1:4">
      <c r="A302" s="452"/>
      <c r="B302" s="451"/>
      <c r="C302" s="448"/>
      <c r="D302" s="454"/>
    </row>
    <row r="303" spans="1:4">
      <c r="A303" s="452"/>
      <c r="B303" s="451"/>
      <c r="C303" s="448"/>
      <c r="D303" s="454"/>
    </row>
    <row r="304" spans="1:4">
      <c r="A304" s="452"/>
      <c r="B304" s="451"/>
      <c r="C304" s="448"/>
      <c r="D304" s="454"/>
    </row>
    <row r="305" spans="1:4">
      <c r="A305" s="452"/>
      <c r="B305" s="451"/>
      <c r="C305" s="448"/>
      <c r="D305" s="454"/>
    </row>
    <row r="306" spans="1:4">
      <c r="A306" s="452"/>
      <c r="B306" s="451"/>
      <c r="C306" s="448"/>
      <c r="D306" s="454"/>
    </row>
    <row r="307" spans="1:4">
      <c r="A307" s="452"/>
      <c r="B307" s="451"/>
      <c r="C307" s="448"/>
      <c r="D307" s="454"/>
    </row>
    <row r="308" spans="1:4">
      <c r="A308" s="452"/>
      <c r="B308" s="451"/>
      <c r="C308" s="448"/>
      <c r="D308" s="454"/>
    </row>
    <row r="309" spans="1:4">
      <c r="A309" s="452"/>
      <c r="B309" s="451"/>
      <c r="C309" s="448"/>
      <c r="D309" s="454"/>
    </row>
    <row r="310" spans="1:4">
      <c r="A310" s="452"/>
      <c r="B310" s="451"/>
      <c r="C310" s="448"/>
      <c r="D310" s="454"/>
    </row>
    <row r="311" spans="1:4">
      <c r="A311" s="452"/>
    </row>
    <row r="312" spans="1:4">
      <c r="A312" s="452"/>
    </row>
    <row r="313" spans="1:4">
      <c r="A313" s="452"/>
    </row>
    <row r="314" spans="1:4">
      <c r="A314" s="452"/>
    </row>
    <row r="315" spans="1:4">
      <c r="A315" s="452"/>
    </row>
    <row r="316" spans="1:4">
      <c r="A316" s="452"/>
    </row>
    <row r="317" spans="1:4">
      <c r="A317" s="452"/>
    </row>
    <row r="318" spans="1:4">
      <c r="A318" s="452"/>
    </row>
    <row r="319" spans="1:4">
      <c r="A319" s="452"/>
    </row>
    <row r="320" spans="1:4">
      <c r="A320" s="452"/>
    </row>
    <row r="321" spans="1:1">
      <c r="A321" s="452"/>
    </row>
    <row r="322" spans="1:1">
      <c r="A322" s="452"/>
    </row>
    <row r="323" spans="1:1">
      <c r="A323" s="452"/>
    </row>
    <row r="324" spans="1:1">
      <c r="A324" s="452"/>
    </row>
    <row r="325" spans="1:1">
      <c r="A325" s="452"/>
    </row>
    <row r="326" spans="1:1">
      <c r="A326" s="452"/>
    </row>
    <row r="327" spans="1:1">
      <c r="A327" s="452"/>
    </row>
    <row r="328" spans="1:1">
      <c r="A328" s="452"/>
    </row>
    <row r="329" spans="1:1">
      <c r="A329" s="452"/>
    </row>
    <row r="330" spans="1:1">
      <c r="A330" s="452"/>
    </row>
    <row r="331" spans="1:1">
      <c r="A331" s="452"/>
    </row>
    <row r="332" spans="1:1">
      <c r="A332" s="452"/>
    </row>
    <row r="333" spans="1:1">
      <c r="A333" s="452"/>
    </row>
    <row r="334" spans="1:1">
      <c r="A334" s="452"/>
    </row>
    <row r="335" spans="1:1">
      <c r="A335" s="452"/>
    </row>
    <row r="336" spans="1:1">
      <c r="A336" s="452"/>
    </row>
    <row r="337" spans="1:1">
      <c r="A337" s="452"/>
    </row>
    <row r="338" spans="1:1">
      <c r="A338" s="452"/>
    </row>
    <row r="339" spans="1:1">
      <c r="A339" s="452"/>
    </row>
    <row r="340" spans="1:1">
      <c r="A340" s="452"/>
    </row>
    <row r="341" spans="1:1">
      <c r="A341" s="452"/>
    </row>
    <row r="342" spans="1:1">
      <c r="A342" s="452"/>
    </row>
    <row r="343" spans="1:1">
      <c r="A343" s="452"/>
    </row>
    <row r="344" spans="1:1">
      <c r="A344" s="452"/>
    </row>
    <row r="345" spans="1:1">
      <c r="A345" s="452"/>
    </row>
    <row r="346" spans="1:1">
      <c r="A346" s="452"/>
    </row>
    <row r="347" spans="1:1">
      <c r="A347" s="452"/>
    </row>
    <row r="348" spans="1:1">
      <c r="A348" s="452"/>
    </row>
    <row r="349" spans="1:1">
      <c r="A349" s="452"/>
    </row>
    <row r="350" spans="1:1">
      <c r="A350" s="452"/>
    </row>
    <row r="351" spans="1:1">
      <c r="A351" s="452"/>
    </row>
    <row r="352" spans="1:1">
      <c r="A352" s="452"/>
    </row>
    <row r="353" spans="1:1">
      <c r="A353" s="452"/>
    </row>
    <row r="354" spans="1:1">
      <c r="A354" s="452"/>
    </row>
    <row r="355" spans="1:1">
      <c r="A355" s="452"/>
    </row>
    <row r="356" spans="1:1">
      <c r="A356" s="452"/>
    </row>
    <row r="357" spans="1:1">
      <c r="A357" s="452"/>
    </row>
    <row r="358" spans="1:1">
      <c r="A358" s="452"/>
    </row>
    <row r="359" spans="1:1">
      <c r="A359" s="452"/>
    </row>
    <row r="360" spans="1:1">
      <c r="A360" s="452"/>
    </row>
    <row r="361" spans="1:1">
      <c r="A361" s="452"/>
    </row>
    <row r="362" spans="1:1">
      <c r="A362" s="452"/>
    </row>
    <row r="363" spans="1:1">
      <c r="A363" s="452"/>
    </row>
    <row r="364" spans="1:1">
      <c r="A364" s="452"/>
    </row>
    <row r="365" spans="1:1">
      <c r="A365" s="452"/>
    </row>
    <row r="366" spans="1:1">
      <c r="A366" s="452"/>
    </row>
    <row r="367" spans="1:1">
      <c r="A367" s="452"/>
    </row>
    <row r="368" spans="1:1">
      <c r="A368" s="452"/>
    </row>
    <row r="369" spans="1:1">
      <c r="A369" s="452"/>
    </row>
    <row r="370" spans="1:1">
      <c r="A370" s="452"/>
    </row>
    <row r="371" spans="1:1">
      <c r="A371" s="452"/>
    </row>
    <row r="372" spans="1:1">
      <c r="A372" s="452"/>
    </row>
    <row r="373" spans="1:1">
      <c r="A373" s="452"/>
    </row>
    <row r="374" spans="1:1">
      <c r="A374" s="452"/>
    </row>
    <row r="375" spans="1:1">
      <c r="A375" s="452"/>
    </row>
    <row r="376" spans="1:1">
      <c r="A376" s="452"/>
    </row>
    <row r="377" spans="1:1">
      <c r="A377" s="452"/>
    </row>
    <row r="378" spans="1:1">
      <c r="A378" s="452"/>
    </row>
    <row r="379" spans="1:1">
      <c r="A379" s="452"/>
    </row>
    <row r="380" spans="1:1">
      <c r="A380" s="452"/>
    </row>
    <row r="381" spans="1:1">
      <c r="A381" s="452"/>
    </row>
    <row r="382" spans="1:1">
      <c r="A382" s="452"/>
    </row>
    <row r="383" spans="1:1">
      <c r="A383" s="452"/>
    </row>
    <row r="384" spans="1:1">
      <c r="A384" s="452"/>
    </row>
    <row r="385" spans="1:1">
      <c r="A385" s="452"/>
    </row>
    <row r="386" spans="1:1">
      <c r="A386" s="452"/>
    </row>
    <row r="387" spans="1:1">
      <c r="A387" s="452"/>
    </row>
    <row r="388" spans="1:1">
      <c r="A388" s="452"/>
    </row>
    <row r="389" spans="1:1">
      <c r="A389" s="452"/>
    </row>
    <row r="390" spans="1:1">
      <c r="A390" s="452"/>
    </row>
    <row r="391" spans="1:1">
      <c r="A391" s="452"/>
    </row>
    <row r="392" spans="1:1">
      <c r="A392" s="452"/>
    </row>
    <row r="393" spans="1:1">
      <c r="A393" s="452"/>
    </row>
    <row r="394" spans="1:1">
      <c r="A394" s="452"/>
    </row>
    <row r="395" spans="1:1">
      <c r="A395" s="452"/>
    </row>
    <row r="396" spans="1:1">
      <c r="A396" s="452"/>
    </row>
    <row r="397" spans="1:1">
      <c r="A397" s="452"/>
    </row>
    <row r="398" spans="1:1">
      <c r="A398" s="452"/>
    </row>
    <row r="399" spans="1:1">
      <c r="A399" s="452"/>
    </row>
    <row r="400" spans="1:1">
      <c r="A400" s="452"/>
    </row>
    <row r="401" spans="1:1">
      <c r="A401" s="452"/>
    </row>
    <row r="402" spans="1:1">
      <c r="A402" s="452"/>
    </row>
    <row r="403" spans="1:1">
      <c r="A403" s="452"/>
    </row>
    <row r="404" spans="1:1">
      <c r="A404" s="452"/>
    </row>
    <row r="405" spans="1:1">
      <c r="A405" s="452"/>
    </row>
    <row r="406" spans="1:1">
      <c r="A406" s="452"/>
    </row>
    <row r="407" spans="1:1">
      <c r="A407" s="452"/>
    </row>
    <row r="408" spans="1:1">
      <c r="A408" s="452"/>
    </row>
    <row r="409" spans="1:1">
      <c r="A409" s="452"/>
    </row>
    <row r="410" spans="1:1">
      <c r="A410" s="452"/>
    </row>
    <row r="411" spans="1:1">
      <c r="A411" s="452"/>
    </row>
    <row r="412" spans="1:1">
      <c r="A412" s="452"/>
    </row>
    <row r="413" spans="1:1">
      <c r="A413" s="452"/>
    </row>
    <row r="414" spans="1:1">
      <c r="A414" s="452"/>
    </row>
    <row r="415" spans="1:1">
      <c r="A415" s="452"/>
    </row>
    <row r="416" spans="1:1">
      <c r="A416" s="452"/>
    </row>
    <row r="417" spans="1:1">
      <c r="A417" s="452"/>
    </row>
    <row r="418" spans="1:1">
      <c r="A418" s="452"/>
    </row>
    <row r="419" spans="1:1">
      <c r="A419" s="452"/>
    </row>
    <row r="420" spans="1:1">
      <c r="A420" s="452"/>
    </row>
    <row r="421" spans="1:1">
      <c r="A421" s="452"/>
    </row>
    <row r="422" spans="1:1">
      <c r="A422" s="452"/>
    </row>
    <row r="423" spans="1:1">
      <c r="A423" s="452"/>
    </row>
    <row r="424" spans="1:1">
      <c r="A424" s="452"/>
    </row>
    <row r="425" spans="1:1">
      <c r="A425" s="452"/>
    </row>
    <row r="426" spans="1:1">
      <c r="A426" s="452"/>
    </row>
    <row r="427" spans="1:1">
      <c r="A427" s="452"/>
    </row>
    <row r="428" spans="1:1">
      <c r="A428" s="452"/>
    </row>
    <row r="429" spans="1:1">
      <c r="A429" s="452"/>
    </row>
    <row r="430" spans="1:1">
      <c r="A430" s="452"/>
    </row>
    <row r="431" spans="1:1">
      <c r="A431" s="452"/>
    </row>
    <row r="432" spans="1:1">
      <c r="A432" s="452"/>
    </row>
    <row r="433" spans="1:1">
      <c r="A433" s="452"/>
    </row>
    <row r="434" spans="1:1">
      <c r="A434" s="452"/>
    </row>
    <row r="435" spans="1:1">
      <c r="A435" s="452"/>
    </row>
    <row r="436" spans="1:1">
      <c r="A436" s="452"/>
    </row>
    <row r="437" spans="1:1">
      <c r="A437" s="452"/>
    </row>
    <row r="438" spans="1:1">
      <c r="A438" s="452"/>
    </row>
    <row r="439" spans="1:1">
      <c r="A439" s="452"/>
    </row>
    <row r="440" spans="1:1">
      <c r="A440" s="452"/>
    </row>
    <row r="441" spans="1:1">
      <c r="A441" s="452"/>
    </row>
    <row r="442" spans="1:1">
      <c r="A442" s="452"/>
    </row>
    <row r="443" spans="1:1">
      <c r="A443" s="452"/>
    </row>
    <row r="444" spans="1:1">
      <c r="A444" s="452"/>
    </row>
    <row r="445" spans="1:1">
      <c r="A445" s="452"/>
    </row>
    <row r="446" spans="1:1">
      <c r="A446" s="452"/>
    </row>
    <row r="447" spans="1:1">
      <c r="A447" s="452"/>
    </row>
    <row r="448" spans="1:1">
      <c r="A448" s="452"/>
    </row>
    <row r="449" spans="1:1">
      <c r="A449" s="452"/>
    </row>
    <row r="450" spans="1:1">
      <c r="A450" s="452"/>
    </row>
    <row r="451" spans="1:1">
      <c r="A451" s="452"/>
    </row>
    <row r="452" spans="1:1">
      <c r="A452" s="452"/>
    </row>
    <row r="453" spans="1:1">
      <c r="A453" s="452"/>
    </row>
    <row r="454" spans="1:1">
      <c r="A454" s="452"/>
    </row>
    <row r="455" spans="1:1">
      <c r="A455" s="452"/>
    </row>
    <row r="456" spans="1:1">
      <c r="A456" s="452"/>
    </row>
    <row r="457" spans="1:1">
      <c r="A457" s="452"/>
    </row>
    <row r="458" spans="1:1">
      <c r="A458" s="452"/>
    </row>
    <row r="459" spans="1:1">
      <c r="A459" s="452"/>
    </row>
    <row r="460" spans="1:1">
      <c r="A460" s="452"/>
    </row>
    <row r="461" spans="1:1">
      <c r="A461" s="452"/>
    </row>
    <row r="462" spans="1:1">
      <c r="A462" s="452"/>
    </row>
    <row r="463" spans="1:1">
      <c r="A463" s="452"/>
    </row>
    <row r="464" spans="1:1">
      <c r="A464" s="452"/>
    </row>
    <row r="465" spans="1:1">
      <c r="A465" s="452"/>
    </row>
    <row r="466" spans="1:1">
      <c r="A466" s="452"/>
    </row>
    <row r="467" spans="1:1">
      <c r="A467" s="452"/>
    </row>
    <row r="468" spans="1:1">
      <c r="A468" s="452"/>
    </row>
    <row r="469" spans="1:1">
      <c r="A469" s="452"/>
    </row>
    <row r="470" spans="1:1">
      <c r="A470" s="452"/>
    </row>
    <row r="471" spans="1:1">
      <c r="A471" s="452"/>
    </row>
    <row r="472" spans="1:1">
      <c r="A472" s="452"/>
    </row>
    <row r="473" spans="1:1">
      <c r="A473" s="452"/>
    </row>
    <row r="474" spans="1:1">
      <c r="A474" s="452"/>
    </row>
    <row r="475" spans="1:1">
      <c r="A475" s="452"/>
    </row>
    <row r="476" spans="1:1">
      <c r="A476" s="452"/>
    </row>
    <row r="477" spans="1:1">
      <c r="A477" s="452"/>
    </row>
    <row r="478" spans="1:1">
      <c r="A478" s="452"/>
    </row>
    <row r="479" spans="1:1">
      <c r="A479" s="452"/>
    </row>
    <row r="480" spans="1:1">
      <c r="A480" s="452"/>
    </row>
    <row r="481" spans="1:1">
      <c r="A481" s="452"/>
    </row>
    <row r="482" spans="1:1">
      <c r="A482" s="452"/>
    </row>
    <row r="483" spans="1:1">
      <c r="A483" s="452"/>
    </row>
    <row r="484" spans="1:1">
      <c r="A484" s="452"/>
    </row>
    <row r="485" spans="1:1">
      <c r="A485" s="452"/>
    </row>
    <row r="486" spans="1:1">
      <c r="A486" s="452"/>
    </row>
    <row r="487" spans="1:1">
      <c r="A487" s="452"/>
    </row>
    <row r="488" spans="1:1">
      <c r="A488" s="452"/>
    </row>
    <row r="489" spans="1:1">
      <c r="A489" s="452"/>
    </row>
    <row r="490" spans="1:1">
      <c r="A490" s="452"/>
    </row>
    <row r="491" spans="1:1">
      <c r="A491" s="452"/>
    </row>
    <row r="492" spans="1:1">
      <c r="A492" s="452"/>
    </row>
    <row r="493" spans="1:1">
      <c r="A493" s="452"/>
    </row>
    <row r="494" spans="1:1">
      <c r="A494" s="452"/>
    </row>
    <row r="495" spans="1:1">
      <c r="A495" s="452"/>
    </row>
    <row r="496" spans="1:1">
      <c r="A496" s="452"/>
    </row>
    <row r="497" spans="1:1">
      <c r="A497" s="452"/>
    </row>
    <row r="498" spans="1:1">
      <c r="A498" s="452"/>
    </row>
    <row r="499" spans="1:1">
      <c r="A499" s="452"/>
    </row>
    <row r="500" spans="1:1">
      <c r="A500" s="452"/>
    </row>
    <row r="501" spans="1:1">
      <c r="A501" s="452"/>
    </row>
    <row r="502" spans="1:1">
      <c r="A502" s="452"/>
    </row>
    <row r="503" spans="1:1">
      <c r="A503" s="452"/>
    </row>
    <row r="504" spans="1:1">
      <c r="A504" s="452"/>
    </row>
    <row r="505" spans="1:1">
      <c r="A505" s="452"/>
    </row>
    <row r="506" spans="1:1">
      <c r="A506" s="452"/>
    </row>
    <row r="507" spans="1:1">
      <c r="A507" s="452"/>
    </row>
    <row r="508" spans="1:1">
      <c r="A508" s="452"/>
    </row>
    <row r="509" spans="1:1">
      <c r="A509" s="452"/>
    </row>
    <row r="510" spans="1:1">
      <c r="A510" s="452"/>
    </row>
    <row r="511" spans="1:1">
      <c r="A511" s="452"/>
    </row>
    <row r="512" spans="1:1">
      <c r="A512" s="452"/>
    </row>
    <row r="513" spans="1:1">
      <c r="A513" s="452"/>
    </row>
    <row r="514" spans="1:1">
      <c r="A514" s="452"/>
    </row>
    <row r="515" spans="1:1">
      <c r="A515" s="452"/>
    </row>
    <row r="516" spans="1:1">
      <c r="A516" s="452"/>
    </row>
    <row r="517" spans="1:1">
      <c r="A517" s="452"/>
    </row>
    <row r="518" spans="1:1">
      <c r="A518" s="452"/>
    </row>
    <row r="519" spans="1:1">
      <c r="A519" s="452"/>
    </row>
    <row r="520" spans="1:1">
      <c r="A520" s="452"/>
    </row>
    <row r="521" spans="1:1">
      <c r="A521" s="452"/>
    </row>
    <row r="522" spans="1:1">
      <c r="A522" s="452"/>
    </row>
    <row r="523" spans="1:1">
      <c r="A523" s="452"/>
    </row>
    <row r="524" spans="1:1">
      <c r="A524" s="452"/>
    </row>
    <row r="525" spans="1:1">
      <c r="A525" s="452"/>
    </row>
    <row r="526" spans="1:1">
      <c r="A526" s="452"/>
    </row>
    <row r="527" spans="1:1">
      <c r="A527" s="452"/>
    </row>
    <row r="528" spans="1:1">
      <c r="A528" s="452"/>
    </row>
    <row r="529" spans="1:1">
      <c r="A529" s="452"/>
    </row>
    <row r="530" spans="1:1">
      <c r="A530" s="452"/>
    </row>
    <row r="531" spans="1:1">
      <c r="A531" s="452"/>
    </row>
    <row r="532" spans="1:1">
      <c r="A532" s="452"/>
    </row>
    <row r="533" spans="1:1">
      <c r="A533" s="452"/>
    </row>
    <row r="534" spans="1:1">
      <c r="A534" s="452"/>
    </row>
    <row r="535" spans="1:1">
      <c r="A535" s="452"/>
    </row>
    <row r="536" spans="1:1">
      <c r="A536" s="452"/>
    </row>
    <row r="537" spans="1:1">
      <c r="A537" s="452"/>
    </row>
    <row r="538" spans="1:1">
      <c r="A538" s="452"/>
    </row>
    <row r="539" spans="1:1">
      <c r="A539" s="452"/>
    </row>
    <row r="540" spans="1:1">
      <c r="A540" s="452"/>
    </row>
    <row r="541" spans="1:1">
      <c r="A541" s="452"/>
    </row>
    <row r="542" spans="1:1">
      <c r="A542" s="452"/>
    </row>
    <row r="543" spans="1:1">
      <c r="A543" s="452"/>
    </row>
    <row r="544" spans="1:1">
      <c r="A544" s="452"/>
    </row>
    <row r="545" spans="1:1">
      <c r="A545" s="452"/>
    </row>
    <row r="546" spans="1:1">
      <c r="A546" s="452"/>
    </row>
    <row r="547" spans="1:1">
      <c r="A547" s="452"/>
    </row>
    <row r="548" spans="1:1">
      <c r="A548" s="452"/>
    </row>
    <row r="549" spans="1:1">
      <c r="A549" s="452"/>
    </row>
    <row r="550" spans="1:1">
      <c r="A550" s="452"/>
    </row>
    <row r="551" spans="1:1">
      <c r="A551" s="452"/>
    </row>
    <row r="552" spans="1:1">
      <c r="A552" s="452"/>
    </row>
    <row r="553" spans="1:1">
      <c r="A553" s="452"/>
    </row>
    <row r="554" spans="1:1">
      <c r="A554" s="452"/>
    </row>
    <row r="555" spans="1:1">
      <c r="A555" s="452"/>
    </row>
    <row r="556" spans="1:1">
      <c r="A556" s="452"/>
    </row>
    <row r="557" spans="1:1">
      <c r="A557" s="452"/>
    </row>
    <row r="558" spans="1:1">
      <c r="A558" s="452"/>
    </row>
    <row r="559" spans="1:1">
      <c r="A559" s="452"/>
    </row>
    <row r="560" spans="1:1">
      <c r="A560" s="452"/>
    </row>
    <row r="561" spans="1:1">
      <c r="A561" s="452"/>
    </row>
    <row r="562" spans="1:1">
      <c r="A562" s="452"/>
    </row>
    <row r="563" spans="1:1">
      <c r="A563" s="452"/>
    </row>
    <row r="564" spans="1:1">
      <c r="A564" s="452"/>
    </row>
    <row r="565" spans="1:1">
      <c r="A565" s="452"/>
    </row>
    <row r="566" spans="1:1">
      <c r="A566" s="452"/>
    </row>
    <row r="567" spans="1:1">
      <c r="A567" s="452"/>
    </row>
    <row r="568" spans="1:1">
      <c r="A568" s="452"/>
    </row>
    <row r="569" spans="1:1">
      <c r="A569" s="452"/>
    </row>
    <row r="570" spans="1:1">
      <c r="A570" s="452"/>
    </row>
    <row r="571" spans="1:1">
      <c r="A571" s="452"/>
    </row>
    <row r="572" spans="1:1">
      <c r="A572" s="452"/>
    </row>
    <row r="573" spans="1:1">
      <c r="A573" s="452"/>
    </row>
    <row r="574" spans="1:1">
      <c r="A574" s="452"/>
    </row>
    <row r="575" spans="1:1">
      <c r="A575" s="452"/>
    </row>
    <row r="576" spans="1:1">
      <c r="A576" s="452"/>
    </row>
    <row r="577" spans="1:1">
      <c r="A577" s="452"/>
    </row>
    <row r="578" spans="1:1">
      <c r="A578" s="452"/>
    </row>
    <row r="579" spans="1:1">
      <c r="A579" s="452"/>
    </row>
    <row r="580" spans="1:1">
      <c r="A580" s="452"/>
    </row>
    <row r="581" spans="1:1">
      <c r="A581" s="452"/>
    </row>
    <row r="582" spans="1:1">
      <c r="A582" s="452"/>
    </row>
    <row r="583" spans="1:1">
      <c r="A583" s="452"/>
    </row>
    <row r="584" spans="1:1">
      <c r="A584" s="452"/>
    </row>
    <row r="585" spans="1:1">
      <c r="A585" s="452"/>
    </row>
    <row r="586" spans="1:1">
      <c r="A586" s="452"/>
    </row>
    <row r="587" spans="1:1">
      <c r="A587" s="452"/>
    </row>
    <row r="588" spans="1:1">
      <c r="A588" s="452"/>
    </row>
    <row r="589" spans="1:1">
      <c r="A589" s="452"/>
    </row>
    <row r="590" spans="1:1">
      <c r="A590" s="452"/>
    </row>
    <row r="591" spans="1:1">
      <c r="A591" s="452"/>
    </row>
    <row r="592" spans="1:1">
      <c r="A592" s="452"/>
    </row>
    <row r="593" spans="1:1">
      <c r="A593" s="452"/>
    </row>
    <row r="594" spans="1:1">
      <c r="A594" s="452"/>
    </row>
    <row r="595" spans="1:1">
      <c r="A595" s="452"/>
    </row>
    <row r="596" spans="1:1">
      <c r="A596" s="452"/>
    </row>
    <row r="597" spans="1:1">
      <c r="A597" s="452"/>
    </row>
    <row r="598" spans="1:1">
      <c r="A598" s="452"/>
    </row>
    <row r="599" spans="1:1">
      <c r="A599" s="452"/>
    </row>
    <row r="600" spans="1:1">
      <c r="A600" s="452"/>
    </row>
    <row r="601" spans="1:1">
      <c r="A601" s="452"/>
    </row>
    <row r="602" spans="1:1">
      <c r="A602" s="452"/>
    </row>
    <row r="603" spans="1:1">
      <c r="A603" s="452"/>
    </row>
    <row r="604" spans="1:1">
      <c r="A604" s="452"/>
    </row>
    <row r="605" spans="1:1">
      <c r="A605" s="452"/>
    </row>
    <row r="606" spans="1:1">
      <c r="A606" s="452"/>
    </row>
    <row r="607" spans="1:1">
      <c r="A607" s="452"/>
    </row>
    <row r="608" spans="1:1">
      <c r="A608" s="452"/>
    </row>
    <row r="609" spans="1:1">
      <c r="A609" s="452"/>
    </row>
    <row r="610" spans="1:1">
      <c r="A610" s="452"/>
    </row>
    <row r="611" spans="1:1">
      <c r="A611" s="452"/>
    </row>
    <row r="612" spans="1:1">
      <c r="A612" s="452"/>
    </row>
    <row r="613" spans="1:1">
      <c r="A613" s="452"/>
    </row>
    <row r="614" spans="1:1">
      <c r="A614" s="452"/>
    </row>
    <row r="615" spans="1:1">
      <c r="A615" s="452"/>
    </row>
    <row r="616" spans="1:1">
      <c r="A616" s="452"/>
    </row>
    <row r="617" spans="1:1">
      <c r="A617" s="452"/>
    </row>
    <row r="618" spans="1:1">
      <c r="A618" s="452"/>
    </row>
    <row r="619" spans="1:1">
      <c r="A619" s="452"/>
    </row>
    <row r="620" spans="1:1">
      <c r="A620" s="452"/>
    </row>
    <row r="621" spans="1:1">
      <c r="A621" s="452"/>
    </row>
    <row r="622" spans="1:1">
      <c r="A622" s="452"/>
    </row>
    <row r="623" spans="1:1">
      <c r="A623" s="452"/>
    </row>
    <row r="624" spans="1:1">
      <c r="A624" s="452"/>
    </row>
    <row r="625" spans="1:1">
      <c r="A625" s="452"/>
    </row>
    <row r="626" spans="1:1">
      <c r="A626" s="452"/>
    </row>
    <row r="627" spans="1:1">
      <c r="A627" s="452"/>
    </row>
    <row r="628" spans="1:1">
      <c r="A628" s="452"/>
    </row>
    <row r="629" spans="1:1">
      <c r="A629" s="452"/>
    </row>
    <row r="630" spans="1:1">
      <c r="A630" s="452"/>
    </row>
    <row r="631" spans="1:1">
      <c r="A631" s="452"/>
    </row>
    <row r="632" spans="1:1">
      <c r="A632" s="452"/>
    </row>
    <row r="633" spans="1:1">
      <c r="A633" s="452"/>
    </row>
    <row r="634" spans="1:1">
      <c r="A634" s="452"/>
    </row>
    <row r="635" spans="1:1">
      <c r="A635" s="452"/>
    </row>
    <row r="636" spans="1:1">
      <c r="A636" s="452"/>
    </row>
    <row r="637" spans="1:1">
      <c r="A637" s="452"/>
    </row>
    <row r="638" spans="1:1">
      <c r="A638" s="452"/>
    </row>
    <row r="639" spans="1:1">
      <c r="A639" s="452"/>
    </row>
    <row r="640" spans="1:1">
      <c r="A640" s="452"/>
    </row>
    <row r="641" spans="1:1">
      <c r="A641" s="452"/>
    </row>
    <row r="642" spans="1:1">
      <c r="A642" s="452"/>
    </row>
    <row r="643" spans="1:1">
      <c r="A643" s="452"/>
    </row>
    <row r="644" spans="1:1">
      <c r="A644" s="452"/>
    </row>
    <row r="645" spans="1:1">
      <c r="A645" s="452"/>
    </row>
    <row r="646" spans="1:1">
      <c r="A646" s="452"/>
    </row>
    <row r="647" spans="1:1">
      <c r="A647" s="452"/>
    </row>
    <row r="648" spans="1:1">
      <c r="A648" s="452"/>
    </row>
    <row r="649" spans="1:1">
      <c r="A649" s="452"/>
    </row>
    <row r="650" spans="1:1">
      <c r="A650" s="452"/>
    </row>
    <row r="651" spans="1:1">
      <c r="A651" s="452"/>
    </row>
    <row r="652" spans="1:1">
      <c r="A652" s="452"/>
    </row>
    <row r="653" spans="1:1">
      <c r="A653" s="452"/>
    </row>
    <row r="654" spans="1:1">
      <c r="A654" s="452"/>
    </row>
    <row r="655" spans="1:1">
      <c r="A655" s="452"/>
    </row>
    <row r="656" spans="1:1">
      <c r="A656" s="452"/>
    </row>
    <row r="657" spans="1:1">
      <c r="A657" s="452"/>
    </row>
    <row r="658" spans="1:1">
      <c r="A658" s="452"/>
    </row>
    <row r="659" spans="1:1">
      <c r="A659" s="452"/>
    </row>
    <row r="660" spans="1:1">
      <c r="A660" s="452"/>
    </row>
    <row r="661" spans="1:1">
      <c r="A661" s="452"/>
    </row>
    <row r="662" spans="1:1">
      <c r="A662" s="452"/>
    </row>
    <row r="663" spans="1:1">
      <c r="A663" s="452"/>
    </row>
    <row r="664" spans="1:1">
      <c r="A664" s="452"/>
    </row>
    <row r="665" spans="1:1">
      <c r="A665" s="452"/>
    </row>
    <row r="666" spans="1:1">
      <c r="A666" s="452"/>
    </row>
    <row r="667" spans="1:1">
      <c r="A667" s="452"/>
    </row>
    <row r="668" spans="1:1">
      <c r="A668" s="452"/>
    </row>
    <row r="669" spans="1:1">
      <c r="A669" s="452"/>
    </row>
    <row r="670" spans="1:1">
      <c r="A670" s="452"/>
    </row>
    <row r="671" spans="1:1">
      <c r="A671" s="452"/>
    </row>
    <row r="672" spans="1:1">
      <c r="A672" s="452"/>
    </row>
    <row r="673" spans="1:1">
      <c r="A673" s="452"/>
    </row>
    <row r="674" spans="1:1">
      <c r="A674" s="452"/>
    </row>
    <row r="675" spans="1:1">
      <c r="A675" s="452"/>
    </row>
    <row r="676" spans="1:1">
      <c r="A676" s="452"/>
    </row>
    <row r="677" spans="1:1">
      <c r="A677" s="452"/>
    </row>
    <row r="678" spans="1:1">
      <c r="A678" s="452"/>
    </row>
    <row r="679" spans="1:1">
      <c r="A679" s="452"/>
    </row>
    <row r="680" spans="1:1">
      <c r="A680" s="452"/>
    </row>
    <row r="681" spans="1:1">
      <c r="A681" s="452"/>
    </row>
    <row r="682" spans="1:1">
      <c r="A682" s="452"/>
    </row>
    <row r="683" spans="1:1">
      <c r="A683" s="452"/>
    </row>
    <row r="684" spans="1:1">
      <c r="A684" s="452"/>
    </row>
    <row r="685" spans="1:1">
      <c r="A685" s="452"/>
    </row>
    <row r="686" spans="1:1">
      <c r="A686" s="452"/>
    </row>
    <row r="687" spans="1:1">
      <c r="A687" s="452"/>
    </row>
    <row r="688" spans="1:1">
      <c r="A688" s="452"/>
    </row>
    <row r="689" spans="1:1">
      <c r="A689" s="452"/>
    </row>
    <row r="690" spans="1:1">
      <c r="A690" s="452"/>
    </row>
    <row r="691" spans="1:1">
      <c r="A691" s="452"/>
    </row>
    <row r="692" spans="1:1">
      <c r="A692" s="452"/>
    </row>
    <row r="693" spans="1:1">
      <c r="A693" s="452"/>
    </row>
    <row r="694" spans="1:1">
      <c r="A694" s="452"/>
    </row>
    <row r="695" spans="1:1">
      <c r="A695" s="452"/>
    </row>
    <row r="696" spans="1:1">
      <c r="A696" s="452"/>
    </row>
    <row r="697" spans="1:1">
      <c r="A697" s="452"/>
    </row>
    <row r="698" spans="1:1">
      <c r="A698" s="452"/>
    </row>
    <row r="699" spans="1:1">
      <c r="A699" s="452"/>
    </row>
    <row r="700" spans="1:1">
      <c r="A700" s="452"/>
    </row>
    <row r="701" spans="1:1">
      <c r="A701" s="452"/>
    </row>
    <row r="702" spans="1:1">
      <c r="A702" s="452"/>
    </row>
    <row r="703" spans="1:1">
      <c r="A703" s="452"/>
    </row>
    <row r="704" spans="1:1">
      <c r="A704" s="452"/>
    </row>
    <row r="705" spans="1:1">
      <c r="A705" s="452"/>
    </row>
    <row r="706" spans="1:1">
      <c r="A706" s="452"/>
    </row>
    <row r="707" spans="1:1">
      <c r="A707" s="452"/>
    </row>
    <row r="708" spans="1:1">
      <c r="A708" s="452"/>
    </row>
    <row r="709" spans="1:1">
      <c r="A709" s="452"/>
    </row>
    <row r="710" spans="1:1">
      <c r="A710" s="452"/>
    </row>
    <row r="711" spans="1:1">
      <c r="A711" s="452"/>
    </row>
    <row r="712" spans="1:1">
      <c r="A712" s="452"/>
    </row>
    <row r="713" spans="1:1">
      <c r="A713" s="452"/>
    </row>
    <row r="714" spans="1:1">
      <c r="A714" s="452"/>
    </row>
    <row r="715" spans="1:1">
      <c r="A715" s="452"/>
    </row>
    <row r="716" spans="1:1">
      <c r="A716" s="452"/>
    </row>
    <row r="717" spans="1:1">
      <c r="A717" s="452"/>
    </row>
    <row r="718" spans="1:1">
      <c r="A718" s="452"/>
    </row>
    <row r="719" spans="1:1">
      <c r="A719" s="452"/>
    </row>
    <row r="720" spans="1:1">
      <c r="A720" s="452"/>
    </row>
    <row r="721" spans="1:1">
      <c r="A721" s="452"/>
    </row>
    <row r="722" spans="1:1">
      <c r="A722" s="452"/>
    </row>
    <row r="723" spans="1:1">
      <c r="A723" s="452"/>
    </row>
    <row r="724" spans="1:1">
      <c r="A724" s="452"/>
    </row>
    <row r="725" spans="1:1">
      <c r="A725" s="452"/>
    </row>
    <row r="726" spans="1:1">
      <c r="A726" s="4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2026-09-01T01:17:36Z</dcterms:modified>
</cp:coreProperties>
</file>