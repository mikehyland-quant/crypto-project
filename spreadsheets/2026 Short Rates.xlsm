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crypto\spreadsheets\"/>
    </mc:Choice>
  </mc:AlternateContent>
  <xr:revisionPtr revIDLastSave="0" documentId="13_ncr:1_{DFF8E141-49CB-429E-AA04-D60A53F87155}" xr6:coauthVersionLast="47" xr6:coauthVersionMax="47" xr10:uidLastSave="{00000000-0000-0000-0000-000000000000}"/>
  <bookViews>
    <workbookView xWindow="3240" yWindow="6270" windowWidth="20055" windowHeight="8280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5" l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6" i="6" l="1"/>
  <c r="H37" i="6"/>
  <c r="H3" i="5" s="1"/>
  <c r="H38" i="6"/>
  <c r="H4" i="5" s="1"/>
  <c r="H39" i="6"/>
  <c r="H5" i="5" s="1"/>
  <c r="H40" i="6"/>
  <c r="H41" i="6"/>
  <c r="H7" i="5" s="1"/>
  <c r="H42" i="6"/>
  <c r="H8" i="5" s="1"/>
  <c r="H19" i="6"/>
  <c r="H20" i="6"/>
  <c r="H21" i="6"/>
  <c r="E7" i="5" s="1"/>
  <c r="F7" i="5" s="1"/>
  <c r="L2509" i="1" s="1"/>
  <c r="H22" i="6"/>
  <c r="E8" i="5" s="1"/>
  <c r="F8" i="5" s="1"/>
  <c r="L2540" i="1" s="1"/>
  <c r="H2" i="6"/>
  <c r="H3" i="6"/>
  <c r="H4" i="6"/>
  <c r="B7" i="5" s="1"/>
  <c r="H5" i="6"/>
  <c r="B8" i="5" s="1"/>
  <c r="H6" i="6"/>
  <c r="I6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20" i="6"/>
  <c r="E6" i="5"/>
  <c r="F6" i="5" s="1"/>
  <c r="L2479" i="1" s="1"/>
  <c r="L2236" i="1"/>
  <c r="B9" i="5"/>
  <c r="I2" i="6"/>
  <c r="B5" i="5"/>
  <c r="E9" i="5"/>
  <c r="F9" i="5" s="1"/>
  <c r="L2570" i="1" s="1"/>
  <c r="I19" i="6"/>
  <c r="E5" i="5"/>
  <c r="F5" i="5" s="1"/>
  <c r="L2448" i="1" s="1"/>
  <c r="L2326" i="1"/>
  <c r="I42" i="6"/>
  <c r="I38" i="6"/>
  <c r="I4" i="6"/>
  <c r="I21" i="6"/>
  <c r="I3" i="6"/>
  <c r="B6" i="5"/>
  <c r="L2356" i="1"/>
  <c r="I39" i="6"/>
  <c r="I5" i="6"/>
  <c r="I22" i="6"/>
  <c r="L2417" i="1"/>
  <c r="L2295" i="1"/>
  <c r="I41" i="6"/>
  <c r="I37" i="6"/>
  <c r="L2387" i="1"/>
  <c r="L2267" i="1"/>
  <c r="I40" i="6"/>
  <c r="H6" i="5"/>
  <c r="I6" i="5" s="1"/>
  <c r="I36" i="6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C5" i="5"/>
  <c r="K2448" i="1" s="1"/>
  <c r="Q5" i="5" s="1"/>
  <c r="D5" i="5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3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3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A2461" i="1"/>
  <c r="A2456" i="1"/>
  <c r="A2460" i="1"/>
  <c r="A2465" i="1"/>
  <c r="A2462" i="1"/>
  <c r="A2459" i="1"/>
  <c r="A2457" i="1"/>
  <c r="A2466" i="1"/>
  <c r="A2467" i="1"/>
  <c r="A2458" i="1"/>
  <c r="A2464" i="1"/>
  <c r="A2463" i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B2463" i="1"/>
  <c r="B2462" i="1"/>
  <c r="B2465" i="1"/>
  <c r="B2459" i="1"/>
  <c r="B2467" i="1"/>
  <c r="N2442" i="1"/>
  <c r="C68" i="10" s="1"/>
  <c r="B2456" i="1"/>
  <c r="B2458" i="1"/>
  <c r="N2439" i="1"/>
  <c r="C65" i="10" s="1"/>
  <c r="B2466" i="1"/>
  <c r="N2441" i="1"/>
  <c r="C67" i="10" s="1"/>
  <c r="B2461" i="1"/>
  <c r="B2457" i="1"/>
  <c r="N2444" i="1"/>
  <c r="C70" i="10" s="1"/>
  <c r="B2464" i="1"/>
  <c r="N2440" i="1"/>
  <c r="C66" i="10" s="1"/>
  <c r="B2460" i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S6" i="5" s="1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B2469" i="1"/>
  <c r="N2469" i="1" s="1"/>
  <c r="C95" i="10" s="1"/>
  <c r="B2468" i="1"/>
  <c r="N2468" i="1" s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G3" i="5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G5" i="5" s="1"/>
  <c r="E33" i="9"/>
  <c r="D33" i="9" s="1"/>
  <c r="F33" i="9" s="1"/>
  <c r="E31" i="9"/>
  <c r="D31" i="9" s="1"/>
  <c r="F31" i="9" s="1"/>
  <c r="E37" i="9"/>
  <c r="D37" i="9" s="1"/>
  <c r="F37" i="9" s="1"/>
  <c r="G4" i="5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A2468" i="1" l="1"/>
  <c r="A2480" i="1"/>
  <c r="A2476" i="1"/>
  <c r="A2472" i="1"/>
  <c r="A2483" i="1"/>
  <c r="A2481" i="1"/>
  <c r="A2479" i="1"/>
  <c r="A2477" i="1"/>
  <c r="A2475" i="1"/>
  <c r="A2473" i="1"/>
  <c r="A2471" i="1"/>
  <c r="A2469" i="1"/>
  <c r="A2482" i="1"/>
  <c r="A2478" i="1"/>
  <c r="A2474" i="1"/>
  <c r="A2470" i="1"/>
  <c r="T5" i="5" l="1"/>
  <c r="V4" i="5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<sst xmlns="http://schemas.openxmlformats.org/spreadsheetml/2006/main" count="2473" uniqueCount="260">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</sst>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EXTRAPOLATION'!$A$2450:$A$2589</c:f>
              <c:numCache>
                <c:formatCode>0.0000</c:formatCode>
                <c:ptCount val="140"/>
                <c:pt idx="6">
                  <c:v>3.6364583333333145</c:v>
                </c:pt>
                <c:pt idx="7">
                  <c:v>3.6364583333333145</c:v>
                </c:pt>
                <c:pt idx="8">
                  <c:v>3.6364583333333145</c:v>
                </c:pt>
                <c:pt idx="9">
                  <c:v>3.6364583333333145</c:v>
                </c:pt>
                <c:pt idx="10">
                  <c:v>3.6364583333333145</c:v>
                </c:pt>
                <c:pt idx="11">
                  <c:v>3.6364583333333145</c:v>
                </c:pt>
                <c:pt idx="12">
                  <c:v>3.6364583333333145</c:v>
                </c:pt>
                <c:pt idx="13">
                  <c:v>3.6364583333333145</c:v>
                </c:pt>
                <c:pt idx="14">
                  <c:v>3.6364583333333145</c:v>
                </c:pt>
                <c:pt idx="15">
                  <c:v>3.6364583333333145</c:v>
                </c:pt>
                <c:pt idx="16">
                  <c:v>3.6364583333333145</c:v>
                </c:pt>
                <c:pt idx="17">
                  <c:v>3.6364583333333145</c:v>
                </c:pt>
                <c:pt idx="18">
                  <c:v>3.6354687500000011</c:v>
                </c:pt>
                <c:pt idx="19">
                  <c:v>3.6354687500000011</c:v>
                </c:pt>
                <c:pt idx="20">
                  <c:v>3.6354687500000011</c:v>
                </c:pt>
                <c:pt idx="21">
                  <c:v>3.6354687500000011</c:v>
                </c:pt>
                <c:pt idx="22">
                  <c:v>3.6354687500000011</c:v>
                </c:pt>
                <c:pt idx="23">
                  <c:v>3.6354687500000011</c:v>
                </c:pt>
                <c:pt idx="24">
                  <c:v>3.6354687500000011</c:v>
                </c:pt>
                <c:pt idx="25">
                  <c:v>3.6354687500000011</c:v>
                </c:pt>
                <c:pt idx="26">
                  <c:v>3.6354687500000011</c:v>
                </c:pt>
                <c:pt idx="27">
                  <c:v>3.6354687500000011</c:v>
                </c:pt>
                <c:pt idx="28">
                  <c:v>3.6354687500000011</c:v>
                </c:pt>
                <c:pt idx="29">
                  <c:v>3.6354687500000011</c:v>
                </c:pt>
                <c:pt idx="30">
                  <c:v>3.6354687500000011</c:v>
                </c:pt>
                <c:pt idx="31">
                  <c:v>3.6354687500000011</c:v>
                </c:pt>
                <c:pt idx="32">
                  <c:v>3.6354687500000011</c:v>
                </c:pt>
                <c:pt idx="33">
                  <c:v>3.6354687500000011</c:v>
                </c:pt>
                <c:pt idx="34">
                  <c:v>3.7201785714285656</c:v>
                </c:pt>
                <c:pt idx="35">
                  <c:v>3.7201785714285656</c:v>
                </c:pt>
                <c:pt idx="36">
                  <c:v>3.7201785714285656</c:v>
                </c:pt>
                <c:pt idx="37">
                  <c:v>3.7201785714285656</c:v>
                </c:pt>
                <c:pt idx="38">
                  <c:v>3.7201785714285656</c:v>
                </c:pt>
                <c:pt idx="39">
                  <c:v>3.7201785714285656</c:v>
                </c:pt>
                <c:pt idx="40">
                  <c:v>3.7201785714285656</c:v>
                </c:pt>
                <c:pt idx="41">
                  <c:v>3.7201785714285656</c:v>
                </c:pt>
                <c:pt idx="42">
                  <c:v>3.7201785714285656</c:v>
                </c:pt>
                <c:pt idx="43">
                  <c:v>3.7201785714285656</c:v>
                </c:pt>
                <c:pt idx="44">
                  <c:v>3.7201785714285656</c:v>
                </c:pt>
                <c:pt idx="45">
                  <c:v>3.7201785714285656</c:v>
                </c:pt>
                <c:pt idx="46">
                  <c:v>3.7201785714285656</c:v>
                </c:pt>
                <c:pt idx="47">
                  <c:v>3.7201785714285656</c:v>
                </c:pt>
                <c:pt idx="48">
                  <c:v>3.7201785714285656</c:v>
                </c:pt>
                <c:pt idx="49">
                  <c:v>3.7201785714285656</c:v>
                </c:pt>
                <c:pt idx="50">
                  <c:v>3.7201785714285656</c:v>
                </c:pt>
                <c:pt idx="51">
                  <c:v>3.7201785714285656</c:v>
                </c:pt>
                <c:pt idx="52">
                  <c:v>3.7201785714285656</c:v>
                </c:pt>
                <c:pt idx="53">
                  <c:v>3.7201785714285656</c:v>
                </c:pt>
                <c:pt idx="54">
                  <c:v>3.7201785714285656</c:v>
                </c:pt>
                <c:pt idx="55">
                  <c:v>3.7201785714285656</c:v>
                </c:pt>
                <c:pt idx="56">
                  <c:v>3.7201785714285656</c:v>
                </c:pt>
                <c:pt idx="57">
                  <c:v>3.7201785714285656</c:v>
                </c:pt>
                <c:pt idx="58">
                  <c:v>3.7201785714285656</c:v>
                </c:pt>
                <c:pt idx="59">
                  <c:v>3.7201785714285656</c:v>
                </c:pt>
                <c:pt idx="60">
                  <c:v>3.7201785714285656</c:v>
                </c:pt>
                <c:pt idx="61">
                  <c:v>3.7201785714285656</c:v>
                </c:pt>
                <c:pt idx="62">
                  <c:v>3.7201785714285656</c:v>
                </c:pt>
                <c:pt idx="63">
                  <c:v>3.7201785714285656</c:v>
                </c:pt>
                <c:pt idx="64">
                  <c:v>3.7201785714285656</c:v>
                </c:pt>
                <c:pt idx="65">
                  <c:v>3.7201785714285656</c:v>
                </c:pt>
                <c:pt idx="66">
                  <c:v>3.7201785714285656</c:v>
                </c:pt>
                <c:pt idx="67">
                  <c:v>3.7201785714285656</c:v>
                </c:pt>
                <c:pt idx="68">
                  <c:v>3.7201785714285656</c:v>
                </c:pt>
                <c:pt idx="69">
                  <c:v>3.7201785714285656</c:v>
                </c:pt>
                <c:pt idx="70">
                  <c:v>3.7201785714285656</c:v>
                </c:pt>
                <c:pt idx="71">
                  <c:v>3.7201785714285656</c:v>
                </c:pt>
                <c:pt idx="72">
                  <c:v>3.7201785714285656</c:v>
                </c:pt>
                <c:pt idx="73">
                  <c:v>3.7201785714285656</c:v>
                </c:pt>
                <c:pt idx="74">
                  <c:v>3.7201785714285656</c:v>
                </c:pt>
                <c:pt idx="75">
                  <c:v>3.7201785714285656</c:v>
                </c:pt>
                <c:pt idx="76">
                  <c:v>3.769999999999996</c:v>
                </c:pt>
                <c:pt idx="77">
                  <c:v>3.769999999999996</c:v>
                </c:pt>
                <c:pt idx="78">
                  <c:v>3.769999999999996</c:v>
                </c:pt>
                <c:pt idx="79">
                  <c:v>3.769999999999996</c:v>
                </c:pt>
                <c:pt idx="80">
                  <c:v>3.769999999999996</c:v>
                </c:pt>
                <c:pt idx="81">
                  <c:v>3.769999999999996</c:v>
                </c:pt>
                <c:pt idx="82">
                  <c:v>3.769999999999996</c:v>
                </c:pt>
                <c:pt idx="83">
                  <c:v>3.769999999999996</c:v>
                </c:pt>
                <c:pt idx="84">
                  <c:v>3.769999999999996</c:v>
                </c:pt>
                <c:pt idx="85">
                  <c:v>3.769999999999996</c:v>
                </c:pt>
                <c:pt idx="86">
                  <c:v>3.769999999999996</c:v>
                </c:pt>
                <c:pt idx="87">
                  <c:v>3.769999999999996</c:v>
                </c:pt>
                <c:pt idx="88">
                  <c:v>3.769999999999996</c:v>
                </c:pt>
                <c:pt idx="89">
                  <c:v>3.769999999999996</c:v>
                </c:pt>
                <c:pt idx="90">
                  <c:v>3.769999999999996</c:v>
                </c:pt>
                <c:pt idx="91">
                  <c:v>3.769999999999996</c:v>
                </c:pt>
                <c:pt idx="92">
                  <c:v>3.769999999999996</c:v>
                </c:pt>
                <c:pt idx="93">
                  <c:v>3.769999999999996</c:v>
                </c:pt>
                <c:pt idx="94">
                  <c:v>3.769999999999996</c:v>
                </c:pt>
                <c:pt idx="95">
                  <c:v>3.769999999999996</c:v>
                </c:pt>
                <c:pt idx="96">
                  <c:v>3.769999999999996</c:v>
                </c:pt>
                <c:pt idx="97">
                  <c:v>3.769999999999996</c:v>
                </c:pt>
                <c:pt idx="98">
                  <c:v>3.769999999999996</c:v>
                </c:pt>
                <c:pt idx="99">
                  <c:v>3.769999999999996</c:v>
                </c:pt>
                <c:pt idx="100">
                  <c:v>3.769999999999996</c:v>
                </c:pt>
                <c:pt idx="101">
                  <c:v>3.769999999999996</c:v>
                </c:pt>
                <c:pt idx="102">
                  <c:v>3.769999999999996</c:v>
                </c:pt>
                <c:pt idx="103">
                  <c:v>3.769999999999996</c:v>
                </c:pt>
                <c:pt idx="104">
                  <c:v>3.769999999999996</c:v>
                </c:pt>
                <c:pt idx="105">
                  <c:v>3.769999999999996</c:v>
                </c:pt>
                <c:pt idx="106">
                  <c:v>3.769999999999996</c:v>
                </c:pt>
                <c:pt idx="107">
                  <c:v>3.769999999999996</c:v>
                </c:pt>
                <c:pt idx="108">
                  <c:v>3.769999999999996</c:v>
                </c:pt>
                <c:pt idx="109">
                  <c:v>3.769999999999996</c:v>
                </c:pt>
                <c:pt idx="110">
                  <c:v>3.769999999999996</c:v>
                </c:pt>
                <c:pt idx="111">
                  <c:v>3.769999999999996</c:v>
                </c:pt>
                <c:pt idx="112">
                  <c:v>3.769999999999996</c:v>
                </c:pt>
                <c:pt idx="113">
                  <c:v>3.769999999999996</c:v>
                </c:pt>
                <c:pt idx="114">
                  <c:v>3.769999999999996</c:v>
                </c:pt>
                <c:pt idx="115">
                  <c:v>3.769999999999996</c:v>
                </c:pt>
                <c:pt idx="116">
                  <c:v>3.769999999999996</c:v>
                </c:pt>
                <c:pt idx="117">
                  <c:v>3.769999999999996</c:v>
                </c:pt>
                <c:pt idx="118">
                  <c:v>3.8686363636363699</c:v>
                </c:pt>
                <c:pt idx="119">
                  <c:v>3.8686363636363699</c:v>
                </c:pt>
                <c:pt idx="120">
                  <c:v>3.8686363636363699</c:v>
                </c:pt>
                <c:pt idx="121">
                  <c:v>3.8686363636363699</c:v>
                </c:pt>
                <c:pt idx="122">
                  <c:v>3.8686363636363699</c:v>
                </c:pt>
                <c:pt idx="123">
                  <c:v>3.8686363636363699</c:v>
                </c:pt>
                <c:pt idx="124">
                  <c:v>3.8686363636363699</c:v>
                </c:pt>
                <c:pt idx="125">
                  <c:v>3.8686363636363699</c:v>
                </c:pt>
                <c:pt idx="126">
                  <c:v>3.8686363636363699</c:v>
                </c:pt>
                <c:pt idx="127">
                  <c:v>3.8686363636363699</c:v>
                </c:pt>
                <c:pt idx="128">
                  <c:v>3.8686363636363699</c:v>
                </c:pt>
                <c:pt idx="129">
                  <c:v>3.8686363636363699</c:v>
                </c:pt>
                <c:pt idx="130">
                  <c:v>3.8686363636363699</c:v>
                </c:pt>
                <c:pt idx="131">
                  <c:v>3.8686363636363699</c:v>
                </c:pt>
                <c:pt idx="132">
                  <c:v>3.8686363636363699</c:v>
                </c:pt>
                <c:pt idx="133">
                  <c:v>3.8686363636363699</c:v>
                </c:pt>
                <c:pt idx="134">
                  <c:v>3.8686363636363699</c:v>
                </c:pt>
                <c:pt idx="135">
                  <c:v>3.8686363636363699</c:v>
                </c:pt>
                <c:pt idx="136">
                  <c:v>3.8686363636363699</c:v>
                </c:pt>
                <c:pt idx="137">
                  <c:v>3.8686363636363699</c:v>
                </c:pt>
                <c:pt idx="138">
                  <c:v>3.8686363636363699</c:v>
                </c:pt>
                <c:pt idx="139">
                  <c:v>3.8686363636363699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EXTRAPOLATION'!$B$2450:$B$2589</c:f>
              <c:numCache>
                <c:formatCode>0.0000</c:formatCode>
                <c:ptCount val="140"/>
                <c:pt idx="6">
                  <c:v>3.6466666666666683</c:v>
                </c:pt>
                <c:pt idx="7">
                  <c:v>3.6466666666666683</c:v>
                </c:pt>
                <c:pt idx="8">
                  <c:v>3.6466666666666683</c:v>
                </c:pt>
                <c:pt idx="9">
                  <c:v>3.6466666666666683</c:v>
                </c:pt>
                <c:pt idx="10">
                  <c:v>3.6466666666666683</c:v>
                </c:pt>
                <c:pt idx="11">
                  <c:v>3.6466666666666683</c:v>
                </c:pt>
                <c:pt idx="12">
                  <c:v>3.6466666666666683</c:v>
                </c:pt>
                <c:pt idx="13">
                  <c:v>3.6466666666666683</c:v>
                </c:pt>
                <c:pt idx="14">
                  <c:v>3.6466666666666683</c:v>
                </c:pt>
                <c:pt idx="15">
                  <c:v>3.6466666666666683</c:v>
                </c:pt>
                <c:pt idx="16">
                  <c:v>3.6466666666666683</c:v>
                </c:pt>
                <c:pt idx="17">
                  <c:v>3.6466666666666683</c:v>
                </c:pt>
                <c:pt idx="18">
                  <c:v>3.6273437500000103</c:v>
                </c:pt>
                <c:pt idx="19">
                  <c:v>3.6273437500000103</c:v>
                </c:pt>
                <c:pt idx="20">
                  <c:v>3.6273437500000103</c:v>
                </c:pt>
                <c:pt idx="21">
                  <c:v>3.6273437500000103</c:v>
                </c:pt>
                <c:pt idx="22">
                  <c:v>3.6273437500000103</c:v>
                </c:pt>
                <c:pt idx="23">
                  <c:v>3.6273437500000103</c:v>
                </c:pt>
                <c:pt idx="24">
                  <c:v>3.6273437500000103</c:v>
                </c:pt>
                <c:pt idx="25">
                  <c:v>3.6273437500000103</c:v>
                </c:pt>
                <c:pt idx="26">
                  <c:v>3.6273437500000103</c:v>
                </c:pt>
                <c:pt idx="27">
                  <c:v>3.6273437500000103</c:v>
                </c:pt>
                <c:pt idx="28">
                  <c:v>3.6273437500000103</c:v>
                </c:pt>
                <c:pt idx="29">
                  <c:v>3.6273437500000103</c:v>
                </c:pt>
                <c:pt idx="30">
                  <c:v>3.6273437500000103</c:v>
                </c:pt>
                <c:pt idx="31">
                  <c:v>3.6273437500000103</c:v>
                </c:pt>
                <c:pt idx="32">
                  <c:v>3.6273437500000103</c:v>
                </c:pt>
                <c:pt idx="33">
                  <c:v>3.6273437500000103</c:v>
                </c:pt>
                <c:pt idx="34">
                  <c:v>3.7401785714285758</c:v>
                </c:pt>
                <c:pt idx="35">
                  <c:v>3.7401785714285758</c:v>
                </c:pt>
                <c:pt idx="36">
                  <c:v>3.7401785714285758</c:v>
                </c:pt>
                <c:pt idx="37">
                  <c:v>3.7401785714285758</c:v>
                </c:pt>
                <c:pt idx="38">
                  <c:v>3.7401785714285758</c:v>
                </c:pt>
                <c:pt idx="39">
                  <c:v>3.7401785714285758</c:v>
                </c:pt>
                <c:pt idx="40">
                  <c:v>3.7401785714285758</c:v>
                </c:pt>
                <c:pt idx="41">
                  <c:v>3.7401785714285758</c:v>
                </c:pt>
                <c:pt idx="42">
                  <c:v>3.7401785714285758</c:v>
                </c:pt>
                <c:pt idx="43">
                  <c:v>3.7401785714285758</c:v>
                </c:pt>
                <c:pt idx="44">
                  <c:v>3.7401785714285758</c:v>
                </c:pt>
                <c:pt idx="45">
                  <c:v>3.7401785714285758</c:v>
                </c:pt>
                <c:pt idx="46">
                  <c:v>3.7401785714285758</c:v>
                </c:pt>
                <c:pt idx="47">
                  <c:v>3.7401785714285758</c:v>
                </c:pt>
                <c:pt idx="48">
                  <c:v>3.7401785714285758</c:v>
                </c:pt>
                <c:pt idx="49">
                  <c:v>3.7401785714285758</c:v>
                </c:pt>
                <c:pt idx="50">
                  <c:v>3.7401785714285758</c:v>
                </c:pt>
                <c:pt idx="51">
                  <c:v>3.7401785714285758</c:v>
                </c:pt>
                <c:pt idx="52">
                  <c:v>3.7401785714285758</c:v>
                </c:pt>
                <c:pt idx="53">
                  <c:v>3.7401785714285758</c:v>
                </c:pt>
                <c:pt idx="54">
                  <c:v>3.7401785714285758</c:v>
                </c:pt>
                <c:pt idx="55">
                  <c:v>3.7401785714285758</c:v>
                </c:pt>
                <c:pt idx="56">
                  <c:v>3.7401785714285758</c:v>
                </c:pt>
                <c:pt idx="57">
                  <c:v>3.7401785714285758</c:v>
                </c:pt>
                <c:pt idx="58">
                  <c:v>3.7401785714285758</c:v>
                </c:pt>
                <c:pt idx="59">
                  <c:v>3.7401785714285758</c:v>
                </c:pt>
                <c:pt idx="60">
                  <c:v>3.7401785714285758</c:v>
                </c:pt>
                <c:pt idx="61">
                  <c:v>3.7401785714285758</c:v>
                </c:pt>
                <c:pt idx="62">
                  <c:v>3.7401785714285758</c:v>
                </c:pt>
                <c:pt idx="63">
                  <c:v>3.7401785714285758</c:v>
                </c:pt>
                <c:pt idx="64">
                  <c:v>3.7401785714285758</c:v>
                </c:pt>
                <c:pt idx="65">
                  <c:v>3.7401785714285758</c:v>
                </c:pt>
                <c:pt idx="66">
                  <c:v>3.7401785714285758</c:v>
                </c:pt>
                <c:pt idx="67">
                  <c:v>3.7401785714285758</c:v>
                </c:pt>
                <c:pt idx="68">
                  <c:v>3.7401785714285758</c:v>
                </c:pt>
                <c:pt idx="69">
                  <c:v>3.7401785714285758</c:v>
                </c:pt>
                <c:pt idx="70">
                  <c:v>3.7401785714285758</c:v>
                </c:pt>
                <c:pt idx="71">
                  <c:v>3.7401785714285758</c:v>
                </c:pt>
                <c:pt idx="72">
                  <c:v>3.7401785714285758</c:v>
                </c:pt>
                <c:pt idx="73">
                  <c:v>3.7401785714285758</c:v>
                </c:pt>
                <c:pt idx="74">
                  <c:v>3.7401785714285758</c:v>
                </c:pt>
                <c:pt idx="75">
                  <c:v>3.7401785714285758</c:v>
                </c:pt>
                <c:pt idx="76">
                  <c:v>3.7900000000000063</c:v>
                </c:pt>
                <c:pt idx="77">
                  <c:v>3.7900000000000063</c:v>
                </c:pt>
                <c:pt idx="78">
                  <c:v>3.7900000000000063</c:v>
                </c:pt>
                <c:pt idx="79">
                  <c:v>3.7900000000000063</c:v>
                </c:pt>
                <c:pt idx="80">
                  <c:v>3.7900000000000063</c:v>
                </c:pt>
                <c:pt idx="81">
                  <c:v>3.7900000000000063</c:v>
                </c:pt>
                <c:pt idx="82">
                  <c:v>3.7900000000000063</c:v>
                </c:pt>
                <c:pt idx="83">
                  <c:v>3.7900000000000063</c:v>
                </c:pt>
                <c:pt idx="84">
                  <c:v>3.7900000000000063</c:v>
                </c:pt>
                <c:pt idx="85">
                  <c:v>3.7900000000000063</c:v>
                </c:pt>
                <c:pt idx="86">
                  <c:v>3.7900000000000063</c:v>
                </c:pt>
                <c:pt idx="87">
                  <c:v>3.7900000000000063</c:v>
                </c:pt>
                <c:pt idx="88">
                  <c:v>3.7900000000000063</c:v>
                </c:pt>
                <c:pt idx="89">
                  <c:v>3.7900000000000063</c:v>
                </c:pt>
                <c:pt idx="90">
                  <c:v>3.7900000000000063</c:v>
                </c:pt>
                <c:pt idx="91">
                  <c:v>3.7900000000000063</c:v>
                </c:pt>
                <c:pt idx="92">
                  <c:v>3.7900000000000063</c:v>
                </c:pt>
                <c:pt idx="93">
                  <c:v>3.7900000000000063</c:v>
                </c:pt>
                <c:pt idx="94">
                  <c:v>3.7900000000000063</c:v>
                </c:pt>
                <c:pt idx="95">
                  <c:v>3.7900000000000063</c:v>
                </c:pt>
                <c:pt idx="96">
                  <c:v>3.7900000000000063</c:v>
                </c:pt>
                <c:pt idx="97">
                  <c:v>3.7900000000000063</c:v>
                </c:pt>
                <c:pt idx="98">
                  <c:v>3.7900000000000063</c:v>
                </c:pt>
                <c:pt idx="99">
                  <c:v>3.7900000000000063</c:v>
                </c:pt>
                <c:pt idx="100">
                  <c:v>3.7900000000000063</c:v>
                </c:pt>
                <c:pt idx="101">
                  <c:v>3.7900000000000063</c:v>
                </c:pt>
                <c:pt idx="102">
                  <c:v>3.7900000000000063</c:v>
                </c:pt>
                <c:pt idx="103">
                  <c:v>3.7900000000000063</c:v>
                </c:pt>
                <c:pt idx="104">
                  <c:v>3.7900000000000063</c:v>
                </c:pt>
                <c:pt idx="105">
                  <c:v>3.7900000000000063</c:v>
                </c:pt>
                <c:pt idx="106">
                  <c:v>3.7900000000000063</c:v>
                </c:pt>
                <c:pt idx="107">
                  <c:v>3.7900000000000063</c:v>
                </c:pt>
                <c:pt idx="108">
                  <c:v>3.7900000000000063</c:v>
                </c:pt>
                <c:pt idx="109">
                  <c:v>3.7900000000000063</c:v>
                </c:pt>
                <c:pt idx="110">
                  <c:v>3.7900000000000063</c:v>
                </c:pt>
                <c:pt idx="111">
                  <c:v>3.7900000000000063</c:v>
                </c:pt>
                <c:pt idx="112">
                  <c:v>3.7900000000000063</c:v>
                </c:pt>
                <c:pt idx="113">
                  <c:v>3.7900000000000063</c:v>
                </c:pt>
                <c:pt idx="114">
                  <c:v>3.7900000000000063</c:v>
                </c:pt>
                <c:pt idx="115">
                  <c:v>3.7900000000000063</c:v>
                </c:pt>
                <c:pt idx="116">
                  <c:v>3.7900000000000063</c:v>
                </c:pt>
                <c:pt idx="117">
                  <c:v>3.7900000000000063</c:v>
                </c:pt>
                <c:pt idx="118">
                  <c:v>3.9027272727272764</c:v>
                </c:pt>
                <c:pt idx="119">
                  <c:v>3.9027272727272764</c:v>
                </c:pt>
                <c:pt idx="120">
                  <c:v>3.9027272727272764</c:v>
                </c:pt>
                <c:pt idx="121">
                  <c:v>3.9027272727272764</c:v>
                </c:pt>
                <c:pt idx="122">
                  <c:v>3.9027272727272764</c:v>
                </c:pt>
                <c:pt idx="123">
                  <c:v>3.9027272727272764</c:v>
                </c:pt>
                <c:pt idx="124">
                  <c:v>3.9027272727272764</c:v>
                </c:pt>
                <c:pt idx="125">
                  <c:v>3.9027272727272764</c:v>
                </c:pt>
                <c:pt idx="126">
                  <c:v>3.9027272727272764</c:v>
                </c:pt>
                <c:pt idx="127">
                  <c:v>3.9027272727272764</c:v>
                </c:pt>
                <c:pt idx="128">
                  <c:v>3.9027272727272764</c:v>
                </c:pt>
                <c:pt idx="129">
                  <c:v>3.9027272727272764</c:v>
                </c:pt>
                <c:pt idx="130">
                  <c:v>3.9027272727272764</c:v>
                </c:pt>
                <c:pt idx="131">
                  <c:v>3.9027272727272764</c:v>
                </c:pt>
                <c:pt idx="132">
                  <c:v>3.9027272727272764</c:v>
                </c:pt>
                <c:pt idx="133">
                  <c:v>3.9027272727272764</c:v>
                </c:pt>
                <c:pt idx="134">
                  <c:v>3.9027272727272764</c:v>
                </c:pt>
                <c:pt idx="135">
                  <c:v>3.9027272727272764</c:v>
                </c:pt>
                <c:pt idx="136">
                  <c:v>3.9027272727272764</c:v>
                </c:pt>
                <c:pt idx="137">
                  <c:v>3.9027272727272764</c:v>
                </c:pt>
                <c:pt idx="138">
                  <c:v>3.9027272727272764</c:v>
                </c:pt>
                <c:pt idx="139">
                  <c:v>3.9027272727272764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3.6401055351925983E-2</c:v>
                </c:pt>
                <c:pt idx="80">
                  <c:v>3.7302213359554824E-2</c:v>
                </c:pt>
                <c:pt idx="81">
                  <c:v>3.6852789102210792E-2</c:v>
                </c:pt>
                <c:pt idx="82">
                  <c:v>3.6414065422422572E-2</c:v>
                </c:pt>
                <c:pt idx="83">
                  <c:v>3.641832947513917E-2</c:v>
                </c:pt>
                <c:pt idx="84">
                  <c:v>3.6422537681562464E-2</c:v>
                </c:pt>
                <c:pt idx="85">
                  <c:v>3.6426691971765304E-2</c:v>
                </c:pt>
                <c:pt idx="86">
                  <c:v>3.6430794188088145E-2</c:v>
                </c:pt>
                <c:pt idx="87">
                  <c:v>3.7261619426355419E-2</c:v>
                </c:pt>
                <c:pt idx="88">
                  <c:v>3.6847601432729249E-2</c:v>
                </c:pt>
                <c:pt idx="89">
                  <c:v>3.6442682735666289E-2</c:v>
                </c:pt>
                <c:pt idx="90">
                  <c:v>3.6446594814261254E-2</c:v>
                </c:pt>
                <c:pt idx="91">
                  <c:v>3.6448365762545447E-2</c:v>
                </c:pt>
                <c:pt idx="92">
                  <c:v>3.6450138275092914E-2</c:v>
                </c:pt>
                <c:pt idx="93">
                  <c:v>3.6451912306418512E-2</c:v>
                </c:pt>
                <c:pt idx="94">
                  <c:v>3.7598136592053577E-2</c:v>
                </c:pt>
                <c:pt idx="95">
                  <c:v>3.7210526936465399E-2</c:v>
                </c:pt>
                <c:pt idx="96">
                  <c:v>3.6830827682011666E-2</c:v>
                </c:pt>
                <c:pt idx="97">
                  <c:v>3.6458799119567106E-2</c:v>
                </c:pt>
                <c:pt idx="98">
                  <c:v>3.6460582339792234E-2</c:v>
                </c:pt>
                <c:pt idx="99">
                  <c:v>3.6462366798624732E-2</c:v>
                </c:pt>
                <c:pt idx="100">
                  <c:v>3.6464152463281448E-2</c:v>
                </c:pt>
                <c:pt idx="101">
                  <c:v>3.7177554775599371E-2</c:v>
                </c:pt>
                <c:pt idx="102">
                  <c:v>3.6820078287372451E-2</c:v>
                </c:pt>
                <c:pt idx="103">
                  <c:v>3.6469410875111762E-2</c:v>
                </c:pt>
                <c:pt idx="104">
                  <c:v>3.6471202044636303E-2</c:v>
                </c:pt>
                <c:pt idx="105">
                  <c:v>3.6472994255589614E-2</c:v>
                </c:pt>
                <c:pt idx="106">
                  <c:v>3.6474787482490001E-2</c:v>
                </c:pt>
                <c:pt idx="107">
                  <c:v>3.6487046793383736E-2</c:v>
                </c:pt>
                <c:pt idx="108">
                  <c:v>3.7186664023598534E-2</c:v>
                </c:pt>
                <c:pt idx="109">
                  <c:v>3.6851649032394941E-2</c:v>
                </c:pt>
                <c:pt idx="110">
                  <c:v>3.6522616451748556E-2</c:v>
                </c:pt>
                <c:pt idx="111">
                  <c:v>3.6534157606488787E-2</c:v>
                </c:pt>
                <c:pt idx="112">
                  <c:v>3.6545530758237355E-2</c:v>
                </c:pt>
                <c:pt idx="113">
                  <c:v>3.6556740293231541E-2</c:v>
                </c:pt>
                <c:pt idx="114">
                  <c:v>3.6567790446459088E-2</c:v>
                </c:pt>
                <c:pt idx="115">
                  <c:v>3.722556546643014E-2</c:v>
                </c:pt>
                <c:pt idx="116">
                  <c:v>3.691009457264683E-2</c:v>
                </c:pt>
                <c:pt idx="117">
                  <c:v>3.6599925710691816E-2</c:v>
                </c:pt>
                <c:pt idx="118">
                  <c:v>3.6610378696991797E-2</c:v>
                </c:pt>
                <c:pt idx="119">
                  <c:v>3.662069140936338E-2</c:v>
                </c:pt>
                <c:pt idx="120">
                  <c:v>3.6630867300514916E-2</c:v>
                </c:pt>
                <c:pt idx="121">
                  <c:v>3.6640909710871541E-2</c:v>
                </c:pt>
                <c:pt idx="122">
                  <c:v>3.7261628612256056E-2</c:v>
                </c:pt>
                <c:pt idx="123">
                  <c:v>3.6963535583358006E-2</c:v>
                </c:pt>
                <c:pt idx="124">
                  <c:v>3.6670174189839297E-2</c:v>
                </c:pt>
                <c:pt idx="125">
                  <c:v>3.6679714717583335E-2</c:v>
                </c:pt>
                <c:pt idx="126">
                  <c:v>3.6689136922145246E-2</c:v>
                </c:pt>
                <c:pt idx="127">
                  <c:v>3.6698443558397111E-2</c:v>
                </c:pt>
                <c:pt idx="128">
                  <c:v>3.670763729644573E-2</c:v>
                </c:pt>
                <c:pt idx="129">
                  <c:v>3.7584603925319003E-2</c:v>
                </c:pt>
                <c:pt idx="130">
                  <c:v>3.7299872077399925E-2</c:v>
                </c:pt>
                <c:pt idx="131">
                  <c:v>3.7019421911404435E-2</c:v>
                </c:pt>
                <c:pt idx="132">
                  <c:v>3.6743157568782013E-2</c:v>
                </c:pt>
                <c:pt idx="133">
                  <c:v>3.6751825406909099E-2</c:v>
                </c:pt>
                <c:pt idx="134">
                  <c:v>3.6760394739771649E-2</c:v>
                </c:pt>
                <c:pt idx="135">
                  <c:v>3.6768867727406652E-2</c:v>
                </c:pt>
                <c:pt idx="136">
                  <c:v>3.7326886087886965E-2</c:v>
                </c:pt>
                <c:pt idx="137">
                  <c:v>3.7058347339053249E-2</c:v>
                </c:pt>
                <c:pt idx="138">
                  <c:v>3.6793644858060012E-2</c:v>
                </c:pt>
                <c:pt idx="139">
                  <c:v>3.6801753436293327E-2</c:v>
                </c:pt>
                <c:pt idx="140">
                  <c:v>3.6809775565651758E-2</c:v>
                </c:pt>
                <c:pt idx="141">
                  <c:v>3.6817713062611793E-2</c:v>
                </c:pt>
                <c:pt idx="142">
                  <c:v>3.6825567693192229E-2</c:v>
                </c:pt>
                <c:pt idx="143">
                  <c:v>3.7356827002431016E-2</c:v>
                </c:pt>
                <c:pt idx="144">
                  <c:v>3.7100958324332176E-2</c:v>
                </c:pt>
                <c:pt idx="145">
                  <c:v>3.6848570852738079E-2</c:v>
                </c:pt>
                <c:pt idx="146">
                  <c:v>3.6856111263694542E-2</c:v>
                </c:pt>
                <c:pt idx="147">
                  <c:v>3.6863576932781653E-2</c:v>
                </c:pt>
                <c:pt idx="148">
                  <c:v>3.6870969357569019E-2</c:v>
                </c:pt>
                <c:pt idx="149">
                  <c:v>3.6881640117172779E-2</c:v>
                </c:pt>
                <c:pt idx="150">
                  <c:v>3.7398595880558702E-2</c:v>
                </c:pt>
                <c:pt idx="151">
                  <c:v>3.715416061336551E-2</c:v>
                </c:pt>
                <c:pt idx="152">
                  <c:v>3.6912899830161841E-2</c:v>
                </c:pt>
                <c:pt idx="153">
                  <c:v>3.6923129254754675E-2</c:v>
                </c:pt>
                <c:pt idx="154">
                  <c:v>3.6933253513855228E-2</c:v>
                </c:pt>
                <c:pt idx="155">
                  <c:v>3.6943274619713022E-2</c:v>
                </c:pt>
                <c:pt idx="156">
                  <c:v>3.6953194533634562E-2</c:v>
                </c:pt>
                <c:pt idx="157">
                  <c:v>3.7447476492516653E-2</c:v>
                </c:pt>
                <c:pt idx="158">
                  <c:v>3.7213429764438422E-2</c:v>
                </c:pt>
                <c:pt idx="159">
                  <c:v>3.6982290449131351E-2</c:v>
                </c:pt>
                <c:pt idx="160">
                  <c:v>3.6991824702841868E-2</c:v>
                </c:pt>
                <c:pt idx="161">
                  <c:v>3.7237652717797616E-2</c:v>
                </c:pt>
                <c:pt idx="162">
                  <c:v>3.7010593859762263E-2</c:v>
                </c:pt>
                <c:pt idx="163">
                  <c:v>3.7019856978578437E-2</c:v>
                </c:pt>
                <c:pt idx="164">
                  <c:v>3.7493407221459163E-2</c:v>
                </c:pt>
                <c:pt idx="165">
                  <c:v>3.7268895800971383E-2</c:v>
                </c:pt>
                <c:pt idx="166">
                  <c:v>3.7047057135489406E-2</c:v>
                </c:pt>
                <c:pt idx="167">
                  <c:v>3.7055981288240988E-2</c:v>
                </c:pt>
                <c:pt idx="168">
                  <c:v>3.7064824327488713E-2</c:v>
                </c:pt>
                <c:pt idx="169">
                  <c:v>3.7073587678776034E-2</c:v>
                </c:pt>
                <c:pt idx="170">
                  <c:v>3.7082272734493299E-2</c:v>
                </c:pt>
                <c:pt idx="171">
                  <c:v>3.7536793890146539E-2</c:v>
                </c:pt>
                <c:pt idx="172">
                  <c:v>3.7321065189628452E-2</c:v>
                </c:pt>
                <c:pt idx="173">
                  <c:v>3.710780195997343E-2</c:v>
                </c:pt>
                <c:pt idx="174">
                  <c:v>3.7116187515385458E-2</c:v>
                </c:pt>
                <c:pt idx="175">
                  <c:v>3.7124501267922404E-2</c:v>
                </c:pt>
                <c:pt idx="176">
                  <c:v>3.734955220623809E-2</c:v>
                </c:pt>
                <c:pt idx="177">
                  <c:v>3.7140895490002129E-2</c:v>
                </c:pt>
                <c:pt idx="178">
                  <c:v>3.7577889012700982E-2</c:v>
                </c:pt>
                <c:pt idx="179">
                  <c:v>3.737027636622197E-2</c:v>
                </c:pt>
                <c:pt idx="180">
                  <c:v>3.7164945177396574E-2</c:v>
                </c:pt>
                <c:pt idx="181">
                  <c:v>3.7172853132693744E-2</c:v>
                </c:pt>
                <c:pt idx="182">
                  <c:v>3.7180697224325605E-2</c:v>
                </c:pt>
                <c:pt idx="183">
                  <c:v>3.7188478490232574E-2</c:v>
                </c:pt>
                <c:pt idx="184">
                  <c:v>3.7196197946033745E-2</c:v>
                </c:pt>
                <c:pt idx="185">
                  <c:v>3.7616994163693067E-2</c:v>
                </c:pt>
                <c:pt idx="186">
                  <c:v>3.7416903769205333E-2</c:v>
                </c:pt>
                <c:pt idx="187">
                  <c:v>3.721893073338943E-2</c:v>
                </c:pt>
                <c:pt idx="188">
                  <c:v>3.7226413012025658E-2</c:v>
                </c:pt>
                <c:pt idx="189">
                  <c:v>3.7233838240585397E-2</c:v>
                </c:pt>
                <c:pt idx="190">
                  <c:v>3.7241207312706803E-2</c:v>
                </c:pt>
                <c:pt idx="191">
                  <c:v>3.7254477904504792E-2</c:v>
                </c:pt>
                <c:pt idx="192">
                  <c:v>3.7678012757704452E-2</c:v>
                </c:pt>
                <c:pt idx="193">
                  <c:v>3.7484792179459811E-2</c:v>
                </c:pt>
                <c:pt idx="194">
                  <c:v>3.7293543239768689E-2</c:v>
                </c:pt>
                <c:pt idx="195">
                  <c:v>3.7306366333549966E-2</c:v>
                </c:pt>
                <c:pt idx="196">
                  <c:v>3.7319081703235793E-2</c:v>
                </c:pt>
                <c:pt idx="197">
                  <c:v>3.7331690975159405E-2</c:v>
                </c:pt>
                <c:pt idx="198">
                  <c:v>3.7344195743127348E-2</c:v>
                </c:pt>
                <c:pt idx="199">
                  <c:v>3.7752985258676722E-2</c:v>
                </c:pt>
                <c:pt idx="200">
                  <c:v>3.7566089292049604E-2</c:v>
                </c:pt>
                <c:pt idx="201">
                  <c:v>3.7381034664995177E-2</c:v>
                </c:pt>
                <c:pt idx="202">
                  <c:v>3.7393137038481815E-2</c:v>
                </c:pt>
                <c:pt idx="203">
                  <c:v>3.7405142413658742E-2</c:v>
                </c:pt>
                <c:pt idx="204">
                  <c:v>3.7417052205396227E-2</c:v>
                </c:pt>
                <c:pt idx="205">
                  <c:v>3.8006590707626672E-2</c:v>
                </c:pt>
                <c:pt idx="206">
                  <c:v>3.7823866713840006E-2</c:v>
                </c:pt>
                <c:pt idx="207">
                  <c:v>3.7642891275017805E-2</c:v>
                </c:pt>
                <c:pt idx="208">
                  <c:v>3.7463639411803432E-2</c:v>
                </c:pt>
                <c:pt idx="209">
                  <c:v>3.7475092146991046E-2</c:v>
                </c:pt>
                <c:pt idx="210">
                  <c:v>3.7486457230773783E-2</c:v>
                </c:pt>
                <c:pt idx="211">
                  <c:v>3.7497735899879141E-2</c:v>
                </c:pt>
                <c:pt idx="212">
                  <c:v>3.8068178966894003E-2</c:v>
                </c:pt>
                <c:pt idx="213">
                  <c:v>3.7891117669373565E-2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tabSelected="1" zoomScale="75" zoomScaleNormal="75" workbookViewId="0">
      <selection activeCell="S4" sqref="S4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46255.337368287037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46255.337368287037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>
        <f ca="1">'3M SOFR CALCS'!F36</f>
        <v>3.6116147285127909E-3</v>
      </c>
      <c r="H3" s="33">
        <f>INPUT!H37</f>
        <v>96.352500000000006</v>
      </c>
      <c r="I3" s="34">
        <f t="shared" ref="I3:I9" si="0">100-H3</f>
        <v>3.6474999999999937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>
        <f ca="1">'3M SOFR CALCS'!F37</f>
        <v>-5.7625705995150156E-3</v>
      </c>
      <c r="H4" s="44">
        <f>INPUT!H38</f>
        <v>96.317499999999995</v>
      </c>
      <c r="I4" s="45">
        <f t="shared" si="0"/>
        <v>3.6825000000000045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>
        <f>T3+S4</f>
        <v>0</v>
      </c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>
        <f>INPUT!H2</f>
        <v>96.367500000000007</v>
      </c>
      <c r="C5" s="45">
        <f t="shared" ref="C5:C9" si="3">100-B5</f>
        <v>3.6324999999999932</v>
      </c>
      <c r="D5" s="145">
        <f t="shared" ref="D5:D9" si="4">B5-E5</f>
        <v>7.5000000000073896E-3</v>
      </c>
      <c r="E5" s="44">
        <f>INPUT!H19</f>
        <v>96.36</v>
      </c>
      <c r="F5" s="45">
        <f t="shared" ref="F5:F9" si="5">100-E5</f>
        <v>3.6400000000000006</v>
      </c>
      <c r="G5" s="326">
        <f ca="1">'3M SOFR CALCS'!F38</f>
        <v>-2.2705974904653203E-3</v>
      </c>
      <c r="H5" s="44">
        <f>INPUT!H39</f>
        <v>96.267499999999998</v>
      </c>
      <c r="I5" s="45">
        <f>100-H5</f>
        <v>3.7325000000000017</v>
      </c>
      <c r="J5" s="38">
        <f t="shared" si="1"/>
        <v>46235</v>
      </c>
      <c r="K5" s="39"/>
      <c r="L5" s="40"/>
      <c r="M5" s="295"/>
      <c r="N5" s="40"/>
      <c r="O5" s="41"/>
      <c r="P5" s="411"/>
      <c r="Q5" s="412">
        <f>'DAILY EXTRAPOLATION'!K2448</f>
        <v>3.6324999999999932</v>
      </c>
      <c r="R5" s="40"/>
      <c r="S5" s="40"/>
      <c r="T5" s="41">
        <f t="shared" ref="T5:T9" si="6">T4+S5</f>
        <v>0</v>
      </c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INPUT!H3</f>
        <v>96.325000000000003</v>
      </c>
      <c r="C6" s="34">
        <f t="shared" si="3"/>
        <v>3.6749999999999972</v>
      </c>
      <c r="D6" s="286">
        <f t="shared" si="4"/>
        <v>5.0000000000096634E-3</v>
      </c>
      <c r="E6" s="33">
        <f>INPUT!H20</f>
        <v>96.32</v>
      </c>
      <c r="F6" s="34">
        <f t="shared" si="5"/>
        <v>3.6800000000000068</v>
      </c>
      <c r="G6" s="325">
        <f ca="1">'3M SOFR CALCS'!F39</f>
        <v>-2.8040667513948847E-3</v>
      </c>
      <c r="H6" s="33">
        <f>INPUT!H40</f>
        <v>96.212500000000006</v>
      </c>
      <c r="I6" s="34">
        <f>100-H6</f>
        <v>3.7874999999999943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3.6354687500000011</v>
      </c>
      <c r="Q6" s="414"/>
      <c r="R6" s="409">
        <f ca="1">'DAILY EXTRAPOLATION'!K2477</f>
        <v>3.7201785714285656</v>
      </c>
      <c r="S6" s="36">
        <f ca="1">R6-Q5</f>
        <v>8.7678571428572383E-2</v>
      </c>
      <c r="T6" s="37">
        <f t="shared" ca="1" si="6"/>
        <v>8.7678571428572383E-2</v>
      </c>
      <c r="U6" s="40">
        <v>0.21196428571408532</v>
      </c>
      <c r="V6" s="40">
        <f t="shared" ca="1" si="2"/>
        <v>0.12428571428551294</v>
      </c>
      <c r="W6" s="18"/>
    </row>
    <row r="7" spans="1:24">
      <c r="A7" s="38">
        <v>46296</v>
      </c>
      <c r="B7" s="44">
        <f>INPUT!H4</f>
        <v>96.275000000000006</v>
      </c>
      <c r="C7" s="45">
        <f>100-B7</f>
        <v>3.7249999999999943</v>
      </c>
      <c r="D7" s="145">
        <f>B7-E7</f>
        <v>2.0000000000010232E-2</v>
      </c>
      <c r="E7" s="44">
        <f>INPUT!H21</f>
        <v>96.254999999999995</v>
      </c>
      <c r="F7" s="45">
        <f>100-E7</f>
        <v>3.7450000000000045</v>
      </c>
      <c r="G7" s="391">
        <v>2027</v>
      </c>
      <c r="H7" s="44">
        <f>INPUT!H41</f>
        <v>96.15</v>
      </c>
      <c r="I7" s="45">
        <f t="shared" si="0"/>
        <v>3.8499999999999943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3.7201785714285656</v>
      </c>
      <c r="Q7" s="40"/>
      <c r="R7" s="372">
        <f>'DAILY EXTRAPOLATION'!K2507</f>
        <v>3.769999999999996</v>
      </c>
      <c r="S7" s="40">
        <f ca="1">R7-P7</f>
        <v>4.9821428571430459E-2</v>
      </c>
      <c r="T7" s="41">
        <f t="shared" ca="1" si="6"/>
        <v>0.13750000000000284</v>
      </c>
      <c r="U7" s="40">
        <v>0.29499999999980275</v>
      </c>
      <c r="V7" s="40">
        <f t="shared" ca="1" si="2"/>
        <v>0.15749999999979991</v>
      </c>
      <c r="W7" s="18"/>
    </row>
    <row r="8" spans="1:24">
      <c r="A8" s="38">
        <v>46327</v>
      </c>
      <c r="B8" s="44">
        <f>INPUT!H5</f>
        <v>96.23</v>
      </c>
      <c r="C8" s="45">
        <f>100-B8</f>
        <v>3.769999999999996</v>
      </c>
      <c r="D8" s="145">
        <f>B8-E8</f>
        <v>2.0000000000010232E-2</v>
      </c>
      <c r="E8" s="44">
        <f>INPUT!H22</f>
        <v>96.21</v>
      </c>
      <c r="F8" s="45">
        <f>100-E8</f>
        <v>3.7900000000000063</v>
      </c>
      <c r="G8" s="391">
        <v>2027</v>
      </c>
      <c r="H8" s="44">
        <f>INPUT!H42</f>
        <v>96.11</v>
      </c>
      <c r="I8" s="45">
        <f t="shared" ref="I8" si="7">100-H8</f>
        <v>3.8900000000000006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3.769999999999996</v>
      </c>
      <c r="R8" s="40"/>
      <c r="S8" s="40"/>
      <c r="T8" s="41">
        <f t="shared" ca="1" si="6"/>
        <v>0.13750000000000284</v>
      </c>
      <c r="U8" s="40">
        <v>0.29499999999980275</v>
      </c>
      <c r="V8" s="40">
        <f t="shared" ca="1" si="2"/>
        <v>0.15749999999979991</v>
      </c>
    </row>
    <row r="9" spans="1:24" ht="15.75" thickBot="1">
      <c r="A9" s="43">
        <v>46357</v>
      </c>
      <c r="B9" s="50">
        <f>INPUT!H6</f>
        <v>96.16</v>
      </c>
      <c r="C9" s="51">
        <f t="shared" si="3"/>
        <v>3.8400000000000034</v>
      </c>
      <c r="D9" s="399">
        <f t="shared" si="4"/>
        <v>3.0000000000001137E-2</v>
      </c>
      <c r="E9" s="50">
        <f>INPUT!H23</f>
        <v>96.13</v>
      </c>
      <c r="F9" s="51">
        <f t="shared" si="5"/>
        <v>3.8700000000000045</v>
      </c>
      <c r="G9" s="392">
        <v>2027</v>
      </c>
      <c r="H9" s="50">
        <f>INPUT!H43</f>
        <v>96.07</v>
      </c>
      <c r="I9" s="51">
        <f t="shared" si="0"/>
        <v>3.9300000000000068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3.769999999999996</v>
      </c>
      <c r="Q9" s="410"/>
      <c r="R9" s="410">
        <f ca="1">'DAILY EXTRAPOLATION'!K2586</f>
        <v>3.8686363636363699</v>
      </c>
      <c r="S9" s="47">
        <f ca="1">R9-P9</f>
        <v>9.8636363636373847E-2</v>
      </c>
      <c r="T9" s="48">
        <f t="shared" ca="1" si="6"/>
        <v>0.23613636363637669</v>
      </c>
      <c r="U9" s="40">
        <v>0.38659090909070848</v>
      </c>
      <c r="V9" s="40">
        <f t="shared" ca="1" si="2"/>
        <v>0.15045454545433179</v>
      </c>
    </row>
    <row r="10" spans="1:24">
      <c r="R10" s="177" t="s">
        <v>246</v>
      </c>
      <c r="S10" s="420">
        <v>0.25</v>
      </c>
      <c r="T10" s="423">
        <f ca="1">T9/S10</f>
        <v>0.94454545454550676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30" activePane="bottomLeft" state="frozen"/>
      <selection pane="bottomLeft" activeCell="A2451" sqref="A2451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3.6324999999999932</v>
      </c>
      <c r="L2446" s="194">
        <f>L2448</f>
        <v>3.6400000000000006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46253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3.6324999999999932</v>
      </c>
      <c r="L2448" s="180">
        <f>OUTPUT!F5</f>
        <v>3.6400000000000006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46253</v>
      </c>
      <c r="R2448" s="466">
        <v>3.62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112.60749999999979</v>
      </c>
      <c r="L2450" s="178">
        <f>L2448*L2438</f>
        <v>112.84000000000002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112.60749999999979</v>
      </c>
      <c r="L2452" s="192">
        <f>L2450</f>
        <v>112.84000000000002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68.970000000000013</v>
      </c>
      <c r="L2453" s="192">
        <f ca="1">SUM(INDIRECT(L2442))</f>
        <v>69.08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43.637499999999775</v>
      </c>
      <c r="L2455" s="201">
        <f ca="1">L2450-L2453-L2454</f>
        <v>43.760000000000019</v>
      </c>
      <c r="M2455" s="113">
        <f t="shared" si="225"/>
        <v>1</v>
      </c>
      <c r="N2455" s="64">
        <f t="shared" si="226"/>
        <v>1.0001005555555555</v>
      </c>
    </row>
    <row r="2456" spans="1:14">
      <c r="A2456" s="84">
        <f t="shared" ref="A2455:A2467" ca="1" si="227">K$2464</f>
        <v>3.6364583333333145</v>
      </c>
      <c r="B2456" s="228">
        <f t="shared" ref="B2455:B2467" ca="1" si="228">L$2464</f>
        <v>3.6466666666666683</v>
      </c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I2456" s="457">
        <f t="shared" si="223"/>
        <v>0</v>
      </c>
      <c r="M2456" s="113">
        <f t="shared" si="225"/>
        <v>1</v>
      </c>
      <c r="N2456" s="64">
        <f t="shared" ca="1" si="226"/>
        <v>1.0001012962962963</v>
      </c>
    </row>
    <row r="2457" spans="1:14">
      <c r="A2457" s="84">
        <f t="shared" ca="1" si="227"/>
        <v>3.6364583333333145</v>
      </c>
      <c r="B2457" s="228">
        <f t="shared" ca="1" si="228"/>
        <v>3.6466666666666683</v>
      </c>
      <c r="C2457" s="103">
        <f t="shared" si="224"/>
        <v>46255</v>
      </c>
      <c r="E2457" s="170"/>
      <c r="F2457" s="58" t="str">
        <f>VLOOKUP(MOD(C2457,7),'CALENDAR INFO'!$I$2:$J$8,2)</f>
        <v>FRI</v>
      </c>
      <c r="I2457" s="457">
        <f t="shared" si="223"/>
        <v>0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ca="1" si="226"/>
        <v>1.0003038888888889</v>
      </c>
    </row>
    <row r="2458" spans="1:14">
      <c r="A2458" s="84">
        <f t="shared" ca="1" si="227"/>
        <v>3.6364583333333145</v>
      </c>
      <c r="B2458" s="228">
        <f t="shared" ca="1" si="228"/>
        <v>3.6466666666666683</v>
      </c>
      <c r="C2458" s="103">
        <f t="shared" si="224"/>
        <v>46256</v>
      </c>
      <c r="E2458" s="170"/>
      <c r="F2458" s="58" t="str">
        <f>VLOOKUP(MOD(C2458,7),'CALENDAR INFO'!$I$2:$J$8,2)</f>
        <v>SAT</v>
      </c>
      <c r="I2458" s="457">
        <f t="shared" si="223"/>
        <v>0</v>
      </c>
      <c r="J2458" s="15" t="s">
        <v>194</v>
      </c>
      <c r="K2458" s="15">
        <f ca="1">COUNTA(INDIRECT(K2442))</f>
        <v>19</v>
      </c>
      <c r="L2458" s="179">
        <f ca="1">COUNTA(INDIRECT(L2442))</f>
        <v>19</v>
      </c>
      <c r="M2458" s="113">
        <f t="shared" si="225"/>
        <v>0</v>
      </c>
      <c r="N2458" s="64">
        <f t="shared" ca="1" si="226"/>
        <v>1</v>
      </c>
    </row>
    <row r="2459" spans="1:14">
      <c r="A2459" s="84">
        <f t="shared" ca="1" si="227"/>
        <v>3.6364583333333145</v>
      </c>
      <c r="B2459" s="228">
        <f t="shared" ca="1" si="228"/>
        <v>3.6466666666666683</v>
      </c>
      <c r="C2459" s="103">
        <f t="shared" si="224"/>
        <v>46257</v>
      </c>
      <c r="E2459" s="170"/>
      <c r="F2459" s="58" t="str">
        <f>VLOOKUP(MOD(C2459,7),'CALENDAR INFO'!$I$2:$J$8,2)</f>
        <v>SUN</v>
      </c>
      <c r="I2459" s="457">
        <f t="shared" si="223"/>
        <v>0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ca="1" si="226"/>
        <v>1</v>
      </c>
    </row>
    <row r="2460" spans="1:14">
      <c r="A2460" s="84">
        <f t="shared" ca="1" si="227"/>
        <v>3.6364583333333145</v>
      </c>
      <c r="B2460" s="228">
        <f t="shared" ca="1" si="228"/>
        <v>3.6466666666666683</v>
      </c>
      <c r="C2460" s="103">
        <f t="shared" si="224"/>
        <v>46258</v>
      </c>
      <c r="E2460" s="170"/>
      <c r="F2460" s="58" t="str">
        <f>VLOOKUP(MOD(C2460,7),'CALENDAR INFO'!$I$2:$J$8,2)</f>
        <v>MON</v>
      </c>
      <c r="I2460" s="457">
        <f t="shared" si="223"/>
        <v>0</v>
      </c>
      <c r="J2460" s="15" t="s">
        <v>239</v>
      </c>
      <c r="K2460" s="152">
        <f ca="1">K2457-K2458-K2459</f>
        <v>12</v>
      </c>
      <c r="L2460" s="202">
        <f ca="1">L2457-L2458-L2459</f>
        <v>12</v>
      </c>
      <c r="M2460" s="113">
        <f t="shared" si="225"/>
        <v>1</v>
      </c>
      <c r="N2460" s="64">
        <f t="shared" ca="1" si="226"/>
        <v>1.0001012962962963</v>
      </c>
    </row>
    <row r="2461" spans="1:14">
      <c r="A2461" s="84">
        <f t="shared" ca="1" si="227"/>
        <v>3.6364583333333145</v>
      </c>
      <c r="B2461" s="228">
        <f t="shared" ca="1" si="228"/>
        <v>3.6466666666666683</v>
      </c>
      <c r="C2461" s="103">
        <f t="shared" si="224"/>
        <v>46259</v>
      </c>
      <c r="E2461" s="170"/>
      <c r="F2461" s="58" t="str">
        <f>VLOOKUP(MOD(C2461,7),'CALENDAR INFO'!$I$2:$J$8,2)</f>
        <v>TUE</v>
      </c>
      <c r="I2461" s="457">
        <f t="shared" si="223"/>
        <v>0</v>
      </c>
      <c r="K2461" s="178"/>
      <c r="L2461" s="192"/>
      <c r="M2461" s="113">
        <f t="shared" si="225"/>
        <v>1</v>
      </c>
      <c r="N2461" s="64">
        <f t="shared" ca="1" si="226"/>
        <v>1.0001012962962963</v>
      </c>
    </row>
    <row r="2462" spans="1:14">
      <c r="A2462" s="84">
        <f t="shared" ca="1" si="227"/>
        <v>3.6364583333333145</v>
      </c>
      <c r="B2462" s="228">
        <f t="shared" ca="1" si="228"/>
        <v>3.6466666666666683</v>
      </c>
      <c r="C2462" s="103">
        <f t="shared" si="224"/>
        <v>46260</v>
      </c>
      <c r="E2462" s="170"/>
      <c r="F2462" s="58" t="str">
        <f>VLOOKUP(MOD(C2462,7),'CALENDAR INFO'!$I$2:$J$8,2)</f>
        <v>WED</v>
      </c>
      <c r="I2462" s="457">
        <f t="shared" si="223"/>
        <v>0</v>
      </c>
      <c r="J2462" s="15" t="s">
        <v>238</v>
      </c>
      <c r="K2462" s="178">
        <f ca="1">K2455</f>
        <v>43.637499999999775</v>
      </c>
      <c r="L2462" s="192">
        <f ca="1">L2455</f>
        <v>43.760000000000019</v>
      </c>
      <c r="M2462" s="113">
        <f t="shared" si="225"/>
        <v>1</v>
      </c>
      <c r="N2462" s="64">
        <f t="shared" ca="1" si="226"/>
        <v>1.0001012962962963</v>
      </c>
    </row>
    <row r="2463" spans="1:14">
      <c r="A2463" s="84">
        <f t="shared" ca="1" si="227"/>
        <v>3.6364583333333145</v>
      </c>
      <c r="B2463" s="228">
        <f t="shared" ca="1" si="228"/>
        <v>3.6466666666666683</v>
      </c>
      <c r="C2463" s="103">
        <f t="shared" si="224"/>
        <v>46261</v>
      </c>
      <c r="E2463" s="170"/>
      <c r="F2463" s="58" t="str">
        <f>VLOOKUP(MOD(C2463,7),'CALENDAR INFO'!$I$2:$J$8,2)</f>
        <v>THU</v>
      </c>
      <c r="I2463" s="457">
        <f t="shared" si="223"/>
        <v>0</v>
      </c>
      <c r="J2463" s="15" t="s">
        <v>239</v>
      </c>
      <c r="K2463" s="221">
        <f ca="1">K2460</f>
        <v>12</v>
      </c>
      <c r="L2463" s="223">
        <f ca="1">L2460</f>
        <v>12</v>
      </c>
      <c r="M2463" s="113">
        <f t="shared" si="225"/>
        <v>1</v>
      </c>
      <c r="N2463" s="64">
        <f t="shared" ca="1" si="226"/>
        <v>1.0001012962962963</v>
      </c>
    </row>
    <row r="2464" spans="1:14">
      <c r="A2464" s="84">
        <f t="shared" ca="1" si="227"/>
        <v>3.6364583333333145</v>
      </c>
      <c r="B2464" s="228">
        <f t="shared" ca="1" si="228"/>
        <v>3.6466666666666683</v>
      </c>
      <c r="C2464" s="103">
        <f t="shared" si="224"/>
        <v>46262</v>
      </c>
      <c r="E2464" s="170"/>
      <c r="F2464" s="58" t="str">
        <f>VLOOKUP(MOD(C2464,7),'CALENDAR INFO'!$I$2:$J$8,2)</f>
        <v>FRI</v>
      </c>
      <c r="I2464" s="457">
        <f t="shared" si="223"/>
        <v>0</v>
      </c>
      <c r="J2464" s="15" t="s">
        <v>240</v>
      </c>
      <c r="K2464" s="178">
        <f ca="1">K2462/K2463</f>
        <v>3.6364583333333145</v>
      </c>
      <c r="L2464" s="192">
        <f ca="1">L2462/L2463</f>
        <v>3.6466666666666683</v>
      </c>
      <c r="M2464" s="113">
        <f t="shared" si="225"/>
        <v>3</v>
      </c>
      <c r="N2464" s="64">
        <f t="shared" ca="1" si="226"/>
        <v>1.0003038888888889</v>
      </c>
    </row>
    <row r="2465" spans="1:14">
      <c r="A2465" s="84">
        <f t="shared" ca="1" si="227"/>
        <v>3.6364583333333145</v>
      </c>
      <c r="B2465" s="228">
        <f t="shared" ca="1" si="228"/>
        <v>3.6466666666666683</v>
      </c>
      <c r="C2465" s="103">
        <f t="shared" si="224"/>
        <v>46263</v>
      </c>
      <c r="E2465" s="170"/>
      <c r="F2465" s="58" t="str">
        <f>VLOOKUP(MOD(C2465,7),'CALENDAR INFO'!$I$2:$J$8,2)</f>
        <v>SAT</v>
      </c>
      <c r="I2465" s="457">
        <f t="shared" si="223"/>
        <v>0</v>
      </c>
      <c r="M2465" s="113">
        <f t="shared" si="225"/>
        <v>0</v>
      </c>
      <c r="N2465" s="64">
        <f t="shared" ca="1" si="226"/>
        <v>1</v>
      </c>
    </row>
    <row r="2466" spans="1:14">
      <c r="A2466" s="84">
        <f t="shared" ca="1" si="227"/>
        <v>3.6364583333333145</v>
      </c>
      <c r="B2466" s="228">
        <f t="shared" ca="1" si="228"/>
        <v>3.6466666666666683</v>
      </c>
      <c r="C2466" s="103">
        <f t="shared" si="224"/>
        <v>46264</v>
      </c>
      <c r="E2466" s="170"/>
      <c r="F2466" s="58" t="str">
        <f>VLOOKUP(MOD(C2466,7),'CALENDAR INFO'!$I$2:$J$8,2)</f>
        <v>SUN</v>
      </c>
      <c r="I2466" s="457">
        <f t="shared" si="223"/>
        <v>0</v>
      </c>
      <c r="M2466" s="113">
        <f t="shared" si="225"/>
        <v>0</v>
      </c>
      <c r="N2466" s="64">
        <f t="shared" ca="1" si="226"/>
        <v>1</v>
      </c>
    </row>
    <row r="2467" spans="1:14" ht="15.75" thickBot="1">
      <c r="A2467" s="407">
        <f t="shared" ca="1" si="227"/>
        <v>3.6364583333333145</v>
      </c>
      <c r="B2467" s="408">
        <f t="shared" ca="1" si="228"/>
        <v>3.6466666666666683</v>
      </c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/>
      <c r="H2467" s="426"/>
      <c r="I2467" s="458">
        <f t="shared" si="223"/>
        <v>0</v>
      </c>
      <c r="J2467" s="348"/>
      <c r="K2467" s="348"/>
      <c r="L2467" s="349"/>
      <c r="M2467" s="114">
        <f t="shared" si="225"/>
        <v>1</v>
      </c>
      <c r="N2467" s="292">
        <f t="shared" ca="1" si="226"/>
        <v>1.0001012962962963</v>
      </c>
    </row>
    <row r="2468" spans="1:14">
      <c r="A2468" s="39">
        <f ca="1">K$2495</f>
        <v>3.6354687500000011</v>
      </c>
      <c r="B2468" s="41">
        <f t="shared" ref="B2468:B2483" ca="1" si="229">L$2495</f>
        <v>3.6273437500000103</v>
      </c>
      <c r="C2468" s="103">
        <f t="shared" si="224"/>
        <v>46266</v>
      </c>
      <c r="E2468" s="170"/>
      <c r="F2468" s="58" t="str">
        <f>VLOOKUP(MOD(C2468,7),'CALENDAR INFO'!$I$2:$J$8,2)</f>
        <v>TUE</v>
      </c>
      <c r="I2468" s="457">
        <f t="shared" si="223"/>
        <v>0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ca="1" si="226"/>
        <v>1.0001007595486111</v>
      </c>
    </row>
    <row r="2469" spans="1:14">
      <c r="A2469" s="39">
        <f t="shared" ref="A2469:A2483" ca="1" si="230">K$2495</f>
        <v>3.6354687500000011</v>
      </c>
      <c r="B2469" s="41">
        <f t="shared" ca="1" si="229"/>
        <v>3.6273437500000103</v>
      </c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I2469" s="457">
        <f t="shared" si="223"/>
        <v>0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ca="1" si="226"/>
        <v>1.0001007595486111</v>
      </c>
    </row>
    <row r="2470" spans="1:14">
      <c r="A2470" s="39">
        <f t="shared" ca="1" si="230"/>
        <v>3.6354687500000011</v>
      </c>
      <c r="B2470" s="41">
        <f t="shared" ca="1" si="229"/>
        <v>3.6273437500000103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1.0001007595486111</v>
      </c>
    </row>
    <row r="2471" spans="1:14">
      <c r="A2471" s="39">
        <f t="shared" ca="1" si="230"/>
        <v>3.6354687500000011</v>
      </c>
      <c r="B2471" s="41">
        <f t="shared" ca="1" si="229"/>
        <v>3.6273437500000103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1.0004030381944444</v>
      </c>
    </row>
    <row r="2472" spans="1:14">
      <c r="A2472" s="39">
        <f t="shared" ca="1" si="230"/>
        <v>3.6354687500000011</v>
      </c>
      <c r="B2472" s="41">
        <f t="shared" ca="1" si="229"/>
        <v>3.6273437500000103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30"/>
        <v>3.6354687500000011</v>
      </c>
      <c r="B2473" s="41">
        <f t="shared" ca="1" si="229"/>
        <v>3.6273437500000103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30"/>
        <v>3.6354687500000011</v>
      </c>
      <c r="B2474" s="41">
        <f t="shared" ca="1" si="229"/>
        <v>3.6273437500000103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30"/>
        <v>3.6354687500000011</v>
      </c>
      <c r="B2475" s="41">
        <f t="shared" ca="1" si="229"/>
        <v>3.6273437500000103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31">IF(MOD(C2475,7)&lt;2,0,IF(MOD(C2475,7)=6,3,1))</f>
        <v>1</v>
      </c>
      <c r="N2475" s="64">
        <f t="shared" ca="1" si="226"/>
        <v>1.0001007595486111</v>
      </c>
    </row>
    <row r="2476" spans="1:14">
      <c r="A2476" s="39">
        <f t="shared" ca="1" si="230"/>
        <v>3.6354687500000011</v>
      </c>
      <c r="B2476" s="41">
        <f t="shared" ca="1" si="229"/>
        <v>3.6273437500000103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31"/>
        <v>1</v>
      </c>
      <c r="N2476" s="64">
        <f t="shared" ca="1" si="226"/>
        <v>1.0001007595486111</v>
      </c>
    </row>
    <row r="2477" spans="1:14">
      <c r="A2477" s="39">
        <f t="shared" ca="1" si="230"/>
        <v>3.6354687500000011</v>
      </c>
      <c r="B2477" s="41">
        <f t="shared" ca="1" si="229"/>
        <v>3.6273437500000103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3.7201785714285656</v>
      </c>
      <c r="L2477" s="194">
        <f ca="1">B2499+H2499</f>
        <v>3.7401785714285758</v>
      </c>
      <c r="M2477" s="113">
        <f t="shared" si="231"/>
        <v>1</v>
      </c>
      <c r="N2477" s="64">
        <f t="shared" ca="1" si="226"/>
        <v>1.0001007595486111</v>
      </c>
    </row>
    <row r="2478" spans="1:14">
      <c r="A2478" s="39">
        <f t="shared" ca="1" si="230"/>
        <v>3.6354687500000011</v>
      </c>
      <c r="B2478" s="41">
        <f t="shared" ca="1" si="229"/>
        <v>3.6273437500000103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31"/>
        <v>3</v>
      </c>
      <c r="N2478" s="64">
        <f t="shared" ca="1" si="226"/>
        <v>1.0003022786458333</v>
      </c>
    </row>
    <row r="2479" spans="1:14">
      <c r="A2479" s="39">
        <f t="shared" ca="1" si="230"/>
        <v>3.6354687500000011</v>
      </c>
      <c r="B2479" s="41">
        <f t="shared" ca="1" si="229"/>
        <v>3.6273437500000103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3.6749999999999972</v>
      </c>
      <c r="L2479" s="193">
        <f>OUTPUT!F6</f>
        <v>3.6800000000000068</v>
      </c>
      <c r="M2479" s="113">
        <f t="shared" si="231"/>
        <v>0</v>
      </c>
      <c r="N2479" s="64">
        <f t="shared" ca="1" si="226"/>
        <v>1</v>
      </c>
    </row>
    <row r="2480" spans="1:14">
      <c r="A2480" s="39">
        <f t="shared" ca="1" si="230"/>
        <v>3.6354687500000011</v>
      </c>
      <c r="B2480" s="41">
        <f t="shared" ca="1" si="229"/>
        <v>3.6273437500000103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31"/>
        <v>0</v>
      </c>
      <c r="N2480" s="64">
        <f t="shared" ca="1" si="226"/>
        <v>1</v>
      </c>
    </row>
    <row r="2481" spans="1:14">
      <c r="A2481" s="39">
        <f t="shared" ca="1" si="230"/>
        <v>3.6354687500000011</v>
      </c>
      <c r="B2481" s="41">
        <f t="shared" ca="1" si="229"/>
        <v>3.6273437500000103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110.24999999999991</v>
      </c>
      <c r="L2481" s="192">
        <f>L2479*L2469</f>
        <v>110.4000000000002</v>
      </c>
      <c r="M2481" s="113">
        <f t="shared" si="231"/>
        <v>1</v>
      </c>
      <c r="N2481" s="64">
        <f t="shared" ca="1" si="226"/>
        <v>1.0001007595486111</v>
      </c>
    </row>
    <row r="2482" spans="1:14">
      <c r="A2482" s="39">
        <f t="shared" ca="1" si="230"/>
        <v>3.6354687500000011</v>
      </c>
      <c r="B2482" s="41">
        <f t="shared" ca="1" si="229"/>
        <v>3.6273437500000103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31"/>
        <v>1</v>
      </c>
      <c r="N2482" s="64">
        <f t="shared" ca="1" si="226"/>
        <v>1.0001007595486111</v>
      </c>
    </row>
    <row r="2483" spans="1:14">
      <c r="A2483" s="39">
        <f t="shared" ca="1" si="230"/>
        <v>3.6354687500000011</v>
      </c>
      <c r="B2483" s="41">
        <f t="shared" ca="1" si="229"/>
        <v>3.6273437500000103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110.24999999999991</v>
      </c>
      <c r="L2483" s="192">
        <f>L2481</f>
        <v>110.4000000000002</v>
      </c>
      <c r="M2483" s="113">
        <f t="shared" si="231"/>
        <v>1</v>
      </c>
      <c r="N2483" s="64">
        <f t="shared" ca="1" si="226"/>
        <v>1.0001007595486111</v>
      </c>
    </row>
    <row r="2484" spans="1:14">
      <c r="A2484" s="304">
        <f ca="1">K$2477</f>
        <v>3.7201785714285656</v>
      </c>
      <c r="B2484" s="305">
        <f t="shared" ref="B2484:B2497" ca="1" si="232">L$2477</f>
        <v>3.7401785714285758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0</v>
      </c>
      <c r="L2484" s="192">
        <f ca="1">SUM(INDIRECT(L2473))</f>
        <v>0</v>
      </c>
      <c r="M2484" s="113">
        <f t="shared" si="231"/>
        <v>1</v>
      </c>
      <c r="N2484" s="64">
        <f t="shared" ca="1" si="226"/>
        <v>1.0001038938492064</v>
      </c>
    </row>
    <row r="2485" spans="1:14">
      <c r="A2485" s="304">
        <f t="shared" ref="A2485:A2497" ca="1" si="233">K$2477</f>
        <v>3.7201785714285656</v>
      </c>
      <c r="B2485" s="305">
        <f t="shared" ca="1" si="232"/>
        <v>3.7401785714285758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52.082499999999897</v>
      </c>
      <c r="L2485" s="401">
        <f ca="1">SUM(INDIRECT(L2475))</f>
        <v>52.36250000000004</v>
      </c>
      <c r="M2485" s="113">
        <f t="shared" si="231"/>
        <v>3</v>
      </c>
      <c r="N2485" s="64">
        <f t="shared" ca="1" si="226"/>
        <v>1.000311681547619</v>
      </c>
    </row>
    <row r="2486" spans="1:14">
      <c r="A2486" s="304">
        <f t="shared" ca="1" si="233"/>
        <v>3.7201785714285656</v>
      </c>
      <c r="B2486" s="305">
        <f t="shared" ca="1" si="232"/>
        <v>3.7401785714285758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58.167500000000018</v>
      </c>
      <c r="L2486" s="201">
        <f ca="1">L2481-L2484-L2485</f>
        <v>58.037500000000165</v>
      </c>
      <c r="M2486" s="113">
        <f t="shared" si="231"/>
        <v>0</v>
      </c>
      <c r="N2486" s="64">
        <f t="shared" ca="1" si="226"/>
        <v>1</v>
      </c>
    </row>
    <row r="2487" spans="1:14">
      <c r="A2487" s="304">
        <f t="shared" ca="1" si="233"/>
        <v>3.7201785714285656</v>
      </c>
      <c r="B2487" s="305">
        <f t="shared" ca="1" si="232"/>
        <v>3.7401785714285758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31"/>
        <v>0</v>
      </c>
      <c r="N2487" s="64">
        <f t="shared" ca="1" si="226"/>
        <v>1</v>
      </c>
    </row>
    <row r="2488" spans="1:14">
      <c r="A2488" s="304">
        <f t="shared" ca="1" si="233"/>
        <v>3.7201785714285656</v>
      </c>
      <c r="B2488" s="305">
        <f t="shared" ca="1" si="232"/>
        <v>3.7401785714285758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31"/>
        <v>1</v>
      </c>
      <c r="N2488" s="64">
        <f t="shared" ca="1" si="226"/>
        <v>1.0001038938492064</v>
      </c>
    </row>
    <row r="2489" spans="1:14">
      <c r="A2489" s="304">
        <f t="shared" ca="1" si="233"/>
        <v>3.7201785714285656</v>
      </c>
      <c r="B2489" s="305">
        <f t="shared" ca="1" si="232"/>
        <v>3.7401785714285758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0</v>
      </c>
      <c r="L2489" s="179">
        <f ca="1">COUNTA(INDIRECT(L2473))</f>
        <v>0</v>
      </c>
      <c r="M2489" s="113">
        <f t="shared" si="231"/>
        <v>1</v>
      </c>
      <c r="N2489" s="64">
        <f t="shared" ca="1" si="226"/>
        <v>1.0001038938492064</v>
      </c>
    </row>
    <row r="2490" spans="1:14">
      <c r="A2490" s="304">
        <f t="shared" ca="1" si="233"/>
        <v>3.7201785714285656</v>
      </c>
      <c r="B2490" s="305">
        <f t="shared" ca="1" si="232"/>
        <v>3.7401785714285758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31"/>
        <v>1</v>
      </c>
      <c r="N2490" s="64">
        <f t="shared" ca="1" si="226"/>
        <v>1.0001038938492064</v>
      </c>
    </row>
    <row r="2491" spans="1:14">
      <c r="A2491" s="304">
        <f t="shared" ca="1" si="233"/>
        <v>3.7201785714285656</v>
      </c>
      <c r="B2491" s="305">
        <f t="shared" ca="1" si="232"/>
        <v>3.7401785714285758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16</v>
      </c>
      <c r="L2491" s="202">
        <f ca="1">L2488-L2489-L2490</f>
        <v>16</v>
      </c>
      <c r="M2491" s="113">
        <f t="shared" si="231"/>
        <v>1</v>
      </c>
      <c r="N2491" s="64">
        <f t="shared" ca="1" si="226"/>
        <v>1.0001038938492064</v>
      </c>
    </row>
    <row r="2492" spans="1:14">
      <c r="A2492" s="304">
        <f t="shared" ca="1" si="233"/>
        <v>3.7201785714285656</v>
      </c>
      <c r="B2492" s="305">
        <f t="shared" ca="1" si="232"/>
        <v>3.7401785714285758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31"/>
        <v>3</v>
      </c>
      <c r="N2492" s="64">
        <f t="shared" ca="1" si="226"/>
        <v>1.000311681547619</v>
      </c>
    </row>
    <row r="2493" spans="1:14">
      <c r="A2493" s="304">
        <f t="shared" ca="1" si="233"/>
        <v>3.7201785714285656</v>
      </c>
      <c r="B2493" s="305">
        <f t="shared" ca="1" si="232"/>
        <v>3.7401785714285758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58.167500000000018</v>
      </c>
      <c r="L2493" s="192">
        <f ca="1">L2486</f>
        <v>58.037500000000165</v>
      </c>
      <c r="M2493" s="113">
        <f t="shared" si="231"/>
        <v>0</v>
      </c>
      <c r="N2493" s="64">
        <f t="shared" ca="1" si="226"/>
        <v>1</v>
      </c>
    </row>
    <row r="2494" spans="1:14">
      <c r="A2494" s="304">
        <f t="shared" ca="1" si="233"/>
        <v>3.7201785714285656</v>
      </c>
      <c r="B2494" s="305">
        <f t="shared" ca="1" si="232"/>
        <v>3.7401785714285758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16</v>
      </c>
      <c r="L2494" s="223">
        <f ca="1">L2491</f>
        <v>16</v>
      </c>
      <c r="M2494" s="113">
        <f t="shared" si="231"/>
        <v>0</v>
      </c>
      <c r="N2494" s="64">
        <f t="shared" ca="1" si="226"/>
        <v>1</v>
      </c>
    </row>
    <row r="2495" spans="1:14">
      <c r="A2495" s="304">
        <f t="shared" ca="1" si="233"/>
        <v>3.7201785714285656</v>
      </c>
      <c r="B2495" s="305">
        <f t="shared" ca="1" si="232"/>
        <v>3.7401785714285758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3.6354687500000011</v>
      </c>
      <c r="L2495" s="192">
        <f ca="1">L2493/L2494</f>
        <v>3.6273437500000103</v>
      </c>
      <c r="M2495" s="113">
        <f t="shared" si="231"/>
        <v>1</v>
      </c>
      <c r="N2495" s="64">
        <f t="shared" ca="1" si="226"/>
        <v>1.0001038938492064</v>
      </c>
    </row>
    <row r="2496" spans="1:14">
      <c r="A2496" s="304">
        <f t="shared" ca="1" si="233"/>
        <v>3.7201785714285656</v>
      </c>
      <c r="B2496" s="305">
        <f t="shared" ca="1" si="232"/>
        <v>3.7401785714285758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31"/>
        <v>1</v>
      </c>
      <c r="N2496" s="64">
        <f t="shared" ca="1" si="226"/>
        <v>1.0001038938492064</v>
      </c>
    </row>
    <row r="2497" spans="1:14" ht="15.75" thickBot="1">
      <c r="A2497" s="405">
        <f t="shared" ca="1" si="233"/>
        <v>3.7201785714285656</v>
      </c>
      <c r="B2497" s="406">
        <f t="shared" ca="1" si="232"/>
        <v>3.7401785714285758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31"/>
        <v>1</v>
      </c>
      <c r="N2497" s="292">
        <f t="shared" ca="1" si="226"/>
        <v>1.0001038938492064</v>
      </c>
    </row>
    <row r="2498" spans="1:14">
      <c r="A2498" s="39">
        <f t="shared" ref="A2498:A2524" ca="1" si="234">K$2525</f>
        <v>3.7201785714285656</v>
      </c>
      <c r="B2498" s="41">
        <f t="shared" ref="B2498:B2525" ca="1" si="235">L$2525</f>
        <v>3.7401785714285758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31"/>
        <v>1</v>
      </c>
      <c r="N2498" s="64">
        <f t="shared" ca="1" si="226"/>
        <v>1.0001038938492064</v>
      </c>
    </row>
    <row r="2499" spans="1:14">
      <c r="A2499" s="39">
        <f t="shared" ca="1" si="234"/>
        <v>3.7201785714285656</v>
      </c>
      <c r="B2499" s="41">
        <f t="shared" ca="1" si="235"/>
        <v>3.7401785714285758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6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31"/>
        <v>3</v>
      </c>
      <c r="N2499" s="64">
        <f t="shared" ca="1" si="226"/>
        <v>1.000311681547619</v>
      </c>
    </row>
    <row r="2500" spans="1:14">
      <c r="A2500" s="39">
        <f t="shared" ca="1" si="234"/>
        <v>3.7201785714285656</v>
      </c>
      <c r="B2500" s="41">
        <f t="shared" ca="1" si="235"/>
        <v>3.7401785714285758</v>
      </c>
      <c r="C2500" s="103">
        <f t="shared" ref="C2500:C2563" si="237">C2499+1</f>
        <v>46298</v>
      </c>
      <c r="E2500" s="167"/>
      <c r="F2500" s="58" t="str">
        <f>VLOOKUP(MOD(C2500,7),'CALENDAR INFO'!$I$2:$J$8,2)</f>
        <v>SAT</v>
      </c>
      <c r="I2500" s="457">
        <f t="shared" si="236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31"/>
        <v>0</v>
      </c>
      <c r="N2500" s="64">
        <f t="shared" ca="1" si="226"/>
        <v>1</v>
      </c>
    </row>
    <row r="2501" spans="1:14">
      <c r="A2501" s="39">
        <f t="shared" ca="1" si="234"/>
        <v>3.7201785714285656</v>
      </c>
      <c r="B2501" s="41">
        <f t="shared" ca="1" si="235"/>
        <v>3.7401785714285758</v>
      </c>
      <c r="C2501" s="103">
        <f t="shared" si="237"/>
        <v>46299</v>
      </c>
      <c r="E2501" s="167"/>
      <c r="F2501" s="58" t="str">
        <f>VLOOKUP(MOD(C2501,7),'CALENDAR INFO'!$I$2:$J$8,2)</f>
        <v>SUN</v>
      </c>
      <c r="I2501" s="457">
        <f t="shared" si="236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31"/>
        <v>0</v>
      </c>
      <c r="N2501" s="64">
        <f t="shared" ca="1" si="226"/>
        <v>1</v>
      </c>
    </row>
    <row r="2502" spans="1:14">
      <c r="A2502" s="39">
        <f t="shared" ca="1" si="234"/>
        <v>3.7201785714285656</v>
      </c>
      <c r="B2502" s="41">
        <f t="shared" ca="1" si="235"/>
        <v>3.7401785714285758</v>
      </c>
      <c r="C2502" s="103">
        <f t="shared" si="237"/>
        <v>46300</v>
      </c>
      <c r="E2502" s="167"/>
      <c r="F2502" s="58" t="str">
        <f>VLOOKUP(MOD(C2502,7),'CALENDAR INFO'!$I$2:$J$8,2)</f>
        <v>MON</v>
      </c>
      <c r="I2502" s="457">
        <f t="shared" si="236"/>
        <v>0</v>
      </c>
      <c r="K2502" s="311"/>
      <c r="L2502" s="15"/>
      <c r="M2502" s="113">
        <f t="shared" si="231"/>
        <v>1</v>
      </c>
      <c r="N2502" s="64">
        <f t="shared" ca="1" si="226"/>
        <v>1.0001038938492064</v>
      </c>
    </row>
    <row r="2503" spans="1:14">
      <c r="A2503" s="39">
        <f t="shared" ca="1" si="234"/>
        <v>3.7201785714285656</v>
      </c>
      <c r="B2503" s="41">
        <f t="shared" ca="1" si="235"/>
        <v>3.7401785714285758</v>
      </c>
      <c r="C2503" s="103">
        <f t="shared" si="237"/>
        <v>46301</v>
      </c>
      <c r="E2503" s="167"/>
      <c r="F2503" s="58" t="str">
        <f>VLOOKUP(MOD(C2503,7),'CALENDAR INFO'!$I$2:$J$8,2)</f>
        <v>TUE</v>
      </c>
      <c r="I2503" s="457">
        <f t="shared" si="236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31"/>
        <v>1</v>
      </c>
      <c r="N2503" s="64">
        <f t="shared" ca="1" si="226"/>
        <v>1.0001038938492064</v>
      </c>
    </row>
    <row r="2504" spans="1:14">
      <c r="A2504" s="39">
        <f t="shared" ca="1" si="234"/>
        <v>3.7201785714285656</v>
      </c>
      <c r="B2504" s="41">
        <f t="shared" ca="1" si="235"/>
        <v>3.7401785714285758</v>
      </c>
      <c r="C2504" s="103">
        <f t="shared" si="237"/>
        <v>46302</v>
      </c>
      <c r="E2504" s="167"/>
      <c r="F2504" s="58" t="str">
        <f>VLOOKUP(MOD(C2504,7),'CALENDAR INFO'!$I$2:$J$8,2)</f>
        <v>WED</v>
      </c>
      <c r="I2504" s="457">
        <f t="shared" si="236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31"/>
        <v>1</v>
      </c>
      <c r="N2504" s="64">
        <f t="shared" ca="1" si="226"/>
        <v>1.0001038938492064</v>
      </c>
    </row>
    <row r="2505" spans="1:14">
      <c r="A2505" s="39">
        <f t="shared" ca="1" si="234"/>
        <v>3.7201785714285656</v>
      </c>
      <c r="B2505" s="41">
        <f t="shared" ca="1" si="235"/>
        <v>3.7401785714285758</v>
      </c>
      <c r="C2505" s="103">
        <f t="shared" si="237"/>
        <v>46303</v>
      </c>
      <c r="E2505" s="167"/>
      <c r="F2505" s="58" t="str">
        <f>VLOOKUP(MOD(C2505,7),'CALENDAR INFO'!$I$2:$J$8,2)</f>
        <v>THU</v>
      </c>
      <c r="I2505" s="457">
        <f t="shared" si="236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31"/>
        <v>1</v>
      </c>
      <c r="N2505" s="64">
        <f t="shared" ca="1" si="226"/>
        <v>1.0001038938492064</v>
      </c>
    </row>
    <row r="2506" spans="1:14">
      <c r="A2506" s="39">
        <f t="shared" ca="1" si="234"/>
        <v>3.7201785714285656</v>
      </c>
      <c r="B2506" s="41">
        <f t="shared" ca="1" si="235"/>
        <v>3.7401785714285758</v>
      </c>
      <c r="C2506" s="103">
        <f t="shared" si="237"/>
        <v>46304</v>
      </c>
      <c r="E2506" s="167"/>
      <c r="F2506" s="58" t="str">
        <f>VLOOKUP(MOD(C2506,7),'CALENDAR INFO'!$I$2:$J$8,2)</f>
        <v>FRI</v>
      </c>
      <c r="I2506" s="457">
        <f t="shared" si="236"/>
        <v>0</v>
      </c>
      <c r="M2506" s="117">
        <v>4</v>
      </c>
      <c r="N2506" s="64">
        <f t="shared" ca="1" si="226"/>
        <v>1.0004155753968254</v>
      </c>
    </row>
    <row r="2507" spans="1:14">
      <c r="A2507" s="39">
        <f t="shared" ca="1" si="234"/>
        <v>3.7201785714285656</v>
      </c>
      <c r="B2507" s="41">
        <f t="shared" ca="1" si="235"/>
        <v>3.7401785714285758</v>
      </c>
      <c r="C2507" s="103">
        <f t="shared" si="237"/>
        <v>46305</v>
      </c>
      <c r="E2507" s="167"/>
      <c r="F2507" s="58" t="str">
        <f>VLOOKUP(MOD(C2507,7),'CALENDAR INFO'!$I$2:$J$8,2)</f>
        <v>SAT</v>
      </c>
      <c r="I2507" s="457">
        <f t="shared" si="236"/>
        <v>0</v>
      </c>
      <c r="J2507" s="15" t="s">
        <v>241</v>
      </c>
      <c r="K2507" s="186">
        <f>A2529+G2529</f>
        <v>3.769999999999996</v>
      </c>
      <c r="L2507" s="194">
        <f>B2529+H2529</f>
        <v>3.7900000000000063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4"/>
        <v>3.7201785714285656</v>
      </c>
      <c r="B2508" s="41">
        <f t="shared" ca="1" si="235"/>
        <v>3.7401785714285758</v>
      </c>
      <c r="C2508" s="103">
        <f t="shared" si="237"/>
        <v>46306</v>
      </c>
      <c r="E2508" s="167"/>
      <c r="F2508" s="58" t="str">
        <f>VLOOKUP(MOD(C2508,7),'CALENDAR INFO'!$I$2:$J$8,2)</f>
        <v>SUN</v>
      </c>
      <c r="I2508" s="457">
        <f t="shared" si="236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4"/>
        <v>3.7201785714285656</v>
      </c>
      <c r="B2509" s="41">
        <f t="shared" ca="1" si="235"/>
        <v>3.7401785714285758</v>
      </c>
      <c r="C2509" s="103">
        <f t="shared" si="237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6"/>
        <v>0</v>
      </c>
      <c r="J2509" s="15" t="s">
        <v>197</v>
      </c>
      <c r="K2509" s="180">
        <f>OUTPUT!C7</f>
        <v>3.7249999999999943</v>
      </c>
      <c r="L2509" s="180">
        <f>OUTPUT!F7</f>
        <v>3.7450000000000045</v>
      </c>
      <c r="M2509" s="117">
        <v>0</v>
      </c>
      <c r="N2509" s="64">
        <f t="shared" ca="1" si="226"/>
        <v>1</v>
      </c>
    </row>
    <row r="2510" spans="1:14">
      <c r="A2510" s="39">
        <f t="shared" ca="1" si="234"/>
        <v>3.7201785714285656</v>
      </c>
      <c r="B2510" s="41">
        <f t="shared" ca="1" si="235"/>
        <v>3.7401785714285758</v>
      </c>
      <c r="C2510" s="103">
        <f t="shared" si="237"/>
        <v>46308</v>
      </c>
      <c r="E2510" s="167"/>
      <c r="F2510" s="58" t="str">
        <f>VLOOKUP(MOD(C2510,7),'CALENDAR INFO'!$I$2:$J$8,2)</f>
        <v>TUE</v>
      </c>
      <c r="I2510" s="457">
        <f t="shared" si="236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8">IF(MOD(C2510,7)&lt;2,0,IF(MOD(C2510,7)=6,3,1))</f>
        <v>1</v>
      </c>
      <c r="N2510" s="64">
        <f t="shared" ca="1" si="226"/>
        <v>1.0001038938492064</v>
      </c>
    </row>
    <row r="2511" spans="1:14">
      <c r="A2511" s="39">
        <f t="shared" ca="1" si="234"/>
        <v>3.7201785714285656</v>
      </c>
      <c r="B2511" s="41">
        <f t="shared" ca="1" si="235"/>
        <v>3.7401785714285758</v>
      </c>
      <c r="C2511" s="103">
        <f t="shared" si="237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6"/>
        <v>0</v>
      </c>
      <c r="J2511" s="15" t="s">
        <v>234</v>
      </c>
      <c r="K2511" s="178">
        <f>K2509*K2499</f>
        <v>115.47499999999982</v>
      </c>
      <c r="L2511" s="178">
        <f>L2509*L2499</f>
        <v>116.09500000000014</v>
      </c>
      <c r="M2511" s="113">
        <f t="shared" si="238"/>
        <v>1</v>
      </c>
      <c r="N2511" s="64">
        <f t="shared" ca="1" si="226"/>
        <v>1.0001038938492064</v>
      </c>
    </row>
    <row r="2512" spans="1:14">
      <c r="A2512" s="39">
        <f t="shared" ca="1" si="234"/>
        <v>3.7201785714285656</v>
      </c>
      <c r="B2512" s="41">
        <f t="shared" ca="1" si="235"/>
        <v>3.7401785714285758</v>
      </c>
      <c r="C2512" s="103">
        <f t="shared" si="237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6"/>
        <v>0</v>
      </c>
      <c r="K2512" s="178"/>
      <c r="L2512" s="192"/>
      <c r="M2512" s="113">
        <f t="shared" si="238"/>
        <v>1</v>
      </c>
      <c r="N2512" s="64">
        <f t="shared" ca="1" si="226"/>
        <v>1.0001038938492064</v>
      </c>
    </row>
    <row r="2513" spans="1:14">
      <c r="A2513" s="39">
        <f t="shared" ca="1" si="234"/>
        <v>3.7201785714285656</v>
      </c>
      <c r="B2513" s="41">
        <f t="shared" ca="1" si="235"/>
        <v>3.7401785714285758</v>
      </c>
      <c r="C2513" s="103">
        <f t="shared" si="237"/>
        <v>46311</v>
      </c>
      <c r="E2513" s="170"/>
      <c r="F2513" s="58" t="str">
        <f>VLOOKUP(MOD(C2513,7),'CALENDAR INFO'!$I$2:$J$8,2)</f>
        <v>FRI</v>
      </c>
      <c r="I2513" s="457">
        <f t="shared" si="236"/>
        <v>0</v>
      </c>
      <c r="J2513" s="15" t="str">
        <f>J2511</f>
        <v>monthly target</v>
      </c>
      <c r="K2513" s="178">
        <f>K2511</f>
        <v>115.47499999999982</v>
      </c>
      <c r="L2513" s="192">
        <f>L2511</f>
        <v>116.09500000000014</v>
      </c>
      <c r="M2513" s="113">
        <f t="shared" si="238"/>
        <v>3</v>
      </c>
      <c r="N2513" s="64">
        <f t="shared" ca="1" si="226"/>
        <v>1.000311681547619</v>
      </c>
    </row>
    <row r="2514" spans="1:14">
      <c r="A2514" s="39">
        <f t="shared" ca="1" si="234"/>
        <v>3.7201785714285656</v>
      </c>
      <c r="B2514" s="41">
        <f t="shared" ca="1" si="235"/>
        <v>3.7401785714285758</v>
      </c>
      <c r="C2514" s="103">
        <f t="shared" si="237"/>
        <v>46312</v>
      </c>
      <c r="E2514" s="170"/>
      <c r="F2514" s="58" t="str">
        <f>VLOOKUP(MOD(C2514,7),'CALENDAR INFO'!$I$2:$J$8,2)</f>
        <v>SAT</v>
      </c>
      <c r="I2514" s="457">
        <f t="shared" si="236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8"/>
        <v>0</v>
      </c>
      <c r="N2514" s="64">
        <f t="shared" ca="1" si="226"/>
        <v>1</v>
      </c>
    </row>
    <row r="2515" spans="1:14">
      <c r="A2515" s="39">
        <f t="shared" ca="1" si="234"/>
        <v>3.7201785714285656</v>
      </c>
      <c r="B2515" s="41">
        <f t="shared" ca="1" si="235"/>
        <v>3.7401785714285758</v>
      </c>
      <c r="C2515" s="103">
        <f t="shared" si="237"/>
        <v>46313</v>
      </c>
      <c r="E2515" s="170"/>
      <c r="F2515" s="58" t="str">
        <f>VLOOKUP(MOD(C2515,7),'CALENDAR INFO'!$I$2:$J$8,2)</f>
        <v>SUN</v>
      </c>
      <c r="I2515" s="457">
        <f t="shared" si="236"/>
        <v>0</v>
      </c>
      <c r="J2515" s="15" t="s">
        <v>237</v>
      </c>
      <c r="K2515" s="400">
        <f ca="1">SUM(INDIRECT(K2505))</f>
        <v>11.309999999999988</v>
      </c>
      <c r="L2515" s="401">
        <f ca="1">SUM(INDIRECT(L2505))</f>
        <v>11.370000000000019</v>
      </c>
      <c r="M2515" s="113">
        <f t="shared" si="238"/>
        <v>0</v>
      </c>
      <c r="N2515" s="64">
        <f t="shared" ref="N2515:N2578" ca="1" si="239">1+(M2515/360)*(MAX(H2515,B2515)/100)</f>
        <v>1</v>
      </c>
    </row>
    <row r="2516" spans="1:14">
      <c r="A2516" s="39">
        <f t="shared" ca="1" si="234"/>
        <v>3.7201785714285656</v>
      </c>
      <c r="B2516" s="41">
        <f t="shared" ca="1" si="235"/>
        <v>3.7401785714285758</v>
      </c>
      <c r="C2516" s="103">
        <f t="shared" si="237"/>
        <v>46314</v>
      </c>
      <c r="E2516" s="170"/>
      <c r="F2516" s="58" t="str">
        <f>VLOOKUP(MOD(C2516,7),'CALENDAR INFO'!$I$2:$J$8,2)</f>
        <v>MON</v>
      </c>
      <c r="I2516" s="457">
        <f t="shared" si="236"/>
        <v>0</v>
      </c>
      <c r="J2516" s="15" t="s">
        <v>238</v>
      </c>
      <c r="K2516" s="182">
        <f ca="1">K2511-K2514-K2515</f>
        <v>104.16499999999984</v>
      </c>
      <c r="L2516" s="201">
        <f ca="1">L2511-L2514-L2515</f>
        <v>104.72500000000012</v>
      </c>
      <c r="M2516" s="113">
        <f t="shared" si="238"/>
        <v>1</v>
      </c>
      <c r="N2516" s="64">
        <f t="shared" ca="1" si="239"/>
        <v>1.0001038938492064</v>
      </c>
    </row>
    <row r="2517" spans="1:14">
      <c r="A2517" s="39">
        <f t="shared" ca="1" si="234"/>
        <v>3.7201785714285656</v>
      </c>
      <c r="B2517" s="41">
        <f t="shared" ca="1" si="235"/>
        <v>3.7401785714285758</v>
      </c>
      <c r="C2517" s="103">
        <f t="shared" si="237"/>
        <v>46315</v>
      </c>
      <c r="E2517" s="170"/>
      <c r="F2517" s="58" t="str">
        <f>VLOOKUP(MOD(C2517,7),'CALENDAR INFO'!$I$2:$J$8,2)</f>
        <v>TUE</v>
      </c>
      <c r="I2517" s="457">
        <f t="shared" si="236"/>
        <v>0</v>
      </c>
      <c r="M2517" s="113">
        <f t="shared" si="238"/>
        <v>1</v>
      </c>
      <c r="N2517" s="64">
        <f t="shared" ca="1" si="239"/>
        <v>1.0001038938492064</v>
      </c>
    </row>
    <row r="2518" spans="1:14">
      <c r="A2518" s="39">
        <f t="shared" ca="1" si="234"/>
        <v>3.7201785714285656</v>
      </c>
      <c r="B2518" s="41">
        <f t="shared" ca="1" si="235"/>
        <v>3.7401785714285758</v>
      </c>
      <c r="C2518" s="103">
        <f t="shared" si="237"/>
        <v>46316</v>
      </c>
      <c r="E2518" s="170"/>
      <c r="F2518" s="58" t="str">
        <f>VLOOKUP(MOD(C2518,7),'CALENDAR INFO'!$I$2:$J$8,2)</f>
        <v>WED</v>
      </c>
      <c r="I2518" s="457">
        <f t="shared" si="236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8"/>
        <v>1</v>
      </c>
      <c r="N2518" s="64">
        <f t="shared" ca="1" si="239"/>
        <v>1.0001038938492064</v>
      </c>
    </row>
    <row r="2519" spans="1:14">
      <c r="A2519" s="39">
        <f t="shared" ca="1" si="234"/>
        <v>3.7201785714285656</v>
      </c>
      <c r="B2519" s="41">
        <f t="shared" ca="1" si="235"/>
        <v>3.7401785714285758</v>
      </c>
      <c r="C2519" s="103">
        <f t="shared" si="237"/>
        <v>46317</v>
      </c>
      <c r="E2519" s="170"/>
      <c r="F2519" s="58" t="str">
        <f>VLOOKUP(MOD(C2519,7),'CALENDAR INFO'!$I$2:$J$8,2)</f>
        <v>THU</v>
      </c>
      <c r="I2519" s="457">
        <f t="shared" si="236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8"/>
        <v>1</v>
      </c>
      <c r="N2519" s="64">
        <f t="shared" ca="1" si="239"/>
        <v>1.0001038938492064</v>
      </c>
    </row>
    <row r="2520" spans="1:14">
      <c r="A2520" s="39">
        <f t="shared" ca="1" si="234"/>
        <v>3.7201785714285656</v>
      </c>
      <c r="B2520" s="41">
        <f t="shared" ca="1" si="235"/>
        <v>3.7401785714285758</v>
      </c>
      <c r="C2520" s="103">
        <f t="shared" si="237"/>
        <v>46318</v>
      </c>
      <c r="E2520" s="170"/>
      <c r="F2520" s="58" t="str">
        <f>VLOOKUP(MOD(C2520,7),'CALENDAR INFO'!$I$2:$J$8,2)</f>
        <v>FRI</v>
      </c>
      <c r="I2520" s="457">
        <f t="shared" si="236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8"/>
        <v>3</v>
      </c>
      <c r="N2520" s="64">
        <f t="shared" ca="1" si="239"/>
        <v>1.000311681547619</v>
      </c>
    </row>
    <row r="2521" spans="1:14">
      <c r="A2521" s="39">
        <f t="shared" ca="1" si="234"/>
        <v>3.7201785714285656</v>
      </c>
      <c r="B2521" s="41">
        <f t="shared" ca="1" si="235"/>
        <v>3.7401785714285758</v>
      </c>
      <c r="C2521" s="103">
        <f t="shared" si="237"/>
        <v>46319</v>
      </c>
      <c r="E2521" s="170"/>
      <c r="F2521" s="58" t="str">
        <f>VLOOKUP(MOD(C2521,7),'CALENDAR INFO'!$I$2:$J$8,2)</f>
        <v>SAT</v>
      </c>
      <c r="I2521" s="457">
        <f t="shared" si="236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8"/>
        <v>0</v>
      </c>
      <c r="N2521" s="64">
        <f t="shared" ca="1" si="239"/>
        <v>1</v>
      </c>
    </row>
    <row r="2522" spans="1:14">
      <c r="A2522" s="39">
        <f t="shared" ca="1" si="234"/>
        <v>3.7201785714285656</v>
      </c>
      <c r="B2522" s="41">
        <f t="shared" ca="1" si="235"/>
        <v>3.7401785714285758</v>
      </c>
      <c r="C2522" s="103">
        <f t="shared" si="237"/>
        <v>46320</v>
      </c>
      <c r="E2522" s="170"/>
      <c r="F2522" s="58" t="str">
        <f>VLOOKUP(MOD(C2522,7),'CALENDAR INFO'!$I$2:$J$8,2)</f>
        <v>SUN</v>
      </c>
      <c r="I2522" s="457">
        <f t="shared" si="236"/>
        <v>0</v>
      </c>
      <c r="K2522" s="178"/>
      <c r="L2522" s="192"/>
      <c r="M2522" s="113">
        <f t="shared" si="238"/>
        <v>0</v>
      </c>
      <c r="N2522" s="64">
        <f t="shared" ca="1" si="239"/>
        <v>1</v>
      </c>
    </row>
    <row r="2523" spans="1:14">
      <c r="A2523" s="39">
        <f t="shared" ca="1" si="234"/>
        <v>3.7201785714285656</v>
      </c>
      <c r="B2523" s="41">
        <f t="shared" ca="1" si="235"/>
        <v>3.7401785714285758</v>
      </c>
      <c r="C2523" s="103">
        <f t="shared" si="237"/>
        <v>46321</v>
      </c>
      <c r="E2523" s="170"/>
      <c r="F2523" s="58" t="str">
        <f>VLOOKUP(MOD(C2523,7),'CALENDAR INFO'!$I$2:$J$8,2)</f>
        <v>MON</v>
      </c>
      <c r="I2523" s="457">
        <f t="shared" si="236"/>
        <v>0</v>
      </c>
      <c r="J2523" s="15" t="s">
        <v>238</v>
      </c>
      <c r="K2523" s="178">
        <f ca="1">K2516</f>
        <v>104.16499999999984</v>
      </c>
      <c r="L2523" s="192">
        <f ca="1">L2516</f>
        <v>104.72500000000012</v>
      </c>
      <c r="M2523" s="113">
        <f t="shared" si="238"/>
        <v>1</v>
      </c>
      <c r="N2523" s="64">
        <f t="shared" ca="1" si="239"/>
        <v>1.0001038938492064</v>
      </c>
    </row>
    <row r="2524" spans="1:14">
      <c r="A2524" s="39">
        <f t="shared" ca="1" si="234"/>
        <v>3.7201785714285656</v>
      </c>
      <c r="B2524" s="41">
        <f t="shared" ca="1" si="235"/>
        <v>3.7401785714285758</v>
      </c>
      <c r="C2524" s="103">
        <f t="shared" si="237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6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8"/>
        <v>1</v>
      </c>
      <c r="N2524" s="64">
        <f t="shared" ca="1" si="239"/>
        <v>1.0001038938492064</v>
      </c>
    </row>
    <row r="2525" spans="1:14">
      <c r="A2525" s="39">
        <f ca="1">K$2525</f>
        <v>3.7201785714285656</v>
      </c>
      <c r="B2525" s="41">
        <f t="shared" ca="1" si="235"/>
        <v>3.7401785714285758</v>
      </c>
      <c r="C2525" s="103">
        <f t="shared" si="237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6"/>
        <v>0</v>
      </c>
      <c r="J2525" s="15" t="s">
        <v>240</v>
      </c>
      <c r="K2525" s="178">
        <f ca="1">K2523/K2524</f>
        <v>3.7201785714285656</v>
      </c>
      <c r="L2525" s="192">
        <f ca="1">L2523/L2524</f>
        <v>3.7401785714285758</v>
      </c>
      <c r="M2525" s="113">
        <f t="shared" si="238"/>
        <v>1</v>
      </c>
      <c r="N2525" s="64">
        <f t="shared" ca="1" si="239"/>
        <v>1.0001038938492064</v>
      </c>
    </row>
    <row r="2526" spans="1:14">
      <c r="A2526" s="304">
        <f t="shared" ref="A2526:B2528" si="240">K$2507</f>
        <v>3.769999999999996</v>
      </c>
      <c r="B2526" s="305">
        <f t="shared" si="240"/>
        <v>3.7900000000000063</v>
      </c>
      <c r="C2526" s="103">
        <f t="shared" si="237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6"/>
        <v>0</v>
      </c>
      <c r="M2526" s="113">
        <f t="shared" si="238"/>
        <v>1</v>
      </c>
      <c r="N2526" s="64">
        <f t="shared" si="239"/>
        <v>1.0001052777777777</v>
      </c>
    </row>
    <row r="2527" spans="1:14">
      <c r="A2527" s="304">
        <f t="shared" si="240"/>
        <v>3.769999999999996</v>
      </c>
      <c r="B2527" s="305">
        <f t="shared" si="240"/>
        <v>3.7900000000000063</v>
      </c>
      <c r="C2527" s="103">
        <f t="shared" si="237"/>
        <v>46325</v>
      </c>
      <c r="E2527" s="167"/>
      <c r="F2527" s="58" t="str">
        <f>VLOOKUP(MOD(C2527,7),'CALENDAR INFO'!$I$2:$J$8,2)</f>
        <v>FRI</v>
      </c>
      <c r="I2527" s="457">
        <f t="shared" si="236"/>
        <v>0</v>
      </c>
      <c r="M2527" s="113">
        <f t="shared" si="238"/>
        <v>3</v>
      </c>
      <c r="N2527" s="64">
        <f t="shared" si="239"/>
        <v>1.0003158333333333</v>
      </c>
    </row>
    <row r="2528" spans="1:14" ht="15.75" thickBot="1">
      <c r="A2528" s="405">
        <f t="shared" si="240"/>
        <v>3.769999999999996</v>
      </c>
      <c r="B2528" s="406">
        <f t="shared" si="240"/>
        <v>3.7900000000000063</v>
      </c>
      <c r="C2528" s="104">
        <f t="shared" si="237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6"/>
        <v>0</v>
      </c>
      <c r="J2528" s="348"/>
      <c r="K2528" s="348"/>
      <c r="L2528" s="349"/>
      <c r="M2528" s="114">
        <f t="shared" si="238"/>
        <v>0</v>
      </c>
      <c r="N2528" s="292">
        <f t="shared" si="239"/>
        <v>1</v>
      </c>
    </row>
    <row r="2529" spans="1:14">
      <c r="A2529" s="304">
        <f>K2538</f>
        <v>3.769999999999996</v>
      </c>
      <c r="B2529" s="305">
        <f>L2538</f>
        <v>3.7900000000000063</v>
      </c>
      <c r="C2529" s="103">
        <f t="shared" si="237"/>
        <v>46327</v>
      </c>
      <c r="E2529" s="167"/>
      <c r="F2529" s="58" t="str">
        <f>VLOOKUP(MOD(C2529,7),'CALENDAR INFO'!$I$2:$J$8,2)</f>
        <v>SUN</v>
      </c>
      <c r="I2529" s="457">
        <f t="shared" si="236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8"/>
        <v>0</v>
      </c>
      <c r="N2529" s="64">
        <f t="shared" si="239"/>
        <v>1</v>
      </c>
    </row>
    <row r="2530" spans="1:14">
      <c r="A2530" s="39">
        <f ca="1">K$2556</f>
        <v>3.769999999999996</v>
      </c>
      <c r="B2530" s="41">
        <f t="shared" ref="B2530:B2558" ca="1" si="241">L$2556</f>
        <v>3.7900000000000063</v>
      </c>
      <c r="C2530" s="103">
        <f t="shared" si="237"/>
        <v>46328</v>
      </c>
      <c r="E2530" s="167"/>
      <c r="F2530" s="58" t="str">
        <f>VLOOKUP(MOD(C2530,7),'CALENDAR INFO'!$I$2:$J$8,2)</f>
        <v>MON</v>
      </c>
      <c r="I2530" s="457">
        <f t="shared" si="236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8"/>
        <v>1</v>
      </c>
      <c r="N2530" s="64">
        <f t="shared" ca="1" si="239"/>
        <v>1.0001052777777777</v>
      </c>
    </row>
    <row r="2531" spans="1:14">
      <c r="A2531" s="39">
        <f t="shared" ref="A2531:A2558" ca="1" si="242">K$2556</f>
        <v>3.769999999999996</v>
      </c>
      <c r="B2531" s="41">
        <f t="shared" ca="1" si="241"/>
        <v>3.7900000000000063</v>
      </c>
      <c r="C2531" s="103">
        <f t="shared" si="237"/>
        <v>46329</v>
      </c>
      <c r="E2531" s="167"/>
      <c r="F2531" s="58" t="str">
        <f>VLOOKUP(MOD(C2531,7),'CALENDAR INFO'!$I$2:$J$8,2)</f>
        <v>TUE</v>
      </c>
      <c r="I2531" s="457">
        <f t="shared" si="236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8"/>
        <v>1</v>
      </c>
      <c r="N2531" s="64">
        <f t="shared" ca="1" si="239"/>
        <v>1.0001052777777777</v>
      </c>
    </row>
    <row r="2532" spans="1:14">
      <c r="A2532" s="39">
        <f t="shared" ca="1" si="242"/>
        <v>3.769999999999996</v>
      </c>
      <c r="B2532" s="41">
        <f t="shared" ca="1" si="241"/>
        <v>3.7900000000000063</v>
      </c>
      <c r="C2532" s="103">
        <f t="shared" si="237"/>
        <v>46330</v>
      </c>
      <c r="E2532" s="167"/>
      <c r="F2532" s="58" t="str">
        <f>VLOOKUP(MOD(C2532,7),'CALENDAR INFO'!$I$2:$J$8,2)</f>
        <v>WED</v>
      </c>
      <c r="I2532" s="457">
        <f t="shared" si="236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8"/>
        <v>1</v>
      </c>
      <c r="N2532" s="64">
        <f t="shared" ca="1" si="239"/>
        <v>1.0001052777777777</v>
      </c>
    </row>
    <row r="2533" spans="1:14">
      <c r="A2533" s="39">
        <f t="shared" ca="1" si="242"/>
        <v>3.769999999999996</v>
      </c>
      <c r="B2533" s="41">
        <f t="shared" ca="1" si="241"/>
        <v>3.7900000000000063</v>
      </c>
      <c r="C2533" s="103">
        <f t="shared" si="237"/>
        <v>46331</v>
      </c>
      <c r="E2533" s="167"/>
      <c r="F2533" s="58" t="str">
        <f>VLOOKUP(MOD(C2533,7),'CALENDAR INFO'!$I$2:$J$8,2)</f>
        <v>THU</v>
      </c>
      <c r="I2533" s="457">
        <f t="shared" si="236"/>
        <v>0</v>
      </c>
      <c r="K2533" s="176"/>
      <c r="M2533" s="113">
        <f t="shared" si="238"/>
        <v>1</v>
      </c>
      <c r="N2533" s="64">
        <f t="shared" ca="1" si="239"/>
        <v>1.0001052777777777</v>
      </c>
    </row>
    <row r="2534" spans="1:14">
      <c r="A2534" s="39">
        <f t="shared" ca="1" si="242"/>
        <v>3.769999999999996</v>
      </c>
      <c r="B2534" s="41">
        <f t="shared" ca="1" si="241"/>
        <v>3.7900000000000063</v>
      </c>
      <c r="C2534" s="103">
        <f t="shared" si="237"/>
        <v>46332</v>
      </c>
      <c r="E2534" s="167"/>
      <c r="F2534" s="58" t="str">
        <f>VLOOKUP(MOD(C2534,7),'CALENDAR INFO'!$I$2:$J$8,2)</f>
        <v>FRI</v>
      </c>
      <c r="I2534" s="457">
        <f t="shared" si="236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8"/>
        <v>3</v>
      </c>
      <c r="N2534" s="64">
        <f t="shared" ca="1" si="239"/>
        <v>1.0003158333333333</v>
      </c>
    </row>
    <row r="2535" spans="1:14">
      <c r="A2535" s="39">
        <f t="shared" ca="1" si="242"/>
        <v>3.769999999999996</v>
      </c>
      <c r="B2535" s="41">
        <f t="shared" ca="1" si="241"/>
        <v>3.7900000000000063</v>
      </c>
      <c r="C2535" s="103">
        <f t="shared" si="237"/>
        <v>46333</v>
      </c>
      <c r="E2535" s="167"/>
      <c r="F2535" s="58" t="str">
        <f>VLOOKUP(MOD(C2535,7),'CALENDAR INFO'!$I$2:$J$8,2)</f>
        <v>SAT</v>
      </c>
      <c r="I2535" s="457">
        <f t="shared" si="236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8"/>
        <v>0</v>
      </c>
      <c r="N2535" s="64">
        <f t="shared" ca="1" si="239"/>
        <v>1</v>
      </c>
    </row>
    <row r="2536" spans="1:14">
      <c r="A2536" s="39">
        <f t="shared" ca="1" si="242"/>
        <v>3.769999999999996</v>
      </c>
      <c r="B2536" s="41">
        <f t="shared" ca="1" si="241"/>
        <v>3.7900000000000063</v>
      </c>
      <c r="C2536" s="103">
        <f t="shared" si="237"/>
        <v>46334</v>
      </c>
      <c r="E2536" s="167"/>
      <c r="F2536" s="58" t="str">
        <f>VLOOKUP(MOD(C2536,7),'CALENDAR INFO'!$I$2:$J$8,2)</f>
        <v>SUN</v>
      </c>
      <c r="I2536" s="457">
        <f t="shared" si="236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8"/>
        <v>0</v>
      </c>
      <c r="N2536" s="64">
        <f t="shared" ca="1" si="239"/>
        <v>1</v>
      </c>
    </row>
    <row r="2537" spans="1:14">
      <c r="A2537" s="39">
        <f t="shared" ca="1" si="242"/>
        <v>3.769999999999996</v>
      </c>
      <c r="B2537" s="41">
        <f t="shared" ca="1" si="241"/>
        <v>3.7900000000000063</v>
      </c>
      <c r="C2537" s="103">
        <f t="shared" si="237"/>
        <v>46335</v>
      </c>
      <c r="E2537" s="167"/>
      <c r="F2537" s="58" t="str">
        <f>VLOOKUP(MOD(C2537,7),'CALENDAR INFO'!$I$2:$J$8,2)</f>
        <v>MON</v>
      </c>
      <c r="I2537" s="457">
        <f t="shared" si="236"/>
        <v>0</v>
      </c>
      <c r="M2537" s="113">
        <f t="shared" si="238"/>
        <v>1</v>
      </c>
      <c r="N2537" s="64">
        <f t="shared" ca="1" si="239"/>
        <v>1.0001052777777777</v>
      </c>
    </row>
    <row r="2538" spans="1:14">
      <c r="A2538" s="39">
        <f t="shared" ca="1" si="242"/>
        <v>3.769999999999996</v>
      </c>
      <c r="B2538" s="41">
        <f t="shared" ca="1" si="241"/>
        <v>3.7900000000000063</v>
      </c>
      <c r="C2538" s="103">
        <f t="shared" si="237"/>
        <v>46336</v>
      </c>
      <c r="E2538" s="167"/>
      <c r="F2538" s="58" t="str">
        <f>VLOOKUP(MOD(C2538,7),'CALENDAR INFO'!$I$2:$J$8,2)</f>
        <v>TUE</v>
      </c>
      <c r="I2538" s="457">
        <f t="shared" si="236"/>
        <v>0</v>
      </c>
      <c r="J2538" s="15" t="s">
        <v>241</v>
      </c>
      <c r="K2538" s="186">
        <f>K2540</f>
        <v>3.769999999999996</v>
      </c>
      <c r="L2538" s="194">
        <f>L2540</f>
        <v>3.7900000000000063</v>
      </c>
      <c r="M2538" s="117">
        <v>2</v>
      </c>
      <c r="N2538" s="64">
        <f t="shared" ca="1" si="239"/>
        <v>1.0002105555555556</v>
      </c>
    </row>
    <row r="2539" spans="1:14">
      <c r="A2539" s="39">
        <f t="shared" ca="1" si="242"/>
        <v>3.769999999999996</v>
      </c>
      <c r="B2539" s="41">
        <f t="shared" ca="1" si="241"/>
        <v>3.7900000000000063</v>
      </c>
      <c r="C2539" s="103">
        <f t="shared" si="237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6"/>
        <v>0</v>
      </c>
      <c r="M2539" s="117">
        <v>0</v>
      </c>
      <c r="N2539" s="64">
        <f t="shared" ca="1" si="239"/>
        <v>1</v>
      </c>
    </row>
    <row r="2540" spans="1:14">
      <c r="A2540" s="39">
        <f t="shared" ca="1" si="242"/>
        <v>3.769999999999996</v>
      </c>
      <c r="B2540" s="41">
        <f t="shared" ca="1" si="241"/>
        <v>3.7900000000000063</v>
      </c>
      <c r="C2540" s="103">
        <f t="shared" si="237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6"/>
        <v>0</v>
      </c>
      <c r="J2540" s="15" t="s">
        <v>197</v>
      </c>
      <c r="K2540" s="180">
        <f>OUTPUT!C8</f>
        <v>3.769999999999996</v>
      </c>
      <c r="L2540" s="193">
        <f>OUTPUT!F8</f>
        <v>3.7900000000000063</v>
      </c>
      <c r="M2540" s="113">
        <f t="shared" ref="M2540:M2552" si="243">IF(MOD(C2540,7)&lt;2,0,IF(MOD(C2540,7)=6,3,1))</f>
        <v>1</v>
      </c>
      <c r="N2540" s="64">
        <f t="shared" ca="1" si="239"/>
        <v>1.0001052777777777</v>
      </c>
    </row>
    <row r="2541" spans="1:14">
      <c r="A2541" s="39">
        <f t="shared" ca="1" si="242"/>
        <v>3.769999999999996</v>
      </c>
      <c r="B2541" s="41">
        <f t="shared" ca="1" si="241"/>
        <v>3.7900000000000063</v>
      </c>
      <c r="C2541" s="103">
        <f t="shared" si="237"/>
        <v>46339</v>
      </c>
      <c r="E2541" s="170"/>
      <c r="F2541" s="58" t="str">
        <f>VLOOKUP(MOD(C2541,7),'CALENDAR INFO'!$I$2:$J$8,2)</f>
        <v>FRI</v>
      </c>
      <c r="I2541" s="457">
        <f t="shared" si="236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3"/>
        <v>3</v>
      </c>
      <c r="N2541" s="64">
        <f t="shared" ca="1" si="239"/>
        <v>1.0003158333333333</v>
      </c>
    </row>
    <row r="2542" spans="1:14">
      <c r="A2542" s="39">
        <f t="shared" ca="1" si="242"/>
        <v>3.769999999999996</v>
      </c>
      <c r="B2542" s="41">
        <f t="shared" ca="1" si="241"/>
        <v>3.7900000000000063</v>
      </c>
      <c r="C2542" s="103">
        <f t="shared" si="237"/>
        <v>46340</v>
      </c>
      <c r="E2542" s="170"/>
      <c r="F2542" s="58" t="str">
        <f>VLOOKUP(MOD(C2542,7),'CALENDAR INFO'!$I$2:$J$8,2)</f>
        <v>SAT</v>
      </c>
      <c r="I2542" s="457">
        <f t="shared" si="236"/>
        <v>0</v>
      </c>
      <c r="J2542" s="15" t="s">
        <v>234</v>
      </c>
      <c r="K2542" s="178">
        <f>K2540*K2530</f>
        <v>113.09999999999988</v>
      </c>
      <c r="L2542" s="192">
        <f>L2540*L2530</f>
        <v>113.70000000000019</v>
      </c>
      <c r="M2542" s="113">
        <f t="shared" si="243"/>
        <v>0</v>
      </c>
      <c r="N2542" s="64">
        <f t="shared" ca="1" si="239"/>
        <v>1</v>
      </c>
    </row>
    <row r="2543" spans="1:14">
      <c r="A2543" s="39">
        <f t="shared" ca="1" si="242"/>
        <v>3.769999999999996</v>
      </c>
      <c r="B2543" s="41">
        <f t="shared" ca="1" si="241"/>
        <v>3.7900000000000063</v>
      </c>
      <c r="C2543" s="103">
        <f t="shared" si="237"/>
        <v>46341</v>
      </c>
      <c r="E2543" s="170"/>
      <c r="F2543" s="58" t="str">
        <f>VLOOKUP(MOD(C2543,7),'CALENDAR INFO'!$I$2:$J$8,2)</f>
        <v>SUN</v>
      </c>
      <c r="I2543" s="457">
        <f t="shared" si="236"/>
        <v>0</v>
      </c>
      <c r="M2543" s="113">
        <f t="shared" si="243"/>
        <v>0</v>
      </c>
      <c r="N2543" s="64">
        <f t="shared" ca="1" si="239"/>
        <v>1</v>
      </c>
    </row>
    <row r="2544" spans="1:14">
      <c r="A2544" s="39">
        <f t="shared" ca="1" si="242"/>
        <v>3.769999999999996</v>
      </c>
      <c r="B2544" s="41">
        <f t="shared" ca="1" si="241"/>
        <v>3.7900000000000063</v>
      </c>
      <c r="C2544" s="103">
        <f t="shared" si="237"/>
        <v>46342</v>
      </c>
      <c r="E2544" s="170"/>
      <c r="F2544" s="58" t="str">
        <f>VLOOKUP(MOD(C2544,7),'CALENDAR INFO'!$I$2:$J$8,2)</f>
        <v>MON</v>
      </c>
      <c r="I2544" s="457">
        <f t="shared" si="236"/>
        <v>0</v>
      </c>
      <c r="J2544" s="15" t="str">
        <f>J2542</f>
        <v>monthly target</v>
      </c>
      <c r="K2544" s="178">
        <f>K2542</f>
        <v>113.09999999999988</v>
      </c>
      <c r="L2544" s="192">
        <f>L2542</f>
        <v>113.70000000000019</v>
      </c>
      <c r="M2544" s="113">
        <f t="shared" si="243"/>
        <v>1</v>
      </c>
      <c r="N2544" s="64">
        <f t="shared" ca="1" si="239"/>
        <v>1.0001052777777777</v>
      </c>
    </row>
    <row r="2545" spans="1:14">
      <c r="A2545" s="39">
        <f t="shared" ca="1" si="242"/>
        <v>3.769999999999996</v>
      </c>
      <c r="B2545" s="41">
        <f t="shared" ca="1" si="241"/>
        <v>3.7900000000000063</v>
      </c>
      <c r="C2545" s="103">
        <f t="shared" si="237"/>
        <v>46343</v>
      </c>
      <c r="E2545" s="170"/>
      <c r="F2545" s="58" t="str">
        <f>VLOOKUP(MOD(C2545,7),'CALENDAR INFO'!$I$2:$J$8,2)</f>
        <v>TUE</v>
      </c>
      <c r="I2545" s="457">
        <f t="shared" si="236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3"/>
        <v>1</v>
      </c>
      <c r="N2545" s="64">
        <f t="shared" ca="1" si="239"/>
        <v>1.0001052777777777</v>
      </c>
    </row>
    <row r="2546" spans="1:14">
      <c r="A2546" s="39">
        <f t="shared" ca="1" si="242"/>
        <v>3.769999999999996</v>
      </c>
      <c r="B2546" s="41">
        <f t="shared" ca="1" si="241"/>
        <v>3.7900000000000063</v>
      </c>
      <c r="C2546" s="103">
        <f t="shared" si="237"/>
        <v>46344</v>
      </c>
      <c r="E2546" s="170"/>
      <c r="F2546" s="58" t="str">
        <f>VLOOKUP(MOD(C2546,7),'CALENDAR INFO'!$I$2:$J$8,2)</f>
        <v>WED</v>
      </c>
      <c r="I2546" s="457">
        <f t="shared" si="236"/>
        <v>0</v>
      </c>
      <c r="J2546" s="15" t="s">
        <v>237</v>
      </c>
      <c r="K2546" s="400">
        <f ca="1">SUM(INDIRECT(K2535))</f>
        <v>3.769999999999996</v>
      </c>
      <c r="L2546" s="401">
        <f ca="1">SUM(INDIRECT(L2535))</f>
        <v>3.7900000000000063</v>
      </c>
      <c r="M2546" s="113">
        <f t="shared" si="243"/>
        <v>1</v>
      </c>
      <c r="N2546" s="64">
        <f t="shared" ca="1" si="239"/>
        <v>1.0001052777777777</v>
      </c>
    </row>
    <row r="2547" spans="1:14">
      <c r="A2547" s="39">
        <f t="shared" ca="1" si="242"/>
        <v>3.769999999999996</v>
      </c>
      <c r="B2547" s="41">
        <f t="shared" ca="1" si="241"/>
        <v>3.7900000000000063</v>
      </c>
      <c r="C2547" s="103">
        <f t="shared" si="237"/>
        <v>46345</v>
      </c>
      <c r="E2547" s="170"/>
      <c r="F2547" s="58" t="str">
        <f>VLOOKUP(MOD(C2547,7),'CALENDAR INFO'!$I$2:$J$8,2)</f>
        <v>THU</v>
      </c>
      <c r="I2547" s="457">
        <f t="shared" si="236"/>
        <v>0</v>
      </c>
      <c r="J2547" s="15" t="s">
        <v>238</v>
      </c>
      <c r="K2547" s="182">
        <f ca="1">K2542-K2545-K2546</f>
        <v>109.32999999999988</v>
      </c>
      <c r="L2547" s="201">
        <f ca="1">L2542-L2545-L2546</f>
        <v>109.91000000000018</v>
      </c>
      <c r="M2547" s="113">
        <f t="shared" si="243"/>
        <v>1</v>
      </c>
      <c r="N2547" s="64">
        <f t="shared" ca="1" si="239"/>
        <v>1.0001052777777777</v>
      </c>
    </row>
    <row r="2548" spans="1:14">
      <c r="A2548" s="39">
        <f t="shared" ca="1" si="242"/>
        <v>3.769999999999996</v>
      </c>
      <c r="B2548" s="41">
        <f t="shared" ca="1" si="241"/>
        <v>3.7900000000000063</v>
      </c>
      <c r="C2548" s="103">
        <f t="shared" si="237"/>
        <v>46346</v>
      </c>
      <c r="E2548" s="170"/>
      <c r="F2548" s="58" t="str">
        <f>VLOOKUP(MOD(C2548,7),'CALENDAR INFO'!$I$2:$J$8,2)</f>
        <v>FRI</v>
      </c>
      <c r="I2548" s="457">
        <f t="shared" si="236"/>
        <v>0</v>
      </c>
      <c r="K2548" s="178"/>
      <c r="L2548" s="192"/>
      <c r="M2548" s="113">
        <f t="shared" si="243"/>
        <v>3</v>
      </c>
      <c r="N2548" s="64">
        <f t="shared" ca="1" si="239"/>
        <v>1.0003158333333333</v>
      </c>
    </row>
    <row r="2549" spans="1:14">
      <c r="A2549" s="39">
        <f t="shared" ca="1" si="242"/>
        <v>3.769999999999996</v>
      </c>
      <c r="B2549" s="41">
        <f t="shared" ca="1" si="241"/>
        <v>3.7900000000000063</v>
      </c>
      <c r="C2549" s="103">
        <f t="shared" si="237"/>
        <v>46347</v>
      </c>
      <c r="E2549" s="170"/>
      <c r="F2549" s="58" t="str">
        <f>VLOOKUP(MOD(C2549,7),'CALENDAR INFO'!$I$2:$J$8,2)</f>
        <v>SAT</v>
      </c>
      <c r="I2549" s="457">
        <f t="shared" si="236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3"/>
        <v>0</v>
      </c>
      <c r="N2549" s="64">
        <f t="shared" ca="1" si="239"/>
        <v>1</v>
      </c>
    </row>
    <row r="2550" spans="1:14">
      <c r="A2550" s="39">
        <f t="shared" ca="1" si="242"/>
        <v>3.769999999999996</v>
      </c>
      <c r="B2550" s="41">
        <f t="shared" ca="1" si="241"/>
        <v>3.7900000000000063</v>
      </c>
      <c r="C2550" s="103">
        <f t="shared" si="237"/>
        <v>46348</v>
      </c>
      <c r="E2550" s="170"/>
      <c r="F2550" s="58" t="str">
        <f>VLOOKUP(MOD(C2550,7),'CALENDAR INFO'!$I$2:$J$8,2)</f>
        <v>SUN</v>
      </c>
      <c r="I2550" s="457">
        <f t="shared" si="236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3"/>
        <v>0</v>
      </c>
      <c r="N2550" s="64">
        <f t="shared" ca="1" si="239"/>
        <v>1</v>
      </c>
    </row>
    <row r="2551" spans="1:14">
      <c r="A2551" s="39">
        <f t="shared" ca="1" si="242"/>
        <v>3.769999999999996</v>
      </c>
      <c r="B2551" s="41">
        <f t="shared" ca="1" si="241"/>
        <v>3.7900000000000063</v>
      </c>
      <c r="C2551" s="103">
        <f t="shared" si="237"/>
        <v>46349</v>
      </c>
      <c r="E2551" s="170"/>
      <c r="F2551" s="58" t="str">
        <f>VLOOKUP(MOD(C2551,7),'CALENDAR INFO'!$I$2:$J$8,2)</f>
        <v>MON</v>
      </c>
      <c r="I2551" s="457">
        <f t="shared" si="236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3"/>
        <v>1</v>
      </c>
      <c r="N2551" s="64">
        <f t="shared" ca="1" si="239"/>
        <v>1.0001052777777777</v>
      </c>
    </row>
    <row r="2552" spans="1:14">
      <c r="A2552" s="39">
        <f t="shared" ca="1" si="242"/>
        <v>3.769999999999996</v>
      </c>
      <c r="B2552" s="41">
        <f t="shared" ca="1" si="241"/>
        <v>3.7900000000000063</v>
      </c>
      <c r="C2552" s="103">
        <f t="shared" si="237"/>
        <v>46350</v>
      </c>
      <c r="E2552" s="170"/>
      <c r="F2552" s="58" t="str">
        <f>VLOOKUP(MOD(C2552,7),'CALENDAR INFO'!$I$2:$J$8,2)</f>
        <v>TUE</v>
      </c>
      <c r="I2552" s="457">
        <f t="shared" si="236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3"/>
        <v>1</v>
      </c>
      <c r="N2552" s="64">
        <f t="shared" ca="1" si="239"/>
        <v>1.0001052777777777</v>
      </c>
    </row>
    <row r="2553" spans="1:14">
      <c r="A2553" s="39">
        <f t="shared" ca="1" si="242"/>
        <v>3.769999999999996</v>
      </c>
      <c r="B2553" s="41">
        <f t="shared" ca="1" si="241"/>
        <v>3.7900000000000063</v>
      </c>
      <c r="C2553" s="103">
        <f t="shared" si="237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6"/>
        <v>0</v>
      </c>
      <c r="K2553" s="178"/>
      <c r="L2553" s="192"/>
      <c r="M2553" s="117">
        <v>2</v>
      </c>
      <c r="N2553" s="64">
        <f t="shared" ca="1" si="239"/>
        <v>1.0002105555555556</v>
      </c>
    </row>
    <row r="2554" spans="1:14">
      <c r="A2554" s="39">
        <f t="shared" ca="1" si="242"/>
        <v>3.769999999999996</v>
      </c>
      <c r="B2554" s="41">
        <f t="shared" ca="1" si="241"/>
        <v>3.7900000000000063</v>
      </c>
      <c r="C2554" s="103">
        <f t="shared" si="237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6"/>
        <v>0</v>
      </c>
      <c r="J2554" s="15" t="s">
        <v>238</v>
      </c>
      <c r="K2554" s="178">
        <f ca="1">K2547</f>
        <v>109.32999999999988</v>
      </c>
      <c r="L2554" s="192">
        <f ca="1">L2547</f>
        <v>109.91000000000018</v>
      </c>
      <c r="M2554" s="117">
        <v>0</v>
      </c>
      <c r="N2554" s="64">
        <f t="shared" ca="1" si="239"/>
        <v>1</v>
      </c>
    </row>
    <row r="2555" spans="1:14">
      <c r="A2555" s="39">
        <f t="shared" ca="1" si="242"/>
        <v>3.769999999999996</v>
      </c>
      <c r="B2555" s="41">
        <f t="shared" ca="1" si="241"/>
        <v>3.7900000000000063</v>
      </c>
      <c r="C2555" s="103">
        <f t="shared" si="237"/>
        <v>46353</v>
      </c>
      <c r="E2555" s="167"/>
      <c r="F2555" s="58" t="str">
        <f>VLOOKUP(MOD(C2555,7),'CALENDAR INFO'!$I$2:$J$8,2)</f>
        <v>FRI</v>
      </c>
      <c r="I2555" s="457">
        <f t="shared" si="236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4">IF(MOD(C2555,7)&lt;2,0,IF(MOD(C2555,7)=6,3,1))</f>
        <v>3</v>
      </c>
      <c r="N2555" s="64">
        <f t="shared" ca="1" si="239"/>
        <v>1.0003158333333333</v>
      </c>
    </row>
    <row r="2556" spans="1:14">
      <c r="A2556" s="39">
        <f t="shared" ca="1" si="242"/>
        <v>3.769999999999996</v>
      </c>
      <c r="B2556" s="41">
        <f t="shared" ca="1" si="241"/>
        <v>3.7900000000000063</v>
      </c>
      <c r="C2556" s="103">
        <f t="shared" si="237"/>
        <v>46354</v>
      </c>
      <c r="E2556" s="167"/>
      <c r="F2556" s="58" t="str">
        <f>VLOOKUP(MOD(C2556,7),'CALENDAR INFO'!$I$2:$J$8,2)</f>
        <v>SAT</v>
      </c>
      <c r="I2556" s="457">
        <f t="shared" si="236"/>
        <v>0</v>
      </c>
      <c r="J2556" s="15" t="s">
        <v>240</v>
      </c>
      <c r="K2556" s="178">
        <f ca="1">K2554/K2555</f>
        <v>3.769999999999996</v>
      </c>
      <c r="L2556" s="192">
        <f ca="1">L2554/L2555</f>
        <v>3.7900000000000063</v>
      </c>
      <c r="M2556" s="113">
        <f t="shared" si="244"/>
        <v>0</v>
      </c>
      <c r="N2556" s="64">
        <f t="shared" ca="1" si="239"/>
        <v>1</v>
      </c>
    </row>
    <row r="2557" spans="1:14">
      <c r="A2557" s="39">
        <f t="shared" ca="1" si="242"/>
        <v>3.769999999999996</v>
      </c>
      <c r="B2557" s="41">
        <f t="shared" ca="1" si="241"/>
        <v>3.7900000000000063</v>
      </c>
      <c r="C2557" s="103">
        <f t="shared" si="237"/>
        <v>46355</v>
      </c>
      <c r="E2557" s="167"/>
      <c r="F2557" s="58" t="str">
        <f>VLOOKUP(MOD(C2557,7),'CALENDAR INFO'!$I$2:$J$8,2)</f>
        <v>SUN</v>
      </c>
      <c r="I2557" s="457">
        <f t="shared" si="236"/>
        <v>0</v>
      </c>
      <c r="M2557" s="113">
        <f t="shared" si="244"/>
        <v>0</v>
      </c>
      <c r="N2557" s="64">
        <f t="shared" ca="1" si="239"/>
        <v>1</v>
      </c>
    </row>
    <row r="2558" spans="1:14" ht="15.75" thickBot="1">
      <c r="A2558" s="98">
        <f t="shared" ca="1" si="242"/>
        <v>3.769999999999996</v>
      </c>
      <c r="B2558" s="230">
        <f t="shared" ca="1" si="241"/>
        <v>3.7900000000000063</v>
      </c>
      <c r="C2558" s="104">
        <f t="shared" si="237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6"/>
        <v>0</v>
      </c>
      <c r="J2558" s="348"/>
      <c r="K2558" s="348"/>
      <c r="L2558" s="349"/>
      <c r="M2558" s="114">
        <f t="shared" si="244"/>
        <v>1</v>
      </c>
      <c r="N2558" s="292">
        <f t="shared" ca="1" si="239"/>
        <v>1.0001052777777777</v>
      </c>
    </row>
    <row r="2559" spans="1:14">
      <c r="A2559" s="304">
        <f ca="1">K$2568</f>
        <v>3.769999999999996</v>
      </c>
      <c r="B2559" s="305">
        <f t="shared" ref="B2559:B2567" ca="1" si="245">L$2568</f>
        <v>3.7900000000000063</v>
      </c>
      <c r="C2559" s="103">
        <f t="shared" si="237"/>
        <v>46357</v>
      </c>
      <c r="E2559" s="167"/>
      <c r="F2559" s="58" t="str">
        <f>VLOOKUP(MOD(C2559,7),'CALENDAR INFO'!$I$2:$J$8,2)</f>
        <v>TUE</v>
      </c>
      <c r="I2559" s="457">
        <f t="shared" si="236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4"/>
        <v>1</v>
      </c>
      <c r="N2559" s="64">
        <f t="shared" ca="1" si="239"/>
        <v>1.0001052777777777</v>
      </c>
    </row>
    <row r="2560" spans="1:14">
      <c r="A2560" s="304">
        <f t="shared" ref="A2560:A2567" ca="1" si="246">K$2568</f>
        <v>3.769999999999996</v>
      </c>
      <c r="B2560" s="305">
        <f t="shared" ca="1" si="245"/>
        <v>3.7900000000000063</v>
      </c>
      <c r="C2560" s="103">
        <f t="shared" si="237"/>
        <v>46358</v>
      </c>
      <c r="E2560" s="167"/>
      <c r="F2560" s="58" t="str">
        <f>VLOOKUP(MOD(C2560,7),'CALENDAR INFO'!$I$2:$J$8,2)</f>
        <v>WED</v>
      </c>
      <c r="I2560" s="457">
        <f t="shared" si="236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4"/>
        <v>1</v>
      </c>
      <c r="N2560" s="64">
        <f t="shared" ca="1" si="239"/>
        <v>1.0001052777777777</v>
      </c>
    </row>
    <row r="2561" spans="1:14">
      <c r="A2561" s="304">
        <f t="shared" ca="1" si="246"/>
        <v>3.769999999999996</v>
      </c>
      <c r="B2561" s="305">
        <f t="shared" ca="1" si="245"/>
        <v>3.7900000000000063</v>
      </c>
      <c r="C2561" s="103">
        <f t="shared" si="237"/>
        <v>46359</v>
      </c>
      <c r="E2561" s="167"/>
      <c r="F2561" s="58" t="str">
        <f>VLOOKUP(MOD(C2561,7),'CALENDAR INFO'!$I$2:$J$8,2)</f>
        <v>THU</v>
      </c>
      <c r="I2561" s="457">
        <f t="shared" si="236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4"/>
        <v>1</v>
      </c>
      <c r="N2561" s="64">
        <f t="shared" ca="1" si="239"/>
        <v>1.0001052777777777</v>
      </c>
    </row>
    <row r="2562" spans="1:14">
      <c r="A2562" s="304">
        <f t="shared" ca="1" si="246"/>
        <v>3.769999999999996</v>
      </c>
      <c r="B2562" s="305">
        <f t="shared" ca="1" si="245"/>
        <v>3.7900000000000063</v>
      </c>
      <c r="C2562" s="103">
        <f t="shared" si="237"/>
        <v>46360</v>
      </c>
      <c r="E2562" s="167"/>
      <c r="F2562" s="58" t="str">
        <f>VLOOKUP(MOD(C2562,7),'CALENDAR INFO'!$I$2:$J$8,2)</f>
        <v>FRI</v>
      </c>
      <c r="I2562" s="457">
        <f t="shared" si="236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4"/>
        <v>3</v>
      </c>
      <c r="N2562" s="64">
        <f t="shared" ca="1" si="239"/>
        <v>1.0003158333333333</v>
      </c>
    </row>
    <row r="2563" spans="1:14">
      <c r="A2563" s="304">
        <f t="shared" ca="1" si="246"/>
        <v>3.769999999999996</v>
      </c>
      <c r="B2563" s="305">
        <f t="shared" ca="1" si="245"/>
        <v>3.7900000000000063</v>
      </c>
      <c r="C2563" s="103">
        <f t="shared" si="237"/>
        <v>46361</v>
      </c>
      <c r="E2563" s="167"/>
      <c r="F2563" s="58" t="str">
        <f>VLOOKUP(MOD(C2563,7),'CALENDAR INFO'!$I$2:$J$8,2)</f>
        <v>SAT</v>
      </c>
      <c r="I2563" s="457">
        <f t="shared" ref="I2563:I2592" si="247">H2563-G2563</f>
        <v>0</v>
      </c>
      <c r="K2563" s="311"/>
      <c r="L2563" s="15"/>
      <c r="M2563" s="113">
        <f t="shared" si="244"/>
        <v>0</v>
      </c>
      <c r="N2563" s="64">
        <f t="shared" ca="1" si="239"/>
        <v>1</v>
      </c>
    </row>
    <row r="2564" spans="1:14">
      <c r="A2564" s="304">
        <f t="shared" ca="1" si="246"/>
        <v>3.769999999999996</v>
      </c>
      <c r="B2564" s="305">
        <f t="shared" ca="1" si="245"/>
        <v>3.7900000000000063</v>
      </c>
      <c r="C2564" s="103">
        <f t="shared" ref="C2564:C2592" si="248">C2563+1</f>
        <v>46362</v>
      </c>
      <c r="E2564" s="167"/>
      <c r="F2564" s="58" t="str">
        <f>VLOOKUP(MOD(C2564,7),'CALENDAR INFO'!$I$2:$J$8,2)</f>
        <v>SUN</v>
      </c>
      <c r="I2564" s="457">
        <f t="shared" si="247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4"/>
        <v>0</v>
      </c>
      <c r="N2564" s="64">
        <f t="shared" ca="1" si="239"/>
        <v>1</v>
      </c>
    </row>
    <row r="2565" spans="1:14">
      <c r="A2565" s="304">
        <f t="shared" ca="1" si="246"/>
        <v>3.769999999999996</v>
      </c>
      <c r="B2565" s="305">
        <f t="shared" ca="1" si="245"/>
        <v>3.7900000000000063</v>
      </c>
      <c r="C2565" s="103">
        <f t="shared" si="248"/>
        <v>46363</v>
      </c>
      <c r="E2565" s="167"/>
      <c r="F2565" s="58" t="str">
        <f>VLOOKUP(MOD(C2565,7),'CALENDAR INFO'!$I$2:$J$8,2)</f>
        <v>MON</v>
      </c>
      <c r="I2565" s="457">
        <f t="shared" si="247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4"/>
        <v>1</v>
      </c>
      <c r="N2565" s="64">
        <f t="shared" ca="1" si="239"/>
        <v>1.0001052777777777</v>
      </c>
    </row>
    <row r="2566" spans="1:14">
      <c r="A2566" s="304">
        <f t="shared" ca="1" si="246"/>
        <v>3.769999999999996</v>
      </c>
      <c r="B2566" s="305">
        <f t="shared" ca="1" si="245"/>
        <v>3.7900000000000063</v>
      </c>
      <c r="C2566" s="103">
        <f t="shared" si="248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7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4"/>
        <v>1</v>
      </c>
      <c r="N2566" s="64">
        <f t="shared" ca="1" si="239"/>
        <v>1.0001052777777777</v>
      </c>
    </row>
    <row r="2567" spans="1:14">
      <c r="A2567" s="304">
        <f t="shared" ca="1" si="246"/>
        <v>3.769999999999996</v>
      </c>
      <c r="B2567" s="305">
        <f t="shared" ca="1" si="245"/>
        <v>3.7900000000000063</v>
      </c>
      <c r="C2567" s="103">
        <f t="shared" si="248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7"/>
        <v>0</v>
      </c>
      <c r="M2567" s="113">
        <f t="shared" si="244"/>
        <v>1</v>
      </c>
      <c r="N2567" s="64">
        <f t="shared" ca="1" si="239"/>
        <v>1.0001052777777777</v>
      </c>
    </row>
    <row r="2568" spans="1:14">
      <c r="A2568" s="39">
        <f ca="1">K$2586</f>
        <v>3.8686363636363699</v>
      </c>
      <c r="B2568" s="41">
        <f t="shared" ref="B2568:B2589" ca="1" si="249">L$2586</f>
        <v>3.9027272727272764</v>
      </c>
      <c r="C2568" s="103">
        <f t="shared" si="248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7"/>
        <v>0</v>
      </c>
      <c r="J2568" s="15" t="s">
        <v>241</v>
      </c>
      <c r="K2568" s="186">
        <f ca="1">A2558+G2558</f>
        <v>3.769999999999996</v>
      </c>
      <c r="L2568" s="194">
        <f ca="1">B2558+H2558</f>
        <v>3.7900000000000063</v>
      </c>
      <c r="M2568" s="113">
        <f t="shared" si="244"/>
        <v>1</v>
      </c>
      <c r="N2568" s="64">
        <f t="shared" ca="1" si="239"/>
        <v>1.0001084090909091</v>
      </c>
    </row>
    <row r="2569" spans="1:14">
      <c r="A2569" s="39">
        <f t="shared" ref="A2569:A2589" ca="1" si="250">K$2586</f>
        <v>3.8686363636363699</v>
      </c>
      <c r="B2569" s="41">
        <f t="shared" ca="1" si="249"/>
        <v>3.9027272727272764</v>
      </c>
      <c r="C2569" s="103">
        <f t="shared" si="248"/>
        <v>46367</v>
      </c>
      <c r="E2569" s="170"/>
      <c r="F2569" s="58" t="str">
        <f>VLOOKUP(MOD(C2569,7),'CALENDAR INFO'!$I$2:$J$8,2)</f>
        <v>FRI</v>
      </c>
      <c r="I2569" s="457">
        <f t="shared" si="247"/>
        <v>0</v>
      </c>
      <c r="K2569" s="178"/>
      <c r="L2569" s="192"/>
      <c r="M2569" s="113">
        <f t="shared" si="244"/>
        <v>3</v>
      </c>
      <c r="N2569" s="64">
        <f t="shared" ca="1" si="239"/>
        <v>1.0003252272727272</v>
      </c>
    </row>
    <row r="2570" spans="1:14">
      <c r="A2570" s="39">
        <f t="shared" ca="1" si="250"/>
        <v>3.8686363636363699</v>
      </c>
      <c r="B2570" s="41">
        <f t="shared" ca="1" si="249"/>
        <v>3.9027272727272764</v>
      </c>
      <c r="C2570" s="103">
        <f t="shared" si="248"/>
        <v>46368</v>
      </c>
      <c r="E2570" s="170"/>
      <c r="F2570" s="58" t="str">
        <f>VLOOKUP(MOD(C2570,7),'CALENDAR INFO'!$I$2:$J$8,2)</f>
        <v>SAT</v>
      </c>
      <c r="I2570" s="457">
        <f t="shared" si="247"/>
        <v>0</v>
      </c>
      <c r="J2570" s="15" t="s">
        <v>197</v>
      </c>
      <c r="K2570" s="180">
        <f>OUTPUT!C9</f>
        <v>3.8400000000000034</v>
      </c>
      <c r="L2570" s="180">
        <f>OUTPUT!F9</f>
        <v>3.8700000000000045</v>
      </c>
      <c r="M2570" s="113">
        <f t="shared" si="244"/>
        <v>0</v>
      </c>
      <c r="N2570" s="64">
        <f t="shared" ca="1" si="239"/>
        <v>1</v>
      </c>
    </row>
    <row r="2571" spans="1:14">
      <c r="A2571" s="39">
        <f t="shared" ca="1" si="250"/>
        <v>3.8686363636363699</v>
      </c>
      <c r="B2571" s="41">
        <f t="shared" ca="1" si="249"/>
        <v>3.9027272727272764</v>
      </c>
      <c r="C2571" s="103">
        <f t="shared" si="248"/>
        <v>46369</v>
      </c>
      <c r="E2571" s="170"/>
      <c r="F2571" s="58" t="str">
        <f>VLOOKUP(MOD(C2571,7),'CALENDAR INFO'!$I$2:$J$8,2)</f>
        <v>SUN</v>
      </c>
      <c r="I2571" s="457">
        <f t="shared" si="247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4"/>
        <v>0</v>
      </c>
      <c r="N2571" s="64">
        <f t="shared" ca="1" si="239"/>
        <v>1</v>
      </c>
    </row>
    <row r="2572" spans="1:14">
      <c r="A2572" s="39">
        <f t="shared" ca="1" si="250"/>
        <v>3.8686363636363699</v>
      </c>
      <c r="B2572" s="41">
        <f t="shared" ca="1" si="249"/>
        <v>3.9027272727272764</v>
      </c>
      <c r="C2572" s="103">
        <f t="shared" si="248"/>
        <v>46370</v>
      </c>
      <c r="E2572" s="170"/>
      <c r="F2572" s="58" t="str">
        <f>VLOOKUP(MOD(C2572,7),'CALENDAR INFO'!$I$2:$J$8,2)</f>
        <v>MON</v>
      </c>
      <c r="I2572" s="457">
        <f t="shared" si="247"/>
        <v>0</v>
      </c>
      <c r="J2572" s="15" t="s">
        <v>234</v>
      </c>
      <c r="K2572" s="178">
        <f>K2570*K2560</f>
        <v>119.04000000000011</v>
      </c>
      <c r="L2572" s="178">
        <f>L2570*L2560</f>
        <v>119.97000000000014</v>
      </c>
      <c r="M2572" s="113">
        <f t="shared" si="244"/>
        <v>1</v>
      </c>
      <c r="N2572" s="64">
        <f t="shared" ca="1" si="239"/>
        <v>1.0001084090909091</v>
      </c>
    </row>
    <row r="2573" spans="1:14">
      <c r="A2573" s="39">
        <f t="shared" ca="1" si="250"/>
        <v>3.8686363636363699</v>
      </c>
      <c r="B2573" s="41">
        <f t="shared" ca="1" si="249"/>
        <v>3.9027272727272764</v>
      </c>
      <c r="C2573" s="103">
        <f t="shared" si="248"/>
        <v>46371</v>
      </c>
      <c r="E2573" s="170"/>
      <c r="F2573" s="58" t="str">
        <f>VLOOKUP(MOD(C2573,7),'CALENDAR INFO'!$I$2:$J$8,2)</f>
        <v>TUE</v>
      </c>
      <c r="I2573" s="457">
        <f t="shared" si="247"/>
        <v>0</v>
      </c>
      <c r="K2573" s="178"/>
      <c r="L2573" s="192"/>
      <c r="M2573" s="113">
        <f t="shared" si="244"/>
        <v>1</v>
      </c>
      <c r="N2573" s="64">
        <f t="shared" ca="1" si="239"/>
        <v>1.0001084090909091</v>
      </c>
    </row>
    <row r="2574" spans="1:14">
      <c r="A2574" s="39">
        <f t="shared" ca="1" si="250"/>
        <v>3.8686363636363699</v>
      </c>
      <c r="B2574" s="41">
        <f t="shared" ca="1" si="249"/>
        <v>3.9027272727272764</v>
      </c>
      <c r="C2574" s="103">
        <f t="shared" si="248"/>
        <v>46372</v>
      </c>
      <c r="E2574" s="170"/>
      <c r="F2574" s="58" t="str">
        <f>VLOOKUP(MOD(C2574,7),'CALENDAR INFO'!$I$2:$J$8,2)</f>
        <v>WED</v>
      </c>
      <c r="I2574" s="457">
        <f t="shared" si="247"/>
        <v>0</v>
      </c>
      <c r="J2574" s="15" t="str">
        <f>J2572</f>
        <v>monthly target</v>
      </c>
      <c r="K2574" s="178">
        <f>K2572</f>
        <v>119.04000000000011</v>
      </c>
      <c r="L2574" s="192">
        <f>L2572</f>
        <v>119.97000000000014</v>
      </c>
      <c r="M2574" s="113">
        <f t="shared" si="244"/>
        <v>1</v>
      </c>
      <c r="N2574" s="64">
        <f t="shared" ca="1" si="239"/>
        <v>1.0001084090909091</v>
      </c>
    </row>
    <row r="2575" spans="1:14">
      <c r="A2575" s="39">
        <f t="shared" ca="1" si="250"/>
        <v>3.8686363636363699</v>
      </c>
      <c r="B2575" s="41">
        <f t="shared" ca="1" si="249"/>
        <v>3.9027272727272764</v>
      </c>
      <c r="C2575" s="103">
        <f t="shared" si="248"/>
        <v>46373</v>
      </c>
      <c r="E2575" s="170"/>
      <c r="F2575" s="58" t="str">
        <f>VLOOKUP(MOD(C2575,7),'CALENDAR INFO'!$I$2:$J$8,2)</f>
        <v>THU</v>
      </c>
      <c r="I2575" s="457">
        <f t="shared" si="247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4"/>
        <v>1</v>
      </c>
      <c r="N2575" s="64">
        <f t="shared" ca="1" si="239"/>
        <v>1.0001084090909091</v>
      </c>
    </row>
    <row r="2576" spans="1:14">
      <c r="A2576" s="39">
        <f t="shared" ca="1" si="250"/>
        <v>3.8686363636363699</v>
      </c>
      <c r="B2576" s="41">
        <f t="shared" ca="1" si="249"/>
        <v>3.9027272727272764</v>
      </c>
      <c r="C2576" s="103">
        <f t="shared" si="248"/>
        <v>46374</v>
      </c>
      <c r="E2576" s="170"/>
      <c r="F2576" s="58" t="str">
        <f>VLOOKUP(MOD(C2576,7),'CALENDAR INFO'!$I$2:$J$8,2)</f>
        <v>FRI</v>
      </c>
      <c r="I2576" s="457">
        <f t="shared" si="247"/>
        <v>0</v>
      </c>
      <c r="J2576" s="15" t="s">
        <v>237</v>
      </c>
      <c r="K2576" s="400">
        <f ca="1">SUM(INDIRECT(K2565))</f>
        <v>33.929999999999964</v>
      </c>
      <c r="L2576" s="401">
        <f ca="1">SUM(INDIRECT(L2565))</f>
        <v>34.110000000000056</v>
      </c>
      <c r="M2576" s="113">
        <f t="shared" si="244"/>
        <v>3</v>
      </c>
      <c r="N2576" s="64">
        <f t="shared" ca="1" si="239"/>
        <v>1.0003252272727272</v>
      </c>
    </row>
    <row r="2577" spans="1:14">
      <c r="A2577" s="39">
        <f t="shared" ca="1" si="250"/>
        <v>3.8686363636363699</v>
      </c>
      <c r="B2577" s="41">
        <f t="shared" ca="1" si="249"/>
        <v>3.9027272727272764</v>
      </c>
      <c r="C2577" s="103">
        <f t="shared" si="248"/>
        <v>46375</v>
      </c>
      <c r="E2577" s="170"/>
      <c r="F2577" s="58" t="str">
        <f>VLOOKUP(MOD(C2577,7),'CALENDAR INFO'!$I$2:$J$8,2)</f>
        <v>SAT</v>
      </c>
      <c r="I2577" s="457">
        <f t="shared" si="247"/>
        <v>0</v>
      </c>
      <c r="J2577" s="15" t="s">
        <v>238</v>
      </c>
      <c r="K2577" s="182">
        <f ca="1">K2572-K2575-K2576</f>
        <v>85.110000000000142</v>
      </c>
      <c r="L2577" s="201">
        <f ca="1">L2572-L2575-L2576</f>
        <v>85.860000000000085</v>
      </c>
      <c r="M2577" s="113">
        <f t="shared" si="244"/>
        <v>0</v>
      </c>
      <c r="N2577" s="64">
        <f t="shared" ca="1" si="239"/>
        <v>1</v>
      </c>
    </row>
    <row r="2578" spans="1:14">
      <c r="A2578" s="39">
        <f t="shared" ca="1" si="250"/>
        <v>3.8686363636363699</v>
      </c>
      <c r="B2578" s="41">
        <f t="shared" ca="1" si="249"/>
        <v>3.9027272727272764</v>
      </c>
      <c r="C2578" s="103">
        <f t="shared" si="248"/>
        <v>46376</v>
      </c>
      <c r="E2578" s="170"/>
      <c r="F2578" s="58" t="str">
        <f>VLOOKUP(MOD(C2578,7),'CALENDAR INFO'!$I$2:$J$8,2)</f>
        <v>SUN</v>
      </c>
      <c r="I2578" s="457">
        <f t="shared" si="247"/>
        <v>0</v>
      </c>
      <c r="M2578" s="113">
        <f t="shared" si="244"/>
        <v>0</v>
      </c>
      <c r="N2578" s="64">
        <f t="shared" ca="1" si="239"/>
        <v>1</v>
      </c>
    </row>
    <row r="2579" spans="1:14">
      <c r="A2579" s="39">
        <f t="shared" ca="1" si="250"/>
        <v>3.8686363636363699</v>
      </c>
      <c r="B2579" s="41">
        <f t="shared" ca="1" si="249"/>
        <v>3.9027272727272764</v>
      </c>
      <c r="C2579" s="103">
        <f t="shared" si="248"/>
        <v>46377</v>
      </c>
      <c r="E2579" s="170"/>
      <c r="F2579" s="58" t="str">
        <f>VLOOKUP(MOD(C2579,7),'CALENDAR INFO'!$I$2:$J$8,2)</f>
        <v>MON</v>
      </c>
      <c r="I2579" s="457">
        <f t="shared" si="247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4"/>
        <v>1</v>
      </c>
      <c r="N2579" s="64">
        <f t="shared" ref="N2579:N2592" ca="1" si="251">1+(M2579/360)*(MAX(H2579,B2579)/100)</f>
        <v>1.0001084090909091</v>
      </c>
    </row>
    <row r="2580" spans="1:14">
      <c r="A2580" s="39">
        <f t="shared" ca="1" si="250"/>
        <v>3.8686363636363699</v>
      </c>
      <c r="B2580" s="41">
        <f t="shared" ca="1" si="249"/>
        <v>3.9027272727272764</v>
      </c>
      <c r="C2580" s="103">
        <f t="shared" si="248"/>
        <v>46378</v>
      </c>
      <c r="E2580" s="170"/>
      <c r="F2580" s="58" t="str">
        <f>VLOOKUP(MOD(C2580,7),'CALENDAR INFO'!$I$2:$J$8,2)</f>
        <v>TUE</v>
      </c>
      <c r="I2580" s="457">
        <f t="shared" si="247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4"/>
        <v>1</v>
      </c>
      <c r="N2580" s="64">
        <f t="shared" ca="1" si="251"/>
        <v>1.0001084090909091</v>
      </c>
    </row>
    <row r="2581" spans="1:14">
      <c r="A2581" s="39">
        <f t="shared" ca="1" si="250"/>
        <v>3.8686363636363699</v>
      </c>
      <c r="B2581" s="41">
        <f t="shared" ca="1" si="249"/>
        <v>3.9027272727272764</v>
      </c>
      <c r="C2581" s="103">
        <f t="shared" si="248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7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4"/>
        <v>1</v>
      </c>
      <c r="N2581" s="64">
        <f t="shared" ca="1" si="251"/>
        <v>1.0001084090909091</v>
      </c>
    </row>
    <row r="2582" spans="1:14">
      <c r="A2582" s="39">
        <f t="shared" ca="1" si="250"/>
        <v>3.8686363636363699</v>
      </c>
      <c r="B2582" s="41">
        <f t="shared" ca="1" si="249"/>
        <v>3.9027272727272764</v>
      </c>
      <c r="C2582" s="103">
        <f t="shared" si="248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7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51"/>
        <v>1.0004336363636364</v>
      </c>
    </row>
    <row r="2583" spans="1:14">
      <c r="A2583" s="39">
        <f t="shared" ca="1" si="250"/>
        <v>3.8686363636363699</v>
      </c>
      <c r="B2583" s="41">
        <f t="shared" ca="1" si="249"/>
        <v>3.9027272727272764</v>
      </c>
      <c r="C2583" s="103">
        <f t="shared" si="248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7"/>
        <v>0</v>
      </c>
      <c r="K2583" s="178"/>
      <c r="L2583" s="192"/>
      <c r="M2583" s="117">
        <v>0</v>
      </c>
      <c r="N2583" s="64">
        <f t="shared" ca="1" si="251"/>
        <v>1</v>
      </c>
    </row>
    <row r="2584" spans="1:14">
      <c r="A2584" s="39">
        <f t="shared" ca="1" si="250"/>
        <v>3.8686363636363699</v>
      </c>
      <c r="B2584" s="41">
        <f t="shared" ca="1" si="249"/>
        <v>3.9027272727272764</v>
      </c>
      <c r="C2584" s="103">
        <f t="shared" si="248"/>
        <v>46382</v>
      </c>
      <c r="E2584" s="167"/>
      <c r="F2584" s="58" t="str">
        <f>VLOOKUP(MOD(C2584,7),'CALENDAR INFO'!$I$2:$J$8,2)</f>
        <v>SAT</v>
      </c>
      <c r="I2584" s="457">
        <f t="shared" si="247"/>
        <v>0</v>
      </c>
      <c r="J2584" s="15" t="s">
        <v>238</v>
      </c>
      <c r="K2584" s="178">
        <f ca="1">K2577</f>
        <v>85.110000000000142</v>
      </c>
      <c r="L2584" s="192">
        <f ca="1">L2577</f>
        <v>85.860000000000085</v>
      </c>
      <c r="M2584" s="113">
        <f>IF(MOD(C2584,7)&lt;2,0,IF(MOD(C2584,7)=6,3,1))</f>
        <v>0</v>
      </c>
      <c r="N2584" s="64">
        <f t="shared" ca="1" si="251"/>
        <v>1</v>
      </c>
    </row>
    <row r="2585" spans="1:14">
      <c r="A2585" s="39">
        <f t="shared" ca="1" si="250"/>
        <v>3.8686363636363699</v>
      </c>
      <c r="B2585" s="41">
        <f t="shared" ca="1" si="249"/>
        <v>3.9027272727272764</v>
      </c>
      <c r="C2585" s="103">
        <f t="shared" si="248"/>
        <v>46383</v>
      </c>
      <c r="E2585" s="167"/>
      <c r="F2585" s="58" t="str">
        <f>VLOOKUP(MOD(C2585,7),'CALENDAR INFO'!$I$2:$J$8,2)</f>
        <v>SUN</v>
      </c>
      <c r="I2585" s="457">
        <f t="shared" si="247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51"/>
        <v>1</v>
      </c>
    </row>
    <row r="2586" spans="1:14">
      <c r="A2586" s="39">
        <f t="shared" ca="1" si="250"/>
        <v>3.8686363636363699</v>
      </c>
      <c r="B2586" s="41">
        <f t="shared" ca="1" si="249"/>
        <v>3.9027272727272764</v>
      </c>
      <c r="C2586" s="103">
        <f t="shared" si="248"/>
        <v>46384</v>
      </c>
      <c r="E2586" s="167"/>
      <c r="F2586" s="58" t="str">
        <f>VLOOKUP(MOD(C2586,7),'CALENDAR INFO'!$I$2:$J$8,2)</f>
        <v>MON</v>
      </c>
      <c r="I2586" s="457">
        <f t="shared" si="247"/>
        <v>0</v>
      </c>
      <c r="J2586" s="15" t="s">
        <v>240</v>
      </c>
      <c r="K2586" s="178">
        <f ca="1">K2584/K2585</f>
        <v>3.8686363636363699</v>
      </c>
      <c r="L2586" s="192">
        <f ca="1">L2584/L2585</f>
        <v>3.9027272727272764</v>
      </c>
      <c r="M2586" s="113">
        <f>IF(MOD(C2586,7)&lt;2,0,IF(MOD(C2586,7)=6,3,1))</f>
        <v>1</v>
      </c>
      <c r="N2586" s="64">
        <f t="shared" ca="1" si="251"/>
        <v>1.0001084090909091</v>
      </c>
    </row>
    <row r="2587" spans="1:14">
      <c r="A2587" s="39">
        <f t="shared" ca="1" si="250"/>
        <v>3.8686363636363699</v>
      </c>
      <c r="B2587" s="41">
        <f t="shared" ca="1" si="249"/>
        <v>3.9027272727272764</v>
      </c>
      <c r="C2587" s="103">
        <f t="shared" si="248"/>
        <v>46385</v>
      </c>
      <c r="E2587" s="167"/>
      <c r="F2587" s="58" t="str">
        <f>VLOOKUP(MOD(C2587,7),'CALENDAR INFO'!$I$2:$J$8,2)</f>
        <v>TUE</v>
      </c>
      <c r="I2587" s="457">
        <f t="shared" si="247"/>
        <v>0</v>
      </c>
      <c r="M2587" s="113">
        <f>IF(MOD(C2587,7)&lt;2,0,IF(MOD(C2587,7)=6,3,1))</f>
        <v>1</v>
      </c>
      <c r="N2587" s="64">
        <f t="shared" ca="1" si="251"/>
        <v>1.0001084090909091</v>
      </c>
    </row>
    <row r="2588" spans="1:14">
      <c r="A2588" s="39">
        <f t="shared" ca="1" si="250"/>
        <v>3.8686363636363699</v>
      </c>
      <c r="B2588" s="41">
        <f t="shared" ca="1" si="249"/>
        <v>3.9027272727272764</v>
      </c>
      <c r="C2588" s="103">
        <f t="shared" si="248"/>
        <v>46386</v>
      </c>
      <c r="E2588" s="167"/>
      <c r="F2588" s="58" t="str">
        <f>VLOOKUP(MOD(C2588,7),'CALENDAR INFO'!$I$2:$J$8,2)</f>
        <v>WED</v>
      </c>
      <c r="I2588" s="457">
        <f t="shared" si="247"/>
        <v>0</v>
      </c>
      <c r="M2588" s="113">
        <f>IF(MOD(C2588,7)&lt;2,0,IF(MOD(C2588,7)=6,3,1))</f>
        <v>1</v>
      </c>
      <c r="N2588" s="64">
        <f t="shared" ca="1" si="251"/>
        <v>1.0001084090909091</v>
      </c>
    </row>
    <row r="2589" spans="1:14" ht="15.75" thickBot="1">
      <c r="A2589" s="98">
        <f t="shared" ca="1" si="250"/>
        <v>3.8686363636363699</v>
      </c>
      <c r="B2589" s="230">
        <f t="shared" ca="1" si="249"/>
        <v>3.9027272727272764</v>
      </c>
      <c r="C2589" s="104">
        <f t="shared" si="248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7"/>
        <v>0</v>
      </c>
      <c r="J2589" s="348"/>
      <c r="K2589" s="348"/>
      <c r="L2589" s="349"/>
      <c r="M2589" s="281">
        <v>4</v>
      </c>
      <c r="N2589" s="292">
        <f t="shared" ca="1" si="251"/>
        <v>1.0004336363636364</v>
      </c>
    </row>
    <row r="2590" spans="1:14">
      <c r="C2590" s="103">
        <f t="shared" si="248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7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51"/>
        <v>1</v>
      </c>
    </row>
    <row r="2591" spans="1:14">
      <c r="C2591" s="103">
        <f t="shared" si="248"/>
        <v>46389</v>
      </c>
      <c r="E2591" s="167"/>
      <c r="F2591" s="58" t="str">
        <f>VLOOKUP(MOD(C2591,7),'CALENDAR INFO'!$I$2:$J$8,2)</f>
        <v>SAT</v>
      </c>
      <c r="I2591" s="457">
        <f t="shared" si="247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1"/>
        <v>1</v>
      </c>
    </row>
    <row r="2592" spans="1:14">
      <c r="C2592" s="103">
        <f t="shared" si="248"/>
        <v>46390</v>
      </c>
      <c r="E2592" s="167"/>
      <c r="F2592" s="58" t="str">
        <f>VLOOKUP(MOD(C2592,7),'CALENDAR INFO'!$I$2:$J$8,2)</f>
        <v>SUN</v>
      </c>
      <c r="I2592" s="457">
        <f t="shared" si="247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1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96.352500000000006</v>
      </c>
      <c r="C36" s="34">
        <f>OUTPUT!I3</f>
        <v>3.6474999999999937</v>
      </c>
      <c r="D36" s="33">
        <f t="shared" ca="1" si="13"/>
        <v>96.356111614728519</v>
      </c>
      <c r="E36" s="34">
        <f t="shared" ca="1" si="14"/>
        <v>3.6438883852714787</v>
      </c>
      <c r="F36" s="319">
        <f t="shared" ca="1" si="15"/>
        <v>3.6116147285127909E-3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1.0092109400849918</v>
      </c>
    </row>
    <row r="37" spans="1:13">
      <c r="A37" s="38">
        <f>+OUTPUT!A4</f>
        <v>46204</v>
      </c>
      <c r="B37" s="40">
        <f>OUTPUT!H4</f>
        <v>96.317499999999995</v>
      </c>
      <c r="C37" s="41">
        <f>OUTPUT!I4</f>
        <v>3.6825000000000045</v>
      </c>
      <c r="D37" s="44">
        <f t="shared" ca="1" si="13"/>
        <v>96.31173742940048</v>
      </c>
      <c r="E37" s="45">
        <f t="shared" ca="1" si="14"/>
        <v>3.6882625705995169</v>
      </c>
      <c r="F37" s="318">
        <f t="shared" ca="1" si="15"/>
        <v>-5.7625705995150156E-3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1.0100402703310765</v>
      </c>
    </row>
    <row r="38" spans="1:13">
      <c r="A38" s="38">
        <f>+OUTPUT!A5</f>
        <v>46235</v>
      </c>
      <c r="B38" s="40">
        <f>OUTPUT!H5</f>
        <v>96.267499999999998</v>
      </c>
      <c r="C38" s="41">
        <f>OUTPUT!I5</f>
        <v>3.7325000000000017</v>
      </c>
      <c r="D38" s="44">
        <f t="shared" ca="1" si="13"/>
        <v>96.265229402509533</v>
      </c>
      <c r="E38" s="45">
        <f t="shared" ca="1" si="14"/>
        <v>3.7347705974904675</v>
      </c>
      <c r="F38" s="318">
        <f t="shared" ca="1" si="15"/>
        <v>-2.2705974904653203E-3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1.0094406701214342</v>
      </c>
    </row>
    <row r="39" spans="1:13">
      <c r="A39" s="32">
        <f>+OUTPUT!A6</f>
        <v>46266</v>
      </c>
      <c r="B39" s="33">
        <f>OUTPUT!H6</f>
        <v>96.212500000000006</v>
      </c>
      <c r="C39" s="34">
        <f>OUTPUT!I6</f>
        <v>3.7874999999999943</v>
      </c>
      <c r="D39" s="33">
        <f t="shared" ca="1" si="13"/>
        <v>96.209695933248611</v>
      </c>
      <c r="E39" s="34">
        <f t="shared" ca="1" si="14"/>
        <v>3.7903040667513959</v>
      </c>
      <c r="F39" s="319">
        <f t="shared" ca="1" si="15"/>
        <v>-2.8040667513948847E-3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1.0095810463909549</v>
      </c>
    </row>
    <row r="40" spans="1:13">
      <c r="A40" s="38">
        <f>+OUTPUT!A7</f>
        <v>46296</v>
      </c>
      <c r="B40" s="40">
        <f>OUTPUT!H7</f>
        <v>96.15</v>
      </c>
      <c r="C40" s="41">
        <f>OUTPUT!I7</f>
        <v>3.8499999999999943</v>
      </c>
      <c r="D40" s="44">
        <f t="shared" ca="1" si="13"/>
        <v>96.83756269703926</v>
      </c>
      <c r="E40" s="45">
        <f t="shared" ca="1" si="14"/>
        <v>3.162437302960746</v>
      </c>
      <c r="F40" s="318">
        <f t="shared" ca="1" si="15"/>
        <v>0.68756269703925454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1.0079939387380397</v>
      </c>
    </row>
    <row r="41" spans="1:13">
      <c r="A41" s="38">
        <f>+OUTPUT!A8</f>
        <v>46327</v>
      </c>
      <c r="B41" s="40">
        <f>OUTPUT!H8</f>
        <v>96.11</v>
      </c>
      <c r="C41" s="41">
        <f>OUTPUT!I8</f>
        <v>3.8900000000000006</v>
      </c>
      <c r="D41" s="44">
        <f t="shared" ca="1" si="13"/>
        <v>98.006787781523471</v>
      </c>
      <c r="E41" s="45">
        <f t="shared" ca="1" si="14"/>
        <v>1.9932122184765229</v>
      </c>
      <c r="F41" s="323">
        <f t="shared" ca="1" si="15"/>
        <v>1.8967877815234715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1.0050383975522601</v>
      </c>
    </row>
    <row r="42" spans="1:13">
      <c r="A42" s="43">
        <f>+OUTPUT!A9</f>
        <v>46357</v>
      </c>
      <c r="B42" s="50">
        <f>OUTPUT!H9</f>
        <v>96.07</v>
      </c>
      <c r="C42" s="51">
        <f>OUTPUT!I9</f>
        <v>3.9300000000000068</v>
      </c>
      <c r="D42" s="50">
        <f t="shared" ca="1" si="13"/>
        <v>99.18441918701798</v>
      </c>
      <c r="E42" s="51">
        <f t="shared" ca="1" si="14"/>
        <v>0.81558081298202001</v>
      </c>
      <c r="F42" s="320">
        <f t="shared" ca="1" si="15"/>
        <v>3.1144191870179867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1.0020616070550379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5"/>
  <sheetViews>
    <sheetView workbookViewId="0">
      <selection activeCell="G43" sqref="G4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202608</v>
      </c>
      <c r="E2" s="150">
        <v>96.367500000000007</v>
      </c>
      <c r="F2" s="150">
        <v>96.37</v>
      </c>
      <c r="G2" s="151">
        <v>96.367500000000007</v>
      </c>
      <c r="H2" s="417">
        <f t="shared" ref="H2:H6" si="0">IF(F2&lt;G2,F2,IF(E2&gt;G2,E2,G2))</f>
        <v>96.367500000000007</v>
      </c>
      <c r="I2" s="148">
        <f t="shared" ref="I2:I5" si="1">100-H2</f>
        <v>3.6324999999999932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202609</v>
      </c>
      <c r="E3" s="150">
        <v>96.325000000000003</v>
      </c>
      <c r="F3" s="150">
        <v>96.33</v>
      </c>
      <c r="G3" s="151">
        <v>96.325000000000003</v>
      </c>
      <c r="H3" s="417">
        <f t="shared" si="0"/>
        <v>96.325000000000003</v>
      </c>
      <c r="I3" s="148">
        <f t="shared" si="1"/>
        <v>3.6749999999999972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202610</v>
      </c>
      <c r="E4" s="150">
        <v>96.27</v>
      </c>
      <c r="F4" s="150">
        <v>96.275000000000006</v>
      </c>
      <c r="G4" s="151">
        <v>96.275000000000006</v>
      </c>
      <c r="H4" s="417">
        <f t="shared" si="0"/>
        <v>96.275000000000006</v>
      </c>
      <c r="I4" s="148">
        <f t="shared" si="1"/>
        <v>3.7249999999999943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202611</v>
      </c>
      <c r="E5" s="150">
        <v>96.23</v>
      </c>
      <c r="F5" s="150">
        <v>96.234999999999999</v>
      </c>
      <c r="G5" s="151">
        <v>96.23</v>
      </c>
      <c r="H5" s="417">
        <f t="shared" si="0"/>
        <v>96.23</v>
      </c>
      <c r="I5" s="148">
        <f t="shared" si="1"/>
        <v>3.769999999999996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202612</v>
      </c>
      <c r="E6" s="150">
        <v>96.16</v>
      </c>
      <c r="F6" s="150">
        <v>96.165000000000006</v>
      </c>
      <c r="G6" s="151">
        <v>96.16</v>
      </c>
      <c r="H6" s="417">
        <f t="shared" si="0"/>
        <v>96.16</v>
      </c>
      <c r="I6" s="148">
        <f>100-H6</f>
        <v>3.8400000000000034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202701</v>
      </c>
      <c r="E7" s="150">
        <v>96.13</v>
      </c>
      <c r="F7" s="150">
        <v>96.135000000000005</v>
      </c>
      <c r="G7" s="151">
        <v>96.13</v>
      </c>
      <c r="H7" s="417">
        <f t="shared" ref="H7:H18" si="2">IF(F7&lt;G7,F7,IF(E7&gt;G7,E7,G7))</f>
        <v>96.13</v>
      </c>
      <c r="I7" s="148">
        <f t="shared" ref="I7:I18" si="3">100-H7</f>
        <v>3.8700000000000045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202702</v>
      </c>
      <c r="E8" s="150">
        <v>96.09</v>
      </c>
      <c r="F8" s="150">
        <v>96.1</v>
      </c>
      <c r="G8" s="151">
        <v>96.094999999999999</v>
      </c>
      <c r="H8" s="417">
        <f t="shared" si="2"/>
        <v>96.094999999999999</v>
      </c>
      <c r="I8" s="148">
        <f t="shared" si="3"/>
        <v>3.9050000000000011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202703</v>
      </c>
      <c r="E9" s="150">
        <v>96.06</v>
      </c>
      <c r="F9" s="150">
        <v>96.064999999999998</v>
      </c>
      <c r="G9" s="151">
        <v>96.064999999999998</v>
      </c>
      <c r="H9" s="417">
        <f t="shared" si="2"/>
        <v>96.064999999999998</v>
      </c>
      <c r="I9" s="148">
        <f t="shared" si="3"/>
        <v>3.9350000000000023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202704</v>
      </c>
      <c r="E10" s="150">
        <v>96.025000000000006</v>
      </c>
      <c r="F10" s="150">
        <v>96.034999999999997</v>
      </c>
      <c r="G10" s="151">
        <v>96.03</v>
      </c>
      <c r="H10" s="417">
        <f t="shared" si="2"/>
        <v>96.03</v>
      </c>
      <c r="I10" s="148">
        <f t="shared" si="3"/>
        <v>3.9699999999999989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202705</v>
      </c>
      <c r="E11" s="150">
        <v>96.004999999999995</v>
      </c>
      <c r="F11" s="150">
        <v>96.01</v>
      </c>
      <c r="G11" s="151">
        <v>96.01</v>
      </c>
      <c r="H11" s="417">
        <f t="shared" si="2"/>
        <v>96.01</v>
      </c>
      <c r="I11" s="148">
        <f t="shared" si="3"/>
        <v>3.9899999999999949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202706</v>
      </c>
      <c r="E12" s="150">
        <v>95.984999999999999</v>
      </c>
      <c r="F12" s="150">
        <v>95.99</v>
      </c>
      <c r="G12" s="151">
        <v>95.99</v>
      </c>
      <c r="H12" s="417">
        <f t="shared" si="2"/>
        <v>95.99</v>
      </c>
      <c r="I12" s="148">
        <f t="shared" si="3"/>
        <v>4.0100000000000051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202707</v>
      </c>
      <c r="E13" s="150">
        <v>95.974999999999994</v>
      </c>
      <c r="F13" s="150">
        <v>95.984999999999999</v>
      </c>
      <c r="G13" s="151">
        <v>95.98</v>
      </c>
      <c r="H13" s="417">
        <f t="shared" si="2"/>
        <v>95.98</v>
      </c>
      <c r="I13" s="148">
        <f t="shared" si="3"/>
        <v>4.019999999999996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202708</v>
      </c>
      <c r="E14" s="150">
        <v>95.97</v>
      </c>
      <c r="F14" s="150">
        <v>95.98</v>
      </c>
      <c r="G14" s="151">
        <v>95.974999999999994</v>
      </c>
      <c r="H14" s="417">
        <f t="shared" si="2"/>
        <v>95.974999999999994</v>
      </c>
      <c r="I14" s="148">
        <f t="shared" si="3"/>
        <v>4.0250000000000057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202709</v>
      </c>
      <c r="E15" s="150">
        <v>95.97</v>
      </c>
      <c r="F15" s="150">
        <v>95.974999999999994</v>
      </c>
      <c r="G15" s="151">
        <v>95.974999999999994</v>
      </c>
      <c r="H15" s="417">
        <f t="shared" si="2"/>
        <v>95.974999999999994</v>
      </c>
      <c r="I15" s="148">
        <f t="shared" si="3"/>
        <v>4.0250000000000057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202710</v>
      </c>
      <c r="E16" s="150">
        <v>95.965000000000003</v>
      </c>
      <c r="F16" s="150">
        <v>95.98</v>
      </c>
      <c r="G16" s="151">
        <v>95.965000000000003</v>
      </c>
      <c r="H16" s="417">
        <f t="shared" si="2"/>
        <v>95.965000000000003</v>
      </c>
      <c r="I16" s="148">
        <f t="shared" si="3"/>
        <v>4.0349999999999966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202711</v>
      </c>
      <c r="E17" s="150">
        <v>95.965000000000003</v>
      </c>
      <c r="F17" s="150">
        <v>95.98</v>
      </c>
      <c r="G17" s="151">
        <v>95.965000000000003</v>
      </c>
      <c r="H17" s="417">
        <f t="shared" si="2"/>
        <v>95.965000000000003</v>
      </c>
      <c r="I17" s="148">
        <f t="shared" si="3"/>
        <v>4.0349999999999966</v>
      </c>
      <c r="L17" s="152"/>
      <c r="M17" s="153"/>
    </row>
    <row r="18" spans="1:19" s="149" customFormat="1">
      <c r="A18" s="19" t="s">
        <v>65</v>
      </c>
      <c r="B18" s="20" t="s">
        <v>71</v>
      </c>
      <c r="C18" s="20" t="s">
        <v>182</v>
      </c>
      <c r="D18" s="302">
        <v>202712</v>
      </c>
      <c r="E18" s="150">
        <v>95.97</v>
      </c>
      <c r="F18" s="150">
        <v>95.99</v>
      </c>
      <c r="G18" s="151" t="s">
        <v>231</v>
      </c>
      <c r="H18" s="417">
        <f t="shared" si="2"/>
        <v>95.99</v>
      </c>
      <c r="I18" s="148">
        <f t="shared" si="3"/>
        <v>4.0100000000000051</v>
      </c>
      <c r="L18" s="152"/>
      <c r="M18" s="153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202608</v>
      </c>
      <c r="E19" s="397">
        <v>96.36</v>
      </c>
      <c r="F19" s="397">
        <v>96.362499999999997</v>
      </c>
      <c r="G19" s="398">
        <v>96.36</v>
      </c>
      <c r="H19" s="418">
        <f t="shared" ref="H19:H22" si="4">IF(F19&lt;G19,F19,IF(E19&gt;G19,E19,G19))</f>
        <v>96.36</v>
      </c>
      <c r="I19" s="353">
        <f t="shared" ref="I19:I22" si="5">100-H19</f>
        <v>3.6400000000000006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202609</v>
      </c>
      <c r="E20" s="397">
        <v>96.314999999999998</v>
      </c>
      <c r="F20" s="397">
        <v>96.32</v>
      </c>
      <c r="G20" s="398">
        <v>96.32</v>
      </c>
      <c r="H20" s="418">
        <f t="shared" si="4"/>
        <v>96.32</v>
      </c>
      <c r="I20" s="353">
        <f t="shared" si="5"/>
        <v>3.6800000000000068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202610</v>
      </c>
      <c r="E21" s="397">
        <v>96.25</v>
      </c>
      <c r="F21" s="397">
        <v>96.254999999999995</v>
      </c>
      <c r="G21" s="398">
        <v>96.254999999999995</v>
      </c>
      <c r="H21" s="418">
        <f t="shared" si="4"/>
        <v>96.254999999999995</v>
      </c>
      <c r="I21" s="353">
        <f t="shared" si="5"/>
        <v>3.7450000000000045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202611</v>
      </c>
      <c r="E22" s="397">
        <v>96.204999999999998</v>
      </c>
      <c r="F22" s="397">
        <v>96.21</v>
      </c>
      <c r="G22" s="398">
        <v>96.21</v>
      </c>
      <c r="H22" s="418">
        <f t="shared" si="4"/>
        <v>96.21</v>
      </c>
      <c r="I22" s="353">
        <f t="shared" si="5"/>
        <v>3.7900000000000063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202612</v>
      </c>
      <c r="E23" s="397">
        <v>96.125</v>
      </c>
      <c r="F23" s="397">
        <v>96.13</v>
      </c>
      <c r="G23" s="398">
        <v>96.13</v>
      </c>
      <c r="H23" s="418">
        <f t="shared" ref="H23:H35" si="6">IF(F23&lt;G23,F23,IF(E23&gt;G23,E23,G23))</f>
        <v>96.13</v>
      </c>
      <c r="I23" s="353">
        <f t="shared" ref="I23:I35" si="7">100-H23</f>
        <v>3.8700000000000045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202701</v>
      </c>
      <c r="E24" s="397">
        <v>96.1</v>
      </c>
      <c r="F24" s="397">
        <v>96.105000000000004</v>
      </c>
      <c r="G24" s="398">
        <v>96.1</v>
      </c>
      <c r="H24" s="418">
        <f t="shared" si="6"/>
        <v>96.1</v>
      </c>
      <c r="I24" s="353">
        <f t="shared" si="7"/>
        <v>3.9000000000000057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202702</v>
      </c>
      <c r="E25" s="397">
        <v>96.075000000000003</v>
      </c>
      <c r="F25" s="397">
        <v>96.08</v>
      </c>
      <c r="G25" s="398">
        <v>96.08</v>
      </c>
      <c r="H25" s="418">
        <f t="shared" si="6"/>
        <v>96.08</v>
      </c>
      <c r="I25" s="353">
        <f t="shared" si="7"/>
        <v>3.9200000000000017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202703</v>
      </c>
      <c r="E26" s="397">
        <v>96.04</v>
      </c>
      <c r="F26" s="397">
        <v>96.045000000000002</v>
      </c>
      <c r="G26" s="398">
        <v>96.045000000000002</v>
      </c>
      <c r="H26" s="418">
        <f t="shared" si="6"/>
        <v>96.045000000000002</v>
      </c>
      <c r="I26" s="353">
        <f t="shared" si="7"/>
        <v>3.9549999999999983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202704</v>
      </c>
      <c r="E27" s="397">
        <v>96.01</v>
      </c>
      <c r="F27" s="397">
        <v>96.015000000000001</v>
      </c>
      <c r="G27" s="398">
        <v>96.015000000000001</v>
      </c>
      <c r="H27" s="418">
        <f t="shared" si="6"/>
        <v>96.015000000000001</v>
      </c>
      <c r="I27" s="353">
        <f t="shared" si="7"/>
        <v>3.9849999999999994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202705</v>
      </c>
      <c r="E28" s="397">
        <v>95.984999999999999</v>
      </c>
      <c r="F28" s="397">
        <v>95.99</v>
      </c>
      <c r="G28" s="398">
        <v>95.984999999999999</v>
      </c>
      <c r="H28" s="418">
        <f t="shared" si="6"/>
        <v>95.984999999999999</v>
      </c>
      <c r="I28" s="353">
        <f t="shared" si="7"/>
        <v>4.0150000000000006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202706</v>
      </c>
      <c r="E29" s="397">
        <v>95.954999999999998</v>
      </c>
      <c r="F29" s="397">
        <v>95.965000000000003</v>
      </c>
      <c r="G29" s="398">
        <v>95.965000000000003</v>
      </c>
      <c r="H29" s="418">
        <f t="shared" si="6"/>
        <v>95.965000000000003</v>
      </c>
      <c r="I29" s="353">
        <f t="shared" si="7"/>
        <v>4.0349999999999966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202707</v>
      </c>
      <c r="E30" s="397">
        <v>95.95</v>
      </c>
      <c r="F30" s="397">
        <v>95.96</v>
      </c>
      <c r="G30" s="398">
        <v>95.954999999999998</v>
      </c>
      <c r="H30" s="418">
        <f t="shared" si="6"/>
        <v>95.954999999999998</v>
      </c>
      <c r="I30" s="353">
        <f t="shared" si="7"/>
        <v>4.0450000000000017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202708</v>
      </c>
      <c r="E31" s="397">
        <v>95.94</v>
      </c>
      <c r="F31" s="397">
        <v>95.954999999999998</v>
      </c>
      <c r="G31" s="398">
        <v>95.944999999999993</v>
      </c>
      <c r="H31" s="418">
        <f t="shared" si="6"/>
        <v>95.944999999999993</v>
      </c>
      <c r="I31" s="353">
        <f t="shared" si="7"/>
        <v>4.0550000000000068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202709</v>
      </c>
      <c r="E32" s="397">
        <v>95.93</v>
      </c>
      <c r="F32" s="397">
        <v>95.95</v>
      </c>
      <c r="G32" s="398" t="s">
        <v>231</v>
      </c>
      <c r="H32" s="418">
        <f t="shared" si="6"/>
        <v>95.95</v>
      </c>
      <c r="I32" s="353">
        <f t="shared" si="7"/>
        <v>4.0499999999999972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202710</v>
      </c>
      <c r="E33" s="397">
        <v>95.924999999999997</v>
      </c>
      <c r="F33" s="397">
        <v>95.95</v>
      </c>
      <c r="G33" s="398" t="s">
        <v>231</v>
      </c>
      <c r="H33" s="418">
        <f t="shared" si="6"/>
        <v>95.95</v>
      </c>
      <c r="I33" s="353">
        <f t="shared" si="7"/>
        <v>4.0499999999999972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47" customFormat="1">
      <c r="A34" s="395" t="s">
        <v>76</v>
      </c>
      <c r="B34" s="357" t="s">
        <v>71</v>
      </c>
      <c r="C34" s="357" t="s">
        <v>183</v>
      </c>
      <c r="D34" s="396">
        <v>202711</v>
      </c>
      <c r="E34" s="397">
        <v>95.81</v>
      </c>
      <c r="F34" s="397">
        <v>95.95</v>
      </c>
      <c r="G34" s="398" t="s">
        <v>231</v>
      </c>
      <c r="H34" s="418">
        <f t="shared" si="6"/>
        <v>95.95</v>
      </c>
      <c r="I34" s="353">
        <f t="shared" si="7"/>
        <v>4.0499999999999972</v>
      </c>
      <c r="J34" s="353"/>
      <c r="K34" s="354"/>
      <c r="L34" s="355"/>
      <c r="M34" s="356"/>
      <c r="N34" s="356"/>
      <c r="O34" s="356"/>
      <c r="P34" s="355"/>
      <c r="Q34" s="356"/>
      <c r="R34" s="356"/>
      <c r="S34" s="355"/>
    </row>
    <row r="35" spans="1:19" s="147" customFormat="1">
      <c r="A35" s="395" t="s">
        <v>76</v>
      </c>
      <c r="B35" s="357" t="s">
        <v>71</v>
      </c>
      <c r="C35" s="357" t="s">
        <v>183</v>
      </c>
      <c r="D35" s="396">
        <v>202712</v>
      </c>
      <c r="E35" s="397">
        <v>95.9</v>
      </c>
      <c r="F35" s="397">
        <v>95.97</v>
      </c>
      <c r="G35" s="398" t="s">
        <v>231</v>
      </c>
      <c r="H35" s="418">
        <f t="shared" si="6"/>
        <v>95.97</v>
      </c>
      <c r="I35" s="353">
        <f t="shared" si="7"/>
        <v>4.0300000000000011</v>
      </c>
      <c r="J35" s="353"/>
      <c r="K35" s="354"/>
      <c r="L35" s="355"/>
      <c r="M35" s="356"/>
      <c r="N35" s="356"/>
      <c r="O35" s="356"/>
      <c r="P35" s="355"/>
      <c r="Q35" s="356"/>
      <c r="R35" s="356"/>
      <c r="S35" s="355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202605</v>
      </c>
      <c r="E36" s="143">
        <v>-1</v>
      </c>
      <c r="F36" s="143">
        <v>-1</v>
      </c>
      <c r="G36" s="144" t="s">
        <v>231</v>
      </c>
      <c r="H36" s="419">
        <f t="shared" ref="H36:H42" si="8">IF(F36&lt;G36,F36,IF(E36&gt;G36,E36,G36))</f>
        <v>-1</v>
      </c>
      <c r="I36" s="145">
        <f t="shared" ref="I36:I42" si="9">100-H36</f>
        <v>101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202606</v>
      </c>
      <c r="E37" s="143">
        <v>96.352500000000006</v>
      </c>
      <c r="F37" s="143">
        <v>96.355000000000004</v>
      </c>
      <c r="G37" s="144">
        <v>96.352500000000006</v>
      </c>
      <c r="H37" s="419">
        <f t="shared" si="8"/>
        <v>96.352500000000006</v>
      </c>
      <c r="I37" s="145">
        <f t="shared" si="9"/>
        <v>3.6474999999999937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202607</v>
      </c>
      <c r="E38" s="143">
        <v>96.31</v>
      </c>
      <c r="F38" s="143">
        <v>96.317499999999995</v>
      </c>
      <c r="G38" s="144">
        <v>96.32</v>
      </c>
      <c r="H38" s="419">
        <f t="shared" si="8"/>
        <v>96.317499999999995</v>
      </c>
      <c r="I38" s="145">
        <f t="shared" si="9"/>
        <v>3.6825000000000045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202608</v>
      </c>
      <c r="E39" s="143">
        <v>96.26</v>
      </c>
      <c r="F39" s="143">
        <v>96.267499999999998</v>
      </c>
      <c r="G39" s="144">
        <v>96.272499999999994</v>
      </c>
      <c r="H39" s="419">
        <f t="shared" si="8"/>
        <v>96.267499999999998</v>
      </c>
      <c r="I39" s="145">
        <f t="shared" si="9"/>
        <v>3.7325000000000017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202609</v>
      </c>
      <c r="E40" s="143">
        <v>96.21</v>
      </c>
      <c r="F40" s="143">
        <v>96.212500000000006</v>
      </c>
      <c r="G40" s="144">
        <v>96.212500000000006</v>
      </c>
      <c r="H40" s="419">
        <f t="shared" si="8"/>
        <v>96.212500000000006</v>
      </c>
      <c r="I40" s="145">
        <f t="shared" si="9"/>
        <v>3.7874999999999943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202610</v>
      </c>
      <c r="E41" s="143">
        <v>96.14</v>
      </c>
      <c r="F41" s="143">
        <v>96.15</v>
      </c>
      <c r="G41" s="144">
        <v>96.16</v>
      </c>
      <c r="H41" s="419">
        <f t="shared" si="8"/>
        <v>96.15</v>
      </c>
      <c r="I41" s="145">
        <f t="shared" si="9"/>
        <v>3.8499999999999943</v>
      </c>
      <c r="K41" s="147"/>
    </row>
    <row r="42" spans="1:19" s="154" customFormat="1">
      <c r="A42" s="141" t="s">
        <v>77</v>
      </c>
      <c r="B42" s="142" t="s">
        <v>71</v>
      </c>
      <c r="C42" s="142" t="s">
        <v>183</v>
      </c>
      <c r="D42" s="303">
        <v>202611</v>
      </c>
      <c r="E42" s="143">
        <v>96.1</v>
      </c>
      <c r="F42" s="143">
        <v>96.11</v>
      </c>
      <c r="G42" s="144" t="s">
        <v>231</v>
      </c>
      <c r="H42" s="419">
        <f t="shared" si="8"/>
        <v>96.11</v>
      </c>
      <c r="I42" s="145">
        <f t="shared" si="9"/>
        <v>3.8900000000000006</v>
      </c>
      <c r="K42" s="147"/>
    </row>
    <row r="43" spans="1:19" s="154" customFormat="1">
      <c r="A43" s="141" t="s">
        <v>77</v>
      </c>
      <c r="B43" s="142" t="s">
        <v>71</v>
      </c>
      <c r="C43" s="142" t="s">
        <v>183</v>
      </c>
      <c r="D43" s="303">
        <v>202612</v>
      </c>
      <c r="E43" s="143">
        <v>96.064999999999998</v>
      </c>
      <c r="F43" s="143">
        <v>96.07</v>
      </c>
      <c r="G43" s="144">
        <v>96.07</v>
      </c>
      <c r="H43" s="419">
        <f>IF(F43&lt;G43,F43,IF(E43&gt;G43,E43,G43))</f>
        <v>96.07</v>
      </c>
      <c r="I43" s="145">
        <f>100-H43</f>
        <v>3.9300000000000068</v>
      </c>
      <c r="K43" s="147"/>
    </row>
    <row r="44" spans="1:19" s="154" customFormat="1">
      <c r="A44" s="141" t="s">
        <v>77</v>
      </c>
      <c r="B44" s="142" t="s">
        <v>71</v>
      </c>
      <c r="C44" s="142" t="s">
        <v>183</v>
      </c>
      <c r="D44" s="303">
        <v>202701</v>
      </c>
      <c r="E44" s="143">
        <v>96.03</v>
      </c>
      <c r="F44" s="143">
        <v>96.04</v>
      </c>
      <c r="G44" s="144" t="s">
        <v>231</v>
      </c>
      <c r="H44" s="419">
        <f t="shared" ref="H44:H52" si="10">IF(F44&lt;G44,F44,IF(E44&gt;G44,E44,G44))</f>
        <v>96.04</v>
      </c>
      <c r="I44" s="145">
        <f t="shared" ref="I44:I52" si="11">100-H44</f>
        <v>3.9599999999999937</v>
      </c>
      <c r="K44" s="147"/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202702</v>
      </c>
      <c r="E45" s="143">
        <v>96.004999999999995</v>
      </c>
      <c r="F45" s="143">
        <v>96.015000000000001</v>
      </c>
      <c r="G45" s="144" t="s">
        <v>231</v>
      </c>
      <c r="H45" s="419">
        <f t="shared" si="10"/>
        <v>96.015000000000001</v>
      </c>
      <c r="I45" s="145">
        <f t="shared" si="11"/>
        <v>3.9849999999999994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202703</v>
      </c>
      <c r="E46" s="143">
        <v>95.98</v>
      </c>
      <c r="F46" s="143">
        <v>95.984999999999999</v>
      </c>
      <c r="G46" s="144">
        <v>95.98</v>
      </c>
      <c r="H46" s="419">
        <f t="shared" si="10"/>
        <v>95.98</v>
      </c>
      <c r="I46" s="145">
        <f t="shared" si="11"/>
        <v>4.019999999999996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202704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202705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202706</v>
      </c>
      <c r="E49" s="143">
        <v>95.93</v>
      </c>
      <c r="F49" s="143">
        <v>95.935000000000002</v>
      </c>
      <c r="G49" s="144">
        <v>95.935000000000002</v>
      </c>
      <c r="H49" s="419">
        <f t="shared" si="10"/>
        <v>95.935000000000002</v>
      </c>
      <c r="I49" s="145">
        <f t="shared" si="11"/>
        <v>4.0649999999999977</v>
      </c>
    </row>
    <row r="50" spans="1:12" s="149" customFormat="1">
      <c r="A50" s="141" t="s">
        <v>77</v>
      </c>
      <c r="B50" s="142" t="s">
        <v>71</v>
      </c>
      <c r="C50" s="142" t="s">
        <v>183</v>
      </c>
      <c r="D50" s="303">
        <v>202707</v>
      </c>
      <c r="E50" s="143" t="s">
        <v>231</v>
      </c>
      <c r="F50" s="143" t="s">
        <v>231</v>
      </c>
      <c r="G50" s="144" t="s">
        <v>231</v>
      </c>
      <c r="H50" s="419" t="str">
        <f t="shared" si="10"/>
        <v>-</v>
      </c>
      <c r="I50" s="145" t="e">
        <f t="shared" si="11"/>
        <v>#VALUE!</v>
      </c>
      <c r="K50" s="147"/>
    </row>
    <row r="51" spans="1:12" s="149" customFormat="1">
      <c r="A51" s="141" t="s">
        <v>77</v>
      </c>
      <c r="B51" s="142" t="s">
        <v>71</v>
      </c>
      <c r="C51" s="142" t="s">
        <v>183</v>
      </c>
      <c r="D51" s="303">
        <v>202708</v>
      </c>
      <c r="E51" s="143" t="s">
        <v>231</v>
      </c>
      <c r="F51" s="143" t="s">
        <v>231</v>
      </c>
      <c r="G51" s="144" t="s">
        <v>231</v>
      </c>
      <c r="H51" s="419" t="str">
        <f t="shared" si="10"/>
        <v>-</v>
      </c>
      <c r="I51" s="145" t="e">
        <f t="shared" si="11"/>
        <v>#VALUE!</v>
      </c>
      <c r="K51" s="147"/>
    </row>
    <row r="52" spans="1:12" s="149" customFormat="1">
      <c r="A52" s="141" t="s">
        <v>77</v>
      </c>
      <c r="B52" s="142" t="s">
        <v>71</v>
      </c>
      <c r="C52" s="142" t="s">
        <v>183</v>
      </c>
      <c r="D52" s="303">
        <v>202709</v>
      </c>
      <c r="E52" s="143">
        <v>95.92</v>
      </c>
      <c r="F52" s="143">
        <v>95.924999999999997</v>
      </c>
      <c r="G52" s="144">
        <v>95.92</v>
      </c>
      <c r="H52" s="419">
        <f t="shared" si="10"/>
        <v>95.92</v>
      </c>
      <c r="I52" s="145">
        <f t="shared" si="11"/>
        <v>4.0799999999999983</v>
      </c>
      <c r="K52" s="147"/>
    </row>
    <row r="53" spans="1:12" s="149" customFormat="1">
      <c r="H53" s="146"/>
      <c r="K53" s="147"/>
    </row>
    <row r="54" spans="1:12" s="149" customFormat="1">
      <c r="A54" s="21"/>
      <c r="B54" s="17"/>
      <c r="C54" s="17"/>
      <c r="D54" s="21"/>
      <c r="E54" s="17"/>
      <c r="F54" s="17"/>
      <c r="G54" s="18"/>
      <c r="H54" s="363"/>
      <c r="I54" s="17"/>
      <c r="J54" s="17"/>
      <c r="K54" s="147"/>
    </row>
    <row r="55" spans="1:12">
      <c r="L55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52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 ca="1">'DAILY EXTRAPOLATION'!N2456</f>
        <v>1.0001012962962963</v>
      </c>
      <c r="D82" s="454">
        <f t="shared" ca="1" si="4"/>
        <v>1.0081902374541833</v>
      </c>
      <c r="E82" s="450">
        <f t="shared" ca="1" si="5"/>
        <v>3.6401055351925983E-2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 ca="1">'DAILY EXTRAPOLATION'!N2457</f>
        <v>1.0003038888888889</v>
      </c>
      <c r="D83" s="454">
        <f t="shared" ca="1" si="4"/>
        <v>1.0084966152652319</v>
      </c>
      <c r="E83" s="450">
        <f t="shared" ca="1" si="5"/>
        <v>3.7302213359554824E-2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 ca="1">'DAILY EXTRAPOLATION'!N2458</f>
        <v>1</v>
      </c>
      <c r="D84" s="454">
        <f t="shared" ca="1" si="4"/>
        <v>1.0084966152652319</v>
      </c>
      <c r="E84" s="450">
        <f t="shared" ca="1" si="5"/>
        <v>3.6852789102210792E-2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 ca="1">'DAILY EXTRAPOLATION'!N2459</f>
        <v>1</v>
      </c>
      <c r="D85" s="454">
        <f t="shared" ca="1" si="4"/>
        <v>1.0084966152652319</v>
      </c>
      <c r="E85" s="450">
        <f t="shared" ca="1" si="5"/>
        <v>3.6414065422422572E-2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 ca="1">'DAILY EXTRAPOLATION'!N2460</f>
        <v>1.0001012962962963</v>
      </c>
      <c r="D86" s="454">
        <f t="shared" ca="1" si="4"/>
        <v>1.0085987722371856</v>
      </c>
      <c r="E86" s="450">
        <f t="shared" ca="1" si="5"/>
        <v>3.641832947513917E-2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 ca="1">'DAILY EXTRAPOLATION'!N2461</f>
        <v>1.0001012962962963</v>
      </c>
      <c r="D87" s="454">
        <f t="shared" ca="1" si="4"/>
        <v>1.0087009395572621</v>
      </c>
      <c r="E87" s="450">
        <f t="shared" ca="1" si="5"/>
        <v>3.6422537681562464E-2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 ca="1">'DAILY EXTRAPOLATION'!N2462</f>
        <v>1.0001012962962963</v>
      </c>
      <c r="D88" s="454">
        <f t="shared" ca="1" si="4"/>
        <v>1.0088031172265099</v>
      </c>
      <c r="E88" s="450">
        <f t="shared" ca="1" si="5"/>
        <v>3.6426691971765304E-2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 ca="1">'DAILY EXTRAPOLATION'!N2463</f>
        <v>1.0001012962962963</v>
      </c>
      <c r="D89" s="454">
        <f t="shared" ca="1" si="4"/>
        <v>1.0089053052459771</v>
      </c>
      <c r="E89" s="450">
        <f t="shared" ca="1" si="5"/>
        <v>3.6430794188088145E-2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 ca="1">'DAILY EXTRAPOLATION'!N2464</f>
        <v>1.0003038888888889</v>
      </c>
      <c r="D90" s="454">
        <f t="shared" ca="1" si="4"/>
        <v>1.0092119003581823</v>
      </c>
      <c r="E90" s="450">
        <f t="shared" ca="1" si="5"/>
        <v>3.7261619426355419E-2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 ca="1">'DAILY EXTRAPOLATION'!N2465</f>
        <v>1</v>
      </c>
      <c r="D91" s="454">
        <f t="shared" ca="1" si="4"/>
        <v>1.0092119003581823</v>
      </c>
      <c r="E91" s="450">
        <f t="shared" ca="1" si="5"/>
        <v>3.6847601432729249E-2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 ca="1">'DAILY EXTRAPOLATION'!N2466</f>
        <v>1</v>
      </c>
      <c r="D92" s="454">
        <f t="shared" ca="1" si="4"/>
        <v>1.0092119003581823</v>
      </c>
      <c r="E92" s="450">
        <f t="shared" ca="1" si="5"/>
        <v>3.6442682735666289E-2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 ca="1">'DAILY EXTRAPOLATION'!N2467</f>
        <v>1.0001012962962963</v>
      </c>
      <c r="D93" s="454">
        <f t="shared" ca="1" si="4"/>
        <v>1.0093141297858668</v>
      </c>
      <c r="E93" s="450">
        <f t="shared" ca="1" si="5"/>
        <v>3.6446594814261254E-2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 ca="1">'DAILY EXTRAPOLATION'!N2468</f>
        <v>1.0001007595486111</v>
      </c>
      <c r="D94" s="454">
        <f t="shared" ca="1" si="4"/>
        <v>1.0094158278219909</v>
      </c>
      <c r="E94" s="450">
        <f t="shared" ca="1" si="5"/>
        <v>3.6448365762545447E-2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 ca="1">'DAILY EXTRAPOLATION'!N2469</f>
        <v>1.0001007595486111</v>
      </c>
      <c r="D95" s="454">
        <f t="shared" ca="1" si="4"/>
        <v>1.0095175361051631</v>
      </c>
      <c r="E95" s="450">
        <f t="shared" ca="1" si="5"/>
        <v>3.6450138275092914E-2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1.0001007595486111</v>
      </c>
      <c r="D96" s="454">
        <f t="shared" ca="1" si="4"/>
        <v>1.009619254636416</v>
      </c>
      <c r="E96" s="450">
        <f t="shared" ca="1" si="5"/>
        <v>3.6451912306418512E-2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1.0004030381944444</v>
      </c>
      <c r="D97" s="454">
        <f t="shared" ca="1" si="4"/>
        <v>1.010026169757881</v>
      </c>
      <c r="E97" s="450">
        <f t="shared" ca="1" si="5"/>
        <v>3.7598136592053577E-2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1.010026169757881</v>
      </c>
      <c r="E98" s="450">
        <f t="shared" ca="1" si="5"/>
        <v>3.7210526936465399E-2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1.010026169757881</v>
      </c>
      <c r="E99" s="450">
        <f t="shared" ca="1" si="5"/>
        <v>3.6830827682011666E-2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1.010026169757881</v>
      </c>
      <c r="E100" s="450">
        <f t="shared" ca="1" si="5"/>
        <v>3.6458799119567106E-2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1.0001007595486111</v>
      </c>
      <c r="D101" s="454">
        <f t="shared" ca="1" si="4"/>
        <v>1.0101279395388312</v>
      </c>
      <c r="E101" s="450">
        <f t="shared" ca="1" si="5"/>
        <v>3.6460582339792234E-2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1.0001007595486111</v>
      </c>
      <c r="D102" s="454">
        <f t="shared" ca="1" si="4"/>
        <v>1.0102297195740586</v>
      </c>
      <c r="E102" s="450">
        <f t="shared" ca="1" si="5"/>
        <v>3.6462366798624732E-2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1.0001007595486111</v>
      </c>
      <c r="D103" s="454">
        <f t="shared" ca="1" si="4"/>
        <v>1.0103315098645964</v>
      </c>
      <c r="E103" s="450">
        <f t="shared" ca="1" si="5"/>
        <v>3.6464152463281448E-2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1.0003022786458333</v>
      </c>
      <c r="D104" s="454">
        <f t="shared" ca="1" si="4"/>
        <v>1.0106369115052409</v>
      </c>
      <c r="E104" s="450">
        <f t="shared" ca="1" si="5"/>
        <v>3.7177554775599371E-2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1.0106369115052409</v>
      </c>
      <c r="E105" s="450">
        <f t="shared" ca="1" si="5"/>
        <v>3.6820078287372451E-2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1.0106369115052409</v>
      </c>
      <c r="E106" s="450">
        <f t="shared" ca="1" si="5"/>
        <v>3.6469410875111762E-2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1.0001007595486111</v>
      </c>
      <c r="D107" s="454">
        <f t="shared" ca="1" si="4"/>
        <v>1.010738742824254</v>
      </c>
      <c r="E107" s="450">
        <f t="shared" ca="1" si="5"/>
        <v>3.6471202044636303E-2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1.0001007595486111</v>
      </c>
      <c r="D108" s="454">
        <f t="shared" ca="1" si="4"/>
        <v>1.0108405844037447</v>
      </c>
      <c r="E108" s="450">
        <f t="shared" ca="1" si="5"/>
        <v>3.6472994255589614E-2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1.0001007595486111</v>
      </c>
      <c r="D109" s="454">
        <f t="shared" ca="1" si="4"/>
        <v>1.010942436244747</v>
      </c>
      <c r="E109" s="450">
        <f t="shared" ca="1" si="5"/>
        <v>3.6474787482490001E-2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1.0001038938492064</v>
      </c>
      <c r="D110" s="454">
        <f t="shared" ca="1" si="4"/>
        <v>1.0110474669457745</v>
      </c>
      <c r="E110" s="450">
        <f t="shared" ca="1" si="5"/>
        <v>3.6487046793383736E-2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1.000311681547619</v>
      </c>
      <c r="D111" s="454">
        <f t="shared" ca="1" si="4"/>
        <v>1.0113625917849884</v>
      </c>
      <c r="E111" s="450">
        <f t="shared" ca="1" si="5"/>
        <v>3.7186664023598534E-2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1.0113625917849884</v>
      </c>
      <c r="E112" s="450">
        <f t="shared" ca="1" si="5"/>
        <v>3.6851649032394941E-2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1.0113625917849884</v>
      </c>
      <c r="E113" s="450">
        <f t="shared" ca="1" si="5"/>
        <v>3.6522616451748556E-2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1.0001038938492064</v>
      </c>
      <c r="D114" s="454">
        <f t="shared" ca="1" si="4"/>
        <v>1.0114676661375923</v>
      </c>
      <c r="E114" s="450">
        <f t="shared" ca="1" si="5"/>
        <v>3.6534157606488787E-2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1.0001038938492064</v>
      </c>
      <c r="D115" s="454">
        <f t="shared" ca="1" si="4"/>
        <v>1.0115727514067752</v>
      </c>
      <c r="E115" s="450">
        <f t="shared" ca="1" si="5"/>
        <v>3.6545530758237355E-2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1.0001038938492064</v>
      </c>
      <c r="D116" s="454">
        <f t="shared" ca="1" si="4"/>
        <v>1.0116778475936712</v>
      </c>
      <c r="E116" s="450">
        <f t="shared" ca="1" si="5"/>
        <v>3.6556740293231541E-2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1.0001038938492064</v>
      </c>
      <c r="D117" s="454">
        <f t="shared" ca="1" si="4"/>
        <v>1.0117829546994146</v>
      </c>
      <c r="E117" s="450">
        <f t="shared" ca="1" si="5"/>
        <v>3.6567790446459088E-2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1.000311681547619</v>
      </c>
      <c r="D118" s="454">
        <f t="shared" ca="1" si="4"/>
        <v>1.0120983087765898</v>
      </c>
      <c r="E118" s="450">
        <f t="shared" ca="1" si="5"/>
        <v>3.722556546643014E-2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1.0120983087765898</v>
      </c>
      <c r="E119" s="450">
        <f t="shared" ca="1" si="5"/>
        <v>3.691009457264683E-2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1.0120983087765898</v>
      </c>
      <c r="E120" s="450">
        <f t="shared" ca="1" si="5"/>
        <v>3.6599925710691816E-2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1.0001038938492064</v>
      </c>
      <c r="D121" s="454">
        <f t="shared" ca="1" si="4"/>
        <v>1.0122034595656639</v>
      </c>
      <c r="E121" s="450">
        <f t="shared" ca="1" si="5"/>
        <v>3.6610378696991797E-2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1.0001038938492064</v>
      </c>
      <c r="D122" s="454">
        <f t="shared" ca="1" si="4"/>
        <v>1.0123086212792582</v>
      </c>
      <c r="E122" s="450">
        <f t="shared" ca="1" si="5"/>
        <v>3.662069140936338E-2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1.0001038938492064</v>
      </c>
      <c r="D123" s="454">
        <f t="shared" ca="1" si="4"/>
        <v>1.0124137939185078</v>
      </c>
      <c r="E123" s="450">
        <f t="shared" ca="1" si="5"/>
        <v>3.6630867300514916E-2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1.0001038938492064</v>
      </c>
      <c r="D124" s="454">
        <f t="shared" ca="1" si="4"/>
        <v>1.0125189774845478</v>
      </c>
      <c r="E124" s="450">
        <f t="shared" ca="1" si="5"/>
        <v>3.6640909710871541E-2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1.000311681547619</v>
      </c>
      <c r="D125" s="454">
        <f t="shared" ca="1" si="4"/>
        <v>1.0128345609664438</v>
      </c>
      <c r="E125" s="450">
        <f t="shared" ca="1" si="5"/>
        <v>3.7261628612256056E-2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1.0128345609664438</v>
      </c>
      <c r="E126" s="450">
        <f t="shared" ca="1" si="5"/>
        <v>3.6963535583358006E-2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1.0128345609664438</v>
      </c>
      <c r="E127" s="450">
        <f t="shared" ca="1" si="5"/>
        <v>3.6670174189839297E-2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1.0001038938492064</v>
      </c>
      <c r="D128" s="454">
        <f t="shared" ca="1" si="4"/>
        <v>1.0129397882475919</v>
      </c>
      <c r="E128" s="450">
        <f t="shared" ca="1" si="5"/>
        <v>3.6679714717583335E-2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1.0001038938492064</v>
      </c>
      <c r="D129" s="454">
        <f t="shared" ca="1" si="4"/>
        <v>1.0130450264612072</v>
      </c>
      <c r="E129" s="450">
        <f t="shared" ca="1" si="5"/>
        <v>3.6689136922145246E-2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1.0001038938492064</v>
      </c>
      <c r="D130" s="454">
        <f t="shared" ca="1" si="4"/>
        <v>1.0131502756084256</v>
      </c>
      <c r="E130" s="450">
        <f t="shared" ca="1" si="5"/>
        <v>3.6698443558397111E-2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1.0001038938492064</v>
      </c>
      <c r="D131" s="454">
        <f t="shared" ca="1" si="4"/>
        <v>1.0132555356903832</v>
      </c>
      <c r="E131" s="450">
        <f t="shared" ca="1" si="5"/>
        <v>3.670763729644573E-2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1.0004155753968254</v>
      </c>
      <c r="D132" s="454">
        <f t="shared" ref="D132:D195" ca="1" si="7">D131*C132</f>
        <v>1.0136766197617133</v>
      </c>
      <c r="E132" s="450">
        <f t="shared" ref="E132:E195" ca="1" si="8">(D132/1-1)*360/(B132-A$2)</f>
        <v>3.7584603925319003E-2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1.0136766197617133</v>
      </c>
      <c r="E133" s="450">
        <f t="shared" ca="1" si="8"/>
        <v>3.7299872077399925E-2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1.0136766197617133</v>
      </c>
      <c r="E134" s="450">
        <f t="shared" ca="1" si="8"/>
        <v>3.7019421911404435E-2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1.0136766197617133</v>
      </c>
      <c r="E135" s="450">
        <f t="shared" ca="1" si="8"/>
        <v>3.6743157568782013E-2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1.0001038938492064</v>
      </c>
      <c r="D136" s="454">
        <f t="shared" ca="1" si="7"/>
        <v>1.0137819345275909</v>
      </c>
      <c r="E136" s="450">
        <f t="shared" ca="1" si="8"/>
        <v>3.6751825406909099E-2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1.0001038938492064</v>
      </c>
      <c r="D137" s="454">
        <f t="shared" ca="1" si="7"/>
        <v>1.0138872602350248</v>
      </c>
      <c r="E137" s="450">
        <f t="shared" ca="1" si="8"/>
        <v>3.6760394739771649E-2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1.0001038938492064</v>
      </c>
      <c r="D138" s="454">
        <f t="shared" ca="1" si="7"/>
        <v>1.013992596885152</v>
      </c>
      <c r="E138" s="450">
        <f t="shared" ca="1" si="8"/>
        <v>3.6768867727406652E-2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1.000311681547619</v>
      </c>
      <c r="D139" s="454">
        <f t="shared" ca="1" si="7"/>
        <v>1.0143086396670233</v>
      </c>
      <c r="E139" s="450">
        <f t="shared" ca="1" si="8"/>
        <v>3.7326886087886965E-2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1.0143086396670233</v>
      </c>
      <c r="E140" s="450">
        <f t="shared" ca="1" si="8"/>
        <v>3.7058347339053249E-2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1.0143086396670233</v>
      </c>
      <c r="E141" s="450">
        <f t="shared" ca="1" si="8"/>
        <v>3.6793644858060012E-2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1.0001038938492064</v>
      </c>
      <c r="D142" s="454">
        <f t="shared" ca="1" si="7"/>
        <v>1.0144140200958816</v>
      </c>
      <c r="E142" s="450">
        <f t="shared" ca="1" si="8"/>
        <v>3.6801753436293327E-2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1.0001038938492064</v>
      </c>
      <c r="D143" s="454">
        <f t="shared" ca="1" si="7"/>
        <v>1.0145194114731182</v>
      </c>
      <c r="E143" s="450">
        <f t="shared" ca="1" si="8"/>
        <v>3.6809775565651758E-2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1.0001038938492064</v>
      </c>
      <c r="D144" s="454">
        <f t="shared" ca="1" si="7"/>
        <v>1.0146248137998708</v>
      </c>
      <c r="E144" s="450">
        <f t="shared" ca="1" si="8"/>
        <v>3.6817713062611793E-2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1.0001038938492064</v>
      </c>
      <c r="D145" s="454">
        <f t="shared" ca="1" si="7"/>
        <v>1.0147302270772769</v>
      </c>
      <c r="E145" s="450">
        <f t="shared" ca="1" si="8"/>
        <v>3.6825567693192229E-2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1.000311681547619</v>
      </c>
      <c r="D146" s="454">
        <f t="shared" ca="1" si="7"/>
        <v>1.015046499764868</v>
      </c>
      <c r="E146" s="450">
        <f t="shared" ca="1" si="8"/>
        <v>3.7356827002431016E-2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1.015046499764868</v>
      </c>
      <c r="E147" s="450">
        <f t="shared" ca="1" si="8"/>
        <v>3.7100958324332176E-2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1.015046499764868</v>
      </c>
      <c r="E148" s="450">
        <f t="shared" ca="1" si="8"/>
        <v>3.6848570852738079E-2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1.0001038938492064</v>
      </c>
      <c r="D149" s="454">
        <f t="shared" ca="1" si="7"/>
        <v>1.0151519568528522</v>
      </c>
      <c r="E149" s="450">
        <f t="shared" ca="1" si="8"/>
        <v>3.6856111263694542E-2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1.0001038938492064</v>
      </c>
      <c r="D150" s="454">
        <f t="shared" ca="1" si="7"/>
        <v>1.0152574248971791</v>
      </c>
      <c r="E150" s="450">
        <f t="shared" ca="1" si="8"/>
        <v>3.6863576932781653E-2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1.0001038938492064</v>
      </c>
      <c r="D151" s="454">
        <f t="shared" ca="1" si="7"/>
        <v>1.0153629038989871</v>
      </c>
      <c r="E151" s="450">
        <f t="shared" ca="1" si="8"/>
        <v>3.6870969357569019E-2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1.0001052777777777</v>
      </c>
      <c r="D152" s="454">
        <f t="shared" ca="1" si="7"/>
        <v>1.0154697990491475</v>
      </c>
      <c r="E152" s="450">
        <f t="shared" ca="1" si="8"/>
        <v>3.6881640117172779E-2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1.0003158333333333</v>
      </c>
      <c r="D153" s="454">
        <f t="shared" ca="1" si="7"/>
        <v>1.0157905182606803</v>
      </c>
      <c r="E153" s="450">
        <f t="shared" ca="1" si="8"/>
        <v>3.7398595880558702E-2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1.0157905182606803</v>
      </c>
      <c r="E154" s="450">
        <f t="shared" ca="1" si="8"/>
        <v>3.715416061336551E-2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1.0157905182606803</v>
      </c>
      <c r="E155" s="450">
        <f t="shared" ca="1" si="8"/>
        <v>3.6912899830161841E-2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1.0001052777777777</v>
      </c>
      <c r="D156" s="454">
        <f t="shared" ca="1" si="7"/>
        <v>1.0158974584291305</v>
      </c>
      <c r="E156" s="450">
        <f t="shared" ca="1" si="8"/>
        <v>3.6923129254754675E-2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1.0001052777777777</v>
      </c>
      <c r="D157" s="454">
        <f t="shared" ca="1" si="7"/>
        <v>1.0160044098560039</v>
      </c>
      <c r="E157" s="450">
        <f t="shared" ca="1" si="8"/>
        <v>3.6933253513855228E-2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1.0001052777777777</v>
      </c>
      <c r="D158" s="454">
        <f t="shared" ca="1" si="7"/>
        <v>1.016111372542486</v>
      </c>
      <c r="E158" s="450">
        <f t="shared" ca="1" si="8"/>
        <v>3.6943274619713022E-2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1.0001052777777777</v>
      </c>
      <c r="D159" s="454">
        <f t="shared" ca="1" si="7"/>
        <v>1.0162183464897618</v>
      </c>
      <c r="E159" s="450">
        <f t="shared" ca="1" si="8"/>
        <v>3.6953194533634562E-2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1.0003158333333333</v>
      </c>
      <c r="D160" s="454">
        <f t="shared" ca="1" si="7"/>
        <v>1.0165393021175282</v>
      </c>
      <c r="E160" s="450">
        <f t="shared" ca="1" si="8"/>
        <v>3.7447476492516653E-2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1.0165393021175282</v>
      </c>
      <c r="E161" s="450">
        <f t="shared" ca="1" si="8"/>
        <v>3.7213429764438422E-2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1.0165393021175282</v>
      </c>
      <c r="E162" s="450">
        <f t="shared" ca="1" si="8"/>
        <v>3.6982290449131351E-2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1.0001052777777777</v>
      </c>
      <c r="D163" s="454">
        <f t="shared" ca="1" si="7"/>
        <v>1.0166463211162788</v>
      </c>
      <c r="E163" s="450">
        <f t="shared" ca="1" si="8"/>
        <v>3.6991824702841868E-2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1.0002105555555556</v>
      </c>
      <c r="D164" s="454">
        <f t="shared" ca="1" si="7"/>
        <v>1.016860381647225</v>
      </c>
      <c r="E164" s="450">
        <f t="shared" ca="1" si="8"/>
        <v>3.7237652717797616E-2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1.016860381647225</v>
      </c>
      <c r="E165" s="450">
        <f t="shared" ca="1" si="8"/>
        <v>3.7010593859762263E-2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1.0001052777777777</v>
      </c>
      <c r="D166" s="454">
        <f t="shared" ca="1" si="7"/>
        <v>1.0169674344485151</v>
      </c>
      <c r="E166" s="450">
        <f t="shared" ca="1" si="8"/>
        <v>3.7019856978578437E-2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1.0003158333333333</v>
      </c>
      <c r="D167" s="454">
        <f t="shared" ca="1" si="7"/>
        <v>1.0172886266632284</v>
      </c>
      <c r="E167" s="450">
        <f t="shared" ca="1" si="8"/>
        <v>3.7493407221459163E-2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1.0172886266632284</v>
      </c>
      <c r="E168" s="450">
        <f t="shared" ca="1" si="8"/>
        <v>3.7268895800971383E-2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1.0172886266632284</v>
      </c>
      <c r="E169" s="450">
        <f t="shared" ca="1" si="8"/>
        <v>3.7047057135489406E-2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1.0001052777777777</v>
      </c>
      <c r="D170" s="454">
        <f t="shared" ca="1" si="7"/>
        <v>1.017395724549202</v>
      </c>
      <c r="E170" s="450">
        <f t="shared" ca="1" si="8"/>
        <v>3.7055981288240988E-2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1.0001052777777777</v>
      </c>
      <c r="D171" s="454">
        <f t="shared" ca="1" si="7"/>
        <v>1.017502833710203</v>
      </c>
      <c r="E171" s="450">
        <f t="shared" ca="1" si="8"/>
        <v>3.7064824327488713E-2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1.0001052777777777</v>
      </c>
      <c r="D172" s="454">
        <f t="shared" ca="1" si="7"/>
        <v>1.0176099541474186</v>
      </c>
      <c r="E172" s="450">
        <f t="shared" ca="1" si="8"/>
        <v>3.7073587678776034E-2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1.0001052777777777</v>
      </c>
      <c r="D173" s="454">
        <f t="shared" ca="1" si="7"/>
        <v>1.0177170858620357</v>
      </c>
      <c r="E173" s="450">
        <f t="shared" ca="1" si="8"/>
        <v>3.7082272734493299E-2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1.0003158333333333</v>
      </c>
      <c r="D174" s="454">
        <f t="shared" ca="1" si="7"/>
        <v>1.0180385148416538</v>
      </c>
      <c r="E174" s="450">
        <f t="shared" ca="1" si="8"/>
        <v>3.7536793890146539E-2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1.0180385148416538</v>
      </c>
      <c r="E175" s="450">
        <f t="shared" ca="1" si="8"/>
        <v>3.7321065189628452E-2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1.0180385148416538</v>
      </c>
      <c r="E176" s="450">
        <f t="shared" ca="1" si="8"/>
        <v>3.710780195997343E-2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1.0001052777777777</v>
      </c>
      <c r="D177" s="454">
        <f t="shared" ca="1" si="7"/>
        <v>1.0181456916741884</v>
      </c>
      <c r="E177" s="450">
        <f t="shared" ca="1" si="8"/>
        <v>3.7116187515385458E-2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1.0001052777777777</v>
      </c>
      <c r="D178" s="454">
        <f t="shared" ca="1" si="7"/>
        <v>1.0182528797900618</v>
      </c>
      <c r="E178" s="450">
        <f t="shared" ca="1" si="8"/>
        <v>3.7124501267922404E-2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1.0002105555555556</v>
      </c>
      <c r="D179" s="454">
        <f t="shared" ca="1" si="7"/>
        <v>1.0184672785908622</v>
      </c>
      <c r="E179" s="450">
        <f t="shared" ca="1" si="8"/>
        <v>3.734955220623809E-2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1.0184672785908622</v>
      </c>
      <c r="E180" s="450">
        <f ca="1">(D180/1-1)*360/(B180-A$2)</f>
        <v>3.7140895490002129E-2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1.0003158333333333</v>
      </c>
      <c r="D181" s="454">
        <f t="shared" ca="1" si="7"/>
        <v>1.0187889445063505</v>
      </c>
      <c r="E181" s="450">
        <f t="shared" ca="1" si="8"/>
        <v>3.7577889012700982E-2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1.0187889445063505</v>
      </c>
      <c r="E182" s="450">
        <f t="shared" ca="1" si="8"/>
        <v>3.737027636622197E-2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1.0187889445063505</v>
      </c>
      <c r="E183" s="450">
        <f t="shared" ca="1" si="8"/>
        <v>3.7164945177396574E-2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1.0001052777777777</v>
      </c>
      <c r="D184" s="454">
        <f t="shared" ca="1" si="7"/>
        <v>1.0188962003424527</v>
      </c>
      <c r="E184" s="450">
        <f t="shared" ca="1" si="8"/>
        <v>3.7172853132693744E-2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1.0001052777777777</v>
      </c>
      <c r="D185" s="454">
        <f t="shared" ca="1" si="7"/>
        <v>1.0190034674702109</v>
      </c>
      <c r="E185" s="450">
        <f t="shared" ca="1" si="8"/>
        <v>3.7180697224325605E-2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1.0001052777777777</v>
      </c>
      <c r="D186" s="454">
        <f t="shared" ca="1" si="7"/>
        <v>1.019110745890814</v>
      </c>
      <c r="E186" s="450">
        <f t="shared" ca="1" si="8"/>
        <v>3.7188478490232574E-2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1.0001052777777777</v>
      </c>
      <c r="D187" s="454">
        <f t="shared" ca="1" si="7"/>
        <v>1.0192180356054508</v>
      </c>
      <c r="E187" s="450">
        <f t="shared" ca="1" si="8"/>
        <v>3.7196197946033745E-2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1.0003158333333333</v>
      </c>
      <c r="D188" s="454">
        <f t="shared" ca="1" si="7"/>
        <v>1.0195399386350295</v>
      </c>
      <c r="E188" s="450">
        <f t="shared" ca="1" si="8"/>
        <v>3.7616994163693067E-2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1.0195399386350295</v>
      </c>
      <c r="E189" s="450">
        <f t="shared" ca="1" si="8"/>
        <v>3.7416903769205333E-2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1.0195399386350295</v>
      </c>
      <c r="E190" s="450">
        <f t="shared" ca="1" si="8"/>
        <v>3.721893073338943E-2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1.0001052777777777</v>
      </c>
      <c r="D191" s="454">
        <f t="shared" ca="1" si="7"/>
        <v>1.0196472735341247</v>
      </c>
      <c r="E191" s="450">
        <f t="shared" ca="1" si="8"/>
        <v>3.7226413012025658E-2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1.0001052777777777</v>
      </c>
      <c r="D192" s="454">
        <f t="shared" ca="1" si="7"/>
        <v>1.0197546197331995</v>
      </c>
      <c r="E192" s="450">
        <f t="shared" ca="1" si="8"/>
        <v>3.7233838240585397E-2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1.0001052777777777</v>
      </c>
      <c r="D193" s="454">
        <f t="shared" ca="1" si="7"/>
        <v>1.0198619772334436</v>
      </c>
      <c r="E193" s="450">
        <f t="shared" ca="1" si="8"/>
        <v>3.7241207312706803E-2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1.0001084090909091</v>
      </c>
      <c r="D194" s="454">
        <f t="shared" ca="1" si="7"/>
        <v>1.0199725395432484</v>
      </c>
      <c r="E194" s="450">
        <f t="shared" ca="1" si="8"/>
        <v>3.7254477904504792E-2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1.0003252272727272</v>
      </c>
      <c r="D195" s="454">
        <f t="shared" ca="1" si="7"/>
        <v>1.0203042624305407</v>
      </c>
      <c r="E195" s="450">
        <f t="shared" ca="1" si="8"/>
        <v>3.7678012757704452E-2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1.0203042624305407</v>
      </c>
      <c r="E196" s="450">
        <f t="shared" ref="E196:E216" ca="1" si="11">(D196/1-1)*360/(B196-A$2)</f>
        <v>3.7484792179459811E-2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1.0203042624305407</v>
      </c>
      <c r="E197" s="450">
        <f t="shared" ca="1" si="11"/>
        <v>3.7293543239768689E-2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1.0001084090909091</v>
      </c>
      <c r="D198" s="454">
        <f t="shared" ca="1" si="10"/>
        <v>1.0204148726880815</v>
      </c>
      <c r="E198" s="450">
        <f t="shared" ca="1" si="11"/>
        <v>3.7306366333549966E-2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1.0001084090909091</v>
      </c>
      <c r="D199" s="454">
        <f t="shared" ca="1" si="10"/>
        <v>1.0205254949367797</v>
      </c>
      <c r="E199" s="450">
        <f t="shared" ca="1" si="11"/>
        <v>3.7319081703235793E-2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1.0001084090909091</v>
      </c>
      <c r="D200" s="454">
        <f t="shared" ca="1" si="10"/>
        <v>1.0206361291779353</v>
      </c>
      <c r="E200" s="450">
        <f t="shared" ca="1" si="11"/>
        <v>3.7331690975159405E-2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1.0001084090909091</v>
      </c>
      <c r="D201" s="454">
        <f t="shared" ca="1" si="10"/>
        <v>1.0207467754128485</v>
      </c>
      <c r="E201" s="450">
        <f t="shared" ca="1" si="11"/>
        <v>3.7344195743127348E-2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1.0003252272727272</v>
      </c>
      <c r="D202" s="454">
        <f t="shared" ca="1" si="10"/>
        <v>1.0210787501027612</v>
      </c>
      <c r="E202" s="450">
        <f t="shared" ca="1" si="11"/>
        <v>3.7752985258676722E-2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1.0210787501027612</v>
      </c>
      <c r="E203" s="450">
        <f t="shared" ca="1" si="11"/>
        <v>3.7566089292049604E-2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1.0210787501027612</v>
      </c>
      <c r="E204" s="450">
        <f t="shared" ca="1" si="11"/>
        <v>3.7381034664995177E-2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1.0001084090909091</v>
      </c>
      <c r="D205" s="454">
        <f t="shared" ca="1" si="10"/>
        <v>1.0211894443218064</v>
      </c>
      <c r="E205" s="450">
        <f t="shared" ca="1" si="11"/>
        <v>3.7393137038481815E-2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1.0001084090909091</v>
      </c>
      <c r="D206" s="454">
        <f t="shared" ca="1" si="10"/>
        <v>1.0213001505411112</v>
      </c>
      <c r="E206" s="450">
        <f t="shared" ca="1" si="11"/>
        <v>3.7405142413658742E-2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1.0001084090909091</v>
      </c>
      <c r="D207" s="454">
        <f t="shared" ca="1" si="10"/>
        <v>1.0214108687619767</v>
      </c>
      <c r="E207" s="450">
        <f t="shared" ca="1" si="11"/>
        <v>3.7417052205396227E-2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1.0004336363636364</v>
      </c>
      <c r="D208" s="454">
        <f t="shared" ca="1" si="10"/>
        <v>1.0218537896568853</v>
      </c>
      <c r="E208" s="450">
        <f t="shared" ca="1" si="11"/>
        <v>3.8006590707626672E-2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1.0218537896568853</v>
      </c>
      <c r="E209" s="450">
        <f t="shared" ca="1" si="11"/>
        <v>3.7823866713840006E-2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1.0218537896568853</v>
      </c>
      <c r="E210" s="450">
        <f t="shared" ca="1" si="11"/>
        <v>3.7642891275017805E-2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1.0218537896568853</v>
      </c>
      <c r="E211" s="450">
        <f t="shared" ca="1" si="11"/>
        <v>3.7463639411803432E-2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1.0001084090909091</v>
      </c>
      <c r="D212" s="454">
        <f t="shared" ca="1" si="10"/>
        <v>1.0219645678972642</v>
      </c>
      <c r="E212" s="450">
        <f t="shared" ca="1" si="11"/>
        <v>3.7475092146991046E-2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1.0001084090909091</v>
      </c>
      <c r="D213" s="454">
        <f t="shared" ca="1" si="10"/>
        <v>1.0220753581470112</v>
      </c>
      <c r="E213" s="450">
        <f t="shared" ca="1" si="11"/>
        <v>3.7486457230773783E-2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1.0001084090909091</v>
      </c>
      <c r="D214" s="454">
        <f t="shared" ca="1" si="10"/>
        <v>1.0221861604074285</v>
      </c>
      <c r="E214" s="450">
        <f t="shared" ca="1" si="11"/>
        <v>3.7497735899879141E-2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1.0004336363636364</v>
      </c>
      <c r="D215" s="454">
        <f t="shared" ca="1" si="10"/>
        <v>1.022629417496987</v>
      </c>
      <c r="E215" s="450">
        <f t="shared" ca="1" si="11"/>
        <v>3.8068178966894003E-2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1.022629417496987</v>
      </c>
      <c r="E216" s="450">
        <f t="shared" ca="1" si="11"/>
        <v>3.7891117669373565E-2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2026-08-21T12:05:48Z</dcterms:modified>
</cp:coreProperties>
</file>